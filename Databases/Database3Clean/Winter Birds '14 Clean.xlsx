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rohanpoudel/Documents/USFWS/PipingPlover/Databases/Database3Clean/"/>
    </mc:Choice>
  </mc:AlternateContent>
  <xr:revisionPtr revIDLastSave="0" documentId="13_ncr:1_{0A511956-6F43-1942-A61A-7B8ACC7F7E70}" xr6:coauthVersionLast="47" xr6:coauthVersionMax="47" xr10:uidLastSave="{00000000-0000-0000-0000-000000000000}"/>
  <bookViews>
    <workbookView xWindow="-4560" yWindow="-21000" windowWidth="38400" windowHeight="20020" xr2:uid="{00000000-000D-0000-FFFF-FFFF00000000}"/>
  </bookViews>
  <sheets>
    <sheet name="Total Survey Counts" sheetId="1" r:id="rId1"/>
    <sheet name="Indiv Flock GPS &amp; bands"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6" i="1" l="1"/>
  <c r="L35" i="1"/>
  <c r="L33" i="1"/>
  <c r="L32" i="1"/>
  <c r="L31" i="1"/>
  <c r="L30" i="1"/>
  <c r="L29" i="1"/>
  <c r="L28" i="1"/>
  <c r="L27" i="1"/>
  <c r="L26" i="1"/>
  <c r="L25" i="1"/>
  <c r="L24" i="1"/>
  <c r="L23" i="1"/>
  <c r="L22" i="1"/>
  <c r="L21" i="1"/>
  <c r="L5" i="1" s="1"/>
  <c r="L20" i="1"/>
  <c r="L19" i="1"/>
  <c r="L18" i="1"/>
  <c r="L17" i="1"/>
  <c r="L16" i="1"/>
  <c r="L15" i="1"/>
  <c r="L14" i="1"/>
  <c r="L13" i="1"/>
  <c r="L12" i="1"/>
  <c r="L11" i="1"/>
  <c r="L10" i="1"/>
  <c r="L9" i="1"/>
  <c r="L8" i="1"/>
  <c r="L3" i="1" s="1"/>
  <c r="L7" i="1"/>
  <c r="L6" i="1"/>
  <c r="L4" i="1"/>
</calcChain>
</file>

<file path=xl/sharedStrings.xml><?xml version="1.0" encoding="utf-8"?>
<sst xmlns="http://schemas.openxmlformats.org/spreadsheetml/2006/main" count="530" uniqueCount="327">
  <si>
    <t>Please get a GPS location for individuals and groups of focal species (Snowy Plover SNPL, Piping Plover PIPL, Wilson's Plover WIPL, Red Knot REKN, and American Oystercatcher AMOY) OR Color-banded individuals OR Large aggregations or flocks of birds of 50 or more.  In addition, put your totals for the entire survey route on the "Total Survey Counts" tab.</t>
  </si>
  <si>
    <t>Date</t>
  </si>
  <si>
    <t>Route Name</t>
  </si>
  <si>
    <t>Observer(s)</t>
  </si>
  <si>
    <t>Group or Point #</t>
  </si>
  <si>
    <t>(Individual bird or flock) Latitude in decimal degrees, e.g. 27.123456</t>
  </si>
  <si>
    <t>(Individual bird or flock) Longitude in decimal degrees e.g. -81.123456</t>
  </si>
  <si>
    <t>Species and number of individuals</t>
  </si>
  <si>
    <t>band information (list species and describe band colors for upper left, lower left, upper right and lower right)</t>
  </si>
  <si>
    <t>for banded birds is there a photo available?</t>
  </si>
  <si>
    <t>NOTES</t>
  </si>
  <si>
    <t>Phipps Preserve</t>
  </si>
  <si>
    <t>John Murphy</t>
  </si>
  <si>
    <t>PIPL (1)</t>
  </si>
  <si>
    <t xml:space="preserve">PIPL
Upper left: FO
Lower left: Y/Lb
Upper right: -
Lower right: Y
</t>
  </si>
  <si>
    <t>yes</t>
  </si>
  <si>
    <t>PIPL (4)</t>
  </si>
  <si>
    <t>Three Rooker Island - south</t>
  </si>
  <si>
    <t>Laura Marie Koitsch</t>
  </si>
  <si>
    <t>PIPL, AMOY(2)</t>
  </si>
  <si>
    <t>PIPL: lower left: G/R; lower right: K/</t>
  </si>
  <si>
    <t>no</t>
  </si>
  <si>
    <t>PIPL (5 TOTAL, 3 banded; roosting with bands not clearly visible); DUNL (45), SEPL (10), SAND (5), WIPL (1)</t>
  </si>
  <si>
    <t>PIPL: upper left: F(G); lower left: B/Y</t>
  </si>
  <si>
    <t>PIPL (4 total, 2 banded, birds roosting on upper beach, bands on 2nd banded PIPL not clearly visible); WIPL (1)</t>
  </si>
  <si>
    <t>upper left: R; lower right: Y</t>
  </si>
  <si>
    <t>PIPL (5 total, 1 banded)</t>
  </si>
  <si>
    <t>upper left: F(Y); lower left: W/Lb; lower right: P/G</t>
  </si>
  <si>
    <t>DCCO (300), REKN (20), PIPL (5), LESA (30), SAND (130), SEPL (25), , SNPL (3), WIPL (5), gulls, sp. (100)</t>
  </si>
  <si>
    <t>No bands observed</t>
  </si>
  <si>
    <t>SNPL (11), WIPL (1), PIPL (2)</t>
  </si>
  <si>
    <t>PIPL (2 total, 1 banded), WIPL (1)</t>
  </si>
  <si>
    <t>bands unreadable under roosting conditions</t>
  </si>
  <si>
    <t>PIPL (4 total, 2 banded)</t>
  </si>
  <si>
    <t>Three Rooker Island - north</t>
  </si>
  <si>
    <t>Marianne Korosy</t>
  </si>
  <si>
    <t>not banded</t>
  </si>
  <si>
    <t>PIPL (2 total, 1 banded)</t>
  </si>
  <si>
    <t>upper left: F(G); lower left: B/Y; lower right: Y and bird has no toes on right foot</t>
  </si>
  <si>
    <t>PIPL (4 total, 1 banded); 11 REKN (no bands observed); SBDO (24); SEPL (20); HEGU (4), RBGU (5), BLSK (1), BBPL (7)</t>
  </si>
  <si>
    <t>PIPL flushed with flock before all bands could be read - upper right: O; lower right: Y</t>
  </si>
  <si>
    <t>Anclote Key</t>
  </si>
  <si>
    <t>DLarremore PPlage EPlage</t>
  </si>
  <si>
    <t>PIPL 2</t>
  </si>
  <si>
    <t>UL?,LL-yellow/black,UR?,LR-green/orange</t>
  </si>
  <si>
    <t>N</t>
  </si>
  <si>
    <t>PPlage EPlage</t>
  </si>
  <si>
    <t>PIPL 17, SPPL 67, SAND 5, DUNL 156, BBPL 3, REKN 1, WESP 16, LESP 23, SBDO 16</t>
  </si>
  <si>
    <t>PIPL 40, SPPL 104, SAND 4, DUNL 444, BBPL 21, REKN 35, WESP 73, LESP 157, SBDO 127, LAGU 100, HEGU 5, LEBB 1, ROTE 97, CATE 2, FOTE 34, DCCO 130, BRPE 21, GRYL 1,</t>
  </si>
  <si>
    <t>1) UL-O,LL-black/blue,UR-metal,LR-black 2)UL-green flag,LL-black/blue,UR-0, LR-yellow/white 3)UL-metal,LL-green,UR-orange,LR-black/red</t>
  </si>
  <si>
    <t>Y</t>
  </si>
  <si>
    <t xml:space="preserve">DLarremore  </t>
  </si>
  <si>
    <t>SNPL 39, WIPL16, PIPL 5, SPPL 12, DUNL 48, SBDO 31, BBPL 23, SAND 50, REKN 4, RUTU 60, WILL 40, LESP 33, WESP 9, RBGU 50</t>
  </si>
  <si>
    <t>1)UL?,LL-white/yellow,UR?,LR-yellow 2)UL?,LL-orange,UR?,LR-orange </t>
  </si>
  <si>
    <t>Gulf Islands National Seashore Santa Rosa North</t>
  </si>
  <si>
    <t>Mark Nicholas</t>
  </si>
  <si>
    <t>Piping Plovers (3: 2 unbanded, 1 banded-&gt; bands not readable)</t>
  </si>
  <si>
    <t>bands unreadable</t>
  </si>
  <si>
    <t>Piping Plovers (12: 10 unbanded, 2 banded)</t>
  </si>
  <si>
    <t>Piping Plover: FY/GB:S/PG (yellow flag could see A1, but nothing else); Piping Plover: S/YK:FY/GB</t>
  </si>
  <si>
    <t>AMI - Alamanda Rd (Bean Point) to Longboat Pass</t>
  </si>
  <si>
    <t>Glenn Wiseman</t>
  </si>
  <si>
    <t>REKN (41)  RUTU (3) SPPL (32) SNPL (1) PIPL (92) BBPL (31) DUNL (1) SAND (106) WILL (5)</t>
  </si>
  <si>
    <t>NA</t>
  </si>
  <si>
    <t>St. George Island State Park</t>
  </si>
  <si>
    <t>Marvin Friel</t>
  </si>
  <si>
    <t>PIPL (6), SAND (37), AMOY (2), DUNL (72), WILL (27), BBPL (2), SEPL (9)</t>
  </si>
  <si>
    <t>3 banded PIPL: S//UB//FY//K, FY (A41)//PR:S//PG, S//BB:FY (C00)//PG</t>
  </si>
  <si>
    <t>PIPL (5), SNPL (2)</t>
  </si>
  <si>
    <t>2 banded PIPL: FW//R:S//YO, FY (P72)//:S// 1 banded SNPL:S//:YB</t>
  </si>
  <si>
    <t>Crooked Island West- Tyndall AFB</t>
  </si>
  <si>
    <t>Raya Pruner</t>
  </si>
  <si>
    <t>SNPL (19), BBPL (3), FOTE (11), RBGU (27), WILL (1), SAND (32), PIPL (7)</t>
  </si>
  <si>
    <t>15 banded SNPL: S//K:YB, G//:S//O, R:OO, WY:S//W, OB:S//K, WK:S//W, S//K:GO, YY:S//K, S//:K, YO:S//K, BG:S//R, RG:S//B   3 banDed PIPL: O//G:S//G, FO//KB:S//Y, S//BO:FY(B19)//YK</t>
  </si>
  <si>
    <t>NO</t>
  </si>
  <si>
    <t>SNPL (6), PIPL (1)</t>
  </si>
  <si>
    <t>4 banded SNPL: WK:S//, S//:KW, OY:S//W, O//W:S//</t>
  </si>
  <si>
    <t>Little Talbot Island State Park</t>
  </si>
  <si>
    <t>J Becker
R Becker</t>
  </si>
  <si>
    <t>PIPL (2)</t>
  </si>
  <si>
    <t>PIPL (7)</t>
  </si>
  <si>
    <t>3 banded: S,Y:FO,YG; FO,W:S, G; FG,_:O,_</t>
  </si>
  <si>
    <t>Yes for S,Y:FO,YG</t>
  </si>
  <si>
    <t>Caladesi Island State Park</t>
  </si>
  <si>
    <t>Kevin Christman, Brooke Hoerner, Joe Brady</t>
  </si>
  <si>
    <t>N 28.05048</t>
  </si>
  <si>
    <t>W 082.81961</t>
  </si>
  <si>
    <t>PIPL (5), 1 banded</t>
  </si>
  <si>
    <t>Band combo: UL: S, LL: B, UR: FK, LR: K/B</t>
  </si>
  <si>
    <t>Yes</t>
  </si>
  <si>
    <t>Note: this bird has been spotted many times on this island.</t>
  </si>
  <si>
    <t>North Anclote Bar</t>
  </si>
  <si>
    <t>Stephen Mann, Jane Mann</t>
  </si>
  <si>
    <t>N 28.23294</t>
  </si>
  <si>
    <t>W 82.83941</t>
  </si>
  <si>
    <t>PIPL (1), DUNL (176), ROYT (214)</t>
  </si>
  <si>
    <t>N 28.23322</t>
  </si>
  <si>
    <t>W 82.83912</t>
  </si>
  <si>
    <t>SNPL (2), PIPL (1), DUNL(145), REKN (2)</t>
  </si>
  <si>
    <t>PIPL UL-Yellow flag "A92", UR metal</t>
  </si>
  <si>
    <t>N 28.23482</t>
  </si>
  <si>
    <t>W 82.83684</t>
  </si>
  <si>
    <t>WIPL (1), SNPL (2), PIPL (2)</t>
  </si>
  <si>
    <t>Kice Island</t>
  </si>
  <si>
    <t>Beverly Anderson, Deborah Woods, Pete Hansen</t>
  </si>
  <si>
    <t>SAND (10), BBPL (3), RUTU (1), DUNL (14), WESP (4), LESP (11), SBDO (4), SEPL (48), PIPL (4), RBGU (3), BRPE (4)</t>
  </si>
  <si>
    <t>1 banded PIPL R/Y,-:R/b,-  (banded 6/10/2010 at Assateague National Seashore, MD and  seen 6 times between 2011 and 2014 on Kice Island)</t>
  </si>
  <si>
    <t>N 28.05024</t>
  </si>
  <si>
    <t>W 082.81965</t>
  </si>
  <si>
    <t>PIPL (12), SEPL (1), WIPL (3), Dunlin (2)</t>
  </si>
  <si>
    <t>N 28.05006</t>
  </si>
  <si>
    <t>W 082.8169</t>
  </si>
  <si>
    <t>PIPL (5), SEPL (29), SNPL (1), WIPL (6), Dunlin (4), Black-bellied plover (1), Sanderling (2), Ruddy Turnstone (1)</t>
  </si>
  <si>
    <t>N 28.04941</t>
  </si>
  <si>
    <t>W 082.81981</t>
  </si>
  <si>
    <t>PIPL (7), SEPL (1), two banded PIPL</t>
  </si>
  <si>
    <t xml:space="preserve">band combo: PlPL number1 = UL: FG, LL: B/K, UR: S, LR: O/G ----- PIPL number 2 = UL: S, LL: Y/K, UR: FY (C15), LR: K/B </t>
  </si>
  <si>
    <t>Photo available for PIPL number2 </t>
  </si>
  <si>
    <t>Note: both piping plovers have been spotted previously on this island.</t>
  </si>
  <si>
    <t>South Beach Park, Vero Beach, Indian River County</t>
  </si>
  <si>
    <t>Tim Towles, Billi Wagner</t>
  </si>
  <si>
    <t xml:space="preserve">27 37.957'N   </t>
  </si>
  <si>
    <t>80 21.029'W</t>
  </si>
  <si>
    <t>PIPL(3)</t>
  </si>
  <si>
    <t xml:space="preserve">none flagged. </t>
  </si>
  <si>
    <t>Indian River Lagoon, Martin County</t>
  </si>
  <si>
    <t>Ricardo Zambrano, Carol Rizkalla</t>
  </si>
  <si>
    <t>BRPE (65), SAND (22), BBPL (38), RUTU ( 32), LAGU (64), BLSK (61), ROYT (68), RBGU (53), PIPL (1), LESA (17), SEPL (29), WILL, (7), GBBG (14), REKN (1)</t>
  </si>
  <si>
    <t>Morgan Island/Cape Romano</t>
  </si>
  <si>
    <t>SEPL (59), PIPL (9), WIPL (27), WESP (42), DUNL (105), SAND (12), LESP (2), SPSA (1)</t>
  </si>
  <si>
    <t>St. Joseph State Park</t>
  </si>
  <si>
    <t>Marvin Friel, Jessy K</t>
  </si>
  <si>
    <t>SNPL (14), DUNL (20), SAND (32), SEPL (10), PIPL (3), BBPL (1)</t>
  </si>
  <si>
    <t>SNPL: 7 banded: WR:S//, KO:S//R, RO:S//W, S//K:YY, S//K:GK, S//:K//Y, OY:S//K; 1 banded PIPL: O//S:LOL</t>
  </si>
  <si>
    <t>PIPL (3), RBGU (1), SAND (39), AMOY (2), BRPE (6), WILL (3), FOTE (2)</t>
  </si>
  <si>
    <t>2 pipl banded: FG//YB:WR, FG//BK:GY</t>
  </si>
  <si>
    <t>Honeymoon Island State Park North</t>
  </si>
  <si>
    <t>Jennifer Manis</t>
  </si>
  <si>
    <t>WIPL (6) - 1 banded, PIPL (1) - banded</t>
  </si>
  <si>
    <t>WIPL- LL-Y/O, LR-B, PIPL-UL-FO, LL-LG/O UR-S, LR-Y</t>
  </si>
  <si>
    <t>No</t>
  </si>
  <si>
    <t>WIPL (7), SNPL (4), PIPL (2)</t>
  </si>
  <si>
    <t>N/A</t>
  </si>
  <si>
    <t>PIPL (5), Semi-palm plovers (42), Short-billed dowitcher (4)</t>
  </si>
  <si>
    <t>dania to hollywood beach</t>
  </si>
  <si>
    <t xml:space="preserve"> Millie and David Pressler</t>
  </si>
  <si>
    <t>SNPL 12, PIPL 1</t>
  </si>
  <si>
    <t>Hobe Sound National Wildlife Refuge (HSNWR)</t>
  </si>
  <si>
    <t>Joseph Scarola</t>
  </si>
  <si>
    <t>Piping Plover</t>
  </si>
  <si>
    <t>None</t>
  </si>
  <si>
    <t>Indian Pass</t>
  </si>
  <si>
    <t>Barbara Eells</t>
  </si>
  <si>
    <t>9 PIPL (2 banded)</t>
  </si>
  <si>
    <t>GF//:G/B/B;;;;;;GF/O/O:/Gray/B</t>
  </si>
  <si>
    <t>Big Marco Pass</t>
  </si>
  <si>
    <t>Ricardo Zambrano, Carol Rizkalla, Charlette Roman</t>
  </si>
  <si>
    <t>WIPL (3), PIPL (1)</t>
  </si>
  <si>
    <t>1 PIPL: UL - Green flag, UR - metal, LR - Green, gray</t>
  </si>
  <si>
    <t>Lake Worth Lagoon</t>
  </si>
  <si>
    <t>Ricardo Zambrano</t>
  </si>
  <si>
    <t>PIPL (3)</t>
  </si>
  <si>
    <t>SEVAS VII, beach from Canaveral NS north boundary to Bullhead walkover</t>
  </si>
  <si>
    <t>John Pierce, Mary Schreiber</t>
  </si>
  <si>
    <t>PIPL (5)</t>
  </si>
  <si>
    <t>Dog Island, Franklin County</t>
  </si>
  <si>
    <t>Bonnie Samuelsen, Marvin Friel, Julie Merritt, Kim Middlebrooks</t>
  </si>
  <si>
    <t>AMOY (2), SNPL (10), PIPL (1), WILL (1)</t>
  </si>
  <si>
    <t>AMOY-unknown,  4 banded SNPL  ?//K:B/Y,  W//:S//Y, B/R:S//K, G//R:Y  PIPL one banded  FG//:YRY//K all reported</t>
  </si>
  <si>
    <t>photo for B/R:S//K, W//:S//Y</t>
  </si>
  <si>
    <t>Marvin Friel, Bonnie Samuelsen, Julie Merritt, Kim Middlebrooks</t>
  </si>
  <si>
    <t>PIPL (2), WIPL (1), SEPL (8), BBPL (3), DUNL (1)</t>
  </si>
  <si>
    <t>unbanded</t>
  </si>
  <si>
    <t>Kim Middlebrooks, Bonnie Samuelsen, Marvin Friel, Julie Merritt</t>
  </si>
  <si>
    <t>no bands</t>
  </si>
  <si>
    <t>PIPL (2), REKN (2), SAND (33),</t>
  </si>
  <si>
    <t>Ft Myers Beach Route 3</t>
  </si>
  <si>
    <t>Charlie Ewell, Keith Laakkonen</t>
  </si>
  <si>
    <t>WIPL (29), PIPL (8), LESA (50)</t>
  </si>
  <si>
    <t>Cayo Costa Route 2</t>
  </si>
  <si>
    <t>Charlie Ewell, Arlyne Salcedo</t>
  </si>
  <si>
    <t xml:space="preserve">AMOY (1), PIPL (1), SNPL (1), WIPL (9), REKN (25), SAND (50), DUNL (150), SBDO (125), </t>
  </si>
  <si>
    <t>REKN: UR: Lime Green Flag with code YHL </t>
  </si>
  <si>
    <t>Cayo Costa Route 3</t>
  </si>
  <si>
    <t>Marie Di Rosa, Anita Marshall</t>
  </si>
  <si>
    <t>PIPL (1), SNPL (1), REKN (4), ROTE (74)</t>
  </si>
  <si>
    <t>PIPL: UL:G, LL:-; UR:Y, LR:G</t>
  </si>
  <si>
    <t>PIPL (1), SNPL (6)</t>
  </si>
  <si>
    <t>Cayo Costa Route 4</t>
  </si>
  <si>
    <t>PIPL (6), AMOY (2), SAND (80), ROTE (54)</t>
  </si>
  <si>
    <t xml:space="preserve">Bunche Beach </t>
  </si>
  <si>
    <t>Charlie Ewell</t>
  </si>
  <si>
    <t>AMOY (2), WIPL (4), PIPL (10), DUNL (100), WESA (50), BLSK (100)</t>
  </si>
  <si>
    <t>PIPL: UL:-, LL:K/Y; UR:S, LR:Y/A</t>
  </si>
  <si>
    <t>Crandon Park Beach</t>
  </si>
  <si>
    <t>Robin Diaz, Jim King, Martina Hillbrand</t>
  </si>
  <si>
    <t>DUNL (8), LESA (10), WIPL (2), SEPL (30), PIPL (14, 2 banded)</t>
  </si>
  <si>
    <t xml:space="preserve"> 1) PIPL:  X,-:ANF,- (yellow C72) banded as chick 6/13 at Lake Sakakawea, ND  2) PIPL:  X,-:O,B/O  banded as chick (2013) on Manitoulin Island, Ontario, Canada</t>
  </si>
  <si>
    <t>PIPL (23)</t>
  </si>
  <si>
    <t xml:space="preserve">1) PIPL:  Of,OB:X,b  female hatched 2012 at Sleeping Bear Dunes National Lakeshore; banded on North Manitou Island  2) PIPL:  X,YG:bf,GK  banded as adult 6/13 along Lower Platte River near Fremont, NE  3) PIPL:  Of,OR:X,Y  female banded 2009 at Cross Village, MI; 5th winter on Crandon  4) PIPL:  ANF,-:X,- (yellow N75) banded as chick 7/13 on Garrison Reach of the Missouri River, ND  5) PIPL:  -,Ob:X,b [ROCKY] male hatched 2004 and banded 2006 on North Manitou Island; 7th (!) documented winter on Crandon </t>
  </si>
  <si>
    <t>Two other banded PIPL usually seen and observed 2/14/2014  1) Of,GG:X,Y  female from Ludington Beach SP, MI; 2nd winter on Crandon  2) Gf,OY:G,-  banded as chick 6/13 on Missouri River near Yankton, SD</t>
  </si>
  <si>
    <t>County</t>
  </si>
  <si>
    <t>Starting Latitude</t>
  </si>
  <si>
    <t>Starting Longitude</t>
  </si>
  <si>
    <t>Ending Latitude</t>
  </si>
  <si>
    <t>Ending Longitude</t>
  </si>
  <si>
    <t>Observers</t>
  </si>
  <si>
    <t>Email address (of primary observer)</t>
  </si>
  <si>
    <t>Starting Time</t>
  </si>
  <si>
    <t>GRAND TOTAL</t>
  </si>
  <si>
    <t>Comments on survey such as weather or tide.   (FYI:  we are not collecting data on other species.  Feel free to enter your data into eBird)</t>
  </si>
  <si>
    <t>Crooked Island West- Tyndall Air Force Base</t>
  </si>
  <si>
    <t>Bay</t>
  </si>
  <si>
    <t>Raya Pruner, Marvin Friel</t>
  </si>
  <si>
    <t>raya.pruner@dep.state.fl.us</t>
  </si>
  <si>
    <t>Shell Island- Tyndall Air Force Base</t>
  </si>
  <si>
    <t xml:space="preserve">Tyler Brown </t>
  </si>
  <si>
    <t>Tyler.A.Brown@dep.state.fl.us</t>
  </si>
  <si>
    <t>Hollywood to Dania Beach</t>
  </si>
  <si>
    <t>Broward</t>
  </si>
  <si>
    <t>Millie &amp; David Pressler</t>
  </si>
  <si>
    <t>CountessP@aol.com</t>
  </si>
  <si>
    <t>morning fog seemed to lift by the time we started.  lots of people traffic</t>
  </si>
  <si>
    <t>Collier</t>
  </si>
  <si>
    <t>beverly.anderson@dep.state.fl.us</t>
  </si>
  <si>
    <t>PC;WNW at 5, 78F. Tide high. Eco-tour boat with 5 shellers caused birds to flush after count.</t>
  </si>
  <si>
    <t>k</t>
  </si>
  <si>
    <t>PC, wind WNW at 9mph, 78F, tide near high and falling</t>
  </si>
  <si>
    <t>ricardo.zambrano@myfwc.com</t>
  </si>
  <si>
    <t>clear and sunny, 75 degrees</t>
  </si>
  <si>
    <t>Duval</t>
  </si>
  <si>
    <t>Joan &amp; Richard Becker</t>
  </si>
  <si>
    <t>j-b@songstar.org</t>
  </si>
  <si>
    <t>Escambia</t>
  </si>
  <si>
    <t>mark_nicholas@nps.gov</t>
  </si>
  <si>
    <t>63 degrees, rising tide, sunny</t>
  </si>
  <si>
    <t>Franklin</t>
  </si>
  <si>
    <t>southmoonunder@mchsi.com</t>
  </si>
  <si>
    <t xml:space="preserve">50 deg.; winds subsiding; falling tide; </t>
  </si>
  <si>
    <t>marvin.friel@dep.state.fl.us</t>
  </si>
  <si>
    <t>Dog Island</t>
  </si>
  <si>
    <t>bsamuelsen@audubon.org</t>
  </si>
  <si>
    <t>Stilt Sandpiper 8 (marvn friel); Dead BRPE reported to FWC website</t>
  </si>
  <si>
    <t>Gulf</t>
  </si>
  <si>
    <t>Marvin Friel, Jessie K</t>
  </si>
  <si>
    <t>Marvin.friel@dep.state.fl.us</t>
  </si>
  <si>
    <t>pelican@fairpoint.net</t>
  </si>
  <si>
    <t>clear 48-50F seabirds resting; shorebirds feeding coquinas etc39 humas 12 dogs</t>
  </si>
  <si>
    <t>South Beach Park, Vero Beach</t>
  </si>
  <si>
    <t xml:space="preserve">Indian River </t>
  </si>
  <si>
    <t>27 37.957'N</t>
  </si>
  <si>
    <t xml:space="preserve"> 80 21.029'W</t>
  </si>
  <si>
    <t>Billi Wagner, Tim Towles</t>
  </si>
  <si>
    <t>cassowary@bellsouth.net</t>
  </si>
  <si>
    <t>Strong westerlies (offshore winds), good obs conditions. Mostly an aggregation of loafing birds of various species. Beachgoers rerouted for us so as not to disturb flock.</t>
  </si>
  <si>
    <t>Lee</t>
  </si>
  <si>
    <t>Charlie Ewell; Arlyne Salcedo</t>
  </si>
  <si>
    <t>anhinga42@comcast.net</t>
  </si>
  <si>
    <t>10:00.00</t>
  </si>
  <si>
    <t>Low level clouds/fog, calm winds, 75 degrees F.</t>
  </si>
  <si>
    <t>Marie Di Rosa; Anita Marshall; Gail Campbell</t>
  </si>
  <si>
    <t>mariegrayson1@yahoo.com</t>
  </si>
  <si>
    <t>Low level clouds/fog, calm winds, 65 degrees F.</t>
  </si>
  <si>
    <t>Charlie Ewell; Keith Laakkonen</t>
  </si>
  <si>
    <t>Clear, calm wind, 70 degrees F.</t>
  </si>
  <si>
    <t>Bunche Beach</t>
  </si>
  <si>
    <t>Clear; light winds 0-5 mph; 65-70 degrees F; incoming tide</t>
  </si>
  <si>
    <t>North end of Little Estero CWA to Carlos Point Condos</t>
  </si>
  <si>
    <t>?</t>
  </si>
  <si>
    <t>Diane S. &amp; Leo Pajak</t>
  </si>
  <si>
    <t>dps717@yahoo.com</t>
  </si>
  <si>
    <t>Data entered by Naomi Avissar</t>
  </si>
  <si>
    <t xml:space="preserve"> Cedar Key (west side)</t>
  </si>
  <si>
    <t xml:space="preserve">Levy </t>
  </si>
  <si>
    <t xml:space="preserve">Doris and Pat Leary </t>
  </si>
  <si>
    <t xml:space="preserve">prleary@bellsouth.net </t>
  </si>
  <si>
    <t>AMOY banding data submitted elsewhere. PIPL band code reported elsewhere</t>
  </si>
  <si>
    <t>Manatee</t>
  </si>
  <si>
    <t>wiseman.glenn@gmail.com</t>
  </si>
  <si>
    <t>Lots of walkers flushing birds, making it impossible to see any bands. Cloudy &amp; overcast</t>
  </si>
  <si>
    <t>Martin</t>
  </si>
  <si>
    <t>boat and foot survey, outgoing tide, strengthening winds</t>
  </si>
  <si>
    <t>Joe@ecological-associates.com</t>
  </si>
  <si>
    <t>54 degrees and Sunny with 5-10 mph winds NNW. High Tide. 1 osprey included in total, not in columns. 3 dead birds, Gannet (2) and Unidentified (1). Sand Bypassing Project on beach, most of birds near construction zone.</t>
  </si>
  <si>
    <t>Miami-Dade</t>
  </si>
  <si>
    <t xml:space="preserve">Robin Diaz, Jim King, Martina Hillbrand </t>
  </si>
  <si>
    <t>rd4birds@bellsouth.net</t>
  </si>
  <si>
    <t>Banded PIPL's previously confirmed by ACE.Two other banded PIPL's normally seen: female from MI (2nd winter on Crandon) and SD bird banded as chick 6/13. Both birds seen 2 days after survey. Started survey on high tide. Windy with SE 12-15 kts.</t>
  </si>
  <si>
    <t>Palm Beach</t>
  </si>
  <si>
    <t xml:space="preserve">Pasco </t>
  </si>
  <si>
    <t>stephenmann@tampabay.rr.com</t>
  </si>
  <si>
    <t xml:space="preserve">Just past high tide. </t>
  </si>
  <si>
    <t>Pasco/Pinellas</t>
  </si>
  <si>
    <t>DLarremore, PPlage, EPlage</t>
  </si>
  <si>
    <t>daniel.larremore@dep.state.fl.us</t>
  </si>
  <si>
    <t>60-65 deg, partly cloudy, NW10mph, South end concentration highest</t>
  </si>
  <si>
    <t>Pinellas</t>
  </si>
  <si>
    <t>Marianne Korosy, Dana Kerstein, Traci Castellon, Genevieve Dimmitt</t>
  </si>
  <si>
    <t>mkorosy@audubon.org</t>
  </si>
  <si>
    <t>60 deg, partly cloudy, wind est. NNW 10-12 mph; birds all on leeward side of island</t>
  </si>
  <si>
    <t>N 28.05177</t>
  </si>
  <si>
    <t>W 082.81603</t>
  </si>
  <si>
    <t>N 28.01948</t>
  </si>
  <si>
    <t>W 082.82685</t>
  </si>
  <si>
    <t>kevinwchristman@gmail.com</t>
  </si>
  <si>
    <t>Light east breeze (less than 5mph), near high tide rising, wet wrack present - sparse, water was calm, 100% sun, 9:25am-11:55am, some beach walkers present during survey</t>
  </si>
  <si>
    <t>Jennifer.Manis@dep.state.fl.us</t>
  </si>
  <si>
    <t xml:space="preserve">Sunny, high tide, 65 F, winds 5-7 mph, people a major factor in flushing of birds.  Survey started on gulf side, then wrapped around island. </t>
  </si>
  <si>
    <t>Fort Desoto East</t>
  </si>
  <si>
    <t>Tom and Lindsay Bell</t>
  </si>
  <si>
    <t>tandl1621@gmail.com</t>
  </si>
  <si>
    <t>data entered by bill brooks</t>
  </si>
  <si>
    <t xml:space="preserve">Pinellas </t>
  </si>
  <si>
    <t>Laura-Marie Koitsch, Matt Davids, David Hopkins</t>
  </si>
  <si>
    <t>thebirdnerd42@gmail.com</t>
  </si>
  <si>
    <t>Volusia</t>
  </si>
  <si>
    <t>hearttoharp@yahoo.com</t>
  </si>
  <si>
    <t>Ponce Inlet North Rockhouse Creek Shoals</t>
  </si>
  <si>
    <t>S.Bell, J.Winters, B.Noel, E.Shaperow</t>
  </si>
  <si>
    <t>sbell@volusia.org</t>
  </si>
  <si>
    <t>data entered by billy brooks</t>
  </si>
  <si>
    <t>get time from this</t>
  </si>
  <si>
    <t>match this with total survey count</t>
  </si>
  <si>
    <t>match it with totoal survey count</t>
  </si>
  <si>
    <t>extract the count of pipl totla it and match it with total survey counts</t>
  </si>
  <si>
    <t>yes keep it</t>
  </si>
  <si>
    <t>totla it and compaere with individual flock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</si>
</sst>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000"/>
    <numFmt numFmtId="166" formatCode="m/d/yyyy\ h:mm:ss"/>
  </numFmts>
  <fonts count="5" x14ac:knownFonts="1">
    <font>
      <sz val="10"/>
      <color rgb="FF000000"/>
      <name val="Arial"/>
    </font>
    <font>
      <sz val="10"/>
      <name val="Arial"/>
      <family val="2"/>
    </font>
    <font>
      <sz val="11"/>
      <color rgb="FF000000"/>
      <name val="Arial"/>
      <family val="2"/>
    </font>
    <font>
      <sz val="11"/>
      <name val="Arial"/>
      <family val="2"/>
    </font>
    <font>
      <sz val="10"/>
      <color rgb="FF000000"/>
      <name val="Arial"/>
      <family val="2"/>
    </font>
  </fonts>
  <fills count="8">
    <fill>
      <patternFill patternType="none"/>
    </fill>
    <fill>
      <patternFill patternType="gray125"/>
    </fill>
    <fill>
      <patternFill patternType="solid">
        <fgColor rgb="FFC9DAF8"/>
        <bgColor rgb="FFC9DAF8"/>
      </patternFill>
    </fill>
    <fill>
      <patternFill patternType="solid">
        <fgColor rgb="FFFFF2CC"/>
        <bgColor rgb="FFFFF2CC"/>
      </patternFill>
    </fill>
    <fill>
      <patternFill patternType="solid">
        <fgColor rgb="FFFFFF99"/>
        <bgColor rgb="FFFFFF99"/>
      </patternFill>
    </fill>
    <fill>
      <patternFill patternType="solid">
        <fgColor rgb="FFFFCC99"/>
        <bgColor rgb="FFFFCC99"/>
      </patternFill>
    </fill>
    <fill>
      <patternFill patternType="solid">
        <fgColor rgb="FFCCFFFF"/>
        <bgColor rgb="FFCCFFFF"/>
      </patternFill>
    </fill>
    <fill>
      <patternFill patternType="solid">
        <fgColor rgb="FFDDDDDD"/>
        <bgColor rgb="FFDDDDDD"/>
      </patternFill>
    </fill>
  </fills>
  <borders count="1">
    <border>
      <left/>
      <right/>
      <top/>
      <bottom/>
      <diagonal/>
    </border>
  </borders>
  <cellStyleXfs count="1">
    <xf numFmtId="0" fontId="0" fillId="0" borderId="0"/>
  </cellStyleXfs>
  <cellXfs count="20">
    <xf numFmtId="0" fontId="0" fillId="0" borderId="0" xfId="0" applyAlignment="1">
      <alignment wrapText="1"/>
    </xf>
    <xf numFmtId="0" fontId="2" fillId="3" borderId="0" xfId="0" applyFont="1" applyFill="1" applyAlignment="1">
      <alignment wrapText="1"/>
    </xf>
    <xf numFmtId="0" fontId="3" fillId="3" borderId="0" xfId="0" applyFont="1" applyFill="1" applyAlignment="1">
      <alignment wrapText="1"/>
    </xf>
    <xf numFmtId="0" fontId="1" fillId="0" borderId="0" xfId="0" applyFont="1" applyAlignment="1">
      <alignment wrapText="1"/>
    </xf>
    <xf numFmtId="14" fontId="4" fillId="0" borderId="0" xfId="0" applyNumberFormat="1" applyFont="1" applyAlignment="1">
      <alignment wrapText="1"/>
    </xf>
    <xf numFmtId="0" fontId="4" fillId="0" borderId="0" xfId="0" applyFont="1" applyAlignment="1">
      <alignment wrapText="1"/>
    </xf>
    <xf numFmtId="0" fontId="2" fillId="4" borderId="0" xfId="0" applyFont="1" applyFill="1" applyAlignment="1">
      <alignment wrapText="1"/>
    </xf>
    <xf numFmtId="3" fontId="2" fillId="5" borderId="0" xfId="0" applyNumberFormat="1" applyFont="1" applyFill="1" applyAlignment="1">
      <alignment wrapText="1"/>
    </xf>
    <xf numFmtId="0" fontId="2" fillId="6" borderId="0" xfId="0" applyFont="1" applyFill="1" applyAlignment="1">
      <alignment wrapText="1"/>
    </xf>
    <xf numFmtId="0" fontId="2" fillId="7" borderId="0" xfId="0" applyFont="1" applyFill="1" applyAlignment="1">
      <alignment wrapText="1"/>
    </xf>
    <xf numFmtId="165" fontId="4" fillId="0" borderId="0" xfId="0" applyNumberFormat="1" applyFont="1" applyAlignment="1">
      <alignment wrapText="1"/>
    </xf>
    <xf numFmtId="14" fontId="1" fillId="0" borderId="0" xfId="0" applyNumberFormat="1" applyFont="1" applyAlignment="1">
      <alignment wrapText="1"/>
    </xf>
    <xf numFmtId="21" fontId="1" fillId="0" borderId="0" xfId="0" applyNumberFormat="1" applyFont="1" applyAlignment="1">
      <alignment wrapText="1"/>
    </xf>
    <xf numFmtId="166" fontId="4" fillId="0" borderId="0" xfId="0" applyNumberFormat="1" applyFont="1" applyAlignment="1">
      <alignment wrapText="1"/>
    </xf>
    <xf numFmtId="21" fontId="4" fillId="0" borderId="0" xfId="0" applyNumberFormat="1" applyFont="1" applyAlignment="1">
      <alignment wrapText="1"/>
    </xf>
    <xf numFmtId="0" fontId="4" fillId="0" borderId="0" xfId="0" applyFont="1"/>
    <xf numFmtId="3" fontId="2" fillId="7" borderId="0" xfId="0" applyNumberFormat="1" applyFont="1" applyFill="1" applyAlignment="1">
      <alignment wrapText="1"/>
    </xf>
    <xf numFmtId="0" fontId="0" fillId="0" borderId="0" xfId="0"/>
    <xf numFmtId="0" fontId="1" fillId="2" borderId="0" xfId="0" applyFont="1" applyFill="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M272"/>
  <sheetViews>
    <sheetView tabSelected="1" workbookViewId="0">
      <pane xSplit="1" ySplit="3" topLeftCell="B4" activePane="bottomRight" state="frozen"/>
      <selection activeCell="E7" sqref="E7"/>
      <selection pane="topRight" activeCell="E7" sqref="E7"/>
      <selection pane="bottomLeft" activeCell="E7" sqref="E7"/>
      <selection pane="bottomRight" activeCell="G11" sqref="G11"/>
    </sheetView>
  </sheetViews>
  <sheetFormatPr baseColWidth="10" defaultColWidth="14.5" defaultRowHeight="12.75" customHeight="1" x14ac:dyDescent="0.15"/>
  <cols>
    <col min="1" max="1" width="27" style="17" customWidth="1"/>
    <col min="2" max="2" width="17" style="17" customWidth="1"/>
    <col min="3" max="3" width="15" style="17" customWidth="1"/>
    <col min="4" max="4" width="15.6640625" style="17" customWidth="1"/>
    <col min="5" max="5" width="14.1640625" style="17" customWidth="1"/>
    <col min="6" max="6" width="15.1640625" style="17" customWidth="1"/>
    <col min="7" max="7" width="30" style="17" customWidth="1"/>
    <col min="8" max="8" width="27" style="17" customWidth="1"/>
    <col min="9" max="9" width="10.33203125" style="17" customWidth="1"/>
    <col min="10" max="64" width="17.33203125" style="17" customWidth="1"/>
    <col min="65" max="65" width="47.5" style="17" customWidth="1"/>
  </cols>
  <sheetData>
    <row r="1" spans="1:13" ht="12.75" customHeight="1" x14ac:dyDescent="0.15">
      <c r="J1" s="15" t="s">
        <v>321</v>
      </c>
      <c r="K1" s="15" t="s">
        <v>326</v>
      </c>
    </row>
    <row r="2" spans="1:13" ht="32.25" customHeight="1" x14ac:dyDescent="0.15">
      <c r="A2" s="6" t="s">
        <v>2</v>
      </c>
      <c r="B2" s="6" t="s">
        <v>201</v>
      </c>
      <c r="C2" s="6" t="s">
        <v>202</v>
      </c>
      <c r="D2" s="6" t="s">
        <v>203</v>
      </c>
      <c r="E2" s="6" t="s">
        <v>204</v>
      </c>
      <c r="F2" s="6" t="s">
        <v>205</v>
      </c>
      <c r="G2" s="6" t="s">
        <v>206</v>
      </c>
      <c r="H2" s="6" t="s">
        <v>207</v>
      </c>
      <c r="I2" s="6" t="s">
        <v>1</v>
      </c>
      <c r="J2" s="6" t="s">
        <v>208</v>
      </c>
      <c r="K2" s="6" t="s">
        <v>149</v>
      </c>
      <c r="L2" s="7" t="s">
        <v>209</v>
      </c>
      <c r="M2" s="8" t="s">
        <v>210</v>
      </c>
    </row>
    <row r="3" spans="1:13" ht="15" customHeight="1" x14ac:dyDescent="0.15">
      <c r="A3" s="5" t="s">
        <v>211</v>
      </c>
      <c r="B3" s="5" t="s">
        <v>212</v>
      </c>
      <c r="C3" s="5">
        <v>30.05293</v>
      </c>
      <c r="D3" s="5">
        <v>-85.600629999999995</v>
      </c>
      <c r="E3" s="5">
        <v>30.00038</v>
      </c>
      <c r="F3" s="5">
        <v>-85.530079999999998</v>
      </c>
      <c r="G3" s="5" t="s">
        <v>213</v>
      </c>
      <c r="H3" s="5" t="s">
        <v>214</v>
      </c>
      <c r="I3" s="4">
        <v>41679</v>
      </c>
      <c r="J3" s="14">
        <v>0.37152777777777779</v>
      </c>
      <c r="K3" s="5">
        <v>8</v>
      </c>
      <c r="L3" s="9">
        <f>SUM(K8:BK8)</f>
        <v>5</v>
      </c>
    </row>
    <row r="4" spans="1:13" ht="15" customHeight="1" x14ac:dyDescent="0.15">
      <c r="A4" s="5" t="s">
        <v>215</v>
      </c>
      <c r="B4" s="5" t="s">
        <v>212</v>
      </c>
      <c r="C4" s="5">
        <v>30.05293</v>
      </c>
      <c r="D4" s="5">
        <v>-85.600629999999995</v>
      </c>
      <c r="E4" s="5">
        <v>30.088940000000001</v>
      </c>
      <c r="F4" s="5">
        <v>-85.678719999999998</v>
      </c>
      <c r="G4" s="5" t="s">
        <v>216</v>
      </c>
      <c r="H4" s="5" t="s">
        <v>217</v>
      </c>
      <c r="I4" s="4">
        <v>41677</v>
      </c>
      <c r="J4" s="14">
        <v>0.39930555555555558</v>
      </c>
      <c r="K4" s="3">
        <v>11</v>
      </c>
      <c r="L4" s="9">
        <f>SUM(K9:BK9)</f>
        <v>9</v>
      </c>
      <c r="M4" s="5"/>
    </row>
    <row r="5" spans="1:13" ht="15" customHeight="1" x14ac:dyDescent="0.15">
      <c r="A5" s="5" t="s">
        <v>218</v>
      </c>
      <c r="B5" s="5" t="s">
        <v>219</v>
      </c>
      <c r="C5" s="5">
        <v>26.019500000000001</v>
      </c>
      <c r="D5" s="5">
        <v>-80.115499999999997</v>
      </c>
      <c r="E5" s="5">
        <v>26.051200000000001</v>
      </c>
      <c r="F5" s="5">
        <v>-80.112300000000005</v>
      </c>
      <c r="G5" s="5" t="s">
        <v>220</v>
      </c>
      <c r="H5" s="5" t="s">
        <v>221</v>
      </c>
      <c r="I5" s="4">
        <v>41679</v>
      </c>
      <c r="J5" s="14">
        <v>0.375</v>
      </c>
      <c r="K5" s="5">
        <v>1</v>
      </c>
      <c r="L5" s="9">
        <f>SUM(K21:BK21)</f>
        <v>10</v>
      </c>
      <c r="M5" s="3" t="s">
        <v>222</v>
      </c>
    </row>
    <row r="6" spans="1:13" ht="14.25" customHeight="1" x14ac:dyDescent="0.15">
      <c r="A6" s="5" t="s">
        <v>103</v>
      </c>
      <c r="B6" s="5" t="s">
        <v>223</v>
      </c>
      <c r="C6" s="5">
        <v>25.901389999999999</v>
      </c>
      <c r="D6" s="5">
        <v>-81.715789000000001</v>
      </c>
      <c r="E6" s="5">
        <v>25.871003999999999</v>
      </c>
      <c r="F6" s="5">
        <v>-81.696949000000004</v>
      </c>
      <c r="G6" s="5" t="s">
        <v>104</v>
      </c>
      <c r="H6" s="5" t="s">
        <v>224</v>
      </c>
      <c r="I6" s="4">
        <v>41680</v>
      </c>
      <c r="J6" s="14">
        <v>0.44791666666666669</v>
      </c>
      <c r="K6" s="5">
        <v>4</v>
      </c>
      <c r="L6" s="9">
        <f>SUM(K36:BK36)</f>
        <v>14</v>
      </c>
      <c r="M6" s="5" t="s">
        <v>225</v>
      </c>
    </row>
    <row r="7" spans="1:13" ht="25.5" customHeight="1" x14ac:dyDescent="0.15">
      <c r="A7" s="5" t="s">
        <v>128</v>
      </c>
      <c r="B7" s="5" t="s">
        <v>223</v>
      </c>
      <c r="C7" s="5">
        <v>25.870115999999999</v>
      </c>
      <c r="D7" s="5">
        <v>-81.696884999999995</v>
      </c>
      <c r="E7" s="5">
        <v>25.844512000000002</v>
      </c>
      <c r="F7" s="5" t="s">
        <v>226</v>
      </c>
      <c r="G7" s="5" t="s">
        <v>104</v>
      </c>
      <c r="H7" s="5" t="s">
        <v>224</v>
      </c>
      <c r="I7" s="4">
        <v>41680</v>
      </c>
      <c r="J7" s="14">
        <v>0.52083333333333337</v>
      </c>
      <c r="K7" s="3">
        <v>9</v>
      </c>
      <c r="L7" s="9">
        <f>SUM(K37:BK37)</f>
        <v>5</v>
      </c>
      <c r="M7" s="5" t="s">
        <v>227</v>
      </c>
    </row>
    <row r="8" spans="1:13" ht="57" customHeight="1" x14ac:dyDescent="0.15">
      <c r="A8" s="3" t="s">
        <v>155</v>
      </c>
      <c r="B8" s="3" t="s">
        <v>223</v>
      </c>
      <c r="C8" s="3">
        <v>25.947600000000001</v>
      </c>
      <c r="D8" s="3">
        <v>-81.744029999999995</v>
      </c>
      <c r="E8" s="3">
        <v>25.96808</v>
      </c>
      <c r="F8" s="3">
        <v>-81.745159999999998</v>
      </c>
      <c r="G8" s="3" t="s">
        <v>156</v>
      </c>
      <c r="H8" s="3" t="s">
        <v>228</v>
      </c>
      <c r="I8" s="11">
        <v>41680</v>
      </c>
      <c r="J8" s="12">
        <v>0.41666666666666669</v>
      </c>
      <c r="K8" s="3">
        <v>5</v>
      </c>
      <c r="L8" s="16">
        <f>SUM(K40:BK40)</f>
        <v>0</v>
      </c>
      <c r="M8" s="3" t="s">
        <v>229</v>
      </c>
    </row>
    <row r="9" spans="1:13" ht="25.5" customHeight="1" x14ac:dyDescent="0.15">
      <c r="A9" s="3" t="s">
        <v>77</v>
      </c>
      <c r="B9" s="3" t="s">
        <v>230</v>
      </c>
      <c r="C9" s="3">
        <v>30.2546</v>
      </c>
      <c r="D9" s="3">
        <v>-81.243600000000001</v>
      </c>
      <c r="E9" s="3">
        <v>30.291599999999999</v>
      </c>
      <c r="F9" s="3">
        <v>-81.245000000000005</v>
      </c>
      <c r="G9" s="5" t="s">
        <v>231</v>
      </c>
      <c r="H9" s="5" t="s">
        <v>232</v>
      </c>
      <c r="I9" s="11">
        <v>41681</v>
      </c>
      <c r="J9" s="12">
        <v>0.47083333333333333</v>
      </c>
      <c r="K9" s="3">
        <v>9</v>
      </c>
      <c r="L9" s="9">
        <f>SUM(K42:BK42)</f>
        <v>0</v>
      </c>
    </row>
    <row r="10" spans="1:13" ht="25.5" customHeight="1" x14ac:dyDescent="0.15">
      <c r="A10" s="5" t="s">
        <v>54</v>
      </c>
      <c r="B10" s="5" t="s">
        <v>233</v>
      </c>
      <c r="C10" s="10">
        <v>30.374554</v>
      </c>
      <c r="D10" s="5">
        <v>-86.918619000000007</v>
      </c>
      <c r="E10" s="10">
        <v>30.357776999999999</v>
      </c>
      <c r="F10" s="5">
        <v>-87.043330999999995</v>
      </c>
      <c r="G10" s="5" t="s">
        <v>55</v>
      </c>
      <c r="H10" s="5" t="s">
        <v>234</v>
      </c>
      <c r="I10" s="4">
        <v>41680</v>
      </c>
      <c r="J10" s="14">
        <v>0.58680555555555558</v>
      </c>
      <c r="K10" s="5">
        <v>15</v>
      </c>
      <c r="L10" s="9">
        <f>SUM(K54:BK54)</f>
        <v>0</v>
      </c>
      <c r="M10" s="5" t="s">
        <v>235</v>
      </c>
    </row>
    <row r="11" spans="1:13" ht="25.5" customHeight="1" x14ac:dyDescent="0.15">
      <c r="A11" s="5" t="s">
        <v>11</v>
      </c>
      <c r="B11" s="5" t="s">
        <v>236</v>
      </c>
      <c r="C11" s="5">
        <v>29.904720000000001</v>
      </c>
      <c r="D11" s="5">
        <v>-84.424149999999997</v>
      </c>
      <c r="E11" s="5">
        <v>29.91891</v>
      </c>
      <c r="F11" s="5">
        <v>-84.44135</v>
      </c>
      <c r="G11" s="5" t="s">
        <v>12</v>
      </c>
      <c r="H11" s="5" t="s">
        <v>237</v>
      </c>
      <c r="I11" s="4">
        <v>41677</v>
      </c>
      <c r="J11" s="14">
        <v>0.40625</v>
      </c>
      <c r="K11" s="5">
        <v>5</v>
      </c>
      <c r="L11" s="9">
        <f>SUM(K70:BK70)</f>
        <v>0</v>
      </c>
      <c r="M11" s="5" t="s">
        <v>238</v>
      </c>
    </row>
    <row r="12" spans="1:13" ht="25.5" customHeight="1" x14ac:dyDescent="0.15">
      <c r="A12" s="5" t="s">
        <v>64</v>
      </c>
      <c r="B12" s="5" t="s">
        <v>236</v>
      </c>
      <c r="C12" s="5">
        <v>29.682649999999999</v>
      </c>
      <c r="D12" s="5">
        <v>-84.796430000000001</v>
      </c>
      <c r="E12" s="5">
        <v>29.772469999999998</v>
      </c>
      <c r="F12" s="5">
        <v>-84.694289999999995</v>
      </c>
      <c r="G12" s="5" t="s">
        <v>65</v>
      </c>
      <c r="H12" s="5" t="s">
        <v>239</v>
      </c>
      <c r="I12" s="4">
        <v>41681</v>
      </c>
      <c r="J12" s="14">
        <v>0.49027777777777781</v>
      </c>
      <c r="K12" s="3">
        <v>11</v>
      </c>
      <c r="L12" s="9">
        <f>SUM(K71:BK71)</f>
        <v>0</v>
      </c>
      <c r="M12" s="5"/>
    </row>
    <row r="13" spans="1:13" ht="25.5" customHeight="1" x14ac:dyDescent="0.15">
      <c r="A13" s="3" t="s">
        <v>240</v>
      </c>
      <c r="B13" s="3" t="s">
        <v>236</v>
      </c>
      <c r="C13" s="3">
        <v>29.832211999999998</v>
      </c>
      <c r="D13" s="3">
        <v>-84.573656</v>
      </c>
      <c r="E13" s="3">
        <v>29.782859999999999</v>
      </c>
      <c r="F13" s="3">
        <v>-84.674449999999993</v>
      </c>
      <c r="G13" s="3" t="s">
        <v>166</v>
      </c>
      <c r="H13" s="3" t="s">
        <v>241</v>
      </c>
      <c r="I13" s="11">
        <v>41677</v>
      </c>
      <c r="J13" s="12">
        <v>0.47847222222222219</v>
      </c>
      <c r="K13" s="3">
        <v>6</v>
      </c>
      <c r="L13" s="9">
        <f>SUM(K73:BK73)</f>
        <v>0</v>
      </c>
      <c r="M13" s="3" t="s">
        <v>242</v>
      </c>
    </row>
    <row r="14" spans="1:13" ht="28.5" customHeight="1" x14ac:dyDescent="0.15">
      <c r="A14" s="5" t="s">
        <v>130</v>
      </c>
      <c r="B14" s="5" t="s">
        <v>243</v>
      </c>
      <c r="C14" s="5">
        <v>29.759239999999998</v>
      </c>
      <c r="D14" s="5">
        <v>-85.40343</v>
      </c>
      <c r="E14" s="5">
        <v>29.877839999999999</v>
      </c>
      <c r="F14" s="5">
        <v>-85.384069999999994</v>
      </c>
      <c r="G14" s="5" t="s">
        <v>244</v>
      </c>
      <c r="H14" s="5" t="s">
        <v>245</v>
      </c>
      <c r="I14" s="4">
        <v>41683</v>
      </c>
      <c r="J14" s="14">
        <v>1011</v>
      </c>
      <c r="K14" s="3">
        <v>6</v>
      </c>
      <c r="L14" s="9">
        <f>SUM(K76:BK76)</f>
        <v>0</v>
      </c>
      <c r="M14" s="5"/>
    </row>
    <row r="15" spans="1:13" ht="25.5" customHeight="1" x14ac:dyDescent="0.15">
      <c r="A15" s="3" t="s">
        <v>151</v>
      </c>
      <c r="B15" s="3" t="s">
        <v>243</v>
      </c>
      <c r="C15" s="3">
        <v>29.6831</v>
      </c>
      <c r="D15" s="3">
        <v>-85.222309999999993</v>
      </c>
      <c r="E15" s="3">
        <v>29.675799999999999</v>
      </c>
      <c r="F15" s="3">
        <v>-85.33372</v>
      </c>
      <c r="G15" s="3" t="s">
        <v>152</v>
      </c>
      <c r="H15" s="3" t="s">
        <v>246</v>
      </c>
      <c r="I15" s="11">
        <v>41679</v>
      </c>
      <c r="J15" s="12">
        <v>0.35416666666666669</v>
      </c>
      <c r="K15" s="3">
        <v>9</v>
      </c>
      <c r="L15" s="9">
        <f>SUM(K77:BK77)</f>
        <v>0</v>
      </c>
      <c r="M15" s="3" t="s">
        <v>247</v>
      </c>
    </row>
    <row r="16" spans="1:13" ht="14.25" customHeight="1" x14ac:dyDescent="0.15">
      <c r="A16" s="5" t="s">
        <v>248</v>
      </c>
      <c r="B16" s="5" t="s">
        <v>249</v>
      </c>
      <c r="C16" s="5" t="s">
        <v>250</v>
      </c>
      <c r="D16" s="5" t="s">
        <v>251</v>
      </c>
      <c r="E16" s="5" t="s">
        <v>250</v>
      </c>
      <c r="F16" s="5" t="s">
        <v>251</v>
      </c>
      <c r="G16" s="5" t="s">
        <v>252</v>
      </c>
      <c r="H16" s="5" t="s">
        <v>253</v>
      </c>
      <c r="I16" s="4">
        <v>41683</v>
      </c>
      <c r="J16" s="14">
        <v>0.34375</v>
      </c>
      <c r="K16" s="5">
        <v>3</v>
      </c>
      <c r="L16" s="9">
        <f>SUM(K92:BK92)</f>
        <v>0</v>
      </c>
      <c r="M16" s="3" t="s">
        <v>254</v>
      </c>
    </row>
    <row r="17" spans="1:13" ht="14.25" customHeight="1" x14ac:dyDescent="0.15">
      <c r="A17" s="3" t="s">
        <v>179</v>
      </c>
      <c r="B17" s="3" t="s">
        <v>255</v>
      </c>
      <c r="C17" s="3">
        <v>26.684349999999998</v>
      </c>
      <c r="D17" s="3">
        <v>-82.261420000000001</v>
      </c>
      <c r="E17" s="3">
        <v>26.669090000000001</v>
      </c>
      <c r="F17" s="3">
        <v>-82.25515</v>
      </c>
      <c r="G17" s="3" t="s">
        <v>256</v>
      </c>
      <c r="H17" s="3" t="s">
        <v>257</v>
      </c>
      <c r="I17" s="11">
        <v>41678</v>
      </c>
      <c r="J17" s="3" t="s">
        <v>258</v>
      </c>
      <c r="K17" s="3">
        <v>1</v>
      </c>
      <c r="L17" s="9">
        <f>SUM(K109:BK109)</f>
        <v>0</v>
      </c>
      <c r="M17" s="3" t="s">
        <v>259</v>
      </c>
    </row>
    <row r="18" spans="1:13" ht="25.5" customHeight="1" x14ac:dyDescent="0.15">
      <c r="A18" s="3" t="s">
        <v>183</v>
      </c>
      <c r="B18" s="3" t="s">
        <v>255</v>
      </c>
      <c r="C18" s="3">
        <v>26.669090000000001</v>
      </c>
      <c r="D18" s="3">
        <v>-82.25515</v>
      </c>
      <c r="E18" s="3">
        <v>26.635149999999999</v>
      </c>
      <c r="F18" s="3">
        <v>-82.232470000000006</v>
      </c>
      <c r="G18" s="3" t="s">
        <v>260</v>
      </c>
      <c r="H18" s="3" t="s">
        <v>261</v>
      </c>
      <c r="I18" s="11">
        <v>41678</v>
      </c>
      <c r="J18" s="12">
        <v>0.35416666666666669</v>
      </c>
      <c r="K18" s="3">
        <v>2</v>
      </c>
      <c r="L18" s="9">
        <f>SUM(K110:BK110)</f>
        <v>0</v>
      </c>
      <c r="M18" s="3" t="s">
        <v>262</v>
      </c>
    </row>
    <row r="19" spans="1:13" ht="25.5" customHeight="1" x14ac:dyDescent="0.15">
      <c r="A19" s="3" t="s">
        <v>188</v>
      </c>
      <c r="B19" s="3" t="s">
        <v>255</v>
      </c>
      <c r="C19" s="3">
        <v>26.635149999999999</v>
      </c>
      <c r="D19" s="3">
        <v>-82.232470000000006</v>
      </c>
      <c r="E19" s="3">
        <v>26.613287</v>
      </c>
      <c r="F19" s="3">
        <v>-82.222590999999994</v>
      </c>
      <c r="G19" s="3" t="s">
        <v>260</v>
      </c>
      <c r="H19" s="3" t="s">
        <v>261</v>
      </c>
      <c r="I19" s="11">
        <v>41678</v>
      </c>
      <c r="J19" s="12">
        <v>0.5</v>
      </c>
      <c r="K19" s="3">
        <v>6</v>
      </c>
      <c r="L19" s="9">
        <f>SUM(K111:BK111)</f>
        <v>0</v>
      </c>
      <c r="M19" s="3" t="s">
        <v>259</v>
      </c>
    </row>
    <row r="20" spans="1:13" ht="63.75" customHeight="1" x14ac:dyDescent="0.15">
      <c r="A20" s="3" t="s">
        <v>176</v>
      </c>
      <c r="B20" s="3" t="s">
        <v>255</v>
      </c>
      <c r="C20" s="3">
        <v>26.412510999999999</v>
      </c>
      <c r="D20" s="3">
        <v>-81.904492000000005</v>
      </c>
      <c r="E20" s="3">
        <v>26.403593999999998</v>
      </c>
      <c r="F20" s="3">
        <v>-81.883377999999993</v>
      </c>
      <c r="G20" s="3" t="s">
        <v>263</v>
      </c>
      <c r="H20" s="3" t="s">
        <v>257</v>
      </c>
      <c r="I20" s="11">
        <v>41680</v>
      </c>
      <c r="J20" s="12">
        <v>0.66666666666666663</v>
      </c>
      <c r="K20" s="3">
        <v>8</v>
      </c>
      <c r="L20" s="9">
        <f>SUM(K112:BK112)</f>
        <v>0</v>
      </c>
      <c r="M20" s="3" t="s">
        <v>264</v>
      </c>
    </row>
    <row r="21" spans="1:13" ht="15" customHeight="1" x14ac:dyDescent="0.15">
      <c r="A21" s="3" t="s">
        <v>265</v>
      </c>
      <c r="B21" s="3" t="s">
        <v>255</v>
      </c>
      <c r="C21" s="3">
        <v>26.479676999999999</v>
      </c>
      <c r="D21" s="3">
        <v>-81.982684000000006</v>
      </c>
      <c r="E21" s="3">
        <v>26.467461</v>
      </c>
      <c r="F21" s="3">
        <v>-81.956676999999999</v>
      </c>
      <c r="G21" s="3" t="s">
        <v>191</v>
      </c>
      <c r="H21" s="3" t="s">
        <v>257</v>
      </c>
      <c r="I21" s="11">
        <v>41685</v>
      </c>
      <c r="J21" s="12">
        <v>0.33333333333333331</v>
      </c>
      <c r="K21" s="3">
        <v>10</v>
      </c>
      <c r="L21" s="9">
        <f>SUM(K115:BK115)</f>
        <v>0</v>
      </c>
      <c r="M21" s="3" t="s">
        <v>266</v>
      </c>
    </row>
    <row r="22" spans="1:13" ht="38.25" customHeight="1" x14ac:dyDescent="0.15">
      <c r="A22" s="3" t="s">
        <v>267</v>
      </c>
      <c r="B22" s="3" t="s">
        <v>255</v>
      </c>
      <c r="C22" s="3" t="s">
        <v>268</v>
      </c>
      <c r="D22" s="3" t="s">
        <v>268</v>
      </c>
      <c r="E22" s="3">
        <v>26.402168</v>
      </c>
      <c r="F22" s="3">
        <v>-81.888474000000002</v>
      </c>
      <c r="G22" s="3" t="s">
        <v>269</v>
      </c>
      <c r="H22" s="3" t="s">
        <v>270</v>
      </c>
      <c r="I22" s="3" t="s">
        <v>268</v>
      </c>
      <c r="J22" s="3" t="s">
        <v>268</v>
      </c>
      <c r="K22" s="3">
        <v>2</v>
      </c>
      <c r="L22" s="9">
        <f>SUM(K117:BK117)</f>
        <v>0</v>
      </c>
      <c r="M22" s="3" t="s">
        <v>271</v>
      </c>
    </row>
    <row r="23" spans="1:13" ht="25.5" customHeight="1" x14ac:dyDescent="0.15">
      <c r="A23" s="3" t="s">
        <v>272</v>
      </c>
      <c r="B23" s="3" t="s">
        <v>273</v>
      </c>
      <c r="C23" s="3">
        <v>29.187618000000001</v>
      </c>
      <c r="D23" s="3">
        <v>-83.070696999999996</v>
      </c>
      <c r="E23" s="3">
        <v>29.132010999999999</v>
      </c>
      <c r="F23" s="3">
        <v>-83.047786000000002</v>
      </c>
      <c r="G23" s="3" t="s">
        <v>274</v>
      </c>
      <c r="H23" s="3" t="s">
        <v>275</v>
      </c>
      <c r="I23" s="11">
        <v>41684</v>
      </c>
      <c r="J23" s="12">
        <v>0.45833333333333331</v>
      </c>
      <c r="K23" s="3">
        <v>3</v>
      </c>
      <c r="L23" s="9">
        <f>SUM(K118:BK118)</f>
        <v>0</v>
      </c>
      <c r="M23" s="3" t="s">
        <v>276</v>
      </c>
    </row>
    <row r="24" spans="1:13" ht="25.5" customHeight="1" x14ac:dyDescent="0.15">
      <c r="A24" s="5" t="s">
        <v>60</v>
      </c>
      <c r="B24" s="5" t="s">
        <v>277</v>
      </c>
      <c r="C24" s="5">
        <v>27.53782</v>
      </c>
      <c r="D24" s="5">
        <v>-82.739909999999995</v>
      </c>
      <c r="E24" s="5">
        <v>27.444310000000002</v>
      </c>
      <c r="F24" s="10">
        <v>-82.690950000000001</v>
      </c>
      <c r="G24" s="5" t="s">
        <v>61</v>
      </c>
      <c r="H24" s="5" t="s">
        <v>278</v>
      </c>
      <c r="I24" s="4">
        <v>41679</v>
      </c>
      <c r="J24" s="14">
        <v>0.375</v>
      </c>
      <c r="K24" s="5">
        <v>2</v>
      </c>
      <c r="L24" s="9">
        <f>SUM(K121:BK121)</f>
        <v>0</v>
      </c>
      <c r="M24" s="3" t="s">
        <v>279</v>
      </c>
    </row>
    <row r="25" spans="1:13" ht="14.25" customHeight="1" x14ac:dyDescent="0.15">
      <c r="A25" s="3" t="s">
        <v>125</v>
      </c>
      <c r="B25" s="3" t="s">
        <v>280</v>
      </c>
      <c r="C25" s="3">
        <v>27.25975</v>
      </c>
      <c r="D25" s="3">
        <v>-80.211160000000007</v>
      </c>
      <c r="E25" s="3">
        <v>27.166982999999998</v>
      </c>
      <c r="F25" s="3">
        <v>-80.187529999999995</v>
      </c>
      <c r="G25" s="3" t="s">
        <v>126</v>
      </c>
      <c r="H25" s="3" t="s">
        <v>228</v>
      </c>
      <c r="I25" s="11">
        <v>41682</v>
      </c>
      <c r="J25" s="12">
        <v>0.42708333333333331</v>
      </c>
      <c r="K25" s="3">
        <v>1</v>
      </c>
      <c r="L25" s="9">
        <f>SUM(K124:BK124)</f>
        <v>0</v>
      </c>
      <c r="M25" s="3" t="s">
        <v>281</v>
      </c>
    </row>
    <row r="26" spans="1:13" ht="25.5" customHeight="1" x14ac:dyDescent="0.15">
      <c r="A26" s="5" t="s">
        <v>147</v>
      </c>
      <c r="B26" s="3" t="s">
        <v>280</v>
      </c>
      <c r="C26" s="3">
        <v>27.086386999999998</v>
      </c>
      <c r="D26" s="3">
        <v>-80.124793999999994</v>
      </c>
      <c r="E26" s="3">
        <v>27.130727</v>
      </c>
      <c r="F26" s="3">
        <v>-80.145131000000006</v>
      </c>
      <c r="G26" s="3" t="s">
        <v>148</v>
      </c>
      <c r="H26" s="3" t="s">
        <v>282</v>
      </c>
      <c r="I26" s="11">
        <v>41686</v>
      </c>
      <c r="J26" s="12">
        <v>0.34930555555555548</v>
      </c>
      <c r="K26" s="3">
        <v>1</v>
      </c>
      <c r="L26" s="9">
        <f>SUM(K125:BK125)</f>
        <v>0</v>
      </c>
      <c r="M26" s="3" t="s">
        <v>283</v>
      </c>
    </row>
    <row r="27" spans="1:13" ht="51" customHeight="1" x14ac:dyDescent="0.15">
      <c r="A27" s="3" t="s">
        <v>194</v>
      </c>
      <c r="B27" s="3" t="s">
        <v>284</v>
      </c>
      <c r="C27" s="3">
        <v>25.699259000000001</v>
      </c>
      <c r="D27" s="3">
        <v>-80.155556000000004</v>
      </c>
      <c r="E27" s="3">
        <v>25.705366999999999</v>
      </c>
      <c r="F27" s="3">
        <v>-80.152371000000002</v>
      </c>
      <c r="G27" s="3" t="s">
        <v>285</v>
      </c>
      <c r="H27" s="3" t="s">
        <v>286</v>
      </c>
      <c r="I27" s="11">
        <v>41682</v>
      </c>
      <c r="J27" s="3">
        <v>740</v>
      </c>
      <c r="K27" s="3">
        <v>37</v>
      </c>
      <c r="L27" s="9">
        <f>SUM(K139:BK139)</f>
        <v>0</v>
      </c>
      <c r="M27" s="3" t="s">
        <v>287</v>
      </c>
    </row>
    <row r="28" spans="1:13" ht="52.5" customHeight="1" x14ac:dyDescent="0.15">
      <c r="A28" s="3" t="s">
        <v>159</v>
      </c>
      <c r="B28" s="3" t="s">
        <v>288</v>
      </c>
      <c r="C28" s="3">
        <v>26.547229999999999</v>
      </c>
      <c r="D28" s="3">
        <v>-80.045249999999996</v>
      </c>
      <c r="E28" s="3">
        <v>26.775649999999999</v>
      </c>
      <c r="F28" s="3">
        <v>-80.042632999999995</v>
      </c>
      <c r="G28" s="3" t="s">
        <v>160</v>
      </c>
      <c r="H28" s="3" t="s">
        <v>228</v>
      </c>
      <c r="I28" s="11">
        <v>41681</v>
      </c>
      <c r="J28" s="12">
        <v>0.5</v>
      </c>
      <c r="K28" s="3">
        <v>3</v>
      </c>
      <c r="L28" s="9">
        <f>SUM(K164:BK164)</f>
        <v>0</v>
      </c>
      <c r="M28" s="3" t="s">
        <v>229</v>
      </c>
    </row>
    <row r="29" spans="1:13" ht="14.25" customHeight="1" x14ac:dyDescent="0.15">
      <c r="A29" s="5" t="s">
        <v>91</v>
      </c>
      <c r="B29" s="5" t="s">
        <v>289</v>
      </c>
      <c r="C29" s="5">
        <v>28.230550000000001</v>
      </c>
      <c r="D29" s="5">
        <v>-82.840369999999993</v>
      </c>
      <c r="E29" s="5">
        <v>28.23565</v>
      </c>
      <c r="F29" s="5">
        <v>-82.835250000000002</v>
      </c>
      <c r="G29" s="5" t="s">
        <v>92</v>
      </c>
      <c r="H29" s="5" t="s">
        <v>290</v>
      </c>
      <c r="I29" s="4">
        <v>41679</v>
      </c>
      <c r="J29" s="14">
        <v>0.37152777777777779</v>
      </c>
      <c r="K29" s="5">
        <v>4</v>
      </c>
      <c r="L29" s="9">
        <f>SUM(K171:BK171)</f>
        <v>0</v>
      </c>
      <c r="M29" s="3" t="s">
        <v>291</v>
      </c>
    </row>
    <row r="30" spans="1:13" ht="25.5" customHeight="1" x14ac:dyDescent="0.15">
      <c r="A30" s="5" t="s">
        <v>41</v>
      </c>
      <c r="B30" s="5" t="s">
        <v>292</v>
      </c>
      <c r="C30" s="3">
        <v>28.213747999999999</v>
      </c>
      <c r="D30" s="3">
        <v>-82.846541999999999</v>
      </c>
      <c r="E30" s="5">
        <v>28.157511</v>
      </c>
      <c r="F30" s="5">
        <v>-82.837485999999998</v>
      </c>
      <c r="G30" s="5" t="s">
        <v>293</v>
      </c>
      <c r="H30" s="5" t="s">
        <v>294</v>
      </c>
      <c r="I30" s="4">
        <v>41679</v>
      </c>
      <c r="J30" s="14">
        <v>0.36458333333333331</v>
      </c>
      <c r="K30" s="5">
        <v>64</v>
      </c>
      <c r="L30" s="9">
        <f>SUM(K172:BK172)</f>
        <v>0</v>
      </c>
      <c r="M30" s="3" t="s">
        <v>295</v>
      </c>
    </row>
    <row r="31" spans="1:13" ht="25.5" customHeight="1" x14ac:dyDescent="0.15">
      <c r="A31" s="5" t="s">
        <v>34</v>
      </c>
      <c r="B31" s="5" t="s">
        <v>296</v>
      </c>
      <c r="C31" s="5">
        <v>28.12181</v>
      </c>
      <c r="D31" s="5">
        <v>-82.83869</v>
      </c>
      <c r="E31" s="5">
        <v>28.131450000000001</v>
      </c>
      <c r="F31" s="5">
        <v>-82.827740000000006</v>
      </c>
      <c r="G31" s="5" t="s">
        <v>297</v>
      </c>
      <c r="H31" s="5" t="s">
        <v>298</v>
      </c>
      <c r="I31" s="4">
        <v>41679</v>
      </c>
      <c r="J31" s="14">
        <v>0.41666666666666669</v>
      </c>
      <c r="K31" s="5">
        <v>7</v>
      </c>
      <c r="L31" s="9">
        <f>SUM(K175:BK175)</f>
        <v>0</v>
      </c>
      <c r="M31" s="3" t="s">
        <v>299</v>
      </c>
    </row>
    <row r="32" spans="1:13" ht="14.25" customHeight="1" x14ac:dyDescent="0.15">
      <c r="A32" s="3" t="s">
        <v>83</v>
      </c>
      <c r="B32" s="3" t="s">
        <v>296</v>
      </c>
      <c r="C32" s="3" t="s">
        <v>300</v>
      </c>
      <c r="D32" s="3" t="s">
        <v>301</v>
      </c>
      <c r="E32" s="3" t="s">
        <v>302</v>
      </c>
      <c r="F32" s="3" t="s">
        <v>303</v>
      </c>
      <c r="G32" s="3" t="s">
        <v>84</v>
      </c>
      <c r="H32" s="3" t="s">
        <v>304</v>
      </c>
      <c r="I32" s="11">
        <v>41679</v>
      </c>
      <c r="J32" s="12">
        <v>0.3923611111111111</v>
      </c>
      <c r="K32" s="3">
        <v>29</v>
      </c>
      <c r="L32" s="9">
        <f>SUM(K181:BK181)</f>
        <v>0</v>
      </c>
      <c r="M32" s="3" t="s">
        <v>305</v>
      </c>
    </row>
    <row r="33" spans="1:13" ht="14.25" customHeight="1" x14ac:dyDescent="0.15">
      <c r="A33" s="3" t="s">
        <v>136</v>
      </c>
      <c r="B33" s="3" t="s">
        <v>296</v>
      </c>
      <c r="C33" s="3">
        <v>28.061516999999998</v>
      </c>
      <c r="D33" s="3">
        <v>-82.830427999999998</v>
      </c>
      <c r="E33" s="3">
        <v>28.091426999999999</v>
      </c>
      <c r="F33" s="3">
        <v>-82.834467000000004</v>
      </c>
      <c r="G33" s="3" t="s">
        <v>137</v>
      </c>
      <c r="H33" s="3" t="s">
        <v>306</v>
      </c>
      <c r="I33" s="11">
        <v>41679</v>
      </c>
      <c r="J33" s="12">
        <v>0.375</v>
      </c>
      <c r="K33" s="3">
        <v>9</v>
      </c>
      <c r="L33" s="9">
        <f>SUM(K182:BK182)</f>
        <v>0</v>
      </c>
      <c r="M33" s="3" t="s">
        <v>307</v>
      </c>
    </row>
    <row r="34" spans="1:13" ht="25.5" customHeight="1" x14ac:dyDescent="0.15">
      <c r="A34" s="3" t="s">
        <v>308</v>
      </c>
      <c r="B34" s="3" t="s">
        <v>296</v>
      </c>
      <c r="C34" s="3">
        <v>27.637329999999999</v>
      </c>
      <c r="D34" s="3">
        <v>-82.698430000000002</v>
      </c>
      <c r="E34" s="3">
        <v>27.616150000000001</v>
      </c>
      <c r="F34" s="3">
        <v>-82.729579999999999</v>
      </c>
      <c r="G34" s="3" t="s">
        <v>309</v>
      </c>
      <c r="H34" s="3" t="s">
        <v>310</v>
      </c>
      <c r="I34" s="11">
        <v>41681</v>
      </c>
      <c r="J34" s="3">
        <v>1540</v>
      </c>
      <c r="K34" s="3">
        <v>2</v>
      </c>
      <c r="L34" s="16"/>
      <c r="M34" s="3" t="s">
        <v>311</v>
      </c>
    </row>
    <row r="35" spans="1:13" ht="25.5" customHeight="1" x14ac:dyDescent="0.15">
      <c r="A35" s="5" t="s">
        <v>17</v>
      </c>
      <c r="B35" s="5" t="s">
        <v>312</v>
      </c>
      <c r="C35" s="5">
        <v>28.105329999999999</v>
      </c>
      <c r="D35" s="5">
        <v>-82.828379999999996</v>
      </c>
      <c r="E35" s="5">
        <v>28.12135</v>
      </c>
      <c r="F35" s="5">
        <v>-82.838719999999995</v>
      </c>
      <c r="G35" s="5" t="s">
        <v>313</v>
      </c>
      <c r="H35" s="5" t="s">
        <v>314</v>
      </c>
      <c r="I35" s="4">
        <v>41679</v>
      </c>
      <c r="J35" s="14">
        <v>0.40625</v>
      </c>
      <c r="K35" s="3">
        <v>28</v>
      </c>
      <c r="L35" s="9">
        <f>SUM(K193:BK193)</f>
        <v>0</v>
      </c>
      <c r="M35" s="5"/>
    </row>
    <row r="36" spans="1:13" ht="34.5" customHeight="1" x14ac:dyDescent="0.15">
      <c r="A36" s="3" t="s">
        <v>162</v>
      </c>
      <c r="B36" s="3" t="s">
        <v>315</v>
      </c>
      <c r="C36" s="3">
        <v>28.929210999999999</v>
      </c>
      <c r="D36" s="3">
        <v>-80.823763999999997</v>
      </c>
      <c r="E36" s="3">
        <v>28.967296999999999</v>
      </c>
      <c r="F36" s="3">
        <v>-80.849903999999995</v>
      </c>
      <c r="G36" s="3" t="s">
        <v>163</v>
      </c>
      <c r="H36" s="3" t="s">
        <v>316</v>
      </c>
      <c r="I36" s="11">
        <v>41684</v>
      </c>
      <c r="J36" s="3">
        <v>800</v>
      </c>
      <c r="K36" s="3">
        <v>14</v>
      </c>
      <c r="L36" s="9">
        <f>SUM(K228:BK228)</f>
        <v>0</v>
      </c>
    </row>
    <row r="37" spans="1:13" ht="26.25" customHeight="1" x14ac:dyDescent="0.15">
      <c r="A37" s="3" t="s">
        <v>317</v>
      </c>
      <c r="B37" s="3" t="s">
        <v>315</v>
      </c>
      <c r="C37" s="3">
        <v>29.066448000000001</v>
      </c>
      <c r="D37" s="3">
        <v>-80.927954</v>
      </c>
      <c r="E37" s="3">
        <v>29.073405999999999</v>
      </c>
      <c r="F37" s="3">
        <v>-80.923984000000004</v>
      </c>
      <c r="G37" s="3" t="s">
        <v>318</v>
      </c>
      <c r="H37" s="3" t="s">
        <v>319</v>
      </c>
      <c r="I37" s="11">
        <v>41684</v>
      </c>
      <c r="J37" s="3">
        <v>1039</v>
      </c>
      <c r="K37" s="3">
        <v>5</v>
      </c>
      <c r="L37" s="16"/>
      <c r="M37" s="3" t="s">
        <v>320</v>
      </c>
    </row>
    <row r="38" spans="1:13" ht="31.5" customHeight="1" x14ac:dyDescent="0.15"/>
    <row r="39" spans="1:13" ht="28.5" customHeight="1" x14ac:dyDescent="0.15"/>
    <row r="40" spans="1:13" ht="25.5" customHeight="1" x14ac:dyDescent="0.15"/>
    <row r="41" spans="1:13" ht="25.5" customHeight="1" x14ac:dyDescent="0.15"/>
    <row r="42" spans="1:13" ht="14.25" customHeight="1" x14ac:dyDescent="0.15"/>
    <row r="43" spans="1:13" ht="25.5" customHeight="1" x14ac:dyDescent="0.15"/>
    <row r="44" spans="1:13" ht="38.25" customHeight="1" x14ac:dyDescent="0.15"/>
    <row r="45" spans="1:13" ht="38.25" customHeight="1" x14ac:dyDescent="0.15"/>
    <row r="46" spans="1:13" ht="38.25" customHeight="1" x14ac:dyDescent="0.15"/>
    <row r="47" spans="1:13" ht="38.25" customHeight="1" x14ac:dyDescent="0.15"/>
    <row r="48" spans="1:13" ht="38.25" customHeight="1" x14ac:dyDescent="0.15"/>
    <row r="49" ht="38.25" customHeight="1" x14ac:dyDescent="0.15"/>
    <row r="50" ht="38.25" customHeight="1" x14ac:dyDescent="0.15"/>
    <row r="51" ht="25.5" customHeight="1" x14ac:dyDescent="0.15"/>
    <row r="52" ht="25.5" customHeight="1" x14ac:dyDescent="0.15"/>
    <row r="53" ht="25.5" customHeight="1" x14ac:dyDescent="0.15"/>
    <row r="54" ht="1.5" customHeight="1" x14ac:dyDescent="0.15"/>
    <row r="55" ht="32.25" customHeight="1" x14ac:dyDescent="0.15"/>
    <row r="56" ht="32.25" customHeight="1" x14ac:dyDescent="0.15"/>
    <row r="57" ht="25.5" customHeight="1" x14ac:dyDescent="0.15"/>
    <row r="58" ht="25.5" customHeight="1" x14ac:dyDescent="0.15"/>
    <row r="59" ht="25.5" customHeight="1" x14ac:dyDescent="0.15"/>
    <row r="60" ht="14.25" customHeight="1" x14ac:dyDescent="0.15"/>
    <row r="61" ht="25.5" customHeight="1" x14ac:dyDescent="0.15"/>
    <row r="62" ht="25.5" customHeight="1" x14ac:dyDescent="0.15"/>
    <row r="63" ht="25.5" customHeight="1" x14ac:dyDescent="0.15"/>
    <row r="64" ht="25.5" customHeight="1" x14ac:dyDescent="0.15"/>
    <row r="65" ht="25.5" customHeight="1" x14ac:dyDescent="0.15"/>
    <row r="66" ht="25.5" customHeight="1" x14ac:dyDescent="0.15"/>
    <row r="67" ht="25.5" customHeight="1" x14ac:dyDescent="0.15"/>
    <row r="68" ht="38.25" customHeight="1" x14ac:dyDescent="0.15"/>
    <row r="69" ht="28.5" customHeight="1" x14ac:dyDescent="0.15"/>
    <row r="70" ht="26.25" customHeight="1" x14ac:dyDescent="0.15"/>
    <row r="71" ht="42" customHeight="1" x14ac:dyDescent="0.15"/>
    <row r="72" ht="32.25" customHeight="1" x14ac:dyDescent="0.15"/>
    <row r="73" ht="25.5" customHeight="1" x14ac:dyDescent="0.15"/>
    <row r="74" ht="25.5" customHeight="1" x14ac:dyDescent="0.15"/>
    <row r="75" ht="25.5" customHeight="1" x14ac:dyDescent="0.15"/>
    <row r="76" ht="39" customHeight="1" x14ac:dyDescent="0.15"/>
    <row r="77" ht="25.5" customHeight="1" x14ac:dyDescent="0.15"/>
    <row r="78" ht="25.5" customHeight="1" x14ac:dyDescent="0.15"/>
    <row r="79" ht="38.25" customHeight="1" x14ac:dyDescent="0.15"/>
    <row r="80" ht="25.5" customHeight="1" x14ac:dyDescent="0.15"/>
    <row r="81" ht="25.5" customHeight="1" x14ac:dyDescent="0.15"/>
    <row r="82" ht="25.5" customHeight="1" x14ac:dyDescent="0.15"/>
    <row r="83" ht="14.25" customHeight="1" x14ac:dyDescent="0.15"/>
    <row r="84" ht="14.25" customHeight="1" x14ac:dyDescent="0.15"/>
    <row r="85" ht="25.5" customHeight="1" x14ac:dyDescent="0.15"/>
    <row r="86" ht="25.5" customHeight="1" x14ac:dyDescent="0.15"/>
    <row r="87" ht="14.25" customHeight="1" x14ac:dyDescent="0.15"/>
    <row r="88" ht="14.25" customHeight="1" x14ac:dyDescent="0.15"/>
    <row r="89" ht="25.5" customHeight="1" x14ac:dyDescent="0.15"/>
    <row r="90" ht="24" customHeight="1" x14ac:dyDescent="0.15"/>
    <row r="91" ht="14.25" customHeight="1" x14ac:dyDescent="0.15"/>
    <row r="92" ht="38.25" customHeight="1" x14ac:dyDescent="0.15"/>
    <row r="93" ht="24.75" customHeight="1" x14ac:dyDescent="0.15"/>
    <row r="94" ht="25.5" customHeight="1" x14ac:dyDescent="0.15"/>
    <row r="95" ht="51" customHeight="1" x14ac:dyDescent="0.15"/>
    <row r="96" ht="25.5" customHeight="1" x14ac:dyDescent="0.15"/>
    <row r="97" ht="14.25" customHeight="1" x14ac:dyDescent="0.15"/>
    <row r="98" ht="14.25" customHeight="1" x14ac:dyDescent="0.15"/>
    <row r="99" ht="14.25" customHeight="1" x14ac:dyDescent="0.15"/>
    <row r="100" ht="14.25" customHeight="1" x14ac:dyDescent="0.15"/>
    <row r="101" ht="14.25" customHeight="1" x14ac:dyDescent="0.15"/>
    <row r="102" ht="14.25" customHeight="1" x14ac:dyDescent="0.15"/>
    <row r="103" ht="14.25" customHeight="1" x14ac:dyDescent="0.15"/>
    <row r="104" ht="14.25" customHeight="1" x14ac:dyDescent="0.15"/>
    <row r="105" ht="14.25" customHeight="1" x14ac:dyDescent="0.15"/>
    <row r="106" ht="14.25" customHeight="1" x14ac:dyDescent="0.15"/>
    <row r="107" ht="25.5" customHeight="1" x14ac:dyDescent="0.15"/>
    <row r="108" ht="14.25" customHeight="1" x14ac:dyDescent="0.15"/>
    <row r="109" ht="14.25" customHeight="1" x14ac:dyDescent="0.15"/>
    <row r="110" ht="25.5" customHeight="1" x14ac:dyDescent="0.15"/>
    <row r="111" ht="25.5" customHeight="1" x14ac:dyDescent="0.15"/>
    <row r="112" ht="14.25" customHeight="1" x14ac:dyDescent="0.15"/>
    <row r="113" ht="14.25" customHeight="1" x14ac:dyDescent="0.15"/>
    <row r="114" ht="14.25" customHeight="1" x14ac:dyDescent="0.15"/>
    <row r="115" ht="25.5" customHeight="1" x14ac:dyDescent="0.15"/>
    <row r="116" ht="14.25" customHeight="1" x14ac:dyDescent="0.15"/>
    <row r="117" ht="25.5" customHeight="1" x14ac:dyDescent="0.15"/>
    <row r="118" ht="25.5" customHeight="1" x14ac:dyDescent="0.15"/>
    <row r="119" ht="25.5" customHeight="1" x14ac:dyDescent="0.15"/>
    <row r="120" ht="38.25" customHeight="1" x14ac:dyDescent="0.15"/>
    <row r="121" ht="28.5" customHeight="1" x14ac:dyDescent="0.15"/>
    <row r="122" ht="14.25" customHeight="1" x14ac:dyDescent="0.15"/>
    <row r="123" ht="1.5" customHeight="1" x14ac:dyDescent="0.15"/>
    <row r="124" ht="25.5" customHeight="1" x14ac:dyDescent="0.15"/>
    <row r="125" ht="16.5" customHeight="1" x14ac:dyDescent="0.15"/>
    <row r="126" ht="25.5" customHeight="1" x14ac:dyDescent="0.15"/>
    <row r="127" ht="25.5" customHeight="1" x14ac:dyDescent="0.15"/>
    <row r="128" ht="25.5" customHeight="1" x14ac:dyDescent="0.15"/>
    <row r="129" ht="36.75" customHeight="1" x14ac:dyDescent="0.15"/>
    <row r="130" ht="30.75" customHeight="1" x14ac:dyDescent="0.15"/>
    <row r="131" ht="38.25" customHeight="1" x14ac:dyDescent="0.15"/>
    <row r="132" ht="42.75" customHeight="1" x14ac:dyDescent="0.15"/>
    <row r="133" ht="42.75" customHeight="1" x14ac:dyDescent="0.15"/>
    <row r="134" ht="23.25" customHeight="1" x14ac:dyDescent="0.15"/>
    <row r="135" ht="24" customHeight="1" x14ac:dyDescent="0.15"/>
    <row r="136" ht="22.5" customHeight="1" x14ac:dyDescent="0.15"/>
    <row r="137" ht="28.5" customHeight="1" x14ac:dyDescent="0.15"/>
    <row r="138" ht="25.5" customHeight="1" x14ac:dyDescent="0.15"/>
    <row r="139" ht="63.75" customHeight="1" x14ac:dyDescent="0.15"/>
    <row r="140" ht="42.75" customHeight="1" x14ac:dyDescent="0.15"/>
    <row r="141" ht="14.25" customHeight="1" x14ac:dyDescent="0.15"/>
    <row r="142" ht="14.25" customHeight="1" x14ac:dyDescent="0.15"/>
    <row r="143" ht="14.25" customHeight="1" x14ac:dyDescent="0.15"/>
    <row r="144" ht="14.25" customHeight="1" x14ac:dyDescent="0.15"/>
    <row r="145" ht="14.25" customHeight="1" x14ac:dyDescent="0.15"/>
    <row r="146" ht="27.75" customHeight="1" x14ac:dyDescent="0.15"/>
    <row r="147" ht="140.25" customHeight="1" x14ac:dyDescent="0.15"/>
    <row r="148" ht="38.25" customHeight="1" x14ac:dyDescent="0.15"/>
    <row r="149" ht="25.5" customHeight="1" x14ac:dyDescent="0.15"/>
    <row r="150" ht="25.5" customHeight="1" x14ac:dyDescent="0.15"/>
    <row r="151" ht="14.25" customHeight="1" x14ac:dyDescent="0.15"/>
    <row r="152" ht="25.5" customHeight="1" x14ac:dyDescent="0.15"/>
    <row r="153" ht="14.25" customHeight="1" x14ac:dyDescent="0.15"/>
    <row r="154" ht="25.5" customHeight="1" x14ac:dyDescent="0.15"/>
    <row r="155" ht="25.5" customHeight="1" x14ac:dyDescent="0.15"/>
    <row r="156" ht="25.5" customHeight="1" x14ac:dyDescent="0.15"/>
    <row r="157" ht="28.5" customHeight="1" x14ac:dyDescent="0.15"/>
    <row r="158" ht="52.5" customHeight="1" x14ac:dyDescent="0.15"/>
    <row r="159" ht="14.25" customHeight="1" x14ac:dyDescent="0.15"/>
    <row r="160" ht="25.5" customHeight="1" x14ac:dyDescent="0.15"/>
    <row r="161" ht="25.5" customHeight="1" x14ac:dyDescent="0.15"/>
    <row r="162" ht="63.75" customHeight="1" x14ac:dyDescent="0.15"/>
    <row r="163" ht="25.5" customHeight="1" x14ac:dyDescent="0.15"/>
    <row r="164" ht="25.5" customHeight="1" x14ac:dyDescent="0.15"/>
    <row r="165" ht="25.5" customHeight="1" x14ac:dyDescent="0.15"/>
    <row r="166" ht="38.25" customHeight="1" x14ac:dyDescent="0.15"/>
    <row r="167" ht="25.5" customHeight="1" x14ac:dyDescent="0.15"/>
    <row r="168" ht="51" customHeight="1" x14ac:dyDescent="0.15"/>
    <row r="169" ht="14.25" customHeight="1" x14ac:dyDescent="0.15"/>
    <row r="170" ht="57" customHeight="1" x14ac:dyDescent="0.15"/>
    <row r="171" ht="42.75" customHeight="1" x14ac:dyDescent="0.15"/>
    <row r="172" ht="25.5" customHeight="1" x14ac:dyDescent="0.15"/>
    <row r="173" ht="14.25" customHeight="1" x14ac:dyDescent="0.15"/>
    <row r="174" ht="27.75" customHeight="1" x14ac:dyDescent="0.15"/>
    <row r="175" ht="38.25" customHeight="1" x14ac:dyDescent="0.15"/>
    <row r="176" ht="25.5" customHeight="1" x14ac:dyDescent="0.15"/>
    <row r="177" ht="43.5" customHeight="1" x14ac:dyDescent="0.15"/>
    <row r="178" ht="18.75" customHeight="1" x14ac:dyDescent="0.15"/>
    <row r="179" ht="21.75" customHeight="1" x14ac:dyDescent="0.15"/>
    <row r="180" ht="14.25" customHeight="1" x14ac:dyDescent="0.15"/>
    <row r="181" ht="15.75" customHeight="1" x14ac:dyDescent="0.15"/>
    <row r="182" ht="38.25" customHeight="1" x14ac:dyDescent="0.15"/>
    <row r="183" ht="27.75" customHeight="1" x14ac:dyDescent="0.15"/>
    <row r="184" ht="25.5" customHeight="1" x14ac:dyDescent="0.15"/>
    <row r="185" ht="25.5" customHeight="1" x14ac:dyDescent="0.15"/>
    <row r="186" ht="25.5" customHeight="1" x14ac:dyDescent="0.15"/>
    <row r="187" ht="14.25" customHeight="1" x14ac:dyDescent="0.15"/>
    <row r="188" ht="14.25" customHeight="1" x14ac:dyDescent="0.15"/>
    <row r="189" ht="25.5" customHeight="1" x14ac:dyDescent="0.15"/>
    <row r="190" ht="14.25" customHeight="1" x14ac:dyDescent="0.15"/>
    <row r="191" ht="25.5" customHeight="1" x14ac:dyDescent="0.15"/>
    <row r="192" ht="14.25" customHeight="1" x14ac:dyDescent="0.15"/>
    <row r="193" ht="25.5" customHeight="1" x14ac:dyDescent="0.15"/>
    <row r="194" ht="36.75" customHeight="1" x14ac:dyDescent="0.15"/>
    <row r="195" ht="14.25" customHeight="1" x14ac:dyDescent="0.15"/>
    <row r="196" ht="14.25" customHeight="1" x14ac:dyDescent="0.15"/>
    <row r="197" ht="25.5" customHeight="1" x14ac:dyDescent="0.15"/>
    <row r="198" ht="16.5" customHeight="1" x14ac:dyDescent="0.15"/>
    <row r="199" ht="14.25" customHeight="1" x14ac:dyDescent="0.15"/>
    <row r="200" ht="38.25" customHeight="1" x14ac:dyDescent="0.15"/>
    <row r="201" ht="14.25" customHeight="1" x14ac:dyDescent="0.15"/>
    <row r="202" ht="43.5" customHeight="1" x14ac:dyDescent="0.15"/>
    <row r="203" ht="24" customHeight="1" x14ac:dyDescent="0.15"/>
    <row r="204" ht="1.5" customHeight="1" x14ac:dyDescent="0.15"/>
    <row r="205" ht="14.25" customHeight="1" x14ac:dyDescent="0.15"/>
    <row r="206" ht="25.5" customHeight="1" x14ac:dyDescent="0.15"/>
    <row r="207" ht="14.25" customHeight="1" x14ac:dyDescent="0.15"/>
    <row r="208" ht="25.5" customHeight="1" x14ac:dyDescent="0.15"/>
    <row r="209" ht="25.5" customHeight="1" x14ac:dyDescent="0.15"/>
    <row r="210" ht="25.5" customHeight="1" x14ac:dyDescent="0.15"/>
    <row r="211" ht="25.5" customHeight="1" x14ac:dyDescent="0.15"/>
    <row r="212" ht="28.5" customHeight="1" x14ac:dyDescent="0.15"/>
    <row r="213" ht="42.75" customHeight="1" x14ac:dyDescent="0.15"/>
    <row r="214" ht="38.25" customHeight="1" x14ac:dyDescent="0.15"/>
    <row r="215" ht="42.75" customHeight="1" x14ac:dyDescent="0.15"/>
    <row r="216" ht="38.25" customHeight="1" x14ac:dyDescent="0.15"/>
    <row r="217" ht="28.5" customHeight="1" x14ac:dyDescent="0.15"/>
    <row r="218" ht="25.5" customHeight="1" x14ac:dyDescent="0.15"/>
    <row r="219" ht="25.5" customHeight="1" x14ac:dyDescent="0.15"/>
    <row r="220" ht="25.5" customHeight="1" x14ac:dyDescent="0.15"/>
    <row r="221" ht="25.5" customHeight="1" x14ac:dyDescent="0.15"/>
    <row r="222" ht="25.5" customHeight="1" x14ac:dyDescent="0.15"/>
    <row r="223" ht="25.5" customHeight="1" x14ac:dyDescent="0.15"/>
    <row r="224" ht="25.5" customHeight="1" x14ac:dyDescent="0.15"/>
    <row r="225" ht="51" customHeight="1" x14ac:dyDescent="0.15"/>
    <row r="226" ht="14.25" customHeight="1" x14ac:dyDescent="0.15"/>
    <row r="227" ht="51" customHeight="1" x14ac:dyDescent="0.15"/>
    <row r="228" ht="38.25" customHeight="1" x14ac:dyDescent="0.15"/>
    <row r="229" ht="14.25" customHeight="1" x14ac:dyDescent="0.15"/>
    <row r="230" ht="25.5" customHeight="1" x14ac:dyDescent="0.15"/>
    <row r="231" ht="25.5" customHeight="1" x14ac:dyDescent="0.15"/>
    <row r="232" ht="25.5" customHeight="1" x14ac:dyDescent="0.15"/>
    <row r="233" ht="25.5" customHeight="1" x14ac:dyDescent="0.15"/>
    <row r="234" ht="25.5" customHeight="1" x14ac:dyDescent="0.15"/>
    <row r="235" ht="25.5" customHeight="1" x14ac:dyDescent="0.15"/>
    <row r="236" ht="25.5" customHeight="1" x14ac:dyDescent="0.15"/>
    <row r="237" ht="51" customHeight="1" x14ac:dyDescent="0.15"/>
    <row r="238" ht="25.5" customHeight="1" x14ac:dyDescent="0.15"/>
    <row r="239" ht="25.5" customHeight="1" x14ac:dyDescent="0.15"/>
    <row r="240" ht="25.5" customHeight="1" x14ac:dyDescent="0.15"/>
    <row r="241" ht="25.5" customHeight="1" x14ac:dyDescent="0.15"/>
    <row r="242" ht="25.5" customHeight="1" x14ac:dyDescent="0.15"/>
    <row r="243" ht="38.25" customHeight="1" x14ac:dyDescent="0.15"/>
    <row r="244" ht="25.5" customHeight="1" x14ac:dyDescent="0.15"/>
    <row r="245" ht="31.5" customHeight="1" x14ac:dyDescent="0.15"/>
    <row r="246" ht="14.25" customHeight="1" x14ac:dyDescent="0.15"/>
    <row r="247" ht="20.25" customHeight="1" x14ac:dyDescent="0.15"/>
    <row r="248" ht="14.25" customHeight="1" x14ac:dyDescent="0.15"/>
    <row r="249" ht="37.5" customHeight="1" x14ac:dyDescent="0.15"/>
    <row r="250" ht="15" customHeight="1" x14ac:dyDescent="0.15"/>
    <row r="251" ht="28.5" customHeight="1" x14ac:dyDescent="0.15"/>
    <row r="252" ht="14.25" customHeight="1" x14ac:dyDescent="0.15"/>
    <row r="253" ht="38.25" customHeight="1" x14ac:dyDescent="0.15"/>
    <row r="254" ht="14.25" customHeight="1" x14ac:dyDescent="0.15"/>
    <row r="255" ht="14.25" customHeight="1" x14ac:dyDescent="0.15"/>
    <row r="256" ht="14.25" customHeight="1" x14ac:dyDescent="0.15"/>
    <row r="257" ht="14.25" customHeight="1" x14ac:dyDescent="0.15"/>
    <row r="258" ht="14.25" customHeight="1" x14ac:dyDescent="0.15"/>
    <row r="259" ht="14.25" customHeight="1" x14ac:dyDescent="0.15"/>
    <row r="260" ht="14.25" customHeight="1" x14ac:dyDescent="0.15"/>
    <row r="261" ht="14.25" customHeight="1" x14ac:dyDescent="0.15"/>
    <row r="262" ht="14.25" customHeight="1" x14ac:dyDescent="0.15"/>
    <row r="263" ht="14.25" customHeight="1" x14ac:dyDescent="0.15"/>
    <row r="264" ht="14.25" customHeight="1" x14ac:dyDescent="0.15"/>
    <row r="265" ht="14.25" customHeight="1" x14ac:dyDescent="0.15"/>
    <row r="266" ht="14.25" customHeight="1" x14ac:dyDescent="0.15"/>
    <row r="267" ht="14.25" customHeight="1" x14ac:dyDescent="0.15"/>
    <row r="268" ht="14.25" customHeight="1" x14ac:dyDescent="0.15"/>
    <row r="269" ht="14.25" customHeight="1" x14ac:dyDescent="0.15"/>
    <row r="270" ht="14.25" customHeight="1" x14ac:dyDescent="0.15"/>
    <row r="271" ht="14.25" customHeight="1" x14ac:dyDescent="0.15"/>
    <row r="272" ht="14.25" customHeight="1" x14ac:dyDescent="0.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53"/>
  <sheetViews>
    <sheetView workbookViewId="0">
      <pane ySplit="3" topLeftCell="A29" activePane="bottomLeft" state="frozen"/>
      <selection pane="bottomLeft" activeCell="C34" sqref="C34"/>
    </sheetView>
  </sheetViews>
  <sheetFormatPr baseColWidth="10" defaultColWidth="14.5" defaultRowHeight="12.75" customHeight="1" x14ac:dyDescent="0.15"/>
  <cols>
    <col min="1" max="1" width="15" style="17" customWidth="1"/>
    <col min="2" max="2" width="17.33203125" style="17" customWidth="1"/>
    <col min="3" max="3" width="12.5" style="17" customWidth="1"/>
    <col min="4" max="4" width="9.1640625" style="17" customWidth="1"/>
    <col min="5" max="5" width="19.33203125" style="17" customWidth="1"/>
    <col min="6" max="6" width="17.33203125" style="17" customWidth="1"/>
    <col min="7" max="7" width="45.5" style="17" customWidth="1"/>
    <col min="8" max="8" width="50.5" style="17" customWidth="1"/>
    <col min="9" max="10" width="17.33203125" style="17" customWidth="1"/>
  </cols>
  <sheetData>
    <row r="1" spans="1:10" ht="12.75" customHeight="1" x14ac:dyDescent="0.15">
      <c r="E1" s="15" t="s">
        <v>322</v>
      </c>
      <c r="F1" s="15" t="s">
        <v>323</v>
      </c>
      <c r="G1" s="15" t="s">
        <v>324</v>
      </c>
      <c r="H1" s="15" t="s">
        <v>325</v>
      </c>
      <c r="I1" s="15" t="s">
        <v>140</v>
      </c>
    </row>
    <row r="2" spans="1:10" ht="24.75" customHeight="1" x14ac:dyDescent="0.15">
      <c r="A2" s="18" t="s">
        <v>0</v>
      </c>
      <c r="B2" s="19"/>
      <c r="C2" s="19"/>
      <c r="D2" s="19"/>
      <c r="E2" s="19"/>
      <c r="F2" s="19"/>
    </row>
    <row r="3" spans="1:10" ht="43.5" customHeight="1" x14ac:dyDescent="0.15">
      <c r="A3" s="1" t="s">
        <v>1</v>
      </c>
      <c r="B3" s="1" t="s">
        <v>2</v>
      </c>
      <c r="C3" s="1" t="s">
        <v>3</v>
      </c>
      <c r="D3" s="1" t="s">
        <v>4</v>
      </c>
      <c r="E3" s="1" t="s">
        <v>5</v>
      </c>
      <c r="F3" s="1" t="s">
        <v>6</v>
      </c>
      <c r="G3" s="1" t="s">
        <v>7</v>
      </c>
      <c r="H3" s="2" t="s">
        <v>8</v>
      </c>
      <c r="I3" s="2" t="s">
        <v>9</v>
      </c>
      <c r="J3" s="3" t="s">
        <v>10</v>
      </c>
    </row>
    <row r="4" spans="1:10" ht="71.25" customHeight="1" x14ac:dyDescent="0.15">
      <c r="A4" s="4">
        <v>41677</v>
      </c>
      <c r="B4" s="5" t="s">
        <v>11</v>
      </c>
      <c r="C4" s="5" t="s">
        <v>12</v>
      </c>
      <c r="D4" s="5">
        <v>2</v>
      </c>
      <c r="E4" s="5">
        <v>29.907509999999998</v>
      </c>
      <c r="F4" s="5">
        <v>-84.430949999999996</v>
      </c>
      <c r="G4" s="5" t="s">
        <v>13</v>
      </c>
      <c r="H4" s="5" t="s">
        <v>14</v>
      </c>
      <c r="I4" s="3" t="s">
        <v>15</v>
      </c>
    </row>
    <row r="5" spans="1:10" ht="71.25" customHeight="1" x14ac:dyDescent="0.15">
      <c r="A5" s="4">
        <v>41677</v>
      </c>
      <c r="B5" s="5" t="s">
        <v>11</v>
      </c>
      <c r="C5" s="5" t="s">
        <v>12</v>
      </c>
      <c r="D5" s="5">
        <v>3</v>
      </c>
      <c r="E5" s="5">
        <v>29.907509999999998</v>
      </c>
      <c r="F5" s="5">
        <v>-84.430949999999996</v>
      </c>
      <c r="G5" s="5" t="s">
        <v>16</v>
      </c>
      <c r="H5" s="5"/>
    </row>
    <row r="6" spans="1:10" ht="71.25" customHeight="1" x14ac:dyDescent="0.15">
      <c r="A6" s="4">
        <v>41679</v>
      </c>
      <c r="B6" s="5" t="s">
        <v>17</v>
      </c>
      <c r="C6" s="5" t="s">
        <v>18</v>
      </c>
      <c r="D6" s="5">
        <v>2</v>
      </c>
      <c r="E6" s="5">
        <v>28.105789999999999</v>
      </c>
      <c r="F6" s="5">
        <v>-82.832880000000003</v>
      </c>
      <c r="G6" s="5" t="s">
        <v>19</v>
      </c>
      <c r="H6" s="5" t="s">
        <v>20</v>
      </c>
      <c r="I6" s="3" t="s">
        <v>21</v>
      </c>
    </row>
    <row r="7" spans="1:10" ht="71.25" customHeight="1" x14ac:dyDescent="0.15">
      <c r="A7" s="4">
        <v>41679</v>
      </c>
      <c r="B7" s="5" t="s">
        <v>17</v>
      </c>
      <c r="C7" s="5" t="s">
        <v>18</v>
      </c>
      <c r="D7" s="5">
        <v>6</v>
      </c>
      <c r="E7" s="5">
        <v>28.112639999999999</v>
      </c>
      <c r="F7" s="5">
        <v>-82.838489999999993</v>
      </c>
      <c r="G7" s="5" t="s">
        <v>22</v>
      </c>
      <c r="H7" s="5" t="s">
        <v>23</v>
      </c>
      <c r="I7" s="3" t="s">
        <v>21</v>
      </c>
    </row>
    <row r="8" spans="1:10" ht="71.25" customHeight="1" x14ac:dyDescent="0.15">
      <c r="A8" s="4">
        <v>41679</v>
      </c>
      <c r="B8" s="5" t="s">
        <v>17</v>
      </c>
      <c r="C8" s="5" t="s">
        <v>18</v>
      </c>
      <c r="D8" s="5">
        <v>7</v>
      </c>
      <c r="E8" s="5">
        <v>28.113519</v>
      </c>
      <c r="F8" s="5">
        <v>-82.838409999999996</v>
      </c>
      <c r="G8" s="5" t="s">
        <v>24</v>
      </c>
      <c r="H8" s="5" t="s">
        <v>25</v>
      </c>
      <c r="I8" s="3" t="s">
        <v>21</v>
      </c>
    </row>
    <row r="9" spans="1:10" ht="71.25" customHeight="1" x14ac:dyDescent="0.15">
      <c r="A9" s="4">
        <v>41679</v>
      </c>
      <c r="B9" s="5" t="s">
        <v>17</v>
      </c>
      <c r="C9" s="5" t="s">
        <v>18</v>
      </c>
      <c r="D9" s="5">
        <v>9</v>
      </c>
      <c r="E9" s="5">
        <v>28.11543</v>
      </c>
      <c r="F9" s="5">
        <v>-82.838610000000003</v>
      </c>
      <c r="G9" s="5" t="s">
        <v>26</v>
      </c>
      <c r="H9" s="5" t="s">
        <v>27</v>
      </c>
      <c r="I9" s="3" t="s">
        <v>21</v>
      </c>
    </row>
    <row r="10" spans="1:10" ht="71.25" customHeight="1" x14ac:dyDescent="0.15">
      <c r="A10" s="4">
        <v>41679</v>
      </c>
      <c r="B10" s="5" t="s">
        <v>17</v>
      </c>
      <c r="C10" s="5" t="s">
        <v>18</v>
      </c>
      <c r="D10" s="5">
        <v>4</v>
      </c>
      <c r="E10" s="5">
        <v>28.10595</v>
      </c>
      <c r="F10" s="5">
        <v>-82.83475</v>
      </c>
      <c r="G10" s="5" t="s">
        <v>28</v>
      </c>
      <c r="H10" s="5" t="s">
        <v>29</v>
      </c>
    </row>
    <row r="11" spans="1:10" ht="71.25" customHeight="1" x14ac:dyDescent="0.15">
      <c r="A11" s="4">
        <v>41679</v>
      </c>
      <c r="B11" s="5" t="s">
        <v>17</v>
      </c>
      <c r="C11" s="5" t="s">
        <v>18</v>
      </c>
      <c r="D11" s="5">
        <v>5</v>
      </c>
      <c r="E11" s="5">
        <v>28.1065</v>
      </c>
      <c r="F11" s="5">
        <v>-82.83502</v>
      </c>
      <c r="G11" s="5" t="s">
        <v>30</v>
      </c>
      <c r="H11" s="5" t="s">
        <v>29</v>
      </c>
    </row>
    <row r="12" spans="1:10" ht="71.25" customHeight="1" x14ac:dyDescent="0.15">
      <c r="A12" s="4">
        <v>41679</v>
      </c>
      <c r="B12" s="5" t="s">
        <v>17</v>
      </c>
      <c r="C12" s="5" t="s">
        <v>18</v>
      </c>
      <c r="D12" s="5">
        <v>8</v>
      </c>
      <c r="E12" s="5">
        <v>28.114699999999999</v>
      </c>
      <c r="F12" s="5">
        <v>-82.838639999999998</v>
      </c>
      <c r="G12" s="5" t="s">
        <v>31</v>
      </c>
      <c r="H12" s="5" t="s">
        <v>32</v>
      </c>
    </row>
    <row r="13" spans="1:10" ht="71.25" customHeight="1" x14ac:dyDescent="0.15">
      <c r="A13" s="4">
        <v>41679</v>
      </c>
      <c r="B13" s="5" t="s">
        <v>17</v>
      </c>
      <c r="C13" s="5" t="s">
        <v>18</v>
      </c>
      <c r="D13" s="5">
        <v>10</v>
      </c>
      <c r="E13" s="5">
        <v>28.116546</v>
      </c>
      <c r="F13" s="5">
        <v>-82.838740000000001</v>
      </c>
      <c r="G13" s="5" t="s">
        <v>33</v>
      </c>
      <c r="H13" s="5" t="s">
        <v>32</v>
      </c>
    </row>
    <row r="14" spans="1:10" ht="71.25" customHeight="1" x14ac:dyDescent="0.15">
      <c r="A14" s="4">
        <v>41679</v>
      </c>
      <c r="B14" s="5" t="s">
        <v>34</v>
      </c>
      <c r="C14" s="5" t="s">
        <v>35</v>
      </c>
      <c r="D14" s="5">
        <v>1</v>
      </c>
      <c r="E14" s="5">
        <v>28.123380000000001</v>
      </c>
      <c r="F14" s="5">
        <v>-82.837860000000006</v>
      </c>
      <c r="G14" s="5" t="s">
        <v>13</v>
      </c>
      <c r="H14" s="5" t="s">
        <v>36</v>
      </c>
    </row>
    <row r="15" spans="1:10" ht="71.25" customHeight="1" x14ac:dyDescent="0.15">
      <c r="A15" s="4">
        <v>41679</v>
      </c>
      <c r="B15" s="5" t="s">
        <v>34</v>
      </c>
      <c r="C15" s="5" t="s">
        <v>35</v>
      </c>
      <c r="D15" s="5">
        <v>2</v>
      </c>
      <c r="E15" s="5">
        <v>28.125540000000001</v>
      </c>
      <c r="F15" s="5">
        <v>-82.836749999999995</v>
      </c>
      <c r="G15" s="5" t="s">
        <v>37</v>
      </c>
      <c r="H15" s="5" t="s">
        <v>38</v>
      </c>
      <c r="I15" s="3" t="s">
        <v>21</v>
      </c>
    </row>
    <row r="16" spans="1:10" ht="71.25" customHeight="1" x14ac:dyDescent="0.15">
      <c r="A16" s="4">
        <v>41679</v>
      </c>
      <c r="B16" s="5" t="s">
        <v>34</v>
      </c>
      <c r="C16" s="5" t="s">
        <v>35</v>
      </c>
      <c r="D16" s="5">
        <v>3</v>
      </c>
      <c r="E16" s="5">
        <v>28.12753</v>
      </c>
      <c r="F16" s="5">
        <v>-82.834720000000004</v>
      </c>
      <c r="G16" s="5" t="s">
        <v>39</v>
      </c>
      <c r="H16" s="5" t="s">
        <v>40</v>
      </c>
      <c r="I16" s="3" t="s">
        <v>21</v>
      </c>
    </row>
    <row r="17" spans="1:10" ht="71.25" customHeight="1" x14ac:dyDescent="0.15">
      <c r="A17" s="4">
        <v>41679</v>
      </c>
      <c r="B17" s="5" t="s">
        <v>41</v>
      </c>
      <c r="C17" s="5" t="s">
        <v>42</v>
      </c>
      <c r="D17" s="5">
        <v>1</v>
      </c>
      <c r="E17" s="5">
        <v>28.214700000000001</v>
      </c>
      <c r="F17" s="5">
        <v>-82.850499999999997</v>
      </c>
      <c r="G17" s="5" t="s">
        <v>43</v>
      </c>
      <c r="H17" s="5" t="s">
        <v>44</v>
      </c>
      <c r="I17" s="3" t="s">
        <v>45</v>
      </c>
    </row>
    <row r="18" spans="1:10" ht="71.25" customHeight="1" x14ac:dyDescent="0.15">
      <c r="A18" s="4">
        <v>41679</v>
      </c>
      <c r="B18" s="5" t="s">
        <v>41</v>
      </c>
      <c r="C18" s="5" t="s">
        <v>46</v>
      </c>
      <c r="D18" s="5">
        <v>3</v>
      </c>
      <c r="E18" s="5">
        <v>28.212730000000001</v>
      </c>
      <c r="F18" s="5">
        <v>-82.848590000000002</v>
      </c>
      <c r="G18" s="5" t="s">
        <v>47</v>
      </c>
      <c r="H18" s="5"/>
    </row>
    <row r="19" spans="1:10" ht="71.25" customHeight="1" x14ac:dyDescent="0.15">
      <c r="A19" s="4">
        <v>41679</v>
      </c>
      <c r="B19" s="5" t="s">
        <v>41</v>
      </c>
      <c r="C19" s="5" t="s">
        <v>46</v>
      </c>
      <c r="D19" s="5">
        <v>8</v>
      </c>
      <c r="E19" s="5">
        <v>28.163080000000001</v>
      </c>
      <c r="F19" s="5">
        <v>-82.845190000000002</v>
      </c>
      <c r="G19" s="5" t="s">
        <v>48</v>
      </c>
      <c r="H19" s="5" t="s">
        <v>49</v>
      </c>
      <c r="I19" s="3" t="s">
        <v>50</v>
      </c>
    </row>
    <row r="20" spans="1:10" ht="71.25" customHeight="1" x14ac:dyDescent="0.15">
      <c r="A20" s="4">
        <v>41679</v>
      </c>
      <c r="B20" s="5" t="s">
        <v>41</v>
      </c>
      <c r="C20" s="5" t="s">
        <v>51</v>
      </c>
      <c r="D20" s="5">
        <v>10</v>
      </c>
      <c r="E20" s="5">
        <v>28.157800000000002</v>
      </c>
      <c r="F20" s="5">
        <v>-82.844149999999999</v>
      </c>
      <c r="G20" s="5" t="s">
        <v>52</v>
      </c>
      <c r="H20" s="5" t="s">
        <v>53</v>
      </c>
      <c r="I20" s="3" t="s">
        <v>45</v>
      </c>
    </row>
    <row r="21" spans="1:10" ht="71.25" customHeight="1" x14ac:dyDescent="0.15">
      <c r="A21" s="4">
        <v>41680</v>
      </c>
      <c r="B21" s="5" t="s">
        <v>54</v>
      </c>
      <c r="C21" s="5" t="s">
        <v>55</v>
      </c>
      <c r="D21" s="5">
        <v>1</v>
      </c>
      <c r="E21" s="5">
        <v>30.369264000000001</v>
      </c>
      <c r="F21" s="5">
        <v>-86.954777000000007</v>
      </c>
      <c r="G21" s="5" t="s">
        <v>56</v>
      </c>
      <c r="H21" s="5" t="s">
        <v>57</v>
      </c>
      <c r="I21" s="3" t="s">
        <v>21</v>
      </c>
    </row>
    <row r="22" spans="1:10" ht="71.25" customHeight="1" x14ac:dyDescent="0.15">
      <c r="A22" s="4">
        <v>41680</v>
      </c>
      <c r="B22" s="5" t="s">
        <v>54</v>
      </c>
      <c r="C22" s="5" t="s">
        <v>55</v>
      </c>
      <c r="D22" s="5">
        <v>2</v>
      </c>
      <c r="E22" s="5">
        <v>30.357769999999999</v>
      </c>
      <c r="F22" s="5">
        <v>-87.043310000000005</v>
      </c>
      <c r="G22" s="5" t="s">
        <v>58</v>
      </c>
      <c r="H22" s="5" t="s">
        <v>59</v>
      </c>
      <c r="I22" s="3" t="s">
        <v>15</v>
      </c>
    </row>
    <row r="23" spans="1:10" ht="71.25" customHeight="1" x14ac:dyDescent="0.15">
      <c r="A23" s="4">
        <v>41679</v>
      </c>
      <c r="B23" s="5" t="s">
        <v>60</v>
      </c>
      <c r="C23" s="5" t="s">
        <v>61</v>
      </c>
      <c r="D23" s="5">
        <v>3</v>
      </c>
      <c r="E23" s="5">
        <v>27.532050000000002</v>
      </c>
      <c r="F23" s="5">
        <v>-82.744129999999998</v>
      </c>
      <c r="G23" s="5" t="s">
        <v>62</v>
      </c>
      <c r="H23" s="5" t="s">
        <v>63</v>
      </c>
      <c r="I23" s="3" t="s">
        <v>63</v>
      </c>
    </row>
    <row r="24" spans="1:10" ht="71.25" customHeight="1" x14ac:dyDescent="0.15">
      <c r="A24" s="4">
        <v>41681</v>
      </c>
      <c r="B24" s="5" t="s">
        <v>64</v>
      </c>
      <c r="C24" s="5" t="s">
        <v>65</v>
      </c>
      <c r="D24" s="5">
        <v>3</v>
      </c>
      <c r="E24" s="5">
        <v>29.739889999999999</v>
      </c>
      <c r="F24" s="5">
        <v>-84.718919999999997</v>
      </c>
      <c r="G24" s="5" t="s">
        <v>66</v>
      </c>
      <c r="H24" s="5" t="s">
        <v>67</v>
      </c>
      <c r="I24" s="3" t="s">
        <v>21</v>
      </c>
    </row>
    <row r="25" spans="1:10" ht="71.25" customHeight="1" x14ac:dyDescent="0.15">
      <c r="A25" s="4">
        <v>41681</v>
      </c>
      <c r="B25" s="5" t="s">
        <v>64</v>
      </c>
      <c r="C25" s="5" t="s">
        <v>65</v>
      </c>
      <c r="D25" s="5">
        <v>4</v>
      </c>
      <c r="E25" s="5">
        <v>29.750129999999999</v>
      </c>
      <c r="F25" s="5">
        <v>-84.708160000000007</v>
      </c>
      <c r="G25" s="5" t="s">
        <v>68</v>
      </c>
      <c r="H25" s="5" t="s">
        <v>69</v>
      </c>
      <c r="I25" s="3" t="s">
        <v>21</v>
      </c>
    </row>
    <row r="26" spans="1:10" ht="71.25" customHeight="1" x14ac:dyDescent="0.15">
      <c r="A26" s="4">
        <v>41679</v>
      </c>
      <c r="B26" s="5" t="s">
        <v>70</v>
      </c>
      <c r="C26" s="5" t="s">
        <v>71</v>
      </c>
      <c r="D26" s="5">
        <v>6</v>
      </c>
      <c r="E26" s="5">
        <v>30.025449999999999</v>
      </c>
      <c r="F26" s="5">
        <v>-85.568280000000001</v>
      </c>
      <c r="G26" s="5" t="s">
        <v>72</v>
      </c>
      <c r="H26" s="5" t="s">
        <v>73</v>
      </c>
      <c r="I26" s="3" t="s">
        <v>74</v>
      </c>
    </row>
    <row r="27" spans="1:10" ht="71.25" customHeight="1" x14ac:dyDescent="0.15">
      <c r="A27" s="4">
        <v>41679</v>
      </c>
      <c r="B27" s="5" t="s">
        <v>70</v>
      </c>
      <c r="C27" s="5" t="s">
        <v>71</v>
      </c>
      <c r="D27" s="5">
        <v>13</v>
      </c>
      <c r="E27" s="5">
        <v>30.00583</v>
      </c>
      <c r="F27" s="5">
        <v>-85.5351</v>
      </c>
      <c r="G27" s="5" t="s">
        <v>75</v>
      </c>
      <c r="H27" s="5" t="s">
        <v>76</v>
      </c>
      <c r="I27" s="3" t="s">
        <v>74</v>
      </c>
    </row>
    <row r="28" spans="1:10" ht="71.25" customHeight="1" x14ac:dyDescent="0.15">
      <c r="A28" s="4">
        <v>41681</v>
      </c>
      <c r="B28" s="5" t="s">
        <v>77</v>
      </c>
      <c r="C28" s="5" t="s">
        <v>78</v>
      </c>
      <c r="D28" s="5">
        <v>5</v>
      </c>
      <c r="E28" s="5">
        <v>30.291899999999998</v>
      </c>
      <c r="F28" s="5">
        <v>-81.245699999999999</v>
      </c>
      <c r="G28" s="5" t="s">
        <v>79</v>
      </c>
      <c r="H28" s="5" t="s">
        <v>63</v>
      </c>
      <c r="I28" s="3" t="s">
        <v>63</v>
      </c>
    </row>
    <row r="29" spans="1:10" ht="71.25" customHeight="1" x14ac:dyDescent="0.15">
      <c r="A29" s="4">
        <v>41681</v>
      </c>
      <c r="B29" s="5" t="s">
        <v>77</v>
      </c>
      <c r="C29" s="5" t="s">
        <v>78</v>
      </c>
      <c r="D29" s="5">
        <v>7</v>
      </c>
      <c r="E29" s="5">
        <v>30.285</v>
      </c>
      <c r="F29" s="5">
        <v>-81.245000000000005</v>
      </c>
      <c r="G29" s="5" t="s">
        <v>80</v>
      </c>
      <c r="H29" s="5" t="s">
        <v>81</v>
      </c>
      <c r="I29" s="3" t="s">
        <v>82</v>
      </c>
    </row>
    <row r="30" spans="1:10" ht="71.25" customHeight="1" x14ac:dyDescent="0.15">
      <c r="A30" s="4">
        <v>41679</v>
      </c>
      <c r="B30" s="5" t="s">
        <v>83</v>
      </c>
      <c r="C30" s="5" t="s">
        <v>84</v>
      </c>
      <c r="D30" s="5">
        <v>2</v>
      </c>
      <c r="E30" s="5" t="s">
        <v>85</v>
      </c>
      <c r="F30" s="5" t="s">
        <v>86</v>
      </c>
      <c r="G30" s="5" t="s">
        <v>87</v>
      </c>
      <c r="H30" s="5" t="s">
        <v>88</v>
      </c>
      <c r="I30" s="3" t="s">
        <v>89</v>
      </c>
      <c r="J30" s="3" t="s">
        <v>90</v>
      </c>
    </row>
    <row r="31" spans="1:10" ht="71.25" customHeight="1" x14ac:dyDescent="0.15">
      <c r="A31" s="4">
        <v>41679</v>
      </c>
      <c r="B31" s="5" t="s">
        <v>91</v>
      </c>
      <c r="C31" s="5" t="s">
        <v>92</v>
      </c>
      <c r="D31" s="5">
        <v>2</v>
      </c>
      <c r="E31" s="5" t="s">
        <v>93</v>
      </c>
      <c r="F31" s="5" t="s">
        <v>94</v>
      </c>
      <c r="G31" s="5" t="s">
        <v>95</v>
      </c>
      <c r="H31" s="5"/>
    </row>
    <row r="32" spans="1:10" ht="71.25" customHeight="1" x14ac:dyDescent="0.15">
      <c r="A32" s="4">
        <v>41679</v>
      </c>
      <c r="B32" s="5" t="s">
        <v>91</v>
      </c>
      <c r="C32" s="5" t="s">
        <v>92</v>
      </c>
      <c r="D32" s="5">
        <v>3</v>
      </c>
      <c r="E32" s="5" t="s">
        <v>96</v>
      </c>
      <c r="F32" s="5" t="s">
        <v>97</v>
      </c>
      <c r="G32" s="5" t="s">
        <v>98</v>
      </c>
      <c r="H32" s="5" t="s">
        <v>99</v>
      </c>
    </row>
    <row r="33" spans="1:10" ht="71.25" customHeight="1" x14ac:dyDescent="0.15">
      <c r="A33" s="4">
        <v>41679</v>
      </c>
      <c r="B33" s="5" t="s">
        <v>91</v>
      </c>
      <c r="C33" s="5" t="s">
        <v>92</v>
      </c>
      <c r="D33" s="5">
        <v>4</v>
      </c>
      <c r="E33" s="5" t="s">
        <v>100</v>
      </c>
      <c r="F33" s="5" t="s">
        <v>101</v>
      </c>
      <c r="G33" s="5" t="s">
        <v>102</v>
      </c>
      <c r="H33" s="5"/>
    </row>
    <row r="34" spans="1:10" ht="71.25" customHeight="1" x14ac:dyDescent="0.15">
      <c r="A34" s="4">
        <v>41680</v>
      </c>
      <c r="B34" s="5" t="s">
        <v>103</v>
      </c>
      <c r="C34" s="5" t="s">
        <v>104</v>
      </c>
      <c r="D34" s="5">
        <v>1</v>
      </c>
      <c r="E34" s="5">
        <v>25.898334999999999</v>
      </c>
      <c r="F34" s="5">
        <v>-81.715369999999993</v>
      </c>
      <c r="G34" s="5" t="s">
        <v>105</v>
      </c>
      <c r="H34" s="5" t="s">
        <v>106</v>
      </c>
      <c r="I34" s="3" t="s">
        <v>21</v>
      </c>
    </row>
    <row r="35" spans="1:10" ht="71.25" customHeight="1" x14ac:dyDescent="0.15">
      <c r="A35" s="4">
        <v>41679</v>
      </c>
      <c r="B35" s="5" t="s">
        <v>83</v>
      </c>
      <c r="C35" s="5" t="s">
        <v>84</v>
      </c>
      <c r="D35" s="5">
        <v>3</v>
      </c>
      <c r="E35" s="5" t="s">
        <v>107</v>
      </c>
      <c r="F35" s="5" t="s">
        <v>108</v>
      </c>
      <c r="G35" s="5" t="s">
        <v>109</v>
      </c>
      <c r="H35" s="5" t="s">
        <v>63</v>
      </c>
      <c r="I35" s="3" t="s">
        <v>63</v>
      </c>
    </row>
    <row r="36" spans="1:10" ht="71.25" customHeight="1" x14ac:dyDescent="0.15">
      <c r="A36" s="4">
        <v>41679</v>
      </c>
      <c r="B36" s="5" t="s">
        <v>83</v>
      </c>
      <c r="C36" s="5" t="s">
        <v>84</v>
      </c>
      <c r="D36" s="5">
        <v>4</v>
      </c>
      <c r="E36" s="5" t="s">
        <v>110</v>
      </c>
      <c r="F36" s="5" t="s">
        <v>111</v>
      </c>
      <c r="G36" s="5" t="s">
        <v>112</v>
      </c>
      <c r="H36" s="5" t="s">
        <v>63</v>
      </c>
      <c r="I36" s="3" t="s">
        <v>63</v>
      </c>
    </row>
    <row r="37" spans="1:10" ht="71.25" customHeight="1" x14ac:dyDescent="0.15">
      <c r="A37" s="4">
        <v>41679</v>
      </c>
      <c r="B37" s="5" t="s">
        <v>83</v>
      </c>
      <c r="C37" s="5" t="s">
        <v>84</v>
      </c>
      <c r="D37" s="5">
        <v>5</v>
      </c>
      <c r="E37" s="5" t="s">
        <v>113</v>
      </c>
      <c r="F37" s="5" t="s">
        <v>114</v>
      </c>
      <c r="G37" s="5" t="s">
        <v>115</v>
      </c>
      <c r="H37" s="5" t="s">
        <v>116</v>
      </c>
      <c r="I37" s="3" t="s">
        <v>117</v>
      </c>
      <c r="J37" s="3" t="s">
        <v>118</v>
      </c>
    </row>
    <row r="38" spans="1:10" ht="71.25" customHeight="1" x14ac:dyDescent="0.15">
      <c r="A38" s="4">
        <v>41683</v>
      </c>
      <c r="B38" s="5" t="s">
        <v>119</v>
      </c>
      <c r="C38" s="5" t="s">
        <v>120</v>
      </c>
      <c r="D38" s="5"/>
      <c r="E38" s="5" t="s">
        <v>121</v>
      </c>
      <c r="F38" s="5" t="s">
        <v>122</v>
      </c>
      <c r="G38" s="5" t="s">
        <v>123</v>
      </c>
      <c r="H38" s="5" t="s">
        <v>124</v>
      </c>
    </row>
    <row r="39" spans="1:10" ht="71.25" customHeight="1" x14ac:dyDescent="0.15">
      <c r="A39" s="4">
        <v>41682</v>
      </c>
      <c r="B39" s="5" t="s">
        <v>125</v>
      </c>
      <c r="C39" s="5" t="s">
        <v>126</v>
      </c>
      <c r="D39" s="5">
        <v>2</v>
      </c>
      <c r="E39" s="5">
        <v>27.170383000000001</v>
      </c>
      <c r="F39" s="5">
        <v>-80.168760000000006</v>
      </c>
      <c r="G39" s="5" t="s">
        <v>127</v>
      </c>
      <c r="H39" s="5"/>
    </row>
    <row r="40" spans="1:10" ht="71.25" customHeight="1" x14ac:dyDescent="0.15">
      <c r="A40" s="4">
        <v>41680</v>
      </c>
      <c r="B40" s="5" t="s">
        <v>128</v>
      </c>
      <c r="C40" s="5" t="s">
        <v>104</v>
      </c>
      <c r="D40" s="5">
        <v>2</v>
      </c>
      <c r="E40" s="5">
        <v>25.852031</v>
      </c>
      <c r="F40" s="5">
        <v>-81.685377000000003</v>
      </c>
      <c r="G40" s="5" t="s">
        <v>129</v>
      </c>
      <c r="H40" s="5" t="s">
        <v>63</v>
      </c>
      <c r="I40" s="3" t="s">
        <v>63</v>
      </c>
    </row>
    <row r="41" spans="1:10" ht="71.25" customHeight="1" x14ac:dyDescent="0.15">
      <c r="A41" s="4">
        <v>41683</v>
      </c>
      <c r="B41" s="5" t="s">
        <v>130</v>
      </c>
      <c r="C41" s="5" t="s">
        <v>131</v>
      </c>
      <c r="D41" s="5">
        <v>2</v>
      </c>
      <c r="E41" s="5">
        <v>29.84506</v>
      </c>
      <c r="F41" s="5">
        <v>-85.40343</v>
      </c>
      <c r="G41" s="5" t="s">
        <v>132</v>
      </c>
      <c r="H41" s="5" t="s">
        <v>133</v>
      </c>
      <c r="I41" s="3" t="s">
        <v>74</v>
      </c>
    </row>
    <row r="42" spans="1:10" ht="71.25" customHeight="1" x14ac:dyDescent="0.15">
      <c r="A42" s="4">
        <v>41683</v>
      </c>
      <c r="B42" s="5" t="s">
        <v>130</v>
      </c>
      <c r="C42" s="5" t="s">
        <v>131</v>
      </c>
      <c r="D42" s="5">
        <v>4</v>
      </c>
      <c r="E42" s="5">
        <v>29.87519</v>
      </c>
      <c r="F42" s="5">
        <v>-85.395650000000003</v>
      </c>
      <c r="G42" s="5" t="s">
        <v>134</v>
      </c>
      <c r="H42" s="5" t="s">
        <v>135</v>
      </c>
      <c r="I42" s="3" t="s">
        <v>74</v>
      </c>
    </row>
    <row r="43" spans="1:10" ht="71.25" customHeight="1" x14ac:dyDescent="0.15">
      <c r="A43" s="4">
        <v>41679</v>
      </c>
      <c r="B43" s="5" t="s">
        <v>136</v>
      </c>
      <c r="C43" s="5" t="s">
        <v>137</v>
      </c>
      <c r="D43" s="5">
        <v>3</v>
      </c>
      <c r="E43" s="5">
        <v>28.087537999999999</v>
      </c>
      <c r="F43" s="5">
        <v>-82.836680000000001</v>
      </c>
      <c r="G43" s="5" t="s">
        <v>138</v>
      </c>
      <c r="H43" s="5" t="s">
        <v>139</v>
      </c>
      <c r="I43" s="3" t="s">
        <v>140</v>
      </c>
    </row>
    <row r="44" spans="1:10" ht="71.25" customHeight="1" x14ac:dyDescent="0.15">
      <c r="A44" s="4">
        <v>41679</v>
      </c>
      <c r="B44" s="5" t="s">
        <v>136</v>
      </c>
      <c r="C44" s="5" t="s">
        <v>137</v>
      </c>
      <c r="D44" s="5">
        <v>4</v>
      </c>
      <c r="E44" s="5">
        <v>28.088262</v>
      </c>
      <c r="F44" s="5">
        <v>-82.836686</v>
      </c>
      <c r="G44" s="5" t="s">
        <v>141</v>
      </c>
      <c r="H44" s="5" t="s">
        <v>142</v>
      </c>
      <c r="I44" s="3" t="s">
        <v>142</v>
      </c>
    </row>
    <row r="45" spans="1:10" ht="71.25" customHeight="1" x14ac:dyDescent="0.15">
      <c r="A45" s="4">
        <v>41679</v>
      </c>
      <c r="B45" s="5" t="s">
        <v>136</v>
      </c>
      <c r="C45" s="5" t="s">
        <v>137</v>
      </c>
      <c r="D45" s="5">
        <v>6</v>
      </c>
      <c r="E45" s="5">
        <v>28.097261</v>
      </c>
      <c r="F45" s="5">
        <v>-82.835752999999997</v>
      </c>
      <c r="G45" s="5" t="s">
        <v>13</v>
      </c>
      <c r="H45" s="5" t="s">
        <v>142</v>
      </c>
      <c r="I45" s="3" t="s">
        <v>142</v>
      </c>
    </row>
    <row r="46" spans="1:10" ht="71.25" customHeight="1" x14ac:dyDescent="0.15">
      <c r="A46" s="4">
        <v>41679</v>
      </c>
      <c r="B46" s="5" t="s">
        <v>136</v>
      </c>
      <c r="C46" s="5" t="s">
        <v>137</v>
      </c>
      <c r="D46" s="5">
        <v>9</v>
      </c>
      <c r="E46" s="5">
        <v>28.094104000000002</v>
      </c>
      <c r="F46" s="5">
        <v>-82.834976999999995</v>
      </c>
      <c r="G46" s="5" t="s">
        <v>143</v>
      </c>
      <c r="H46" s="5" t="s">
        <v>142</v>
      </c>
      <c r="I46" s="3" t="s">
        <v>142</v>
      </c>
    </row>
    <row r="47" spans="1:10" ht="71.25" customHeight="1" x14ac:dyDescent="0.15">
      <c r="A47" s="4">
        <v>41679</v>
      </c>
      <c r="B47" s="5" t="s">
        <v>144</v>
      </c>
      <c r="C47" s="5" t="s">
        <v>145</v>
      </c>
      <c r="D47" s="5">
        <v>1</v>
      </c>
      <c r="E47" s="5">
        <v>26.021799999999999</v>
      </c>
      <c r="F47" s="5">
        <v>-80.115441000000004</v>
      </c>
      <c r="G47" s="5" t="s">
        <v>146</v>
      </c>
      <c r="H47" s="5" t="s">
        <v>63</v>
      </c>
      <c r="I47" s="3" t="s">
        <v>63</v>
      </c>
    </row>
    <row r="48" spans="1:10" ht="71.25" customHeight="1" x14ac:dyDescent="0.15">
      <c r="A48" s="4">
        <v>36938</v>
      </c>
      <c r="B48" s="5" t="s">
        <v>147</v>
      </c>
      <c r="C48" s="5" t="s">
        <v>148</v>
      </c>
      <c r="D48" s="5">
        <v>4</v>
      </c>
      <c r="E48" s="5">
        <v>27.11846813</v>
      </c>
      <c r="F48" s="5">
        <v>-80.141410429999993</v>
      </c>
      <c r="G48" s="5" t="s">
        <v>149</v>
      </c>
      <c r="H48" s="5" t="s">
        <v>150</v>
      </c>
      <c r="I48" s="3" t="s">
        <v>142</v>
      </c>
    </row>
    <row r="49" spans="1:9" ht="71.25" customHeight="1" x14ac:dyDescent="0.15">
      <c r="A49" s="4">
        <v>41679</v>
      </c>
      <c r="B49" s="5" t="s">
        <v>151</v>
      </c>
      <c r="C49" s="5" t="s">
        <v>152</v>
      </c>
      <c r="D49" s="5">
        <v>2</v>
      </c>
      <c r="E49" s="5">
        <v>29.68092</v>
      </c>
      <c r="F49" s="5">
        <v>-85.317939999999993</v>
      </c>
      <c r="G49" s="5" t="s">
        <v>153</v>
      </c>
      <c r="H49" s="5" t="s">
        <v>154</v>
      </c>
    </row>
    <row r="50" spans="1:9" ht="71.25" customHeight="1" x14ac:dyDescent="0.15">
      <c r="A50" s="4">
        <v>41680</v>
      </c>
      <c r="B50" s="5" t="s">
        <v>155</v>
      </c>
      <c r="C50" s="5" t="s">
        <v>156</v>
      </c>
      <c r="D50" s="5">
        <v>2</v>
      </c>
      <c r="E50" s="5">
        <v>25.955183000000002</v>
      </c>
      <c r="F50" s="5">
        <v>-81.751982999999996</v>
      </c>
      <c r="G50" s="5" t="s">
        <v>13</v>
      </c>
      <c r="H50" s="5"/>
    </row>
    <row r="51" spans="1:9" ht="71.25" customHeight="1" x14ac:dyDescent="0.15">
      <c r="A51" s="4">
        <v>41680</v>
      </c>
      <c r="B51" s="5" t="s">
        <v>155</v>
      </c>
      <c r="C51" s="5" t="s">
        <v>156</v>
      </c>
      <c r="D51" s="5">
        <v>9</v>
      </c>
      <c r="E51" s="5">
        <v>25.960483</v>
      </c>
      <c r="F51" s="5">
        <v>-81.752415999999997</v>
      </c>
      <c r="G51" s="5" t="s">
        <v>13</v>
      </c>
      <c r="H51" s="5"/>
    </row>
    <row r="52" spans="1:9" ht="71.25" customHeight="1" x14ac:dyDescent="0.15">
      <c r="A52" s="4">
        <v>41680</v>
      </c>
      <c r="B52" s="5" t="s">
        <v>155</v>
      </c>
      <c r="C52" s="5" t="s">
        <v>156</v>
      </c>
      <c r="D52" s="5">
        <v>10</v>
      </c>
      <c r="E52" s="5">
        <v>25.961030000000001</v>
      </c>
      <c r="F52" s="5">
        <v>-81.752200000000002</v>
      </c>
      <c r="G52" s="5" t="s">
        <v>157</v>
      </c>
      <c r="H52" s="5" t="s">
        <v>158</v>
      </c>
      <c r="I52" s="3" t="s">
        <v>15</v>
      </c>
    </row>
    <row r="53" spans="1:9" ht="71.25" customHeight="1" x14ac:dyDescent="0.15">
      <c r="A53" s="4">
        <v>41680</v>
      </c>
      <c r="B53" s="5" t="s">
        <v>155</v>
      </c>
      <c r="C53" s="5" t="s">
        <v>156</v>
      </c>
      <c r="D53" s="5">
        <v>11</v>
      </c>
      <c r="E53" s="5">
        <v>25.961300000000001</v>
      </c>
      <c r="F53" s="5">
        <v>-81.751982999999996</v>
      </c>
      <c r="G53" s="5" t="s">
        <v>13</v>
      </c>
      <c r="H53" s="5"/>
    </row>
    <row r="54" spans="1:9" ht="71.25" customHeight="1" x14ac:dyDescent="0.15">
      <c r="A54" s="4">
        <v>41680</v>
      </c>
      <c r="B54" s="5" t="s">
        <v>155</v>
      </c>
      <c r="C54" s="5" t="s">
        <v>156</v>
      </c>
      <c r="D54" s="5">
        <v>14</v>
      </c>
      <c r="E54" s="5">
        <v>25.962299999999999</v>
      </c>
      <c r="F54" s="5">
        <v>-81.751649999999998</v>
      </c>
      <c r="G54" s="5" t="s">
        <v>13</v>
      </c>
      <c r="H54" s="5"/>
    </row>
    <row r="55" spans="1:9" ht="71.25" customHeight="1" x14ac:dyDescent="0.15">
      <c r="A55" s="4">
        <v>41681</v>
      </c>
      <c r="B55" s="5" t="s">
        <v>159</v>
      </c>
      <c r="C55" s="5" t="s">
        <v>160</v>
      </c>
      <c r="D55" s="5">
        <v>2</v>
      </c>
      <c r="E55" s="5">
        <v>26.6191</v>
      </c>
      <c r="F55" s="5">
        <v>-80.045416599999996</v>
      </c>
      <c r="G55" s="5" t="s">
        <v>161</v>
      </c>
      <c r="H55" s="5"/>
    </row>
    <row r="56" spans="1:9" ht="71.25" customHeight="1" x14ac:dyDescent="0.15">
      <c r="A56" s="4">
        <v>41684</v>
      </c>
      <c r="B56" s="3" t="s">
        <v>162</v>
      </c>
      <c r="C56" s="5" t="s">
        <v>163</v>
      </c>
      <c r="D56" s="5">
        <v>1</v>
      </c>
      <c r="E56" s="5">
        <v>28.929210999999999</v>
      </c>
      <c r="F56" s="5">
        <v>-80.823763999999997</v>
      </c>
      <c r="G56" s="5" t="s">
        <v>164</v>
      </c>
      <c r="H56" s="5"/>
    </row>
    <row r="57" spans="1:9" ht="71.25" customHeight="1" x14ac:dyDescent="0.15">
      <c r="A57" s="13"/>
      <c r="B57" s="3" t="s">
        <v>162</v>
      </c>
      <c r="C57" s="5" t="s">
        <v>163</v>
      </c>
      <c r="D57" s="5">
        <v>2</v>
      </c>
      <c r="E57" s="5">
        <v>28.94932</v>
      </c>
      <c r="F57" s="5">
        <v>-80.837530000000001</v>
      </c>
      <c r="G57" s="5" t="s">
        <v>16</v>
      </c>
      <c r="H57" s="5"/>
    </row>
    <row r="58" spans="1:9" ht="71.25" customHeight="1" x14ac:dyDescent="0.15">
      <c r="A58" s="13"/>
      <c r="B58" s="3" t="s">
        <v>162</v>
      </c>
      <c r="C58" s="5" t="s">
        <v>163</v>
      </c>
      <c r="D58" s="5">
        <v>3</v>
      </c>
      <c r="E58" s="5">
        <v>28.967296999999999</v>
      </c>
      <c r="F58" s="5">
        <v>-80.849903999999995</v>
      </c>
      <c r="G58" s="5" t="s">
        <v>164</v>
      </c>
      <c r="H58" s="5"/>
    </row>
    <row r="59" spans="1:9" ht="71.25" customHeight="1" x14ac:dyDescent="0.15">
      <c r="A59" s="4">
        <v>41677</v>
      </c>
      <c r="B59" s="5" t="s">
        <v>165</v>
      </c>
      <c r="C59" s="5" t="s">
        <v>166</v>
      </c>
      <c r="D59" s="5">
        <v>4</v>
      </c>
      <c r="E59" s="5">
        <v>29.781479999999998</v>
      </c>
      <c r="F59" s="5">
        <v>-84.65325</v>
      </c>
      <c r="G59" s="5" t="s">
        <v>167</v>
      </c>
      <c r="H59" s="5" t="s">
        <v>168</v>
      </c>
      <c r="I59" s="3" t="s">
        <v>169</v>
      </c>
    </row>
    <row r="60" spans="1:9" ht="71.25" customHeight="1" x14ac:dyDescent="0.15">
      <c r="A60" s="4">
        <v>41677</v>
      </c>
      <c r="B60" s="5" t="s">
        <v>165</v>
      </c>
      <c r="C60" s="5" t="s">
        <v>170</v>
      </c>
      <c r="D60" s="5">
        <v>6</v>
      </c>
      <c r="E60" s="5">
        <v>29.825579999999999</v>
      </c>
      <c r="F60" s="5">
        <v>-84.579580000000007</v>
      </c>
      <c r="G60" s="5" t="s">
        <v>171</v>
      </c>
      <c r="H60" s="5" t="s">
        <v>172</v>
      </c>
    </row>
    <row r="61" spans="1:9" ht="71.25" customHeight="1" x14ac:dyDescent="0.15">
      <c r="A61" s="4">
        <v>41677</v>
      </c>
      <c r="B61" s="5" t="s">
        <v>165</v>
      </c>
      <c r="C61" s="5" t="s">
        <v>173</v>
      </c>
      <c r="D61" s="5">
        <v>9</v>
      </c>
      <c r="E61" s="5">
        <v>29.788139999999999</v>
      </c>
      <c r="F61" s="5">
        <v>-84.631770000000003</v>
      </c>
      <c r="G61" s="5" t="s">
        <v>13</v>
      </c>
      <c r="H61" s="5" t="s">
        <v>174</v>
      </c>
    </row>
    <row r="62" spans="1:9" ht="71.25" customHeight="1" x14ac:dyDescent="0.15">
      <c r="A62" s="4">
        <v>41677</v>
      </c>
      <c r="B62" s="5" t="s">
        <v>165</v>
      </c>
      <c r="C62" s="5" t="s">
        <v>173</v>
      </c>
      <c r="D62" s="5">
        <v>11</v>
      </c>
      <c r="E62" s="5">
        <v>29.789290000000001</v>
      </c>
      <c r="F62" s="5">
        <v>-84.640900000000002</v>
      </c>
      <c r="G62" s="5" t="s">
        <v>175</v>
      </c>
      <c r="H62" s="5" t="s">
        <v>174</v>
      </c>
    </row>
    <row r="63" spans="1:9" ht="71.25" customHeight="1" x14ac:dyDescent="0.15">
      <c r="A63" s="4">
        <v>41680</v>
      </c>
      <c r="B63" s="5" t="s">
        <v>176</v>
      </c>
      <c r="C63" s="5" t="s">
        <v>177</v>
      </c>
      <c r="D63" s="5">
        <v>1</v>
      </c>
      <c r="E63" s="5">
        <v>26.408321999999998</v>
      </c>
      <c r="F63" s="5">
        <v>-81.899235000000004</v>
      </c>
      <c r="G63" s="5" t="s">
        <v>178</v>
      </c>
      <c r="H63" s="5" t="s">
        <v>150</v>
      </c>
      <c r="I63" s="3" t="s">
        <v>142</v>
      </c>
    </row>
    <row r="64" spans="1:9" ht="71.25" customHeight="1" x14ac:dyDescent="0.15">
      <c r="A64" s="4">
        <v>41678</v>
      </c>
      <c r="B64" s="5" t="s">
        <v>179</v>
      </c>
      <c r="C64" s="5" t="s">
        <v>180</v>
      </c>
      <c r="D64" s="5">
        <v>1</v>
      </c>
      <c r="E64" s="5">
        <v>26.67257</v>
      </c>
      <c r="F64" s="5">
        <v>-82.258244000000005</v>
      </c>
      <c r="G64" s="5" t="s">
        <v>181</v>
      </c>
      <c r="H64" s="5" t="s">
        <v>182</v>
      </c>
      <c r="I64" s="3" t="s">
        <v>89</v>
      </c>
    </row>
    <row r="65" spans="1:10" ht="71.25" customHeight="1" x14ac:dyDescent="0.15">
      <c r="A65" s="4">
        <v>41678</v>
      </c>
      <c r="B65" s="5" t="s">
        <v>183</v>
      </c>
      <c r="C65" s="5" t="s">
        <v>184</v>
      </c>
      <c r="D65" s="5">
        <v>1</v>
      </c>
      <c r="E65" s="5">
        <v>26.667999999999999</v>
      </c>
      <c r="F65" s="5">
        <v>-82.254999999999995</v>
      </c>
      <c r="G65" s="5" t="s">
        <v>185</v>
      </c>
      <c r="H65" s="5" t="s">
        <v>186</v>
      </c>
      <c r="I65" s="3" t="s">
        <v>89</v>
      </c>
    </row>
    <row r="66" spans="1:10" ht="71.25" customHeight="1" x14ac:dyDescent="0.15">
      <c r="A66" s="4">
        <v>41678</v>
      </c>
      <c r="B66" s="5" t="s">
        <v>183</v>
      </c>
      <c r="C66" s="5" t="s">
        <v>184</v>
      </c>
      <c r="D66" s="5">
        <v>3</v>
      </c>
      <c r="E66" s="5">
        <v>26.638999999999999</v>
      </c>
      <c r="F66" s="5">
        <v>-82.236999999999995</v>
      </c>
      <c r="G66" s="5" t="s">
        <v>187</v>
      </c>
      <c r="H66" s="5" t="s">
        <v>150</v>
      </c>
      <c r="I66" s="3" t="s">
        <v>142</v>
      </c>
    </row>
    <row r="67" spans="1:10" ht="71.25" customHeight="1" x14ac:dyDescent="0.15">
      <c r="A67" s="4">
        <v>41678</v>
      </c>
      <c r="B67" s="5" t="s">
        <v>188</v>
      </c>
      <c r="C67" s="5" t="s">
        <v>184</v>
      </c>
      <c r="D67" s="5">
        <v>1</v>
      </c>
      <c r="E67" s="5">
        <v>26.553999999999998</v>
      </c>
      <c r="F67" s="5">
        <v>-82.180999999999997</v>
      </c>
      <c r="G67" s="5" t="s">
        <v>189</v>
      </c>
      <c r="H67" s="5" t="s">
        <v>150</v>
      </c>
      <c r="I67" s="3" t="s">
        <v>142</v>
      </c>
    </row>
    <row r="68" spans="1:10" ht="71.25" customHeight="1" x14ac:dyDescent="0.15">
      <c r="A68" s="4">
        <v>41685</v>
      </c>
      <c r="B68" s="5" t="s">
        <v>190</v>
      </c>
      <c r="C68" s="5" t="s">
        <v>191</v>
      </c>
      <c r="D68" s="5">
        <v>1</v>
      </c>
      <c r="E68" s="5">
        <v>26.476828999999999</v>
      </c>
      <c r="F68" s="5">
        <v>-81.970720999999998</v>
      </c>
      <c r="G68" s="5" t="s">
        <v>192</v>
      </c>
      <c r="H68" s="5" t="s">
        <v>193</v>
      </c>
      <c r="I68" s="3" t="s">
        <v>140</v>
      </c>
    </row>
    <row r="69" spans="1:10" ht="71.25" customHeight="1" x14ac:dyDescent="0.15">
      <c r="A69" s="4">
        <v>41682</v>
      </c>
      <c r="B69" s="5" t="s">
        <v>194</v>
      </c>
      <c r="C69" s="5" t="s">
        <v>195</v>
      </c>
      <c r="D69" s="5">
        <v>3</v>
      </c>
      <c r="E69" s="5">
        <v>25.703227999999999</v>
      </c>
      <c r="F69" s="5">
        <v>-80.153599</v>
      </c>
      <c r="G69" s="5" t="s">
        <v>196</v>
      </c>
      <c r="H69" s="5" t="s">
        <v>197</v>
      </c>
      <c r="I69" s="3" t="s">
        <v>15</v>
      </c>
    </row>
    <row r="70" spans="1:10" ht="71.25" customHeight="1" x14ac:dyDescent="0.15">
      <c r="A70" s="4">
        <v>41682</v>
      </c>
      <c r="B70" s="5" t="s">
        <v>194</v>
      </c>
      <c r="C70" s="5" t="s">
        <v>195</v>
      </c>
      <c r="D70" s="5">
        <v>7</v>
      </c>
      <c r="E70" s="5">
        <v>25.705366999999999</v>
      </c>
      <c r="F70" s="5">
        <v>-80.152371000000002</v>
      </c>
      <c r="G70" s="5" t="s">
        <v>198</v>
      </c>
      <c r="H70" s="5" t="s">
        <v>199</v>
      </c>
      <c r="I70" s="3" t="s">
        <v>15</v>
      </c>
      <c r="J70" s="3" t="s">
        <v>200</v>
      </c>
    </row>
    <row r="71" spans="1:10" ht="71.25" customHeight="1" x14ac:dyDescent="0.15"/>
    <row r="72" spans="1:10" ht="71.25" customHeight="1" x14ac:dyDescent="0.15"/>
    <row r="73" spans="1:10" ht="71.25" customHeight="1" x14ac:dyDescent="0.15"/>
    <row r="74" spans="1:10" ht="71.25" customHeight="1" x14ac:dyDescent="0.15"/>
    <row r="75" spans="1:10" ht="71.25" customHeight="1" x14ac:dyDescent="0.15"/>
    <row r="76" spans="1:10" ht="71.25" customHeight="1" x14ac:dyDescent="0.15"/>
    <row r="77" spans="1:10" ht="71.25" customHeight="1" x14ac:dyDescent="0.15"/>
    <row r="78" spans="1:10" ht="71.25" customHeight="1" x14ac:dyDescent="0.15"/>
    <row r="79" spans="1:10" ht="71.25" customHeight="1" x14ac:dyDescent="0.15"/>
    <row r="80" spans="1:10" ht="71.25" customHeight="1" x14ac:dyDescent="0.15"/>
    <row r="81" ht="71.25" customHeight="1" x14ac:dyDescent="0.15"/>
    <row r="82" ht="71.25" customHeight="1" x14ac:dyDescent="0.15"/>
    <row r="83" ht="71.25" customHeight="1" x14ac:dyDescent="0.15"/>
    <row r="84" ht="71.25" customHeight="1" x14ac:dyDescent="0.15"/>
    <row r="85" ht="71.25" customHeight="1" x14ac:dyDescent="0.15"/>
    <row r="86" ht="71.25" customHeight="1" x14ac:dyDescent="0.15"/>
    <row r="87" ht="71.25" customHeight="1" x14ac:dyDescent="0.15"/>
    <row r="88" ht="71.25" customHeight="1" x14ac:dyDescent="0.15"/>
    <row r="89" ht="71.25" customHeight="1" x14ac:dyDescent="0.15"/>
    <row r="90" ht="71.25" customHeight="1" x14ac:dyDescent="0.15"/>
    <row r="91" ht="71.25" customHeight="1" x14ac:dyDescent="0.15"/>
    <row r="92" ht="71.25" customHeight="1" x14ac:dyDescent="0.15"/>
    <row r="93" ht="71.25" customHeight="1" x14ac:dyDescent="0.15"/>
    <row r="94" ht="71.25" customHeight="1" x14ac:dyDescent="0.15"/>
    <row r="95" ht="71.25" customHeight="1" x14ac:dyDescent="0.15"/>
    <row r="96" ht="71.25" customHeight="1" x14ac:dyDescent="0.15"/>
    <row r="97" ht="71.25" customHeight="1" x14ac:dyDescent="0.15"/>
    <row r="98" ht="71.25" customHeight="1" x14ac:dyDescent="0.15"/>
    <row r="99" ht="71.25" customHeight="1" x14ac:dyDescent="0.15"/>
    <row r="100" ht="71.25" customHeight="1" x14ac:dyDescent="0.15"/>
    <row r="101" ht="71.25" customHeight="1" x14ac:dyDescent="0.15"/>
    <row r="102" ht="71.25" customHeight="1" x14ac:dyDescent="0.15"/>
    <row r="103" ht="71.25" customHeight="1" x14ac:dyDescent="0.15"/>
    <row r="104" ht="71.25" customHeight="1" x14ac:dyDescent="0.15"/>
    <row r="105" ht="71.25" customHeight="1" x14ac:dyDescent="0.15"/>
    <row r="106" ht="71.25" customHeight="1" x14ac:dyDescent="0.15"/>
    <row r="107" ht="71.25" customHeight="1" x14ac:dyDescent="0.15"/>
    <row r="108" ht="71.25" customHeight="1" x14ac:dyDescent="0.15"/>
    <row r="109" ht="71.25" customHeight="1" x14ac:dyDescent="0.15"/>
    <row r="110" ht="71.25" customHeight="1" x14ac:dyDescent="0.15"/>
    <row r="111" ht="71.25" customHeight="1" x14ac:dyDescent="0.15"/>
    <row r="112" ht="71.25" customHeight="1" x14ac:dyDescent="0.15"/>
    <row r="113" ht="71.25" customHeight="1" x14ac:dyDescent="0.15"/>
    <row r="114" ht="71.25" customHeight="1" x14ac:dyDescent="0.15"/>
    <row r="115" ht="71.25" customHeight="1" x14ac:dyDescent="0.15"/>
    <row r="116" ht="71.25" customHeight="1" x14ac:dyDescent="0.15"/>
    <row r="117" ht="71.25" customHeight="1" x14ac:dyDescent="0.15"/>
    <row r="118" ht="71.25" customHeight="1" x14ac:dyDescent="0.15"/>
    <row r="119" ht="71.25" customHeight="1" x14ac:dyDescent="0.15"/>
    <row r="120" ht="71.25" customHeight="1" x14ac:dyDescent="0.15"/>
    <row r="121" ht="71.25" customHeight="1" x14ac:dyDescent="0.15"/>
    <row r="122" ht="71.25" customHeight="1" x14ac:dyDescent="0.15"/>
    <row r="123" ht="71.25" customHeight="1" x14ac:dyDescent="0.15"/>
    <row r="124" ht="71.25" customHeight="1" x14ac:dyDescent="0.15"/>
    <row r="125" ht="71.25" customHeight="1" x14ac:dyDescent="0.15"/>
    <row r="126" ht="71.25" customHeight="1" x14ac:dyDescent="0.15"/>
    <row r="127" ht="71.25" customHeight="1" x14ac:dyDescent="0.15"/>
    <row r="128" ht="71.25" customHeight="1" x14ac:dyDescent="0.15"/>
    <row r="129" ht="71.25" customHeight="1" x14ac:dyDescent="0.15"/>
    <row r="130" ht="71.25" customHeight="1" x14ac:dyDescent="0.15"/>
    <row r="131" ht="71.25" customHeight="1" x14ac:dyDescent="0.15"/>
    <row r="132" ht="71.25" customHeight="1" x14ac:dyDescent="0.15"/>
    <row r="133" ht="71.25" customHeight="1" x14ac:dyDescent="0.15"/>
    <row r="134" ht="71.25" customHeight="1" x14ac:dyDescent="0.15"/>
    <row r="135" ht="71.25" customHeight="1" x14ac:dyDescent="0.15"/>
    <row r="136" ht="71.25" customHeight="1" x14ac:dyDescent="0.15"/>
    <row r="137" ht="71.25" customHeight="1" x14ac:dyDescent="0.15"/>
    <row r="138" ht="71.25" customHeight="1" x14ac:dyDescent="0.15"/>
    <row r="139" ht="71.25" customHeight="1" x14ac:dyDescent="0.15"/>
    <row r="140" ht="71.25" customHeight="1" x14ac:dyDescent="0.15"/>
    <row r="141" ht="71.25" customHeight="1" x14ac:dyDescent="0.15"/>
    <row r="142" ht="71.25" customHeight="1" x14ac:dyDescent="0.15"/>
    <row r="143" ht="71.25" customHeight="1" x14ac:dyDescent="0.15"/>
    <row r="144" ht="71.25" customHeight="1" x14ac:dyDescent="0.15"/>
    <row r="145" ht="71.25" customHeight="1" x14ac:dyDescent="0.15"/>
    <row r="146" ht="71.25" customHeight="1" x14ac:dyDescent="0.15"/>
    <row r="147" ht="71.25" customHeight="1" x14ac:dyDescent="0.15"/>
    <row r="148" ht="71.25" customHeight="1" x14ac:dyDescent="0.15"/>
    <row r="149" ht="71.25" customHeight="1" x14ac:dyDescent="0.15"/>
    <row r="150" ht="71.25" customHeight="1" x14ac:dyDescent="0.15"/>
    <row r="151" ht="71.25" customHeight="1" x14ac:dyDescent="0.15"/>
    <row r="152" ht="71.25" customHeight="1" x14ac:dyDescent="0.15"/>
    <row r="153" ht="71.25" customHeight="1" x14ac:dyDescent="0.15"/>
    <row r="154" ht="71.25" customHeight="1" x14ac:dyDescent="0.15"/>
    <row r="155" ht="71.25" customHeight="1" x14ac:dyDescent="0.15"/>
    <row r="156" ht="71.25" customHeight="1" x14ac:dyDescent="0.15"/>
    <row r="157" ht="71.25" customHeight="1" x14ac:dyDescent="0.15"/>
    <row r="158" ht="71.25" customHeight="1" x14ac:dyDescent="0.15"/>
    <row r="159" ht="71.25" customHeight="1" x14ac:dyDescent="0.15"/>
    <row r="160" ht="71.25" customHeight="1" x14ac:dyDescent="0.15"/>
    <row r="161" ht="71.25" customHeight="1" x14ac:dyDescent="0.15"/>
    <row r="162" ht="71.25" customHeight="1" x14ac:dyDescent="0.15"/>
    <row r="163" ht="71.25" customHeight="1" x14ac:dyDescent="0.15"/>
    <row r="164" ht="71.25" customHeight="1" x14ac:dyDescent="0.15"/>
    <row r="165" ht="71.25" customHeight="1" x14ac:dyDescent="0.15"/>
    <row r="166" ht="71.25" customHeight="1" x14ac:dyDescent="0.15"/>
    <row r="167" ht="71.25" customHeight="1" x14ac:dyDescent="0.15"/>
    <row r="168" ht="71.25" customHeight="1" x14ac:dyDescent="0.15"/>
    <row r="169" ht="71.25" customHeight="1" x14ac:dyDescent="0.15"/>
    <row r="170" ht="71.25" customHeight="1" x14ac:dyDescent="0.15"/>
    <row r="171" ht="42.75" customHeight="1" x14ac:dyDescent="0.15"/>
    <row r="172" ht="71.25" customHeight="1" x14ac:dyDescent="0.15"/>
    <row r="173" ht="71.25" customHeight="1" x14ac:dyDescent="0.15"/>
    <row r="174" ht="71.25" customHeight="1" x14ac:dyDescent="0.15"/>
    <row r="175" ht="71.25" customHeight="1" x14ac:dyDescent="0.15"/>
    <row r="176" ht="71.25" customHeight="1" x14ac:dyDescent="0.15"/>
    <row r="177" ht="71.25" customHeight="1" x14ac:dyDescent="0.15"/>
    <row r="178" ht="71.25" customHeight="1" x14ac:dyDescent="0.15"/>
    <row r="179" ht="71.25" customHeight="1" x14ac:dyDescent="0.15"/>
    <row r="180" ht="71.25" customHeight="1" x14ac:dyDescent="0.15"/>
    <row r="181" ht="71.25" customHeight="1" x14ac:dyDescent="0.15"/>
    <row r="182" ht="71.25" customHeight="1" x14ac:dyDescent="0.15"/>
    <row r="183" ht="71.25" customHeight="1" x14ac:dyDescent="0.15"/>
    <row r="184" ht="71.25" customHeight="1" x14ac:dyDescent="0.15"/>
    <row r="185" ht="71.25" customHeight="1" x14ac:dyDescent="0.15"/>
    <row r="186" ht="71.25" customHeight="1" x14ac:dyDescent="0.15"/>
    <row r="187" ht="71.25" customHeight="1" x14ac:dyDescent="0.15"/>
    <row r="188" ht="71.25" customHeight="1" x14ac:dyDescent="0.15"/>
    <row r="189" ht="71.25" customHeight="1" x14ac:dyDescent="0.15"/>
    <row r="190" ht="71.25" customHeight="1" x14ac:dyDescent="0.15"/>
    <row r="191" ht="71.25" customHeight="1" x14ac:dyDescent="0.15"/>
    <row r="192" ht="71.25" customHeight="1" x14ac:dyDescent="0.15"/>
    <row r="193" ht="71.25" customHeight="1" x14ac:dyDescent="0.15"/>
    <row r="194" ht="71.25" customHeight="1" x14ac:dyDescent="0.15"/>
    <row r="195" ht="71.25" customHeight="1" x14ac:dyDescent="0.15"/>
    <row r="196" ht="45" customHeight="1" x14ac:dyDescent="0.15"/>
    <row r="197" ht="71.25" customHeight="1" x14ac:dyDescent="0.15"/>
    <row r="198" ht="71.25" customHeight="1" x14ac:dyDescent="0.15"/>
    <row r="199" ht="71.25" customHeight="1" x14ac:dyDescent="0.15"/>
    <row r="200" ht="71.25" customHeight="1" x14ac:dyDescent="0.15"/>
    <row r="201" ht="71.25" customHeight="1" x14ac:dyDescent="0.15"/>
    <row r="202" ht="71.25" customHeight="1" x14ac:dyDescent="0.15"/>
    <row r="203" ht="71.25" customHeight="1" x14ac:dyDescent="0.15"/>
    <row r="204" ht="71.25" customHeight="1" x14ac:dyDescent="0.15"/>
    <row r="205" ht="71.25" customHeight="1" x14ac:dyDescent="0.15"/>
    <row r="206" ht="71.25" customHeight="1" x14ac:dyDescent="0.15"/>
    <row r="207" ht="71.25" customHeight="1" x14ac:dyDescent="0.15"/>
    <row r="208" ht="71.25" customHeight="1" x14ac:dyDescent="0.15"/>
    <row r="209" ht="71.25" customHeight="1" x14ac:dyDescent="0.15"/>
    <row r="210" ht="71.25" customHeight="1" x14ac:dyDescent="0.15"/>
    <row r="211" ht="71.25" customHeight="1" x14ac:dyDescent="0.15"/>
    <row r="212" ht="71.25" customHeight="1" x14ac:dyDescent="0.15"/>
    <row r="213" ht="71.25" customHeight="1" x14ac:dyDescent="0.15"/>
    <row r="214" ht="71.25" customHeight="1" x14ac:dyDescent="0.15"/>
    <row r="215" ht="71.25" customHeight="1" x14ac:dyDescent="0.15"/>
    <row r="216" ht="71.25" customHeight="1" x14ac:dyDescent="0.15"/>
    <row r="217" ht="71.25" customHeight="1" x14ac:dyDescent="0.15"/>
    <row r="218" ht="71.25" customHeight="1" x14ac:dyDescent="0.15"/>
    <row r="219" ht="71.25" customHeight="1" x14ac:dyDescent="0.15"/>
    <row r="220" ht="71.25" customHeight="1" x14ac:dyDescent="0.15"/>
    <row r="221" ht="71.25" customHeight="1" x14ac:dyDescent="0.15"/>
    <row r="222" ht="71.25" customHeight="1" x14ac:dyDescent="0.15"/>
    <row r="223" ht="71.25" customHeight="1" x14ac:dyDescent="0.15"/>
    <row r="224" ht="71.25" customHeight="1" x14ac:dyDescent="0.15"/>
    <row r="225" ht="71.25" customHeight="1" x14ac:dyDescent="0.15"/>
    <row r="226" ht="71.25" customHeight="1" x14ac:dyDescent="0.15"/>
    <row r="227" ht="71.25" customHeight="1" x14ac:dyDescent="0.15"/>
    <row r="228" ht="71.25" customHeight="1" x14ac:dyDescent="0.15"/>
    <row r="229" ht="71.25" customHeight="1" x14ac:dyDescent="0.15"/>
    <row r="230" ht="71.25" customHeight="1" x14ac:dyDescent="0.15"/>
    <row r="231" ht="71.25" customHeight="1" x14ac:dyDescent="0.15"/>
    <row r="232" ht="71.25" customHeight="1" x14ac:dyDescent="0.15"/>
    <row r="233" ht="71.25" customHeight="1" x14ac:dyDescent="0.15"/>
    <row r="234" ht="71.25" customHeight="1" x14ac:dyDescent="0.15"/>
    <row r="235" ht="71.25" customHeight="1" x14ac:dyDescent="0.15"/>
    <row r="236" ht="71.25" customHeight="1" x14ac:dyDescent="0.15"/>
    <row r="237" ht="71.25" customHeight="1" x14ac:dyDescent="0.15"/>
    <row r="238" ht="71.25" customHeight="1" x14ac:dyDescent="0.15"/>
    <row r="239" ht="71.25" customHeight="1" x14ac:dyDescent="0.15"/>
    <row r="240" ht="71.25" customHeight="1" x14ac:dyDescent="0.15"/>
    <row r="241" ht="71.25" customHeight="1" x14ac:dyDescent="0.15"/>
    <row r="242" ht="71.25" customHeight="1" x14ac:dyDescent="0.15"/>
    <row r="243" ht="71.25" customHeight="1" x14ac:dyDescent="0.15"/>
    <row r="244" ht="71.25" customHeight="1" x14ac:dyDescent="0.15"/>
    <row r="245" ht="71.25" customHeight="1" x14ac:dyDescent="0.15"/>
    <row r="246" ht="71.25" customHeight="1" x14ac:dyDescent="0.15"/>
    <row r="247" ht="71.25" customHeight="1" x14ac:dyDescent="0.15"/>
    <row r="248" ht="71.25" customHeight="1" x14ac:dyDescent="0.15"/>
    <row r="249" ht="71.25" customHeight="1" x14ac:dyDescent="0.15"/>
    <row r="250" ht="71.25" customHeight="1" x14ac:dyDescent="0.15"/>
    <row r="251" ht="71.25" customHeight="1" x14ac:dyDescent="0.15"/>
    <row r="252" ht="71.25" customHeight="1" x14ac:dyDescent="0.15"/>
    <row r="253" ht="71.25" customHeight="1" x14ac:dyDescent="0.15"/>
    <row r="254" ht="71.25" customHeight="1" x14ac:dyDescent="0.15"/>
    <row r="255" ht="71.25" customHeight="1" x14ac:dyDescent="0.15"/>
    <row r="256" ht="71.25" customHeight="1" x14ac:dyDescent="0.15"/>
    <row r="257" ht="71.25" customHeight="1" x14ac:dyDescent="0.15"/>
    <row r="258" ht="71.25" customHeight="1" x14ac:dyDescent="0.15"/>
    <row r="259" ht="71.25" customHeight="1" x14ac:dyDescent="0.15"/>
    <row r="260" ht="71.25" customHeight="1" x14ac:dyDescent="0.15"/>
    <row r="261" ht="71.25" customHeight="1" x14ac:dyDescent="0.15"/>
    <row r="262" ht="71.25" customHeight="1" x14ac:dyDescent="0.15"/>
    <row r="263" ht="71.25" customHeight="1" x14ac:dyDescent="0.15"/>
    <row r="264" ht="71.25" customHeight="1" x14ac:dyDescent="0.15"/>
    <row r="265" ht="71.25" customHeight="1" x14ac:dyDescent="0.15"/>
    <row r="266" ht="71.25" customHeight="1" x14ac:dyDescent="0.15"/>
    <row r="267" ht="71.25" customHeight="1" x14ac:dyDescent="0.15"/>
    <row r="268" ht="71.25" customHeight="1" x14ac:dyDescent="0.15"/>
    <row r="269" ht="71.25" customHeight="1" x14ac:dyDescent="0.15"/>
    <row r="270" ht="71.25" customHeight="1" x14ac:dyDescent="0.15"/>
    <row r="271" ht="71.25" customHeight="1" x14ac:dyDescent="0.15"/>
    <row r="272" ht="71.25" customHeight="1" x14ac:dyDescent="0.15"/>
    <row r="273" ht="71.25" customHeight="1" x14ac:dyDescent="0.15"/>
    <row r="274" ht="71.25" customHeight="1" x14ac:dyDescent="0.15"/>
    <row r="275" ht="71.25" customHeight="1" x14ac:dyDescent="0.15"/>
    <row r="276" ht="71.25" customHeight="1" x14ac:dyDescent="0.15"/>
    <row r="277" ht="71.25" customHeight="1" x14ac:dyDescent="0.15"/>
    <row r="278" ht="71.25" customHeight="1" x14ac:dyDescent="0.15"/>
    <row r="279" ht="71.25" customHeight="1" x14ac:dyDescent="0.15"/>
    <row r="280" ht="71.25" customHeight="1" x14ac:dyDescent="0.15"/>
    <row r="281" ht="71.25" customHeight="1" x14ac:dyDescent="0.15"/>
    <row r="282" ht="71.25" customHeight="1" x14ac:dyDescent="0.15"/>
    <row r="283" ht="71.25" customHeight="1" x14ac:dyDescent="0.15"/>
    <row r="284" ht="71.25" customHeight="1" x14ac:dyDescent="0.15"/>
    <row r="285" ht="71.25" customHeight="1" x14ac:dyDescent="0.15"/>
    <row r="286" ht="71.25" customHeight="1" x14ac:dyDescent="0.15"/>
    <row r="287" ht="71.25" customHeight="1" x14ac:dyDescent="0.15"/>
    <row r="288" ht="71.25" customHeight="1" x14ac:dyDescent="0.15"/>
    <row r="289" ht="71.25" customHeight="1" x14ac:dyDescent="0.15"/>
    <row r="290" ht="71.25" customHeight="1" x14ac:dyDescent="0.15"/>
    <row r="291" ht="71.25" customHeight="1" x14ac:dyDescent="0.15"/>
    <row r="292" ht="71.25" customHeight="1" x14ac:dyDescent="0.15"/>
    <row r="293" ht="71.25" customHeight="1" x14ac:dyDescent="0.15"/>
    <row r="294" ht="71.25" customHeight="1" x14ac:dyDescent="0.15"/>
    <row r="295" ht="71.25" customHeight="1" x14ac:dyDescent="0.15"/>
    <row r="296" ht="71.25" customHeight="1" x14ac:dyDescent="0.15"/>
    <row r="297" ht="71.25" customHeight="1" x14ac:dyDescent="0.15"/>
    <row r="298" ht="71.25" customHeight="1" x14ac:dyDescent="0.15"/>
    <row r="299" ht="71.25" customHeight="1" x14ac:dyDescent="0.15"/>
    <row r="300" ht="71.25" customHeight="1" x14ac:dyDescent="0.15"/>
    <row r="301" ht="71.25" customHeight="1" x14ac:dyDescent="0.15"/>
    <row r="302" ht="71.25" customHeight="1" x14ac:dyDescent="0.15"/>
    <row r="303" ht="71.25" customHeight="1" x14ac:dyDescent="0.15"/>
    <row r="304" ht="71.25" customHeight="1" x14ac:dyDescent="0.15"/>
    <row r="305" ht="71.25" customHeight="1" x14ac:dyDescent="0.15"/>
    <row r="306" ht="71.25" customHeight="1" x14ac:dyDescent="0.15"/>
    <row r="307" ht="71.25" customHeight="1" x14ac:dyDescent="0.15"/>
    <row r="308" ht="71.25" customHeight="1" x14ac:dyDescent="0.15"/>
    <row r="309" ht="71.25" customHeight="1" x14ac:dyDescent="0.15"/>
    <row r="310" ht="71.25" customHeight="1" x14ac:dyDescent="0.15"/>
    <row r="311" ht="71.25" customHeight="1" x14ac:dyDescent="0.15"/>
    <row r="312" ht="71.25" customHeight="1" x14ac:dyDescent="0.15"/>
    <row r="313" ht="71.25" customHeight="1" x14ac:dyDescent="0.15"/>
    <row r="314" ht="71.25" customHeight="1" x14ac:dyDescent="0.15"/>
    <row r="315" ht="71.25" customHeight="1" x14ac:dyDescent="0.15"/>
    <row r="316" ht="71.25" customHeight="1" x14ac:dyDescent="0.15"/>
    <row r="317" ht="71.25" customHeight="1" x14ac:dyDescent="0.15"/>
    <row r="318" ht="71.25" customHeight="1" x14ac:dyDescent="0.15"/>
    <row r="319" ht="71.25" customHeight="1" x14ac:dyDescent="0.15"/>
    <row r="320" ht="71.25" customHeight="1" x14ac:dyDescent="0.15"/>
    <row r="321" ht="71.25" customHeight="1" x14ac:dyDescent="0.15"/>
    <row r="322" ht="71.25" customHeight="1" x14ac:dyDescent="0.15"/>
    <row r="323" ht="71.25" customHeight="1" x14ac:dyDescent="0.15"/>
    <row r="324" ht="71.25" customHeight="1" x14ac:dyDescent="0.15"/>
    <row r="325" ht="71.25" customHeight="1" x14ac:dyDescent="0.15"/>
    <row r="326" ht="71.25" customHeight="1" x14ac:dyDescent="0.15"/>
    <row r="327" ht="71.25" customHeight="1" x14ac:dyDescent="0.15"/>
    <row r="328" ht="71.25" customHeight="1" x14ac:dyDescent="0.15"/>
    <row r="329" ht="71.25" customHeight="1" x14ac:dyDescent="0.15"/>
    <row r="330" ht="71.25" customHeight="1" x14ac:dyDescent="0.15"/>
    <row r="331" ht="71.25" customHeight="1" x14ac:dyDescent="0.15"/>
    <row r="332" ht="71.25" customHeight="1" x14ac:dyDescent="0.15"/>
    <row r="333" ht="71.25" customHeight="1" x14ac:dyDescent="0.15"/>
    <row r="334" ht="71.25" customHeight="1" x14ac:dyDescent="0.15"/>
    <row r="335" ht="71.25" customHeight="1" x14ac:dyDescent="0.15"/>
    <row r="336" ht="71.25" customHeight="1" x14ac:dyDescent="0.15"/>
    <row r="337" ht="71.25" customHeight="1" x14ac:dyDescent="0.15"/>
    <row r="338" ht="71.25" customHeight="1" x14ac:dyDescent="0.15"/>
    <row r="339" ht="71.25" customHeight="1" x14ac:dyDescent="0.15"/>
    <row r="340" ht="71.25" customHeight="1" x14ac:dyDescent="0.15"/>
    <row r="341" ht="71.25" customHeight="1" x14ac:dyDescent="0.15"/>
    <row r="342" ht="71.25" customHeight="1" x14ac:dyDescent="0.15"/>
    <row r="343" ht="71.25" customHeight="1" x14ac:dyDescent="0.15"/>
    <row r="344" ht="71.25" customHeight="1" x14ac:dyDescent="0.15"/>
    <row r="345" ht="71.25" customHeight="1" x14ac:dyDescent="0.15"/>
    <row r="346" ht="71.25" customHeight="1" x14ac:dyDescent="0.15"/>
    <row r="347" ht="71.25" customHeight="1" x14ac:dyDescent="0.15"/>
    <row r="348" ht="71.25" customHeight="1" x14ac:dyDescent="0.15"/>
    <row r="349" ht="71.25" customHeight="1" x14ac:dyDescent="0.15"/>
    <row r="350" ht="71.25" customHeight="1" x14ac:dyDescent="0.15"/>
    <row r="351" ht="71.25" customHeight="1" x14ac:dyDescent="0.15"/>
    <row r="352" ht="71.25" customHeight="1" x14ac:dyDescent="0.15"/>
    <row r="353" ht="71.25" customHeight="1" x14ac:dyDescent="0.15"/>
    <row r="354" ht="71.25" customHeight="1" x14ac:dyDescent="0.15"/>
    <row r="355" ht="71.25" customHeight="1" x14ac:dyDescent="0.15"/>
    <row r="356" ht="71.25" customHeight="1" x14ac:dyDescent="0.15"/>
    <row r="357" ht="71.25" customHeight="1" x14ac:dyDescent="0.15"/>
    <row r="358" ht="71.25" customHeight="1" x14ac:dyDescent="0.15"/>
    <row r="359" ht="71.25" customHeight="1" x14ac:dyDescent="0.15"/>
    <row r="360" ht="71.25" customHeight="1" x14ac:dyDescent="0.15"/>
    <row r="361" ht="71.25" customHeight="1" x14ac:dyDescent="0.15"/>
    <row r="362" ht="71.25" customHeight="1" x14ac:dyDescent="0.15"/>
    <row r="363" ht="71.25" customHeight="1" x14ac:dyDescent="0.15"/>
    <row r="364" ht="71.25" customHeight="1" x14ac:dyDescent="0.15"/>
    <row r="365" ht="71.25" customHeight="1" x14ac:dyDescent="0.15"/>
    <row r="366" ht="71.25" customHeight="1" x14ac:dyDescent="0.15"/>
    <row r="367" ht="71.25" customHeight="1" x14ac:dyDescent="0.15"/>
    <row r="368" ht="71.25" customHeight="1" x14ac:dyDescent="0.15"/>
    <row r="369" ht="71.25" customHeight="1" x14ac:dyDescent="0.15"/>
    <row r="370" ht="71.25" customHeight="1" x14ac:dyDescent="0.15"/>
    <row r="371" ht="71.25" customHeight="1" x14ac:dyDescent="0.15"/>
    <row r="372" ht="71.25" customHeight="1" x14ac:dyDescent="0.15"/>
    <row r="373" ht="71.25" customHeight="1" x14ac:dyDescent="0.15"/>
    <row r="374" ht="71.25" customHeight="1" x14ac:dyDescent="0.15"/>
    <row r="375" ht="71.25" customHeight="1" x14ac:dyDescent="0.15"/>
    <row r="376" ht="71.25" customHeight="1" x14ac:dyDescent="0.15"/>
    <row r="377" ht="71.25" customHeight="1" x14ac:dyDescent="0.15"/>
    <row r="378" ht="71.25" customHeight="1" x14ac:dyDescent="0.15"/>
    <row r="379" ht="71.25" customHeight="1" x14ac:dyDescent="0.15"/>
    <row r="380" ht="71.25" customHeight="1" x14ac:dyDescent="0.15"/>
    <row r="381" ht="71.25" customHeight="1" x14ac:dyDescent="0.15"/>
    <row r="382" ht="71.25" customHeight="1" x14ac:dyDescent="0.15"/>
    <row r="383" ht="71.25" customHeight="1" x14ac:dyDescent="0.15"/>
    <row r="384" ht="71.25" customHeight="1" x14ac:dyDescent="0.15"/>
    <row r="385" ht="71.25" customHeight="1" x14ac:dyDescent="0.15"/>
    <row r="386" ht="71.25" customHeight="1" x14ac:dyDescent="0.15"/>
    <row r="387" ht="71.25" customHeight="1" x14ac:dyDescent="0.15"/>
    <row r="388" ht="71.25" customHeight="1" x14ac:dyDescent="0.15"/>
    <row r="389" ht="71.25" customHeight="1" x14ac:dyDescent="0.15"/>
    <row r="390" ht="71.25" customHeight="1" x14ac:dyDescent="0.15"/>
    <row r="391" ht="71.25" customHeight="1" x14ac:dyDescent="0.15"/>
    <row r="392" ht="71.25" customHeight="1" x14ac:dyDescent="0.15"/>
    <row r="393" ht="71.25" customHeight="1" x14ac:dyDescent="0.15"/>
    <row r="394" ht="71.25" customHeight="1" x14ac:dyDescent="0.15"/>
    <row r="395" ht="71.25" customHeight="1" x14ac:dyDescent="0.15"/>
    <row r="396" ht="71.25" customHeight="1" x14ac:dyDescent="0.15"/>
    <row r="397" ht="71.25" customHeight="1" x14ac:dyDescent="0.15"/>
    <row r="398" ht="71.25" customHeight="1" x14ac:dyDescent="0.15"/>
    <row r="399" ht="71.25" customHeight="1" x14ac:dyDescent="0.15"/>
    <row r="400" ht="71.25" customHeight="1" x14ac:dyDescent="0.15"/>
    <row r="401" ht="71.25" customHeight="1" x14ac:dyDescent="0.15"/>
    <row r="402" ht="71.25" customHeight="1" x14ac:dyDescent="0.15"/>
    <row r="403" ht="71.25" customHeight="1" x14ac:dyDescent="0.15"/>
    <row r="404" ht="71.25" customHeight="1" x14ac:dyDescent="0.15"/>
    <row r="405" ht="71.25" customHeight="1" x14ac:dyDescent="0.15"/>
    <row r="406" ht="71.25" customHeight="1" x14ac:dyDescent="0.15"/>
    <row r="407" ht="71.25" customHeight="1" x14ac:dyDescent="0.15"/>
    <row r="408" ht="71.25" customHeight="1" x14ac:dyDescent="0.15"/>
    <row r="409" ht="71.25" customHeight="1" x14ac:dyDescent="0.15"/>
    <row r="410" ht="71.25" customHeight="1" x14ac:dyDescent="0.15"/>
    <row r="411" ht="71.25" customHeight="1" x14ac:dyDescent="0.15"/>
    <row r="412" ht="71.25" customHeight="1" x14ac:dyDescent="0.15"/>
    <row r="413" ht="71.25" customHeight="1" x14ac:dyDescent="0.15"/>
    <row r="414" ht="71.25" customHeight="1" x14ac:dyDescent="0.15"/>
    <row r="415" ht="71.25" customHeight="1" x14ac:dyDescent="0.15"/>
    <row r="416" ht="71.25" customHeight="1" x14ac:dyDescent="0.15"/>
    <row r="417" ht="71.25" customHeight="1" x14ac:dyDescent="0.15"/>
    <row r="418" ht="71.25" customHeight="1" x14ac:dyDescent="0.15"/>
    <row r="419" ht="71.25" customHeight="1" x14ac:dyDescent="0.15"/>
    <row r="420" ht="71.25" customHeight="1" x14ac:dyDescent="0.15"/>
    <row r="421" ht="71.25" customHeight="1" x14ac:dyDescent="0.15"/>
    <row r="422" ht="71.25" customHeight="1" x14ac:dyDescent="0.15"/>
    <row r="423" ht="71.25" customHeight="1" x14ac:dyDescent="0.15"/>
    <row r="424" ht="71.25" customHeight="1" x14ac:dyDescent="0.15"/>
    <row r="425" ht="71.25" customHeight="1" x14ac:dyDescent="0.15"/>
    <row r="426" ht="71.25" customHeight="1" x14ac:dyDescent="0.15"/>
    <row r="427" ht="71.25" customHeight="1" x14ac:dyDescent="0.15"/>
    <row r="428" ht="71.25" customHeight="1" x14ac:dyDescent="0.15"/>
    <row r="429" ht="71.25" customHeight="1" x14ac:dyDescent="0.15"/>
    <row r="430" ht="71.25" customHeight="1" x14ac:dyDescent="0.15"/>
    <row r="431" ht="71.25" customHeight="1" x14ac:dyDescent="0.15"/>
    <row r="432" ht="71.25" customHeight="1" x14ac:dyDescent="0.15"/>
    <row r="433" ht="71.25" customHeight="1" x14ac:dyDescent="0.15"/>
    <row r="434" ht="71.25" customHeight="1" x14ac:dyDescent="0.15"/>
    <row r="435" ht="71.25" customHeight="1" x14ac:dyDescent="0.15"/>
    <row r="436" ht="71.25" customHeight="1" x14ac:dyDescent="0.15"/>
    <row r="437" ht="71.25" customHeight="1" x14ac:dyDescent="0.15"/>
    <row r="438" ht="71.25" customHeight="1" x14ac:dyDescent="0.15"/>
    <row r="439" ht="71.25" customHeight="1" x14ac:dyDescent="0.15"/>
    <row r="440" ht="71.25" customHeight="1" x14ac:dyDescent="0.15"/>
    <row r="441" ht="71.25" customHeight="1" x14ac:dyDescent="0.15"/>
    <row r="442" ht="71.25" customHeight="1" x14ac:dyDescent="0.15"/>
    <row r="443" ht="71.25" customHeight="1" x14ac:dyDescent="0.15"/>
    <row r="444" ht="71.25" customHeight="1" x14ac:dyDescent="0.15"/>
    <row r="445" ht="71.25" customHeight="1" x14ac:dyDescent="0.15"/>
    <row r="446" ht="71.25" customHeight="1" x14ac:dyDescent="0.15"/>
    <row r="447" ht="71.25" customHeight="1" x14ac:dyDescent="0.15"/>
    <row r="448" ht="71.25" customHeight="1" x14ac:dyDescent="0.15"/>
    <row r="449" ht="71.25" customHeight="1" x14ac:dyDescent="0.15"/>
    <row r="450" ht="71.25" customHeight="1" x14ac:dyDescent="0.15"/>
    <row r="451" ht="71.25" customHeight="1" x14ac:dyDescent="0.15"/>
    <row r="452" ht="71.25" customHeight="1" x14ac:dyDescent="0.15"/>
    <row r="453" ht="71.25" customHeight="1" x14ac:dyDescent="0.15"/>
  </sheetData>
  <mergeCells count="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DF9B6-31A7-E547-B3B5-7D2FCEF208CA}">
  <dimension ref="A1"/>
  <sheetViews>
    <sheetView workbookViewId="0"/>
  </sheetViews>
  <sheetFormatPr baseColWidth="10" defaultRowHeight="13"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Total Survey Counts</vt:lpstr>
      <vt:lpstr>Indiv Flock GPS &amp; bands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Poudel</cp:lastModifiedBy>
  <dcterms:created xsi:type="dcterms:W3CDTF">2026-03-03T18:25:05Z</dcterms:created>
  <dcterms:modified xsi:type="dcterms:W3CDTF">2026-03-03T19:48:12Z</dcterms:modified>
</cp:coreProperties>
</file>