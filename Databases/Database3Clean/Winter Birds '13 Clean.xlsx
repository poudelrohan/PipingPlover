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hanpoudel/Documents/USFWS/PipingPlover/Databases/Database3Clean/"/>
    </mc:Choice>
  </mc:AlternateContent>
  <xr:revisionPtr revIDLastSave="0" documentId="13_ncr:1_{21B89E5C-8130-B843-9D8E-8463F5A9C66E}" xr6:coauthVersionLast="47" xr6:coauthVersionMax="47" xr10:uidLastSave="{00000000-0000-0000-0000-000000000000}"/>
  <bookViews>
    <workbookView xWindow="-4560" yWindow="-21000" windowWidth="19200" windowHeight="21000" xr2:uid="{00000000-000D-0000-FFFF-FFFF00000000}"/>
  </bookViews>
  <sheets>
    <sheet name="Species GPS" sheetId="1" r:id="rId1"/>
    <sheet name="cou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2" l="1"/>
  <c r="M17" i="2"/>
  <c r="M16" i="2"/>
  <c r="M15" i="2"/>
  <c r="M14" i="2"/>
  <c r="M13" i="2"/>
  <c r="M12" i="2"/>
  <c r="M11" i="2"/>
  <c r="M10" i="2"/>
  <c r="M4" i="2" s="1"/>
  <c r="M9" i="2"/>
  <c r="M8" i="2"/>
  <c r="M7" i="2"/>
  <c r="M6" i="2"/>
  <c r="M5" i="2"/>
  <c r="M3" i="2"/>
</calcChain>
</file>

<file path=xl/sharedStrings.xml><?xml version="1.0" encoding="utf-8"?>
<sst xmlns="http://schemas.openxmlformats.org/spreadsheetml/2006/main" count="195" uniqueCount="127">
  <si>
    <t xml:space="preserve">Location </t>
  </si>
  <si>
    <t>County</t>
  </si>
  <si>
    <t>Starting Latitude</t>
  </si>
  <si>
    <t>Starting Longitude</t>
  </si>
  <si>
    <t>Ending Latitude</t>
  </si>
  <si>
    <t>Ending Longitude</t>
  </si>
  <si>
    <t>Observers</t>
  </si>
  <si>
    <t>Email address (of primary observer)</t>
  </si>
  <si>
    <t xml:space="preserve">Date </t>
  </si>
  <si>
    <t>Starting Time</t>
  </si>
  <si>
    <t>Piping Plover</t>
  </si>
  <si>
    <t>GRAND TOTAL</t>
  </si>
  <si>
    <t>Comments</t>
  </si>
  <si>
    <t>Anclote Key- north route</t>
  </si>
  <si>
    <t>Pasco</t>
  </si>
  <si>
    <t>DLarremore, CMaxwell, ACornett</t>
  </si>
  <si>
    <t>daniel.larremore@dep.state.fl.us</t>
  </si>
  <si>
    <t>Anclote Key- south route</t>
  </si>
  <si>
    <t>Pinellas</t>
  </si>
  <si>
    <t>LKenney, TCarey, SArmstrong</t>
  </si>
  <si>
    <t>likenney@aol.com</t>
  </si>
  <si>
    <t>Big Marco Pass CWA</t>
  </si>
  <si>
    <t>Collier</t>
  </si>
  <si>
    <t>Ricardo Zambrano, Carol Rizkalla</t>
  </si>
  <si>
    <t>rzambrano@myfwc.com</t>
  </si>
  <si>
    <t>Caladesi Island State Park</t>
  </si>
  <si>
    <t>Sid Crawford</t>
  </si>
  <si>
    <t>blumax100@gmail.com</t>
  </si>
  <si>
    <t>8:00a</t>
  </si>
  <si>
    <t>Cayo Costa R2-N. of Lagoon to S. of Lagoon</t>
  </si>
  <si>
    <t>Lee</t>
  </si>
  <si>
    <t>Marie Di Rosa, Anita Marshall</t>
  </si>
  <si>
    <t>mariegrayson1@yahoo.com</t>
  </si>
  <si>
    <t>2 SNPL at 26.669, -82.256. 4 WIPL at 26.675, -82.261. 10 WIPL with mixed flock at 26.673, -82.259. 1 PIPL with mixed flock at 26.673, -82.259. Other flock members included 62 RBGU, 37 HEGU, 30 LAGU, 25 BRPE, 3 COTE, 5 FOTE, 2 SATE, 20 ROTE, 20 DUN, 8 sh-billed DOW. a second huge flock was located at 26.669, -82.254. It consisted of 10 TV, 70 HEGU, 115 RBGU, 2 BRPE, 29 ROTE, 3 FOTE, 1 SATE, 5 Sanderling.</t>
  </si>
  <si>
    <t>Fort De Soto Park North Beach</t>
  </si>
  <si>
    <t>-82.737674°</t>
  </si>
  <si>
    <t>Don and Lorraine Margeson</t>
  </si>
  <si>
    <t>donlocomm@aol.com</t>
  </si>
  <si>
    <t>Honeymoon Island - north route</t>
  </si>
  <si>
    <t>DLarremore, LKenney</t>
  </si>
  <si>
    <t>Huguenot Memorial Park</t>
  </si>
  <si>
    <t>Duval</t>
  </si>
  <si>
    <t>same as starting. 3 mile long loop survey</t>
  </si>
  <si>
    <t>same as starting</t>
  </si>
  <si>
    <t>Kevin Dailey and Laura Johannsen</t>
  </si>
  <si>
    <t>kedailey@yahoo.com</t>
  </si>
  <si>
    <t>Mid-Fort De Soto, Route 1</t>
  </si>
  <si>
    <t>Nancy Ogden</t>
  </si>
  <si>
    <t>verdnan23@gmail.com</t>
  </si>
  <si>
    <t>North Rockhouse Creek Shoal island, Ponce Inlet</t>
  </si>
  <si>
    <t>Volusia</t>
  </si>
  <si>
    <t>J. Winters, J. Milio, M. Wilson</t>
  </si>
  <si>
    <t>jwinters@volusia.org</t>
  </si>
  <si>
    <t>Noth Anclote Bar</t>
  </si>
  <si>
    <t>DGagne, BPranty, VPonzi</t>
  </si>
  <si>
    <t>oporornis77@yahoo.com</t>
  </si>
  <si>
    <t>Shell Key</t>
  </si>
  <si>
    <t>Ron Smith, Randy Harron &amp; Sue Tavaglione</t>
  </si>
  <si>
    <t>rsmith52@tampabay.rr.com</t>
  </si>
  <si>
    <t>The numer of red heads is a minimum estimate</t>
  </si>
  <si>
    <t>South Volusia County: Intercoastal/Indian River Lagoon/Wetlands - Piddler Island to Eldora and Campbell Cut except for waters and islands off Ponce Inlet and Smyrna Dunes Park</t>
  </si>
  <si>
    <t>Ken Gunn, Tad Fyock, Don Picard, Fern Murphy, Andrea Lux, Eli Shapero, Tom Lee, Mort Rosenblum. Snoookie De Marcie</t>
  </si>
  <si>
    <t>gunnsatbeach@cfl.rr.com</t>
  </si>
  <si>
    <t>Three Rooker Bar - South</t>
  </si>
  <si>
    <t>Sid Crawford, John Hood</t>
  </si>
  <si>
    <t>9:00a</t>
  </si>
  <si>
    <t>Start-end - not straight line. Follow shoreline; intermediate GPS @ 28.10556 x -82.82885</t>
  </si>
  <si>
    <t>Three Rooker Bar Mid-North Route</t>
  </si>
  <si>
    <t>Anastasia Steinbrunner, Angela, Rachel</t>
  </si>
  <si>
    <t>anastasia.steinbrunner@gmail.com</t>
  </si>
  <si>
    <t>D Larremore, M Korosy</t>
  </si>
  <si>
    <t>Daniel.Larremore@dep.state.fl.us</t>
  </si>
  <si>
    <t>Three Rooker Bar- North</t>
  </si>
  <si>
    <t>Laura-Marie Koitsch, David Hopkins</t>
  </si>
  <si>
    <t>thebirdnerd42@gmail.com</t>
  </si>
  <si>
    <t>Low Tide Rising. Beaufort: 3, Cover: 80%. Temp: 65F. No banded birds.  4 PIPLs at 28.13096, -82.82991. Deceased Sea Turtle at 28.12988, -82.83199.</t>
  </si>
  <si>
    <t>yes</t>
  </si>
  <si>
    <t>Location (all lines of data need a location)</t>
  </si>
  <si>
    <t>Focal species (PIPL, SNPL, REKN, WIPL, other banded birds)</t>
  </si>
  <si>
    <t>No. of individuals of same species or flock size</t>
  </si>
  <si>
    <t>List species in flock</t>
  </si>
  <si>
    <t>(Individual bird or flock) Latitude</t>
  </si>
  <si>
    <t>(Individual bird or flock) Longitude</t>
  </si>
  <si>
    <t>Flag color and code (REKN, AMOY, other)</t>
  </si>
  <si>
    <t>Color band combo (Left leg top to bottom, Right leg top to bottom)</t>
  </si>
  <si>
    <t>PIPL- 8, SNPL- 4, WIPL- 3</t>
  </si>
  <si>
    <t>100+</t>
  </si>
  <si>
    <t xml:space="preserve">RUTU, SAND, DUNL, BBPL, WILL, SPPL, </t>
  </si>
  <si>
    <t>1 banded PIPL seen, flushed before reading</t>
  </si>
  <si>
    <t>14 WIPL, 46 PIPL, 30 SNPL, 2 REKN</t>
  </si>
  <si>
    <t>SNPL - 1, PIPL - 5, WIPL - 7, mixed flock</t>
  </si>
  <si>
    <t>RUTU, BBPL, SEPL, SBDO, WILL, WIPL, REEG, WESA, PIPL, SNPL, DUNL</t>
  </si>
  <si>
    <t>RZambrano, CRizkalla</t>
  </si>
  <si>
    <t>ricardo.zambrano@myfwc.om</t>
  </si>
  <si>
    <t>Honeymoon Island- north route</t>
  </si>
  <si>
    <t>WIPL-1, PIPL-2</t>
  </si>
  <si>
    <t>RUTU, SAND, DUNL</t>
  </si>
  <si>
    <t>DLarremore, LKinney</t>
  </si>
  <si>
    <t>PIPL-2</t>
  </si>
  <si>
    <t>SAND, RUTU, SPPL</t>
  </si>
  <si>
    <t>WIPL-1, PIPL-8</t>
  </si>
  <si>
    <t>SAND, SPPL</t>
  </si>
  <si>
    <t>left- Green flag above, 0 below. right-green band above, white over orange below</t>
  </si>
  <si>
    <t>WIPL-1, PIPL-1</t>
  </si>
  <si>
    <t>DUNL- 50, SPPL, SAND</t>
  </si>
  <si>
    <t>PIPL- 1</t>
  </si>
  <si>
    <t>Mid-Fort De Soto Rte 1</t>
  </si>
  <si>
    <t>PIPL</t>
  </si>
  <si>
    <t>North Anclote Bar</t>
  </si>
  <si>
    <t>10 SNPL, 8 WIPL, 16 PIPL, 42 REKN</t>
  </si>
  <si>
    <t>DGagne, BPranty</t>
  </si>
  <si>
    <t>REKN- 2 w/  green flags, no codes reported. PIPL- green flag</t>
  </si>
  <si>
    <t>left- 0 above, orange over blue below. right- green flag above, yellow over silver below.</t>
  </si>
  <si>
    <t>North Rockhouse Creek Shoals island, Ponce Inlet</t>
  </si>
  <si>
    <t xml:space="preserve">PIPL </t>
  </si>
  <si>
    <t>J.Winters, J. Milio, M. Wilson</t>
  </si>
  <si>
    <t>n/A</t>
  </si>
  <si>
    <t>none banded</t>
  </si>
  <si>
    <t>N/A</t>
  </si>
  <si>
    <t xml:space="preserve">South Volusia County; Indian River Lagoon </t>
  </si>
  <si>
    <t>70 DUNL; 5 BRPE; 5 GREG; 7SNEC; 20RBGU; 3LAGU</t>
  </si>
  <si>
    <t>Ken Gunn, Don Picard</t>
  </si>
  <si>
    <t>In small mixed flock</t>
  </si>
  <si>
    <t>High up on beach close to dunes</t>
  </si>
  <si>
    <t xml:space="preserve">yes byt remove other species name only keep the pipl and count of the pipl there is if no number then assume 1 or try ot match it with the column beside us </t>
  </si>
  <si>
    <t>not needed we just need the number of PIPL on the left side column, if the left side column doesnot have a num this column might have one</t>
  </si>
  <si>
    <t>no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</si>
</sst>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\ h:mm:ss"/>
  </numFmts>
  <fonts count="4" x14ac:knownFonts="1">
    <font>
      <sz val="10"/>
      <color rgb="FF000000"/>
      <name val="Arial"/>
    </font>
    <font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3" fontId="2" fillId="5" borderId="0" xfId="0" applyNumberFormat="1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166" fontId="3" fillId="0" borderId="0" xfId="0" applyNumberFormat="1" applyFont="1" applyAlignment="1">
      <alignment wrapText="1"/>
    </xf>
    <xf numFmtId="0" fontId="3" fillId="0" borderId="0" xfId="0" applyFont="1"/>
    <xf numFmtId="21" fontId="3" fillId="0" borderId="0" xfId="0" applyNumberFormat="1" applyFont="1" applyAlignment="1">
      <alignment wrapText="1"/>
    </xf>
    <xf numFmtId="3" fontId="2" fillId="6" borderId="0" xfId="0" applyNumberFormat="1" applyFont="1" applyFill="1" applyAlignment="1">
      <alignment wrapText="1"/>
    </xf>
    <xf numFmtId="14" fontId="1" fillId="0" borderId="0" xfId="0" applyNumberFormat="1" applyFont="1" applyAlignment="1">
      <alignment wrapText="1"/>
    </xf>
    <xf numFmtId="21" fontId="1" fillId="0" borderId="0" xfId="0" applyNumberFormat="1" applyFont="1" applyAlignment="1">
      <alignment wrapText="1"/>
    </xf>
    <xf numFmtId="0" fontId="3" fillId="2" borderId="0" xfId="0" applyFont="1" applyFill="1" applyAlignment="1">
      <alignment wrapText="1"/>
    </xf>
    <xf numFmtId="14" fontId="3" fillId="2" borderId="0" xfId="0" applyNumberFormat="1" applyFont="1" applyFill="1" applyAlignment="1">
      <alignment wrapText="1"/>
    </xf>
    <xf numFmtId="21" fontId="3" fillId="2" borderId="0" xfId="0" applyNumberFormat="1" applyFont="1" applyFill="1" applyAlignment="1">
      <alignment wrapText="1"/>
    </xf>
    <xf numFmtId="3" fontId="2" fillId="2" borderId="0" xfId="0" applyNumberFormat="1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30"/>
  <sheetViews>
    <sheetView tabSelected="1" topLeftCell="I1" workbookViewId="0">
      <pane ySplit="2" topLeftCell="A3" activePane="bottomLeft" state="frozen"/>
      <selection pane="bottomLeft" activeCell="N1" sqref="N1"/>
    </sheetView>
  </sheetViews>
  <sheetFormatPr baseColWidth="10" defaultColWidth="14.5" defaultRowHeight="12.75" customHeight="1" x14ac:dyDescent="0.15"/>
  <cols>
    <col min="1" max="1" width="17.33203125" style="18" customWidth="1"/>
    <col min="2" max="2" width="22.5" style="18" customWidth="1"/>
    <col min="3" max="3" width="26.1640625" style="18" customWidth="1"/>
    <col min="4" max="4" width="17.33203125" style="18" customWidth="1"/>
    <col min="5" max="5" width="25.5" style="18" customWidth="1"/>
    <col min="6" max="7" width="17.33203125" style="18" customWidth="1"/>
    <col min="8" max="8" width="20.33203125" style="18" customWidth="1"/>
    <col min="9" max="9" width="21.6640625" style="18" customWidth="1"/>
    <col min="10" max="10" width="18.6640625" style="18" customWidth="1"/>
    <col min="11" max="11" width="22.83203125" style="18" customWidth="1"/>
    <col min="12" max="12" width="60.5" style="18" customWidth="1"/>
  </cols>
  <sheetData>
    <row r="1" spans="1:12" ht="38" customHeight="1" x14ac:dyDescent="0.15">
      <c r="A1" s="9" t="s">
        <v>76</v>
      </c>
      <c r="B1" s="9" t="s">
        <v>76</v>
      </c>
      <c r="C1" s="9" t="s">
        <v>124</v>
      </c>
      <c r="D1" s="9" t="s">
        <v>125</v>
      </c>
      <c r="E1" s="9" t="s">
        <v>126</v>
      </c>
      <c r="F1" s="4" t="s">
        <v>76</v>
      </c>
      <c r="G1" s="4" t="s">
        <v>76</v>
      </c>
      <c r="H1" s="9" t="s">
        <v>76</v>
      </c>
      <c r="I1" s="9" t="s">
        <v>76</v>
      </c>
      <c r="J1" s="9" t="s">
        <v>76</v>
      </c>
      <c r="K1" s="9" t="s">
        <v>76</v>
      </c>
      <c r="L1" s="9" t="s">
        <v>76</v>
      </c>
    </row>
    <row r="2" spans="1:12" ht="90" customHeight="1" x14ac:dyDescent="0.15">
      <c r="A2" s="1" t="s">
        <v>8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6</v>
      </c>
      <c r="I2" s="1" t="s">
        <v>7</v>
      </c>
      <c r="J2" s="1" t="s">
        <v>83</v>
      </c>
      <c r="K2" s="1" t="s">
        <v>84</v>
      </c>
      <c r="L2" s="2" t="s">
        <v>12</v>
      </c>
    </row>
    <row r="3" spans="1:12" ht="71.25" customHeight="1" x14ac:dyDescent="0.15">
      <c r="A3" s="3">
        <v>41313</v>
      </c>
      <c r="B3" s="4" t="s">
        <v>13</v>
      </c>
      <c r="C3" s="4" t="s">
        <v>85</v>
      </c>
      <c r="D3" s="4" t="s">
        <v>86</v>
      </c>
      <c r="E3" s="4" t="s">
        <v>87</v>
      </c>
      <c r="F3" s="4">
        <v>28.213999999999999</v>
      </c>
      <c r="G3" s="4">
        <v>-82.846999999999994</v>
      </c>
      <c r="H3" s="4" t="s">
        <v>15</v>
      </c>
      <c r="I3" s="4" t="s">
        <v>16</v>
      </c>
      <c r="J3" s="6">
        <v>0</v>
      </c>
      <c r="K3" s="6">
        <v>0</v>
      </c>
      <c r="L3" s="4" t="s">
        <v>88</v>
      </c>
    </row>
    <row r="4" spans="1:12" ht="71.25" customHeight="1" x14ac:dyDescent="0.15">
      <c r="A4" s="3">
        <v>41313</v>
      </c>
      <c r="B4" s="4" t="s">
        <v>17</v>
      </c>
      <c r="C4" s="4" t="s">
        <v>89</v>
      </c>
      <c r="D4" s="4"/>
      <c r="E4" s="4"/>
      <c r="F4" s="4">
        <v>28.159300000000002</v>
      </c>
      <c r="G4" s="4">
        <v>-82.843400000000003</v>
      </c>
      <c r="H4" s="4" t="s">
        <v>19</v>
      </c>
      <c r="I4" s="4" t="s">
        <v>20</v>
      </c>
      <c r="L4" s="4"/>
    </row>
    <row r="5" spans="1:12" ht="71.25" customHeight="1" x14ac:dyDescent="0.15">
      <c r="A5" s="3">
        <v>41306</v>
      </c>
      <c r="B5" s="4" t="s">
        <v>21</v>
      </c>
      <c r="C5" s="4" t="s">
        <v>90</v>
      </c>
      <c r="D5" s="4">
        <v>221</v>
      </c>
      <c r="E5" s="4" t="s">
        <v>91</v>
      </c>
      <c r="F5" s="4">
        <v>25.952909999999999</v>
      </c>
      <c r="G5" s="4">
        <v>-81.750929999999997</v>
      </c>
      <c r="H5" s="4" t="s">
        <v>92</v>
      </c>
      <c r="I5" s="4" t="s">
        <v>93</v>
      </c>
      <c r="J5" s="6">
        <v>0</v>
      </c>
      <c r="K5" s="6">
        <v>0</v>
      </c>
      <c r="L5" s="4"/>
    </row>
    <row r="6" spans="1:12" ht="71.25" customHeight="1" x14ac:dyDescent="0.15">
      <c r="A6" s="3">
        <v>41315</v>
      </c>
      <c r="B6" s="4" t="s">
        <v>94</v>
      </c>
      <c r="C6" s="4" t="s">
        <v>95</v>
      </c>
      <c r="D6" s="4">
        <v>20</v>
      </c>
      <c r="E6" s="4" t="s">
        <v>96</v>
      </c>
      <c r="F6" s="4">
        <v>28.092600000000001</v>
      </c>
      <c r="G6" s="4">
        <v>-82.836100000000002</v>
      </c>
      <c r="H6" s="4" t="s">
        <v>97</v>
      </c>
      <c r="I6" s="4" t="s">
        <v>16</v>
      </c>
      <c r="J6" s="6">
        <v>0</v>
      </c>
      <c r="K6" s="6">
        <v>0</v>
      </c>
      <c r="L6" s="4"/>
    </row>
    <row r="7" spans="1:12" ht="71.25" customHeight="1" x14ac:dyDescent="0.15">
      <c r="A7" s="3">
        <v>41315</v>
      </c>
      <c r="B7" s="4" t="s">
        <v>94</v>
      </c>
      <c r="C7" s="4" t="s">
        <v>98</v>
      </c>
      <c r="D7" s="4">
        <v>8</v>
      </c>
      <c r="E7" s="4" t="s">
        <v>99</v>
      </c>
      <c r="F7" s="4">
        <v>28.093699999999998</v>
      </c>
      <c r="G7" s="4">
        <v>-82.836200000000005</v>
      </c>
      <c r="H7" s="4" t="s">
        <v>97</v>
      </c>
      <c r="I7" s="4" t="s">
        <v>16</v>
      </c>
      <c r="J7" s="6">
        <v>0</v>
      </c>
      <c r="K7" s="6">
        <v>0</v>
      </c>
      <c r="L7" s="4"/>
    </row>
    <row r="8" spans="1:12" ht="71.25" customHeight="1" x14ac:dyDescent="0.15">
      <c r="A8" s="3">
        <v>41315</v>
      </c>
      <c r="B8" s="4" t="s">
        <v>94</v>
      </c>
      <c r="C8" s="4" t="s">
        <v>100</v>
      </c>
      <c r="D8" s="4">
        <v>12</v>
      </c>
      <c r="E8" s="4" t="s">
        <v>101</v>
      </c>
      <c r="F8" s="4">
        <v>28.0947</v>
      </c>
      <c r="G8" s="4">
        <v>-82.836100000000002</v>
      </c>
      <c r="H8" s="4" t="s">
        <v>97</v>
      </c>
      <c r="I8" s="4" t="s">
        <v>16</v>
      </c>
      <c r="J8" s="6">
        <v>0</v>
      </c>
      <c r="K8" s="6" t="s">
        <v>102</v>
      </c>
      <c r="L8" s="4"/>
    </row>
    <row r="9" spans="1:12" ht="71.25" customHeight="1" x14ac:dyDescent="0.15">
      <c r="A9" s="3">
        <v>41315</v>
      </c>
      <c r="B9" s="4" t="s">
        <v>94</v>
      </c>
      <c r="C9" s="4" t="s">
        <v>103</v>
      </c>
      <c r="D9" s="4">
        <v>65</v>
      </c>
      <c r="E9" s="4" t="s">
        <v>104</v>
      </c>
      <c r="F9" s="4">
        <v>28.097899999999999</v>
      </c>
      <c r="G9" s="4">
        <v>-82.835400000000007</v>
      </c>
      <c r="H9" s="4" t="s">
        <v>97</v>
      </c>
      <c r="I9" s="4" t="s">
        <v>16</v>
      </c>
      <c r="J9" s="6">
        <v>0</v>
      </c>
      <c r="K9" s="6">
        <v>0</v>
      </c>
      <c r="L9" s="4"/>
    </row>
    <row r="10" spans="1:12" ht="71.25" customHeight="1" x14ac:dyDescent="0.15">
      <c r="A10" s="3">
        <v>41315</v>
      </c>
      <c r="B10" s="4" t="s">
        <v>94</v>
      </c>
      <c r="C10" s="4" t="s">
        <v>105</v>
      </c>
      <c r="D10" s="4">
        <v>6</v>
      </c>
      <c r="E10" s="4" t="s">
        <v>96</v>
      </c>
      <c r="F10" s="4">
        <v>28.098400000000002</v>
      </c>
      <c r="G10" s="4">
        <v>-82.834900000000005</v>
      </c>
      <c r="H10" s="4" t="s">
        <v>97</v>
      </c>
      <c r="I10" s="4" t="s">
        <v>16</v>
      </c>
      <c r="J10" s="6">
        <v>0</v>
      </c>
      <c r="K10" s="6">
        <v>0</v>
      </c>
      <c r="L10" s="4"/>
    </row>
    <row r="11" spans="1:12" ht="71.25" customHeight="1" x14ac:dyDescent="0.15">
      <c r="A11" s="3">
        <v>41311</v>
      </c>
      <c r="B11" s="4" t="s">
        <v>106</v>
      </c>
      <c r="C11" s="4" t="s">
        <v>107</v>
      </c>
      <c r="D11" s="4">
        <v>1</v>
      </c>
      <c r="E11" s="4"/>
      <c r="F11" s="4">
        <v>27.620139999999999</v>
      </c>
      <c r="G11" s="4">
        <v>82.736680000000007</v>
      </c>
      <c r="H11" s="4" t="s">
        <v>47</v>
      </c>
      <c r="I11" s="4" t="s">
        <v>48</v>
      </c>
      <c r="L11" s="4"/>
    </row>
    <row r="12" spans="1:12" ht="71.25" customHeight="1" x14ac:dyDescent="0.15">
      <c r="A12" s="3">
        <v>41313</v>
      </c>
      <c r="B12" s="4" t="s">
        <v>108</v>
      </c>
      <c r="C12" s="4" t="s">
        <v>109</v>
      </c>
      <c r="D12" s="4"/>
      <c r="E12" s="4"/>
      <c r="F12" s="4">
        <v>28.233699999999999</v>
      </c>
      <c r="G12" s="4">
        <v>-82.838999999999999</v>
      </c>
      <c r="H12" s="4" t="s">
        <v>110</v>
      </c>
      <c r="I12" s="4" t="s">
        <v>55</v>
      </c>
      <c r="J12" s="6" t="s">
        <v>111</v>
      </c>
      <c r="K12" s="6" t="s">
        <v>112</v>
      </c>
      <c r="L12" s="4"/>
    </row>
    <row r="13" spans="1:12" ht="71.25" customHeight="1" x14ac:dyDescent="0.15">
      <c r="A13" s="3">
        <v>41313</v>
      </c>
      <c r="B13" s="4" t="s">
        <v>113</v>
      </c>
      <c r="C13" s="4" t="s">
        <v>114</v>
      </c>
      <c r="D13" s="4">
        <v>8</v>
      </c>
      <c r="E13" s="4" t="s">
        <v>107</v>
      </c>
      <c r="F13" s="4">
        <v>29.069715946999999</v>
      </c>
      <c r="G13" s="4">
        <v>-80.925780970000005</v>
      </c>
      <c r="H13" s="4" t="s">
        <v>115</v>
      </c>
      <c r="I13" s="4" t="s">
        <v>52</v>
      </c>
      <c r="J13" s="6" t="s">
        <v>116</v>
      </c>
      <c r="K13" s="6" t="s">
        <v>117</v>
      </c>
      <c r="L13" s="4"/>
    </row>
    <row r="14" spans="1:12" ht="71.25" customHeight="1" x14ac:dyDescent="0.15">
      <c r="A14" s="3">
        <v>41313</v>
      </c>
      <c r="B14" s="4" t="s">
        <v>113</v>
      </c>
      <c r="C14" s="4" t="s">
        <v>107</v>
      </c>
      <c r="D14" s="4">
        <v>2</v>
      </c>
      <c r="E14" s="4" t="s">
        <v>107</v>
      </c>
      <c r="F14" s="4">
        <v>29.069830320000001</v>
      </c>
      <c r="G14" s="4">
        <v>-80.925780970000005</v>
      </c>
      <c r="H14" s="4" t="s">
        <v>51</v>
      </c>
      <c r="I14" s="4" t="s">
        <v>52</v>
      </c>
      <c r="J14" s="6" t="s">
        <v>118</v>
      </c>
      <c r="K14" s="6" t="s">
        <v>117</v>
      </c>
      <c r="L14" s="4"/>
    </row>
    <row r="15" spans="1:12" ht="71.25" customHeight="1" x14ac:dyDescent="0.15">
      <c r="A15" s="3">
        <v>41313</v>
      </c>
      <c r="B15" s="4" t="s">
        <v>119</v>
      </c>
      <c r="C15" s="4" t="s">
        <v>107</v>
      </c>
      <c r="D15" s="4">
        <v>7</v>
      </c>
      <c r="E15" s="4" t="s">
        <v>120</v>
      </c>
      <c r="F15" s="4">
        <v>28.570136999999999</v>
      </c>
      <c r="G15" s="4">
        <v>-80.874516</v>
      </c>
      <c r="H15" s="4" t="s">
        <v>121</v>
      </c>
      <c r="I15" s="4" t="s">
        <v>62</v>
      </c>
      <c r="L15" s="4"/>
    </row>
    <row r="16" spans="1:12" ht="71.25" customHeight="1" x14ac:dyDescent="0.15">
      <c r="A16" s="3">
        <v>41313</v>
      </c>
      <c r="B16" s="4" t="s">
        <v>119</v>
      </c>
      <c r="C16" s="4" t="s">
        <v>107</v>
      </c>
      <c r="D16" s="4">
        <v>8</v>
      </c>
      <c r="E16" s="4" t="s">
        <v>122</v>
      </c>
      <c r="F16" s="4">
        <v>29.001266000000001</v>
      </c>
      <c r="G16" s="4">
        <v>-80.900015999999994</v>
      </c>
      <c r="H16" s="4" t="s">
        <v>121</v>
      </c>
      <c r="I16" s="4" t="s">
        <v>62</v>
      </c>
      <c r="L16" s="4"/>
    </row>
    <row r="17" spans="1:12" ht="71.25" customHeight="1" x14ac:dyDescent="0.15">
      <c r="A17" s="3">
        <v>41381</v>
      </c>
      <c r="B17" s="4" t="s">
        <v>106</v>
      </c>
      <c r="C17" s="4" t="s">
        <v>107</v>
      </c>
      <c r="D17" s="4">
        <v>1</v>
      </c>
      <c r="E17" s="4"/>
      <c r="F17" s="4">
        <v>27.61177</v>
      </c>
      <c r="G17" s="4">
        <v>82.736170000000001</v>
      </c>
      <c r="H17" s="4" t="s">
        <v>47</v>
      </c>
      <c r="I17" s="4" t="s">
        <v>48</v>
      </c>
      <c r="L17" s="4" t="s">
        <v>123</v>
      </c>
    </row>
    <row r="18" spans="1:12" ht="71.25" customHeight="1" x14ac:dyDescent="0.15"/>
    <row r="19" spans="1:12" ht="71.25" customHeight="1" x14ac:dyDescent="0.15"/>
    <row r="20" spans="1:12" ht="71.25" customHeight="1" x14ac:dyDescent="0.15"/>
    <row r="21" spans="1:12" ht="71.25" customHeight="1" x14ac:dyDescent="0.15"/>
    <row r="22" spans="1:12" ht="71.25" customHeight="1" x14ac:dyDescent="0.15"/>
    <row r="23" spans="1:12" ht="71.25" customHeight="1" x14ac:dyDescent="0.15"/>
    <row r="24" spans="1:12" ht="71.25" customHeight="1" x14ac:dyDescent="0.15"/>
    <row r="25" spans="1:12" ht="71.25" customHeight="1" x14ac:dyDescent="0.15"/>
    <row r="26" spans="1:12" ht="71.25" customHeight="1" x14ac:dyDescent="0.15"/>
    <row r="27" spans="1:12" ht="71.25" customHeight="1" x14ac:dyDescent="0.15"/>
    <row r="28" spans="1:12" ht="71.25" customHeight="1" x14ac:dyDescent="0.15"/>
    <row r="29" spans="1:12" ht="71.25" customHeight="1" x14ac:dyDescent="0.15"/>
    <row r="30" spans="1:12" ht="71.25" customHeight="1" x14ac:dyDescent="0.15"/>
    <row r="31" spans="1:12" ht="71.25" customHeight="1" x14ac:dyDescent="0.15"/>
    <row r="32" spans="1:12" ht="71.25" customHeight="1" x14ac:dyDescent="0.15"/>
    <row r="33" ht="71.25" customHeight="1" x14ac:dyDescent="0.15"/>
    <row r="34" ht="71.25" customHeight="1" x14ac:dyDescent="0.15"/>
    <row r="35" ht="71.25" customHeight="1" x14ac:dyDescent="0.15"/>
    <row r="36" ht="71.25" customHeight="1" x14ac:dyDescent="0.15"/>
    <row r="37" ht="71.25" customHeight="1" x14ac:dyDescent="0.15"/>
    <row r="38" ht="71.25" customHeight="1" x14ac:dyDescent="0.15"/>
    <row r="39" ht="71.25" customHeight="1" x14ac:dyDescent="0.15"/>
    <row r="40" ht="71.25" customHeight="1" x14ac:dyDescent="0.15"/>
    <row r="41" ht="71.25" customHeight="1" x14ac:dyDescent="0.15"/>
    <row r="42" ht="71.25" customHeight="1" x14ac:dyDescent="0.15"/>
    <row r="43" ht="71.25" customHeight="1" x14ac:dyDescent="0.15"/>
    <row r="44" ht="71.25" customHeight="1" x14ac:dyDescent="0.15"/>
    <row r="45" ht="71.25" customHeight="1" x14ac:dyDescent="0.15"/>
    <row r="46" ht="71.25" customHeight="1" x14ac:dyDescent="0.15"/>
    <row r="47" ht="71.25" customHeight="1" x14ac:dyDescent="0.15"/>
    <row r="48" ht="71.25" customHeight="1" x14ac:dyDescent="0.15"/>
    <row r="49" ht="71.25" customHeight="1" x14ac:dyDescent="0.15"/>
    <row r="50" ht="71.25" customHeight="1" x14ac:dyDescent="0.15"/>
    <row r="51" ht="71.25" customHeight="1" x14ac:dyDescent="0.15"/>
    <row r="52" ht="71.25" customHeight="1" x14ac:dyDescent="0.15"/>
    <row r="53" ht="71.25" customHeight="1" x14ac:dyDescent="0.15"/>
    <row r="54" ht="71.25" customHeight="1" x14ac:dyDescent="0.15"/>
    <row r="55" ht="71.25" customHeight="1" x14ac:dyDescent="0.15"/>
    <row r="56" ht="71.25" customHeight="1" x14ac:dyDescent="0.15"/>
    <row r="57" ht="71.25" customHeight="1" x14ac:dyDescent="0.15"/>
    <row r="58" ht="71.25" customHeight="1" x14ac:dyDescent="0.15"/>
    <row r="59" ht="71.25" customHeight="1" x14ac:dyDescent="0.15"/>
    <row r="60" ht="71.25" customHeight="1" x14ac:dyDescent="0.15"/>
    <row r="61" ht="71.25" customHeight="1" x14ac:dyDescent="0.15"/>
    <row r="62" ht="71.25" customHeight="1" x14ac:dyDescent="0.15"/>
    <row r="63" ht="71.25" customHeight="1" x14ac:dyDescent="0.15"/>
    <row r="64" ht="71.25" customHeight="1" x14ac:dyDescent="0.15"/>
    <row r="65" ht="71.25" customHeight="1" x14ac:dyDescent="0.15"/>
    <row r="66" ht="71.25" customHeight="1" x14ac:dyDescent="0.15"/>
    <row r="67" ht="71.25" customHeight="1" x14ac:dyDescent="0.15"/>
    <row r="68" ht="71.25" customHeight="1" x14ac:dyDescent="0.15"/>
    <row r="69" ht="71.25" customHeight="1" x14ac:dyDescent="0.15"/>
    <row r="70" ht="71.25" customHeight="1" x14ac:dyDescent="0.15"/>
    <row r="71" ht="71.25" customHeight="1" x14ac:dyDescent="0.15"/>
    <row r="72" ht="71.25" customHeight="1" x14ac:dyDescent="0.15"/>
    <row r="73" ht="71.25" customHeight="1" x14ac:dyDescent="0.15"/>
    <row r="74" ht="71.25" customHeight="1" x14ac:dyDescent="0.15"/>
    <row r="75" ht="71.25" customHeight="1" x14ac:dyDescent="0.15"/>
    <row r="76" ht="71.25" customHeight="1" x14ac:dyDescent="0.15"/>
    <row r="77" ht="71.25" customHeight="1" x14ac:dyDescent="0.15"/>
    <row r="78" ht="71.25" customHeight="1" x14ac:dyDescent="0.15"/>
    <row r="79" ht="71.25" customHeight="1" x14ac:dyDescent="0.15"/>
    <row r="80" ht="71.25" customHeight="1" x14ac:dyDescent="0.15"/>
    <row r="81" ht="71.25" customHeight="1" x14ac:dyDescent="0.15"/>
    <row r="82" ht="71.25" customHeight="1" x14ac:dyDescent="0.15"/>
    <row r="83" ht="71.25" customHeight="1" x14ac:dyDescent="0.15"/>
    <row r="84" ht="71.25" customHeight="1" x14ac:dyDescent="0.15"/>
    <row r="85" ht="71.25" customHeight="1" x14ac:dyDescent="0.15"/>
    <row r="86" ht="71.25" customHeight="1" x14ac:dyDescent="0.15"/>
    <row r="87" ht="71.25" customHeight="1" x14ac:dyDescent="0.15"/>
    <row r="88" ht="71.25" customHeight="1" x14ac:dyDescent="0.15"/>
    <row r="89" ht="71.25" customHeight="1" x14ac:dyDescent="0.15"/>
    <row r="90" ht="71.25" customHeight="1" x14ac:dyDescent="0.15"/>
    <row r="91" ht="71.25" customHeight="1" x14ac:dyDescent="0.15"/>
    <row r="92" ht="71.25" customHeight="1" x14ac:dyDescent="0.15"/>
    <row r="93" ht="71.25" customHeight="1" x14ac:dyDescent="0.15"/>
    <row r="94" ht="71.25" customHeight="1" x14ac:dyDescent="0.15"/>
    <row r="95" ht="71.25" customHeight="1" x14ac:dyDescent="0.15"/>
    <row r="96" ht="71.25" customHeight="1" x14ac:dyDescent="0.15"/>
    <row r="97" ht="71.25" customHeight="1" x14ac:dyDescent="0.15"/>
    <row r="98" ht="71.25" customHeight="1" x14ac:dyDescent="0.15"/>
    <row r="99" ht="71.25" customHeight="1" x14ac:dyDescent="0.15"/>
    <row r="100" ht="71.25" customHeight="1" x14ac:dyDescent="0.15"/>
    <row r="101" ht="71.25" customHeight="1" x14ac:dyDescent="0.15"/>
    <row r="102" ht="71.25" customHeight="1" x14ac:dyDescent="0.15"/>
    <row r="103" ht="71.25" customHeight="1" x14ac:dyDescent="0.15"/>
    <row r="104" ht="71.25" customHeight="1" x14ac:dyDescent="0.15"/>
    <row r="105" ht="71.25" customHeight="1" x14ac:dyDescent="0.15"/>
    <row r="106" ht="71.25" customHeight="1" x14ac:dyDescent="0.15"/>
    <row r="107" ht="71.25" customHeight="1" x14ac:dyDescent="0.15"/>
    <row r="108" ht="71.25" customHeight="1" x14ac:dyDescent="0.15"/>
    <row r="109" ht="71.25" customHeight="1" x14ac:dyDescent="0.15"/>
    <row r="110" ht="71.25" customHeight="1" x14ac:dyDescent="0.15"/>
    <row r="111" ht="71.25" customHeight="1" x14ac:dyDescent="0.15"/>
    <row r="112" ht="71.25" customHeight="1" x14ac:dyDescent="0.15"/>
    <row r="113" ht="71.25" customHeight="1" x14ac:dyDescent="0.15"/>
    <row r="114" ht="71.25" customHeight="1" x14ac:dyDescent="0.15"/>
    <row r="115" ht="71.25" customHeight="1" x14ac:dyDescent="0.15"/>
    <row r="116" ht="71.25" customHeight="1" x14ac:dyDescent="0.15"/>
    <row r="117" ht="71.25" customHeight="1" x14ac:dyDescent="0.15"/>
    <row r="118" ht="71.25" customHeight="1" x14ac:dyDescent="0.15"/>
    <row r="119" ht="71.25" customHeight="1" x14ac:dyDescent="0.15"/>
    <row r="120" ht="71.25" customHeight="1" x14ac:dyDescent="0.15"/>
    <row r="121" ht="71.25" customHeight="1" x14ac:dyDescent="0.15"/>
    <row r="122" ht="71.25" customHeight="1" x14ac:dyDescent="0.15"/>
    <row r="123" ht="71.25" customHeight="1" x14ac:dyDescent="0.15"/>
    <row r="124" ht="71.25" customHeight="1" x14ac:dyDescent="0.15"/>
    <row r="125" ht="71.25" customHeight="1" x14ac:dyDescent="0.15"/>
    <row r="126" ht="71.25" customHeight="1" x14ac:dyDescent="0.15"/>
    <row r="127" ht="71.25" customHeight="1" x14ac:dyDescent="0.15"/>
    <row r="128" ht="71.25" customHeight="1" x14ac:dyDescent="0.15"/>
    <row r="129" ht="71.25" customHeight="1" x14ac:dyDescent="0.15"/>
    <row r="130" ht="71.2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C140"/>
  <sheetViews>
    <sheetView workbookViewId="0">
      <pane ySplit="3" topLeftCell="A4" activePane="bottomLeft" state="frozen"/>
      <selection pane="bottomLeft"/>
    </sheetView>
  </sheetViews>
  <sheetFormatPr baseColWidth="10" defaultColWidth="14.5" defaultRowHeight="12.75" customHeight="1" x14ac:dyDescent="0.15"/>
  <cols>
    <col min="1" max="1" width="17.33203125" style="18" customWidth="1"/>
    <col min="2" max="2" width="17" style="18" customWidth="1"/>
    <col min="3" max="3" width="15" style="18" customWidth="1"/>
    <col min="4" max="4" width="15.6640625" style="18" customWidth="1"/>
    <col min="5" max="5" width="14.1640625" style="18" customWidth="1"/>
    <col min="6" max="6" width="15.1640625" style="18" customWidth="1"/>
    <col min="7" max="7" width="20.6640625" style="18" customWidth="1"/>
    <col min="8" max="8" width="27" style="18" customWidth="1"/>
    <col min="9" max="9" width="17.6640625" style="18" customWidth="1"/>
    <col min="10" max="10" width="10.33203125" style="18" customWidth="1"/>
    <col min="11" max="99" width="17.33203125" style="18" customWidth="1"/>
    <col min="100" max="100" width="17.6640625" style="18" customWidth="1"/>
    <col min="101" max="104" width="17.33203125" style="18" customWidth="1"/>
    <col min="105" max="105" width="36.5" style="18" customWidth="1"/>
    <col min="106" max="106" width="17.33203125" style="18" customWidth="1"/>
    <col min="107" max="107" width="42.6640625" style="18" customWidth="1"/>
  </cols>
  <sheetData>
    <row r="1" spans="1:14" ht="13" x14ac:dyDescent="0.15"/>
    <row r="2" spans="1:14" ht="30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5" t="s">
        <v>11</v>
      </c>
      <c r="N2" s="2" t="s">
        <v>12</v>
      </c>
    </row>
    <row r="3" spans="1:14" ht="15" customHeight="1" x14ac:dyDescent="0.15">
      <c r="A3" s="6" t="s">
        <v>13</v>
      </c>
      <c r="B3" s="6" t="s">
        <v>14</v>
      </c>
      <c r="C3" s="6">
        <v>28.213999999999999</v>
      </c>
      <c r="D3" s="6">
        <v>-82.846999999999994</v>
      </c>
      <c r="E3" s="6">
        <v>28.187999999999999</v>
      </c>
      <c r="F3" s="6">
        <v>-82.850999999999999</v>
      </c>
      <c r="G3" s="6" t="s">
        <v>15</v>
      </c>
      <c r="H3" s="6" t="s">
        <v>16</v>
      </c>
      <c r="J3" s="12">
        <v>41313</v>
      </c>
      <c r="K3" s="13">
        <v>0.41666666666666669</v>
      </c>
      <c r="L3" s="6">
        <v>8</v>
      </c>
      <c r="M3" s="11">
        <f>SUM(L9:DA9)</f>
        <v>14</v>
      </c>
    </row>
    <row r="4" spans="1:14" ht="15" customHeight="1" x14ac:dyDescent="0.15">
      <c r="A4" s="4" t="s">
        <v>17</v>
      </c>
      <c r="B4" s="4" t="s">
        <v>18</v>
      </c>
      <c r="C4" s="4">
        <v>28.156400000000001</v>
      </c>
      <c r="D4" s="4">
        <v>-82.8369</v>
      </c>
      <c r="E4" s="4">
        <v>28.187999999999999</v>
      </c>
      <c r="F4" s="4">
        <v>-82.850999999999999</v>
      </c>
      <c r="G4" s="4" t="s">
        <v>19</v>
      </c>
      <c r="H4" s="4" t="s">
        <v>20</v>
      </c>
      <c r="I4" s="4"/>
      <c r="J4" s="3">
        <v>41313</v>
      </c>
      <c r="K4" s="10">
        <v>0.3888888888888889</v>
      </c>
      <c r="L4" s="6">
        <v>46</v>
      </c>
      <c r="M4" s="11">
        <f>SUM(L10:DA10)</f>
        <v>6</v>
      </c>
      <c r="N4" s="4"/>
    </row>
    <row r="5" spans="1:14" ht="15" customHeight="1" x14ac:dyDescent="0.15">
      <c r="A5" s="6" t="s">
        <v>21</v>
      </c>
      <c r="B5" s="6" t="s">
        <v>22</v>
      </c>
      <c r="C5" s="6">
        <v>25.9481</v>
      </c>
      <c r="D5" s="6">
        <v>-81.743819999999999</v>
      </c>
      <c r="E5" s="6">
        <v>25.966975000000001</v>
      </c>
      <c r="F5" s="6">
        <v>-81.744856999999996</v>
      </c>
      <c r="G5" s="6" t="s">
        <v>23</v>
      </c>
      <c r="H5" s="6" t="s">
        <v>24</v>
      </c>
      <c r="J5" s="12">
        <v>41306</v>
      </c>
      <c r="K5" s="13">
        <v>0.44791666666666669</v>
      </c>
      <c r="L5" s="6">
        <v>5</v>
      </c>
      <c r="M5" s="11">
        <f>SUM(L14:DA14)</f>
        <v>23</v>
      </c>
    </row>
    <row r="6" spans="1:14" ht="28.5" customHeight="1" x14ac:dyDescent="0.15">
      <c r="A6" s="4" t="s">
        <v>25</v>
      </c>
      <c r="B6" s="4" t="s">
        <v>18</v>
      </c>
      <c r="C6" s="4">
        <v>28.03154</v>
      </c>
      <c r="D6" s="4">
        <v>-82.822819999999993</v>
      </c>
      <c r="E6" s="4">
        <v>28.05189</v>
      </c>
      <c r="F6" s="4">
        <v>-82.815910000000002</v>
      </c>
      <c r="G6" s="4" t="s">
        <v>26</v>
      </c>
      <c r="H6" s="4" t="s">
        <v>27</v>
      </c>
      <c r="I6" s="4"/>
      <c r="J6" s="3">
        <v>41314</v>
      </c>
      <c r="K6" s="8" t="s">
        <v>28</v>
      </c>
      <c r="L6" s="6">
        <v>9</v>
      </c>
      <c r="M6" s="11">
        <f>SUM(L18:DA18)</f>
        <v>29</v>
      </c>
    </row>
    <row r="7" spans="1:14" ht="42.75" customHeight="1" x14ac:dyDescent="0.15">
      <c r="A7" s="4" t="s">
        <v>29</v>
      </c>
      <c r="B7" s="4" t="s">
        <v>30</v>
      </c>
      <c r="C7" s="4">
        <v>26.684349999999998</v>
      </c>
      <c r="D7" s="4">
        <v>-82.261420000000001</v>
      </c>
      <c r="E7" s="4">
        <v>26.669090000000001</v>
      </c>
      <c r="F7" s="4">
        <v>-82.25515</v>
      </c>
      <c r="G7" s="4" t="s">
        <v>31</v>
      </c>
      <c r="H7" s="4" t="s">
        <v>32</v>
      </c>
      <c r="I7" s="4"/>
      <c r="J7" s="3">
        <v>41313</v>
      </c>
      <c r="K7" s="10">
        <v>0.39583333333333331</v>
      </c>
      <c r="L7" s="6">
        <v>1</v>
      </c>
      <c r="M7" s="11">
        <f>SUM(L22:DA22)</f>
        <v>0</v>
      </c>
      <c r="N7" s="4" t="s">
        <v>33</v>
      </c>
    </row>
    <row r="8" spans="1:14" ht="60" customHeight="1" x14ac:dyDescent="0.15">
      <c r="A8" s="14" t="s">
        <v>34</v>
      </c>
      <c r="B8" s="14" t="s">
        <v>18</v>
      </c>
      <c r="C8" s="14">
        <v>27.631007</v>
      </c>
      <c r="D8" s="14" t="s">
        <v>35</v>
      </c>
      <c r="E8" s="14">
        <v>27.645883000000001</v>
      </c>
      <c r="F8" s="14">
        <v>-82.740690000000001</v>
      </c>
      <c r="G8" s="14" t="s">
        <v>36</v>
      </c>
      <c r="H8" s="14" t="s">
        <v>37</v>
      </c>
      <c r="I8" s="14"/>
      <c r="J8" s="15">
        <v>41315</v>
      </c>
      <c r="K8" s="16">
        <v>0.41666666666666669</v>
      </c>
      <c r="L8" s="14">
        <v>1</v>
      </c>
      <c r="M8" s="17">
        <f>SUM(L31:DA31)</f>
        <v>0</v>
      </c>
      <c r="N8" s="14"/>
    </row>
    <row r="9" spans="1:14" ht="28" customHeight="1" x14ac:dyDescent="0.15">
      <c r="A9" s="6" t="s">
        <v>38</v>
      </c>
      <c r="B9" s="6" t="s">
        <v>18</v>
      </c>
      <c r="C9" s="6">
        <v>28.06288</v>
      </c>
      <c r="D9" s="6">
        <v>-82.831500000000005</v>
      </c>
      <c r="E9" s="6">
        <v>28.097899999999999</v>
      </c>
      <c r="F9" s="6">
        <v>-82.835400000000007</v>
      </c>
      <c r="G9" s="6" t="s">
        <v>39</v>
      </c>
      <c r="H9" s="6" t="s">
        <v>16</v>
      </c>
      <c r="J9" s="12">
        <v>41315</v>
      </c>
      <c r="K9" s="13">
        <v>0.41666666666666669</v>
      </c>
      <c r="L9" s="6">
        <v>14</v>
      </c>
      <c r="M9" s="11">
        <f>SUM(L42:DA42)</f>
        <v>0</v>
      </c>
    </row>
    <row r="10" spans="1:14" ht="28" customHeight="1" x14ac:dyDescent="0.15">
      <c r="A10" s="4" t="s">
        <v>40</v>
      </c>
      <c r="B10" s="4" t="s">
        <v>41</v>
      </c>
      <c r="C10" s="4">
        <v>30.407041</v>
      </c>
      <c r="D10" s="4">
        <v>-81.411541</v>
      </c>
      <c r="E10" s="4" t="s">
        <v>42</v>
      </c>
      <c r="F10" s="4" t="s">
        <v>43</v>
      </c>
      <c r="G10" s="4" t="s">
        <v>44</v>
      </c>
      <c r="H10" s="4" t="s">
        <v>45</v>
      </c>
      <c r="I10" s="4"/>
      <c r="J10" s="3">
        <v>41307</v>
      </c>
      <c r="K10" s="10">
        <v>0.28819444444444442</v>
      </c>
      <c r="L10" s="4">
        <v>6</v>
      </c>
      <c r="M10" s="11">
        <f>SUM(L44:DA44)</f>
        <v>0</v>
      </c>
      <c r="N10" s="4"/>
    </row>
    <row r="11" spans="1:14" ht="28.5" customHeight="1" x14ac:dyDescent="0.15">
      <c r="A11" s="4" t="s">
        <v>46</v>
      </c>
      <c r="B11" s="4" t="s">
        <v>18</v>
      </c>
      <c r="C11" s="4">
        <v>27.78886</v>
      </c>
      <c r="D11" s="4">
        <v>82.636420000000001</v>
      </c>
      <c r="E11" s="4">
        <v>27.632809999999999</v>
      </c>
      <c r="F11" s="4">
        <v>82.740859999999998</v>
      </c>
      <c r="G11" s="4" t="s">
        <v>47</v>
      </c>
      <c r="H11" s="4" t="s">
        <v>48</v>
      </c>
      <c r="I11" s="4"/>
      <c r="J11" s="3">
        <v>41311</v>
      </c>
      <c r="K11" s="10">
        <v>0.35625000000000001</v>
      </c>
      <c r="L11" s="4">
        <v>1</v>
      </c>
      <c r="M11" s="11">
        <f>SUM(L76:DA76)</f>
        <v>0</v>
      </c>
    </row>
    <row r="12" spans="1:14" ht="26.25" customHeight="1" x14ac:dyDescent="0.15">
      <c r="A12" s="6" t="s">
        <v>49</v>
      </c>
      <c r="B12" s="6" t="s">
        <v>50</v>
      </c>
      <c r="C12" s="6">
        <v>29.066860999999999</v>
      </c>
      <c r="D12" s="6">
        <v>-80.926130000000001</v>
      </c>
      <c r="E12" s="6">
        <v>29.075074999999998</v>
      </c>
      <c r="F12" s="6">
        <v>-80.932095000000004</v>
      </c>
      <c r="G12" s="6" t="s">
        <v>51</v>
      </c>
      <c r="H12" s="6" t="s">
        <v>52</v>
      </c>
      <c r="J12" s="12">
        <v>41313</v>
      </c>
      <c r="K12" s="6">
        <v>945</v>
      </c>
      <c r="L12" s="6">
        <v>10</v>
      </c>
      <c r="M12" s="11">
        <f>SUM(L83:DA83)</f>
        <v>0</v>
      </c>
    </row>
    <row r="13" spans="1:14" ht="42.75" customHeight="1" x14ac:dyDescent="0.15">
      <c r="A13" s="4" t="s">
        <v>53</v>
      </c>
      <c r="B13" s="4" t="s">
        <v>14</v>
      </c>
      <c r="C13" s="4">
        <v>28.2348</v>
      </c>
      <c r="D13" s="4">
        <v>-82.836699999999993</v>
      </c>
      <c r="E13" s="4">
        <v>28.225300000000001</v>
      </c>
      <c r="F13" s="4">
        <v>-82.840800000000002</v>
      </c>
      <c r="G13" s="4" t="s">
        <v>54</v>
      </c>
      <c r="H13" s="4" t="s">
        <v>55</v>
      </c>
      <c r="I13" s="4"/>
      <c r="J13" s="3">
        <v>41313</v>
      </c>
      <c r="K13" s="10">
        <v>0.34027777777777779</v>
      </c>
      <c r="L13" s="6">
        <v>16</v>
      </c>
      <c r="M13" s="11">
        <f>SUM(L88:DA88)</f>
        <v>0</v>
      </c>
      <c r="N13" s="4"/>
    </row>
    <row r="14" spans="1:14" ht="28" customHeight="1" x14ac:dyDescent="0.15">
      <c r="A14" s="4" t="s">
        <v>56</v>
      </c>
      <c r="B14" s="4" t="s">
        <v>18</v>
      </c>
      <c r="C14" s="7">
        <v>27.674976999999998</v>
      </c>
      <c r="D14" s="7">
        <v>-82.732201000000003</v>
      </c>
      <c r="E14" s="7">
        <v>27.664373000000001</v>
      </c>
      <c r="F14" s="7">
        <v>-82.744817999999995</v>
      </c>
      <c r="G14" s="4" t="s">
        <v>57</v>
      </c>
      <c r="H14" s="4" t="s">
        <v>58</v>
      </c>
      <c r="I14" s="4"/>
      <c r="J14" s="3">
        <v>41308</v>
      </c>
      <c r="K14" s="10">
        <v>0.375</v>
      </c>
      <c r="L14" s="4">
        <v>23</v>
      </c>
      <c r="M14" s="11">
        <f>SUM(L99:DA99)</f>
        <v>0</v>
      </c>
      <c r="N14" s="4" t="s">
        <v>59</v>
      </c>
    </row>
    <row r="15" spans="1:14" ht="42.75" customHeight="1" x14ac:dyDescent="0.15">
      <c r="A15" s="4" t="s">
        <v>60</v>
      </c>
      <c r="B15" s="4" t="s">
        <v>50</v>
      </c>
      <c r="C15" s="4">
        <v>29.093895</v>
      </c>
      <c r="D15" s="4">
        <v>-80949496</v>
      </c>
      <c r="E15" s="4">
        <v>28.921737</v>
      </c>
      <c r="F15" s="4">
        <v>-80.825289999999995</v>
      </c>
      <c r="G15" s="4" t="s">
        <v>61</v>
      </c>
      <c r="H15" s="4" t="s">
        <v>62</v>
      </c>
      <c r="I15" s="4"/>
      <c r="J15" s="3">
        <v>41313</v>
      </c>
      <c r="K15" s="10">
        <v>0.33333333333333331</v>
      </c>
      <c r="L15" s="6">
        <v>15</v>
      </c>
      <c r="M15" s="11">
        <f>SUM(L106:DA106)</f>
        <v>0</v>
      </c>
    </row>
    <row r="16" spans="1:14" ht="27.75" customHeight="1" x14ac:dyDescent="0.15">
      <c r="A16" s="4" t="s">
        <v>63</v>
      </c>
      <c r="B16" s="4" t="s">
        <v>18</v>
      </c>
      <c r="C16" s="4">
        <v>28.109649999999998</v>
      </c>
      <c r="D16" s="4">
        <v>-82.834959999999995</v>
      </c>
      <c r="E16" s="4">
        <v>28.112279999999998</v>
      </c>
      <c r="F16" s="4">
        <v>-82.839010000000002</v>
      </c>
      <c r="G16" s="4" t="s">
        <v>64</v>
      </c>
      <c r="H16" s="4" t="s">
        <v>27</v>
      </c>
      <c r="I16" s="4"/>
      <c r="J16" s="3">
        <v>41313</v>
      </c>
      <c r="K16" s="8" t="s">
        <v>65</v>
      </c>
      <c r="L16" s="6">
        <v>1</v>
      </c>
      <c r="M16" s="11">
        <f>SUM(L111:DA111)</f>
        <v>0</v>
      </c>
      <c r="N16" s="6" t="s">
        <v>66</v>
      </c>
    </row>
    <row r="17" spans="1:14" ht="28" customHeight="1" x14ac:dyDescent="0.15">
      <c r="A17" s="4" t="s">
        <v>67</v>
      </c>
      <c r="B17" s="4" t="s">
        <v>18</v>
      </c>
      <c r="C17" s="4">
        <v>28.652999999999999</v>
      </c>
      <c r="D17" s="4">
        <v>-82.494500000000002</v>
      </c>
      <c r="E17" s="4">
        <v>28.74</v>
      </c>
      <c r="F17" s="4">
        <v>-82.507999999999996</v>
      </c>
      <c r="G17" s="4" t="s">
        <v>68</v>
      </c>
      <c r="H17" s="4" t="s">
        <v>69</v>
      </c>
      <c r="I17" s="4"/>
      <c r="J17" s="3">
        <v>41313</v>
      </c>
      <c r="K17" s="10">
        <v>0.39583333333333331</v>
      </c>
      <c r="L17" s="6">
        <v>75</v>
      </c>
      <c r="M17" s="11">
        <f>SUM(L112:DA112)</f>
        <v>0</v>
      </c>
    </row>
    <row r="18" spans="1:14" ht="28" customHeight="1" x14ac:dyDescent="0.15">
      <c r="A18" s="4" t="s">
        <v>67</v>
      </c>
      <c r="B18" s="4" t="s">
        <v>18</v>
      </c>
      <c r="C18" s="4">
        <v>28.652999999999999</v>
      </c>
      <c r="D18" s="4">
        <v>-82.494500000000002</v>
      </c>
      <c r="E18" s="4">
        <v>28.74</v>
      </c>
      <c r="F18" s="4">
        <v>-82.507999999999996</v>
      </c>
      <c r="G18" s="4" t="s">
        <v>70</v>
      </c>
      <c r="H18" s="4" t="s">
        <v>71</v>
      </c>
      <c r="I18" s="4"/>
      <c r="J18" s="3">
        <v>41317</v>
      </c>
      <c r="K18" s="10">
        <v>0.5</v>
      </c>
      <c r="L18" s="6">
        <v>29</v>
      </c>
      <c r="M18" s="11"/>
    </row>
    <row r="19" spans="1:14" ht="42" customHeight="1" x14ac:dyDescent="0.15">
      <c r="A19" s="4" t="s">
        <v>72</v>
      </c>
      <c r="B19" s="4" t="s">
        <v>18</v>
      </c>
      <c r="C19" s="4">
        <v>28.128039999999999</v>
      </c>
      <c r="D19" s="4">
        <v>-82.834010000000006</v>
      </c>
      <c r="E19" s="4">
        <v>28.12988</v>
      </c>
      <c r="F19" s="4">
        <v>-82.831990000000005</v>
      </c>
      <c r="G19" s="4" t="s">
        <v>73</v>
      </c>
      <c r="H19" s="4" t="s">
        <v>74</v>
      </c>
      <c r="I19" s="4"/>
      <c r="J19" s="3">
        <v>41313</v>
      </c>
      <c r="K19" s="10">
        <v>0.39930555555555558</v>
      </c>
      <c r="L19" s="4">
        <v>4</v>
      </c>
      <c r="M19" s="11">
        <f>SUM(L114:DA114)</f>
        <v>0</v>
      </c>
      <c r="N19" s="4" t="s">
        <v>75</v>
      </c>
    </row>
    <row r="20" spans="1:14" ht="42" customHeight="1" x14ac:dyDescent="0.15"/>
    <row r="21" spans="1:14" ht="42" customHeight="1" x14ac:dyDescent="0.15"/>
    <row r="22" spans="1:14" ht="1.5" customHeight="1" x14ac:dyDescent="0.15"/>
    <row r="23" spans="1:14" ht="42" customHeight="1" x14ac:dyDescent="0.15"/>
    <row r="24" spans="1:14" ht="42" customHeight="1" x14ac:dyDescent="0.15"/>
    <row r="25" spans="1:14" ht="14" customHeight="1" x14ac:dyDescent="0.15"/>
    <row r="26" spans="1:14" ht="28" customHeight="1" x14ac:dyDescent="0.15"/>
    <row r="27" spans="1:14" ht="14" customHeight="1" x14ac:dyDescent="0.15"/>
    <row r="28" spans="1:14" ht="57" customHeight="1" x14ac:dyDescent="0.15"/>
    <row r="29" spans="1:14" ht="36.75" customHeight="1" x14ac:dyDescent="0.15"/>
    <row r="30" spans="1:14" ht="30.75" customHeight="1" x14ac:dyDescent="0.15"/>
    <row r="31" spans="1:14" ht="28" customHeight="1" x14ac:dyDescent="0.15"/>
    <row r="32" spans="1:14" ht="42.75" customHeight="1" x14ac:dyDescent="0.15"/>
    <row r="33" ht="42.75" customHeight="1" x14ac:dyDescent="0.15"/>
    <row r="34" ht="1.5" customHeight="1" x14ac:dyDescent="0.15"/>
    <row r="35" ht="14" customHeight="1" x14ac:dyDescent="0.15"/>
    <row r="36" ht="28" customHeight="1" x14ac:dyDescent="0.15"/>
    <row r="37" ht="16.5" customHeight="1" x14ac:dyDescent="0.15"/>
    <row r="38" ht="32.25" customHeight="1" x14ac:dyDescent="0.15"/>
    <row r="39" ht="28" customHeight="1" x14ac:dyDescent="0.15"/>
    <row r="40" ht="28" customHeight="1" x14ac:dyDescent="0.15"/>
    <row r="41" ht="42" customHeight="1" x14ac:dyDescent="0.15"/>
    <row r="42" ht="28" customHeight="1" x14ac:dyDescent="0.15"/>
    <row r="43" ht="28" customHeight="1" x14ac:dyDescent="0.15"/>
    <row r="44" ht="57" customHeight="1" x14ac:dyDescent="0.15"/>
    <row r="45" ht="28" customHeight="1" x14ac:dyDescent="0.15"/>
    <row r="46" ht="70" customHeight="1" x14ac:dyDescent="0.15"/>
    <row r="47" ht="56" customHeight="1" x14ac:dyDescent="0.15"/>
    <row r="48" ht="42" customHeight="1" x14ac:dyDescent="0.15"/>
    <row r="49" ht="42" customHeight="1" x14ac:dyDescent="0.15"/>
    <row r="50" ht="28.5" customHeight="1" x14ac:dyDescent="0.15"/>
    <row r="51" ht="4.5" customHeight="1" x14ac:dyDescent="0.15"/>
    <row r="52" ht="28.5" customHeight="1" x14ac:dyDescent="0.15"/>
    <row r="53" ht="56" customHeight="1" x14ac:dyDescent="0.15"/>
    <row r="54" ht="20.25" customHeight="1" x14ac:dyDescent="0.15"/>
    <row r="55" ht="28" customHeight="1" x14ac:dyDescent="0.15"/>
    <row r="56" ht="28" customHeight="1" x14ac:dyDescent="0.15"/>
    <row r="57" ht="37.5" customHeight="1" x14ac:dyDescent="0.15"/>
    <row r="58" ht="15" customHeight="1" x14ac:dyDescent="0.15"/>
    <row r="59" ht="28" customHeight="1" x14ac:dyDescent="0.15"/>
    <row r="60" ht="28.5" customHeight="1" x14ac:dyDescent="0.15"/>
    <row r="61" ht="42" customHeight="1" x14ac:dyDescent="0.15"/>
    <row r="62" ht="57" customHeight="1" x14ac:dyDescent="0.15"/>
    <row r="63" ht="42" customHeight="1" x14ac:dyDescent="0.15"/>
    <row r="64" ht="28" customHeight="1" x14ac:dyDescent="0.15"/>
    <row r="65" ht="28" customHeight="1" x14ac:dyDescent="0.15"/>
    <row r="66" ht="42.75" customHeight="1" x14ac:dyDescent="0.15"/>
    <row r="67" ht="84" customHeight="1" x14ac:dyDescent="0.15"/>
    <row r="68" ht="70" customHeight="1" x14ac:dyDescent="0.15"/>
    <row r="69" ht="56" customHeight="1" x14ac:dyDescent="0.15"/>
    <row r="70" ht="70" customHeight="1" x14ac:dyDescent="0.15"/>
    <row r="71" ht="56" customHeight="1" x14ac:dyDescent="0.15"/>
    <row r="72" ht="56" customHeight="1" x14ac:dyDescent="0.15"/>
    <row r="73" ht="56" customHeight="1" x14ac:dyDescent="0.15"/>
    <row r="74" ht="71.25" customHeight="1" x14ac:dyDescent="0.15"/>
    <row r="75" ht="42.75" customHeight="1" x14ac:dyDescent="0.15"/>
    <row r="76" ht="28.5" customHeight="1" x14ac:dyDescent="0.15"/>
    <row r="77" ht="28.5" customHeight="1" x14ac:dyDescent="0.15"/>
    <row r="78" ht="28" customHeight="1" x14ac:dyDescent="0.15"/>
    <row r="79" ht="57" customHeight="1" x14ac:dyDescent="0.15"/>
    <row r="80" ht="42.75" customHeight="1" x14ac:dyDescent="0.15"/>
    <row r="81" ht="28.5" customHeight="1" x14ac:dyDescent="0.15"/>
    <row r="82" ht="42" customHeight="1" x14ac:dyDescent="0.15"/>
    <row r="83" ht="42" customHeight="1" x14ac:dyDescent="0.15"/>
    <row r="84" ht="42.75" customHeight="1" x14ac:dyDescent="0.15"/>
    <row r="85" ht="57" customHeight="1" x14ac:dyDescent="0.15"/>
    <row r="86" ht="36.75" customHeight="1" x14ac:dyDescent="0.15"/>
    <row r="87" ht="56" customHeight="1" x14ac:dyDescent="0.15"/>
    <row r="88" ht="28" customHeight="1" x14ac:dyDescent="0.15"/>
    <row r="89" ht="114" customHeight="1" x14ac:dyDescent="0.15"/>
    <row r="90" ht="57" customHeight="1" x14ac:dyDescent="0.15"/>
    <row r="91" ht="28" customHeight="1" x14ac:dyDescent="0.15"/>
    <row r="92" ht="42" customHeight="1" x14ac:dyDescent="0.15"/>
    <row r="93" ht="42" customHeight="1" x14ac:dyDescent="0.15"/>
    <row r="94" ht="32.25" customHeight="1" x14ac:dyDescent="0.15"/>
    <row r="95" ht="99.75" customHeight="1" x14ac:dyDescent="0.15"/>
    <row r="96" ht="52.5" customHeight="1" x14ac:dyDescent="0.15"/>
    <row r="97" ht="27.75" customHeight="1" x14ac:dyDescent="0.15"/>
    <row r="98" ht="14" customHeight="1" x14ac:dyDescent="0.15"/>
    <row r="99" ht="42" customHeight="1" x14ac:dyDescent="0.15"/>
    <row r="100" ht="98" customHeight="1" x14ac:dyDescent="0.15"/>
    <row r="101" ht="27.75" customHeight="1" x14ac:dyDescent="0.15"/>
    <row r="102" ht="28.5" customHeight="1" x14ac:dyDescent="0.15"/>
    <row r="103" ht="42" customHeight="1" x14ac:dyDescent="0.15"/>
    <row r="104" ht="70" customHeight="1" x14ac:dyDescent="0.15"/>
    <row r="105" ht="56" customHeight="1" x14ac:dyDescent="0.15"/>
    <row r="106" ht="168" customHeight="1" x14ac:dyDescent="0.15"/>
    <row r="107" ht="52.5" customHeight="1" x14ac:dyDescent="0.15"/>
    <row r="108" ht="14" customHeight="1" x14ac:dyDescent="0.15"/>
    <row r="109" ht="16.5" customHeight="1" x14ac:dyDescent="0.15"/>
    <row r="110" ht="42" customHeight="1" x14ac:dyDescent="0.15"/>
    <row r="111" ht="28" customHeight="1" x14ac:dyDescent="0.15"/>
    <row r="112" ht="57" customHeight="1" x14ac:dyDescent="0.15"/>
    <row r="113" ht="28" customHeight="1" x14ac:dyDescent="0.15"/>
    <row r="114" ht="56" customHeight="1" x14ac:dyDescent="0.15"/>
    <row r="115" ht="28" customHeight="1" x14ac:dyDescent="0.15"/>
    <row r="116" ht="42" customHeight="1" x14ac:dyDescent="0.15"/>
    <row r="117" ht="15" customHeight="1" x14ac:dyDescent="0.15"/>
    <row r="118" ht="42" customHeight="1" x14ac:dyDescent="0.15"/>
    <row r="119" ht="43.5" customHeight="1" x14ac:dyDescent="0.15"/>
    <row r="120" ht="24" customHeight="1" x14ac:dyDescent="0.15"/>
    <row r="121" ht="24" customHeight="1" x14ac:dyDescent="0.15"/>
    <row r="122" ht="28" customHeight="1" x14ac:dyDescent="0.15"/>
    <row r="123" ht="16.5" customHeight="1" x14ac:dyDescent="0.15"/>
    <row r="124" ht="28" customHeight="1" x14ac:dyDescent="0.15"/>
    <row r="125" ht="42" customHeight="1" x14ac:dyDescent="0.15"/>
    <row r="126" ht="28" customHeight="1" x14ac:dyDescent="0.15"/>
    <row r="127" ht="28" customHeight="1" x14ac:dyDescent="0.15"/>
    <row r="128" ht="28" customHeight="1" x14ac:dyDescent="0.15"/>
    <row r="129" ht="14" customHeight="1" x14ac:dyDescent="0.15"/>
    <row r="130" ht="14" customHeight="1" x14ac:dyDescent="0.15"/>
    <row r="131" ht="14" customHeight="1" x14ac:dyDescent="0.15"/>
    <row r="132" ht="14" customHeight="1" x14ac:dyDescent="0.15"/>
    <row r="133" ht="14" customHeight="1" x14ac:dyDescent="0.15"/>
    <row r="134" ht="14" customHeight="1" x14ac:dyDescent="0.15"/>
    <row r="135" ht="14" customHeight="1" x14ac:dyDescent="0.15"/>
    <row r="136" ht="14" customHeight="1" x14ac:dyDescent="0.15"/>
    <row r="137" ht="14" customHeight="1" x14ac:dyDescent="0.15"/>
    <row r="138" ht="14" customHeight="1" x14ac:dyDescent="0.15"/>
    <row r="139" ht="14" customHeight="1" x14ac:dyDescent="0.15"/>
    <row r="140" ht="14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 GPS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Poudel</cp:lastModifiedBy>
  <dcterms:created xsi:type="dcterms:W3CDTF">2026-03-03T18:25:05Z</dcterms:created>
  <dcterms:modified xsi:type="dcterms:W3CDTF">2026-03-31T14:21:10Z</dcterms:modified>
</cp:coreProperties>
</file>