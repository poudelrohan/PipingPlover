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3"/>
    <sheet state="visible" name="DATA SHEET 1" sheetId="2" r:id="rId4"/>
    <sheet state="visible" name="DATA SHEET 2" sheetId="3" r:id="rId5"/>
    <sheet state="visible" name="DATA SHEET 3" sheetId="4" r:id="rId6"/>
  </sheets>
  <definedNames/>
  <calcPr/>
</workbook>
</file>

<file path=xl/sharedStrings.xml><?xml version="1.0" encoding="utf-8"?>
<sst xmlns="http://schemas.openxmlformats.org/spreadsheetml/2006/main" count="11028" uniqueCount="2854">
  <si>
    <t> </t>
  </si>
  <si>
    <t>This is the database for the 2015 Winter Shorebird Survey. Please read the following instructions carefully before entering data.</t>
  </si>
  <si>
    <t>INSTRUCTIONS: On this tab, please report a GPS location for each group of 50 or more birds, banded birds, and focal species (Snowy Plover SNPL, Piping Plover PIPL, Wilson's Plover WIPL, Red Knot REKN, and American Oystercatcher AMOY). Please read column headings carefully. 
Put your totals for the entire survey route on the "DATA SHEET 2" tab and details about banded birds on "DATA SHEET 3."</t>
  </si>
  <si>
    <t>1. Before you begin, you must read the protocol at: http://flshorebirdalliance.org/media/32895/2015_winter_shorebird_survey.pdf. This database follows the format of the DATA SHEETS from that protocol.</t>
  </si>
  <si>
    <t>2. Click on one of the "tabs" shown on the bottom left of the screen: DATA SHEET 1, DATA SHEET 2, or DATA SHEET 3</t>
  </si>
  <si>
    <t>* Click on the "DATA SHEET 1" tab to report GPS locations for your route start and stop and GPS locations for flocks, focal species, and banded birds. See protocol for instructions (see link above).</t>
  </si>
  <si>
    <t>* Click on the "DATA SHEET 2" tab to enter species totals. See protocol for instructions (see link above).</t>
  </si>
  <si>
    <t>INSTRUCTIONS: Please put your species totals for the entire   survey route on this tab. 
Report focal species (Snowy Plover, Piping Plover, Wilson's Plover, Red Knot, and American Oystercatcher), color-banded birds, or large flocks (50+ birds) on "DATA SHEET 1" tab.</t>
  </si>
  <si>
    <t>* Click on the "DATA SHEET 3" tab to report information on banded birds. See protocol for instructions (see link above).</t>
  </si>
  <si>
    <t>3. Scroll down to the first empty row of the data tab to enter your data. Otherwise, you may accidentally type over someone else's data. Then double-click inside each cell and start typing.</t>
  </si>
  <si>
    <t>* If more than one person is entering data at the same time, move down a few rows and enter your data. You can tell if someone else is entering data if other viewers are listed on the top right of the screen.</t>
  </si>
  <si>
    <t>4. That's it! Google will automatically save what you type.</t>
  </si>
  <si>
    <t>QUESTIONS OR PROBLEMS? Please email shorebird@myfwc.com or call 863-370-6305 during business hours.</t>
  </si>
  <si>
    <t>Date</t>
  </si>
  <si>
    <t>Observer(s)</t>
  </si>
  <si>
    <t>Lead Observer's phone &amp; email</t>
  </si>
  <si>
    <t>Route Name/ Description</t>
  </si>
  <si>
    <t>County</t>
  </si>
  <si>
    <t>Route Start (Latitude)</t>
  </si>
  <si>
    <t>Route Start (Longitude)</t>
  </si>
  <si>
    <t>Route End (Latitude)</t>
  </si>
  <si>
    <t>Route End (Longitude)</t>
  </si>
  <si>
    <t>Route Start &amp; End Times</t>
  </si>
  <si>
    <t>Weather Condition</t>
  </si>
  <si>
    <t>American Oystercatcher</t>
  </si>
  <si>
    <t>American Avocet</t>
  </si>
  <si>
    <t>Black-bellied Plover</t>
  </si>
  <si>
    <t>Dunlin</t>
  </si>
  <si>
    <t>Greater Yellowlegs</t>
  </si>
  <si>
    <t>Killdeer</t>
  </si>
  <si>
    <t>Least Sandpiper</t>
  </si>
  <si>
    <t>Lesser Yellowlegs</t>
  </si>
  <si>
    <t>Long-billed Curlew</t>
  </si>
  <si>
    <t>Long-billed Dowitcher</t>
  </si>
  <si>
    <t>Marbled Godwit</t>
  </si>
  <si>
    <t>Piping Plover</t>
  </si>
  <si>
    <t>Red Knot</t>
  </si>
  <si>
    <t>Ruddy Turnstone</t>
  </si>
  <si>
    <t>Sanderling</t>
  </si>
  <si>
    <t>Semi-palmated Plover</t>
  </si>
  <si>
    <t>Semi-palmated Sandpiper</t>
  </si>
  <si>
    <t>Short-billed Dowitcher</t>
  </si>
  <si>
    <t>Snowy Plover</t>
  </si>
  <si>
    <t>Spotted Sandpiper</t>
  </si>
  <si>
    <t>Western Sandpiper</t>
  </si>
  <si>
    <t>Whimbrel</t>
  </si>
  <si>
    <t>Willet</t>
  </si>
  <si>
    <t>Wilson's Plover</t>
  </si>
  <si>
    <t>Wilson's Snipe</t>
  </si>
  <si>
    <t>Black Skimmer</t>
  </si>
  <si>
    <t>Bonaparte's Gull</t>
  </si>
  <si>
    <t>Brown Booby</t>
  </si>
  <si>
    <t>Brown Pelican</t>
  </si>
  <si>
    <t>Caspian Tern</t>
  </si>
  <si>
    <t>Common Tern</t>
  </si>
  <si>
    <t>Double-crested Cormorant</t>
  </si>
  <si>
    <t>Forster's Tern</t>
  </si>
  <si>
    <t>Franklin's Gull</t>
  </si>
  <si>
    <t>Glaucous Gull</t>
  </si>
  <si>
    <t>Great Black-backed Gull</t>
  </si>
  <si>
    <t>Herring Gull</t>
  </si>
  <si>
    <t>Laughing Gull</t>
  </si>
  <si>
    <t>Lesser Black-backed Gull</t>
  </si>
  <si>
    <t>Ring Billed Gull</t>
  </si>
  <si>
    <t>Royal Tern</t>
  </si>
  <si>
    <t>Sandwich Tern</t>
  </si>
  <si>
    <t>Vega Gull</t>
  </si>
  <si>
    <t>White Pelican</t>
  </si>
  <si>
    <t>Dowitcher sp (unknown)</t>
  </si>
  <si>
    <t>Sandpiper sp (unknown)</t>
  </si>
  <si>
    <t>Yellowlegs sp. (unknown)</t>
  </si>
  <si>
    <t>Gull sp. (unknown)</t>
  </si>
  <si>
    <t>GRAND TOTAL</t>
  </si>
  <si>
    <t>Comments on survey (tide, etc.). (FYI: We are not collecting data on other species.  Feel free to enter your data into eBird)</t>
  </si>
  <si>
    <t>Kevin Christman</t>
  </si>
  <si>
    <t>kwchristman@audubon.org 850-358-9526</t>
  </si>
  <si>
    <t>Crooked Island East</t>
  </si>
  <si>
    <t>Bay</t>
  </si>
  <si>
    <t>11:38 - 16:15</t>
  </si>
  <si>
    <t>Mid tide rising, 15% cloud cover, no precipitation, calm surf, winds 8-12mph.</t>
  </si>
  <si>
    <t>25 banded SNPL</t>
  </si>
  <si>
    <t>Kevin Christman, Jack Toriello</t>
  </si>
  <si>
    <t>Crooked Island West</t>
  </si>
  <si>
    <t>10:30 - 14:34</t>
  </si>
  <si>
    <t>Low tide rising, 95% cloud cover, no precipitation, moderate surf, winds 0-3mph</t>
  </si>
  <si>
    <t>29 banded SNPL, 1 banded WIPL, 1 banded SAND</t>
  </si>
  <si>
    <t>Bonnie Samuelsen, Gail Carmody</t>
  </si>
  <si>
    <t>adventureflorida@aol.com, 941-951-7704</t>
  </si>
  <si>
    <t>Bay Point Flats</t>
  </si>
  <si>
    <t>8:03-8:48</t>
  </si>
  <si>
    <t>INSTRUCTIONS: On this tab, please report Band Resight information. Group/Point # should correspond with number on "DATA SHEET 1."</t>
  </si>
  <si>
    <t>overcast, less than 5 mph winds</t>
  </si>
  <si>
    <t>Group or Point #</t>
  </si>
  <si>
    <t>Species</t>
  </si>
  <si>
    <t>Band/Flag Code</t>
  </si>
  <si>
    <t>Band/Flag Color</t>
  </si>
  <si>
    <t>Code Orientation</t>
  </si>
  <si>
    <t>Upper Left</t>
  </si>
  <si>
    <t>Lower Left</t>
  </si>
  <si>
    <t>Upper Right</t>
  </si>
  <si>
    <t>Lower Right</t>
  </si>
  <si>
    <t>Confirmed</t>
  </si>
  <si>
    <t>Marvin Friel, Ezra Thompson, Caity Reiland-Smith</t>
  </si>
  <si>
    <t>Comments</t>
  </si>
  <si>
    <t>850-276-2833 mfriel@audubon.org</t>
  </si>
  <si>
    <t>Camp Helen State Park</t>
  </si>
  <si>
    <t>1208-1330</t>
  </si>
  <si>
    <t>Tide high, falling, 0% cloud cover, no precipitation, calm surf, 13-18 mph winds</t>
  </si>
  <si>
    <t>Teddy, Ned Shuler,Lydia Schindler</t>
  </si>
  <si>
    <t>904-819-5860 teddys23@bellsouth.net</t>
  </si>
  <si>
    <t>Weff Rd Docks</t>
  </si>
  <si>
    <t>St. Johns</t>
  </si>
  <si>
    <t>AMOY</t>
  </si>
  <si>
    <t>-</t>
  </si>
  <si>
    <t>FR</t>
  </si>
  <si>
    <t>S</t>
  </si>
  <si>
    <t>y</t>
  </si>
  <si>
    <t>Marvin Friel</t>
  </si>
  <si>
    <t>Goose Island- St. George Island State Park</t>
  </si>
  <si>
    <t>Franklin</t>
  </si>
  <si>
    <t>R</t>
  </si>
  <si>
    <t>V</t>
  </si>
  <si>
    <t>Y</t>
  </si>
  <si>
    <t>St. George Island State Park</t>
  </si>
  <si>
    <t>AL</t>
  </si>
  <si>
    <t>Kevin Christman, Ezra Thompson, Caity Reiland-Smith</t>
  </si>
  <si>
    <t>Carrabelle Beach</t>
  </si>
  <si>
    <t>JA</t>
  </si>
  <si>
    <t>Red</t>
  </si>
  <si>
    <t>Horizontal</t>
  </si>
  <si>
    <t>Yes</t>
  </si>
  <si>
    <t>Photos taken. X//X:R//S with JA on the upper right red band. No missing band - only one red band originally placed on bird.</t>
  </si>
  <si>
    <t>Ezra Thompson, Caity Reiland-Smith</t>
  </si>
  <si>
    <t>Steven Sauers</t>
  </si>
  <si>
    <t>Ethompson@audubon.org</t>
  </si>
  <si>
    <t>941 957-3324; ssembirds@aol.com</t>
  </si>
  <si>
    <t>Longboat Key-North</t>
  </si>
  <si>
    <t>St. Andrews State Park- Mainland</t>
  </si>
  <si>
    <t>Manatee</t>
  </si>
  <si>
    <t>U4</t>
  </si>
  <si>
    <t>Yellow</t>
  </si>
  <si>
    <t>0920-1035</t>
  </si>
  <si>
    <t>low tide rising, 10% cloud cover, no precipitation, moderate surf, 8-12 mph winds</t>
  </si>
  <si>
    <t>Marianne Korosy</t>
  </si>
  <si>
    <t>727-742-1683; mkorosy@audubon.org</t>
  </si>
  <si>
    <t>Three Rooker Island - North &amp; Middle</t>
  </si>
  <si>
    <t>Pinellas</t>
  </si>
  <si>
    <t>PIPL</t>
  </si>
  <si>
    <t>O</t>
  </si>
  <si>
    <t>Lb/R</t>
  </si>
  <si>
    <t>Dan Larremore</t>
  </si>
  <si>
    <t>727 469-4205 daniel.larremore@dep.state.fl.us</t>
  </si>
  <si>
    <t>Anclote Key, South route</t>
  </si>
  <si>
    <t>A19</t>
  </si>
  <si>
    <t>F(Y)</t>
  </si>
  <si>
    <t>B/Y</t>
  </si>
  <si>
    <t>Y/K</t>
  </si>
  <si>
    <t>Barbara Eells</t>
  </si>
  <si>
    <t>pelican@fairpoint.net
850-647-8238</t>
  </si>
  <si>
    <t>Bonfire Beach
east Tyndall to MB</t>
  </si>
  <si>
    <t>EMI</t>
  </si>
  <si>
    <t>N29.95</t>
  </si>
  <si>
    <t>W</t>
  </si>
  <si>
    <t>W-85.4308</t>
  </si>
  <si>
    <t>F(W)</t>
  </si>
  <si>
    <t xml:space="preserve">N29.9537 </t>
  </si>
  <si>
    <t>W-85.4491</t>
  </si>
  <si>
    <t>8:30-9:20AM</t>
  </si>
  <si>
    <t xml:space="preserve">Moderate chop/
45 low/rising </t>
  </si>
  <si>
    <t>Not 100% on digits</t>
  </si>
  <si>
    <t>G</t>
  </si>
  <si>
    <t>F(G)</t>
  </si>
  <si>
    <t>W/O</t>
  </si>
  <si>
    <t>W/W</t>
  </si>
  <si>
    <t>O/Y</t>
  </si>
  <si>
    <t>Mexico Beach- MB Canal to Bay/Gulf line</t>
  </si>
  <si>
    <t>9:25-10::00</t>
  </si>
  <si>
    <t>K/G</t>
  </si>
  <si>
    <t>50 F,  M to L/R tide</t>
  </si>
  <si>
    <t>G/B</t>
  </si>
  <si>
    <t>Big Sabine</t>
  </si>
  <si>
    <t>Santa Rosa</t>
  </si>
  <si>
    <t>1B0</t>
  </si>
  <si>
    <t>FY</t>
  </si>
  <si>
    <t>Photos taken. FY//:S//</t>
  </si>
  <si>
    <t>Tyndall Air Force Base- Shell Island</t>
  </si>
  <si>
    <t>1021-1220</t>
  </si>
  <si>
    <t>Med tide, rising, 0%cloud cover, no precipitation, calm surf, 4-7 mph winds</t>
  </si>
  <si>
    <t>E91</t>
  </si>
  <si>
    <t>YK</t>
  </si>
  <si>
    <t>GB</t>
  </si>
  <si>
    <t>Photos taken. S//YK:FY//GB</t>
  </si>
  <si>
    <t>Green</t>
  </si>
  <si>
    <t>FG</t>
  </si>
  <si>
    <t>BG</t>
  </si>
  <si>
    <t>WB</t>
  </si>
  <si>
    <t>Photo taken. FG//BG:WB</t>
  </si>
  <si>
    <t>A16</t>
  </si>
  <si>
    <t>Tyler Brown, Elizabeth Zinsser</t>
  </si>
  <si>
    <t>Tyler.A.Brown@dep.state.fl.us 850-233-5110</t>
  </si>
  <si>
    <t>Shell Island (St. Andrews State Park)</t>
  </si>
  <si>
    <t>GP</t>
  </si>
  <si>
    <t>Photo taken. Faded pink. FY//GB:GP</t>
  </si>
  <si>
    <t>Mark Nicholas</t>
  </si>
  <si>
    <t>1040-1159</t>
  </si>
  <si>
    <t>850-934-2619  mark_nicholas@nps.gov</t>
  </si>
  <si>
    <t>low tide, falling, 0% cloud cover, no precipitation, calm surf, 4-7 mph winds</t>
  </si>
  <si>
    <t>Santa Rosa Area GUIS North</t>
  </si>
  <si>
    <t>Escambia</t>
  </si>
  <si>
    <t>unk</t>
  </si>
  <si>
    <t>yellow</t>
  </si>
  <si>
    <t>photo available</t>
  </si>
  <si>
    <t>photot available</t>
  </si>
  <si>
    <t>GW</t>
  </si>
  <si>
    <t>Doug Sutherland</t>
  </si>
  <si>
    <t xml:space="preserve">Steve Mullin   </t>
  </si>
  <si>
    <t>302-249-4053 djaygator12@yahoo.com</t>
  </si>
  <si>
    <t>ACNWR RT 3</t>
  </si>
  <si>
    <t>Steve Mullin, smullin@audubon.org, 603-325-8706</t>
  </si>
  <si>
    <t>Brevard</t>
  </si>
  <si>
    <t>Flag Island NW</t>
  </si>
  <si>
    <t>27 56'10.10"N</t>
  </si>
  <si>
    <t>80 29'24.02"W</t>
  </si>
  <si>
    <t>27 51'42.77"N</t>
  </si>
  <si>
    <t>80 26'49.12"W</t>
  </si>
  <si>
    <t>X</t>
  </si>
  <si>
    <t>0803-1047</t>
  </si>
  <si>
    <t>GG</t>
  </si>
  <si>
    <t>Clear, cool and brisk NW wind</t>
  </si>
  <si>
    <t>Gf</t>
  </si>
  <si>
    <t>GK</t>
  </si>
  <si>
    <t>Jack Toriello</t>
  </si>
  <si>
    <t>jackrtoriello@gmail.com 330-984-8359</t>
  </si>
  <si>
    <t>Buck Beach, Tyndall AFB</t>
  </si>
  <si>
    <t>9C8</t>
  </si>
  <si>
    <t>Yf</t>
  </si>
  <si>
    <t>No banded birds seen. Dead birds = 4 N. Gannets. Walked north to south - all the way to Sebstian Inlet.</t>
  </si>
  <si>
    <t>Richard Brust</t>
  </si>
  <si>
    <t>321-853-6823  richard.brust.ctr@us.af.mil</t>
  </si>
  <si>
    <t>Patty Kelly, Sid Maddock</t>
  </si>
  <si>
    <t>Patrick Air Force Base</t>
  </si>
  <si>
    <t>patrica_kelly@fws.gov, 850-532-5401</t>
  </si>
  <si>
    <t>Boca Grande Key</t>
  </si>
  <si>
    <t>Monroe</t>
  </si>
  <si>
    <t>0830-1017</t>
  </si>
  <si>
    <t>59F, WNW 19mph, cloudy, 93%RH</t>
  </si>
  <si>
    <t>Flg Lb</t>
  </si>
  <si>
    <t>FWS</t>
  </si>
  <si>
    <t>Y/R</t>
  </si>
  <si>
    <t>K/K</t>
  </si>
  <si>
    <t>Marie Di Rosa</t>
  </si>
  <si>
    <t>239-789-5755, mariegrayson1@yahoo.com</t>
  </si>
  <si>
    <t>Cayo Costa R3</t>
  </si>
  <si>
    <t>Lee</t>
  </si>
  <si>
    <t>Y/G/R</t>
  </si>
  <si>
    <t>Beverly Anderson, Deborah Woods, Pete Hansen</t>
  </si>
  <si>
    <t>(239)530-5967</t>
  </si>
  <si>
    <t>Kice Island (Dickman Point to Blind Pass)</t>
  </si>
  <si>
    <t>Collier</t>
  </si>
  <si>
    <t>REKN</t>
  </si>
  <si>
    <t>Incoming tide (11:15 high tide)</t>
  </si>
  <si>
    <t>Martha Carroll, Rachel Mandel</t>
  </si>
  <si>
    <t>321-853-6858  martha.carroll@us.af.mil</t>
  </si>
  <si>
    <t>TNP</t>
  </si>
  <si>
    <t>Cape Canaveral Air Force Station</t>
  </si>
  <si>
    <t>0825-1115</t>
  </si>
  <si>
    <t>58F, WNW 20mph, cloudy, 91%RH</t>
  </si>
  <si>
    <t>Alpha-numeric very faded.</t>
  </si>
  <si>
    <t>St. Joes Bay- South</t>
  </si>
  <si>
    <t>Gulf</t>
  </si>
  <si>
    <t>Unknown</t>
  </si>
  <si>
    <t>Light Green</t>
  </si>
  <si>
    <t>gf</t>
  </si>
  <si>
    <t>light green flag code was unreadable</t>
  </si>
  <si>
    <t>SAND</t>
  </si>
  <si>
    <t>27P</t>
  </si>
  <si>
    <t>Lg</t>
  </si>
  <si>
    <t>FLg</t>
  </si>
  <si>
    <t>Lime</t>
  </si>
  <si>
    <t>FLg//:S photos taken</t>
  </si>
  <si>
    <t>EXAMPLE: 2/11/2015</t>
  </si>
  <si>
    <t>Incoming tide (11:30 high tide)</t>
  </si>
  <si>
    <t>Nichole Perna</t>
  </si>
  <si>
    <t>321-723-3556 nstrickler@me.com</t>
  </si>
  <si>
    <t>Archie Carr National Wildlife Refuge Segment 1</t>
  </si>
  <si>
    <t>28 02 18.34</t>
  </si>
  <si>
    <t>-80 32 35.87</t>
  </si>
  <si>
    <t>27 59 00.13</t>
  </si>
  <si>
    <t>-80 30 56.63</t>
  </si>
  <si>
    <t>0900-1100</t>
  </si>
  <si>
    <t>Jane Goodall, Steve Erwin</t>
  </si>
  <si>
    <t>Sunny 70s wind 10</t>
  </si>
  <si>
    <t>555-555-5555, fake@email.com</t>
  </si>
  <si>
    <t>Avalon State Park</t>
  </si>
  <si>
    <t>St. Lucie</t>
  </si>
  <si>
    <t>SNPL</t>
  </si>
  <si>
    <t>N/A</t>
  </si>
  <si>
    <t>Y/Y</t>
  </si>
  <si>
    <t>B/R</t>
  </si>
  <si>
    <t>Mike Lee</t>
  </si>
  <si>
    <t>Photo available</t>
  </si>
  <si>
    <t>Archie Carr National Wildlife Refuge Segment 2</t>
  </si>
  <si>
    <t>27 59.999</t>
  </si>
  <si>
    <t>-80 30.947</t>
  </si>
  <si>
    <t>27 56.135</t>
  </si>
  <si>
    <t>-80 29.392</t>
  </si>
  <si>
    <t>K</t>
  </si>
  <si>
    <t>B/G</t>
  </si>
  <si>
    <t>Theresa Alderman, Amy Klevens</t>
  </si>
  <si>
    <t>Lorraine and Don Margeson</t>
  </si>
  <si>
    <t>Theresasmail@comcast.net
954-805-0321</t>
  </si>
  <si>
    <t>donlocomm@aol.com 727 415 4804</t>
  </si>
  <si>
    <t>Hillsboro Inlet to Palm Beach County Line</t>
  </si>
  <si>
    <t>Outback Key</t>
  </si>
  <si>
    <t>Broward</t>
  </si>
  <si>
    <t>12:05-14:38</t>
  </si>
  <si>
    <t xml:space="preserve">Sunny, mid tide rising.  </t>
  </si>
  <si>
    <t xml:space="preserve">                         1</t>
  </si>
  <si>
    <t xml:space="preserve">            </t>
  </si>
  <si>
    <t>Deer Lake State Park</t>
  </si>
  <si>
    <t>Walton</t>
  </si>
  <si>
    <t xml:space="preserve">                       22</t>
  </si>
  <si>
    <t xml:space="preserve">                    147</t>
  </si>
  <si>
    <t>B</t>
  </si>
  <si>
    <t xml:space="preserve">                      207 </t>
  </si>
  <si>
    <t xml:space="preserve">                         4</t>
  </si>
  <si>
    <t>8 of 22 Herring gull were juvenile.  Hillsboro mile deserted, Deerfield Beach crowded with people. Access to Inlet  ( Hillsboro Beach Club) needs to be preauthorized, hassle.</t>
  </si>
  <si>
    <t>Chris Leon, Liza Strout</t>
  </si>
  <si>
    <t>954-924-3859 christopher.l.leon@dep.state.fl.us</t>
  </si>
  <si>
    <t>John U Lloyd Beach State Park</t>
  </si>
  <si>
    <t>YB</t>
  </si>
  <si>
    <t>7:30 - 8:30</t>
  </si>
  <si>
    <t>sunny, cool, no wind</t>
  </si>
  <si>
    <t>OR</t>
  </si>
  <si>
    <t>KR</t>
  </si>
  <si>
    <t>Marvin Friel, Raya Pruner, Kevin Christman, Ezra Thompson, Caity Reiland-Smith</t>
  </si>
  <si>
    <t>Alligator Point- Phipps Preserve</t>
  </si>
  <si>
    <t>WG</t>
  </si>
  <si>
    <t>850-233-5110, Tyler.A.Brown@dep.state.fl.us</t>
  </si>
  <si>
    <t>Watersound/Camp Creek- WEST</t>
  </si>
  <si>
    <t>christopher.l.leon@dep.state.fl.us, 954-924-3859</t>
  </si>
  <si>
    <t>RG</t>
  </si>
  <si>
    <t>, -80.11121</t>
  </si>
  <si>
    <t>7:30-8:30</t>
  </si>
  <si>
    <t>Sunny, calm</t>
  </si>
  <si>
    <t>Topsail Hill Preserve State Park</t>
  </si>
  <si>
    <t>Kevin Edwards, Lynette Auger</t>
  </si>
  <si>
    <t>Kevin Edwards 941 416-5322</t>
  </si>
  <si>
    <t>Palm Island Resort</t>
  </si>
  <si>
    <t>Charlotte</t>
  </si>
  <si>
    <t>BB</t>
  </si>
  <si>
    <t>8:10 - 10:50</t>
  </si>
  <si>
    <t>Sunny Clear 50 10-15 mph wind from the north</t>
  </si>
  <si>
    <t>BR</t>
  </si>
  <si>
    <t>Perdido Key State Park</t>
  </si>
  <si>
    <t>OO</t>
  </si>
  <si>
    <t>bO</t>
  </si>
  <si>
    <t>OG</t>
  </si>
  <si>
    <t>YY</t>
  </si>
  <si>
    <t>Navarre</t>
  </si>
  <si>
    <t>Extremely low tide</t>
  </si>
  <si>
    <t>Wilma Katz, Norma Jean Zvosec</t>
  </si>
  <si>
    <t>YB:S</t>
  </si>
  <si>
    <t>941 473-8618  wilmak5@verizon.net</t>
  </si>
  <si>
    <t>Manasota Key-South (CWC Zones 15-18)</t>
  </si>
  <si>
    <t>Rebecca Carruth</t>
  </si>
  <si>
    <t>850-934-2655  rebecca_carruth@nps.gov</t>
  </si>
  <si>
    <t>Periddo Key Area GUIS South</t>
  </si>
  <si>
    <t>9:45 am - 11:45 am</t>
  </si>
  <si>
    <t>Cold, windy</t>
  </si>
  <si>
    <t>bK</t>
  </si>
  <si>
    <t>Linda Soderquist  Susan Harrison</t>
  </si>
  <si>
    <t>941 270 7994 linist@hotmail.com</t>
  </si>
  <si>
    <t>Little Gasparilla Island</t>
  </si>
  <si>
    <t>bY</t>
  </si>
  <si>
    <t>8:00 -10:30 AM</t>
  </si>
  <si>
    <t>62F Medium tide calm surf</t>
  </si>
  <si>
    <t>Monica Hardin</t>
  </si>
  <si>
    <t>850-916-5636  monica_hardin@nps.gov</t>
  </si>
  <si>
    <t>Fort Pickens Area GUIS South</t>
  </si>
  <si>
    <t>Yb</t>
  </si>
  <si>
    <t>OY</t>
  </si>
  <si>
    <t>Many dogs, leashed and unleashed</t>
  </si>
  <si>
    <t>Sally Braem, Jim Glenn</t>
  </si>
  <si>
    <t>941-416-2800, sallycolebraem@aol.com</t>
  </si>
  <si>
    <t>OK</t>
  </si>
  <si>
    <t>Manasota Key- South</t>
  </si>
  <si>
    <t>9:30 - 11:30 am</t>
  </si>
  <si>
    <t>clear &amp; cool, falling tide</t>
  </si>
  <si>
    <t>Ob</t>
  </si>
  <si>
    <t>Second Chance (RBNERR)</t>
  </si>
  <si>
    <t>12:00 -13;15</t>
  </si>
  <si>
    <t>Clear, 70°F, Windy NE 10-15</t>
  </si>
  <si>
    <t>Joel Caouette, Kelly Sloan</t>
  </si>
  <si>
    <t>239-472-3984 jcaouette@sccf.org</t>
  </si>
  <si>
    <t>Sanibel 4</t>
  </si>
  <si>
    <t>YW</t>
  </si>
  <si>
    <t>Male</t>
  </si>
  <si>
    <t>WW</t>
  </si>
  <si>
    <t>S//:WW</t>
  </si>
  <si>
    <t>KLg</t>
  </si>
  <si>
    <t>SR</t>
  </si>
  <si>
    <t>KLg:SR female, lime band is somewhat faded</t>
  </si>
  <si>
    <t>14:45-16:45</t>
  </si>
  <si>
    <t>BG:S//K male</t>
  </si>
  <si>
    <t>RB</t>
  </si>
  <si>
    <t>X//X:S//RB male</t>
  </si>
  <si>
    <t>Morgan Island/Cape Romano</t>
  </si>
  <si>
    <t>13:30-14:30</t>
  </si>
  <si>
    <t>BW</t>
  </si>
  <si>
    <t>B:S//BW female?</t>
  </si>
  <si>
    <t>S//:RG male</t>
  </si>
  <si>
    <t>YG</t>
  </si>
  <si>
    <t>YES</t>
  </si>
  <si>
    <t>WR</t>
  </si>
  <si>
    <t>239-530-5967, beverly.anderson@dep.state.fl.us</t>
  </si>
  <si>
    <t>Keewaydin Island (Big Marco Pass to Gordon Pass)</t>
  </si>
  <si>
    <t>WO</t>
  </si>
  <si>
    <t>9:22am-12:20pm</t>
  </si>
  <si>
    <t>Clear, 75°F, Wind E 5-10</t>
  </si>
  <si>
    <t>KY</t>
  </si>
  <si>
    <t>Steve Mullin,     Kevin Christman</t>
  </si>
  <si>
    <t>Dog Island</t>
  </si>
  <si>
    <t>tide low/rising; lots of people &amp; activity along the beach</t>
  </si>
  <si>
    <t>William Jones</t>
  </si>
  <si>
    <t>KB</t>
  </si>
  <si>
    <t>129-495-3882</t>
  </si>
  <si>
    <t>Bonita Beach Preserve/Bonita Beach Rd. to Wiggins Pass</t>
  </si>
  <si>
    <t>0700-0935</t>
  </si>
  <si>
    <t>54-70, clear, sunny</t>
  </si>
  <si>
    <t>Windmark Beach</t>
  </si>
  <si>
    <t>Only about 10 people on beach, This beach holds 1000s on a nice afternoon. Normally more species and numbers than this. Mid to low tide.</t>
  </si>
  <si>
    <t>SW</t>
  </si>
  <si>
    <t>pelican@fairpoint.net</t>
  </si>
  <si>
    <t>Carol Rizkalla</t>
  </si>
  <si>
    <t>carol.rizkalla@myfwc.com  561-882-5712</t>
  </si>
  <si>
    <t>Big Marco Pass CWA</t>
  </si>
  <si>
    <t>10:50 - 12:30</t>
  </si>
  <si>
    <t>Windy</t>
  </si>
  <si>
    <t>possibly lost S band</t>
  </si>
  <si>
    <t>Kimberly Middlebrooks</t>
  </si>
  <si>
    <t>850-819-8854, kim.middlebrooks1986@gmail.com</t>
  </si>
  <si>
    <t>watersound</t>
  </si>
  <si>
    <t>Matthew Hodge</t>
  </si>
  <si>
    <t>Matthew.Hodge@dep.state.fl.us</t>
  </si>
  <si>
    <t>K/R</t>
  </si>
  <si>
    <t>Delnor-Wiggins Pass State Park</t>
  </si>
  <si>
    <t>26.28548N</t>
  </si>
  <si>
    <t>-81.83124W</t>
  </si>
  <si>
    <t>26.27359N</t>
  </si>
  <si>
    <t>R/G</t>
  </si>
  <si>
    <t>B. Stephens</t>
  </si>
  <si>
    <t>850-520-0063, shantilly@hotmail.com</t>
  </si>
  <si>
    <t>Public East</t>
  </si>
  <si>
    <t>Okaloosa</t>
  </si>
  <si>
    <t>WIPL</t>
  </si>
  <si>
    <t>RR</t>
  </si>
  <si>
    <t>Frank Brandt</t>
  </si>
  <si>
    <t>727 953-3141 fbrandt135@gmail.com</t>
  </si>
  <si>
    <t>Cold Weather</t>
  </si>
  <si>
    <t>North Anclote Bar</t>
  </si>
  <si>
    <t>Pasco</t>
  </si>
  <si>
    <t>R15</t>
  </si>
  <si>
    <t>Lb</t>
  </si>
  <si>
    <t>Weather was very cold and large numbes of people on beach</t>
  </si>
  <si>
    <t xml:space="preserve">Doris and Pat Leary </t>
  </si>
  <si>
    <t xml:space="preserve">904-261-3965 PRLeary@Bellsouth.net </t>
  </si>
  <si>
    <t>Horseshoe Beach</t>
  </si>
  <si>
    <t>Dixie</t>
  </si>
  <si>
    <t>1 F(Y), 1 F(O)</t>
  </si>
  <si>
    <t>Only got the flags before they flew off</t>
  </si>
  <si>
    <t>1200-1600</t>
  </si>
  <si>
    <t xml:space="preserve">Clear, W-SW&lt;10, 60s </t>
  </si>
  <si>
    <t>WY</t>
  </si>
  <si>
    <t>00'engraved  on green  upper right band not on flag, photos taken</t>
  </si>
  <si>
    <t>St. Joseph Peninsula State Park</t>
  </si>
  <si>
    <t>Lg/O/Lg</t>
  </si>
  <si>
    <t xml:space="preserve">AMOY total redundant due to shifting between roost sites and known resights of banded birds. </t>
  </si>
  <si>
    <t>lower right, triple stripe band</t>
  </si>
  <si>
    <t>Carole A. Adams, Lesley Royce</t>
  </si>
  <si>
    <t>calie29@comcast.net</t>
  </si>
  <si>
    <t>Mayport Jetty to Duval/St. Johns County Line</t>
  </si>
  <si>
    <t>Duval</t>
  </si>
  <si>
    <t>Black Dot</t>
  </si>
  <si>
    <t>Orange</t>
  </si>
  <si>
    <t>b</t>
  </si>
  <si>
    <t>(O/b)</t>
  </si>
  <si>
    <t>Black dot on Upper Left O, Lower Right (O/b) is split band</t>
  </si>
  <si>
    <t>V45</t>
  </si>
  <si>
    <t>GY</t>
  </si>
  <si>
    <t>D08</t>
  </si>
  <si>
    <t>10:00-3:00</t>
  </si>
  <si>
    <t>50 degrees, very windy</t>
  </si>
  <si>
    <t>RR badly faded</t>
  </si>
  <si>
    <t>Shelley Beville</t>
  </si>
  <si>
    <t>sbeville@coj.net 904-251-3229</t>
  </si>
  <si>
    <t>Huguenot Memorial Park</t>
  </si>
  <si>
    <t>A/B</t>
  </si>
  <si>
    <t>could not see left leg. Gray band looked  beige could have faded.</t>
  </si>
  <si>
    <t>Data entered by Bill Brooks</t>
  </si>
  <si>
    <t>Bradley S. Smith, Susan L. Lavender</t>
  </si>
  <si>
    <t xml:space="preserve">(850) 653-8808 bradley_smith@fws.gov </t>
  </si>
  <si>
    <t>St. Vincent National Wildlife Refuge</t>
  </si>
  <si>
    <t>Joan and Richard Becker</t>
  </si>
  <si>
    <t>516-359-6838
rLbecker@songstar.org</t>
  </si>
  <si>
    <t>Little Talbot Island State Park</t>
  </si>
  <si>
    <t>C63</t>
  </si>
  <si>
    <t>FLg="C63"</t>
  </si>
  <si>
    <t>8:12 - 10:12</t>
  </si>
  <si>
    <t>low 50s, windy, overcast</t>
  </si>
  <si>
    <t xml:space="preserve">Alphanumeric faded; could not read.  </t>
  </si>
  <si>
    <t>Near mid tide, rising</t>
  </si>
  <si>
    <t>Big Talbot Island State Park</t>
  </si>
  <si>
    <t>12:35 - 1:15</t>
  </si>
  <si>
    <t>high 50s, windy, overcast</t>
  </si>
  <si>
    <t>BY</t>
  </si>
  <si>
    <t>BK</t>
  </si>
  <si>
    <t>Alimacani</t>
  </si>
  <si>
    <t>2:00 - 2:10</t>
  </si>
  <si>
    <t>low 60s, windy, mostly sunny</t>
  </si>
  <si>
    <t>GR</t>
  </si>
  <si>
    <t>YR</t>
  </si>
  <si>
    <t>RY</t>
  </si>
  <si>
    <t>John Martin, Matt McLeod</t>
  </si>
  <si>
    <t>352-384-7122 john.martin@ch2m.com</t>
  </si>
  <si>
    <t>Grayton Beach State Park</t>
  </si>
  <si>
    <t>MCSF-Blount Island Dayson Basin</t>
  </si>
  <si>
    <t>1305 - 1455</t>
  </si>
  <si>
    <t>windy, 10-20 mph</t>
  </si>
  <si>
    <t>S(G)</t>
  </si>
  <si>
    <t>S(G) indicates green tape over service band</t>
  </si>
  <si>
    <t>One female Ruff documented at this site. Photos available.</t>
  </si>
  <si>
    <t>352-384-7122 john.martin@ch2m.com</t>
  </si>
  <si>
    <t>MCSF-Blount Island South Shore Transect</t>
  </si>
  <si>
    <t>RK</t>
  </si>
  <si>
    <t>0845 - 0915</t>
  </si>
  <si>
    <t>MCSF-Blound Island Pond B Transect</t>
  </si>
  <si>
    <t>0935 - 0941</t>
  </si>
  <si>
    <t>KO</t>
  </si>
  <si>
    <t>bY//:KO//S - b is light blue</t>
  </si>
  <si>
    <t>MCSF-Blount Island Lake Tomroy, Pond A-A, Pond C Transect</t>
  </si>
  <si>
    <t>bG</t>
  </si>
  <si>
    <t>0956 - 1152</t>
  </si>
  <si>
    <t>bG//:bG//</t>
  </si>
  <si>
    <t>bO//:YK//</t>
  </si>
  <si>
    <t>bO//:GG//</t>
  </si>
  <si>
    <t>bb</t>
  </si>
  <si>
    <t>Kb</t>
  </si>
  <si>
    <t>Group/Point Latitude</t>
  </si>
  <si>
    <t>bb//:Kb//</t>
  </si>
  <si>
    <t>MCSF-Blount Island Eastpoint Shoreline Transect</t>
  </si>
  <si>
    <t>GO</t>
  </si>
  <si>
    <t>GO//:bY//</t>
  </si>
  <si>
    <t>0828 - 0858</t>
  </si>
  <si>
    <t>Group/Point Longitude</t>
  </si>
  <si>
    <t>Species and number of individuals</t>
  </si>
  <si>
    <t>K//R:G// somewhat faded red</t>
  </si>
  <si>
    <t>2/62015</t>
  </si>
  <si>
    <t>Shelley Beville, Joan Becker, Richard Becker, Kevin Oxenrider</t>
  </si>
  <si>
    <t>GO//:OY//</t>
  </si>
  <si>
    <t>Santa Rosa Area GUIS South</t>
  </si>
  <si>
    <t>9-11:45am</t>
  </si>
  <si>
    <t>clear, sunny, wind NE 15-18mph, 52F</t>
  </si>
  <si>
    <t>No</t>
  </si>
  <si>
    <t>not a complete combo; SNPL was roosting and would not show two upper most bands; pictures did not show either</t>
  </si>
  <si>
    <t>SNPL 3</t>
  </si>
  <si>
    <t>3 banded</t>
  </si>
  <si>
    <t xml:space="preserve">SNPL 2 </t>
  </si>
  <si>
    <t>1 banded</t>
  </si>
  <si>
    <t>SNPL 2</t>
  </si>
  <si>
    <t>2 banded</t>
  </si>
  <si>
    <t>Big Lagoon State Park</t>
  </si>
  <si>
    <t>YO</t>
  </si>
  <si>
    <t>1146-1215</t>
  </si>
  <si>
    <t>Med tide, rising, 10% cloud cover, no precipitation, calm surf, 8-12 mph winds</t>
  </si>
  <si>
    <t>SNPL 1</t>
  </si>
  <si>
    <t>KG</t>
  </si>
  <si>
    <t>Katie Leonard, Margaret Anderson</t>
  </si>
  <si>
    <t>Sanibel 3</t>
  </si>
  <si>
    <t>SAND 1</t>
  </si>
  <si>
    <t>banded</t>
  </si>
  <si>
    <t>KB:S//W male</t>
  </si>
  <si>
    <t>1314-1509</t>
  </si>
  <si>
    <t>SNPL 4</t>
  </si>
  <si>
    <t>B:S//GG female</t>
  </si>
  <si>
    <t>4 banded</t>
  </si>
  <si>
    <t>S//K:GO female</t>
  </si>
  <si>
    <t>WILL 22, SNPL 5, PIPL 9, DUNL 44, SAND 2</t>
  </si>
  <si>
    <t>2 SNPL &amp; 6 PIPL banded</t>
  </si>
  <si>
    <t>WR:S//K male</t>
  </si>
  <si>
    <t>SNPL 1, REKN 4, PIPL 6</t>
  </si>
  <si>
    <t>1 SNPL &amp; 2 PIPL banded</t>
  </si>
  <si>
    <t>Pensacola Beach West</t>
  </si>
  <si>
    <t>GW:S//W female</t>
  </si>
  <si>
    <t>10:22 - 12:10</t>
  </si>
  <si>
    <t>Low tide rising, 5% cloud cover, no precipiation, calm surf, winds 4-7mph</t>
  </si>
  <si>
    <t>OB</t>
  </si>
  <si>
    <t>OB:S//K</t>
  </si>
  <si>
    <t>KW</t>
  </si>
  <si>
    <t>BBPL 13, DUNL 81, SAND 14, SBDO 8</t>
  </si>
  <si>
    <t>REKN 16</t>
  </si>
  <si>
    <t>COLO (2), RBME (1), OSPR (1)</t>
  </si>
  <si>
    <t>RR faded</t>
  </si>
  <si>
    <t>Santa Rosa Area, GUIS South</t>
  </si>
  <si>
    <t>0745-0853</t>
  </si>
  <si>
    <t>SAND 26, DUNL 44, SNPL 4, WIPL 3</t>
  </si>
  <si>
    <t>mid tide rising, clear, calm, cool, sunny</t>
  </si>
  <si>
    <t>1 SNPL &amp; 2 WIPL banded</t>
  </si>
  <si>
    <t>SAND 9, DCCO 17, LAGU 8, ROYT 48, BRPE 1, BOGU 75, WILL 3, FOTE 14</t>
  </si>
  <si>
    <t>StJosephPeninsula</t>
  </si>
  <si>
    <t>StJospehPeninsula</t>
  </si>
  <si>
    <t>SNPL (4)</t>
  </si>
  <si>
    <t>3 banded SNPL. Gulf Shore, 11:42</t>
  </si>
  <si>
    <t>Santa Rosa Area, GUIS North</t>
  </si>
  <si>
    <t>0900-1115</t>
  </si>
  <si>
    <t>SNPL (2)</t>
  </si>
  <si>
    <t>1 banded SNPL, Gulf Shore, 11:54</t>
  </si>
  <si>
    <t>GR:S//B faded red, male</t>
  </si>
  <si>
    <t>Steve Mullin</t>
  </si>
  <si>
    <t>SNPL (3), DUNL (6), LESA (11), RUTU (2), WILL (2), SAND (58), RBGU (18), LAGU (2), FOTE (25), ROYT (9), HERG (1)</t>
  </si>
  <si>
    <t>2 banded SNPL, Ephemeral Pool, 12:17</t>
  </si>
  <si>
    <t>Eglin Cape San Blas</t>
  </si>
  <si>
    <t>X//YG:S//RG</t>
  </si>
  <si>
    <t>REKN (7), WILL (2), SAND (3)</t>
  </si>
  <si>
    <t>1 banded REKN, too faded to read. Whole flock flushed by walker. Gulf Shore, 12:32</t>
  </si>
  <si>
    <t>BX</t>
  </si>
  <si>
    <t>Unsure of BX code on Lower Right Green</t>
  </si>
  <si>
    <t>1 banded SNPL - flushed by unleashed dog within posted area. Gulf Shore, 12:45</t>
  </si>
  <si>
    <t>AY</t>
  </si>
  <si>
    <t>H</t>
  </si>
  <si>
    <t>Perdido Key Area, GUIS South</t>
  </si>
  <si>
    <t>Stephen Mann, Robert Lane</t>
  </si>
  <si>
    <t>727-669-1641 stephenmann@tampabay.rr.com</t>
  </si>
  <si>
    <t>Three Rooker Bar south</t>
  </si>
  <si>
    <t>0759-0921</t>
  </si>
  <si>
    <t>FO</t>
  </si>
  <si>
    <t>SNPL (2), SAND (4), WILL (2), RUTU (1), RBGU (10)</t>
  </si>
  <si>
    <t>2 banded SNPL, Gulf Shore, 12:58</t>
  </si>
  <si>
    <t>With big group of PIPLs</t>
  </si>
  <si>
    <t>FB</t>
  </si>
  <si>
    <t>G/R</t>
  </si>
  <si>
    <t>SNPL (2), RBGU (33), HERG (3), RUTU (3), WILL (1), SAND (5)</t>
  </si>
  <si>
    <t>1 banded SNPL, Gulf Shore, 13:07</t>
  </si>
  <si>
    <t>FW</t>
  </si>
  <si>
    <t>SNPL (3), SAND (1)</t>
  </si>
  <si>
    <t>1 banded SNPL, Ephemeral Pool, 13:40</t>
  </si>
  <si>
    <t>Perdido Key Area, GUIS North</t>
  </si>
  <si>
    <t>0922-1308</t>
  </si>
  <si>
    <t>SNPL (11), SAND (7), WILL (1)</t>
  </si>
  <si>
    <t>7 banded SNPL, Gulf Shore, 13:47</t>
  </si>
  <si>
    <t>BO</t>
  </si>
  <si>
    <t>1 banded SNPL, Gulf Shore, 14:18</t>
  </si>
  <si>
    <t>O/Y split band</t>
  </si>
  <si>
    <t>AMOY (2), SAND (1), BRPE (1), HERG (20), RBGU (2), ROYT (2)</t>
  </si>
  <si>
    <t>None banded. Ephermeral Pool, 14:25</t>
  </si>
  <si>
    <t>KK</t>
  </si>
  <si>
    <t>Fort Pickens Area, GUIS South</t>
  </si>
  <si>
    <t>1004-1215</t>
  </si>
  <si>
    <t>2 banded SNPL, Gulf Shore, 14:31</t>
  </si>
  <si>
    <t>H67</t>
  </si>
  <si>
    <t>3 banded SNPL, Gulf Shore, 16:01, area posted.</t>
  </si>
  <si>
    <t>1 banded SNPL, Gulf Shore, 16:14</t>
  </si>
  <si>
    <t>Fort Pickens Area, GUIS North</t>
  </si>
  <si>
    <t>0812-0951</t>
  </si>
  <si>
    <t>No code, missing band. S//W:FY//K - photo taken</t>
  </si>
  <si>
    <t>SNPL (5), SAND (2), RBGU (36), HERG (7), FOTE (16), ROYT (8)</t>
  </si>
  <si>
    <t>Stu Wilson</t>
  </si>
  <si>
    <t>1 banded SAND, 3 banded SNPL, Gulf Shore, 10:31</t>
  </si>
  <si>
    <t>941-554-8805
stuwilson@comcast.net</t>
  </si>
  <si>
    <t>Longboat Key - South</t>
  </si>
  <si>
    <t>Sarasota</t>
  </si>
  <si>
    <t>SE4</t>
  </si>
  <si>
    <t>SNPL (7), WIPL (2), SAND (1)</t>
  </si>
  <si>
    <t>1 banded WIPL, 5 banded SNPL, Gulf Shore, 11:01</t>
  </si>
  <si>
    <t>Upper right was a green flag but no inscription that I could make out</t>
  </si>
  <si>
    <t>Jennifer Winters, Stacey Bell, Michael Brothers, Amber Stevenson</t>
  </si>
  <si>
    <t>386-238-4668                    jwinters@volusia.org</t>
  </si>
  <si>
    <t>SNPL (3), SAND (3), RUTU (2), WILL (9), RBGU (7), BBPL (5)</t>
  </si>
  <si>
    <t>Ponce Inlet Parks and Disappearing Island</t>
  </si>
  <si>
    <t>Volusia</t>
  </si>
  <si>
    <t>2 banded SNPL, Gulf Shore, 11:18</t>
  </si>
  <si>
    <t>Linda White, Don White, Meret Wilson</t>
  </si>
  <si>
    <t>lwhite1230@gmail.com</t>
  </si>
  <si>
    <t>North Boundary of GRMSRA to Flagler Pier</t>
  </si>
  <si>
    <t>Flagler</t>
  </si>
  <si>
    <t>N</t>
  </si>
  <si>
    <t>faded code</t>
  </si>
  <si>
    <t>9:28 am - 12:07 pm</t>
  </si>
  <si>
    <t xml:space="preserve">Clear skies, wind 10-15 mph. Temp 55 - 60 deg F.  Rough, high seas. </t>
  </si>
  <si>
    <t>RBGU (57), RUTU (2), HERG (21), WILL (3), BBPL (2), LAGU (1), SAND (7), BOGU (2)</t>
  </si>
  <si>
    <t>J58</t>
  </si>
  <si>
    <t>None banded, Gulf Shore, 11:30</t>
  </si>
  <si>
    <t>9K5</t>
  </si>
  <si>
    <t>WIPL (2), SNPL (11), BBPL (8), SAND (16), DUNL (158), HERG (37), RBGU (26), RUTU (6), WILL (9), BOGU (4), FOTE (2)</t>
  </si>
  <si>
    <t>9 banded SNPL, Gulf Shore, 11:51</t>
  </si>
  <si>
    <t>AV8</t>
  </si>
  <si>
    <t>SNPL (1)</t>
  </si>
  <si>
    <t>Not banded (male), feeding, sparse wrack, Gulf Shore, 13:01</t>
  </si>
  <si>
    <t>Mark and Sandy Turner</t>
  </si>
  <si>
    <t>Bonnie Jenks, Wendy Meehan</t>
  </si>
  <si>
    <t>tmsprgrn@gmail.com</t>
  </si>
  <si>
    <t>727-595-9284 sbjenks@hotmail.com</t>
  </si>
  <si>
    <t>Flagler Pier north to Varn Park</t>
  </si>
  <si>
    <t>No. Redington Beach &amp; Redington Shores</t>
  </si>
  <si>
    <t>3ML</t>
  </si>
  <si>
    <t>9:15 am - 12:00 pm</t>
  </si>
  <si>
    <t>silver</t>
  </si>
  <si>
    <t>SNPL (2), SAND (1), RBGU (2), BBPL (1), WILL (1)</t>
  </si>
  <si>
    <t>1 banded SNPL, Gulf Shore, 13:04</t>
  </si>
  <si>
    <t>SNPL (14), SAND (7)</t>
  </si>
  <si>
    <t>7 banded SNPL, Gulf Shore, 13:15</t>
  </si>
  <si>
    <t>LbR</t>
  </si>
  <si>
    <t xml:space="preserve">Could not see Service band.  </t>
  </si>
  <si>
    <t>Laura G. Ostapko, Carmella and Rodney Fowkes, Reg Hermans, Sherry and Charlie Tomlinson</t>
  </si>
  <si>
    <t>386-445-8653  lauragostap@yahoo.com</t>
  </si>
  <si>
    <t>SNPL (4), SAND (6)</t>
  </si>
  <si>
    <t>Varn Park to Washington Oaks Gardens SP</t>
  </si>
  <si>
    <t>2 banded SNPL, Gulf Shore, 13:45</t>
  </si>
  <si>
    <t xml:space="preserve">Beachcombers distrubing roosting shorebirds.  </t>
  </si>
  <si>
    <t>9:30 am - 12:30 pm</t>
  </si>
  <si>
    <t>BOGU (251), HERG (11), WILL (1), ROYT (1), BBPL (1), FOTE (3), SAND (2), HOGR (95), COLO (1),  RBME (28), BUFF (2)</t>
  </si>
  <si>
    <t>Inlet Spit/Sand Bar, 13:31</t>
  </si>
  <si>
    <t>SNPL 10</t>
  </si>
  <si>
    <t>6 banded</t>
  </si>
  <si>
    <t>RO</t>
  </si>
  <si>
    <t>Karen Brown, Debbi Black, Maryann Andreychak, Sandi Cipolloni, Liz Ford, Miranda Collett</t>
  </si>
  <si>
    <t>karenbrown_s@yahoo.ca</t>
  </si>
  <si>
    <t>Marineland South to Washington Oaks Gardens SP</t>
  </si>
  <si>
    <t>SNPL 21, DUNL 32, HERG 3, SAND 12</t>
  </si>
  <si>
    <t>10:55 am - 12:00 pm</t>
  </si>
  <si>
    <t>17 SNPL banded</t>
  </si>
  <si>
    <t xml:space="preserve">pelican@fairpoint.net
850-647-8238 </t>
  </si>
  <si>
    <t>Bonfire Beach/east 
Tyndall AFB to MB</t>
  </si>
  <si>
    <t>N29.9537</t>
  </si>
  <si>
    <t>08:30Am to 9:20AM</t>
  </si>
  <si>
    <t xml:space="preserve">Moderate chop/low
rising/sunny few 
clouds
</t>
  </si>
  <si>
    <t>N29.9501</t>
  </si>
  <si>
    <t>W-85.4315</t>
  </si>
  <si>
    <t>SAND (76) WILL (2)
RBGU (2)</t>
  </si>
  <si>
    <t xml:space="preserve">Moderate chop/
low rising/45
</t>
  </si>
  <si>
    <t>N29.9502</t>
  </si>
  <si>
    <t>W-85.433</t>
  </si>
  <si>
    <t>SNPL 1, BOGU (5)
HEGU (1) RBGU (8)
SAND (2) LGUL (1)</t>
  </si>
  <si>
    <t>SNPL immature
not banded</t>
  </si>
  <si>
    <t>Washington Oaks Gardens SP North to Marineland (Intracoastal Waterway)</t>
  </si>
  <si>
    <t>Moderate chop/
lowrising/45</t>
  </si>
  <si>
    <t>W-85.4335</t>
  </si>
  <si>
    <t>FOTE (27) BOGU (15)
SAND (5) LGUL (5)</t>
  </si>
  <si>
    <t xml:space="preserve">9:15 am - 10:45 am
</t>
  </si>
  <si>
    <t xml:space="preserve">SAND feeding/
others resting sand
bar
</t>
  </si>
  <si>
    <t xml:space="preserve">Clear skies, wind 10-15 mph. Temp 55 - 59 deg F.  Rough, high seas. </t>
  </si>
  <si>
    <t>Moderate chop/
low /rising 45</t>
  </si>
  <si>
    <t>N29.9539</t>
  </si>
  <si>
    <t>W-85.4459</t>
  </si>
  <si>
    <t>SNPL 3 SAND 3</t>
  </si>
  <si>
    <t>1 banded all
feeding</t>
  </si>
  <si>
    <t xml:space="preserve">Mexico Beach/to Gulf-
Bay line
</t>
  </si>
  <si>
    <t>N29.9506</t>
  </si>
  <si>
    <t>W-85.4301</t>
  </si>
  <si>
    <t>N29.925</t>
  </si>
  <si>
    <t>W-85.3894</t>
  </si>
  <si>
    <t>9:25-10:00AM</t>
  </si>
  <si>
    <t>Moderate chop
50/low/rising clear</t>
  </si>
  <si>
    <t>N29.9498</t>
  </si>
  <si>
    <t>W-85.4277</t>
  </si>
  <si>
    <t>FOTE (92) LGUL 21
RBGUL (2) ROYT 10
WILL (1) BOGU 2
SAND 1</t>
  </si>
  <si>
    <t>All resting exept for 
sand and willet</t>
  </si>
  <si>
    <t>Jack Toriello, Nervalis Medina</t>
  </si>
  <si>
    <t>jackrtoriello@gmail.com</t>
  </si>
  <si>
    <t>Laura G. Ostapko, Cassy Moran, Liz Rourke, Mary Clemons</t>
  </si>
  <si>
    <t>Buck Beach (Tyndall AFB), Bay County</t>
  </si>
  <si>
    <t>Betty Steflik Preserve (on Intracoastal Waterway)</t>
  </si>
  <si>
    <t>9:17-10:57</t>
  </si>
  <si>
    <t>Sunny, cool, mild wind, low rising</t>
  </si>
  <si>
    <t>7:30 am - 8:30 am</t>
  </si>
  <si>
    <t>Clear skies, wind 10 mph, temp 49 deg F</t>
  </si>
  <si>
    <t>BBPL(2) SEPL(18) DUNL(20) PIPL(2) RBGU(2) FOTE(1) SAND(26) WIPL(1)</t>
  </si>
  <si>
    <t>One PIPL Banded Yf(9C8)//X:S//X</t>
  </si>
  <si>
    <t xml:space="preserve">Moderate chop/
50/low/rising </t>
  </si>
  <si>
    <t>N29.9414</t>
  </si>
  <si>
    <t>W-85.4096</t>
  </si>
  <si>
    <t>LGUL (83) RBGU (22)
SAND (4)</t>
  </si>
  <si>
    <t>sand feeding</t>
  </si>
  <si>
    <t xml:space="preserve">FOTE (92), LAGU (21), RBGU (2), ROYT (10), WILL (1), BOGU (2), SAND (1), </t>
  </si>
  <si>
    <t>Cassy Moran, Liz Rourke, John Demkar, John Katt</t>
  </si>
  <si>
    <t>cassym@cfl.rr.com</t>
  </si>
  <si>
    <t>Gamble Rogers MSRA marsh restoration</t>
  </si>
  <si>
    <t>9:20 am - 9:40 am</t>
  </si>
  <si>
    <t>Clear skies, wind 10 mph, temp 51 deg F</t>
  </si>
  <si>
    <t>S//W:GG female</t>
  </si>
  <si>
    <t>LAGU(83), RBGU (22), SAND (4)</t>
  </si>
  <si>
    <t>302-249-4053</t>
  </si>
  <si>
    <t>bb//:GG// male, b is light blue</t>
  </si>
  <si>
    <t>0830-1047</t>
  </si>
  <si>
    <t>27 53'34.18"N</t>
  </si>
  <si>
    <t>80 27'52.91"W</t>
  </si>
  <si>
    <t>SAND 80</t>
  </si>
  <si>
    <t>Loafing/resting in compact group near surfline.</t>
  </si>
  <si>
    <t>ACNWR RT3</t>
  </si>
  <si>
    <t>S//K:RB male</t>
  </si>
  <si>
    <t>27 51"42.77"N</t>
  </si>
  <si>
    <t>27 51'43.54"N</t>
  </si>
  <si>
    <t>80 26'49.58"W</t>
  </si>
  <si>
    <t>ROYT - 55  SATE - 15  BLSK - 75 RUTU - 10 SAND - 5 RBGU - 5  FOTE - 1</t>
  </si>
  <si>
    <t>Whole group at top of beach dune near surfline about 50 yards north of north jetty at Sebastian Inlet.</t>
  </si>
  <si>
    <t>Gamble Rogers MSRA south to Flagler / Volusia County Line</t>
  </si>
  <si>
    <t>RO:S//K</t>
  </si>
  <si>
    <t>11:55 am - 12:30 pm</t>
  </si>
  <si>
    <t>Clear skies, Wind 10 - 15 mph, temp 62 deg F.  Seas rough, tides high</t>
  </si>
  <si>
    <t>0825-11:15</t>
  </si>
  <si>
    <t>BRPE 3, HERG 26, LAGU 3, ROYT 80, FOTE 3</t>
  </si>
  <si>
    <t>Group of 50+ birds, no banded birds noted, no focals</t>
  </si>
  <si>
    <t>321-853-6858 martha.carroll@us.af.mil</t>
  </si>
  <si>
    <t>DUNL 4, SAND 1, ROYT 222, BRPE 19, HERG 23, FOTE 3</t>
  </si>
  <si>
    <t>S(G)= green tape over federal band</t>
  </si>
  <si>
    <t>REKN 19</t>
  </si>
  <si>
    <t>REKN - no banded birds</t>
  </si>
  <si>
    <t>REKN 15</t>
  </si>
  <si>
    <t>Little St George Island</t>
  </si>
  <si>
    <t>0930-1430</t>
  </si>
  <si>
    <t>Sunny,windy, rough seas bayside</t>
  </si>
  <si>
    <t>BRPE 13, SAND 8, RBGU 33, ROYT 110, FOTE 11</t>
  </si>
  <si>
    <t>RW</t>
  </si>
  <si>
    <t>WIPL 1</t>
  </si>
  <si>
    <t>WIPL - not banded</t>
  </si>
  <si>
    <t>St George Island Causeway</t>
  </si>
  <si>
    <t>1515-1630</t>
  </si>
  <si>
    <t xml:space="preserve">Sunny, windy, moderate seas batside, </t>
  </si>
  <si>
    <t>DCCO 4, BRPE 14, RBGU 33, HERG 19, ROYT 120, LAGU 1</t>
  </si>
  <si>
    <t>HERG 20, RBGU 11, ROYT 26, FOTE 4, GBBG 1</t>
  </si>
  <si>
    <t>DCCO 15, BRPE 4, GLGU 1, LAGU 10, HERG 12, RBGU 20, BBPL 22</t>
  </si>
  <si>
    <t>1238-1500</t>
  </si>
  <si>
    <t>Low tide rising, 40% cloud cover, no precipitation, surf calm, 4-7 mph winds</t>
  </si>
  <si>
    <t>BRPE 16, RBGU 29, HERG 22, BOGU 1</t>
  </si>
  <si>
    <t>80 32 35.87</t>
  </si>
  <si>
    <t>80 30 56.63</t>
  </si>
  <si>
    <t>900-1100</t>
  </si>
  <si>
    <t>sunny, 70, wind N 7 mph</t>
  </si>
  <si>
    <t>27 57 05.52</t>
  </si>
  <si>
    <t>80 30 57.77</t>
  </si>
  <si>
    <t xml:space="preserve">Royal tern (34)     Killdeer (1) Brown pelican (3) Ruddy Turn (3) Sand (4) Ringbill Gull (5) Herring Gull (2) Foster Tern (2) </t>
  </si>
  <si>
    <t>none banded</t>
  </si>
  <si>
    <t>27 59.99</t>
  </si>
  <si>
    <t>80 30.947</t>
  </si>
  <si>
    <t>80 29.392</t>
  </si>
  <si>
    <t>sunny and wind NW wind 10</t>
  </si>
  <si>
    <t>Bald Point State Park</t>
  </si>
  <si>
    <t>27 58.035</t>
  </si>
  <si>
    <t>80 30.444</t>
  </si>
  <si>
    <t>57 Sand</t>
  </si>
  <si>
    <t>1619-1709</t>
  </si>
  <si>
    <t>High tide, rising, 25% cloud cover, no precipitation, calm surf, 4-7 mph winds</t>
  </si>
  <si>
    <t>John U Lloyd Beach SP</t>
  </si>
  <si>
    <t>none</t>
  </si>
  <si>
    <t>Lb or Lg</t>
  </si>
  <si>
    <t>2nd observer thought lower left band color was Lg.</t>
  </si>
  <si>
    <t>Christopher Leon, christopher.l.leon@dep.state.fl.us, 954-924-3859</t>
  </si>
  <si>
    <t>John U. Lloyd Beach State Park</t>
  </si>
  <si>
    <t xml:space="preserve">26.06372, </t>
  </si>
  <si>
    <t>Mostly sunny, calm</t>
  </si>
  <si>
    <t>Tide high, not many birds present</t>
  </si>
  <si>
    <t xml:space="preserve">Manasota Key-South (CWC Zones 15-18)
</t>
  </si>
  <si>
    <t>FLb</t>
  </si>
  <si>
    <t>Windy, cold</t>
  </si>
  <si>
    <t>10:10 - 11:30</t>
  </si>
  <si>
    <t>Royal terns (75) Royal terns (70)  Laughing gulls (4) Ring billed gulls (6) willetts (2)</t>
  </si>
  <si>
    <t>Indian Pass</t>
  </si>
  <si>
    <t>Low tide rising, 20% cloud cover, no precipitation, calm surf, winds 4-7mph</t>
  </si>
  <si>
    <t xml:space="preserve">Group of ~ 75 Royal terns and another group ~70 Royal terns 100 yds south -- both groups on Englewood Beach </t>
  </si>
  <si>
    <t>Brenda Bossman</t>
  </si>
  <si>
    <t>debtadvise@gmail.com, (941)270-2961</t>
  </si>
  <si>
    <t>Knight Island</t>
  </si>
  <si>
    <t>2:00 pm - 4:00 pm</t>
  </si>
  <si>
    <t>clear, sunny, NNW wind 7-10 mph, 55F, moderate surf, mid tide and rising</t>
  </si>
  <si>
    <t>Potential Predators: BAEA 1</t>
  </si>
  <si>
    <t>SNPL (1),BBPL (3), WILL (2), SAND (5)</t>
  </si>
  <si>
    <t>SNPL was a female</t>
  </si>
  <si>
    <t>Mike Miller, Ken Carr</t>
  </si>
  <si>
    <t>850-445-4025 jmmlightspeed@comcast.net</t>
  </si>
  <si>
    <t>St.Teresa (Alligator Harbor)</t>
  </si>
  <si>
    <t>LbO</t>
  </si>
  <si>
    <t>OLb</t>
  </si>
  <si>
    <t>9:27-12:39</t>
  </si>
  <si>
    <t>clear,calm 50-70 degrees</t>
  </si>
  <si>
    <t>WIPL (3)</t>
  </si>
  <si>
    <t>No bands</t>
  </si>
  <si>
    <t>BLSK (118), ROYT (77), SATE (3)</t>
  </si>
  <si>
    <t>SAND (14)</t>
  </si>
  <si>
    <t>07:30-14:30 EST</t>
  </si>
  <si>
    <t>Clear, 47°F, winds calm</t>
  </si>
  <si>
    <t>RUTU (8)</t>
  </si>
  <si>
    <t>BRPE (16)</t>
  </si>
  <si>
    <t>WILL (20)</t>
  </si>
  <si>
    <t>BBPL (6)</t>
  </si>
  <si>
    <t>FOTE (3)</t>
  </si>
  <si>
    <t>Raya Pruner, Marvin Friel</t>
  </si>
  <si>
    <t>850-233-5110 raya.pruner@dep.state.fl.us</t>
  </si>
  <si>
    <t>Horseshoe Island</t>
  </si>
  <si>
    <t>0915-1036</t>
  </si>
  <si>
    <t>Low tide, rising, 15% cloud cover, no precipitation, ca;, sirf amd 4-7 mph winds</t>
  </si>
  <si>
    <t>RBWO (1)</t>
  </si>
  <si>
    <t>OSPR (3)</t>
  </si>
  <si>
    <t>SNEG (8)</t>
  </si>
  <si>
    <t>HERG (2)</t>
  </si>
  <si>
    <t>DUNL (3)</t>
  </si>
  <si>
    <t>Bald Point State Park- Oysterbars in Alligator Harbor</t>
  </si>
  <si>
    <t>1543-1652</t>
  </si>
  <si>
    <t>High tide, rising, 30% cloud cover, no precipitation, calm surf, 4-7 mph winds</t>
  </si>
  <si>
    <t>SEPL (11)</t>
  </si>
  <si>
    <t>OW</t>
  </si>
  <si>
    <t>AWPE (35)</t>
  </si>
  <si>
    <t>DCCO (1)</t>
  </si>
  <si>
    <t>COME (3)</t>
  </si>
  <si>
    <t>LAGU (8)</t>
  </si>
  <si>
    <t>0900-1400</t>
  </si>
  <si>
    <t>Low tide, Sunny, 0% cloud cover, 15 knot winds, moderate seas</t>
  </si>
  <si>
    <t>GBHE (1)</t>
  </si>
  <si>
    <t>missing 2 green bands, eglin banded female</t>
  </si>
  <si>
    <t>AMKE (1)</t>
  </si>
  <si>
    <t>Susan Cerulean, Mike Miller</t>
  </si>
  <si>
    <t>GBBG (1)</t>
  </si>
  <si>
    <t>850-766-1376, s.cerulean@att.net</t>
  </si>
  <si>
    <t>Lanack Reef</t>
  </si>
  <si>
    <t>11:00-3:30</t>
  </si>
  <si>
    <t>clear,winds SE 10k to SW 10k</t>
  </si>
  <si>
    <t>BOGU (1)</t>
  </si>
  <si>
    <t>LBHE (1)</t>
  </si>
  <si>
    <t>NOCA (1)</t>
  </si>
  <si>
    <t>NOMO (1)</t>
  </si>
  <si>
    <t>1135- 1352</t>
  </si>
  <si>
    <t>Med tid, falling, 0% cloud cover, no precipitation, calm surf, 8-12 mph winds</t>
  </si>
  <si>
    <t>1 WIPL</t>
  </si>
  <si>
    <t>SAND 75, DCCO 2, BRPE 18, ROYT 1, DUNL 2</t>
  </si>
  <si>
    <t>resting on gordon Pass breakwater</t>
  </si>
  <si>
    <t>SAND 200, DUNL 400, SBDO 10, BBPL 200, RUTU 15, HEGU 1, RBGU 38, DCCO 23, ROYT, 20, AMWP 20</t>
  </si>
  <si>
    <t>1415-1647</t>
  </si>
  <si>
    <t>Med tide, rising, 0% cloud cover, no precipitation, calm surf, 8-12 mph winds</t>
  </si>
  <si>
    <t>Sanibel 1</t>
  </si>
  <si>
    <t>WHIM 2, SAND 60, BBPL 39, MAGO 7, WILL 371, SBDO 150, WESP 75, REKN 25, RUTU 2, DUNL 80, ROYT 1</t>
  </si>
  <si>
    <t>1 banded REKN</t>
  </si>
  <si>
    <t>Bonfire Beach</t>
  </si>
  <si>
    <t>WIPL 2, SNPL 1</t>
  </si>
  <si>
    <t>WILL 111, WHIM 1, SBDO 100, BBPL 15, DUNL 50, AMWP 47</t>
  </si>
  <si>
    <t>Flag Island SE</t>
  </si>
  <si>
    <t>1030-1115</t>
  </si>
  <si>
    <t>William Jones, Patricia Jones</t>
  </si>
  <si>
    <t>Medium tide rising, Mostly sunny 10% cloud cover, 10knots wind, moderate seas gulfside</t>
  </si>
  <si>
    <t>trogon@aol.com 239-495-3882, 330-398-3460</t>
  </si>
  <si>
    <t>Barefoot Beach Preserve, Bonita Beach Rd. to Wiggins Pass</t>
  </si>
  <si>
    <t xml:space="preserve">Foraging Gulf beaches south of Oyster Pond.  </t>
  </si>
  <si>
    <t>0700 to 0935</t>
  </si>
  <si>
    <t xml:space="preserve">54/60, sunny, light wind, </t>
  </si>
  <si>
    <t>carol.rizkalla@myfwc.com  561-882-5712</t>
  </si>
  <si>
    <t>PIPL (1) SNPL (1)</t>
  </si>
  <si>
    <t>1130-1230</t>
  </si>
  <si>
    <t>SNPL (3)</t>
  </si>
  <si>
    <t>Yent bayou/ Royal Bluff</t>
  </si>
  <si>
    <t>WIPL (2)</t>
  </si>
  <si>
    <t>12:34-2:45</t>
  </si>
  <si>
    <t>clear, wind SE 10k</t>
  </si>
  <si>
    <t>WIPL (2) REKN (5) DUNL (74) PIPL (2) SBDO (35) LESA (15)</t>
  </si>
  <si>
    <t>Paul N Gray</t>
  </si>
  <si>
    <t>863-655-1831</t>
  </si>
  <si>
    <t>Indian Prairie, Lake Okeechobee</t>
  </si>
  <si>
    <t>Glades</t>
  </si>
  <si>
    <t>27 06 30</t>
  </si>
  <si>
    <t>-80 53 14</t>
  </si>
  <si>
    <t>WIPL (5) SNPL (4)</t>
  </si>
  <si>
    <t>27 02 27</t>
  </si>
  <si>
    <t>-80 55 40</t>
  </si>
  <si>
    <t>12:00-14:15</t>
  </si>
  <si>
    <t>sunny 70s wind 10</t>
  </si>
  <si>
    <t>WIPL (7) SNPL (1)</t>
  </si>
  <si>
    <t>Matthew.Hodge@dep.state.fl.us 941-486-2051</t>
  </si>
  <si>
    <t>26.28548 N</t>
  </si>
  <si>
    <t>?S</t>
  </si>
  <si>
    <t>-81.82803W</t>
  </si>
  <si>
    <t xml:space="preserve">Roosting Gulf beaches south of Oyster Pond.  </t>
  </si>
  <si>
    <t>8:00AM- 11:00AM</t>
  </si>
  <si>
    <t>Doris and Pat Leary</t>
  </si>
  <si>
    <t xml:space="preserve">904-261-3965  PRLeary@Bellsouth.net </t>
  </si>
  <si>
    <t xml:space="preserve">Horseshoe Beach to Coon Island </t>
  </si>
  <si>
    <t>LgS</t>
  </si>
  <si>
    <t>1200 -1600</t>
  </si>
  <si>
    <t>Clear, W-SW&lt;10, 60s</t>
  </si>
  <si>
    <t>1100-1745</t>
  </si>
  <si>
    <t>Med tide, rising, 10% cloud cover, no precipitation, moderate surf, 8-12 mph winds</t>
  </si>
  <si>
    <t xml:space="preserve">AMOY (17) WILL (53) MAGO (6) BBPL (6) DUNL (21) LESA (2) BRPE (1) </t>
  </si>
  <si>
    <t>tide flooding AMOY foraging</t>
  </si>
  <si>
    <t xml:space="preserve">AMOY (101) SAND (14) BLSK (25) RUTU (14) DUNL (108) CATE (2) </t>
  </si>
  <si>
    <t>AMOY on bar in creek mouth, later to Lt.Pine spit. All others on spit. Some AMOY flew to SW into marsh</t>
  </si>
  <si>
    <t xml:space="preserve">AWPE (20) </t>
  </si>
  <si>
    <t>WLg</t>
  </si>
  <si>
    <t>RS</t>
  </si>
  <si>
    <t>1025-1230</t>
  </si>
  <si>
    <t>Cloudy, windy, moderate seas gulfside,</t>
  </si>
  <si>
    <t xml:space="preserve">AMOY (107) </t>
  </si>
  <si>
    <t>Windmark Beach
StJoe Beach to HV</t>
  </si>
  <si>
    <t>N29.8934</t>
  </si>
  <si>
    <t>W-85.3602</t>
  </si>
  <si>
    <t>N29.8505</t>
  </si>
  <si>
    <t>W-85.337</t>
  </si>
  <si>
    <t>10:30-11:30AM</t>
  </si>
  <si>
    <t>Calm to moderate
54 low/rising</t>
  </si>
  <si>
    <t xml:space="preserve">AMOY (185) SEPL (53) BBPL (64) RUTU (42) WILL (76) WHIM (6) MAGO (6) SBDO (137) DUNL (250) BRPE (132) DCCO (134) SAND (8)   </t>
  </si>
  <si>
    <t>AMOY arriving from south with some remaining on south rake</t>
  </si>
  <si>
    <t xml:space="preserve">BLSK (30) on rooftop with RBGU (30) </t>
  </si>
  <si>
    <t xml:space="preserve">Roosting on roof of Gulf Storage facility in HB </t>
  </si>
  <si>
    <t>516-359-6838
RLBecker@songstar.org</t>
  </si>
  <si>
    <t>8:55-13:22</t>
  </si>
  <si>
    <t>Sunny, Chilly, Moderate wind, Mid tide</t>
  </si>
  <si>
    <t>Low 50s, windy, overcast</t>
  </si>
  <si>
    <t>DUNL 1800, SEPL 25, SAND 1, WESA 10</t>
  </si>
  <si>
    <t>Mid-tide, rising</t>
  </si>
  <si>
    <t>FOTE 49, ROYT 1, BOGU 1, RBGU 1</t>
  </si>
  <si>
    <t>FOTE 49, LAGU 4, BOGU 4, RBGU 2</t>
  </si>
  <si>
    <t>Not banded</t>
  </si>
  <si>
    <t>St Joe Beach/Bay-Gulf line to Windmark</t>
  </si>
  <si>
    <t>10:00-10:30</t>
  </si>
  <si>
    <t>54 F, Low tide-rising</t>
  </si>
  <si>
    <t>REKN 22</t>
  </si>
  <si>
    <t>9:00-12:30</t>
  </si>
  <si>
    <t>Sunny, Calm winds, Low tide rising, chilly</t>
  </si>
  <si>
    <t>PIPL 3</t>
  </si>
  <si>
    <t>High 50s, windy most sunny</t>
  </si>
  <si>
    <t>FOTE 30, DCCO 12, RBGU 2, LAGU 2, ROYT 2, WILL 2, BOGU 1, BRPE 1</t>
  </si>
  <si>
    <t>A</t>
  </si>
  <si>
    <t>john.martin@ch2m.com 352-384-7122</t>
  </si>
  <si>
    <t>MCSF-Blount Island</t>
  </si>
  <si>
    <t>1340 - 1455</t>
  </si>
  <si>
    <t>windy, 10-20 mph, cloudy</t>
  </si>
  <si>
    <t>#1</t>
  </si>
  <si>
    <t>Highland View</t>
  </si>
  <si>
    <t>DUNL (2,057), AMAV(26), GRYE(13), LEYE(7), LESA(401), SEPL(575), WESA(500), RUTU(1), BBPL(29), RUFF(1)</t>
  </si>
  <si>
    <t>GUlf</t>
  </si>
  <si>
    <t>Photo doc of Ruff available. All birds concentrated in dredge material disposal basin. Base closed, no access.</t>
  </si>
  <si>
    <t>Shelley Beville, Joan Becker, Richard becker, Kevin Oxenrider</t>
  </si>
  <si>
    <t>sbeville@coj.net, 904-251-3229</t>
  </si>
  <si>
    <t>R:S//O female</t>
  </si>
  <si>
    <t>13:15-13:40</t>
  </si>
  <si>
    <t>Sunny, Mid Tide rising, Moderate winds, Calm surf</t>
  </si>
  <si>
    <t>9:00-11:45am</t>
  </si>
  <si>
    <t>RBGI(6) SAND (9) BBPL (39) BOGU (3) FOTE (110)</t>
  </si>
  <si>
    <t>S//K:YB female</t>
  </si>
  <si>
    <t>WIPL(4) SEPL(143) DUNL(428) SAND(24) BBPL(6) RUTU(1) PIPL(1)</t>
  </si>
  <si>
    <t>PIPL WAS BANDED AND REPORTED</t>
  </si>
  <si>
    <t>WK</t>
  </si>
  <si>
    <t>St Josephs
Peninsula/East
StPKtoStumpHole</t>
  </si>
  <si>
    <t>WIPL(12) SEPL(1421) DUNL(1587) SAND(1) BBPL(12) RUTU(1) WESA(10)</t>
  </si>
  <si>
    <t>WK:S//W male</t>
  </si>
  <si>
    <t>N29.7593</t>
  </si>
  <si>
    <t>W-85.4035</t>
  </si>
  <si>
    <t>N29.6811</t>
  </si>
  <si>
    <t>W-85.3665</t>
  </si>
  <si>
    <t>8:30-10:45AM</t>
  </si>
  <si>
    <t>Moderate/rising
brisk winds causing
higher waves mid
morn</t>
  </si>
  <si>
    <t>50 degrees very windy</t>
  </si>
  <si>
    <t>B:S//GO male</t>
  </si>
  <si>
    <t>BLSK (200), DCCO (294)</t>
  </si>
  <si>
    <t>200 DCCO on jetty, 94 on water.  Data entered by Bill Brooks</t>
  </si>
  <si>
    <t>BG:S//R male</t>
  </si>
  <si>
    <t>Bev Hansen, Al Hansen, Janet Kurz</t>
  </si>
  <si>
    <t>352-686-0460 bevalhansen@earthlink.net</t>
  </si>
  <si>
    <t>Alfred McKethan Park (Pine Island)</t>
  </si>
  <si>
    <t>Hernando</t>
  </si>
  <si>
    <t>WY:S//W male</t>
  </si>
  <si>
    <t>0815-0856</t>
  </si>
  <si>
    <t>2 hours after high tide, clear skies, calm</t>
  </si>
  <si>
    <t>SAND (57, RBGU (166), FOTE (73), RUTU (46</t>
  </si>
  <si>
    <t>R:OO faded red, female</t>
  </si>
  <si>
    <t>RBGU 4, LAGU 7, HERG 3, FOTE 19, WILL 24, SAND 10, BBPL 1, KILL 2</t>
  </si>
  <si>
    <t>Pine Island Drive at First Bridge</t>
  </si>
  <si>
    <t>RG:S//B male</t>
  </si>
  <si>
    <t>0803-0808</t>
  </si>
  <si>
    <t>YO:S//K male</t>
  </si>
  <si>
    <t>Bayport Park</t>
  </si>
  <si>
    <t>S//:K male</t>
  </si>
  <si>
    <t>0933-1008</t>
  </si>
  <si>
    <t>3.5 hours after high tide, clear skies, calm</t>
  </si>
  <si>
    <t>Low tide rising, 5% cloud cover, no precipitation, calm surf, winds 4-7mph</t>
  </si>
  <si>
    <t>RBGU (42), LAGU (174), FOTE (4), SAND (14)</t>
  </si>
  <si>
    <t>Ob//X:YY//X</t>
  </si>
  <si>
    <t>Gulf Shore, 10:48</t>
  </si>
  <si>
    <t>Murray Gardler</t>
  </si>
  <si>
    <t>352-597-2195 mangrovefirst@tampabay.rr.com</t>
  </si>
  <si>
    <t>Brookridge Waste Water Treatment</t>
  </si>
  <si>
    <t>28.5511.92</t>
  </si>
  <si>
    <t>LAGU (34), RBGU (11), ROYT (1), FOTE (2), SAND (4)</t>
  </si>
  <si>
    <t>1156-1206</t>
  </si>
  <si>
    <t>Gulf Shore, 11:20</t>
  </si>
  <si>
    <t>clear skies</t>
  </si>
  <si>
    <t>2C9</t>
  </si>
  <si>
    <t>Santa Rosa Area, GUIS, South</t>
  </si>
  <si>
    <t>mid tide rising, clear, calm, cool</t>
  </si>
  <si>
    <t>SAND (55)</t>
  </si>
  <si>
    <t>pgray@Audubon.org; 863-655-1831</t>
  </si>
  <si>
    <t>Scrub Pens Road</t>
  </si>
  <si>
    <t>large flock of SAND; no bands observed</t>
  </si>
  <si>
    <t>Highlands</t>
  </si>
  <si>
    <t>27 28 12</t>
  </si>
  <si>
    <t>-81 16 20</t>
  </si>
  <si>
    <t>27 30 26</t>
  </si>
  <si>
    <t>-80 16 18</t>
  </si>
  <si>
    <t>17:20-18:10</t>
  </si>
  <si>
    <t>clear 60s</t>
  </si>
  <si>
    <t>no service band</t>
  </si>
  <si>
    <t>1 banded but not all colors confirmed (see data sheet #3)</t>
  </si>
  <si>
    <t>by car</t>
  </si>
  <si>
    <t>Of</t>
  </si>
  <si>
    <t>Santa Rosa Area, GUIS, North</t>
  </si>
  <si>
    <t>Charles H Fisher Jr</t>
  </si>
  <si>
    <t>813-495-7734</t>
  </si>
  <si>
    <t>bS</t>
  </si>
  <si>
    <t>McKay Bay</t>
  </si>
  <si>
    <t>Hillsborough</t>
  </si>
  <si>
    <t>11.00A-12.40P</t>
  </si>
  <si>
    <t>PIPL (6)</t>
  </si>
  <si>
    <t>Fair</t>
  </si>
  <si>
    <t>3 banded (see data sheet #3)</t>
  </si>
  <si>
    <t>PIPL (8), BBPL (1), BRPE (3), GBHE (1), SAND (42), DUNL (25), LAGU (3), BOGU (8), RBGU (19), HERG (16), ROYT (2), FOTE (4)</t>
  </si>
  <si>
    <t>large flock of birds feeding and roosting in mud flat area; no bands observed on any of the birds</t>
  </si>
  <si>
    <t>CA6</t>
  </si>
  <si>
    <t>Did not locate silver band</t>
  </si>
  <si>
    <t>banded (see data sheet #3)</t>
  </si>
  <si>
    <t>7ET</t>
  </si>
  <si>
    <t>EG Simmons Regional Park</t>
  </si>
  <si>
    <t>FLg="7ET"</t>
  </si>
  <si>
    <t>SNPL (10)</t>
  </si>
  <si>
    <t>2 banded (see data sheet #3)</t>
  </si>
  <si>
    <t>? faded</t>
  </si>
  <si>
    <t>8.40A-10.40A</t>
  </si>
  <si>
    <t>geotracker attached</t>
  </si>
  <si>
    <t>HERG (312)</t>
  </si>
  <si>
    <t>large flock of HERG</t>
  </si>
  <si>
    <t>1MY</t>
  </si>
  <si>
    <t>RBME (30), BUFF (44)</t>
  </si>
  <si>
    <t>large flock of water fowl</t>
  </si>
  <si>
    <t>unreadable</t>
  </si>
  <si>
    <t>RUDU (1600), COLO (2), RBGU (1)</t>
  </si>
  <si>
    <t>Dan Larremore, Joyce Kleen</t>
  </si>
  <si>
    <t>Egmont Key State Park</t>
  </si>
  <si>
    <t>SNPL (7)</t>
  </si>
  <si>
    <t>5 banded (see data sheet #3)</t>
  </si>
  <si>
    <t>8:15- 1:15</t>
  </si>
  <si>
    <t>incoming tide, clear, 50F, calm</t>
  </si>
  <si>
    <t>1 banded (see data sheet #3)</t>
  </si>
  <si>
    <t>Joyce Kleen, Dan Larremore, Kayla Smith, John Rogers</t>
  </si>
  <si>
    <t>352/563-2088 x209 joyce_kleen@fws.gov</t>
  </si>
  <si>
    <t>Egmont Key National Wildlife Refuge and State Park</t>
  </si>
  <si>
    <t>27.586211N</t>
  </si>
  <si>
    <t>-82.760522W</t>
  </si>
  <si>
    <t>27.586289N</t>
  </si>
  <si>
    <t>-82.760489W</t>
  </si>
  <si>
    <t>08:15-14:00</t>
  </si>
  <si>
    <t xml:space="preserve">Sunny, 54-64 F. </t>
  </si>
  <si>
    <t>SNPL (13)</t>
  </si>
  <si>
    <t>6 banded (see data sheet #3)</t>
  </si>
  <si>
    <t>unbanded</t>
  </si>
  <si>
    <t>1-302-249-4053 djaygator12@yahoo.com</t>
  </si>
  <si>
    <t>ACNWR IR County North</t>
  </si>
  <si>
    <t>Indian River</t>
  </si>
  <si>
    <t>27 51'35.32"N</t>
  </si>
  <si>
    <t>80 26'49.72"W</t>
  </si>
  <si>
    <t>27 50'28.08"N</t>
  </si>
  <si>
    <t>HERG (12), RBGU (42), BOGU (1)</t>
  </si>
  <si>
    <t>80 26'14.32"W</t>
  </si>
  <si>
    <t>large flock of gulls feeding</t>
  </si>
  <si>
    <t>1010-1052</t>
  </si>
  <si>
    <t>Clear, calm and mild.</t>
  </si>
  <si>
    <t>SAND (50), RBGU (2)</t>
  </si>
  <si>
    <t>large flock feeding</t>
  </si>
  <si>
    <t>9:28 - 12:07</t>
  </si>
  <si>
    <t>Clear skies, wind 10-15 mph.  Temp: 55 - 60 deg F.  Rough, high seas.</t>
  </si>
  <si>
    <t>RBGU (21), ROYT (51)  HEGU (8)  FOTE (24)  LAGU (21)  BLSK (10)</t>
  </si>
  <si>
    <t>`</t>
  </si>
  <si>
    <t>Flagler Pier North to Varn Park</t>
  </si>
  <si>
    <t>Gb</t>
  </si>
  <si>
    <t>GO//:Gb// female, b is light blue</t>
  </si>
  <si>
    <t>ROYT (19)  FOTE (13)  LAGU (150)  HEGU (5)  GBBG (1)  RBGU (7)</t>
  </si>
  <si>
    <t>BO:S//Y male</t>
  </si>
  <si>
    <t>Beach replensihment underway or recently completed in section.</t>
  </si>
  <si>
    <t>SAND (74)  RUTU (5)  WILL (3)  BBPL (3)  GBBG (2)  RBGU (1)</t>
  </si>
  <si>
    <t>1-302-249-4053</t>
  </si>
  <si>
    <t>ACNWR IR County South</t>
  </si>
  <si>
    <t>27 46'07.23"N</t>
  </si>
  <si>
    <t>80 23'58.05"W</t>
  </si>
  <si>
    <t>0804-0902</t>
  </si>
  <si>
    <t>Clear, calm and mild. Some mist from surf.</t>
  </si>
  <si>
    <t>RBGU (42)  GBBG (6)  LAGU (30)  FOTE (8)  RUTU (9)  WILL (4)</t>
  </si>
  <si>
    <t xml:space="preserve"> </t>
  </si>
  <si>
    <t>Laura G. Ostapko, Carmella and Rod Fowkes, Reg Hermans, Sherry and Charlie Tomlinson</t>
  </si>
  <si>
    <t>Beach replensihment underway or recently completed in section. Little to no real beach habitat on this stretch.</t>
  </si>
  <si>
    <t>RBGU (30)  ROYT (18)  HEGU *)  SAND (10)  BOGU (1)  FOTE (20)  LAGU (5)</t>
  </si>
  <si>
    <t>Joseph Scarola</t>
  </si>
  <si>
    <t>Karen Brown, Debbi Black, Maryann Andreychak, Sandi Cipolloni, Liz Ford, Miranda Collet</t>
  </si>
  <si>
    <t>772-334-3729 Joe@ecological-associates.com</t>
  </si>
  <si>
    <t>Sebastian Inlet State Park (South)</t>
  </si>
  <si>
    <t>Washington Oaks Gardens SP to Flagler St John's County Line  (Intracoastal Waterway)</t>
  </si>
  <si>
    <t>unsure</t>
  </si>
  <si>
    <t>0846 - 0937</t>
  </si>
  <si>
    <t>9:30 - 10:45 am</t>
  </si>
  <si>
    <t>59 F, partly cloudy, 10-15 mph winds WNW</t>
  </si>
  <si>
    <t>DCCO (76)</t>
  </si>
  <si>
    <t>AM</t>
  </si>
  <si>
    <t>25 BLSK, 2 BRPE, 10 ROYT, 5 BOGU, 10 RBGU, 10 LAGU, 15 DCCO, 5 SAND</t>
  </si>
  <si>
    <t>Roosting Indian Pass closed shorebird area</t>
  </si>
  <si>
    <t>photos taken</t>
  </si>
  <si>
    <t>2 AMOY, 144 REKN, 6 RUTU, 9 WILL, 5 SAND</t>
  </si>
  <si>
    <t>No banded birds observed. 1 dead Gannet observed.</t>
  </si>
  <si>
    <t>REKN foraging but some disturbance from beach walkers</t>
  </si>
  <si>
    <t>Jane Tutton</t>
  </si>
  <si>
    <t>772-713-9301, jtutton_99@yahoo.com</t>
  </si>
  <si>
    <t>Vero Beach- Barber Bridge to South Beach</t>
  </si>
  <si>
    <t>T14</t>
  </si>
  <si>
    <t>7:34 - 8:35 am</t>
  </si>
  <si>
    <t>overcast, ~20 mph winds from NE</t>
  </si>
  <si>
    <t>10 SNPL</t>
  </si>
  <si>
    <t xml:space="preserve">Roosting all together on sand and shell mid-beach between 0 and 1 Roads. </t>
  </si>
  <si>
    <t>Y/O</t>
  </si>
  <si>
    <t>Matthew Anderson, Barchan Rodgers, Emily Dark</t>
  </si>
  <si>
    <t>45 WILL, 6 RUTU, 15 RBGU</t>
  </si>
  <si>
    <t>Matthew.R.Anderson@dep.state.fl.us, (772) 429-2995</t>
  </si>
  <si>
    <t xml:space="preserve">BAEA territory on beach active.  </t>
  </si>
  <si>
    <t>Spoil Islands IR15-IR20</t>
  </si>
  <si>
    <t>N27.76053</t>
  </si>
  <si>
    <t>W080.41404</t>
  </si>
  <si>
    <t>N27.78195</t>
  </si>
  <si>
    <t>W080.44109</t>
  </si>
  <si>
    <t>12:40-1:20</t>
  </si>
  <si>
    <t>Moderate chop, NW winds, partly cloudy</t>
  </si>
  <si>
    <t>Ft Myers Beach R1</t>
  </si>
  <si>
    <t>9:40 am - 12:10 pm</t>
  </si>
  <si>
    <t>Sunny, wind NNE 17 mph, 65-70 degrees</t>
  </si>
  <si>
    <t>Y/O SPLIT BAND</t>
  </si>
  <si>
    <t>8 PIPL, 5 SNPL, 2 SEPL, 1 SAND</t>
  </si>
  <si>
    <t xml:space="preserve">Two banded PIPL, one with orange flag.  </t>
  </si>
  <si>
    <t>17 dogs on leash.  OSPR (4), PEFA (1).  Data entry by Charlie Ewell.</t>
  </si>
  <si>
    <t>Ft Myers Beach R2</t>
  </si>
  <si>
    <t>8:00 - 9:40 am</t>
  </si>
  <si>
    <t>Sunny, wind NNE 17 mph, 55-65 degrees</t>
  </si>
  <si>
    <t>7 REKN</t>
  </si>
  <si>
    <t xml:space="preserve">Foraging west of open Oyster Pond Creek outfall to the Gulf.  One banded.  </t>
  </si>
  <si>
    <t>4 SNPL</t>
  </si>
  <si>
    <t>P72</t>
  </si>
  <si>
    <t xml:space="preserve">Roosting east of open Oyster Pond Creek outfall to the Gulf.  One banded.  Some symbolic fencing down east of Oyster Pond Creek and also east of Rio Road.  </t>
  </si>
  <si>
    <t>2 BRPE, 89 DCCO, 4 BOGU</t>
  </si>
  <si>
    <t xml:space="preserve">West Pass beaches after Supporters tour.  </t>
  </si>
  <si>
    <t>FK</t>
  </si>
  <si>
    <t>Many dogs on leash.  Data entry by Charlie Ewell.</t>
  </si>
  <si>
    <t>1 REKN (foaraging), 1 BBPL, 16 WILL, 3 SAND, 2 BOGU, 6 FOTE</t>
  </si>
  <si>
    <t xml:space="preserve">Some symbolic fencing down west of West Pass Road.  </t>
  </si>
  <si>
    <t>Charlie Ewell, Walt Winton</t>
  </si>
  <si>
    <t>239-691-8562, anhinga42@comcast.net</t>
  </si>
  <si>
    <t>Bunche Beach</t>
  </si>
  <si>
    <t>KOK</t>
  </si>
  <si>
    <t>7:30 - 9:00 am</t>
  </si>
  <si>
    <t>Sunny, wind calm, 60 degrees</t>
  </si>
  <si>
    <t>Black/Orange/Black split band on Lower Left; Orange band on Upper Right has green circular dot, Black band on Lower Right has white lettering (not confirmed, but previously observed 94), photos available</t>
  </si>
  <si>
    <t>DUNL 42, WILL 26</t>
  </si>
  <si>
    <t>None Banded</t>
  </si>
  <si>
    <t>AMOY 2, RBGU 5, WILL 7, BBPL 2, DCCO 44</t>
  </si>
  <si>
    <t>photo blurry, confident ID</t>
  </si>
  <si>
    <t>AMOY 2</t>
  </si>
  <si>
    <t xml:space="preserve">Roosting mid-beach east of open Oyster Pond Creek outfall to the Gulf.  Territorial?  Fighting with nearby SNPL.  </t>
  </si>
  <si>
    <t>Some of the PIPL are undoubtedly the same individuals as on FM Beach R1.  It is across the bay from Bunche Beach, and is a popular roost area for Bunche Beach birds after foraging.  Data entered by Charlie Ewell</t>
  </si>
  <si>
    <t>Charlie Ewell</t>
  </si>
  <si>
    <t>Big Hickory Island</t>
  </si>
  <si>
    <t>3:00-4:00 pm</t>
  </si>
  <si>
    <t>Sunny, wind E 5-10mph, 75 degrees</t>
  </si>
  <si>
    <t>AMOY 2, RBGU 134</t>
  </si>
  <si>
    <t>Data entered by Charlie Ewell.</t>
  </si>
  <si>
    <t>Diane and Leo Pajak</t>
  </si>
  <si>
    <t>dps717@yahoo.com; 410-207-6764</t>
  </si>
  <si>
    <t>CWA South - Little Estero (Fort Myers Beach route 3)</t>
  </si>
  <si>
    <t>10:30 am - 12 pm</t>
  </si>
  <si>
    <t>sunny, cool, calm</t>
  </si>
  <si>
    <t>SNPL 3, PIPL 7</t>
  </si>
  <si>
    <t>8:20-10:20 am</t>
  </si>
  <si>
    <t>1 PIPL banded</t>
  </si>
  <si>
    <t>Sunny, wind E 7 mph, 65 degrees</t>
  </si>
  <si>
    <t>OK:S//W male</t>
  </si>
  <si>
    <t>REKN 8</t>
  </si>
  <si>
    <t>YY:S//Y female</t>
  </si>
  <si>
    <t>1 dead ROTE and ANHI observed on beach. BAEA imm (1), OSPR (4).   Data entered by Charlie Ewell</t>
  </si>
  <si>
    <t>SAND 14, FOTE 5, WILL 2, ROYT 2, HERG 2, BOGO 1, AMOY 2, RBGU 47, BBPL 4, DUNL 11, SAND 87, RUTU 1</t>
  </si>
  <si>
    <t>Cayo Costa R4</t>
  </si>
  <si>
    <t>10:20-11:30 am</t>
  </si>
  <si>
    <t>Sunny, wind ESE 10 mph, 70 degrees</t>
  </si>
  <si>
    <t>PIPL 4, SNPL 4</t>
  </si>
  <si>
    <t>2 PIPL banded</t>
  </si>
  <si>
    <t>SAND 106, WILL 1, DUNL 4</t>
  </si>
  <si>
    <t>GK:S//W</t>
  </si>
  <si>
    <t>OSPR (5).  3 dogs on leash.  Data entered by Charlie Ewell.</t>
  </si>
  <si>
    <t>GK:S//K male</t>
  </si>
  <si>
    <t>Charlie Ewell, Cheryl Anderson</t>
  </si>
  <si>
    <t>Cayo Costa R2</t>
  </si>
  <si>
    <t>9:30-11:30 am</t>
  </si>
  <si>
    <t>Sunny, wind ESE 5 mph, 70 degrees</t>
  </si>
  <si>
    <t>S//K:GG female</t>
  </si>
  <si>
    <t>REKN 38, BBPL 3, SAND 92, RUTU 3, RBGU 19,, SBDO 1, WILL 24, FOTE 1, DUNL 130, HERG 1, CATE 3</t>
  </si>
  <si>
    <t>S//W:GK male</t>
  </si>
  <si>
    <t>AMOY 5</t>
  </si>
  <si>
    <t>Cayo Costa R1</t>
  </si>
  <si>
    <t>RB:S//W male?</t>
  </si>
  <si>
    <t>8:30-9:30 am</t>
  </si>
  <si>
    <t>Sunny, wind calm, 65 degrees</t>
  </si>
  <si>
    <t>S//YY:X//X female</t>
  </si>
  <si>
    <t>AMOY 14</t>
  </si>
  <si>
    <t>OK:RS female</t>
  </si>
  <si>
    <t>This is never a high number of birds route, but quieter than usual this AM.  No apparent reason.  Data entered by Charlie Ewell.</t>
  </si>
  <si>
    <t>AMOY 4</t>
  </si>
  <si>
    <t>S//K:RY male</t>
  </si>
  <si>
    <t>Joel Caouette</t>
  </si>
  <si>
    <t>Captiva 1</t>
  </si>
  <si>
    <t>09:53-10:55</t>
  </si>
  <si>
    <t>Overcast, rainy</t>
  </si>
  <si>
    <t>IA</t>
  </si>
  <si>
    <t>HL</t>
  </si>
  <si>
    <t>Captiva 2</t>
  </si>
  <si>
    <t>08:51-09:51</t>
  </si>
  <si>
    <t>B/B</t>
  </si>
  <si>
    <t>Y/W</t>
  </si>
  <si>
    <t>08:34-10:18</t>
  </si>
  <si>
    <t>60F, Clear</t>
  </si>
  <si>
    <t>KO/Y</t>
  </si>
  <si>
    <t>Black/Orange split band over Yellow on Lower Left, photos available</t>
  </si>
  <si>
    <t>Sanibel 2</t>
  </si>
  <si>
    <t>10:25-10:59</t>
  </si>
  <si>
    <t>SNPL 9</t>
  </si>
  <si>
    <t>9 banded</t>
  </si>
  <si>
    <t>11:01-12:55</t>
  </si>
  <si>
    <t>65F, Clear</t>
  </si>
  <si>
    <t>09:07-10:03</t>
  </si>
  <si>
    <t>Sunny, Clear</t>
  </si>
  <si>
    <t>SNPL 4, PIPL 5, DUNL 31, SAND 25</t>
  </si>
  <si>
    <t>Sanibel 6</t>
  </si>
  <si>
    <t>10:57-11:40</t>
  </si>
  <si>
    <t>SNPL 5</t>
  </si>
  <si>
    <t>239-472-3984 jcaouette@gmail.com</t>
  </si>
  <si>
    <t>Sanibel 5</t>
  </si>
  <si>
    <t>AMOY (8), BLSK (6), WILL (5), RBGU (2), FOTE (24), ROYT (1), SAND (8)</t>
  </si>
  <si>
    <t>10:05-10:57</t>
  </si>
  <si>
    <t>1 banded AMOY. Bay flat/Oysterbar, 10:47, sparse wrack. 13 dogs, both leashed and unleashed seen on survey.</t>
  </si>
  <si>
    <t>LAGU (88), ROYT (42), RBGU (8), FOTE (22), BOGU (3), SNPL (1)</t>
  </si>
  <si>
    <t>Disturbed by BAEA. Not banded.</t>
  </si>
  <si>
    <t>Sanibel 7</t>
  </si>
  <si>
    <t>WW:S//W</t>
  </si>
  <si>
    <t>11:42-12:18</t>
  </si>
  <si>
    <t>ROYT (107), LAGU (371), BLSK (14), FOTE (4), BRPE (2), SNPL (6)</t>
  </si>
  <si>
    <t>Disturbed multiple times by 4 people walking on beach and shelling.  Not banded.</t>
  </si>
  <si>
    <t>WB:S//Y</t>
  </si>
  <si>
    <t>Katie Moses</t>
  </si>
  <si>
    <t>239-463-4588 Catherine.Moses@dep.state.fl.us</t>
  </si>
  <si>
    <t>Lovers Key State Park</t>
  </si>
  <si>
    <t>9:15- 10:15 am</t>
  </si>
  <si>
    <t>Sunny/ Calm, 62F, NNW 1-3 mph, Outgoing Tide</t>
  </si>
  <si>
    <t>GO:S//W male</t>
  </si>
  <si>
    <t>AA</t>
  </si>
  <si>
    <t>S//:AA male, missing band lower left, think used to be S//P:AA with pink band missing</t>
  </si>
  <si>
    <t>RBGU (11), LAGU (2), ROYT (4), FOTE (5), DCCO (46), SAND (6), WILL (2)</t>
  </si>
  <si>
    <t>K//:S//K male</t>
  </si>
  <si>
    <t>No Banded birds seen.</t>
  </si>
  <si>
    <t>Kathleen &amp; David Rohrer</t>
  </si>
  <si>
    <t>941-964-1837</t>
  </si>
  <si>
    <t>Gasparilla Island</t>
  </si>
  <si>
    <t>Lee/Charlotte</t>
  </si>
  <si>
    <t>SNPL (11), SAND (12), WILL (2), RBGO (1)</t>
  </si>
  <si>
    <t>1 banded SNPL</t>
  </si>
  <si>
    <t>8:00 a.m. - 11:00 a.m.</t>
  </si>
  <si>
    <t>sun, windy</t>
  </si>
  <si>
    <t>BR:S//W</t>
  </si>
  <si>
    <t>DCCO (173), RBGU (7), SAND (1), BBPL (1), WILL (1), SNPL (2), REKN (9)</t>
  </si>
  <si>
    <t>KK:S//Y</t>
  </si>
  <si>
    <t>OY:S//W female</t>
  </si>
  <si>
    <t>WILL (10), AMOY (2), RUTU (9)</t>
  </si>
  <si>
    <t>WK:S// male</t>
  </si>
  <si>
    <t>DUNL (21), BBPL (2), SNPL (1), SAND (1), RBGU (2)</t>
  </si>
  <si>
    <t>not banded</t>
  </si>
  <si>
    <t>M23</t>
  </si>
  <si>
    <t>BRPE (71)</t>
  </si>
  <si>
    <t>Suzi Fox, John Schimkatis</t>
  </si>
  <si>
    <t>941 778 5638</t>
  </si>
  <si>
    <t>Sunny, windy, moderate seas batside,</t>
  </si>
  <si>
    <t>Anna Maria Island Long Boat Pass to  Pine Ave</t>
  </si>
  <si>
    <t>BRPE (56), DCCO (1), RBGU (1)</t>
  </si>
  <si>
    <t>Steve Mullin,     Kevin Christman</t>
  </si>
  <si>
    <t>9:30 am - 1:20 pm</t>
  </si>
  <si>
    <t>Clear, Windy out of the NW20 MPH 63 Degrees</t>
  </si>
  <si>
    <t xml:space="preserve">Low tide, Sunny, 0% cloud cover, 15 knot winds, moderate seas </t>
  </si>
  <si>
    <t>SNPL (11)</t>
  </si>
  <si>
    <t>27.38938N</t>
  </si>
  <si>
    <t>G/Y</t>
  </si>
  <si>
    <t>-82.64257W</t>
  </si>
  <si>
    <t>27.44082N</t>
  </si>
  <si>
    <t>SNPL (16)</t>
  </si>
  <si>
    <t>-82.68655W</t>
  </si>
  <si>
    <t>Green geolocator over Yellow band on Upper Right</t>
  </si>
  <si>
    <t>5 banded</t>
  </si>
  <si>
    <t>12:20 - 16:07</t>
  </si>
  <si>
    <t>64F, wind 18-25mph</t>
  </si>
  <si>
    <t>038</t>
  </si>
  <si>
    <t>SNPL (2), RUTU (2)</t>
  </si>
  <si>
    <t>REKN (6), BBPL (1)</t>
  </si>
  <si>
    <t>tide level &gt; +1.1 MTL chosen to mazimize birds observed in roosting behavior predominantly</t>
  </si>
  <si>
    <t>faded, but certain of code</t>
  </si>
  <si>
    <t>Kathy Doddridge
Jerry Knight
Billie Knight</t>
  </si>
  <si>
    <t>941-795-1846
kathy.doddridge@att.net</t>
  </si>
  <si>
    <t>North Anna Maria Island</t>
  </si>
  <si>
    <t>WILL (7), BBPL (6), SAND (11), REKN (6), RBGU (7), FOTE (23), HEGU (1)</t>
  </si>
  <si>
    <t>9:00 - 10:45 a.m.</t>
  </si>
  <si>
    <t>Sunny/Calm, 58F
NNW 1-3 mph
Outgoing Tide</t>
  </si>
  <si>
    <t>U9U</t>
  </si>
  <si>
    <t>REKN (4), WILL (2), BBPL (6), SAND (14), SNPL (4), BUFF (4), RBGU (5), HEGU (2), FOTE (10), BOGU (2)</t>
  </si>
  <si>
    <t>T2T</t>
  </si>
  <si>
    <t>REKN (2), WILL (30), RBGU (1), HEGU (1)</t>
  </si>
  <si>
    <t>Kelly Martin, Sandra Wallace</t>
  </si>
  <si>
    <t>kelly@projectleatherback.com, 561-402-9496</t>
  </si>
  <si>
    <t>Blowing Rocks Preserve to Jupiter Island (293 S. Beach Rd)</t>
  </si>
  <si>
    <t>Martin</t>
  </si>
  <si>
    <t>AMOY (1), HEGU (1)</t>
  </si>
  <si>
    <t>7:37-8:45</t>
  </si>
  <si>
    <t>Partly cloudy, 65 degrees, 10 mph wind from south</t>
  </si>
  <si>
    <t>031</t>
  </si>
  <si>
    <t>AMOY (2)</t>
  </si>
  <si>
    <t>Kelly Martin</t>
  </si>
  <si>
    <t>Jupiter Island (215 S. Beach Rd) to Hobe Sound National Wildlife Refuge</t>
  </si>
  <si>
    <t>0C4</t>
  </si>
  <si>
    <t>10:30-13:02</t>
  </si>
  <si>
    <t>75 degrees, sunny, wind 3mph, flat seas</t>
  </si>
  <si>
    <t>PIPL (7), SNPL (2)</t>
  </si>
  <si>
    <t>2 banded SNPL, 2 banded PIPL</t>
  </si>
  <si>
    <t>Brian Garrett</t>
  </si>
  <si>
    <t>561-682-6653, bgarret@sfwmd.gov</t>
  </si>
  <si>
    <t>Lakeside Ranch STA</t>
  </si>
  <si>
    <t>10:45-12:00</t>
  </si>
  <si>
    <t>partially sunny, 62 degrees F</t>
  </si>
  <si>
    <t>DCCO (234), HEGU (5), BUFF (6), HOGR (1), COLO (1)</t>
  </si>
  <si>
    <t>no code visible on flag</t>
  </si>
  <si>
    <t>Danielle Miller</t>
  </si>
  <si>
    <t>772-334-3729 Danielle@ecological-associates.com</t>
  </si>
  <si>
    <t>Hobe Sound National Wildlife Refuge</t>
  </si>
  <si>
    <t xml:space="preserve">Martin  </t>
  </si>
  <si>
    <t>PIPL (4), SAND (12), WILL (1), BBPL (1), RUTU (1), RBGU (2), FOTE (2)</t>
  </si>
  <si>
    <t>Not Banded</t>
  </si>
  <si>
    <t>0840-0950</t>
  </si>
  <si>
    <t>Partly cloudy, 65 F</t>
  </si>
  <si>
    <t>only observed once, no code identified</t>
  </si>
  <si>
    <t>AMOY (1), DUNL (4), SAND (1)</t>
  </si>
  <si>
    <t>Niki Desjardin</t>
  </si>
  <si>
    <t>ECT</t>
  </si>
  <si>
    <t>772-334-3729 Niki@ecological-associates.com</t>
  </si>
  <si>
    <t>Hutchinson Island</t>
  </si>
  <si>
    <t>Martin &amp; St. Lucie</t>
  </si>
  <si>
    <t>HEGU (44), FOTE (5), LAGU (20), BUFF (4), RBGU (2), ROYT (2)</t>
  </si>
  <si>
    <t>0820-1043 &amp; 1454-1551</t>
  </si>
  <si>
    <t>white lettering on dark green flag</t>
  </si>
  <si>
    <t xml:space="preserve">Wind 10mph, SW 70 F, falling tide </t>
  </si>
  <si>
    <t>PIPL (2), SAND (3), BBPL (2), DUNL (4)</t>
  </si>
  <si>
    <t>AMOY (2), WILL (1)</t>
  </si>
  <si>
    <t>Michelle Davis, Shelby Moneysmith, Michael Hoffman</t>
  </si>
  <si>
    <t>305-582-4165 vireoojorojo@hotmail.com</t>
  </si>
  <si>
    <t>Biscayne National Park</t>
  </si>
  <si>
    <t>Miami Dade</t>
  </si>
  <si>
    <t>8:30 am- 11:45 am</t>
  </si>
  <si>
    <t>SAND (73), DUNL (43), BBPL (3), LBCU (2), MAGO (2), WILL (3), ROYT (27), FOTE (66), LAGU (35), RBGO (10), HEGU (6)</t>
  </si>
  <si>
    <t>Partly cloudy, NW winds 20-25 knts</t>
  </si>
  <si>
    <t>12:34-2;45</t>
  </si>
  <si>
    <t>DUNLIN(48), WILL(20), SAND(12), LEYE(5), RUTU(2), MAGO(1), SEMI PALM PL(12), BBPPL(1), SNOWY EG(1), SBDO(1)</t>
  </si>
  <si>
    <t>WILL(21), RUTU(5), YELE(8), SAND(6), RB GULL(20)</t>
  </si>
  <si>
    <t>WIPL(1)</t>
  </si>
  <si>
    <t>PIPL(1)</t>
  </si>
  <si>
    <t>Start and stop lat/long are the same because we completed a loop from park headquarters and ended at park headquarters</t>
  </si>
  <si>
    <t>carol.rizkalla@myfwc.com 561-882-5712</t>
  </si>
  <si>
    <t>Biscayne Bay</t>
  </si>
  <si>
    <t>BRPE(3), MAGO(2), DUNL(185),WILL(3),LEYE(120)</t>
  </si>
  <si>
    <t>11:45 - 14:10</t>
  </si>
  <si>
    <t>partly cloudy, 73</t>
  </si>
  <si>
    <t>BG:S//W male</t>
  </si>
  <si>
    <t>WILL(48), LEYE(3),DUNL(3),RBGU(1)</t>
  </si>
  <si>
    <t>Scott Tedford, Elizabeth Golden, Jeff Bach, Miranda Cunningham</t>
  </si>
  <si>
    <t>Elizabeth Golden, 305-361-8779, elizabeth.golden@dep.state.fl.us</t>
  </si>
  <si>
    <t>GTeal</t>
  </si>
  <si>
    <t>Village of Key Biscayne</t>
  </si>
  <si>
    <t>Miami-Dade</t>
  </si>
  <si>
    <t>Either teal or light blue</t>
  </si>
  <si>
    <t>09:05-09:50</t>
  </si>
  <si>
    <t>REKN(4)</t>
  </si>
  <si>
    <t>Overcast, 69 degrees, 0-5 mph</t>
  </si>
  <si>
    <t>AMOY(2)</t>
  </si>
  <si>
    <t>Bill Baggs Cape Florida State Park</t>
  </si>
  <si>
    <t>-80/1557</t>
  </si>
  <si>
    <t>08:25-09:05</t>
  </si>
  <si>
    <t>Robin Diaz,  Miriam Avello</t>
  </si>
  <si>
    <t>305-215-9000, rd4birds@bellsouth.net</t>
  </si>
  <si>
    <t>Crandon Park Beach, Key Biscayne</t>
  </si>
  <si>
    <t>R faded</t>
  </si>
  <si>
    <t>1040 - 1415</t>
  </si>
  <si>
    <t>light rain first 90 min., cloudy, &lt;5</t>
  </si>
  <si>
    <t>E1</t>
  </si>
  <si>
    <t>MAGO(55), WILL(5), DUNLIN(90), SANDERLING(80), GREAT EG(1), SEMI PALM PL(2), BL BELL PLOVER(4)</t>
  </si>
  <si>
    <t>horizontal</t>
  </si>
  <si>
    <t>F(A)</t>
  </si>
  <si>
    <t>David Hartgrove</t>
  </si>
  <si>
    <t>386-788-2630  birdman9@earthlink.net</t>
  </si>
  <si>
    <t>9 banded PIPL (banding information on each); incoming tide, then high tide</t>
  </si>
  <si>
    <t>Volusia Atlantic Shore, North</t>
  </si>
  <si>
    <t>AMOY(1)</t>
  </si>
  <si>
    <t>Patty Kelly,Sid Maddock, F. Bell</t>
  </si>
  <si>
    <t>patricia_kelly@fws.gov, 850-532-5401</t>
  </si>
  <si>
    <t>4C2</t>
  </si>
  <si>
    <t>West Summerland Key</t>
  </si>
  <si>
    <t>FLG, Lime Green</t>
  </si>
  <si>
    <t>HOR</t>
  </si>
  <si>
    <t>silver USF&amp;WS band</t>
  </si>
  <si>
    <t>5:13-5:21 pm</t>
  </si>
  <si>
    <t>cloudy, windy, 10-15 mph</t>
  </si>
  <si>
    <t>MAGO(72), SANDERLING(77), WILL(2)DUNLIN(60), RUTV(1)</t>
  </si>
  <si>
    <t>O//W:S// female</t>
  </si>
  <si>
    <t>S//:KW male</t>
  </si>
  <si>
    <t>Patricia_kelly@fws.gov, 850-532-5401</t>
  </si>
  <si>
    <t>Ohio Key</t>
  </si>
  <si>
    <t>SNPL(10)</t>
  </si>
  <si>
    <t>9:22-10:25</t>
  </si>
  <si>
    <t>Yb//:YY// female, b is light blue</t>
  </si>
  <si>
    <t>BLACK B PL(20), SAND(65), DUNLIN(850), WILL(42), MAGO(180), SEMI PALM PL(35), LEYE(6), BRPE(1), WILSONS(4), SB DOWITOM(10)</t>
  </si>
  <si>
    <t>KG:S//Y</t>
  </si>
  <si>
    <t>AMOY(3)</t>
  </si>
  <si>
    <t>4:30-4:40</t>
  </si>
  <si>
    <t xml:space="preserve">cloudy, windy, </t>
  </si>
  <si>
    <t>YO:S//Y</t>
  </si>
  <si>
    <t>Janice Duquesnel</t>
  </si>
  <si>
    <t>PIPL(31)</t>
  </si>
  <si>
    <t>305-684-0783, janice.duquesnel@dep.state.fl.us</t>
  </si>
  <si>
    <t>Bahia Honda State Park</t>
  </si>
  <si>
    <t>10:55-12:06</t>
  </si>
  <si>
    <t>windy</t>
  </si>
  <si>
    <t>KO:S//W male</t>
  </si>
  <si>
    <t>DUNLIN(10), SEMI PALM PL(30), BBPL(1), RUTU(1), LEAST SAND(27), SAND(20)</t>
  </si>
  <si>
    <t>Robin Diaz, Miriam Avello</t>
  </si>
  <si>
    <t>Of,OB:X,b</t>
  </si>
  <si>
    <t>ANF,-:X,- (N75)</t>
  </si>
  <si>
    <t>Boca Grand Key</t>
  </si>
  <si>
    <t>8:45-10:45</t>
  </si>
  <si>
    <t>63 degrees F, 9.7 E winds, partially cloudy</t>
  </si>
  <si>
    <t>X,O/Y:O,Y</t>
  </si>
  <si>
    <t>#2</t>
  </si>
  <si>
    <t>X,YG:bf,GK</t>
  </si>
  <si>
    <t>SNPL(1)</t>
  </si>
  <si>
    <t>Woman Key</t>
  </si>
  <si>
    <t>-80 53-14</t>
  </si>
  <si>
    <t>clear, 70s, wind 10</t>
  </si>
  <si>
    <t>12:37-12:58</t>
  </si>
  <si>
    <t>67 F, clear, 6 mph winds</t>
  </si>
  <si>
    <t>O(green dot),-:X,Y</t>
  </si>
  <si>
    <t>27 05 20</t>
  </si>
  <si>
    <t>-80 55 47</t>
  </si>
  <si>
    <t>DUNL 60; LBDO 90</t>
  </si>
  <si>
    <t>end point is farthest end of loop route</t>
  </si>
  <si>
    <t>#3</t>
  </si>
  <si>
    <t>ANF(CC2),-:O(840),-</t>
  </si>
  <si>
    <t>Sandbar NW Woman Key</t>
  </si>
  <si>
    <t>clear 70s, wind 10</t>
  </si>
  <si>
    <t>NONE</t>
  </si>
  <si>
    <t>12:00-12:10</t>
  </si>
  <si>
    <t>27 05 31</t>
  </si>
  <si>
    <t>-80 55 35</t>
  </si>
  <si>
    <t>clear, 67 F, 9 mph winds</t>
  </si>
  <si>
    <t>LBDO 300</t>
  </si>
  <si>
    <t>X,bR:ANF,YG (T74)</t>
  </si>
  <si>
    <t>Of,GG:X,Y</t>
  </si>
  <si>
    <t>27 04 50</t>
  </si>
  <si>
    <t>Marquesas Key (beach 1) 1</t>
  </si>
  <si>
    <t>-80 56 24</t>
  </si>
  <si>
    <t>LBDO 500; LEYE 70</t>
  </si>
  <si>
    <t>1:58-5:00</t>
  </si>
  <si>
    <t>67 F, 5 mph, sunny</t>
  </si>
  <si>
    <t>Of,OR:X,Y</t>
  </si>
  <si>
    <t>Wanda Dean</t>
  </si>
  <si>
    <t>BRPE 1, SEPL 5, SAND 4, RBGU 19, WILL 29, FOTE 2, LAGU 1</t>
  </si>
  <si>
    <t>education@stpeteaudubon.org</t>
  </si>
  <si>
    <t>St Pete Beach</t>
  </si>
  <si>
    <t>Ron Smith</t>
  </si>
  <si>
    <t>rsmithbirds@gmail.com</t>
  </si>
  <si>
    <t>Shell Key-north</t>
  </si>
  <si>
    <t>Marquesas Key (old boat in water) 2</t>
  </si>
  <si>
    <t>PIPL 1</t>
  </si>
  <si>
    <t>Peg Magee, Dawn Finnerty</t>
  </si>
  <si>
    <t>z4539pr@msn.com 941-488-6240</t>
  </si>
  <si>
    <t>Manasota Key CWC Zone 1</t>
  </si>
  <si>
    <t>Marquesas Key (rookery in mangroves) 3</t>
  </si>
  <si>
    <t>PIPL 4, DUNL 10, SAND 20, ROYT 2, RUTU 1, SEPL 15, HERG 9, BBPL 1</t>
  </si>
  <si>
    <t>SNPL 26</t>
  </si>
  <si>
    <t>19 banded</t>
  </si>
  <si>
    <t>Marquesas Key (rookery in mangroves) 4</t>
  </si>
  <si>
    <t>PIPL 1, SNPL 4</t>
  </si>
  <si>
    <t>1 PIPL &amp; 4 SNPL banded</t>
  </si>
  <si>
    <t>Marquesas Key (beach 2) 5</t>
  </si>
  <si>
    <t>Southeast Volusia Audubon Andrea Lux, Roger Peterson</t>
  </si>
  <si>
    <t>386-423-1917                dolphinwatch1304@yahoo.com</t>
  </si>
  <si>
    <t>Southeast Volusia County - Intercoastal - South Causeway Bridge to Piddler Island and back on Ponce de Leon Cut except for Smyrna Dunes Park, Lighthouse Point Park, and Disappearing Island</t>
  </si>
  <si>
    <t>Marquesas Key (beach 3) 6</t>
  </si>
  <si>
    <t>XI</t>
  </si>
  <si>
    <t>BRPE</t>
  </si>
  <si>
    <t>C-16</t>
  </si>
  <si>
    <t>C16</t>
  </si>
  <si>
    <t>Robert Luckner, Catherine Luckner, Jeanne Dubi</t>
  </si>
  <si>
    <t>941-349-3779 bobluckner5041@aol.com</t>
  </si>
  <si>
    <t>Lido Key</t>
  </si>
  <si>
    <t>Marquesas Key (beach 4) 7</t>
  </si>
  <si>
    <t>Marquesas Key (rookery in mangroves) 8</t>
  </si>
  <si>
    <t xml:space="preserve">Cloudy, windy, moderate seas gulfside, </t>
  </si>
  <si>
    <t>Marquesas Key (beach 5) 9</t>
  </si>
  <si>
    <t>LESC (21), Will (5), SAND (6), SNPL (4)</t>
  </si>
  <si>
    <t>SNPL (2), WIPL (1), SAND (13), AMOY (2), REKN (2), WILL (1), RUTU (10), DUNL (2), DCCO (32), FOTE (68), ROYT (43), HEGU (56), RBGU (15), LAGU (215), BLSK (154), BOGU (12)</t>
  </si>
  <si>
    <t>1 WIPL banded</t>
  </si>
  <si>
    <t>11:08-12:55pm</t>
  </si>
  <si>
    <t>cloudy, breezy, 10-15mph</t>
  </si>
  <si>
    <t>AMOY (4), WILL (2)</t>
  </si>
  <si>
    <t>St Joe Beach/ from 
Bay/Gulf line to 
Windmark</t>
  </si>
  <si>
    <t>10:00-10:30AM</t>
  </si>
  <si>
    <t>Moderate to calm
low/rising 54</t>
  </si>
  <si>
    <t>Donna Bear</t>
  </si>
  <si>
    <t>N29.8959</t>
  </si>
  <si>
    <t>W-85.3619</t>
  </si>
  <si>
    <t>904-386-5808; beard@jacksonvillezoo.org</t>
  </si>
  <si>
    <t>WILL (4) SAND (78)
RBGU (28) HEGU (8)</t>
  </si>
  <si>
    <t>Fort Clinch State Park Low tide</t>
  </si>
  <si>
    <t>Nassau</t>
  </si>
  <si>
    <t>Windmark Beach
private/StJoeBeach to
Highland View</t>
  </si>
  <si>
    <t>10:00am to 11:30 am</t>
  </si>
  <si>
    <t>Sunny and clear</t>
  </si>
  <si>
    <t>N29.8839</t>
  </si>
  <si>
    <t>W-85.3553</t>
  </si>
  <si>
    <t>7 banded + 2 imm</t>
  </si>
  <si>
    <t xml:space="preserve">Jack Toriello </t>
  </si>
  <si>
    <t>Amelia Island State Park</t>
  </si>
  <si>
    <t>BOGU(85) WILL(3) RBGU(2)</t>
  </si>
  <si>
    <t>11:36 - 12:23</t>
  </si>
  <si>
    <t xml:space="preserve">RBGU(14) WILL(4) BOGU(36) </t>
  </si>
  <si>
    <t xml:space="preserve">male+female 
2 banded
</t>
  </si>
  <si>
    <t>St Joseph's Peninsula
Restoration Project/
east StJoeStPk to 
Stump Hole</t>
  </si>
  <si>
    <t>moderate/rising
brisk winds causing
higer waves by mid
morning</t>
  </si>
  <si>
    <t>N29.7284</t>
  </si>
  <si>
    <t>W-85.3922</t>
  </si>
  <si>
    <t>Near high tide, rising</t>
  </si>
  <si>
    <t>male+female
1 f banded</t>
  </si>
  <si>
    <t>8:00 AM - 11:30 AM</t>
  </si>
  <si>
    <t>sunny and cold</t>
  </si>
  <si>
    <t>DUNL(4) SAND(14) RBGU(2) PIPL(1) BBPL(1) RUTU(2) SEPL(2)</t>
  </si>
  <si>
    <t>PIPL banded</t>
  </si>
  <si>
    <t>Billy Brooks</t>
  </si>
  <si>
    <t>billy_brooks@fws.gov 904-731-3136</t>
  </si>
  <si>
    <t>Central Amelia Island</t>
  </si>
  <si>
    <t>12:30-2:45</t>
  </si>
  <si>
    <t>Mostly sunny, 65 degrees, wind 10 mph from the west</t>
  </si>
  <si>
    <t>SAND(18) BBPL(2) DUNL(1) WILL(2) REKN(2) RBGU(1) PIPL(1)</t>
  </si>
  <si>
    <t>Beach was quite active with visitors</t>
  </si>
  <si>
    <t>Henderson Beach State Park</t>
  </si>
  <si>
    <t>0941-1000</t>
  </si>
  <si>
    <t>Med tide, rising, 5% cloud cover, no precipitation, calm surf, 8-12 mph winds</t>
  </si>
  <si>
    <t>PIPL(6) SAND(3) WILL(2) FOTE(1) BBPL(1) RBGU(1)</t>
  </si>
  <si>
    <t>4 PIPL banded</t>
  </si>
  <si>
    <t>RUTU(2) WILL(2) SAND(16) PIPL(1)</t>
  </si>
  <si>
    <t>PIPL Unbanded</t>
  </si>
  <si>
    <t>KILL(2) SBDO(1) WILL(8) DUNL(25) REKN(3) FOTE(2) AWPE(2) RBGU(1)</t>
  </si>
  <si>
    <t>1 REKN Banded, code badly faded</t>
  </si>
  <si>
    <t>10:58-12:30</t>
  </si>
  <si>
    <t>calm/ sunny</t>
  </si>
  <si>
    <t>WILL(5) BBPL(6) DUNL(142) SEPL(9) PIPL(4) RUTU(12) WIPL(1)</t>
  </si>
  <si>
    <t>1 WIPL Banded, 3PIPL Banded</t>
  </si>
  <si>
    <t>GRYE(1) WILL(2) DUNL(81) BBPL(1)</t>
  </si>
  <si>
    <t>pgray@audubon.org; 863-655-1831</t>
  </si>
  <si>
    <t>Jaycee Park, Lake Okeechobee</t>
  </si>
  <si>
    <t>Okeechobee</t>
  </si>
  <si>
    <t>27 11 46</t>
  </si>
  <si>
    <t>-80 49 48</t>
  </si>
  <si>
    <t>27 11 19</t>
  </si>
  <si>
    <t>-80 50 16</t>
  </si>
  <si>
    <t>13:50-14:20</t>
  </si>
  <si>
    <t>WILL(3) DUNL(157) BBPL(4) RBGU(4) FOTE(1) SEPL(6) LESA(1)</t>
  </si>
  <si>
    <t>clear 70</t>
  </si>
  <si>
    <t>St Joseph'sPeninsula
Restoration /StJoeSt
Parkto Stump Hole</t>
  </si>
  <si>
    <t>Moderate chop/low
rising/
brisk winds causing
higher tides mid-morn</t>
  </si>
  <si>
    <t>N29.7336</t>
  </si>
  <si>
    <t>W-85.3946</t>
  </si>
  <si>
    <t>RBGU (49) LGUL (2)
FOTE (1)</t>
  </si>
  <si>
    <t xml:space="preserve">Pelican@fairpoint.net
850-647-8238 </t>
  </si>
  <si>
    <t>Nubbin Slough STA</t>
  </si>
  <si>
    <t>StJoseph's Peninsula
Restoration Project/
StJSt Pk to Stump
Hole</t>
  </si>
  <si>
    <t>12:30-2:30 pm</t>
  </si>
  <si>
    <t xml:space="preserve">Moderate chop/
rising tides/brisk
winds higher tides
mid morning
</t>
  </si>
  <si>
    <t>partially sunny, 69 degrees F</t>
  </si>
  <si>
    <t>N29.7225</t>
  </si>
  <si>
    <t>W-85.3896</t>
  </si>
  <si>
    <t> SNPL (2)</t>
  </si>
  <si>
    <t>m +f   both banded</t>
  </si>
  <si>
    <t xml:space="preserve">
</t>
  </si>
  <si>
    <t>N29.7196</t>
  </si>
  <si>
    <t>W-85.3883</t>
  </si>
  <si>
    <t>Taylor Creek STA</t>
  </si>
  <si>
    <t>St Joseph Peninsula
Resoration /St Joe
St Pk to Stump Hole</t>
  </si>
  <si>
    <t>partially sunny, 70 degrees F</t>
  </si>
  <si>
    <t>Moderate chop/
rising/brisk winds /
causing higer tides 
mid-morning</t>
  </si>
  <si>
    <t>m + f no bands</t>
  </si>
  <si>
    <t>King's Bar, Lake Okeechobee</t>
  </si>
  <si>
    <t>St Joe Beach/ Bay-Gulf line to WindMark</t>
  </si>
  <si>
    <t>27 06 08</t>
  </si>
  <si>
    <t>-80 51 07</t>
  </si>
  <si>
    <t>27 07 01</t>
  </si>
  <si>
    <t>-80 49 16</t>
  </si>
  <si>
    <t>14:25-14:50</t>
  </si>
  <si>
    <t>54 f, low tide rising</t>
  </si>
  <si>
    <t>Will (4), Sand (78), RBGU (28), HERG (8)</t>
  </si>
  <si>
    <t>352-686-0460, bevalhansen@earthlink.net</t>
  </si>
  <si>
    <t>Buckhead Ridge marsh, Lake Okeechobee</t>
  </si>
  <si>
    <t>Okeechobee/Glades</t>
  </si>
  <si>
    <t>27 08 07</t>
  </si>
  <si>
    <t>-80 51-29</t>
  </si>
  <si>
    <t>AMOY 1</t>
  </si>
  <si>
    <t>27 07 14</t>
  </si>
  <si>
    <t>No band</t>
  </si>
  <si>
    <t>-80 53 40</t>
  </si>
  <si>
    <t>11:10-12:00</t>
  </si>
  <si>
    <t>Pine Island Drive</t>
  </si>
  <si>
    <t>Scott Tedford</t>
  </si>
  <si>
    <t>772-546-0900, scott.tedford@dep.state.fl.us</t>
  </si>
  <si>
    <t>John D. Macarthur Beach State Park</t>
  </si>
  <si>
    <t>Ring-billed and Laughing Gulls, too distant to count by species</t>
  </si>
  <si>
    <t>Palm Beach</t>
  </si>
  <si>
    <t>11:20-12:56</t>
  </si>
  <si>
    <t>Partly sunny, 70, windy</t>
  </si>
  <si>
    <t>Jupiter Inlet to Juno Beach Pier</t>
  </si>
  <si>
    <t>clear skies, calm</t>
  </si>
  <si>
    <t>9:54-11:51</t>
  </si>
  <si>
    <t>Partly cloudy, 70 degrees, wind 10 mph from south</t>
  </si>
  <si>
    <t>The majority of this beach is a very crowded dog beach</t>
  </si>
  <si>
    <t>Paul Davis</t>
  </si>
  <si>
    <t>561-267-0397 pwdavis9@gmail.com</t>
  </si>
  <si>
    <t>Lake Worth to Lantana</t>
  </si>
  <si>
    <t>1130-1300</t>
  </si>
  <si>
    <t xml:space="preserve">76F, cloudy, SE 5-10 </t>
  </si>
  <si>
    <t>LAGU 500</t>
  </si>
  <si>
    <t>floating off sanctuary</t>
  </si>
  <si>
    <t xml:space="preserve">Hi tide.  2 dead Northern Gannets on beach. </t>
  </si>
  <si>
    <t>Jim Howe</t>
  </si>
  <si>
    <t>561-748-5515, jameshhowe@bellsouth.net</t>
  </si>
  <si>
    <t>Jupiter Loxahatchee River District</t>
  </si>
  <si>
    <t>10AM-Noon</t>
  </si>
  <si>
    <t>LAGU 120, ROTE 5, WILL 4, RBGU 1, HEGU 3</t>
  </si>
  <si>
    <t>Sunny, calm wind, 72F</t>
  </si>
  <si>
    <t>no bands</t>
  </si>
  <si>
    <t>Adrienne McCracken</t>
  </si>
  <si>
    <t>561-627-8280</t>
  </si>
  <si>
    <t>Juno Beach Pier to Northern boundary of John D. MacArthur Beach State Park</t>
  </si>
  <si>
    <t>08:25 - 09:09</t>
  </si>
  <si>
    <t>Partly cloudy, North wind 4 mph</t>
  </si>
  <si>
    <t>Southern boundary of John D. MacArthur Beach State Park to Singer Island Inlet</t>
  </si>
  <si>
    <t>09:19 - 09:56</t>
  </si>
  <si>
    <t>Partly cloudy, North wind 5 mph</t>
  </si>
  <si>
    <t>both juveniles, no bands</t>
  </si>
  <si>
    <t>Ricardo Zambrano, Natash Warraich</t>
  </si>
  <si>
    <t>ricardo.zambrano@myfwc.com 561-882-5719</t>
  </si>
  <si>
    <t>Lake Worth Lagoon</t>
  </si>
  <si>
    <t>11:15 - 14:15</t>
  </si>
  <si>
    <t>sunny, windy</t>
  </si>
  <si>
    <t>Sunny, 54-64 F.</t>
  </si>
  <si>
    <t>27.581556N</t>
  </si>
  <si>
    <t>-82.762778W</t>
  </si>
  <si>
    <t>adults</t>
  </si>
  <si>
    <t>Jacey Biery</t>
  </si>
  <si>
    <t>jbiery@pbcgov.org, 561-233-2461</t>
  </si>
  <si>
    <t>Atlantic Dunes Park to Delray Beach</t>
  </si>
  <si>
    <t>27.582508N</t>
  </si>
  <si>
    <t>-82.763331W</t>
  </si>
  <si>
    <t>7:00-9:06</t>
  </si>
  <si>
    <t>55 degrees, sunny, 3' swell, west wind</t>
  </si>
  <si>
    <t>27.587781N</t>
  </si>
  <si>
    <t>-82.763889W</t>
  </si>
  <si>
    <t>AMOY (1)</t>
  </si>
  <si>
    <t>immature</t>
  </si>
  <si>
    <t>27.592483N</t>
  </si>
  <si>
    <t>-82.764017W</t>
  </si>
  <si>
    <t>kmartin@pbcgov.org, 561-233-2509</t>
  </si>
  <si>
    <t>South Lake Worth Inlet to Delray Beach</t>
  </si>
  <si>
    <t>7:15-9:06</t>
  </si>
  <si>
    <t>27.601975N</t>
  </si>
  <si>
    <t>-82.763008W</t>
  </si>
  <si>
    <t>Mattew Anderson, Barchan Rodgers, Emily Dark</t>
  </si>
  <si>
    <t>N27.77817</t>
  </si>
  <si>
    <t>W080.43817</t>
  </si>
  <si>
    <t>Lantana Public Beach to South Lake Worth Inlet</t>
  </si>
  <si>
    <t>None banded</t>
  </si>
  <si>
    <t>9:45-11:06</t>
  </si>
  <si>
    <t>67 degrees, sunny, west wind, 4' swell</t>
  </si>
  <si>
    <t>N27.77708</t>
  </si>
  <si>
    <t>W080.43700</t>
  </si>
  <si>
    <t>Double-Crested Comm.(92)</t>
  </si>
  <si>
    <t>IR18</t>
  </si>
  <si>
    <t>Melanie Stadler</t>
  </si>
  <si>
    <t>561-544-8614 mstadler@myboca.us</t>
  </si>
  <si>
    <t>Boca Raton</t>
  </si>
  <si>
    <t>8:45 am - 9:15 am</t>
  </si>
  <si>
    <t>sunny, 70, wind N 7 mph, low tide</t>
  </si>
  <si>
    <t>RBGU (3)</t>
  </si>
  <si>
    <t>RBGU (1), SAND (1)</t>
  </si>
  <si>
    <t>Kirt Rusenko</t>
  </si>
  <si>
    <t>561-544-8613 krusenko@myboca.us</t>
  </si>
  <si>
    <t>1:45 pm - 2:15 pm</t>
  </si>
  <si>
    <t>sunny, 76, wind NW 14 mph</t>
  </si>
  <si>
    <t>RBGU (1), SAND (2)</t>
  </si>
  <si>
    <t>Lory Gort</t>
  </si>
  <si>
    <t>Southern Blvd to Breakers Resort</t>
  </si>
  <si>
    <t>9:47-11:07</t>
  </si>
  <si>
    <t>sunny, 70 degrees, west wind, large swell</t>
  </si>
  <si>
    <t>RBGU (2), SAND (1), RUTU (1)</t>
  </si>
  <si>
    <t>SAND (1)</t>
  </si>
  <si>
    <t>Photos Available</t>
  </si>
  <si>
    <t>SAND (3), BBPL (8)</t>
  </si>
  <si>
    <t>Phyllis Klarmann</t>
  </si>
  <si>
    <t>Palm Beach Inlet to Breakers Resort</t>
  </si>
  <si>
    <t>9:30-11:00</t>
  </si>
  <si>
    <t>SAND (3), RBGU (1), RUTU (1)</t>
  </si>
  <si>
    <t>HEGU (1), LAGU (36), RBGU (50), SAND (6), ROTE (37), RUTU (2), BBPL (1)</t>
  </si>
  <si>
    <t xml:space="preserve">Katie Moses </t>
  </si>
  <si>
    <t>9:15-10:15 am</t>
  </si>
  <si>
    <t>AMOY(2) BLSK (38)</t>
  </si>
  <si>
    <t>ROYT (44), RBGU (25), HERG (1), LAGU (100), BLSK (7), WILL (2)</t>
  </si>
  <si>
    <t>Stormwater Treatment Area 1E</t>
  </si>
  <si>
    <t>7:45-8:50 am</t>
  </si>
  <si>
    <t>sunny, 62 degrees F</t>
  </si>
  <si>
    <t>One banded</t>
  </si>
  <si>
    <t>Stormwater Treatment Area 1W</t>
  </si>
  <si>
    <t>Sunny, clear</t>
  </si>
  <si>
    <t>9:00-9:30 am</t>
  </si>
  <si>
    <t>Banded male</t>
  </si>
  <si>
    <t>sunny, 65 degrees F</t>
  </si>
  <si>
    <t>Stormwater Treatment Area 2</t>
  </si>
  <si>
    <t>Male &amp; Female</t>
  </si>
  <si>
    <t>jcaouette@sccf.org</t>
  </si>
  <si>
    <t>9:45-12:30</t>
  </si>
  <si>
    <t>sunny, 67 degrees F</t>
  </si>
  <si>
    <t>08:34-1018</t>
  </si>
  <si>
    <t>60F, clear</t>
  </si>
  <si>
    <t>SAND (45), RUTU (6), WILL (6), BBPL (1), SBDO (2)</t>
  </si>
  <si>
    <t>Stormwater Treatment Area 3/4</t>
  </si>
  <si>
    <t>1:00-2:00 pm</t>
  </si>
  <si>
    <t>sunny, 72 dergees F</t>
  </si>
  <si>
    <t>SAND (120), RUTU (19), ROYT (45), BBPL (5), HERG (1), RBGU (7), LAGU (50)</t>
  </si>
  <si>
    <t>Stormwater Treatment Area 5/6</t>
  </si>
  <si>
    <t>3:00-5:00 pm</t>
  </si>
  <si>
    <t>sunny, 74 degrees F</t>
  </si>
  <si>
    <t>SNPL (5)</t>
  </si>
  <si>
    <t>clear, 48F, Nwind @ 20kn</t>
  </si>
  <si>
    <t>RUTU (50), BBPL (7), RBGU (5), WILL (1)</t>
  </si>
  <si>
    <t>loop route covering both shorlines</t>
  </si>
  <si>
    <t>Anclote Key, North route</t>
  </si>
  <si>
    <t>female</t>
  </si>
  <si>
    <t>11:30-12:50</t>
  </si>
  <si>
    <t>male</t>
  </si>
  <si>
    <t>Pinellas/Pasco line to N tip</t>
  </si>
  <si>
    <t>Ken Tracey, Joe Colontonio</t>
  </si>
  <si>
    <t>727-271-0438;kftracey@verizon.net</t>
  </si>
  <si>
    <t>Pasco Coast (includes Anclote Gulf Park, Sand Bay/Eagle Point Park, Green Key, Robert K. Rees, and Werner-Boyce State Park)</t>
  </si>
  <si>
    <t>7:15 am - 1:30 pm</t>
  </si>
  <si>
    <t>clear but windy</t>
  </si>
  <si>
    <t>WIPL (1)</t>
  </si>
  <si>
    <t>RUTU (11), LAGU (9), RBGU (5), ROYT (33), SATE (3)</t>
  </si>
  <si>
    <t>Pasco Coast route includes Anclote Gulf Park, Sand Bay/Eagle Point Park, Green Key, Robert K. Rees, and Werner-Boyce State Park.</t>
  </si>
  <si>
    <t>Stephen Mann and Robert Lane</t>
  </si>
  <si>
    <t>WILL(65)</t>
  </si>
  <si>
    <t>09:15-12:30</t>
  </si>
  <si>
    <t>Wind 10-15 mph, clear.</t>
  </si>
  <si>
    <t>WIPL(8)</t>
  </si>
  <si>
    <t>Marianne Korosy, Dana Kerstein, Barbara Bleakley</t>
  </si>
  <si>
    <t>WIPL(24),SNPL(11),SAND(20),RUTU(2)</t>
  </si>
  <si>
    <t>727-742-1683</t>
  </si>
  <si>
    <t>North &amp; Middle Three Rooker Island</t>
  </si>
  <si>
    <t>wind 15 mph, sunny, 50-60 F</t>
  </si>
  <si>
    <t>ROYT(31),FOTE(2),WILL(17),SAND(24),RBGU(2),GBBG(1),LAGU(4)</t>
  </si>
  <si>
    <t>WIPL (7), SNPL (2), PIPL (3), REKN (2), DUNL (65), SAND (20), WESA (52)</t>
  </si>
  <si>
    <t>1 PIPL banded, data entered by Charlie Ewell</t>
  </si>
  <si>
    <t>Wilf Yusek, Brooke Hoerner</t>
  </si>
  <si>
    <t>Data entered by Charlie Ewell</t>
  </si>
  <si>
    <t>727 212-8054 brooke.hoerner@dep.state.fl.us</t>
  </si>
  <si>
    <t>Honeymoon Island, South route</t>
  </si>
  <si>
    <t>08:31-9:12</t>
  </si>
  <si>
    <t>super low tide, suspect birds out on exposed mudflats of Caladesi</t>
  </si>
  <si>
    <t>Honeymoon Island, North route</t>
  </si>
  <si>
    <t>09:12-10:35</t>
  </si>
  <si>
    <t>None</t>
  </si>
  <si>
    <t>Individual or small groups.  Data entered by Charlie Ewell</t>
  </si>
  <si>
    <t xml:space="preserve">super low tide, suspect birds out on exposed mudflats </t>
  </si>
  <si>
    <t>HEGU (100), ROTE (300)</t>
  </si>
  <si>
    <t>8:45-11:30</t>
  </si>
  <si>
    <t>DUNL (200), WESA (250), WIPL (7), AMOY (2)</t>
  </si>
  <si>
    <t>SAND (186), WILL (2), RUTU (3), RBGU (1)</t>
  </si>
  <si>
    <t>Bicycle flushed flock. Data entered by Charlie Ewell</t>
  </si>
  <si>
    <t>dock to Pinellas/Pasco line</t>
  </si>
  <si>
    <t>Tracy Telatycki</t>
  </si>
  <si>
    <t>941-782-7865 Tracy.telatycki@dep.state.fl.us</t>
  </si>
  <si>
    <t>PIPL (15), SNPL (2), WIPL (36), SAND (150), WESA (1), LAGU (2), RBGU (1)</t>
  </si>
  <si>
    <t>Caladesi Island</t>
  </si>
  <si>
    <t>Plovers roosting near rock groin.  Other species along intertidal zone.  Data entered by Charlie Ewell</t>
  </si>
  <si>
    <t>09:30 to 13:00</t>
  </si>
  <si>
    <t>55F, 15mph wind, sunny, clear</t>
  </si>
  <si>
    <t>PIPL (15), WIPL (16), DUNL (50), SBDO (50)</t>
  </si>
  <si>
    <t>Foraging groups on incoming tide.  Data entered by Charlie Ewell</t>
  </si>
  <si>
    <t>Totals include am survey and pm additions</t>
  </si>
  <si>
    <t xml:space="preserve">Marianne Korosy </t>
  </si>
  <si>
    <t>BLSK (250), WILL (50), SBDO (100), DUNL (75)</t>
  </si>
  <si>
    <t>Roosting groups on incoming tide.  Data entered by Charlie Ewell</t>
  </si>
  <si>
    <t>Dunedin Causeway</t>
  </si>
  <si>
    <t>7:18 am - 8:06 a.m.</t>
  </si>
  <si>
    <t>50F, clear, wind 10mph</t>
  </si>
  <si>
    <t>941-964-1837 katrohrer@centurylink.net</t>
  </si>
  <si>
    <t>Lee Charlotte</t>
  </si>
  <si>
    <t>Sun, windy</t>
  </si>
  <si>
    <t>SNPL Point 1  WIPL Point 2 ROTE/RBGU Flock</t>
  </si>
  <si>
    <t>SNPL 26.80593    WIPL 26.789193 ROTE/RBGU Flock 26.718373</t>
  </si>
  <si>
    <t>SNPL -82.284137    WIPL -82.272157 ROTE/RBGU Flock -8259079</t>
  </si>
  <si>
    <t>SNPL 10    WIPL 1   ROTE 64    RBGU 103</t>
  </si>
  <si>
    <t>Couldn't ID sandpipers foraging on offshore flats south of the causewaywith Zeiss scope zoomed to 45X</t>
  </si>
  <si>
    <t xml:space="preserve">Cedar Key West </t>
  </si>
  <si>
    <t>Levy</t>
  </si>
  <si>
    <t>Beth Forys</t>
  </si>
  <si>
    <t>727-254-6400 forysea@eckerd.edu</t>
  </si>
  <si>
    <t>Gandy</t>
  </si>
  <si>
    <t>1245-1430</t>
  </si>
  <si>
    <t>Clear, W-S 10, 50s</t>
  </si>
  <si>
    <t>0800-0900</t>
  </si>
  <si>
    <t>AWPE (184)  DCCO (125) BRPE (4) small shorebirds (60)</t>
  </si>
  <si>
    <t>clear, 68F, low wind</t>
  </si>
  <si>
    <t>shorebirds viewed from distance to avoid disturbance of AWPE</t>
  </si>
  <si>
    <t>AMOY (1) REKN (1)</t>
  </si>
  <si>
    <t>Airboat landed with 4 pedestrians on shoreline</t>
  </si>
  <si>
    <t>PIPL (5) SNPL (1) WIPL (2)</t>
  </si>
  <si>
    <t>2 banded PIPL FY[A59] and FY[J74]</t>
  </si>
  <si>
    <t>both sides</t>
  </si>
  <si>
    <t>Rebecca Ruthberg and Crystal Flores</t>
  </si>
  <si>
    <t>727-698-4403 rruthberg@gmail.com</t>
  </si>
  <si>
    <t>IRB, 22nd ave south to whitehurst ave</t>
  </si>
  <si>
    <t xml:space="preserve">AMOY (158) DUNL (284) RUTU (31)  BBPL (4) WIPL (3) WILL (3) PIPL (1) SNPL (1) REKN (1)  see comments </t>
  </si>
  <si>
    <t>flock of BBPL and REKN (100) passed over site toward distant roost to west in gulf</t>
  </si>
  <si>
    <t>7:40-9:15</t>
  </si>
  <si>
    <t>Clear, sunny skies, 53F, windy</t>
  </si>
  <si>
    <t>AMOY (68)</t>
  </si>
  <si>
    <t>MAGO (120) WILL (138)</t>
  </si>
  <si>
    <t>flock densely concentrated count via photo</t>
  </si>
  <si>
    <t>Laughing gulls were pairing up and coming into breeding plumage. Also saw two herring gulls pirate food from a royal tern.</t>
  </si>
  <si>
    <t>MAGO (139) WILL (175) ROYT (3) RBGU (47)  mixed shorebirds (300)</t>
  </si>
  <si>
    <t>Fort De Soto North Beach</t>
  </si>
  <si>
    <t>27.3803.65</t>
  </si>
  <si>
    <t>82.4426.54</t>
  </si>
  <si>
    <t>27.3856.03</t>
  </si>
  <si>
    <t>82.4437.10</t>
  </si>
  <si>
    <t>9:00 AM-10:00 AM</t>
  </si>
  <si>
    <t>Sunny, 53F slight wind</t>
  </si>
  <si>
    <t>WILL (19) BBPL (2) SEPL, DUNL, WESA, LESA (350)</t>
  </si>
  <si>
    <t>flock densely concentrated small species not distinquished</t>
  </si>
  <si>
    <t xml:space="preserve">AMOY (28) DUNL (500) </t>
  </si>
  <si>
    <t>AMOY (3) BBPL (7) WIPL (2) SEPL (50) DUNL (200)</t>
  </si>
  <si>
    <t>27.3841.72</t>
  </si>
  <si>
    <t>82.4454.09</t>
  </si>
  <si>
    <t>27.3906.94</t>
  </si>
  <si>
    <t>82.4454.67</t>
  </si>
  <si>
    <t>10:30 AM-12:30 PM</t>
  </si>
  <si>
    <t>Sunny, 60F slight wind</t>
  </si>
  <si>
    <t>AMOY (167)</t>
  </si>
  <si>
    <t>Cedar Key West Route</t>
  </si>
  <si>
    <t>WILL (12) WHIM (1) DUNL (25) WESA (25)</t>
  </si>
  <si>
    <t>Cedar Key East Route</t>
  </si>
  <si>
    <t>1430-1610</t>
  </si>
  <si>
    <t>29.160974 to 29.161705</t>
  </si>
  <si>
    <t>-83.004337 to -83.002531</t>
  </si>
  <si>
    <t>AMOY (244) AMAV (320)</t>
  </si>
  <si>
    <t>AMOY dispersed on multiple small rakes in channel near easte end of Corrigan's Reef</t>
  </si>
  <si>
    <t>Shell Key-North</t>
  </si>
  <si>
    <t>8-11:30a</t>
  </si>
  <si>
    <t xml:space="preserve">AWPE (96) </t>
  </si>
  <si>
    <t>rake off south end of Corrigan's Reef</t>
  </si>
  <si>
    <t>65F, W=5 mph SE</t>
  </si>
  <si>
    <t>3,4,5,6</t>
  </si>
  <si>
    <t>29.168832 to 29.1650053</t>
  </si>
  <si>
    <t>-82.982164 to 83.001526</t>
  </si>
  <si>
    <t>AMOY (218) WHIM (15) BBPL (119) WILL (21)  small shorebirds (300)</t>
  </si>
  <si>
    <t xml:space="preserve">dense flocks roosting on multiple small rakes in open water south of Live Oak Key </t>
  </si>
  <si>
    <t>small shorebirds (1500)</t>
  </si>
  <si>
    <t>flock densely massed on low rake on west end of Corrigan's Reef. Flushed into air photos</t>
  </si>
  <si>
    <t>941-795-1846
kathy.doddridge@att.ne</t>
  </si>
  <si>
    <t>Tom &amp; Lindsey Bell</t>
  </si>
  <si>
    <t>tandl1621@gmail.com</t>
  </si>
  <si>
    <t>Ft Desoto-Bay Pier to East Beach</t>
  </si>
  <si>
    <t>1-Spring Ave</t>
  </si>
  <si>
    <t>5-6:30p</t>
  </si>
  <si>
    <t>SAND(3) WILL (21) HERG (1) LAGU(23) RBGU(2) ROYT(12) SATE (19)</t>
  </si>
  <si>
    <t>65F, cloudy</t>
  </si>
  <si>
    <t>2-SeaGrapes</t>
  </si>
  <si>
    <t>BBPL(7) LESA(5) SAND (65) SEPL (18) WILL (9) LAGU(25) RBGU (2) ROYT (16) SATE (2)</t>
  </si>
  <si>
    <t>John Hood</t>
  </si>
  <si>
    <t>727-461-4762 jhood2@tampabay.rr.com</t>
  </si>
  <si>
    <t>South Clearwater Beach</t>
  </si>
  <si>
    <t>64F, wind NW 18-25 mph</t>
  </si>
  <si>
    <t>27.44158N</t>
  </si>
  <si>
    <t>-82.68669W</t>
  </si>
  <si>
    <t>AMOY(6)</t>
  </si>
  <si>
    <t>0800-1030</t>
  </si>
  <si>
    <t>60F, cloudy</t>
  </si>
  <si>
    <t>64F, wind NW 18-25mph</t>
  </si>
  <si>
    <t>27.40946N</t>
  </si>
  <si>
    <t>-82.65804W</t>
  </si>
  <si>
    <t>SAND(74), DUNL(2), WILL(2), RUTU(2), RBGU(1), FOTE(1)</t>
  </si>
  <si>
    <t>27.41236N</t>
  </si>
  <si>
    <t>-82.66095W</t>
  </si>
  <si>
    <t>DUNL(101), SEPL(85), RUTU(4), BBPL(1)</t>
  </si>
  <si>
    <t>27 48.748</t>
  </si>
  <si>
    <t>-82 49.126</t>
  </si>
  <si>
    <t>27 50.584</t>
  </si>
  <si>
    <t>-82 50.501</t>
  </si>
  <si>
    <t>8 am - 10:15 am</t>
  </si>
  <si>
    <t>Partly cloudy; warm; light breeze; rain offshore</t>
  </si>
  <si>
    <t>27.418823N</t>
  </si>
  <si>
    <t>-82.66668W</t>
  </si>
  <si>
    <t>DUNL(148), SAND(16), Sandpiper sp unknown(1), BBPL(1)</t>
  </si>
  <si>
    <t>SESA possible ID, petite bill, distinct plumage compared to all SAND</t>
  </si>
  <si>
    <t>education@stpetaudubon.org</t>
  </si>
  <si>
    <t>27.42262N</t>
  </si>
  <si>
    <t>-82.67205W</t>
  </si>
  <si>
    <t>8-10:45a</t>
  </si>
  <si>
    <t>overcast, rain, 62F, W=10NE</t>
  </si>
  <si>
    <t>27.42352N</t>
  </si>
  <si>
    <t>-82.67360W</t>
  </si>
  <si>
    <t>REKN(538), SAND(28), BBPL(11), WILL(5), RUTU(5), SBDO(1)</t>
  </si>
  <si>
    <t>6 banded (most worn, unreadable), 1 geotracker</t>
  </si>
  <si>
    <t>27.42986N</t>
  </si>
  <si>
    <t>-82.68242W</t>
  </si>
  <si>
    <t>DUNL(32), SEPL(24), SAND(5), BBPL(4), SNPL(2)</t>
  </si>
  <si>
    <t>27.43266N</t>
  </si>
  <si>
    <t>-82.68653W</t>
  </si>
  <si>
    <t>ROYT(58), SAND(41), LAGU(29), RBGU(16), SATE(7), FOTE(4), LBBG(1)</t>
  </si>
  <si>
    <t>Phil Schaeffer and Margaret Schaeffer</t>
  </si>
  <si>
    <t>Suzi Fox John Schimkatis</t>
  </si>
  <si>
    <t>727-346-8375 kenwoodphil@gmail.com</t>
  </si>
  <si>
    <t>Lassing Park, St. Petersburg</t>
  </si>
  <si>
    <t>Anna Maria Island Longboat Pass North to Pine Ave</t>
  </si>
  <si>
    <t xml:space="preserve">Manatee </t>
  </si>
  <si>
    <t>09:30-10:10</t>
  </si>
  <si>
    <t>Clear, wind 5mph</t>
  </si>
  <si>
    <t>WILL 70, SAND 6, LAGU 26, DCCO 14</t>
  </si>
  <si>
    <t>Resting on fixed pier</t>
  </si>
  <si>
    <t>Ricardo Zambrano, Carol Rizkalla, Lori Haynes</t>
  </si>
  <si>
    <t>ricardo.zambrano@myfwc.com  561-882-5719</t>
  </si>
  <si>
    <t>Indian River Lagoon, Martin County</t>
  </si>
  <si>
    <t>10:51 - 13:00</t>
  </si>
  <si>
    <t>Cloudy, 78</t>
  </si>
  <si>
    <t>BBPL(11) DUNL (27) RUTU (5) SAND (30) SBDO (15) WILL (9) BLSK (50) HEGU (6) LAGU (5) RBGU (2) ROYT (200)</t>
  </si>
  <si>
    <t>ricardo.zambrano@myfwc.com  561-882-5719</t>
  </si>
  <si>
    <t xml:space="preserve"> 27.190169°</t>
  </si>
  <si>
    <t>-80.187757°</t>
  </si>
  <si>
    <t>BPRE (71) DCCO (14) WILL (1) SPSA (1)</t>
  </si>
  <si>
    <t>08:20-09:15</t>
  </si>
  <si>
    <t>Boneparts gull (4), Forsters tern (2), Royal tern (61), Ring-billed gull (6), Willet (3), Sanderling (1)</t>
  </si>
  <si>
    <t xml:space="preserve">Royal tern (311), </t>
  </si>
  <si>
    <t xml:space="preserve">Royal tern (107), </t>
  </si>
  <si>
    <t>Saskia Janes</t>
  </si>
  <si>
    <t>727-231-5520 icegull@netzero.com</t>
  </si>
  <si>
    <t>Indian Shores</t>
  </si>
  <si>
    <t>9-11:30a</t>
  </si>
  <si>
    <t>sunny, 62F</t>
  </si>
  <si>
    <t>Royal tern (88), Herring gull (1), Laughing gull (2), Ring-billed gull (2)</t>
  </si>
  <si>
    <t>Sanderling (45), Ruddy (9)</t>
  </si>
  <si>
    <t xml:space="preserve">Sanderling (15), Ruddy (7), Laughing gull (30), Ring-billed gull (23) </t>
  </si>
  <si>
    <t>Nancy Ogden</t>
  </si>
  <si>
    <t>727-894-5940, verdnan23@gmail.com</t>
  </si>
  <si>
    <t>Fort Desoto Middle Beach</t>
  </si>
  <si>
    <t>7:54-10:00 am</t>
  </si>
  <si>
    <t>Sanderling (16), Ruddy (15), Royal tern (27), ring-billed gull (5), Laughing gull (3)</t>
  </si>
  <si>
    <t>data entered by Billy Brooks</t>
  </si>
  <si>
    <t>Biscayne National Park Jetty</t>
  </si>
  <si>
    <t>Fort Desoto Gulf Pier to Bay Pier</t>
  </si>
  <si>
    <t>8:30-8:50 am</t>
  </si>
  <si>
    <t>partly cloudy, windds NW 20-25 knts</t>
  </si>
  <si>
    <t>10:09-12:29</t>
  </si>
  <si>
    <t>LESA (115), RBGU (11), LAGU (58), ROTE (15), CATE (3), HEGU (1), LBGU (10)</t>
  </si>
  <si>
    <t>Biscayne National Park Boca Chita Key</t>
  </si>
  <si>
    <t>Robert Hardy, Stacie Koslovsky</t>
  </si>
  <si>
    <t>727.490.9384, rfhardy@gmail.com</t>
  </si>
  <si>
    <t>Pass-A-Grille - South of Don Cesar</t>
  </si>
  <si>
    <t>HEGU (1), LAGU (18), RBGU (42), ROTE (26), LBBG (1)</t>
  </si>
  <si>
    <t>07:40-08:40</t>
  </si>
  <si>
    <t>Sunny, clear, 55F</t>
  </si>
  <si>
    <t>Biscayne National Park Ragged Number Five</t>
  </si>
  <si>
    <t>9:30-9:45 am</t>
  </si>
  <si>
    <t>LBBG (4), RBGU (10), DCCO (119), BRPE (11)</t>
  </si>
  <si>
    <t>Survey route was only one point, very small island</t>
  </si>
  <si>
    <t>Biscayne National Park Elliott Key Harbor</t>
  </si>
  <si>
    <t>10:45-11:45 am</t>
  </si>
  <si>
    <t>RBGU (181), FOTE (2), ROTE (194), LBBG (1), LAGU (18), DCCO (23), RUTU (13), SAND (262), SEPL (32), BBPL (16), SBDO (8), LESA (10_</t>
  </si>
  <si>
    <t>Overcast, 65 degrees, 0-5 mph</t>
  </si>
  <si>
    <t>rd4birds@bellsouth.net, 305-215-9000</t>
  </si>
  <si>
    <t>1040 -1415</t>
  </si>
  <si>
    <t>light rain first 90 min; cloudy; &lt;5</t>
  </si>
  <si>
    <t>SEPL(65), WIPL(1), SAND(42), LESA(23), DUNL(2), RUTU(5), PIPL(5), RBGU(3)</t>
  </si>
  <si>
    <t>3 PIPL banded (see Data Sheet 3)</t>
  </si>
  <si>
    <t>approx. 10% of survey area affected by beach raking</t>
  </si>
  <si>
    <t>David Hopkins, Paul Ingham</t>
  </si>
  <si>
    <t>727 517 2423 dhop166@msn.com</t>
  </si>
  <si>
    <t>Belleair Bch/ Belleair Shore</t>
  </si>
  <si>
    <t>SEPL(47), WIPL(2), LESA(2), SAND(28), SNPL(1), DUNL(9), PIPL(23), RUTU(13), LBBG(5), RBGU(4)</t>
  </si>
  <si>
    <t>0945 -1100</t>
  </si>
  <si>
    <t>2 PIPL banded (see Data Sheet 3)</t>
  </si>
  <si>
    <t>60 deg 3 mph NE,low slacktide</t>
  </si>
  <si>
    <t>PIPL(11), SEPL(5), SAND(50), DUNL(13), RUTU(10), SBDO(2), LAGU(18), HERG(2), LBBG(3), DCCO(3)</t>
  </si>
  <si>
    <t>4 PIPL banded (see Data Sheet 3)</t>
  </si>
  <si>
    <t>#4</t>
  </si>
  <si>
    <t>SAND(6), BBPL(57), SBDO(8), ROYT(19), HERG(1), RBGU(5), CATE(1)</t>
  </si>
  <si>
    <t>middle lo tide</t>
  </si>
  <si>
    <t>#5</t>
  </si>
  <si>
    <t>Stephen Mann, Jane Mann, Denise Lane, Robert Lane, Charles Fisher</t>
  </si>
  <si>
    <t>BBPL(71), RUTU(4), SAND(4), RBGU(6), LBBG(26), HERG(2), LAGU(180), DCCO(29), ROYT(53)</t>
  </si>
  <si>
    <t>9 ROYT banded</t>
  </si>
  <si>
    <t>Courtney Campbell Causeway</t>
  </si>
  <si>
    <t>Pinellas, Hillsborough</t>
  </si>
  <si>
    <t>6:50 am - 5:00pm</t>
  </si>
  <si>
    <t>Fair and cool</t>
  </si>
  <si>
    <t>LAGU (138) RBGU (2) HEGU (4) DCCO (9)</t>
  </si>
  <si>
    <t>Overcast, 69 degrees, wind 0-5mph</t>
  </si>
  <si>
    <t>SAND 63</t>
  </si>
  <si>
    <t>LAGU 70, RIGU 24</t>
  </si>
  <si>
    <t>305-684-0783, Janice.Duquesnel@dep.state.fl.us</t>
  </si>
  <si>
    <t>12:45 - 16:00</t>
  </si>
  <si>
    <t>Low tide rising, 10% cloud cover, no precipitation, calm surf, winds 4-7mph</t>
  </si>
  <si>
    <t>RUTU 43, SAND 58, RIGU 1</t>
  </si>
  <si>
    <t>Patty Kelly, Sid Maddock, F. Bell</t>
  </si>
  <si>
    <t>RBME (88), BUFF (86), COLO (15), PBGR (1), LESC (119), GBHE (4), GREG (3), BEKI (1), HOGR (31), RUDU (3)</t>
  </si>
  <si>
    <t>patricia_kelly@fws.gov, 850-531-5401</t>
  </si>
  <si>
    <t>Bahia Honda State Park (different day survey from 2/10/2015)</t>
  </si>
  <si>
    <t>11:08-12:55</t>
  </si>
  <si>
    <t>cloudy, breezy 10-15 mph</t>
  </si>
  <si>
    <t>sanderlings (121)</t>
  </si>
  <si>
    <t>note that survey on 2/10/2015 also had sanderlings to reduce double counting, possibly delete theri 58 from total of tallying.</t>
  </si>
  <si>
    <t>63 F, 9.7 E. winds, partly cloudy</t>
  </si>
  <si>
    <t>16:51 - 17:45</t>
  </si>
  <si>
    <t>foraging nearby mixed flock on interior mud and algal flats.</t>
  </si>
  <si>
    <t>Bk-bellied Plvr (15), dunlin (11), greater yellowlegs (1), least sandpipers (6), long-billed curlew (1), ruddy turnstone (1), semi-palm plvr (26), short-billed dowitcher (7), whimbrel (1), willet (11).</t>
  </si>
  <si>
    <t>Mid tide rising, 20% cloud cover, no precipitation, calm surf, winds 0-3mph</t>
  </si>
  <si>
    <t>Marquesas Key</t>
  </si>
  <si>
    <t>b.pelicans (32), dB cormorants (18).</t>
  </si>
  <si>
    <t>High 50s, windy, overcast</t>
  </si>
  <si>
    <t>FOTE 78, BOGU 49, DUNL 11, REKN 8, SAND 7, BLSK 4, RBGU 3, HERG 1, WILL 1</t>
  </si>
  <si>
    <t>REKNs roosting, no bands visible.</t>
  </si>
  <si>
    <t>WIPL 30</t>
  </si>
  <si>
    <t>Birds were roosting in wrack line and tire ruts</t>
  </si>
  <si>
    <t>Potential Predators: GHOW (1)</t>
  </si>
  <si>
    <t>Rob Holbrook; Emile Lores</t>
  </si>
  <si>
    <t>251-441-5830, rob_holbrook@fws.gov</t>
  </si>
  <si>
    <t>BLSK(47), RBGU(48), LAGU(17), FOTE(24)</t>
  </si>
  <si>
    <t>Navarre Beach Gulf side</t>
  </si>
  <si>
    <t>9:41-10:13</t>
  </si>
  <si>
    <t>sunny, 48 degrees, wind E 7 mph, tide very low</t>
  </si>
  <si>
    <t>BLSK(250), RBGU(173), LAGU(3), FOTE(15)</t>
  </si>
  <si>
    <t>Donna Bear, 904-386-5808, beard@jacksonvillezoo.org</t>
  </si>
  <si>
    <t>Navarre Beach sound side</t>
  </si>
  <si>
    <t>8:00:00 to 11:30</t>
  </si>
  <si>
    <t>sunny, cold</t>
  </si>
  <si>
    <t>10:18-11:12</t>
  </si>
  <si>
    <t>143 Ruddy turnstones</t>
  </si>
  <si>
    <t>sunny, 50 degrees, wind E 5 mph, tide very low</t>
  </si>
  <si>
    <t>Fort Clinch State Park High Tide</t>
  </si>
  <si>
    <t>RED BREASTED MERGANSER(31),SCAUP(1), HORNED GREBE(5), BUFFLEHEAD(8), COMMON LOON(1)</t>
  </si>
  <si>
    <t>C. Gindl</t>
  </si>
  <si>
    <t>850-883-5531, carolyn.gindl.ctr@us.af.mil</t>
  </si>
  <si>
    <t>Eglin S restricted</t>
  </si>
  <si>
    <t>Santa Rosa/Okaloosa</t>
  </si>
  <si>
    <t>10:50-12:35</t>
  </si>
  <si>
    <t>sunny, clear, cool</t>
  </si>
  <si>
    <t>10:00 am to 11:30 am</t>
  </si>
  <si>
    <t>Sunny clear</t>
  </si>
  <si>
    <t>85 Ruddy turnstones</t>
  </si>
  <si>
    <t>roosting on rocks</t>
  </si>
  <si>
    <t>Kathy Gault</t>
  </si>
  <si>
    <t>850-883-1145, gault@eglin.af.mil</t>
  </si>
  <si>
    <t>Eglin restricted north</t>
  </si>
  <si>
    <t>9:05-11:50</t>
  </si>
  <si>
    <t>sunny/warm/ calm winds</t>
  </si>
  <si>
    <t>SNPL(2)</t>
  </si>
  <si>
    <t>1 banded, 1 unbanded</t>
  </si>
  <si>
    <t>BALD EAGLE(2), GREAT BLUE HERON(2)</t>
  </si>
  <si>
    <t>8:50 - 10:30</t>
  </si>
  <si>
    <t>Clear, Sunny, 50F, Nwind</t>
  </si>
  <si>
    <t>27 11 43</t>
  </si>
  <si>
    <t>-80 49 53</t>
  </si>
  <si>
    <t>BLSK 350; LAGU 49; RBGU 92; FOTE 4</t>
  </si>
  <si>
    <t>mixed flock in parking lot</t>
  </si>
  <si>
    <t>Sanderling (43), Ring-billed Gull (36), Royal Tern (7), Sandwich Tern (4)</t>
  </si>
  <si>
    <t>Beach renurshment on going at the middle of the route</t>
  </si>
  <si>
    <t>Mike Shlasko
John Leon</t>
  </si>
  <si>
    <t>941-493-3504
mike@shlasko.com</t>
  </si>
  <si>
    <t>Manasota Key
Coastal Wildlife
Zones 3,4,5</t>
  </si>
  <si>
    <t>8:30-10:00</t>
  </si>
  <si>
    <t>60 Degrees, Clear</t>
  </si>
  <si>
    <t>561-627-8280 amccracken@marinelife.org</t>
  </si>
  <si>
    <t>09:09 - 09:56</t>
  </si>
  <si>
    <t>Kristen Mazzarella, Earl Wiley</t>
  </si>
  <si>
    <t xml:space="preserve">Partly cloudy, North wind 5 mph </t>
  </si>
  <si>
    <t>843-460-7659 kristen@mote.org</t>
  </si>
  <si>
    <t>Casey Key - North Jetty Beach to Midnight Pass/Palmer Point Park</t>
  </si>
  <si>
    <t>BLSK (133)</t>
  </si>
  <si>
    <t>kmartin@pbcgov.org 561-233-2509</t>
  </si>
  <si>
    <t>09:06-14:00</t>
  </si>
  <si>
    <t>Clear, Sunny, 55-72F, light SW wind</t>
  </si>
  <si>
    <t>LBBG(108), SAND(5), ROYT(1), LAGU(12)</t>
  </si>
  <si>
    <t>LBBG(3), RBGU(21), LAGU(49), SAND(30), RUTU(10), HEGU(3), ROYT(10), BOGU(1), SATE(4)</t>
  </si>
  <si>
    <t>Several ROYT banded with federal bands. Some were resting, unable to get a total count of bands.</t>
  </si>
  <si>
    <t>ROYT(218), RBGU(21), SATE(1), LAGU(3)</t>
  </si>
  <si>
    <t>ROYT(1), RBGU(19), SAND(41)</t>
  </si>
  <si>
    <t>Saw 7 FOTE, 1 ROTE and 1 BRPE on wing as well; 1 dead SATE at 27.199511, -82.507243</t>
  </si>
  <si>
    <t>South Siesta Key - Midnight Pass to Blind Pass Rd</t>
  </si>
  <si>
    <t>14:00-14:07</t>
  </si>
  <si>
    <t>Clear, Sunny, 72F, light SW wind</t>
  </si>
  <si>
    <t>AMOY(8)</t>
  </si>
  <si>
    <t>Jupiter Loxathatchee River District</t>
  </si>
  <si>
    <t>10:00 AM - 12:00 PM</t>
  </si>
  <si>
    <t>inaccessible to Siesta Key surveyor</t>
  </si>
  <si>
    <t>Sunny, calm, 72F</t>
  </si>
  <si>
    <t>No flock large enough to log.</t>
  </si>
  <si>
    <t>Manasota Key
Coastal Wildlife
Zones 8,9</t>
  </si>
  <si>
    <t>8:15-9:30</t>
  </si>
  <si>
    <t>60 Degrees, Cloudy</t>
  </si>
  <si>
    <t>CATE (60)</t>
  </si>
  <si>
    <t>AWPE (64)</t>
  </si>
  <si>
    <t>No way to see if banded</t>
  </si>
  <si>
    <t>Carol and Jeff Rice</t>
  </si>
  <si>
    <t>cjlemonbay@comcast.net 941-475-1017</t>
  </si>
  <si>
    <t>Manasota Key Zone 2 CWC</t>
  </si>
  <si>
    <t>N27.03676</t>
  </si>
  <si>
    <t>N27.04481</t>
  </si>
  <si>
    <t>8am-9am</t>
  </si>
  <si>
    <t>sunny, cool, low tide</t>
  </si>
  <si>
    <t>DCCO (165)</t>
  </si>
  <si>
    <t>PIPL (20), SNPL (20), AMOY (2)</t>
  </si>
  <si>
    <t>3 banded PIPL</t>
  </si>
  <si>
    <t>10:00 - 11:00</t>
  </si>
  <si>
    <t>raining</t>
  </si>
  <si>
    <t>ROTE (65)</t>
  </si>
  <si>
    <t>no focals, flocks, or bands seen</t>
  </si>
  <si>
    <t>BRPE(5), DCCO(12), Lesser Black-backed Gull,(1), HEGU(1), CATE(3), DUNL(110), LAGU(150)</t>
  </si>
  <si>
    <t>BRPE(10), DCCO(10), LAGU(1), RBGU(1), KILL(2), HEGU(1), WILL(20), SEPL(6), WHIM(2)</t>
  </si>
  <si>
    <t>MAGO(8), BLSK(20), LAGU(130), RBGU(20), WILL(15)</t>
  </si>
  <si>
    <t>Manasota Key
Coastal Wildlife
Zones 12</t>
  </si>
  <si>
    <t>LAGU(100)</t>
  </si>
  <si>
    <t>9:00-9:30</t>
  </si>
  <si>
    <t>64 Degrees,
Clear,
Wind N25mph</t>
  </si>
  <si>
    <t>RBGU(30), LAGU(70), KILL(10), DCCO(10), BRPE(8), SEPL(1), LESA(12), WESA(50), FOTE(1), Spotted Sandpiper(5)</t>
  </si>
  <si>
    <t>1200-1450</t>
  </si>
  <si>
    <t>RBGU(18), LAGU(22), HEGU(4), ROYT(52), BLSK(4), BRPE(4), DCCO(232)</t>
  </si>
  <si>
    <t>64F partly cloudy with strong (~20 mph) northwest winds throughout</t>
  </si>
  <si>
    <t>BRPE(1), LAGU(400), RBGU(40), BBPL(3), BLSK(20), WILL(2), ROYT(10), AMOY(1)</t>
  </si>
  <si>
    <t>Curt Lundeen, Pam Lundeen</t>
  </si>
  <si>
    <t>941-625-1096    flalundeens@gmail.com</t>
  </si>
  <si>
    <t>Manasota Key CWC Zone 6</t>
  </si>
  <si>
    <t>LAGU(100), RBGU(20), BRPE(2), KILL(3)</t>
  </si>
  <si>
    <t>9:00AM - 9:30AM</t>
  </si>
  <si>
    <t>Clear &amp; cold, strong NW wind, heavy surf</t>
  </si>
  <si>
    <t xml:space="preserve">BRPE(10), DCCO(20), RBGU(10), LAGU(30) </t>
  </si>
  <si>
    <t>Claire Herzog, Linda Gammello</t>
  </si>
  <si>
    <t>941-780-0545</t>
  </si>
  <si>
    <t>Siesta Key from Sunset Point to Point of Rocks</t>
  </si>
  <si>
    <t>7:45 AM-1015 AM</t>
  </si>
  <si>
    <t>DCCO(40), LAGU(20), HEGU(1), ROYT(4)</t>
  </si>
  <si>
    <t>Sunny, calm wind NW 5-10 k</t>
  </si>
  <si>
    <t>LAGU(230), RBGU(50), HEGU(1), DUNL(30), BBPL(4), BRPE(2), WILL(80)</t>
  </si>
  <si>
    <t>RUTU(4), Lesser Black-backed Gull(1), LAGU(20), RBGU(40), DCCO(2)</t>
  </si>
  <si>
    <t xml:space="preserve">No banded birds observed Linda Gammello did see a Piping Plover 2X at Access 5 this week but not today </t>
  </si>
  <si>
    <t>wind 15 mph, 50-60F, sunny</t>
  </si>
  <si>
    <t>Judy Demersman and Amber Tracy</t>
  </si>
  <si>
    <t>941-474-0097 jdemersman@hotmail.com</t>
  </si>
  <si>
    <t>Zone 7 CWC Manasota Key</t>
  </si>
  <si>
    <t>DCCO(300), RBGU (14), HEGU (3), ROYT(5), SAND(5)</t>
  </si>
  <si>
    <t>roosting flock on north end of North Three Rooker Island</t>
  </si>
  <si>
    <t>3:30 - 4:30pm</t>
  </si>
  <si>
    <t>Sunny, 65 ish, winds 10-15mph</t>
  </si>
  <si>
    <t>Michelle Vandeventer</t>
  </si>
  <si>
    <t>Michelle.Vandeventer@MyFWC.com</t>
  </si>
  <si>
    <t>Siesta Key - Point of Rocks to Turtle Beach</t>
  </si>
  <si>
    <t>9:30 - 11:00am</t>
  </si>
  <si>
    <t>Clear cool beautiful!</t>
  </si>
  <si>
    <t>PIPL(2)</t>
  </si>
  <si>
    <t>PIPL(2), AMOY(2)</t>
  </si>
  <si>
    <t>1 COTE and 6 BRPE in filght, 1 GREG and 1 GBHE. Erosion bad so could not traverse to southernmost point.  Some of southern end was completed in separate survey by Kristen Mazzarella</t>
  </si>
  <si>
    <t>PIPL(4), SNPL(3)</t>
  </si>
  <si>
    <t>1 SNPL adult male, the other two:sex indeterminate</t>
  </si>
  <si>
    <t>Sue Killeen and Jason Depue</t>
  </si>
  <si>
    <t>610-888-6950   mypuffins@gmail.com</t>
  </si>
  <si>
    <t>Anastasia State Park Section 1</t>
  </si>
  <si>
    <t>St Johns</t>
  </si>
  <si>
    <t>1:20 pm-2:05 pm</t>
  </si>
  <si>
    <t>57F partly cloudy with NW winds ~ 14mph</t>
  </si>
  <si>
    <t>PIPL(2), SNPL(1)</t>
  </si>
  <si>
    <t>SNPL had no toes on left leg</t>
  </si>
  <si>
    <t>PIPL(1), AMOY(2)</t>
  </si>
  <si>
    <t>3 pairs of AMOY visible on this section of beach at all times</t>
  </si>
  <si>
    <t>No banded birds observed. 1 dead Common Loon observed</t>
  </si>
  <si>
    <t>Anastasia State Park Section 2</t>
  </si>
  <si>
    <t>no target, flocks, or bands sighted</t>
  </si>
  <si>
    <t>2:05 PM-3:18 PM</t>
  </si>
  <si>
    <t>PIPL (7)</t>
  </si>
  <si>
    <t xml:space="preserve">no bands </t>
  </si>
  <si>
    <t>LAGU (320), RBGU (32), BLSK (65), CATE (1), AMOY (2)</t>
  </si>
  <si>
    <t>tons of gulls</t>
  </si>
  <si>
    <t>8:30-9:45am</t>
  </si>
  <si>
    <t>No banded birds observed</t>
  </si>
  <si>
    <t>SPPL(25) RUTU(20) WIPL(2) DUNL(50) SBDO(7 BBPL(21) SNPL(10) PIPL(19)</t>
  </si>
  <si>
    <t>1 banded SNPL, 5 banded PIPL</t>
  </si>
  <si>
    <t>Anastasia State Park Section 3</t>
  </si>
  <si>
    <t>3:18 pm-3:45 pm</t>
  </si>
  <si>
    <t>PIPL(5) SNPL(5) SAND(40) WILL(4) BBPL(4)</t>
  </si>
  <si>
    <t xml:space="preserve">AMOY(1) RUTU(20) SAND(10) RBGU(16) HEGU(8) </t>
  </si>
  <si>
    <t>Lia Sansom and Gary Raulerson</t>
  </si>
  <si>
    <t>904-823-2291 lia.sansom@dep.state.fl.us</t>
  </si>
  <si>
    <t xml:space="preserve">Vilano/S. Ponte Vedra: North Beach County Park to ~South Ponte Vedra Park </t>
  </si>
  <si>
    <t>WIPL(4) RUTU(10) RBGU(6) SAND(18)</t>
  </si>
  <si>
    <t>8:00 - 9:15 a.m.</t>
  </si>
  <si>
    <t>46F sunny with NNW winds ~8mph</t>
  </si>
  <si>
    <t>ROTO(150) DCCO(50) FOTE(20)</t>
  </si>
  <si>
    <t>DCCO(80) BRPE(24)</t>
  </si>
  <si>
    <t>rruthberg@gmail.com 727-698-4403</t>
  </si>
  <si>
    <t>IRB, 22nd avenue south to whitehurst avenue</t>
  </si>
  <si>
    <t>7:40 AM-9:15 AM</t>
  </si>
  <si>
    <t>Clear, sunny skies, 53 F windy</t>
  </si>
  <si>
    <t>donlocomm@aol.comm 727 415 4804</t>
  </si>
  <si>
    <t>Peggy Cook</t>
  </si>
  <si>
    <t>904 471-6639 irateparrot@aol.com</t>
  </si>
  <si>
    <t>Matanzas Inlet to Flagler Co Line</t>
  </si>
  <si>
    <t>9:00AM-10:00 AM</t>
  </si>
  <si>
    <t>1130 AM - 1 PM</t>
  </si>
  <si>
    <t>Clear, sunny 53 F light wind</t>
  </si>
  <si>
    <t>Sunny, Cool</t>
  </si>
  <si>
    <t>Amoy 1</t>
  </si>
  <si>
    <t>Clear, sunny 60F light wind</t>
  </si>
  <si>
    <t>all over the key</t>
  </si>
  <si>
    <t>AMOY 2, WIPL 26, PIPL 15, SNPL 3, DCCO 375, REKN 435 (sure some were flagged but all legs in standing water could not see) SPPL 255, DUNL 160, SAND 210</t>
  </si>
  <si>
    <t>banded SNPL, PIPL and WIPL</t>
  </si>
  <si>
    <t>Three Rooker Bar South</t>
  </si>
  <si>
    <t>09:15 to 12:30</t>
  </si>
  <si>
    <t>Wind 10-15 mph, clear, sunny.</t>
  </si>
  <si>
    <t>REKN 56</t>
  </si>
  <si>
    <t>PIPL 30</t>
  </si>
  <si>
    <t>2 banded PIPL</t>
  </si>
  <si>
    <t>Peggy Cook, Kurt Foote, Jean Rolke, C J McCartney</t>
  </si>
  <si>
    <t>904 471-6639</t>
  </si>
  <si>
    <t>Fort Matanzas NM</t>
  </si>
  <si>
    <t>DCCO 50, AMOY 2</t>
  </si>
  <si>
    <t>9 AM - 11 AM</t>
  </si>
  <si>
    <t>Sunny, Cold</t>
  </si>
  <si>
    <t>RUTU 25</t>
  </si>
  <si>
    <t>DCCO 200, AMOY 2, PIPL 4, REKN 58, SBDO 14</t>
  </si>
  <si>
    <t>Red Knots may have been seen earlier on intercoastal side. Just about same number.</t>
  </si>
  <si>
    <t>SBDO 55, REKN 66, DUNL 20, BBPL 16, SAND 14, PIPL 6, WIPL 1</t>
  </si>
  <si>
    <t>Second group of Red Knots, first group visible from this location.</t>
  </si>
  <si>
    <t>Scott Tedford, Natasha Warraich</t>
  </si>
  <si>
    <t>Avalan State Park</t>
  </si>
  <si>
    <t>St Lucie</t>
  </si>
  <si>
    <t>14:00 to 15:30</t>
  </si>
  <si>
    <t>65F, 15mph wind, sunny, clear</t>
  </si>
  <si>
    <t>1a</t>
  </si>
  <si>
    <t>10:00-11:04</t>
  </si>
  <si>
    <t>Partly cloudy, windy</t>
  </si>
  <si>
    <t>AMOY(6), BLSK(20), DUNL(150), SAND(50), ROYT(5), SEPL(7)</t>
  </si>
  <si>
    <t>Resureveyed later in afternoon. Banding was still not visible due to high winds (huddling). These numbers were recorded as ADDITIONS to am count.</t>
  </si>
  <si>
    <t>0800 o 1030</t>
  </si>
  <si>
    <t>60F, no winf, cloudy</t>
  </si>
  <si>
    <t>AMOY one pair</t>
  </si>
  <si>
    <t>Ft Pierce Inlet State Park</t>
  </si>
  <si>
    <t>08:30-09:15</t>
  </si>
  <si>
    <t>Partly Cloudy, windy</t>
  </si>
  <si>
    <t>AMOY(1), BLSK(62), ROYT(2), FOTE(2), LAGU(7), RBGU(5), HEGU(2)</t>
  </si>
  <si>
    <t>Scott Tedford, Andy Flanner, Lori Haynes</t>
  </si>
  <si>
    <t>St. Lucie Inlet Preserve State Park, Inlet side</t>
  </si>
  <si>
    <t>AMOY(9), BLSK(25), ROYT(6), WILL(9), SBDO(22), RUTU(4), MAGO(11), DCCO(5), LAGU(40), RBGU(18)</t>
  </si>
  <si>
    <t>11:55-12:40</t>
  </si>
  <si>
    <t>Partly sunny, 70, wind 15mph</t>
  </si>
  <si>
    <t>North Shore Park, St. Petersburg</t>
  </si>
  <si>
    <t xml:space="preserve">BLSK 90, FOTE 55, LAGU 45, BRPE 4, HEGU 1, RIGU 12, ROTE 8 SWTE 8 </t>
  </si>
  <si>
    <t>FOTE 6, LAGU 15, RIGU 1, DUNL 120, WESA 150, SAND 70, BBPL 25, SEPL 3, MAGO 6, REKN 20, RUTU 1, WILL 6</t>
  </si>
  <si>
    <t>St Lucie Inlet Preserver State Park, Beach</t>
  </si>
  <si>
    <t>LAGU 10, RIGU 6, DUNL 100, WESA 70, SAND 50, BBPL 30, SEPL 30, MAGO 8, REKN 6, WILL 8</t>
  </si>
  <si>
    <t>10:00-11:45</t>
  </si>
  <si>
    <t>On rock jetty off beach</t>
  </si>
  <si>
    <t>CJ McCartney, Debbie Cusick, Judy Kempf</t>
  </si>
  <si>
    <t>727-595-9284  sbjenks@hotmail.com</t>
  </si>
  <si>
    <t>224-241-2262</t>
  </si>
  <si>
    <t>A Street to South Anastasia State Park</t>
  </si>
  <si>
    <t>82 50.501</t>
  </si>
  <si>
    <t>9:00am - 10:45 AM</t>
  </si>
  <si>
    <t>windy, sunny, brisk</t>
  </si>
  <si>
    <t>27 49.119</t>
  </si>
  <si>
    <t>-82 49.532</t>
  </si>
  <si>
    <t>LAGU 55</t>
  </si>
  <si>
    <t>So. of Redington Pier</t>
  </si>
  <si>
    <t>27 49.241</t>
  </si>
  <si>
    <t>-82 49.661</t>
  </si>
  <si>
    <t>ROTE 201, BLSK 105, SATE 9, HEGU 1, LAGU 31, RBGU 27</t>
  </si>
  <si>
    <t>27 50.024</t>
  </si>
  <si>
    <t>-82 50.174</t>
  </si>
  <si>
    <t>REKN 9</t>
  </si>
  <si>
    <t>27 50.114</t>
  </si>
  <si>
    <t>-82 50.230</t>
  </si>
  <si>
    <t>LAGU 135, ROTE 46, RBGU 2</t>
  </si>
  <si>
    <t>So. of Suncoast Seabird Sanctuary</t>
  </si>
  <si>
    <t>27 50.524</t>
  </si>
  <si>
    <t>-82 50.475</t>
  </si>
  <si>
    <t>REKN 10</t>
  </si>
  <si>
    <t>No bands.</t>
  </si>
  <si>
    <t>Susan Killeen, Chris Farrell</t>
  </si>
  <si>
    <t>610-888-6950  mypuffins@gmail.com</t>
  </si>
  <si>
    <t>Porpoise Point</t>
  </si>
  <si>
    <t>727-452-3995</t>
  </si>
  <si>
    <t>1:00 pm- 2:30 pm</t>
  </si>
  <si>
    <t>8:00am-10:45am</t>
  </si>
  <si>
    <t>wind 15 mph, 50-55F, sunny</t>
  </si>
  <si>
    <t>overcast/rain/62F,W=10mph NE</t>
  </si>
  <si>
    <t>no GPs</t>
  </si>
  <si>
    <t>No GPS</t>
  </si>
  <si>
    <t>Not indicated</t>
  </si>
  <si>
    <t>no GPS</t>
  </si>
  <si>
    <t>Tom Bell &amp; Lindsey Bell</t>
  </si>
  <si>
    <t>5-6:30pm</t>
  </si>
  <si>
    <t>64F, cloudy</t>
  </si>
  <si>
    <t>not indicated</t>
  </si>
  <si>
    <t>9:00-11:30a</t>
  </si>
  <si>
    <t>Sunny 62F</t>
  </si>
  <si>
    <t>American Oystercatcher (1)</t>
  </si>
  <si>
    <t>foraging along shoreline, raked beach</t>
  </si>
  <si>
    <t>DCCO (420)</t>
  </si>
  <si>
    <t>Data entered by Billy Brooks</t>
  </si>
  <si>
    <t>LAGU (210)</t>
  </si>
  <si>
    <t>LAGU (256)</t>
  </si>
  <si>
    <t>LAGU (105)</t>
  </si>
  <si>
    <t>Diane Reed</t>
  </si>
  <si>
    <t>SEPL 120, BLSK 132, LESA 60, DUNL 130, WILL 12, BOGU 130, ROYT 3, BBPL 20, SAND 8, RUTU 1, WIPL 1, FOTE 6, DCCO 1, LAGU 40, RBGU 10, LBBG 1, CATE 2, BRPE 126</t>
  </si>
  <si>
    <t>904-829-9854  dreedster@aol.com</t>
  </si>
  <si>
    <t>CCC Clearwater beach. Visited at 6:50am and late afternoon by the Lanes, who found 2 CATE and 126 BRPE.</t>
  </si>
  <si>
    <t>Fire Station/Picnic area north to GTM north boundary</t>
  </si>
  <si>
    <t>12-3:30 pm</t>
  </si>
  <si>
    <t>50 degrees, east wind, outgoing tide</t>
  </si>
  <si>
    <t>SBDO 1, WESA 4, LESA 20, SAND 10, BBPL 8, RUTU 6, DUNL 10, SPSA 2</t>
  </si>
  <si>
    <t>East end of CCC Clearwater beach. Ordered to leave by Clearwater Police Officer B. Kearns at 8AM, though not correctly posted for no access.</t>
  </si>
  <si>
    <t>BLSK 168, BRPE 5, WILL 89, LAGU 239, RBGU 24, LBBG 1, MAGO 59, AMOY 2, SEPL 4, FOTE 4, ROYT 9, SBDO 1, HERG 1</t>
  </si>
  <si>
    <t>Teddy and Ned Shuler, Lydia Schindler</t>
  </si>
  <si>
    <t>Ben T. Davis Beach. Surveyed by Charles Fisher initially, and later by rest of group.</t>
  </si>
  <si>
    <t>Weff Rd. Docks</t>
  </si>
  <si>
    <t>12:30pm-1 pm</t>
  </si>
  <si>
    <t>59F,sunny, light wind</t>
  </si>
  <si>
    <t>LESA 65, AMOY 2, WILL 3, SPSA 2, DUNL 14, RBGU 10, SEPL 4, RUTU 1</t>
  </si>
  <si>
    <t>Rusty Pelican outlook.</t>
  </si>
  <si>
    <t>AMOY 2, WILL 20</t>
  </si>
  <si>
    <t>South end of Bayview St. Clearwater. Just west of Bayside Bridge.</t>
  </si>
  <si>
    <t>1 banded oystercatcher, others couldn't be seen</t>
  </si>
  <si>
    <t>DUNL 300</t>
  </si>
  <si>
    <t>Just west of Pinellas/Hillsborough county line.</t>
  </si>
  <si>
    <t>Palmetto Rd. Docks</t>
  </si>
  <si>
    <t>Group of AMOY resting on rocks along waterline.</t>
  </si>
  <si>
    <t>1 pm-1:30pm</t>
  </si>
  <si>
    <t>59F, sunny, light wind</t>
  </si>
  <si>
    <t>AMOY 8</t>
  </si>
  <si>
    <t>No banded birds seen.</t>
  </si>
  <si>
    <t>Richard Becker</t>
  </si>
  <si>
    <t>Porpoise Point north to Villages of Vilano walkover</t>
  </si>
  <si>
    <t>WILL (19), SAND (16), DUNL (1), BBPL (1), RBGU (10), LAGU (1), BOGU (1), KILL (1), PIPL (13)</t>
  </si>
  <si>
    <t>08:00 - 10:10</t>
  </si>
  <si>
    <t xml:space="preserve">50s, partly cloudy, light-moderate breeze </t>
  </si>
  <si>
    <t>Bay Flat, 13:55, all feeding, sparse wrack, 4 banded PIPL</t>
  </si>
  <si>
    <t>RBGU (41), HERG (3), BOGU (7), ROYT (6), FOTE (14), BRPE (1), SNPL (20), PIPL (2), DUNL (8), SAND (51), BBPL (1), SNEG (1), GBHE (1), GREG (1), REEG (1)</t>
  </si>
  <si>
    <t>Inlet Spit, 14:25, feeding and resting, sparse wrack, 0 banded PIPL, 15 banded SNPL - only 8 confirmed, other combos were incomplete readings.</t>
  </si>
  <si>
    <t>Mike Golubovich, Tara Dodson</t>
  </si>
  <si>
    <t>mgolubovich@sjcfl.us (904-669-9236</t>
  </si>
  <si>
    <t>Duval/St. Johns County Line to GTMNERR</t>
  </si>
  <si>
    <t>SAND (14), SNPL 6)</t>
  </si>
  <si>
    <t>2 banded SNPL, Gulf Shore, 17:00, no wrack, flushed by beach walker, SAND feeding, SNPL resting</t>
  </si>
  <si>
    <t>8:12 to 10.01</t>
  </si>
  <si>
    <t>light NW wind at 10k, sunny, clear, 47 degrees</t>
  </si>
  <si>
    <t>data entered by Bill Brooks</t>
  </si>
  <si>
    <t>Lydia Schindler &amp; Jade Dupuis</t>
  </si>
  <si>
    <t>904-209-0619</t>
  </si>
  <si>
    <t>Ft. Matanzas to Anastasia State Park</t>
  </si>
  <si>
    <t>BOGU (106), SAND (16), RBGU (4), GBHE (1), RBME (25)</t>
  </si>
  <si>
    <t>Gulf shore, 17:18, no wrack, all feeding</t>
  </si>
  <si>
    <t>8:11-10:52</t>
  </si>
  <si>
    <t>45 degrees 10 mph winds and sunny :)</t>
  </si>
  <si>
    <t>PIPL (2), DUNL (20), BBPL (1), CLRA (2)</t>
  </si>
  <si>
    <t>1 banded PIPL, Lake/Creek Outfall, 17:31, no wrack, all feeding</t>
  </si>
  <si>
    <t>SNPL(6)</t>
  </si>
  <si>
    <t>none banded between water edge and wrack</t>
  </si>
  <si>
    <t>SANDERLING(71)</t>
  </si>
  <si>
    <t>none banded flushed by walkers</t>
  </si>
  <si>
    <t>unk-flushed b/c of people walking</t>
  </si>
  <si>
    <t>SAND(1)</t>
  </si>
  <si>
    <t>unk- scope broke 1m, 1f</t>
  </si>
  <si>
    <t>7:30 AM - 12:00 PM</t>
  </si>
  <si>
    <t>Bob Luckner, Catherine Luckner, Jeanne Dubi</t>
  </si>
  <si>
    <t>sunny and 70 degrees</t>
  </si>
  <si>
    <t>8:50-10:30</t>
  </si>
  <si>
    <t>no focal species, lage groups o banded birds observed</t>
  </si>
  <si>
    <t>64F partly cloudy with strong (~20 mph) northwest winds</t>
  </si>
  <si>
    <t>BBPL-19 REKN-7 RUTU-28 SAND-98</t>
  </si>
  <si>
    <t>REKNs not banded</t>
  </si>
  <si>
    <t>BLSK-117 FOTE-1 LAGU-4 LBBG-1 RBGU-9 ROYT-101 SATE-4 REKN-17 SAND-3 SBDO-1 WILL-133</t>
  </si>
  <si>
    <t>Billi Wagner, Diane and Ben Goldberg</t>
  </si>
  <si>
    <t>Billi Wagner cassowary@bellsouth.net</t>
  </si>
  <si>
    <t>rocky islet off south end of St. Lucie Village</t>
  </si>
  <si>
    <t>BBPL-6 REKN-166 RUTU-20 SAND-108 WILL-2</t>
  </si>
  <si>
    <t>2 banded REKNs recorded (see Data Sheet 3)</t>
  </si>
  <si>
    <t>11:30am - 11:45am</t>
  </si>
  <si>
    <t>mid-tide strong westerly, sunny</t>
  </si>
  <si>
    <t>BOGU-2 FOTE-5 LAGU-7 ROYT-51 SAND-6 WILL-11</t>
  </si>
  <si>
    <t xml:space="preserve">941-780-0545    ceherzog@gmail.com             </t>
  </si>
  <si>
    <t>Siesta Key, Sunset Beach to Point of Rocks</t>
  </si>
  <si>
    <t>sarasota</t>
  </si>
  <si>
    <t>7:45-10:15</t>
  </si>
  <si>
    <t>Sunny and calm NW wind 5-10</t>
  </si>
  <si>
    <t>941-780-0545      ceherzog@gmail.com</t>
  </si>
  <si>
    <t>SL 17 sandbar off east end</t>
  </si>
  <si>
    <t>10:15am-11:15am</t>
  </si>
  <si>
    <t>sandbar in lee of island mostly submerged, gulls floating</t>
  </si>
  <si>
    <t>Billi Wagner, Tim Towles</t>
  </si>
  <si>
    <t>SNPL (11),LBBG (1),HEGU (1),ROTE (2), LAGU (13), SAND (103), SPPL (4), WESA (1), BBPL (2), RBGU (1)</t>
  </si>
  <si>
    <t>St. Lucie Village docks</t>
  </si>
  <si>
    <t>0900-1000</t>
  </si>
  <si>
    <t>LAGU (100), ROTE (75), RBGU (7), SATE (1), SAND (10), FOTE (5),HEGU (1)</t>
  </si>
  <si>
    <t>HEGU (141), RBGU (3)</t>
  </si>
  <si>
    <t>Boyd Williams</t>
  </si>
  <si>
    <t>772-468-3985, boyd.l.williams@dep.us.fl</t>
  </si>
  <si>
    <t>Ft. Pierce Inlet State Park- #1 Boardwalk/Jetty</t>
  </si>
  <si>
    <t xml:space="preserve">One SNPL in a scrape &amp; and calling </t>
  </si>
  <si>
    <t>8:30 - 10:00 am</t>
  </si>
  <si>
    <t>windy, cold 45- 60 degrees F</t>
  </si>
  <si>
    <t>Casey Key - North Jetty Park to Midnight Pass/Palmer Point Park</t>
  </si>
  <si>
    <t>Clear 55F-72F, Light SW wind</t>
  </si>
  <si>
    <t>SAND 24,, ROTE 68, BLSK 94, HEGU 1, RBGU 26, LAGU 115, FOTE 2</t>
  </si>
  <si>
    <t>Erin Wall, Chance Wall</t>
  </si>
  <si>
    <t>wallerin@bellsouth.net, 772-261-1348</t>
  </si>
  <si>
    <t>Pepper Park to Inlet State Park, St. Lucie County</t>
  </si>
  <si>
    <t>10:20a-12:30p</t>
  </si>
  <si>
    <t>Blue Skies, Breeze, 73 degrees</t>
  </si>
  <si>
    <t>RBGU 36, LAGU 16, ROTE 5</t>
  </si>
  <si>
    <t>Gwen Ketner Cherie LaFlamme</t>
  </si>
  <si>
    <t>gwenket@yahoo.com 941-830-0424</t>
  </si>
  <si>
    <t>Manasota Key</t>
  </si>
  <si>
    <t>1145 - 1215</t>
  </si>
  <si>
    <t>cleary,winds 15-20</t>
  </si>
  <si>
    <t>WILL (1)</t>
  </si>
  <si>
    <t xml:space="preserve">NO banded </t>
  </si>
  <si>
    <t>941-625-1096   flalundeens@gmail.com</t>
  </si>
  <si>
    <t>84 ROTE, 4 FOTE, 2 RBGU, 3 LAGU, 5 SATE</t>
  </si>
  <si>
    <t>Ryan Welsh</t>
  </si>
  <si>
    <t>rwelsh@inwater.org 772-216-5096</t>
  </si>
  <si>
    <t>S. Hutchinson Island, Zones A-S</t>
  </si>
  <si>
    <t>27 28.242</t>
  </si>
  <si>
    <t>080 17.345</t>
  </si>
  <si>
    <t>27 18.540'</t>
  </si>
  <si>
    <t>no large groups</t>
  </si>
  <si>
    <t>080 13.263'</t>
  </si>
  <si>
    <t>0700-0830</t>
  </si>
  <si>
    <t>overcast 60 degrees</t>
  </si>
  <si>
    <t>Carol Leonard</t>
  </si>
  <si>
    <t>941-473-3292, carol_leonard@verizon.net</t>
  </si>
  <si>
    <t>Coastal Wildlife Club Manasota Key Zone 11</t>
  </si>
  <si>
    <t>9:45 - 10:45 am</t>
  </si>
  <si>
    <t>clear, crisp, sunny, ~62 degrees F</t>
  </si>
  <si>
    <t>RUTU (2), WILL (1)</t>
  </si>
  <si>
    <t>by ATV</t>
  </si>
  <si>
    <t>RUTU (28), SAND (15), RBGU (4), WILL (7), SNEG (4)</t>
  </si>
  <si>
    <t>windy, 56 degrees F</t>
  </si>
  <si>
    <t>Sue Killeen and Jason DePue</t>
  </si>
  <si>
    <t>LAGU (29), RBGU (22), FOTE (1), ROTE (2), RUTU (2), SAND (1)</t>
  </si>
  <si>
    <t>no banded birds:  found 1 dead Common Loon</t>
  </si>
  <si>
    <t>2:05 pm-3:18 pm</t>
  </si>
  <si>
    <t>DUNL (249), SEPL (116), SAND (3), FOTE (3), WESA (40)</t>
  </si>
  <si>
    <t>no banded birds noted; loafing on shore and feeding in surf; group mixed</t>
  </si>
  <si>
    <t>DUNL (44), SEPL(14), WILL (1)</t>
  </si>
  <si>
    <t>no banded birds noted; feeding in surf</t>
  </si>
  <si>
    <t>SEPL (18), FOTE (13), DUNL (42), BBPL (7), SAND (1), SBDO (34)</t>
  </si>
  <si>
    <t xml:space="preserve">no banded birds noted; loafing on shore; SBDO grouped together </t>
  </si>
  <si>
    <t>HEGU (291), LAGU (23), GBBG (7), FOTE (6), BRPE (30), SAND (2), RUTU (2)</t>
  </si>
  <si>
    <t>no banded birds noted</t>
  </si>
  <si>
    <t>Spoil Islands SL3-IR36</t>
  </si>
  <si>
    <t>St. Lucie, Indian River</t>
  </si>
  <si>
    <t>N27.53643</t>
  </si>
  <si>
    <t>W080.33962</t>
  </si>
  <si>
    <t>N27.65726</t>
  </si>
  <si>
    <t>W080.37620</t>
  </si>
  <si>
    <t>10:40-2:30PM</t>
  </si>
  <si>
    <t>3:18-3:45</t>
  </si>
  <si>
    <t>Very quiet on Salt Run.  no banded birds noted</t>
  </si>
  <si>
    <t>Adam Kent</t>
  </si>
  <si>
    <t>314-609-5513; kestrelkent@yahoo.com</t>
  </si>
  <si>
    <t>RBGU (200), LAGU (44), BOGU (4), ROTE (7), FOTE (41), HEGU (3), SAND (15), WILL (2), RUTU (5)</t>
  </si>
  <si>
    <t>Big Bend WMA--Hagen's Cove</t>
  </si>
  <si>
    <t>Taylor</t>
  </si>
  <si>
    <t>No banded birds, loafing on shore. Someone dumped donuts in park, attracted RBGU from this flock</t>
  </si>
  <si>
    <t>Peggy Cook, Kurt Foote, CJ mccartny, Jean Rolke</t>
  </si>
  <si>
    <t>irateparrot@aol.com  904 471-6639</t>
  </si>
  <si>
    <t>Fort Matanzas N M Sand bar</t>
  </si>
  <si>
    <t>2:30 - 5 p.m.</t>
  </si>
  <si>
    <t xml:space="preserve">Temp 62f, wind NE 7 mph. </t>
  </si>
  <si>
    <t>9 Am - 1100</t>
  </si>
  <si>
    <t>Sunny Cold</t>
  </si>
  <si>
    <t>FOTE 144</t>
  </si>
  <si>
    <t xml:space="preserve">9 AM - 11 </t>
  </si>
  <si>
    <t>BLSK  420</t>
  </si>
  <si>
    <t>St Lucie Inlet Preserve State Park, Inlet side</t>
  </si>
  <si>
    <t>Partly sunny, 70, calm surf, wind 15mph</t>
  </si>
  <si>
    <t>St Lucie Inlet Preserve State Park, Beach</t>
  </si>
  <si>
    <t>Southeast Volusia Audubon Society, Ken Gunn Lead Observer</t>
  </si>
  <si>
    <t>386-423-2334 gunnsatbeach@cfl.rr.com</t>
  </si>
  <si>
    <t>Southeast Volusia County</t>
  </si>
  <si>
    <t xml:space="preserve">Avalon State Park </t>
  </si>
  <si>
    <t>12:00-15:00</t>
  </si>
  <si>
    <t>60-65 degrees, wind NW 10-20mph, 50-80% Overcast</t>
  </si>
  <si>
    <t>BLSK 78, ROYT 93</t>
  </si>
  <si>
    <t>On corner near jetty</t>
  </si>
  <si>
    <t>CJ McCartney, DebbieCusick, Judy Kempf</t>
  </si>
  <si>
    <t>224-241-2262 y2kgator@gmail.com</t>
  </si>
  <si>
    <t>A Street to S Anastasia State Park</t>
  </si>
  <si>
    <t>one banded brown pelican observed</t>
  </si>
  <si>
    <t>9:00 AM - 10:45 AM</t>
  </si>
  <si>
    <t>windy ~ 15mph, sunny &amp; 55F</t>
  </si>
  <si>
    <t>North Peninsula SP Marsh Restoration north of Highbridge Rd</t>
  </si>
  <si>
    <t>RBGU (61), FOTE (89)</t>
  </si>
  <si>
    <t>Group of 50+ within a large group of other birds. None banded</t>
  </si>
  <si>
    <t>9:50 am - 10:30 am</t>
  </si>
  <si>
    <t>Clear skies, wind 10 - 12 mph.  Temp 58 - 59 deg F</t>
  </si>
  <si>
    <t>1:00 pm-2:30 pm</t>
  </si>
  <si>
    <t>BLSK(250),  ROTE (118), FOTE (54), RBGU (85), LAGU (33), BOGU (6), SAND (7), RUTU (4), WILL (1)</t>
  </si>
  <si>
    <t>Group of 50+ birds on shore:  No banded birds observed</t>
  </si>
  <si>
    <t>Weff Road Docks</t>
  </si>
  <si>
    <t>12:30 - 1pm</t>
  </si>
  <si>
    <t>SEPL (161) DUNL (210)  BBPL (67) AMOY (16) RUTU (18) SBDO (14) ROTE (4) SPSA (2) BRPE (2) </t>
  </si>
  <si>
    <t>1 banded AMOY, others left before close looks at legs</t>
  </si>
  <si>
    <t>Teddy, Ned Shuler, Lydia Schindler</t>
  </si>
  <si>
    <t>Palmetto Road Docks</t>
  </si>
  <si>
    <t>North Peninsula SP Marsh Restoration along John Anderson Rd</t>
  </si>
  <si>
    <t>1-1:30pm</t>
  </si>
  <si>
    <t>SPDO (67) DUNL (61) RBGU (22) BBPL (18) WHIM (15) BRPE (35) GRYL (4) ROTE (5) LAGU (6) RUTU (3) SPSA (2)</t>
  </si>
  <si>
    <t>10:35 am - 11:25 am</t>
  </si>
  <si>
    <t>Clear skies, wind 10 - 12 mph.  Temp 62 - 65 deg F</t>
  </si>
  <si>
    <t>904-829-9854   dreedster@aol.com</t>
  </si>
  <si>
    <t>A1A Fire Station/Picnic area north to northern boundary of GTM</t>
  </si>
  <si>
    <t>12-3:30pm</t>
  </si>
  <si>
    <t>Porpoise Point north to Villages of Vilano Walkover</t>
  </si>
  <si>
    <t>8:00 - 10:10</t>
  </si>
  <si>
    <t>RBGU 53, FOTE 41, LAGU 33, BOGU 8, ROYT 8, RUTU 8, SAND 6, HERG 5, GBBG 3</t>
  </si>
  <si>
    <t>Canine and human disturbance on the flock</t>
  </si>
  <si>
    <t>386-238-4668                jwinters@volusia.org</t>
  </si>
  <si>
    <t>Forster's Terns 53</t>
  </si>
  <si>
    <t>12:25 - 15:15</t>
  </si>
  <si>
    <t>cloudy, windy, cool</t>
  </si>
  <si>
    <t>REKN 4</t>
  </si>
  <si>
    <t>Ring-Billed Gulls 53</t>
  </si>
  <si>
    <t>386-788-2630   birdman9@earthlink.net</t>
  </si>
  <si>
    <t>REKN 2</t>
  </si>
  <si>
    <t>07:45/17:30</t>
  </si>
  <si>
    <t>57/62 degrees, Wind: NW, 10/15 knots, 85% cloud cover</t>
  </si>
  <si>
    <t>Laughing Gulls 60</t>
  </si>
  <si>
    <t>mgolubovich@fjcfl.us</t>
  </si>
  <si>
    <t>Duval/St. Johns County line to GTMNERR</t>
  </si>
  <si>
    <t>8:12-10:01</t>
  </si>
  <si>
    <t>light NW wind @ 10 knts, sunny, clear, 47 degrees</t>
  </si>
  <si>
    <t>RBGU (11), LAGU (18), FOTE (49), ROTE (2)</t>
  </si>
  <si>
    <t>Whitney Gray, Andrea Alden</t>
  </si>
  <si>
    <t>Whitney Gray; (239) 633-8799; whitney.gray@myfwc.com</t>
  </si>
  <si>
    <t>Mashes Sands</t>
  </si>
  <si>
    <t>Wakulla</t>
  </si>
  <si>
    <t>9:46 am-10:35 am</t>
  </si>
  <si>
    <t>41F, clear, still</t>
  </si>
  <si>
    <t>RBGU (31), LAGU (64), FOTE (46), ROTE (3), WILL (1)</t>
  </si>
  <si>
    <t>15:57 - 18:20</t>
  </si>
  <si>
    <t>High tide falling, 35% cloud cover, no precipitation, calm surf, winds 4-7mph</t>
  </si>
  <si>
    <t>LBBG(80), RBGU(53), HERG(32), SAND(35), SNPL (1)</t>
  </si>
  <si>
    <t>Group of 50+ birds; SNPL is banded (see DATA SHEET 3 for details).</t>
  </si>
  <si>
    <t>kimberly Middlebrooks</t>
  </si>
  <si>
    <t>Billi Wagner, Diane Goldberg, Ben Goldberg</t>
  </si>
  <si>
    <t>772-770-0969 cassowary@bellsouth.net</t>
  </si>
  <si>
    <t>SL 17 spit</t>
  </si>
  <si>
    <t>9:06-10:21</t>
  </si>
  <si>
    <t>clear, 41 degrees</t>
  </si>
  <si>
    <t>Strong westerly, sunny</t>
  </si>
  <si>
    <t xml:space="preserve">RBGU-105 HERG-103 BOGU-14 GBBG-2 LBBG-1 WHPE-19 BRPE-1 CATE-1 BLSK-1 RUTU-8 WILL-3 SAND-3  </t>
  </si>
  <si>
    <t>loafing, segregated by species</t>
  </si>
  <si>
    <t>strong westerly, sunny</t>
  </si>
  <si>
    <t>common loon(2)</t>
  </si>
  <si>
    <t>one incubating, mate standing by</t>
  </si>
  <si>
    <t>9:00am-10:00am</t>
  </si>
  <si>
    <t>cloudy/ fogy, rained early this morning, 63 degrees</t>
  </si>
  <si>
    <t>RUTU-23 FOTE-1 SAND-57 SPSA-4 DUNL-4</t>
  </si>
  <si>
    <t>shorebirds on dock</t>
  </si>
  <si>
    <t>772-261-1348;wallerin@bellsouth.net</t>
  </si>
  <si>
    <t>Pepper Park to Inlet State Park</t>
  </si>
  <si>
    <t>10:20a - 12:30p</t>
  </si>
  <si>
    <t>Sunny, 73, breezy</t>
  </si>
  <si>
    <t xml:space="preserve">61 birds in group: 23 Royal Tern, 8 Sanderling, 2 ringbill gull, 28 misc. seagulls (unable to ID due to wind and bird posture on ground) 
</t>
  </si>
  <si>
    <t xml:space="preserve">none banded; many on belly with head turned around tucked into back
</t>
  </si>
  <si>
    <t>sanderling (2); Semi-Palmated Plover (2)</t>
  </si>
  <si>
    <t>SPP's turning over wrack</t>
  </si>
  <si>
    <t>1437-1500</t>
  </si>
  <si>
    <t>Tide high, falling, 20% cloud cover, no precipitation, calm surf, 13-18 mph winds</t>
  </si>
  <si>
    <t>Laughing Gull (1)</t>
  </si>
  <si>
    <t>stationary in wrack</t>
  </si>
  <si>
    <t>Spotted Sandpiper (1) Sanderling (3)</t>
  </si>
  <si>
    <t>sanderling "chasing" tide</t>
  </si>
  <si>
    <t>Semi-Palmated Plover (2)</t>
  </si>
  <si>
    <t>SPP turning wrack, flew away due to approaching people</t>
  </si>
  <si>
    <t>1445-1538</t>
  </si>
  <si>
    <t>ROYT (37), BKSK (40), LAGU (25), WESA (14)</t>
  </si>
  <si>
    <t>Med tide, rising, no precipitation, 0% cloud cover, calm surf, 8-12 mph winds</t>
  </si>
  <si>
    <t>Survey conducted at same site on multiple days</t>
  </si>
  <si>
    <t>ROYT (37), BKSK (41), RUTU (12), GREG (1)</t>
  </si>
  <si>
    <t>SAND (12), WESA (18), BRPE (4), RUTU (6)</t>
  </si>
  <si>
    <t>ROYT (90), BKSK (58), RBGU (6), LAGU (4), RUTU (10)</t>
  </si>
  <si>
    <t>BKSK (44), BOGU (6), BRPE (3), LAGU (10)</t>
  </si>
  <si>
    <t>1043-1146</t>
  </si>
  <si>
    <t>Low tide, rising, 0% cloud cover, no precipitation, calm surf, 8-12 mph winds</t>
  </si>
  <si>
    <t>ROYT (27), BKSK (33), RUTU (7), WESA (11), BRPE (4)</t>
  </si>
  <si>
    <t>N27.61005</t>
  </si>
  <si>
    <t>W080.36438</t>
  </si>
  <si>
    <t>On spit just north of IR37, none banded</t>
  </si>
  <si>
    <t>41 Black-bellied Plover; 156 Semipalmated Plover; 14 Greater Yellowlegs; 1 Ruddy Turnstone; 3 Red Knot; 150 Western Sandpiper; 200 Least Sandpiper; 1400 Dunlin; 300 Short-billed/Long-billed  Dowitcher; 8 Ring-billed Gull</t>
  </si>
  <si>
    <t>1234-1345</t>
  </si>
  <si>
    <t>High tide, rising, 5% cloud cover, no precipitation, calm surf, 8-12 mph winds</t>
  </si>
  <si>
    <t>DUNL (164), SEPL (52), WIPL (2), PIPL (3)</t>
  </si>
  <si>
    <t>SAND (68)</t>
  </si>
  <si>
    <t>Blue Mountain Beach</t>
  </si>
  <si>
    <t>REKN (94), FOTE (4)</t>
  </si>
  <si>
    <t>4 banded REKN</t>
  </si>
  <si>
    <t>7:55-8:45</t>
  </si>
  <si>
    <t>clear, windy, cold 46 degrees</t>
  </si>
  <si>
    <t>DUNL (125)</t>
  </si>
  <si>
    <t>BLSK (232), LAGU (371), HEGU (392), FOTE (65), ROTE (2), BOGU (2), GBBG (3), LBBG (1), RBGU (72), RUTU (10), SAND (38), REKN (18)</t>
  </si>
  <si>
    <t>Big Sabine Bay</t>
  </si>
  <si>
    <t>PIPL (3)</t>
  </si>
  <si>
    <t>11:44-1:21</t>
  </si>
  <si>
    <t xml:space="preserve">sunny, 52 degrees, wind E 5 mph, tide extremely low </t>
  </si>
  <si>
    <t>REDHEAD(23), BUFFLEHEAD(21)RB mERGAMSER(2), SCAUP(18), COMMON LOON(1), HORNED GREBE(2), HOODED MERGANSER(1), KINGFISHER(1), GREAT BLUE HERON(2), GREAT EG(1), SNOWY EG(7), REDDISH EG(1)</t>
  </si>
  <si>
    <t>PIPL (2)</t>
  </si>
  <si>
    <t>Cedar Key West and East Routes</t>
  </si>
  <si>
    <t>1245-1610</t>
  </si>
  <si>
    <t>PIPL (1)</t>
  </si>
  <si>
    <t>PIPL (4)</t>
  </si>
  <si>
    <t>1 banded PIPL</t>
  </si>
  <si>
    <t>many smaller species undercounted due to densely massed flocks. All potential roost sites in region not surveyed</t>
  </si>
  <si>
    <t>Jean Rolke</t>
  </si>
  <si>
    <t>djrolke@comcast.net</t>
  </si>
  <si>
    <t>Fort Matanzas N M Visitor Center</t>
  </si>
  <si>
    <t>REKN (285)</t>
  </si>
  <si>
    <t>11 AM - 1130 AM</t>
  </si>
  <si>
    <t>11 banded REKN</t>
  </si>
  <si>
    <t>Sunny Cool</t>
  </si>
  <si>
    <t>map</t>
  </si>
  <si>
    <t>GPS from online map, not taken in field</t>
  </si>
  <si>
    <t>Southeast Intracoastal Waterway Park</t>
  </si>
  <si>
    <t>1130 AM - 1200 PM</t>
  </si>
  <si>
    <t>WIPL (5)</t>
  </si>
  <si>
    <t>WIPl (8)</t>
  </si>
  <si>
    <t>Southeast Volusia Audubon Society Don Picard, Nancy White</t>
  </si>
  <si>
    <t>386-957-1886                 sevas@cfl.rr.com</t>
  </si>
  <si>
    <t>Southeast Volusia County - Inland - All water along Riverview Drive from Indian River Blvd. to South Causeway, Callalisa Creek and the ponds at the east end of Causeway, New Smyrna Beach</t>
  </si>
  <si>
    <t>I</t>
  </si>
  <si>
    <t>Southeast Volusia Audubon Society, Bill Cox and Marsh Cox</t>
  </si>
  <si>
    <t>802-777-7450                 billnmarsha@pshift.com</t>
  </si>
  <si>
    <t>Southeast Volusia County - Inland - North Causeway, Riverview Drive North, HWY 1 along three bridges, Spruce Creek Park, airport and Turnbull Bay</t>
  </si>
  <si>
    <t>Sand Key Clearwater</t>
  </si>
  <si>
    <t>0830 -0945</t>
  </si>
  <si>
    <t>55 deg 3 mph NE,low slacktide</t>
  </si>
  <si>
    <t>II</t>
  </si>
  <si>
    <t>Also recorded as an end point: 29.07981, -80.985926</t>
  </si>
  <si>
    <t>Southeast Volusia County - Beach - Smyrna Dunes Park to 27th Avenue, New Smyrna Beach</t>
  </si>
  <si>
    <t>IV</t>
  </si>
  <si>
    <t>REKN (15)</t>
  </si>
  <si>
    <t>REKN (32)</t>
  </si>
  <si>
    <t>REKN (36)</t>
  </si>
  <si>
    <t>REKN (3)</t>
  </si>
  <si>
    <t>Southeast Volusia Audubon Society, Tad Fyock, Lamonte Ingalis</t>
  </si>
  <si>
    <t>386-426-8793               beachfront6164@earthlink.net</t>
  </si>
  <si>
    <t>Southeast Volusia County - Beach - 27th Avenue to Ocean Walk Beach Access, New Smyrna Beach</t>
  </si>
  <si>
    <t>Southeast Volusia Audubon Society, Kenn Gunn, Frank Dornstauder</t>
  </si>
  <si>
    <t>386-423-2334                 gunnsatbeach@cfl.rr.com</t>
  </si>
  <si>
    <t>Southeast Volusia County - Beach - Ocean Walk Access to 6180 S. Atlantic Ave., New Smyrna Beach</t>
  </si>
  <si>
    <t>VI1</t>
  </si>
  <si>
    <t>Southeast Volusia Audubon Society, Fern Murphy, Sheldon Murphy</t>
  </si>
  <si>
    <t>386-690-1943                fernandsheldon@gmail.com</t>
  </si>
  <si>
    <t>Southeast Volusia County - Beach - 6180 S. Atlantic Ave. to Canaveral National Seashore, New Smyrna Beach</t>
  </si>
  <si>
    <t>VI</t>
  </si>
  <si>
    <t>ROTE (47), LAGU (8), RBGU (5), WILL (1), FOTE (1)</t>
  </si>
  <si>
    <t>ROTE (39), FOTE (5), WILL (7), LAGU (3), RBGU (2)</t>
  </si>
  <si>
    <t>Southeast Volusia County/IRL - Water and bars in front of JB's Fish Camp and Manatee Park</t>
  </si>
  <si>
    <t>Southeast Volusia Audubon Society, Andrea Lux, Roger Peterson</t>
  </si>
  <si>
    <t>Southeast Volusia County - Intercoastal - South Causeway Bridge to Piddler Island and back, Ponce de Leon Cut except for Smyrna Dunes Park, Lighthouse Point Park, and Disappearing Island</t>
  </si>
  <si>
    <t>BRPE (1)</t>
  </si>
  <si>
    <t>1 banded BRPE, Also recorded as an end point: 29.087535, -80.950898</t>
  </si>
  <si>
    <t>WHPE (300)</t>
  </si>
  <si>
    <t>None banded, photos available, Also recorded as an end point: 29.087535, -80.950898</t>
  </si>
  <si>
    <t>BRPE (475)</t>
  </si>
  <si>
    <t xml:space="preserve">Rookery,Also recorded as an end point: 29.087535, -80.950898 </t>
  </si>
  <si>
    <t>Southeast Volusia Audubon Society, Tom Lee, Barbara Lee</t>
  </si>
  <si>
    <t>386-428-2526                 tlee8@cfl.rr.com</t>
  </si>
  <si>
    <t>Southeast Volusia County - IRL Wetlands: Bethune (skiff) - Marsh off A1A wets of Bullhead and Cedar Creek</t>
  </si>
  <si>
    <t>XIII</t>
  </si>
  <si>
    <t>Also recorded as an end point: 29.087535, -80.950898</t>
  </si>
  <si>
    <t xml:space="preserve">386-788-2630 bridman9@earthlink.net                </t>
  </si>
  <si>
    <t>07:45 / 17:30</t>
  </si>
  <si>
    <t>57/62 degrees, NW wind 10-15 knots 85% cloud cover</t>
  </si>
  <si>
    <t>No Bands</t>
  </si>
  <si>
    <t>LAGU  61, ROTE 5</t>
  </si>
  <si>
    <t>LAGU 42, RBGU 17, FEGU 4, ROTE 11, FOTE 7</t>
  </si>
  <si>
    <t>LAGU 53, RBGU 27, HEGU 7, GBBG 3, ROTE 17, FOTE 5, SATE 3, SAND 14, RUTU 4</t>
  </si>
  <si>
    <t>LAGU 22, RBGU 13, HEGU 3, ROTE 6, FOTE 7, SAND 11, RUTU 4, WILL 8</t>
  </si>
  <si>
    <t>LAGU 37, RBGU 17, HEGU 4 GBBG 1, SATE 3, SAND 9, BLSK 7, BBPL 2,       WILL 6</t>
  </si>
  <si>
    <t>LAGU 42, RBGU 6, HEGU 8, BOGU 2, ROTE 11, FOTE 6, BLSK 7, SAND 9, RUTU 4, WILL 6</t>
  </si>
  <si>
    <t>LAGU 47, RBGU 18, HEGU 11, ROTE 13, FOTE 4, SAND 11, BBPL 2, WILL 4</t>
  </si>
  <si>
    <t>LAGU 44, RBGU 16, HEGU 4, GBBG 1, ROTE 9, FOTE 7, WILL 6, BLSK 200, RUTU 6, SAND 14</t>
  </si>
  <si>
    <t>LAGU 41, RBGU 39, ROTE 4, BLSK 900, SAND 22, RUTU 11</t>
  </si>
  <si>
    <t>This is just S/O the Main Street Pier. An odd place for so many skimmers.</t>
  </si>
  <si>
    <t>LAGU 51, RBGU 16, HEGU 7, ROTE 13, FOTE 2, BLSK 73, WILL 12, SAND 23</t>
  </si>
  <si>
    <t>LAGU 6, RBGU 9, ROTE 4, SATE 2, REKN 20, SAND 9, WILL 7</t>
  </si>
  <si>
    <t>1 of the 20 REKN banded, see page 3.</t>
  </si>
  <si>
    <t>LAGU 31, RBGU 16, ROTE 30, FOTE 5, SATE 2, BRPE 2, WILL 9</t>
  </si>
  <si>
    <t>LAGU 47, RBGU 17, HEGU 3, LBBG 1, ROTE 13, FOTE 6, SAND 9, WILL 6, RUTU 4</t>
  </si>
  <si>
    <t>LAGU 61, RBGU 17, BLSK 9, SAND 14, RUTU 6</t>
  </si>
  <si>
    <t>LAGU 31, RBGU 23, HEGU 7, GBBG 3, ROTE 13, FOTE 6, SATE 3, SAND 9, BBPL 2, WILL 11</t>
  </si>
  <si>
    <t>LAGU 53, RBGU 14, HEGU 9, LBBG 1, ROTE 3, WILL 11</t>
  </si>
  <si>
    <t>LAGU 45,000; RBGU 36,000; HEGU 9,000; LBBG 200, GBBG 185, ICGU 2, THGU 1</t>
  </si>
  <si>
    <t>Between points 18 &amp; 19, in late afternoon, is the largest concentration of gulls in the western hemisphere. Rare gulls found included 2 Iceland Gulls and a Thayer's Gull</t>
  </si>
  <si>
    <t>I drove back to this location to assure the inclusion of these large numbers as the gulls return from the landfill 6 miles to the west.</t>
  </si>
  <si>
    <t xml:space="preserve">Wakulla
</t>
  </si>
  <si>
    <t>BLSK (46), WILL (12), BBPL (2), HERG (2), RBGU (16), LAGU (9), CATE (1), RUTU (4), GRYE (10), LESA (1)</t>
  </si>
  <si>
    <t>Lake/Creek Outfall, 16:04, sparse wrack, all resting.</t>
  </si>
  <si>
    <t>RBGU (97), HERG (6), CATE (2), DUNL (31), BRPE (19), AWPE (6), BBPL (1)</t>
  </si>
  <si>
    <t>Inlet Spit, 16:59, sparse wrack, all resting.</t>
  </si>
  <si>
    <t>HIgh tide, rising, 5% cloud cover, no precipitation, calm surf, 8-12 mph winds</t>
  </si>
  <si>
    <t>SNPL 6</t>
  </si>
  <si>
    <t>251-441-5830, rob_holbrook</t>
  </si>
  <si>
    <t>escambia</t>
  </si>
  <si>
    <t>SNPL(13)</t>
  </si>
  <si>
    <t>SNPL(8)</t>
  </si>
  <si>
    <t>Patty Kelly, Sid Maddock, Faith Bell</t>
  </si>
  <si>
    <t>850-532-5401, patricia_kelly@fws.gov</t>
  </si>
  <si>
    <t>West Summerland key</t>
  </si>
  <si>
    <t xml:space="preserve">cloudy, windy </t>
  </si>
  <si>
    <t>Least sandpipers (45), spotted sandpiper (1), ruddy turnstone (4), semi-palmated plover (4)</t>
  </si>
  <si>
    <t>partially cloudy, 10-15 mph</t>
  </si>
  <si>
    <t>REKN (1)</t>
  </si>
  <si>
    <t>4:30-4:40pm</t>
  </si>
  <si>
    <t xml:space="preserve">partially cloudy, </t>
  </si>
  <si>
    <t>semi-palmated plovers (115)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</si>
</sst>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0"/>
    <numFmt numFmtId="166" formatCode="m/d/yyyy h:mm:ss"/>
    <numFmt numFmtId="167" formatCode="M/d/yyyy"/>
    <numFmt numFmtId="168" formatCode="#,##0.###############"/>
  </numFmts>
  <fonts count="16">
    <font>
      <sz val="10.0"/>
      <color rgb="FF000000"/>
      <name val="Arial"/>
    </font>
    <font>
      <sz val="12.0"/>
    </font>
    <font>
      <b/>
      <sz val="12.0"/>
      <color rgb="FF000000"/>
    </font>
    <font>
      <sz val="12.0"/>
      <color rgb="FF000000"/>
    </font>
    <font>
      <name val="Arial"/>
    </font>
    <font/>
    <font>
      <sz val="12.0"/>
      <color rgb="FFFF0000"/>
    </font>
    <font>
      <b/>
      <sz val="12.0"/>
    </font>
    <font>
      <b/>
      <sz val="10.0"/>
    </font>
    <font>
      <sz val="10.0"/>
      <color rgb="FF000000"/>
    </font>
    <font>
      <sz val="11.0"/>
    </font>
    <font>
      <i/>
      <sz val="10.0"/>
      <color rgb="FF999999"/>
    </font>
    <font>
      <b/>
      <sz val="11.0"/>
      <color rgb="FF000000"/>
    </font>
    <font>
      <b/>
      <sz val="11.0"/>
    </font>
    <font>
      <color rgb="FF000000"/>
      <name val="Arial"/>
    </font>
    <font>
      <b/>
      <i/>
      <sz val="10.0"/>
      <color rgb="FF999999"/>
    </font>
  </fonts>
  <fills count="11">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FFFF99"/>
        <bgColor rgb="FFFFFF99"/>
      </patternFill>
    </fill>
    <fill>
      <patternFill patternType="solid">
        <fgColor rgb="FFF3F3F3"/>
        <bgColor rgb="FFF3F3F3"/>
      </patternFill>
    </fill>
    <fill>
      <patternFill patternType="solid">
        <fgColor rgb="FFD9D9D9"/>
        <bgColor rgb="FFD9D9D9"/>
      </patternFill>
    </fill>
    <fill>
      <patternFill patternType="solid">
        <fgColor rgb="FFCCCCCC"/>
        <bgColor rgb="FFCCCCCC"/>
      </patternFill>
    </fill>
    <fill>
      <patternFill patternType="solid">
        <fgColor rgb="FF00FFFF"/>
        <bgColor rgb="FF00FFFF"/>
      </patternFill>
    </fill>
    <fill>
      <patternFill patternType="solid">
        <fgColor rgb="FFFFD966"/>
        <bgColor rgb="FFFFD966"/>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1"/>
    </xf>
    <xf borderId="0" fillId="0" fontId="1" numFmtId="0" xfId="0" applyAlignment="1" applyFont="1">
      <alignment readingOrder="0" shrinkToFit="0" wrapText="1"/>
    </xf>
    <xf borderId="0" fillId="2" fontId="2" numFmtId="0" xfId="0" applyAlignment="1" applyFill="1" applyFont="1">
      <alignment readingOrder="0" shrinkToFit="0" wrapText="1"/>
    </xf>
    <xf borderId="0" fillId="3" fontId="3" numFmtId="0" xfId="0" applyAlignment="1" applyFill="1" applyFont="1">
      <alignment shrinkToFit="0" wrapText="1"/>
    </xf>
    <xf borderId="0" fillId="0" fontId="1" numFmtId="0" xfId="0" applyAlignment="1" applyFont="1">
      <alignment shrinkToFit="0" wrapText="1"/>
    </xf>
    <xf borderId="0" fillId="4" fontId="3" numFmtId="0" xfId="0" applyAlignment="1" applyFill="1" applyFont="1">
      <alignment readingOrder="0" shrinkToFit="0" wrapText="1"/>
    </xf>
    <xf borderId="0" fillId="5" fontId="4" numFmtId="0" xfId="0" applyAlignment="1" applyFill="1" applyFont="1">
      <alignment shrinkToFit="0" vertical="bottom" wrapText="1"/>
    </xf>
    <xf borderId="0" fillId="6" fontId="3" numFmtId="164" xfId="0" applyAlignment="1" applyFill="1" applyFont="1" applyNumberFormat="1">
      <alignment readingOrder="0" shrinkToFit="0" wrapText="1"/>
    </xf>
    <xf borderId="0" fillId="0" fontId="3" numFmtId="0" xfId="0" applyAlignment="1" applyFont="1">
      <alignment readingOrder="0" shrinkToFit="0" wrapText="1"/>
    </xf>
    <xf borderId="0" fillId="2"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5" numFmtId="0" xfId="0" applyAlignment="1" applyFont="1">
      <alignment shrinkToFit="0" wrapText="1"/>
    </xf>
    <xf borderId="0" fillId="7" fontId="8" numFmtId="0" xfId="0" applyAlignment="1" applyFill="1" applyFont="1">
      <alignment readingOrder="0" shrinkToFit="0" wrapText="1"/>
    </xf>
    <xf borderId="0" fillId="0" fontId="5" numFmtId="14" xfId="0" applyAlignment="1" applyFont="1" applyNumberFormat="1">
      <alignment readingOrder="0" shrinkToFit="0" wrapText="1"/>
    </xf>
    <xf borderId="0" fillId="0" fontId="5" numFmtId="0" xfId="0" applyAlignment="1" applyFont="1">
      <alignment readingOrder="0" shrinkToFit="0" wrapText="1"/>
    </xf>
    <xf borderId="0" fillId="0" fontId="9" numFmtId="165" xfId="0" applyAlignment="1" applyFont="1" applyNumberFormat="1">
      <alignment readingOrder="0" shrinkToFit="0" wrapText="1"/>
    </xf>
    <xf borderId="0" fillId="0" fontId="5" numFmtId="165" xfId="0" applyAlignment="1" applyFont="1" applyNumberFormat="1">
      <alignment readingOrder="0" shrinkToFit="0" wrapText="1"/>
    </xf>
    <xf borderId="0" fillId="0" fontId="9" numFmtId="0" xfId="0" applyAlignment="1" applyFont="1">
      <alignment readingOrder="0" shrinkToFit="0" wrapText="1"/>
    </xf>
    <xf borderId="0" fillId="5" fontId="10" numFmtId="0" xfId="0" applyAlignment="1" applyFont="1">
      <alignment readingOrder="0" shrinkToFit="0" wrapText="1"/>
    </xf>
    <xf borderId="0" fillId="0" fontId="9" numFmtId="166" xfId="0" applyAlignment="1" applyFont="1" applyNumberFormat="1">
      <alignment readingOrder="0" shrinkToFit="0" wrapText="1"/>
    </xf>
    <xf borderId="0" fillId="5" fontId="5" numFmtId="0" xfId="0" applyAlignment="1" applyFont="1">
      <alignment shrinkToFit="0" wrapText="1"/>
    </xf>
    <xf borderId="0" fillId="0" fontId="9" numFmtId="0" xfId="0" applyAlignment="1" applyFont="1">
      <alignment shrinkToFit="0" wrapText="1"/>
    </xf>
    <xf borderId="0" fillId="8" fontId="8" numFmtId="0" xfId="0" applyAlignment="1" applyFill="1" applyFont="1">
      <alignment readingOrder="0" shrinkToFit="0" wrapText="1"/>
    </xf>
    <xf borderId="0" fillId="0" fontId="9" numFmtId="167" xfId="0" applyAlignment="1" applyFont="1" applyNumberFormat="1">
      <alignment readingOrder="0" shrinkToFit="0" wrapText="1"/>
    </xf>
    <xf borderId="0" fillId="0" fontId="8" numFmtId="0" xfId="0" applyAlignment="1" applyFont="1">
      <alignment shrinkToFit="0" wrapText="1"/>
    </xf>
    <xf borderId="0" fillId="0" fontId="9" numFmtId="14" xfId="0" applyAlignment="1" applyFont="1" applyNumberFormat="1">
      <alignment readingOrder="0" shrinkToFit="0" wrapText="1"/>
    </xf>
    <xf borderId="0" fillId="0" fontId="5" numFmtId="10" xfId="0" applyAlignment="1" applyFont="1" applyNumberFormat="1">
      <alignment shrinkToFit="0" wrapText="1"/>
    </xf>
    <xf borderId="0" fillId="0" fontId="11" numFmtId="0" xfId="0" applyAlignment="1" applyFont="1">
      <alignment readingOrder="0" shrinkToFit="0" wrapText="1"/>
    </xf>
    <xf borderId="0" fillId="0" fontId="11" numFmtId="0" xfId="0" applyAlignment="1" applyFont="1">
      <alignment shrinkToFit="0" wrapText="1"/>
    </xf>
    <xf borderId="0" fillId="0" fontId="9" numFmtId="166" xfId="0" applyAlignment="1" applyFont="1" applyNumberFormat="1">
      <alignment shrinkToFit="0" wrapText="1"/>
    </xf>
    <xf quotePrefix="1" borderId="0" fillId="0" fontId="5" numFmtId="0" xfId="0" applyAlignment="1" applyFont="1">
      <alignment readingOrder="0" shrinkToFit="0" wrapText="1"/>
    </xf>
    <xf borderId="0" fillId="0" fontId="5" numFmtId="165" xfId="0" applyAlignment="1" applyFont="1" applyNumberFormat="1">
      <alignment shrinkToFit="0" wrapText="1"/>
    </xf>
    <xf borderId="0" fillId="5" fontId="4" numFmtId="165" xfId="0" applyAlignment="1" applyFont="1" applyNumberFormat="1">
      <alignment shrinkToFit="0" vertical="bottom" wrapText="1"/>
    </xf>
    <xf borderId="0" fillId="7" fontId="12" numFmtId="0" xfId="0" applyAlignment="1" applyFont="1">
      <alignment readingOrder="0" shrinkToFit="0" wrapText="1"/>
    </xf>
    <xf borderId="0" fillId="7" fontId="12" numFmtId="165" xfId="0" applyAlignment="1" applyFont="1" applyNumberFormat="1">
      <alignment readingOrder="0" shrinkToFit="0" wrapText="1"/>
    </xf>
    <xf borderId="0" fillId="7" fontId="13" numFmtId="165" xfId="0" applyAlignment="1" applyFont="1" applyNumberFormat="1">
      <alignment readingOrder="0" shrinkToFit="0" wrapText="1"/>
    </xf>
    <xf borderId="0" fillId="7" fontId="8" numFmtId="165" xfId="0" applyAlignment="1" applyFont="1" applyNumberFormat="1">
      <alignment readingOrder="0" shrinkToFit="0" wrapText="1"/>
    </xf>
    <xf borderId="0" fillId="0" fontId="8" numFmtId="0" xfId="0" applyAlignment="1" applyFont="1">
      <alignment readingOrder="0" shrinkToFit="0" wrapText="1"/>
    </xf>
    <xf borderId="0" fillId="0" fontId="5" numFmtId="0" xfId="0" applyAlignment="1" applyFont="1">
      <alignment horizontal="left" readingOrder="0" shrinkToFit="0" vertical="bottom" wrapText="1"/>
    </xf>
    <xf borderId="0" fillId="0" fontId="5" numFmtId="49" xfId="0" applyAlignment="1" applyFont="1" applyNumberFormat="1">
      <alignment readingOrder="0" shrinkToFit="0" wrapText="1"/>
    </xf>
    <xf borderId="0" fillId="0" fontId="5" numFmtId="49" xfId="0" applyAlignment="1" applyFont="1" applyNumberFormat="1">
      <alignment shrinkToFit="0" wrapText="1"/>
    </xf>
    <xf borderId="0" fillId="4" fontId="9" numFmtId="0" xfId="0" applyAlignment="1" applyFont="1">
      <alignment readingOrder="0" shrinkToFit="0" wrapText="1"/>
    </xf>
    <xf borderId="0" fillId="0" fontId="5" numFmtId="0" xfId="0" applyAlignment="1" applyFont="1">
      <alignment readingOrder="0" shrinkToFit="0" wrapText="1"/>
    </xf>
    <xf borderId="0" fillId="0" fontId="5" numFmtId="21" xfId="0" applyAlignment="1" applyFont="1" applyNumberFormat="1">
      <alignment readingOrder="0" shrinkToFit="0" wrapText="1"/>
    </xf>
    <xf borderId="0" fillId="0" fontId="9" numFmtId="165" xfId="0" applyAlignment="1" applyFont="1" applyNumberFormat="1">
      <alignment shrinkToFit="0" wrapText="1"/>
    </xf>
    <xf borderId="0" fillId="0" fontId="5" numFmtId="168" xfId="0" applyAlignment="1" applyFont="1" applyNumberFormat="1">
      <alignment shrinkToFit="0" wrapText="1"/>
    </xf>
    <xf borderId="0" fillId="0" fontId="5" numFmtId="168" xfId="0" applyAlignment="1" applyFont="1" applyNumberFormat="1">
      <alignment readingOrder="0" shrinkToFit="0" wrapText="1"/>
    </xf>
    <xf borderId="0" fillId="0" fontId="9" numFmtId="0" xfId="0" applyAlignment="1" applyFont="1">
      <alignment readingOrder="0" shrinkToFit="0" wrapText="1"/>
    </xf>
    <xf borderId="0" fillId="4" fontId="9" numFmtId="14" xfId="0" applyAlignment="1" applyFont="1" applyNumberFormat="1">
      <alignment readingOrder="0" shrinkToFit="0" wrapText="1"/>
    </xf>
    <xf borderId="0" fillId="4" fontId="9" numFmtId="166" xfId="0" applyAlignment="1" applyFont="1" applyNumberFormat="1">
      <alignment readingOrder="0" shrinkToFit="0" wrapText="1"/>
    </xf>
    <xf borderId="0" fillId="4" fontId="9" numFmtId="0" xfId="0" applyAlignment="1" applyFont="1">
      <alignment shrinkToFit="0" wrapText="1"/>
    </xf>
    <xf borderId="0" fillId="9" fontId="9" numFmtId="0" xfId="0" applyAlignment="1" applyFill="1" applyFont="1">
      <alignment readingOrder="0" shrinkToFit="0" wrapText="1"/>
    </xf>
    <xf borderId="0" fillId="4" fontId="14" numFmtId="165" xfId="0" applyAlignment="1" applyFont="1" applyNumberFormat="1">
      <alignment horizontal="right" shrinkToFit="0" vertical="bottom" wrapText="1"/>
    </xf>
    <xf borderId="0" fillId="0" fontId="14" numFmtId="165" xfId="0" applyAlignment="1" applyFont="1" applyNumberFormat="1">
      <alignment horizontal="right" shrinkToFit="0" vertical="bottom" wrapText="1"/>
    </xf>
    <xf borderId="0" fillId="0" fontId="4" numFmtId="0" xfId="0" applyAlignment="1" applyFont="1">
      <alignment readingOrder="0" shrinkToFit="0" vertical="bottom" wrapText="1"/>
    </xf>
    <xf borderId="0" fillId="4" fontId="5" numFmtId="14" xfId="0" applyAlignment="1" applyFont="1" applyNumberFormat="1">
      <alignment readingOrder="0" shrinkToFit="0" wrapText="1"/>
    </xf>
    <xf borderId="0" fillId="0" fontId="9" numFmtId="0" xfId="0" applyAlignment="1" applyFont="1">
      <alignment shrinkToFit="0" wrapText="1"/>
    </xf>
    <xf borderId="0" fillId="10" fontId="5" numFmtId="0" xfId="0" applyAlignment="1" applyFill="1" applyFont="1">
      <alignment readingOrder="0" shrinkToFit="0" wrapText="1"/>
    </xf>
    <xf borderId="0" fillId="0" fontId="15" numFmtId="0" xfId="0" applyAlignment="1" applyFont="1">
      <alignment readingOrder="0" shrinkToFit="0" wrapText="1"/>
    </xf>
    <xf borderId="0" fillId="0" fontId="5" numFmtId="0" xfId="0" applyAlignment="1" applyFont="1">
      <alignment readingOrder="0" shrinkToFit="0" wrapText="1"/>
    </xf>
    <xf borderId="0" fillId="0" fontId="11"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2.75"/>
  <cols>
    <col customWidth="1" min="1" max="1" width="177.71"/>
    <col customWidth="1" min="2" max="2" width="17.71"/>
    <col customWidth="1" min="3" max="3" width="17.0"/>
    <col customWidth="1" min="4" max="20" width="17.29"/>
  </cols>
  <sheetData>
    <row r="1">
      <c r="A1" s="1" t="s">
        <v>0</v>
      </c>
    </row>
    <row r="2">
      <c r="A2" s="2" t="s">
        <v>1</v>
      </c>
    </row>
    <row r="3">
      <c r="A3" s="3"/>
    </row>
    <row r="4" ht="18.0" customHeight="1">
      <c r="A4" s="4"/>
    </row>
    <row r="5" ht="18.0" customHeight="1">
      <c r="A5" s="5" t="s">
        <v>3</v>
      </c>
    </row>
    <row r="6">
      <c r="A6" s="4"/>
    </row>
    <row r="7">
      <c r="A7" s="5" t="s">
        <v>4</v>
      </c>
    </row>
    <row r="8">
      <c r="A8" s="7" t="s">
        <v>5</v>
      </c>
    </row>
    <row r="9">
      <c r="A9" s="8" t="s">
        <v>6</v>
      </c>
    </row>
    <row r="10">
      <c r="A10" s="8" t="s">
        <v>8</v>
      </c>
    </row>
    <row r="11">
      <c r="A11" s="4"/>
    </row>
    <row r="12">
      <c r="A12" s="1" t="s">
        <v>9</v>
      </c>
    </row>
    <row r="13">
      <c r="A13" s="10" t="s">
        <v>10</v>
      </c>
    </row>
    <row r="14">
      <c r="A14" s="4"/>
    </row>
    <row r="15">
      <c r="A15" s="8" t="s">
        <v>11</v>
      </c>
    </row>
    <row r="16">
      <c r="A16" s="4"/>
    </row>
    <row r="17">
      <c r="A17" s="1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5.0"/>
    <col customWidth="1" min="2" max="2" width="17.29"/>
    <col customWidth="1" min="3" max="3" width="32.86"/>
    <col customWidth="1" min="4" max="4" width="19.43"/>
    <col customWidth="1" min="5" max="5" width="11.71"/>
    <col customWidth="1" min="6" max="6" width="12.0"/>
    <col customWidth="1" min="7" max="7" width="13.0"/>
    <col customWidth="1" min="8" max="8" width="12.14"/>
    <col customWidth="1" min="9" max="9" width="12.71"/>
    <col customWidth="1" min="10" max="14" width="17.29"/>
    <col customWidth="1" min="15" max="15" width="52.0"/>
    <col customWidth="1" min="16" max="16" width="34.29"/>
    <col customWidth="1" min="17" max="18" width="17.29"/>
  </cols>
  <sheetData>
    <row r="1" ht="63.0" customHeight="1">
      <c r="A1" s="6" t="s">
        <v>2</v>
      </c>
      <c r="L1" s="6"/>
      <c r="M1" s="33"/>
      <c r="N1" s="33"/>
      <c r="O1" s="6"/>
      <c r="P1" s="6"/>
    </row>
    <row r="2" ht="72.0" customHeight="1">
      <c r="A2" s="34" t="s">
        <v>13</v>
      </c>
      <c r="B2" s="34" t="s">
        <v>14</v>
      </c>
      <c r="C2" s="34" t="s">
        <v>15</v>
      </c>
      <c r="D2" s="34" t="s">
        <v>16</v>
      </c>
      <c r="E2" s="34" t="s">
        <v>17</v>
      </c>
      <c r="F2" s="35" t="s">
        <v>18</v>
      </c>
      <c r="G2" s="35" t="s">
        <v>19</v>
      </c>
      <c r="H2" s="36" t="s">
        <v>20</v>
      </c>
      <c r="I2" s="36" t="s">
        <v>21</v>
      </c>
      <c r="J2" s="13" t="s">
        <v>22</v>
      </c>
      <c r="K2" s="13" t="s">
        <v>23</v>
      </c>
      <c r="L2" s="13" t="s">
        <v>92</v>
      </c>
      <c r="M2" s="37" t="s">
        <v>548</v>
      </c>
      <c r="N2" s="37" t="s">
        <v>554</v>
      </c>
      <c r="O2" s="13" t="s">
        <v>555</v>
      </c>
      <c r="P2" s="13" t="s">
        <v>103</v>
      </c>
    </row>
    <row r="3" ht="33.75" customHeight="1">
      <c r="A3" s="24">
        <v>42045.0</v>
      </c>
      <c r="B3" s="18" t="s">
        <v>102</v>
      </c>
      <c r="C3" s="18" t="s">
        <v>104</v>
      </c>
      <c r="D3" s="18" t="s">
        <v>105</v>
      </c>
      <c r="E3" s="18" t="s">
        <v>77</v>
      </c>
      <c r="F3" s="16">
        <v>30.26922</v>
      </c>
      <c r="G3" s="16">
        <v>-85.99591</v>
      </c>
      <c r="H3" s="16">
        <v>30.26624</v>
      </c>
      <c r="I3" s="17">
        <v>-85.98904</v>
      </c>
      <c r="J3" s="15" t="s">
        <v>106</v>
      </c>
      <c r="K3" s="15" t="s">
        <v>107</v>
      </c>
      <c r="L3" s="15">
        <v>1.0</v>
      </c>
      <c r="M3" s="17">
        <v>30.26844</v>
      </c>
      <c r="N3" s="17">
        <v>-85.99393</v>
      </c>
      <c r="O3" s="15" t="s">
        <v>565</v>
      </c>
      <c r="P3" s="15" t="s">
        <v>566</v>
      </c>
    </row>
    <row r="4" ht="33.75" customHeight="1">
      <c r="A4" s="24">
        <v>42045.0</v>
      </c>
      <c r="B4" s="18" t="s">
        <v>102</v>
      </c>
      <c r="C4" s="18" t="s">
        <v>104</v>
      </c>
      <c r="D4" s="18" t="s">
        <v>105</v>
      </c>
      <c r="E4" s="18" t="s">
        <v>77</v>
      </c>
      <c r="F4" s="16">
        <v>30.26922</v>
      </c>
      <c r="G4" s="16">
        <v>-85.99591</v>
      </c>
      <c r="H4" s="16">
        <v>30.26624</v>
      </c>
      <c r="I4" s="17">
        <v>-85.98904</v>
      </c>
      <c r="J4" s="15" t="s">
        <v>106</v>
      </c>
      <c r="K4" s="15" t="s">
        <v>107</v>
      </c>
      <c r="L4" s="15">
        <v>2.0</v>
      </c>
      <c r="M4" s="17">
        <v>30.26801</v>
      </c>
      <c r="N4" s="17">
        <v>-85.99323</v>
      </c>
      <c r="O4" s="15" t="s">
        <v>567</v>
      </c>
      <c r="P4" s="15" t="s">
        <v>568</v>
      </c>
    </row>
    <row r="5" ht="33.75" customHeight="1">
      <c r="A5" s="24">
        <v>42045.0</v>
      </c>
      <c r="B5" s="18" t="s">
        <v>102</v>
      </c>
      <c r="C5" s="18" t="s">
        <v>104</v>
      </c>
      <c r="D5" s="18" t="s">
        <v>105</v>
      </c>
      <c r="E5" s="18" t="s">
        <v>77</v>
      </c>
      <c r="F5" s="16">
        <v>30.26922</v>
      </c>
      <c r="G5" s="16">
        <v>-85.99591</v>
      </c>
      <c r="H5" s="16">
        <v>30.26624</v>
      </c>
      <c r="I5" s="17">
        <v>-85.98904</v>
      </c>
      <c r="J5" s="15" t="s">
        <v>106</v>
      </c>
      <c r="K5" s="15" t="s">
        <v>107</v>
      </c>
      <c r="L5" s="15">
        <v>3.0</v>
      </c>
      <c r="M5" s="17">
        <v>30.26793</v>
      </c>
      <c r="N5" s="17">
        <v>-85.9927</v>
      </c>
      <c r="O5" s="15" t="s">
        <v>569</v>
      </c>
      <c r="P5" s="15" t="s">
        <v>570</v>
      </c>
    </row>
    <row r="6" ht="33.75" customHeight="1">
      <c r="A6" s="24">
        <v>42045.0</v>
      </c>
      <c r="B6" s="18" t="s">
        <v>102</v>
      </c>
      <c r="C6" s="18" t="s">
        <v>104</v>
      </c>
      <c r="D6" s="18" t="s">
        <v>105</v>
      </c>
      <c r="E6" s="18" t="s">
        <v>77</v>
      </c>
      <c r="F6" s="16">
        <v>30.26922</v>
      </c>
      <c r="G6" s="16">
        <v>-85.99591</v>
      </c>
      <c r="H6" s="16">
        <v>30.26624</v>
      </c>
      <c r="I6" s="17">
        <v>-85.98904</v>
      </c>
      <c r="J6" s="15" t="s">
        <v>106</v>
      </c>
      <c r="K6" s="15" t="s">
        <v>107</v>
      </c>
      <c r="L6" s="15">
        <v>4.0</v>
      </c>
      <c r="M6" s="17">
        <v>30.26773</v>
      </c>
      <c r="N6" s="17">
        <v>-85.99156</v>
      </c>
      <c r="O6" s="15" t="s">
        <v>575</v>
      </c>
      <c r="P6" s="15" t="s">
        <v>568</v>
      </c>
    </row>
    <row r="7" ht="33.75" customHeight="1">
      <c r="A7" s="24">
        <v>42046.0</v>
      </c>
      <c r="B7" s="18" t="s">
        <v>102</v>
      </c>
      <c r="C7" s="18" t="s">
        <v>104</v>
      </c>
      <c r="D7" s="18" t="s">
        <v>185</v>
      </c>
      <c r="E7" s="18" t="s">
        <v>77</v>
      </c>
      <c r="F7" s="16">
        <v>30.05275</v>
      </c>
      <c r="G7" s="16">
        <v>-85.60041</v>
      </c>
      <c r="H7" s="16">
        <v>30.08897</v>
      </c>
      <c r="I7" s="17">
        <v>-85.67867</v>
      </c>
      <c r="J7" s="15" t="s">
        <v>186</v>
      </c>
      <c r="K7" s="15" t="s">
        <v>187</v>
      </c>
      <c r="L7" s="15">
        <v>1.0</v>
      </c>
      <c r="M7" s="17">
        <v>30.05263</v>
      </c>
      <c r="N7" s="17">
        <v>-85.60089</v>
      </c>
      <c r="O7" s="15" t="s">
        <v>579</v>
      </c>
      <c r="P7" s="15" t="s">
        <v>580</v>
      </c>
    </row>
    <row r="8" ht="33.75" customHeight="1">
      <c r="A8" s="24">
        <v>42046.0</v>
      </c>
      <c r="B8" s="18" t="s">
        <v>102</v>
      </c>
      <c r="C8" s="18" t="s">
        <v>104</v>
      </c>
      <c r="D8" s="18" t="s">
        <v>185</v>
      </c>
      <c r="E8" s="18" t="s">
        <v>77</v>
      </c>
      <c r="F8" s="16">
        <v>30.05275</v>
      </c>
      <c r="G8" s="16">
        <v>-85.60041</v>
      </c>
      <c r="H8" s="16">
        <v>30.08897</v>
      </c>
      <c r="I8" s="17">
        <v>-85.67867</v>
      </c>
      <c r="J8" s="15" t="s">
        <v>186</v>
      </c>
      <c r="K8" s="15" t="s">
        <v>187</v>
      </c>
      <c r="L8" s="15">
        <v>2.0</v>
      </c>
      <c r="M8" s="17">
        <v>30.05882</v>
      </c>
      <c r="N8" s="17">
        <v>-85.61205</v>
      </c>
      <c r="O8" s="15" t="s">
        <v>583</v>
      </c>
      <c r="P8" s="15" t="s">
        <v>585</v>
      </c>
    </row>
    <row r="9" ht="33.75" customHeight="1">
      <c r="A9" s="24">
        <v>42046.0</v>
      </c>
      <c r="B9" s="18" t="s">
        <v>102</v>
      </c>
      <c r="C9" s="18" t="s">
        <v>104</v>
      </c>
      <c r="D9" s="18" t="s">
        <v>185</v>
      </c>
      <c r="E9" s="18" t="s">
        <v>77</v>
      </c>
      <c r="F9" s="16">
        <v>30.05275</v>
      </c>
      <c r="G9" s="16">
        <v>-85.60041</v>
      </c>
      <c r="H9" s="16">
        <v>30.08897</v>
      </c>
      <c r="I9" s="17">
        <v>-85.67867</v>
      </c>
      <c r="J9" s="15" t="s">
        <v>186</v>
      </c>
      <c r="K9" s="15" t="s">
        <v>187</v>
      </c>
      <c r="L9" s="15">
        <v>3.0</v>
      </c>
      <c r="M9" s="17">
        <v>30.06503</v>
      </c>
      <c r="N9" s="17">
        <v>-85.61772</v>
      </c>
      <c r="O9" s="15" t="s">
        <v>587</v>
      </c>
      <c r="P9" s="15" t="s">
        <v>588</v>
      </c>
    </row>
    <row r="10" ht="33.75" customHeight="1">
      <c r="A10" s="24">
        <v>42046.0</v>
      </c>
      <c r="B10" s="18" t="s">
        <v>102</v>
      </c>
      <c r="C10" s="18" t="s">
        <v>104</v>
      </c>
      <c r="D10" s="18" t="s">
        <v>185</v>
      </c>
      <c r="E10" s="18" t="s">
        <v>77</v>
      </c>
      <c r="F10" s="16">
        <v>30.05275</v>
      </c>
      <c r="G10" s="16">
        <v>-85.60041</v>
      </c>
      <c r="H10" s="16">
        <v>30.08897</v>
      </c>
      <c r="I10" s="17">
        <v>-85.67867</v>
      </c>
      <c r="J10" s="15" t="s">
        <v>186</v>
      </c>
      <c r="K10" s="15" t="s">
        <v>187</v>
      </c>
      <c r="L10" s="15">
        <v>4.0</v>
      </c>
      <c r="M10" s="17">
        <v>30.06605</v>
      </c>
      <c r="N10" s="17">
        <v>-85.6172</v>
      </c>
      <c r="O10" s="15" t="s">
        <v>590</v>
      </c>
      <c r="P10" s="15" t="s">
        <v>591</v>
      </c>
    </row>
    <row r="11" ht="33.75" customHeight="1">
      <c r="A11" s="24">
        <v>42046.0</v>
      </c>
      <c r="B11" s="18" t="s">
        <v>102</v>
      </c>
      <c r="C11" s="18" t="s">
        <v>104</v>
      </c>
      <c r="D11" s="18" t="s">
        <v>185</v>
      </c>
      <c r="E11" s="18" t="s">
        <v>77</v>
      </c>
      <c r="F11" s="16">
        <v>30.05275</v>
      </c>
      <c r="G11" s="16">
        <v>-85.60041</v>
      </c>
      <c r="H11" s="16">
        <v>30.08897</v>
      </c>
      <c r="I11" s="17">
        <v>-85.67867</v>
      </c>
      <c r="J11" s="15" t="s">
        <v>186</v>
      </c>
      <c r="K11" s="15" t="s">
        <v>187</v>
      </c>
      <c r="L11" s="15">
        <v>5.0</v>
      </c>
      <c r="M11" s="17">
        <v>30.06234</v>
      </c>
      <c r="N11" s="17">
        <v>-85.61885</v>
      </c>
      <c r="O11" s="15" t="s">
        <v>565</v>
      </c>
      <c r="P11" s="15" t="s">
        <v>568</v>
      </c>
    </row>
    <row r="12" ht="33.75" customHeight="1">
      <c r="A12" s="24">
        <v>42046.0</v>
      </c>
      <c r="B12" s="18" t="s">
        <v>102</v>
      </c>
      <c r="C12" s="18" t="s">
        <v>104</v>
      </c>
      <c r="D12" s="18" t="s">
        <v>185</v>
      </c>
      <c r="E12" s="18" t="s">
        <v>77</v>
      </c>
      <c r="F12" s="16">
        <v>30.05275</v>
      </c>
      <c r="G12" s="16">
        <v>-85.60041</v>
      </c>
      <c r="H12" s="16">
        <v>30.08897</v>
      </c>
      <c r="I12" s="17">
        <v>-85.67867</v>
      </c>
      <c r="J12" s="15" t="s">
        <v>186</v>
      </c>
      <c r="K12" s="15" t="s">
        <v>187</v>
      </c>
      <c r="L12" s="15">
        <v>6.0</v>
      </c>
      <c r="M12" s="17">
        <v>30.06691</v>
      </c>
      <c r="N12" s="17">
        <v>-85.62799</v>
      </c>
      <c r="O12" s="15" t="s">
        <v>599</v>
      </c>
    </row>
    <row r="13" ht="33.75" customHeight="1">
      <c r="A13" s="24">
        <v>42046.0</v>
      </c>
      <c r="B13" s="18" t="s">
        <v>102</v>
      </c>
      <c r="C13" s="18" t="s">
        <v>104</v>
      </c>
      <c r="D13" s="18" t="s">
        <v>185</v>
      </c>
      <c r="E13" s="18" t="s">
        <v>77</v>
      </c>
      <c r="F13" s="16">
        <v>30.05275</v>
      </c>
      <c r="G13" s="16">
        <v>-85.60041</v>
      </c>
      <c r="H13" s="16">
        <v>30.08897</v>
      </c>
      <c r="I13" s="17">
        <v>-85.67867</v>
      </c>
      <c r="J13" s="15" t="s">
        <v>186</v>
      </c>
      <c r="K13" s="15" t="s">
        <v>187</v>
      </c>
      <c r="L13" s="15">
        <v>7.0</v>
      </c>
      <c r="M13" s="17">
        <v>30.06681</v>
      </c>
      <c r="N13" s="17">
        <v>-85.62773</v>
      </c>
      <c r="O13" s="15" t="s">
        <v>600</v>
      </c>
    </row>
    <row r="14" ht="33.75" customHeight="1">
      <c r="A14" s="24">
        <v>42046.0</v>
      </c>
      <c r="B14" s="18" t="s">
        <v>102</v>
      </c>
      <c r="C14" s="18" t="s">
        <v>104</v>
      </c>
      <c r="D14" s="18" t="s">
        <v>185</v>
      </c>
      <c r="E14" s="18" t="s">
        <v>77</v>
      </c>
      <c r="F14" s="16">
        <v>30.05275</v>
      </c>
      <c r="G14" s="16">
        <v>-85.60041</v>
      </c>
      <c r="H14" s="16">
        <v>30.08897</v>
      </c>
      <c r="I14" s="17">
        <v>-85.67867</v>
      </c>
      <c r="J14" s="15" t="s">
        <v>186</v>
      </c>
      <c r="K14" s="15" t="s">
        <v>187</v>
      </c>
      <c r="L14" s="15">
        <v>8.0</v>
      </c>
      <c r="M14" s="17">
        <v>30.06683</v>
      </c>
      <c r="N14" s="17">
        <v>-85.62759</v>
      </c>
      <c r="O14" s="15" t="s">
        <v>605</v>
      </c>
      <c r="P14" s="15" t="s">
        <v>607</v>
      </c>
    </row>
    <row r="15" ht="33.75" customHeight="1">
      <c r="A15" s="24">
        <v>42046.0</v>
      </c>
      <c r="B15" s="18" t="s">
        <v>102</v>
      </c>
      <c r="C15" s="18" t="s">
        <v>104</v>
      </c>
      <c r="D15" s="18" t="s">
        <v>185</v>
      </c>
      <c r="E15" s="18" t="s">
        <v>77</v>
      </c>
      <c r="F15" s="16">
        <v>30.05275</v>
      </c>
      <c r="G15" s="16">
        <v>-85.60041</v>
      </c>
      <c r="H15" s="16">
        <v>30.08897</v>
      </c>
      <c r="I15" s="17">
        <v>-85.67867</v>
      </c>
      <c r="J15" s="15" t="s">
        <v>186</v>
      </c>
      <c r="K15" s="15" t="s">
        <v>187</v>
      </c>
      <c r="L15" s="15">
        <v>9.0</v>
      </c>
      <c r="M15" s="17">
        <v>30.07961</v>
      </c>
      <c r="N15" s="17">
        <v>-85.65652</v>
      </c>
      <c r="O15" s="15" t="s">
        <v>569</v>
      </c>
      <c r="P15" s="15" t="s">
        <v>570</v>
      </c>
    </row>
    <row r="16" ht="33.75" customHeight="1">
      <c r="A16" s="26">
        <v>42045.0</v>
      </c>
      <c r="B16" s="15" t="s">
        <v>132</v>
      </c>
      <c r="C16" s="15" t="s">
        <v>134</v>
      </c>
      <c r="D16" s="18" t="s">
        <v>137</v>
      </c>
      <c r="E16" s="18" t="s">
        <v>77</v>
      </c>
      <c r="F16" s="18">
        <v>30.13088</v>
      </c>
      <c r="G16" s="18">
        <v>-85.72121</v>
      </c>
      <c r="H16" s="18">
        <v>30.13284</v>
      </c>
      <c r="I16" s="16">
        <v>-84.74549</v>
      </c>
      <c r="J16" s="20" t="s">
        <v>141</v>
      </c>
      <c r="K16" s="18" t="s">
        <v>142</v>
      </c>
      <c r="L16" s="15">
        <v>1.0</v>
      </c>
      <c r="M16" s="15">
        <v>30.12569</v>
      </c>
      <c r="N16" s="17">
        <v>-85.73168</v>
      </c>
      <c r="O16" s="15" t="s">
        <v>608</v>
      </c>
    </row>
    <row r="17" ht="33.75" customHeight="1">
      <c r="A17" s="24">
        <v>42043.0</v>
      </c>
      <c r="B17" s="18" t="s">
        <v>74</v>
      </c>
      <c r="C17" s="18" t="s">
        <v>75</v>
      </c>
      <c r="D17" s="18" t="s">
        <v>76</v>
      </c>
      <c r="E17" s="18" t="s">
        <v>77</v>
      </c>
      <c r="F17" s="16">
        <v>29.95456</v>
      </c>
      <c r="G17" s="16">
        <v>-85.44788</v>
      </c>
      <c r="H17" s="16">
        <v>29.99925</v>
      </c>
      <c r="I17" s="17">
        <v>-85.529036</v>
      </c>
      <c r="J17" s="15" t="s">
        <v>78</v>
      </c>
      <c r="K17" s="15" t="s">
        <v>79</v>
      </c>
      <c r="L17" s="15">
        <v>1.0</v>
      </c>
      <c r="M17" s="17">
        <v>29.95609</v>
      </c>
      <c r="N17" s="17">
        <v>-85.45565</v>
      </c>
      <c r="O17" s="15" t="s">
        <v>611</v>
      </c>
      <c r="P17" s="15" t="s">
        <v>612</v>
      </c>
    </row>
    <row r="18" ht="33.75" customHeight="1">
      <c r="A18" s="24">
        <v>42043.0</v>
      </c>
      <c r="B18" s="18" t="s">
        <v>74</v>
      </c>
      <c r="C18" s="18" t="s">
        <v>75</v>
      </c>
      <c r="D18" s="18" t="s">
        <v>76</v>
      </c>
      <c r="E18" s="18" t="s">
        <v>77</v>
      </c>
      <c r="F18" s="16">
        <v>29.95456</v>
      </c>
      <c r="G18" s="16">
        <v>-85.44788</v>
      </c>
      <c r="H18" s="16">
        <v>29.99925</v>
      </c>
      <c r="I18" s="17">
        <v>-85.529036</v>
      </c>
      <c r="J18" s="15" t="s">
        <v>78</v>
      </c>
      <c r="K18" s="15" t="s">
        <v>79</v>
      </c>
      <c r="L18" s="15">
        <v>2.0</v>
      </c>
      <c r="M18" s="17">
        <v>29.95456</v>
      </c>
      <c r="N18" s="17">
        <v>-85.44843</v>
      </c>
      <c r="O18" s="15" t="s">
        <v>615</v>
      </c>
      <c r="P18" s="15" t="s">
        <v>616</v>
      </c>
    </row>
    <row r="19" ht="33.75" customHeight="1">
      <c r="A19" s="24">
        <v>42043.0</v>
      </c>
      <c r="B19" s="18" t="s">
        <v>74</v>
      </c>
      <c r="C19" s="18" t="s">
        <v>75</v>
      </c>
      <c r="D19" s="18" t="s">
        <v>76</v>
      </c>
      <c r="E19" s="18" t="s">
        <v>77</v>
      </c>
      <c r="F19" s="16">
        <v>29.95456</v>
      </c>
      <c r="G19" s="16">
        <v>-85.44788</v>
      </c>
      <c r="H19" s="16">
        <v>29.99925</v>
      </c>
      <c r="I19" s="17">
        <v>-85.529036</v>
      </c>
      <c r="J19" s="15" t="s">
        <v>78</v>
      </c>
      <c r="K19" s="15" t="s">
        <v>79</v>
      </c>
      <c r="L19" s="15">
        <v>3.0</v>
      </c>
      <c r="M19" s="17">
        <v>29.95456</v>
      </c>
      <c r="N19" s="17">
        <v>-85.47221</v>
      </c>
      <c r="O19" s="15" t="s">
        <v>619</v>
      </c>
      <c r="P19" s="15" t="s">
        <v>620</v>
      </c>
    </row>
    <row r="20" ht="33.75" customHeight="1">
      <c r="A20" s="24">
        <v>42043.0</v>
      </c>
      <c r="B20" s="18" t="s">
        <v>74</v>
      </c>
      <c r="C20" s="18" t="s">
        <v>75</v>
      </c>
      <c r="D20" s="18" t="s">
        <v>76</v>
      </c>
      <c r="E20" s="18" t="s">
        <v>77</v>
      </c>
      <c r="F20" s="16">
        <v>29.95456</v>
      </c>
      <c r="G20" s="16">
        <v>-85.44788</v>
      </c>
      <c r="H20" s="16">
        <v>29.99925</v>
      </c>
      <c r="I20" s="17">
        <v>-85.529036</v>
      </c>
      <c r="J20" s="15" t="s">
        <v>78</v>
      </c>
      <c r="K20" s="15" t="s">
        <v>79</v>
      </c>
      <c r="L20" s="15">
        <v>4.0</v>
      </c>
      <c r="M20" s="17">
        <v>29.95694</v>
      </c>
      <c r="N20" s="17">
        <v>-85.47617</v>
      </c>
      <c r="O20" s="15" t="s">
        <v>623</v>
      </c>
      <c r="P20" s="15" t="s">
        <v>624</v>
      </c>
    </row>
    <row r="21" ht="33.75" customHeight="1">
      <c r="A21" s="24">
        <v>42043.0</v>
      </c>
      <c r="B21" s="18" t="s">
        <v>74</v>
      </c>
      <c r="C21" s="18" t="s">
        <v>75</v>
      </c>
      <c r="D21" s="18" t="s">
        <v>76</v>
      </c>
      <c r="E21" s="18" t="s">
        <v>77</v>
      </c>
      <c r="F21" s="16">
        <v>29.95456</v>
      </c>
      <c r="G21" s="16">
        <v>-85.44788</v>
      </c>
      <c r="H21" s="16">
        <v>29.99925</v>
      </c>
      <c r="I21" s="17">
        <v>-85.529036</v>
      </c>
      <c r="J21" s="15" t="s">
        <v>78</v>
      </c>
      <c r="K21" s="15" t="s">
        <v>79</v>
      </c>
      <c r="L21" s="15">
        <v>5.0</v>
      </c>
      <c r="M21" s="17">
        <v>29.9573</v>
      </c>
      <c r="N21" s="17">
        <v>-85.47926</v>
      </c>
      <c r="O21" s="15" t="s">
        <v>615</v>
      </c>
      <c r="P21" s="15" t="s">
        <v>627</v>
      </c>
    </row>
    <row r="22" ht="33.75" customHeight="1">
      <c r="A22" s="24">
        <v>42043.0</v>
      </c>
      <c r="B22" s="18" t="s">
        <v>74</v>
      </c>
      <c r="C22" s="18" t="s">
        <v>75</v>
      </c>
      <c r="D22" s="18" t="s">
        <v>76</v>
      </c>
      <c r="E22" s="18" t="s">
        <v>77</v>
      </c>
      <c r="F22" s="16">
        <v>29.95456</v>
      </c>
      <c r="G22" s="16">
        <v>-85.44788</v>
      </c>
      <c r="H22" s="16">
        <v>29.99925</v>
      </c>
      <c r="I22" s="17">
        <v>-85.529036</v>
      </c>
      <c r="J22" s="15" t="s">
        <v>78</v>
      </c>
      <c r="K22" s="15" t="s">
        <v>79</v>
      </c>
      <c r="L22" s="15">
        <v>6.0</v>
      </c>
      <c r="M22" s="17">
        <v>29.96008</v>
      </c>
      <c r="N22" s="17">
        <v>-85.48811</v>
      </c>
      <c r="O22" s="15" t="s">
        <v>636</v>
      </c>
      <c r="P22" s="15" t="s">
        <v>637</v>
      </c>
    </row>
    <row r="23" ht="33.75" customHeight="1">
      <c r="A23" s="24">
        <v>42043.0</v>
      </c>
      <c r="B23" s="18" t="s">
        <v>74</v>
      </c>
      <c r="C23" s="18" t="s">
        <v>75</v>
      </c>
      <c r="D23" s="18" t="s">
        <v>76</v>
      </c>
      <c r="E23" s="18" t="s">
        <v>77</v>
      </c>
      <c r="F23" s="16">
        <v>29.95456</v>
      </c>
      <c r="G23" s="16">
        <v>-85.44788</v>
      </c>
      <c r="H23" s="16">
        <v>29.99925</v>
      </c>
      <c r="I23" s="17">
        <v>-85.529036</v>
      </c>
      <c r="J23" s="15" t="s">
        <v>78</v>
      </c>
      <c r="K23" s="15" t="s">
        <v>79</v>
      </c>
      <c r="L23" s="15">
        <v>7.0</v>
      </c>
      <c r="M23" s="17">
        <v>29.96447</v>
      </c>
      <c r="N23" s="17">
        <v>-85.49606</v>
      </c>
      <c r="O23" s="15" t="s">
        <v>641</v>
      </c>
      <c r="P23" s="15" t="s">
        <v>642</v>
      </c>
    </row>
    <row r="24" ht="33.75" customHeight="1">
      <c r="A24" s="24">
        <v>42043.0</v>
      </c>
      <c r="B24" s="18" t="s">
        <v>74</v>
      </c>
      <c r="C24" s="18" t="s">
        <v>75</v>
      </c>
      <c r="D24" s="18" t="s">
        <v>76</v>
      </c>
      <c r="E24" s="18" t="s">
        <v>77</v>
      </c>
      <c r="F24" s="16">
        <v>29.95456</v>
      </c>
      <c r="G24" s="16">
        <v>-85.44788</v>
      </c>
      <c r="H24" s="16">
        <v>29.99925</v>
      </c>
      <c r="I24" s="17">
        <v>-85.529036</v>
      </c>
      <c r="J24" s="15" t="s">
        <v>78</v>
      </c>
      <c r="K24" s="15" t="s">
        <v>79</v>
      </c>
      <c r="L24" s="15">
        <v>8.0</v>
      </c>
      <c r="M24" s="17">
        <v>29.98737</v>
      </c>
      <c r="N24" s="17">
        <v>-85.52407</v>
      </c>
      <c r="O24" s="15" t="s">
        <v>644</v>
      </c>
      <c r="P24" s="15" t="s">
        <v>645</v>
      </c>
    </row>
    <row r="25" ht="33.75" customHeight="1">
      <c r="A25" s="24">
        <v>42043.0</v>
      </c>
      <c r="B25" s="18" t="s">
        <v>74</v>
      </c>
      <c r="C25" s="18" t="s">
        <v>75</v>
      </c>
      <c r="D25" s="18" t="s">
        <v>76</v>
      </c>
      <c r="E25" s="18" t="s">
        <v>77</v>
      </c>
      <c r="F25" s="16">
        <v>29.95456</v>
      </c>
      <c r="G25" s="16">
        <v>-85.44788</v>
      </c>
      <c r="H25" s="16">
        <v>29.99925</v>
      </c>
      <c r="I25" s="17">
        <v>-85.529036</v>
      </c>
      <c r="J25" s="15" t="s">
        <v>78</v>
      </c>
      <c r="K25" s="15" t="s">
        <v>79</v>
      </c>
      <c r="L25" s="15">
        <v>9.0</v>
      </c>
      <c r="M25" s="17">
        <v>29.98956</v>
      </c>
      <c r="N25" s="17">
        <v>-85.52538</v>
      </c>
      <c r="O25" s="15" t="s">
        <v>648</v>
      </c>
      <c r="P25" s="15" t="s">
        <v>649</v>
      </c>
    </row>
    <row r="26" ht="33.75" customHeight="1">
      <c r="A26" s="24">
        <v>42043.0</v>
      </c>
      <c r="B26" s="18" t="s">
        <v>74</v>
      </c>
      <c r="C26" s="18" t="s">
        <v>75</v>
      </c>
      <c r="D26" s="18" t="s">
        <v>76</v>
      </c>
      <c r="E26" s="18" t="s">
        <v>77</v>
      </c>
      <c r="F26" s="16">
        <v>29.95456</v>
      </c>
      <c r="G26" s="16">
        <v>-85.44788</v>
      </c>
      <c r="H26" s="16">
        <v>29.99925</v>
      </c>
      <c r="I26" s="17">
        <v>-85.529036</v>
      </c>
      <c r="J26" s="15" t="s">
        <v>78</v>
      </c>
      <c r="K26" s="15" t="s">
        <v>79</v>
      </c>
      <c r="L26" s="15">
        <v>10.0</v>
      </c>
      <c r="M26" s="17">
        <v>29.99355</v>
      </c>
      <c r="N26" s="17">
        <v>-85.52879</v>
      </c>
      <c r="O26" s="15" t="s">
        <v>611</v>
      </c>
      <c r="P26" s="15" t="s">
        <v>651</v>
      </c>
    </row>
    <row r="27" ht="33.75" customHeight="1">
      <c r="A27" s="24">
        <v>42043.0</v>
      </c>
      <c r="B27" s="18" t="s">
        <v>74</v>
      </c>
      <c r="C27" s="18" t="s">
        <v>75</v>
      </c>
      <c r="D27" s="18" t="s">
        <v>76</v>
      </c>
      <c r="E27" s="18" t="s">
        <v>77</v>
      </c>
      <c r="F27" s="16">
        <v>29.95456</v>
      </c>
      <c r="G27" s="16">
        <v>-85.44788</v>
      </c>
      <c r="H27" s="16">
        <v>29.99925</v>
      </c>
      <c r="I27" s="17">
        <v>-85.529036</v>
      </c>
      <c r="J27" s="15" t="s">
        <v>78</v>
      </c>
      <c r="K27" s="15" t="s">
        <v>79</v>
      </c>
      <c r="L27" s="15">
        <v>11.0</v>
      </c>
      <c r="M27" s="17">
        <v>29.99577</v>
      </c>
      <c r="N27" s="17">
        <v>-85.5303</v>
      </c>
      <c r="O27" s="15" t="s">
        <v>653</v>
      </c>
      <c r="P27" s="15" t="s">
        <v>654</v>
      </c>
    </row>
    <row r="28" ht="33.75" customHeight="1">
      <c r="A28" s="24">
        <v>42043.0</v>
      </c>
      <c r="B28" s="18" t="s">
        <v>74</v>
      </c>
      <c r="C28" s="18" t="s">
        <v>75</v>
      </c>
      <c r="D28" s="18" t="s">
        <v>76</v>
      </c>
      <c r="E28" s="18" t="s">
        <v>77</v>
      </c>
      <c r="F28" s="16">
        <v>29.95456</v>
      </c>
      <c r="G28" s="16">
        <v>-85.44788</v>
      </c>
      <c r="H28" s="16">
        <v>29.99925</v>
      </c>
      <c r="I28" s="17">
        <v>-85.529036</v>
      </c>
      <c r="J28" s="15" t="s">
        <v>78</v>
      </c>
      <c r="K28" s="15" t="s">
        <v>79</v>
      </c>
      <c r="L28" s="15">
        <v>12.0</v>
      </c>
      <c r="M28" s="17">
        <v>29.99899</v>
      </c>
      <c r="N28" s="17">
        <v>-85.53082</v>
      </c>
      <c r="O28" s="15" t="s">
        <v>611</v>
      </c>
      <c r="P28" s="15" t="s">
        <v>658</v>
      </c>
    </row>
    <row r="29" ht="33.75" customHeight="1">
      <c r="A29" s="24">
        <v>42043.0</v>
      </c>
      <c r="B29" s="18" t="s">
        <v>74</v>
      </c>
      <c r="C29" s="18" t="s">
        <v>75</v>
      </c>
      <c r="D29" s="18" t="s">
        <v>76</v>
      </c>
      <c r="E29" s="18" t="s">
        <v>77</v>
      </c>
      <c r="F29" s="16">
        <v>29.95456</v>
      </c>
      <c r="G29" s="16">
        <v>-85.44788</v>
      </c>
      <c r="H29" s="16">
        <v>29.99925</v>
      </c>
      <c r="I29" s="17">
        <v>-85.529036</v>
      </c>
      <c r="J29" s="15" t="s">
        <v>78</v>
      </c>
      <c r="K29" s="15" t="s">
        <v>79</v>
      </c>
      <c r="L29" s="15">
        <v>13.0</v>
      </c>
      <c r="M29" s="17">
        <v>29.95711</v>
      </c>
      <c r="N29" s="17">
        <v>-85.47784</v>
      </c>
      <c r="O29" s="15" t="s">
        <v>611</v>
      </c>
      <c r="P29" s="15" t="s">
        <v>660</v>
      </c>
    </row>
    <row r="30" ht="33.75" customHeight="1">
      <c r="A30" s="24">
        <v>42043.0</v>
      </c>
      <c r="B30" s="18" t="s">
        <v>74</v>
      </c>
      <c r="C30" s="18" t="s">
        <v>75</v>
      </c>
      <c r="D30" s="18" t="s">
        <v>76</v>
      </c>
      <c r="E30" s="18" t="s">
        <v>77</v>
      </c>
      <c r="F30" s="16">
        <v>29.95456</v>
      </c>
      <c r="G30" s="16">
        <v>-85.44788</v>
      </c>
      <c r="H30" s="16">
        <v>29.99925</v>
      </c>
      <c r="I30" s="17">
        <v>-85.529036</v>
      </c>
      <c r="J30" s="15" t="s">
        <v>78</v>
      </c>
      <c r="K30" s="15" t="s">
        <v>79</v>
      </c>
      <c r="L30" s="15">
        <v>14.0</v>
      </c>
      <c r="M30" s="17">
        <v>29.95657</v>
      </c>
      <c r="N30" s="17">
        <v>-85.46195</v>
      </c>
      <c r="O30" s="15" t="s">
        <v>615</v>
      </c>
      <c r="P30" s="15" t="s">
        <v>661</v>
      </c>
    </row>
    <row r="31" ht="33.75" customHeight="1">
      <c r="A31" s="24">
        <v>42044.0</v>
      </c>
      <c r="B31" s="18" t="s">
        <v>81</v>
      </c>
      <c r="C31" s="18" t="s">
        <v>75</v>
      </c>
      <c r="D31" s="18" t="s">
        <v>82</v>
      </c>
      <c r="E31" s="18" t="s">
        <v>77</v>
      </c>
      <c r="F31" s="16">
        <v>30.05292</v>
      </c>
      <c r="G31" s="16">
        <v>-85.60097</v>
      </c>
      <c r="H31" s="16">
        <v>30.00587</v>
      </c>
      <c r="I31" s="17">
        <v>-85.53516</v>
      </c>
      <c r="J31" s="15" t="s">
        <v>83</v>
      </c>
      <c r="K31" s="15" t="s">
        <v>84</v>
      </c>
      <c r="L31" s="15">
        <v>1.0</v>
      </c>
      <c r="M31" s="17">
        <v>30.05276</v>
      </c>
      <c r="N31" s="17">
        <v>-85.60135</v>
      </c>
      <c r="O31" s="15" t="s">
        <v>665</v>
      </c>
      <c r="P31" s="15" t="s">
        <v>667</v>
      </c>
    </row>
    <row r="32" ht="33.75" customHeight="1">
      <c r="A32" s="24">
        <v>42044.0</v>
      </c>
      <c r="B32" s="18" t="s">
        <v>81</v>
      </c>
      <c r="C32" s="18" t="s">
        <v>75</v>
      </c>
      <c r="D32" s="18" t="s">
        <v>82</v>
      </c>
      <c r="E32" s="18" t="s">
        <v>77</v>
      </c>
      <c r="F32" s="16">
        <v>30.05292</v>
      </c>
      <c r="G32" s="16">
        <v>-85.60097</v>
      </c>
      <c r="H32" s="16">
        <v>30.00587</v>
      </c>
      <c r="I32" s="17">
        <v>-85.53516</v>
      </c>
      <c r="J32" s="15" t="s">
        <v>83</v>
      </c>
      <c r="K32" s="15" t="s">
        <v>84</v>
      </c>
      <c r="L32" s="15">
        <v>2.0</v>
      </c>
      <c r="M32" s="17">
        <v>30.04273</v>
      </c>
      <c r="N32" s="17">
        <v>-85.58717</v>
      </c>
      <c r="O32" s="15" t="s">
        <v>672</v>
      </c>
      <c r="P32" s="15" t="s">
        <v>673</v>
      </c>
    </row>
    <row r="33" ht="33.75" customHeight="1">
      <c r="A33" s="24">
        <v>42044.0</v>
      </c>
      <c r="B33" s="18" t="s">
        <v>81</v>
      </c>
      <c r="C33" s="18" t="s">
        <v>75</v>
      </c>
      <c r="D33" s="18" t="s">
        <v>82</v>
      </c>
      <c r="E33" s="18" t="s">
        <v>77</v>
      </c>
      <c r="F33" s="16">
        <v>30.05292</v>
      </c>
      <c r="G33" s="16">
        <v>-85.60097</v>
      </c>
      <c r="H33" s="16">
        <v>30.00587</v>
      </c>
      <c r="I33" s="17">
        <v>-85.53516</v>
      </c>
      <c r="J33" s="15" t="s">
        <v>83</v>
      </c>
      <c r="K33" s="15" t="s">
        <v>84</v>
      </c>
      <c r="L33" s="15">
        <v>3.0</v>
      </c>
      <c r="M33" s="17">
        <v>30.04011</v>
      </c>
      <c r="N33" s="17">
        <v>-85.58418</v>
      </c>
      <c r="O33" s="15" t="s">
        <v>677</v>
      </c>
      <c r="P33" s="15" t="s">
        <v>680</v>
      </c>
    </row>
    <row r="34" ht="33.75" customHeight="1">
      <c r="A34" s="24">
        <v>42044.0</v>
      </c>
      <c r="B34" s="18" t="s">
        <v>81</v>
      </c>
      <c r="C34" s="18" t="s">
        <v>75</v>
      </c>
      <c r="D34" s="18" t="s">
        <v>82</v>
      </c>
      <c r="E34" s="18" t="s">
        <v>77</v>
      </c>
      <c r="F34" s="16">
        <v>30.05292</v>
      </c>
      <c r="G34" s="16">
        <v>-85.60097</v>
      </c>
      <c r="H34" s="16">
        <v>30.00587</v>
      </c>
      <c r="I34" s="17">
        <v>-85.53516</v>
      </c>
      <c r="J34" s="15" t="s">
        <v>83</v>
      </c>
      <c r="K34" s="15" t="s">
        <v>84</v>
      </c>
      <c r="L34" s="15">
        <v>4.0</v>
      </c>
      <c r="M34" s="17">
        <v>30.0324</v>
      </c>
      <c r="N34" s="17">
        <v>-85.57581</v>
      </c>
      <c r="O34" s="15" t="s">
        <v>689</v>
      </c>
      <c r="P34" s="15" t="s">
        <v>691</v>
      </c>
    </row>
    <row r="35" ht="33.75" customHeight="1">
      <c r="A35" s="24">
        <v>42044.0</v>
      </c>
      <c r="B35" s="18" t="s">
        <v>81</v>
      </c>
      <c r="C35" s="18" t="s">
        <v>75</v>
      </c>
      <c r="D35" s="18" t="s">
        <v>82</v>
      </c>
      <c r="E35" s="18" t="s">
        <v>77</v>
      </c>
      <c r="F35" s="16">
        <v>30.05292</v>
      </c>
      <c r="G35" s="16">
        <v>-85.60097</v>
      </c>
      <c r="H35" s="16">
        <v>30.00587</v>
      </c>
      <c r="I35" s="17">
        <v>-85.53516</v>
      </c>
      <c r="J35" s="15" t="s">
        <v>83</v>
      </c>
      <c r="K35" s="15" t="s">
        <v>84</v>
      </c>
      <c r="L35" s="15">
        <v>5.0</v>
      </c>
      <c r="M35" s="17">
        <v>30.02511</v>
      </c>
      <c r="N35" s="17">
        <v>-85.56778</v>
      </c>
      <c r="O35" s="15" t="s">
        <v>693</v>
      </c>
      <c r="P35" s="15" t="s">
        <v>694</v>
      </c>
    </row>
    <row r="36" ht="33.75" customHeight="1">
      <c r="A36" s="24">
        <v>42044.0</v>
      </c>
      <c r="B36" s="18" t="s">
        <v>81</v>
      </c>
      <c r="C36" s="18" t="s">
        <v>75</v>
      </c>
      <c r="D36" s="18" t="s">
        <v>82</v>
      </c>
      <c r="E36" s="18" t="s">
        <v>77</v>
      </c>
      <c r="F36" s="16">
        <v>30.05292</v>
      </c>
      <c r="G36" s="16">
        <v>-85.60097</v>
      </c>
      <c r="H36" s="16">
        <v>30.00587</v>
      </c>
      <c r="I36" s="17">
        <v>-85.53516</v>
      </c>
      <c r="J36" s="15" t="s">
        <v>83</v>
      </c>
      <c r="K36" s="15" t="s">
        <v>84</v>
      </c>
      <c r="L36" s="15">
        <v>6.0</v>
      </c>
      <c r="M36" s="17">
        <v>30.06726</v>
      </c>
      <c r="N36" s="17">
        <v>-85.54731</v>
      </c>
      <c r="O36" s="15" t="s">
        <v>696</v>
      </c>
      <c r="P36" s="15" t="s">
        <v>697</v>
      </c>
    </row>
    <row r="37" ht="33.75" customHeight="1">
      <c r="A37" s="24">
        <v>42044.0</v>
      </c>
      <c r="B37" s="18" t="s">
        <v>81</v>
      </c>
      <c r="C37" s="18" t="s">
        <v>75</v>
      </c>
      <c r="D37" s="18" t="s">
        <v>82</v>
      </c>
      <c r="E37" s="18" t="s">
        <v>77</v>
      </c>
      <c r="F37" s="16">
        <v>30.05292</v>
      </c>
      <c r="G37" s="16">
        <v>-85.60097</v>
      </c>
      <c r="H37" s="16">
        <v>30.00587</v>
      </c>
      <c r="I37" s="17">
        <v>-85.53516</v>
      </c>
      <c r="J37" s="15" t="s">
        <v>83</v>
      </c>
      <c r="K37" s="15" t="s">
        <v>84</v>
      </c>
      <c r="L37" s="15">
        <v>7.0</v>
      </c>
      <c r="M37" s="17">
        <v>30.00487</v>
      </c>
      <c r="N37" s="17">
        <v>-85.54359</v>
      </c>
      <c r="O37" s="15" t="s">
        <v>707</v>
      </c>
      <c r="P37" s="15" t="s">
        <v>708</v>
      </c>
    </row>
    <row r="38" ht="33.75" customHeight="1">
      <c r="A38" s="24">
        <v>42044.0</v>
      </c>
      <c r="B38" s="18" t="s">
        <v>81</v>
      </c>
      <c r="C38" s="18" t="s">
        <v>75</v>
      </c>
      <c r="D38" s="18" t="s">
        <v>82</v>
      </c>
      <c r="E38" s="18" t="s">
        <v>77</v>
      </c>
      <c r="F38" s="16">
        <v>30.05292</v>
      </c>
      <c r="G38" s="16">
        <v>-85.60097</v>
      </c>
      <c r="H38" s="16">
        <v>30.00587</v>
      </c>
      <c r="I38" s="17">
        <v>-85.53516</v>
      </c>
      <c r="J38" s="15" t="s">
        <v>83</v>
      </c>
      <c r="K38" s="15" t="s">
        <v>84</v>
      </c>
      <c r="L38" s="15">
        <v>8.0</v>
      </c>
      <c r="M38" s="17">
        <v>30.00455</v>
      </c>
      <c r="N38" s="17">
        <v>-85.54229</v>
      </c>
      <c r="O38" s="15" t="s">
        <v>709</v>
      </c>
      <c r="P38" s="15" t="s">
        <v>710</v>
      </c>
    </row>
    <row r="39" ht="33.75" customHeight="1">
      <c r="A39" s="24">
        <v>42044.0</v>
      </c>
      <c r="B39" s="18" t="s">
        <v>81</v>
      </c>
      <c r="C39" s="18" t="s">
        <v>75</v>
      </c>
      <c r="D39" s="18" t="s">
        <v>82</v>
      </c>
      <c r="E39" s="18" t="s">
        <v>77</v>
      </c>
      <c r="F39" s="16">
        <v>30.05292</v>
      </c>
      <c r="G39" s="16">
        <v>-85.60097</v>
      </c>
      <c r="H39" s="16">
        <v>30.00587</v>
      </c>
      <c r="I39" s="17">
        <v>-85.53516</v>
      </c>
      <c r="J39" s="15" t="s">
        <v>83</v>
      </c>
      <c r="K39" s="15" t="s">
        <v>84</v>
      </c>
      <c r="L39" s="15">
        <v>9.0</v>
      </c>
      <c r="M39" s="17">
        <v>30.00383</v>
      </c>
      <c r="N39" s="17">
        <v>-85.53714</v>
      </c>
      <c r="O39" s="15" t="s">
        <v>715</v>
      </c>
      <c r="P39" s="15" t="s">
        <v>717</v>
      </c>
    </row>
    <row r="40" ht="33.75" customHeight="1">
      <c r="A40" s="24">
        <v>42044.0</v>
      </c>
      <c r="B40" s="18" t="s">
        <v>81</v>
      </c>
      <c r="C40" s="18" t="s">
        <v>75</v>
      </c>
      <c r="D40" s="18" t="s">
        <v>82</v>
      </c>
      <c r="E40" s="18" t="s">
        <v>77</v>
      </c>
      <c r="F40" s="16">
        <v>30.05292</v>
      </c>
      <c r="G40" s="16">
        <v>-85.60097</v>
      </c>
      <c r="H40" s="16">
        <v>30.00587</v>
      </c>
      <c r="I40" s="17">
        <v>-85.53516</v>
      </c>
      <c r="J40" s="15" t="s">
        <v>83</v>
      </c>
      <c r="K40" s="15" t="s">
        <v>84</v>
      </c>
      <c r="L40" s="15">
        <v>10.0</v>
      </c>
      <c r="M40" s="17">
        <v>30.00556</v>
      </c>
      <c r="N40" s="17">
        <v>-85.53834</v>
      </c>
      <c r="O40" s="15" t="s">
        <v>720</v>
      </c>
      <c r="P40" s="15" t="s">
        <v>721</v>
      </c>
    </row>
    <row r="41" ht="33.75" customHeight="1">
      <c r="A41" s="26">
        <v>42046.0</v>
      </c>
      <c r="B41" s="18" t="s">
        <v>198</v>
      </c>
      <c r="C41" s="15" t="s">
        <v>199</v>
      </c>
      <c r="D41" s="15" t="s">
        <v>200</v>
      </c>
      <c r="E41" s="18" t="s">
        <v>77</v>
      </c>
      <c r="F41" s="18">
        <v>30.08868</v>
      </c>
      <c r="G41" s="18">
        <v>-85.67838</v>
      </c>
      <c r="H41" s="18">
        <v>30.11856</v>
      </c>
      <c r="I41" s="16">
        <v>-85.72963</v>
      </c>
      <c r="J41" s="18" t="s">
        <v>204</v>
      </c>
      <c r="K41" s="15" t="s">
        <v>206</v>
      </c>
      <c r="L41" s="15">
        <v>1.0</v>
      </c>
      <c r="M41" s="17">
        <v>30.08856</v>
      </c>
      <c r="N41" s="17">
        <v>-85.6772</v>
      </c>
      <c r="O41" s="15" t="s">
        <v>722</v>
      </c>
      <c r="P41" s="15" t="s">
        <v>723</v>
      </c>
    </row>
    <row r="42" ht="33.75" customHeight="1">
      <c r="A42" s="26">
        <v>42046.0</v>
      </c>
      <c r="B42" s="18" t="s">
        <v>198</v>
      </c>
      <c r="C42" s="15" t="s">
        <v>199</v>
      </c>
      <c r="D42" s="15" t="s">
        <v>200</v>
      </c>
      <c r="E42" s="18" t="s">
        <v>77</v>
      </c>
      <c r="F42" s="18">
        <v>30.08868</v>
      </c>
      <c r="G42" s="18">
        <v>-85.67838</v>
      </c>
      <c r="H42" s="18">
        <v>30.11856</v>
      </c>
      <c r="I42" s="16">
        <v>-85.72963</v>
      </c>
      <c r="J42" s="18" t="s">
        <v>204</v>
      </c>
      <c r="K42" s="15" t="s">
        <v>206</v>
      </c>
      <c r="L42" s="15">
        <v>2.0</v>
      </c>
      <c r="M42" s="17">
        <v>30.09595</v>
      </c>
      <c r="N42" s="17">
        <v>-85.69391</v>
      </c>
      <c r="O42" s="15" t="s">
        <v>575</v>
      </c>
      <c r="P42" s="15" t="s">
        <v>568</v>
      </c>
    </row>
    <row r="43" ht="33.75" customHeight="1">
      <c r="A43" s="26">
        <v>42046.0</v>
      </c>
      <c r="B43" s="18" t="s">
        <v>198</v>
      </c>
      <c r="C43" s="15" t="s">
        <v>199</v>
      </c>
      <c r="D43" s="15" t="s">
        <v>200</v>
      </c>
      <c r="E43" s="18" t="s">
        <v>77</v>
      </c>
      <c r="F43" s="18">
        <v>30.08868</v>
      </c>
      <c r="G43" s="18">
        <v>-85.67838</v>
      </c>
      <c r="H43" s="18">
        <v>30.11856</v>
      </c>
      <c r="I43" s="16">
        <v>-85.72963</v>
      </c>
      <c r="J43" s="18" t="s">
        <v>204</v>
      </c>
      <c r="K43" s="15" t="s">
        <v>206</v>
      </c>
      <c r="L43" s="15">
        <v>3.0</v>
      </c>
      <c r="M43" s="17">
        <v>30.10231</v>
      </c>
      <c r="N43" s="17">
        <v>-85.70497</v>
      </c>
      <c r="O43" s="15" t="s">
        <v>728</v>
      </c>
      <c r="P43" s="15" t="s">
        <v>730</v>
      </c>
    </row>
    <row r="44" ht="33.75" customHeight="1">
      <c r="A44" s="24">
        <v>42045.0</v>
      </c>
      <c r="B44" s="18" t="s">
        <v>157</v>
      </c>
      <c r="C44" s="18" t="s">
        <v>731</v>
      </c>
      <c r="D44" s="18" t="s">
        <v>732</v>
      </c>
      <c r="E44" s="18" t="s">
        <v>77</v>
      </c>
      <c r="F44" s="16" t="s">
        <v>161</v>
      </c>
      <c r="G44" s="16" t="s">
        <v>163</v>
      </c>
      <c r="H44" s="16" t="s">
        <v>733</v>
      </c>
      <c r="I44" s="17" t="s">
        <v>166</v>
      </c>
      <c r="J44" s="15" t="s">
        <v>734</v>
      </c>
      <c r="K44" s="15" t="s">
        <v>735</v>
      </c>
      <c r="L44" s="15">
        <v>1.0</v>
      </c>
      <c r="M44" s="17" t="s">
        <v>736</v>
      </c>
      <c r="N44" s="17" t="s">
        <v>737</v>
      </c>
      <c r="O44" s="15" t="s">
        <v>738</v>
      </c>
    </row>
    <row r="45" ht="33.75" customHeight="1">
      <c r="A45" s="24">
        <v>42045.0</v>
      </c>
      <c r="B45" s="18" t="s">
        <v>157</v>
      </c>
      <c r="C45" s="18" t="s">
        <v>731</v>
      </c>
      <c r="D45" s="18" t="s">
        <v>732</v>
      </c>
      <c r="E45" s="18" t="s">
        <v>77</v>
      </c>
      <c r="F45" s="16" t="s">
        <v>161</v>
      </c>
      <c r="G45" s="16" t="s">
        <v>163</v>
      </c>
      <c r="H45" s="16" t="s">
        <v>733</v>
      </c>
      <c r="I45" s="17" t="s">
        <v>166</v>
      </c>
      <c r="J45" s="15" t="s">
        <v>167</v>
      </c>
      <c r="K45" s="15" t="s">
        <v>739</v>
      </c>
      <c r="L45" s="15">
        <v>2.0</v>
      </c>
      <c r="M45" s="17" t="s">
        <v>740</v>
      </c>
      <c r="N45" s="17" t="s">
        <v>741</v>
      </c>
      <c r="O45" s="15" t="s">
        <v>742</v>
      </c>
      <c r="P45" s="15" t="s">
        <v>743</v>
      </c>
    </row>
    <row r="46" ht="33.75" customHeight="1">
      <c r="A46" s="24">
        <v>42045.0</v>
      </c>
      <c r="B46" s="18" t="s">
        <v>157</v>
      </c>
      <c r="C46" s="18" t="s">
        <v>731</v>
      </c>
      <c r="D46" s="18" t="s">
        <v>732</v>
      </c>
      <c r="E46" s="18" t="s">
        <v>77</v>
      </c>
      <c r="F46" s="16" t="s">
        <v>161</v>
      </c>
      <c r="G46" s="16" t="s">
        <v>163</v>
      </c>
      <c r="H46" s="16" t="s">
        <v>733</v>
      </c>
      <c r="I46" s="15" t="s">
        <v>166</v>
      </c>
      <c r="J46" s="15" t="s">
        <v>167</v>
      </c>
      <c r="K46" s="15" t="s">
        <v>745</v>
      </c>
      <c r="L46" s="15">
        <v>3.0</v>
      </c>
      <c r="M46" s="17" t="s">
        <v>736</v>
      </c>
      <c r="N46" s="17" t="s">
        <v>746</v>
      </c>
      <c r="O46" s="15" t="s">
        <v>747</v>
      </c>
      <c r="P46" s="15" t="s">
        <v>749</v>
      </c>
    </row>
    <row r="47" ht="33.75" customHeight="1">
      <c r="A47" s="24">
        <v>42045.0</v>
      </c>
      <c r="B47" s="18" t="s">
        <v>157</v>
      </c>
      <c r="C47" s="18" t="s">
        <v>731</v>
      </c>
      <c r="D47" s="18" t="s">
        <v>732</v>
      </c>
      <c r="E47" s="18" t="s">
        <v>77</v>
      </c>
      <c r="F47" s="16" t="s">
        <v>161</v>
      </c>
      <c r="G47" s="16" t="s">
        <v>163</v>
      </c>
      <c r="H47" s="16" t="s">
        <v>733</v>
      </c>
      <c r="I47" s="17" t="s">
        <v>166</v>
      </c>
      <c r="J47" s="15" t="s">
        <v>167</v>
      </c>
      <c r="K47" s="15" t="s">
        <v>751</v>
      </c>
      <c r="L47" s="15">
        <v>4.0</v>
      </c>
      <c r="M47" s="17" t="s">
        <v>752</v>
      </c>
      <c r="N47" s="17" t="s">
        <v>753</v>
      </c>
      <c r="O47" s="15" t="s">
        <v>754</v>
      </c>
      <c r="P47" s="15" t="s">
        <v>755</v>
      </c>
    </row>
    <row r="48" ht="33.75" customHeight="1">
      <c r="A48" s="24">
        <v>42045.0</v>
      </c>
      <c r="B48" s="18" t="s">
        <v>157</v>
      </c>
      <c r="C48" s="18" t="s">
        <v>731</v>
      </c>
      <c r="D48" s="18" t="s">
        <v>756</v>
      </c>
      <c r="E48" s="18" t="s">
        <v>77</v>
      </c>
      <c r="F48" s="16" t="s">
        <v>757</v>
      </c>
      <c r="G48" s="16" t="s">
        <v>758</v>
      </c>
      <c r="H48" s="16" t="s">
        <v>759</v>
      </c>
      <c r="I48" s="17" t="s">
        <v>760</v>
      </c>
      <c r="J48" s="15" t="s">
        <v>761</v>
      </c>
      <c r="K48" s="15" t="s">
        <v>762</v>
      </c>
      <c r="L48" s="15">
        <v>1.0</v>
      </c>
      <c r="M48" s="17" t="s">
        <v>763</v>
      </c>
      <c r="N48" s="17" t="s">
        <v>764</v>
      </c>
      <c r="O48" s="15" t="s">
        <v>765</v>
      </c>
      <c r="P48" s="15" t="s">
        <v>766</v>
      </c>
    </row>
    <row r="49" ht="33.75" customHeight="1">
      <c r="A49" s="24">
        <v>42041.0</v>
      </c>
      <c r="B49" s="18" t="s">
        <v>767</v>
      </c>
      <c r="C49" s="18" t="s">
        <v>768</v>
      </c>
      <c r="D49" s="18" t="s">
        <v>770</v>
      </c>
      <c r="E49" s="18" t="s">
        <v>77</v>
      </c>
      <c r="F49" s="16">
        <v>30.02046</v>
      </c>
      <c r="G49" s="16">
        <v>30.02046</v>
      </c>
      <c r="H49" s="16">
        <v>30.02046</v>
      </c>
      <c r="I49" s="16">
        <v>30.02046</v>
      </c>
      <c r="J49" s="15" t="s">
        <v>772</v>
      </c>
      <c r="K49" s="15" t="s">
        <v>773</v>
      </c>
      <c r="L49" s="15">
        <v>1.0</v>
      </c>
      <c r="M49" s="17">
        <v>29.99042</v>
      </c>
      <c r="N49" s="17">
        <v>-85.50476</v>
      </c>
      <c r="O49" s="15" t="s">
        <v>776</v>
      </c>
      <c r="P49" s="15" t="s">
        <v>777</v>
      </c>
    </row>
    <row r="50" ht="33.75" customHeight="1">
      <c r="A50" s="24">
        <v>42045.0</v>
      </c>
      <c r="B50" s="18" t="s">
        <v>157</v>
      </c>
      <c r="C50" s="18" t="s">
        <v>731</v>
      </c>
      <c r="D50" s="18" t="s">
        <v>756</v>
      </c>
      <c r="E50" s="18" t="s">
        <v>77</v>
      </c>
      <c r="F50" s="16" t="s">
        <v>757</v>
      </c>
      <c r="G50" s="16" t="s">
        <v>758</v>
      </c>
      <c r="H50" s="16" t="s">
        <v>759</v>
      </c>
      <c r="I50" s="17" t="s">
        <v>760</v>
      </c>
      <c r="J50" s="15" t="s">
        <v>761</v>
      </c>
      <c r="K50" s="15" t="s">
        <v>778</v>
      </c>
      <c r="L50" s="15">
        <v>2.0</v>
      </c>
      <c r="M50" s="17" t="s">
        <v>779</v>
      </c>
      <c r="N50" s="17" t="s">
        <v>780</v>
      </c>
      <c r="O50" s="15" t="s">
        <v>781</v>
      </c>
      <c r="P50" s="15" t="s">
        <v>782</v>
      </c>
    </row>
    <row r="51" ht="33.75" customHeight="1">
      <c r="A51" s="14">
        <v>42045.0</v>
      </c>
      <c r="B51" s="15" t="s">
        <v>157</v>
      </c>
      <c r="C51" s="15" t="s">
        <v>158</v>
      </c>
      <c r="D51" s="18" t="s">
        <v>175</v>
      </c>
      <c r="E51" s="18" t="s">
        <v>77</v>
      </c>
      <c r="F51" s="16">
        <v>29.9506</v>
      </c>
      <c r="G51" s="16">
        <v>-85.4301</v>
      </c>
      <c r="H51" s="16">
        <v>29.925</v>
      </c>
      <c r="I51" s="17">
        <v>-85.3894</v>
      </c>
      <c r="J51" s="15" t="s">
        <v>176</v>
      </c>
      <c r="K51" s="15" t="s">
        <v>178</v>
      </c>
      <c r="L51" s="15">
        <v>1.0</v>
      </c>
      <c r="M51" s="17">
        <v>29.9498</v>
      </c>
      <c r="N51" s="17">
        <v>-85.4277</v>
      </c>
      <c r="O51" s="15" t="s">
        <v>783</v>
      </c>
    </row>
    <row r="52" ht="33.75" customHeight="1">
      <c r="A52" s="14">
        <v>42045.0</v>
      </c>
      <c r="B52" s="15" t="s">
        <v>157</v>
      </c>
      <c r="C52" s="15" t="s">
        <v>158</v>
      </c>
      <c r="D52" s="18" t="s">
        <v>175</v>
      </c>
      <c r="E52" s="18" t="s">
        <v>77</v>
      </c>
      <c r="F52" s="16">
        <v>29.9506</v>
      </c>
      <c r="G52" s="16">
        <v>-85.4301</v>
      </c>
      <c r="H52" s="16">
        <v>29.925</v>
      </c>
      <c r="I52" s="17">
        <v>-85.3894</v>
      </c>
      <c r="J52" s="15" t="s">
        <v>176</v>
      </c>
      <c r="K52" s="15" t="s">
        <v>178</v>
      </c>
      <c r="L52" s="15">
        <v>2.0</v>
      </c>
      <c r="M52" s="17">
        <v>29.9414</v>
      </c>
      <c r="N52" s="17">
        <v>-85.4096</v>
      </c>
      <c r="O52" s="15" t="s">
        <v>790</v>
      </c>
    </row>
    <row r="53" ht="33.75" customHeight="1">
      <c r="A53" s="24">
        <v>42045.0</v>
      </c>
      <c r="B53" s="18" t="s">
        <v>214</v>
      </c>
      <c r="C53" s="18" t="s">
        <v>791</v>
      </c>
      <c r="D53" s="15" t="s">
        <v>217</v>
      </c>
      <c r="E53" s="15" t="s">
        <v>219</v>
      </c>
      <c r="F53" s="15" t="s">
        <v>221</v>
      </c>
      <c r="G53" s="15" t="s">
        <v>222</v>
      </c>
      <c r="H53" s="15" t="s">
        <v>223</v>
      </c>
      <c r="I53" s="15" t="s">
        <v>224</v>
      </c>
      <c r="J53" s="15" t="s">
        <v>793</v>
      </c>
      <c r="K53" s="15" t="s">
        <v>228</v>
      </c>
      <c r="L53" s="15">
        <v>1.0</v>
      </c>
      <c r="M53" s="17" t="s">
        <v>794</v>
      </c>
      <c r="N53" s="17" t="s">
        <v>795</v>
      </c>
      <c r="O53" s="15" t="s">
        <v>796</v>
      </c>
      <c r="P53" s="15" t="s">
        <v>797</v>
      </c>
    </row>
    <row r="54" ht="33.75" customHeight="1">
      <c r="A54" s="24">
        <v>42045.0</v>
      </c>
      <c r="B54" s="18" t="s">
        <v>214</v>
      </c>
      <c r="C54" s="18" t="s">
        <v>791</v>
      </c>
      <c r="D54" s="18" t="s">
        <v>798</v>
      </c>
      <c r="E54" s="18" t="s">
        <v>219</v>
      </c>
      <c r="F54" s="16" t="s">
        <v>221</v>
      </c>
      <c r="G54" s="16" t="s">
        <v>222</v>
      </c>
      <c r="H54" s="16" t="s">
        <v>800</v>
      </c>
      <c r="I54" s="17" t="s">
        <v>224</v>
      </c>
      <c r="J54" s="15" t="s">
        <v>793</v>
      </c>
      <c r="K54" s="15" t="s">
        <v>228</v>
      </c>
      <c r="L54" s="15">
        <v>2.0</v>
      </c>
      <c r="M54" s="17" t="s">
        <v>801</v>
      </c>
      <c r="N54" s="17" t="s">
        <v>802</v>
      </c>
      <c r="O54" s="15" t="s">
        <v>803</v>
      </c>
      <c r="P54" s="15" t="s">
        <v>804</v>
      </c>
    </row>
    <row r="55" ht="33.75" customHeight="1">
      <c r="A55" s="24">
        <v>42045.0</v>
      </c>
      <c r="B55" s="18" t="s">
        <v>261</v>
      </c>
      <c r="C55" s="18" t="s">
        <v>262</v>
      </c>
      <c r="D55" s="18" t="s">
        <v>264</v>
      </c>
      <c r="E55" s="18" t="s">
        <v>219</v>
      </c>
      <c r="F55" s="16">
        <v>28.56851</v>
      </c>
      <c r="G55" s="16">
        <v>-80.56951</v>
      </c>
      <c r="H55" s="16">
        <v>28.41096</v>
      </c>
      <c r="I55" s="17">
        <v>-80.58381</v>
      </c>
      <c r="J55" s="15" t="s">
        <v>809</v>
      </c>
      <c r="K55" s="15" t="s">
        <v>266</v>
      </c>
      <c r="L55" s="15">
        <v>1.0</v>
      </c>
      <c r="M55" s="17">
        <v>28.56773</v>
      </c>
      <c r="N55" s="17">
        <v>-80.56944</v>
      </c>
      <c r="O55" s="15" t="s">
        <v>810</v>
      </c>
      <c r="P55" s="15" t="s">
        <v>811</v>
      </c>
    </row>
    <row r="56" ht="33.75" customHeight="1">
      <c r="A56" s="24">
        <v>42045.0</v>
      </c>
      <c r="B56" s="18" t="s">
        <v>261</v>
      </c>
      <c r="C56" s="18" t="s">
        <v>812</v>
      </c>
      <c r="D56" s="18" t="s">
        <v>264</v>
      </c>
      <c r="E56" s="18" t="s">
        <v>219</v>
      </c>
      <c r="F56" s="16">
        <v>28.56851</v>
      </c>
      <c r="G56" s="16">
        <v>-80.56951</v>
      </c>
      <c r="H56" s="16">
        <v>28.41096</v>
      </c>
      <c r="I56" s="17">
        <v>-80.58381</v>
      </c>
      <c r="J56" s="15" t="s">
        <v>809</v>
      </c>
      <c r="K56" s="15" t="s">
        <v>266</v>
      </c>
      <c r="L56" s="15">
        <v>2.0</v>
      </c>
      <c r="M56" s="17">
        <v>28.564</v>
      </c>
      <c r="N56" s="17">
        <v>-80.56857</v>
      </c>
      <c r="O56" s="15" t="s">
        <v>813</v>
      </c>
      <c r="P56" s="15" t="s">
        <v>811</v>
      </c>
    </row>
    <row r="57" ht="33.75" customHeight="1">
      <c r="A57" s="24">
        <v>42045.0</v>
      </c>
      <c r="B57" s="18" t="s">
        <v>261</v>
      </c>
      <c r="C57" s="18" t="s">
        <v>262</v>
      </c>
      <c r="D57" s="18" t="s">
        <v>264</v>
      </c>
      <c r="E57" s="18" t="s">
        <v>219</v>
      </c>
      <c r="F57" s="16">
        <v>28.56851</v>
      </c>
      <c r="G57" s="16">
        <v>-80.56951</v>
      </c>
      <c r="H57" s="16">
        <v>28.41096</v>
      </c>
      <c r="I57" s="17">
        <v>-80.58381</v>
      </c>
      <c r="J57" s="15" t="s">
        <v>809</v>
      </c>
      <c r="K57" s="15" t="s">
        <v>266</v>
      </c>
      <c r="L57" s="15">
        <v>3.0</v>
      </c>
      <c r="M57" s="17">
        <v>28.54798</v>
      </c>
      <c r="N57" s="17">
        <v>-80.56585</v>
      </c>
      <c r="O57" s="15" t="s">
        <v>815</v>
      </c>
      <c r="P57" s="15" t="s">
        <v>816</v>
      </c>
    </row>
    <row r="58" ht="33.75" customHeight="1">
      <c r="A58" s="24">
        <v>42045.0</v>
      </c>
      <c r="B58" s="18" t="s">
        <v>261</v>
      </c>
      <c r="C58" s="18" t="s">
        <v>262</v>
      </c>
      <c r="D58" s="18" t="s">
        <v>264</v>
      </c>
      <c r="E58" s="18" t="s">
        <v>219</v>
      </c>
      <c r="F58" s="16">
        <v>28.56851</v>
      </c>
      <c r="G58" s="16">
        <v>-80.56951</v>
      </c>
      <c r="H58" s="16">
        <v>28.41096</v>
      </c>
      <c r="I58" s="17">
        <v>-80.58381</v>
      </c>
      <c r="J58" s="15" t="s">
        <v>809</v>
      </c>
      <c r="K58" s="15" t="s">
        <v>266</v>
      </c>
      <c r="L58" s="15">
        <v>4.0</v>
      </c>
      <c r="M58" s="17">
        <v>28.54606</v>
      </c>
      <c r="N58" s="17">
        <v>-80.56534</v>
      </c>
      <c r="O58" s="15" t="s">
        <v>817</v>
      </c>
      <c r="P58" s="15" t="s">
        <v>816</v>
      </c>
    </row>
    <row r="59" ht="33.75" customHeight="1">
      <c r="A59" s="24">
        <v>42045.0</v>
      </c>
      <c r="B59" s="18" t="s">
        <v>261</v>
      </c>
      <c r="C59" s="18" t="s">
        <v>262</v>
      </c>
      <c r="D59" s="18" t="s">
        <v>264</v>
      </c>
      <c r="E59" s="18" t="s">
        <v>219</v>
      </c>
      <c r="F59" s="16">
        <v>28.56851</v>
      </c>
      <c r="G59" s="16">
        <v>-80.56951</v>
      </c>
      <c r="H59" s="16">
        <v>28.41096</v>
      </c>
      <c r="I59" s="17">
        <v>-80.58381</v>
      </c>
      <c r="J59" s="15" t="s">
        <v>809</v>
      </c>
      <c r="K59" s="15" t="s">
        <v>266</v>
      </c>
      <c r="L59" s="15">
        <v>5.0</v>
      </c>
      <c r="M59" s="17">
        <v>28.54444</v>
      </c>
      <c r="N59" s="17">
        <v>-80.56522</v>
      </c>
      <c r="O59" s="15" t="s">
        <v>821</v>
      </c>
      <c r="P59" s="15" t="s">
        <v>811</v>
      </c>
    </row>
    <row r="60" ht="33.75" customHeight="1">
      <c r="A60" s="24">
        <v>42045.0</v>
      </c>
      <c r="B60" s="18" t="s">
        <v>261</v>
      </c>
      <c r="C60" s="18" t="s">
        <v>262</v>
      </c>
      <c r="D60" s="18" t="s">
        <v>264</v>
      </c>
      <c r="E60" s="18" t="s">
        <v>219</v>
      </c>
      <c r="F60" s="16">
        <v>28.56851</v>
      </c>
      <c r="G60" s="16">
        <v>-80.56951</v>
      </c>
      <c r="H60" s="16">
        <v>28.41096</v>
      </c>
      <c r="I60" s="17">
        <v>-80.58381</v>
      </c>
      <c r="J60" s="15" t="s">
        <v>809</v>
      </c>
      <c r="K60" s="15" t="s">
        <v>266</v>
      </c>
      <c r="L60" s="15">
        <v>6.0</v>
      </c>
      <c r="M60" s="17">
        <v>28.49219</v>
      </c>
      <c r="N60" s="17">
        <v>-80.543</v>
      </c>
      <c r="O60" s="15" t="s">
        <v>823</v>
      </c>
      <c r="P60" s="15" t="s">
        <v>824</v>
      </c>
    </row>
    <row r="61" ht="33.75" customHeight="1">
      <c r="A61" s="24">
        <v>42045.0</v>
      </c>
      <c r="B61" s="18" t="s">
        <v>261</v>
      </c>
      <c r="C61" s="18" t="s">
        <v>262</v>
      </c>
      <c r="D61" s="18" t="s">
        <v>264</v>
      </c>
      <c r="E61" s="18" t="s">
        <v>219</v>
      </c>
      <c r="F61" s="16">
        <v>28.56851</v>
      </c>
      <c r="G61" s="16">
        <v>-80.56951</v>
      </c>
      <c r="H61" s="16">
        <v>28.41096</v>
      </c>
      <c r="I61" s="17">
        <v>-80.58381</v>
      </c>
      <c r="J61" s="15" t="s">
        <v>809</v>
      </c>
      <c r="K61" s="15" t="s">
        <v>266</v>
      </c>
      <c r="L61" s="15">
        <v>7.0</v>
      </c>
      <c r="M61" s="17">
        <v>28.4671</v>
      </c>
      <c r="N61" s="17">
        <v>-80.53003</v>
      </c>
      <c r="O61" s="15" t="s">
        <v>828</v>
      </c>
      <c r="P61" s="15" t="s">
        <v>811</v>
      </c>
    </row>
    <row r="62" ht="33.75" customHeight="1">
      <c r="A62" s="24">
        <v>42045.0</v>
      </c>
      <c r="B62" s="18" t="s">
        <v>261</v>
      </c>
      <c r="C62" s="18" t="s">
        <v>262</v>
      </c>
      <c r="D62" s="18" t="s">
        <v>264</v>
      </c>
      <c r="E62" s="18" t="s">
        <v>219</v>
      </c>
      <c r="F62" s="16">
        <v>28.56851</v>
      </c>
      <c r="G62" s="16">
        <v>-80.56951</v>
      </c>
      <c r="H62" s="16">
        <v>28.41096</v>
      </c>
      <c r="I62" s="17">
        <v>-80.58381</v>
      </c>
      <c r="J62" s="15" t="s">
        <v>809</v>
      </c>
      <c r="K62" s="15" t="s">
        <v>266</v>
      </c>
      <c r="L62" s="15">
        <v>8.0</v>
      </c>
      <c r="M62" s="17">
        <v>28.44574</v>
      </c>
      <c r="N62" s="17">
        <v>-80.53934</v>
      </c>
      <c r="O62" s="15" t="s">
        <v>829</v>
      </c>
      <c r="P62" s="15" t="s">
        <v>811</v>
      </c>
    </row>
    <row r="63" ht="33.75" customHeight="1">
      <c r="A63" s="24">
        <v>42045.0</v>
      </c>
      <c r="B63" s="18" t="s">
        <v>261</v>
      </c>
      <c r="C63" s="18" t="s">
        <v>262</v>
      </c>
      <c r="D63" s="18" t="s">
        <v>264</v>
      </c>
      <c r="E63" s="18" t="s">
        <v>219</v>
      </c>
      <c r="F63" s="16">
        <v>28.56851</v>
      </c>
      <c r="G63" s="16">
        <v>-80.56951</v>
      </c>
      <c r="H63" s="16">
        <v>28.41096</v>
      </c>
      <c r="I63" s="17">
        <v>-80.58381</v>
      </c>
      <c r="J63" s="15" t="s">
        <v>809</v>
      </c>
      <c r="K63" s="15" t="s">
        <v>266</v>
      </c>
      <c r="L63" s="15">
        <v>9.0</v>
      </c>
      <c r="M63" s="17">
        <v>28.44043</v>
      </c>
      <c r="N63" s="17">
        <v>-80.55269</v>
      </c>
      <c r="O63" s="15" t="s">
        <v>830</v>
      </c>
      <c r="P63" s="15" t="s">
        <v>811</v>
      </c>
    </row>
    <row r="64" ht="33.75" customHeight="1">
      <c r="A64" s="24">
        <v>42045.0</v>
      </c>
      <c r="B64" s="18" t="s">
        <v>261</v>
      </c>
      <c r="C64" s="18" t="s">
        <v>262</v>
      </c>
      <c r="D64" s="18" t="s">
        <v>264</v>
      </c>
      <c r="E64" s="18" t="s">
        <v>219</v>
      </c>
      <c r="F64" s="16">
        <v>28.56851</v>
      </c>
      <c r="G64" s="16">
        <v>-80.56951</v>
      </c>
      <c r="H64" s="16">
        <v>28.41096</v>
      </c>
      <c r="I64" s="17">
        <v>-80.58381</v>
      </c>
      <c r="J64" s="15" t="s">
        <v>809</v>
      </c>
      <c r="K64" s="15" t="s">
        <v>266</v>
      </c>
      <c r="L64" s="15">
        <v>10.0</v>
      </c>
      <c r="M64" s="17">
        <v>28.41337</v>
      </c>
      <c r="N64" s="17">
        <v>-80.5839</v>
      </c>
      <c r="O64" s="15" t="s">
        <v>833</v>
      </c>
      <c r="P64" s="15" t="s">
        <v>811</v>
      </c>
    </row>
    <row r="65" ht="33.75" customHeight="1">
      <c r="A65" s="24">
        <v>42045.0</v>
      </c>
      <c r="B65" s="18" t="s">
        <v>282</v>
      </c>
      <c r="C65" s="18" t="s">
        <v>283</v>
      </c>
      <c r="D65" s="18" t="s">
        <v>284</v>
      </c>
      <c r="E65" s="18" t="s">
        <v>219</v>
      </c>
      <c r="F65" s="16" t="s">
        <v>285</v>
      </c>
      <c r="G65" s="16" t="s">
        <v>834</v>
      </c>
      <c r="H65" s="16" t="s">
        <v>287</v>
      </c>
      <c r="I65" s="17" t="s">
        <v>835</v>
      </c>
      <c r="J65" s="15" t="s">
        <v>836</v>
      </c>
      <c r="K65" s="15" t="s">
        <v>837</v>
      </c>
      <c r="L65" s="15">
        <v>1.0</v>
      </c>
      <c r="M65" s="17" t="s">
        <v>838</v>
      </c>
      <c r="N65" s="17" t="s">
        <v>839</v>
      </c>
      <c r="O65" s="15" t="s">
        <v>840</v>
      </c>
      <c r="P65" s="15" t="s">
        <v>841</v>
      </c>
    </row>
    <row r="66" ht="33.75" customHeight="1">
      <c r="A66" s="24">
        <v>42045.0</v>
      </c>
      <c r="B66" s="18" t="s">
        <v>299</v>
      </c>
      <c r="C66" s="18" t="s">
        <v>283</v>
      </c>
      <c r="D66" s="18" t="s">
        <v>301</v>
      </c>
      <c r="E66" s="18" t="s">
        <v>219</v>
      </c>
      <c r="F66" s="16" t="s">
        <v>842</v>
      </c>
      <c r="G66" s="16" t="s">
        <v>843</v>
      </c>
      <c r="H66" s="16" t="s">
        <v>304</v>
      </c>
      <c r="I66" s="17" t="s">
        <v>844</v>
      </c>
      <c r="J66" s="15" t="s">
        <v>836</v>
      </c>
      <c r="K66" s="15" t="s">
        <v>845</v>
      </c>
      <c r="L66" s="15">
        <v>1.0</v>
      </c>
      <c r="M66" s="17" t="s">
        <v>847</v>
      </c>
      <c r="N66" s="17" t="s">
        <v>848</v>
      </c>
      <c r="O66" s="15" t="s">
        <v>849</v>
      </c>
      <c r="P66" s="15" t="s">
        <v>841</v>
      </c>
    </row>
    <row r="67" ht="33.75" customHeight="1">
      <c r="A67" s="24">
        <v>42044.0</v>
      </c>
      <c r="B67" s="18" t="s">
        <v>327</v>
      </c>
      <c r="C67" s="18" t="s">
        <v>328</v>
      </c>
      <c r="D67" s="18" t="s">
        <v>852</v>
      </c>
      <c r="E67" s="18" t="s">
        <v>314</v>
      </c>
      <c r="F67" s="16">
        <v>26.09243</v>
      </c>
      <c r="G67" s="16">
        <v>-80.10818</v>
      </c>
      <c r="H67" s="16">
        <v>26.06372</v>
      </c>
      <c r="I67" s="17">
        <v>-80.11121</v>
      </c>
      <c r="J67" s="15" t="s">
        <v>331</v>
      </c>
      <c r="K67" s="15" t="s">
        <v>332</v>
      </c>
      <c r="L67" s="15" t="s">
        <v>853</v>
      </c>
      <c r="M67" s="32"/>
      <c r="N67" s="32"/>
    </row>
    <row r="68" ht="33.75" customHeight="1">
      <c r="A68" s="24">
        <v>42044.0</v>
      </c>
      <c r="B68" s="18" t="s">
        <v>327</v>
      </c>
      <c r="C68" s="18" t="s">
        <v>856</v>
      </c>
      <c r="D68" s="18" t="s">
        <v>857</v>
      </c>
      <c r="E68" s="18" t="s">
        <v>314</v>
      </c>
      <c r="F68" s="16">
        <v>26.09243</v>
      </c>
      <c r="G68" s="16">
        <v>-80.10818</v>
      </c>
      <c r="H68" s="16" t="s">
        <v>858</v>
      </c>
      <c r="I68" s="17">
        <v>-80.11121</v>
      </c>
      <c r="J68" s="15" t="s">
        <v>343</v>
      </c>
      <c r="K68" s="15" t="s">
        <v>859</v>
      </c>
      <c r="L68" s="15" t="s">
        <v>853</v>
      </c>
      <c r="M68" s="32"/>
      <c r="N68" s="32"/>
    </row>
    <row r="69" ht="33.75" customHeight="1">
      <c r="A69" s="24">
        <v>42045.0</v>
      </c>
      <c r="B69" s="18" t="s">
        <v>361</v>
      </c>
      <c r="C69" s="18" t="s">
        <v>363</v>
      </c>
      <c r="D69" s="18" t="s">
        <v>861</v>
      </c>
      <c r="E69" s="18" t="s">
        <v>349</v>
      </c>
      <c r="F69" s="16">
        <v>26.910958</v>
      </c>
      <c r="G69" s="16">
        <v>-82.35324</v>
      </c>
      <c r="H69" s="16">
        <v>26.94548</v>
      </c>
      <c r="I69" s="17">
        <v>-82.37426</v>
      </c>
      <c r="J69" s="15" t="s">
        <v>368</v>
      </c>
      <c r="K69" s="15" t="s">
        <v>863</v>
      </c>
      <c r="L69" s="15">
        <v>2.0</v>
      </c>
      <c r="M69" s="17">
        <v>26.92466</v>
      </c>
      <c r="N69" s="17">
        <v>-82.36178</v>
      </c>
      <c r="O69" s="15" t="s">
        <v>865</v>
      </c>
      <c r="P69" s="15" t="s">
        <v>868</v>
      </c>
    </row>
    <row r="70" ht="33.75" customHeight="1">
      <c r="A70" s="24">
        <v>42047.0</v>
      </c>
      <c r="B70" s="18" t="s">
        <v>869</v>
      </c>
      <c r="C70" s="18" t="s">
        <v>870</v>
      </c>
      <c r="D70" s="18" t="s">
        <v>871</v>
      </c>
      <c r="E70" s="18" t="s">
        <v>349</v>
      </c>
      <c r="F70" s="16">
        <v>26.887246</v>
      </c>
      <c r="G70" s="16">
        <v>-82.336879</v>
      </c>
      <c r="H70" s="16">
        <v>26.8776</v>
      </c>
      <c r="I70" s="17">
        <v>-82.326822</v>
      </c>
      <c r="J70" s="15" t="s">
        <v>872</v>
      </c>
      <c r="K70" s="15" t="s">
        <v>873</v>
      </c>
      <c r="L70" s="15">
        <v>1.0</v>
      </c>
      <c r="M70" s="17">
        <v>26.877246</v>
      </c>
      <c r="N70" s="17">
        <v>-82.336879</v>
      </c>
      <c r="O70" s="15" t="s">
        <v>875</v>
      </c>
      <c r="P70" s="15" t="s">
        <v>876</v>
      </c>
    </row>
    <row r="71" ht="33.75" customHeight="1">
      <c r="A71" s="26">
        <v>42047.0</v>
      </c>
      <c r="B71" s="18" t="s">
        <v>383</v>
      </c>
      <c r="C71" s="18" t="s">
        <v>384</v>
      </c>
      <c r="D71" s="18" t="s">
        <v>386</v>
      </c>
      <c r="E71" s="18" t="s">
        <v>349</v>
      </c>
      <c r="F71" s="22"/>
      <c r="G71" s="22"/>
      <c r="J71" s="15" t="s">
        <v>387</v>
      </c>
      <c r="K71" s="15" t="s">
        <v>388</v>
      </c>
      <c r="L71" s="15">
        <v>1.0</v>
      </c>
      <c r="O71" s="15" t="s">
        <v>884</v>
      </c>
      <c r="P71" s="17" t="s">
        <v>885</v>
      </c>
    </row>
    <row r="72" ht="33.75" customHeight="1">
      <c r="A72" s="26">
        <v>42047.0</v>
      </c>
      <c r="B72" s="18" t="s">
        <v>383</v>
      </c>
      <c r="C72" s="18" t="s">
        <v>384</v>
      </c>
      <c r="D72" s="18" t="s">
        <v>386</v>
      </c>
      <c r="E72" s="18" t="s">
        <v>349</v>
      </c>
      <c r="F72" s="22"/>
      <c r="G72" s="22"/>
      <c r="J72" s="15" t="s">
        <v>387</v>
      </c>
      <c r="K72" s="15" t="s">
        <v>388</v>
      </c>
      <c r="L72" s="15">
        <v>2.0</v>
      </c>
      <c r="O72" s="15" t="s">
        <v>886</v>
      </c>
      <c r="P72" s="32"/>
    </row>
    <row r="73" ht="33.75" customHeight="1">
      <c r="A73" s="26">
        <v>42047.0</v>
      </c>
      <c r="B73" s="18" t="s">
        <v>383</v>
      </c>
      <c r="C73" s="18" t="s">
        <v>384</v>
      </c>
      <c r="D73" s="18" t="s">
        <v>386</v>
      </c>
      <c r="E73" s="18" t="s">
        <v>349</v>
      </c>
      <c r="F73" s="22"/>
      <c r="G73" s="22"/>
      <c r="J73" s="15" t="s">
        <v>387</v>
      </c>
      <c r="K73" s="15" t="s">
        <v>388</v>
      </c>
      <c r="O73" s="15" t="s">
        <v>887</v>
      </c>
      <c r="P73" s="32"/>
    </row>
    <row r="74" ht="33.75" customHeight="1">
      <c r="A74" s="26">
        <v>42047.0</v>
      </c>
      <c r="B74" s="18" t="s">
        <v>383</v>
      </c>
      <c r="C74" s="18" t="s">
        <v>384</v>
      </c>
      <c r="D74" s="18" t="s">
        <v>386</v>
      </c>
      <c r="E74" s="18" t="s">
        <v>349</v>
      </c>
      <c r="F74" s="22"/>
      <c r="G74" s="22"/>
      <c r="J74" s="15" t="s">
        <v>387</v>
      </c>
      <c r="K74" s="15" t="s">
        <v>388</v>
      </c>
      <c r="O74" s="15" t="s">
        <v>890</v>
      </c>
      <c r="P74" s="32"/>
    </row>
    <row r="75" ht="33.75" customHeight="1">
      <c r="A75" s="26">
        <v>42047.0</v>
      </c>
      <c r="B75" s="18" t="s">
        <v>383</v>
      </c>
      <c r="C75" s="18" t="s">
        <v>384</v>
      </c>
      <c r="D75" s="18" t="s">
        <v>386</v>
      </c>
      <c r="E75" s="18" t="s">
        <v>349</v>
      </c>
      <c r="F75" s="22"/>
      <c r="G75" s="22"/>
      <c r="J75" s="15" t="s">
        <v>387</v>
      </c>
      <c r="K75" s="15" t="s">
        <v>388</v>
      </c>
      <c r="O75" s="15" t="s">
        <v>891</v>
      </c>
      <c r="P75" s="32"/>
    </row>
    <row r="76" ht="33.75" customHeight="1">
      <c r="A76" s="26">
        <v>42047.0</v>
      </c>
      <c r="B76" s="18" t="s">
        <v>383</v>
      </c>
      <c r="C76" s="18" t="s">
        <v>384</v>
      </c>
      <c r="D76" s="18" t="s">
        <v>386</v>
      </c>
      <c r="E76" s="18" t="s">
        <v>349</v>
      </c>
      <c r="F76" s="22"/>
      <c r="G76" s="22"/>
      <c r="J76" s="15" t="s">
        <v>387</v>
      </c>
      <c r="K76" s="15" t="s">
        <v>388</v>
      </c>
      <c r="O76" s="15" t="s">
        <v>892</v>
      </c>
      <c r="P76" s="32"/>
    </row>
    <row r="77" ht="33.75" customHeight="1">
      <c r="A77" s="26">
        <v>42047.0</v>
      </c>
      <c r="B77" s="18" t="s">
        <v>383</v>
      </c>
      <c r="C77" s="18" t="s">
        <v>384</v>
      </c>
      <c r="D77" s="18" t="s">
        <v>386</v>
      </c>
      <c r="E77" s="18" t="s">
        <v>349</v>
      </c>
      <c r="F77" s="22"/>
      <c r="G77" s="22"/>
      <c r="J77" s="15" t="s">
        <v>387</v>
      </c>
      <c r="K77" s="15" t="s">
        <v>388</v>
      </c>
      <c r="O77" s="15" t="s">
        <v>893</v>
      </c>
      <c r="P77" s="32"/>
    </row>
    <row r="78" ht="33.75" customHeight="1">
      <c r="A78" s="26">
        <v>42047.0</v>
      </c>
      <c r="B78" s="18" t="s">
        <v>383</v>
      </c>
      <c r="C78" s="18" t="s">
        <v>384</v>
      </c>
      <c r="D78" s="18" t="s">
        <v>386</v>
      </c>
      <c r="E78" s="18" t="s">
        <v>349</v>
      </c>
      <c r="F78" s="22"/>
      <c r="G78" s="22"/>
      <c r="J78" s="15" t="s">
        <v>387</v>
      </c>
      <c r="K78" s="15" t="s">
        <v>388</v>
      </c>
      <c r="O78" s="15" t="s">
        <v>894</v>
      </c>
      <c r="P78" s="32"/>
    </row>
    <row r="79" ht="33.75" customHeight="1">
      <c r="A79" s="26">
        <v>42047.0</v>
      </c>
      <c r="B79" s="18" t="s">
        <v>383</v>
      </c>
      <c r="C79" s="18" t="s">
        <v>384</v>
      </c>
      <c r="D79" s="18" t="s">
        <v>386</v>
      </c>
      <c r="E79" s="18" t="s">
        <v>349</v>
      </c>
      <c r="F79" s="22"/>
      <c r="G79" s="22"/>
      <c r="J79" s="15" t="s">
        <v>387</v>
      </c>
      <c r="K79" s="15" t="s">
        <v>388</v>
      </c>
      <c r="O79" s="15" t="s">
        <v>900</v>
      </c>
      <c r="P79" s="32"/>
    </row>
    <row r="80" ht="33.75" customHeight="1">
      <c r="A80" s="26">
        <v>42047.0</v>
      </c>
      <c r="B80" s="18" t="s">
        <v>383</v>
      </c>
      <c r="C80" s="18" t="s">
        <v>384</v>
      </c>
      <c r="D80" s="18" t="s">
        <v>386</v>
      </c>
      <c r="E80" s="18" t="s">
        <v>349</v>
      </c>
      <c r="F80" s="22"/>
      <c r="G80" s="22"/>
      <c r="J80" s="15" t="s">
        <v>387</v>
      </c>
      <c r="K80" s="15" t="s">
        <v>388</v>
      </c>
      <c r="O80" s="15" t="s">
        <v>901</v>
      </c>
      <c r="P80" s="32"/>
    </row>
    <row r="81" ht="33.75" customHeight="1">
      <c r="A81" s="26">
        <v>42047.0</v>
      </c>
      <c r="B81" s="18" t="s">
        <v>383</v>
      </c>
      <c r="C81" s="18" t="s">
        <v>384</v>
      </c>
      <c r="D81" s="18" t="s">
        <v>386</v>
      </c>
      <c r="E81" s="18" t="s">
        <v>349</v>
      </c>
      <c r="F81" s="22"/>
      <c r="G81" s="22"/>
      <c r="J81" s="15" t="s">
        <v>387</v>
      </c>
      <c r="K81" s="15" t="s">
        <v>388</v>
      </c>
      <c r="O81" s="15" t="s">
        <v>902</v>
      </c>
      <c r="P81" s="32"/>
    </row>
    <row r="82" ht="33.75" customHeight="1">
      <c r="A82" s="26">
        <v>42047.0</v>
      </c>
      <c r="B82" s="18" t="s">
        <v>383</v>
      </c>
      <c r="C82" s="18" t="s">
        <v>384</v>
      </c>
      <c r="D82" s="18" t="s">
        <v>386</v>
      </c>
      <c r="E82" s="18" t="s">
        <v>349</v>
      </c>
      <c r="F82" s="22"/>
      <c r="G82" s="22"/>
      <c r="J82" s="15" t="s">
        <v>387</v>
      </c>
      <c r="K82" s="15" t="s">
        <v>388</v>
      </c>
      <c r="O82" s="15" t="s">
        <v>903</v>
      </c>
      <c r="P82" s="32"/>
    </row>
    <row r="83" ht="33.75" customHeight="1">
      <c r="A83" s="26">
        <v>42047.0</v>
      </c>
      <c r="B83" s="18" t="s">
        <v>383</v>
      </c>
      <c r="C83" s="18" t="s">
        <v>384</v>
      </c>
      <c r="D83" s="18" t="s">
        <v>386</v>
      </c>
      <c r="E83" s="18" t="s">
        <v>349</v>
      </c>
      <c r="F83" s="22"/>
      <c r="G83" s="22"/>
      <c r="J83" s="15" t="s">
        <v>387</v>
      </c>
      <c r="K83" s="15" t="s">
        <v>388</v>
      </c>
      <c r="O83" s="15" t="s">
        <v>904</v>
      </c>
      <c r="P83" s="32"/>
    </row>
    <row r="84" ht="33.75" customHeight="1">
      <c r="A84" s="26">
        <v>42047.0</v>
      </c>
      <c r="B84" s="18" t="s">
        <v>383</v>
      </c>
      <c r="C84" s="18" t="s">
        <v>384</v>
      </c>
      <c r="D84" s="18" t="s">
        <v>386</v>
      </c>
      <c r="E84" s="18" t="s">
        <v>349</v>
      </c>
      <c r="F84" s="22"/>
      <c r="G84" s="22"/>
      <c r="J84" s="15" t="s">
        <v>387</v>
      </c>
      <c r="K84" s="15" t="s">
        <v>388</v>
      </c>
      <c r="O84" s="15" t="s">
        <v>908</v>
      </c>
      <c r="P84" s="32"/>
    </row>
    <row r="85" ht="33.75" customHeight="1">
      <c r="A85" s="26">
        <v>42047.0</v>
      </c>
      <c r="B85" s="18" t="s">
        <v>383</v>
      </c>
      <c r="C85" s="18" t="s">
        <v>384</v>
      </c>
      <c r="D85" s="18" t="s">
        <v>386</v>
      </c>
      <c r="E85" s="18" t="s">
        <v>349</v>
      </c>
      <c r="F85" s="22"/>
      <c r="G85" s="22"/>
      <c r="J85" s="15" t="s">
        <v>387</v>
      </c>
      <c r="K85" s="15" t="s">
        <v>388</v>
      </c>
      <c r="O85" s="15" t="s">
        <v>910</v>
      </c>
      <c r="P85" s="32"/>
    </row>
    <row r="86" ht="33.75" customHeight="1">
      <c r="A86" s="26">
        <v>42047.0</v>
      </c>
      <c r="B86" s="18" t="s">
        <v>383</v>
      </c>
      <c r="C86" s="18" t="s">
        <v>384</v>
      </c>
      <c r="D86" s="18" t="s">
        <v>386</v>
      </c>
      <c r="E86" s="18" t="s">
        <v>349</v>
      </c>
      <c r="F86" s="22"/>
      <c r="G86" s="22"/>
      <c r="J86" s="15" t="s">
        <v>387</v>
      </c>
      <c r="K86" s="15" t="s">
        <v>388</v>
      </c>
      <c r="O86" s="15" t="s">
        <v>911</v>
      </c>
      <c r="P86" s="32"/>
    </row>
    <row r="87" ht="33.75" customHeight="1">
      <c r="A87" s="26">
        <v>42047.0</v>
      </c>
      <c r="B87" s="18" t="s">
        <v>383</v>
      </c>
      <c r="C87" s="18" t="s">
        <v>384</v>
      </c>
      <c r="D87" s="18" t="s">
        <v>386</v>
      </c>
      <c r="E87" s="18" t="s">
        <v>349</v>
      </c>
      <c r="F87" s="22"/>
      <c r="G87" s="22"/>
      <c r="J87" s="15" t="s">
        <v>387</v>
      </c>
      <c r="K87" s="15" t="s">
        <v>388</v>
      </c>
      <c r="O87" s="15" t="s">
        <v>912</v>
      </c>
      <c r="P87" s="32"/>
    </row>
    <row r="88" ht="33.75" customHeight="1">
      <c r="A88" s="26">
        <v>42047.0</v>
      </c>
      <c r="B88" s="18" t="s">
        <v>383</v>
      </c>
      <c r="C88" s="18" t="s">
        <v>384</v>
      </c>
      <c r="D88" s="18" t="s">
        <v>386</v>
      </c>
      <c r="E88" s="18" t="s">
        <v>349</v>
      </c>
      <c r="F88" s="22"/>
      <c r="G88" s="22"/>
      <c r="J88" s="15" t="s">
        <v>387</v>
      </c>
      <c r="K88" s="15" t="s">
        <v>388</v>
      </c>
      <c r="O88" s="15" t="s">
        <v>913</v>
      </c>
      <c r="P88" s="32"/>
    </row>
    <row r="89" ht="33.75" customHeight="1">
      <c r="A89" s="26">
        <v>42047.0</v>
      </c>
      <c r="B89" s="18" t="s">
        <v>383</v>
      </c>
      <c r="C89" s="18" t="s">
        <v>384</v>
      </c>
      <c r="D89" s="18" t="s">
        <v>386</v>
      </c>
      <c r="E89" s="18" t="s">
        <v>349</v>
      </c>
      <c r="F89" s="22"/>
      <c r="G89" s="22"/>
      <c r="J89" s="15" t="s">
        <v>387</v>
      </c>
      <c r="K89" s="15" t="s">
        <v>388</v>
      </c>
      <c r="O89" s="15" t="s">
        <v>916</v>
      </c>
      <c r="P89" s="32"/>
    </row>
    <row r="90" ht="33.75" customHeight="1">
      <c r="A90" s="26">
        <v>42047.0</v>
      </c>
      <c r="B90" s="18" t="s">
        <v>383</v>
      </c>
      <c r="C90" s="18" t="s">
        <v>384</v>
      </c>
      <c r="D90" s="18" t="s">
        <v>386</v>
      </c>
      <c r="E90" s="18" t="s">
        <v>349</v>
      </c>
      <c r="F90" s="22"/>
      <c r="G90" s="22"/>
      <c r="J90" s="15" t="s">
        <v>387</v>
      </c>
      <c r="K90" s="15" t="s">
        <v>388</v>
      </c>
      <c r="O90" s="15" t="s">
        <v>918</v>
      </c>
      <c r="P90" s="32"/>
    </row>
    <row r="91" ht="33.75" customHeight="1">
      <c r="A91" s="26">
        <v>42047.0</v>
      </c>
      <c r="B91" s="18" t="s">
        <v>383</v>
      </c>
      <c r="C91" s="18" t="s">
        <v>384</v>
      </c>
      <c r="D91" s="18" t="s">
        <v>386</v>
      </c>
      <c r="E91" s="18" t="s">
        <v>349</v>
      </c>
      <c r="F91" s="22"/>
      <c r="G91" s="22"/>
      <c r="J91" s="15" t="s">
        <v>387</v>
      </c>
      <c r="K91" s="15" t="s">
        <v>388</v>
      </c>
      <c r="O91" s="15" t="s">
        <v>920</v>
      </c>
      <c r="P91" s="32"/>
    </row>
    <row r="92" ht="33.75" customHeight="1">
      <c r="A92" s="26">
        <v>42047.0</v>
      </c>
      <c r="B92" s="18" t="s">
        <v>383</v>
      </c>
      <c r="C92" s="18" t="s">
        <v>384</v>
      </c>
      <c r="D92" s="18" t="s">
        <v>386</v>
      </c>
      <c r="E92" s="18" t="s">
        <v>349</v>
      </c>
      <c r="F92" s="22"/>
      <c r="G92" s="22"/>
      <c r="J92" s="15" t="s">
        <v>387</v>
      </c>
      <c r="K92" s="15" t="s">
        <v>388</v>
      </c>
      <c r="O92" s="15" t="s">
        <v>925</v>
      </c>
      <c r="P92" s="32"/>
    </row>
    <row r="93" ht="33.75" customHeight="1">
      <c r="A93" s="26">
        <v>42047.0</v>
      </c>
      <c r="B93" s="18" t="s">
        <v>383</v>
      </c>
      <c r="C93" s="18" t="s">
        <v>384</v>
      </c>
      <c r="D93" s="18" t="s">
        <v>386</v>
      </c>
      <c r="E93" s="18" t="s">
        <v>349</v>
      </c>
      <c r="F93" s="22"/>
      <c r="G93" s="22"/>
      <c r="J93" s="15" t="s">
        <v>387</v>
      </c>
      <c r="K93" s="15" t="s">
        <v>388</v>
      </c>
      <c r="O93" s="15" t="s">
        <v>926</v>
      </c>
      <c r="P93" s="32"/>
    </row>
    <row r="94" ht="33.75" customHeight="1">
      <c r="A94" s="26">
        <v>42047.0</v>
      </c>
      <c r="B94" s="18" t="s">
        <v>383</v>
      </c>
      <c r="C94" s="18" t="s">
        <v>384</v>
      </c>
      <c r="D94" s="18" t="s">
        <v>386</v>
      </c>
      <c r="E94" s="18" t="s">
        <v>349</v>
      </c>
      <c r="F94" s="22"/>
      <c r="G94" s="22"/>
      <c r="J94" s="15" t="s">
        <v>387</v>
      </c>
      <c r="K94" s="15" t="s">
        <v>388</v>
      </c>
      <c r="O94" s="15" t="s">
        <v>927</v>
      </c>
      <c r="P94" s="32"/>
    </row>
    <row r="95" ht="33.75" customHeight="1">
      <c r="A95" s="26">
        <v>42047.0</v>
      </c>
      <c r="B95" s="18" t="s">
        <v>383</v>
      </c>
      <c r="C95" s="18" t="s">
        <v>384</v>
      </c>
      <c r="D95" s="18" t="s">
        <v>386</v>
      </c>
      <c r="E95" s="18" t="s">
        <v>349</v>
      </c>
      <c r="F95" s="22"/>
      <c r="G95" s="22"/>
      <c r="J95" s="15" t="s">
        <v>387</v>
      </c>
      <c r="K95" s="15" t="s">
        <v>388</v>
      </c>
      <c r="O95" s="15" t="s">
        <v>928</v>
      </c>
      <c r="P95" s="32"/>
    </row>
    <row r="96" ht="33.75" customHeight="1">
      <c r="A96" s="24">
        <v>42042.0</v>
      </c>
      <c r="B96" s="18" t="s">
        <v>255</v>
      </c>
      <c r="C96" s="18" t="s">
        <v>256</v>
      </c>
      <c r="D96" s="18" t="s">
        <v>416</v>
      </c>
      <c r="E96" s="18" t="s">
        <v>258</v>
      </c>
      <c r="F96" s="16">
        <v>25.989172</v>
      </c>
      <c r="G96" s="16">
        <v>-81.749735</v>
      </c>
      <c r="H96" s="16">
        <v>26.091758</v>
      </c>
      <c r="I96" s="17">
        <v>-81.80192</v>
      </c>
      <c r="J96" s="15" t="s">
        <v>418</v>
      </c>
      <c r="K96" s="15" t="s">
        <v>419</v>
      </c>
      <c r="L96" s="15">
        <v>1.0</v>
      </c>
      <c r="M96" s="17">
        <v>25.990017</v>
      </c>
      <c r="N96" s="17">
        <v>-81.751129</v>
      </c>
      <c r="O96" s="15" t="s">
        <v>931</v>
      </c>
    </row>
    <row r="97" ht="33.75" customHeight="1">
      <c r="A97" s="24">
        <v>42042.0</v>
      </c>
      <c r="B97" s="18" t="s">
        <v>255</v>
      </c>
      <c r="C97" s="18" t="s">
        <v>256</v>
      </c>
      <c r="D97" s="18" t="s">
        <v>416</v>
      </c>
      <c r="E97" s="18" t="s">
        <v>258</v>
      </c>
      <c r="F97" s="16">
        <v>25.989172</v>
      </c>
      <c r="G97" s="16">
        <v>-81.749735</v>
      </c>
      <c r="H97" s="16">
        <v>26.091758</v>
      </c>
      <c r="I97" s="17">
        <v>-81.80192</v>
      </c>
      <c r="J97" s="15" t="s">
        <v>418</v>
      </c>
      <c r="K97" s="15" t="s">
        <v>419</v>
      </c>
      <c r="L97" s="15">
        <v>2.0</v>
      </c>
      <c r="M97" s="17">
        <v>26.091746</v>
      </c>
      <c r="N97" s="17">
        <v>-81.802515</v>
      </c>
      <c r="O97" s="15" t="s">
        <v>932</v>
      </c>
      <c r="P97" s="15" t="s">
        <v>933</v>
      </c>
    </row>
    <row r="98" ht="33.75" customHeight="1">
      <c r="A98" s="24">
        <v>42041.0</v>
      </c>
      <c r="B98" s="18" t="s">
        <v>255</v>
      </c>
      <c r="C98" s="18" t="s">
        <v>256</v>
      </c>
      <c r="D98" s="18" t="s">
        <v>390</v>
      </c>
      <c r="E98" s="18" t="s">
        <v>258</v>
      </c>
      <c r="F98" s="16">
        <v>25.846704</v>
      </c>
      <c r="G98" s="16">
        <v>-81.663647</v>
      </c>
      <c r="H98" s="16">
        <v>25.839674</v>
      </c>
      <c r="I98" s="17">
        <v>-81.665235</v>
      </c>
      <c r="J98" s="15" t="s">
        <v>391</v>
      </c>
      <c r="K98" s="15" t="s">
        <v>392</v>
      </c>
      <c r="L98" s="15">
        <v>1.0</v>
      </c>
      <c r="M98" s="17">
        <v>25.8457</v>
      </c>
      <c r="N98" s="17">
        <v>-81.665672</v>
      </c>
      <c r="O98" s="15" t="s">
        <v>934</v>
      </c>
    </row>
    <row r="99" ht="33.75" customHeight="1">
      <c r="A99" s="24">
        <v>42041.0</v>
      </c>
      <c r="B99" s="18" t="s">
        <v>255</v>
      </c>
      <c r="C99" s="18" t="s">
        <v>256</v>
      </c>
      <c r="D99" s="18" t="s">
        <v>257</v>
      </c>
      <c r="E99" s="18" t="s">
        <v>258</v>
      </c>
      <c r="F99" s="16">
        <v>25.90139</v>
      </c>
      <c r="G99" s="16">
        <v>-81.715789</v>
      </c>
      <c r="H99" s="16">
        <v>25.871004</v>
      </c>
      <c r="I99" s="17">
        <v>-81.69694</v>
      </c>
      <c r="J99" s="15" t="s">
        <v>403</v>
      </c>
      <c r="K99" s="15" t="s">
        <v>392</v>
      </c>
      <c r="L99" s="15">
        <v>1.0</v>
      </c>
      <c r="M99" s="17">
        <v>25.897482</v>
      </c>
      <c r="N99" s="17">
        <v>-81.714638</v>
      </c>
      <c r="O99" s="15" t="s">
        <v>938</v>
      </c>
      <c r="P99" s="15" t="s">
        <v>939</v>
      </c>
    </row>
    <row r="100" ht="33.75" customHeight="1">
      <c r="A100" s="24">
        <v>42041.0</v>
      </c>
      <c r="B100" s="18" t="s">
        <v>255</v>
      </c>
      <c r="C100" s="18" t="s">
        <v>256</v>
      </c>
      <c r="D100" s="18" t="s">
        <v>257</v>
      </c>
      <c r="E100" s="18" t="s">
        <v>258</v>
      </c>
      <c r="F100" s="16">
        <v>25.90139</v>
      </c>
      <c r="G100" s="16">
        <v>-81.715789</v>
      </c>
      <c r="H100" s="16">
        <v>25.871004</v>
      </c>
      <c r="I100" s="17">
        <v>-81.69694</v>
      </c>
      <c r="J100" s="15" t="s">
        <v>403</v>
      </c>
      <c r="K100" s="15" t="s">
        <v>392</v>
      </c>
      <c r="L100" s="15">
        <v>2.0</v>
      </c>
      <c r="M100" s="17">
        <v>25.899393</v>
      </c>
      <c r="N100" s="17">
        <v>-81.715282</v>
      </c>
      <c r="O100" s="15" t="s">
        <v>941</v>
      </c>
    </row>
    <row r="101" ht="33.75" customHeight="1">
      <c r="A101" s="24">
        <v>42041.0</v>
      </c>
      <c r="B101" s="18" t="s">
        <v>255</v>
      </c>
      <c r="C101" s="18" t="s">
        <v>256</v>
      </c>
      <c r="D101" s="18" t="s">
        <v>407</v>
      </c>
      <c r="E101" s="18" t="s">
        <v>258</v>
      </c>
      <c r="F101" s="16">
        <v>25.870116</v>
      </c>
      <c r="G101" s="16">
        <v>-81.696885</v>
      </c>
      <c r="H101" s="16">
        <v>25.844512</v>
      </c>
      <c r="I101" s="17">
        <v>-81.67901</v>
      </c>
      <c r="J101" s="15" t="s">
        <v>408</v>
      </c>
      <c r="K101" s="15" t="s">
        <v>392</v>
      </c>
      <c r="L101" s="15">
        <v>1.0</v>
      </c>
      <c r="M101" s="17">
        <v>25.854834</v>
      </c>
      <c r="N101" s="17">
        <v>-81.684083</v>
      </c>
      <c r="O101" s="15" t="s">
        <v>942</v>
      </c>
    </row>
    <row r="102" ht="33.75" customHeight="1">
      <c r="A102" s="24">
        <v>42041.0</v>
      </c>
      <c r="B102" s="18" t="s">
        <v>945</v>
      </c>
      <c r="C102" s="18" t="s">
        <v>947</v>
      </c>
      <c r="D102" s="18" t="s">
        <v>948</v>
      </c>
      <c r="E102" s="18" t="s">
        <v>258</v>
      </c>
      <c r="F102" s="16">
        <v>26.316894</v>
      </c>
      <c r="G102" s="16">
        <v>81.039722</v>
      </c>
      <c r="H102" s="16">
        <v>26.283432</v>
      </c>
      <c r="I102" s="17">
        <v>81.86893</v>
      </c>
      <c r="J102" s="15" t="s">
        <v>950</v>
      </c>
      <c r="K102" s="15" t="s">
        <v>951</v>
      </c>
      <c r="L102" s="15" t="s">
        <v>853</v>
      </c>
      <c r="M102" s="32"/>
      <c r="N102" s="32"/>
    </row>
    <row r="103" ht="33.75" customHeight="1">
      <c r="A103" s="24">
        <v>42045.0</v>
      </c>
      <c r="B103" s="18" t="s">
        <v>434</v>
      </c>
      <c r="C103" s="18" t="s">
        <v>952</v>
      </c>
      <c r="D103" s="18" t="s">
        <v>436</v>
      </c>
      <c r="E103" s="18" t="s">
        <v>258</v>
      </c>
      <c r="F103" s="16">
        <v>25.947459</v>
      </c>
      <c r="G103" s="16">
        <v>-81.74335</v>
      </c>
      <c r="H103" s="16">
        <v>25.96796</v>
      </c>
      <c r="I103" s="17">
        <v>-81.74419</v>
      </c>
      <c r="J103" s="15" t="s">
        <v>437</v>
      </c>
      <c r="K103" s="15" t="s">
        <v>438</v>
      </c>
      <c r="L103" s="15">
        <v>1.0</v>
      </c>
      <c r="M103" s="17">
        <v>25.9512</v>
      </c>
      <c r="N103" s="17">
        <v>-81.75031</v>
      </c>
      <c r="O103" s="15" t="s">
        <v>953</v>
      </c>
    </row>
    <row r="104" ht="33.75" customHeight="1">
      <c r="A104" s="24">
        <v>42045.0</v>
      </c>
      <c r="B104" s="18" t="s">
        <v>434</v>
      </c>
      <c r="C104" s="18" t="s">
        <v>435</v>
      </c>
      <c r="D104" s="18" t="s">
        <v>436</v>
      </c>
      <c r="E104" s="18" t="s">
        <v>258</v>
      </c>
      <c r="F104" s="16">
        <v>25.94746</v>
      </c>
      <c r="G104" s="16">
        <v>-81.74335</v>
      </c>
      <c r="H104" s="16">
        <v>25.96796</v>
      </c>
      <c r="I104" s="17">
        <v>-81.74419</v>
      </c>
      <c r="J104" s="15" t="s">
        <v>437</v>
      </c>
      <c r="K104" s="15" t="s">
        <v>438</v>
      </c>
      <c r="L104" s="15">
        <v>2.0</v>
      </c>
      <c r="M104" s="17">
        <v>25.95209</v>
      </c>
      <c r="N104" s="17">
        <v>-81.75048</v>
      </c>
      <c r="O104" s="15" t="s">
        <v>955</v>
      </c>
    </row>
    <row r="105" ht="33.75" customHeight="1">
      <c r="A105" s="24">
        <v>42045.0</v>
      </c>
      <c r="B105" s="18" t="s">
        <v>434</v>
      </c>
      <c r="C105" s="18" t="s">
        <v>435</v>
      </c>
      <c r="D105" s="18" t="s">
        <v>436</v>
      </c>
      <c r="E105" s="18" t="s">
        <v>258</v>
      </c>
      <c r="F105" s="16">
        <v>25.94746</v>
      </c>
      <c r="G105" s="16">
        <v>-81.74335</v>
      </c>
      <c r="H105" s="16">
        <v>25.96796</v>
      </c>
      <c r="I105" s="17">
        <v>-81.74419</v>
      </c>
      <c r="J105" s="15" t="s">
        <v>437</v>
      </c>
      <c r="K105" s="15" t="s">
        <v>438</v>
      </c>
      <c r="L105" s="15">
        <v>3.0</v>
      </c>
      <c r="M105" s="17">
        <v>25.9535</v>
      </c>
      <c r="N105" s="17">
        <v>-81.75117</v>
      </c>
      <c r="O105" s="15" t="s">
        <v>957</v>
      </c>
    </row>
    <row r="106" ht="33.75" customHeight="1">
      <c r="A106" s="24">
        <v>42045.0</v>
      </c>
      <c r="B106" s="18" t="s">
        <v>434</v>
      </c>
      <c r="C106" s="18" t="s">
        <v>435</v>
      </c>
      <c r="D106" s="18" t="s">
        <v>436</v>
      </c>
      <c r="E106" s="18" t="s">
        <v>258</v>
      </c>
      <c r="F106" s="16">
        <v>25.94746</v>
      </c>
      <c r="G106" s="16">
        <v>-81.74335</v>
      </c>
      <c r="H106" s="16">
        <v>25.96796</v>
      </c>
      <c r="I106" s="17">
        <v>-81.74419</v>
      </c>
      <c r="J106" s="15" t="s">
        <v>437</v>
      </c>
      <c r="K106" s="15" t="s">
        <v>438</v>
      </c>
      <c r="L106" s="15">
        <v>4.0</v>
      </c>
      <c r="M106" s="17">
        <v>25.95483</v>
      </c>
      <c r="N106" s="17">
        <v>-81.75164</v>
      </c>
      <c r="O106" s="15" t="s">
        <v>960</v>
      </c>
    </row>
    <row r="107" ht="33.75" customHeight="1">
      <c r="A107" s="24">
        <v>42045.0</v>
      </c>
      <c r="B107" s="18" t="s">
        <v>434</v>
      </c>
      <c r="C107" s="18" t="s">
        <v>435</v>
      </c>
      <c r="D107" s="18" t="s">
        <v>436</v>
      </c>
      <c r="E107" s="18" t="s">
        <v>258</v>
      </c>
      <c r="F107" s="16">
        <v>25.94746</v>
      </c>
      <c r="G107" s="16">
        <v>-81.74335</v>
      </c>
      <c r="H107" s="16">
        <v>25.96796</v>
      </c>
      <c r="I107" s="17">
        <v>-81.74419</v>
      </c>
      <c r="J107" s="15" t="s">
        <v>437</v>
      </c>
      <c r="K107" s="15" t="s">
        <v>438</v>
      </c>
      <c r="L107" s="15">
        <v>5.0</v>
      </c>
      <c r="M107" s="17">
        <v>25.96009</v>
      </c>
      <c r="N107" s="17">
        <v>-81.75115</v>
      </c>
      <c r="O107" s="15" t="s">
        <v>967</v>
      </c>
    </row>
    <row r="108" ht="33.75" customHeight="1">
      <c r="A108" s="24">
        <v>42045.0</v>
      </c>
      <c r="B108" s="18" t="s">
        <v>434</v>
      </c>
      <c r="C108" s="18" t="s">
        <v>435</v>
      </c>
      <c r="D108" s="18" t="s">
        <v>436</v>
      </c>
      <c r="E108" s="18" t="s">
        <v>258</v>
      </c>
      <c r="F108" s="16">
        <v>25.94746</v>
      </c>
      <c r="G108" s="16">
        <v>-81.74335</v>
      </c>
      <c r="H108" s="16">
        <v>25.96796</v>
      </c>
      <c r="I108" s="17">
        <v>-81.74419</v>
      </c>
      <c r="J108" s="15" t="s">
        <v>437</v>
      </c>
      <c r="K108" s="15" t="s">
        <v>438</v>
      </c>
      <c r="L108" s="15">
        <v>6.0</v>
      </c>
      <c r="M108" s="17">
        <v>25.96175</v>
      </c>
      <c r="N108" s="17">
        <v>-81.7506</v>
      </c>
      <c r="O108" s="15" t="s">
        <v>972</v>
      </c>
    </row>
    <row r="109" ht="33.75" customHeight="1">
      <c r="A109" s="24">
        <v>42046.0</v>
      </c>
      <c r="B109" s="18" t="s">
        <v>443</v>
      </c>
      <c r="C109" s="18" t="s">
        <v>973</v>
      </c>
      <c r="D109" s="18" t="s">
        <v>446</v>
      </c>
      <c r="E109" s="18" t="s">
        <v>258</v>
      </c>
      <c r="F109" s="16" t="s">
        <v>974</v>
      </c>
      <c r="G109" s="16" t="s">
        <v>448</v>
      </c>
      <c r="H109" s="16" t="s">
        <v>449</v>
      </c>
      <c r="I109" s="17" t="s">
        <v>976</v>
      </c>
      <c r="J109" s="15" t="s">
        <v>978</v>
      </c>
      <c r="K109" s="15" t="s">
        <v>459</v>
      </c>
      <c r="M109" s="32"/>
      <c r="N109" s="32"/>
    </row>
    <row r="110" ht="33.75" customHeight="1">
      <c r="A110" s="24">
        <v>42043.0</v>
      </c>
      <c r="B110" s="18" t="s">
        <v>979</v>
      </c>
      <c r="C110" s="18" t="s">
        <v>980</v>
      </c>
      <c r="D110" s="18" t="s">
        <v>981</v>
      </c>
      <c r="E110" s="18" t="s">
        <v>468</v>
      </c>
      <c r="F110" s="16">
        <v>29.437104</v>
      </c>
      <c r="G110" s="16">
        <v>83.29144</v>
      </c>
      <c r="H110" s="16">
        <v>29.365419</v>
      </c>
      <c r="I110" s="17">
        <v>83.194154</v>
      </c>
      <c r="J110" s="15" t="s">
        <v>983</v>
      </c>
      <c r="K110" s="15" t="s">
        <v>984</v>
      </c>
      <c r="L110" s="15">
        <v>1.0</v>
      </c>
      <c r="M110" s="17">
        <v>29.400074</v>
      </c>
      <c r="N110" s="17">
        <v>-83.20919</v>
      </c>
      <c r="O110" s="15" t="s">
        <v>987</v>
      </c>
      <c r="P110" s="15" t="s">
        <v>988</v>
      </c>
    </row>
    <row r="111" ht="33.75" customHeight="1">
      <c r="A111" s="24">
        <v>42043.0</v>
      </c>
      <c r="B111" s="18" t="s">
        <v>979</v>
      </c>
      <c r="C111" s="18" t="s">
        <v>980</v>
      </c>
      <c r="D111" s="18" t="s">
        <v>981</v>
      </c>
      <c r="E111" s="18" t="s">
        <v>468</v>
      </c>
      <c r="F111" s="16">
        <v>29.437104</v>
      </c>
      <c r="G111" s="16">
        <v>83.29144</v>
      </c>
      <c r="H111" s="16">
        <v>29.365419</v>
      </c>
      <c r="I111" s="17">
        <v>83.194154</v>
      </c>
      <c r="J111" s="15" t="s">
        <v>983</v>
      </c>
      <c r="K111" s="15" t="s">
        <v>984</v>
      </c>
      <c r="L111" s="15">
        <v>2.0</v>
      </c>
      <c r="M111" s="17">
        <v>29.371767</v>
      </c>
      <c r="N111" s="17">
        <v>-83.199886</v>
      </c>
      <c r="O111" s="15" t="s">
        <v>989</v>
      </c>
      <c r="P111" s="15" t="s">
        <v>990</v>
      </c>
    </row>
    <row r="112" ht="33.75" customHeight="1">
      <c r="A112" s="24">
        <v>42043.0</v>
      </c>
      <c r="B112" s="18" t="s">
        <v>979</v>
      </c>
      <c r="C112" s="18" t="s">
        <v>980</v>
      </c>
      <c r="D112" s="18" t="s">
        <v>981</v>
      </c>
      <c r="E112" s="18" t="s">
        <v>468</v>
      </c>
      <c r="F112" s="16">
        <v>29.437104</v>
      </c>
      <c r="G112" s="16">
        <v>83.29144</v>
      </c>
      <c r="H112" s="16">
        <v>29.365419</v>
      </c>
      <c r="I112" s="17">
        <v>83.194154</v>
      </c>
      <c r="J112" s="15" t="s">
        <v>983</v>
      </c>
      <c r="K112" s="15" t="s">
        <v>984</v>
      </c>
      <c r="L112" s="15">
        <v>3.0</v>
      </c>
      <c r="M112" s="17">
        <v>29.3654</v>
      </c>
      <c r="N112" s="17">
        <v>-83.201536</v>
      </c>
      <c r="O112" s="15" t="s">
        <v>991</v>
      </c>
    </row>
    <row r="113" ht="33.75" customHeight="1">
      <c r="A113" s="24">
        <v>42043.0</v>
      </c>
      <c r="B113" s="18" t="s">
        <v>979</v>
      </c>
      <c r="C113" s="18" t="s">
        <v>980</v>
      </c>
      <c r="D113" s="18" t="s">
        <v>981</v>
      </c>
      <c r="E113" s="18" t="s">
        <v>468</v>
      </c>
      <c r="F113" s="16">
        <v>29.437104</v>
      </c>
      <c r="G113" s="16">
        <v>83.29144</v>
      </c>
      <c r="H113" s="16">
        <v>29.365419</v>
      </c>
      <c r="I113" s="17">
        <v>83.194154</v>
      </c>
      <c r="J113" s="15" t="s">
        <v>983</v>
      </c>
      <c r="K113" s="15" t="s">
        <v>984</v>
      </c>
      <c r="L113" s="15">
        <v>4.0</v>
      </c>
      <c r="M113" s="17">
        <v>29.424601</v>
      </c>
      <c r="N113" s="17">
        <v>-83.266286</v>
      </c>
      <c r="O113" s="15" t="s">
        <v>996</v>
      </c>
    </row>
    <row r="114" ht="33.75" customHeight="1">
      <c r="A114" s="24">
        <v>42043.0</v>
      </c>
      <c r="B114" s="18" t="s">
        <v>979</v>
      </c>
      <c r="C114" s="18" t="s">
        <v>980</v>
      </c>
      <c r="D114" s="18" t="s">
        <v>981</v>
      </c>
      <c r="E114" s="18" t="s">
        <v>468</v>
      </c>
      <c r="F114" s="16">
        <v>29.437104</v>
      </c>
      <c r="G114" s="16">
        <v>83.29144</v>
      </c>
      <c r="H114" s="16">
        <v>29.365419</v>
      </c>
      <c r="I114" s="17">
        <v>83.194154</v>
      </c>
      <c r="J114" s="15" t="s">
        <v>983</v>
      </c>
      <c r="K114" s="15" t="s">
        <v>984</v>
      </c>
      <c r="L114" s="15">
        <v>5.0</v>
      </c>
      <c r="M114" s="17">
        <v>29.429852</v>
      </c>
      <c r="N114" s="17">
        <v>-83.295653</v>
      </c>
      <c r="O114" s="15" t="s">
        <v>1004</v>
      </c>
      <c r="P114" s="15" t="s">
        <v>1005</v>
      </c>
    </row>
    <row r="115" ht="33.75" customHeight="1">
      <c r="A115" s="24">
        <v>42043.0</v>
      </c>
      <c r="B115" s="18" t="s">
        <v>979</v>
      </c>
      <c r="C115" s="18" t="s">
        <v>980</v>
      </c>
      <c r="D115" s="18" t="s">
        <v>981</v>
      </c>
      <c r="E115" s="18" t="s">
        <v>468</v>
      </c>
      <c r="F115" s="16">
        <v>29.437104</v>
      </c>
      <c r="G115" s="16">
        <v>83.29144</v>
      </c>
      <c r="H115" s="16">
        <v>29.365419</v>
      </c>
      <c r="I115" s="17">
        <v>83.194154</v>
      </c>
      <c r="J115" s="15" t="s">
        <v>983</v>
      </c>
      <c r="K115" s="15" t="s">
        <v>984</v>
      </c>
      <c r="L115" s="15">
        <v>6.0</v>
      </c>
      <c r="M115" s="17">
        <v>29.43876</v>
      </c>
      <c r="N115" s="17">
        <v>-83.285136</v>
      </c>
      <c r="O115" s="15" t="s">
        <v>1006</v>
      </c>
      <c r="P115" s="15" t="s">
        <v>1007</v>
      </c>
    </row>
    <row r="116" ht="33.75" customHeight="1">
      <c r="A116" s="24">
        <v>42045.0</v>
      </c>
      <c r="B116" s="18" t="s">
        <v>503</v>
      </c>
      <c r="C116" s="18" t="s">
        <v>1008</v>
      </c>
      <c r="D116" s="18" t="s">
        <v>505</v>
      </c>
      <c r="E116" s="18" t="s">
        <v>482</v>
      </c>
      <c r="F116" s="16">
        <v>30.4863889</v>
      </c>
      <c r="G116" s="16">
        <v>-81.4411111</v>
      </c>
      <c r="H116" s="16">
        <v>30.4294444</v>
      </c>
      <c r="I116" s="17">
        <v>-81.4097222</v>
      </c>
      <c r="J116" s="15" t="s">
        <v>508</v>
      </c>
      <c r="K116" s="15" t="s">
        <v>1011</v>
      </c>
      <c r="L116" s="15">
        <v>1.0</v>
      </c>
      <c r="M116" s="17">
        <v>30.4883333</v>
      </c>
      <c r="N116" s="17">
        <v>-81.4183333</v>
      </c>
      <c r="O116" s="15" t="s">
        <v>1012</v>
      </c>
      <c r="P116" s="15" t="s">
        <v>1013</v>
      </c>
    </row>
    <row r="117" ht="33.75" customHeight="1">
      <c r="A117" s="24">
        <v>42045.0</v>
      </c>
      <c r="B117" s="18" t="s">
        <v>503</v>
      </c>
      <c r="C117" s="18" t="s">
        <v>1008</v>
      </c>
      <c r="D117" s="18" t="s">
        <v>505</v>
      </c>
      <c r="E117" s="18" t="s">
        <v>482</v>
      </c>
      <c r="F117" s="16">
        <v>30.4863889</v>
      </c>
      <c r="G117" s="16">
        <v>-81.4411111</v>
      </c>
      <c r="H117" s="16">
        <v>30.4294444</v>
      </c>
      <c r="I117" s="17">
        <v>-81.4097222</v>
      </c>
      <c r="J117" s="15" t="s">
        <v>508</v>
      </c>
      <c r="K117" s="15" t="s">
        <v>1011</v>
      </c>
      <c r="L117" s="15">
        <v>2.0</v>
      </c>
      <c r="M117" s="17">
        <v>30.4888889</v>
      </c>
      <c r="N117" s="17">
        <v>-81.4172222</v>
      </c>
      <c r="O117" s="15" t="s">
        <v>1014</v>
      </c>
      <c r="P117" s="15" t="s">
        <v>1013</v>
      </c>
    </row>
    <row r="118" ht="33.75" customHeight="1">
      <c r="A118" s="24">
        <v>42045.0</v>
      </c>
      <c r="B118" s="18" t="s">
        <v>503</v>
      </c>
      <c r="C118" s="18" t="s">
        <v>1008</v>
      </c>
      <c r="D118" s="18" t="s">
        <v>505</v>
      </c>
      <c r="E118" s="18" t="s">
        <v>482</v>
      </c>
      <c r="F118" s="16">
        <v>30.4863889</v>
      </c>
      <c r="G118" s="16">
        <v>-81.4411111</v>
      </c>
      <c r="H118" s="16">
        <v>30.4294444</v>
      </c>
      <c r="I118" s="17">
        <v>-81.4097222</v>
      </c>
      <c r="J118" s="15" t="s">
        <v>508</v>
      </c>
      <c r="K118" s="15" t="s">
        <v>1011</v>
      </c>
      <c r="L118" s="15">
        <v>3.0</v>
      </c>
      <c r="M118" s="17">
        <v>30.4572222</v>
      </c>
      <c r="N118" s="17">
        <v>-81.4108333</v>
      </c>
      <c r="O118" s="15" t="s">
        <v>1015</v>
      </c>
      <c r="P118" s="15" t="s">
        <v>1013</v>
      </c>
    </row>
    <row r="119" ht="33.75" customHeight="1">
      <c r="A119" s="24">
        <v>42045.0</v>
      </c>
      <c r="B119" s="18" t="s">
        <v>503</v>
      </c>
      <c r="C119" s="18" t="s">
        <v>1008</v>
      </c>
      <c r="D119" s="18" t="s">
        <v>505</v>
      </c>
      <c r="E119" s="18" t="s">
        <v>482</v>
      </c>
      <c r="F119" s="16">
        <v>30.4863889</v>
      </c>
      <c r="G119" s="16">
        <v>-81.4411111</v>
      </c>
      <c r="H119" s="16">
        <v>30.4294444</v>
      </c>
      <c r="I119" s="17">
        <v>-81.4097222</v>
      </c>
      <c r="J119" s="15" t="s">
        <v>508</v>
      </c>
      <c r="K119" s="15" t="s">
        <v>1011</v>
      </c>
      <c r="L119" s="15">
        <v>4.0</v>
      </c>
      <c r="M119" s="17">
        <v>30.4705556</v>
      </c>
      <c r="N119" s="17">
        <v>-81.4122222</v>
      </c>
      <c r="O119" s="15" t="s">
        <v>147</v>
      </c>
      <c r="P119" s="15" t="s">
        <v>1016</v>
      </c>
    </row>
    <row r="120" ht="33.75" customHeight="1">
      <c r="A120" s="24">
        <v>42045.0</v>
      </c>
      <c r="B120" s="18" t="s">
        <v>503</v>
      </c>
      <c r="C120" s="18" t="s">
        <v>1008</v>
      </c>
      <c r="D120" s="18" t="s">
        <v>505</v>
      </c>
      <c r="E120" s="18" t="s">
        <v>482</v>
      </c>
      <c r="F120" s="16">
        <v>30.4863889</v>
      </c>
      <c r="G120" s="16">
        <v>-81.4411111</v>
      </c>
      <c r="H120" s="16">
        <v>30.4294444</v>
      </c>
      <c r="I120" s="17">
        <v>-81.4097222</v>
      </c>
      <c r="J120" s="15" t="s">
        <v>508</v>
      </c>
      <c r="K120" s="15" t="s">
        <v>1011</v>
      </c>
      <c r="L120" s="15">
        <v>5.0</v>
      </c>
      <c r="M120" s="17">
        <v>30.4811111</v>
      </c>
      <c r="N120" s="17">
        <v>-81.4094444</v>
      </c>
      <c r="O120" s="15" t="s">
        <v>1020</v>
      </c>
      <c r="P120" s="15" t="s">
        <v>1016</v>
      </c>
    </row>
    <row r="121" ht="33.75" customHeight="1">
      <c r="A121" s="24">
        <v>42045.0</v>
      </c>
      <c r="B121" s="18" t="s">
        <v>503</v>
      </c>
      <c r="C121" s="18" t="s">
        <v>1008</v>
      </c>
      <c r="D121" s="18" t="s">
        <v>505</v>
      </c>
      <c r="E121" s="18" t="s">
        <v>482</v>
      </c>
      <c r="F121" s="16">
        <v>30.4863889</v>
      </c>
      <c r="G121" s="16">
        <v>-81.4411111</v>
      </c>
      <c r="H121" s="16">
        <v>30.4294444</v>
      </c>
      <c r="I121" s="17">
        <v>-81.4097222</v>
      </c>
      <c r="J121" s="15" t="s">
        <v>508</v>
      </c>
      <c r="K121" s="15" t="s">
        <v>1011</v>
      </c>
      <c r="L121" s="15">
        <v>6.0</v>
      </c>
      <c r="M121" s="17">
        <v>30.4327778</v>
      </c>
      <c r="N121" s="17">
        <v>-81.4063889</v>
      </c>
      <c r="O121" s="15" t="s">
        <v>147</v>
      </c>
      <c r="P121" s="15" t="s">
        <v>1016</v>
      </c>
    </row>
    <row r="122" ht="33.75" customHeight="1">
      <c r="A122" s="24">
        <v>42045.0</v>
      </c>
      <c r="B122" s="18" t="s">
        <v>503</v>
      </c>
      <c r="C122" s="18" t="s">
        <v>1008</v>
      </c>
      <c r="D122" s="18" t="s">
        <v>505</v>
      </c>
      <c r="E122" s="18" t="s">
        <v>482</v>
      </c>
      <c r="F122" s="16">
        <v>30.4863889</v>
      </c>
      <c r="G122" s="16">
        <v>-81.4411111</v>
      </c>
      <c r="H122" s="16">
        <v>30.4294444</v>
      </c>
      <c r="I122" s="17">
        <v>-81.4097222</v>
      </c>
      <c r="J122" s="15" t="s">
        <v>508</v>
      </c>
      <c r="K122" s="15" t="s">
        <v>1011</v>
      </c>
      <c r="L122" s="15">
        <v>7.0</v>
      </c>
      <c r="M122" s="17">
        <v>30.4311111</v>
      </c>
      <c r="N122" s="17">
        <v>-81.4069444</v>
      </c>
      <c r="O122" s="15" t="s">
        <v>1023</v>
      </c>
      <c r="P122" s="15" t="s">
        <v>1016</v>
      </c>
    </row>
    <row r="123" ht="33.75" customHeight="1">
      <c r="A123" s="24">
        <v>42045.0</v>
      </c>
      <c r="B123" s="18" t="s">
        <v>503</v>
      </c>
      <c r="C123" s="18" t="s">
        <v>1008</v>
      </c>
      <c r="D123" s="18" t="s">
        <v>517</v>
      </c>
      <c r="E123" s="18" t="s">
        <v>482</v>
      </c>
      <c r="F123" s="16">
        <v>30.42</v>
      </c>
      <c r="G123" s="16">
        <v>-81.42</v>
      </c>
      <c r="H123" s="16">
        <v>30.42</v>
      </c>
      <c r="I123" s="16">
        <v>-81.42</v>
      </c>
      <c r="J123" s="15" t="s">
        <v>518</v>
      </c>
      <c r="K123" s="15" t="s">
        <v>1024</v>
      </c>
      <c r="L123" s="15">
        <v>1.0</v>
      </c>
      <c r="M123" s="16">
        <v>30.42</v>
      </c>
      <c r="N123" s="16">
        <v>-81.42</v>
      </c>
      <c r="O123" s="15" t="s">
        <v>1025</v>
      </c>
    </row>
    <row r="124" ht="33.75" customHeight="1">
      <c r="A124" s="24">
        <v>42045.0</v>
      </c>
      <c r="B124" s="18" t="s">
        <v>523</v>
      </c>
      <c r="C124" s="18" t="s">
        <v>1027</v>
      </c>
      <c r="D124" s="18" t="s">
        <v>1028</v>
      </c>
      <c r="E124" s="18" t="s">
        <v>482</v>
      </c>
      <c r="F124" s="16">
        <v>30.4054</v>
      </c>
      <c r="G124" s="16">
        <v>-81.5057</v>
      </c>
      <c r="H124" s="16">
        <v>30.4047</v>
      </c>
      <c r="I124" s="17">
        <v>-81.5056</v>
      </c>
      <c r="J124" s="15" t="s">
        <v>1029</v>
      </c>
      <c r="K124" s="15" t="s">
        <v>1030</v>
      </c>
      <c r="L124" s="15" t="s">
        <v>1031</v>
      </c>
      <c r="M124" s="17">
        <v>30.400577</v>
      </c>
      <c r="N124" s="17">
        <v>-81.495342</v>
      </c>
      <c r="O124" s="15" t="s">
        <v>1033</v>
      </c>
      <c r="P124" s="15" t="s">
        <v>1035</v>
      </c>
    </row>
    <row r="125" ht="33.75" customHeight="1">
      <c r="A125" s="24">
        <v>42041.0</v>
      </c>
      <c r="B125" s="18" t="s">
        <v>1036</v>
      </c>
      <c r="C125" s="18" t="s">
        <v>1037</v>
      </c>
      <c r="D125" s="18" t="s">
        <v>496</v>
      </c>
      <c r="E125" s="18" t="s">
        <v>482</v>
      </c>
      <c r="F125" s="16">
        <v>30.411283</v>
      </c>
      <c r="G125" s="16">
        <v>-81.414029</v>
      </c>
      <c r="H125" s="16">
        <v>30.408285</v>
      </c>
      <c r="I125" s="17">
        <v>-81.414029</v>
      </c>
      <c r="J125" s="15" t="s">
        <v>1041</v>
      </c>
      <c r="K125" s="15" t="s">
        <v>562</v>
      </c>
      <c r="L125" s="15">
        <v>1.0</v>
      </c>
      <c r="M125" s="17">
        <v>30.404497</v>
      </c>
      <c r="N125" s="17">
        <v>-81.403649</v>
      </c>
      <c r="O125" s="15" t="s">
        <v>1042</v>
      </c>
    </row>
    <row r="126" ht="33.75" customHeight="1">
      <c r="A126" s="24">
        <v>42041.0</v>
      </c>
      <c r="B126" s="18" t="s">
        <v>1036</v>
      </c>
      <c r="C126" s="18" t="s">
        <v>1037</v>
      </c>
      <c r="D126" s="18" t="s">
        <v>496</v>
      </c>
      <c r="E126" s="18" t="s">
        <v>482</v>
      </c>
      <c r="F126" s="16">
        <v>30.411283</v>
      </c>
      <c r="G126" s="16">
        <v>-81.414029</v>
      </c>
      <c r="H126" s="16">
        <v>30.408285</v>
      </c>
      <c r="I126" s="17">
        <v>-81.414029</v>
      </c>
      <c r="J126" s="15" t="s">
        <v>1041</v>
      </c>
      <c r="K126" s="15" t="s">
        <v>562</v>
      </c>
      <c r="L126" s="15">
        <v>2.0</v>
      </c>
      <c r="M126" s="17">
        <v>30.420041</v>
      </c>
      <c r="N126" s="17">
        <v>-81.410472</v>
      </c>
      <c r="O126" s="15" t="s">
        <v>1044</v>
      </c>
      <c r="P126" s="15" t="s">
        <v>1045</v>
      </c>
    </row>
    <row r="127" ht="33.75" customHeight="1">
      <c r="A127" s="24">
        <v>42041.0</v>
      </c>
      <c r="B127" s="18" t="s">
        <v>1036</v>
      </c>
      <c r="C127" s="18" t="s">
        <v>1037</v>
      </c>
      <c r="D127" s="18" t="s">
        <v>496</v>
      </c>
      <c r="E127" s="18" t="s">
        <v>482</v>
      </c>
      <c r="F127" s="16">
        <v>30.411283</v>
      </c>
      <c r="G127" s="16">
        <v>-81.414029</v>
      </c>
      <c r="H127" s="16">
        <v>30.408285</v>
      </c>
      <c r="I127" s="17">
        <v>-81.414029</v>
      </c>
      <c r="J127" s="15" t="s">
        <v>1041</v>
      </c>
      <c r="K127" s="15" t="s">
        <v>562</v>
      </c>
      <c r="L127" s="15">
        <v>3.0</v>
      </c>
      <c r="M127" s="17">
        <v>30.417006</v>
      </c>
      <c r="N127" s="17">
        <v>-81.410944</v>
      </c>
      <c r="O127" s="15" t="s">
        <v>1048</v>
      </c>
    </row>
    <row r="128" ht="33.75" customHeight="1">
      <c r="A128" s="24">
        <v>42041.0</v>
      </c>
      <c r="B128" s="18" t="s">
        <v>479</v>
      </c>
      <c r="C128" s="18" t="s">
        <v>480</v>
      </c>
      <c r="D128" s="18" t="s">
        <v>481</v>
      </c>
      <c r="E128" s="18" t="s">
        <v>482</v>
      </c>
      <c r="F128" s="16">
        <v>30.3966666</v>
      </c>
      <c r="G128" s="16">
        <v>-81.3926388</v>
      </c>
      <c r="H128" s="16">
        <v>30.2529166</v>
      </c>
      <c r="I128" s="17">
        <v>-81.3803972</v>
      </c>
      <c r="J128" s="15" t="s">
        <v>491</v>
      </c>
      <c r="K128" s="15" t="s">
        <v>1056</v>
      </c>
      <c r="L128" s="15">
        <v>1.0</v>
      </c>
      <c r="M128" s="17">
        <v>30.3966666</v>
      </c>
      <c r="N128" s="17">
        <v>-81.3926388</v>
      </c>
      <c r="O128" s="15" t="s">
        <v>1058</v>
      </c>
      <c r="P128" s="15" t="s">
        <v>1059</v>
      </c>
    </row>
    <row r="129" ht="33.75" customHeight="1">
      <c r="A129" s="24">
        <v>42041.0</v>
      </c>
      <c r="B129" s="18" t="s">
        <v>479</v>
      </c>
      <c r="C129" s="18" t="s">
        <v>480</v>
      </c>
      <c r="D129" s="18" t="s">
        <v>481</v>
      </c>
      <c r="E129" s="18" t="s">
        <v>482</v>
      </c>
      <c r="F129" s="16">
        <v>30.3966666</v>
      </c>
      <c r="G129" s="16">
        <v>-81.3926388</v>
      </c>
      <c r="H129" s="16">
        <v>30.2529166</v>
      </c>
      <c r="I129" s="17">
        <v>-81.3803972</v>
      </c>
      <c r="J129" s="15" t="s">
        <v>491</v>
      </c>
      <c r="K129" s="15" t="s">
        <v>1056</v>
      </c>
      <c r="L129" s="15">
        <v>2.0</v>
      </c>
      <c r="M129" s="17">
        <v>30.3241666</v>
      </c>
      <c r="N129" s="17">
        <v>-81.3938888</v>
      </c>
      <c r="P129" s="15" t="s">
        <v>499</v>
      </c>
    </row>
    <row r="130" ht="33.75" customHeight="1">
      <c r="A130" s="24">
        <v>42041.0</v>
      </c>
      <c r="B130" s="18" t="s">
        <v>479</v>
      </c>
      <c r="C130" s="18" t="s">
        <v>480</v>
      </c>
      <c r="D130" s="18" t="s">
        <v>481</v>
      </c>
      <c r="E130" s="18" t="s">
        <v>482</v>
      </c>
      <c r="F130" s="16">
        <v>30.3966666</v>
      </c>
      <c r="G130" s="16">
        <v>-81.3926388</v>
      </c>
      <c r="H130" s="16">
        <v>30.2529166</v>
      </c>
      <c r="I130" s="17">
        <v>-81.3803972</v>
      </c>
      <c r="J130" s="15" t="s">
        <v>491</v>
      </c>
      <c r="K130" s="15" t="s">
        <v>1056</v>
      </c>
      <c r="L130" s="15">
        <v>3.0</v>
      </c>
      <c r="M130" s="17">
        <v>30.3080555</v>
      </c>
      <c r="N130" s="17">
        <v>-81.3913888</v>
      </c>
      <c r="O130" s="15" t="s">
        <v>1068</v>
      </c>
      <c r="P130" s="15" t="s">
        <v>499</v>
      </c>
    </row>
    <row r="131" ht="33.75" customHeight="1">
      <c r="A131" s="14">
        <v>42041.0</v>
      </c>
      <c r="B131" s="18" t="s">
        <v>198</v>
      </c>
      <c r="C131" s="18" t="s">
        <v>338</v>
      </c>
      <c r="D131" s="15" t="s">
        <v>571</v>
      </c>
      <c r="E131" s="15" t="s">
        <v>208</v>
      </c>
      <c r="F131" s="15">
        <v>30.31207</v>
      </c>
      <c r="G131" s="15">
        <v>-87.39899</v>
      </c>
      <c r="H131" s="15">
        <v>30.30993</v>
      </c>
      <c r="I131" s="17">
        <v>-87.40647</v>
      </c>
      <c r="J131" s="15" t="s">
        <v>573</v>
      </c>
      <c r="K131" s="15" t="s">
        <v>574</v>
      </c>
      <c r="L131" s="15">
        <v>1.0</v>
      </c>
      <c r="M131" s="17">
        <v>30.30958</v>
      </c>
      <c r="N131" s="17">
        <v>-87.40276</v>
      </c>
      <c r="O131" s="15" t="s">
        <v>1070</v>
      </c>
    </row>
    <row r="132" ht="33.75" customHeight="1">
      <c r="A132" s="14">
        <v>42041.0</v>
      </c>
      <c r="B132" s="18" t="s">
        <v>198</v>
      </c>
      <c r="C132" s="18" t="s">
        <v>338</v>
      </c>
      <c r="D132" s="15" t="s">
        <v>354</v>
      </c>
      <c r="E132" s="15" t="s">
        <v>208</v>
      </c>
      <c r="F132" s="15">
        <v>30.29525</v>
      </c>
      <c r="G132" s="15">
        <v>-87.43269</v>
      </c>
      <c r="H132" s="15">
        <v>30.27984</v>
      </c>
      <c r="I132" s="17">
        <v>-87.51816</v>
      </c>
      <c r="J132" s="15" t="s">
        <v>582</v>
      </c>
      <c r="K132" s="15" t="s">
        <v>574</v>
      </c>
      <c r="L132" s="15">
        <v>1.0</v>
      </c>
      <c r="M132" s="17">
        <v>30.2881</v>
      </c>
      <c r="N132" s="15">
        <v>-87.47726</v>
      </c>
      <c r="O132" s="15" t="s">
        <v>569</v>
      </c>
      <c r="P132" s="15" t="s">
        <v>570</v>
      </c>
    </row>
    <row r="133" ht="33.75" customHeight="1">
      <c r="A133" s="14">
        <v>42041.0</v>
      </c>
      <c r="B133" s="18" t="s">
        <v>198</v>
      </c>
      <c r="C133" s="18" t="s">
        <v>338</v>
      </c>
      <c r="D133" s="15" t="s">
        <v>354</v>
      </c>
      <c r="E133" s="15" t="s">
        <v>208</v>
      </c>
      <c r="F133" s="15">
        <v>30.29525</v>
      </c>
      <c r="G133" s="15">
        <v>-87.43269</v>
      </c>
      <c r="H133" s="15">
        <v>30.27984</v>
      </c>
      <c r="I133" s="17">
        <v>-87.51816</v>
      </c>
      <c r="J133" s="15" t="s">
        <v>582</v>
      </c>
      <c r="K133" s="15" t="s">
        <v>574</v>
      </c>
      <c r="L133" s="15">
        <v>2.0</v>
      </c>
      <c r="M133" s="17">
        <v>30.28831</v>
      </c>
      <c r="N133" s="17">
        <v>-87.47572</v>
      </c>
      <c r="O133" s="15" t="s">
        <v>575</v>
      </c>
      <c r="P133" s="15" t="s">
        <v>568</v>
      </c>
    </row>
    <row r="134" ht="33.75" customHeight="1">
      <c r="A134" s="24">
        <v>42041.0</v>
      </c>
      <c r="B134" s="18" t="s">
        <v>74</v>
      </c>
      <c r="C134" s="18" t="s">
        <v>75</v>
      </c>
      <c r="D134" s="18" t="s">
        <v>592</v>
      </c>
      <c r="E134" s="18" t="s">
        <v>208</v>
      </c>
      <c r="F134" s="16">
        <v>30.33043</v>
      </c>
      <c r="G134" s="16">
        <v>-87.142616</v>
      </c>
      <c r="H134" s="16">
        <v>30.32496</v>
      </c>
      <c r="I134" s="17">
        <v>-87.18104</v>
      </c>
      <c r="J134" s="15" t="s">
        <v>594</v>
      </c>
      <c r="K134" s="15" t="s">
        <v>1079</v>
      </c>
      <c r="L134" s="15">
        <v>1.0</v>
      </c>
      <c r="M134" s="17">
        <v>30.32727</v>
      </c>
      <c r="N134" s="17">
        <v>-87.15931</v>
      </c>
      <c r="O134" s="15" t="s">
        <v>1080</v>
      </c>
      <c r="P134" s="15" t="s">
        <v>1082</v>
      </c>
    </row>
    <row r="135" ht="33.75" customHeight="1">
      <c r="A135" s="24">
        <v>42041.0</v>
      </c>
      <c r="B135" s="18" t="s">
        <v>74</v>
      </c>
      <c r="C135" s="18" t="s">
        <v>75</v>
      </c>
      <c r="D135" s="18" t="s">
        <v>592</v>
      </c>
      <c r="E135" s="18" t="s">
        <v>208</v>
      </c>
      <c r="F135" s="16">
        <v>30.33043</v>
      </c>
      <c r="G135" s="16">
        <v>-87.142616</v>
      </c>
      <c r="H135" s="16">
        <v>30.32496</v>
      </c>
      <c r="I135" s="17">
        <v>-87.18104</v>
      </c>
      <c r="J135" s="15" t="s">
        <v>594</v>
      </c>
      <c r="K135" s="15" t="s">
        <v>1079</v>
      </c>
      <c r="L135" s="15">
        <v>2.0</v>
      </c>
      <c r="M135" s="17">
        <v>30.32479</v>
      </c>
      <c r="N135" s="17">
        <v>-87.18208</v>
      </c>
      <c r="O135" s="15" t="s">
        <v>1087</v>
      </c>
      <c r="P135" s="15" t="s">
        <v>1089</v>
      </c>
    </row>
    <row r="136" ht="33.75" customHeight="1">
      <c r="A136" s="24">
        <v>42046.0</v>
      </c>
      <c r="B136" s="18" t="s">
        <v>203</v>
      </c>
      <c r="C136" s="18" t="s">
        <v>205</v>
      </c>
      <c r="D136" s="18" t="s">
        <v>1092</v>
      </c>
      <c r="E136" s="18" t="s">
        <v>208</v>
      </c>
      <c r="F136" s="16">
        <v>30.34926</v>
      </c>
      <c r="G136" s="16">
        <v>-87.04378</v>
      </c>
      <c r="H136" s="16">
        <v>30.37108</v>
      </c>
      <c r="I136" s="17">
        <v>-86.9185</v>
      </c>
      <c r="J136" s="15" t="s">
        <v>604</v>
      </c>
      <c r="K136" s="15" t="s">
        <v>1093</v>
      </c>
      <c r="L136" s="15">
        <v>1.0</v>
      </c>
      <c r="M136" s="17">
        <v>30.350342</v>
      </c>
      <c r="N136" s="17">
        <v>-87.0383</v>
      </c>
      <c r="O136" s="15" t="s">
        <v>1094</v>
      </c>
      <c r="P136" s="15" t="s">
        <v>1097</v>
      </c>
    </row>
    <row r="137" ht="33.75" customHeight="1">
      <c r="A137" s="24">
        <v>42046.0</v>
      </c>
      <c r="B137" s="18" t="s">
        <v>203</v>
      </c>
      <c r="C137" s="18" t="s">
        <v>205</v>
      </c>
      <c r="D137" s="18" t="s">
        <v>1092</v>
      </c>
      <c r="E137" s="18" t="s">
        <v>208</v>
      </c>
      <c r="F137" s="16">
        <v>30.34926</v>
      </c>
      <c r="G137" s="16">
        <v>-87.04378</v>
      </c>
      <c r="H137" s="16">
        <v>30.37108</v>
      </c>
      <c r="I137" s="17">
        <v>-86.9185</v>
      </c>
      <c r="J137" s="15" t="s">
        <v>604</v>
      </c>
      <c r="K137" s="15" t="s">
        <v>1093</v>
      </c>
      <c r="L137" s="15">
        <v>2.0</v>
      </c>
      <c r="M137" s="17">
        <v>30.36528</v>
      </c>
      <c r="N137" s="17">
        <v>-86.95394</v>
      </c>
      <c r="O137" s="15" t="s">
        <v>615</v>
      </c>
      <c r="P137" s="15" t="s">
        <v>1106</v>
      </c>
    </row>
    <row r="138" ht="33.75" customHeight="1">
      <c r="A138" s="24">
        <v>42046.0</v>
      </c>
      <c r="B138" s="18" t="s">
        <v>203</v>
      </c>
      <c r="C138" s="18" t="s">
        <v>205</v>
      </c>
      <c r="D138" s="18" t="s">
        <v>1109</v>
      </c>
      <c r="E138" s="18" t="s">
        <v>208</v>
      </c>
      <c r="F138" s="16">
        <v>30.37453</v>
      </c>
      <c r="G138" s="16">
        <v>-86.91897</v>
      </c>
      <c r="H138" s="16">
        <v>30.3575</v>
      </c>
      <c r="I138" s="17">
        <v>-87.04365</v>
      </c>
      <c r="J138" s="15" t="s">
        <v>614</v>
      </c>
      <c r="K138" s="15" t="s">
        <v>1093</v>
      </c>
      <c r="L138" s="15">
        <v>1.0</v>
      </c>
      <c r="M138" s="17">
        <v>30.36922</v>
      </c>
      <c r="N138" s="17">
        <v>-86.95502</v>
      </c>
      <c r="O138" s="15" t="s">
        <v>1116</v>
      </c>
      <c r="P138" s="15" t="s">
        <v>1118</v>
      </c>
    </row>
    <row r="139" ht="33.75" customHeight="1">
      <c r="A139" s="24">
        <v>42046.0</v>
      </c>
      <c r="B139" s="18" t="s">
        <v>203</v>
      </c>
      <c r="C139" s="18" t="s">
        <v>205</v>
      </c>
      <c r="D139" s="18" t="s">
        <v>1109</v>
      </c>
      <c r="E139" s="18" t="s">
        <v>208</v>
      </c>
      <c r="F139" s="16">
        <v>30.37453</v>
      </c>
      <c r="G139" s="16">
        <v>-86.91897</v>
      </c>
      <c r="H139" s="16">
        <v>30.3575</v>
      </c>
      <c r="I139" s="17">
        <v>-87.04365</v>
      </c>
      <c r="J139" s="15" t="s">
        <v>614</v>
      </c>
      <c r="K139" s="15" t="s">
        <v>1093</v>
      </c>
      <c r="L139" s="15">
        <v>2.0</v>
      </c>
      <c r="M139" s="17">
        <v>30.3575</v>
      </c>
      <c r="N139" s="17">
        <v>-87.04365</v>
      </c>
      <c r="O139" s="15" t="s">
        <v>1119</v>
      </c>
      <c r="P139" s="15" t="s">
        <v>1120</v>
      </c>
    </row>
    <row r="140" ht="33.75" customHeight="1">
      <c r="A140" s="24">
        <v>42046.0</v>
      </c>
      <c r="B140" s="18" t="s">
        <v>365</v>
      </c>
      <c r="C140" s="18" t="s">
        <v>366</v>
      </c>
      <c r="D140" s="18" t="s">
        <v>630</v>
      </c>
      <c r="E140" s="18" t="s">
        <v>208</v>
      </c>
      <c r="F140" s="16">
        <v>30.31295</v>
      </c>
      <c r="G140" s="16">
        <v>-87.35925</v>
      </c>
      <c r="H140" s="16">
        <v>30.32858</v>
      </c>
      <c r="I140" s="17">
        <v>-87.31566</v>
      </c>
      <c r="J140" s="15" t="s">
        <v>634</v>
      </c>
      <c r="K140" s="15" t="s">
        <v>1093</v>
      </c>
      <c r="L140" s="15">
        <v>1.0</v>
      </c>
      <c r="M140" s="17">
        <v>30.30682</v>
      </c>
      <c r="N140" s="17">
        <v>-87.37981</v>
      </c>
      <c r="O140" s="15" t="s">
        <v>615</v>
      </c>
      <c r="P140" s="15" t="s">
        <v>1123</v>
      </c>
    </row>
    <row r="141" ht="33.75" customHeight="1">
      <c r="A141" s="24">
        <v>42046.0</v>
      </c>
      <c r="B141" s="18" t="s">
        <v>365</v>
      </c>
      <c r="C141" s="18" t="s">
        <v>366</v>
      </c>
      <c r="D141" s="18" t="s">
        <v>630</v>
      </c>
      <c r="E141" s="18" t="s">
        <v>208</v>
      </c>
      <c r="F141" s="16">
        <v>30.31295</v>
      </c>
      <c r="G141" s="16">
        <v>-87.35925</v>
      </c>
      <c r="H141" s="16">
        <v>30.32858</v>
      </c>
      <c r="I141" s="17">
        <v>-87.31566</v>
      </c>
      <c r="J141" s="15" t="s">
        <v>634</v>
      </c>
      <c r="K141" s="15" t="s">
        <v>1093</v>
      </c>
      <c r="L141" s="15">
        <v>2.0</v>
      </c>
      <c r="M141" s="17">
        <v>30.30817</v>
      </c>
      <c r="N141" s="17">
        <v>-87.3738</v>
      </c>
      <c r="O141" s="15" t="s">
        <v>1127</v>
      </c>
      <c r="P141" s="15" t="s">
        <v>1128</v>
      </c>
    </row>
    <row r="142" ht="33.75" customHeight="1">
      <c r="A142" s="24">
        <v>42046.0</v>
      </c>
      <c r="B142" s="18" t="s">
        <v>365</v>
      </c>
      <c r="C142" s="18" t="s">
        <v>366</v>
      </c>
      <c r="D142" s="18" t="s">
        <v>646</v>
      </c>
      <c r="E142" s="18" t="s">
        <v>208</v>
      </c>
      <c r="F142" s="16">
        <v>30.32858</v>
      </c>
      <c r="G142" s="16">
        <v>-87.31566</v>
      </c>
      <c r="H142" s="16">
        <v>30.30371</v>
      </c>
      <c r="I142" s="17">
        <v>-87.41368</v>
      </c>
      <c r="J142" s="15" t="s">
        <v>647</v>
      </c>
      <c r="K142" s="15" t="s">
        <v>1093</v>
      </c>
      <c r="L142" s="15">
        <v>1.0</v>
      </c>
      <c r="M142" s="17">
        <v>30.32862</v>
      </c>
      <c r="N142" s="17">
        <v>-87.31575</v>
      </c>
      <c r="O142" s="15" t="s">
        <v>1132</v>
      </c>
      <c r="P142" s="15" t="s">
        <v>1133</v>
      </c>
    </row>
    <row r="143" ht="33.75" customHeight="1">
      <c r="A143" s="24">
        <v>42046.0</v>
      </c>
      <c r="B143" s="18" t="s">
        <v>365</v>
      </c>
      <c r="C143" s="18" t="s">
        <v>366</v>
      </c>
      <c r="D143" s="18" t="s">
        <v>646</v>
      </c>
      <c r="E143" s="18" t="s">
        <v>208</v>
      </c>
      <c r="F143" s="16">
        <v>30.32858</v>
      </c>
      <c r="G143" s="16">
        <v>-87.31566</v>
      </c>
      <c r="H143" s="16">
        <v>30.30371</v>
      </c>
      <c r="I143" s="17">
        <v>-87.41368</v>
      </c>
      <c r="J143" s="15" t="s">
        <v>647</v>
      </c>
      <c r="K143" s="15" t="s">
        <v>1093</v>
      </c>
      <c r="L143" s="15">
        <v>2.0</v>
      </c>
      <c r="M143" s="17">
        <v>30.3167</v>
      </c>
      <c r="N143" s="17">
        <v>-87.34118</v>
      </c>
      <c r="O143" s="15" t="s">
        <v>1135</v>
      </c>
      <c r="P143" s="15" t="s">
        <v>1136</v>
      </c>
    </row>
    <row r="144" ht="33.75" customHeight="1">
      <c r="A144" s="24">
        <v>42046.0</v>
      </c>
      <c r="B144" s="18" t="s">
        <v>365</v>
      </c>
      <c r="C144" s="18" t="s">
        <v>366</v>
      </c>
      <c r="D144" s="18" t="s">
        <v>646</v>
      </c>
      <c r="E144" s="18" t="s">
        <v>208</v>
      </c>
      <c r="F144" s="16">
        <v>30.32858</v>
      </c>
      <c r="G144" s="16">
        <v>-87.31566</v>
      </c>
      <c r="H144" s="16">
        <v>30.30371</v>
      </c>
      <c r="I144" s="17">
        <v>-87.41368</v>
      </c>
      <c r="J144" s="15" t="s">
        <v>647</v>
      </c>
      <c r="K144" s="15" t="s">
        <v>1093</v>
      </c>
      <c r="L144" s="15">
        <v>3.0</v>
      </c>
      <c r="M144" s="17">
        <v>30.31202</v>
      </c>
      <c r="N144" s="17">
        <v>-87.36566</v>
      </c>
      <c r="O144" s="15" t="s">
        <v>1138</v>
      </c>
      <c r="P144" s="15" t="s">
        <v>1136</v>
      </c>
    </row>
    <row r="145" ht="33.75" customHeight="1">
      <c r="A145" s="24">
        <v>42046.0</v>
      </c>
      <c r="B145" s="18" t="s">
        <v>377</v>
      </c>
      <c r="C145" s="18" t="s">
        <v>378</v>
      </c>
      <c r="D145" s="18" t="s">
        <v>656</v>
      </c>
      <c r="E145" s="18" t="s">
        <v>208</v>
      </c>
      <c r="F145" s="16">
        <v>30.32482</v>
      </c>
      <c r="G145" s="16">
        <v>-87.18103</v>
      </c>
      <c r="H145" s="16">
        <v>30.33119</v>
      </c>
      <c r="I145" s="17">
        <v>-87.29592</v>
      </c>
      <c r="J145" s="15" t="s">
        <v>657</v>
      </c>
      <c r="K145" s="15" t="s">
        <v>1093</v>
      </c>
      <c r="L145" s="15">
        <v>1.0</v>
      </c>
      <c r="M145" s="17">
        <v>30.31824</v>
      </c>
      <c r="N145" s="17">
        <v>-87.23952</v>
      </c>
      <c r="O145" s="15" t="s">
        <v>1141</v>
      </c>
      <c r="P145" s="15" t="s">
        <v>1142</v>
      </c>
    </row>
    <row r="146" ht="33.75" customHeight="1">
      <c r="A146" s="24">
        <v>42046.0</v>
      </c>
      <c r="B146" s="18" t="s">
        <v>377</v>
      </c>
      <c r="C146" s="18" t="s">
        <v>378</v>
      </c>
      <c r="D146" s="18" t="s">
        <v>656</v>
      </c>
      <c r="E146" s="18" t="s">
        <v>208</v>
      </c>
      <c r="F146" s="16">
        <v>30.32482</v>
      </c>
      <c r="G146" s="16">
        <v>-87.18103</v>
      </c>
      <c r="H146" s="16">
        <v>30.33119</v>
      </c>
      <c r="I146" s="17">
        <v>-87.29592</v>
      </c>
      <c r="J146" s="15" t="s">
        <v>657</v>
      </c>
      <c r="K146" s="15" t="s">
        <v>1093</v>
      </c>
      <c r="L146" s="15">
        <v>2.0</v>
      </c>
      <c r="M146" s="17">
        <v>30.31775</v>
      </c>
      <c r="N146" s="17">
        <v>-87.24604</v>
      </c>
      <c r="O146" s="15" t="s">
        <v>615</v>
      </c>
      <c r="P146" s="15" t="s">
        <v>1123</v>
      </c>
    </row>
    <row r="147" ht="33.75" customHeight="1">
      <c r="A147" s="24">
        <v>42046.0</v>
      </c>
      <c r="B147" s="18" t="s">
        <v>377</v>
      </c>
      <c r="C147" s="18" t="s">
        <v>378</v>
      </c>
      <c r="D147" s="18" t="s">
        <v>656</v>
      </c>
      <c r="E147" s="18" t="s">
        <v>208</v>
      </c>
      <c r="F147" s="16">
        <v>30.32482</v>
      </c>
      <c r="G147" s="16">
        <v>-87.18103</v>
      </c>
      <c r="H147" s="16">
        <v>30.33119</v>
      </c>
      <c r="I147" s="17">
        <v>-87.29592</v>
      </c>
      <c r="J147" s="15" t="s">
        <v>657</v>
      </c>
      <c r="K147" s="15" t="s">
        <v>1093</v>
      </c>
      <c r="L147" s="15">
        <v>3.0</v>
      </c>
      <c r="M147" s="17">
        <v>30.32962</v>
      </c>
      <c r="N147" s="17">
        <v>-87.30201</v>
      </c>
      <c r="O147" s="15" t="s">
        <v>611</v>
      </c>
      <c r="P147" s="15" t="s">
        <v>1145</v>
      </c>
    </row>
    <row r="148" ht="33.75" customHeight="1">
      <c r="A148" s="24">
        <v>42046.0</v>
      </c>
      <c r="B148" s="18" t="s">
        <v>377</v>
      </c>
      <c r="C148" s="18" t="s">
        <v>378</v>
      </c>
      <c r="D148" s="18" t="s">
        <v>656</v>
      </c>
      <c r="E148" s="18" t="s">
        <v>208</v>
      </c>
      <c r="F148" s="16">
        <v>30.32482</v>
      </c>
      <c r="G148" s="16">
        <v>-87.18103</v>
      </c>
      <c r="H148" s="16">
        <v>30.33119</v>
      </c>
      <c r="I148" s="17">
        <v>-87.29592</v>
      </c>
      <c r="J148" s="15" t="s">
        <v>657</v>
      </c>
      <c r="K148" s="15" t="s">
        <v>1093</v>
      </c>
      <c r="L148" s="15">
        <v>4.0</v>
      </c>
      <c r="M148" s="17">
        <v>30.3312</v>
      </c>
      <c r="N148" s="17">
        <v>-87.30163</v>
      </c>
      <c r="O148" s="15" t="s">
        <v>611</v>
      </c>
      <c r="P148" s="15" t="s">
        <v>1118</v>
      </c>
    </row>
    <row r="149" ht="33.75" customHeight="1">
      <c r="A149" s="24">
        <v>42046.0</v>
      </c>
      <c r="B149" s="18" t="s">
        <v>377</v>
      </c>
      <c r="C149" s="18" t="s">
        <v>378</v>
      </c>
      <c r="D149" s="18" t="s">
        <v>656</v>
      </c>
      <c r="E149" s="18" t="s">
        <v>208</v>
      </c>
      <c r="F149" s="16">
        <v>30.32482</v>
      </c>
      <c r="G149" s="16">
        <v>-87.18103</v>
      </c>
      <c r="H149" s="16">
        <v>30.33119</v>
      </c>
      <c r="I149" s="17">
        <v>-87.29592</v>
      </c>
      <c r="J149" s="15" t="s">
        <v>657</v>
      </c>
      <c r="K149" s="15" t="s">
        <v>1093</v>
      </c>
      <c r="L149" s="15">
        <v>5.0</v>
      </c>
      <c r="M149" s="17">
        <v>30.33144</v>
      </c>
      <c r="N149" s="17">
        <v>-87.30116</v>
      </c>
      <c r="O149" s="15" t="s">
        <v>1155</v>
      </c>
      <c r="P149" s="15" t="s">
        <v>1156</v>
      </c>
    </row>
    <row r="150" ht="33.75" customHeight="1">
      <c r="A150" s="24">
        <v>42046.0</v>
      </c>
      <c r="B150" s="18" t="s">
        <v>377</v>
      </c>
      <c r="C150" s="18" t="s">
        <v>378</v>
      </c>
      <c r="D150" s="18" t="s">
        <v>662</v>
      </c>
      <c r="E150" s="18" t="s">
        <v>208</v>
      </c>
      <c r="F150" s="16">
        <v>30.3309</v>
      </c>
      <c r="G150" s="16">
        <v>-87.30197</v>
      </c>
      <c r="H150" s="16">
        <v>30.3271</v>
      </c>
      <c r="I150" s="17">
        <v>-87.18102</v>
      </c>
      <c r="J150" s="15" t="s">
        <v>663</v>
      </c>
      <c r="K150" s="15" t="s">
        <v>1093</v>
      </c>
      <c r="L150" s="15">
        <v>1.0</v>
      </c>
      <c r="M150" s="17">
        <v>30.33137</v>
      </c>
      <c r="N150" s="17">
        <v>-87.30157</v>
      </c>
      <c r="O150" s="15" t="s">
        <v>696</v>
      </c>
      <c r="P150" s="15" t="s">
        <v>1157</v>
      </c>
    </row>
    <row r="151" ht="33.75" customHeight="1">
      <c r="A151" s="24">
        <v>42046.0</v>
      </c>
      <c r="B151" s="18" t="s">
        <v>377</v>
      </c>
      <c r="C151" s="18" t="s">
        <v>378</v>
      </c>
      <c r="D151" s="18" t="s">
        <v>662</v>
      </c>
      <c r="E151" s="18" t="s">
        <v>208</v>
      </c>
      <c r="F151" s="16">
        <v>30.3309</v>
      </c>
      <c r="G151" s="16">
        <v>-87.30197</v>
      </c>
      <c r="H151" s="16">
        <v>30.3271</v>
      </c>
      <c r="I151" s="17">
        <v>-87.18102</v>
      </c>
      <c r="J151" s="15" t="s">
        <v>663</v>
      </c>
      <c r="K151" s="15" t="s">
        <v>1093</v>
      </c>
      <c r="L151" s="15">
        <v>2.0</v>
      </c>
      <c r="M151" s="17">
        <v>30.32532</v>
      </c>
      <c r="N151" s="17">
        <v>-87.27012</v>
      </c>
      <c r="O151" s="15" t="s">
        <v>1164</v>
      </c>
      <c r="P151" s="15" t="s">
        <v>1166</v>
      </c>
    </row>
    <row r="152" ht="33.75" customHeight="1">
      <c r="A152" s="24">
        <v>42046.0</v>
      </c>
      <c r="B152" s="18" t="s">
        <v>377</v>
      </c>
      <c r="C152" s="18" t="s">
        <v>378</v>
      </c>
      <c r="D152" s="18" t="s">
        <v>662</v>
      </c>
      <c r="E152" s="18" t="s">
        <v>208</v>
      </c>
      <c r="F152" s="16">
        <v>30.3309</v>
      </c>
      <c r="G152" s="16">
        <v>-87.30197</v>
      </c>
      <c r="H152" s="16">
        <v>30.3271</v>
      </c>
      <c r="I152" s="17">
        <v>-87.18102</v>
      </c>
      <c r="J152" s="15" t="s">
        <v>663</v>
      </c>
      <c r="K152" s="15" t="s">
        <v>1093</v>
      </c>
      <c r="L152" s="15">
        <v>3.0</v>
      </c>
      <c r="M152" s="17">
        <v>30.32553</v>
      </c>
      <c r="N152" s="17">
        <v>-87.20023</v>
      </c>
      <c r="O152" s="15" t="s">
        <v>1169</v>
      </c>
      <c r="P152" s="15" t="s">
        <v>1170</v>
      </c>
    </row>
    <row r="153" ht="33.75" customHeight="1">
      <c r="A153" s="24">
        <v>42041.0</v>
      </c>
      <c r="B153" s="18" t="s">
        <v>681</v>
      </c>
      <c r="C153" s="18" t="s">
        <v>682</v>
      </c>
      <c r="D153" s="18" t="s">
        <v>683</v>
      </c>
      <c r="E153" s="18" t="s">
        <v>684</v>
      </c>
      <c r="F153" s="16">
        <v>29.442312</v>
      </c>
      <c r="G153" s="16">
        <v>-81.108901</v>
      </c>
      <c r="H153" s="16">
        <v>29.48</v>
      </c>
      <c r="I153" s="17">
        <v>-81.126126</v>
      </c>
      <c r="J153" s="15" t="s">
        <v>1171</v>
      </c>
      <c r="K153" s="15" t="s">
        <v>1172</v>
      </c>
      <c r="L153" s="15">
        <v>1.0</v>
      </c>
      <c r="M153" s="17">
        <v>29.478037</v>
      </c>
      <c r="N153" s="17">
        <v>-81.125547</v>
      </c>
      <c r="O153" s="15" t="s">
        <v>1173</v>
      </c>
      <c r="P153" s="15" t="s">
        <v>1174</v>
      </c>
    </row>
    <row r="154" ht="33.75" customHeight="1">
      <c r="A154" s="24">
        <v>42041.0</v>
      </c>
      <c r="B154" s="18" t="s">
        <v>698</v>
      </c>
      <c r="C154" s="18" t="s">
        <v>700</v>
      </c>
      <c r="D154" s="18" t="s">
        <v>1175</v>
      </c>
      <c r="E154" s="18" t="s">
        <v>684</v>
      </c>
      <c r="F154" s="16">
        <v>29.48</v>
      </c>
      <c r="G154" s="16">
        <v>-81.126126</v>
      </c>
      <c r="H154" s="16">
        <v>29.548889</v>
      </c>
      <c r="I154" s="17">
        <v>-81.160833</v>
      </c>
      <c r="J154" s="15" t="s">
        <v>705</v>
      </c>
      <c r="K154" s="15" t="s">
        <v>1172</v>
      </c>
      <c r="L154" s="15">
        <v>1.0</v>
      </c>
      <c r="M154" s="17">
        <v>29.501262</v>
      </c>
      <c r="N154" s="17">
        <v>-81.137002</v>
      </c>
      <c r="O154" s="15" t="s">
        <v>1178</v>
      </c>
    </row>
    <row r="155" ht="33.75" customHeight="1">
      <c r="A155" s="24">
        <v>42041.0</v>
      </c>
      <c r="B155" s="18" t="s">
        <v>698</v>
      </c>
      <c r="C155" s="18" t="s">
        <v>700</v>
      </c>
      <c r="D155" s="18" t="s">
        <v>1175</v>
      </c>
      <c r="E155" s="18" t="s">
        <v>684</v>
      </c>
      <c r="F155" s="16">
        <v>29.48</v>
      </c>
      <c r="G155" s="16">
        <v>-81.12613</v>
      </c>
      <c r="H155" s="16">
        <v>29.54889</v>
      </c>
      <c r="I155" s="17">
        <v>-81.160833</v>
      </c>
      <c r="J155" s="15" t="s">
        <v>705</v>
      </c>
      <c r="K155" s="15" t="s">
        <v>1172</v>
      </c>
      <c r="L155" s="15">
        <v>2.0</v>
      </c>
      <c r="M155" s="17">
        <v>29.508989</v>
      </c>
      <c r="N155" s="17">
        <v>-81.140173</v>
      </c>
      <c r="O155" s="15" t="s">
        <v>1181</v>
      </c>
    </row>
    <row r="156" ht="33.75" customHeight="1">
      <c r="A156" s="24">
        <v>42041.0</v>
      </c>
      <c r="B156" s="18" t="s">
        <v>698</v>
      </c>
      <c r="C156" s="18" t="s">
        <v>700</v>
      </c>
      <c r="D156" s="18" t="s">
        <v>1175</v>
      </c>
      <c r="E156" s="18" t="s">
        <v>684</v>
      </c>
      <c r="F156" s="16">
        <v>29.48</v>
      </c>
      <c r="G156" s="16">
        <v>-81.12613</v>
      </c>
      <c r="H156" s="16">
        <v>29.54889</v>
      </c>
      <c r="I156" s="17">
        <v>-81.16083</v>
      </c>
      <c r="J156" s="15" t="s">
        <v>705</v>
      </c>
      <c r="K156" s="15" t="s">
        <v>1172</v>
      </c>
      <c r="L156" s="15">
        <v>3.0</v>
      </c>
      <c r="M156" s="17">
        <v>29.520359</v>
      </c>
      <c r="N156" s="17">
        <v>-81.146368</v>
      </c>
      <c r="O156" s="15" t="s">
        <v>1188</v>
      </c>
    </row>
    <row r="157" ht="33.75" customHeight="1">
      <c r="A157" s="24">
        <v>42041.0</v>
      </c>
      <c r="B157" s="18" t="s">
        <v>1190</v>
      </c>
      <c r="C157" s="18" t="s">
        <v>714</v>
      </c>
      <c r="D157" s="18" t="s">
        <v>716</v>
      </c>
      <c r="E157" s="18" t="s">
        <v>684</v>
      </c>
      <c r="F157" s="16">
        <v>29.548889</v>
      </c>
      <c r="G157" s="16">
        <v>-81.160833</v>
      </c>
      <c r="H157" s="16">
        <v>29.63356</v>
      </c>
      <c r="I157" s="17">
        <v>-81.178687</v>
      </c>
      <c r="J157" s="15" t="s">
        <v>719</v>
      </c>
      <c r="K157" s="15" t="s">
        <v>1172</v>
      </c>
      <c r="L157" s="15">
        <v>1.0</v>
      </c>
      <c r="M157" s="17">
        <v>29.605538</v>
      </c>
      <c r="N157" s="17">
        <v>-81.185479</v>
      </c>
      <c r="O157" s="15" t="s">
        <v>1192</v>
      </c>
    </row>
    <row r="158" ht="33.75" customHeight="1">
      <c r="A158" s="24">
        <v>42041.0</v>
      </c>
      <c r="B158" s="18" t="s">
        <v>1194</v>
      </c>
      <c r="C158" s="18" t="s">
        <v>726</v>
      </c>
      <c r="D158" s="18" t="s">
        <v>1197</v>
      </c>
      <c r="E158" s="18" t="s">
        <v>684</v>
      </c>
      <c r="F158" s="16">
        <v>29.628889</v>
      </c>
      <c r="G158" s="16">
        <v>-81.208889</v>
      </c>
      <c r="H158" s="16">
        <v>29.670821</v>
      </c>
      <c r="I158" s="17">
        <v>-81.21539</v>
      </c>
      <c r="J158" s="15" t="s">
        <v>1200</v>
      </c>
      <c r="K158" s="15" t="s">
        <v>1172</v>
      </c>
      <c r="L158" s="15">
        <v>1.0</v>
      </c>
      <c r="M158" s="17">
        <v>29.668696</v>
      </c>
      <c r="N158" s="17">
        <v>-81.215991</v>
      </c>
      <c r="O158" s="15" t="s">
        <v>1202</v>
      </c>
    </row>
    <row r="159" ht="33.75" customHeight="1">
      <c r="A159" s="24">
        <v>42046.0</v>
      </c>
      <c r="B159" s="18" t="s">
        <v>500</v>
      </c>
      <c r="C159" s="18" t="s">
        <v>501</v>
      </c>
      <c r="D159" s="18" t="s">
        <v>502</v>
      </c>
      <c r="E159" s="18" t="s">
        <v>119</v>
      </c>
      <c r="F159" s="16">
        <v>29.68117</v>
      </c>
      <c r="G159" s="16">
        <v>-85.21696</v>
      </c>
      <c r="H159" s="16">
        <v>29.67376</v>
      </c>
      <c r="I159" s="17">
        <v>-85.07497</v>
      </c>
      <c r="J159" s="15" t="s">
        <v>888</v>
      </c>
      <c r="K159" s="15" t="s">
        <v>889</v>
      </c>
      <c r="L159" s="15">
        <v>1.0</v>
      </c>
      <c r="M159" s="17">
        <v>29.67826</v>
      </c>
      <c r="N159" s="17">
        <v>-85.22358</v>
      </c>
      <c r="O159" s="15" t="s">
        <v>1204</v>
      </c>
      <c r="P159" s="15" t="s">
        <v>1205</v>
      </c>
    </row>
    <row r="160" ht="33.75" customHeight="1">
      <c r="A160" s="24">
        <v>42046.0</v>
      </c>
      <c r="B160" s="18" t="s">
        <v>500</v>
      </c>
      <c r="C160" s="18" t="s">
        <v>501</v>
      </c>
      <c r="D160" s="18" t="s">
        <v>502</v>
      </c>
      <c r="E160" s="18" t="s">
        <v>119</v>
      </c>
      <c r="F160" s="16">
        <v>29.68117</v>
      </c>
      <c r="G160" s="16">
        <v>-85.21696</v>
      </c>
      <c r="H160" s="16">
        <v>29.67376</v>
      </c>
      <c r="I160" s="17">
        <v>-85.07497</v>
      </c>
      <c r="J160" s="15" t="s">
        <v>888</v>
      </c>
      <c r="K160" s="15" t="s">
        <v>889</v>
      </c>
      <c r="L160" s="15">
        <v>2.0</v>
      </c>
      <c r="M160" s="17">
        <v>29.67573</v>
      </c>
      <c r="N160" s="17">
        <v>-85.21677</v>
      </c>
      <c r="O160" s="15" t="s">
        <v>1207</v>
      </c>
      <c r="P160" s="15" t="s">
        <v>1209</v>
      </c>
    </row>
    <row r="161" ht="33.75" customHeight="1">
      <c r="A161" s="24">
        <v>42046.0</v>
      </c>
      <c r="B161" s="18" t="s">
        <v>500</v>
      </c>
      <c r="C161" s="18" t="s">
        <v>501</v>
      </c>
      <c r="D161" s="18" t="s">
        <v>502</v>
      </c>
      <c r="E161" s="18" t="s">
        <v>119</v>
      </c>
      <c r="F161" s="16">
        <v>29.68117</v>
      </c>
      <c r="G161" s="16">
        <v>-85.21696</v>
      </c>
      <c r="H161" s="16">
        <v>29.67376</v>
      </c>
      <c r="I161" s="17">
        <v>-85.07497</v>
      </c>
      <c r="J161" s="15" t="s">
        <v>888</v>
      </c>
      <c r="K161" s="15" t="s">
        <v>889</v>
      </c>
      <c r="L161" s="15">
        <v>3.0</v>
      </c>
      <c r="M161" s="17">
        <v>29.67532</v>
      </c>
      <c r="N161" s="17">
        <v>-85.21503</v>
      </c>
      <c r="O161" s="15" t="s">
        <v>1216</v>
      </c>
      <c r="P161" s="15" t="s">
        <v>1217</v>
      </c>
    </row>
    <row r="162" ht="33.75" customHeight="1">
      <c r="A162" s="24">
        <v>42046.0</v>
      </c>
      <c r="B162" s="18" t="s">
        <v>500</v>
      </c>
      <c r="C162" s="18" t="s">
        <v>501</v>
      </c>
      <c r="D162" s="18" t="s">
        <v>502</v>
      </c>
      <c r="E162" s="18" t="s">
        <v>119</v>
      </c>
      <c r="F162" s="16">
        <v>29.68117</v>
      </c>
      <c r="G162" s="16">
        <v>-85.21696</v>
      </c>
      <c r="H162" s="16">
        <v>29.67376</v>
      </c>
      <c r="I162" s="17">
        <v>-85.07497</v>
      </c>
      <c r="J162" s="15" t="s">
        <v>888</v>
      </c>
      <c r="K162" s="15" t="s">
        <v>889</v>
      </c>
      <c r="L162" s="15">
        <v>4.0</v>
      </c>
      <c r="M162" s="17">
        <v>29.65787</v>
      </c>
      <c r="N162" s="17">
        <v>-85.17314</v>
      </c>
      <c r="O162" s="15" t="s">
        <v>1220</v>
      </c>
      <c r="P162" s="15" t="s">
        <v>1222</v>
      </c>
    </row>
    <row r="163" ht="33.75" customHeight="1">
      <c r="A163" s="24">
        <v>42046.0</v>
      </c>
      <c r="B163" s="18" t="s">
        <v>500</v>
      </c>
      <c r="C163" s="18" t="s">
        <v>501</v>
      </c>
      <c r="D163" s="18" t="s">
        <v>502</v>
      </c>
      <c r="E163" s="18" t="s">
        <v>119</v>
      </c>
      <c r="F163" s="16">
        <v>29.68117</v>
      </c>
      <c r="G163" s="16">
        <v>-85.21696</v>
      </c>
      <c r="H163" s="16">
        <v>29.67376</v>
      </c>
      <c r="I163" s="17">
        <v>-85.07497</v>
      </c>
      <c r="J163" s="15" t="s">
        <v>888</v>
      </c>
      <c r="K163" s="15" t="s">
        <v>889</v>
      </c>
      <c r="L163" s="15">
        <v>5.0</v>
      </c>
      <c r="M163" s="17">
        <v>29.64342</v>
      </c>
      <c r="N163" s="17">
        <v>-85.15213</v>
      </c>
      <c r="O163" s="15" t="s">
        <v>1234</v>
      </c>
      <c r="P163" s="15" t="s">
        <v>1235</v>
      </c>
    </row>
    <row r="164" ht="33.75" customHeight="1">
      <c r="A164" s="24">
        <v>42046.0</v>
      </c>
      <c r="B164" s="18" t="s">
        <v>500</v>
      </c>
      <c r="C164" s="18" t="s">
        <v>501</v>
      </c>
      <c r="D164" s="18" t="s">
        <v>502</v>
      </c>
      <c r="E164" s="18" t="s">
        <v>119</v>
      </c>
      <c r="F164" s="16">
        <v>29.68117</v>
      </c>
      <c r="G164" s="16">
        <v>-85.21696</v>
      </c>
      <c r="H164" s="16">
        <v>29.67376</v>
      </c>
      <c r="I164" s="17">
        <v>-85.07497</v>
      </c>
      <c r="J164" s="15" t="s">
        <v>888</v>
      </c>
      <c r="K164" s="15" t="s">
        <v>889</v>
      </c>
      <c r="L164" s="15">
        <v>6.0</v>
      </c>
      <c r="M164" s="17">
        <v>29.64121</v>
      </c>
      <c r="N164" s="17">
        <v>-85.14993</v>
      </c>
      <c r="O164" s="15" t="s">
        <v>1240</v>
      </c>
      <c r="P164" s="15" t="s">
        <v>1241</v>
      </c>
    </row>
    <row r="165" ht="33.75" customHeight="1">
      <c r="A165" s="24">
        <v>42046.0</v>
      </c>
      <c r="B165" s="18" t="s">
        <v>500</v>
      </c>
      <c r="C165" s="18" t="s">
        <v>501</v>
      </c>
      <c r="D165" s="18" t="s">
        <v>502</v>
      </c>
      <c r="E165" s="18" t="s">
        <v>119</v>
      </c>
      <c r="F165" s="16">
        <v>29.68117</v>
      </c>
      <c r="G165" s="16">
        <v>-85.21696</v>
      </c>
      <c r="H165" s="16">
        <v>29.67376</v>
      </c>
      <c r="I165" s="17">
        <v>-85.07497</v>
      </c>
      <c r="J165" s="15" t="s">
        <v>888</v>
      </c>
      <c r="K165" s="15" t="s">
        <v>889</v>
      </c>
      <c r="L165" s="15">
        <v>7.0</v>
      </c>
      <c r="M165" s="17">
        <v>29.63391</v>
      </c>
      <c r="N165" s="17">
        <v>-85.14649</v>
      </c>
      <c r="O165" s="15" t="s">
        <v>1242</v>
      </c>
      <c r="P165" s="15" t="s">
        <v>1244</v>
      </c>
    </row>
    <row r="166" ht="33.75" customHeight="1">
      <c r="A166" s="24">
        <v>42046.0</v>
      </c>
      <c r="B166" s="18" t="s">
        <v>500</v>
      </c>
      <c r="C166" s="18" t="s">
        <v>501</v>
      </c>
      <c r="D166" s="18" t="s">
        <v>502</v>
      </c>
      <c r="E166" s="18" t="s">
        <v>119</v>
      </c>
      <c r="F166" s="16">
        <v>29.68117</v>
      </c>
      <c r="G166" s="16">
        <v>-85.21696</v>
      </c>
      <c r="H166" s="16">
        <v>29.67376</v>
      </c>
      <c r="I166" s="17">
        <v>-85.07497</v>
      </c>
      <c r="J166" s="15" t="s">
        <v>888</v>
      </c>
      <c r="K166" s="15" t="s">
        <v>889</v>
      </c>
      <c r="L166" s="15">
        <v>8.0</v>
      </c>
      <c r="M166" s="17">
        <v>29.63145</v>
      </c>
      <c r="N166" s="17">
        <v>-85.10265</v>
      </c>
      <c r="O166" s="15" t="s">
        <v>1245</v>
      </c>
      <c r="P166" s="15" t="s">
        <v>1246</v>
      </c>
    </row>
    <row r="167" ht="33.75" customHeight="1">
      <c r="A167" s="24">
        <v>42046.0</v>
      </c>
      <c r="B167" s="18" t="s">
        <v>500</v>
      </c>
      <c r="C167" s="18" t="s">
        <v>501</v>
      </c>
      <c r="D167" s="18" t="s">
        <v>502</v>
      </c>
      <c r="E167" s="18" t="s">
        <v>119</v>
      </c>
      <c r="F167" s="16">
        <v>29.68117</v>
      </c>
      <c r="G167" s="16">
        <v>-85.21696</v>
      </c>
      <c r="H167" s="16">
        <v>29.67376</v>
      </c>
      <c r="I167" s="17">
        <v>-85.07497</v>
      </c>
      <c r="J167" s="15" t="s">
        <v>888</v>
      </c>
      <c r="K167" s="15" t="s">
        <v>889</v>
      </c>
      <c r="L167" s="15">
        <v>9.0</v>
      </c>
      <c r="M167" s="17">
        <v>29.63</v>
      </c>
      <c r="N167" s="17">
        <v>-85.11791</v>
      </c>
      <c r="O167" s="15" t="s">
        <v>1249</v>
      </c>
      <c r="P167" s="15" t="s">
        <v>1250</v>
      </c>
    </row>
    <row r="168" ht="33.75" customHeight="1">
      <c r="A168" s="24">
        <v>42042.0</v>
      </c>
      <c r="B168" s="18" t="s">
        <v>895</v>
      </c>
      <c r="C168" s="18" t="s">
        <v>896</v>
      </c>
      <c r="D168" s="18" t="s">
        <v>897</v>
      </c>
      <c r="E168" s="18" t="s">
        <v>119</v>
      </c>
      <c r="F168" s="16">
        <v>29.83853</v>
      </c>
      <c r="G168" s="16">
        <v>-84.66152</v>
      </c>
      <c r="H168" s="16">
        <v>29.839127</v>
      </c>
      <c r="I168" s="17">
        <v>-84.65712</v>
      </c>
      <c r="J168" s="15" t="s">
        <v>898</v>
      </c>
      <c r="K168" s="15" t="s">
        <v>899</v>
      </c>
      <c r="L168" s="15">
        <v>1.0</v>
      </c>
      <c r="M168" s="17">
        <v>29.8359</v>
      </c>
      <c r="N168" s="17">
        <v>-84.65867</v>
      </c>
      <c r="O168" s="15" t="s">
        <v>1258</v>
      </c>
      <c r="P168" s="15" t="s">
        <v>1259</v>
      </c>
    </row>
    <row r="169" ht="33.75" customHeight="1">
      <c r="A169" s="24">
        <v>42042.0</v>
      </c>
      <c r="B169" s="18" t="s">
        <v>895</v>
      </c>
      <c r="C169" s="18" t="s">
        <v>896</v>
      </c>
      <c r="D169" s="18" t="s">
        <v>897</v>
      </c>
      <c r="E169" s="18" t="s">
        <v>119</v>
      </c>
      <c r="F169" s="16">
        <v>29.83853</v>
      </c>
      <c r="G169" s="16">
        <v>-84.66152</v>
      </c>
      <c r="H169" s="16">
        <v>29.839127</v>
      </c>
      <c r="I169" s="17">
        <v>-84.65712</v>
      </c>
      <c r="J169" s="15" t="s">
        <v>898</v>
      </c>
      <c r="K169" s="15" t="s">
        <v>899</v>
      </c>
      <c r="L169" s="15">
        <v>2.0</v>
      </c>
      <c r="M169" s="17">
        <v>29.83688</v>
      </c>
      <c r="N169" s="17">
        <v>-84.65524</v>
      </c>
      <c r="O169" s="15" t="s">
        <v>1260</v>
      </c>
      <c r="P169" s="15" t="s">
        <v>1259</v>
      </c>
    </row>
    <row r="170" ht="33.75" customHeight="1">
      <c r="A170" s="24">
        <v>42042.0</v>
      </c>
      <c r="B170" s="18" t="s">
        <v>895</v>
      </c>
      <c r="C170" s="18" t="s">
        <v>896</v>
      </c>
      <c r="D170" s="18" t="s">
        <v>905</v>
      </c>
      <c r="E170" s="18" t="s">
        <v>119</v>
      </c>
      <c r="F170" s="16">
        <v>29.91189</v>
      </c>
      <c r="G170" s="16">
        <v>-84.36762</v>
      </c>
      <c r="H170" s="16">
        <v>29.9164</v>
      </c>
      <c r="I170" s="17">
        <v>-84.39169</v>
      </c>
      <c r="J170" s="15" t="s">
        <v>906</v>
      </c>
      <c r="K170" s="15" t="s">
        <v>907</v>
      </c>
      <c r="L170" s="15">
        <v>1.0</v>
      </c>
      <c r="M170" s="17">
        <v>29.9139</v>
      </c>
      <c r="N170" s="17">
        <v>-84.38138</v>
      </c>
      <c r="O170" s="15" t="s">
        <v>1262</v>
      </c>
      <c r="P170" s="15" t="s">
        <v>1259</v>
      </c>
    </row>
    <row r="171" ht="33.75" customHeight="1">
      <c r="A171" s="24">
        <v>42042.0</v>
      </c>
      <c r="B171" s="18" t="s">
        <v>895</v>
      </c>
      <c r="C171" s="18" t="s">
        <v>896</v>
      </c>
      <c r="D171" s="18" t="s">
        <v>905</v>
      </c>
      <c r="E171" s="18" t="s">
        <v>119</v>
      </c>
      <c r="F171" s="16">
        <v>29.91189</v>
      </c>
      <c r="G171" s="16">
        <v>-84.36762</v>
      </c>
      <c r="H171" s="16">
        <v>29.9164</v>
      </c>
      <c r="I171" s="17">
        <v>-84.39169</v>
      </c>
      <c r="J171" s="15" t="s">
        <v>906</v>
      </c>
      <c r="K171" s="15" t="s">
        <v>907</v>
      </c>
      <c r="L171" s="15">
        <v>2.0</v>
      </c>
      <c r="M171" s="17">
        <v>29.91433</v>
      </c>
      <c r="N171" s="17">
        <v>-84.38914</v>
      </c>
      <c r="O171" s="15" t="s">
        <v>1269</v>
      </c>
      <c r="P171" s="15" t="s">
        <v>1259</v>
      </c>
    </row>
    <row r="172" ht="33.75" customHeight="1">
      <c r="A172" s="24">
        <v>42042.0</v>
      </c>
      <c r="B172" s="18" t="s">
        <v>895</v>
      </c>
      <c r="C172" s="18" t="s">
        <v>896</v>
      </c>
      <c r="D172" s="18" t="s">
        <v>905</v>
      </c>
      <c r="E172" s="18" t="s">
        <v>119</v>
      </c>
      <c r="F172" s="16">
        <v>29.91189</v>
      </c>
      <c r="G172" s="16">
        <v>-84.36762</v>
      </c>
      <c r="H172" s="16">
        <v>29.9164</v>
      </c>
      <c r="I172" s="17">
        <v>-84.39169</v>
      </c>
      <c r="J172" s="15" t="s">
        <v>906</v>
      </c>
      <c r="K172" s="15" t="s">
        <v>907</v>
      </c>
      <c r="L172" s="15">
        <v>3.0</v>
      </c>
      <c r="M172" s="17">
        <v>29.97071</v>
      </c>
      <c r="N172" s="17">
        <v>-84.34293</v>
      </c>
      <c r="O172" s="15" t="s">
        <v>1262</v>
      </c>
      <c r="P172" s="15" t="s">
        <v>1259</v>
      </c>
    </row>
    <row r="173" ht="33.75" customHeight="1">
      <c r="A173" s="24">
        <v>42042.0</v>
      </c>
      <c r="B173" s="18" t="s">
        <v>335</v>
      </c>
      <c r="C173" s="18" t="s">
        <v>104</v>
      </c>
      <c r="D173" s="18" t="s">
        <v>336</v>
      </c>
      <c r="E173" s="18" t="s">
        <v>119</v>
      </c>
      <c r="F173" s="16">
        <v>29.90457</v>
      </c>
      <c r="G173" s="16">
        <v>-84.4242</v>
      </c>
      <c r="H173" s="16">
        <v>29.91896</v>
      </c>
      <c r="I173" s="17">
        <v>-84.4412</v>
      </c>
      <c r="J173" s="15" t="s">
        <v>831</v>
      </c>
      <c r="K173" s="15" t="s">
        <v>832</v>
      </c>
      <c r="L173" s="15">
        <v>1.0</v>
      </c>
      <c r="M173" s="17">
        <v>29.90734</v>
      </c>
      <c r="N173" s="17">
        <v>-84.43054</v>
      </c>
      <c r="O173" s="15" t="s">
        <v>583</v>
      </c>
      <c r="P173" s="15" t="s">
        <v>568</v>
      </c>
    </row>
    <row r="174" ht="33.75" customHeight="1">
      <c r="A174" s="24">
        <v>42042.0</v>
      </c>
      <c r="B174" s="18" t="s">
        <v>335</v>
      </c>
      <c r="C174" s="18" t="s">
        <v>104</v>
      </c>
      <c r="D174" s="18" t="s">
        <v>336</v>
      </c>
      <c r="E174" s="18" t="s">
        <v>119</v>
      </c>
      <c r="F174" s="16">
        <v>29.90457</v>
      </c>
      <c r="G174" s="16">
        <v>-84.4242</v>
      </c>
      <c r="H174" s="16">
        <v>29.91896</v>
      </c>
      <c r="I174" s="17">
        <v>-84.4412</v>
      </c>
      <c r="J174" s="15" t="s">
        <v>831</v>
      </c>
      <c r="K174" s="15" t="s">
        <v>832</v>
      </c>
      <c r="L174" s="15">
        <v>2.0</v>
      </c>
      <c r="M174" s="15">
        <v>29.90851</v>
      </c>
      <c r="N174" s="15">
        <v>-84.43308</v>
      </c>
      <c r="O174" s="15" t="s">
        <v>565</v>
      </c>
    </row>
    <row r="175" ht="33.75" customHeight="1">
      <c r="A175" s="24">
        <v>42042.0</v>
      </c>
      <c r="B175" s="18" t="s">
        <v>335</v>
      </c>
      <c r="C175" s="18" t="s">
        <v>104</v>
      </c>
      <c r="D175" s="18" t="s">
        <v>336</v>
      </c>
      <c r="E175" s="18" t="s">
        <v>119</v>
      </c>
      <c r="F175" s="16">
        <v>29.90457</v>
      </c>
      <c r="G175" s="16">
        <v>-84.4242</v>
      </c>
      <c r="H175" s="16">
        <v>29.91896</v>
      </c>
      <c r="I175" s="17">
        <v>-84.4412</v>
      </c>
      <c r="J175" s="15" t="s">
        <v>831</v>
      </c>
      <c r="K175" s="15" t="s">
        <v>832</v>
      </c>
      <c r="L175" s="15">
        <v>3.0</v>
      </c>
      <c r="M175" s="17">
        <v>29.90897</v>
      </c>
      <c r="N175" s="17">
        <v>-84.43457</v>
      </c>
      <c r="O175" s="15" t="s">
        <v>1276</v>
      </c>
      <c r="P175" s="15" t="s">
        <v>1278</v>
      </c>
    </row>
    <row r="176" ht="33.75" customHeight="1">
      <c r="A176" s="24">
        <v>42042.0</v>
      </c>
      <c r="B176" s="18" t="s">
        <v>335</v>
      </c>
      <c r="C176" s="18" t="s">
        <v>104</v>
      </c>
      <c r="D176" s="18" t="s">
        <v>336</v>
      </c>
      <c r="E176" s="18" t="s">
        <v>119</v>
      </c>
      <c r="F176" s="16">
        <v>29.90457</v>
      </c>
      <c r="G176" s="16">
        <v>-84.4242</v>
      </c>
      <c r="H176" s="16">
        <v>29.91896</v>
      </c>
      <c r="I176" s="17">
        <v>-84.4412</v>
      </c>
      <c r="J176" s="15" t="s">
        <v>831</v>
      </c>
      <c r="K176" s="15" t="s">
        <v>832</v>
      </c>
      <c r="L176" s="15">
        <v>4.0</v>
      </c>
      <c r="M176" s="17">
        <v>29.91132</v>
      </c>
      <c r="N176" s="17">
        <v>-84.43703</v>
      </c>
      <c r="O176" s="15" t="s">
        <v>1281</v>
      </c>
    </row>
    <row r="177" ht="33.75" customHeight="1">
      <c r="A177" s="24">
        <v>42042.0</v>
      </c>
      <c r="B177" s="18" t="s">
        <v>335</v>
      </c>
      <c r="C177" s="18" t="s">
        <v>104</v>
      </c>
      <c r="D177" s="18" t="s">
        <v>336</v>
      </c>
      <c r="E177" s="18" t="s">
        <v>119</v>
      </c>
      <c r="F177" s="16">
        <v>29.90457</v>
      </c>
      <c r="G177" s="16">
        <v>-84.4242</v>
      </c>
      <c r="H177" s="16">
        <v>29.91896</v>
      </c>
      <c r="I177" s="17">
        <v>-84.4412</v>
      </c>
      <c r="J177" s="15" t="s">
        <v>831</v>
      </c>
      <c r="K177" s="15" t="s">
        <v>832</v>
      </c>
      <c r="L177" s="15">
        <v>5.0</v>
      </c>
      <c r="M177" s="17">
        <v>29.91304</v>
      </c>
      <c r="N177" s="17">
        <v>-84.4394</v>
      </c>
      <c r="O177" s="15" t="s">
        <v>565</v>
      </c>
    </row>
    <row r="178" ht="33.75" customHeight="1">
      <c r="A178" s="24">
        <v>42042.0</v>
      </c>
      <c r="B178" s="18" t="s">
        <v>335</v>
      </c>
      <c r="C178" s="18" t="s">
        <v>104</v>
      </c>
      <c r="D178" s="18" t="s">
        <v>336</v>
      </c>
      <c r="E178" s="18" t="s">
        <v>119</v>
      </c>
      <c r="F178" s="16">
        <v>29.90457</v>
      </c>
      <c r="G178" s="16">
        <v>-84.4242</v>
      </c>
      <c r="H178" s="16">
        <v>29.91896</v>
      </c>
      <c r="I178" s="17">
        <v>-84.4412</v>
      </c>
      <c r="J178" s="15" t="s">
        <v>831</v>
      </c>
      <c r="K178" s="15" t="s">
        <v>832</v>
      </c>
      <c r="L178" s="15">
        <v>6.0</v>
      </c>
      <c r="M178" s="17">
        <v>29.91384</v>
      </c>
      <c r="N178" s="17">
        <v>-84.44047</v>
      </c>
      <c r="O178" s="15" t="s">
        <v>1284</v>
      </c>
    </row>
    <row r="179" ht="33.75" customHeight="1">
      <c r="A179" s="24">
        <v>42042.0</v>
      </c>
      <c r="B179" s="18" t="s">
        <v>335</v>
      </c>
      <c r="C179" s="18" t="s">
        <v>104</v>
      </c>
      <c r="D179" s="18" t="s">
        <v>336</v>
      </c>
      <c r="E179" s="18" t="s">
        <v>119</v>
      </c>
      <c r="F179" s="16">
        <v>29.90457</v>
      </c>
      <c r="G179" s="16">
        <v>-84.4242</v>
      </c>
      <c r="H179" s="16">
        <v>29.91896</v>
      </c>
      <c r="I179" s="17">
        <v>-84.4412</v>
      </c>
      <c r="J179" s="15" t="s">
        <v>831</v>
      </c>
      <c r="K179" s="15" t="s">
        <v>832</v>
      </c>
      <c r="L179" s="15">
        <v>7.0</v>
      </c>
      <c r="M179" s="17">
        <v>29.91434</v>
      </c>
      <c r="N179" s="17">
        <v>-84.44094</v>
      </c>
      <c r="O179" s="15" t="s">
        <v>1288</v>
      </c>
      <c r="P179" s="15" t="s">
        <v>1289</v>
      </c>
    </row>
    <row r="180" ht="33.75" customHeight="1">
      <c r="A180" s="24">
        <v>42042.0</v>
      </c>
      <c r="B180" s="18" t="s">
        <v>335</v>
      </c>
      <c r="C180" s="18" t="s">
        <v>104</v>
      </c>
      <c r="D180" s="18" t="s">
        <v>336</v>
      </c>
      <c r="E180" s="18" t="s">
        <v>119</v>
      </c>
      <c r="F180" s="16">
        <v>29.90457</v>
      </c>
      <c r="G180" s="16">
        <v>-84.4242</v>
      </c>
      <c r="H180" s="16">
        <v>29.91896</v>
      </c>
      <c r="I180" s="17">
        <v>-84.4412</v>
      </c>
      <c r="J180" s="15" t="s">
        <v>831</v>
      </c>
      <c r="K180" s="15" t="s">
        <v>832</v>
      </c>
      <c r="L180" s="15">
        <v>8.0</v>
      </c>
      <c r="M180" s="17">
        <v>29.90848</v>
      </c>
      <c r="N180" s="17">
        <v>-84.43198</v>
      </c>
      <c r="O180" s="15" t="s">
        <v>1290</v>
      </c>
    </row>
    <row r="181" ht="33.75" customHeight="1">
      <c r="A181" s="24">
        <v>42042.0</v>
      </c>
      <c r="B181" s="18" t="s">
        <v>335</v>
      </c>
      <c r="C181" s="18" t="s">
        <v>104</v>
      </c>
      <c r="D181" s="18" t="s">
        <v>336</v>
      </c>
      <c r="E181" s="18" t="s">
        <v>119</v>
      </c>
      <c r="F181" s="16">
        <v>29.90457</v>
      </c>
      <c r="G181" s="16">
        <v>-84.4242</v>
      </c>
      <c r="H181" s="16">
        <v>29.91896</v>
      </c>
      <c r="I181" s="17">
        <v>-84.4412</v>
      </c>
      <c r="J181" s="15" t="s">
        <v>831</v>
      </c>
      <c r="K181" s="15" t="s">
        <v>832</v>
      </c>
      <c r="L181" s="15">
        <v>9.0</v>
      </c>
      <c r="M181" s="17">
        <v>29.91181</v>
      </c>
      <c r="N181" s="17">
        <v>-84.4362</v>
      </c>
      <c r="O181" s="15" t="s">
        <v>1262</v>
      </c>
    </row>
    <row r="182" ht="33.75" customHeight="1">
      <c r="A182" s="24">
        <v>42042.0</v>
      </c>
      <c r="B182" s="18" t="s">
        <v>335</v>
      </c>
      <c r="C182" s="18" t="s">
        <v>104</v>
      </c>
      <c r="D182" s="18" t="s">
        <v>336</v>
      </c>
      <c r="E182" s="18" t="s">
        <v>119</v>
      </c>
      <c r="F182" s="16">
        <v>29.90457</v>
      </c>
      <c r="G182" s="16">
        <v>-84.4242</v>
      </c>
      <c r="H182" s="16">
        <v>29.91896</v>
      </c>
      <c r="I182" s="17">
        <v>-84.4412</v>
      </c>
      <c r="J182" s="15" t="s">
        <v>831</v>
      </c>
      <c r="K182" s="15" t="s">
        <v>832</v>
      </c>
      <c r="L182" s="15">
        <v>10.0</v>
      </c>
      <c r="M182" s="17">
        <v>29.91601</v>
      </c>
      <c r="N182" s="17">
        <v>-84.441</v>
      </c>
      <c r="O182" s="15" t="s">
        <v>1299</v>
      </c>
    </row>
    <row r="183" ht="33.75" customHeight="1">
      <c r="A183" s="24">
        <v>42047.0</v>
      </c>
      <c r="B183" s="18" t="s">
        <v>117</v>
      </c>
      <c r="C183" s="18" t="s">
        <v>104</v>
      </c>
      <c r="D183" s="18" t="s">
        <v>118</v>
      </c>
      <c r="E183" s="18" t="s">
        <v>119</v>
      </c>
      <c r="F183" s="16">
        <v>29.69373</v>
      </c>
      <c r="G183" s="16">
        <v>-84.78785</v>
      </c>
      <c r="H183" s="16">
        <v>29.70303</v>
      </c>
      <c r="I183" s="17">
        <v>-84.801</v>
      </c>
      <c r="J183" s="15" t="s">
        <v>929</v>
      </c>
      <c r="K183" s="15" t="s">
        <v>930</v>
      </c>
      <c r="L183" s="15">
        <v>1.0</v>
      </c>
      <c r="M183" s="17">
        <v>29.69499</v>
      </c>
      <c r="N183" s="17">
        <v>-84.7885</v>
      </c>
      <c r="O183" s="15" t="s">
        <v>1301</v>
      </c>
    </row>
    <row r="184" ht="33.75" customHeight="1">
      <c r="A184" s="24">
        <v>42047.0</v>
      </c>
      <c r="B184" s="18" t="s">
        <v>117</v>
      </c>
      <c r="C184" s="18" t="s">
        <v>104</v>
      </c>
      <c r="D184" s="18" t="s">
        <v>118</v>
      </c>
      <c r="E184" s="18" t="s">
        <v>119</v>
      </c>
      <c r="F184" s="16">
        <v>29.69373</v>
      </c>
      <c r="G184" s="16">
        <v>-84.78785</v>
      </c>
      <c r="H184" s="16">
        <v>29.70303</v>
      </c>
      <c r="I184" s="17">
        <v>-84.801</v>
      </c>
      <c r="J184" s="15" t="s">
        <v>929</v>
      </c>
      <c r="K184" s="15" t="s">
        <v>930</v>
      </c>
      <c r="L184" s="15">
        <v>2.0</v>
      </c>
      <c r="M184" s="17">
        <v>29.69596</v>
      </c>
      <c r="N184" s="17">
        <v>-84.78925</v>
      </c>
      <c r="O184" s="15" t="s">
        <v>1301</v>
      </c>
    </row>
    <row r="185" ht="33.75" customHeight="1">
      <c r="A185" s="24">
        <v>42047.0</v>
      </c>
      <c r="B185" s="18" t="s">
        <v>117</v>
      </c>
      <c r="C185" s="18" t="s">
        <v>104</v>
      </c>
      <c r="D185" s="18" t="s">
        <v>118</v>
      </c>
      <c r="E185" s="18" t="s">
        <v>119</v>
      </c>
      <c r="F185" s="16">
        <v>29.69373</v>
      </c>
      <c r="G185" s="16">
        <v>-84.78785</v>
      </c>
      <c r="H185" s="16">
        <v>29.70303</v>
      </c>
      <c r="I185" s="17">
        <v>-84.801</v>
      </c>
      <c r="J185" s="15" t="s">
        <v>929</v>
      </c>
      <c r="K185" s="15" t="s">
        <v>930</v>
      </c>
      <c r="L185" s="15">
        <v>3.0</v>
      </c>
      <c r="M185" s="17">
        <v>29.69665</v>
      </c>
      <c r="N185" s="17">
        <v>-84.78935</v>
      </c>
      <c r="O185" s="15" t="s">
        <v>1307</v>
      </c>
    </row>
    <row r="186" ht="33.75" customHeight="1">
      <c r="A186" s="24">
        <v>42047.0</v>
      </c>
      <c r="B186" s="18" t="s">
        <v>117</v>
      </c>
      <c r="C186" s="18" t="s">
        <v>104</v>
      </c>
      <c r="D186" s="18" t="s">
        <v>118</v>
      </c>
      <c r="E186" s="18" t="s">
        <v>119</v>
      </c>
      <c r="F186" s="16">
        <v>29.69373</v>
      </c>
      <c r="G186" s="16">
        <v>-84.78785</v>
      </c>
      <c r="H186" s="16">
        <v>29.70303</v>
      </c>
      <c r="I186" s="17">
        <v>-84.801</v>
      </c>
      <c r="J186" s="15" t="s">
        <v>929</v>
      </c>
      <c r="K186" s="15" t="s">
        <v>930</v>
      </c>
      <c r="L186" s="15">
        <v>4.0</v>
      </c>
      <c r="M186" s="17">
        <v>29.69774</v>
      </c>
      <c r="N186" s="17">
        <v>-84.7895</v>
      </c>
      <c r="O186" s="15" t="s">
        <v>1301</v>
      </c>
    </row>
    <row r="187" ht="33.75" customHeight="1">
      <c r="A187" s="24">
        <v>42047.0</v>
      </c>
      <c r="B187" s="18" t="s">
        <v>117</v>
      </c>
      <c r="C187" s="18" t="s">
        <v>104</v>
      </c>
      <c r="D187" s="18" t="s">
        <v>118</v>
      </c>
      <c r="E187" s="18" t="s">
        <v>119</v>
      </c>
      <c r="F187" s="16">
        <v>29.69373</v>
      </c>
      <c r="G187" s="16">
        <v>-84.78785</v>
      </c>
      <c r="H187" s="16">
        <v>29.70303</v>
      </c>
      <c r="I187" s="17">
        <v>-84.801</v>
      </c>
      <c r="J187" s="15" t="s">
        <v>929</v>
      </c>
      <c r="K187" s="15" t="s">
        <v>930</v>
      </c>
      <c r="L187" s="15">
        <v>5.0</v>
      </c>
      <c r="M187" s="17">
        <v>29.6983</v>
      </c>
      <c r="N187" s="17">
        <v>-84.79021</v>
      </c>
      <c r="O187" s="15" t="s">
        <v>1310</v>
      </c>
    </row>
    <row r="188" ht="33.75" customHeight="1">
      <c r="A188" s="24">
        <v>42047.0</v>
      </c>
      <c r="B188" s="18" t="s">
        <v>117</v>
      </c>
      <c r="C188" s="18" t="s">
        <v>104</v>
      </c>
      <c r="D188" s="18" t="s">
        <v>118</v>
      </c>
      <c r="E188" s="18" t="s">
        <v>119</v>
      </c>
      <c r="F188" s="16">
        <v>29.69373</v>
      </c>
      <c r="G188" s="16">
        <v>-84.78785</v>
      </c>
      <c r="H188" s="16">
        <v>29.70303</v>
      </c>
      <c r="I188" s="17">
        <v>-84.801</v>
      </c>
      <c r="J188" s="15" t="s">
        <v>929</v>
      </c>
      <c r="K188" s="15" t="s">
        <v>930</v>
      </c>
      <c r="L188" s="15">
        <v>6.0</v>
      </c>
      <c r="M188" s="17">
        <v>29.70135</v>
      </c>
      <c r="N188" s="17">
        <v>-84.79284</v>
      </c>
      <c r="O188" s="15" t="s">
        <v>1262</v>
      </c>
    </row>
    <row r="189" ht="33.75" customHeight="1">
      <c r="A189" s="24">
        <v>42047.0</v>
      </c>
      <c r="B189" s="18" t="s">
        <v>117</v>
      </c>
      <c r="C189" s="18" t="s">
        <v>104</v>
      </c>
      <c r="D189" s="18" t="s">
        <v>118</v>
      </c>
      <c r="E189" s="18" t="s">
        <v>119</v>
      </c>
      <c r="F189" s="16">
        <v>29.69373</v>
      </c>
      <c r="G189" s="16">
        <v>-84.78785</v>
      </c>
      <c r="H189" s="16">
        <v>29.70303</v>
      </c>
      <c r="I189" s="17">
        <v>-84.801</v>
      </c>
      <c r="J189" s="15" t="s">
        <v>929</v>
      </c>
      <c r="K189" s="15" t="s">
        <v>930</v>
      </c>
      <c r="L189" s="15">
        <v>7.0</v>
      </c>
      <c r="M189" s="17">
        <v>29.70232</v>
      </c>
      <c r="N189" s="17">
        <v>-84.80034</v>
      </c>
      <c r="O189" s="15" t="s">
        <v>1310</v>
      </c>
    </row>
    <row r="190" ht="33.75" customHeight="1">
      <c r="A190" s="24">
        <v>42047.0</v>
      </c>
      <c r="B190" s="18" t="s">
        <v>117</v>
      </c>
      <c r="C190" s="18" t="s">
        <v>104</v>
      </c>
      <c r="D190" s="18" t="s">
        <v>118</v>
      </c>
      <c r="E190" s="18" t="s">
        <v>119</v>
      </c>
      <c r="F190" s="16">
        <v>29.69373</v>
      </c>
      <c r="G190" s="16">
        <v>-84.78785</v>
      </c>
      <c r="H190" s="16">
        <v>29.70303</v>
      </c>
      <c r="I190" s="17">
        <v>-84.801</v>
      </c>
      <c r="J190" s="15" t="s">
        <v>929</v>
      </c>
      <c r="K190" s="15" t="s">
        <v>930</v>
      </c>
      <c r="L190" s="15">
        <v>8.0</v>
      </c>
      <c r="M190" s="17">
        <v>29.69807</v>
      </c>
      <c r="N190" s="17">
        <v>-84.79792</v>
      </c>
      <c r="O190" s="15" t="s">
        <v>1262</v>
      </c>
    </row>
    <row r="191" ht="33.75" customHeight="1">
      <c r="A191" s="24">
        <v>42047.0</v>
      </c>
      <c r="B191" s="18" t="s">
        <v>117</v>
      </c>
      <c r="C191" s="18" t="s">
        <v>104</v>
      </c>
      <c r="D191" s="18" t="s">
        <v>118</v>
      </c>
      <c r="E191" s="18" t="s">
        <v>119</v>
      </c>
      <c r="F191" s="16">
        <v>29.69373</v>
      </c>
      <c r="G191" s="16">
        <v>-84.78785</v>
      </c>
      <c r="H191" s="16">
        <v>29.70303</v>
      </c>
      <c r="I191" s="17">
        <v>-84.801</v>
      </c>
      <c r="J191" s="15" t="s">
        <v>929</v>
      </c>
      <c r="K191" s="15" t="s">
        <v>930</v>
      </c>
      <c r="L191" s="15">
        <v>9.0</v>
      </c>
      <c r="M191" s="17">
        <v>29.69524</v>
      </c>
      <c r="N191" s="17">
        <v>-84.79798</v>
      </c>
      <c r="O191" s="15" t="s">
        <v>1262</v>
      </c>
    </row>
    <row r="192" ht="33.75" customHeight="1">
      <c r="A192" s="24">
        <v>42047.0</v>
      </c>
      <c r="B192" s="18" t="s">
        <v>117</v>
      </c>
      <c r="C192" s="18" t="s">
        <v>104</v>
      </c>
      <c r="D192" s="18" t="s">
        <v>118</v>
      </c>
      <c r="E192" s="18" t="s">
        <v>119</v>
      </c>
      <c r="F192" s="16">
        <v>29.69373</v>
      </c>
      <c r="G192" s="16">
        <v>-84.78785</v>
      </c>
      <c r="H192" s="16">
        <v>29.70303</v>
      </c>
      <c r="I192" s="17">
        <v>-84.801</v>
      </c>
      <c r="J192" s="15" t="s">
        <v>929</v>
      </c>
      <c r="K192" s="15" t="s">
        <v>930</v>
      </c>
      <c r="L192" s="15">
        <v>10.0</v>
      </c>
      <c r="M192" s="17">
        <v>29.69658</v>
      </c>
      <c r="N192" s="17">
        <v>-84.7803</v>
      </c>
      <c r="O192" s="15" t="s">
        <v>1262</v>
      </c>
    </row>
    <row r="193" ht="33.75" customHeight="1">
      <c r="A193" s="24">
        <v>42047.0</v>
      </c>
      <c r="B193" s="18" t="s">
        <v>117</v>
      </c>
      <c r="C193" s="18" t="s">
        <v>104</v>
      </c>
      <c r="D193" s="18" t="s">
        <v>118</v>
      </c>
      <c r="E193" s="18" t="s">
        <v>119</v>
      </c>
      <c r="F193" s="16">
        <v>29.69373</v>
      </c>
      <c r="G193" s="16">
        <v>-84.78785</v>
      </c>
      <c r="H193" s="16">
        <v>29.70303</v>
      </c>
      <c r="I193" s="17">
        <v>-84.801</v>
      </c>
      <c r="J193" s="15" t="s">
        <v>929</v>
      </c>
      <c r="K193" s="15" t="s">
        <v>930</v>
      </c>
      <c r="L193" s="15">
        <v>11.0</v>
      </c>
      <c r="M193" s="17">
        <v>29.69877</v>
      </c>
      <c r="N193" s="17">
        <v>-84.77737</v>
      </c>
      <c r="O193" s="15" t="s">
        <v>1262</v>
      </c>
    </row>
    <row r="194" ht="33.75" customHeight="1">
      <c r="A194" s="24">
        <v>42047.0</v>
      </c>
      <c r="B194" s="18" t="s">
        <v>117</v>
      </c>
      <c r="C194" s="18" t="s">
        <v>104</v>
      </c>
      <c r="D194" s="18" t="s">
        <v>123</v>
      </c>
      <c r="E194" s="18" t="s">
        <v>119</v>
      </c>
      <c r="F194" s="16">
        <v>29.6823</v>
      </c>
      <c r="G194" s="16">
        <v>-84.79735</v>
      </c>
      <c r="H194" s="16">
        <v>29.77214</v>
      </c>
      <c r="I194" s="17">
        <v>-84.69551</v>
      </c>
      <c r="J194" s="15" t="s">
        <v>935</v>
      </c>
      <c r="K194" s="15" t="s">
        <v>936</v>
      </c>
      <c r="L194" s="15">
        <v>1.0</v>
      </c>
      <c r="M194" s="17">
        <v>29.6997</v>
      </c>
      <c r="N194" s="17">
        <v>-84.76833</v>
      </c>
      <c r="O194" s="15" t="s">
        <v>1262</v>
      </c>
      <c r="P194" s="15" t="s">
        <v>568</v>
      </c>
    </row>
    <row r="195" ht="33.75" customHeight="1">
      <c r="A195" s="24">
        <v>42047.0</v>
      </c>
      <c r="B195" s="18" t="s">
        <v>117</v>
      </c>
      <c r="C195" s="18" t="s">
        <v>104</v>
      </c>
      <c r="D195" s="18" t="s">
        <v>123</v>
      </c>
      <c r="E195" s="18" t="s">
        <v>119</v>
      </c>
      <c r="F195" s="16">
        <v>29.6823</v>
      </c>
      <c r="G195" s="16">
        <v>-84.79735</v>
      </c>
      <c r="H195" s="16">
        <v>29.77214</v>
      </c>
      <c r="I195" s="17">
        <v>-84.69551</v>
      </c>
      <c r="J195" s="15" t="s">
        <v>935</v>
      </c>
      <c r="K195" s="15" t="s">
        <v>936</v>
      </c>
      <c r="L195" s="15">
        <v>2.0</v>
      </c>
      <c r="M195" s="17">
        <v>29.69918</v>
      </c>
      <c r="N195" s="17">
        <v>-84.76608</v>
      </c>
      <c r="O195" s="15" t="s">
        <v>583</v>
      </c>
      <c r="P195" s="15" t="s">
        <v>585</v>
      </c>
    </row>
    <row r="196" ht="33.75" customHeight="1">
      <c r="A196" s="24">
        <v>42047.0</v>
      </c>
      <c r="B196" s="18" t="s">
        <v>117</v>
      </c>
      <c r="C196" s="18" t="s">
        <v>104</v>
      </c>
      <c r="D196" s="18" t="s">
        <v>123</v>
      </c>
      <c r="E196" s="18" t="s">
        <v>119</v>
      </c>
      <c r="F196" s="16">
        <v>29.6823</v>
      </c>
      <c r="G196" s="16">
        <v>-84.79735</v>
      </c>
      <c r="H196" s="16">
        <v>29.77214</v>
      </c>
      <c r="I196" s="17">
        <v>-84.69551</v>
      </c>
      <c r="J196" s="15" t="s">
        <v>935</v>
      </c>
      <c r="K196" s="15" t="s">
        <v>936</v>
      </c>
      <c r="L196" s="15">
        <v>3.0</v>
      </c>
      <c r="M196" s="17">
        <v>29.72037</v>
      </c>
      <c r="N196" s="17">
        <v>-84.74148</v>
      </c>
      <c r="O196" s="15" t="s">
        <v>1328</v>
      </c>
      <c r="P196" s="15" t="s">
        <v>1329</v>
      </c>
    </row>
    <row r="197" ht="33.75" customHeight="1">
      <c r="A197" s="24">
        <v>42047.0</v>
      </c>
      <c r="B197" s="18" t="s">
        <v>117</v>
      </c>
      <c r="C197" s="18" t="s">
        <v>104</v>
      </c>
      <c r="D197" s="18" t="s">
        <v>123</v>
      </c>
      <c r="E197" s="18" t="s">
        <v>119</v>
      </c>
      <c r="F197" s="16">
        <v>29.6823</v>
      </c>
      <c r="G197" s="16">
        <v>-84.79735</v>
      </c>
      <c r="H197" s="16">
        <v>29.77214</v>
      </c>
      <c r="I197" s="17">
        <v>-84.69551</v>
      </c>
      <c r="J197" s="15" t="s">
        <v>935</v>
      </c>
      <c r="K197" s="15" t="s">
        <v>936</v>
      </c>
      <c r="L197" s="15">
        <v>4.0</v>
      </c>
      <c r="M197" s="17">
        <v>29.72739</v>
      </c>
      <c r="N197" s="17">
        <v>-84.73305</v>
      </c>
      <c r="O197" s="15" t="s">
        <v>565</v>
      </c>
      <c r="P197" s="15" t="s">
        <v>570</v>
      </c>
    </row>
    <row r="198" ht="33.75" customHeight="1">
      <c r="A198" s="24">
        <v>42047.0</v>
      </c>
      <c r="B198" s="18" t="s">
        <v>117</v>
      </c>
      <c r="C198" s="18" t="s">
        <v>104</v>
      </c>
      <c r="D198" s="18" t="s">
        <v>123</v>
      </c>
      <c r="E198" s="18" t="s">
        <v>119</v>
      </c>
      <c r="F198" s="16">
        <v>29.6823</v>
      </c>
      <c r="G198" s="16">
        <v>-84.79735</v>
      </c>
      <c r="H198" s="16">
        <v>29.77214</v>
      </c>
      <c r="I198" s="17">
        <v>-84.69551</v>
      </c>
      <c r="J198" s="15" t="s">
        <v>935</v>
      </c>
      <c r="K198" s="15" t="s">
        <v>936</v>
      </c>
      <c r="L198" s="15">
        <v>5.0</v>
      </c>
      <c r="M198" s="17">
        <v>29.7336</v>
      </c>
      <c r="N198" s="17">
        <v>-84.72596</v>
      </c>
      <c r="O198" s="15" t="s">
        <v>575</v>
      </c>
      <c r="P198" s="15" t="s">
        <v>568</v>
      </c>
    </row>
    <row r="199" ht="33.75" customHeight="1">
      <c r="A199" s="24">
        <v>42047.0</v>
      </c>
      <c r="B199" s="18" t="s">
        <v>117</v>
      </c>
      <c r="C199" s="18" t="s">
        <v>104</v>
      </c>
      <c r="D199" s="18" t="s">
        <v>123</v>
      </c>
      <c r="E199" s="18" t="s">
        <v>119</v>
      </c>
      <c r="F199" s="16">
        <v>29.6823</v>
      </c>
      <c r="G199" s="16">
        <v>-84.79735</v>
      </c>
      <c r="H199" s="16">
        <v>29.77214</v>
      </c>
      <c r="I199" s="17">
        <v>-84.69551</v>
      </c>
      <c r="J199" s="15" t="s">
        <v>935</v>
      </c>
      <c r="K199" s="15" t="s">
        <v>936</v>
      </c>
      <c r="L199" s="15">
        <v>6.0</v>
      </c>
      <c r="M199" s="17">
        <v>29.7404</v>
      </c>
      <c r="N199" s="17">
        <v>-84.71839</v>
      </c>
      <c r="O199" s="15" t="s">
        <v>569</v>
      </c>
    </row>
    <row r="200" ht="33.75" customHeight="1">
      <c r="A200" s="24">
        <v>42047.0</v>
      </c>
      <c r="B200" s="18" t="s">
        <v>117</v>
      </c>
      <c r="C200" s="18" t="s">
        <v>104</v>
      </c>
      <c r="D200" s="18" t="s">
        <v>123</v>
      </c>
      <c r="E200" s="18" t="s">
        <v>119</v>
      </c>
      <c r="F200" s="16">
        <v>29.6823</v>
      </c>
      <c r="G200" s="16">
        <v>-84.79735</v>
      </c>
      <c r="H200" s="16">
        <v>29.77214</v>
      </c>
      <c r="I200" s="17">
        <v>-84.69551</v>
      </c>
      <c r="J200" s="15" t="s">
        <v>935</v>
      </c>
      <c r="K200" s="15" t="s">
        <v>936</v>
      </c>
      <c r="L200" s="15">
        <v>7.0</v>
      </c>
      <c r="M200" s="17">
        <v>29.74834</v>
      </c>
      <c r="N200" s="17">
        <v>-84.71011</v>
      </c>
      <c r="O200" s="15" t="s">
        <v>1334</v>
      </c>
    </row>
    <row r="201" ht="33.75" customHeight="1">
      <c r="A201" s="24">
        <v>42047.0</v>
      </c>
      <c r="B201" s="18" t="s">
        <v>117</v>
      </c>
      <c r="C201" s="18" t="s">
        <v>104</v>
      </c>
      <c r="D201" s="18" t="s">
        <v>123</v>
      </c>
      <c r="E201" s="18" t="s">
        <v>119</v>
      </c>
      <c r="F201" s="16">
        <v>29.6823</v>
      </c>
      <c r="G201" s="16">
        <v>-84.79735</v>
      </c>
      <c r="H201" s="16">
        <v>29.77214</v>
      </c>
      <c r="I201" s="17">
        <v>-84.69551</v>
      </c>
      <c r="J201" s="15" t="s">
        <v>935</v>
      </c>
      <c r="K201" s="15" t="s">
        <v>936</v>
      </c>
      <c r="L201" s="15">
        <v>8.0</v>
      </c>
      <c r="M201" s="17">
        <v>29.76773</v>
      </c>
      <c r="N201" s="17">
        <v>-84.69156</v>
      </c>
      <c r="O201" s="15" t="s">
        <v>575</v>
      </c>
      <c r="P201" s="15" t="s">
        <v>568</v>
      </c>
    </row>
    <row r="202" ht="33.75" customHeight="1">
      <c r="A202" s="24">
        <v>42047.0</v>
      </c>
      <c r="B202" s="18" t="s">
        <v>117</v>
      </c>
      <c r="C202" s="18" t="s">
        <v>104</v>
      </c>
      <c r="D202" s="18" t="s">
        <v>123</v>
      </c>
      <c r="E202" s="18" t="s">
        <v>119</v>
      </c>
      <c r="F202" s="16">
        <v>29.6823</v>
      </c>
      <c r="G202" s="16">
        <v>-84.79735</v>
      </c>
      <c r="H202" s="16">
        <v>29.77214</v>
      </c>
      <c r="I202" s="17">
        <v>-84.69551</v>
      </c>
      <c r="J202" s="15" t="s">
        <v>935</v>
      </c>
      <c r="K202" s="15" t="s">
        <v>936</v>
      </c>
      <c r="L202" s="15">
        <v>9.0</v>
      </c>
      <c r="M202" s="17">
        <v>29.77287</v>
      </c>
      <c r="N202" s="17">
        <v>-84.69389</v>
      </c>
      <c r="O202" s="15" t="s">
        <v>1337</v>
      </c>
      <c r="P202" s="15" t="s">
        <v>570</v>
      </c>
    </row>
    <row r="203" ht="33.75" customHeight="1">
      <c r="A203" s="24">
        <v>42047.0</v>
      </c>
      <c r="B203" s="18" t="s">
        <v>117</v>
      </c>
      <c r="C203" s="18" t="s">
        <v>104</v>
      </c>
      <c r="D203" s="18" t="s">
        <v>123</v>
      </c>
      <c r="E203" s="18" t="s">
        <v>119</v>
      </c>
      <c r="F203" s="16">
        <v>29.6823</v>
      </c>
      <c r="G203" s="16">
        <v>-84.79735</v>
      </c>
      <c r="H203" s="16">
        <v>29.77214</v>
      </c>
      <c r="I203" s="17">
        <v>-84.69551</v>
      </c>
      <c r="J203" s="15" t="s">
        <v>935</v>
      </c>
      <c r="K203" s="15" t="s">
        <v>936</v>
      </c>
      <c r="L203" s="15">
        <v>10.0</v>
      </c>
      <c r="M203" s="17">
        <v>29.68713</v>
      </c>
      <c r="N203" s="17">
        <v>-84.78789</v>
      </c>
      <c r="O203" s="15" t="s">
        <v>1337</v>
      </c>
      <c r="P203" s="15" t="s">
        <v>585</v>
      </c>
    </row>
    <row r="204" ht="33.75" customHeight="1">
      <c r="A204" s="24">
        <v>42042.0</v>
      </c>
      <c r="B204" s="18" t="s">
        <v>125</v>
      </c>
      <c r="C204" s="18" t="s">
        <v>75</v>
      </c>
      <c r="D204" s="18" t="s">
        <v>126</v>
      </c>
      <c r="E204" s="18" t="s">
        <v>119</v>
      </c>
      <c r="F204" s="16">
        <v>29.82862</v>
      </c>
      <c r="G204" s="16">
        <v>-84.69309</v>
      </c>
      <c r="H204" s="16">
        <v>29.8319</v>
      </c>
      <c r="I204" s="17">
        <v>-84.6747</v>
      </c>
      <c r="J204" s="15" t="s">
        <v>864</v>
      </c>
      <c r="K204" s="15" t="s">
        <v>867</v>
      </c>
      <c r="L204" s="15">
        <v>1.0</v>
      </c>
      <c r="M204" s="17">
        <v>29.82779</v>
      </c>
      <c r="N204" s="17">
        <v>-84.67135</v>
      </c>
      <c r="O204" s="15" t="s">
        <v>1340</v>
      </c>
      <c r="P204" s="15" t="s">
        <v>1342</v>
      </c>
    </row>
    <row r="205" ht="33.75" customHeight="1">
      <c r="A205" s="24">
        <v>42041.0</v>
      </c>
      <c r="B205" s="18" t="s">
        <v>618</v>
      </c>
      <c r="C205" s="18" t="s">
        <v>218</v>
      </c>
      <c r="D205" s="18" t="s">
        <v>818</v>
      </c>
      <c r="E205" s="18" t="s">
        <v>119</v>
      </c>
      <c r="F205" s="16">
        <v>29.61365</v>
      </c>
      <c r="G205" s="16">
        <v>-84.96041</v>
      </c>
      <c r="H205" s="16">
        <v>29.62661</v>
      </c>
      <c r="I205" s="17">
        <v>-85.09583</v>
      </c>
      <c r="J205" s="15" t="s">
        <v>819</v>
      </c>
      <c r="K205" s="15" t="s">
        <v>820</v>
      </c>
      <c r="L205" s="15">
        <v>1.0</v>
      </c>
      <c r="M205" s="17">
        <v>29.58768</v>
      </c>
      <c r="N205" s="17">
        <v>-85.04793</v>
      </c>
      <c r="O205" s="15" t="s">
        <v>1343</v>
      </c>
      <c r="P205" s="15" t="s">
        <v>1344</v>
      </c>
    </row>
    <row r="206" ht="33.75" customHeight="1">
      <c r="A206" s="24">
        <v>42041.0</v>
      </c>
      <c r="B206" s="18" t="s">
        <v>618</v>
      </c>
      <c r="C206" s="18" t="s">
        <v>218</v>
      </c>
      <c r="D206" s="18" t="s">
        <v>818</v>
      </c>
      <c r="E206" s="18" t="s">
        <v>119</v>
      </c>
      <c r="F206" s="16">
        <v>29.61365</v>
      </c>
      <c r="G206" s="16">
        <v>-84.96041</v>
      </c>
      <c r="H206" s="16">
        <v>29.62661</v>
      </c>
      <c r="I206" s="17">
        <v>-85.09583</v>
      </c>
      <c r="J206" s="15" t="s">
        <v>819</v>
      </c>
      <c r="K206" s="15" t="s">
        <v>820</v>
      </c>
      <c r="L206" s="15">
        <v>2.0</v>
      </c>
      <c r="M206" s="17">
        <v>29.61346</v>
      </c>
      <c r="N206" s="17">
        <v>-84.96023</v>
      </c>
      <c r="O206" s="15" t="s">
        <v>1348</v>
      </c>
      <c r="P206" s="15" t="s">
        <v>1349</v>
      </c>
    </row>
    <row r="207" ht="33.75" customHeight="1">
      <c r="A207" s="24">
        <v>42041.0</v>
      </c>
      <c r="B207" s="18" t="s">
        <v>618</v>
      </c>
      <c r="C207" s="18" t="s">
        <v>218</v>
      </c>
      <c r="D207" s="18" t="s">
        <v>818</v>
      </c>
      <c r="E207" s="18" t="s">
        <v>119</v>
      </c>
      <c r="F207" s="16">
        <v>29.61365</v>
      </c>
      <c r="G207" s="16">
        <v>-84.96041</v>
      </c>
      <c r="H207" s="16">
        <v>29.62661</v>
      </c>
      <c r="I207" s="17">
        <v>-85.09583</v>
      </c>
      <c r="J207" s="15" t="s">
        <v>819</v>
      </c>
      <c r="K207" s="15" t="s">
        <v>820</v>
      </c>
      <c r="L207" s="15">
        <v>3.0</v>
      </c>
      <c r="M207" s="17">
        <v>29.60096</v>
      </c>
      <c r="N207" s="17">
        <v>-85.06393</v>
      </c>
      <c r="O207" s="15" t="s">
        <v>955</v>
      </c>
      <c r="P207" s="15" t="s">
        <v>1016</v>
      </c>
    </row>
    <row r="208" ht="33.75" customHeight="1">
      <c r="A208" s="24">
        <v>42041.0</v>
      </c>
      <c r="B208" s="18" t="s">
        <v>618</v>
      </c>
      <c r="C208" s="18" t="s">
        <v>218</v>
      </c>
      <c r="D208" s="18" t="s">
        <v>818</v>
      </c>
      <c r="E208" s="18" t="s">
        <v>119</v>
      </c>
      <c r="F208" s="16">
        <v>29.61365</v>
      </c>
      <c r="G208" s="16">
        <v>-84.96041</v>
      </c>
      <c r="H208" s="16">
        <v>29.62661</v>
      </c>
      <c r="I208" s="17">
        <v>-85.09583</v>
      </c>
      <c r="J208" s="15" t="s">
        <v>819</v>
      </c>
      <c r="K208" s="15" t="s">
        <v>820</v>
      </c>
      <c r="L208" s="15">
        <v>4.0</v>
      </c>
      <c r="M208" s="17">
        <v>29.60781</v>
      </c>
      <c r="N208" s="17">
        <v>-85.07285</v>
      </c>
      <c r="O208" s="15" t="s">
        <v>1359</v>
      </c>
    </row>
    <row r="209" ht="33.75" customHeight="1">
      <c r="A209" s="24">
        <v>42041.0</v>
      </c>
      <c r="B209" s="18" t="s">
        <v>618</v>
      </c>
      <c r="C209" s="18" t="s">
        <v>218</v>
      </c>
      <c r="D209" s="18" t="s">
        <v>818</v>
      </c>
      <c r="E209" s="18" t="s">
        <v>119</v>
      </c>
      <c r="F209" s="16">
        <v>29.61365</v>
      </c>
      <c r="G209" s="16">
        <v>-84.96041</v>
      </c>
      <c r="H209" s="16">
        <v>29.62661</v>
      </c>
      <c r="I209" s="17">
        <v>-85.09583</v>
      </c>
      <c r="J209" s="15" t="s">
        <v>819</v>
      </c>
      <c r="K209" s="15" t="s">
        <v>820</v>
      </c>
      <c r="L209" s="15">
        <v>5.0</v>
      </c>
      <c r="M209" s="17">
        <v>29.61497</v>
      </c>
      <c r="N209" s="17">
        <v>-85.08418</v>
      </c>
      <c r="O209" s="15" t="s">
        <v>1366</v>
      </c>
      <c r="P209" s="15" t="s">
        <v>1367</v>
      </c>
    </row>
    <row r="210" ht="33.75" customHeight="1">
      <c r="A210" s="24">
        <v>42041.0</v>
      </c>
      <c r="B210" s="18" t="s">
        <v>618</v>
      </c>
      <c r="C210" s="18" t="s">
        <v>218</v>
      </c>
      <c r="D210" s="18" t="s">
        <v>818</v>
      </c>
      <c r="E210" s="18" t="s">
        <v>119</v>
      </c>
      <c r="F210" s="16">
        <v>29.61365</v>
      </c>
      <c r="G210" s="16">
        <v>-84.96041</v>
      </c>
      <c r="H210" s="16">
        <v>29.62661</v>
      </c>
      <c r="I210" s="17">
        <v>-85.09583</v>
      </c>
      <c r="J210" s="15" t="s">
        <v>819</v>
      </c>
      <c r="K210" s="15" t="s">
        <v>820</v>
      </c>
      <c r="L210" s="15">
        <v>6.0</v>
      </c>
      <c r="M210" s="17">
        <v>29.62286</v>
      </c>
      <c r="N210" s="17">
        <v>-85.0975</v>
      </c>
      <c r="O210" s="15" t="s">
        <v>1371</v>
      </c>
      <c r="P210" s="15" t="s">
        <v>1016</v>
      </c>
    </row>
    <row r="211" ht="33.75" customHeight="1">
      <c r="A211" s="24">
        <v>42041.0</v>
      </c>
      <c r="B211" s="18" t="s">
        <v>618</v>
      </c>
      <c r="C211" s="18" t="s">
        <v>218</v>
      </c>
      <c r="D211" s="18" t="s">
        <v>818</v>
      </c>
      <c r="E211" s="18" t="s">
        <v>119</v>
      </c>
      <c r="F211" s="16">
        <v>29.61365</v>
      </c>
      <c r="G211" s="16">
        <v>-84.96041</v>
      </c>
      <c r="H211" s="16">
        <v>29.62661</v>
      </c>
      <c r="I211" s="17">
        <v>-85.09583</v>
      </c>
      <c r="J211" s="15" t="s">
        <v>819</v>
      </c>
      <c r="K211" s="15" t="s">
        <v>820</v>
      </c>
      <c r="L211" s="15">
        <v>7.0</v>
      </c>
      <c r="M211" s="17">
        <v>29.61712</v>
      </c>
      <c r="N211" s="17">
        <v>-85.07831</v>
      </c>
      <c r="O211" s="15" t="s">
        <v>1374</v>
      </c>
      <c r="P211" s="15" t="s">
        <v>1016</v>
      </c>
    </row>
    <row r="212" ht="33.75" customHeight="1">
      <c r="A212" s="24">
        <v>42041.0</v>
      </c>
      <c r="B212" s="18" t="s">
        <v>618</v>
      </c>
      <c r="C212" s="18" t="s">
        <v>218</v>
      </c>
      <c r="D212" s="18" t="s">
        <v>818</v>
      </c>
      <c r="E212" s="18" t="s">
        <v>119</v>
      </c>
      <c r="F212" s="16">
        <v>29.61365</v>
      </c>
      <c r="G212" s="16">
        <v>-84.96041</v>
      </c>
      <c r="H212" s="16">
        <v>29.62661</v>
      </c>
      <c r="I212" s="17">
        <v>-85.09583</v>
      </c>
      <c r="J212" s="15" t="s">
        <v>819</v>
      </c>
      <c r="K212" s="15" t="s">
        <v>820</v>
      </c>
      <c r="L212" s="15">
        <v>8.0</v>
      </c>
      <c r="M212" s="17">
        <v>29.61293</v>
      </c>
      <c r="N212" s="17">
        <v>-85.07422</v>
      </c>
      <c r="O212" s="15" t="s">
        <v>1376</v>
      </c>
      <c r="P212" s="15" t="s">
        <v>1377</v>
      </c>
    </row>
    <row r="213" ht="33.75" customHeight="1">
      <c r="A213" s="24">
        <v>42041.0</v>
      </c>
      <c r="B213" s="18" t="s">
        <v>618</v>
      </c>
      <c r="C213" s="18" t="s">
        <v>218</v>
      </c>
      <c r="D213" s="18" t="s">
        <v>825</v>
      </c>
      <c r="E213" s="18" t="s">
        <v>119</v>
      </c>
      <c r="F213" s="16">
        <v>29.68745</v>
      </c>
      <c r="G213" s="16">
        <v>-84.87695</v>
      </c>
      <c r="H213" s="16">
        <v>29.70331</v>
      </c>
      <c r="I213" s="17">
        <v>-84.88688</v>
      </c>
      <c r="J213" s="15" t="s">
        <v>826</v>
      </c>
      <c r="K213" s="15" t="s">
        <v>827</v>
      </c>
      <c r="L213" s="15">
        <v>1.0</v>
      </c>
      <c r="M213" s="17">
        <v>29.70328</v>
      </c>
      <c r="N213" s="17">
        <v>-84.88668</v>
      </c>
      <c r="O213" s="15" t="s">
        <v>1379</v>
      </c>
    </row>
    <row r="214" ht="33.75" customHeight="1">
      <c r="A214" s="24">
        <v>42041.0</v>
      </c>
      <c r="B214" s="18" t="s">
        <v>618</v>
      </c>
      <c r="C214" s="18" t="s">
        <v>218</v>
      </c>
      <c r="D214" s="18" t="s">
        <v>825</v>
      </c>
      <c r="E214" s="18" t="s">
        <v>119</v>
      </c>
      <c r="F214" s="16">
        <v>29.68745</v>
      </c>
      <c r="G214" s="16">
        <v>-84.87695</v>
      </c>
      <c r="H214" s="16">
        <v>29.70331</v>
      </c>
      <c r="I214" s="17">
        <v>-84.88688</v>
      </c>
      <c r="J214" s="15" t="s">
        <v>826</v>
      </c>
      <c r="K214" s="15" t="s">
        <v>1382</v>
      </c>
      <c r="L214" s="15">
        <v>2.0</v>
      </c>
      <c r="M214" s="17">
        <v>29.70328</v>
      </c>
      <c r="N214" s="17">
        <v>-84.88708</v>
      </c>
      <c r="O214" s="15" t="s">
        <v>1384</v>
      </c>
    </row>
    <row r="215" ht="33.75" customHeight="1">
      <c r="A215" s="24">
        <v>42046.0</v>
      </c>
      <c r="B215" s="18" t="s">
        <v>1385</v>
      </c>
      <c r="C215" s="18" t="s">
        <v>218</v>
      </c>
      <c r="D215" s="18" t="s">
        <v>422</v>
      </c>
      <c r="E215" s="18" t="s">
        <v>119</v>
      </c>
      <c r="F215" s="16">
        <v>29.83225</v>
      </c>
      <c r="G215" s="16">
        <v>-84.57465</v>
      </c>
      <c r="H215" s="16">
        <v>29.78659</v>
      </c>
      <c r="I215" s="17">
        <v>-84.67448</v>
      </c>
      <c r="J215" s="15" t="s">
        <v>914</v>
      </c>
      <c r="K215" s="15" t="s">
        <v>1388</v>
      </c>
      <c r="L215" s="15">
        <v>1.0</v>
      </c>
      <c r="M215" s="17">
        <v>29.82108</v>
      </c>
      <c r="N215" s="17">
        <v>-84.57131</v>
      </c>
      <c r="O215" s="15" t="s">
        <v>1389</v>
      </c>
      <c r="P215" s="15" t="s">
        <v>585</v>
      </c>
    </row>
    <row r="216" ht="33.75" customHeight="1">
      <c r="A216" s="24">
        <v>42046.0</v>
      </c>
      <c r="B216" s="18" t="s">
        <v>1385</v>
      </c>
      <c r="C216" s="18" t="s">
        <v>218</v>
      </c>
      <c r="D216" s="18" t="s">
        <v>422</v>
      </c>
      <c r="E216" s="18" t="s">
        <v>119</v>
      </c>
      <c r="F216" s="16">
        <v>29.83225</v>
      </c>
      <c r="G216" s="16">
        <v>-84.57465</v>
      </c>
      <c r="H216" s="16">
        <v>29.78659</v>
      </c>
      <c r="I216" s="17">
        <v>-84.67448</v>
      </c>
      <c r="J216" s="15" t="s">
        <v>914</v>
      </c>
      <c r="K216" s="15" t="s">
        <v>915</v>
      </c>
      <c r="L216" s="15">
        <v>2.0</v>
      </c>
      <c r="M216" s="17">
        <v>29.82332</v>
      </c>
      <c r="N216" s="17">
        <v>-84.57098</v>
      </c>
      <c r="O216" s="15" t="s">
        <v>1394</v>
      </c>
      <c r="P216" s="15" t="s">
        <v>1397</v>
      </c>
    </row>
    <row r="217" ht="33.75" customHeight="1">
      <c r="A217" s="24">
        <v>42046.0</v>
      </c>
      <c r="B217" s="18" t="s">
        <v>1385</v>
      </c>
      <c r="C217" s="18" t="s">
        <v>218</v>
      </c>
      <c r="D217" s="18" t="s">
        <v>422</v>
      </c>
      <c r="E217" s="18" t="s">
        <v>119</v>
      </c>
      <c r="F217" s="16">
        <v>29.83225</v>
      </c>
      <c r="G217" s="16">
        <v>-84.57465</v>
      </c>
      <c r="H217" s="16">
        <v>29.78659</v>
      </c>
      <c r="I217" s="17">
        <v>-84.67448</v>
      </c>
      <c r="J217" s="15" t="s">
        <v>914</v>
      </c>
      <c r="K217" s="15" t="s">
        <v>915</v>
      </c>
      <c r="L217" s="15">
        <v>3.0</v>
      </c>
      <c r="M217" s="17">
        <v>29.82646</v>
      </c>
      <c r="N217" s="17">
        <v>-84.57101</v>
      </c>
      <c r="O217" s="15" t="s">
        <v>1401</v>
      </c>
      <c r="P217" s="15" t="s">
        <v>1377</v>
      </c>
    </row>
    <row r="218" ht="33.75" customHeight="1">
      <c r="A218" s="24">
        <v>42046.0</v>
      </c>
      <c r="B218" s="18" t="s">
        <v>1385</v>
      </c>
      <c r="C218" s="18" t="s">
        <v>218</v>
      </c>
      <c r="D218" s="18" t="s">
        <v>422</v>
      </c>
      <c r="E218" s="18" t="s">
        <v>119</v>
      </c>
      <c r="F218" s="16">
        <v>29.83225</v>
      </c>
      <c r="G218" s="16">
        <v>-84.57465</v>
      </c>
      <c r="H218" s="16">
        <v>29.78659</v>
      </c>
      <c r="I218" s="17">
        <v>-84.67448</v>
      </c>
      <c r="J218" s="15" t="s">
        <v>914</v>
      </c>
      <c r="K218" s="15" t="s">
        <v>915</v>
      </c>
      <c r="L218" s="15">
        <v>4.0</v>
      </c>
      <c r="M218" s="17">
        <v>29.82899</v>
      </c>
      <c r="N218" s="17">
        <v>-84.57196</v>
      </c>
      <c r="O218" s="15" t="s">
        <v>1402</v>
      </c>
      <c r="P218" s="15" t="s">
        <v>1016</v>
      </c>
    </row>
    <row r="219" ht="33.75" customHeight="1">
      <c r="A219" s="24">
        <v>42046.0</v>
      </c>
      <c r="B219" s="18" t="s">
        <v>1385</v>
      </c>
      <c r="C219" s="18" t="s">
        <v>218</v>
      </c>
      <c r="D219" s="18" t="s">
        <v>422</v>
      </c>
      <c r="E219" s="18" t="s">
        <v>119</v>
      </c>
      <c r="F219" s="16">
        <v>29.83225</v>
      </c>
      <c r="G219" s="16">
        <v>-84.57465</v>
      </c>
      <c r="H219" s="16">
        <v>29.78659</v>
      </c>
      <c r="I219" s="17">
        <v>-84.67448</v>
      </c>
      <c r="J219" s="15" t="s">
        <v>914</v>
      </c>
      <c r="K219" s="15" t="s">
        <v>915</v>
      </c>
      <c r="L219" s="15">
        <v>5.0</v>
      </c>
      <c r="M219" s="17">
        <v>29.82667</v>
      </c>
      <c r="N219" s="17">
        <v>-84.57837</v>
      </c>
      <c r="O219" s="15" t="s">
        <v>1408</v>
      </c>
      <c r="P219" s="15" t="s">
        <v>1016</v>
      </c>
    </row>
    <row r="220" ht="33.75" customHeight="1">
      <c r="A220" s="24">
        <v>42046.0</v>
      </c>
      <c r="B220" s="18" t="s">
        <v>1385</v>
      </c>
      <c r="C220" s="18" t="s">
        <v>218</v>
      </c>
      <c r="D220" s="18" t="s">
        <v>422</v>
      </c>
      <c r="E220" s="18" t="s">
        <v>119</v>
      </c>
      <c r="F220" s="16">
        <v>29.83225</v>
      </c>
      <c r="G220" s="16">
        <v>-84.57465</v>
      </c>
      <c r="H220" s="16">
        <v>29.78659</v>
      </c>
      <c r="I220" s="17">
        <v>-84.67448</v>
      </c>
      <c r="J220" s="15" t="s">
        <v>914</v>
      </c>
      <c r="K220" s="15" t="s">
        <v>915</v>
      </c>
      <c r="L220" s="15">
        <v>6.0</v>
      </c>
      <c r="M220" s="17">
        <v>29.77871</v>
      </c>
      <c r="N220" s="17">
        <v>-84.67199</v>
      </c>
      <c r="O220" s="15" t="s">
        <v>1412</v>
      </c>
      <c r="P220" s="15" t="s">
        <v>1367</v>
      </c>
    </row>
    <row r="221" ht="33.75" customHeight="1">
      <c r="A221" s="24">
        <v>42046.0</v>
      </c>
      <c r="B221" s="18" t="s">
        <v>1385</v>
      </c>
      <c r="C221" s="18" t="s">
        <v>218</v>
      </c>
      <c r="D221" s="18" t="s">
        <v>422</v>
      </c>
      <c r="E221" s="18" t="s">
        <v>119</v>
      </c>
      <c r="F221" s="16">
        <v>29.83225</v>
      </c>
      <c r="G221" s="16">
        <v>-84.57465</v>
      </c>
      <c r="H221" s="16">
        <v>29.78659</v>
      </c>
      <c r="I221" s="17">
        <v>-84.67448</v>
      </c>
      <c r="J221" s="15" t="s">
        <v>914</v>
      </c>
      <c r="K221" s="15" t="s">
        <v>915</v>
      </c>
      <c r="L221" s="15">
        <v>7.0</v>
      </c>
      <c r="M221" s="17">
        <v>29.8079</v>
      </c>
      <c r="N221" s="17">
        <v>-84.57898</v>
      </c>
      <c r="O221" s="15" t="s">
        <v>1414</v>
      </c>
      <c r="P221" s="15" t="s">
        <v>1016</v>
      </c>
    </row>
    <row r="222" ht="33.75" customHeight="1">
      <c r="A222" s="24">
        <v>42046.0</v>
      </c>
      <c r="B222" s="18" t="s">
        <v>1385</v>
      </c>
      <c r="C222" s="18" t="s">
        <v>218</v>
      </c>
      <c r="D222" s="18" t="s">
        <v>422</v>
      </c>
      <c r="E222" s="18" t="s">
        <v>119</v>
      </c>
      <c r="F222" s="16">
        <v>29.83225</v>
      </c>
      <c r="G222" s="16">
        <v>-84.57465</v>
      </c>
      <c r="H222" s="16">
        <v>29.78659</v>
      </c>
      <c r="I222" s="17">
        <v>-84.67448</v>
      </c>
      <c r="J222" s="15" t="s">
        <v>914</v>
      </c>
      <c r="K222" s="15" t="s">
        <v>915</v>
      </c>
      <c r="L222" s="15">
        <v>8.0</v>
      </c>
      <c r="M222" s="17">
        <v>29.79504</v>
      </c>
      <c r="N222" s="17">
        <v>-84.61004</v>
      </c>
      <c r="O222" s="15" t="s">
        <v>1419</v>
      </c>
      <c r="P222" s="15" t="s">
        <v>1016</v>
      </c>
    </row>
    <row r="223" ht="33.75" customHeight="1">
      <c r="A223" s="24">
        <v>42046.0</v>
      </c>
      <c r="B223" s="18" t="s">
        <v>1385</v>
      </c>
      <c r="C223" s="18" t="s">
        <v>218</v>
      </c>
      <c r="D223" s="18" t="s">
        <v>422</v>
      </c>
      <c r="E223" s="18" t="s">
        <v>119</v>
      </c>
      <c r="F223" s="16">
        <v>29.83225</v>
      </c>
      <c r="G223" s="16">
        <v>-84.57465</v>
      </c>
      <c r="H223" s="16">
        <v>29.78659</v>
      </c>
      <c r="I223" s="17">
        <v>-84.67448</v>
      </c>
      <c r="J223" s="15" t="s">
        <v>914</v>
      </c>
      <c r="K223" s="15" t="s">
        <v>915</v>
      </c>
      <c r="L223" s="15">
        <v>9.0</v>
      </c>
      <c r="M223" s="17">
        <v>29.79082</v>
      </c>
      <c r="N223" s="17">
        <v>-84.61988</v>
      </c>
      <c r="O223" s="15" t="s">
        <v>1423</v>
      </c>
      <c r="P223" s="15" t="s">
        <v>1016</v>
      </c>
    </row>
    <row r="224" ht="33.75" customHeight="1">
      <c r="A224" s="24">
        <v>42046.0</v>
      </c>
      <c r="B224" s="18" t="s">
        <v>1385</v>
      </c>
      <c r="C224" s="18" t="s">
        <v>218</v>
      </c>
      <c r="D224" s="18" t="s">
        <v>422</v>
      </c>
      <c r="E224" s="18" t="s">
        <v>119</v>
      </c>
      <c r="F224" s="16">
        <v>29.83225</v>
      </c>
      <c r="G224" s="16">
        <v>-84.57465</v>
      </c>
      <c r="H224" s="16">
        <v>29.78659</v>
      </c>
      <c r="I224" s="17">
        <v>-84.67448</v>
      </c>
      <c r="J224" s="15" t="s">
        <v>914</v>
      </c>
      <c r="K224" s="15" t="s">
        <v>915</v>
      </c>
      <c r="L224" s="15">
        <v>10.0</v>
      </c>
      <c r="M224" s="17">
        <v>29.78544</v>
      </c>
      <c r="N224" s="17">
        <v>-84.63882</v>
      </c>
      <c r="O224" s="15" t="s">
        <v>1423</v>
      </c>
      <c r="P224" s="15" t="s">
        <v>1016</v>
      </c>
    </row>
    <row r="225" ht="33.75" customHeight="1">
      <c r="A225" s="24">
        <v>42046.0</v>
      </c>
      <c r="B225" s="18" t="s">
        <v>1385</v>
      </c>
      <c r="C225" s="18" t="s">
        <v>218</v>
      </c>
      <c r="D225" s="18" t="s">
        <v>422</v>
      </c>
      <c r="E225" s="18" t="s">
        <v>119</v>
      </c>
      <c r="F225" s="16">
        <v>29.83225</v>
      </c>
      <c r="G225" s="16">
        <v>-84.57465</v>
      </c>
      <c r="H225" s="16">
        <v>29.78659</v>
      </c>
      <c r="I225" s="17">
        <v>-84.67448</v>
      </c>
      <c r="J225" s="15" t="s">
        <v>914</v>
      </c>
      <c r="K225" s="15" t="s">
        <v>915</v>
      </c>
      <c r="L225" s="15">
        <v>11.0</v>
      </c>
      <c r="M225" s="17">
        <v>29.7817</v>
      </c>
      <c r="N225" s="17">
        <v>-84.65154</v>
      </c>
      <c r="O225" s="15" t="s">
        <v>1429</v>
      </c>
      <c r="P225" s="15" t="s">
        <v>1430</v>
      </c>
    </row>
    <row r="226" ht="33.75" customHeight="1">
      <c r="A226" s="24">
        <v>42046.0</v>
      </c>
      <c r="B226" s="18" t="s">
        <v>1385</v>
      </c>
      <c r="C226" s="18" t="s">
        <v>218</v>
      </c>
      <c r="D226" s="18" t="s">
        <v>422</v>
      </c>
      <c r="E226" s="18" t="s">
        <v>119</v>
      </c>
      <c r="F226" s="16">
        <v>29.83225</v>
      </c>
      <c r="G226" s="16">
        <v>-84.57465</v>
      </c>
      <c r="H226" s="16">
        <v>29.78659</v>
      </c>
      <c r="I226" s="17">
        <v>-84.67448</v>
      </c>
      <c r="J226" s="15" t="s">
        <v>914</v>
      </c>
      <c r="K226" s="15" t="s">
        <v>915</v>
      </c>
      <c r="L226" s="15">
        <v>12.0</v>
      </c>
      <c r="M226" s="17">
        <v>29.78329</v>
      </c>
      <c r="N226" s="17">
        <v>-84.64912</v>
      </c>
      <c r="O226" s="15" t="s">
        <v>1436</v>
      </c>
    </row>
    <row r="227" ht="33.75" customHeight="1">
      <c r="A227" s="24">
        <v>42046.0</v>
      </c>
      <c r="B227" s="18" t="s">
        <v>1385</v>
      </c>
      <c r="C227" s="18" t="s">
        <v>218</v>
      </c>
      <c r="D227" s="18" t="s">
        <v>422</v>
      </c>
      <c r="E227" s="18" t="s">
        <v>119</v>
      </c>
      <c r="F227" s="16">
        <v>29.83225</v>
      </c>
      <c r="G227" s="16">
        <v>-84.57465</v>
      </c>
      <c r="H227" s="16">
        <v>29.78659</v>
      </c>
      <c r="I227" s="17">
        <v>-84.67448</v>
      </c>
      <c r="J227" s="15" t="s">
        <v>914</v>
      </c>
      <c r="K227" s="15" t="s">
        <v>915</v>
      </c>
      <c r="L227" s="15">
        <v>13.0</v>
      </c>
      <c r="M227" s="17">
        <v>29.78925</v>
      </c>
      <c r="N227" s="17">
        <v>-84.64162</v>
      </c>
      <c r="O227" s="15" t="s">
        <v>1442</v>
      </c>
      <c r="P227" s="15" t="s">
        <v>1443</v>
      </c>
    </row>
    <row r="228" ht="33.75" customHeight="1">
      <c r="A228" s="26">
        <v>42047.0</v>
      </c>
      <c r="B228" s="18" t="s">
        <v>618</v>
      </c>
      <c r="C228" s="18" t="s">
        <v>218</v>
      </c>
      <c r="D228" s="18" t="s">
        <v>943</v>
      </c>
      <c r="E228" s="18" t="s">
        <v>119</v>
      </c>
      <c r="F228" s="18">
        <v>29.62395</v>
      </c>
      <c r="G228" s="18">
        <v>-85.15042</v>
      </c>
      <c r="H228" s="18">
        <v>29.62585</v>
      </c>
      <c r="I228" s="16">
        <v>-85.14602</v>
      </c>
      <c r="J228" s="18" t="s">
        <v>944</v>
      </c>
      <c r="K228" s="15" t="s">
        <v>946</v>
      </c>
      <c r="L228" s="15">
        <v>1.0</v>
      </c>
      <c r="M228" s="17">
        <v>29.62481</v>
      </c>
      <c r="N228" s="17">
        <v>-85.15012</v>
      </c>
      <c r="O228" s="15" t="s">
        <v>1447</v>
      </c>
      <c r="P228" s="15" t="s">
        <v>1443</v>
      </c>
    </row>
    <row r="229" ht="33.75" customHeight="1">
      <c r="A229" s="26">
        <v>42047.0</v>
      </c>
      <c r="B229" s="18" t="s">
        <v>618</v>
      </c>
      <c r="C229" s="18" t="s">
        <v>218</v>
      </c>
      <c r="D229" s="18" t="s">
        <v>943</v>
      </c>
      <c r="E229" s="18" t="s">
        <v>119</v>
      </c>
      <c r="F229" s="18">
        <v>29.62395</v>
      </c>
      <c r="G229" s="18">
        <v>-85.15042</v>
      </c>
      <c r="H229" s="18">
        <v>29.62585</v>
      </c>
      <c r="I229" s="16">
        <v>-85.14602</v>
      </c>
      <c r="J229" s="18" t="s">
        <v>944</v>
      </c>
      <c r="K229" s="15" t="s">
        <v>946</v>
      </c>
      <c r="L229" s="15">
        <v>2.0</v>
      </c>
      <c r="M229" s="17">
        <v>29.62308</v>
      </c>
      <c r="N229" s="17">
        <v>-85.14944</v>
      </c>
      <c r="O229" s="15" t="s">
        <v>1453</v>
      </c>
    </row>
    <row r="230" ht="33.75" customHeight="1">
      <c r="A230" s="26">
        <v>42047.0</v>
      </c>
      <c r="B230" s="18" t="s">
        <v>618</v>
      </c>
      <c r="C230" s="18" t="s">
        <v>218</v>
      </c>
      <c r="D230" s="18" t="s">
        <v>220</v>
      </c>
      <c r="E230" s="18" t="s">
        <v>119</v>
      </c>
      <c r="F230" s="18">
        <v>29.64092</v>
      </c>
      <c r="G230" s="18">
        <v>-85.15574</v>
      </c>
      <c r="H230" s="18">
        <v>29.63228</v>
      </c>
      <c r="I230" s="16">
        <v>-85.15678</v>
      </c>
      <c r="J230" s="18" t="s">
        <v>954</v>
      </c>
      <c r="K230" s="15" t="s">
        <v>946</v>
      </c>
      <c r="L230" s="15">
        <v>1.0</v>
      </c>
      <c r="M230" s="17">
        <v>29.64164</v>
      </c>
      <c r="N230" s="17">
        <v>-85.15533</v>
      </c>
      <c r="O230" s="15" t="s">
        <v>1457</v>
      </c>
      <c r="P230" s="15" t="s">
        <v>1278</v>
      </c>
    </row>
    <row r="231" ht="33.75" customHeight="1">
      <c r="A231" s="26">
        <v>42047.0</v>
      </c>
      <c r="B231" s="18" t="s">
        <v>618</v>
      </c>
      <c r="C231" s="18" t="s">
        <v>218</v>
      </c>
      <c r="D231" s="18" t="s">
        <v>220</v>
      </c>
      <c r="E231" s="18" t="s">
        <v>119</v>
      </c>
      <c r="F231" s="18">
        <v>29.64092</v>
      </c>
      <c r="G231" s="18">
        <v>-85.15574</v>
      </c>
      <c r="H231" s="18">
        <v>29.63228</v>
      </c>
      <c r="I231" s="16">
        <v>-85.15678</v>
      </c>
      <c r="J231" s="18" t="s">
        <v>954</v>
      </c>
      <c r="K231" s="15" t="s">
        <v>946</v>
      </c>
      <c r="L231" s="15">
        <v>2.0</v>
      </c>
      <c r="M231" s="17">
        <v>29.63911</v>
      </c>
      <c r="N231" s="17">
        <v>-85.15636</v>
      </c>
      <c r="O231" s="15" t="s">
        <v>1458</v>
      </c>
      <c r="P231" s="15" t="s">
        <v>1016</v>
      </c>
    </row>
    <row r="232" ht="33.75" customHeight="1">
      <c r="A232" s="26">
        <v>42047.0</v>
      </c>
      <c r="B232" s="18" t="s">
        <v>618</v>
      </c>
      <c r="C232" s="18" t="s">
        <v>218</v>
      </c>
      <c r="D232" s="18" t="s">
        <v>220</v>
      </c>
      <c r="E232" s="18" t="s">
        <v>119</v>
      </c>
      <c r="F232" s="18">
        <v>29.64092</v>
      </c>
      <c r="G232" s="18">
        <v>-85.15574</v>
      </c>
      <c r="H232" s="18">
        <v>29.63228</v>
      </c>
      <c r="I232" s="16">
        <v>-85.15678</v>
      </c>
      <c r="J232" s="18" t="s">
        <v>954</v>
      </c>
      <c r="K232" s="15" t="s">
        <v>946</v>
      </c>
      <c r="L232" s="15">
        <v>3.0</v>
      </c>
      <c r="M232" s="17">
        <v>29.63819</v>
      </c>
      <c r="N232" s="17">
        <v>-85.15652</v>
      </c>
      <c r="O232" s="15" t="s">
        <v>1464</v>
      </c>
    </row>
    <row r="233" ht="33.75" customHeight="1">
      <c r="A233" s="26">
        <v>42047.0</v>
      </c>
      <c r="B233" s="18" t="s">
        <v>919</v>
      </c>
      <c r="C233" s="18" t="s">
        <v>921</v>
      </c>
      <c r="D233" s="18" t="s">
        <v>956</v>
      </c>
      <c r="E233" s="18" t="s">
        <v>119</v>
      </c>
      <c r="F233" s="18">
        <v>29.47143</v>
      </c>
      <c r="G233" s="18">
        <v>-84.46089</v>
      </c>
      <c r="H233" s="18">
        <v>29.79351</v>
      </c>
      <c r="I233" s="16">
        <v>-84.74915</v>
      </c>
      <c r="J233" s="15" t="s">
        <v>1466</v>
      </c>
      <c r="K233" s="15" t="s">
        <v>959</v>
      </c>
      <c r="L233" s="15">
        <v>1.0</v>
      </c>
      <c r="M233" s="17">
        <v>29.47143</v>
      </c>
      <c r="N233" s="17">
        <v>-84.46089</v>
      </c>
      <c r="O233" s="15" t="s">
        <v>1467</v>
      </c>
    </row>
    <row r="234" ht="33.75" customHeight="1">
      <c r="A234" s="26">
        <v>42047.0</v>
      </c>
      <c r="B234" s="18" t="s">
        <v>919</v>
      </c>
      <c r="C234" s="18" t="s">
        <v>921</v>
      </c>
      <c r="D234" s="18" t="s">
        <v>956</v>
      </c>
      <c r="E234" s="18" t="s">
        <v>119</v>
      </c>
      <c r="F234" s="18">
        <v>29.47143</v>
      </c>
      <c r="G234" s="18">
        <v>-84.46089</v>
      </c>
      <c r="H234" s="18">
        <v>29.79351</v>
      </c>
      <c r="I234" s="16">
        <v>-84.74915</v>
      </c>
      <c r="J234" s="15" t="s">
        <v>1466</v>
      </c>
      <c r="K234" s="15" t="s">
        <v>959</v>
      </c>
      <c r="L234" s="15">
        <v>2.0</v>
      </c>
      <c r="M234" s="17">
        <v>29.79473</v>
      </c>
      <c r="N234" s="17">
        <v>-84.74786</v>
      </c>
      <c r="O234" s="15" t="s">
        <v>1468</v>
      </c>
    </row>
    <row r="235" ht="33.75" customHeight="1">
      <c r="A235" s="26">
        <v>42047.0</v>
      </c>
      <c r="B235" s="18" t="s">
        <v>919</v>
      </c>
      <c r="C235" s="18" t="s">
        <v>921</v>
      </c>
      <c r="D235" s="18" t="s">
        <v>956</v>
      </c>
      <c r="E235" s="18" t="s">
        <v>119</v>
      </c>
      <c r="F235" s="18">
        <v>29.47143</v>
      </c>
      <c r="G235" s="18">
        <v>-84.46089</v>
      </c>
      <c r="H235" s="18">
        <v>29.79351</v>
      </c>
      <c r="I235" s="16">
        <v>-84.74915</v>
      </c>
      <c r="J235" s="15" t="s">
        <v>1466</v>
      </c>
      <c r="K235" s="15" t="s">
        <v>959</v>
      </c>
      <c r="L235" s="15">
        <v>3.0</v>
      </c>
      <c r="M235" s="17">
        <v>29.47143</v>
      </c>
      <c r="N235" s="17">
        <v>-84.46089</v>
      </c>
      <c r="O235" s="15" t="s">
        <v>1469</v>
      </c>
    </row>
    <row r="236" ht="33.75" customHeight="1">
      <c r="A236" s="26">
        <v>42047.0</v>
      </c>
      <c r="B236" s="18" t="s">
        <v>919</v>
      </c>
      <c r="C236" s="18" t="s">
        <v>921</v>
      </c>
      <c r="D236" s="18" t="s">
        <v>956</v>
      </c>
      <c r="E236" s="18" t="s">
        <v>119</v>
      </c>
      <c r="F236" s="18">
        <v>29.47143</v>
      </c>
      <c r="G236" s="18">
        <v>-84.46089</v>
      </c>
      <c r="H236" s="18">
        <v>29.79351</v>
      </c>
      <c r="I236" s="16">
        <v>-84.74915</v>
      </c>
      <c r="J236" s="15" t="s">
        <v>1466</v>
      </c>
      <c r="K236" s="15" t="s">
        <v>959</v>
      </c>
      <c r="L236" s="15">
        <v>4.0</v>
      </c>
      <c r="M236" s="17">
        <v>29.47143</v>
      </c>
      <c r="N236" s="17">
        <v>-84.46089</v>
      </c>
      <c r="O236" s="15" t="s">
        <v>1470</v>
      </c>
    </row>
    <row r="237" ht="33.75" customHeight="1">
      <c r="A237" s="26">
        <v>42043.0</v>
      </c>
      <c r="B237" s="18" t="s">
        <v>877</v>
      </c>
      <c r="C237" s="18" t="s">
        <v>878</v>
      </c>
      <c r="D237" s="18" t="s">
        <v>879</v>
      </c>
      <c r="E237" s="18" t="s">
        <v>119</v>
      </c>
      <c r="F237" s="18">
        <v>29.553491</v>
      </c>
      <c r="G237" s="18">
        <v>-84.261217</v>
      </c>
      <c r="H237" s="18">
        <v>29.550032</v>
      </c>
      <c r="I237" s="16">
        <v>-84.285627</v>
      </c>
      <c r="J237" s="20" t="s">
        <v>882</v>
      </c>
      <c r="K237" s="15" t="s">
        <v>883</v>
      </c>
      <c r="L237" s="15">
        <v>1.0</v>
      </c>
      <c r="M237" s="17">
        <v>29.55604</v>
      </c>
      <c r="N237" s="17">
        <v>-84.26241</v>
      </c>
      <c r="O237" s="15" t="s">
        <v>1474</v>
      </c>
    </row>
    <row r="238" ht="33.75" customHeight="1">
      <c r="A238" s="26">
        <v>42043.0</v>
      </c>
      <c r="B238" s="18" t="s">
        <v>877</v>
      </c>
      <c r="C238" s="18" t="s">
        <v>878</v>
      </c>
      <c r="D238" s="18" t="s">
        <v>879</v>
      </c>
      <c r="E238" s="18" t="s">
        <v>119</v>
      </c>
      <c r="F238" s="18">
        <v>29.553491</v>
      </c>
      <c r="G238" s="18">
        <v>-84.261217</v>
      </c>
      <c r="H238" s="18">
        <v>29.550032</v>
      </c>
      <c r="I238" s="16">
        <v>-84.285627</v>
      </c>
      <c r="J238" s="20" t="s">
        <v>882</v>
      </c>
      <c r="K238" s="15" t="s">
        <v>883</v>
      </c>
      <c r="L238" s="15">
        <v>2.0</v>
      </c>
      <c r="M238" s="17">
        <v>29.55641</v>
      </c>
      <c r="N238" s="17">
        <v>-84.27629</v>
      </c>
      <c r="O238" s="15" t="s">
        <v>1478</v>
      </c>
    </row>
    <row r="239" ht="33.75" customHeight="1">
      <c r="A239" s="26">
        <v>42043.0</v>
      </c>
      <c r="B239" s="18" t="s">
        <v>877</v>
      </c>
      <c r="C239" s="18" t="s">
        <v>878</v>
      </c>
      <c r="D239" s="18" t="s">
        <v>879</v>
      </c>
      <c r="E239" s="18" t="s">
        <v>119</v>
      </c>
      <c r="F239" s="18">
        <v>29.553491</v>
      </c>
      <c r="G239" s="18">
        <v>-84.261217</v>
      </c>
      <c r="H239" s="18">
        <v>29.550032</v>
      </c>
      <c r="I239" s="16">
        <v>-84.285627</v>
      </c>
      <c r="J239" s="20" t="s">
        <v>882</v>
      </c>
      <c r="K239" s="15" t="s">
        <v>883</v>
      </c>
      <c r="L239" s="15">
        <v>3.0</v>
      </c>
      <c r="M239" s="17">
        <v>29.557492</v>
      </c>
      <c r="N239" s="17">
        <v>-84.272203</v>
      </c>
      <c r="O239" s="15" t="s">
        <v>1486</v>
      </c>
    </row>
    <row r="240" ht="33.75" customHeight="1">
      <c r="A240" s="26">
        <v>42043.0</v>
      </c>
      <c r="B240" s="18" t="s">
        <v>877</v>
      </c>
      <c r="C240" s="18" t="s">
        <v>878</v>
      </c>
      <c r="D240" s="18" t="s">
        <v>879</v>
      </c>
      <c r="E240" s="18" t="s">
        <v>119</v>
      </c>
      <c r="F240" s="18">
        <v>29.553491</v>
      </c>
      <c r="G240" s="18">
        <v>-84.261217</v>
      </c>
      <c r="H240" s="18">
        <v>29.550032</v>
      </c>
      <c r="I240" s="16">
        <v>-84.285627</v>
      </c>
      <c r="J240" s="20" t="s">
        <v>882</v>
      </c>
      <c r="K240" s="15" t="s">
        <v>883</v>
      </c>
      <c r="L240" s="15">
        <v>4.0</v>
      </c>
      <c r="M240" s="17">
        <v>29.55641</v>
      </c>
      <c r="N240" s="17">
        <v>-84.27629</v>
      </c>
      <c r="O240" s="15" t="s">
        <v>1488</v>
      </c>
    </row>
    <row r="241" ht="33.75" customHeight="1">
      <c r="A241" s="26">
        <v>42043.0</v>
      </c>
      <c r="B241" s="18" t="s">
        <v>877</v>
      </c>
      <c r="C241" s="18" t="s">
        <v>878</v>
      </c>
      <c r="D241" s="18" t="s">
        <v>879</v>
      </c>
      <c r="E241" s="18" t="s">
        <v>119</v>
      </c>
      <c r="F241" s="18">
        <v>29.553491</v>
      </c>
      <c r="G241" s="18">
        <v>-84.261217</v>
      </c>
      <c r="H241" s="18">
        <v>29.550032</v>
      </c>
      <c r="I241" s="16">
        <v>-84.285627</v>
      </c>
      <c r="J241" s="20" t="s">
        <v>882</v>
      </c>
      <c r="K241" s="15" t="s">
        <v>883</v>
      </c>
      <c r="L241" s="15">
        <v>5.0</v>
      </c>
      <c r="M241" s="17">
        <v>29.54998</v>
      </c>
      <c r="N241" s="17">
        <v>-84.28954</v>
      </c>
      <c r="O241" s="15" t="s">
        <v>1486</v>
      </c>
    </row>
    <row r="242" ht="33.75" customHeight="1">
      <c r="A242" s="26">
        <v>42046.0</v>
      </c>
      <c r="B242" s="18" t="s">
        <v>919</v>
      </c>
      <c r="C242" s="18" t="s">
        <v>921</v>
      </c>
      <c r="D242" s="18" t="s">
        <v>922</v>
      </c>
      <c r="E242" s="18" t="s">
        <v>119</v>
      </c>
      <c r="F242" s="18">
        <v>29.86942</v>
      </c>
      <c r="G242" s="18">
        <v>-84.59414</v>
      </c>
      <c r="H242" s="18">
        <v>29.52325</v>
      </c>
      <c r="I242" s="16">
        <v>-84.35212</v>
      </c>
      <c r="J242" s="20" t="s">
        <v>923</v>
      </c>
      <c r="K242" s="18" t="s">
        <v>924</v>
      </c>
      <c r="L242" s="15">
        <v>1.0</v>
      </c>
      <c r="M242" s="17">
        <v>29.87263</v>
      </c>
      <c r="N242" s="17">
        <v>-84.58534</v>
      </c>
      <c r="O242" s="15" t="s">
        <v>1488</v>
      </c>
    </row>
    <row r="243" ht="33.75" customHeight="1">
      <c r="A243" s="26">
        <v>42046.0</v>
      </c>
      <c r="B243" s="18" t="s">
        <v>919</v>
      </c>
      <c r="C243" s="18" t="s">
        <v>921</v>
      </c>
      <c r="D243" s="18" t="s">
        <v>922</v>
      </c>
      <c r="E243" s="18" t="s">
        <v>119</v>
      </c>
      <c r="F243" s="18">
        <v>29.86942</v>
      </c>
      <c r="G243" s="18">
        <v>-84.59414</v>
      </c>
      <c r="H243" s="18">
        <v>29.52325</v>
      </c>
      <c r="I243" s="16">
        <v>-84.35212</v>
      </c>
      <c r="J243" s="20" t="s">
        <v>923</v>
      </c>
      <c r="K243" s="18" t="s">
        <v>924</v>
      </c>
      <c r="L243" s="15">
        <v>2.0</v>
      </c>
      <c r="M243" s="17">
        <v>29.8746</v>
      </c>
      <c r="N243" s="17">
        <v>-84.58182</v>
      </c>
      <c r="O243" s="15" t="s">
        <v>1499</v>
      </c>
    </row>
    <row r="244" ht="33.75" customHeight="1">
      <c r="A244" s="26">
        <v>42046.0</v>
      </c>
      <c r="B244" s="18" t="s">
        <v>919</v>
      </c>
      <c r="C244" s="18" t="s">
        <v>921</v>
      </c>
      <c r="D244" s="18" t="s">
        <v>922</v>
      </c>
      <c r="E244" s="18" t="s">
        <v>119</v>
      </c>
      <c r="F244" s="18">
        <v>29.86942</v>
      </c>
      <c r="G244" s="18">
        <v>-84.59414</v>
      </c>
      <c r="H244" s="18">
        <v>29.52325</v>
      </c>
      <c r="I244" s="16">
        <v>-84.35212</v>
      </c>
      <c r="J244" s="20" t="s">
        <v>923</v>
      </c>
      <c r="K244" s="18" t="s">
        <v>924</v>
      </c>
      <c r="L244" s="15">
        <v>3.0</v>
      </c>
      <c r="M244" s="17">
        <v>29.8746</v>
      </c>
      <c r="N244" s="17">
        <v>-84.58182</v>
      </c>
      <c r="O244" s="15" t="s">
        <v>1506</v>
      </c>
    </row>
    <row r="245" ht="33.75" customHeight="1">
      <c r="A245" s="26">
        <v>42046.0</v>
      </c>
      <c r="B245" s="18" t="s">
        <v>919</v>
      </c>
      <c r="C245" s="18" t="s">
        <v>921</v>
      </c>
      <c r="D245" s="18" t="s">
        <v>922</v>
      </c>
      <c r="E245" s="18" t="s">
        <v>119</v>
      </c>
      <c r="F245" s="18">
        <v>29.86942</v>
      </c>
      <c r="G245" s="18">
        <v>-84.59414</v>
      </c>
      <c r="H245" s="18">
        <v>29.52325</v>
      </c>
      <c r="I245" s="16">
        <v>-84.35212</v>
      </c>
      <c r="J245" s="20" t="s">
        <v>923</v>
      </c>
      <c r="K245" s="18" t="s">
        <v>924</v>
      </c>
      <c r="L245" s="15">
        <v>4.0</v>
      </c>
      <c r="M245" s="17">
        <v>29.8746</v>
      </c>
      <c r="N245" s="17">
        <v>-84.58182</v>
      </c>
      <c r="O245" s="15" t="s">
        <v>1516</v>
      </c>
    </row>
    <row r="246" ht="33.75" customHeight="1">
      <c r="A246" s="26">
        <v>42046.0</v>
      </c>
      <c r="B246" s="18" t="s">
        <v>919</v>
      </c>
      <c r="C246" s="18" t="s">
        <v>921</v>
      </c>
      <c r="D246" s="18" t="s">
        <v>922</v>
      </c>
      <c r="E246" s="18" t="s">
        <v>119</v>
      </c>
      <c r="F246" s="18">
        <v>29.86942</v>
      </c>
      <c r="G246" s="18">
        <v>-84.59414</v>
      </c>
      <c r="H246" s="18">
        <v>29.52325</v>
      </c>
      <c r="I246" s="16">
        <v>-84.35212</v>
      </c>
      <c r="J246" s="20" t="s">
        <v>923</v>
      </c>
      <c r="K246" s="15" t="s">
        <v>924</v>
      </c>
      <c r="L246" s="15">
        <v>5.0</v>
      </c>
      <c r="M246" s="17">
        <v>29.8746</v>
      </c>
      <c r="N246" s="17">
        <v>-84.58182</v>
      </c>
      <c r="O246" s="15" t="s">
        <v>1506</v>
      </c>
    </row>
    <row r="247" ht="33.75" customHeight="1">
      <c r="A247" s="26">
        <v>42046.0</v>
      </c>
      <c r="B247" s="18" t="s">
        <v>919</v>
      </c>
      <c r="C247" s="18" t="s">
        <v>921</v>
      </c>
      <c r="D247" s="18" t="s">
        <v>922</v>
      </c>
      <c r="E247" s="18" t="s">
        <v>119</v>
      </c>
      <c r="F247" s="18">
        <v>29.86942</v>
      </c>
      <c r="G247" s="18">
        <v>-84.59414</v>
      </c>
      <c r="H247" s="18">
        <v>29.52325</v>
      </c>
      <c r="I247" s="16">
        <v>-84.35212</v>
      </c>
      <c r="J247" s="20" t="s">
        <v>923</v>
      </c>
      <c r="K247" s="15" t="s">
        <v>924</v>
      </c>
      <c r="L247" s="15">
        <v>6.0</v>
      </c>
      <c r="M247" s="17">
        <v>29.52505</v>
      </c>
      <c r="N247" s="17">
        <v>-84.34397</v>
      </c>
      <c r="O247" s="15" t="s">
        <v>1521</v>
      </c>
    </row>
    <row r="248" ht="33.75" customHeight="1">
      <c r="A248" s="26">
        <v>42046.0</v>
      </c>
      <c r="B248" s="18" t="s">
        <v>919</v>
      </c>
      <c r="C248" s="18" t="s">
        <v>921</v>
      </c>
      <c r="D248" s="18" t="s">
        <v>922</v>
      </c>
      <c r="E248" s="18" t="s">
        <v>119</v>
      </c>
      <c r="F248" s="18">
        <v>29.86942</v>
      </c>
      <c r="G248" s="18">
        <v>-84.59414</v>
      </c>
      <c r="H248" s="18">
        <v>29.52325</v>
      </c>
      <c r="I248" s="16">
        <v>-84.35212</v>
      </c>
      <c r="J248" s="20" t="s">
        <v>923</v>
      </c>
      <c r="K248" s="15" t="s">
        <v>924</v>
      </c>
      <c r="L248" s="15">
        <v>7.0</v>
      </c>
      <c r="M248" s="17">
        <v>29.52505</v>
      </c>
      <c r="N248" s="17">
        <v>-84.34397</v>
      </c>
      <c r="O248" s="15" t="s">
        <v>1524</v>
      </c>
    </row>
    <row r="249" ht="33.75" customHeight="1">
      <c r="A249" s="26">
        <v>42046.0</v>
      </c>
      <c r="B249" s="18" t="s">
        <v>919</v>
      </c>
      <c r="C249" s="18" t="s">
        <v>921</v>
      </c>
      <c r="D249" s="18" t="s">
        <v>922</v>
      </c>
      <c r="E249" s="18" t="s">
        <v>119</v>
      </c>
      <c r="F249" s="18">
        <v>29.86942</v>
      </c>
      <c r="G249" s="18">
        <v>-84.59414</v>
      </c>
      <c r="H249" s="18">
        <v>29.52325</v>
      </c>
      <c r="I249" s="16">
        <v>-84.35212</v>
      </c>
      <c r="J249" s="20" t="s">
        <v>923</v>
      </c>
      <c r="K249" s="15" t="s">
        <v>924</v>
      </c>
      <c r="L249" s="15">
        <v>8.0</v>
      </c>
      <c r="M249" s="17">
        <v>29.52505</v>
      </c>
      <c r="N249" s="17">
        <v>-84.34397</v>
      </c>
      <c r="O249" s="15" t="s">
        <v>1526</v>
      </c>
    </row>
    <row r="250" ht="33.75" customHeight="1">
      <c r="A250" s="26">
        <v>42046.0</v>
      </c>
      <c r="B250" s="18" t="s">
        <v>919</v>
      </c>
      <c r="C250" s="18" t="s">
        <v>921</v>
      </c>
      <c r="D250" s="18" t="s">
        <v>922</v>
      </c>
      <c r="E250" s="18" t="s">
        <v>119</v>
      </c>
      <c r="F250" s="18">
        <v>29.86942</v>
      </c>
      <c r="G250" s="18">
        <v>-84.59414</v>
      </c>
      <c r="H250" s="18">
        <v>29.52325</v>
      </c>
      <c r="I250" s="16">
        <v>-84.35212</v>
      </c>
      <c r="J250" s="20" t="s">
        <v>923</v>
      </c>
      <c r="K250" s="15" t="s">
        <v>924</v>
      </c>
      <c r="L250" s="15">
        <v>9.0</v>
      </c>
      <c r="M250" s="17">
        <v>29.52505</v>
      </c>
      <c r="N250" s="17">
        <v>-84.34397</v>
      </c>
      <c r="O250" s="15" t="s">
        <v>1531</v>
      </c>
    </row>
    <row r="251" ht="33.75" customHeight="1">
      <c r="A251" s="26">
        <v>42046.0</v>
      </c>
      <c r="B251" s="18" t="s">
        <v>919</v>
      </c>
      <c r="C251" s="18" t="s">
        <v>921</v>
      </c>
      <c r="D251" s="18" t="s">
        <v>922</v>
      </c>
      <c r="E251" s="18" t="s">
        <v>119</v>
      </c>
      <c r="F251" s="18">
        <v>29.86942</v>
      </c>
      <c r="G251" s="18">
        <v>-84.59414</v>
      </c>
      <c r="H251" s="18">
        <v>29.52325</v>
      </c>
      <c r="I251" s="16">
        <v>-84.35212</v>
      </c>
      <c r="J251" s="20" t="s">
        <v>923</v>
      </c>
      <c r="K251" s="15" t="s">
        <v>924</v>
      </c>
      <c r="L251" s="15">
        <v>10.0</v>
      </c>
      <c r="M251" s="17">
        <v>29.52325</v>
      </c>
      <c r="N251" s="17">
        <v>-84.35212</v>
      </c>
      <c r="O251" s="15" t="s">
        <v>1537</v>
      </c>
    </row>
    <row r="252" ht="33.75" customHeight="1">
      <c r="A252" s="26">
        <v>42046.0</v>
      </c>
      <c r="B252" s="18" t="s">
        <v>919</v>
      </c>
      <c r="C252" s="18" t="s">
        <v>921</v>
      </c>
      <c r="D252" s="18" t="s">
        <v>922</v>
      </c>
      <c r="E252" s="18" t="s">
        <v>119</v>
      </c>
      <c r="F252" s="18">
        <v>29.86942</v>
      </c>
      <c r="G252" s="18">
        <v>-84.59414</v>
      </c>
      <c r="H252" s="18">
        <v>29.52325</v>
      </c>
      <c r="I252" s="16">
        <v>-84.35212</v>
      </c>
      <c r="J252" s="20" t="s">
        <v>923</v>
      </c>
      <c r="K252" s="15" t="s">
        <v>924</v>
      </c>
      <c r="L252" s="15">
        <v>11.0</v>
      </c>
      <c r="M252" s="17">
        <v>29.52325</v>
      </c>
      <c r="N252" s="17">
        <v>-84.35212</v>
      </c>
      <c r="O252" s="15" t="s">
        <v>1470</v>
      </c>
    </row>
    <row r="253" ht="33.75" customHeight="1">
      <c r="A253" s="26">
        <v>42046.0</v>
      </c>
      <c r="B253" s="18" t="s">
        <v>919</v>
      </c>
      <c r="C253" s="18" t="s">
        <v>921</v>
      </c>
      <c r="D253" s="18" t="s">
        <v>922</v>
      </c>
      <c r="E253" s="18" t="s">
        <v>119</v>
      </c>
      <c r="F253" s="18">
        <v>29.86942</v>
      </c>
      <c r="G253" s="18">
        <v>-84.59414</v>
      </c>
      <c r="H253" s="18">
        <v>29.52325</v>
      </c>
      <c r="I253" s="16">
        <v>-84.35212</v>
      </c>
      <c r="J253" s="20" t="s">
        <v>923</v>
      </c>
      <c r="K253" s="15" t="s">
        <v>924</v>
      </c>
      <c r="L253" s="15">
        <v>12.0</v>
      </c>
      <c r="M253" s="17">
        <v>29.52325</v>
      </c>
      <c r="N253" s="17">
        <v>-84.35212</v>
      </c>
      <c r="O253" s="15" t="s">
        <v>1547</v>
      </c>
    </row>
    <row r="254" ht="33.75" customHeight="1">
      <c r="A254" s="24">
        <v>42047.0</v>
      </c>
      <c r="B254" s="18" t="s">
        <v>961</v>
      </c>
      <c r="C254" s="18" t="s">
        <v>962</v>
      </c>
      <c r="D254" s="18" t="s">
        <v>963</v>
      </c>
      <c r="E254" s="18" t="s">
        <v>964</v>
      </c>
      <c r="F254" s="16" t="s">
        <v>965</v>
      </c>
      <c r="G254" s="16" t="s">
        <v>1549</v>
      </c>
      <c r="H254" s="16" t="s">
        <v>968</v>
      </c>
      <c r="I254" s="17" t="s">
        <v>969</v>
      </c>
      <c r="J254" s="15" t="s">
        <v>970</v>
      </c>
      <c r="K254" s="15" t="s">
        <v>1550</v>
      </c>
      <c r="L254" s="15" t="s">
        <v>853</v>
      </c>
      <c r="M254" s="17" t="s">
        <v>1554</v>
      </c>
      <c r="N254" s="17" t="s">
        <v>1555</v>
      </c>
      <c r="O254" s="15" t="s">
        <v>1556</v>
      </c>
      <c r="P254" s="15" t="s">
        <v>1557</v>
      </c>
    </row>
    <row r="255" ht="33.75" customHeight="1">
      <c r="A255" s="24">
        <v>42047.0</v>
      </c>
      <c r="B255" s="18" t="s">
        <v>961</v>
      </c>
      <c r="C255" s="18" t="s">
        <v>962</v>
      </c>
      <c r="D255" s="18" t="s">
        <v>963</v>
      </c>
      <c r="E255" s="18" t="s">
        <v>964</v>
      </c>
      <c r="F255" s="16" t="s">
        <v>965</v>
      </c>
      <c r="G255" s="16" t="s">
        <v>1549</v>
      </c>
      <c r="H255" s="16" t="s">
        <v>968</v>
      </c>
      <c r="I255" s="17" t="s">
        <v>969</v>
      </c>
      <c r="J255" s="15" t="s">
        <v>970</v>
      </c>
      <c r="K255" s="15" t="s">
        <v>1561</v>
      </c>
      <c r="L255" s="15" t="s">
        <v>1562</v>
      </c>
      <c r="M255" s="17" t="s">
        <v>1564</v>
      </c>
      <c r="N255" s="17" t="s">
        <v>1565</v>
      </c>
      <c r="O255" s="15" t="s">
        <v>1567</v>
      </c>
      <c r="P255" s="15" t="s">
        <v>1557</v>
      </c>
    </row>
    <row r="256" ht="33.75" customHeight="1">
      <c r="A256" s="24">
        <v>42047.0</v>
      </c>
      <c r="B256" s="18" t="s">
        <v>961</v>
      </c>
      <c r="C256" s="18" t="s">
        <v>962</v>
      </c>
      <c r="D256" s="18" t="s">
        <v>963</v>
      </c>
      <c r="E256" s="18" t="s">
        <v>964</v>
      </c>
      <c r="F256" s="16" t="s">
        <v>965</v>
      </c>
      <c r="G256" s="16" t="s">
        <v>966</v>
      </c>
      <c r="H256" s="16" t="s">
        <v>968</v>
      </c>
      <c r="I256" s="17" t="s">
        <v>969</v>
      </c>
      <c r="J256" s="44">
        <v>0.5098958333333333</v>
      </c>
      <c r="K256" s="15" t="s">
        <v>1561</v>
      </c>
      <c r="L256" s="15" t="s">
        <v>1562</v>
      </c>
      <c r="M256" s="17" t="s">
        <v>1570</v>
      </c>
      <c r="N256" s="17" t="s">
        <v>1572</v>
      </c>
      <c r="O256" s="15" t="s">
        <v>1573</v>
      </c>
      <c r="P256" s="15" t="s">
        <v>1557</v>
      </c>
    </row>
    <row r="257" ht="33.75" customHeight="1">
      <c r="A257" s="14">
        <v>42041.0</v>
      </c>
      <c r="B257" s="18" t="s">
        <v>102</v>
      </c>
      <c r="C257" s="18" t="s">
        <v>104</v>
      </c>
      <c r="D257" s="15" t="s">
        <v>475</v>
      </c>
      <c r="E257" s="15" t="s">
        <v>269</v>
      </c>
      <c r="F257" s="15">
        <v>29.8794</v>
      </c>
      <c r="G257" s="15">
        <v>-85.38474</v>
      </c>
      <c r="H257" s="15">
        <v>29.75923</v>
      </c>
      <c r="I257" s="17">
        <v>-85.40343</v>
      </c>
      <c r="J257" s="15" t="s">
        <v>985</v>
      </c>
      <c r="K257" s="15" t="s">
        <v>986</v>
      </c>
      <c r="L257" s="15">
        <v>1.0</v>
      </c>
      <c r="M257" s="17">
        <v>29.77242</v>
      </c>
      <c r="N257" s="17">
        <v>-85.40468</v>
      </c>
      <c r="O257" s="15" t="s">
        <v>1578</v>
      </c>
    </row>
    <row r="258" ht="33.75" customHeight="1">
      <c r="A258" s="14">
        <v>42041.0</v>
      </c>
      <c r="B258" s="18" t="s">
        <v>102</v>
      </c>
      <c r="C258" s="18" t="s">
        <v>104</v>
      </c>
      <c r="D258" s="15" t="s">
        <v>475</v>
      </c>
      <c r="E258" s="15" t="s">
        <v>269</v>
      </c>
      <c r="F258" s="15">
        <v>29.8794</v>
      </c>
      <c r="G258" s="15">
        <v>-85.38474</v>
      </c>
      <c r="H258" s="15">
        <v>29.75923</v>
      </c>
      <c r="I258" s="17">
        <v>-85.40343</v>
      </c>
      <c r="J258" s="15" t="s">
        <v>985</v>
      </c>
      <c r="K258" s="15" t="s">
        <v>986</v>
      </c>
      <c r="L258" s="15">
        <v>2.0</v>
      </c>
      <c r="M258" s="17">
        <v>29.82907</v>
      </c>
      <c r="N258" s="17">
        <v>-85.41045</v>
      </c>
      <c r="O258" s="15" t="s">
        <v>1585</v>
      </c>
      <c r="P258" s="15" t="s">
        <v>568</v>
      </c>
    </row>
    <row r="259" ht="33.75" customHeight="1">
      <c r="A259" s="14">
        <v>42041.0</v>
      </c>
      <c r="B259" s="18" t="s">
        <v>102</v>
      </c>
      <c r="C259" s="18" t="s">
        <v>104</v>
      </c>
      <c r="D259" s="15" t="s">
        <v>475</v>
      </c>
      <c r="E259" s="15" t="s">
        <v>269</v>
      </c>
      <c r="F259" s="15">
        <v>29.8794</v>
      </c>
      <c r="G259" s="15">
        <v>-85.38474</v>
      </c>
      <c r="H259" s="15">
        <v>29.75923</v>
      </c>
      <c r="I259" s="17">
        <v>-85.40343</v>
      </c>
      <c r="J259" s="15" t="s">
        <v>985</v>
      </c>
      <c r="K259" s="15" t="s">
        <v>986</v>
      </c>
      <c r="L259" s="15">
        <v>3.0</v>
      </c>
      <c r="M259" s="17">
        <v>29.84514</v>
      </c>
      <c r="N259" s="17">
        <v>-85.40341</v>
      </c>
      <c r="O259" s="15" t="s">
        <v>1590</v>
      </c>
      <c r="P259" s="15" t="s">
        <v>1289</v>
      </c>
    </row>
    <row r="260" ht="33.75" customHeight="1">
      <c r="A260" s="14">
        <v>42041.0</v>
      </c>
      <c r="B260" s="18" t="s">
        <v>102</v>
      </c>
      <c r="C260" s="18" t="s">
        <v>104</v>
      </c>
      <c r="D260" s="15" t="s">
        <v>475</v>
      </c>
      <c r="E260" s="15" t="s">
        <v>269</v>
      </c>
      <c r="F260" s="15">
        <v>29.8794</v>
      </c>
      <c r="G260" s="15">
        <v>-85.38474</v>
      </c>
      <c r="H260" s="15">
        <v>29.75923</v>
      </c>
      <c r="I260" s="17">
        <v>-85.40343</v>
      </c>
      <c r="J260" s="15" t="s">
        <v>985</v>
      </c>
      <c r="K260" s="15" t="s">
        <v>986</v>
      </c>
      <c r="L260" s="15">
        <v>4.0</v>
      </c>
      <c r="M260" s="17">
        <v>29.8541</v>
      </c>
      <c r="N260" s="17">
        <v>-85.41406</v>
      </c>
      <c r="O260" s="15" t="s">
        <v>1591</v>
      </c>
      <c r="P260" s="15" t="s">
        <v>1592</v>
      </c>
    </row>
    <row r="261" ht="33.75" customHeight="1">
      <c r="A261" s="14">
        <v>42041.0</v>
      </c>
      <c r="B261" s="18" t="s">
        <v>102</v>
      </c>
      <c r="C261" s="18" t="s">
        <v>104</v>
      </c>
      <c r="D261" s="15" t="s">
        <v>475</v>
      </c>
      <c r="E261" s="15" t="s">
        <v>269</v>
      </c>
      <c r="F261" s="15">
        <v>29.8794</v>
      </c>
      <c r="G261" s="15">
        <v>-85.38474</v>
      </c>
      <c r="H261" s="15">
        <v>29.75923</v>
      </c>
      <c r="I261" s="17">
        <v>-85.40343</v>
      </c>
      <c r="J261" s="15" t="s">
        <v>985</v>
      </c>
      <c r="K261" s="15" t="s">
        <v>986</v>
      </c>
      <c r="L261" s="15">
        <v>5.0</v>
      </c>
      <c r="M261" s="17">
        <v>29.8437</v>
      </c>
      <c r="N261" s="17">
        <v>-85.41563</v>
      </c>
      <c r="O261" s="15" t="s">
        <v>1594</v>
      </c>
      <c r="P261" s="15" t="s">
        <v>1595</v>
      </c>
    </row>
    <row r="262" ht="33.75" customHeight="1">
      <c r="A262" s="14">
        <v>42041.0</v>
      </c>
      <c r="B262" s="18" t="s">
        <v>102</v>
      </c>
      <c r="C262" s="18" t="s">
        <v>104</v>
      </c>
      <c r="D262" s="15" t="s">
        <v>475</v>
      </c>
      <c r="E262" s="15" t="s">
        <v>269</v>
      </c>
      <c r="F262" s="15">
        <v>29.8794</v>
      </c>
      <c r="G262" s="15">
        <v>-85.38474</v>
      </c>
      <c r="H262" s="15">
        <v>29.75923</v>
      </c>
      <c r="I262" s="17">
        <v>-85.40343</v>
      </c>
      <c r="J262" s="15" t="s">
        <v>985</v>
      </c>
      <c r="K262" s="15" t="s">
        <v>986</v>
      </c>
      <c r="L262" s="15">
        <v>6.0</v>
      </c>
      <c r="M262" s="17">
        <v>29.84167</v>
      </c>
      <c r="N262" s="17">
        <v>-85.41599</v>
      </c>
      <c r="O262" s="15" t="s">
        <v>1328</v>
      </c>
      <c r="P262" s="15" t="s">
        <v>1397</v>
      </c>
    </row>
    <row r="263" ht="33.75" customHeight="1">
      <c r="A263" s="14">
        <v>42041.0</v>
      </c>
      <c r="B263" s="18" t="s">
        <v>102</v>
      </c>
      <c r="C263" s="18" t="s">
        <v>104</v>
      </c>
      <c r="D263" s="15" t="s">
        <v>475</v>
      </c>
      <c r="E263" s="15" t="s">
        <v>269</v>
      </c>
      <c r="F263" s="15">
        <v>29.8794</v>
      </c>
      <c r="G263" s="15">
        <v>-85.38474</v>
      </c>
      <c r="H263" s="15">
        <v>29.75923</v>
      </c>
      <c r="I263" s="17">
        <v>-85.40343</v>
      </c>
      <c r="J263" s="15" t="s">
        <v>985</v>
      </c>
      <c r="K263" s="15" t="s">
        <v>986</v>
      </c>
      <c r="L263" s="15">
        <v>7.0</v>
      </c>
      <c r="M263" s="17">
        <v>29.83903</v>
      </c>
      <c r="N263" s="17">
        <v>-85.41646</v>
      </c>
      <c r="O263" s="15" t="s">
        <v>565</v>
      </c>
      <c r="P263" s="15" t="s">
        <v>566</v>
      </c>
    </row>
    <row r="264" ht="33.75" customHeight="1">
      <c r="A264" s="14">
        <v>42041.0</v>
      </c>
      <c r="B264" s="18" t="s">
        <v>102</v>
      </c>
      <c r="C264" s="18" t="s">
        <v>104</v>
      </c>
      <c r="D264" s="15" t="s">
        <v>475</v>
      </c>
      <c r="E264" s="15" t="s">
        <v>269</v>
      </c>
      <c r="F264" s="15">
        <v>29.8794</v>
      </c>
      <c r="G264" s="15">
        <v>-85.38474</v>
      </c>
      <c r="H264" s="15">
        <v>29.75923</v>
      </c>
      <c r="I264" s="17">
        <v>-85.40343</v>
      </c>
      <c r="J264" s="15" t="s">
        <v>985</v>
      </c>
      <c r="K264" s="15" t="s">
        <v>986</v>
      </c>
      <c r="L264" s="15">
        <v>8.0</v>
      </c>
      <c r="M264" s="17">
        <v>29.82337</v>
      </c>
      <c r="N264" s="17">
        <v>-85.41658</v>
      </c>
      <c r="O264" s="15" t="s">
        <v>569</v>
      </c>
      <c r="P264" s="15" t="s">
        <v>570</v>
      </c>
    </row>
    <row r="265" ht="33.75" customHeight="1">
      <c r="A265" s="14">
        <v>42041.0</v>
      </c>
      <c r="B265" s="18" t="s">
        <v>102</v>
      </c>
      <c r="C265" s="18" t="s">
        <v>104</v>
      </c>
      <c r="D265" s="15" t="s">
        <v>475</v>
      </c>
      <c r="E265" s="15" t="s">
        <v>269</v>
      </c>
      <c r="F265" s="15">
        <v>29.8794</v>
      </c>
      <c r="G265" s="15">
        <v>-85.38474</v>
      </c>
      <c r="H265" s="15">
        <v>29.75923</v>
      </c>
      <c r="I265" s="17">
        <v>-85.40343</v>
      </c>
      <c r="J265" s="15" t="s">
        <v>985</v>
      </c>
      <c r="K265" s="15" t="s">
        <v>986</v>
      </c>
      <c r="L265" s="15">
        <v>9.0</v>
      </c>
      <c r="M265" s="17">
        <v>29.81684</v>
      </c>
      <c r="N265" s="17">
        <v>-85.41614</v>
      </c>
      <c r="O265" s="15" t="s">
        <v>583</v>
      </c>
      <c r="P265" s="15" t="s">
        <v>585</v>
      </c>
    </row>
    <row r="266" ht="33.75" customHeight="1">
      <c r="A266" s="14">
        <v>42041.0</v>
      </c>
      <c r="B266" s="18" t="s">
        <v>102</v>
      </c>
      <c r="C266" s="18" t="s">
        <v>104</v>
      </c>
      <c r="D266" s="15" t="s">
        <v>475</v>
      </c>
      <c r="E266" s="15" t="s">
        <v>269</v>
      </c>
      <c r="F266" s="15">
        <v>29.8794</v>
      </c>
      <c r="G266" s="15">
        <v>-85.38474</v>
      </c>
      <c r="H266" s="15">
        <v>29.75923</v>
      </c>
      <c r="I266" s="17">
        <v>-85.40343</v>
      </c>
      <c r="J266" s="15" t="s">
        <v>985</v>
      </c>
      <c r="K266" s="15" t="s">
        <v>986</v>
      </c>
      <c r="L266" s="15">
        <v>10.0</v>
      </c>
      <c r="M266" s="17">
        <v>29.79128</v>
      </c>
      <c r="N266" s="17">
        <v>-85.41172</v>
      </c>
      <c r="O266" s="15" t="s">
        <v>583</v>
      </c>
      <c r="P266" s="15" t="s">
        <v>585</v>
      </c>
    </row>
    <row r="267" ht="33.75" customHeight="1">
      <c r="A267" s="24">
        <v>42045.0</v>
      </c>
      <c r="B267" s="18" t="s">
        <v>618</v>
      </c>
      <c r="C267" s="18" t="s">
        <v>218</v>
      </c>
      <c r="D267" s="16" t="s">
        <v>621</v>
      </c>
      <c r="E267" s="16" t="s">
        <v>269</v>
      </c>
      <c r="F267" s="16">
        <v>29.66988</v>
      </c>
      <c r="G267" s="17">
        <v>-85.35587</v>
      </c>
      <c r="H267" s="15">
        <v>29.67583</v>
      </c>
      <c r="I267" s="15">
        <v>-85.33368</v>
      </c>
      <c r="J267" s="15" t="s">
        <v>994</v>
      </c>
      <c r="K267" s="15" t="s">
        <v>1610</v>
      </c>
      <c r="L267" s="15">
        <v>1.0</v>
      </c>
      <c r="M267" s="17">
        <v>29.66596</v>
      </c>
      <c r="N267" s="17">
        <v>-85.34946</v>
      </c>
      <c r="O267" s="15" t="s">
        <v>1612</v>
      </c>
      <c r="P267" s="15" t="s">
        <v>1016</v>
      </c>
    </row>
    <row r="268" ht="33.75" customHeight="1">
      <c r="A268" s="24">
        <v>42045.0</v>
      </c>
      <c r="B268" s="18" t="s">
        <v>618</v>
      </c>
      <c r="C268" s="18" t="s">
        <v>218</v>
      </c>
      <c r="D268" s="16" t="s">
        <v>621</v>
      </c>
      <c r="E268" s="16" t="s">
        <v>269</v>
      </c>
      <c r="F268" s="16">
        <v>29.66988</v>
      </c>
      <c r="G268" s="17">
        <v>-85.35587</v>
      </c>
      <c r="H268" s="15">
        <v>29.67583</v>
      </c>
      <c r="I268" s="15">
        <v>-85.33368</v>
      </c>
      <c r="J268" s="15" t="s">
        <v>994</v>
      </c>
      <c r="K268" s="15" t="s">
        <v>995</v>
      </c>
      <c r="L268" s="15">
        <v>2.0</v>
      </c>
      <c r="M268" s="17">
        <v>29.6648</v>
      </c>
      <c r="N268" s="17">
        <v>-85.34727</v>
      </c>
      <c r="O268" s="15" t="s">
        <v>1613</v>
      </c>
      <c r="P268" s="15" t="s">
        <v>1614</v>
      </c>
    </row>
    <row r="269" ht="33.75" customHeight="1">
      <c r="A269" s="24">
        <v>42045.0</v>
      </c>
      <c r="B269" s="18" t="s">
        <v>618</v>
      </c>
      <c r="C269" s="18" t="s">
        <v>218</v>
      </c>
      <c r="D269" s="16" t="s">
        <v>621</v>
      </c>
      <c r="E269" s="16" t="s">
        <v>269</v>
      </c>
      <c r="F269" s="16">
        <v>29.66988</v>
      </c>
      <c r="G269" s="17">
        <v>-85.35587</v>
      </c>
      <c r="H269" s="15">
        <v>29.67583</v>
      </c>
      <c r="I269" s="15">
        <v>-85.33368</v>
      </c>
      <c r="J269" s="15" t="s">
        <v>994</v>
      </c>
      <c r="K269" s="15" t="s">
        <v>995</v>
      </c>
      <c r="L269" s="15">
        <v>3.0</v>
      </c>
      <c r="M269" s="17">
        <v>29.67007</v>
      </c>
      <c r="N269" s="17">
        <v>-85.34437</v>
      </c>
      <c r="O269" s="15" t="s">
        <v>1617</v>
      </c>
      <c r="P269" s="15" t="s">
        <v>1016</v>
      </c>
    </row>
    <row r="270" ht="33.75" customHeight="1">
      <c r="A270" s="24">
        <v>42045.0</v>
      </c>
      <c r="B270" s="18" t="s">
        <v>157</v>
      </c>
      <c r="C270" s="18" t="s">
        <v>731</v>
      </c>
      <c r="D270" s="18" t="s">
        <v>1618</v>
      </c>
      <c r="E270" s="18" t="s">
        <v>269</v>
      </c>
      <c r="F270" s="16" t="s">
        <v>759</v>
      </c>
      <c r="G270" s="16" t="s">
        <v>760</v>
      </c>
      <c r="H270" s="16" t="s">
        <v>998</v>
      </c>
      <c r="I270" s="17" t="s">
        <v>999</v>
      </c>
      <c r="J270" s="15" t="s">
        <v>1619</v>
      </c>
      <c r="K270" s="15" t="s">
        <v>1620</v>
      </c>
      <c r="L270" s="15">
        <v>1.0</v>
      </c>
      <c r="M270" s="17" t="s">
        <v>1622</v>
      </c>
      <c r="N270" s="17" t="s">
        <v>1623</v>
      </c>
      <c r="O270" s="15" t="s">
        <v>1625</v>
      </c>
    </row>
    <row r="271" ht="33.75" customHeight="1">
      <c r="A271" s="24">
        <v>42045.0</v>
      </c>
      <c r="B271" s="18" t="s">
        <v>157</v>
      </c>
      <c r="C271" s="18" t="s">
        <v>731</v>
      </c>
      <c r="D271" s="18" t="s">
        <v>1628</v>
      </c>
      <c r="E271" s="18" t="s">
        <v>269</v>
      </c>
      <c r="F271" s="16" t="s">
        <v>998</v>
      </c>
      <c r="G271" s="16" t="s">
        <v>999</v>
      </c>
      <c r="H271" s="16" t="s">
        <v>1000</v>
      </c>
      <c r="I271" s="17" t="s">
        <v>1001</v>
      </c>
      <c r="J271" s="15" t="s">
        <v>1002</v>
      </c>
      <c r="K271" s="15" t="s">
        <v>1003</v>
      </c>
      <c r="L271" s="15">
        <v>1.0</v>
      </c>
      <c r="M271" s="17" t="s">
        <v>1631</v>
      </c>
      <c r="N271" s="17" t="s">
        <v>1632</v>
      </c>
      <c r="O271" s="15" t="s">
        <v>1127</v>
      </c>
      <c r="P271" s="15" t="s">
        <v>1633</v>
      </c>
    </row>
    <row r="272" ht="33.75" customHeight="1">
      <c r="A272" s="24">
        <v>42045.0</v>
      </c>
      <c r="B272" s="18" t="s">
        <v>1634</v>
      </c>
      <c r="C272" s="18" t="s">
        <v>232</v>
      </c>
      <c r="D272" s="18" t="s">
        <v>866</v>
      </c>
      <c r="E272" s="18" t="s">
        <v>269</v>
      </c>
      <c r="F272" s="16">
        <v>29.68304</v>
      </c>
      <c r="G272" s="16">
        <v>-85.22219</v>
      </c>
      <c r="H272" s="16">
        <v>29.67589</v>
      </c>
      <c r="I272" s="17">
        <v>-85.33371</v>
      </c>
      <c r="J272" s="15" t="s">
        <v>1009</v>
      </c>
      <c r="K272" s="15" t="s">
        <v>1010</v>
      </c>
      <c r="L272" s="15">
        <v>1.0</v>
      </c>
      <c r="M272" s="17">
        <v>29.67617</v>
      </c>
      <c r="N272" s="17">
        <v>-85.22463</v>
      </c>
      <c r="O272" s="15" t="s">
        <v>1636</v>
      </c>
    </row>
    <row r="273" ht="33.75" customHeight="1">
      <c r="A273" s="24">
        <v>42045.0</v>
      </c>
      <c r="B273" s="18" t="s">
        <v>231</v>
      </c>
      <c r="C273" s="18" t="s">
        <v>232</v>
      </c>
      <c r="D273" s="18" t="s">
        <v>866</v>
      </c>
      <c r="E273" s="18" t="s">
        <v>269</v>
      </c>
      <c r="F273" s="16">
        <v>29.68304</v>
      </c>
      <c r="G273" s="16">
        <v>-85.22219</v>
      </c>
      <c r="H273" s="16">
        <v>29.67589</v>
      </c>
      <c r="I273" s="17">
        <v>-85.33371</v>
      </c>
      <c r="J273" s="15" t="s">
        <v>1009</v>
      </c>
      <c r="K273" s="15" t="s">
        <v>1010</v>
      </c>
      <c r="L273" s="15">
        <v>2.0</v>
      </c>
      <c r="M273" s="17">
        <v>29.68041</v>
      </c>
      <c r="N273" s="17">
        <v>-85.25506</v>
      </c>
      <c r="O273" s="15" t="s">
        <v>1638</v>
      </c>
      <c r="P273" s="15" t="s">
        <v>1639</v>
      </c>
    </row>
    <row r="274" ht="33.75" customHeight="1">
      <c r="A274" s="24">
        <v>42047.0</v>
      </c>
      <c r="B274" s="18" t="s">
        <v>157</v>
      </c>
      <c r="C274" s="18" t="s">
        <v>731</v>
      </c>
      <c r="D274" s="18" t="s">
        <v>1640</v>
      </c>
      <c r="E274" s="18" t="s">
        <v>269</v>
      </c>
      <c r="F274" s="16" t="s">
        <v>1050</v>
      </c>
      <c r="G274" s="16" t="s">
        <v>1051</v>
      </c>
      <c r="H274" s="16" t="s">
        <v>1052</v>
      </c>
      <c r="I274" s="17" t="s">
        <v>1053</v>
      </c>
      <c r="J274" s="15" t="s">
        <v>1054</v>
      </c>
      <c r="K274" s="15" t="s">
        <v>1641</v>
      </c>
      <c r="L274" s="15">
        <v>4.0</v>
      </c>
      <c r="M274" s="17" t="s">
        <v>1642</v>
      </c>
      <c r="N274" s="17" t="s">
        <v>1643</v>
      </c>
      <c r="O274" s="15" t="s">
        <v>615</v>
      </c>
      <c r="P274" s="15" t="s">
        <v>1645</v>
      </c>
    </row>
    <row r="275" ht="33.75" customHeight="1">
      <c r="A275" s="24">
        <v>42045.0</v>
      </c>
      <c r="B275" s="18" t="s">
        <v>231</v>
      </c>
      <c r="C275" s="18" t="s">
        <v>232</v>
      </c>
      <c r="D275" s="18" t="s">
        <v>866</v>
      </c>
      <c r="E275" s="18" t="s">
        <v>269</v>
      </c>
      <c r="F275" s="16">
        <v>29.68304</v>
      </c>
      <c r="G275" s="16">
        <v>-85.22219</v>
      </c>
      <c r="H275" s="16">
        <v>29.67589</v>
      </c>
      <c r="I275" s="17">
        <v>-85.33371</v>
      </c>
      <c r="J275" s="15" t="s">
        <v>1009</v>
      </c>
      <c r="K275" s="15" t="s">
        <v>1010</v>
      </c>
      <c r="L275" s="15">
        <v>4.0</v>
      </c>
      <c r="M275" s="17">
        <v>29.68289</v>
      </c>
      <c r="N275" s="17">
        <v>-85.30714</v>
      </c>
      <c r="O275" s="15" t="s">
        <v>1648</v>
      </c>
      <c r="P275" s="15" t="s">
        <v>1649</v>
      </c>
    </row>
    <row r="276" ht="33.75" customHeight="1">
      <c r="A276" s="24">
        <v>42045.0</v>
      </c>
      <c r="B276" s="18" t="s">
        <v>231</v>
      </c>
      <c r="C276" s="18" t="s">
        <v>232</v>
      </c>
      <c r="D276" s="18" t="s">
        <v>866</v>
      </c>
      <c r="E276" s="18" t="s">
        <v>269</v>
      </c>
      <c r="F276" s="16">
        <v>29.68304</v>
      </c>
      <c r="G276" s="16">
        <v>-85.22219</v>
      </c>
      <c r="H276" s="16">
        <v>29.67589</v>
      </c>
      <c r="I276" s="17">
        <v>-85.33371</v>
      </c>
      <c r="J276" s="15" t="s">
        <v>1009</v>
      </c>
      <c r="K276" s="15" t="s">
        <v>1010</v>
      </c>
      <c r="L276" s="15">
        <v>5.0</v>
      </c>
      <c r="M276" s="17">
        <v>29.68211</v>
      </c>
      <c r="N276" s="17">
        <v>-85.31211</v>
      </c>
      <c r="O276" s="15" t="s">
        <v>1655</v>
      </c>
      <c r="P276" s="15" t="s">
        <v>1649</v>
      </c>
    </row>
    <row r="277" ht="33.75" customHeight="1">
      <c r="A277" s="24">
        <v>42045.0</v>
      </c>
      <c r="B277" s="18" t="s">
        <v>231</v>
      </c>
      <c r="C277" s="18" t="s">
        <v>232</v>
      </c>
      <c r="D277" s="18" t="s">
        <v>866</v>
      </c>
      <c r="E277" s="18" t="s">
        <v>269</v>
      </c>
      <c r="F277" s="16">
        <v>29.68304</v>
      </c>
      <c r="G277" s="16">
        <v>-85.22219</v>
      </c>
      <c r="H277" s="16">
        <v>29.67589</v>
      </c>
      <c r="I277" s="17">
        <v>-85.33371</v>
      </c>
      <c r="J277" s="15" t="s">
        <v>1009</v>
      </c>
      <c r="K277" s="15" t="s">
        <v>1010</v>
      </c>
      <c r="L277" s="15">
        <v>6.0</v>
      </c>
      <c r="M277" s="17">
        <v>29.68034</v>
      </c>
      <c r="N277" s="17">
        <v>-85.31994</v>
      </c>
      <c r="O277" s="15" t="s">
        <v>1660</v>
      </c>
      <c r="P277" s="15" t="s">
        <v>1661</v>
      </c>
    </row>
    <row r="278" ht="33.75" customHeight="1">
      <c r="A278" s="24">
        <v>42045.0</v>
      </c>
      <c r="B278" s="18" t="s">
        <v>231</v>
      </c>
      <c r="C278" s="18" t="s">
        <v>232</v>
      </c>
      <c r="D278" s="18" t="s">
        <v>866</v>
      </c>
      <c r="E278" s="18" t="s">
        <v>269</v>
      </c>
      <c r="F278" s="16">
        <v>29.68304</v>
      </c>
      <c r="G278" s="16">
        <v>-85.22219</v>
      </c>
      <c r="H278" s="16">
        <v>29.67589</v>
      </c>
      <c r="I278" s="17">
        <v>-85.33371</v>
      </c>
      <c r="J278" s="15" t="s">
        <v>1009</v>
      </c>
      <c r="K278" s="15" t="s">
        <v>1010</v>
      </c>
      <c r="L278" s="15">
        <v>7.0</v>
      </c>
      <c r="M278" s="17">
        <v>29.67749</v>
      </c>
      <c r="N278" s="17">
        <v>-85.32943</v>
      </c>
      <c r="O278" s="15" t="s">
        <v>1662</v>
      </c>
      <c r="P278" s="15" t="s">
        <v>1663</v>
      </c>
    </row>
    <row r="279" ht="33.75" customHeight="1">
      <c r="A279" s="24">
        <v>42046.0</v>
      </c>
      <c r="B279" s="18" t="s">
        <v>231</v>
      </c>
      <c r="C279" s="18" t="s">
        <v>232</v>
      </c>
      <c r="D279" s="18" t="s">
        <v>268</v>
      </c>
      <c r="E279" s="18" t="s">
        <v>1034</v>
      </c>
      <c r="F279" s="16">
        <v>29.69865</v>
      </c>
      <c r="G279" s="16">
        <v>-85.3154</v>
      </c>
      <c r="H279" s="16">
        <v>29.67922</v>
      </c>
      <c r="I279" s="17">
        <v>-85.36388</v>
      </c>
      <c r="J279" s="15" t="s">
        <v>1021</v>
      </c>
      <c r="K279" s="15" t="s">
        <v>1022</v>
      </c>
      <c r="L279" s="15">
        <v>1.0</v>
      </c>
      <c r="M279" s="17">
        <v>29.68773</v>
      </c>
      <c r="N279" s="17">
        <v>-85.31262</v>
      </c>
      <c r="O279" s="15" t="s">
        <v>1664</v>
      </c>
      <c r="P279" s="15" t="s">
        <v>1665</v>
      </c>
    </row>
    <row r="280" ht="33.75" customHeight="1">
      <c r="A280" s="24">
        <v>42046.0</v>
      </c>
      <c r="B280" s="18" t="s">
        <v>231</v>
      </c>
      <c r="C280" s="18" t="s">
        <v>232</v>
      </c>
      <c r="D280" s="18" t="s">
        <v>268</v>
      </c>
      <c r="E280" s="18" t="s">
        <v>1034</v>
      </c>
      <c r="F280" s="16">
        <v>29.69865</v>
      </c>
      <c r="G280" s="16">
        <v>-85.3154</v>
      </c>
      <c r="H280" s="16">
        <v>29.67922</v>
      </c>
      <c r="I280" s="17">
        <v>-85.36388</v>
      </c>
      <c r="J280" s="15" t="s">
        <v>1021</v>
      </c>
      <c r="K280" s="15" t="s">
        <v>1022</v>
      </c>
      <c r="L280" s="15">
        <v>2.0</v>
      </c>
      <c r="M280" s="17">
        <v>29.69362</v>
      </c>
      <c r="N280" s="17">
        <v>-85.31257</v>
      </c>
      <c r="O280" s="15" t="s">
        <v>1668</v>
      </c>
      <c r="P280" s="15" t="s">
        <v>1669</v>
      </c>
    </row>
    <row r="281" ht="33.75" customHeight="1">
      <c r="A281" s="24">
        <v>42046.0</v>
      </c>
      <c r="B281" s="18" t="s">
        <v>231</v>
      </c>
      <c r="C281" s="18" t="s">
        <v>232</v>
      </c>
      <c r="D281" s="18" t="s">
        <v>268</v>
      </c>
      <c r="E281" s="18" t="s">
        <v>1034</v>
      </c>
      <c r="F281" s="16">
        <v>29.69865</v>
      </c>
      <c r="G281" s="16">
        <v>-85.3154</v>
      </c>
      <c r="H281" s="16">
        <v>29.67922</v>
      </c>
      <c r="I281" s="17">
        <v>-85.36388</v>
      </c>
      <c r="J281" s="15" t="s">
        <v>1021</v>
      </c>
      <c r="K281" s="15" t="s">
        <v>1022</v>
      </c>
      <c r="L281" s="15">
        <v>3.0</v>
      </c>
      <c r="M281" s="17">
        <v>29.68753</v>
      </c>
      <c r="N281" s="17">
        <v>-85.32826</v>
      </c>
      <c r="O281" s="15" t="s">
        <v>1670</v>
      </c>
    </row>
    <row r="282" ht="33.75" customHeight="1">
      <c r="A282" s="24">
        <v>42046.0</v>
      </c>
      <c r="B282" s="18" t="s">
        <v>231</v>
      </c>
      <c r="C282" s="18" t="s">
        <v>232</v>
      </c>
      <c r="D282" s="18" t="s">
        <v>268</v>
      </c>
      <c r="E282" s="18" t="s">
        <v>1034</v>
      </c>
      <c r="F282" s="16">
        <v>29.69865</v>
      </c>
      <c r="G282" s="16">
        <v>-85.3154</v>
      </c>
      <c r="H282" s="16">
        <v>29.67922</v>
      </c>
      <c r="I282" s="17">
        <v>-85.36388</v>
      </c>
      <c r="J282" s="15" t="s">
        <v>1021</v>
      </c>
      <c r="K282" s="15" t="s">
        <v>1022</v>
      </c>
      <c r="L282" s="15">
        <v>4.0</v>
      </c>
      <c r="M282" s="17">
        <v>29.68426</v>
      </c>
      <c r="N282" s="17">
        <v>-85.34579</v>
      </c>
      <c r="O282" s="15" t="s">
        <v>1679</v>
      </c>
    </row>
    <row r="283" ht="33.75" customHeight="1">
      <c r="A283" s="24">
        <v>42047.0</v>
      </c>
      <c r="B283" s="18" t="s">
        <v>157</v>
      </c>
      <c r="C283" s="18" t="s">
        <v>731</v>
      </c>
      <c r="D283" s="18" t="s">
        <v>1681</v>
      </c>
      <c r="E283" s="18" t="s">
        <v>269</v>
      </c>
      <c r="F283" s="16" t="s">
        <v>1050</v>
      </c>
      <c r="G283" s="16" t="s">
        <v>1051</v>
      </c>
      <c r="H283" s="16" t="s">
        <v>1052</v>
      </c>
      <c r="I283" s="17" t="s">
        <v>1053</v>
      </c>
      <c r="J283" s="15" t="s">
        <v>1054</v>
      </c>
      <c r="K283" s="15" t="s">
        <v>1682</v>
      </c>
      <c r="L283" s="15">
        <v>1.0</v>
      </c>
      <c r="M283" s="17" t="s">
        <v>1683</v>
      </c>
      <c r="N283" s="17" t="s">
        <v>1684</v>
      </c>
      <c r="O283" s="15" t="s">
        <v>1685</v>
      </c>
    </row>
    <row r="284" ht="33.75" customHeight="1">
      <c r="A284" s="24">
        <v>42047.0</v>
      </c>
      <c r="B284" s="18" t="s">
        <v>157</v>
      </c>
      <c r="C284" s="18" t="s">
        <v>1686</v>
      </c>
      <c r="D284" s="18" t="s">
        <v>1688</v>
      </c>
      <c r="E284" s="18" t="s">
        <v>269</v>
      </c>
      <c r="F284" s="16" t="s">
        <v>1050</v>
      </c>
      <c r="G284" s="16" t="s">
        <v>1051</v>
      </c>
      <c r="H284" s="16" t="s">
        <v>1052</v>
      </c>
      <c r="I284" s="17" t="s">
        <v>1053</v>
      </c>
      <c r="J284" s="15" t="s">
        <v>1054</v>
      </c>
      <c r="K284" s="15" t="s">
        <v>1690</v>
      </c>
      <c r="L284" s="15">
        <v>2.0</v>
      </c>
      <c r="M284" s="17" t="s">
        <v>1692</v>
      </c>
      <c r="N284" s="17" t="s">
        <v>1693</v>
      </c>
      <c r="O284" s="15" t="s">
        <v>1694</v>
      </c>
      <c r="P284" s="15" t="s">
        <v>1695</v>
      </c>
    </row>
    <row r="285" ht="33.75" customHeight="1">
      <c r="A285" s="24">
        <v>42047.0</v>
      </c>
      <c r="B285" s="18" t="s">
        <v>157</v>
      </c>
      <c r="C285" s="18" t="s">
        <v>1696</v>
      </c>
      <c r="D285" s="18" t="s">
        <v>1696</v>
      </c>
      <c r="E285" s="18" t="s">
        <v>269</v>
      </c>
      <c r="F285" s="16" t="s">
        <v>1050</v>
      </c>
      <c r="G285" s="16" t="s">
        <v>1051</v>
      </c>
      <c r="H285" s="16" t="s">
        <v>1052</v>
      </c>
      <c r="I285" s="17" t="s">
        <v>1053</v>
      </c>
      <c r="J285" s="15" t="s">
        <v>1054</v>
      </c>
      <c r="K285" s="15" t="s">
        <v>1696</v>
      </c>
      <c r="L285" s="15">
        <v>3.0</v>
      </c>
      <c r="M285" s="17" t="s">
        <v>1697</v>
      </c>
      <c r="N285" s="17" t="s">
        <v>1698</v>
      </c>
    </row>
    <row r="286" ht="33.75" customHeight="1">
      <c r="A286" s="24">
        <v>42047.0</v>
      </c>
      <c r="B286" s="18" t="s">
        <v>157</v>
      </c>
      <c r="C286" s="18" t="s">
        <v>158</v>
      </c>
      <c r="D286" s="18" t="s">
        <v>1700</v>
      </c>
      <c r="E286" s="18" t="s">
        <v>269</v>
      </c>
      <c r="F286" s="16" t="s">
        <v>1050</v>
      </c>
      <c r="G286" s="16" t="s">
        <v>1051</v>
      </c>
      <c r="H286" s="16" t="s">
        <v>1052</v>
      </c>
      <c r="I286" s="17" t="s">
        <v>1053</v>
      </c>
      <c r="J286" s="15" t="s">
        <v>1054</v>
      </c>
      <c r="K286" s="15" t="s">
        <v>1702</v>
      </c>
      <c r="L286" s="15">
        <v>3.0</v>
      </c>
      <c r="M286" s="17" t="s">
        <v>1697</v>
      </c>
      <c r="N286" s="17" t="s">
        <v>1698</v>
      </c>
      <c r="O286" s="15" t="s">
        <v>615</v>
      </c>
      <c r="P286" s="15" t="s">
        <v>1703</v>
      </c>
    </row>
    <row r="287" ht="33.75" customHeight="1">
      <c r="A287" s="14">
        <v>42045.0</v>
      </c>
      <c r="B287" s="15" t="s">
        <v>157</v>
      </c>
      <c r="C287" s="15" t="s">
        <v>158</v>
      </c>
      <c r="D287" s="18" t="s">
        <v>1705</v>
      </c>
      <c r="E287" s="18" t="s">
        <v>269</v>
      </c>
      <c r="F287" s="16">
        <v>29.925</v>
      </c>
      <c r="G287" s="16">
        <v>-85.3894</v>
      </c>
      <c r="H287" s="16">
        <v>29.8934</v>
      </c>
      <c r="I287" s="17">
        <v>-85.3602</v>
      </c>
      <c r="J287" s="15" t="s">
        <v>1018</v>
      </c>
      <c r="K287" s="15" t="s">
        <v>1711</v>
      </c>
      <c r="L287" s="15">
        <v>1.0</v>
      </c>
      <c r="M287" s="17">
        <v>29.8959</v>
      </c>
      <c r="N287" s="17">
        <v>-85.3619</v>
      </c>
      <c r="O287" s="15" t="s">
        <v>1712</v>
      </c>
    </row>
    <row r="288" ht="33.75" customHeight="1">
      <c r="A288" s="24">
        <v>42046.0</v>
      </c>
      <c r="B288" s="18" t="s">
        <v>1061</v>
      </c>
      <c r="C288" s="18" t="s">
        <v>1713</v>
      </c>
      <c r="D288" s="18" t="s">
        <v>1063</v>
      </c>
      <c r="E288" s="18" t="s">
        <v>1064</v>
      </c>
      <c r="F288" s="16">
        <v>28.568631</v>
      </c>
      <c r="G288" s="16">
        <v>-82.655156</v>
      </c>
      <c r="H288" s="16">
        <v>28.569006</v>
      </c>
      <c r="I288" s="17">
        <v>-82.656368</v>
      </c>
      <c r="J288" s="15" t="s">
        <v>1066</v>
      </c>
      <c r="K288" s="15" t="s">
        <v>1067</v>
      </c>
      <c r="L288" s="15">
        <v>1.0</v>
      </c>
      <c r="M288" s="17">
        <v>28.56825</v>
      </c>
      <c r="N288" s="17">
        <v>-82.65711</v>
      </c>
      <c r="O288" s="15" t="s">
        <v>1718</v>
      </c>
      <c r="P288" s="15" t="s">
        <v>1720</v>
      </c>
    </row>
    <row r="289" ht="33.75" customHeight="1">
      <c r="A289" s="24">
        <v>42046.0</v>
      </c>
      <c r="B289" s="18" t="s">
        <v>1061</v>
      </c>
      <c r="C289" s="18" t="s">
        <v>1713</v>
      </c>
      <c r="D289" s="18" t="s">
        <v>1723</v>
      </c>
      <c r="E289" s="18" t="s">
        <v>1064</v>
      </c>
      <c r="F289" s="16">
        <v>28.575778</v>
      </c>
      <c r="G289" s="16">
        <v>-82.6518</v>
      </c>
      <c r="H289" s="16">
        <v>28.575778</v>
      </c>
      <c r="I289" s="17">
        <v>-82.6518</v>
      </c>
      <c r="J289" s="15" t="s">
        <v>1073</v>
      </c>
      <c r="K289" s="15" t="s">
        <v>1067</v>
      </c>
      <c r="L289" s="15">
        <v>3.0</v>
      </c>
      <c r="M289" s="17">
        <v>28.575778</v>
      </c>
      <c r="N289" s="17">
        <v>-82.6518</v>
      </c>
      <c r="O289" s="15" t="s">
        <v>1727</v>
      </c>
    </row>
    <row r="290" ht="33.75" customHeight="1">
      <c r="A290" s="24">
        <v>42046.0</v>
      </c>
      <c r="B290" s="18" t="s">
        <v>1061</v>
      </c>
      <c r="C290" s="18" t="s">
        <v>1713</v>
      </c>
      <c r="D290" s="18" t="s">
        <v>1075</v>
      </c>
      <c r="E290" s="18" t="s">
        <v>1064</v>
      </c>
      <c r="F290" s="16">
        <v>28.534013</v>
      </c>
      <c r="G290" s="16">
        <v>-82.64988</v>
      </c>
      <c r="H290" s="16">
        <v>28.535766</v>
      </c>
      <c r="I290" s="17">
        <v>-82.661859</v>
      </c>
      <c r="J290" s="15" t="s">
        <v>1077</v>
      </c>
      <c r="K290" s="15" t="s">
        <v>1078</v>
      </c>
      <c r="L290" s="15" t="s">
        <v>853</v>
      </c>
      <c r="M290" s="32"/>
      <c r="N290" s="32"/>
    </row>
    <row r="291" ht="33.75" customHeight="1">
      <c r="A291" s="24">
        <v>42045.0</v>
      </c>
      <c r="B291" s="18" t="s">
        <v>1083</v>
      </c>
      <c r="C291" s="18" t="s">
        <v>1084</v>
      </c>
      <c r="D291" s="18" t="s">
        <v>1085</v>
      </c>
      <c r="E291" s="18" t="s">
        <v>1064</v>
      </c>
      <c r="F291" s="16">
        <v>28.551192</v>
      </c>
      <c r="G291" s="16">
        <v>-8.2483625E7</v>
      </c>
      <c r="H291" s="16">
        <v>28.551192</v>
      </c>
      <c r="I291" s="17">
        <v>-8.2483625E7</v>
      </c>
      <c r="J291" s="15" t="s">
        <v>1088</v>
      </c>
      <c r="K291" s="15" t="s">
        <v>1732</v>
      </c>
      <c r="L291" s="15" t="s">
        <v>853</v>
      </c>
      <c r="M291" s="32"/>
      <c r="N291" s="32"/>
    </row>
    <row r="292" ht="33.75" customHeight="1">
      <c r="A292" s="24">
        <v>42043.0</v>
      </c>
      <c r="B292" s="18" t="s">
        <v>1110</v>
      </c>
      <c r="C292" s="18" t="s">
        <v>1111</v>
      </c>
      <c r="D292" s="18" t="s">
        <v>1113</v>
      </c>
      <c r="E292" s="18" t="s">
        <v>1114</v>
      </c>
      <c r="F292" s="16">
        <v>27.9315</v>
      </c>
      <c r="G292" s="16">
        <v>-82.4284</v>
      </c>
      <c r="H292" s="16">
        <v>27.9453</v>
      </c>
      <c r="I292" s="17">
        <v>-82.4183</v>
      </c>
      <c r="J292" s="15" t="s">
        <v>1115</v>
      </c>
      <c r="K292" s="15" t="s">
        <v>1117</v>
      </c>
      <c r="L292" s="15">
        <v>1.0</v>
      </c>
      <c r="M292" s="17">
        <v>27.9453</v>
      </c>
      <c r="N292" s="17">
        <v>-82.4306</v>
      </c>
      <c r="O292" s="15" t="s">
        <v>1718</v>
      </c>
      <c r="P292" s="15" t="s">
        <v>1259</v>
      </c>
    </row>
    <row r="293" ht="33.75" customHeight="1">
      <c r="A293" s="24">
        <v>42047.0</v>
      </c>
      <c r="B293" s="18" t="s">
        <v>1139</v>
      </c>
      <c r="C293" s="18" t="s">
        <v>151</v>
      </c>
      <c r="D293" s="18" t="s">
        <v>1140</v>
      </c>
      <c r="E293" s="18" t="s">
        <v>1114</v>
      </c>
      <c r="F293" s="16">
        <v>27.58623</v>
      </c>
      <c r="G293" s="16">
        <v>-82.76057</v>
      </c>
      <c r="H293" s="16">
        <v>27.58623</v>
      </c>
      <c r="I293" s="16">
        <v>-82.76057</v>
      </c>
      <c r="J293" s="15" t="s">
        <v>1143</v>
      </c>
      <c r="K293" s="15" t="s">
        <v>1144</v>
      </c>
      <c r="L293" s="15">
        <v>1.0</v>
      </c>
      <c r="M293" s="17">
        <v>27.582</v>
      </c>
      <c r="N293" s="17">
        <v>-82.75862</v>
      </c>
      <c r="O293" s="15" t="s">
        <v>1741</v>
      </c>
      <c r="P293" s="15" t="s">
        <v>1742</v>
      </c>
    </row>
    <row r="294" ht="33.75" customHeight="1">
      <c r="A294" s="24">
        <v>42047.0</v>
      </c>
      <c r="B294" s="18" t="s">
        <v>1139</v>
      </c>
      <c r="C294" s="18" t="s">
        <v>151</v>
      </c>
      <c r="D294" s="18" t="s">
        <v>1140</v>
      </c>
      <c r="E294" s="18" t="s">
        <v>1114</v>
      </c>
      <c r="F294" s="16">
        <v>27.58623</v>
      </c>
      <c r="G294" s="16">
        <v>-82.76057</v>
      </c>
      <c r="H294" s="16">
        <v>27.58623</v>
      </c>
      <c r="I294" s="16">
        <v>-82.76057</v>
      </c>
      <c r="J294" s="15" t="s">
        <v>1143</v>
      </c>
      <c r="K294" s="15" t="s">
        <v>1144</v>
      </c>
      <c r="L294" s="15">
        <v>2.0</v>
      </c>
      <c r="M294" s="17">
        <v>27.58134</v>
      </c>
      <c r="N294" s="17">
        <v>-82.76531</v>
      </c>
      <c r="O294" s="15" t="s">
        <v>1748</v>
      </c>
    </row>
    <row r="295" ht="33.75" customHeight="1">
      <c r="A295" s="24">
        <v>42047.0</v>
      </c>
      <c r="B295" s="18" t="s">
        <v>1139</v>
      </c>
      <c r="C295" s="18" t="s">
        <v>151</v>
      </c>
      <c r="D295" s="18" t="s">
        <v>1140</v>
      </c>
      <c r="E295" s="18" t="s">
        <v>1114</v>
      </c>
      <c r="F295" s="16">
        <v>27.58623</v>
      </c>
      <c r="G295" s="16">
        <v>-82.76057</v>
      </c>
      <c r="H295" s="16">
        <v>27.58623</v>
      </c>
      <c r="I295" s="16">
        <v>-82.76057</v>
      </c>
      <c r="J295" s="15" t="s">
        <v>1143</v>
      </c>
      <c r="K295" s="15" t="s">
        <v>1144</v>
      </c>
      <c r="L295" s="15">
        <v>3.0</v>
      </c>
      <c r="M295" s="15">
        <v>27.58184</v>
      </c>
      <c r="N295" s="17">
        <v>-82.76321</v>
      </c>
      <c r="O295" s="17" t="s">
        <v>1262</v>
      </c>
      <c r="P295" s="15" t="s">
        <v>1750</v>
      </c>
    </row>
    <row r="296" ht="33.75" customHeight="1">
      <c r="A296" s="24">
        <v>42047.0</v>
      </c>
      <c r="B296" s="18" t="s">
        <v>1139</v>
      </c>
      <c r="C296" s="18" t="s">
        <v>151</v>
      </c>
      <c r="D296" s="18" t="s">
        <v>1140</v>
      </c>
      <c r="E296" s="18" t="s">
        <v>1114</v>
      </c>
      <c r="F296" s="16">
        <v>27.58623</v>
      </c>
      <c r="G296" s="16">
        <v>-82.76057</v>
      </c>
      <c r="H296" s="16">
        <v>27.58623</v>
      </c>
      <c r="I296" s="16">
        <v>-82.76057</v>
      </c>
      <c r="J296" s="15" t="s">
        <v>1143</v>
      </c>
      <c r="K296" s="15" t="s">
        <v>1144</v>
      </c>
      <c r="L296" s="15">
        <v>4.0</v>
      </c>
      <c r="M296" s="15">
        <v>27.5821</v>
      </c>
      <c r="N296" s="17">
        <v>-82.763268</v>
      </c>
      <c r="O296" s="17" t="s">
        <v>1262</v>
      </c>
      <c r="P296" s="15" t="s">
        <v>1750</v>
      </c>
    </row>
    <row r="297" ht="33.75" customHeight="1">
      <c r="A297" s="24">
        <v>42047.0</v>
      </c>
      <c r="B297" s="18" t="s">
        <v>1139</v>
      </c>
      <c r="C297" s="18" t="s">
        <v>151</v>
      </c>
      <c r="D297" s="18" t="s">
        <v>1140</v>
      </c>
      <c r="E297" s="18" t="s">
        <v>1114</v>
      </c>
      <c r="F297" s="16">
        <v>27.58623</v>
      </c>
      <c r="G297" s="16">
        <v>-82.76057</v>
      </c>
      <c r="H297" s="16">
        <v>27.58623</v>
      </c>
      <c r="I297" s="16">
        <v>-82.76057</v>
      </c>
      <c r="J297" s="15" t="s">
        <v>1143</v>
      </c>
      <c r="K297" s="15" t="s">
        <v>1144</v>
      </c>
      <c r="L297" s="15">
        <v>5.0</v>
      </c>
      <c r="M297" s="15">
        <v>27.59214</v>
      </c>
      <c r="N297" s="17">
        <v>-82.76408</v>
      </c>
      <c r="O297" s="17" t="s">
        <v>1718</v>
      </c>
      <c r="P297" s="15" t="s">
        <v>1750</v>
      </c>
    </row>
    <row r="298" ht="33.75" customHeight="1">
      <c r="A298" s="24">
        <v>42047.0</v>
      </c>
      <c r="B298" s="18" t="s">
        <v>1139</v>
      </c>
      <c r="C298" s="18" t="s">
        <v>151</v>
      </c>
      <c r="D298" s="18" t="s">
        <v>1140</v>
      </c>
      <c r="E298" s="18" t="s">
        <v>1114</v>
      </c>
      <c r="F298" s="16">
        <v>27.58623</v>
      </c>
      <c r="G298" s="16">
        <v>-82.76057</v>
      </c>
      <c r="H298" s="16">
        <v>27.58623</v>
      </c>
      <c r="I298" s="16">
        <v>-82.76057</v>
      </c>
      <c r="J298" s="15" t="s">
        <v>1143</v>
      </c>
      <c r="K298" s="15" t="s">
        <v>1144</v>
      </c>
      <c r="L298" s="15">
        <v>6.0</v>
      </c>
      <c r="M298" s="15">
        <v>27.59069</v>
      </c>
      <c r="N298" s="17">
        <v>-82.76405</v>
      </c>
      <c r="O298" s="17" t="s">
        <v>1262</v>
      </c>
      <c r="P298" s="15" t="s">
        <v>1759</v>
      </c>
    </row>
    <row r="299" ht="33.75" customHeight="1">
      <c r="A299" s="24">
        <v>42047.0</v>
      </c>
      <c r="B299" s="18" t="s">
        <v>1139</v>
      </c>
      <c r="C299" s="18" t="s">
        <v>151</v>
      </c>
      <c r="D299" s="18" t="s">
        <v>1140</v>
      </c>
      <c r="E299" s="18" t="s">
        <v>1114</v>
      </c>
      <c r="F299" s="16">
        <v>27.58623</v>
      </c>
      <c r="G299" s="16">
        <v>-82.76057</v>
      </c>
      <c r="H299" s="16">
        <v>27.58623</v>
      </c>
      <c r="I299" s="16">
        <v>-82.76057</v>
      </c>
      <c r="J299" s="15" t="s">
        <v>1143</v>
      </c>
      <c r="K299" s="15" t="s">
        <v>1144</v>
      </c>
      <c r="L299" s="15">
        <v>7.0</v>
      </c>
      <c r="M299" s="15">
        <v>27.60099</v>
      </c>
      <c r="N299" s="17">
        <v>-82.76326</v>
      </c>
      <c r="O299" s="15" t="s">
        <v>1262</v>
      </c>
      <c r="P299" s="15" t="s">
        <v>1750</v>
      </c>
    </row>
    <row r="300" ht="33.75" customHeight="1">
      <c r="A300" s="24">
        <v>42047.0</v>
      </c>
      <c r="B300" s="18" t="s">
        <v>1146</v>
      </c>
      <c r="C300" s="18" t="s">
        <v>1147</v>
      </c>
      <c r="D300" s="18" t="s">
        <v>1148</v>
      </c>
      <c r="E300" s="18" t="s">
        <v>1114</v>
      </c>
      <c r="F300" s="16" t="s">
        <v>1149</v>
      </c>
      <c r="G300" s="16" t="s">
        <v>1150</v>
      </c>
      <c r="H300" s="16" t="s">
        <v>1151</v>
      </c>
      <c r="I300" s="17" t="s">
        <v>1152</v>
      </c>
      <c r="J300" s="15" t="s">
        <v>1153</v>
      </c>
      <c r="K300" s="15" t="s">
        <v>1765</v>
      </c>
      <c r="L300" s="15">
        <v>1.0</v>
      </c>
      <c r="M300" s="17" t="s">
        <v>1766</v>
      </c>
      <c r="N300" s="17" t="s">
        <v>1767</v>
      </c>
      <c r="O300" s="15" t="s">
        <v>1423</v>
      </c>
      <c r="P300" s="15" t="s">
        <v>1768</v>
      </c>
    </row>
    <row r="301" ht="33.75" customHeight="1">
      <c r="A301" s="24">
        <v>41682.0</v>
      </c>
      <c r="B301" s="18" t="s">
        <v>1146</v>
      </c>
      <c r="C301" s="18" t="s">
        <v>1147</v>
      </c>
      <c r="D301" s="18" t="s">
        <v>1148</v>
      </c>
      <c r="E301" s="18" t="s">
        <v>1114</v>
      </c>
      <c r="F301" s="16" t="s">
        <v>1149</v>
      </c>
      <c r="G301" s="16" t="s">
        <v>1150</v>
      </c>
      <c r="H301" s="16" t="s">
        <v>1151</v>
      </c>
      <c r="I301" s="17" t="s">
        <v>1152</v>
      </c>
      <c r="J301" s="15" t="s">
        <v>1153</v>
      </c>
      <c r="K301" s="15" t="s">
        <v>1765</v>
      </c>
      <c r="L301" s="15">
        <v>2.0</v>
      </c>
      <c r="M301" s="17" t="s">
        <v>1772</v>
      </c>
      <c r="N301" s="17" t="s">
        <v>1773</v>
      </c>
      <c r="O301" s="15" t="s">
        <v>1423</v>
      </c>
      <c r="P301" s="15" t="s">
        <v>1768</v>
      </c>
    </row>
    <row r="302" ht="33.75" customHeight="1">
      <c r="A302" s="24">
        <v>42047.0</v>
      </c>
      <c r="B302" s="18" t="s">
        <v>1146</v>
      </c>
      <c r="C302" s="18" t="s">
        <v>1147</v>
      </c>
      <c r="D302" s="18" t="s">
        <v>1148</v>
      </c>
      <c r="E302" s="18" t="s">
        <v>1114</v>
      </c>
      <c r="F302" s="16" t="s">
        <v>1149</v>
      </c>
      <c r="G302" s="16" t="s">
        <v>1150</v>
      </c>
      <c r="H302" s="16" t="s">
        <v>1151</v>
      </c>
      <c r="I302" s="17" t="s">
        <v>1152</v>
      </c>
      <c r="J302" s="15" t="s">
        <v>1153</v>
      </c>
      <c r="K302" s="15" t="s">
        <v>1765</v>
      </c>
      <c r="L302" s="15">
        <v>3.0</v>
      </c>
      <c r="M302" s="17" t="s">
        <v>1776</v>
      </c>
      <c r="N302" s="17" t="s">
        <v>1777</v>
      </c>
      <c r="O302" s="15" t="s">
        <v>1778</v>
      </c>
      <c r="P302" s="15" t="s">
        <v>1779</v>
      </c>
    </row>
    <row r="303" ht="33.75" customHeight="1">
      <c r="A303" s="24">
        <v>42047.0</v>
      </c>
      <c r="B303" s="18" t="s">
        <v>1146</v>
      </c>
      <c r="C303" s="18" t="s">
        <v>1147</v>
      </c>
      <c r="D303" s="18" t="s">
        <v>1148</v>
      </c>
      <c r="E303" s="18" t="s">
        <v>1114</v>
      </c>
      <c r="F303" s="16" t="s">
        <v>1149</v>
      </c>
      <c r="G303" s="16" t="s">
        <v>1150</v>
      </c>
      <c r="H303" s="16" t="s">
        <v>1151</v>
      </c>
      <c r="I303" s="17" t="s">
        <v>1152</v>
      </c>
      <c r="J303" s="15" t="s">
        <v>1153</v>
      </c>
      <c r="K303" s="15" t="s">
        <v>1765</v>
      </c>
      <c r="L303" s="15">
        <v>4.0</v>
      </c>
      <c r="M303" s="17" t="s">
        <v>1780</v>
      </c>
      <c r="N303" s="17" t="s">
        <v>1781</v>
      </c>
      <c r="O303" s="15" t="s">
        <v>1423</v>
      </c>
      <c r="P303" s="15" t="s">
        <v>1779</v>
      </c>
    </row>
    <row r="304" ht="33.75" customHeight="1">
      <c r="A304" s="24">
        <v>42047.0</v>
      </c>
      <c r="B304" s="18" t="s">
        <v>1146</v>
      </c>
      <c r="C304" s="18" t="s">
        <v>1147</v>
      </c>
      <c r="D304" s="18" t="s">
        <v>1148</v>
      </c>
      <c r="E304" s="18" t="s">
        <v>1114</v>
      </c>
      <c r="F304" s="16" t="s">
        <v>1149</v>
      </c>
      <c r="G304" s="16" t="s">
        <v>1150</v>
      </c>
      <c r="H304" s="16" t="s">
        <v>1151</v>
      </c>
      <c r="I304" s="17" t="s">
        <v>1152</v>
      </c>
      <c r="J304" s="15" t="s">
        <v>1153</v>
      </c>
      <c r="K304" s="15" t="s">
        <v>1765</v>
      </c>
      <c r="L304" s="15">
        <v>5.0</v>
      </c>
      <c r="M304" s="17" t="s">
        <v>1785</v>
      </c>
      <c r="N304" s="17" t="s">
        <v>1786</v>
      </c>
      <c r="O304" s="15" t="s">
        <v>1423</v>
      </c>
      <c r="P304" s="15" t="s">
        <v>1768</v>
      </c>
    </row>
    <row r="305" ht="33.75" customHeight="1">
      <c r="A305" s="24">
        <v>42046.0</v>
      </c>
      <c r="B305" s="18" t="s">
        <v>1787</v>
      </c>
      <c r="C305" s="18" t="s">
        <v>1221</v>
      </c>
      <c r="D305" s="18" t="s">
        <v>1223</v>
      </c>
      <c r="E305" s="18" t="s">
        <v>1160</v>
      </c>
      <c r="F305" s="16" t="s">
        <v>1224</v>
      </c>
      <c r="G305" s="16" t="s">
        <v>1225</v>
      </c>
      <c r="H305" s="16" t="s">
        <v>1226</v>
      </c>
      <c r="I305" s="17" t="s">
        <v>1227</v>
      </c>
      <c r="J305" s="15" t="s">
        <v>1228</v>
      </c>
      <c r="K305" s="15" t="s">
        <v>1229</v>
      </c>
      <c r="L305" s="15">
        <v>1.0</v>
      </c>
      <c r="M305" s="17" t="s">
        <v>1788</v>
      </c>
      <c r="N305" s="17" t="s">
        <v>1789</v>
      </c>
      <c r="O305" s="15" t="s">
        <v>1423</v>
      </c>
      <c r="P305" s="15" t="s">
        <v>1791</v>
      </c>
    </row>
    <row r="306" ht="33.75" customHeight="1">
      <c r="A306" s="24">
        <v>42046.0</v>
      </c>
      <c r="B306" s="18" t="s">
        <v>1787</v>
      </c>
      <c r="C306" s="18" t="s">
        <v>1221</v>
      </c>
      <c r="D306" s="18" t="s">
        <v>1223</v>
      </c>
      <c r="E306" s="18" t="s">
        <v>1160</v>
      </c>
      <c r="F306" s="16" t="s">
        <v>1224</v>
      </c>
      <c r="G306" s="16" t="s">
        <v>1225</v>
      </c>
      <c r="H306" s="16" t="s">
        <v>1226</v>
      </c>
      <c r="I306" s="17" t="s">
        <v>1227</v>
      </c>
      <c r="J306" s="15" t="s">
        <v>1228</v>
      </c>
      <c r="K306" s="15" t="s">
        <v>1229</v>
      </c>
      <c r="L306" s="15">
        <v>3.0</v>
      </c>
      <c r="M306" s="17" t="s">
        <v>1794</v>
      </c>
      <c r="N306" s="17" t="s">
        <v>1795</v>
      </c>
      <c r="O306" s="15" t="s">
        <v>1796</v>
      </c>
      <c r="P306" s="15" t="s">
        <v>1797</v>
      </c>
    </row>
    <row r="307" ht="33.75" customHeight="1">
      <c r="A307" s="26">
        <v>42045.0</v>
      </c>
      <c r="B307" s="18" t="s">
        <v>1210</v>
      </c>
      <c r="C307" s="18" t="s">
        <v>1211</v>
      </c>
      <c r="D307" s="18" t="s">
        <v>1212</v>
      </c>
      <c r="E307" s="18" t="s">
        <v>1160</v>
      </c>
      <c r="F307" s="18">
        <v>27.653333</v>
      </c>
      <c r="G307" s="18">
        <v>-80.355556</v>
      </c>
      <c r="H307" s="15">
        <v>27.6325</v>
      </c>
      <c r="I307" s="15">
        <v>-80.35028</v>
      </c>
      <c r="J307" s="15" t="s">
        <v>1214</v>
      </c>
      <c r="K307" s="15" t="s">
        <v>1215</v>
      </c>
      <c r="L307" s="15">
        <v>1.0</v>
      </c>
      <c r="O307" s="15" t="s">
        <v>1803</v>
      </c>
      <c r="P307" s="32"/>
    </row>
    <row r="308" ht="33.75" customHeight="1">
      <c r="A308" s="26">
        <v>42045.0</v>
      </c>
      <c r="B308" s="18" t="s">
        <v>1210</v>
      </c>
      <c r="C308" s="18" t="s">
        <v>1211</v>
      </c>
      <c r="D308" s="18" t="s">
        <v>1212</v>
      </c>
      <c r="E308" s="18" t="s">
        <v>1160</v>
      </c>
      <c r="F308" s="18">
        <v>27.653333</v>
      </c>
      <c r="G308" s="18">
        <v>-80.355556</v>
      </c>
      <c r="H308" s="15">
        <v>27.6325</v>
      </c>
      <c r="I308" s="15">
        <v>-80.35028</v>
      </c>
      <c r="J308" s="15" t="s">
        <v>1214</v>
      </c>
      <c r="K308" s="15" t="s">
        <v>1215</v>
      </c>
      <c r="L308" s="15">
        <v>2.0</v>
      </c>
      <c r="O308" s="15" t="s">
        <v>1804</v>
      </c>
      <c r="P308" s="32"/>
    </row>
    <row r="309" ht="33.75" customHeight="1">
      <c r="A309" s="26">
        <v>42045.0</v>
      </c>
      <c r="B309" s="18" t="s">
        <v>1210</v>
      </c>
      <c r="C309" s="18" t="s">
        <v>1211</v>
      </c>
      <c r="D309" s="18" t="s">
        <v>1212</v>
      </c>
      <c r="E309" s="18" t="s">
        <v>1160</v>
      </c>
      <c r="F309" s="18">
        <v>27.653333</v>
      </c>
      <c r="G309" s="18">
        <v>-80.355556</v>
      </c>
      <c r="H309" s="15">
        <v>27.6325</v>
      </c>
      <c r="I309" s="15">
        <v>-80.35028</v>
      </c>
      <c r="J309" s="15" t="s">
        <v>1214</v>
      </c>
      <c r="K309" s="15" t="s">
        <v>1215</v>
      </c>
      <c r="L309" s="15">
        <v>3.0</v>
      </c>
      <c r="O309" s="15" t="s">
        <v>1809</v>
      </c>
      <c r="P309" s="32"/>
    </row>
    <row r="310" ht="33.75" customHeight="1">
      <c r="A310" s="26">
        <v>42045.0</v>
      </c>
      <c r="B310" s="18" t="s">
        <v>1210</v>
      </c>
      <c r="C310" s="18" t="s">
        <v>1211</v>
      </c>
      <c r="D310" s="18" t="s">
        <v>1212</v>
      </c>
      <c r="E310" s="18" t="s">
        <v>1160</v>
      </c>
      <c r="F310" s="18">
        <v>27.653333</v>
      </c>
      <c r="G310" s="18">
        <v>-80.355556</v>
      </c>
      <c r="H310" s="15">
        <v>27.6325</v>
      </c>
      <c r="I310" s="15">
        <v>-80.35028</v>
      </c>
      <c r="J310" s="15" t="s">
        <v>1214</v>
      </c>
      <c r="K310" s="15" t="s">
        <v>1215</v>
      </c>
      <c r="L310" s="15">
        <v>4.0</v>
      </c>
      <c r="O310" s="15" t="s">
        <v>1814</v>
      </c>
      <c r="P310" s="32"/>
    </row>
    <row r="311" ht="33.75" customHeight="1">
      <c r="A311" s="26">
        <v>42045.0</v>
      </c>
      <c r="B311" s="18" t="s">
        <v>1210</v>
      </c>
      <c r="C311" s="18" t="s">
        <v>1211</v>
      </c>
      <c r="D311" s="18" t="s">
        <v>1212</v>
      </c>
      <c r="E311" s="18" t="s">
        <v>1160</v>
      </c>
      <c r="F311" s="18">
        <v>27.653333</v>
      </c>
      <c r="G311" s="18">
        <v>-80.355556</v>
      </c>
      <c r="H311" s="15">
        <v>27.6325</v>
      </c>
      <c r="I311" s="15">
        <v>-80.35028</v>
      </c>
      <c r="J311" s="15" t="s">
        <v>1214</v>
      </c>
      <c r="K311" s="15" t="s">
        <v>1215</v>
      </c>
      <c r="L311" s="15">
        <v>5.0</v>
      </c>
      <c r="M311" s="15">
        <v>27.64194</v>
      </c>
      <c r="N311" s="15">
        <v>-80.35167</v>
      </c>
      <c r="O311" s="15" t="s">
        <v>1815</v>
      </c>
      <c r="P311" s="32"/>
    </row>
    <row r="312" ht="33.75" customHeight="1">
      <c r="A312" s="26">
        <v>42045.0</v>
      </c>
      <c r="B312" s="18" t="s">
        <v>1210</v>
      </c>
      <c r="C312" s="18" t="s">
        <v>1211</v>
      </c>
      <c r="D312" s="18" t="s">
        <v>1212</v>
      </c>
      <c r="E312" s="18" t="s">
        <v>1160</v>
      </c>
      <c r="F312" s="18">
        <v>27.653333</v>
      </c>
      <c r="G312" s="18">
        <v>-80.355556</v>
      </c>
      <c r="H312" s="15">
        <v>27.6325</v>
      </c>
      <c r="I312" s="15">
        <v>-80.35028</v>
      </c>
      <c r="J312" s="15" t="s">
        <v>1214</v>
      </c>
      <c r="K312" s="15" t="s">
        <v>1215</v>
      </c>
      <c r="L312" s="15">
        <v>6.0</v>
      </c>
      <c r="M312" s="15">
        <v>27.64194</v>
      </c>
      <c r="N312" s="15">
        <v>-80.35167</v>
      </c>
      <c r="O312" s="15" t="s">
        <v>1817</v>
      </c>
      <c r="P312" s="32"/>
    </row>
    <row r="313" ht="33.75" customHeight="1">
      <c r="A313" s="26">
        <v>42045.0</v>
      </c>
      <c r="B313" s="18" t="s">
        <v>1210</v>
      </c>
      <c r="C313" s="18" t="s">
        <v>1211</v>
      </c>
      <c r="D313" s="18" t="s">
        <v>1212</v>
      </c>
      <c r="E313" s="18" t="s">
        <v>1160</v>
      </c>
      <c r="F313" s="18">
        <v>27.653333</v>
      </c>
      <c r="G313" s="18">
        <v>-80.355556</v>
      </c>
      <c r="H313" s="15">
        <v>27.6325</v>
      </c>
      <c r="I313" s="15">
        <v>-80.35028</v>
      </c>
      <c r="J313" s="15" t="s">
        <v>1214</v>
      </c>
      <c r="K313" s="15" t="s">
        <v>1215</v>
      </c>
      <c r="L313" s="15">
        <v>7.0</v>
      </c>
      <c r="O313" s="15" t="s">
        <v>1815</v>
      </c>
      <c r="P313" s="32"/>
    </row>
    <row r="314" ht="33.75" customHeight="1">
      <c r="A314" s="26">
        <v>42045.0</v>
      </c>
      <c r="B314" s="18" t="s">
        <v>1210</v>
      </c>
      <c r="C314" s="18" t="s">
        <v>1211</v>
      </c>
      <c r="D314" s="18" t="s">
        <v>1212</v>
      </c>
      <c r="E314" s="18" t="s">
        <v>1160</v>
      </c>
      <c r="F314" s="18">
        <v>27.653333</v>
      </c>
      <c r="G314" s="18">
        <v>-80.355556</v>
      </c>
      <c r="H314" s="15">
        <v>27.6325</v>
      </c>
      <c r="I314" s="15">
        <v>-80.35028</v>
      </c>
      <c r="J314" s="15" t="s">
        <v>1214</v>
      </c>
      <c r="K314" s="15" t="s">
        <v>1215</v>
      </c>
      <c r="L314" s="15">
        <v>8.0</v>
      </c>
      <c r="O314" s="15" t="s">
        <v>1815</v>
      </c>
      <c r="P314" s="32"/>
    </row>
    <row r="315" ht="33.75" customHeight="1">
      <c r="A315" s="26">
        <v>42045.0</v>
      </c>
      <c r="B315" s="18" t="s">
        <v>1210</v>
      </c>
      <c r="C315" s="18" t="s">
        <v>1211</v>
      </c>
      <c r="D315" s="18" t="s">
        <v>1212</v>
      </c>
      <c r="E315" s="18" t="s">
        <v>1160</v>
      </c>
      <c r="F315" s="18">
        <v>27.653333</v>
      </c>
      <c r="G315" s="18">
        <v>-80.355556</v>
      </c>
      <c r="H315" s="15">
        <v>27.6325</v>
      </c>
      <c r="I315" s="15">
        <v>-80.35028</v>
      </c>
      <c r="J315" s="15" t="s">
        <v>1214</v>
      </c>
      <c r="K315" s="15" t="s">
        <v>1215</v>
      </c>
      <c r="L315" s="15">
        <v>9.0</v>
      </c>
      <c r="O315" s="15" t="s">
        <v>1821</v>
      </c>
      <c r="P315" s="32"/>
    </row>
    <row r="316" ht="33.75" customHeight="1">
      <c r="A316" s="26">
        <v>42045.0</v>
      </c>
      <c r="B316" s="18" t="s">
        <v>1210</v>
      </c>
      <c r="C316" s="18" t="s">
        <v>1211</v>
      </c>
      <c r="D316" s="18" t="s">
        <v>1212</v>
      </c>
      <c r="E316" s="18" t="s">
        <v>1160</v>
      </c>
      <c r="F316" s="18">
        <v>27.653333</v>
      </c>
      <c r="G316" s="18">
        <v>-80.355556</v>
      </c>
      <c r="H316" s="15">
        <v>27.6325</v>
      </c>
      <c r="I316" s="15">
        <v>-80.35028</v>
      </c>
      <c r="J316" s="15" t="s">
        <v>1214</v>
      </c>
      <c r="K316" s="15" t="s">
        <v>1215</v>
      </c>
      <c r="L316" s="15">
        <v>10.0</v>
      </c>
      <c r="M316" s="15">
        <v>27.6325</v>
      </c>
      <c r="N316" s="15">
        <v>-80.35028</v>
      </c>
      <c r="O316" s="15" t="s">
        <v>1822</v>
      </c>
      <c r="P316" s="32"/>
    </row>
    <row r="317" ht="33.75" customHeight="1">
      <c r="A317" s="24">
        <v>42047.0</v>
      </c>
      <c r="B317" s="18" t="s">
        <v>1823</v>
      </c>
      <c r="C317" s="18" t="s">
        <v>1352</v>
      </c>
      <c r="D317" s="18" t="s">
        <v>1353</v>
      </c>
      <c r="E317" s="18" t="s">
        <v>253</v>
      </c>
      <c r="F317" s="16">
        <v>26.40354</v>
      </c>
      <c r="G317" s="16">
        <v>-81.87839</v>
      </c>
      <c r="H317" s="16">
        <v>26.37992</v>
      </c>
      <c r="I317" s="17">
        <v>-81.86757</v>
      </c>
      <c r="J317" s="15" t="s">
        <v>1824</v>
      </c>
      <c r="K317" s="15" t="s">
        <v>1355</v>
      </c>
      <c r="L317" s="15">
        <v>1.0</v>
      </c>
      <c r="M317" s="17">
        <v>26.3802</v>
      </c>
      <c r="N317" s="17">
        <v>-81.8708</v>
      </c>
      <c r="O317" s="15" t="s">
        <v>1506</v>
      </c>
      <c r="P317" s="15" t="s">
        <v>1443</v>
      </c>
    </row>
    <row r="318" ht="33.75" customHeight="1">
      <c r="A318" s="24">
        <v>42047.0</v>
      </c>
      <c r="B318" s="18" t="s">
        <v>1823</v>
      </c>
      <c r="C318" s="18" t="s">
        <v>1352</v>
      </c>
      <c r="D318" s="18" t="s">
        <v>1353</v>
      </c>
      <c r="E318" s="18" t="s">
        <v>253</v>
      </c>
      <c r="F318" s="16">
        <v>26.40354</v>
      </c>
      <c r="G318" s="16">
        <v>-81.87839</v>
      </c>
      <c r="H318" s="16">
        <v>26.37992</v>
      </c>
      <c r="I318" s="17">
        <v>-81.86757</v>
      </c>
      <c r="J318" s="15" t="s">
        <v>1824</v>
      </c>
      <c r="K318" s="15" t="s">
        <v>1355</v>
      </c>
      <c r="L318" s="15">
        <v>2.0</v>
      </c>
      <c r="M318" s="17">
        <v>26.37992</v>
      </c>
      <c r="N318" s="17">
        <v>-81.86757</v>
      </c>
      <c r="O318" s="15" t="s">
        <v>1825</v>
      </c>
      <c r="P318" s="15" t="s">
        <v>1443</v>
      </c>
    </row>
    <row r="319" ht="33.75" customHeight="1">
      <c r="A319" s="24">
        <v>42046.0</v>
      </c>
      <c r="B319" s="18" t="s">
        <v>577</v>
      </c>
      <c r="C319" s="18" t="s">
        <v>394</v>
      </c>
      <c r="D319" s="18" t="s">
        <v>578</v>
      </c>
      <c r="E319" s="18" t="s">
        <v>253</v>
      </c>
      <c r="F319" s="16">
        <v>26.43101</v>
      </c>
      <c r="G319" s="16">
        <v>-82.05121</v>
      </c>
      <c r="H319" s="16">
        <v>26.42196</v>
      </c>
      <c r="I319" s="17">
        <v>-82.0801</v>
      </c>
      <c r="J319" s="15" t="s">
        <v>1330</v>
      </c>
      <c r="K319" s="15" t="s">
        <v>1331</v>
      </c>
      <c r="L319" s="15">
        <v>1.0</v>
      </c>
      <c r="M319" s="17">
        <v>26.42991</v>
      </c>
      <c r="N319" s="17">
        <v>-82.05291</v>
      </c>
      <c r="O319" s="15" t="s">
        <v>1826</v>
      </c>
      <c r="P319" s="15" t="s">
        <v>1791</v>
      </c>
    </row>
    <row r="320" ht="33.75" customHeight="1">
      <c r="A320" s="24">
        <v>42046.0</v>
      </c>
      <c r="B320" s="18" t="s">
        <v>577</v>
      </c>
      <c r="C320" s="18" t="s">
        <v>394</v>
      </c>
      <c r="D320" s="18" t="s">
        <v>578</v>
      </c>
      <c r="E320" s="18" t="s">
        <v>253</v>
      </c>
      <c r="F320" s="16">
        <v>26.43101</v>
      </c>
      <c r="G320" s="16">
        <v>-82.05121</v>
      </c>
      <c r="H320" s="16">
        <v>26.42196</v>
      </c>
      <c r="I320" s="17">
        <v>-82.0801</v>
      </c>
      <c r="J320" s="15" t="s">
        <v>1330</v>
      </c>
      <c r="K320" s="15" t="s">
        <v>1331</v>
      </c>
      <c r="L320" s="15">
        <v>2.0</v>
      </c>
      <c r="M320" s="17">
        <v>26.42511</v>
      </c>
      <c r="N320" s="17">
        <v>-82.06361</v>
      </c>
      <c r="O320" s="15" t="s">
        <v>611</v>
      </c>
      <c r="P320" s="15" t="s">
        <v>1830</v>
      </c>
    </row>
    <row r="321" ht="33.75" customHeight="1">
      <c r="A321" s="24">
        <v>42046.0</v>
      </c>
      <c r="B321" s="18" t="s">
        <v>393</v>
      </c>
      <c r="C321" s="18" t="s">
        <v>394</v>
      </c>
      <c r="D321" s="18" t="s">
        <v>395</v>
      </c>
      <c r="E321" s="18" t="s">
        <v>253</v>
      </c>
      <c r="F321" s="16">
        <v>26.42196</v>
      </c>
      <c r="G321" s="16">
        <v>-82.0801</v>
      </c>
      <c r="H321" s="16">
        <v>26.43009</v>
      </c>
      <c r="I321" s="17">
        <v>-82.11198</v>
      </c>
      <c r="J321" s="15" t="s">
        <v>1332</v>
      </c>
      <c r="K321" s="15" t="s">
        <v>1832</v>
      </c>
      <c r="L321" s="15">
        <v>1.0</v>
      </c>
      <c r="M321" s="17">
        <v>26.42201</v>
      </c>
      <c r="N321" s="17">
        <v>-82.08401</v>
      </c>
      <c r="O321" s="15" t="s">
        <v>696</v>
      </c>
      <c r="P321" s="15" t="s">
        <v>1834</v>
      </c>
    </row>
    <row r="322" ht="33.75" customHeight="1">
      <c r="A322" s="24">
        <v>42046.0</v>
      </c>
      <c r="B322" s="18" t="s">
        <v>393</v>
      </c>
      <c r="C322" s="18" t="s">
        <v>394</v>
      </c>
      <c r="D322" s="18" t="s">
        <v>395</v>
      </c>
      <c r="E322" s="18" t="s">
        <v>253</v>
      </c>
      <c r="F322" s="16">
        <v>26.42196</v>
      </c>
      <c r="G322" s="16">
        <v>-82.0801</v>
      </c>
      <c r="H322" s="16">
        <v>26.43009</v>
      </c>
      <c r="I322" s="17">
        <v>-82.11198</v>
      </c>
      <c r="J322" s="15" t="s">
        <v>1332</v>
      </c>
      <c r="K322" s="15" t="s">
        <v>1832</v>
      </c>
      <c r="L322" s="15">
        <v>2.0</v>
      </c>
      <c r="M322" s="17">
        <v>26.42283</v>
      </c>
      <c r="N322" s="17">
        <v>-82.09023</v>
      </c>
      <c r="O322" s="15" t="s">
        <v>615</v>
      </c>
      <c r="P322" s="15" t="s">
        <v>1837</v>
      </c>
    </row>
    <row r="323" ht="33.75" customHeight="1">
      <c r="A323" s="24">
        <v>42046.0</v>
      </c>
      <c r="B323" s="18" t="s">
        <v>577</v>
      </c>
      <c r="C323" s="18" t="s">
        <v>1838</v>
      </c>
      <c r="D323" s="18" t="s">
        <v>937</v>
      </c>
      <c r="E323" s="18" t="s">
        <v>253</v>
      </c>
      <c r="F323" s="16">
        <v>26.45362</v>
      </c>
      <c r="G323" s="16">
        <v>-82.01411</v>
      </c>
      <c r="H323" s="16">
        <v>26.43842</v>
      </c>
      <c r="I323" s="17">
        <v>-82.03759</v>
      </c>
      <c r="J323" s="15" t="s">
        <v>1841</v>
      </c>
      <c r="K323" s="15" t="s">
        <v>1842</v>
      </c>
      <c r="L323" s="15">
        <v>1.0</v>
      </c>
      <c r="M323" s="17">
        <v>26.44082</v>
      </c>
      <c r="N323" s="17">
        <v>-82.1037</v>
      </c>
      <c r="O323" s="15" t="s">
        <v>1843</v>
      </c>
      <c r="P323" s="15" t="s">
        <v>1791</v>
      </c>
    </row>
    <row r="324" ht="33.75" customHeight="1">
      <c r="A324" s="24">
        <v>42046.0</v>
      </c>
      <c r="B324" s="18" t="s">
        <v>577</v>
      </c>
      <c r="C324" s="18" t="s">
        <v>1838</v>
      </c>
      <c r="D324" s="18" t="s">
        <v>937</v>
      </c>
      <c r="E324" s="18" t="s">
        <v>253</v>
      </c>
      <c r="F324" s="16">
        <v>26.45362</v>
      </c>
      <c r="G324" s="16">
        <v>-82.01411</v>
      </c>
      <c r="H324" s="16">
        <v>26.43842</v>
      </c>
      <c r="I324" s="17">
        <v>-82.03759</v>
      </c>
      <c r="J324" s="15" t="s">
        <v>1841</v>
      </c>
      <c r="K324" s="15" t="s">
        <v>1842</v>
      </c>
      <c r="L324" s="15">
        <v>2.0</v>
      </c>
      <c r="M324" s="17">
        <v>26.44654</v>
      </c>
      <c r="N324" s="17">
        <v>-82.0224</v>
      </c>
      <c r="O324" s="15" t="s">
        <v>1847</v>
      </c>
      <c r="P324" s="15" t="s">
        <v>1791</v>
      </c>
    </row>
    <row r="325" ht="33.75" customHeight="1">
      <c r="A325" s="24">
        <v>42046.0</v>
      </c>
      <c r="B325" s="18" t="s">
        <v>577</v>
      </c>
      <c r="C325" s="18" t="s">
        <v>1838</v>
      </c>
      <c r="D325" s="18" t="s">
        <v>937</v>
      </c>
      <c r="E325" s="18" t="s">
        <v>253</v>
      </c>
      <c r="F325" s="16">
        <v>26.45362</v>
      </c>
      <c r="G325" s="16">
        <v>-82.01411</v>
      </c>
      <c r="H325" s="16">
        <v>26.43842</v>
      </c>
      <c r="I325" s="17">
        <v>-82.03759</v>
      </c>
      <c r="J325" s="15" t="s">
        <v>1841</v>
      </c>
      <c r="K325" s="15" t="s">
        <v>1842</v>
      </c>
      <c r="L325" s="15">
        <v>3.0</v>
      </c>
      <c r="M325" s="17">
        <v>26.44592</v>
      </c>
      <c r="N325" s="17">
        <v>-82.02322</v>
      </c>
      <c r="O325" s="15" t="s">
        <v>611</v>
      </c>
      <c r="P325" s="15" t="s">
        <v>1791</v>
      </c>
    </row>
    <row r="326" ht="33.75" customHeight="1">
      <c r="A326" s="24">
        <v>42046.0</v>
      </c>
      <c r="B326" s="18" t="s">
        <v>577</v>
      </c>
      <c r="C326" s="18" t="s">
        <v>1838</v>
      </c>
      <c r="D326" s="18" t="s">
        <v>937</v>
      </c>
      <c r="E326" s="18" t="s">
        <v>253</v>
      </c>
      <c r="F326" s="16">
        <v>26.45362</v>
      </c>
      <c r="G326" s="16">
        <v>-82.01411</v>
      </c>
      <c r="H326" s="16">
        <v>26.43842</v>
      </c>
      <c r="I326" s="17">
        <v>-82.03759</v>
      </c>
      <c r="J326" s="15" t="s">
        <v>1841</v>
      </c>
      <c r="K326" s="15" t="s">
        <v>1842</v>
      </c>
      <c r="L326" s="15">
        <v>4.0</v>
      </c>
      <c r="M326" s="17">
        <v>26.44558</v>
      </c>
      <c r="N326" s="17">
        <v>-82.02393</v>
      </c>
      <c r="O326" s="15" t="s">
        <v>1851</v>
      </c>
      <c r="P326" s="15" t="s">
        <v>1830</v>
      </c>
    </row>
    <row r="327" ht="33.75" customHeight="1">
      <c r="A327" s="24">
        <v>42046.0</v>
      </c>
      <c r="B327" s="18" t="s">
        <v>577</v>
      </c>
      <c r="C327" s="18" t="s">
        <v>1838</v>
      </c>
      <c r="D327" s="18" t="s">
        <v>937</v>
      </c>
      <c r="E327" s="18" t="s">
        <v>253</v>
      </c>
      <c r="F327" s="16">
        <v>26.45362</v>
      </c>
      <c r="G327" s="16">
        <v>-82.01411</v>
      </c>
      <c r="H327" s="16">
        <v>26.43842</v>
      </c>
      <c r="I327" s="17">
        <v>-82.03759</v>
      </c>
      <c r="J327" s="15" t="s">
        <v>1841</v>
      </c>
      <c r="K327" s="15" t="s">
        <v>1842</v>
      </c>
      <c r="L327" s="15">
        <v>5.0</v>
      </c>
      <c r="M327" s="17">
        <v>26.44558</v>
      </c>
      <c r="N327" s="17">
        <v>-82.02393</v>
      </c>
      <c r="O327" s="15" t="s">
        <v>955</v>
      </c>
      <c r="P327" s="15" t="s">
        <v>1791</v>
      </c>
    </row>
    <row r="328" ht="33.75" customHeight="1">
      <c r="A328" s="24">
        <v>42046.0</v>
      </c>
      <c r="B328" s="18" t="s">
        <v>577</v>
      </c>
      <c r="C328" s="18" t="s">
        <v>394</v>
      </c>
      <c r="D328" s="18" t="s">
        <v>937</v>
      </c>
      <c r="E328" s="18" t="s">
        <v>253</v>
      </c>
      <c r="F328" s="16">
        <v>26.45362</v>
      </c>
      <c r="G328" s="16">
        <v>-82.01411</v>
      </c>
      <c r="H328" s="16">
        <v>26.43842</v>
      </c>
      <c r="I328" s="17">
        <v>-82.03759</v>
      </c>
      <c r="J328" s="15" t="s">
        <v>1841</v>
      </c>
      <c r="K328" s="15" t="s">
        <v>1842</v>
      </c>
      <c r="L328" s="15">
        <v>6.0</v>
      </c>
      <c r="M328" s="17">
        <v>26.44268</v>
      </c>
      <c r="N328" s="17">
        <v>-82.02885</v>
      </c>
      <c r="O328" s="15" t="s">
        <v>1853</v>
      </c>
      <c r="P328" s="15" t="s">
        <v>1791</v>
      </c>
    </row>
    <row r="329" ht="33.75" customHeight="1">
      <c r="A329" s="24">
        <v>42046.0</v>
      </c>
      <c r="B329" s="18" t="s">
        <v>577</v>
      </c>
      <c r="C329" s="18" t="s">
        <v>394</v>
      </c>
      <c r="D329" s="18" t="s">
        <v>1326</v>
      </c>
      <c r="E329" s="18" t="s">
        <v>253</v>
      </c>
      <c r="F329" s="16">
        <v>26.43842</v>
      </c>
      <c r="G329" s="16">
        <v>-82.03759</v>
      </c>
      <c r="H329" s="16">
        <v>26.43101</v>
      </c>
      <c r="I329" s="17">
        <v>-82.05121</v>
      </c>
      <c r="J329" s="15" t="s">
        <v>1327</v>
      </c>
      <c r="K329" s="15" t="s">
        <v>1323</v>
      </c>
      <c r="M329" s="32"/>
      <c r="N329" s="32"/>
    </row>
    <row r="330" ht="33.75" customHeight="1">
      <c r="A330" s="24">
        <v>42046.0</v>
      </c>
      <c r="B330" s="18" t="s">
        <v>393</v>
      </c>
      <c r="C330" s="18" t="s">
        <v>394</v>
      </c>
      <c r="D330" s="18" t="s">
        <v>1339</v>
      </c>
      <c r="E330" s="18" t="s">
        <v>253</v>
      </c>
      <c r="F330" s="16">
        <v>26.43009</v>
      </c>
      <c r="G330" s="17">
        <v>-82.11198</v>
      </c>
      <c r="H330" s="16">
        <v>26.44961</v>
      </c>
      <c r="I330" s="17">
        <v>-82.14276</v>
      </c>
      <c r="J330" s="15" t="s">
        <v>1341</v>
      </c>
      <c r="K330" s="15" t="s">
        <v>1832</v>
      </c>
      <c r="M330" s="32"/>
      <c r="N330" s="32"/>
    </row>
    <row r="331" ht="33.75" customHeight="1">
      <c r="A331" s="24">
        <v>42046.0</v>
      </c>
      <c r="B331" s="18" t="s">
        <v>393</v>
      </c>
      <c r="C331" s="18" t="s">
        <v>394</v>
      </c>
      <c r="D331" s="15" t="s">
        <v>1335</v>
      </c>
      <c r="E331" s="15" t="s">
        <v>253</v>
      </c>
      <c r="F331" s="17">
        <v>26.44961</v>
      </c>
      <c r="G331" s="16">
        <v>-82.14276</v>
      </c>
      <c r="H331" s="16">
        <v>26.46507</v>
      </c>
      <c r="I331" s="17">
        <v>-82.1671</v>
      </c>
      <c r="J331" s="15" t="s">
        <v>1336</v>
      </c>
      <c r="K331" s="15" t="s">
        <v>1832</v>
      </c>
      <c r="L331" s="15">
        <v>1.0</v>
      </c>
      <c r="M331" s="17">
        <v>26.45203</v>
      </c>
      <c r="N331" s="17">
        <v>-82.14709</v>
      </c>
      <c r="O331" s="15" t="s">
        <v>696</v>
      </c>
      <c r="P331" s="15" t="s">
        <v>1856</v>
      </c>
    </row>
    <row r="332" ht="33.75" customHeight="1">
      <c r="A332" s="30"/>
      <c r="B332" s="18" t="s">
        <v>393</v>
      </c>
      <c r="C332" s="18" t="s">
        <v>394</v>
      </c>
      <c r="D332" s="15" t="s">
        <v>1335</v>
      </c>
      <c r="E332" s="15" t="s">
        <v>253</v>
      </c>
      <c r="F332" s="17">
        <v>26.44961</v>
      </c>
      <c r="G332" s="16">
        <v>-82.14276</v>
      </c>
      <c r="H332" s="16">
        <v>26.46507</v>
      </c>
      <c r="I332" s="17">
        <v>-82.1671</v>
      </c>
      <c r="J332" s="15" t="s">
        <v>1336</v>
      </c>
      <c r="K332" s="15" t="s">
        <v>1832</v>
      </c>
      <c r="L332" s="15">
        <v>2.0</v>
      </c>
      <c r="M332" s="17">
        <v>26.45223</v>
      </c>
      <c r="N332" s="17">
        <v>-82.14736</v>
      </c>
      <c r="O332" s="15" t="s">
        <v>696</v>
      </c>
    </row>
    <row r="333" ht="33.75" customHeight="1">
      <c r="A333" s="30"/>
      <c r="B333" s="18" t="s">
        <v>393</v>
      </c>
      <c r="C333" s="18" t="s">
        <v>394</v>
      </c>
      <c r="D333" s="15" t="s">
        <v>1335</v>
      </c>
      <c r="E333" s="15" t="s">
        <v>253</v>
      </c>
      <c r="F333" s="17">
        <v>26.44961</v>
      </c>
      <c r="G333" s="16">
        <v>-82.14276</v>
      </c>
      <c r="H333" s="16">
        <v>26.46507</v>
      </c>
      <c r="I333" s="17">
        <v>-82.1671</v>
      </c>
      <c r="J333" s="15" t="s">
        <v>1336</v>
      </c>
      <c r="K333" s="15" t="s">
        <v>1832</v>
      </c>
      <c r="L333" s="15">
        <v>3.0</v>
      </c>
      <c r="M333" s="17">
        <v>26.45241</v>
      </c>
      <c r="N333" s="17">
        <v>-82.1476</v>
      </c>
      <c r="O333" s="15" t="s">
        <v>696</v>
      </c>
      <c r="P333" s="15" t="s">
        <v>1858</v>
      </c>
    </row>
    <row r="334" ht="33.75" customHeight="1">
      <c r="A334" s="30"/>
      <c r="B334" s="18" t="s">
        <v>393</v>
      </c>
      <c r="C334" s="18" t="s">
        <v>394</v>
      </c>
      <c r="D334" s="15" t="s">
        <v>1335</v>
      </c>
      <c r="E334" s="15" t="s">
        <v>253</v>
      </c>
      <c r="F334" s="17">
        <v>26.44961</v>
      </c>
      <c r="G334" s="16">
        <v>-82.14276</v>
      </c>
      <c r="H334" s="16">
        <v>26.46507</v>
      </c>
      <c r="I334" s="17">
        <v>-82.1671</v>
      </c>
      <c r="J334" s="15" t="s">
        <v>1336</v>
      </c>
      <c r="K334" s="15" t="s">
        <v>1832</v>
      </c>
      <c r="L334" s="15">
        <v>4.0</v>
      </c>
      <c r="M334" s="17">
        <v>26.4554</v>
      </c>
      <c r="N334" s="17">
        <v>-82.1515</v>
      </c>
      <c r="O334" s="15" t="s">
        <v>696</v>
      </c>
      <c r="P334" s="15" t="s">
        <v>1856</v>
      </c>
    </row>
    <row r="335" ht="33.75" customHeight="1">
      <c r="A335" s="24">
        <v>42046.0</v>
      </c>
      <c r="B335" s="18" t="s">
        <v>393</v>
      </c>
      <c r="C335" s="18" t="s">
        <v>394</v>
      </c>
      <c r="D335" s="18" t="s">
        <v>1345</v>
      </c>
      <c r="E335" s="18" t="s">
        <v>253</v>
      </c>
      <c r="F335" s="16">
        <v>26.46507</v>
      </c>
      <c r="G335" s="16">
        <v>-82.1671</v>
      </c>
      <c r="H335" s="16">
        <v>26.48258</v>
      </c>
      <c r="I335" s="17">
        <v>-82.18221</v>
      </c>
      <c r="J335" s="15" t="s">
        <v>1347</v>
      </c>
      <c r="K335" s="15" t="s">
        <v>1832</v>
      </c>
      <c r="L335" s="15">
        <v>1.0</v>
      </c>
      <c r="M335" s="17">
        <v>26.46899</v>
      </c>
      <c r="N335" s="17">
        <v>-82.17229</v>
      </c>
      <c r="O335" s="15" t="s">
        <v>1865</v>
      </c>
      <c r="P335" s="15" t="s">
        <v>1016</v>
      </c>
    </row>
    <row r="336" ht="33.75" customHeight="1">
      <c r="A336" s="24">
        <v>42044.0</v>
      </c>
      <c r="B336" s="18" t="s">
        <v>1312</v>
      </c>
      <c r="C336" s="18" t="s">
        <v>394</v>
      </c>
      <c r="D336" s="18" t="s">
        <v>1313</v>
      </c>
      <c r="E336" s="18" t="s">
        <v>253</v>
      </c>
      <c r="F336" s="16">
        <v>26.578445</v>
      </c>
      <c r="G336" s="16">
        <v>-82.212207</v>
      </c>
      <c r="H336" s="16">
        <v>26.55552</v>
      </c>
      <c r="I336" s="17">
        <v>-82.199829</v>
      </c>
      <c r="J336" s="15" t="s">
        <v>1314</v>
      </c>
      <c r="K336" s="15" t="s">
        <v>1315</v>
      </c>
      <c r="L336" s="15">
        <v>1.0</v>
      </c>
      <c r="M336" s="17">
        <v>26.48329</v>
      </c>
      <c r="N336" s="17">
        <v>-82.18415</v>
      </c>
      <c r="O336" s="15" t="s">
        <v>1866</v>
      </c>
      <c r="P336" s="15" t="s">
        <v>1791</v>
      </c>
    </row>
    <row r="337" ht="33.75" customHeight="1">
      <c r="A337" s="24">
        <v>42044.0</v>
      </c>
      <c r="B337" s="18" t="s">
        <v>1312</v>
      </c>
      <c r="C337" s="18" t="s">
        <v>394</v>
      </c>
      <c r="D337" s="18" t="s">
        <v>1318</v>
      </c>
      <c r="E337" s="18" t="s">
        <v>253</v>
      </c>
      <c r="F337" s="16">
        <v>26.607007</v>
      </c>
      <c r="G337" s="16">
        <v>-82.21995</v>
      </c>
      <c r="H337" s="16">
        <v>26.578445</v>
      </c>
      <c r="I337" s="17">
        <v>-82.212207</v>
      </c>
      <c r="J337" s="15" t="s">
        <v>1319</v>
      </c>
      <c r="K337" s="15" t="s">
        <v>1315</v>
      </c>
      <c r="M337" s="32"/>
      <c r="N337" s="32"/>
    </row>
    <row r="338" ht="33.75" customHeight="1">
      <c r="A338" s="14">
        <v>42043.0</v>
      </c>
      <c r="B338" s="15" t="s">
        <v>1271</v>
      </c>
      <c r="C338" s="15" t="s">
        <v>1272</v>
      </c>
      <c r="D338" s="15" t="s">
        <v>1273</v>
      </c>
      <c r="E338" s="15" t="s">
        <v>253</v>
      </c>
      <c r="F338" s="15">
        <v>26.40958</v>
      </c>
      <c r="G338" s="15">
        <v>-81.90078</v>
      </c>
      <c r="H338" s="15">
        <v>26.40257</v>
      </c>
      <c r="I338" s="15">
        <v>-81.88507</v>
      </c>
      <c r="J338" s="15" t="s">
        <v>1274</v>
      </c>
      <c r="K338" s="15" t="s">
        <v>1275</v>
      </c>
      <c r="L338" s="15">
        <v>1.0</v>
      </c>
      <c r="M338" s="17">
        <v>26.40855</v>
      </c>
      <c r="N338" s="17">
        <v>-81.89995</v>
      </c>
      <c r="O338" s="15" t="s">
        <v>1869</v>
      </c>
    </row>
    <row r="339" ht="33.75" customHeight="1">
      <c r="A339" s="14">
        <v>42043.0</v>
      </c>
      <c r="B339" s="15" t="s">
        <v>1271</v>
      </c>
      <c r="C339" s="15" t="s">
        <v>1272</v>
      </c>
      <c r="D339" s="15" t="s">
        <v>1273</v>
      </c>
      <c r="E339" s="15" t="s">
        <v>253</v>
      </c>
      <c r="F339" s="15">
        <v>26.40958</v>
      </c>
      <c r="G339" s="15">
        <v>-81.90078</v>
      </c>
      <c r="H339" s="15">
        <v>26.40257</v>
      </c>
      <c r="I339" s="15">
        <v>-81.88507</v>
      </c>
      <c r="J339" s="15" t="s">
        <v>1274</v>
      </c>
      <c r="K339" s="15" t="s">
        <v>1275</v>
      </c>
      <c r="L339" s="15">
        <v>2.0</v>
      </c>
      <c r="M339" s="17">
        <v>26.40757</v>
      </c>
      <c r="N339" s="17">
        <v>-81.8992</v>
      </c>
      <c r="O339" s="15" t="s">
        <v>1488</v>
      </c>
    </row>
    <row r="340" ht="33.75" customHeight="1">
      <c r="A340" s="14">
        <v>42043.0</v>
      </c>
      <c r="B340" s="15" t="s">
        <v>1271</v>
      </c>
      <c r="C340" s="15" t="s">
        <v>1272</v>
      </c>
      <c r="D340" s="15" t="s">
        <v>1273</v>
      </c>
      <c r="E340" s="15" t="s">
        <v>253</v>
      </c>
      <c r="F340" s="15">
        <v>26.40958</v>
      </c>
      <c r="G340" s="15">
        <v>-81.90078</v>
      </c>
      <c r="H340" s="15">
        <v>26.40257</v>
      </c>
      <c r="I340" s="15">
        <v>-81.88507</v>
      </c>
      <c r="J340" s="15" t="s">
        <v>1274</v>
      </c>
      <c r="K340" s="15" t="s">
        <v>1275</v>
      </c>
      <c r="L340" s="15">
        <v>3.0</v>
      </c>
      <c r="M340" s="17">
        <v>26.40767</v>
      </c>
      <c r="N340" s="17">
        <v>-81.89894</v>
      </c>
      <c r="O340" s="15" t="s">
        <v>1872</v>
      </c>
    </row>
    <row r="341" ht="33.75" customHeight="1">
      <c r="A341" s="14">
        <v>42043.0</v>
      </c>
      <c r="B341" s="15" t="s">
        <v>1271</v>
      </c>
      <c r="C341" s="15" t="s">
        <v>1272</v>
      </c>
      <c r="D341" s="15" t="s">
        <v>1273</v>
      </c>
      <c r="E341" s="15" t="s">
        <v>253</v>
      </c>
      <c r="F341" s="15">
        <v>26.40958</v>
      </c>
      <c r="G341" s="15">
        <v>-81.90078</v>
      </c>
      <c r="H341" s="15">
        <v>26.40257</v>
      </c>
      <c r="I341" s="15">
        <v>-81.88507</v>
      </c>
      <c r="J341" s="15" t="s">
        <v>1274</v>
      </c>
      <c r="K341" s="15" t="s">
        <v>1275</v>
      </c>
      <c r="L341" s="15">
        <v>4.0</v>
      </c>
      <c r="M341" s="17">
        <v>26.40219</v>
      </c>
      <c r="N341" s="17">
        <v>-81.88831</v>
      </c>
      <c r="O341" s="15" t="s">
        <v>1874</v>
      </c>
    </row>
    <row r="342" ht="33.75" customHeight="1">
      <c r="A342" s="14">
        <v>42043.0</v>
      </c>
      <c r="B342" s="15" t="s">
        <v>1271</v>
      </c>
      <c r="C342" s="15" t="s">
        <v>1272</v>
      </c>
      <c r="D342" s="15" t="s">
        <v>1273</v>
      </c>
      <c r="E342" s="15" t="s">
        <v>253</v>
      </c>
      <c r="F342" s="15">
        <v>26.40958</v>
      </c>
      <c r="G342" s="15">
        <v>-81.90078</v>
      </c>
      <c r="H342" s="15">
        <v>26.40257</v>
      </c>
      <c r="I342" s="15">
        <v>-81.88507</v>
      </c>
      <c r="J342" s="15" t="s">
        <v>1274</v>
      </c>
      <c r="K342" s="15" t="s">
        <v>1275</v>
      </c>
      <c r="L342" s="15">
        <v>5.0</v>
      </c>
      <c r="M342" s="17">
        <v>26.40188</v>
      </c>
      <c r="N342" s="17">
        <v>-81.88661</v>
      </c>
      <c r="O342" s="15" t="s">
        <v>1878</v>
      </c>
    </row>
    <row r="343" ht="33.75" customHeight="1">
      <c r="A343" s="26">
        <v>42043.0</v>
      </c>
      <c r="B343" s="18" t="s">
        <v>250</v>
      </c>
      <c r="C343" s="18" t="s">
        <v>251</v>
      </c>
      <c r="D343" s="18" t="s">
        <v>252</v>
      </c>
      <c r="E343" s="18" t="s">
        <v>253</v>
      </c>
      <c r="F343" s="18">
        <v>26.66909</v>
      </c>
      <c r="G343" s="18">
        <v>-82.25515</v>
      </c>
      <c r="H343" s="15">
        <v>26.63515</v>
      </c>
      <c r="I343" s="15">
        <v>-82.253245</v>
      </c>
      <c r="J343" s="15" t="s">
        <v>1277</v>
      </c>
      <c r="K343" s="15" t="s">
        <v>1279</v>
      </c>
      <c r="L343" s="15">
        <v>1.0</v>
      </c>
      <c r="M343" s="15">
        <v>26.66909</v>
      </c>
      <c r="N343" s="15">
        <v>-82.25515</v>
      </c>
      <c r="O343" s="15" t="s">
        <v>1879</v>
      </c>
      <c r="P343" s="17" t="s">
        <v>1880</v>
      </c>
    </row>
    <row r="344" ht="33.75" customHeight="1">
      <c r="A344" s="26">
        <v>42043.0</v>
      </c>
      <c r="B344" s="18" t="s">
        <v>250</v>
      </c>
      <c r="C344" s="18" t="s">
        <v>251</v>
      </c>
      <c r="D344" s="18" t="s">
        <v>252</v>
      </c>
      <c r="E344" s="18" t="s">
        <v>253</v>
      </c>
      <c r="F344" s="18">
        <v>26.66909</v>
      </c>
      <c r="G344" s="18">
        <v>-82.25515</v>
      </c>
      <c r="H344" s="15">
        <v>26.63515</v>
      </c>
      <c r="I344" s="15">
        <v>-82.253245</v>
      </c>
      <c r="J344" s="15" t="s">
        <v>1277</v>
      </c>
      <c r="K344" s="15" t="s">
        <v>1279</v>
      </c>
      <c r="L344" s="15">
        <v>2.0</v>
      </c>
      <c r="M344" s="15">
        <v>26.666</v>
      </c>
      <c r="N344" s="15">
        <v>-82.252</v>
      </c>
      <c r="O344" s="15" t="s">
        <v>611</v>
      </c>
      <c r="P344" s="17" t="s">
        <v>1882</v>
      </c>
    </row>
    <row r="345" ht="33.75" customHeight="1">
      <c r="A345" s="26">
        <v>42043.0</v>
      </c>
      <c r="B345" s="18" t="s">
        <v>250</v>
      </c>
      <c r="C345" s="18" t="s">
        <v>251</v>
      </c>
      <c r="D345" s="18" t="s">
        <v>252</v>
      </c>
      <c r="E345" s="18" t="s">
        <v>253</v>
      </c>
      <c r="F345" s="18">
        <v>26.66909</v>
      </c>
      <c r="G345" s="18">
        <v>-82.25515</v>
      </c>
      <c r="H345" s="15">
        <v>26.63515</v>
      </c>
      <c r="I345" s="15">
        <v>-82.253245</v>
      </c>
      <c r="J345" s="15" t="s">
        <v>1277</v>
      </c>
      <c r="K345" s="15" t="s">
        <v>1279</v>
      </c>
      <c r="L345" s="15">
        <v>3.0</v>
      </c>
      <c r="M345" s="15">
        <v>26.664</v>
      </c>
      <c r="N345" s="15">
        <v>-82.251</v>
      </c>
      <c r="O345" s="15" t="s">
        <v>1851</v>
      </c>
      <c r="P345" s="17" t="s">
        <v>1882</v>
      </c>
    </row>
    <row r="346" ht="33.75" customHeight="1">
      <c r="A346" s="26">
        <v>42043.0</v>
      </c>
      <c r="B346" s="18" t="s">
        <v>250</v>
      </c>
      <c r="C346" s="18" t="s">
        <v>251</v>
      </c>
      <c r="D346" s="18" t="s">
        <v>252</v>
      </c>
      <c r="E346" s="18" t="s">
        <v>253</v>
      </c>
      <c r="F346" s="18">
        <v>26.66909</v>
      </c>
      <c r="G346" s="18">
        <v>-82.25515</v>
      </c>
      <c r="H346" s="15">
        <v>26.63515</v>
      </c>
      <c r="I346" s="15">
        <v>-82.253245</v>
      </c>
      <c r="J346" s="15" t="s">
        <v>1277</v>
      </c>
      <c r="K346" s="15" t="s">
        <v>1279</v>
      </c>
      <c r="L346" s="15">
        <v>4.0</v>
      </c>
      <c r="M346" s="15">
        <v>26.663</v>
      </c>
      <c r="N346" s="15">
        <v>-82.25</v>
      </c>
      <c r="O346" s="15" t="s">
        <v>615</v>
      </c>
      <c r="P346" s="17" t="s">
        <v>1882</v>
      </c>
    </row>
    <row r="347" ht="33.75" customHeight="1">
      <c r="A347" s="26">
        <v>42043.0</v>
      </c>
      <c r="B347" s="18" t="s">
        <v>250</v>
      </c>
      <c r="C347" s="18" t="s">
        <v>251</v>
      </c>
      <c r="D347" s="18" t="s">
        <v>252</v>
      </c>
      <c r="E347" s="18" t="s">
        <v>253</v>
      </c>
      <c r="F347" s="18">
        <v>26.66909</v>
      </c>
      <c r="G347" s="18">
        <v>-82.25515</v>
      </c>
      <c r="H347" s="15">
        <v>26.63515</v>
      </c>
      <c r="I347" s="15">
        <v>-82.253245</v>
      </c>
      <c r="J347" s="15" t="s">
        <v>1277</v>
      </c>
      <c r="K347" s="15" t="s">
        <v>1279</v>
      </c>
      <c r="L347" s="15">
        <v>5.0</v>
      </c>
      <c r="M347" s="15">
        <v>26.639</v>
      </c>
      <c r="N347" s="15">
        <v>-82.237</v>
      </c>
      <c r="O347" s="15" t="s">
        <v>955</v>
      </c>
      <c r="P347" s="17" t="s">
        <v>1882</v>
      </c>
    </row>
    <row r="348" ht="33.75" customHeight="1">
      <c r="A348" s="26">
        <v>42043.0</v>
      </c>
      <c r="B348" s="18" t="s">
        <v>250</v>
      </c>
      <c r="C348" s="18" t="s">
        <v>251</v>
      </c>
      <c r="D348" s="18" t="s">
        <v>252</v>
      </c>
      <c r="E348" s="18" t="s">
        <v>253</v>
      </c>
      <c r="F348" s="18">
        <v>26.66909</v>
      </c>
      <c r="G348" s="18">
        <v>-82.25515</v>
      </c>
      <c r="H348" s="15">
        <v>26.63515</v>
      </c>
      <c r="I348" s="15">
        <v>-82.253245</v>
      </c>
      <c r="J348" s="15" t="s">
        <v>1277</v>
      </c>
      <c r="K348" s="15" t="s">
        <v>1279</v>
      </c>
      <c r="L348" s="15">
        <v>6.0</v>
      </c>
      <c r="M348" s="15">
        <v>26.638</v>
      </c>
      <c r="N348" s="15">
        <v>-82.236</v>
      </c>
      <c r="O348" s="15" t="s">
        <v>615</v>
      </c>
      <c r="P348" s="17" t="s">
        <v>1882</v>
      </c>
    </row>
    <row r="349" ht="33.75" customHeight="1">
      <c r="A349" s="26">
        <v>42043.0</v>
      </c>
      <c r="B349" s="18" t="s">
        <v>250</v>
      </c>
      <c r="C349" s="18" t="s">
        <v>251</v>
      </c>
      <c r="D349" s="18" t="s">
        <v>252</v>
      </c>
      <c r="E349" s="18" t="s">
        <v>253</v>
      </c>
      <c r="F349" s="18">
        <v>26.66909</v>
      </c>
      <c r="G349" s="18">
        <v>-82.25515</v>
      </c>
      <c r="H349" s="15">
        <v>26.63515</v>
      </c>
      <c r="I349" s="15">
        <v>-82.253245</v>
      </c>
      <c r="J349" s="15" t="s">
        <v>1277</v>
      </c>
      <c r="K349" s="15" t="s">
        <v>1279</v>
      </c>
      <c r="L349" s="15">
        <v>7.0</v>
      </c>
      <c r="M349" s="15">
        <v>26.637</v>
      </c>
      <c r="N349" s="15">
        <v>-82.236</v>
      </c>
      <c r="O349" s="15" t="s">
        <v>955</v>
      </c>
      <c r="P349" s="17" t="s">
        <v>1882</v>
      </c>
    </row>
    <row r="350" ht="33.75" customHeight="1">
      <c r="A350" s="26">
        <v>42043.0</v>
      </c>
      <c r="B350" s="18" t="s">
        <v>250</v>
      </c>
      <c r="C350" s="18" t="s">
        <v>251</v>
      </c>
      <c r="D350" s="18" t="s">
        <v>1285</v>
      </c>
      <c r="E350" s="18" t="s">
        <v>253</v>
      </c>
      <c r="F350" s="18">
        <v>26.63515</v>
      </c>
      <c r="G350" s="18">
        <v>-82.23247</v>
      </c>
      <c r="H350" s="15">
        <v>26.613287</v>
      </c>
      <c r="I350" s="15">
        <v>-82.222591</v>
      </c>
      <c r="J350" s="15" t="s">
        <v>1286</v>
      </c>
      <c r="K350" s="15" t="s">
        <v>1287</v>
      </c>
      <c r="L350" s="15" t="s">
        <v>1889</v>
      </c>
      <c r="P350" s="17" t="s">
        <v>1890</v>
      </c>
    </row>
    <row r="351" ht="33.75" customHeight="1">
      <c r="A351" s="26">
        <v>42043.0</v>
      </c>
      <c r="B351" s="18" t="s">
        <v>1294</v>
      </c>
      <c r="C351" s="18" t="s">
        <v>1252</v>
      </c>
      <c r="D351" s="18" t="s">
        <v>1302</v>
      </c>
      <c r="E351" s="18" t="s">
        <v>253</v>
      </c>
      <c r="F351" s="18">
        <v>26.707624</v>
      </c>
      <c r="G351" s="18">
        <v>-82.250394</v>
      </c>
      <c r="H351" s="15">
        <v>26.68949</v>
      </c>
      <c r="I351" s="15">
        <v>-82.257428</v>
      </c>
      <c r="J351" s="15" t="s">
        <v>1304</v>
      </c>
      <c r="K351" s="15" t="s">
        <v>1305</v>
      </c>
      <c r="L351" s="15" t="s">
        <v>1889</v>
      </c>
      <c r="P351" s="17" t="s">
        <v>1890</v>
      </c>
    </row>
    <row r="352" ht="33.75" customHeight="1">
      <c r="A352" s="26">
        <v>42043.0</v>
      </c>
      <c r="B352" s="18" t="s">
        <v>1294</v>
      </c>
      <c r="C352" s="18" t="s">
        <v>1252</v>
      </c>
      <c r="D352" s="18" t="s">
        <v>1295</v>
      </c>
      <c r="E352" s="18" t="s">
        <v>253</v>
      </c>
      <c r="F352" s="18">
        <v>26.68435</v>
      </c>
      <c r="G352" s="18">
        <v>-82.26142</v>
      </c>
      <c r="H352" s="15">
        <v>26.66909</v>
      </c>
      <c r="I352" s="15">
        <v>-82.25515</v>
      </c>
      <c r="J352" s="15" t="s">
        <v>1296</v>
      </c>
      <c r="K352" s="15" t="s">
        <v>1297</v>
      </c>
      <c r="L352" s="15">
        <v>1.0</v>
      </c>
      <c r="M352" s="15">
        <v>26.676184</v>
      </c>
      <c r="N352" s="15">
        <v>-82.258451</v>
      </c>
      <c r="O352" s="15" t="s">
        <v>1892</v>
      </c>
      <c r="P352" s="17" t="s">
        <v>1882</v>
      </c>
    </row>
    <row r="353" ht="33.75" customHeight="1">
      <c r="A353" s="26">
        <v>42043.0</v>
      </c>
      <c r="B353" s="18" t="s">
        <v>1294</v>
      </c>
      <c r="C353" s="18" t="s">
        <v>1252</v>
      </c>
      <c r="D353" s="18" t="s">
        <v>1295</v>
      </c>
      <c r="E353" s="18" t="s">
        <v>253</v>
      </c>
      <c r="F353" s="18">
        <v>26.68435</v>
      </c>
      <c r="G353" s="18">
        <v>-82.26142</v>
      </c>
      <c r="H353" s="15">
        <v>26.66909</v>
      </c>
      <c r="I353" s="15">
        <v>-82.25515</v>
      </c>
      <c r="J353" s="15" t="s">
        <v>1296</v>
      </c>
      <c r="K353" s="15" t="s">
        <v>1297</v>
      </c>
      <c r="L353" s="15">
        <v>2.0</v>
      </c>
      <c r="M353" s="15">
        <v>26.67281</v>
      </c>
      <c r="N353" s="15">
        <v>-82.258451</v>
      </c>
      <c r="O353" s="15" t="s">
        <v>1894</v>
      </c>
      <c r="P353" s="17" t="s">
        <v>1882</v>
      </c>
    </row>
    <row r="354" ht="33.75" customHeight="1">
      <c r="A354" s="26">
        <v>42041.0</v>
      </c>
      <c r="B354" s="18" t="s">
        <v>250</v>
      </c>
      <c r="C354" s="18" t="s">
        <v>251</v>
      </c>
      <c r="D354" s="18" t="s">
        <v>1230</v>
      </c>
      <c r="E354" s="18" t="s">
        <v>253</v>
      </c>
      <c r="F354" s="18">
        <v>26.46573</v>
      </c>
      <c r="G354" s="18">
        <v>-81.96758</v>
      </c>
      <c r="H354" s="15">
        <v>26.4421</v>
      </c>
      <c r="I354" s="15">
        <v>-81.93179</v>
      </c>
      <c r="J354" s="15" t="s">
        <v>1231</v>
      </c>
      <c r="K354" s="15" t="s">
        <v>1232</v>
      </c>
      <c r="L354" s="15">
        <v>1.0</v>
      </c>
      <c r="M354" s="15">
        <v>26.4421</v>
      </c>
      <c r="N354" s="15">
        <v>-81.93179</v>
      </c>
      <c r="O354" s="15" t="s">
        <v>1895</v>
      </c>
      <c r="P354" s="17" t="s">
        <v>1896</v>
      </c>
    </row>
    <row r="355" ht="33.75" customHeight="1">
      <c r="A355" s="26">
        <v>42041.0</v>
      </c>
      <c r="B355" s="18" t="s">
        <v>250</v>
      </c>
      <c r="C355" s="18" t="s">
        <v>251</v>
      </c>
      <c r="D355" s="18" t="s">
        <v>1230</v>
      </c>
      <c r="E355" s="18" t="s">
        <v>253</v>
      </c>
      <c r="F355" s="18">
        <v>26.46573</v>
      </c>
      <c r="G355" s="18">
        <v>-81.96758</v>
      </c>
      <c r="H355" s="15">
        <v>26.4421</v>
      </c>
      <c r="I355" s="15">
        <v>-81.93179</v>
      </c>
      <c r="J355" s="15" t="s">
        <v>1231</v>
      </c>
      <c r="K355" s="15" t="s">
        <v>1232</v>
      </c>
      <c r="L355" s="15">
        <v>2.0</v>
      </c>
      <c r="M355" s="15">
        <v>26.46573</v>
      </c>
      <c r="N355" s="15">
        <v>-81.96758</v>
      </c>
      <c r="O355" s="15" t="s">
        <v>1900</v>
      </c>
      <c r="P355" s="17" t="s">
        <v>1902</v>
      </c>
    </row>
    <row r="356" ht="33.75" customHeight="1">
      <c r="A356" s="26">
        <v>42041.0</v>
      </c>
      <c r="B356" s="18" t="s">
        <v>250</v>
      </c>
      <c r="C356" s="18" t="s">
        <v>251</v>
      </c>
      <c r="D356" s="18" t="s">
        <v>1237</v>
      </c>
      <c r="E356" s="18" t="s">
        <v>253</v>
      </c>
      <c r="F356" s="18">
        <v>26.4421</v>
      </c>
      <c r="G356" s="18">
        <v>-81.93179</v>
      </c>
      <c r="H356" s="15">
        <v>26.41581</v>
      </c>
      <c r="I356" s="15">
        <v>-81.90487</v>
      </c>
      <c r="J356" s="15" t="s">
        <v>1238</v>
      </c>
      <c r="K356" s="15" t="s">
        <v>1239</v>
      </c>
      <c r="L356" s="15" t="s">
        <v>1889</v>
      </c>
      <c r="P356" s="17" t="s">
        <v>1882</v>
      </c>
    </row>
    <row r="357" ht="33.75" customHeight="1">
      <c r="A357" s="26">
        <v>42042.0</v>
      </c>
      <c r="B357" s="18" t="s">
        <v>1251</v>
      </c>
      <c r="C357" s="18" t="s">
        <v>1252</v>
      </c>
      <c r="D357" s="18" t="s">
        <v>1253</v>
      </c>
      <c r="E357" s="18" t="s">
        <v>253</v>
      </c>
      <c r="F357" s="18">
        <v>26.479677</v>
      </c>
      <c r="G357" s="18">
        <v>-81.982684</v>
      </c>
      <c r="H357" s="15">
        <v>26.467461</v>
      </c>
      <c r="I357" s="15">
        <v>-81.956677</v>
      </c>
      <c r="J357" s="15" t="s">
        <v>1255</v>
      </c>
      <c r="K357" s="15" t="s">
        <v>1256</v>
      </c>
      <c r="L357" s="15">
        <v>1.0</v>
      </c>
      <c r="M357" s="15">
        <v>26.477372</v>
      </c>
      <c r="N357" s="15">
        <v>-81.970591</v>
      </c>
      <c r="O357" s="15" t="s">
        <v>1905</v>
      </c>
      <c r="P357" s="17" t="s">
        <v>1906</v>
      </c>
    </row>
    <row r="358" ht="33.75" customHeight="1">
      <c r="A358" s="26">
        <v>42042.0</v>
      </c>
      <c r="B358" s="18" t="s">
        <v>1251</v>
      </c>
      <c r="C358" s="18" t="s">
        <v>1252</v>
      </c>
      <c r="D358" s="18" t="s">
        <v>1253</v>
      </c>
      <c r="E358" s="18" t="s">
        <v>253</v>
      </c>
      <c r="F358" s="18">
        <v>26.479677</v>
      </c>
      <c r="G358" s="18">
        <v>-81.982684</v>
      </c>
      <c r="H358" s="15">
        <v>26.467461</v>
      </c>
      <c r="I358" s="15">
        <v>-81.956677</v>
      </c>
      <c r="J358" s="15" t="s">
        <v>1255</v>
      </c>
      <c r="K358" s="15" t="s">
        <v>1256</v>
      </c>
      <c r="L358" s="15">
        <v>2.0</v>
      </c>
      <c r="M358" s="15">
        <v>26.47138</v>
      </c>
      <c r="N358" s="15">
        <v>-81.960806</v>
      </c>
      <c r="O358" s="15" t="s">
        <v>1909</v>
      </c>
      <c r="P358" s="17" t="s">
        <v>1910</v>
      </c>
    </row>
    <row r="359" ht="33.75" customHeight="1">
      <c r="A359" s="26">
        <v>42042.0</v>
      </c>
      <c r="B359" s="18" t="s">
        <v>1265</v>
      </c>
      <c r="C359" s="18" t="s">
        <v>1252</v>
      </c>
      <c r="D359" s="18" t="s">
        <v>1266</v>
      </c>
      <c r="E359" s="18" t="s">
        <v>253</v>
      </c>
      <c r="F359" s="18">
        <v>26.377279</v>
      </c>
      <c r="G359" s="18">
        <v>-81.864924</v>
      </c>
      <c r="H359" s="15">
        <v>26.36659</v>
      </c>
      <c r="I359" s="15">
        <v>-81.861791</v>
      </c>
      <c r="J359" s="15" t="s">
        <v>1267</v>
      </c>
      <c r="K359" s="15" t="s">
        <v>1268</v>
      </c>
      <c r="L359" s="15" t="s">
        <v>1889</v>
      </c>
      <c r="P359" s="17" t="s">
        <v>1882</v>
      </c>
    </row>
    <row r="360" ht="33.75" customHeight="1">
      <c r="A360" s="24">
        <v>42046.0</v>
      </c>
      <c r="B360" s="18" t="s">
        <v>1362</v>
      </c>
      <c r="C360" s="18" t="s">
        <v>1914</v>
      </c>
      <c r="D360" s="18" t="s">
        <v>1364</v>
      </c>
      <c r="E360" s="18" t="s">
        <v>1915</v>
      </c>
      <c r="F360" s="16">
        <v>26.718373</v>
      </c>
      <c r="G360" s="16">
        <v>-82.259079</v>
      </c>
      <c r="H360" s="16">
        <v>26.82142</v>
      </c>
      <c r="I360" s="17">
        <v>-82.312676</v>
      </c>
      <c r="J360" s="15" t="s">
        <v>1368</v>
      </c>
      <c r="K360" s="15" t="s">
        <v>1916</v>
      </c>
      <c r="L360" s="15" t="s">
        <v>1917</v>
      </c>
      <c r="M360" s="17" t="s">
        <v>1918</v>
      </c>
      <c r="N360" s="17" t="s">
        <v>1919</v>
      </c>
      <c r="O360" s="15" t="s">
        <v>1920</v>
      </c>
      <c r="P360" s="15" t="s">
        <v>841</v>
      </c>
    </row>
    <row r="361" ht="33.75" customHeight="1">
      <c r="A361" s="24">
        <v>42042.0</v>
      </c>
      <c r="B361" s="18" t="s">
        <v>979</v>
      </c>
      <c r="C361" s="18" t="s">
        <v>980</v>
      </c>
      <c r="D361" s="18" t="s">
        <v>1922</v>
      </c>
      <c r="E361" s="18" t="s">
        <v>1923</v>
      </c>
      <c r="F361" s="16">
        <v>-29.13594</v>
      </c>
      <c r="G361" s="16">
        <v>-83.030021</v>
      </c>
      <c r="H361" s="16">
        <v>29.189145</v>
      </c>
      <c r="I361" s="17">
        <v>-83.084327</v>
      </c>
      <c r="J361" s="15" t="s">
        <v>1927</v>
      </c>
      <c r="K361" s="15" t="s">
        <v>1928</v>
      </c>
      <c r="L361" s="15">
        <v>1.0</v>
      </c>
      <c r="M361" s="17">
        <v>29.189145</v>
      </c>
      <c r="N361" s="17">
        <v>-83.084327</v>
      </c>
      <c r="O361" s="15" t="s">
        <v>1930</v>
      </c>
      <c r="P361" s="15" t="s">
        <v>1932</v>
      </c>
    </row>
    <row r="362" ht="33.75" customHeight="1">
      <c r="A362" s="24">
        <v>42042.0</v>
      </c>
      <c r="B362" s="18" t="s">
        <v>979</v>
      </c>
      <c r="C362" s="18" t="s">
        <v>980</v>
      </c>
      <c r="D362" s="18" t="s">
        <v>1922</v>
      </c>
      <c r="E362" s="18" t="s">
        <v>1923</v>
      </c>
      <c r="F362" s="16">
        <v>-29.13594</v>
      </c>
      <c r="G362" s="16">
        <v>-83.030021</v>
      </c>
      <c r="H362" s="16">
        <v>29.189145</v>
      </c>
      <c r="I362" s="17">
        <v>-83.084327</v>
      </c>
      <c r="J362" s="15" t="s">
        <v>1927</v>
      </c>
      <c r="K362" s="15" t="s">
        <v>1928</v>
      </c>
      <c r="L362" s="15">
        <v>2.0</v>
      </c>
      <c r="M362" s="17">
        <v>29.187399</v>
      </c>
      <c r="N362" s="17">
        <v>-83.070541</v>
      </c>
      <c r="O362" s="15" t="s">
        <v>1933</v>
      </c>
      <c r="P362" s="15" t="s">
        <v>1934</v>
      </c>
    </row>
    <row r="363" ht="33.75" customHeight="1">
      <c r="A363" s="24">
        <v>42042.0</v>
      </c>
      <c r="B363" s="18" t="s">
        <v>979</v>
      </c>
      <c r="C363" s="18" t="s">
        <v>980</v>
      </c>
      <c r="D363" s="18" t="s">
        <v>1922</v>
      </c>
      <c r="E363" s="18" t="s">
        <v>1923</v>
      </c>
      <c r="F363" s="16">
        <v>-29.13594</v>
      </c>
      <c r="G363" s="16">
        <v>-83.030021</v>
      </c>
      <c r="H363" s="16">
        <v>29.189145</v>
      </c>
      <c r="I363" s="17">
        <v>-83.084327</v>
      </c>
      <c r="J363" s="15" t="s">
        <v>1927</v>
      </c>
      <c r="K363" s="15" t="s">
        <v>1928</v>
      </c>
      <c r="L363" s="15">
        <v>3.0</v>
      </c>
      <c r="M363" s="17">
        <v>29.155982</v>
      </c>
      <c r="N363" s="17">
        <v>-83.06677</v>
      </c>
      <c r="O363" s="15" t="s">
        <v>1935</v>
      </c>
      <c r="P363" s="15" t="s">
        <v>1936</v>
      </c>
    </row>
    <row r="364" ht="33.75" customHeight="1">
      <c r="A364" s="24">
        <v>42042.0</v>
      </c>
      <c r="B364" s="18" t="s">
        <v>979</v>
      </c>
      <c r="C364" s="18" t="s">
        <v>980</v>
      </c>
      <c r="D364" s="18" t="s">
        <v>1922</v>
      </c>
      <c r="E364" s="18" t="s">
        <v>1923</v>
      </c>
      <c r="F364" s="16">
        <v>-29.13594</v>
      </c>
      <c r="G364" s="16">
        <v>-83.030021</v>
      </c>
      <c r="H364" s="16">
        <v>29.189145</v>
      </c>
      <c r="I364" s="17">
        <v>-83.084327</v>
      </c>
      <c r="J364" s="15" t="s">
        <v>1927</v>
      </c>
      <c r="K364" s="15" t="s">
        <v>1928</v>
      </c>
      <c r="L364" s="15">
        <v>4.0</v>
      </c>
      <c r="M364" s="17">
        <v>29.143642</v>
      </c>
      <c r="N364" s="17">
        <v>-83.064563</v>
      </c>
      <c r="O364" s="15" t="s">
        <v>1941</v>
      </c>
      <c r="P364" s="15" t="s">
        <v>1942</v>
      </c>
    </row>
    <row r="365" ht="33.75" customHeight="1">
      <c r="A365" s="24">
        <v>42042.0</v>
      </c>
      <c r="B365" s="18" t="s">
        <v>979</v>
      </c>
      <c r="C365" s="18" t="s">
        <v>980</v>
      </c>
      <c r="D365" s="18" t="s">
        <v>1922</v>
      </c>
      <c r="E365" s="18" t="s">
        <v>1923</v>
      </c>
      <c r="F365" s="16">
        <v>-29.13594</v>
      </c>
      <c r="G365" s="16">
        <v>-83.030021</v>
      </c>
      <c r="H365" s="16">
        <v>29.189145</v>
      </c>
      <c r="I365" s="17">
        <v>-83.084327</v>
      </c>
      <c r="J365" s="15" t="s">
        <v>1927</v>
      </c>
      <c r="K365" s="15" t="s">
        <v>1928</v>
      </c>
      <c r="L365" s="15">
        <v>5.0</v>
      </c>
      <c r="M365" s="17">
        <v>29.139241</v>
      </c>
      <c r="N365" s="17">
        <v>-83.058002</v>
      </c>
      <c r="O365" s="15" t="s">
        <v>1945</v>
      </c>
    </row>
    <row r="366" ht="33.75" customHeight="1">
      <c r="A366" s="24">
        <v>42042.0</v>
      </c>
      <c r="B366" s="18" t="s">
        <v>979</v>
      </c>
      <c r="C366" s="18" t="s">
        <v>980</v>
      </c>
      <c r="D366" s="18" t="s">
        <v>1922</v>
      </c>
      <c r="E366" s="18" t="s">
        <v>1923</v>
      </c>
      <c r="F366" s="16">
        <v>-29.13594</v>
      </c>
      <c r="G366" s="16">
        <v>-83.030021</v>
      </c>
      <c r="H366" s="16">
        <v>29.189145</v>
      </c>
      <c r="I366" s="17">
        <v>-83.084327</v>
      </c>
      <c r="J366" s="15" t="s">
        <v>1927</v>
      </c>
      <c r="K366" s="15" t="s">
        <v>1928</v>
      </c>
      <c r="L366" s="15">
        <v>6.0</v>
      </c>
      <c r="M366" s="17">
        <v>29.133551</v>
      </c>
      <c r="N366" s="17">
        <v>-83.055735</v>
      </c>
      <c r="O366" s="15" t="s">
        <v>1946</v>
      </c>
      <c r="P366" s="15" t="s">
        <v>1947</v>
      </c>
    </row>
    <row r="367" ht="33.75" customHeight="1">
      <c r="A367" s="24">
        <v>42042.0</v>
      </c>
      <c r="B367" s="18" t="s">
        <v>979</v>
      </c>
      <c r="C367" s="18" t="s">
        <v>980</v>
      </c>
      <c r="D367" s="18" t="s">
        <v>1922</v>
      </c>
      <c r="E367" s="18" t="s">
        <v>1923</v>
      </c>
      <c r="F367" s="16">
        <v>-29.13594</v>
      </c>
      <c r="G367" s="16">
        <v>-83.030021</v>
      </c>
      <c r="H367" s="16">
        <v>29.189145</v>
      </c>
      <c r="I367" s="17">
        <v>-83.084327</v>
      </c>
      <c r="J367" s="15" t="s">
        <v>1927</v>
      </c>
      <c r="K367" s="15" t="s">
        <v>1928</v>
      </c>
      <c r="L367" s="15">
        <v>7.0</v>
      </c>
      <c r="M367" s="17">
        <v>29.134648</v>
      </c>
      <c r="N367" s="17">
        <v>-83.055383</v>
      </c>
      <c r="O367" s="15" t="s">
        <v>1949</v>
      </c>
      <c r="P367" s="15" t="s">
        <v>1947</v>
      </c>
    </row>
    <row r="368" ht="33.75" customHeight="1">
      <c r="A368" s="24">
        <v>42042.0</v>
      </c>
      <c r="B368" s="18" t="s">
        <v>979</v>
      </c>
      <c r="C368" s="18" t="s">
        <v>980</v>
      </c>
      <c r="D368" s="18" t="s">
        <v>1922</v>
      </c>
      <c r="E368" s="18" t="s">
        <v>1923</v>
      </c>
      <c r="F368" s="16">
        <v>-29.13594</v>
      </c>
      <c r="G368" s="16">
        <v>-83.030021</v>
      </c>
      <c r="H368" s="16">
        <v>29.189145</v>
      </c>
      <c r="I368" s="17">
        <v>-83.084327</v>
      </c>
      <c r="J368" s="15" t="s">
        <v>1927</v>
      </c>
      <c r="K368" s="15" t="s">
        <v>1928</v>
      </c>
      <c r="L368" s="15">
        <v>8.0</v>
      </c>
      <c r="M368" s="17">
        <v>29.136074</v>
      </c>
      <c r="N368" s="17">
        <v>-83.05502</v>
      </c>
      <c r="O368" s="15" t="s">
        <v>1957</v>
      </c>
      <c r="P368" s="15" t="s">
        <v>1958</v>
      </c>
    </row>
    <row r="369" ht="33.75" customHeight="1">
      <c r="A369" s="24">
        <v>42042.0</v>
      </c>
      <c r="B369" s="18" t="s">
        <v>979</v>
      </c>
      <c r="C369" s="18" t="s">
        <v>980</v>
      </c>
      <c r="D369" s="18" t="s">
        <v>1922</v>
      </c>
      <c r="E369" s="18" t="s">
        <v>1923</v>
      </c>
      <c r="F369" s="16">
        <v>-29.13594</v>
      </c>
      <c r="G369" s="16">
        <v>-83.030021</v>
      </c>
      <c r="H369" s="16">
        <v>29.189145</v>
      </c>
      <c r="I369" s="17">
        <v>-83.084327</v>
      </c>
      <c r="J369" s="15" t="s">
        <v>1927</v>
      </c>
      <c r="K369" s="15" t="s">
        <v>1928</v>
      </c>
      <c r="L369" s="15">
        <v>9.0</v>
      </c>
      <c r="M369" s="17">
        <v>29.136042</v>
      </c>
      <c r="N369" s="17">
        <v>-83.05594</v>
      </c>
      <c r="O369" s="15" t="s">
        <v>1959</v>
      </c>
    </row>
    <row r="370" ht="33.75" customHeight="1">
      <c r="A370" s="24">
        <v>42042.0</v>
      </c>
      <c r="B370" s="18" t="s">
        <v>979</v>
      </c>
      <c r="C370" s="18" t="s">
        <v>980</v>
      </c>
      <c r="D370" s="18" t="s">
        <v>1922</v>
      </c>
      <c r="E370" s="18" t="s">
        <v>1923</v>
      </c>
      <c r="F370" s="16">
        <v>-29.13594</v>
      </c>
      <c r="G370" s="16">
        <v>-83.030021</v>
      </c>
      <c r="H370" s="16">
        <v>29.189145</v>
      </c>
      <c r="I370" s="17">
        <v>-83.084327</v>
      </c>
      <c r="J370" s="15" t="s">
        <v>1927</v>
      </c>
      <c r="K370" s="15" t="s">
        <v>1928</v>
      </c>
      <c r="L370" s="15">
        <v>10.0</v>
      </c>
      <c r="M370" s="17">
        <v>29.136957</v>
      </c>
      <c r="N370" s="17">
        <v>-83.056223</v>
      </c>
      <c r="O370" s="15" t="s">
        <v>1960</v>
      </c>
    </row>
    <row r="371" ht="33.75" customHeight="1">
      <c r="A371" s="24">
        <v>42042.0</v>
      </c>
      <c r="B371" s="18" t="s">
        <v>979</v>
      </c>
      <c r="C371" s="18" t="s">
        <v>980</v>
      </c>
      <c r="D371" s="18" t="s">
        <v>1922</v>
      </c>
      <c r="E371" s="18" t="s">
        <v>1923</v>
      </c>
      <c r="F371" s="16">
        <v>-29.13594</v>
      </c>
      <c r="G371" s="16">
        <v>-83.030021</v>
      </c>
      <c r="H371" s="16">
        <v>29.189145</v>
      </c>
      <c r="I371" s="17">
        <v>-83.084327</v>
      </c>
      <c r="J371" s="15" t="s">
        <v>1927</v>
      </c>
      <c r="K371" s="15" t="s">
        <v>1928</v>
      </c>
      <c r="L371" s="15">
        <v>11.0</v>
      </c>
      <c r="M371" s="17">
        <v>29.144138</v>
      </c>
      <c r="N371" s="17">
        <v>-83.056379</v>
      </c>
      <c r="O371" s="15" t="s">
        <v>1967</v>
      </c>
    </row>
    <row r="372" ht="33.75" customHeight="1">
      <c r="A372" s="24">
        <v>42042.0</v>
      </c>
      <c r="B372" s="18" t="s">
        <v>979</v>
      </c>
      <c r="C372" s="18" t="s">
        <v>980</v>
      </c>
      <c r="D372" s="18" t="s">
        <v>1968</v>
      </c>
      <c r="E372" s="18" t="s">
        <v>1923</v>
      </c>
      <c r="F372" s="16">
        <v>-29.13594</v>
      </c>
      <c r="G372" s="16">
        <v>-83.030021</v>
      </c>
      <c r="H372" s="16">
        <v>29.189145</v>
      </c>
      <c r="I372" s="17">
        <v>-83.084327</v>
      </c>
      <c r="J372" s="15" t="s">
        <v>1927</v>
      </c>
      <c r="K372" s="15" t="s">
        <v>1928</v>
      </c>
      <c r="L372" s="15">
        <v>12.0</v>
      </c>
      <c r="M372" s="17">
        <v>29.132044</v>
      </c>
      <c r="N372" s="17">
        <v>-83.047877</v>
      </c>
      <c r="O372" s="15" t="s">
        <v>1969</v>
      </c>
    </row>
    <row r="373" ht="33.75" customHeight="1">
      <c r="A373" s="24">
        <v>42042.0</v>
      </c>
      <c r="B373" s="18" t="s">
        <v>979</v>
      </c>
      <c r="C373" s="18" t="s">
        <v>980</v>
      </c>
      <c r="D373" s="18" t="s">
        <v>1970</v>
      </c>
      <c r="E373" s="18" t="s">
        <v>1923</v>
      </c>
      <c r="F373" s="16">
        <v>29.13594</v>
      </c>
      <c r="G373" s="16">
        <v>-83.030021</v>
      </c>
      <c r="H373" s="16">
        <v>29.155224</v>
      </c>
      <c r="I373" s="17">
        <v>-82.976335</v>
      </c>
      <c r="J373" s="15" t="s">
        <v>1971</v>
      </c>
      <c r="K373" s="15" t="s">
        <v>1928</v>
      </c>
      <c r="L373" s="15">
        <v>1.0</v>
      </c>
      <c r="M373" s="17" t="s">
        <v>1972</v>
      </c>
      <c r="N373" s="17" t="s">
        <v>1973</v>
      </c>
      <c r="O373" s="15" t="s">
        <v>1974</v>
      </c>
      <c r="P373" s="15" t="s">
        <v>1975</v>
      </c>
    </row>
    <row r="374" ht="33.75" customHeight="1">
      <c r="A374" s="24">
        <v>42042.0</v>
      </c>
      <c r="B374" s="18" t="s">
        <v>979</v>
      </c>
      <c r="C374" s="18" t="s">
        <v>980</v>
      </c>
      <c r="D374" s="18" t="s">
        <v>1970</v>
      </c>
      <c r="E374" s="18" t="s">
        <v>1923</v>
      </c>
      <c r="F374" s="16">
        <v>29.13594</v>
      </c>
      <c r="G374" s="16">
        <v>-83.030021</v>
      </c>
      <c r="H374" s="16">
        <v>29.155224</v>
      </c>
      <c r="I374" s="17">
        <v>-82.976335</v>
      </c>
      <c r="J374" s="15" t="s">
        <v>1971</v>
      </c>
      <c r="K374" s="15" t="s">
        <v>1928</v>
      </c>
      <c r="L374" s="15">
        <v>2.0</v>
      </c>
      <c r="M374" s="17">
        <v>29.155224</v>
      </c>
      <c r="N374" s="17">
        <v>-82.976335</v>
      </c>
      <c r="O374" s="15" t="s">
        <v>1978</v>
      </c>
      <c r="P374" s="15" t="s">
        <v>1979</v>
      </c>
    </row>
    <row r="375" ht="33.75" customHeight="1">
      <c r="A375" s="24">
        <v>42042.0</v>
      </c>
      <c r="B375" s="18" t="s">
        <v>979</v>
      </c>
      <c r="C375" s="18" t="s">
        <v>980</v>
      </c>
      <c r="D375" s="18" t="s">
        <v>1970</v>
      </c>
      <c r="E375" s="18" t="s">
        <v>1923</v>
      </c>
      <c r="F375" s="16">
        <v>29.13594</v>
      </c>
      <c r="G375" s="16">
        <v>-83.030021</v>
      </c>
      <c r="H375" s="16">
        <v>29.155224</v>
      </c>
      <c r="I375" s="17">
        <v>-82.976335</v>
      </c>
      <c r="J375" s="15" t="s">
        <v>1971</v>
      </c>
      <c r="K375" s="15" t="s">
        <v>1928</v>
      </c>
      <c r="L375" s="15" t="s">
        <v>1981</v>
      </c>
      <c r="M375" s="17" t="s">
        <v>1982</v>
      </c>
      <c r="N375" s="17" t="s">
        <v>1983</v>
      </c>
      <c r="O375" s="15" t="s">
        <v>1984</v>
      </c>
      <c r="P375" s="15" t="s">
        <v>1985</v>
      </c>
    </row>
    <row r="376" ht="33.75" customHeight="1">
      <c r="A376" s="24">
        <v>42042.0</v>
      </c>
      <c r="B376" s="18" t="s">
        <v>979</v>
      </c>
      <c r="C376" s="18" t="s">
        <v>980</v>
      </c>
      <c r="D376" s="18" t="s">
        <v>1970</v>
      </c>
      <c r="E376" s="18" t="s">
        <v>1923</v>
      </c>
      <c r="F376" s="16">
        <v>29.13594</v>
      </c>
      <c r="G376" s="16">
        <v>-83.030021</v>
      </c>
      <c r="H376" s="16">
        <v>29.155224</v>
      </c>
      <c r="I376" s="17">
        <v>-82.976335</v>
      </c>
      <c r="J376" s="15" t="s">
        <v>1971</v>
      </c>
      <c r="K376" s="15" t="s">
        <v>1928</v>
      </c>
      <c r="L376" s="15">
        <v>7.0</v>
      </c>
      <c r="M376" s="17">
        <v>29.160053</v>
      </c>
      <c r="N376" s="17">
        <v>-83.001526</v>
      </c>
      <c r="O376" s="15" t="s">
        <v>1986</v>
      </c>
      <c r="P376" s="15" t="s">
        <v>1987</v>
      </c>
    </row>
    <row r="377" ht="33.75" customHeight="1">
      <c r="A377" s="24">
        <v>42047.0</v>
      </c>
      <c r="B377" s="18" t="s">
        <v>1405</v>
      </c>
      <c r="C377" s="18" t="s">
        <v>1988</v>
      </c>
      <c r="D377" s="18" t="s">
        <v>1407</v>
      </c>
      <c r="E377" s="18" t="s">
        <v>138</v>
      </c>
      <c r="F377" s="16">
        <v>27.525475</v>
      </c>
      <c r="G377" s="16">
        <v>-82.742093</v>
      </c>
      <c r="H377" s="16">
        <v>27.537329</v>
      </c>
      <c r="I377" s="17">
        <v>82.74901</v>
      </c>
      <c r="J377" s="15" t="s">
        <v>1409</v>
      </c>
      <c r="K377" s="15" t="s">
        <v>1410</v>
      </c>
      <c r="L377" s="15" t="s">
        <v>1992</v>
      </c>
      <c r="M377" s="17">
        <v>27.525475</v>
      </c>
      <c r="N377" s="17">
        <v>-82.742093</v>
      </c>
      <c r="O377" s="15" t="s">
        <v>1994</v>
      </c>
    </row>
    <row r="378" ht="33.75" customHeight="1">
      <c r="A378" s="24">
        <v>42047.0</v>
      </c>
      <c r="B378" s="18" t="s">
        <v>1405</v>
      </c>
      <c r="C378" s="18" t="s">
        <v>1988</v>
      </c>
      <c r="D378" s="18" t="s">
        <v>1407</v>
      </c>
      <c r="E378" s="18" t="s">
        <v>138</v>
      </c>
      <c r="F378" s="16">
        <v>27.525475</v>
      </c>
      <c r="G378" s="16">
        <v>-82.742093</v>
      </c>
      <c r="H378" s="16">
        <v>27.537329</v>
      </c>
      <c r="I378" s="17">
        <v>82.74901</v>
      </c>
      <c r="J378" s="15" t="s">
        <v>1409</v>
      </c>
      <c r="K378" s="15" t="s">
        <v>1410</v>
      </c>
      <c r="L378" s="15" t="s">
        <v>1996</v>
      </c>
      <c r="M378" s="15">
        <v>27.53281</v>
      </c>
      <c r="N378" s="17">
        <v>-82.743088</v>
      </c>
      <c r="O378" s="15" t="s">
        <v>1997</v>
      </c>
    </row>
    <row r="379" ht="33.75" customHeight="1">
      <c r="A379" s="24">
        <v>42047.0</v>
      </c>
      <c r="B379" s="18" t="s">
        <v>1405</v>
      </c>
      <c r="C379" s="18" t="s">
        <v>1406</v>
      </c>
      <c r="D379" s="18" t="s">
        <v>1407</v>
      </c>
      <c r="E379" s="18" t="s">
        <v>138</v>
      </c>
      <c r="F379" s="16">
        <v>27.525475</v>
      </c>
      <c r="G379" s="16">
        <v>-82.742093</v>
      </c>
      <c r="H379" s="16">
        <v>27.537329</v>
      </c>
      <c r="I379" s="17">
        <v>82.74901</v>
      </c>
      <c r="J379" s="15" t="s">
        <v>1409</v>
      </c>
      <c r="K379" s="15" t="s">
        <v>1410</v>
      </c>
      <c r="L379" s="15">
        <v>3.0</v>
      </c>
      <c r="M379" s="17">
        <v>27.45093</v>
      </c>
      <c r="N379" s="17">
        <v>-82.65038</v>
      </c>
      <c r="O379" s="15" t="s">
        <v>1141</v>
      </c>
    </row>
    <row r="380" ht="33.75" customHeight="1">
      <c r="A380" s="24">
        <v>42045.0</v>
      </c>
      <c r="B380" s="18" t="s">
        <v>133</v>
      </c>
      <c r="C380" s="18" t="s">
        <v>135</v>
      </c>
      <c r="D380" s="18" t="s">
        <v>136</v>
      </c>
      <c r="E380" s="18" t="s">
        <v>138</v>
      </c>
      <c r="F380" s="16" t="s">
        <v>1390</v>
      </c>
      <c r="G380" s="16" t="s">
        <v>1392</v>
      </c>
      <c r="H380" s="16" t="s">
        <v>1393</v>
      </c>
      <c r="I380" s="17" t="s">
        <v>1395</v>
      </c>
      <c r="J380" s="15" t="s">
        <v>1398</v>
      </c>
      <c r="K380" s="15" t="s">
        <v>2001</v>
      </c>
      <c r="L380" s="15">
        <v>1.0</v>
      </c>
      <c r="M380" s="17" t="s">
        <v>2002</v>
      </c>
      <c r="N380" s="17" t="s">
        <v>2003</v>
      </c>
      <c r="O380" s="15" t="s">
        <v>2004</v>
      </c>
      <c r="P380" s="15" t="s">
        <v>568</v>
      </c>
    </row>
    <row r="381" ht="33.75" customHeight="1">
      <c r="A381" s="24">
        <v>42045.0</v>
      </c>
      <c r="B381" s="18" t="s">
        <v>133</v>
      </c>
      <c r="C381" s="18" t="s">
        <v>135</v>
      </c>
      <c r="D381" s="18" t="s">
        <v>136</v>
      </c>
      <c r="E381" s="18" t="s">
        <v>138</v>
      </c>
      <c r="F381" s="16" t="s">
        <v>1390</v>
      </c>
      <c r="G381" s="16" t="s">
        <v>1392</v>
      </c>
      <c r="H381" s="16" t="s">
        <v>1393</v>
      </c>
      <c r="I381" s="17" t="s">
        <v>1395</v>
      </c>
      <c r="J381" s="15" t="s">
        <v>1398</v>
      </c>
      <c r="K381" s="15" t="s">
        <v>2007</v>
      </c>
      <c r="L381" s="15">
        <v>2.0</v>
      </c>
      <c r="M381" s="17" t="s">
        <v>2008</v>
      </c>
      <c r="N381" s="17" t="s">
        <v>2009</v>
      </c>
      <c r="O381" s="15" t="s">
        <v>2010</v>
      </c>
    </row>
    <row r="382" ht="33.75" customHeight="1">
      <c r="A382" s="24">
        <v>42045.0</v>
      </c>
      <c r="B382" s="18" t="s">
        <v>133</v>
      </c>
      <c r="C382" s="18" t="s">
        <v>135</v>
      </c>
      <c r="D382" s="18" t="s">
        <v>136</v>
      </c>
      <c r="E382" s="18" t="s">
        <v>138</v>
      </c>
      <c r="F382" s="16" t="s">
        <v>1390</v>
      </c>
      <c r="G382" s="16" t="s">
        <v>1392</v>
      </c>
      <c r="H382" s="16" t="s">
        <v>1393</v>
      </c>
      <c r="I382" s="17" t="s">
        <v>1395</v>
      </c>
      <c r="J382" s="15" t="s">
        <v>1398</v>
      </c>
      <c r="K382" s="15" t="s">
        <v>2007</v>
      </c>
      <c r="L382" s="15">
        <v>3.0</v>
      </c>
      <c r="M382" s="17" t="s">
        <v>2011</v>
      </c>
      <c r="N382" s="17" t="s">
        <v>2012</v>
      </c>
      <c r="O382" s="15" t="s">
        <v>2013</v>
      </c>
    </row>
    <row r="383" ht="33.75" customHeight="1">
      <c r="A383" s="24">
        <v>42045.0</v>
      </c>
      <c r="B383" s="18" t="s">
        <v>133</v>
      </c>
      <c r="C383" s="18" t="s">
        <v>135</v>
      </c>
      <c r="D383" s="18" t="s">
        <v>136</v>
      </c>
      <c r="E383" s="18" t="s">
        <v>138</v>
      </c>
      <c r="F383" s="16" t="s">
        <v>1390</v>
      </c>
      <c r="G383" s="16" t="s">
        <v>1392</v>
      </c>
      <c r="H383" s="16" t="s">
        <v>1393</v>
      </c>
      <c r="I383" s="17" t="s">
        <v>1395</v>
      </c>
      <c r="J383" s="15" t="s">
        <v>1398</v>
      </c>
      <c r="K383" s="15" t="s">
        <v>2007</v>
      </c>
      <c r="L383" s="15">
        <v>4.0</v>
      </c>
      <c r="M383" s="17" t="s">
        <v>2020</v>
      </c>
      <c r="N383" s="17" t="s">
        <v>2021</v>
      </c>
      <c r="O383" s="15" t="s">
        <v>2022</v>
      </c>
      <c r="P383" s="15" t="s">
        <v>2023</v>
      </c>
    </row>
    <row r="384" ht="33.75" customHeight="1">
      <c r="A384" s="24">
        <v>42045.0</v>
      </c>
      <c r="B384" s="18" t="s">
        <v>133</v>
      </c>
      <c r="C384" s="18" t="s">
        <v>135</v>
      </c>
      <c r="D384" s="18" t="s">
        <v>136</v>
      </c>
      <c r="E384" s="18" t="s">
        <v>138</v>
      </c>
      <c r="F384" s="16" t="s">
        <v>1390</v>
      </c>
      <c r="G384" s="16" t="s">
        <v>1392</v>
      </c>
      <c r="H384" s="16" t="s">
        <v>1393</v>
      </c>
      <c r="I384" s="17" t="s">
        <v>1395</v>
      </c>
      <c r="J384" s="15" t="s">
        <v>1398</v>
      </c>
      <c r="K384" s="15" t="s">
        <v>2007</v>
      </c>
      <c r="L384" s="15">
        <v>5.0</v>
      </c>
      <c r="M384" s="17" t="s">
        <v>2025</v>
      </c>
      <c r="N384" s="17" t="s">
        <v>2026</v>
      </c>
      <c r="O384" s="15" t="s">
        <v>1470</v>
      </c>
    </row>
    <row r="385" ht="33.75" customHeight="1">
      <c r="A385" s="24">
        <v>42045.0</v>
      </c>
      <c r="B385" s="18" t="s">
        <v>133</v>
      </c>
      <c r="C385" s="18" t="s">
        <v>135</v>
      </c>
      <c r="D385" s="18" t="s">
        <v>136</v>
      </c>
      <c r="E385" s="18" t="s">
        <v>138</v>
      </c>
      <c r="F385" s="16" t="s">
        <v>1390</v>
      </c>
      <c r="G385" s="16" t="s">
        <v>1392</v>
      </c>
      <c r="H385" s="16" t="s">
        <v>1393</v>
      </c>
      <c r="I385" s="17" t="s">
        <v>1395</v>
      </c>
      <c r="J385" s="15" t="s">
        <v>1398</v>
      </c>
      <c r="K385" s="15" t="s">
        <v>2007</v>
      </c>
      <c r="L385" s="15">
        <v>6.0</v>
      </c>
      <c r="M385" s="17" t="s">
        <v>2029</v>
      </c>
      <c r="N385" s="17" t="s">
        <v>2030</v>
      </c>
      <c r="O385" s="15" t="s">
        <v>2031</v>
      </c>
      <c r="P385" s="15" t="s">
        <v>2032</v>
      </c>
    </row>
    <row r="386" ht="33.75" customHeight="1">
      <c r="A386" s="24">
        <v>42045.0</v>
      </c>
      <c r="B386" s="18" t="s">
        <v>133</v>
      </c>
      <c r="C386" s="18" t="s">
        <v>135</v>
      </c>
      <c r="D386" s="18" t="s">
        <v>136</v>
      </c>
      <c r="E386" s="18" t="s">
        <v>138</v>
      </c>
      <c r="F386" s="16" t="s">
        <v>1390</v>
      </c>
      <c r="G386" s="16" t="s">
        <v>1392</v>
      </c>
      <c r="H386" s="16" t="s">
        <v>1393</v>
      </c>
      <c r="I386" s="17" t="s">
        <v>1395</v>
      </c>
      <c r="J386" s="15" t="s">
        <v>1398</v>
      </c>
      <c r="K386" s="15" t="s">
        <v>2007</v>
      </c>
      <c r="L386" s="15">
        <v>7.0</v>
      </c>
      <c r="M386" s="17" t="s">
        <v>2033</v>
      </c>
      <c r="N386" s="17" t="s">
        <v>2034</v>
      </c>
      <c r="O386" s="15" t="s">
        <v>2035</v>
      </c>
    </row>
    <row r="387" ht="33.75" customHeight="1">
      <c r="A387" s="24">
        <v>42045.0</v>
      </c>
      <c r="B387" s="18" t="s">
        <v>133</v>
      </c>
      <c r="C387" s="18" t="s">
        <v>135</v>
      </c>
      <c r="D387" s="18" t="s">
        <v>136</v>
      </c>
      <c r="E387" s="18" t="s">
        <v>138</v>
      </c>
      <c r="F387" s="16" t="s">
        <v>1390</v>
      </c>
      <c r="G387" s="16" t="s">
        <v>1392</v>
      </c>
      <c r="H387" s="16" t="s">
        <v>1393</v>
      </c>
      <c r="I387" s="17" t="s">
        <v>1395</v>
      </c>
      <c r="J387" s="15" t="s">
        <v>1398</v>
      </c>
      <c r="K387" s="15" t="s">
        <v>2007</v>
      </c>
      <c r="L387" s="15">
        <v>8.0</v>
      </c>
      <c r="M387" s="17" t="s">
        <v>2036</v>
      </c>
      <c r="N387" s="17" t="s">
        <v>2037</v>
      </c>
      <c r="O387" s="15" t="s">
        <v>2038</v>
      </c>
    </row>
    <row r="388" ht="33.75" customHeight="1">
      <c r="A388" s="24">
        <v>42045.0</v>
      </c>
      <c r="B388" s="18" t="s">
        <v>2040</v>
      </c>
      <c r="C388" s="18" t="s">
        <v>1381</v>
      </c>
      <c r="D388" s="18" t="s">
        <v>2043</v>
      </c>
      <c r="E388" s="18" t="s">
        <v>2044</v>
      </c>
      <c r="F388" s="16">
        <v>27.44316</v>
      </c>
      <c r="G388" s="16">
        <v>-82.67073</v>
      </c>
      <c r="H388" s="16">
        <v>27.525515</v>
      </c>
      <c r="I388" s="17">
        <v>-82.73752</v>
      </c>
      <c r="J388" s="15" t="s">
        <v>1386</v>
      </c>
      <c r="K388" s="15" t="s">
        <v>1387</v>
      </c>
      <c r="L388" s="15">
        <v>1.0</v>
      </c>
      <c r="M388" s="17">
        <v>27.459761</v>
      </c>
      <c r="N388" s="17">
        <v>-82.69242</v>
      </c>
      <c r="O388" s="15" t="s">
        <v>2047</v>
      </c>
      <c r="P388" s="15" t="s">
        <v>2048</v>
      </c>
    </row>
    <row r="389" ht="33.75" customHeight="1">
      <c r="A389" s="24">
        <v>42044.0</v>
      </c>
      <c r="B389" s="18" t="s">
        <v>2049</v>
      </c>
      <c r="C389" s="18" t="s">
        <v>2050</v>
      </c>
      <c r="D389" s="18" t="s">
        <v>2051</v>
      </c>
      <c r="E389" s="18" t="s">
        <v>1418</v>
      </c>
      <c r="F389" s="16">
        <v>27.17069</v>
      </c>
      <c r="G389" s="16">
        <v>-80.1739</v>
      </c>
      <c r="H389" s="16">
        <v>27.20889</v>
      </c>
      <c r="I389" s="17">
        <v>-80.18568</v>
      </c>
      <c r="J389" s="15" t="s">
        <v>2052</v>
      </c>
      <c r="K389" s="15" t="s">
        <v>2053</v>
      </c>
      <c r="L389" s="15">
        <v>1.0</v>
      </c>
      <c r="M389" s="17">
        <v>27.17098</v>
      </c>
      <c r="N389" s="17">
        <v>-80.1726</v>
      </c>
      <c r="O389" s="15" t="s">
        <v>2054</v>
      </c>
    </row>
    <row r="390" ht="33.75" customHeight="1">
      <c r="A390" s="24">
        <v>42044.0</v>
      </c>
      <c r="B390" s="18" t="s">
        <v>2049</v>
      </c>
      <c r="C390" s="18" t="s">
        <v>2055</v>
      </c>
      <c r="D390" s="18" t="s">
        <v>2051</v>
      </c>
      <c r="E390" s="18" t="s">
        <v>1418</v>
      </c>
      <c r="F390" s="16">
        <v>27.17069</v>
      </c>
      <c r="G390" s="16">
        <v>-80.1739</v>
      </c>
      <c r="H390" s="16">
        <v>27.20889</v>
      </c>
      <c r="I390" s="17">
        <v>-80.18568</v>
      </c>
      <c r="J390" s="15" t="s">
        <v>2052</v>
      </c>
      <c r="K390" s="15" t="s">
        <v>2053</v>
      </c>
      <c r="L390" s="15">
        <v>2.0</v>
      </c>
      <c r="M390" s="17" t="s">
        <v>2056</v>
      </c>
      <c r="N390" s="17" t="s">
        <v>2057</v>
      </c>
      <c r="O390" s="15" t="s">
        <v>2058</v>
      </c>
    </row>
    <row r="391" ht="33.75" customHeight="1">
      <c r="A391" s="24">
        <v>42041.0</v>
      </c>
      <c r="B391" s="18" t="s">
        <v>1438</v>
      </c>
      <c r="C391" s="18" t="s">
        <v>1439</v>
      </c>
      <c r="D391" s="18" t="s">
        <v>1440</v>
      </c>
      <c r="E391" s="18" t="s">
        <v>1441</v>
      </c>
      <c r="F391" s="16">
        <v>27.08644</v>
      </c>
      <c r="G391" s="16">
        <v>-80.1249</v>
      </c>
      <c r="H391" s="16">
        <v>27.13079</v>
      </c>
      <c r="I391" s="17">
        <v>-80.1453</v>
      </c>
      <c r="J391" s="15" t="s">
        <v>1444</v>
      </c>
      <c r="K391" s="15" t="s">
        <v>1445</v>
      </c>
      <c r="L391" s="15">
        <v>1.0</v>
      </c>
      <c r="M391" s="17">
        <v>27.1115</v>
      </c>
      <c r="N391" s="17">
        <v>-80.1389</v>
      </c>
      <c r="O391" s="15" t="s">
        <v>2060</v>
      </c>
      <c r="P391" s="15" t="s">
        <v>1791</v>
      </c>
    </row>
    <row r="392" ht="33.75" customHeight="1">
      <c r="A392" s="24">
        <v>42044.0</v>
      </c>
      <c r="B392" s="18" t="s">
        <v>1448</v>
      </c>
      <c r="C392" s="18" t="s">
        <v>1450</v>
      </c>
      <c r="D392" s="18" t="s">
        <v>1451</v>
      </c>
      <c r="E392" s="18" t="s">
        <v>1452</v>
      </c>
      <c r="F392" s="16">
        <v>27.16906</v>
      </c>
      <c r="G392" s="16">
        <v>-80.1564</v>
      </c>
      <c r="H392" s="16">
        <v>27.30904</v>
      </c>
      <c r="I392" s="17">
        <v>-80.2209</v>
      </c>
      <c r="J392" s="15" t="s">
        <v>1454</v>
      </c>
      <c r="K392" s="15" t="s">
        <v>1456</v>
      </c>
      <c r="L392" s="15">
        <v>1.0</v>
      </c>
      <c r="M392" s="17">
        <v>27.21533</v>
      </c>
      <c r="N392" s="17">
        <v>-80.1746</v>
      </c>
      <c r="O392" s="15" t="s">
        <v>2061</v>
      </c>
      <c r="P392" s="15" t="s">
        <v>1791</v>
      </c>
    </row>
    <row r="393" ht="33.75" customHeight="1">
      <c r="A393" s="24">
        <v>42044.0</v>
      </c>
      <c r="B393" s="18" t="s">
        <v>1448</v>
      </c>
      <c r="C393" s="18" t="s">
        <v>1450</v>
      </c>
      <c r="D393" s="18" t="s">
        <v>1451</v>
      </c>
      <c r="E393" s="18" t="s">
        <v>1452</v>
      </c>
      <c r="F393" s="16">
        <v>27.16906</v>
      </c>
      <c r="G393" s="16">
        <v>-80.1564</v>
      </c>
      <c r="H393" s="16">
        <v>27.30904</v>
      </c>
      <c r="I393" s="17">
        <v>-80.2209</v>
      </c>
      <c r="J393" s="15" t="s">
        <v>1454</v>
      </c>
      <c r="K393" s="15" t="s">
        <v>1456</v>
      </c>
      <c r="L393" s="15">
        <v>2.0</v>
      </c>
      <c r="M393" s="17">
        <v>27.21478</v>
      </c>
      <c r="N393" s="17">
        <v>-80.1741</v>
      </c>
      <c r="O393" s="15" t="s">
        <v>2062</v>
      </c>
      <c r="P393" s="15" t="s">
        <v>1791</v>
      </c>
    </row>
    <row r="394" ht="33.75" customHeight="1">
      <c r="A394" s="24">
        <v>42044.0</v>
      </c>
      <c r="B394" s="18" t="s">
        <v>1448</v>
      </c>
      <c r="C394" s="18" t="s">
        <v>1450</v>
      </c>
      <c r="D394" s="18" t="s">
        <v>1451</v>
      </c>
      <c r="E394" s="18" t="s">
        <v>1452</v>
      </c>
      <c r="F394" s="16">
        <v>27.16906</v>
      </c>
      <c r="G394" s="16">
        <v>-80.1564</v>
      </c>
      <c r="H394" s="16">
        <v>27.30904</v>
      </c>
      <c r="I394" s="17">
        <v>-80.2209</v>
      </c>
      <c r="J394" s="15" t="s">
        <v>1454</v>
      </c>
      <c r="K394" s="15" t="s">
        <v>1456</v>
      </c>
      <c r="L394" s="15">
        <v>3.0</v>
      </c>
      <c r="M394" s="17">
        <v>27.18705</v>
      </c>
      <c r="N394" s="17">
        <v>-80.1603</v>
      </c>
      <c r="O394" s="15" t="s">
        <v>2068</v>
      </c>
      <c r="P394" s="15" t="s">
        <v>1791</v>
      </c>
    </row>
    <row r="395" ht="33.75" customHeight="1">
      <c r="A395" s="24">
        <v>42044.0</v>
      </c>
      <c r="B395" s="18" t="s">
        <v>1448</v>
      </c>
      <c r="C395" s="18" t="s">
        <v>1450</v>
      </c>
      <c r="D395" s="18" t="s">
        <v>1451</v>
      </c>
      <c r="E395" s="18" t="s">
        <v>1452</v>
      </c>
      <c r="F395" s="16">
        <v>27.16906</v>
      </c>
      <c r="G395" s="16">
        <v>-80.1564</v>
      </c>
      <c r="H395" s="16">
        <v>27.30904</v>
      </c>
      <c r="I395" s="17">
        <v>-80.2209</v>
      </c>
      <c r="J395" s="15" t="s">
        <v>1454</v>
      </c>
      <c r="K395" s="15" t="s">
        <v>1456</v>
      </c>
      <c r="L395" s="15">
        <v>4.0</v>
      </c>
      <c r="M395" s="17">
        <v>27.26495</v>
      </c>
      <c r="N395" s="17">
        <v>-80.2005</v>
      </c>
      <c r="O395" s="15" t="s">
        <v>2069</v>
      </c>
      <c r="P395" s="15" t="s">
        <v>1791</v>
      </c>
    </row>
    <row r="396" ht="33.75" customHeight="1">
      <c r="A396" s="24">
        <v>42044.0</v>
      </c>
      <c r="B396" s="18" t="s">
        <v>1448</v>
      </c>
      <c r="C396" s="18" t="s">
        <v>1450</v>
      </c>
      <c r="D396" s="18" t="s">
        <v>1451</v>
      </c>
      <c r="E396" s="18" t="s">
        <v>1452</v>
      </c>
      <c r="F396" s="16">
        <v>27.16906</v>
      </c>
      <c r="G396" s="16">
        <v>-80.1564</v>
      </c>
      <c r="H396" s="16">
        <v>27.30904</v>
      </c>
      <c r="I396" s="17">
        <v>-80.2209</v>
      </c>
      <c r="J396" s="15" t="s">
        <v>1454</v>
      </c>
      <c r="K396" s="15" t="s">
        <v>1456</v>
      </c>
      <c r="L396" s="15">
        <v>5.0</v>
      </c>
      <c r="M396" s="17">
        <v>27.25578</v>
      </c>
      <c r="N396" s="17">
        <v>-80.1964</v>
      </c>
      <c r="O396" s="15" t="s">
        <v>2070</v>
      </c>
      <c r="P396" s="15" t="s">
        <v>1791</v>
      </c>
    </row>
    <row r="397" ht="33.75" customHeight="1">
      <c r="A397" s="24">
        <v>42044.0</v>
      </c>
      <c r="B397" s="18" t="s">
        <v>1448</v>
      </c>
      <c r="C397" s="18" t="s">
        <v>1450</v>
      </c>
      <c r="D397" s="18" t="s">
        <v>1451</v>
      </c>
      <c r="E397" s="18" t="s">
        <v>1452</v>
      </c>
      <c r="F397" s="16">
        <v>27.16906</v>
      </c>
      <c r="G397" s="16">
        <v>-80.1564</v>
      </c>
      <c r="H397" s="16">
        <v>27.30904</v>
      </c>
      <c r="I397" s="17">
        <v>-80.2209</v>
      </c>
      <c r="J397" s="15" t="s">
        <v>1454</v>
      </c>
      <c r="K397" s="15" t="s">
        <v>1456</v>
      </c>
      <c r="L397" s="15">
        <v>6.0</v>
      </c>
      <c r="M397" s="17">
        <v>27.25382</v>
      </c>
      <c r="N397" s="17">
        <v>-80.1955</v>
      </c>
      <c r="O397" s="15" t="s">
        <v>2075</v>
      </c>
      <c r="P397" s="15" t="s">
        <v>1791</v>
      </c>
    </row>
    <row r="398" ht="33.75" customHeight="1">
      <c r="A398" s="24">
        <v>42045.0</v>
      </c>
      <c r="B398" s="18" t="s">
        <v>1459</v>
      </c>
      <c r="C398" s="18" t="s">
        <v>1460</v>
      </c>
      <c r="D398" s="18" t="s">
        <v>2077</v>
      </c>
      <c r="E398" s="18" t="s">
        <v>1462</v>
      </c>
      <c r="F398" s="16">
        <v>25.4633</v>
      </c>
      <c r="G398" s="16">
        <v>-80.3338</v>
      </c>
      <c r="H398" s="16">
        <v>25.463193</v>
      </c>
      <c r="I398" s="17">
        <v>-80.319347</v>
      </c>
      <c r="J398" s="15" t="s">
        <v>2079</v>
      </c>
      <c r="K398" s="15" t="s">
        <v>2080</v>
      </c>
      <c r="L398" s="15">
        <v>1.0</v>
      </c>
      <c r="M398" s="17">
        <v>25.463349</v>
      </c>
      <c r="N398" s="17">
        <v>-80.330142</v>
      </c>
      <c r="O398" s="15" t="s">
        <v>2082</v>
      </c>
    </row>
    <row r="399" ht="33.75" customHeight="1">
      <c r="A399" s="24">
        <v>42045.0</v>
      </c>
      <c r="B399" s="18" t="s">
        <v>1459</v>
      </c>
      <c r="C399" s="18" t="s">
        <v>1460</v>
      </c>
      <c r="D399" s="18" t="s">
        <v>2083</v>
      </c>
      <c r="E399" s="18" t="s">
        <v>1462</v>
      </c>
      <c r="F399" s="16">
        <v>25.524245</v>
      </c>
      <c r="G399" s="16">
        <v>-80.175657</v>
      </c>
      <c r="H399" s="16">
        <v>25.523501</v>
      </c>
      <c r="I399" s="17">
        <v>-80.173141</v>
      </c>
      <c r="J399" s="15" t="s">
        <v>1833</v>
      </c>
      <c r="K399" s="15" t="s">
        <v>2080</v>
      </c>
      <c r="L399" s="15">
        <v>1.0</v>
      </c>
      <c r="M399" s="17">
        <v>25.524455</v>
      </c>
      <c r="N399" s="17">
        <v>-80.17566</v>
      </c>
      <c r="O399" s="15" t="s">
        <v>2087</v>
      </c>
    </row>
    <row r="400" ht="33.75" customHeight="1">
      <c r="A400" s="24">
        <v>42045.0</v>
      </c>
      <c r="B400" s="18" t="s">
        <v>1459</v>
      </c>
      <c r="C400" s="18" t="s">
        <v>1460</v>
      </c>
      <c r="D400" s="18" t="s">
        <v>2090</v>
      </c>
      <c r="E400" s="18" t="s">
        <v>1462</v>
      </c>
      <c r="F400" s="16">
        <v>25.526252</v>
      </c>
      <c r="G400" s="16">
        <v>-80.173606</v>
      </c>
      <c r="H400" s="16">
        <v>25.526252</v>
      </c>
      <c r="I400" s="16">
        <v>-80.173606</v>
      </c>
      <c r="J400" s="15" t="s">
        <v>2091</v>
      </c>
      <c r="K400" s="15" t="s">
        <v>2080</v>
      </c>
      <c r="L400" s="15">
        <v>1.0</v>
      </c>
      <c r="M400" s="17">
        <v>25.526252</v>
      </c>
      <c r="N400" s="17">
        <v>-80.173606</v>
      </c>
      <c r="O400" s="15" t="s">
        <v>2092</v>
      </c>
      <c r="P400" s="15" t="s">
        <v>2093</v>
      </c>
    </row>
    <row r="401" ht="33.75" customHeight="1">
      <c r="A401" s="24">
        <v>42045.0</v>
      </c>
      <c r="B401" s="18" t="s">
        <v>1459</v>
      </c>
      <c r="C401" s="18" t="s">
        <v>1460</v>
      </c>
      <c r="D401" s="18" t="s">
        <v>2094</v>
      </c>
      <c r="E401" s="18" t="s">
        <v>1462</v>
      </c>
      <c r="F401" s="16">
        <v>25.453467</v>
      </c>
      <c r="G401" s="16">
        <v>-80.196869</v>
      </c>
      <c r="H401" s="16">
        <v>25.454123</v>
      </c>
      <c r="I401" s="17">
        <v>-80.196318</v>
      </c>
      <c r="J401" s="15" t="s">
        <v>2095</v>
      </c>
      <c r="K401" s="15" t="s">
        <v>2080</v>
      </c>
      <c r="L401" s="15">
        <v>1.0</v>
      </c>
      <c r="M401" s="17">
        <v>25.453494</v>
      </c>
      <c r="N401" s="17">
        <v>-80.196863</v>
      </c>
      <c r="O401" s="15" t="s">
        <v>2096</v>
      </c>
    </row>
    <row r="402" ht="33.75" customHeight="1">
      <c r="A402" s="24">
        <v>42044.0</v>
      </c>
      <c r="B402" s="18" t="s">
        <v>1479</v>
      </c>
      <c r="C402" s="18" t="s">
        <v>1480</v>
      </c>
      <c r="D402" s="18" t="s">
        <v>1489</v>
      </c>
      <c r="E402" s="18" t="s">
        <v>1462</v>
      </c>
      <c r="F402" s="16">
        <v>25.6667</v>
      </c>
      <c r="G402" s="16">
        <v>-80.1557</v>
      </c>
      <c r="H402" s="16">
        <v>25.683</v>
      </c>
      <c r="I402" s="17">
        <v>-80.1553</v>
      </c>
      <c r="J402" s="15" t="s">
        <v>1491</v>
      </c>
      <c r="K402" s="15" t="s">
        <v>2097</v>
      </c>
      <c r="L402" s="15" t="s">
        <v>853</v>
      </c>
      <c r="M402" s="32"/>
      <c r="N402" s="32"/>
    </row>
    <row r="403" ht="33.75" customHeight="1">
      <c r="A403" s="24">
        <v>42044.0</v>
      </c>
      <c r="B403" s="18" t="s">
        <v>1538</v>
      </c>
      <c r="C403" s="18" t="s">
        <v>2098</v>
      </c>
      <c r="D403" s="18" t="s">
        <v>1494</v>
      </c>
      <c r="E403" s="18" t="s">
        <v>1462</v>
      </c>
      <c r="F403" s="16">
        <v>25.700643</v>
      </c>
      <c r="G403" s="16">
        <v>-80.154668</v>
      </c>
      <c r="H403" s="16">
        <v>25.724667</v>
      </c>
      <c r="I403" s="17">
        <v>-80.147873</v>
      </c>
      <c r="J403" s="15" t="s">
        <v>2099</v>
      </c>
      <c r="K403" s="15" t="s">
        <v>2100</v>
      </c>
      <c r="L403" s="15" t="s">
        <v>1031</v>
      </c>
      <c r="M403" s="17">
        <v>25.701205</v>
      </c>
      <c r="N403" s="17">
        <v>-80.154668</v>
      </c>
      <c r="O403" s="15" t="s">
        <v>2101</v>
      </c>
      <c r="P403" s="15" t="s">
        <v>2102</v>
      </c>
    </row>
    <row r="404" ht="33.75" customHeight="1">
      <c r="A404" s="24">
        <v>42044.0</v>
      </c>
      <c r="B404" s="18" t="s">
        <v>1538</v>
      </c>
      <c r="C404" s="18" t="s">
        <v>2098</v>
      </c>
      <c r="D404" s="18" t="s">
        <v>1494</v>
      </c>
      <c r="E404" s="18" t="s">
        <v>1462</v>
      </c>
      <c r="F404" s="16">
        <v>25.70064</v>
      </c>
      <c r="G404" s="16">
        <v>-80.15467</v>
      </c>
      <c r="H404" s="16">
        <v>25.72467</v>
      </c>
      <c r="I404" s="17">
        <v>-80.14787</v>
      </c>
      <c r="J404" s="15" t="s">
        <v>1496</v>
      </c>
      <c r="K404" s="15" t="s">
        <v>2100</v>
      </c>
      <c r="L404" s="15" t="s">
        <v>1545</v>
      </c>
      <c r="M404" s="17">
        <v>25.700689</v>
      </c>
      <c r="N404" s="17">
        <v>-80.154995</v>
      </c>
      <c r="O404" s="15" t="s">
        <v>2107</v>
      </c>
      <c r="P404" s="15" t="s">
        <v>2109</v>
      </c>
    </row>
    <row r="405" ht="33.75" customHeight="1">
      <c r="A405" s="24">
        <v>42044.0</v>
      </c>
      <c r="B405" s="18" t="s">
        <v>1538</v>
      </c>
      <c r="C405" s="18" t="s">
        <v>2098</v>
      </c>
      <c r="D405" s="18" t="s">
        <v>1494</v>
      </c>
      <c r="E405" s="18" t="s">
        <v>1462</v>
      </c>
      <c r="F405" s="16">
        <v>25.70064</v>
      </c>
      <c r="G405" s="16">
        <v>-80.15467</v>
      </c>
      <c r="H405" s="16">
        <v>25.72467</v>
      </c>
      <c r="I405" s="17">
        <v>-80.14787</v>
      </c>
      <c r="J405" s="15" t="s">
        <v>1496</v>
      </c>
      <c r="K405" s="15" t="s">
        <v>2100</v>
      </c>
      <c r="L405" s="15" t="s">
        <v>1558</v>
      </c>
      <c r="M405" s="17">
        <v>25.70208</v>
      </c>
      <c r="N405" s="17">
        <v>-80.154334</v>
      </c>
      <c r="O405" s="15" t="s">
        <v>2111</v>
      </c>
      <c r="P405" s="15" t="s">
        <v>2112</v>
      </c>
    </row>
    <row r="406" ht="33.75" customHeight="1">
      <c r="A406" s="24">
        <v>42044.0</v>
      </c>
      <c r="B406" s="18" t="s">
        <v>1538</v>
      </c>
      <c r="C406" s="18" t="s">
        <v>2098</v>
      </c>
      <c r="D406" s="18" t="s">
        <v>1494</v>
      </c>
      <c r="E406" s="18" t="s">
        <v>1462</v>
      </c>
      <c r="F406" s="16">
        <v>25.70064</v>
      </c>
      <c r="G406" s="16">
        <v>-80.15467</v>
      </c>
      <c r="H406" s="16">
        <v>25.72467</v>
      </c>
      <c r="I406" s="17">
        <v>-80.14787</v>
      </c>
      <c r="J406" s="15" t="s">
        <v>1496</v>
      </c>
      <c r="K406" s="15" t="s">
        <v>2100</v>
      </c>
      <c r="L406" s="15" t="s">
        <v>2113</v>
      </c>
      <c r="M406" s="17">
        <v>25.702901</v>
      </c>
      <c r="N406" s="17">
        <v>-80.153918</v>
      </c>
      <c r="O406" s="15" t="s">
        <v>2114</v>
      </c>
    </row>
    <row r="407" ht="33.75" customHeight="1">
      <c r="A407" s="24">
        <v>42044.0</v>
      </c>
      <c r="B407" s="18" t="s">
        <v>1538</v>
      </c>
      <c r="C407" s="18" t="s">
        <v>2098</v>
      </c>
      <c r="D407" s="18" t="s">
        <v>1494</v>
      </c>
      <c r="E407" s="18" t="s">
        <v>1462</v>
      </c>
      <c r="F407" s="16">
        <v>25.70064</v>
      </c>
      <c r="G407" s="16">
        <v>-80.15467</v>
      </c>
      <c r="H407" s="16">
        <v>25.72467</v>
      </c>
      <c r="I407" s="17">
        <v>-80.14787</v>
      </c>
      <c r="J407" s="15" t="s">
        <v>1496</v>
      </c>
      <c r="K407" s="15" t="s">
        <v>2100</v>
      </c>
      <c r="L407" s="15" t="s">
        <v>2116</v>
      </c>
      <c r="M407" s="17">
        <v>25.703249</v>
      </c>
      <c r="N407" s="17">
        <v>-80.153535</v>
      </c>
      <c r="O407" s="15" t="s">
        <v>2118</v>
      </c>
      <c r="P407" s="15" t="s">
        <v>2119</v>
      </c>
    </row>
    <row r="408" ht="33.75" customHeight="1">
      <c r="A408" s="24">
        <v>42047.0</v>
      </c>
      <c r="B408" s="18" t="s">
        <v>434</v>
      </c>
      <c r="C408" s="18" t="s">
        <v>1472</v>
      </c>
      <c r="D408" s="18" t="s">
        <v>1473</v>
      </c>
      <c r="E408" s="18" t="s">
        <v>1462</v>
      </c>
      <c r="F408" s="16">
        <v>25.84782</v>
      </c>
      <c r="G408" s="16">
        <v>-80.16824</v>
      </c>
      <c r="H408" s="16">
        <v>25.72834</v>
      </c>
      <c r="I408" s="17">
        <v>-80.16397</v>
      </c>
      <c r="J408" s="15" t="s">
        <v>1475</v>
      </c>
      <c r="K408" s="15" t="s">
        <v>1476</v>
      </c>
      <c r="L408" s="15">
        <v>1.0</v>
      </c>
      <c r="M408" s="17">
        <v>25.78022</v>
      </c>
      <c r="N408" s="17">
        <v>-80.18291</v>
      </c>
      <c r="O408" s="15" t="s">
        <v>2124</v>
      </c>
    </row>
    <row r="409" ht="33.75" customHeight="1">
      <c r="A409" s="24">
        <v>42044.0</v>
      </c>
      <c r="B409" s="18" t="s">
        <v>1479</v>
      </c>
      <c r="C409" s="18" t="s">
        <v>1480</v>
      </c>
      <c r="D409" s="18" t="s">
        <v>1482</v>
      </c>
      <c r="E409" s="18" t="s">
        <v>1483</v>
      </c>
      <c r="F409" s="16">
        <v>25.683</v>
      </c>
      <c r="G409" s="16">
        <v>-80.1553</v>
      </c>
      <c r="H409" s="16">
        <v>25.7002</v>
      </c>
      <c r="I409" s="17">
        <v>-80.1553</v>
      </c>
      <c r="J409" s="15" t="s">
        <v>1485</v>
      </c>
      <c r="K409" s="15" t="s">
        <v>2125</v>
      </c>
      <c r="L409" s="15">
        <v>1.0</v>
      </c>
      <c r="M409" s="17">
        <v>25.6974</v>
      </c>
      <c r="N409" s="17">
        <v>-80.1562</v>
      </c>
      <c r="O409" s="15" t="s">
        <v>2126</v>
      </c>
      <c r="P409" s="15" t="s">
        <v>841</v>
      </c>
    </row>
    <row r="410" ht="33.75" customHeight="1">
      <c r="A410" s="24">
        <v>42044.0</v>
      </c>
      <c r="B410" s="18" t="s">
        <v>1479</v>
      </c>
      <c r="C410" s="18" t="s">
        <v>1480</v>
      </c>
      <c r="D410" s="18" t="s">
        <v>1482</v>
      </c>
      <c r="E410" s="18" t="s">
        <v>1483</v>
      </c>
      <c r="F410" s="16">
        <v>25.683</v>
      </c>
      <c r="G410" s="16">
        <v>-80.1553</v>
      </c>
      <c r="H410" s="16">
        <v>25.7002</v>
      </c>
      <c r="I410" s="17">
        <v>-80.1553</v>
      </c>
      <c r="J410" s="15" t="s">
        <v>1485</v>
      </c>
      <c r="K410" s="15" t="s">
        <v>2125</v>
      </c>
      <c r="L410" s="15">
        <v>2.0</v>
      </c>
      <c r="M410" s="17">
        <v>25.6991</v>
      </c>
      <c r="N410" s="17">
        <v>-80.1556</v>
      </c>
      <c r="O410" s="15" t="s">
        <v>2127</v>
      </c>
      <c r="P410" s="15" t="s">
        <v>841</v>
      </c>
    </row>
    <row r="411" ht="33.75" customHeight="1">
      <c r="A411" s="24">
        <v>42045.0</v>
      </c>
      <c r="B411" s="18" t="s">
        <v>1530</v>
      </c>
      <c r="C411" s="18" t="s">
        <v>2128</v>
      </c>
      <c r="D411" s="18" t="s">
        <v>1533</v>
      </c>
      <c r="E411" s="18" t="s">
        <v>243</v>
      </c>
      <c r="F411" s="16">
        <v>24.654</v>
      </c>
      <c r="G411" s="16">
        <v>-81.28062</v>
      </c>
      <c r="H411" s="16">
        <v>24.6677</v>
      </c>
      <c r="I411" s="17">
        <v>-81.2499</v>
      </c>
      <c r="J411" s="15" t="s">
        <v>1534</v>
      </c>
      <c r="K411" s="15" t="s">
        <v>438</v>
      </c>
      <c r="L411" s="15">
        <v>1.0</v>
      </c>
      <c r="M411" s="17">
        <v>24.66443</v>
      </c>
      <c r="N411" s="17">
        <v>-81.25758</v>
      </c>
      <c r="O411" s="15" t="s">
        <v>2131</v>
      </c>
    </row>
    <row r="412" ht="33.75" customHeight="1">
      <c r="A412" s="24">
        <v>42044.0</v>
      </c>
      <c r="B412" s="48" t="s">
        <v>2132</v>
      </c>
      <c r="C412" s="18" t="s">
        <v>2134</v>
      </c>
      <c r="D412" s="48" t="s">
        <v>2135</v>
      </c>
      <c r="E412" s="48" t="s">
        <v>243</v>
      </c>
      <c r="F412" s="16">
        <v>24.66824</v>
      </c>
      <c r="G412" s="16">
        <v>-81.24979</v>
      </c>
      <c r="H412" s="16">
        <v>24.65422</v>
      </c>
      <c r="I412" s="17">
        <v>-81.28059</v>
      </c>
      <c r="J412" s="43" t="s">
        <v>2136</v>
      </c>
      <c r="K412" s="43" t="s">
        <v>2137</v>
      </c>
      <c r="L412" s="43">
        <v>1.0</v>
      </c>
      <c r="M412" s="17">
        <v>24.66279</v>
      </c>
      <c r="N412" s="17">
        <v>-81.26065</v>
      </c>
      <c r="O412" s="43" t="s">
        <v>2138</v>
      </c>
      <c r="P412" s="43" t="s">
        <v>2139</v>
      </c>
    </row>
    <row r="413" ht="33.75" customHeight="1">
      <c r="A413" s="24">
        <v>42046.0</v>
      </c>
      <c r="B413" s="18" t="s">
        <v>2132</v>
      </c>
      <c r="C413" s="18" t="s">
        <v>2134</v>
      </c>
      <c r="D413" s="18" t="s">
        <v>242</v>
      </c>
      <c r="E413" s="18" t="s">
        <v>243</v>
      </c>
      <c r="F413" s="16">
        <v>24.53758</v>
      </c>
      <c r="G413" s="16">
        <v>-82.00818</v>
      </c>
      <c r="H413" s="16">
        <v>24.52751</v>
      </c>
      <c r="I413" s="17">
        <v>-82.00629</v>
      </c>
      <c r="J413" s="15" t="s">
        <v>1542</v>
      </c>
      <c r="K413" s="15" t="s">
        <v>2140</v>
      </c>
      <c r="L413" s="15">
        <v>1.0</v>
      </c>
      <c r="M413" s="17">
        <v>24.53105</v>
      </c>
      <c r="N413" s="17">
        <v>-82.00764</v>
      </c>
      <c r="O413" s="15" t="s">
        <v>1116</v>
      </c>
      <c r="P413" s="15" t="s">
        <v>2142</v>
      </c>
    </row>
    <row r="414" ht="33.75" customHeight="1">
      <c r="A414" s="24">
        <v>42046.0</v>
      </c>
      <c r="B414" s="18" t="s">
        <v>2132</v>
      </c>
      <c r="C414" s="18" t="s">
        <v>2134</v>
      </c>
      <c r="D414" s="18" t="s">
        <v>242</v>
      </c>
      <c r="E414" s="18" t="s">
        <v>243</v>
      </c>
      <c r="F414" s="16">
        <v>24.53758</v>
      </c>
      <c r="G414" s="16">
        <v>-82.00818</v>
      </c>
      <c r="H414" s="16">
        <v>24.52751</v>
      </c>
      <c r="I414" s="17">
        <v>-82.00629</v>
      </c>
      <c r="J414" s="15" t="s">
        <v>1542</v>
      </c>
      <c r="K414" s="15" t="s">
        <v>2140</v>
      </c>
      <c r="L414" s="15">
        <v>2.0</v>
      </c>
      <c r="M414" s="17">
        <v>24.53191</v>
      </c>
      <c r="N414" s="17">
        <v>-82.0076</v>
      </c>
      <c r="O414" s="15" t="s">
        <v>2143</v>
      </c>
      <c r="P414" s="15" t="s">
        <v>2142</v>
      </c>
    </row>
    <row r="415" ht="33.75" customHeight="1">
      <c r="A415" s="24">
        <v>42046.0</v>
      </c>
      <c r="B415" s="18" t="s">
        <v>2132</v>
      </c>
      <c r="C415" s="18" t="s">
        <v>2134</v>
      </c>
      <c r="D415" s="18" t="s">
        <v>2145</v>
      </c>
      <c r="E415" s="18" t="s">
        <v>243</v>
      </c>
      <c r="F415" s="16">
        <v>24.54997</v>
      </c>
      <c r="G415" s="16">
        <v>-82.16192</v>
      </c>
      <c r="H415" s="16">
        <v>24.54833</v>
      </c>
      <c r="I415" s="16">
        <v>-82.15801</v>
      </c>
      <c r="J415" s="15" t="s">
        <v>1574</v>
      </c>
      <c r="K415" s="15" t="s">
        <v>1575</v>
      </c>
      <c r="L415" s="15">
        <v>1.0</v>
      </c>
      <c r="M415" s="16">
        <v>24.54997</v>
      </c>
      <c r="N415" s="16">
        <v>-82.16192</v>
      </c>
      <c r="O415" s="15" t="s">
        <v>2146</v>
      </c>
    </row>
    <row r="416" ht="33.75" customHeight="1">
      <c r="A416" s="24">
        <v>42045.0</v>
      </c>
      <c r="B416" s="18" t="s">
        <v>503</v>
      </c>
      <c r="C416" s="18" t="s">
        <v>1008</v>
      </c>
      <c r="D416" s="18" t="s">
        <v>1635</v>
      </c>
      <c r="E416" s="18" t="s">
        <v>1627</v>
      </c>
      <c r="F416" s="16">
        <v>30.5219444</v>
      </c>
      <c r="G416" s="16">
        <v>-81.445</v>
      </c>
      <c r="H416" s="16">
        <v>30.5169444</v>
      </c>
      <c r="I416" s="17">
        <v>-81.435</v>
      </c>
      <c r="J416" s="15" t="s">
        <v>1637</v>
      </c>
      <c r="K416" s="15" t="s">
        <v>2147</v>
      </c>
      <c r="L416" s="15">
        <v>1.0</v>
      </c>
      <c r="M416" s="17">
        <v>30.5163889</v>
      </c>
      <c r="N416" s="17">
        <v>-81.4352778</v>
      </c>
      <c r="O416" s="15" t="s">
        <v>2148</v>
      </c>
      <c r="P416" s="15" t="s">
        <v>2149</v>
      </c>
    </row>
    <row r="417" ht="33.75" customHeight="1">
      <c r="A417" s="24">
        <v>42045.0</v>
      </c>
      <c r="B417" s="18" t="s">
        <v>503</v>
      </c>
      <c r="C417" s="18" t="s">
        <v>1008</v>
      </c>
      <c r="D417" s="18" t="s">
        <v>1635</v>
      </c>
      <c r="E417" s="18" t="s">
        <v>1627</v>
      </c>
      <c r="F417" s="16">
        <v>30.5219444</v>
      </c>
      <c r="G417" s="16">
        <v>-81.445</v>
      </c>
      <c r="H417" s="16">
        <v>30.5169444</v>
      </c>
      <c r="I417" s="17">
        <v>-81.435</v>
      </c>
      <c r="J417" s="15" t="s">
        <v>1637</v>
      </c>
      <c r="K417" s="15" t="s">
        <v>2147</v>
      </c>
      <c r="L417" s="15">
        <v>2.0</v>
      </c>
      <c r="M417" s="17">
        <v>30.5169444</v>
      </c>
      <c r="N417" s="17">
        <v>-81.435</v>
      </c>
      <c r="O417" s="15" t="s">
        <v>2150</v>
      </c>
      <c r="P417" s="15" t="s">
        <v>2151</v>
      </c>
    </row>
    <row r="418" ht="33.75" customHeight="1">
      <c r="A418" s="24">
        <v>42047.0</v>
      </c>
      <c r="B418" s="18" t="s">
        <v>1650</v>
      </c>
      <c r="C418" s="18" t="s">
        <v>1651</v>
      </c>
      <c r="D418" s="18" t="s">
        <v>1652</v>
      </c>
      <c r="E418" s="18" t="s">
        <v>1627</v>
      </c>
      <c r="F418" s="16">
        <v>30.5990027</v>
      </c>
      <c r="G418" s="16">
        <v>-81.4422555</v>
      </c>
      <c r="H418" s="16">
        <v>30.6907</v>
      </c>
      <c r="I418" s="17">
        <v>-81.4281732</v>
      </c>
      <c r="J418" s="15" t="s">
        <v>1653</v>
      </c>
      <c r="K418" s="15" t="s">
        <v>1654</v>
      </c>
      <c r="L418" s="15" t="s">
        <v>1031</v>
      </c>
      <c r="M418" s="17">
        <v>30.5990027</v>
      </c>
      <c r="N418" s="17">
        <v>-81.4422555</v>
      </c>
      <c r="O418" s="15" t="s">
        <v>2155</v>
      </c>
    </row>
    <row r="419" ht="33.75" customHeight="1">
      <c r="A419" s="24">
        <v>42047.0</v>
      </c>
      <c r="B419" s="18" t="s">
        <v>1650</v>
      </c>
      <c r="C419" s="18" t="s">
        <v>1651</v>
      </c>
      <c r="D419" s="18" t="s">
        <v>1652</v>
      </c>
      <c r="E419" s="18" t="s">
        <v>1627</v>
      </c>
      <c r="F419" s="16">
        <v>30.5990027</v>
      </c>
      <c r="G419" s="16">
        <v>-81.4422555</v>
      </c>
      <c r="H419" s="16">
        <v>30.6907</v>
      </c>
      <c r="I419" s="17">
        <v>-81.4281722</v>
      </c>
      <c r="J419" s="15" t="s">
        <v>1653</v>
      </c>
      <c r="K419" s="15" t="s">
        <v>1654</v>
      </c>
      <c r="L419" s="15" t="s">
        <v>1545</v>
      </c>
      <c r="M419" s="17">
        <v>30.6700333</v>
      </c>
      <c r="N419" s="17">
        <v>-81.43015</v>
      </c>
      <c r="O419" s="15" t="s">
        <v>2159</v>
      </c>
    </row>
    <row r="420" ht="33.75" customHeight="1">
      <c r="A420" s="24">
        <v>42046.0</v>
      </c>
      <c r="B420" s="18" t="s">
        <v>1621</v>
      </c>
      <c r="C420" s="18" t="s">
        <v>2160</v>
      </c>
      <c r="D420" s="18" t="s">
        <v>1626</v>
      </c>
      <c r="E420" s="18" t="s">
        <v>1627</v>
      </c>
      <c r="F420" s="16">
        <v>30.696368</v>
      </c>
      <c r="G420" s="16">
        <v>-81.460063</v>
      </c>
      <c r="H420" s="16">
        <v>30.690832</v>
      </c>
      <c r="I420" s="17">
        <v>-81.427425</v>
      </c>
      <c r="J420" s="15" t="s">
        <v>2162</v>
      </c>
      <c r="K420" s="15" t="s">
        <v>2163</v>
      </c>
      <c r="L420" s="15">
        <v>1.0</v>
      </c>
      <c r="M420" s="17">
        <v>30.701329</v>
      </c>
      <c r="N420" s="17">
        <v>-81.42564</v>
      </c>
      <c r="O420" s="15" t="s">
        <v>2165</v>
      </c>
      <c r="P420" s="15" t="s">
        <v>1791</v>
      </c>
    </row>
    <row r="421" ht="33.75" customHeight="1">
      <c r="A421" s="24">
        <v>42042.0</v>
      </c>
      <c r="B421" s="18" t="s">
        <v>1621</v>
      </c>
      <c r="C421" s="18" t="s">
        <v>1624</v>
      </c>
      <c r="D421" s="18" t="s">
        <v>2167</v>
      </c>
      <c r="E421" s="18" t="s">
        <v>1627</v>
      </c>
      <c r="F421" s="16">
        <v>30.700534</v>
      </c>
      <c r="G421" s="16">
        <v>-81.429004</v>
      </c>
      <c r="H421" s="16">
        <v>30.690845</v>
      </c>
      <c r="I421" s="17">
        <v>-81.427961</v>
      </c>
      <c r="J421" s="15" t="s">
        <v>2175</v>
      </c>
      <c r="K421" s="15" t="s">
        <v>2176</v>
      </c>
      <c r="L421" s="15">
        <v>1.0</v>
      </c>
      <c r="M421" s="17">
        <v>30.702183</v>
      </c>
      <c r="N421" s="17">
        <v>-81.42346</v>
      </c>
      <c r="O421" s="15" t="s">
        <v>2177</v>
      </c>
      <c r="P421" s="15" t="s">
        <v>2178</v>
      </c>
    </row>
    <row r="422" ht="33.75" customHeight="1">
      <c r="A422" s="26">
        <v>42046.0</v>
      </c>
      <c r="B422" s="18" t="s">
        <v>451</v>
      </c>
      <c r="C422" s="18" t="s">
        <v>452</v>
      </c>
      <c r="D422" s="18" t="s">
        <v>453</v>
      </c>
      <c r="E422" s="18" t="s">
        <v>454</v>
      </c>
      <c r="F422" s="18">
        <v>30.39287</v>
      </c>
      <c r="G422" s="18">
        <v>-86.58274</v>
      </c>
      <c r="H422" s="18">
        <v>30.39192</v>
      </c>
      <c r="I422" s="16">
        <v>-8652508.0</v>
      </c>
      <c r="J422" s="20" t="s">
        <v>1666</v>
      </c>
      <c r="K422" s="18" t="s">
        <v>1667</v>
      </c>
      <c r="L422" s="15">
        <v>1.0</v>
      </c>
      <c r="M422" s="17">
        <v>30.38953</v>
      </c>
      <c r="N422" s="17">
        <v>-86.54889</v>
      </c>
      <c r="O422" s="15" t="s">
        <v>2184</v>
      </c>
      <c r="P422" s="15" t="s">
        <v>2185</v>
      </c>
    </row>
    <row r="423" ht="33.75" customHeight="1">
      <c r="A423" s="26">
        <v>42046.0</v>
      </c>
      <c r="B423" s="18" t="s">
        <v>451</v>
      </c>
      <c r="C423" s="18" t="s">
        <v>452</v>
      </c>
      <c r="D423" s="18" t="s">
        <v>453</v>
      </c>
      <c r="E423" s="18" t="s">
        <v>454</v>
      </c>
      <c r="F423" s="18">
        <v>30.39287</v>
      </c>
      <c r="G423" s="18">
        <v>-86.58274</v>
      </c>
      <c r="H423" s="18">
        <v>30.39192</v>
      </c>
      <c r="I423" s="16">
        <v>-8652508.0</v>
      </c>
      <c r="J423" s="20" t="s">
        <v>1666</v>
      </c>
      <c r="K423" s="18" t="s">
        <v>1667</v>
      </c>
      <c r="L423" s="15">
        <v>2.0</v>
      </c>
      <c r="M423" s="17">
        <v>30.38879</v>
      </c>
      <c r="N423" s="17">
        <v>-86.54157</v>
      </c>
      <c r="O423" s="15" t="s">
        <v>2184</v>
      </c>
      <c r="P423" s="15" t="s">
        <v>2185</v>
      </c>
    </row>
    <row r="424" ht="33.75" customHeight="1">
      <c r="A424" s="24">
        <v>42046.0</v>
      </c>
      <c r="B424" s="18" t="s">
        <v>961</v>
      </c>
      <c r="C424" s="18" t="s">
        <v>962</v>
      </c>
      <c r="D424" s="18" t="s">
        <v>1672</v>
      </c>
      <c r="E424" s="18" t="s">
        <v>1673</v>
      </c>
      <c r="F424" s="16" t="s">
        <v>1674</v>
      </c>
      <c r="G424" s="16" t="s">
        <v>1675</v>
      </c>
      <c r="H424" s="16" t="s">
        <v>1676</v>
      </c>
      <c r="I424" s="17" t="s">
        <v>1677</v>
      </c>
      <c r="J424" s="15" t="s">
        <v>1678</v>
      </c>
      <c r="K424" s="15" t="s">
        <v>1550</v>
      </c>
      <c r="L424" s="15" t="s">
        <v>853</v>
      </c>
      <c r="M424" s="17" t="s">
        <v>2189</v>
      </c>
      <c r="N424" s="17" t="s">
        <v>2190</v>
      </c>
      <c r="O424" s="15" t="s">
        <v>2191</v>
      </c>
      <c r="P424" s="15" t="s">
        <v>2192</v>
      </c>
    </row>
    <row r="425" ht="33.75" customHeight="1">
      <c r="A425" s="24">
        <v>42047.0</v>
      </c>
      <c r="B425" s="18" t="s">
        <v>1798</v>
      </c>
      <c r="C425" s="18" t="s">
        <v>1799</v>
      </c>
      <c r="D425" s="18" t="s">
        <v>1800</v>
      </c>
      <c r="E425" s="18" t="s">
        <v>1728</v>
      </c>
      <c r="F425" s="15">
        <v>26.3909</v>
      </c>
      <c r="G425" s="15">
        <v>-80.0661</v>
      </c>
      <c r="H425" s="15">
        <v>26.3362</v>
      </c>
      <c r="I425" s="17">
        <v>-80.0707</v>
      </c>
      <c r="J425" s="15" t="s">
        <v>1801</v>
      </c>
      <c r="K425" s="15" t="s">
        <v>837</v>
      </c>
      <c r="M425" s="17">
        <v>26.36076</v>
      </c>
      <c r="N425" s="17">
        <v>-80.06875</v>
      </c>
      <c r="O425" s="15" t="s">
        <v>2193</v>
      </c>
      <c r="P425" s="15" t="s">
        <v>841</v>
      </c>
    </row>
    <row r="426" ht="33.75" customHeight="1">
      <c r="A426" s="24">
        <v>42042.0</v>
      </c>
      <c r="B426" s="18" t="s">
        <v>1724</v>
      </c>
      <c r="C426" s="18" t="s">
        <v>1725</v>
      </c>
      <c r="D426" s="18" t="s">
        <v>1726</v>
      </c>
      <c r="E426" s="18" t="s">
        <v>1728</v>
      </c>
      <c r="F426" s="16">
        <v>26.8364</v>
      </c>
      <c r="G426" s="16">
        <v>-80.0414</v>
      </c>
      <c r="H426" s="16">
        <v>26.8144</v>
      </c>
      <c r="I426" s="17">
        <v>-80.0357</v>
      </c>
      <c r="J426" s="15" t="s">
        <v>1729</v>
      </c>
      <c r="K426" s="15" t="s">
        <v>1730</v>
      </c>
      <c r="L426" s="15" t="s">
        <v>853</v>
      </c>
      <c r="M426" s="32"/>
      <c r="N426" s="32"/>
    </row>
    <row r="427" ht="33.75" customHeight="1">
      <c r="A427" s="24">
        <v>42045.0</v>
      </c>
      <c r="B427" s="18" t="s">
        <v>1751</v>
      </c>
      <c r="C427" s="18" t="s">
        <v>2200</v>
      </c>
      <c r="D427" s="18" t="s">
        <v>1756</v>
      </c>
      <c r="E427" s="18" t="s">
        <v>1728</v>
      </c>
      <c r="F427" s="16">
        <v>26.814305796</v>
      </c>
      <c r="G427" s="16">
        <v>-80.035528576</v>
      </c>
      <c r="H427" s="16">
        <v>26.77396943</v>
      </c>
      <c r="I427" s="17">
        <v>-80.031651488</v>
      </c>
      <c r="J427" s="15" t="s">
        <v>2201</v>
      </c>
      <c r="K427" s="15" t="s">
        <v>2203</v>
      </c>
      <c r="L427" s="15">
        <v>1.0</v>
      </c>
      <c r="M427" s="17">
        <v>26.784981116</v>
      </c>
      <c r="N427" s="17">
        <v>-80.031564047</v>
      </c>
      <c r="O427" s="15" t="s">
        <v>2206</v>
      </c>
    </row>
    <row r="428" ht="33.75" customHeight="1">
      <c r="A428" s="24">
        <v>42047.0</v>
      </c>
      <c r="B428" s="18" t="s">
        <v>1810</v>
      </c>
      <c r="C428" s="18" t="s">
        <v>2207</v>
      </c>
      <c r="D428" s="18" t="s">
        <v>1811</v>
      </c>
      <c r="E428" s="18" t="s">
        <v>1728</v>
      </c>
      <c r="F428" s="16">
        <v>26.674722</v>
      </c>
      <c r="G428" s="16">
        <v>-80.035833</v>
      </c>
      <c r="H428" s="16">
        <v>26.710608</v>
      </c>
      <c r="I428" s="17">
        <v>-80.033258</v>
      </c>
      <c r="J428" s="15" t="s">
        <v>1812</v>
      </c>
      <c r="K428" s="15" t="s">
        <v>1813</v>
      </c>
      <c r="L428" s="15" t="s">
        <v>1031</v>
      </c>
      <c r="M428" s="17">
        <v>26.691111</v>
      </c>
      <c r="N428" s="17">
        <v>-80.033611</v>
      </c>
      <c r="O428" s="15" t="s">
        <v>2210</v>
      </c>
    </row>
    <row r="429" ht="33.75" customHeight="1">
      <c r="A429" s="14">
        <v>42046.0</v>
      </c>
      <c r="B429" s="15" t="s">
        <v>1424</v>
      </c>
      <c r="C429" s="15" t="s">
        <v>1782</v>
      </c>
      <c r="D429" s="15" t="s">
        <v>1783</v>
      </c>
      <c r="E429" s="15" t="s">
        <v>1728</v>
      </c>
      <c r="F429" s="15">
        <v>26.54506</v>
      </c>
      <c r="G429" s="15">
        <v>-80.04297</v>
      </c>
      <c r="H429" s="15">
        <v>26.48556</v>
      </c>
      <c r="I429" s="17">
        <v>-80.050278</v>
      </c>
      <c r="J429" s="15" t="s">
        <v>1784</v>
      </c>
      <c r="K429" s="15" t="s">
        <v>1775</v>
      </c>
      <c r="L429" s="15" t="s">
        <v>1031</v>
      </c>
      <c r="M429" s="17">
        <v>26.52935</v>
      </c>
      <c r="N429" s="17">
        <v>-80.04648</v>
      </c>
      <c r="O429" s="15" t="s">
        <v>2211</v>
      </c>
      <c r="P429" s="15" t="s">
        <v>2212</v>
      </c>
    </row>
    <row r="430" ht="33.75" customHeight="1">
      <c r="A430" s="14">
        <v>42043.0</v>
      </c>
      <c r="B430" s="15" t="s">
        <v>1415</v>
      </c>
      <c r="C430" s="15" t="s">
        <v>1416</v>
      </c>
      <c r="D430" s="15" t="s">
        <v>1731</v>
      </c>
      <c r="E430" s="15" t="s">
        <v>1728</v>
      </c>
      <c r="F430" s="15">
        <v>26.94359</v>
      </c>
      <c r="G430" s="15">
        <v>-80.071546</v>
      </c>
      <c r="H430" s="15">
        <v>26.89319</v>
      </c>
      <c r="I430" s="17">
        <v>-80.05673</v>
      </c>
      <c r="J430" s="15" t="s">
        <v>1733</v>
      </c>
      <c r="K430" s="15" t="s">
        <v>1734</v>
      </c>
      <c r="L430" s="15" t="s">
        <v>1031</v>
      </c>
      <c r="M430" s="17">
        <v>26.9422</v>
      </c>
      <c r="N430" s="17">
        <v>-80.0717</v>
      </c>
      <c r="O430" s="15" t="s">
        <v>2213</v>
      </c>
    </row>
    <row r="431" ht="33.75" customHeight="1">
      <c r="A431" s="14">
        <v>42043.0</v>
      </c>
      <c r="B431" s="15" t="s">
        <v>1415</v>
      </c>
      <c r="C431" s="15" t="s">
        <v>1416</v>
      </c>
      <c r="D431" s="15" t="s">
        <v>1731</v>
      </c>
      <c r="E431" s="15" t="s">
        <v>1728</v>
      </c>
      <c r="F431" s="15">
        <v>26.94359</v>
      </c>
      <c r="G431" s="15">
        <v>-80.071546</v>
      </c>
      <c r="H431" s="15">
        <v>26.89319</v>
      </c>
      <c r="I431" s="17">
        <v>-80.05673</v>
      </c>
      <c r="J431" s="15" t="s">
        <v>1733</v>
      </c>
      <c r="K431" s="15" t="s">
        <v>1734</v>
      </c>
      <c r="L431" s="15" t="s">
        <v>1545</v>
      </c>
      <c r="M431" s="17">
        <v>26.9289</v>
      </c>
      <c r="N431" s="17">
        <v>-80.0681</v>
      </c>
      <c r="O431" s="15" t="s">
        <v>2214</v>
      </c>
    </row>
    <row r="432" ht="33.75" customHeight="1">
      <c r="A432" s="24">
        <v>42045.0</v>
      </c>
      <c r="B432" s="18" t="s">
        <v>1760</v>
      </c>
      <c r="C432" s="18" t="s">
        <v>1761</v>
      </c>
      <c r="D432" s="18" t="s">
        <v>1762</v>
      </c>
      <c r="E432" s="18" t="s">
        <v>1728</v>
      </c>
      <c r="F432" s="16">
        <v>26.54775</v>
      </c>
      <c r="G432" s="16">
        <v>-80.04572</v>
      </c>
      <c r="H432" s="16">
        <v>26.776417</v>
      </c>
      <c r="I432" s="17">
        <v>-80.042944</v>
      </c>
      <c r="J432" s="15" t="s">
        <v>1763</v>
      </c>
      <c r="K432" s="15" t="s">
        <v>1764</v>
      </c>
      <c r="L432" s="15">
        <v>1.0</v>
      </c>
      <c r="M432" s="17">
        <v>26.614806</v>
      </c>
      <c r="N432" s="17">
        <v>-80.045444</v>
      </c>
      <c r="O432" s="15" t="s">
        <v>1488</v>
      </c>
    </row>
    <row r="433" ht="33.75" customHeight="1">
      <c r="A433" s="24">
        <v>42045.0</v>
      </c>
      <c r="B433" s="18" t="s">
        <v>1760</v>
      </c>
      <c r="C433" s="18" t="s">
        <v>1761</v>
      </c>
      <c r="D433" s="18" t="s">
        <v>1762</v>
      </c>
      <c r="E433" s="18" t="s">
        <v>1728</v>
      </c>
      <c r="F433" s="16">
        <v>26.54775</v>
      </c>
      <c r="G433" s="16">
        <v>-80.04572</v>
      </c>
      <c r="H433" s="16">
        <v>26.776417</v>
      </c>
      <c r="I433" s="17">
        <v>-80.042944</v>
      </c>
      <c r="J433" s="15" t="s">
        <v>1763</v>
      </c>
      <c r="K433" s="15" t="s">
        <v>1764</v>
      </c>
      <c r="L433" s="15">
        <v>2.0</v>
      </c>
      <c r="M433" s="17">
        <v>26.62475</v>
      </c>
      <c r="N433" s="17">
        <v>-80.045667</v>
      </c>
      <c r="O433" s="15" t="s">
        <v>2219</v>
      </c>
    </row>
    <row r="434" ht="33.75" customHeight="1">
      <c r="A434" s="24">
        <v>42045.0</v>
      </c>
      <c r="B434" s="18" t="s">
        <v>1760</v>
      </c>
      <c r="C434" s="18" t="s">
        <v>1761</v>
      </c>
      <c r="D434" s="18" t="s">
        <v>1762</v>
      </c>
      <c r="E434" s="18" t="s">
        <v>1728</v>
      </c>
      <c r="F434" s="16">
        <v>26.54775</v>
      </c>
      <c r="G434" s="16">
        <v>-80.04572</v>
      </c>
      <c r="H434" s="16">
        <v>26.776417</v>
      </c>
      <c r="I434" s="17">
        <v>-80.042944</v>
      </c>
      <c r="J434" s="15" t="s">
        <v>1763</v>
      </c>
      <c r="K434" s="15" t="s">
        <v>1764</v>
      </c>
      <c r="L434" s="15">
        <v>3.0</v>
      </c>
      <c r="M434" s="17">
        <v>26.627806</v>
      </c>
      <c r="N434" s="17">
        <v>-80.045417</v>
      </c>
      <c r="O434" s="15" t="s">
        <v>1488</v>
      </c>
    </row>
    <row r="435" ht="33.75" customHeight="1">
      <c r="A435" s="26">
        <v>42044.0</v>
      </c>
      <c r="B435" s="18" t="s">
        <v>1744</v>
      </c>
      <c r="C435" s="18" t="s">
        <v>1745</v>
      </c>
      <c r="D435" s="18" t="s">
        <v>2220</v>
      </c>
      <c r="E435" s="18" t="s">
        <v>1728</v>
      </c>
      <c r="F435" s="18">
        <v>26.9256944</v>
      </c>
      <c r="G435" s="18">
        <v>-80.13522778</v>
      </c>
      <c r="H435" s="15">
        <v>26.9216722</v>
      </c>
      <c r="I435" s="15">
        <v>-80.1352028</v>
      </c>
      <c r="J435" s="15" t="s">
        <v>2221</v>
      </c>
      <c r="K435" s="15" t="s">
        <v>2223</v>
      </c>
      <c r="L435" s="15" t="s">
        <v>1889</v>
      </c>
      <c r="P435" s="17" t="s">
        <v>2224</v>
      </c>
    </row>
    <row r="436" ht="33.75" customHeight="1">
      <c r="A436" s="14">
        <v>42047.0</v>
      </c>
      <c r="B436" s="18" t="s">
        <v>1431</v>
      </c>
      <c r="C436" s="18" t="s">
        <v>1432</v>
      </c>
      <c r="D436" s="15" t="s">
        <v>1827</v>
      </c>
      <c r="E436" s="15" t="s">
        <v>1728</v>
      </c>
      <c r="F436" s="15">
        <v>26.682484</v>
      </c>
      <c r="G436" s="15">
        <v>-80.298396</v>
      </c>
      <c r="H436" s="15">
        <v>26.67743</v>
      </c>
      <c r="I436" s="17">
        <v>-80.36349</v>
      </c>
      <c r="J436" s="15" t="s">
        <v>1828</v>
      </c>
      <c r="K436" s="15" t="s">
        <v>1829</v>
      </c>
      <c r="L436" s="15">
        <v>1.0</v>
      </c>
      <c r="M436" s="15">
        <v>26.663367</v>
      </c>
      <c r="N436" s="15">
        <v>-80.307429</v>
      </c>
      <c r="O436" s="15" t="s">
        <v>2228</v>
      </c>
      <c r="P436" s="17" t="s">
        <v>1791</v>
      </c>
    </row>
    <row r="437" ht="33.75" customHeight="1">
      <c r="A437" s="14">
        <v>42047.0</v>
      </c>
      <c r="B437" s="18" t="s">
        <v>1431</v>
      </c>
      <c r="C437" s="18" t="s">
        <v>1432</v>
      </c>
      <c r="D437" s="15" t="s">
        <v>1827</v>
      </c>
      <c r="E437" s="15" t="s">
        <v>1728</v>
      </c>
      <c r="F437" s="15">
        <v>26.682484</v>
      </c>
      <c r="G437" s="15">
        <v>-80.298396</v>
      </c>
      <c r="H437" s="15">
        <v>26.67743</v>
      </c>
      <c r="I437" s="17">
        <v>-80.36349</v>
      </c>
      <c r="J437" s="15" t="s">
        <v>1828</v>
      </c>
      <c r="K437" s="15" t="s">
        <v>1829</v>
      </c>
      <c r="L437" s="15">
        <v>2.0</v>
      </c>
      <c r="M437" s="15">
        <v>26.648805</v>
      </c>
      <c r="N437" s="15">
        <v>-80.324473</v>
      </c>
      <c r="O437" s="15" t="s">
        <v>2229</v>
      </c>
      <c r="P437" s="17" t="s">
        <v>2230</v>
      </c>
    </row>
    <row r="438" ht="33.75" customHeight="1">
      <c r="A438" s="24">
        <v>42041.0</v>
      </c>
      <c r="B438" s="18" t="s">
        <v>457</v>
      </c>
      <c r="C438" s="18" t="s">
        <v>458</v>
      </c>
      <c r="D438" s="18" t="s">
        <v>460</v>
      </c>
      <c r="E438" s="18" t="s">
        <v>461</v>
      </c>
      <c r="F438" s="16">
        <v>28.2299</v>
      </c>
      <c r="G438" s="16">
        <v>-82.840169</v>
      </c>
      <c r="H438" s="16">
        <v>28.2299</v>
      </c>
      <c r="I438" s="16">
        <v>-82.840169</v>
      </c>
      <c r="J438" s="15" t="s">
        <v>1839</v>
      </c>
      <c r="K438" s="15" t="s">
        <v>1852</v>
      </c>
      <c r="L438" s="15">
        <v>1.0</v>
      </c>
      <c r="M438" s="17">
        <v>28.234113</v>
      </c>
      <c r="N438" s="17">
        <v>-82.8374</v>
      </c>
      <c r="O438" s="15" t="s">
        <v>2238</v>
      </c>
    </row>
    <row r="439" ht="33.75" customHeight="1">
      <c r="A439" s="24">
        <v>42041.0</v>
      </c>
      <c r="B439" s="18" t="s">
        <v>457</v>
      </c>
      <c r="C439" s="18" t="s">
        <v>458</v>
      </c>
      <c r="D439" s="18" t="s">
        <v>460</v>
      </c>
      <c r="E439" s="18" t="s">
        <v>461</v>
      </c>
      <c r="F439" s="16">
        <v>28.2299</v>
      </c>
      <c r="G439" s="16">
        <v>-82.840169</v>
      </c>
      <c r="H439" s="16">
        <v>28.2299</v>
      </c>
      <c r="I439" s="16">
        <v>-82.840169</v>
      </c>
      <c r="J439" s="15" t="s">
        <v>1839</v>
      </c>
      <c r="K439" s="15" t="s">
        <v>1852</v>
      </c>
      <c r="L439" s="15">
        <v>2.0</v>
      </c>
      <c r="M439" s="17">
        <v>28.23463</v>
      </c>
      <c r="N439" s="17">
        <v>-82.8372</v>
      </c>
      <c r="O439" s="15" t="s">
        <v>2239</v>
      </c>
      <c r="P439" s="15" t="s">
        <v>2240</v>
      </c>
    </row>
    <row r="440" ht="33.75" customHeight="1">
      <c r="A440" s="24">
        <v>42041.0</v>
      </c>
      <c r="B440" s="18" t="s">
        <v>457</v>
      </c>
      <c r="C440" s="18" t="s">
        <v>458</v>
      </c>
      <c r="D440" s="18" t="s">
        <v>460</v>
      </c>
      <c r="E440" s="18" t="s">
        <v>461</v>
      </c>
      <c r="F440" s="16">
        <v>28.2299</v>
      </c>
      <c r="G440" s="16">
        <v>-82.840169</v>
      </c>
      <c r="H440" s="16">
        <v>28.2299</v>
      </c>
      <c r="I440" s="16">
        <v>-82.840169</v>
      </c>
      <c r="J440" s="15" t="s">
        <v>1839</v>
      </c>
      <c r="K440" s="15" t="s">
        <v>1852</v>
      </c>
      <c r="L440" s="15">
        <v>3.0</v>
      </c>
      <c r="M440" s="17">
        <v>28.23516</v>
      </c>
      <c r="N440" s="17">
        <v>-82.83954</v>
      </c>
      <c r="O440" s="15" t="s">
        <v>2243</v>
      </c>
    </row>
    <row r="441" ht="33.75" customHeight="1">
      <c r="A441" s="24">
        <v>42041.0</v>
      </c>
      <c r="B441" s="18" t="s">
        <v>150</v>
      </c>
      <c r="C441" s="18" t="s">
        <v>151</v>
      </c>
      <c r="D441" s="18" t="s">
        <v>1855</v>
      </c>
      <c r="E441" s="18" t="s">
        <v>461</v>
      </c>
      <c r="F441" s="16">
        <v>28.171811</v>
      </c>
      <c r="G441" s="16">
        <v>-82.84976</v>
      </c>
      <c r="H441" s="16">
        <v>28.21298</v>
      </c>
      <c r="I441" s="17">
        <v>-82.844863</v>
      </c>
      <c r="J441" s="15" t="s">
        <v>1857</v>
      </c>
      <c r="K441" s="15" t="s">
        <v>1852</v>
      </c>
      <c r="M441" s="32"/>
      <c r="N441" s="32"/>
      <c r="P441" s="15" t="s">
        <v>2244</v>
      </c>
    </row>
    <row r="442" ht="33.75" customHeight="1">
      <c r="A442" s="24">
        <v>42041.0</v>
      </c>
      <c r="B442" s="18" t="s">
        <v>1860</v>
      </c>
      <c r="C442" s="18" t="s">
        <v>1861</v>
      </c>
      <c r="D442" s="15" t="s">
        <v>1867</v>
      </c>
      <c r="E442" s="18" t="s">
        <v>461</v>
      </c>
      <c r="F442" s="16">
        <v>28.1726</v>
      </c>
      <c r="G442" s="16">
        <v>-82.7873</v>
      </c>
      <c r="H442" s="16">
        <v>28.363</v>
      </c>
      <c r="I442" s="17">
        <v>-82.7114</v>
      </c>
      <c r="J442" s="15" t="s">
        <v>1863</v>
      </c>
      <c r="K442" s="15" t="s">
        <v>1864</v>
      </c>
      <c r="L442" s="15">
        <v>1.0</v>
      </c>
      <c r="M442" s="17">
        <v>28.1726</v>
      </c>
      <c r="N442" s="17">
        <v>-82.7873</v>
      </c>
      <c r="O442" s="15" t="s">
        <v>2245</v>
      </c>
    </row>
    <row r="443" ht="33.75" customHeight="1">
      <c r="A443" s="24">
        <v>42041.0</v>
      </c>
      <c r="B443" s="18" t="s">
        <v>1860</v>
      </c>
      <c r="C443" s="18" t="s">
        <v>1861</v>
      </c>
      <c r="D443" s="15" t="s">
        <v>1867</v>
      </c>
      <c r="E443" s="18" t="s">
        <v>461</v>
      </c>
      <c r="F443" s="16">
        <v>28.1726</v>
      </c>
      <c r="G443" s="16">
        <v>-82.7873</v>
      </c>
      <c r="H443" s="16">
        <v>28.363</v>
      </c>
      <c r="I443" s="17">
        <v>-82.7114</v>
      </c>
      <c r="J443" s="15" t="s">
        <v>1863</v>
      </c>
      <c r="K443" s="15" t="s">
        <v>1864</v>
      </c>
      <c r="L443" s="15">
        <v>2.0</v>
      </c>
      <c r="M443" s="17">
        <v>28.1932</v>
      </c>
      <c r="N443" s="17">
        <v>-82.7883</v>
      </c>
      <c r="O443" s="15" t="s">
        <v>2246</v>
      </c>
    </row>
    <row r="444" ht="33.75" customHeight="1">
      <c r="A444" s="24">
        <v>42041.0</v>
      </c>
      <c r="B444" s="18" t="s">
        <v>1860</v>
      </c>
      <c r="C444" s="18" t="s">
        <v>1861</v>
      </c>
      <c r="D444" s="15" t="s">
        <v>1867</v>
      </c>
      <c r="E444" s="18" t="s">
        <v>461</v>
      </c>
      <c r="F444" s="16">
        <v>28.1726</v>
      </c>
      <c r="G444" s="16">
        <v>-82.7873</v>
      </c>
      <c r="H444" s="16">
        <v>28.363</v>
      </c>
      <c r="I444" s="17">
        <v>-82.7114</v>
      </c>
      <c r="J444" s="15" t="s">
        <v>1863</v>
      </c>
      <c r="K444" s="15" t="s">
        <v>1864</v>
      </c>
      <c r="L444" s="15">
        <v>3.0</v>
      </c>
      <c r="M444" s="17">
        <v>28.2103</v>
      </c>
      <c r="N444" s="17">
        <v>-82.7725</v>
      </c>
      <c r="O444" s="15" t="s">
        <v>2247</v>
      </c>
    </row>
    <row r="445" ht="33.75" customHeight="1">
      <c r="A445" s="24">
        <v>42041.0</v>
      </c>
      <c r="B445" s="18" t="s">
        <v>1860</v>
      </c>
      <c r="C445" s="18" t="s">
        <v>1861</v>
      </c>
      <c r="D445" s="15" t="s">
        <v>1867</v>
      </c>
      <c r="E445" s="18" t="s">
        <v>461</v>
      </c>
      <c r="F445" s="16">
        <v>28.1726</v>
      </c>
      <c r="G445" s="16">
        <v>-82.7873</v>
      </c>
      <c r="H445" s="16">
        <v>28.363</v>
      </c>
      <c r="I445" s="17">
        <v>-82.7114</v>
      </c>
      <c r="J445" s="15" t="s">
        <v>1863</v>
      </c>
      <c r="K445" s="15" t="s">
        <v>1864</v>
      </c>
      <c r="L445" s="15">
        <v>4.0</v>
      </c>
      <c r="M445" s="17">
        <v>28.2205</v>
      </c>
      <c r="N445" s="17">
        <v>-82.7663</v>
      </c>
      <c r="O445" s="15" t="s">
        <v>2249</v>
      </c>
    </row>
    <row r="446" ht="33.75" customHeight="1">
      <c r="A446" s="24">
        <v>42041.0</v>
      </c>
      <c r="B446" s="18" t="s">
        <v>1860</v>
      </c>
      <c r="C446" s="18" t="s">
        <v>1861</v>
      </c>
      <c r="D446" s="15" t="s">
        <v>1867</v>
      </c>
      <c r="E446" s="18" t="s">
        <v>461</v>
      </c>
      <c r="F446" s="16">
        <v>28.1726</v>
      </c>
      <c r="G446" s="16">
        <v>-82.7873</v>
      </c>
      <c r="H446" s="16">
        <v>28.363</v>
      </c>
      <c r="I446" s="17">
        <v>-82.7114</v>
      </c>
      <c r="J446" s="15" t="s">
        <v>1863</v>
      </c>
      <c r="K446" s="15" t="s">
        <v>1864</v>
      </c>
      <c r="L446" s="15">
        <v>5.0</v>
      </c>
      <c r="M446" s="17">
        <v>28.2284</v>
      </c>
      <c r="N446" s="17">
        <v>-82.7522</v>
      </c>
      <c r="O446" s="15" t="s">
        <v>2252</v>
      </c>
    </row>
    <row r="447" ht="33.75" customHeight="1">
      <c r="A447" s="24">
        <v>42041.0</v>
      </c>
      <c r="B447" s="18" t="s">
        <v>1860</v>
      </c>
      <c r="C447" s="18" t="s">
        <v>1861</v>
      </c>
      <c r="D447" s="15" t="s">
        <v>1867</v>
      </c>
      <c r="E447" s="18" t="s">
        <v>461</v>
      </c>
      <c r="F447" s="16">
        <v>28.1726</v>
      </c>
      <c r="G447" s="16">
        <v>-82.7873</v>
      </c>
      <c r="H447" s="16">
        <v>28.363</v>
      </c>
      <c r="I447" s="17">
        <v>-82.7114</v>
      </c>
      <c r="J447" s="15" t="s">
        <v>1863</v>
      </c>
      <c r="K447" s="15" t="s">
        <v>1864</v>
      </c>
      <c r="L447" s="15">
        <v>6.0</v>
      </c>
      <c r="M447" s="17">
        <v>28.2388</v>
      </c>
      <c r="N447" s="17">
        <v>-82.7647</v>
      </c>
      <c r="O447" s="15" t="s">
        <v>2254</v>
      </c>
    </row>
    <row r="448" ht="33.75" customHeight="1">
      <c r="A448" s="24">
        <v>42041.0</v>
      </c>
      <c r="B448" s="18" t="s">
        <v>1860</v>
      </c>
      <c r="C448" s="18" t="s">
        <v>1861</v>
      </c>
      <c r="D448" s="15" t="s">
        <v>1867</v>
      </c>
      <c r="E448" s="18" t="s">
        <v>461</v>
      </c>
      <c r="F448" s="16">
        <v>28.1726</v>
      </c>
      <c r="G448" s="16">
        <v>-82.7873</v>
      </c>
      <c r="H448" s="16">
        <v>28.363</v>
      </c>
      <c r="I448" s="17">
        <v>-82.7114</v>
      </c>
      <c r="J448" s="15" t="s">
        <v>1863</v>
      </c>
      <c r="K448" s="15" t="s">
        <v>1864</v>
      </c>
      <c r="L448" s="15">
        <v>7.0</v>
      </c>
      <c r="M448" s="17">
        <v>28.2444</v>
      </c>
      <c r="N448" s="17">
        <v>-82.7743</v>
      </c>
      <c r="O448" s="15" t="s">
        <v>2256</v>
      </c>
    </row>
    <row r="449" ht="33.75" customHeight="1">
      <c r="A449" s="24">
        <v>42041.0</v>
      </c>
      <c r="B449" s="18" t="s">
        <v>1860</v>
      </c>
      <c r="C449" s="18" t="s">
        <v>1861</v>
      </c>
      <c r="D449" s="15" t="s">
        <v>1867</v>
      </c>
      <c r="E449" s="18" t="s">
        <v>461</v>
      </c>
      <c r="F449" s="16">
        <v>28.1726</v>
      </c>
      <c r="G449" s="16">
        <v>-82.7873</v>
      </c>
      <c r="H449" s="16">
        <v>28.363</v>
      </c>
      <c r="I449" s="17">
        <v>-82.7114</v>
      </c>
      <c r="J449" s="15" t="s">
        <v>1863</v>
      </c>
      <c r="K449" s="15" t="s">
        <v>1864</v>
      </c>
      <c r="L449" s="15">
        <v>8.0</v>
      </c>
      <c r="M449" s="17">
        <v>28.254</v>
      </c>
      <c r="N449" s="17">
        <v>-82.7428</v>
      </c>
      <c r="O449" s="15" t="s">
        <v>2260</v>
      </c>
    </row>
    <row r="450" ht="33.75" customHeight="1">
      <c r="A450" s="24">
        <v>42041.0</v>
      </c>
      <c r="B450" s="18" t="s">
        <v>1860</v>
      </c>
      <c r="C450" s="18" t="s">
        <v>1861</v>
      </c>
      <c r="D450" s="15" t="s">
        <v>1867</v>
      </c>
      <c r="E450" s="18" t="s">
        <v>461</v>
      </c>
      <c r="F450" s="16">
        <v>28.1726</v>
      </c>
      <c r="G450" s="16">
        <v>-82.7873</v>
      </c>
      <c r="H450" s="16">
        <v>28.363</v>
      </c>
      <c r="I450" s="17">
        <v>-82.7114</v>
      </c>
      <c r="J450" s="15" t="s">
        <v>1863</v>
      </c>
      <c r="K450" s="15" t="s">
        <v>1864</v>
      </c>
      <c r="L450" s="15">
        <v>9.0</v>
      </c>
      <c r="M450" s="17">
        <v>28.2734</v>
      </c>
      <c r="N450" s="17">
        <v>-82.7287</v>
      </c>
      <c r="O450" s="15" t="s">
        <v>2263</v>
      </c>
    </row>
    <row r="451" ht="33.75" customHeight="1">
      <c r="A451" s="24">
        <v>42041.0</v>
      </c>
      <c r="B451" s="18" t="s">
        <v>1860</v>
      </c>
      <c r="C451" s="18" t="s">
        <v>1861</v>
      </c>
      <c r="D451" s="15" t="s">
        <v>1867</v>
      </c>
      <c r="E451" s="18" t="s">
        <v>461</v>
      </c>
      <c r="F451" s="16">
        <v>28.1726</v>
      </c>
      <c r="G451" s="16">
        <v>-82.7873</v>
      </c>
      <c r="H451" s="16">
        <v>28.363</v>
      </c>
      <c r="I451" s="17">
        <v>-82.7114</v>
      </c>
      <c r="J451" s="15" t="s">
        <v>1863</v>
      </c>
      <c r="K451" s="15" t="s">
        <v>1864</v>
      </c>
      <c r="L451" s="15">
        <v>10.0</v>
      </c>
      <c r="M451" s="17">
        <v>28.2853</v>
      </c>
      <c r="N451" s="17">
        <v>-82.7337</v>
      </c>
      <c r="O451" s="15" t="s">
        <v>2268</v>
      </c>
    </row>
    <row r="452" ht="33.75" customHeight="1">
      <c r="A452" s="24">
        <v>42041.0</v>
      </c>
      <c r="B452" s="18" t="s">
        <v>1860</v>
      </c>
      <c r="C452" s="18" t="s">
        <v>1861</v>
      </c>
      <c r="D452" s="15" t="s">
        <v>1867</v>
      </c>
      <c r="E452" s="18" t="s">
        <v>461</v>
      </c>
      <c r="F452" s="16">
        <v>28.1726</v>
      </c>
      <c r="G452" s="16">
        <v>-82.7873</v>
      </c>
      <c r="H452" s="16">
        <v>28.363</v>
      </c>
      <c r="I452" s="17">
        <v>-82.7114</v>
      </c>
      <c r="J452" s="15" t="s">
        <v>1863</v>
      </c>
      <c r="K452" s="15" t="s">
        <v>1864</v>
      </c>
      <c r="L452" s="15">
        <v>11.0</v>
      </c>
      <c r="M452" s="17">
        <v>28.3528</v>
      </c>
      <c r="N452" s="17">
        <v>-82.7119</v>
      </c>
      <c r="O452" s="15" t="s">
        <v>2270</v>
      </c>
    </row>
    <row r="453" ht="33.75" customHeight="1">
      <c r="A453" s="24">
        <v>42041.0</v>
      </c>
      <c r="B453" s="18" t="s">
        <v>1860</v>
      </c>
      <c r="C453" s="18" t="s">
        <v>1861</v>
      </c>
      <c r="D453" s="15" t="s">
        <v>1867</v>
      </c>
      <c r="E453" s="18" t="s">
        <v>461</v>
      </c>
      <c r="F453" s="16">
        <v>28.1726</v>
      </c>
      <c r="G453" s="16">
        <v>-82.7873</v>
      </c>
      <c r="H453" s="16">
        <v>28.363</v>
      </c>
      <c r="I453" s="17">
        <v>-82.7114</v>
      </c>
      <c r="J453" s="15" t="s">
        <v>1863</v>
      </c>
      <c r="K453" s="15" t="s">
        <v>1864</v>
      </c>
      <c r="L453" s="15">
        <v>12.0</v>
      </c>
      <c r="M453" s="17">
        <v>28.363</v>
      </c>
      <c r="N453" s="17">
        <v>-82.7114</v>
      </c>
      <c r="O453" s="15" t="s">
        <v>2271</v>
      </c>
    </row>
    <row r="454" ht="33.75" customHeight="1">
      <c r="A454" s="24">
        <v>42041.0</v>
      </c>
      <c r="B454" s="18" t="s">
        <v>1873</v>
      </c>
      <c r="C454" s="18" t="s">
        <v>144</v>
      </c>
      <c r="D454" s="18" t="s">
        <v>145</v>
      </c>
      <c r="E454" s="18" t="s">
        <v>146</v>
      </c>
      <c r="F454" s="17">
        <v>28.13167</v>
      </c>
      <c r="G454" s="16">
        <v>-82.82801</v>
      </c>
      <c r="H454" s="16">
        <v>28.11249</v>
      </c>
      <c r="I454" s="16">
        <v>-82.83855</v>
      </c>
      <c r="J454" s="15" t="s">
        <v>719</v>
      </c>
      <c r="K454" s="15" t="s">
        <v>2273</v>
      </c>
      <c r="L454" s="15">
        <v>1.0</v>
      </c>
      <c r="M454" s="17">
        <v>28.13167</v>
      </c>
      <c r="N454" s="16">
        <v>-82.82801</v>
      </c>
      <c r="O454" s="15" t="s">
        <v>2277</v>
      </c>
      <c r="P454" s="15" t="s">
        <v>2278</v>
      </c>
    </row>
    <row r="455" ht="33.75" customHeight="1">
      <c r="A455" s="24">
        <v>42041.0</v>
      </c>
      <c r="B455" s="18" t="s">
        <v>1873</v>
      </c>
      <c r="C455" s="18" t="s">
        <v>144</v>
      </c>
      <c r="D455" s="18" t="s">
        <v>145</v>
      </c>
      <c r="E455" s="18" t="s">
        <v>146</v>
      </c>
      <c r="F455" s="17">
        <v>28.13167</v>
      </c>
      <c r="G455" s="16">
        <v>-82.82801</v>
      </c>
      <c r="H455" s="16">
        <v>28.11249</v>
      </c>
      <c r="I455" s="16">
        <v>-82.83855</v>
      </c>
      <c r="J455" s="15" t="s">
        <v>719</v>
      </c>
      <c r="K455" s="15" t="s">
        <v>2273</v>
      </c>
      <c r="L455" s="15">
        <v>2.0</v>
      </c>
      <c r="M455" s="17">
        <v>28.1309</v>
      </c>
      <c r="N455" s="17">
        <v>-82.82928</v>
      </c>
      <c r="O455" s="15" t="s">
        <v>1470</v>
      </c>
    </row>
    <row r="456" ht="33.75" customHeight="1">
      <c r="A456" s="24">
        <v>42041.0</v>
      </c>
      <c r="B456" s="18" t="s">
        <v>1873</v>
      </c>
      <c r="C456" s="18" t="s">
        <v>144</v>
      </c>
      <c r="D456" s="18" t="s">
        <v>145</v>
      </c>
      <c r="E456" s="18" t="s">
        <v>146</v>
      </c>
      <c r="F456" s="17">
        <v>28.13167</v>
      </c>
      <c r="G456" s="16">
        <v>-82.82801</v>
      </c>
      <c r="H456" s="16">
        <v>28.11249</v>
      </c>
      <c r="I456" s="16">
        <v>-82.83855</v>
      </c>
      <c r="J456" s="15" t="s">
        <v>719</v>
      </c>
      <c r="K456" s="15" t="s">
        <v>2273</v>
      </c>
      <c r="L456" s="15">
        <v>3.0</v>
      </c>
      <c r="M456" s="17">
        <v>28.13042</v>
      </c>
      <c r="N456" s="17">
        <v>-82.83038</v>
      </c>
      <c r="O456" s="15" t="s">
        <v>2286</v>
      </c>
    </row>
    <row r="457" ht="33.75" customHeight="1">
      <c r="A457" s="24">
        <v>42041.0</v>
      </c>
      <c r="B457" s="18" t="s">
        <v>1873</v>
      </c>
      <c r="C457" s="18" t="s">
        <v>144</v>
      </c>
      <c r="D457" s="18" t="s">
        <v>145</v>
      </c>
      <c r="E457" s="18" t="s">
        <v>146</v>
      </c>
      <c r="F457" s="17">
        <v>28.13167</v>
      </c>
      <c r="G457" s="16">
        <v>-82.82801</v>
      </c>
      <c r="H457" s="16">
        <v>28.11249</v>
      </c>
      <c r="I457" s="16">
        <v>-82.83855</v>
      </c>
      <c r="J457" s="15" t="s">
        <v>719</v>
      </c>
      <c r="K457" s="15" t="s">
        <v>2273</v>
      </c>
      <c r="L457" s="15">
        <v>4.0</v>
      </c>
      <c r="M457" s="17">
        <v>28.12978</v>
      </c>
      <c r="N457" s="17">
        <v>-82.83185</v>
      </c>
      <c r="O457" s="15" t="s">
        <v>2287</v>
      </c>
    </row>
    <row r="458" ht="33.75" customHeight="1">
      <c r="A458" s="24">
        <v>42041.0</v>
      </c>
      <c r="B458" s="18" t="s">
        <v>1873</v>
      </c>
      <c r="C458" s="18" t="s">
        <v>144</v>
      </c>
      <c r="D458" s="18" t="s">
        <v>145</v>
      </c>
      <c r="E458" s="18" t="s">
        <v>146</v>
      </c>
      <c r="F458" s="17">
        <v>28.13167</v>
      </c>
      <c r="G458" s="16">
        <v>-82.82801</v>
      </c>
      <c r="H458" s="16">
        <v>28.11249</v>
      </c>
      <c r="I458" s="16">
        <v>-82.83855</v>
      </c>
      <c r="J458" s="15" t="s">
        <v>719</v>
      </c>
      <c r="K458" s="15" t="s">
        <v>2273</v>
      </c>
      <c r="L458" s="15">
        <v>5.0</v>
      </c>
      <c r="M458" s="17">
        <v>28.12857</v>
      </c>
      <c r="N458" s="17">
        <v>-82.83378</v>
      </c>
      <c r="O458" s="15" t="s">
        <v>1470</v>
      </c>
    </row>
    <row r="459" ht="33.75" customHeight="1">
      <c r="A459" s="24">
        <v>42041.0</v>
      </c>
      <c r="B459" s="18" t="s">
        <v>1873</v>
      </c>
      <c r="C459" s="18" t="s">
        <v>144</v>
      </c>
      <c r="D459" s="18" t="s">
        <v>145</v>
      </c>
      <c r="E459" s="18" t="s">
        <v>146</v>
      </c>
      <c r="F459" s="17">
        <v>28.13167</v>
      </c>
      <c r="G459" s="16">
        <v>-82.82801</v>
      </c>
      <c r="H459" s="16">
        <v>28.11249</v>
      </c>
      <c r="I459" s="16">
        <v>-82.83855</v>
      </c>
      <c r="J459" s="15" t="s">
        <v>719</v>
      </c>
      <c r="K459" s="15" t="s">
        <v>2273</v>
      </c>
      <c r="L459" s="15">
        <v>6.0</v>
      </c>
      <c r="M459" s="17">
        <v>28.12717</v>
      </c>
      <c r="N459" s="17">
        <v>-82.83511</v>
      </c>
      <c r="O459" s="15" t="s">
        <v>2289</v>
      </c>
      <c r="P459" s="15" t="s">
        <v>2290</v>
      </c>
    </row>
    <row r="460" ht="33.75" customHeight="1">
      <c r="A460" s="24">
        <v>42041.0</v>
      </c>
      <c r="B460" s="18" t="s">
        <v>1873</v>
      </c>
      <c r="C460" s="18" t="s">
        <v>144</v>
      </c>
      <c r="D460" s="18" t="s">
        <v>145</v>
      </c>
      <c r="E460" s="18" t="s">
        <v>146</v>
      </c>
      <c r="F460" s="17">
        <v>28.13167</v>
      </c>
      <c r="G460" s="16">
        <v>-82.82801</v>
      </c>
      <c r="H460" s="16">
        <v>28.11249</v>
      </c>
      <c r="I460" s="16">
        <v>-82.83855</v>
      </c>
      <c r="J460" s="15" t="s">
        <v>719</v>
      </c>
      <c r="K460" s="15" t="s">
        <v>2273</v>
      </c>
      <c r="L460" s="15">
        <v>7.0</v>
      </c>
      <c r="M460" s="17">
        <v>28.1259</v>
      </c>
      <c r="N460" s="17">
        <v>-82.83642</v>
      </c>
      <c r="O460" s="15" t="s">
        <v>2297</v>
      </c>
      <c r="P460" s="15" t="s">
        <v>2298</v>
      </c>
    </row>
    <row r="461" ht="33.75" customHeight="1">
      <c r="A461" s="24">
        <v>42041.0</v>
      </c>
      <c r="B461" s="18" t="s">
        <v>1873</v>
      </c>
      <c r="C461" s="18" t="s">
        <v>144</v>
      </c>
      <c r="D461" s="18" t="s">
        <v>145</v>
      </c>
      <c r="E461" s="18" t="s">
        <v>146</v>
      </c>
      <c r="F461" s="17">
        <v>28.13167</v>
      </c>
      <c r="G461" s="16">
        <v>-82.82801</v>
      </c>
      <c r="H461" s="16">
        <v>28.11249</v>
      </c>
      <c r="I461" s="16">
        <v>-82.83855</v>
      </c>
      <c r="J461" s="15" t="s">
        <v>719</v>
      </c>
      <c r="K461" s="15" t="s">
        <v>2273</v>
      </c>
      <c r="L461" s="15">
        <v>8.0</v>
      </c>
      <c r="M461" s="17">
        <v>28.12521</v>
      </c>
      <c r="N461" s="17">
        <v>-82.83672</v>
      </c>
      <c r="O461" s="15" t="s">
        <v>2297</v>
      </c>
    </row>
    <row r="462" ht="33.75" customHeight="1">
      <c r="A462" s="24">
        <v>42041.0</v>
      </c>
      <c r="B462" s="18" t="s">
        <v>1873</v>
      </c>
      <c r="C462" s="18" t="s">
        <v>144</v>
      </c>
      <c r="D462" s="18" t="s">
        <v>145</v>
      </c>
      <c r="E462" s="18" t="s">
        <v>146</v>
      </c>
      <c r="F462" s="17">
        <v>28.13167</v>
      </c>
      <c r="G462" s="16">
        <v>-82.82801</v>
      </c>
      <c r="H462" s="16">
        <v>28.11249</v>
      </c>
      <c r="I462" s="16">
        <v>-82.83855</v>
      </c>
      <c r="J462" s="15" t="s">
        <v>719</v>
      </c>
      <c r="K462" s="15" t="s">
        <v>2273</v>
      </c>
      <c r="L462" s="15">
        <v>9.0</v>
      </c>
      <c r="M462" s="17">
        <v>28.11836</v>
      </c>
      <c r="N462" s="17">
        <v>-82.83859</v>
      </c>
      <c r="O462" s="15" t="s">
        <v>2299</v>
      </c>
      <c r="P462" s="15" t="s">
        <v>2300</v>
      </c>
    </row>
    <row r="463" ht="33.75" customHeight="1">
      <c r="A463" s="24">
        <v>42041.0</v>
      </c>
      <c r="B463" s="18" t="s">
        <v>1873</v>
      </c>
      <c r="C463" s="18" t="s">
        <v>144</v>
      </c>
      <c r="D463" s="18" t="s">
        <v>145</v>
      </c>
      <c r="E463" s="18" t="s">
        <v>146</v>
      </c>
      <c r="F463" s="17">
        <v>28.13167</v>
      </c>
      <c r="G463" s="16">
        <v>-82.82801</v>
      </c>
      <c r="H463" s="16">
        <v>28.11249</v>
      </c>
      <c r="I463" s="16">
        <v>-82.83855</v>
      </c>
      <c r="J463" s="15" t="s">
        <v>719</v>
      </c>
      <c r="K463" s="15" t="s">
        <v>2273</v>
      </c>
      <c r="L463" s="15">
        <v>10.0</v>
      </c>
      <c r="M463" s="17">
        <v>28.11738</v>
      </c>
      <c r="N463" s="17">
        <v>-82.83867</v>
      </c>
      <c r="O463" s="15" t="s">
        <v>2299</v>
      </c>
      <c r="P463" s="15" t="s">
        <v>2300</v>
      </c>
    </row>
    <row r="464" ht="33.75" customHeight="1">
      <c r="A464" s="24">
        <v>42041.0</v>
      </c>
      <c r="B464" s="18" t="s">
        <v>1873</v>
      </c>
      <c r="C464" s="18" t="s">
        <v>144</v>
      </c>
      <c r="D464" s="18" t="s">
        <v>145</v>
      </c>
      <c r="E464" s="18" t="s">
        <v>146</v>
      </c>
      <c r="F464" s="17">
        <v>28.13167</v>
      </c>
      <c r="G464" s="16">
        <v>-82.82801</v>
      </c>
      <c r="H464" s="16">
        <v>28.11249</v>
      </c>
      <c r="I464" s="16">
        <v>-82.83855</v>
      </c>
      <c r="J464" s="15" t="s">
        <v>719</v>
      </c>
      <c r="K464" s="15" t="s">
        <v>2273</v>
      </c>
      <c r="L464" s="15">
        <v>11.0</v>
      </c>
      <c r="M464" s="17">
        <v>28.11574</v>
      </c>
      <c r="N464" s="17">
        <v>-82.83868</v>
      </c>
      <c r="O464" s="15" t="s">
        <v>2299</v>
      </c>
      <c r="P464" s="15" t="s">
        <v>2300</v>
      </c>
    </row>
    <row r="465" ht="33.75" customHeight="1">
      <c r="A465" s="24">
        <v>42041.0</v>
      </c>
      <c r="B465" s="18" t="s">
        <v>1873</v>
      </c>
      <c r="C465" s="18" t="s">
        <v>144</v>
      </c>
      <c r="D465" s="18" t="s">
        <v>145</v>
      </c>
      <c r="E465" s="18" t="s">
        <v>146</v>
      </c>
      <c r="F465" s="17">
        <v>28.13167</v>
      </c>
      <c r="G465" s="16">
        <v>-82.82801</v>
      </c>
      <c r="H465" s="16">
        <v>28.11249</v>
      </c>
      <c r="I465" s="16">
        <v>-82.83855</v>
      </c>
      <c r="J465" s="15" t="s">
        <v>719</v>
      </c>
      <c r="K465" s="15" t="s">
        <v>2273</v>
      </c>
      <c r="L465" s="15">
        <v>12.0</v>
      </c>
      <c r="M465" s="17">
        <v>28.11453</v>
      </c>
      <c r="N465" s="17">
        <v>-82.83853</v>
      </c>
      <c r="O465" s="15" t="s">
        <v>2286</v>
      </c>
    </row>
    <row r="466" ht="33.75" customHeight="1">
      <c r="A466" s="24">
        <v>42041.0</v>
      </c>
      <c r="B466" s="18" t="s">
        <v>1881</v>
      </c>
      <c r="C466" s="18" t="s">
        <v>1883</v>
      </c>
      <c r="D466" s="18" t="s">
        <v>1884</v>
      </c>
      <c r="E466" s="18" t="s">
        <v>146</v>
      </c>
      <c r="F466" s="16">
        <v>28.055813</v>
      </c>
      <c r="G466" s="16">
        <v>-82.51552</v>
      </c>
      <c r="H466" s="16">
        <v>28.063237</v>
      </c>
      <c r="I466" s="17">
        <v>-82.831897</v>
      </c>
      <c r="J466" s="15" t="s">
        <v>1885</v>
      </c>
      <c r="K466" s="15" t="s">
        <v>1852</v>
      </c>
      <c r="M466" s="32"/>
      <c r="N466" s="32"/>
      <c r="O466" s="15" t="s">
        <v>1696</v>
      </c>
      <c r="P466" s="15" t="s">
        <v>2303</v>
      </c>
    </row>
    <row r="467" ht="33.75" customHeight="1">
      <c r="A467" s="24">
        <v>42041.0</v>
      </c>
      <c r="B467" s="18" t="s">
        <v>1881</v>
      </c>
      <c r="C467" s="18" t="s">
        <v>1883</v>
      </c>
      <c r="D467" s="18" t="s">
        <v>1887</v>
      </c>
      <c r="E467" s="18" t="s">
        <v>146</v>
      </c>
      <c r="F467" s="16">
        <v>28.06578</v>
      </c>
      <c r="G467" s="16">
        <v>-82.83342</v>
      </c>
      <c r="H467" s="16">
        <v>28.093816</v>
      </c>
      <c r="I467" s="17">
        <v>-82.833689</v>
      </c>
      <c r="J467" s="15" t="s">
        <v>1888</v>
      </c>
      <c r="K467" s="15" t="s">
        <v>1852</v>
      </c>
      <c r="L467" s="15">
        <v>1.0</v>
      </c>
      <c r="M467" s="17">
        <v>28.094143</v>
      </c>
      <c r="N467" s="17">
        <v>-82.8337</v>
      </c>
      <c r="O467" s="15" t="s">
        <v>2305</v>
      </c>
      <c r="P467" s="15" t="s">
        <v>2306</v>
      </c>
    </row>
    <row r="468" ht="33.75" customHeight="1">
      <c r="A468" s="24">
        <v>42042.0</v>
      </c>
      <c r="B468" s="18" t="s">
        <v>1924</v>
      </c>
      <c r="C468" s="18" t="s">
        <v>1925</v>
      </c>
      <c r="D468" s="18" t="s">
        <v>1926</v>
      </c>
      <c r="E468" s="18" t="s">
        <v>146</v>
      </c>
      <c r="F468" s="16">
        <v>27.873586</v>
      </c>
      <c r="G468" s="16">
        <v>-82.601631</v>
      </c>
      <c r="H468" s="16">
        <v>27.873586</v>
      </c>
      <c r="I468" s="17">
        <v>-82.601631</v>
      </c>
      <c r="J468" s="15" t="s">
        <v>1929</v>
      </c>
      <c r="K468" s="15" t="s">
        <v>1931</v>
      </c>
      <c r="L468" s="15">
        <v>1.0</v>
      </c>
      <c r="M468" s="17">
        <v>27.876766</v>
      </c>
      <c r="N468" s="17">
        <v>-82.591027</v>
      </c>
      <c r="O468" s="15" t="s">
        <v>2307</v>
      </c>
      <c r="P468" s="15" t="s">
        <v>2308</v>
      </c>
    </row>
    <row r="469" ht="33.75" customHeight="1">
      <c r="A469" s="24">
        <v>42042.0</v>
      </c>
      <c r="B469" s="18" t="s">
        <v>1924</v>
      </c>
      <c r="C469" s="18" t="s">
        <v>1925</v>
      </c>
      <c r="D469" s="18" t="s">
        <v>1926</v>
      </c>
      <c r="E469" s="18" t="s">
        <v>146</v>
      </c>
      <c r="F469" s="53">
        <v>27.871309</v>
      </c>
      <c r="G469" s="53">
        <v>-82.60927</v>
      </c>
      <c r="H469" s="54">
        <v>27.876714</v>
      </c>
      <c r="I469" s="53">
        <v>-82.589613</v>
      </c>
      <c r="J469" s="55" t="s">
        <v>2309</v>
      </c>
      <c r="K469" s="15" t="s">
        <v>1931</v>
      </c>
      <c r="L469" s="15">
        <v>2.0</v>
      </c>
      <c r="M469" s="17">
        <v>27.876766</v>
      </c>
      <c r="N469" s="17">
        <v>-82.591027</v>
      </c>
      <c r="O469" s="15" t="s">
        <v>1423</v>
      </c>
    </row>
    <row r="470" ht="33.75" customHeight="1">
      <c r="A470" s="24">
        <v>42042.0</v>
      </c>
      <c r="B470" s="18" t="s">
        <v>1924</v>
      </c>
      <c r="C470" s="18" t="s">
        <v>1925</v>
      </c>
      <c r="D470" s="18" t="s">
        <v>1926</v>
      </c>
      <c r="E470" s="18" t="s">
        <v>146</v>
      </c>
      <c r="F470" s="16">
        <v>27.873586</v>
      </c>
      <c r="G470" s="16">
        <v>-82.601631</v>
      </c>
      <c r="H470" s="16">
        <v>27.873586</v>
      </c>
      <c r="I470" s="17">
        <v>-82.601631</v>
      </c>
      <c r="J470" s="15" t="s">
        <v>1929</v>
      </c>
      <c r="K470" s="15" t="s">
        <v>1931</v>
      </c>
      <c r="L470" s="15">
        <v>3.0</v>
      </c>
      <c r="M470" s="17">
        <v>27.877174</v>
      </c>
      <c r="N470" s="17">
        <v>-82.593128</v>
      </c>
      <c r="O470" s="15" t="s">
        <v>1778</v>
      </c>
    </row>
    <row r="471" ht="33.75" customHeight="1">
      <c r="A471" s="24">
        <v>42041.0</v>
      </c>
      <c r="B471" s="18" t="s">
        <v>150</v>
      </c>
      <c r="C471" s="18" t="s">
        <v>151</v>
      </c>
      <c r="D471" s="18" t="s">
        <v>152</v>
      </c>
      <c r="E471" s="18" t="s">
        <v>146</v>
      </c>
      <c r="F471" s="16">
        <v>28.165892</v>
      </c>
      <c r="G471" s="16">
        <v>-82.840678</v>
      </c>
      <c r="H471" s="16">
        <v>28.171811</v>
      </c>
      <c r="I471" s="17">
        <v>-82.849757</v>
      </c>
      <c r="J471" s="15" t="s">
        <v>1893</v>
      </c>
      <c r="K471" s="15" t="s">
        <v>1852</v>
      </c>
      <c r="L471" s="15">
        <v>1.0</v>
      </c>
      <c r="M471" s="17">
        <v>28.16277</v>
      </c>
      <c r="N471" s="17">
        <v>-82.84496</v>
      </c>
      <c r="O471" s="15" t="s">
        <v>2311</v>
      </c>
      <c r="P471" s="15" t="s">
        <v>2312</v>
      </c>
    </row>
    <row r="472" ht="33.75" customHeight="1">
      <c r="A472" s="24">
        <v>42041.0</v>
      </c>
      <c r="B472" s="18" t="s">
        <v>150</v>
      </c>
      <c r="C472" s="18" t="s">
        <v>151</v>
      </c>
      <c r="D472" s="18" t="s">
        <v>152</v>
      </c>
      <c r="E472" s="18" t="s">
        <v>146</v>
      </c>
      <c r="F472" s="16">
        <v>28.165892</v>
      </c>
      <c r="G472" s="16">
        <v>-82.840678</v>
      </c>
      <c r="H472" s="16">
        <v>28.171811</v>
      </c>
      <c r="I472" s="17">
        <v>-82.849757</v>
      </c>
      <c r="J472" s="15" t="s">
        <v>1893</v>
      </c>
      <c r="K472" s="15" t="s">
        <v>1852</v>
      </c>
      <c r="L472" s="15">
        <v>2.0</v>
      </c>
      <c r="M472" s="17">
        <v>28.1597</v>
      </c>
      <c r="N472" s="17">
        <v>-82.84018</v>
      </c>
      <c r="O472" s="15" t="s">
        <v>2315</v>
      </c>
      <c r="P472" s="15" t="s">
        <v>1367</v>
      </c>
    </row>
    <row r="473" ht="33.75" customHeight="1">
      <c r="A473" s="24">
        <v>42041.0</v>
      </c>
      <c r="B473" s="18" t="s">
        <v>150</v>
      </c>
      <c r="C473" s="18" t="s">
        <v>151</v>
      </c>
      <c r="D473" s="18" t="s">
        <v>152</v>
      </c>
      <c r="E473" s="18" t="s">
        <v>146</v>
      </c>
      <c r="F473" s="16">
        <v>28.165892</v>
      </c>
      <c r="G473" s="16">
        <v>-82.840678</v>
      </c>
      <c r="H473" s="16">
        <v>28.171811</v>
      </c>
      <c r="I473" s="17">
        <v>-82.849757</v>
      </c>
      <c r="J473" s="15" t="s">
        <v>1893</v>
      </c>
      <c r="K473" s="15" t="s">
        <v>1852</v>
      </c>
      <c r="L473" s="15">
        <v>3.0</v>
      </c>
      <c r="M473" s="17">
        <v>28.15788</v>
      </c>
      <c r="N473" s="17">
        <v>-82.83826</v>
      </c>
      <c r="O473" s="15" t="s">
        <v>2316</v>
      </c>
    </row>
    <row r="474" ht="33.75" customHeight="1">
      <c r="A474" s="24">
        <v>42041.0</v>
      </c>
      <c r="B474" s="18" t="s">
        <v>150</v>
      </c>
      <c r="C474" s="18" t="s">
        <v>151</v>
      </c>
      <c r="D474" s="18" t="s">
        <v>152</v>
      </c>
      <c r="E474" s="18" t="s">
        <v>146</v>
      </c>
      <c r="F474" s="16">
        <v>28.165892</v>
      </c>
      <c r="G474" s="16">
        <v>-82.840678</v>
      </c>
      <c r="H474" s="16">
        <v>28.171811</v>
      </c>
      <c r="I474" s="17">
        <v>-82.849757</v>
      </c>
      <c r="J474" s="15" t="s">
        <v>1893</v>
      </c>
      <c r="K474" s="15" t="s">
        <v>1852</v>
      </c>
      <c r="L474" s="15">
        <v>4.0</v>
      </c>
      <c r="M474" s="17">
        <v>28.1593</v>
      </c>
      <c r="N474" s="17">
        <v>-82.8449</v>
      </c>
      <c r="O474" s="15" t="s">
        <v>2320</v>
      </c>
    </row>
    <row r="475" ht="33.75" customHeight="1">
      <c r="A475" s="24">
        <v>42041.0</v>
      </c>
      <c r="B475" s="18" t="s">
        <v>150</v>
      </c>
      <c r="C475" s="18" t="s">
        <v>151</v>
      </c>
      <c r="D475" s="18" t="s">
        <v>152</v>
      </c>
      <c r="E475" s="18" t="s">
        <v>146</v>
      </c>
      <c r="F475" s="16">
        <v>28.165892</v>
      </c>
      <c r="G475" s="16">
        <v>-82.840678</v>
      </c>
      <c r="H475" s="16">
        <v>28.171811</v>
      </c>
      <c r="I475" s="17">
        <v>-82.849757</v>
      </c>
      <c r="J475" s="15" t="s">
        <v>1893</v>
      </c>
      <c r="K475" s="15" t="s">
        <v>1852</v>
      </c>
      <c r="L475" s="15">
        <v>5.0</v>
      </c>
      <c r="M475" s="17">
        <v>28.16437</v>
      </c>
      <c r="N475" s="17">
        <v>-82.84264</v>
      </c>
      <c r="O475" s="15" t="s">
        <v>2323</v>
      </c>
    </row>
    <row r="476" ht="33.75" customHeight="1">
      <c r="A476" s="24">
        <v>42041.0</v>
      </c>
      <c r="B476" s="18" t="s">
        <v>150</v>
      </c>
      <c r="C476" s="18" t="s">
        <v>151</v>
      </c>
      <c r="D476" s="18" t="s">
        <v>152</v>
      </c>
      <c r="E476" s="18" t="s">
        <v>146</v>
      </c>
      <c r="F476" s="16">
        <v>28.165892</v>
      </c>
      <c r="G476" s="16">
        <v>-82.840678</v>
      </c>
      <c r="H476" s="16">
        <v>28.171811</v>
      </c>
      <c r="I476" s="17">
        <v>-82.849757</v>
      </c>
      <c r="J476" s="15" t="s">
        <v>1893</v>
      </c>
      <c r="K476" s="15" t="s">
        <v>1852</v>
      </c>
      <c r="L476" s="15">
        <v>6.0</v>
      </c>
      <c r="M476" s="17">
        <v>28.16609</v>
      </c>
      <c r="N476" s="17">
        <v>-82.84062</v>
      </c>
      <c r="O476" s="15" t="s">
        <v>2324</v>
      </c>
    </row>
    <row r="477" ht="33.75" customHeight="1">
      <c r="A477" s="24">
        <v>42042.0</v>
      </c>
      <c r="B477" s="18" t="s">
        <v>1938</v>
      </c>
      <c r="C477" s="18" t="s">
        <v>2325</v>
      </c>
      <c r="D477" s="18" t="s">
        <v>2326</v>
      </c>
      <c r="E477" s="18" t="s">
        <v>146</v>
      </c>
      <c r="F477" s="16">
        <v>27.541469</v>
      </c>
      <c r="G477" s="16">
        <v>82.505587</v>
      </c>
      <c r="H477" s="16">
        <v>27.521804</v>
      </c>
      <c r="I477" s="17">
        <v>82.510307</v>
      </c>
      <c r="J477" s="15" t="s">
        <v>2327</v>
      </c>
      <c r="K477" s="15" t="s">
        <v>2328</v>
      </c>
      <c r="M477" s="32"/>
      <c r="N477" s="32"/>
    </row>
    <row r="478" ht="33.75" customHeight="1">
      <c r="A478" s="24">
        <v>42042.0</v>
      </c>
      <c r="B478" s="18" t="s">
        <v>309</v>
      </c>
      <c r="C478" s="18" t="s">
        <v>2329</v>
      </c>
      <c r="D478" s="18" t="s">
        <v>1950</v>
      </c>
      <c r="E478" s="18" t="s">
        <v>146</v>
      </c>
      <c r="F478" s="16" t="s">
        <v>1951</v>
      </c>
      <c r="G478" s="16" t="s">
        <v>1952</v>
      </c>
      <c r="H478" s="16">
        <v>273856.03</v>
      </c>
      <c r="I478" s="17" t="s">
        <v>1954</v>
      </c>
      <c r="J478" s="15" t="s">
        <v>2333</v>
      </c>
      <c r="K478" s="15" t="s">
        <v>2335</v>
      </c>
      <c r="M478" s="32"/>
      <c r="N478" s="32"/>
      <c r="O478" s="15" t="s">
        <v>2337</v>
      </c>
    </row>
    <row r="479" ht="33.75" customHeight="1">
      <c r="A479" s="24">
        <v>42042.0</v>
      </c>
      <c r="B479" s="18" t="s">
        <v>309</v>
      </c>
      <c r="C479" s="18" t="s">
        <v>311</v>
      </c>
      <c r="D479" s="18" t="s">
        <v>313</v>
      </c>
      <c r="E479" s="18" t="s">
        <v>146</v>
      </c>
      <c r="F479" s="16" t="s">
        <v>1961</v>
      </c>
      <c r="G479" s="16" t="s">
        <v>1962</v>
      </c>
      <c r="H479" s="16" t="s">
        <v>1963</v>
      </c>
      <c r="I479" s="17" t="s">
        <v>1964</v>
      </c>
      <c r="J479" s="15" t="s">
        <v>1965</v>
      </c>
      <c r="K479" s="15" t="s">
        <v>2338</v>
      </c>
      <c r="L479" s="15">
        <v>13.0</v>
      </c>
      <c r="M479" s="17" t="s">
        <v>2339</v>
      </c>
      <c r="N479" s="17" t="s">
        <v>2339</v>
      </c>
      <c r="O479" s="15" t="s">
        <v>2340</v>
      </c>
      <c r="P479" s="15" t="s">
        <v>2341</v>
      </c>
    </row>
    <row r="480" ht="33.75" customHeight="1">
      <c r="A480" s="24">
        <v>42041.0</v>
      </c>
      <c r="B480" s="18" t="s">
        <v>631</v>
      </c>
      <c r="C480" s="18" t="s">
        <v>632</v>
      </c>
      <c r="D480" s="18" t="s">
        <v>2342</v>
      </c>
      <c r="E480" s="18" t="s">
        <v>146</v>
      </c>
      <c r="F480" s="16">
        <v>28.105</v>
      </c>
      <c r="G480" s="16">
        <v>-82.82809</v>
      </c>
      <c r="H480" s="16">
        <v>28.11198</v>
      </c>
      <c r="I480" s="17">
        <v>-82.8373</v>
      </c>
      <c r="J480" s="15" t="s">
        <v>2343</v>
      </c>
      <c r="K480" s="15" t="s">
        <v>2344</v>
      </c>
      <c r="L480" s="15">
        <v>2.0</v>
      </c>
      <c r="M480" s="17">
        <v>28.1075</v>
      </c>
      <c r="N480" s="17">
        <v>-82.8332</v>
      </c>
      <c r="O480" s="15" t="s">
        <v>2345</v>
      </c>
      <c r="P480" s="15" t="s">
        <v>1750</v>
      </c>
    </row>
    <row r="481" ht="33.75" customHeight="1">
      <c r="A481" s="24">
        <v>42041.0</v>
      </c>
      <c r="B481" s="18" t="s">
        <v>631</v>
      </c>
      <c r="C481" s="18" t="s">
        <v>632</v>
      </c>
      <c r="D481" s="18" t="s">
        <v>2342</v>
      </c>
      <c r="E481" s="18" t="s">
        <v>146</v>
      </c>
      <c r="F481" s="16">
        <v>28.105</v>
      </c>
      <c r="G481" s="16">
        <v>-82.82809</v>
      </c>
      <c r="H481" s="16">
        <v>28.11198</v>
      </c>
      <c r="I481" s="17">
        <v>-82.8373</v>
      </c>
      <c r="J481" s="15" t="s">
        <v>2343</v>
      </c>
      <c r="K481" s="15" t="s">
        <v>2344</v>
      </c>
      <c r="L481" s="15">
        <v>3.0</v>
      </c>
      <c r="M481" s="17">
        <v>28.11158</v>
      </c>
      <c r="N481" s="17">
        <v>-82.83702</v>
      </c>
      <c r="O481" s="15" t="s">
        <v>2346</v>
      </c>
      <c r="P481" s="15" t="s">
        <v>2347</v>
      </c>
    </row>
    <row r="482" ht="33.75" customHeight="1">
      <c r="A482" s="24">
        <v>42041.0</v>
      </c>
      <c r="B482" s="18" t="s">
        <v>631</v>
      </c>
      <c r="C482" s="18" t="s">
        <v>632</v>
      </c>
      <c r="D482" s="18" t="s">
        <v>2342</v>
      </c>
      <c r="E482" s="18" t="s">
        <v>146</v>
      </c>
      <c r="F482" s="16">
        <v>28.105</v>
      </c>
      <c r="G482" s="16">
        <v>-82.82809</v>
      </c>
      <c r="H482" s="16">
        <v>28.11198</v>
      </c>
      <c r="I482" s="17">
        <v>-82.8373</v>
      </c>
      <c r="J482" s="15" t="s">
        <v>2343</v>
      </c>
      <c r="K482" s="15" t="s">
        <v>2344</v>
      </c>
      <c r="L482" s="15">
        <v>1.0</v>
      </c>
      <c r="M482" s="17">
        <v>28.105</v>
      </c>
      <c r="N482" s="17">
        <v>-82.82809</v>
      </c>
      <c r="O482" s="15" t="s">
        <v>2351</v>
      </c>
    </row>
    <row r="483" ht="33.75" customHeight="1">
      <c r="A483" s="24">
        <v>42041.0</v>
      </c>
      <c r="B483" s="18" t="s">
        <v>631</v>
      </c>
      <c r="C483" s="18" t="s">
        <v>632</v>
      </c>
      <c r="D483" s="18" t="s">
        <v>2342</v>
      </c>
      <c r="E483" s="18" t="s">
        <v>146</v>
      </c>
      <c r="F483" s="16">
        <v>28.105</v>
      </c>
      <c r="G483" s="16">
        <v>-82.82809</v>
      </c>
      <c r="H483" s="16">
        <v>28.11198</v>
      </c>
      <c r="I483" s="17">
        <v>-82.8373</v>
      </c>
      <c r="J483" s="15" t="s">
        <v>2343</v>
      </c>
      <c r="K483" s="15" t="s">
        <v>2344</v>
      </c>
      <c r="L483" s="15">
        <v>4.0</v>
      </c>
      <c r="M483" s="17">
        <v>28.10602</v>
      </c>
      <c r="N483" s="17">
        <v>-82.83124</v>
      </c>
      <c r="O483" s="15" t="s">
        <v>2354</v>
      </c>
    </row>
    <row r="484" ht="33.75" customHeight="1">
      <c r="A484" s="24">
        <v>42041.0</v>
      </c>
      <c r="B484" s="18" t="s">
        <v>631</v>
      </c>
      <c r="C484" s="18" t="s">
        <v>632</v>
      </c>
      <c r="D484" s="18" t="s">
        <v>2342</v>
      </c>
      <c r="E484" s="18" t="s">
        <v>146</v>
      </c>
      <c r="F484" s="16">
        <v>28.105</v>
      </c>
      <c r="G484" s="16">
        <v>-82.82809</v>
      </c>
      <c r="H484" s="16">
        <v>28.11198</v>
      </c>
      <c r="I484" s="17">
        <v>-82.8373</v>
      </c>
      <c r="J484" s="15" t="s">
        <v>2343</v>
      </c>
      <c r="K484" s="15" t="s">
        <v>2344</v>
      </c>
      <c r="L484" s="15">
        <v>5.0</v>
      </c>
      <c r="M484" s="17">
        <v>28.10613</v>
      </c>
      <c r="N484" s="17">
        <v>-82.83335</v>
      </c>
      <c r="O484" s="15" t="s">
        <v>2355</v>
      </c>
      <c r="P484" s="15" t="s">
        <v>2356</v>
      </c>
    </row>
    <row r="485" ht="33.75" customHeight="1">
      <c r="A485" s="24">
        <v>42041.0</v>
      </c>
      <c r="B485" s="18" t="s">
        <v>631</v>
      </c>
      <c r="C485" s="18" t="s">
        <v>632</v>
      </c>
      <c r="D485" s="18" t="s">
        <v>2342</v>
      </c>
      <c r="E485" s="18" t="s">
        <v>146</v>
      </c>
      <c r="F485" s="16">
        <v>28.105</v>
      </c>
      <c r="G485" s="16">
        <v>82.82809</v>
      </c>
      <c r="H485" s="16">
        <v>28.11198</v>
      </c>
      <c r="I485" s="17">
        <v>82.8373</v>
      </c>
      <c r="J485" s="15" t="s">
        <v>2343</v>
      </c>
      <c r="K485" s="15" t="s">
        <v>2344</v>
      </c>
      <c r="L485" s="15">
        <v>6.0</v>
      </c>
      <c r="M485" s="17">
        <v>28.10598</v>
      </c>
      <c r="N485" s="17">
        <v>-82.83507</v>
      </c>
      <c r="O485" s="15" t="s">
        <v>2357</v>
      </c>
      <c r="P485" s="15" t="s">
        <v>2358</v>
      </c>
    </row>
    <row r="486" ht="33.75" customHeight="1">
      <c r="A486" s="24">
        <v>42041.0</v>
      </c>
      <c r="B486" s="18" t="s">
        <v>1898</v>
      </c>
      <c r="C486" s="18" t="s">
        <v>1899</v>
      </c>
      <c r="D486" s="18" t="s">
        <v>1901</v>
      </c>
      <c r="E486" s="18" t="s">
        <v>146</v>
      </c>
      <c r="F486" s="16">
        <v>28.05096</v>
      </c>
      <c r="G486" s="17">
        <v>82.81638</v>
      </c>
      <c r="H486" s="16">
        <v>28.05096</v>
      </c>
      <c r="I486" s="17">
        <v>82.81638</v>
      </c>
      <c r="J486" s="15" t="s">
        <v>2362</v>
      </c>
      <c r="K486" s="15" t="s">
        <v>2363</v>
      </c>
      <c r="L486" s="15" t="s">
        <v>2364</v>
      </c>
      <c r="M486" s="17">
        <v>28.05096</v>
      </c>
      <c r="N486" s="17">
        <v>82.81638</v>
      </c>
      <c r="O486" s="15" t="s">
        <v>2367</v>
      </c>
      <c r="P486" s="15" t="s">
        <v>2368</v>
      </c>
    </row>
    <row r="487" ht="33.75" customHeight="1">
      <c r="A487" s="24">
        <v>42044.0</v>
      </c>
      <c r="B487" s="18" t="s">
        <v>1998</v>
      </c>
      <c r="C487" s="18" t="s">
        <v>1999</v>
      </c>
      <c r="D487" s="18" t="s">
        <v>2000</v>
      </c>
      <c r="E487" s="18" t="s">
        <v>146</v>
      </c>
      <c r="F487" s="16">
        <v>27.96534</v>
      </c>
      <c r="G487" s="16">
        <v>-82.82021</v>
      </c>
      <c r="H487" s="16">
        <v>27.99799</v>
      </c>
      <c r="I487" s="17">
        <v>-82.82864</v>
      </c>
      <c r="J487" s="15" t="s">
        <v>2369</v>
      </c>
      <c r="K487" s="15" t="s">
        <v>2370</v>
      </c>
      <c r="L487" s="15">
        <v>1.0</v>
      </c>
      <c r="M487" s="17">
        <v>27.98799</v>
      </c>
      <c r="N487" s="17">
        <v>82.82859</v>
      </c>
      <c r="O487" s="15" t="s">
        <v>2371</v>
      </c>
    </row>
    <row r="488" ht="33.75" customHeight="1">
      <c r="A488" s="24">
        <v>42041.0</v>
      </c>
      <c r="B488" s="18" t="s">
        <v>143</v>
      </c>
      <c r="C488" s="15" t="s">
        <v>144</v>
      </c>
      <c r="D488" s="15" t="s">
        <v>1911</v>
      </c>
      <c r="E488" s="15" t="s">
        <v>146</v>
      </c>
      <c r="F488" s="15">
        <v>28.05053</v>
      </c>
      <c r="G488" s="15">
        <v>-82.78986</v>
      </c>
      <c r="H488" s="15">
        <v>28.05851</v>
      </c>
      <c r="I488" s="17">
        <v>-82.81018</v>
      </c>
      <c r="J488" s="15" t="s">
        <v>1912</v>
      </c>
      <c r="K488" s="15" t="s">
        <v>1913</v>
      </c>
      <c r="L488" s="15">
        <v>1.0</v>
      </c>
      <c r="M488" s="17">
        <v>28.05016</v>
      </c>
      <c r="N488" s="17">
        <v>-82.8008</v>
      </c>
      <c r="O488" s="15" t="s">
        <v>2375</v>
      </c>
    </row>
    <row r="489" ht="33.75" customHeight="1">
      <c r="A489" s="24">
        <v>42041.0</v>
      </c>
      <c r="B489" s="18" t="s">
        <v>143</v>
      </c>
      <c r="C489" s="15" t="s">
        <v>144</v>
      </c>
      <c r="D489" s="15" t="s">
        <v>1911</v>
      </c>
      <c r="E489" s="15" t="s">
        <v>146</v>
      </c>
      <c r="F489" s="15">
        <v>28.05053</v>
      </c>
      <c r="G489" s="15">
        <v>-82.78986</v>
      </c>
      <c r="H489" s="15">
        <v>28.05851</v>
      </c>
      <c r="I489" s="17">
        <v>-82.81018</v>
      </c>
      <c r="J489" s="15" t="s">
        <v>1912</v>
      </c>
      <c r="K489" s="15" t="s">
        <v>1913</v>
      </c>
      <c r="L489" s="15">
        <v>2.0</v>
      </c>
      <c r="M489" s="17">
        <v>28.05035</v>
      </c>
      <c r="N489" s="17">
        <v>-82.8008</v>
      </c>
      <c r="O489" s="15" t="s">
        <v>2378</v>
      </c>
    </row>
    <row r="490" ht="33.75" customHeight="1">
      <c r="A490" s="24">
        <v>42045.0</v>
      </c>
      <c r="B490" s="18" t="s">
        <v>2039</v>
      </c>
      <c r="C490" s="18" t="s">
        <v>2041</v>
      </c>
      <c r="D490" s="18" t="s">
        <v>2381</v>
      </c>
      <c r="E490" s="18" t="s">
        <v>146</v>
      </c>
      <c r="F490" s="16">
        <v>27.781978</v>
      </c>
      <c r="G490" s="16">
        <v>-82.62519</v>
      </c>
      <c r="H490" s="16">
        <v>27.784835</v>
      </c>
      <c r="I490" s="17">
        <v>-82.624341</v>
      </c>
      <c r="J490" s="15" t="s">
        <v>2059</v>
      </c>
      <c r="K490" s="15" t="s">
        <v>2046</v>
      </c>
      <c r="L490" s="15">
        <v>1.0</v>
      </c>
      <c r="M490" s="16">
        <v>27.781978</v>
      </c>
      <c r="N490" s="16">
        <v>-82.62519</v>
      </c>
      <c r="O490" s="15" t="s">
        <v>2382</v>
      </c>
    </row>
    <row r="491" ht="33.75" customHeight="1">
      <c r="A491" s="24">
        <v>42045.0</v>
      </c>
      <c r="B491" s="18" t="s">
        <v>2039</v>
      </c>
      <c r="C491" s="18" t="s">
        <v>2041</v>
      </c>
      <c r="D491" s="18" t="s">
        <v>2381</v>
      </c>
      <c r="E491" s="18" t="s">
        <v>146</v>
      </c>
      <c r="F491" s="16">
        <v>27.781978</v>
      </c>
      <c r="G491" s="16">
        <v>-82.62519</v>
      </c>
      <c r="H491" s="16">
        <v>27.784835</v>
      </c>
      <c r="I491" s="17">
        <v>-82.624341</v>
      </c>
      <c r="J491" s="15" t="s">
        <v>2059</v>
      </c>
      <c r="K491" s="15" t="s">
        <v>2046</v>
      </c>
      <c r="L491" s="15">
        <v>2.0</v>
      </c>
      <c r="M491" s="16">
        <v>27.783838</v>
      </c>
      <c r="N491" s="16">
        <v>-82.624944</v>
      </c>
      <c r="O491" s="15" t="s">
        <v>2383</v>
      </c>
    </row>
    <row r="492" ht="33.75" customHeight="1">
      <c r="A492" s="24">
        <v>42045.0</v>
      </c>
      <c r="B492" s="18" t="s">
        <v>2039</v>
      </c>
      <c r="C492" s="18" t="s">
        <v>2041</v>
      </c>
      <c r="D492" s="18" t="s">
        <v>2381</v>
      </c>
      <c r="E492" s="18" t="s">
        <v>146</v>
      </c>
      <c r="F492" s="16">
        <v>27.781978</v>
      </c>
      <c r="G492" s="16">
        <v>-82.62519</v>
      </c>
      <c r="H492" s="16">
        <v>27.784835</v>
      </c>
      <c r="I492" s="17">
        <v>-82.624341</v>
      </c>
      <c r="J492" s="15" t="s">
        <v>2059</v>
      </c>
      <c r="K492" s="15" t="s">
        <v>2046</v>
      </c>
      <c r="L492" s="15">
        <v>3.0</v>
      </c>
      <c r="M492" s="16">
        <v>27.784835</v>
      </c>
      <c r="N492" s="16">
        <v>-82.624341</v>
      </c>
      <c r="O492" s="15" t="s">
        <v>2385</v>
      </c>
    </row>
    <row r="493" ht="33.75" customHeight="1">
      <c r="A493" s="24">
        <v>42045.0</v>
      </c>
      <c r="B493" s="18" t="s">
        <v>2039</v>
      </c>
      <c r="C493" s="18" t="s">
        <v>2041</v>
      </c>
      <c r="D493" s="18" t="s">
        <v>2042</v>
      </c>
      <c r="E493" s="18" t="s">
        <v>146</v>
      </c>
      <c r="F493" s="16">
        <v>27.748832</v>
      </c>
      <c r="G493" s="16">
        <v>-82.6294</v>
      </c>
      <c r="H493" s="16">
        <v>27.754998</v>
      </c>
      <c r="I493" s="17">
        <v>-83.63303</v>
      </c>
      <c r="J493" s="15" t="s">
        <v>2045</v>
      </c>
      <c r="K493" s="15" t="s">
        <v>2046</v>
      </c>
      <c r="M493" s="16">
        <v>27.754998</v>
      </c>
      <c r="N493" s="17">
        <v>-83.63303</v>
      </c>
      <c r="O493" s="15" t="s">
        <v>1262</v>
      </c>
      <c r="P493" s="15" t="s">
        <v>2387</v>
      </c>
    </row>
    <row r="494" ht="33.75" customHeight="1">
      <c r="A494" s="24">
        <v>42044.0</v>
      </c>
      <c r="B494" s="18" t="s">
        <v>699</v>
      </c>
      <c r="C494" s="18" t="s">
        <v>2389</v>
      </c>
      <c r="D494" s="18" t="s">
        <v>703</v>
      </c>
      <c r="E494" s="18" t="s">
        <v>146</v>
      </c>
      <c r="F494" s="16" t="s">
        <v>2014</v>
      </c>
      <c r="G494" s="16" t="s">
        <v>2015</v>
      </c>
      <c r="H494" s="16" t="s">
        <v>2016</v>
      </c>
      <c r="I494" s="17" t="s">
        <v>2392</v>
      </c>
      <c r="J494" s="15" t="s">
        <v>2018</v>
      </c>
      <c r="K494" s="15" t="s">
        <v>2019</v>
      </c>
      <c r="L494" s="15" t="s">
        <v>1031</v>
      </c>
      <c r="M494" s="17" t="s">
        <v>2395</v>
      </c>
      <c r="N494" s="17" t="s">
        <v>2396</v>
      </c>
      <c r="O494" s="15" t="s">
        <v>2397</v>
      </c>
      <c r="P494" s="15" t="s">
        <v>2398</v>
      </c>
    </row>
    <row r="495" ht="33.75" customHeight="1">
      <c r="A495" s="24">
        <v>42044.0</v>
      </c>
      <c r="B495" s="18" t="s">
        <v>699</v>
      </c>
      <c r="C495" s="18" t="s">
        <v>2389</v>
      </c>
      <c r="D495" s="18" t="s">
        <v>703</v>
      </c>
      <c r="E495" s="18" t="s">
        <v>146</v>
      </c>
      <c r="F495" s="16" t="s">
        <v>2014</v>
      </c>
      <c r="G495" s="16" t="s">
        <v>2015</v>
      </c>
      <c r="H495" s="16" t="s">
        <v>2016</v>
      </c>
      <c r="I495" s="17" t="s">
        <v>2392</v>
      </c>
      <c r="J495" s="15" t="s">
        <v>2018</v>
      </c>
      <c r="K495" s="15" t="s">
        <v>2019</v>
      </c>
      <c r="L495" s="15" t="s">
        <v>1545</v>
      </c>
      <c r="M495" s="17" t="s">
        <v>2399</v>
      </c>
      <c r="N495" s="17" t="s">
        <v>2400</v>
      </c>
      <c r="O495" s="15" t="s">
        <v>2401</v>
      </c>
      <c r="P495" s="15" t="s">
        <v>2398</v>
      </c>
    </row>
    <row r="496" ht="33.75" customHeight="1">
      <c r="A496" s="24">
        <v>42044.0</v>
      </c>
      <c r="B496" s="18" t="s">
        <v>699</v>
      </c>
      <c r="C496" s="18" t="s">
        <v>2389</v>
      </c>
      <c r="D496" s="18" t="s">
        <v>703</v>
      </c>
      <c r="E496" s="18" t="s">
        <v>146</v>
      </c>
      <c r="F496" s="16" t="s">
        <v>2014</v>
      </c>
      <c r="G496" s="16" t="s">
        <v>2015</v>
      </c>
      <c r="H496" s="16" t="s">
        <v>2016</v>
      </c>
      <c r="I496" s="17" t="s">
        <v>2392</v>
      </c>
      <c r="J496" s="15" t="s">
        <v>2018</v>
      </c>
      <c r="K496" s="15" t="s">
        <v>2019</v>
      </c>
      <c r="L496" s="15" t="s">
        <v>1558</v>
      </c>
      <c r="M496" s="17" t="s">
        <v>2402</v>
      </c>
      <c r="N496" s="17" t="s">
        <v>2403</v>
      </c>
      <c r="O496" s="15" t="s">
        <v>2404</v>
      </c>
      <c r="P496" s="15" t="s">
        <v>568</v>
      </c>
    </row>
    <row r="497" ht="33.75" customHeight="1">
      <c r="A497" s="24">
        <v>42044.0</v>
      </c>
      <c r="B497" s="18" t="s">
        <v>699</v>
      </c>
      <c r="C497" s="18" t="s">
        <v>2389</v>
      </c>
      <c r="D497" s="18" t="s">
        <v>703</v>
      </c>
      <c r="E497" s="18" t="s">
        <v>146</v>
      </c>
      <c r="F497" s="16" t="s">
        <v>2014</v>
      </c>
      <c r="G497" s="16" t="s">
        <v>2015</v>
      </c>
      <c r="H497" s="16" t="s">
        <v>2016</v>
      </c>
      <c r="I497" s="17" t="s">
        <v>2392</v>
      </c>
      <c r="J497" s="15" t="s">
        <v>2018</v>
      </c>
      <c r="K497" s="15" t="s">
        <v>2019</v>
      </c>
      <c r="L497" s="15" t="s">
        <v>2113</v>
      </c>
      <c r="M497" s="17" t="s">
        <v>2405</v>
      </c>
      <c r="N497" s="17" t="s">
        <v>2406</v>
      </c>
      <c r="O497" s="15" t="s">
        <v>2407</v>
      </c>
      <c r="P497" s="15" t="s">
        <v>2408</v>
      </c>
    </row>
    <row r="498" ht="33.75" customHeight="1">
      <c r="A498" s="24">
        <v>42044.0</v>
      </c>
      <c r="B498" s="18" t="s">
        <v>699</v>
      </c>
      <c r="C498" s="18" t="s">
        <v>2389</v>
      </c>
      <c r="D498" s="18" t="s">
        <v>703</v>
      </c>
      <c r="E498" s="18" t="s">
        <v>146</v>
      </c>
      <c r="F498" s="16" t="s">
        <v>2014</v>
      </c>
      <c r="G498" s="16" t="s">
        <v>2015</v>
      </c>
      <c r="H498" s="16" t="s">
        <v>2016</v>
      </c>
      <c r="I498" s="17" t="s">
        <v>2392</v>
      </c>
      <c r="J498" s="15" t="s">
        <v>2018</v>
      </c>
      <c r="K498" s="15" t="s">
        <v>2019</v>
      </c>
      <c r="L498" s="15" t="s">
        <v>2116</v>
      </c>
      <c r="M498" s="17" t="s">
        <v>2409</v>
      </c>
      <c r="N498" s="17" t="s">
        <v>2410</v>
      </c>
      <c r="O498" s="15" t="s">
        <v>2411</v>
      </c>
      <c r="P498" s="15" t="s">
        <v>2412</v>
      </c>
    </row>
    <row r="499" ht="33.75" customHeight="1">
      <c r="A499" s="24">
        <v>42044.0</v>
      </c>
      <c r="B499" s="18" t="s">
        <v>1577</v>
      </c>
      <c r="C499" s="18" t="s">
        <v>2416</v>
      </c>
      <c r="D499" s="18" t="s">
        <v>1580</v>
      </c>
      <c r="E499" s="18" t="s">
        <v>146</v>
      </c>
      <c r="F499" s="16">
        <v>27.708836</v>
      </c>
      <c r="G499" s="16">
        <v>-82.737198</v>
      </c>
      <c r="H499" s="16">
        <v>27.737729</v>
      </c>
      <c r="I499" s="17">
        <v>-82.754841</v>
      </c>
      <c r="J499" s="15" t="s">
        <v>2418</v>
      </c>
      <c r="K499" s="15" t="s">
        <v>2420</v>
      </c>
      <c r="L499" s="15" t="s">
        <v>2421</v>
      </c>
      <c r="M499" s="17" t="s">
        <v>2422</v>
      </c>
      <c r="N499" s="17" t="s">
        <v>2422</v>
      </c>
      <c r="O499" s="15" t="s">
        <v>2423</v>
      </c>
      <c r="P499" s="15" t="s">
        <v>2422</v>
      </c>
    </row>
    <row r="500" ht="33.75" customHeight="1">
      <c r="A500" s="24">
        <v>42043.0</v>
      </c>
      <c r="B500" s="18" t="s">
        <v>1581</v>
      </c>
      <c r="C500" s="18" t="s">
        <v>1582</v>
      </c>
      <c r="D500" s="18" t="s">
        <v>1976</v>
      </c>
      <c r="E500" s="18" t="s">
        <v>146</v>
      </c>
      <c r="F500" s="16">
        <v>27.672352</v>
      </c>
      <c r="G500" s="16">
        <v>-82.743645</v>
      </c>
      <c r="H500" s="16">
        <v>27.674873</v>
      </c>
      <c r="I500" s="17">
        <v>-82.732291</v>
      </c>
      <c r="J500" s="15" t="s">
        <v>1977</v>
      </c>
      <c r="K500" s="15" t="s">
        <v>1980</v>
      </c>
      <c r="L500" s="15" t="s">
        <v>2424</v>
      </c>
      <c r="M500" s="17" t="s">
        <v>2424</v>
      </c>
      <c r="N500" s="17" t="s">
        <v>2424</v>
      </c>
      <c r="O500" s="15" t="s">
        <v>2423</v>
      </c>
      <c r="P500" s="15" t="s">
        <v>2422</v>
      </c>
    </row>
    <row r="501" ht="33.75" customHeight="1">
      <c r="A501" s="24">
        <v>42043.0</v>
      </c>
      <c r="B501" s="18" t="s">
        <v>2425</v>
      </c>
      <c r="C501" s="18" t="s">
        <v>1990</v>
      </c>
      <c r="D501" s="18" t="s">
        <v>1991</v>
      </c>
      <c r="E501" s="18" t="s">
        <v>146</v>
      </c>
      <c r="F501" s="16">
        <v>27.616486</v>
      </c>
      <c r="G501" s="16">
        <v>-82.725787</v>
      </c>
      <c r="H501" s="16">
        <v>27.637678</v>
      </c>
      <c r="I501" s="17">
        <v>-82.698785</v>
      </c>
      <c r="J501" s="15" t="s">
        <v>2426</v>
      </c>
      <c r="K501" s="15" t="s">
        <v>2427</v>
      </c>
      <c r="L501" s="15" t="s">
        <v>2424</v>
      </c>
      <c r="M501" s="17" t="s">
        <v>2424</v>
      </c>
      <c r="N501" s="17" t="s">
        <v>2424</v>
      </c>
      <c r="O501" s="15" t="s">
        <v>2428</v>
      </c>
      <c r="P501" s="15" t="s">
        <v>2422</v>
      </c>
    </row>
    <row r="502" ht="33.75" customHeight="1">
      <c r="A502" s="24">
        <v>42045.0</v>
      </c>
      <c r="B502" s="18" t="s">
        <v>2063</v>
      </c>
      <c r="C502" s="18" t="s">
        <v>2064</v>
      </c>
      <c r="D502" s="18" t="s">
        <v>2065</v>
      </c>
      <c r="E502" s="18" t="s">
        <v>146</v>
      </c>
      <c r="F502" s="16">
        <v>27.84199</v>
      </c>
      <c r="G502" s="16">
        <v>-82.841071</v>
      </c>
      <c r="H502" s="16">
        <v>27.884171</v>
      </c>
      <c r="I502" s="17">
        <v>-82.851666</v>
      </c>
      <c r="J502" s="15" t="s">
        <v>2429</v>
      </c>
      <c r="K502" s="15" t="s">
        <v>2430</v>
      </c>
      <c r="L502" s="15">
        <v>1.0</v>
      </c>
      <c r="M502" s="17">
        <v>27.84517</v>
      </c>
      <c r="N502" s="17">
        <v>-82.842757</v>
      </c>
      <c r="O502" s="15" t="s">
        <v>2431</v>
      </c>
      <c r="P502" s="15" t="s">
        <v>2432</v>
      </c>
    </row>
    <row r="503" ht="33.75" customHeight="1">
      <c r="A503" s="26">
        <v>42045.0</v>
      </c>
      <c r="B503" s="18" t="s">
        <v>2071</v>
      </c>
      <c r="C503" s="18" t="s">
        <v>2072</v>
      </c>
      <c r="D503" s="18" t="s">
        <v>2073</v>
      </c>
      <c r="E503" s="18" t="s">
        <v>146</v>
      </c>
      <c r="F503" s="18">
        <v>27.63425</v>
      </c>
      <c r="G503" s="18">
        <v>-82.74117</v>
      </c>
      <c r="H503" s="15">
        <v>27.61342</v>
      </c>
      <c r="I503" s="15">
        <v>-82.73774</v>
      </c>
      <c r="J503" s="15" t="s">
        <v>2074</v>
      </c>
      <c r="L503" s="15">
        <v>1.0</v>
      </c>
      <c r="M503" s="15">
        <v>27.63425</v>
      </c>
      <c r="N503" s="15">
        <v>-82.74117</v>
      </c>
      <c r="O503" s="15" t="s">
        <v>2433</v>
      </c>
      <c r="P503" s="17" t="s">
        <v>2434</v>
      </c>
    </row>
    <row r="504" ht="33.75" customHeight="1">
      <c r="A504" s="26">
        <v>42045.0</v>
      </c>
      <c r="B504" s="18" t="s">
        <v>2071</v>
      </c>
      <c r="C504" s="18" t="s">
        <v>2072</v>
      </c>
      <c r="D504" s="18" t="s">
        <v>2073</v>
      </c>
      <c r="E504" s="18" t="s">
        <v>146</v>
      </c>
      <c r="F504" s="18">
        <v>27.63425</v>
      </c>
      <c r="G504" s="18">
        <v>-82.74117</v>
      </c>
      <c r="H504" s="15">
        <v>27.61342</v>
      </c>
      <c r="I504" s="15">
        <v>-82.73774</v>
      </c>
      <c r="J504" s="15" t="s">
        <v>2074</v>
      </c>
      <c r="L504" s="15">
        <v>2.0</v>
      </c>
      <c r="M504" s="15">
        <v>27.615026</v>
      </c>
      <c r="N504" s="15">
        <v>-82.73722</v>
      </c>
      <c r="O504" s="15" t="s">
        <v>2435</v>
      </c>
      <c r="P504" s="17" t="s">
        <v>2434</v>
      </c>
    </row>
    <row r="505" ht="33.75" customHeight="1">
      <c r="A505" s="26">
        <v>42045.0</v>
      </c>
      <c r="B505" s="18" t="s">
        <v>2071</v>
      </c>
      <c r="C505" s="18" t="s">
        <v>2072</v>
      </c>
      <c r="D505" s="18" t="s">
        <v>2078</v>
      </c>
      <c r="E505" s="18" t="s">
        <v>146</v>
      </c>
      <c r="F505" s="18">
        <v>27.61297</v>
      </c>
      <c r="G505" s="18">
        <v>-82.73692</v>
      </c>
      <c r="H505" s="15">
        <v>27.61609</v>
      </c>
      <c r="I505" s="15">
        <v>-82.72645</v>
      </c>
      <c r="J505" s="15" t="s">
        <v>2081</v>
      </c>
      <c r="L505" s="15">
        <v>1.0</v>
      </c>
      <c r="M505" s="15">
        <v>27.612839</v>
      </c>
      <c r="N505" s="15">
        <v>-82.737222</v>
      </c>
      <c r="O505" s="15" t="s">
        <v>2436</v>
      </c>
      <c r="P505" s="17" t="s">
        <v>2434</v>
      </c>
    </row>
    <row r="506" ht="33.75" customHeight="1">
      <c r="A506" s="26">
        <v>42045.0</v>
      </c>
      <c r="B506" s="18" t="s">
        <v>2071</v>
      </c>
      <c r="C506" s="18" t="s">
        <v>2072</v>
      </c>
      <c r="D506" s="18" t="s">
        <v>2078</v>
      </c>
      <c r="E506" s="18" t="s">
        <v>146</v>
      </c>
      <c r="F506" s="18">
        <v>27.61297</v>
      </c>
      <c r="G506" s="18">
        <v>-82.73692</v>
      </c>
      <c r="H506" s="15">
        <v>27.61609</v>
      </c>
      <c r="I506" s="15">
        <v>-82.72645</v>
      </c>
      <c r="J506" s="15" t="s">
        <v>2081</v>
      </c>
      <c r="L506" s="15">
        <v>2.0</v>
      </c>
      <c r="M506" s="15">
        <v>27.611755</v>
      </c>
      <c r="N506" s="15">
        <v>-82.736943</v>
      </c>
      <c r="O506" s="15" t="s">
        <v>2437</v>
      </c>
      <c r="P506" s="17" t="s">
        <v>2434</v>
      </c>
    </row>
    <row r="507" ht="33.75" customHeight="1">
      <c r="A507" s="24">
        <v>42042.0</v>
      </c>
      <c r="B507" s="18" t="s">
        <v>2117</v>
      </c>
      <c r="C507" s="18" t="s">
        <v>632</v>
      </c>
      <c r="D507" s="18" t="s">
        <v>2120</v>
      </c>
      <c r="E507" s="18" t="s">
        <v>2121</v>
      </c>
      <c r="F507" s="16">
        <v>27.95702</v>
      </c>
      <c r="G507" s="16">
        <v>-82.7111</v>
      </c>
      <c r="H507" s="16">
        <v>27.96215</v>
      </c>
      <c r="I507" s="17">
        <v>-82.57063</v>
      </c>
      <c r="J507" s="15" t="s">
        <v>2122</v>
      </c>
      <c r="K507" s="15" t="s">
        <v>2123</v>
      </c>
      <c r="L507" s="15">
        <v>1.0</v>
      </c>
      <c r="M507" s="17">
        <v>27.96093</v>
      </c>
      <c r="N507" s="17">
        <v>-82.69795</v>
      </c>
      <c r="O507" s="15" t="s">
        <v>2439</v>
      </c>
      <c r="P507" s="15" t="s">
        <v>2441</v>
      </c>
    </row>
    <row r="508" ht="33.75" customHeight="1">
      <c r="A508" s="24">
        <v>42042.0</v>
      </c>
      <c r="B508" s="18" t="s">
        <v>2117</v>
      </c>
      <c r="C508" s="18" t="s">
        <v>632</v>
      </c>
      <c r="D508" s="18" t="s">
        <v>2120</v>
      </c>
      <c r="E508" s="18" t="s">
        <v>2121</v>
      </c>
      <c r="F508" s="16">
        <v>27.95702</v>
      </c>
      <c r="G508" s="16">
        <v>-82.7111</v>
      </c>
      <c r="H508" s="16">
        <v>27.96215</v>
      </c>
      <c r="I508" s="17">
        <v>-82.57063</v>
      </c>
      <c r="J508" s="15" t="s">
        <v>2122</v>
      </c>
      <c r="K508" s="15" t="s">
        <v>2123</v>
      </c>
      <c r="L508" s="15">
        <v>2.0</v>
      </c>
      <c r="M508" s="17">
        <v>27.96134</v>
      </c>
      <c r="N508" s="17">
        <v>-82.69516</v>
      </c>
      <c r="O508" s="15" t="s">
        <v>2445</v>
      </c>
      <c r="P508" s="15" t="s">
        <v>2446</v>
      </c>
    </row>
    <row r="509" ht="33.75" customHeight="1">
      <c r="A509" s="24">
        <v>42042.0</v>
      </c>
      <c r="B509" s="18" t="s">
        <v>2117</v>
      </c>
      <c r="C509" s="18" t="s">
        <v>632</v>
      </c>
      <c r="D509" s="18" t="s">
        <v>2120</v>
      </c>
      <c r="E509" s="18" t="s">
        <v>2121</v>
      </c>
      <c r="F509" s="16">
        <v>27.95702</v>
      </c>
      <c r="G509" s="16">
        <v>-82.7111</v>
      </c>
      <c r="H509" s="16">
        <v>27.96215</v>
      </c>
      <c r="I509" s="17">
        <v>-82.57063</v>
      </c>
      <c r="J509" s="15" t="s">
        <v>2122</v>
      </c>
      <c r="K509" s="15" t="s">
        <v>2123</v>
      </c>
      <c r="L509" s="15">
        <v>3.0</v>
      </c>
      <c r="M509" s="17">
        <v>27.96846</v>
      </c>
      <c r="N509" s="17">
        <v>-82.57368</v>
      </c>
      <c r="O509" s="15" t="s">
        <v>2447</v>
      </c>
      <c r="P509" s="15" t="s">
        <v>2449</v>
      </c>
    </row>
    <row r="510" ht="33.75" customHeight="1">
      <c r="A510" s="24">
        <v>42042.0</v>
      </c>
      <c r="B510" s="18" t="s">
        <v>2117</v>
      </c>
      <c r="C510" s="18" t="s">
        <v>632</v>
      </c>
      <c r="D510" s="18" t="s">
        <v>2120</v>
      </c>
      <c r="E510" s="18" t="s">
        <v>2121</v>
      </c>
      <c r="F510" s="16">
        <v>27.95702</v>
      </c>
      <c r="G510" s="16">
        <v>-82.7111</v>
      </c>
      <c r="H510" s="16">
        <v>27.96215</v>
      </c>
      <c r="I510" s="17">
        <v>-82.57063</v>
      </c>
      <c r="J510" s="15" t="s">
        <v>2122</v>
      </c>
      <c r="K510" s="15" t="s">
        <v>2123</v>
      </c>
      <c r="L510" s="15">
        <v>4.0</v>
      </c>
      <c r="M510" s="17">
        <v>27.96215</v>
      </c>
      <c r="N510" s="17">
        <v>-82.57063</v>
      </c>
      <c r="O510" s="15" t="s">
        <v>2453</v>
      </c>
      <c r="P510" s="15" t="s">
        <v>2454</v>
      </c>
    </row>
    <row r="511" ht="33.75" customHeight="1">
      <c r="A511" s="24">
        <v>42042.0</v>
      </c>
      <c r="B511" s="18" t="s">
        <v>2117</v>
      </c>
      <c r="C511" s="18" t="s">
        <v>632</v>
      </c>
      <c r="D511" s="18" t="s">
        <v>2120</v>
      </c>
      <c r="E511" s="18" t="s">
        <v>2121</v>
      </c>
      <c r="F511" s="16">
        <v>27.95702</v>
      </c>
      <c r="G511" s="16">
        <v>-82.7111</v>
      </c>
      <c r="H511" s="16">
        <v>27.96215</v>
      </c>
      <c r="I511" s="17">
        <v>-82.57063</v>
      </c>
      <c r="J511" s="15" t="s">
        <v>2122</v>
      </c>
      <c r="K511" s="15" t="s">
        <v>2123</v>
      </c>
      <c r="L511" s="15">
        <v>5.0</v>
      </c>
      <c r="M511" s="17">
        <v>29.95702</v>
      </c>
      <c r="N511" s="17">
        <v>-82.7111</v>
      </c>
      <c r="O511" s="15" t="s">
        <v>2455</v>
      </c>
      <c r="P511" s="15" t="s">
        <v>2456</v>
      </c>
    </row>
    <row r="512" ht="33.75" customHeight="1">
      <c r="A512" s="24">
        <v>42042.0</v>
      </c>
      <c r="B512" s="18" t="s">
        <v>2117</v>
      </c>
      <c r="C512" s="18" t="s">
        <v>632</v>
      </c>
      <c r="D512" s="18" t="s">
        <v>2120</v>
      </c>
      <c r="E512" s="18" t="s">
        <v>2121</v>
      </c>
      <c r="F512" s="16">
        <v>27.95702</v>
      </c>
      <c r="G512" s="16">
        <v>-82.7111</v>
      </c>
      <c r="H512" s="16">
        <v>27.96215</v>
      </c>
      <c r="I512" s="17">
        <v>-82.57063</v>
      </c>
      <c r="J512" s="15" t="s">
        <v>2122</v>
      </c>
      <c r="K512" s="15" t="s">
        <v>2123</v>
      </c>
      <c r="L512" s="15">
        <v>6.0</v>
      </c>
      <c r="M512" s="17">
        <v>27.96639</v>
      </c>
      <c r="N512" s="17">
        <v>-82.65232</v>
      </c>
      <c r="O512" s="15" t="s">
        <v>2458</v>
      </c>
      <c r="P512" s="15" t="s">
        <v>2459</v>
      </c>
    </row>
    <row r="513" ht="33.75" customHeight="1">
      <c r="A513" s="24">
        <v>42042.0</v>
      </c>
      <c r="B513" s="18" t="s">
        <v>2117</v>
      </c>
      <c r="C513" s="18" t="s">
        <v>632</v>
      </c>
      <c r="D513" s="18" t="s">
        <v>2120</v>
      </c>
      <c r="E513" s="18" t="s">
        <v>2121</v>
      </c>
      <c r="F513" s="16">
        <v>27.95702</v>
      </c>
      <c r="G513" s="16">
        <v>-82.7111</v>
      </c>
      <c r="H513" s="16">
        <v>27.96215</v>
      </c>
      <c r="I513" s="17">
        <v>-82.57063</v>
      </c>
      <c r="J513" s="15" t="s">
        <v>2122</v>
      </c>
      <c r="K513" s="15" t="s">
        <v>2123</v>
      </c>
      <c r="L513" s="15">
        <v>7.0</v>
      </c>
      <c r="M513" s="17">
        <v>27.9669</v>
      </c>
      <c r="N513" s="17">
        <v>-82.65233</v>
      </c>
      <c r="O513" s="15" t="s">
        <v>1307</v>
      </c>
      <c r="P513" s="15" t="s">
        <v>2461</v>
      </c>
    </row>
    <row r="514" ht="33.75" customHeight="1">
      <c r="A514" s="24">
        <v>42042.0</v>
      </c>
      <c r="B514" s="18" t="s">
        <v>2117</v>
      </c>
      <c r="C514" s="18" t="s">
        <v>632</v>
      </c>
      <c r="D514" s="18" t="s">
        <v>2120</v>
      </c>
      <c r="E514" s="18" t="s">
        <v>2121</v>
      </c>
      <c r="F514" s="16">
        <v>27.95702</v>
      </c>
      <c r="G514" s="16">
        <v>-82.7111</v>
      </c>
      <c r="H514" s="16">
        <v>27.96215</v>
      </c>
      <c r="I514" s="17">
        <v>-82.57063</v>
      </c>
      <c r="J514" s="15" t="s">
        <v>2122</v>
      </c>
      <c r="K514" s="15" t="s">
        <v>2123</v>
      </c>
      <c r="L514" s="15">
        <v>8.0</v>
      </c>
      <c r="M514" s="17">
        <v>27.96345</v>
      </c>
      <c r="N514" s="17">
        <v>-82.67642</v>
      </c>
      <c r="O514" s="15" t="s">
        <v>2464</v>
      </c>
      <c r="P514" s="15" t="s">
        <v>2461</v>
      </c>
    </row>
    <row r="515" ht="33.75" customHeight="1">
      <c r="A515" s="24">
        <v>42041.0</v>
      </c>
      <c r="B515" s="18" t="s">
        <v>74</v>
      </c>
      <c r="C515" s="18" t="s">
        <v>75</v>
      </c>
      <c r="D515" s="18" t="s">
        <v>180</v>
      </c>
      <c r="E515" s="18" t="s">
        <v>181</v>
      </c>
      <c r="F515" s="16">
        <v>30.35101</v>
      </c>
      <c r="G515" s="16">
        <v>-87.07115</v>
      </c>
      <c r="H515" s="16">
        <v>30.3558</v>
      </c>
      <c r="I515" s="17">
        <v>-87.04252</v>
      </c>
      <c r="J515" s="15" t="s">
        <v>2129</v>
      </c>
      <c r="K515" s="15" t="s">
        <v>2130</v>
      </c>
      <c r="L515" s="15">
        <v>1.0</v>
      </c>
      <c r="M515" s="17">
        <v>30.35707</v>
      </c>
      <c r="N515" s="17">
        <v>-87.04765</v>
      </c>
      <c r="O515" s="15" t="s">
        <v>2468</v>
      </c>
      <c r="P515" s="15" t="s">
        <v>2471</v>
      </c>
    </row>
    <row r="516" ht="33.75" customHeight="1">
      <c r="A516" s="24">
        <v>42041.0</v>
      </c>
      <c r="B516" s="18" t="s">
        <v>74</v>
      </c>
      <c r="C516" s="18" t="s">
        <v>75</v>
      </c>
      <c r="D516" s="18" t="s">
        <v>180</v>
      </c>
      <c r="E516" s="18" t="s">
        <v>181</v>
      </c>
      <c r="F516" s="16">
        <v>30.35101</v>
      </c>
      <c r="G516" s="16">
        <v>-87.07115</v>
      </c>
      <c r="H516" s="16">
        <v>30.3558</v>
      </c>
      <c r="I516" s="17">
        <v>-87.04252</v>
      </c>
      <c r="J516" s="15" t="s">
        <v>2129</v>
      </c>
      <c r="K516" s="15" t="s">
        <v>2130</v>
      </c>
      <c r="L516" s="15">
        <v>2.0</v>
      </c>
      <c r="M516" s="17">
        <v>30.35743</v>
      </c>
      <c r="N516" s="17">
        <v>-87.04361</v>
      </c>
      <c r="O516" s="15" t="s">
        <v>2472</v>
      </c>
      <c r="P516" s="15" t="s">
        <v>2473</v>
      </c>
    </row>
    <row r="517" ht="33.75" customHeight="1">
      <c r="A517" s="24">
        <v>42041.0</v>
      </c>
      <c r="B517" s="18" t="s">
        <v>74</v>
      </c>
      <c r="C517" s="18" t="s">
        <v>75</v>
      </c>
      <c r="D517" s="18" t="s">
        <v>359</v>
      </c>
      <c r="E517" s="18" t="s">
        <v>181</v>
      </c>
      <c r="F517" s="16">
        <v>30.37935</v>
      </c>
      <c r="G517" s="16">
        <v>-86.86361</v>
      </c>
      <c r="H517" s="16">
        <v>30.38615</v>
      </c>
      <c r="I517" s="17">
        <v>-86.84993</v>
      </c>
      <c r="J517" s="15" t="s">
        <v>2141</v>
      </c>
      <c r="K517" s="15" t="s">
        <v>2144</v>
      </c>
      <c r="L517" s="15">
        <v>1.0</v>
      </c>
      <c r="M517" s="17">
        <v>30.38101</v>
      </c>
      <c r="N517" s="17">
        <v>-86.85242</v>
      </c>
      <c r="O517" s="15" t="s">
        <v>2477</v>
      </c>
      <c r="P517" s="15" t="s">
        <v>2478</v>
      </c>
    </row>
    <row r="518" ht="33.75" customHeight="1">
      <c r="A518" s="24">
        <v>42041.0</v>
      </c>
      <c r="B518" s="18" t="s">
        <v>74</v>
      </c>
      <c r="C518" s="18" t="s">
        <v>75</v>
      </c>
      <c r="D518" s="18" t="s">
        <v>359</v>
      </c>
      <c r="E518" s="18" t="s">
        <v>181</v>
      </c>
      <c r="F518" s="16">
        <v>30.37935</v>
      </c>
      <c r="G518" s="16">
        <v>-86.86361</v>
      </c>
      <c r="H518" s="16">
        <v>30.38615</v>
      </c>
      <c r="I518" s="17">
        <v>-86.84993</v>
      </c>
      <c r="J518" s="15" t="s">
        <v>2141</v>
      </c>
      <c r="K518" s="15" t="s">
        <v>2144</v>
      </c>
      <c r="L518" s="15">
        <v>2.0</v>
      </c>
      <c r="M518" s="17">
        <v>30.38147</v>
      </c>
      <c r="N518" s="17">
        <v>-86.84939</v>
      </c>
      <c r="O518" s="15" t="s">
        <v>2485</v>
      </c>
      <c r="P518" s="15" t="s">
        <v>2486</v>
      </c>
    </row>
    <row r="519" ht="33.75" customHeight="1">
      <c r="A519" s="24">
        <v>42041.0</v>
      </c>
      <c r="B519" s="18" t="s">
        <v>74</v>
      </c>
      <c r="C519" s="18" t="s">
        <v>75</v>
      </c>
      <c r="D519" s="18" t="s">
        <v>359</v>
      </c>
      <c r="E519" s="18" t="s">
        <v>181</v>
      </c>
      <c r="F519" s="16">
        <v>30.37935</v>
      </c>
      <c r="G519" s="16">
        <v>-86.86361</v>
      </c>
      <c r="H519" s="16">
        <v>30.38615</v>
      </c>
      <c r="I519" s="17">
        <v>-86.84993</v>
      </c>
      <c r="J519" s="15" t="s">
        <v>2141</v>
      </c>
      <c r="K519" s="15" t="s">
        <v>2144</v>
      </c>
      <c r="L519" s="15">
        <v>3.0</v>
      </c>
      <c r="M519" s="17">
        <v>30.38595</v>
      </c>
      <c r="N519" s="17">
        <v>-86.8685357</v>
      </c>
      <c r="O519" s="15" t="s">
        <v>2489</v>
      </c>
      <c r="P519" s="15" t="s">
        <v>2490</v>
      </c>
    </row>
    <row r="520" ht="33.75" customHeight="1">
      <c r="A520" s="14">
        <v>42041.0</v>
      </c>
      <c r="B520" s="15" t="s">
        <v>2153</v>
      </c>
      <c r="C520" s="15" t="s">
        <v>2154</v>
      </c>
      <c r="D520" s="15" t="s">
        <v>2156</v>
      </c>
      <c r="E520" s="15" t="s">
        <v>181</v>
      </c>
      <c r="F520" s="15">
        <v>30.379286</v>
      </c>
      <c r="G520" s="15">
        <v>-86.863497</v>
      </c>
      <c r="H520" s="15">
        <v>30.381433</v>
      </c>
      <c r="I520" s="17">
        <v>-86.849375</v>
      </c>
      <c r="J520" s="15" t="s">
        <v>2157</v>
      </c>
      <c r="K520" s="15" t="s">
        <v>2158</v>
      </c>
      <c r="L520" s="15">
        <v>1.0</v>
      </c>
      <c r="M520" s="15">
        <v>30.381133</v>
      </c>
      <c r="N520" s="15">
        <v>-86.852181</v>
      </c>
      <c r="O520" s="15" t="s">
        <v>2491</v>
      </c>
      <c r="P520" s="17" t="s">
        <v>2492</v>
      </c>
    </row>
    <row r="521" ht="33.75" customHeight="1">
      <c r="A521" s="14">
        <v>42041.0</v>
      </c>
      <c r="B521" s="15" t="s">
        <v>2153</v>
      </c>
      <c r="C521" s="15" t="s">
        <v>2154</v>
      </c>
      <c r="D521" s="15" t="s">
        <v>2161</v>
      </c>
      <c r="E521" s="15" t="s">
        <v>181</v>
      </c>
      <c r="F521" s="15">
        <v>30.385278</v>
      </c>
      <c r="G521" s="15">
        <v>-86.849292</v>
      </c>
      <c r="H521" s="15">
        <v>30.385644</v>
      </c>
      <c r="I521" s="17">
        <v>-8.6862131E7</v>
      </c>
      <c r="J521" s="15" t="s">
        <v>2164</v>
      </c>
      <c r="K521" s="15" t="s">
        <v>2166</v>
      </c>
      <c r="L521" s="15">
        <v>1.0</v>
      </c>
      <c r="M521" s="15">
        <v>30.384342</v>
      </c>
      <c r="N521" s="15">
        <v>-86.858839</v>
      </c>
      <c r="O521" s="15" t="s">
        <v>2493</v>
      </c>
      <c r="P521" s="17" t="s">
        <v>2494</v>
      </c>
    </row>
    <row r="522" ht="33.75" customHeight="1">
      <c r="A522" s="14">
        <v>41681.0</v>
      </c>
      <c r="B522" s="15" t="s">
        <v>2169</v>
      </c>
      <c r="C522" s="15" t="s">
        <v>2170</v>
      </c>
      <c r="D522" s="15" t="s">
        <v>2171</v>
      </c>
      <c r="E522" s="15" t="s">
        <v>2172</v>
      </c>
      <c r="F522" s="15">
        <v>30.39676333</v>
      </c>
      <c r="G522" s="15">
        <v>-86.63327</v>
      </c>
      <c r="H522" s="15">
        <v>30.38158167</v>
      </c>
      <c r="I522" s="17">
        <v>-86.84925667</v>
      </c>
      <c r="J522" s="15" t="s">
        <v>2173</v>
      </c>
      <c r="K522" s="15" t="s">
        <v>2174</v>
      </c>
      <c r="L522" s="15">
        <v>1.0</v>
      </c>
      <c r="M522" s="17">
        <v>30.38179667</v>
      </c>
      <c r="N522" s="17">
        <v>-86.84598</v>
      </c>
      <c r="O522" s="15" t="s">
        <v>1547</v>
      </c>
      <c r="P522" s="15" t="s">
        <v>2495</v>
      </c>
    </row>
    <row r="523" ht="33.75" customHeight="1">
      <c r="A523" s="14">
        <v>41681.0</v>
      </c>
      <c r="B523" s="15" t="s">
        <v>2169</v>
      </c>
      <c r="C523" s="15" t="s">
        <v>2170</v>
      </c>
      <c r="D523" s="15" t="s">
        <v>2171</v>
      </c>
      <c r="E523" s="15" t="s">
        <v>2172</v>
      </c>
      <c r="F523" s="15">
        <v>30.39676333</v>
      </c>
      <c r="G523" s="15">
        <v>-86.63327</v>
      </c>
      <c r="H523" s="15">
        <v>30.38158167</v>
      </c>
      <c r="I523" s="17">
        <v>-86.84925667</v>
      </c>
      <c r="J523" s="15" t="s">
        <v>2173</v>
      </c>
      <c r="K523" s="15" t="s">
        <v>2174</v>
      </c>
      <c r="L523" s="15">
        <v>2.0</v>
      </c>
      <c r="M523" s="17">
        <v>30.38179667</v>
      </c>
      <c r="N523" s="17">
        <v>-86.84598</v>
      </c>
      <c r="O523" s="15" t="s">
        <v>2496</v>
      </c>
    </row>
    <row r="524" ht="33.75" customHeight="1">
      <c r="A524" s="14">
        <v>41681.0</v>
      </c>
      <c r="B524" s="15" t="s">
        <v>2169</v>
      </c>
      <c r="C524" s="15" t="s">
        <v>2170</v>
      </c>
      <c r="D524" s="15" t="s">
        <v>2171</v>
      </c>
      <c r="E524" s="15" t="s">
        <v>2172</v>
      </c>
      <c r="F524" s="15">
        <v>30.39676333</v>
      </c>
      <c r="G524" s="15">
        <v>-86.63327</v>
      </c>
      <c r="H524" s="15">
        <v>30.38158167</v>
      </c>
      <c r="I524" s="17">
        <v>-86.84925667</v>
      </c>
      <c r="J524" s="15" t="s">
        <v>2173</v>
      </c>
      <c r="K524" s="15" t="s">
        <v>2174</v>
      </c>
      <c r="L524" s="15">
        <v>3.0</v>
      </c>
      <c r="M524" s="17">
        <v>30.381655</v>
      </c>
      <c r="N524" s="17">
        <v>-86.848205</v>
      </c>
      <c r="O524" s="15" t="s">
        <v>2184</v>
      </c>
      <c r="P524" s="15" t="s">
        <v>2497</v>
      </c>
    </row>
    <row r="525" ht="33.75" customHeight="1">
      <c r="A525" s="24">
        <v>42041.0</v>
      </c>
      <c r="B525" s="18" t="s">
        <v>2499</v>
      </c>
      <c r="C525" s="18" t="s">
        <v>1606</v>
      </c>
      <c r="D525" s="18" t="s">
        <v>1607</v>
      </c>
      <c r="E525" s="18" t="s">
        <v>670</v>
      </c>
      <c r="F525" s="16">
        <v>27.296543</v>
      </c>
      <c r="G525" s="16">
        <v>-82.567289</v>
      </c>
      <c r="H525" s="16">
        <v>27.324834</v>
      </c>
      <c r="I525" s="17">
        <v>-82.588272</v>
      </c>
      <c r="J525" s="15" t="s">
        <v>2501</v>
      </c>
      <c r="K525" s="15" t="s">
        <v>2188</v>
      </c>
      <c r="M525" s="32"/>
      <c r="N525" s="32"/>
      <c r="P525" s="15" t="s">
        <v>2502</v>
      </c>
    </row>
    <row r="526" ht="33.75" customHeight="1">
      <c r="A526" s="24">
        <v>42045.0</v>
      </c>
      <c r="B526" s="18" t="s">
        <v>666</v>
      </c>
      <c r="C526" s="18" t="s">
        <v>668</v>
      </c>
      <c r="D526" s="18" t="s">
        <v>669</v>
      </c>
      <c r="E526" s="18" t="s">
        <v>670</v>
      </c>
      <c r="F526" s="16">
        <v>27.32846</v>
      </c>
      <c r="G526" s="16">
        <v>-82.58895</v>
      </c>
      <c r="H526" s="16">
        <v>27.38926</v>
      </c>
      <c r="I526" s="17">
        <v>-82.6426</v>
      </c>
      <c r="J526" s="15" t="s">
        <v>2253</v>
      </c>
      <c r="K526" s="15" t="s">
        <v>2503</v>
      </c>
      <c r="L526" s="15">
        <v>1.0</v>
      </c>
      <c r="M526" s="17">
        <v>27.32849</v>
      </c>
      <c r="N526" s="17">
        <v>-82.58968</v>
      </c>
      <c r="O526" s="15" t="s">
        <v>2504</v>
      </c>
      <c r="P526" s="15" t="s">
        <v>2505</v>
      </c>
    </row>
    <row r="527" ht="33.75" customHeight="1">
      <c r="A527" s="24">
        <v>42045.0</v>
      </c>
      <c r="B527" s="18" t="s">
        <v>666</v>
      </c>
      <c r="C527" s="18" t="s">
        <v>668</v>
      </c>
      <c r="D527" s="18" t="s">
        <v>669</v>
      </c>
      <c r="E527" s="18" t="s">
        <v>670</v>
      </c>
      <c r="F527" s="16">
        <v>27.32846</v>
      </c>
      <c r="G527" s="16">
        <v>-82.58895</v>
      </c>
      <c r="H527" s="16">
        <v>27.38926</v>
      </c>
      <c r="I527" s="17">
        <v>-82.6426</v>
      </c>
      <c r="J527" s="15" t="s">
        <v>2253</v>
      </c>
      <c r="K527" s="15" t="s">
        <v>2503</v>
      </c>
      <c r="L527" s="15">
        <v>2.0</v>
      </c>
      <c r="M527" s="17">
        <v>27.32879</v>
      </c>
      <c r="N527" s="17">
        <v>-82.5901</v>
      </c>
      <c r="O527" s="15" t="s">
        <v>2506</v>
      </c>
      <c r="P527" s="15" t="s">
        <v>2505</v>
      </c>
    </row>
    <row r="528" ht="33.75" customHeight="1">
      <c r="A528" s="24">
        <v>42045.0</v>
      </c>
      <c r="B528" s="18" t="s">
        <v>666</v>
      </c>
      <c r="C528" s="18" t="s">
        <v>668</v>
      </c>
      <c r="D528" s="18" t="s">
        <v>669</v>
      </c>
      <c r="E528" s="18" t="s">
        <v>670</v>
      </c>
      <c r="F528" s="16">
        <v>27.32846</v>
      </c>
      <c r="G528" s="16">
        <v>-82.58895</v>
      </c>
      <c r="H528" s="16">
        <v>27.38926</v>
      </c>
      <c r="I528" s="17">
        <v>-82.6426</v>
      </c>
      <c r="J528" s="15" t="s">
        <v>2253</v>
      </c>
      <c r="K528" s="15" t="s">
        <v>2503</v>
      </c>
      <c r="L528" s="15">
        <v>3.0</v>
      </c>
      <c r="M528" s="17">
        <v>27.3767</v>
      </c>
      <c r="N528" s="17">
        <v>-82.63448</v>
      </c>
      <c r="O528" s="15" t="s">
        <v>2510</v>
      </c>
      <c r="P528" s="15" t="s">
        <v>2511</v>
      </c>
    </row>
    <row r="529" ht="33.75" customHeight="1">
      <c r="A529" s="24">
        <v>42045.0</v>
      </c>
      <c r="B529" s="18" t="s">
        <v>666</v>
      </c>
      <c r="C529" s="18" t="s">
        <v>668</v>
      </c>
      <c r="D529" s="18" t="s">
        <v>669</v>
      </c>
      <c r="E529" s="18" t="s">
        <v>670</v>
      </c>
      <c r="F529" s="16">
        <v>27.32846</v>
      </c>
      <c r="G529" s="16">
        <v>-82.58895</v>
      </c>
      <c r="H529" s="16">
        <v>27.38926</v>
      </c>
      <c r="I529" s="17">
        <v>-82.6426</v>
      </c>
      <c r="J529" s="15" t="s">
        <v>2253</v>
      </c>
      <c r="K529" s="15" t="s">
        <v>2503</v>
      </c>
      <c r="L529" s="15">
        <v>4.0</v>
      </c>
      <c r="M529" s="17">
        <v>27.37702</v>
      </c>
      <c r="N529" s="17">
        <v>-82.63472</v>
      </c>
      <c r="O529" s="15" t="s">
        <v>2514</v>
      </c>
    </row>
    <row r="530" ht="33.75" customHeight="1">
      <c r="A530" s="24">
        <v>42046.0</v>
      </c>
      <c r="B530" s="18" t="s">
        <v>2264</v>
      </c>
      <c r="C530" s="18" t="s">
        <v>2515</v>
      </c>
      <c r="D530" s="18" t="s">
        <v>2516</v>
      </c>
      <c r="E530" s="18" t="s">
        <v>2517</v>
      </c>
      <c r="F530" s="16">
        <v>27.163364</v>
      </c>
      <c r="G530" s="16">
        <v>-82.340882</v>
      </c>
      <c r="H530" s="16">
        <v>27.144648</v>
      </c>
      <c r="I530" s="17">
        <v>-82.320886</v>
      </c>
      <c r="J530" s="15" t="s">
        <v>2518</v>
      </c>
      <c r="K530" s="15" t="s">
        <v>2519</v>
      </c>
      <c r="L530" s="15">
        <v>1.0</v>
      </c>
      <c r="M530" s="17">
        <v>27.1619</v>
      </c>
      <c r="N530" s="17">
        <v>-82.3354</v>
      </c>
      <c r="O530" s="15" t="s">
        <v>696</v>
      </c>
    </row>
    <row r="531" ht="33.75" customHeight="1">
      <c r="A531" s="24">
        <v>42046.0</v>
      </c>
      <c r="B531" s="18" t="s">
        <v>2264</v>
      </c>
      <c r="C531" s="18" t="s">
        <v>2520</v>
      </c>
      <c r="D531" s="18" t="s">
        <v>2516</v>
      </c>
      <c r="E531" s="18" t="s">
        <v>2517</v>
      </c>
      <c r="F531" s="16">
        <v>27.16336</v>
      </c>
      <c r="G531" s="16">
        <v>-82.340882</v>
      </c>
      <c r="H531" s="16">
        <v>27.144648</v>
      </c>
      <c r="I531" s="17">
        <v>-82.32089</v>
      </c>
      <c r="J531" s="15" t="s">
        <v>2518</v>
      </c>
      <c r="K531" s="15" t="s">
        <v>2519</v>
      </c>
      <c r="L531" s="15">
        <v>2.0</v>
      </c>
      <c r="M531" s="17">
        <v>27.1612</v>
      </c>
      <c r="N531" s="17">
        <v>-82.3356</v>
      </c>
      <c r="O531" s="15" t="s">
        <v>696</v>
      </c>
    </row>
    <row r="532" ht="33.75" customHeight="1">
      <c r="A532" s="24">
        <v>42046.0</v>
      </c>
      <c r="B532" s="18" t="s">
        <v>2264</v>
      </c>
      <c r="C532" s="18" t="s">
        <v>2520</v>
      </c>
      <c r="D532" s="18" t="s">
        <v>2516</v>
      </c>
      <c r="E532" s="18" t="s">
        <v>2517</v>
      </c>
      <c r="F532" s="16">
        <v>27.16336</v>
      </c>
      <c r="G532" s="16">
        <v>-82.340882</v>
      </c>
      <c r="H532" s="16">
        <v>27.144648</v>
      </c>
      <c r="I532" s="17">
        <v>-82.32089</v>
      </c>
      <c r="J532" s="15" t="s">
        <v>2518</v>
      </c>
      <c r="K532" s="15" t="s">
        <v>2519</v>
      </c>
      <c r="L532" s="15">
        <v>3.0</v>
      </c>
      <c r="M532" s="17">
        <v>27.1612</v>
      </c>
      <c r="N532" s="17">
        <v>-82.3355</v>
      </c>
      <c r="O532" s="15" t="s">
        <v>955</v>
      </c>
    </row>
    <row r="533" ht="33.75" customHeight="1">
      <c r="A533" s="24">
        <v>42046.0</v>
      </c>
      <c r="B533" s="18" t="s">
        <v>2264</v>
      </c>
      <c r="C533" s="18" t="s">
        <v>2520</v>
      </c>
      <c r="D533" s="18" t="s">
        <v>2516</v>
      </c>
      <c r="E533" s="18" t="s">
        <v>2517</v>
      </c>
      <c r="F533" s="16">
        <v>27.16336</v>
      </c>
      <c r="G533" s="16">
        <v>-82.340882</v>
      </c>
      <c r="H533" s="16">
        <v>27.144648</v>
      </c>
      <c r="I533" s="17">
        <v>-82.32089</v>
      </c>
      <c r="J533" s="15" t="s">
        <v>2518</v>
      </c>
      <c r="K533" s="15" t="s">
        <v>2519</v>
      </c>
      <c r="L533" s="15">
        <v>4.0</v>
      </c>
      <c r="M533" s="17">
        <v>27.1612</v>
      </c>
      <c r="N533" s="17">
        <v>-82.3349</v>
      </c>
      <c r="O533" s="15" t="s">
        <v>2525</v>
      </c>
    </row>
    <row r="534" ht="33.75" customHeight="1">
      <c r="A534" s="24">
        <v>42046.0</v>
      </c>
      <c r="B534" s="18" t="s">
        <v>2264</v>
      </c>
      <c r="C534" s="18" t="s">
        <v>2520</v>
      </c>
      <c r="D534" s="18" t="s">
        <v>2516</v>
      </c>
      <c r="E534" s="18" t="s">
        <v>2517</v>
      </c>
      <c r="F534" s="16">
        <v>27.16336</v>
      </c>
      <c r="G534" s="16">
        <v>-82.340882</v>
      </c>
      <c r="H534" s="16">
        <v>27.144648</v>
      </c>
      <c r="I534" s="17">
        <v>-82.32089</v>
      </c>
      <c r="J534" s="15" t="s">
        <v>2518</v>
      </c>
      <c r="K534" s="15" t="s">
        <v>2519</v>
      </c>
      <c r="L534" s="15">
        <v>6.0</v>
      </c>
      <c r="M534" s="17">
        <v>27.1559</v>
      </c>
      <c r="N534" s="17">
        <v>-82.3315</v>
      </c>
      <c r="O534" s="15" t="s">
        <v>2528</v>
      </c>
    </row>
    <row r="535" ht="33.75" customHeight="1">
      <c r="A535" s="24">
        <v>42046.0</v>
      </c>
      <c r="B535" s="18" t="s">
        <v>2264</v>
      </c>
      <c r="C535" s="18" t="s">
        <v>2520</v>
      </c>
      <c r="D535" s="18" t="s">
        <v>2516</v>
      </c>
      <c r="E535" s="18" t="s">
        <v>2517</v>
      </c>
      <c r="F535" s="16">
        <v>27.16336</v>
      </c>
      <c r="G535" s="16">
        <v>-82.340882</v>
      </c>
      <c r="H535" s="16">
        <v>27.144648</v>
      </c>
      <c r="I535" s="17">
        <v>-82.32089</v>
      </c>
      <c r="J535" s="15" t="s">
        <v>2518</v>
      </c>
      <c r="K535" s="15" t="s">
        <v>2519</v>
      </c>
      <c r="L535" s="15">
        <v>7.0</v>
      </c>
      <c r="M535" s="17">
        <v>27.1556</v>
      </c>
      <c r="N535" s="17">
        <v>-82.3311</v>
      </c>
      <c r="O535" s="15" t="s">
        <v>2529</v>
      </c>
    </row>
    <row r="536" ht="33.75" customHeight="1">
      <c r="A536" s="24">
        <v>42046.0</v>
      </c>
      <c r="B536" s="18" t="s">
        <v>2264</v>
      </c>
      <c r="C536" s="18" t="s">
        <v>2520</v>
      </c>
      <c r="D536" s="18" t="s">
        <v>2516</v>
      </c>
      <c r="E536" s="18" t="s">
        <v>670</v>
      </c>
      <c r="F536" s="16">
        <v>27.16336</v>
      </c>
      <c r="G536" s="16">
        <v>-82.340882</v>
      </c>
      <c r="H536" s="16">
        <v>27.144648</v>
      </c>
      <c r="I536" s="17">
        <v>-82.32089</v>
      </c>
      <c r="J536" s="15" t="s">
        <v>2518</v>
      </c>
      <c r="K536" s="15" t="s">
        <v>2519</v>
      </c>
      <c r="L536" s="15">
        <v>5.0</v>
      </c>
      <c r="M536" s="17">
        <v>27.1615</v>
      </c>
      <c r="N536" s="17">
        <v>-82.3351</v>
      </c>
      <c r="O536" s="15" t="s">
        <v>615</v>
      </c>
      <c r="P536" s="15" t="s">
        <v>2533</v>
      </c>
    </row>
    <row r="537" ht="33.75" customHeight="1">
      <c r="A537" s="24">
        <v>42043.0</v>
      </c>
      <c r="B537" s="18" t="s">
        <v>2202</v>
      </c>
      <c r="C537" s="18" t="s">
        <v>2204</v>
      </c>
      <c r="D537" s="18" t="s">
        <v>2536</v>
      </c>
      <c r="E537" s="18" t="s">
        <v>670</v>
      </c>
      <c r="F537" s="16">
        <v>27.113247</v>
      </c>
      <c r="G537" s="16">
        <v>-82.468725</v>
      </c>
      <c r="H537" s="16">
        <v>27.20787</v>
      </c>
      <c r="I537" s="17">
        <v>-82.511725</v>
      </c>
      <c r="J537" s="15" t="s">
        <v>2208</v>
      </c>
      <c r="K537" s="15" t="s">
        <v>2537</v>
      </c>
      <c r="L537" s="15">
        <v>1.0</v>
      </c>
      <c r="M537" s="17">
        <v>27.124256</v>
      </c>
      <c r="N537" s="17">
        <v>-82.471258</v>
      </c>
      <c r="O537" s="15" t="s">
        <v>2538</v>
      </c>
    </row>
    <row r="538" ht="33.75" customHeight="1">
      <c r="A538" s="24">
        <v>42043.0</v>
      </c>
      <c r="B538" s="18" t="s">
        <v>2202</v>
      </c>
      <c r="C538" s="18" t="s">
        <v>2204</v>
      </c>
      <c r="D538" s="18" t="s">
        <v>2536</v>
      </c>
      <c r="E538" s="18" t="s">
        <v>670</v>
      </c>
      <c r="F538" s="16">
        <v>27.113247</v>
      </c>
      <c r="G538" s="16">
        <v>-82.468725</v>
      </c>
      <c r="H538" s="16">
        <v>27.20787</v>
      </c>
      <c r="I538" s="17">
        <v>-82.511725</v>
      </c>
      <c r="J538" s="15" t="s">
        <v>2208</v>
      </c>
      <c r="K538" s="15" t="s">
        <v>2537</v>
      </c>
      <c r="L538" s="15">
        <v>2.0</v>
      </c>
      <c r="M538" s="17">
        <v>27.20743</v>
      </c>
      <c r="N538" s="17">
        <v>-82.511641</v>
      </c>
      <c r="O538" s="15" t="s">
        <v>2544</v>
      </c>
    </row>
    <row r="539" ht="33.75" customHeight="1">
      <c r="A539" s="24">
        <v>42041.0</v>
      </c>
      <c r="B539" s="18" t="s">
        <v>2545</v>
      </c>
      <c r="C539" s="18" t="s">
        <v>2546</v>
      </c>
      <c r="D539" s="18" t="s">
        <v>2547</v>
      </c>
      <c r="E539" s="18" t="s">
        <v>670</v>
      </c>
      <c r="F539" s="16">
        <v>26.98767</v>
      </c>
      <c r="G539" s="16">
        <v>-82.40094</v>
      </c>
      <c r="H539" s="16">
        <v>26.97878</v>
      </c>
      <c r="I539" s="17">
        <v>-82.39636</v>
      </c>
      <c r="J539" s="15" t="s">
        <v>2548</v>
      </c>
      <c r="K539" s="15" t="s">
        <v>2549</v>
      </c>
      <c r="M539" s="32"/>
      <c r="N539" s="32"/>
      <c r="O539" s="15" t="s">
        <v>2550</v>
      </c>
      <c r="P539" s="15" t="s">
        <v>2551</v>
      </c>
    </row>
    <row r="540" ht="33.75" customHeight="1">
      <c r="A540" s="24">
        <v>42045.0</v>
      </c>
      <c r="B540" s="18" t="s">
        <v>2257</v>
      </c>
      <c r="C540" s="18" t="s">
        <v>2552</v>
      </c>
      <c r="D540" s="18" t="s">
        <v>2259</v>
      </c>
      <c r="E540" s="18" t="s">
        <v>670</v>
      </c>
      <c r="F540" s="16">
        <v>27.009942</v>
      </c>
      <c r="G540" s="16">
        <v>-82.412841</v>
      </c>
      <c r="H540" s="16">
        <v>27.016615</v>
      </c>
      <c r="I540" s="17">
        <v>-82.41678</v>
      </c>
      <c r="J540" s="15" t="s">
        <v>2261</v>
      </c>
      <c r="K540" s="15" t="s">
        <v>2262</v>
      </c>
      <c r="L540" s="15">
        <v>1.0</v>
      </c>
      <c r="M540" s="17">
        <v>27.0105287</v>
      </c>
      <c r="N540" s="17">
        <v>-82.4129963</v>
      </c>
      <c r="O540" s="15" t="s">
        <v>2553</v>
      </c>
    </row>
    <row r="541" ht="33.75" customHeight="1">
      <c r="A541" s="24">
        <v>42044.0</v>
      </c>
      <c r="B541" s="18" t="s">
        <v>1586</v>
      </c>
      <c r="C541" s="18" t="s">
        <v>1587</v>
      </c>
      <c r="D541" s="18" t="s">
        <v>1588</v>
      </c>
      <c r="E541" s="18" t="s">
        <v>670</v>
      </c>
      <c r="F541" s="16">
        <v>27.055</v>
      </c>
      <c r="G541" s="16">
        <v>-82.4418</v>
      </c>
      <c r="H541" s="16">
        <v>27.04481</v>
      </c>
      <c r="I541" s="17">
        <v>-82.43491</v>
      </c>
      <c r="J541" s="15" t="s">
        <v>2241</v>
      </c>
      <c r="K541" s="15" t="s">
        <v>2242</v>
      </c>
      <c r="L541" s="15" t="s">
        <v>2560</v>
      </c>
      <c r="M541" s="17" t="s">
        <v>2424</v>
      </c>
      <c r="N541" s="17" t="s">
        <v>2424</v>
      </c>
      <c r="O541" s="15" t="s">
        <v>2428</v>
      </c>
    </row>
    <row r="542" ht="33.75" customHeight="1">
      <c r="A542" s="26">
        <v>42047.0</v>
      </c>
      <c r="B542" s="18" t="s">
        <v>2564</v>
      </c>
      <c r="C542" s="18" t="s">
        <v>2565</v>
      </c>
      <c r="D542" s="18" t="s">
        <v>2566</v>
      </c>
      <c r="E542" s="18" t="s">
        <v>670</v>
      </c>
      <c r="F542" s="18">
        <v>26.97865</v>
      </c>
      <c r="G542" s="18">
        <v>-82.39631</v>
      </c>
      <c r="H542" s="15">
        <v>26.98763</v>
      </c>
      <c r="I542" s="15">
        <v>-82.40113</v>
      </c>
      <c r="J542" s="15" t="s">
        <v>2567</v>
      </c>
      <c r="K542" s="15" t="s">
        <v>2568</v>
      </c>
      <c r="O542" s="15" t="s">
        <v>2569</v>
      </c>
      <c r="P542" s="32"/>
    </row>
    <row r="543" ht="33.75" customHeight="1">
      <c r="A543" s="26">
        <v>42044.0</v>
      </c>
      <c r="B543" s="18" t="s">
        <v>2231</v>
      </c>
      <c r="C543" s="18" t="s">
        <v>2232</v>
      </c>
      <c r="D543" s="18" t="s">
        <v>2233</v>
      </c>
      <c r="E543" s="18" t="s">
        <v>670</v>
      </c>
      <c r="F543" s="18">
        <v>27.03676</v>
      </c>
      <c r="G543" s="18">
        <v>-82.42938</v>
      </c>
      <c r="H543" s="18">
        <v>27.04481</v>
      </c>
      <c r="I543" s="17">
        <v>-82.43491</v>
      </c>
      <c r="J543" s="15" t="s">
        <v>2236</v>
      </c>
      <c r="K543" s="15" t="s">
        <v>2237</v>
      </c>
      <c r="O543" s="15" t="s">
        <v>2571</v>
      </c>
      <c r="P543" s="32"/>
    </row>
    <row r="544" ht="33.75" customHeight="1">
      <c r="A544" s="24">
        <v>42045.0</v>
      </c>
      <c r="B544" s="18" t="s">
        <v>2573</v>
      </c>
      <c r="C544" s="18" t="s">
        <v>2292</v>
      </c>
      <c r="D544" s="18" t="s">
        <v>2293</v>
      </c>
      <c r="E544" s="18" t="s">
        <v>2294</v>
      </c>
      <c r="F544" s="16">
        <v>29.859454</v>
      </c>
      <c r="G544" s="16">
        <v>-81.265247</v>
      </c>
      <c r="H544" s="16">
        <v>29.87369</v>
      </c>
      <c r="I544" s="17">
        <v>-81.27029</v>
      </c>
      <c r="J544" s="15" t="s">
        <v>2295</v>
      </c>
      <c r="K544" s="15" t="s">
        <v>2296</v>
      </c>
      <c r="L544" s="15">
        <v>1.0</v>
      </c>
      <c r="M544" s="17">
        <v>29.8596</v>
      </c>
      <c r="N544" s="17">
        <v>-81.2656</v>
      </c>
      <c r="O544" s="15" t="s">
        <v>2574</v>
      </c>
      <c r="P544" s="15" t="s">
        <v>2575</v>
      </c>
    </row>
    <row r="545" ht="33.75" customHeight="1">
      <c r="A545" s="24">
        <v>42045.0</v>
      </c>
      <c r="B545" s="18" t="s">
        <v>2573</v>
      </c>
      <c r="C545" s="18" t="s">
        <v>2292</v>
      </c>
      <c r="D545" s="18" t="s">
        <v>2302</v>
      </c>
      <c r="E545" s="18" t="s">
        <v>2294</v>
      </c>
      <c r="F545" s="16">
        <v>29.87369</v>
      </c>
      <c r="G545" s="16">
        <v>-81.27029</v>
      </c>
      <c r="H545" s="16">
        <v>29.9055597</v>
      </c>
      <c r="I545" s="17">
        <v>-81.29371</v>
      </c>
      <c r="J545" s="15" t="s">
        <v>2576</v>
      </c>
      <c r="K545" s="15" t="s">
        <v>2296</v>
      </c>
      <c r="L545" s="15">
        <v>1.0</v>
      </c>
      <c r="M545" s="17">
        <v>29.87506</v>
      </c>
      <c r="N545" s="17">
        <v>-81.27029</v>
      </c>
      <c r="O545" s="15" t="s">
        <v>2577</v>
      </c>
      <c r="P545" s="15" t="s">
        <v>2578</v>
      </c>
    </row>
    <row r="546" ht="33.75" customHeight="1">
      <c r="A546" s="24">
        <v>42045.0</v>
      </c>
      <c r="B546" s="18" t="s">
        <v>2573</v>
      </c>
      <c r="C546" s="18" t="s">
        <v>2292</v>
      </c>
      <c r="D546" s="18" t="s">
        <v>2302</v>
      </c>
      <c r="E546" s="18" t="s">
        <v>2294</v>
      </c>
      <c r="F546" s="16">
        <v>29.87369</v>
      </c>
      <c r="G546" s="16">
        <v>-81.27029</v>
      </c>
      <c r="H546" s="16">
        <v>29.9055597</v>
      </c>
      <c r="I546" s="17">
        <v>-81.29371</v>
      </c>
      <c r="J546" s="15" t="s">
        <v>2576</v>
      </c>
      <c r="K546" s="15" t="s">
        <v>2296</v>
      </c>
      <c r="L546" s="15">
        <v>2.0</v>
      </c>
      <c r="M546" s="17">
        <v>29.87895</v>
      </c>
      <c r="N546" s="17">
        <v>-81.27136</v>
      </c>
      <c r="O546" s="15" t="s">
        <v>2579</v>
      </c>
      <c r="P546" s="15" t="s">
        <v>2580</v>
      </c>
    </row>
    <row r="547" ht="33.75" customHeight="1">
      <c r="A547" s="24">
        <v>42045.0</v>
      </c>
      <c r="B547" s="18" t="s">
        <v>2573</v>
      </c>
      <c r="C547" s="18" t="s">
        <v>2292</v>
      </c>
      <c r="D547" s="18" t="s">
        <v>2302</v>
      </c>
      <c r="E547" s="18" t="s">
        <v>2294</v>
      </c>
      <c r="F547" s="16">
        <v>29.87369</v>
      </c>
      <c r="G547" s="16">
        <v>-81.27029</v>
      </c>
      <c r="H547" s="16">
        <v>29.9055597</v>
      </c>
      <c r="I547" s="17">
        <v>-81.29371</v>
      </c>
      <c r="J547" s="15" t="s">
        <v>2576</v>
      </c>
      <c r="K547" s="15" t="s">
        <v>2296</v>
      </c>
      <c r="L547" s="15">
        <v>3.0</v>
      </c>
      <c r="M547" s="17">
        <v>29.88643</v>
      </c>
      <c r="N547" s="17">
        <v>-81.2736</v>
      </c>
      <c r="O547" s="15" t="s">
        <v>2581</v>
      </c>
      <c r="P547" s="15" t="s">
        <v>2582</v>
      </c>
    </row>
    <row r="548" ht="33.75" customHeight="1">
      <c r="A548" s="24">
        <v>42045.0</v>
      </c>
      <c r="B548" s="18" t="s">
        <v>2573</v>
      </c>
      <c r="C548" s="18" t="s">
        <v>2292</v>
      </c>
      <c r="D548" s="18" t="s">
        <v>2302</v>
      </c>
      <c r="E548" s="18" t="s">
        <v>2294</v>
      </c>
      <c r="F548" s="16">
        <v>29.87369</v>
      </c>
      <c r="G548" s="16">
        <v>-81.27029</v>
      </c>
      <c r="H548" s="16">
        <v>29.9055597</v>
      </c>
      <c r="I548" s="17">
        <v>-81.29371</v>
      </c>
      <c r="J548" s="15" t="s">
        <v>2576</v>
      </c>
      <c r="K548" s="15" t="s">
        <v>2296</v>
      </c>
      <c r="L548" s="15">
        <v>4.0</v>
      </c>
      <c r="M548" s="17">
        <v>29.90778</v>
      </c>
      <c r="N548" s="17">
        <v>-81.28211</v>
      </c>
      <c r="O548" s="15" t="s">
        <v>2583</v>
      </c>
      <c r="P548" s="15" t="s">
        <v>2584</v>
      </c>
    </row>
    <row r="549" ht="33.75" customHeight="1">
      <c r="A549" s="24">
        <v>42045.0</v>
      </c>
      <c r="B549" s="18" t="s">
        <v>2573</v>
      </c>
      <c r="C549" s="18" t="s">
        <v>2292</v>
      </c>
      <c r="D549" s="18" t="s">
        <v>2313</v>
      </c>
      <c r="E549" s="18" t="s">
        <v>2294</v>
      </c>
      <c r="F549" s="16">
        <v>29.9055597</v>
      </c>
      <c r="G549" s="16">
        <v>-81.29371</v>
      </c>
      <c r="H549" s="16">
        <v>29.895122</v>
      </c>
      <c r="I549" s="17">
        <v>-81.2913</v>
      </c>
      <c r="J549" s="15" t="s">
        <v>2592</v>
      </c>
      <c r="K549" s="15" t="s">
        <v>2296</v>
      </c>
      <c r="M549" s="17" t="s">
        <v>1696</v>
      </c>
      <c r="N549" s="32"/>
      <c r="P549" s="15" t="s">
        <v>2593</v>
      </c>
    </row>
    <row r="550" ht="33.75" customHeight="1">
      <c r="A550" s="24">
        <v>42046.0</v>
      </c>
      <c r="B550" s="18" t="s">
        <v>2317</v>
      </c>
      <c r="C550" s="18" t="s">
        <v>2318</v>
      </c>
      <c r="D550" s="18" t="s">
        <v>2319</v>
      </c>
      <c r="E550" s="18" t="s">
        <v>2294</v>
      </c>
      <c r="F550" s="16">
        <v>29.940195</v>
      </c>
      <c r="G550" s="16">
        <v>-81.300102</v>
      </c>
      <c r="H550" s="16">
        <v>29.989384</v>
      </c>
      <c r="I550" s="17">
        <v>-81.3144</v>
      </c>
      <c r="J550" s="15" t="s">
        <v>2321</v>
      </c>
      <c r="K550" s="15" t="s">
        <v>2322</v>
      </c>
      <c r="L550" s="15">
        <v>1.0</v>
      </c>
      <c r="M550" s="17">
        <v>29.940623</v>
      </c>
      <c r="N550" s="17">
        <v>-81.300277</v>
      </c>
      <c r="O550" s="15" t="s">
        <v>2596</v>
      </c>
      <c r="P550" s="15" t="s">
        <v>2599</v>
      </c>
    </row>
    <row r="551" ht="33.75" customHeight="1">
      <c r="A551" s="14">
        <v>42047.0</v>
      </c>
      <c r="B551" s="15" t="s">
        <v>2600</v>
      </c>
      <c r="C551" s="15" t="s">
        <v>2601</v>
      </c>
      <c r="D551" s="15" t="s">
        <v>2602</v>
      </c>
      <c r="E551" s="15" t="s">
        <v>2294</v>
      </c>
      <c r="F551" s="15">
        <v>29.706222</v>
      </c>
      <c r="G551" s="15">
        <v>-81.2318</v>
      </c>
      <c r="H551" s="15">
        <v>29.706222</v>
      </c>
      <c r="I551" s="15">
        <v>-81.2318</v>
      </c>
      <c r="J551" s="15" t="s">
        <v>2605</v>
      </c>
      <c r="K551" s="15" t="s">
        <v>2606</v>
      </c>
      <c r="M551" s="15">
        <v>29.706222</v>
      </c>
      <c r="N551" s="15">
        <v>-81.2318</v>
      </c>
      <c r="O551" s="15" t="s">
        <v>2607</v>
      </c>
    </row>
    <row r="552" ht="33.75" customHeight="1">
      <c r="A552" s="24">
        <v>42047.0</v>
      </c>
      <c r="B552" s="18" t="s">
        <v>2600</v>
      </c>
      <c r="C552" s="18" t="s">
        <v>2601</v>
      </c>
      <c r="D552" s="18" t="s">
        <v>2602</v>
      </c>
      <c r="E552" s="18" t="s">
        <v>2294</v>
      </c>
      <c r="F552" s="16">
        <v>29.706222</v>
      </c>
      <c r="G552" s="16">
        <v>-81.2318</v>
      </c>
      <c r="H552" s="16">
        <v>29.706222</v>
      </c>
      <c r="I552" s="17">
        <v>-81.2318</v>
      </c>
      <c r="J552" s="15" t="s">
        <v>2608</v>
      </c>
      <c r="K552" s="15" t="s">
        <v>2606</v>
      </c>
      <c r="M552" s="17">
        <v>29.706222</v>
      </c>
      <c r="N552" s="17">
        <v>-81.2318</v>
      </c>
      <c r="O552" s="15" t="s">
        <v>2609</v>
      </c>
    </row>
    <row r="553" ht="33.75" customHeight="1">
      <c r="A553" s="24">
        <v>42045.0</v>
      </c>
      <c r="B553" s="18" t="s">
        <v>2376</v>
      </c>
      <c r="C553" s="18" t="s">
        <v>1725</v>
      </c>
      <c r="D553" s="18" t="s">
        <v>2610</v>
      </c>
      <c r="E553" s="18" t="s">
        <v>2361</v>
      </c>
      <c r="F553" s="16">
        <v>27.1641</v>
      </c>
      <c r="G553" s="16">
        <v>-80.1613</v>
      </c>
      <c r="H553" s="16">
        <v>27.1637</v>
      </c>
      <c r="I553" s="17">
        <v>-80.167</v>
      </c>
      <c r="J553" s="15" t="s">
        <v>2379</v>
      </c>
      <c r="K553" s="15" t="s">
        <v>2611</v>
      </c>
      <c r="L553" s="15" t="s">
        <v>853</v>
      </c>
      <c r="M553" s="32"/>
      <c r="N553" s="32"/>
    </row>
    <row r="554" ht="33.75" customHeight="1">
      <c r="A554" s="24">
        <v>42045.0</v>
      </c>
      <c r="B554" s="18" t="s">
        <v>2376</v>
      </c>
      <c r="C554" s="18" t="s">
        <v>1725</v>
      </c>
      <c r="D554" s="18" t="s">
        <v>2612</v>
      </c>
      <c r="E554" s="18" t="s">
        <v>2361</v>
      </c>
      <c r="F554" s="16">
        <v>27.1632</v>
      </c>
      <c r="G554" s="16">
        <v>-80.1579</v>
      </c>
      <c r="H554" s="16">
        <v>27.1307</v>
      </c>
      <c r="I554" s="17">
        <v>80.1452</v>
      </c>
      <c r="J554" s="15" t="s">
        <v>2386</v>
      </c>
      <c r="K554" s="15" t="s">
        <v>2611</v>
      </c>
      <c r="L554" s="15" t="s">
        <v>853</v>
      </c>
      <c r="M554" s="32"/>
      <c r="N554" s="32"/>
    </row>
    <row r="555" ht="33.75" customHeight="1">
      <c r="A555" s="24">
        <v>42041.0</v>
      </c>
      <c r="B555" s="18" t="s">
        <v>2359</v>
      </c>
      <c r="C555" s="18" t="s">
        <v>1725</v>
      </c>
      <c r="D555" s="18" t="s">
        <v>2616</v>
      </c>
      <c r="E555" s="18" t="s">
        <v>2361</v>
      </c>
      <c r="F555" s="16">
        <v>27.5345</v>
      </c>
      <c r="G555" s="16">
        <v>-80.3145</v>
      </c>
      <c r="H555" s="16">
        <v>27.5553</v>
      </c>
      <c r="I555" s="17">
        <v>-80.3212</v>
      </c>
      <c r="J555" s="15" t="s">
        <v>2365</v>
      </c>
      <c r="K555" s="15" t="s">
        <v>2366</v>
      </c>
      <c r="L555" s="15" t="s">
        <v>853</v>
      </c>
      <c r="M555" s="32"/>
      <c r="N555" s="32"/>
    </row>
    <row r="556" ht="33.75" customHeight="1">
      <c r="A556" s="24">
        <v>42041.0</v>
      </c>
      <c r="B556" s="18" t="s">
        <v>2359</v>
      </c>
      <c r="C556" s="18" t="s">
        <v>1725</v>
      </c>
      <c r="D556" s="18" t="s">
        <v>2372</v>
      </c>
      <c r="E556" s="18" t="s">
        <v>2361</v>
      </c>
      <c r="F556" s="16">
        <v>27.4714</v>
      </c>
      <c r="G556" s="16">
        <v>-80.2979</v>
      </c>
      <c r="H556" s="16">
        <v>27.4789</v>
      </c>
      <c r="I556" s="17">
        <v>-80.2928</v>
      </c>
      <c r="J556" s="15" t="s">
        <v>2373</v>
      </c>
      <c r="K556" s="15" t="s">
        <v>2366</v>
      </c>
      <c r="L556" s="15">
        <v>1.0</v>
      </c>
      <c r="M556" s="17">
        <v>27.4735</v>
      </c>
      <c r="N556" s="17">
        <v>-80.29</v>
      </c>
      <c r="O556" s="15" t="s">
        <v>2619</v>
      </c>
      <c r="P556" s="15" t="s">
        <v>2620</v>
      </c>
    </row>
    <row r="557" ht="33.75" customHeight="1">
      <c r="A557" s="24">
        <v>42041.0</v>
      </c>
      <c r="B557" s="18" t="s">
        <v>2621</v>
      </c>
      <c r="C557" s="18" t="s">
        <v>2622</v>
      </c>
      <c r="D557" s="18" t="s">
        <v>2623</v>
      </c>
      <c r="E557" s="18" t="s">
        <v>111</v>
      </c>
      <c r="F557" s="17">
        <v>29.85778</v>
      </c>
      <c r="G557" s="16">
        <v>-81.265174</v>
      </c>
      <c r="H557" s="16">
        <v>29.8447</v>
      </c>
      <c r="I557" s="17">
        <v>-81.2645</v>
      </c>
      <c r="J557" s="15" t="s">
        <v>2625</v>
      </c>
      <c r="K557" s="15" t="s">
        <v>2626</v>
      </c>
      <c r="L557" s="15">
        <v>1.0</v>
      </c>
      <c r="M557" s="17">
        <v>29.850276</v>
      </c>
      <c r="N557" s="17">
        <v>-81.265272</v>
      </c>
      <c r="O557" s="15" t="s">
        <v>2628</v>
      </c>
      <c r="P557" s="15" t="s">
        <v>2629</v>
      </c>
    </row>
    <row r="558" ht="33.75" customHeight="1">
      <c r="A558" s="24">
        <v>42041.0</v>
      </c>
      <c r="B558" s="18" t="s">
        <v>2413</v>
      </c>
      <c r="C558" s="18" t="s">
        <v>2414</v>
      </c>
      <c r="D558" s="18" t="s">
        <v>2415</v>
      </c>
      <c r="E558" s="18" t="s">
        <v>111</v>
      </c>
      <c r="F558" s="16">
        <v>29.916989</v>
      </c>
      <c r="G558" s="16">
        <v>-81.289483</v>
      </c>
      <c r="H558" s="16">
        <v>29.91008</v>
      </c>
      <c r="I558" s="17">
        <v>-81.294311</v>
      </c>
      <c r="J558" s="15" t="s">
        <v>2632</v>
      </c>
      <c r="K558" s="15" t="s">
        <v>2419</v>
      </c>
      <c r="L558" s="15">
        <v>1.0</v>
      </c>
      <c r="M558" s="17">
        <v>29.916159</v>
      </c>
      <c r="N558" s="17">
        <v>-81.289129</v>
      </c>
      <c r="O558" s="15" t="s">
        <v>2633</v>
      </c>
      <c r="P558" s="15" t="s">
        <v>2634</v>
      </c>
    </row>
    <row r="559" ht="33.75" customHeight="1">
      <c r="A559" s="24">
        <v>42046.0</v>
      </c>
      <c r="B559" s="18" t="s">
        <v>2448</v>
      </c>
      <c r="C559" s="18" t="s">
        <v>109</v>
      </c>
      <c r="D559" s="18" t="s">
        <v>2635</v>
      </c>
      <c r="E559" s="18" t="s">
        <v>111</v>
      </c>
      <c r="F559" s="16">
        <v>29.7975277</v>
      </c>
      <c r="G559" s="16">
        <v>-81.2716305</v>
      </c>
      <c r="H559" s="16">
        <v>29.7975277</v>
      </c>
      <c r="I559" s="17">
        <v>-81.2716305</v>
      </c>
      <c r="J559" s="15" t="s">
        <v>2636</v>
      </c>
      <c r="K559" s="15" t="s">
        <v>2519</v>
      </c>
      <c r="L559" s="15">
        <v>1.0</v>
      </c>
      <c r="M559" s="17">
        <v>29.79753</v>
      </c>
      <c r="N559" s="17">
        <v>-81.27163</v>
      </c>
      <c r="O559" s="15" t="s">
        <v>2637</v>
      </c>
      <c r="P559" s="15" t="s">
        <v>2638</v>
      </c>
    </row>
    <row r="560" ht="33.75" customHeight="1">
      <c r="A560" s="24">
        <v>42046.0</v>
      </c>
      <c r="B560" s="18" t="s">
        <v>2639</v>
      </c>
      <c r="C560" s="18" t="s">
        <v>109</v>
      </c>
      <c r="D560" s="18" t="s">
        <v>2640</v>
      </c>
      <c r="E560" s="18" t="s">
        <v>111</v>
      </c>
      <c r="F560" s="16">
        <v>29.79081</v>
      </c>
      <c r="G560" s="16">
        <v>-81.269414</v>
      </c>
      <c r="H560" s="16">
        <v>29.79081</v>
      </c>
      <c r="I560" s="17">
        <v>-81.269414</v>
      </c>
      <c r="J560" s="15" t="s">
        <v>2642</v>
      </c>
      <c r="K560" s="15" t="s">
        <v>2519</v>
      </c>
      <c r="L560" s="15">
        <v>2.0</v>
      </c>
      <c r="M560" s="17">
        <v>29.79081</v>
      </c>
      <c r="N560" s="17">
        <v>-81.269414</v>
      </c>
      <c r="O560" s="15" t="s">
        <v>2643</v>
      </c>
    </row>
    <row r="561" ht="33.75" customHeight="1">
      <c r="A561" s="24">
        <v>42042.0</v>
      </c>
      <c r="B561" s="18" t="s">
        <v>2438</v>
      </c>
      <c r="C561" s="18" t="s">
        <v>2646</v>
      </c>
      <c r="D561" s="18" t="s">
        <v>2647</v>
      </c>
      <c r="E561" s="18" t="s">
        <v>111</v>
      </c>
      <c r="F561" s="16">
        <v>30.01975</v>
      </c>
      <c r="G561" s="16">
        <v>-81.321756</v>
      </c>
      <c r="H561" s="16">
        <v>30.126825</v>
      </c>
      <c r="I561" s="17">
        <v>-81.347408</v>
      </c>
      <c r="J561" s="15" t="s">
        <v>2648</v>
      </c>
      <c r="K561" s="15" t="s">
        <v>2444</v>
      </c>
      <c r="M561" s="32"/>
      <c r="N561" s="32"/>
    </row>
    <row r="562" ht="33.75" customHeight="1">
      <c r="A562" s="24">
        <v>42046.0</v>
      </c>
      <c r="B562" s="18" t="s">
        <v>2466</v>
      </c>
      <c r="C562" s="18" t="s">
        <v>1008</v>
      </c>
      <c r="D562" s="18" t="s">
        <v>2649</v>
      </c>
      <c r="E562" s="18" t="s">
        <v>111</v>
      </c>
      <c r="F562" s="16">
        <v>29.9105556</v>
      </c>
      <c r="G562" s="16">
        <v>-81.294444</v>
      </c>
      <c r="H562" s="16">
        <v>29.9405556</v>
      </c>
      <c r="I562" s="17">
        <v>-81.3002778</v>
      </c>
      <c r="J562" s="15" t="s">
        <v>2650</v>
      </c>
      <c r="K562" s="15" t="s">
        <v>2470</v>
      </c>
      <c r="L562" s="15">
        <v>1.0</v>
      </c>
      <c r="M562" s="17">
        <v>29.9172222</v>
      </c>
      <c r="N562" s="17">
        <v>-81.29</v>
      </c>
      <c r="O562" s="15" t="s">
        <v>2651</v>
      </c>
      <c r="P562" s="15" t="s">
        <v>2652</v>
      </c>
    </row>
    <row r="563" ht="33.75" customHeight="1">
      <c r="A563" s="24">
        <v>42047.0</v>
      </c>
      <c r="B563" s="18" t="s">
        <v>2482</v>
      </c>
      <c r="C563" s="18" t="s">
        <v>2483</v>
      </c>
      <c r="D563" s="18" t="s">
        <v>2484</v>
      </c>
      <c r="E563" s="18" t="s">
        <v>111</v>
      </c>
      <c r="F563" s="16">
        <v>29.71822475</v>
      </c>
      <c r="G563" s="16">
        <v>-81.2311787</v>
      </c>
      <c r="H563" s="16">
        <v>29.85936877</v>
      </c>
      <c r="I563" s="17">
        <v>-81.26542406</v>
      </c>
      <c r="J563" s="15" t="s">
        <v>2487</v>
      </c>
      <c r="K563" s="15" t="s">
        <v>2488</v>
      </c>
      <c r="L563" s="15">
        <v>1.0</v>
      </c>
      <c r="M563" s="17">
        <v>29.718703</v>
      </c>
      <c r="N563" s="17">
        <v>-81.231255</v>
      </c>
      <c r="O563" s="15" t="s">
        <v>2654</v>
      </c>
      <c r="P563" s="15" t="s">
        <v>1259</v>
      </c>
    </row>
    <row r="564" ht="33.75" customHeight="1">
      <c r="A564" s="24">
        <v>42047.0</v>
      </c>
      <c r="B564" s="18" t="s">
        <v>2482</v>
      </c>
      <c r="C564" s="18" t="s">
        <v>2483</v>
      </c>
      <c r="D564" s="18" t="s">
        <v>2484</v>
      </c>
      <c r="E564" s="18" t="s">
        <v>111</v>
      </c>
      <c r="F564" s="16">
        <v>29.71822475</v>
      </c>
      <c r="G564" s="16">
        <v>-81.2311787</v>
      </c>
      <c r="H564" s="16">
        <v>29.85936877</v>
      </c>
      <c r="I564" s="17">
        <v>-81.26542406</v>
      </c>
      <c r="J564" s="15" t="s">
        <v>2487</v>
      </c>
      <c r="K564" s="15" t="s">
        <v>2488</v>
      </c>
      <c r="L564" s="15">
        <v>2.0</v>
      </c>
      <c r="M564" s="17">
        <v>29.76059</v>
      </c>
      <c r="N564" s="17">
        <v>-81.248491</v>
      </c>
      <c r="O564" s="15" t="s">
        <v>2657</v>
      </c>
      <c r="P564" s="15" t="s">
        <v>1259</v>
      </c>
    </row>
    <row r="565" ht="33.75" customHeight="1">
      <c r="A565" s="24">
        <v>42047.0</v>
      </c>
      <c r="B565" s="18" t="s">
        <v>2482</v>
      </c>
      <c r="C565" s="18" t="s">
        <v>2483</v>
      </c>
      <c r="D565" s="18" t="s">
        <v>2484</v>
      </c>
      <c r="E565" s="18" t="s">
        <v>111</v>
      </c>
      <c r="F565" s="16">
        <v>29.71822475</v>
      </c>
      <c r="G565" s="16">
        <v>-81.2311787</v>
      </c>
      <c r="H565" s="16">
        <v>29.85936877</v>
      </c>
      <c r="I565" s="17">
        <v>-81.26542406</v>
      </c>
      <c r="J565" s="15" t="s">
        <v>2487</v>
      </c>
      <c r="K565" s="15" t="s">
        <v>2488</v>
      </c>
      <c r="L565" s="15">
        <v>3.0</v>
      </c>
      <c r="M565" s="17">
        <v>29.777927</v>
      </c>
      <c r="N565" s="17">
        <v>-81.254413</v>
      </c>
      <c r="O565" s="15" t="s">
        <v>2658</v>
      </c>
      <c r="P565" s="15" t="s">
        <v>1259</v>
      </c>
    </row>
    <row r="566" ht="33.75" customHeight="1">
      <c r="A566" s="24">
        <v>42047.0</v>
      </c>
      <c r="B566" s="18" t="s">
        <v>2482</v>
      </c>
      <c r="C566" s="18" t="s">
        <v>2483</v>
      </c>
      <c r="D566" s="18" t="s">
        <v>2484</v>
      </c>
      <c r="E566" s="18" t="s">
        <v>111</v>
      </c>
      <c r="F566" s="16">
        <v>29.71822475</v>
      </c>
      <c r="G566" s="16">
        <v>-81.2311787</v>
      </c>
      <c r="H566" s="16">
        <v>29.85936877</v>
      </c>
      <c r="I566" s="17">
        <v>-81.26542406</v>
      </c>
      <c r="J566" s="15" t="s">
        <v>2487</v>
      </c>
      <c r="K566" s="15" t="s">
        <v>2488</v>
      </c>
      <c r="L566" s="15">
        <v>4.0</v>
      </c>
      <c r="M566" s="17">
        <v>29.78744</v>
      </c>
      <c r="N566" s="17">
        <v>-81.256824</v>
      </c>
      <c r="O566" s="15" t="s">
        <v>2660</v>
      </c>
      <c r="P566" s="15" t="s">
        <v>1259</v>
      </c>
    </row>
    <row r="567" ht="33.75" customHeight="1">
      <c r="A567" s="24">
        <v>42047.0</v>
      </c>
      <c r="B567" s="18" t="s">
        <v>2482</v>
      </c>
      <c r="C567" s="18" t="s">
        <v>2483</v>
      </c>
      <c r="D567" s="18" t="s">
        <v>2484</v>
      </c>
      <c r="E567" s="18" t="s">
        <v>111</v>
      </c>
      <c r="F567" s="16">
        <v>29.71822475</v>
      </c>
      <c r="G567" s="16">
        <v>-81.2311787</v>
      </c>
      <c r="H567" s="16">
        <v>29.85936877</v>
      </c>
      <c r="I567" s="17">
        <v>-81.26542406</v>
      </c>
      <c r="J567" s="15" t="s">
        <v>2487</v>
      </c>
      <c r="K567" s="15" t="s">
        <v>2488</v>
      </c>
      <c r="L567" s="15">
        <v>5.0</v>
      </c>
      <c r="M567" s="17">
        <v>29.848095</v>
      </c>
      <c r="N567" s="17">
        <v>-81.264239</v>
      </c>
      <c r="O567" s="15" t="s">
        <v>2663</v>
      </c>
      <c r="P567" s="15" t="s">
        <v>1259</v>
      </c>
    </row>
    <row r="568" ht="33.75" customHeight="1">
      <c r="A568" s="24">
        <v>42046.0</v>
      </c>
      <c r="B568" s="18" t="s">
        <v>2474</v>
      </c>
      <c r="C568" s="18" t="s">
        <v>2664</v>
      </c>
      <c r="D568" s="18" t="s">
        <v>2665</v>
      </c>
      <c r="E568" s="18" t="s">
        <v>111</v>
      </c>
      <c r="F568" s="16">
        <v>30.16213</v>
      </c>
      <c r="G568" s="16">
        <v>-81.355802</v>
      </c>
      <c r="H568" s="16">
        <v>30.127088</v>
      </c>
      <c r="I568" s="17">
        <v>-81.347136</v>
      </c>
      <c r="J568" s="15" t="s">
        <v>2666</v>
      </c>
      <c r="K568" s="15" t="s">
        <v>2667</v>
      </c>
      <c r="L568" s="15">
        <v>1.0</v>
      </c>
      <c r="M568" s="17">
        <v>30.16461</v>
      </c>
      <c r="N568" s="17">
        <v>-81.356311</v>
      </c>
      <c r="O568" s="15" t="s">
        <v>2668</v>
      </c>
      <c r="P568" s="15" t="s">
        <v>499</v>
      </c>
    </row>
    <row r="569" ht="33.75" customHeight="1">
      <c r="A569" s="24">
        <v>42046.0</v>
      </c>
      <c r="B569" s="18" t="s">
        <v>2474</v>
      </c>
      <c r="C569" s="18" t="s">
        <v>2664</v>
      </c>
      <c r="D569" s="18" t="s">
        <v>2665</v>
      </c>
      <c r="E569" s="18" t="s">
        <v>111</v>
      </c>
      <c r="F569" s="16">
        <v>30.16213</v>
      </c>
      <c r="G569" s="16">
        <v>-81.35582</v>
      </c>
      <c r="H569" s="16">
        <v>30.127088</v>
      </c>
      <c r="I569" s="17">
        <v>-81.347136</v>
      </c>
      <c r="J569" s="15" t="s">
        <v>2666</v>
      </c>
      <c r="K569" s="15" t="s">
        <v>2667</v>
      </c>
      <c r="L569" s="15">
        <v>2.0</v>
      </c>
      <c r="M569" s="17">
        <v>30.243892</v>
      </c>
      <c r="N569" s="17">
        <v>-81.378302</v>
      </c>
      <c r="O569" s="15" t="s">
        <v>2675</v>
      </c>
      <c r="P569" s="15" t="s">
        <v>499</v>
      </c>
    </row>
    <row r="570" ht="33.75" customHeight="1">
      <c r="A570" s="28" t="s">
        <v>280</v>
      </c>
      <c r="B570" s="28" t="s">
        <v>290</v>
      </c>
      <c r="C570" s="28" t="s">
        <v>292</v>
      </c>
      <c r="D570" s="28" t="s">
        <v>293</v>
      </c>
      <c r="E570" s="28" t="s">
        <v>294</v>
      </c>
      <c r="F570" s="61">
        <v>27.3226</v>
      </c>
      <c r="G570" s="61">
        <v>-80.1911</v>
      </c>
      <c r="H570" s="61">
        <v>27.3333</v>
      </c>
      <c r="I570" s="61">
        <v>-80.1928</v>
      </c>
      <c r="J570" s="28" t="s">
        <v>2498</v>
      </c>
      <c r="K570" s="28" t="s">
        <v>2500</v>
      </c>
      <c r="L570" s="28">
        <v>1.0</v>
      </c>
      <c r="M570" s="61">
        <v>27.3226</v>
      </c>
      <c r="N570" s="61">
        <v>-80.1911</v>
      </c>
      <c r="O570" s="28" t="s">
        <v>2678</v>
      </c>
      <c r="P570" s="28" t="s">
        <v>2679</v>
      </c>
      <c r="Q570" s="29"/>
      <c r="R570" s="29"/>
    </row>
    <row r="571" ht="33.75" customHeight="1">
      <c r="A571" s="24">
        <v>42045.0</v>
      </c>
      <c r="B571" s="18" t="s">
        <v>2681</v>
      </c>
      <c r="C571" s="18" t="s">
        <v>2682</v>
      </c>
      <c r="D571" s="18" t="s">
        <v>2683</v>
      </c>
      <c r="E571" s="18" t="s">
        <v>294</v>
      </c>
      <c r="F571" s="16">
        <v>27.464659</v>
      </c>
      <c r="G571" s="16">
        <v>-80.314537</v>
      </c>
      <c r="H571" s="16">
        <v>27.464659</v>
      </c>
      <c r="I571" s="16">
        <v>-80.314537</v>
      </c>
      <c r="J571" s="15" t="s">
        <v>2522</v>
      </c>
      <c r="K571" s="15" t="s">
        <v>2686</v>
      </c>
      <c r="L571" s="15">
        <v>1.0</v>
      </c>
      <c r="M571" s="16">
        <v>27.464659</v>
      </c>
      <c r="N571" s="16">
        <v>-80.314537</v>
      </c>
      <c r="O571" s="15" t="s">
        <v>2687</v>
      </c>
      <c r="P571" s="15" t="s">
        <v>2688</v>
      </c>
    </row>
    <row r="572" ht="33.75" customHeight="1">
      <c r="A572" s="24">
        <v>42045.0</v>
      </c>
      <c r="B572" s="18" t="s">
        <v>2681</v>
      </c>
      <c r="C572" s="18" t="s">
        <v>2682</v>
      </c>
      <c r="D572" s="18" t="s">
        <v>2509</v>
      </c>
      <c r="E572" s="18" t="s">
        <v>294</v>
      </c>
      <c r="F572" s="16">
        <v>27.48056</v>
      </c>
      <c r="G572" s="16">
        <v>-80.33055</v>
      </c>
      <c r="H572" s="16">
        <v>27.48056</v>
      </c>
      <c r="I572" s="16">
        <v>-80.33055</v>
      </c>
      <c r="J572" s="15" t="s">
        <v>2512</v>
      </c>
      <c r="K572" s="15" t="s">
        <v>2689</v>
      </c>
      <c r="L572" s="15">
        <v>1.0</v>
      </c>
      <c r="M572" s="16">
        <v>27.48056</v>
      </c>
      <c r="N572" s="16">
        <v>-80.33055</v>
      </c>
      <c r="O572" s="15" t="s">
        <v>1262</v>
      </c>
      <c r="P572" s="15" t="s">
        <v>2691</v>
      </c>
    </row>
    <row r="573" ht="33.75" customHeight="1">
      <c r="A573" s="24">
        <v>42045.0</v>
      </c>
      <c r="B573" s="18" t="s">
        <v>2524</v>
      </c>
      <c r="C573" s="18" t="s">
        <v>2682</v>
      </c>
      <c r="D573" s="18" t="s">
        <v>2526</v>
      </c>
      <c r="E573" s="18" t="s">
        <v>294</v>
      </c>
      <c r="F573" s="16">
        <v>27.492645</v>
      </c>
      <c r="G573" s="16">
        <v>-80.336473</v>
      </c>
      <c r="H573" s="16">
        <v>27.492645</v>
      </c>
      <c r="I573" s="16">
        <v>-80.336473</v>
      </c>
      <c r="J573" s="15" t="s">
        <v>2692</v>
      </c>
      <c r="K573" s="15" t="s">
        <v>2689</v>
      </c>
      <c r="L573" s="15">
        <v>1.0</v>
      </c>
      <c r="M573" s="16">
        <v>27.492645</v>
      </c>
      <c r="N573" s="16">
        <v>-80.336473</v>
      </c>
      <c r="O573" s="15" t="s">
        <v>2694</v>
      </c>
      <c r="P573" s="15" t="s">
        <v>2695</v>
      </c>
    </row>
    <row r="574" ht="33.75" customHeight="1">
      <c r="A574" s="24">
        <v>42043.0</v>
      </c>
      <c r="B574" s="18" t="s">
        <v>2539</v>
      </c>
      <c r="C574" s="18" t="s">
        <v>2696</v>
      </c>
      <c r="D574" s="18" t="s">
        <v>2697</v>
      </c>
      <c r="E574" s="18" t="s">
        <v>294</v>
      </c>
      <c r="F574" s="16">
        <v>27.4951</v>
      </c>
      <c r="G574" s="16">
        <v>-80.2987</v>
      </c>
      <c r="H574" s="16">
        <v>27.483</v>
      </c>
      <c r="I574" s="17">
        <v>-80.2948</v>
      </c>
      <c r="J574" s="15" t="s">
        <v>2698</v>
      </c>
      <c r="K574" s="15" t="s">
        <v>2699</v>
      </c>
      <c r="L574" s="15">
        <v>1.0</v>
      </c>
      <c r="M574" s="17">
        <v>27.4951</v>
      </c>
      <c r="N574" s="17">
        <v>-80.2987</v>
      </c>
      <c r="O574" s="15" t="s">
        <v>2700</v>
      </c>
      <c r="P574" s="15" t="s">
        <v>2701</v>
      </c>
    </row>
    <row r="575" ht="33.75" customHeight="1">
      <c r="A575" s="30"/>
      <c r="B575" s="18" t="s">
        <v>2539</v>
      </c>
      <c r="C575" s="18" t="s">
        <v>2696</v>
      </c>
      <c r="D575" s="18" t="s">
        <v>2697</v>
      </c>
      <c r="E575" s="18" t="s">
        <v>294</v>
      </c>
      <c r="F575" s="16">
        <v>27.4951</v>
      </c>
      <c r="G575" s="16">
        <v>-80.2987</v>
      </c>
      <c r="H575" s="16">
        <v>27.483</v>
      </c>
      <c r="I575" s="17">
        <v>-80.2948</v>
      </c>
      <c r="J575" s="15" t="s">
        <v>2698</v>
      </c>
      <c r="K575" s="15" t="s">
        <v>2699</v>
      </c>
      <c r="L575" s="15">
        <v>2.0</v>
      </c>
      <c r="M575" s="17">
        <v>27.4929</v>
      </c>
      <c r="N575" s="17">
        <v>-80.2979</v>
      </c>
      <c r="O575" s="15" t="s">
        <v>2702</v>
      </c>
      <c r="P575" s="15" t="s">
        <v>2703</v>
      </c>
    </row>
    <row r="576" ht="33.75" customHeight="1">
      <c r="A576" s="30"/>
      <c r="B576" s="18" t="s">
        <v>2539</v>
      </c>
      <c r="C576" s="18" t="s">
        <v>2696</v>
      </c>
      <c r="D576" s="18" t="s">
        <v>2697</v>
      </c>
      <c r="E576" s="18" t="s">
        <v>294</v>
      </c>
      <c r="F576" s="16">
        <v>27.4951</v>
      </c>
      <c r="G576" s="16">
        <v>-80.2987</v>
      </c>
      <c r="H576" s="16">
        <v>27.483</v>
      </c>
      <c r="I576" s="17">
        <v>-80.2948</v>
      </c>
      <c r="J576" s="15" t="s">
        <v>2698</v>
      </c>
      <c r="K576" s="15" t="s">
        <v>2699</v>
      </c>
      <c r="L576" s="15">
        <v>3.0</v>
      </c>
      <c r="M576" s="17">
        <v>29.4849</v>
      </c>
      <c r="N576" s="17">
        <v>-80.29578</v>
      </c>
      <c r="O576" s="15" t="s">
        <v>2706</v>
      </c>
      <c r="P576" s="15" t="s">
        <v>2707</v>
      </c>
    </row>
    <row r="577" ht="33.75" customHeight="1">
      <c r="A577" s="30"/>
      <c r="B577" s="18" t="s">
        <v>2539</v>
      </c>
      <c r="C577" s="18" t="s">
        <v>2696</v>
      </c>
      <c r="D577" s="18" t="s">
        <v>2697</v>
      </c>
      <c r="E577" s="18" t="s">
        <v>294</v>
      </c>
      <c r="F577" s="16">
        <v>27.4951</v>
      </c>
      <c r="G577" s="16">
        <v>-80.2987</v>
      </c>
      <c r="H577" s="16">
        <v>27.483</v>
      </c>
      <c r="I577" s="17">
        <v>-80.2948</v>
      </c>
      <c r="J577" s="15" t="s">
        <v>2698</v>
      </c>
      <c r="K577" s="15" t="s">
        <v>2699</v>
      </c>
      <c r="L577" s="15">
        <v>4.0</v>
      </c>
      <c r="M577" s="17">
        <v>27.483</v>
      </c>
      <c r="N577" s="17">
        <v>-80.2948</v>
      </c>
      <c r="O577" s="15" t="s">
        <v>2708</v>
      </c>
      <c r="P577" s="15" t="s">
        <v>2709</v>
      </c>
    </row>
    <row r="578" ht="33.75" customHeight="1">
      <c r="A578" s="30"/>
      <c r="B578" s="18" t="s">
        <v>2539</v>
      </c>
      <c r="C578" s="18" t="s">
        <v>2696</v>
      </c>
      <c r="D578" s="18" t="s">
        <v>2697</v>
      </c>
      <c r="E578" s="18" t="s">
        <v>294</v>
      </c>
      <c r="F578" s="16">
        <v>27.4951</v>
      </c>
      <c r="G578" s="16">
        <v>-80.2987</v>
      </c>
      <c r="H578" s="16">
        <v>27.483</v>
      </c>
      <c r="I578" s="17">
        <v>-80.2948</v>
      </c>
      <c r="J578" s="15" t="s">
        <v>2698</v>
      </c>
      <c r="K578" s="15" t="s">
        <v>2699</v>
      </c>
      <c r="L578" s="15">
        <v>5.0</v>
      </c>
      <c r="M578" s="17">
        <v>27.4919</v>
      </c>
      <c r="N578" s="17">
        <v>-80.2974</v>
      </c>
      <c r="O578" s="15" t="s">
        <v>2710</v>
      </c>
      <c r="P578" s="15" t="s">
        <v>2711</v>
      </c>
    </row>
    <row r="579" ht="33.75" customHeight="1">
      <c r="A579" s="26">
        <v>42042.0</v>
      </c>
      <c r="B579" s="18" t="s">
        <v>2530</v>
      </c>
      <c r="C579" s="18" t="s">
        <v>2531</v>
      </c>
      <c r="D579" s="18" t="s">
        <v>2532</v>
      </c>
      <c r="E579" s="18" t="s">
        <v>294</v>
      </c>
      <c r="F579" s="18">
        <v>27.474033</v>
      </c>
      <c r="G579" s="18">
        <v>-80.290217</v>
      </c>
      <c r="H579" s="15">
        <v>27.47325</v>
      </c>
      <c r="I579" s="15">
        <v>-80.28995</v>
      </c>
      <c r="J579" s="15" t="s">
        <v>2534</v>
      </c>
      <c r="K579" s="15" t="s">
        <v>2535</v>
      </c>
      <c r="L579" s="15">
        <v>1.0</v>
      </c>
      <c r="M579" s="15">
        <v>27.474333</v>
      </c>
      <c r="N579" s="15">
        <v>-80.290433</v>
      </c>
      <c r="O579" s="15" t="s">
        <v>2713</v>
      </c>
      <c r="P579" s="17" t="s">
        <v>2715</v>
      </c>
    </row>
    <row r="580" ht="33.75" customHeight="1">
      <c r="A580" s="26">
        <v>42043.0</v>
      </c>
      <c r="B580" s="18" t="s">
        <v>2530</v>
      </c>
      <c r="C580" s="18" t="s">
        <v>2531</v>
      </c>
      <c r="D580" s="18" t="s">
        <v>2532</v>
      </c>
      <c r="E580" s="18" t="s">
        <v>294</v>
      </c>
      <c r="F580" s="18">
        <v>27.474033</v>
      </c>
      <c r="G580" s="18">
        <v>-80.290217</v>
      </c>
      <c r="H580" s="15">
        <v>27.47325</v>
      </c>
      <c r="I580" s="15">
        <v>-80.28995</v>
      </c>
      <c r="J580" s="15" t="s">
        <v>2534</v>
      </c>
      <c r="K580" s="15" t="s">
        <v>2535</v>
      </c>
      <c r="L580" s="15">
        <v>1.0</v>
      </c>
      <c r="M580" s="15">
        <v>27.47408</v>
      </c>
      <c r="N580" s="15">
        <v>-80.290217</v>
      </c>
      <c r="O580" s="15" t="s">
        <v>2716</v>
      </c>
      <c r="P580" s="17" t="s">
        <v>2715</v>
      </c>
    </row>
    <row r="581" ht="33.75" customHeight="1">
      <c r="A581" s="26">
        <v>42044.0</v>
      </c>
      <c r="B581" s="18" t="s">
        <v>2530</v>
      </c>
      <c r="C581" s="18" t="s">
        <v>2531</v>
      </c>
      <c r="D581" s="18" t="s">
        <v>2532</v>
      </c>
      <c r="E581" s="18" t="s">
        <v>294</v>
      </c>
      <c r="F581" s="18">
        <v>27.474033</v>
      </c>
      <c r="G581" s="18">
        <v>-80.290217</v>
      </c>
      <c r="H581" s="15">
        <v>27.47325</v>
      </c>
      <c r="I581" s="15">
        <v>-80.28995</v>
      </c>
      <c r="J581" s="15" t="s">
        <v>2534</v>
      </c>
      <c r="K581" s="15" t="s">
        <v>2572</v>
      </c>
      <c r="L581" s="15">
        <v>1.0</v>
      </c>
      <c r="O581" s="15" t="s">
        <v>2717</v>
      </c>
      <c r="P581" s="17" t="s">
        <v>2715</v>
      </c>
    </row>
    <row r="582" ht="33.75" customHeight="1">
      <c r="A582" s="26">
        <v>42045.0</v>
      </c>
      <c r="B582" s="18" t="s">
        <v>2530</v>
      </c>
      <c r="C582" s="18" t="s">
        <v>2531</v>
      </c>
      <c r="D582" s="18" t="s">
        <v>2532</v>
      </c>
      <c r="E582" s="18" t="s">
        <v>294</v>
      </c>
      <c r="F582" s="18">
        <v>27.474033</v>
      </c>
      <c r="G582" s="18">
        <v>-80.290217</v>
      </c>
      <c r="H582" s="15">
        <v>27.47325</v>
      </c>
      <c r="I582" s="15">
        <v>-80.28995</v>
      </c>
      <c r="J582" s="15" t="s">
        <v>2534</v>
      </c>
      <c r="K582" s="15" t="s">
        <v>2535</v>
      </c>
      <c r="L582" s="15">
        <v>1.0</v>
      </c>
      <c r="M582" s="15">
        <v>27.47408</v>
      </c>
      <c r="N582" s="15">
        <v>-80.290217</v>
      </c>
      <c r="O582" s="15" t="s">
        <v>2718</v>
      </c>
      <c r="P582" s="17" t="s">
        <v>2715</v>
      </c>
    </row>
    <row r="583" ht="33.75" customHeight="1">
      <c r="A583" s="26">
        <v>42046.0</v>
      </c>
      <c r="B583" s="18" t="s">
        <v>2530</v>
      </c>
      <c r="C583" s="18" t="s">
        <v>2531</v>
      </c>
      <c r="D583" s="18" t="s">
        <v>2532</v>
      </c>
      <c r="E583" s="18" t="s">
        <v>294</v>
      </c>
      <c r="F583" s="18">
        <v>27.474033</v>
      </c>
      <c r="G583" s="18">
        <v>-80.290217</v>
      </c>
      <c r="H583" s="15">
        <v>27.47325</v>
      </c>
      <c r="I583" s="15">
        <v>-80.28995</v>
      </c>
      <c r="J583" s="15" t="s">
        <v>2534</v>
      </c>
      <c r="K583" s="15" t="s">
        <v>2535</v>
      </c>
      <c r="L583" s="15">
        <v>1.0</v>
      </c>
      <c r="M583" s="15">
        <v>27.47325</v>
      </c>
      <c r="N583" s="15">
        <v>-80.28995</v>
      </c>
      <c r="O583" s="15" t="s">
        <v>2719</v>
      </c>
      <c r="P583" s="17" t="s">
        <v>2715</v>
      </c>
    </row>
    <row r="584" ht="33.75" customHeight="1">
      <c r="A584" s="26">
        <v>42047.0</v>
      </c>
      <c r="B584" s="18" t="s">
        <v>2530</v>
      </c>
      <c r="C584" s="18" t="s">
        <v>2531</v>
      </c>
      <c r="D584" s="18" t="s">
        <v>2532</v>
      </c>
      <c r="E584" s="18" t="s">
        <v>294</v>
      </c>
      <c r="F584" s="18">
        <v>27.474033</v>
      </c>
      <c r="G584" s="18">
        <v>-80.290217</v>
      </c>
      <c r="H584" s="15">
        <v>27.47325</v>
      </c>
      <c r="I584" s="15">
        <v>-80.28995</v>
      </c>
      <c r="J584" s="15" t="s">
        <v>2534</v>
      </c>
      <c r="K584" s="15" t="s">
        <v>2535</v>
      </c>
      <c r="L584" s="15">
        <v>1.0</v>
      </c>
      <c r="M584" s="15">
        <v>27.47413</v>
      </c>
      <c r="N584" s="15">
        <v>-80.290317</v>
      </c>
      <c r="O584" s="15" t="s">
        <v>2722</v>
      </c>
      <c r="P584" s="17" t="s">
        <v>2715</v>
      </c>
    </row>
    <row r="585" ht="33.75" customHeight="1">
      <c r="A585" s="24">
        <v>42046.0</v>
      </c>
      <c r="B585" s="18" t="s">
        <v>1787</v>
      </c>
      <c r="C585" s="18" t="s">
        <v>1221</v>
      </c>
      <c r="D585" s="18" t="s">
        <v>2585</v>
      </c>
      <c r="E585" s="18" t="s">
        <v>2586</v>
      </c>
      <c r="F585" s="16" t="s">
        <v>2587</v>
      </c>
      <c r="G585" s="16" t="s">
        <v>2588</v>
      </c>
      <c r="H585" s="16" t="s">
        <v>2589</v>
      </c>
      <c r="I585" s="17" t="s">
        <v>2590</v>
      </c>
      <c r="J585" s="15" t="s">
        <v>2591</v>
      </c>
      <c r="K585" s="15" t="s">
        <v>1229</v>
      </c>
      <c r="L585" s="15">
        <v>1.0</v>
      </c>
      <c r="M585" s="17" t="s">
        <v>2723</v>
      </c>
      <c r="N585" s="17" t="s">
        <v>2724</v>
      </c>
      <c r="O585" s="15" t="s">
        <v>1423</v>
      </c>
      <c r="P585" s="15" t="s">
        <v>2725</v>
      </c>
    </row>
    <row r="586" ht="33.75" customHeight="1">
      <c r="A586" s="24">
        <v>42041.0</v>
      </c>
      <c r="B586" s="18" t="s">
        <v>2594</v>
      </c>
      <c r="C586" s="18" t="s">
        <v>2595</v>
      </c>
      <c r="D586" s="18" t="s">
        <v>2597</v>
      </c>
      <c r="E586" s="18" t="s">
        <v>2598</v>
      </c>
      <c r="F586" s="45"/>
      <c r="G586" s="45"/>
      <c r="H586" s="45"/>
      <c r="I586" s="32"/>
      <c r="J586" s="15" t="s">
        <v>2603</v>
      </c>
      <c r="K586" s="15" t="s">
        <v>2604</v>
      </c>
      <c r="M586" s="17">
        <v>29.77905</v>
      </c>
      <c r="N586" s="17">
        <v>-83.58059</v>
      </c>
      <c r="O586" s="15" t="s">
        <v>2726</v>
      </c>
    </row>
    <row r="587" ht="33.75" customHeight="1">
      <c r="A587" s="24">
        <v>42045.0</v>
      </c>
      <c r="B587" s="18" t="s">
        <v>675</v>
      </c>
      <c r="C587" s="18" t="s">
        <v>2653</v>
      </c>
      <c r="D587" s="18" t="s">
        <v>678</v>
      </c>
      <c r="E587" s="18" t="s">
        <v>679</v>
      </c>
      <c r="F587" s="16">
        <v>29.076041</v>
      </c>
      <c r="G587" s="16">
        <v>-80.925754</v>
      </c>
      <c r="H587" s="16">
        <v>29.062266</v>
      </c>
      <c r="I587" s="17">
        <v>-80.918727</v>
      </c>
      <c r="J587" s="15" t="s">
        <v>2655</v>
      </c>
      <c r="K587" s="15" t="s">
        <v>2656</v>
      </c>
      <c r="L587" s="15">
        <v>1.0</v>
      </c>
      <c r="M587" s="17">
        <v>29.06883</v>
      </c>
      <c r="N587" s="17">
        <v>-80.926527</v>
      </c>
      <c r="O587" s="15" t="s">
        <v>2729</v>
      </c>
      <c r="P587" s="15" t="s">
        <v>841</v>
      </c>
    </row>
    <row r="588" ht="33.75" customHeight="1">
      <c r="A588" s="24">
        <v>42045.0</v>
      </c>
      <c r="B588" s="18" t="s">
        <v>675</v>
      </c>
      <c r="C588" s="18" t="s">
        <v>2653</v>
      </c>
      <c r="D588" s="18" t="s">
        <v>678</v>
      </c>
      <c r="E588" s="18" t="s">
        <v>679</v>
      </c>
      <c r="F588" s="16">
        <v>29.076041</v>
      </c>
      <c r="G588" s="16">
        <v>-80.925754</v>
      </c>
      <c r="H588" s="16">
        <v>29.062266</v>
      </c>
      <c r="I588" s="17">
        <v>-80.918727</v>
      </c>
      <c r="J588" s="15" t="s">
        <v>2655</v>
      </c>
      <c r="K588" s="15" t="s">
        <v>2656</v>
      </c>
      <c r="L588" s="15">
        <v>2.0</v>
      </c>
      <c r="M588" s="17">
        <v>29.070659</v>
      </c>
      <c r="N588" s="17">
        <v>-80.925261</v>
      </c>
      <c r="O588" s="15" t="s">
        <v>2730</v>
      </c>
      <c r="P588" s="15" t="s">
        <v>841</v>
      </c>
    </row>
    <row r="589" ht="33.75" customHeight="1">
      <c r="A589" s="24">
        <v>42045.0</v>
      </c>
      <c r="B589" s="18" t="s">
        <v>675</v>
      </c>
      <c r="C589" s="18" t="s">
        <v>2653</v>
      </c>
      <c r="D589" s="18" t="s">
        <v>678</v>
      </c>
      <c r="E589" s="18" t="s">
        <v>679</v>
      </c>
      <c r="F589" s="16">
        <v>29.076041</v>
      </c>
      <c r="G589" s="16">
        <v>-80.925754</v>
      </c>
      <c r="H589" s="16">
        <v>29.062266</v>
      </c>
      <c r="I589" s="17">
        <v>-80.918727</v>
      </c>
      <c r="J589" s="15" t="s">
        <v>2655</v>
      </c>
      <c r="K589" s="15" t="s">
        <v>2656</v>
      </c>
      <c r="L589" s="15">
        <v>3.0</v>
      </c>
      <c r="M589" s="17">
        <v>29.070058</v>
      </c>
      <c r="N589" s="17">
        <v>-80.92687</v>
      </c>
      <c r="O589" s="15" t="s">
        <v>2732</v>
      </c>
      <c r="P589" s="15" t="s">
        <v>2733</v>
      </c>
    </row>
    <row r="590" ht="33.75" customHeight="1">
      <c r="A590" s="24">
        <v>42045.0</v>
      </c>
      <c r="B590" s="18" t="s">
        <v>675</v>
      </c>
      <c r="C590" s="18" t="s">
        <v>2653</v>
      </c>
      <c r="D590" s="18" t="s">
        <v>678</v>
      </c>
      <c r="E590" s="18" t="s">
        <v>679</v>
      </c>
      <c r="F590" s="16">
        <v>29.076041</v>
      </c>
      <c r="G590" s="16">
        <v>-80.925754</v>
      </c>
      <c r="H590" s="16">
        <v>29.062266</v>
      </c>
      <c r="I590" s="17">
        <v>-80.918727</v>
      </c>
      <c r="J590" s="15" t="s">
        <v>2655</v>
      </c>
      <c r="K590" s="15" t="s">
        <v>2656</v>
      </c>
      <c r="L590" s="15">
        <v>4.0</v>
      </c>
      <c r="M590" s="17">
        <v>29.070621</v>
      </c>
      <c r="N590" s="17">
        <v>-80.928576</v>
      </c>
      <c r="O590" s="15" t="s">
        <v>2736</v>
      </c>
      <c r="P590" s="15" t="s">
        <v>841</v>
      </c>
    </row>
    <row r="591" ht="33.75" customHeight="1">
      <c r="A591" s="24">
        <v>42045.0</v>
      </c>
      <c r="B591" s="18" t="s">
        <v>675</v>
      </c>
      <c r="C591" s="18" t="s">
        <v>2653</v>
      </c>
      <c r="D591" s="18" t="s">
        <v>678</v>
      </c>
      <c r="E591" s="18" t="s">
        <v>679</v>
      </c>
      <c r="F591" s="16">
        <v>29.076041</v>
      </c>
      <c r="G591" s="16">
        <v>-80.925754</v>
      </c>
      <c r="H591" s="16">
        <v>29.062266</v>
      </c>
      <c r="I591" s="17">
        <v>-80.918727</v>
      </c>
      <c r="J591" s="15" t="s">
        <v>2655</v>
      </c>
      <c r="K591" s="15" t="s">
        <v>2656</v>
      </c>
      <c r="L591" s="15">
        <v>5.0</v>
      </c>
      <c r="M591" s="17">
        <v>29.072187</v>
      </c>
      <c r="N591" s="17">
        <v>-80.927374</v>
      </c>
      <c r="O591" s="15" t="s">
        <v>2737</v>
      </c>
      <c r="P591" s="15" t="s">
        <v>939</v>
      </c>
    </row>
    <row r="592" ht="33.75" customHeight="1">
      <c r="A592" s="24">
        <v>42045.0</v>
      </c>
      <c r="B592" s="18" t="s">
        <v>675</v>
      </c>
      <c r="C592" s="18" t="s">
        <v>2653</v>
      </c>
      <c r="D592" s="18" t="s">
        <v>678</v>
      </c>
      <c r="E592" s="18" t="s">
        <v>679</v>
      </c>
      <c r="F592" s="16">
        <v>29.076041</v>
      </c>
      <c r="G592" s="16">
        <v>-80.925754</v>
      </c>
      <c r="H592" s="16">
        <v>29.062266</v>
      </c>
      <c r="I592" s="17">
        <v>-80.918727</v>
      </c>
      <c r="J592" s="15" t="s">
        <v>2655</v>
      </c>
      <c r="K592" s="15" t="s">
        <v>2656</v>
      </c>
      <c r="L592" s="15">
        <v>6.0</v>
      </c>
      <c r="M592" s="17">
        <v>29.069134</v>
      </c>
      <c r="N592" s="17">
        <v>-80.925488</v>
      </c>
      <c r="O592" s="15" t="s">
        <v>2739</v>
      </c>
      <c r="P592" s="15" t="s">
        <v>841</v>
      </c>
    </row>
    <row r="593" ht="33.75" customHeight="1">
      <c r="A593" s="24">
        <v>42045.0</v>
      </c>
      <c r="B593" s="18" t="s">
        <v>675</v>
      </c>
      <c r="C593" s="18" t="s">
        <v>2653</v>
      </c>
      <c r="D593" s="18" t="s">
        <v>678</v>
      </c>
      <c r="E593" s="18" t="s">
        <v>679</v>
      </c>
      <c r="F593" s="16">
        <v>29.076041</v>
      </c>
      <c r="G593" s="16">
        <v>-80.925754</v>
      </c>
      <c r="H593" s="16">
        <v>29.062266</v>
      </c>
      <c r="I593" s="17">
        <v>-80.918727</v>
      </c>
      <c r="J593" s="15" t="s">
        <v>2655</v>
      </c>
      <c r="K593" s="15" t="s">
        <v>2656</v>
      </c>
      <c r="L593" s="15">
        <v>7.0</v>
      </c>
      <c r="M593" s="17">
        <v>29.069885</v>
      </c>
      <c r="N593" s="17">
        <v>-80.925816</v>
      </c>
      <c r="O593" s="15" t="s">
        <v>2743</v>
      </c>
      <c r="P593" s="15" t="s">
        <v>2347</v>
      </c>
    </row>
    <row r="594" ht="33.75" customHeight="1">
      <c r="A594" s="24">
        <v>42045.0</v>
      </c>
      <c r="B594" s="18" t="s">
        <v>675</v>
      </c>
      <c r="C594" s="18" t="s">
        <v>2653</v>
      </c>
      <c r="D594" s="18" t="s">
        <v>678</v>
      </c>
      <c r="E594" s="18" t="s">
        <v>679</v>
      </c>
      <c r="F594" s="16">
        <v>29.076041</v>
      </c>
      <c r="G594" s="16">
        <v>-80.925754</v>
      </c>
      <c r="H594" s="16">
        <v>29.062266</v>
      </c>
      <c r="I594" s="17">
        <v>-80.918727</v>
      </c>
      <c r="J594" s="15" t="s">
        <v>2655</v>
      </c>
      <c r="K594" s="15" t="s">
        <v>2656</v>
      </c>
      <c r="L594" s="15">
        <v>8.0</v>
      </c>
      <c r="M594" s="17">
        <v>29.070111</v>
      </c>
      <c r="N594" s="17">
        <v>-80.926294</v>
      </c>
      <c r="O594" s="15" t="s">
        <v>2746</v>
      </c>
      <c r="P594" s="15" t="s">
        <v>841</v>
      </c>
    </row>
    <row r="595" ht="33.75" customHeight="1">
      <c r="A595" s="24">
        <v>42045.0</v>
      </c>
      <c r="B595" s="18" t="s">
        <v>675</v>
      </c>
      <c r="C595" s="18" t="s">
        <v>2653</v>
      </c>
      <c r="D595" s="18" t="s">
        <v>678</v>
      </c>
      <c r="E595" s="18" t="s">
        <v>679</v>
      </c>
      <c r="F595" s="16">
        <v>29.076041</v>
      </c>
      <c r="G595" s="16">
        <v>-80.925754</v>
      </c>
      <c r="H595" s="16">
        <v>29.062266</v>
      </c>
      <c r="I595" s="17">
        <v>-80.918727</v>
      </c>
      <c r="J595" s="15" t="s">
        <v>2655</v>
      </c>
      <c r="K595" s="15" t="s">
        <v>2656</v>
      </c>
      <c r="L595" s="15">
        <v>9.0</v>
      </c>
      <c r="M595" s="17">
        <v>29.072017</v>
      </c>
      <c r="N595" s="17">
        <v>-80.928044</v>
      </c>
      <c r="O595" s="15" t="s">
        <v>2747</v>
      </c>
      <c r="P595" s="15" t="s">
        <v>2748</v>
      </c>
    </row>
    <row r="596" ht="33.75" customHeight="1">
      <c r="A596" s="24">
        <v>42045.0</v>
      </c>
      <c r="B596" s="18" t="s">
        <v>675</v>
      </c>
      <c r="C596" s="18" t="s">
        <v>2653</v>
      </c>
      <c r="D596" s="18" t="s">
        <v>678</v>
      </c>
      <c r="E596" s="18" t="s">
        <v>679</v>
      </c>
      <c r="F596" s="16">
        <v>29.076041</v>
      </c>
      <c r="G596" s="16">
        <v>-80.925754</v>
      </c>
      <c r="H596" s="16">
        <v>29.062266</v>
      </c>
      <c r="I596" s="17">
        <v>-80.918727</v>
      </c>
      <c r="J596" s="15" t="s">
        <v>2655</v>
      </c>
      <c r="K596" s="15" t="s">
        <v>2656</v>
      </c>
      <c r="L596" s="15">
        <v>10.0</v>
      </c>
      <c r="M596" s="17">
        <v>29.056102</v>
      </c>
      <c r="N596" s="17">
        <v>-80.904116</v>
      </c>
      <c r="O596" s="15" t="s">
        <v>2753</v>
      </c>
      <c r="P596" s="15" t="s">
        <v>2755</v>
      </c>
    </row>
    <row r="597" ht="33.75" customHeight="1">
      <c r="A597" s="24">
        <v>42045.0</v>
      </c>
      <c r="B597" s="18" t="s">
        <v>675</v>
      </c>
      <c r="C597" s="18" t="s">
        <v>2653</v>
      </c>
      <c r="D597" s="18" t="s">
        <v>678</v>
      </c>
      <c r="E597" s="18" t="s">
        <v>679</v>
      </c>
      <c r="F597" s="16">
        <v>29.076041</v>
      </c>
      <c r="G597" s="16">
        <v>-80.925754</v>
      </c>
      <c r="H597" s="16">
        <v>29.062266</v>
      </c>
      <c r="I597" s="17">
        <v>-80.918727</v>
      </c>
      <c r="J597" s="15" t="s">
        <v>2655</v>
      </c>
      <c r="K597" s="15" t="s">
        <v>2656</v>
      </c>
      <c r="L597" s="15" t="s">
        <v>2757</v>
      </c>
      <c r="M597" s="17">
        <v>29.067215</v>
      </c>
      <c r="N597" s="17">
        <v>-80.925261</v>
      </c>
      <c r="O597" s="15" t="s">
        <v>957</v>
      </c>
      <c r="P597" s="15" t="s">
        <v>2758</v>
      </c>
    </row>
    <row r="598" ht="33.75" customHeight="1">
      <c r="A598" s="24">
        <v>42045.0</v>
      </c>
      <c r="B598" s="18" t="s">
        <v>675</v>
      </c>
      <c r="C598" s="18" t="s">
        <v>2653</v>
      </c>
      <c r="D598" s="18" t="s">
        <v>678</v>
      </c>
      <c r="E598" s="18" t="s">
        <v>679</v>
      </c>
      <c r="F598" s="16">
        <v>29.076041</v>
      </c>
      <c r="G598" s="16">
        <v>-80.925754</v>
      </c>
      <c r="H598" s="16">
        <v>29.062266</v>
      </c>
      <c r="I598" s="17">
        <v>-80.918727</v>
      </c>
      <c r="J598" s="15" t="s">
        <v>2655</v>
      </c>
      <c r="K598" s="15" t="s">
        <v>2656</v>
      </c>
      <c r="L598" s="15" t="s">
        <v>2757</v>
      </c>
      <c r="M598" s="17">
        <v>29.068341</v>
      </c>
      <c r="N598" s="17">
        <v>-80.925717</v>
      </c>
      <c r="O598" s="15" t="s">
        <v>884</v>
      </c>
      <c r="P598" s="15" t="s">
        <v>2758</v>
      </c>
    </row>
    <row r="599" ht="33.75" customHeight="1">
      <c r="A599" s="24">
        <v>42045.0</v>
      </c>
      <c r="B599" s="18" t="s">
        <v>675</v>
      </c>
      <c r="C599" s="18" t="s">
        <v>2653</v>
      </c>
      <c r="D599" s="18" t="s">
        <v>678</v>
      </c>
      <c r="E599" s="18" t="s">
        <v>679</v>
      </c>
      <c r="F599" s="16">
        <v>29.076041</v>
      </c>
      <c r="G599" s="16">
        <v>-80.925754</v>
      </c>
      <c r="H599" s="16">
        <v>29.062266</v>
      </c>
      <c r="I599" s="17">
        <v>-80.918727</v>
      </c>
      <c r="J599" s="15" t="s">
        <v>2655</v>
      </c>
      <c r="K599" s="15" t="s">
        <v>2656</v>
      </c>
      <c r="L599" s="15" t="s">
        <v>2757</v>
      </c>
      <c r="M599" s="17">
        <v>29.068873</v>
      </c>
      <c r="N599" s="17">
        <v>-80.926111</v>
      </c>
      <c r="O599" s="15" t="s">
        <v>2761</v>
      </c>
      <c r="P599" s="15" t="s">
        <v>2758</v>
      </c>
    </row>
    <row r="600" ht="33.75" customHeight="1">
      <c r="A600" s="24">
        <v>42045.0</v>
      </c>
      <c r="B600" s="18" t="s">
        <v>675</v>
      </c>
      <c r="C600" s="18" t="s">
        <v>2653</v>
      </c>
      <c r="D600" s="18" t="s">
        <v>678</v>
      </c>
      <c r="E600" s="18" t="s">
        <v>679</v>
      </c>
      <c r="F600" s="16">
        <v>29.076041</v>
      </c>
      <c r="G600" s="16">
        <v>-80.925754</v>
      </c>
      <c r="H600" s="16">
        <v>29.062266</v>
      </c>
      <c r="I600" s="17">
        <v>-80.918727</v>
      </c>
      <c r="J600" s="15" t="s">
        <v>2655</v>
      </c>
      <c r="K600" s="15" t="s">
        <v>2656</v>
      </c>
      <c r="L600" s="15" t="s">
        <v>2757</v>
      </c>
      <c r="M600" s="17">
        <v>29.069175</v>
      </c>
      <c r="N600" s="17">
        <v>-80.925341</v>
      </c>
      <c r="O600" s="15" t="s">
        <v>2762</v>
      </c>
      <c r="P600" s="15" t="s">
        <v>2758</v>
      </c>
    </row>
    <row r="601" ht="33.75" customHeight="1">
      <c r="A601" s="24">
        <v>42041.0</v>
      </c>
      <c r="B601" s="15" t="s">
        <v>2763</v>
      </c>
      <c r="C601" s="18" t="s">
        <v>2764</v>
      </c>
      <c r="D601" s="18" t="s">
        <v>2765</v>
      </c>
      <c r="E601" s="18" t="s">
        <v>679</v>
      </c>
      <c r="F601" s="16">
        <v>28.97312</v>
      </c>
      <c r="G601" s="16">
        <v>-80.892529</v>
      </c>
      <c r="H601" s="16">
        <v>29.02688</v>
      </c>
      <c r="I601" s="17">
        <v>-80.89592</v>
      </c>
      <c r="J601" s="15" t="s">
        <v>2617</v>
      </c>
      <c r="K601" s="15" t="s">
        <v>2618</v>
      </c>
      <c r="L601" s="15" t="s">
        <v>2766</v>
      </c>
      <c r="M601" s="32"/>
      <c r="N601" s="32"/>
    </row>
    <row r="602" ht="33.75" customHeight="1">
      <c r="A602" s="24">
        <v>42041.0</v>
      </c>
      <c r="B602" s="15" t="s">
        <v>2767</v>
      </c>
      <c r="C602" s="18" t="s">
        <v>2768</v>
      </c>
      <c r="D602" s="18" t="s">
        <v>2769</v>
      </c>
      <c r="E602" s="18" t="s">
        <v>679</v>
      </c>
      <c r="F602" s="16">
        <v>29.03853</v>
      </c>
      <c r="G602" s="16">
        <v>-80.9039</v>
      </c>
      <c r="H602" s="16">
        <v>29.10298</v>
      </c>
      <c r="I602" s="17">
        <v>-80.97159</v>
      </c>
      <c r="J602" s="15" t="s">
        <v>2617</v>
      </c>
      <c r="K602" s="15" t="s">
        <v>2618</v>
      </c>
      <c r="L602" s="15" t="s">
        <v>2773</v>
      </c>
      <c r="M602" s="32"/>
      <c r="N602" s="32"/>
      <c r="P602" s="15" t="s">
        <v>2774</v>
      </c>
    </row>
    <row r="603" ht="33.75" customHeight="1">
      <c r="A603" s="24">
        <v>42041.0</v>
      </c>
      <c r="B603" s="15" t="s">
        <v>2763</v>
      </c>
      <c r="C603" s="18" t="s">
        <v>2764</v>
      </c>
      <c r="D603" s="18" t="s">
        <v>2775</v>
      </c>
      <c r="E603" s="15" t="s">
        <v>679</v>
      </c>
      <c r="F603" s="17">
        <v>29.06345</v>
      </c>
      <c r="G603" s="16">
        <v>-80.90717</v>
      </c>
      <c r="H603" s="16">
        <v>29.00968</v>
      </c>
      <c r="I603" s="17">
        <v>-80.87766</v>
      </c>
      <c r="J603" s="15" t="s">
        <v>2617</v>
      </c>
      <c r="K603" s="15" t="s">
        <v>2618</v>
      </c>
      <c r="L603" s="15" t="s">
        <v>2776</v>
      </c>
      <c r="M603" s="17">
        <v>29.05014</v>
      </c>
      <c r="N603" s="17">
        <v>-80.90099</v>
      </c>
      <c r="O603" s="15" t="s">
        <v>2777</v>
      </c>
      <c r="P603" s="15" t="s">
        <v>1791</v>
      </c>
    </row>
    <row r="604" ht="33.75" customHeight="1">
      <c r="A604" s="24">
        <v>42041.0</v>
      </c>
      <c r="B604" s="15" t="s">
        <v>2763</v>
      </c>
      <c r="C604" s="18" t="s">
        <v>2764</v>
      </c>
      <c r="D604" s="18" t="s">
        <v>2775</v>
      </c>
      <c r="E604" s="18" t="s">
        <v>679</v>
      </c>
      <c r="F604" s="16">
        <v>29.063453</v>
      </c>
      <c r="G604" s="16">
        <v>-80.907167</v>
      </c>
      <c r="H604" s="16">
        <v>29.009682</v>
      </c>
      <c r="I604" s="17">
        <v>-80.877655</v>
      </c>
      <c r="J604" s="15" t="s">
        <v>2617</v>
      </c>
      <c r="K604" s="15" t="s">
        <v>2618</v>
      </c>
      <c r="L604" s="15" t="s">
        <v>2776</v>
      </c>
      <c r="M604" s="17">
        <v>29.04704</v>
      </c>
      <c r="N604" s="17">
        <v>-80.89951</v>
      </c>
      <c r="O604" s="15" t="s">
        <v>2778</v>
      </c>
      <c r="P604" s="15" t="s">
        <v>1791</v>
      </c>
    </row>
    <row r="605" ht="33.75" customHeight="1">
      <c r="A605" s="24">
        <v>42041.0</v>
      </c>
      <c r="B605" s="15" t="s">
        <v>2763</v>
      </c>
      <c r="C605" s="18" t="s">
        <v>2764</v>
      </c>
      <c r="D605" s="18" t="s">
        <v>2775</v>
      </c>
      <c r="E605" s="18" t="s">
        <v>679</v>
      </c>
      <c r="F605" s="16">
        <v>29.063453</v>
      </c>
      <c r="G605" s="16">
        <v>-80.907167</v>
      </c>
      <c r="H605" s="16">
        <v>29.009682</v>
      </c>
      <c r="I605" s="17">
        <v>-80.877655</v>
      </c>
      <c r="J605" s="15" t="s">
        <v>2617</v>
      </c>
      <c r="K605" s="15" t="s">
        <v>2618</v>
      </c>
      <c r="L605" s="15" t="s">
        <v>2776</v>
      </c>
      <c r="M605" s="17">
        <v>29.04506</v>
      </c>
      <c r="N605" s="17">
        <v>-80.89854</v>
      </c>
      <c r="O605" s="15" t="s">
        <v>2779</v>
      </c>
      <c r="P605" s="15" t="s">
        <v>1791</v>
      </c>
    </row>
    <row r="606" ht="33.75" customHeight="1">
      <c r="A606" s="24">
        <v>42041.0</v>
      </c>
      <c r="B606" s="18" t="s">
        <v>2763</v>
      </c>
      <c r="C606" s="18" t="s">
        <v>2764</v>
      </c>
      <c r="D606" s="18" t="s">
        <v>2775</v>
      </c>
      <c r="E606" s="18" t="s">
        <v>679</v>
      </c>
      <c r="F606" s="16">
        <v>29.06345</v>
      </c>
      <c r="G606" s="16">
        <v>-80.90717</v>
      </c>
      <c r="H606" s="16">
        <v>29.00968</v>
      </c>
      <c r="I606" s="17">
        <v>-80.87766</v>
      </c>
      <c r="J606" s="15" t="s">
        <v>2617</v>
      </c>
      <c r="K606" s="15" t="s">
        <v>2618</v>
      </c>
      <c r="L606" s="15" t="s">
        <v>2776</v>
      </c>
      <c r="M606" s="17">
        <v>29.04074</v>
      </c>
      <c r="N606" s="17">
        <v>-80.89634</v>
      </c>
      <c r="O606" s="15" t="s">
        <v>2780</v>
      </c>
      <c r="P606" s="15" t="s">
        <v>1791</v>
      </c>
    </row>
    <row r="607" ht="33.75" customHeight="1">
      <c r="A607" s="24">
        <v>42041.0</v>
      </c>
      <c r="B607" s="18" t="s">
        <v>2781</v>
      </c>
      <c r="C607" s="18" t="s">
        <v>2782</v>
      </c>
      <c r="D607" s="18" t="s">
        <v>2783</v>
      </c>
      <c r="E607" s="18" t="s">
        <v>679</v>
      </c>
      <c r="F607" s="16">
        <v>29.00968</v>
      </c>
      <c r="G607" s="16">
        <v>-80.87766</v>
      </c>
      <c r="H607" s="16">
        <v>28.97343</v>
      </c>
      <c r="I607" s="17">
        <v>-80.85421</v>
      </c>
      <c r="J607" s="15" t="s">
        <v>2617</v>
      </c>
      <c r="K607" s="15" t="s">
        <v>2618</v>
      </c>
      <c r="L607" s="15" t="s">
        <v>121</v>
      </c>
      <c r="M607" s="32"/>
      <c r="N607" s="32"/>
    </row>
    <row r="608" ht="33.75" customHeight="1">
      <c r="A608" s="24">
        <v>42041.0</v>
      </c>
      <c r="B608" s="18" t="s">
        <v>2784</v>
      </c>
      <c r="C608" s="18" t="s">
        <v>2785</v>
      </c>
      <c r="D608" s="18" t="s">
        <v>2786</v>
      </c>
      <c r="E608" s="18" t="s">
        <v>679</v>
      </c>
      <c r="F608" s="16">
        <v>28.97343</v>
      </c>
      <c r="G608" s="16">
        <v>-80.85421</v>
      </c>
      <c r="H608" s="16">
        <v>28.96192</v>
      </c>
      <c r="I608" s="17">
        <v>-80.84649</v>
      </c>
      <c r="J608" s="15" t="s">
        <v>2617</v>
      </c>
      <c r="K608" s="15" t="s">
        <v>2618</v>
      </c>
      <c r="L608" s="15" t="s">
        <v>2787</v>
      </c>
      <c r="M608" s="32"/>
      <c r="N608" s="32"/>
    </row>
    <row r="609" ht="33.75" customHeight="1">
      <c r="A609" s="24">
        <v>42041.0</v>
      </c>
      <c r="B609" s="18" t="s">
        <v>2788</v>
      </c>
      <c r="C609" s="18" t="s">
        <v>2789</v>
      </c>
      <c r="D609" s="18" t="s">
        <v>2790</v>
      </c>
      <c r="E609" s="18" t="s">
        <v>679</v>
      </c>
      <c r="F609" s="16">
        <v>28.96192</v>
      </c>
      <c r="G609" s="16">
        <v>-80.84649</v>
      </c>
      <c r="H609" s="16">
        <v>28.93802</v>
      </c>
      <c r="I609" s="17">
        <v>-80.8298</v>
      </c>
      <c r="J609" s="15" t="s">
        <v>2617</v>
      </c>
      <c r="K609" s="15" t="s">
        <v>2618</v>
      </c>
      <c r="L609" s="15" t="s">
        <v>2791</v>
      </c>
      <c r="M609" s="17">
        <v>29.95393</v>
      </c>
      <c r="N609" s="17">
        <v>-80.84103</v>
      </c>
      <c r="O609" s="15" t="s">
        <v>2792</v>
      </c>
      <c r="P609" s="15" t="s">
        <v>1791</v>
      </c>
    </row>
    <row r="610" ht="33.75" customHeight="1">
      <c r="A610" s="24">
        <v>42041.0</v>
      </c>
      <c r="B610" s="18" t="s">
        <v>2788</v>
      </c>
      <c r="C610" s="18" t="s">
        <v>2789</v>
      </c>
      <c r="D610" s="18" t="s">
        <v>2790</v>
      </c>
      <c r="E610" s="18" t="s">
        <v>679</v>
      </c>
      <c r="F610" s="16">
        <v>28.96192</v>
      </c>
      <c r="G610" s="16">
        <v>-80.84649</v>
      </c>
      <c r="H610" s="16">
        <v>28.93802</v>
      </c>
      <c r="I610" s="17">
        <v>-80.8298</v>
      </c>
      <c r="J610" s="15" t="s">
        <v>2617</v>
      </c>
      <c r="K610" s="15" t="s">
        <v>2618</v>
      </c>
      <c r="L610" s="15" t="s">
        <v>2791</v>
      </c>
      <c r="M610" s="17">
        <v>29.95796</v>
      </c>
      <c r="N610" s="17">
        <v>-80.843841</v>
      </c>
      <c r="O610" s="15" t="s">
        <v>2793</v>
      </c>
      <c r="P610" s="15" t="s">
        <v>1791</v>
      </c>
    </row>
    <row r="611" ht="33.75" customHeight="1">
      <c r="A611" s="24">
        <v>42041.0</v>
      </c>
      <c r="B611" s="18" t="s">
        <v>2788</v>
      </c>
      <c r="C611" s="18" t="s">
        <v>2789</v>
      </c>
      <c r="D611" s="18" t="s">
        <v>2794</v>
      </c>
      <c r="E611" s="18" t="s">
        <v>679</v>
      </c>
      <c r="F611" s="16">
        <v>28.946256</v>
      </c>
      <c r="G611" s="16">
        <v>-80.838685</v>
      </c>
      <c r="H611" s="16">
        <v>28.94982</v>
      </c>
      <c r="I611" s="17">
        <v>-80.841448</v>
      </c>
      <c r="J611" s="15" t="s">
        <v>2617</v>
      </c>
      <c r="K611" s="15" t="s">
        <v>2618</v>
      </c>
      <c r="L611" s="15" t="s">
        <v>225</v>
      </c>
      <c r="M611" s="32"/>
      <c r="N611" s="32"/>
    </row>
    <row r="612" ht="33.75" customHeight="1">
      <c r="A612" s="24">
        <v>42041.0</v>
      </c>
      <c r="B612" s="18" t="s">
        <v>2795</v>
      </c>
      <c r="C612" s="18" t="s">
        <v>1598</v>
      </c>
      <c r="D612" s="18" t="s">
        <v>2796</v>
      </c>
      <c r="E612" s="18" t="s">
        <v>679</v>
      </c>
      <c r="F612" s="16">
        <v>29.02462</v>
      </c>
      <c r="G612" s="16">
        <v>-80.91812</v>
      </c>
      <c r="H612" s="16">
        <v>29.09464</v>
      </c>
      <c r="I612" s="17">
        <v>-80.9493</v>
      </c>
      <c r="J612" s="15" t="s">
        <v>2617</v>
      </c>
      <c r="K612" s="15" t="s">
        <v>2618</v>
      </c>
      <c r="L612" s="15" t="s">
        <v>1601</v>
      </c>
      <c r="M612" s="17">
        <v>29.05905</v>
      </c>
      <c r="N612" s="17">
        <v>-80.9149</v>
      </c>
      <c r="O612" s="15" t="s">
        <v>2797</v>
      </c>
      <c r="P612" s="15" t="s">
        <v>2798</v>
      </c>
    </row>
    <row r="613" ht="33.75" customHeight="1">
      <c r="A613" s="24">
        <v>42041.0</v>
      </c>
      <c r="B613" s="18" t="s">
        <v>2795</v>
      </c>
      <c r="C613" s="18" t="s">
        <v>1598</v>
      </c>
      <c r="D613" s="18" t="s">
        <v>2796</v>
      </c>
      <c r="E613" s="18" t="s">
        <v>679</v>
      </c>
      <c r="F613" s="16">
        <v>29.02462</v>
      </c>
      <c r="G613" s="16">
        <v>-80.91812</v>
      </c>
      <c r="H613" s="16">
        <v>29.09464</v>
      </c>
      <c r="I613" s="17">
        <v>-80.9493</v>
      </c>
      <c r="J613" s="15" t="s">
        <v>2617</v>
      </c>
      <c r="K613" s="15" t="s">
        <v>2618</v>
      </c>
      <c r="L613" s="15" t="s">
        <v>1601</v>
      </c>
      <c r="M613" s="17">
        <v>29.09042</v>
      </c>
      <c r="N613" s="17">
        <v>-80.94314</v>
      </c>
      <c r="O613" s="15" t="s">
        <v>2799</v>
      </c>
      <c r="P613" s="15" t="s">
        <v>2800</v>
      </c>
    </row>
    <row r="614" ht="33.75" customHeight="1">
      <c r="A614" s="24">
        <v>42041.0</v>
      </c>
      <c r="B614" s="18" t="s">
        <v>2795</v>
      </c>
      <c r="C614" s="18" t="s">
        <v>1598</v>
      </c>
      <c r="D614" s="18" t="s">
        <v>2796</v>
      </c>
      <c r="E614" s="18" t="s">
        <v>679</v>
      </c>
      <c r="F614" s="16">
        <v>29.02462</v>
      </c>
      <c r="G614" s="16">
        <v>-80.91812</v>
      </c>
      <c r="H614" s="16">
        <v>29.09464</v>
      </c>
      <c r="I614" s="17">
        <v>-80.9493</v>
      </c>
      <c r="J614" s="15" t="s">
        <v>2617</v>
      </c>
      <c r="K614" s="15" t="s">
        <v>2618</v>
      </c>
      <c r="L614" s="15" t="s">
        <v>1601</v>
      </c>
      <c r="M614" s="17">
        <v>29.03029</v>
      </c>
      <c r="N614" s="17">
        <v>-80.91353</v>
      </c>
      <c r="O614" s="15" t="s">
        <v>2801</v>
      </c>
      <c r="P614" s="15" t="s">
        <v>2802</v>
      </c>
    </row>
    <row r="615" ht="33.75" customHeight="1">
      <c r="A615" s="14">
        <v>42041.0</v>
      </c>
      <c r="B615" s="18" t="s">
        <v>2803</v>
      </c>
      <c r="C615" s="15" t="s">
        <v>2804</v>
      </c>
      <c r="D615" s="15" t="s">
        <v>2805</v>
      </c>
      <c r="E615" s="15" t="s">
        <v>679</v>
      </c>
      <c r="F615" s="15">
        <v>28.94638</v>
      </c>
      <c r="G615" s="15">
        <v>-80.91812</v>
      </c>
      <c r="H615" s="15">
        <v>28.952191</v>
      </c>
      <c r="I615" s="15">
        <v>-80.845297</v>
      </c>
      <c r="J615" s="15" t="s">
        <v>2617</v>
      </c>
      <c r="K615" s="15" t="s">
        <v>2618</v>
      </c>
      <c r="L615" s="15" t="s">
        <v>2806</v>
      </c>
      <c r="P615" s="15" t="s">
        <v>2807</v>
      </c>
    </row>
    <row r="616" ht="33.75" customHeight="1">
      <c r="A616" s="24">
        <v>42045.0</v>
      </c>
      <c r="B616" s="18" t="s">
        <v>1502</v>
      </c>
      <c r="C616" s="18" t="s">
        <v>2808</v>
      </c>
      <c r="D616" s="18" t="s">
        <v>1505</v>
      </c>
      <c r="E616" s="18" t="s">
        <v>679</v>
      </c>
      <c r="F616" s="16">
        <v>29.078525</v>
      </c>
      <c r="G616" s="16">
        <v>80.918942</v>
      </c>
      <c r="H616" s="16">
        <v>29.47205</v>
      </c>
      <c r="I616" s="17">
        <v>81.102139</v>
      </c>
      <c r="J616" s="15" t="s">
        <v>2809</v>
      </c>
      <c r="K616" s="15" t="s">
        <v>2810</v>
      </c>
      <c r="L616" s="15">
        <v>1.0</v>
      </c>
      <c r="M616" s="17">
        <v>29.081667</v>
      </c>
      <c r="N616" s="17">
        <v>80.921389</v>
      </c>
      <c r="O616" s="15" t="s">
        <v>147</v>
      </c>
      <c r="P616" s="15" t="s">
        <v>2811</v>
      </c>
    </row>
    <row r="617" ht="33.75" customHeight="1">
      <c r="A617" s="24">
        <v>42045.0</v>
      </c>
      <c r="B617" s="18" t="s">
        <v>1502</v>
      </c>
      <c r="C617" s="18" t="s">
        <v>2808</v>
      </c>
      <c r="D617" s="18" t="s">
        <v>1505</v>
      </c>
      <c r="E617" s="18" t="s">
        <v>679</v>
      </c>
      <c r="F617" s="16">
        <v>29.078525</v>
      </c>
      <c r="G617" s="16">
        <v>80.918942</v>
      </c>
      <c r="H617" s="16">
        <v>29.47205</v>
      </c>
      <c r="I617" s="17">
        <v>81.102139</v>
      </c>
      <c r="J617" s="15" t="s">
        <v>2809</v>
      </c>
      <c r="K617" s="15" t="s">
        <v>2810</v>
      </c>
      <c r="L617" s="15">
        <v>2.0</v>
      </c>
      <c r="M617" s="17">
        <v>29.120606</v>
      </c>
      <c r="N617" s="17">
        <v>80.950467</v>
      </c>
      <c r="O617" s="15" t="s">
        <v>2812</v>
      </c>
    </row>
    <row r="618" ht="33.75" customHeight="1">
      <c r="A618" s="24">
        <v>42045.0</v>
      </c>
      <c r="B618" s="18" t="s">
        <v>1502</v>
      </c>
      <c r="C618" s="18" t="s">
        <v>2808</v>
      </c>
      <c r="D618" s="18" t="s">
        <v>1505</v>
      </c>
      <c r="E618" s="18" t="s">
        <v>679</v>
      </c>
      <c r="F618" s="16">
        <v>29.078525</v>
      </c>
      <c r="G618" s="16">
        <v>80.918942</v>
      </c>
      <c r="H618" s="16">
        <v>29.47205</v>
      </c>
      <c r="I618" s="17">
        <v>81.102139</v>
      </c>
      <c r="J618" s="15" t="s">
        <v>2809</v>
      </c>
      <c r="K618" s="15" t="s">
        <v>2810</v>
      </c>
      <c r="L618" s="15">
        <v>3.0</v>
      </c>
      <c r="M618" s="17">
        <v>29.1299</v>
      </c>
      <c r="N618" s="17">
        <v>80.95589</v>
      </c>
      <c r="O618" s="15" t="s">
        <v>2813</v>
      </c>
    </row>
    <row r="619" ht="33.75" customHeight="1">
      <c r="A619" s="24">
        <v>42045.0</v>
      </c>
      <c r="B619" s="18" t="s">
        <v>1502</v>
      </c>
      <c r="C619" s="18" t="s">
        <v>2808</v>
      </c>
      <c r="D619" s="18" t="s">
        <v>1505</v>
      </c>
      <c r="E619" s="18" t="s">
        <v>679</v>
      </c>
      <c r="F619" s="16">
        <v>29.078525</v>
      </c>
      <c r="G619" s="16">
        <v>80.918942</v>
      </c>
      <c r="H619" s="16">
        <v>29.47205</v>
      </c>
      <c r="I619" s="17">
        <v>81.102139</v>
      </c>
      <c r="J619" s="15" t="s">
        <v>2809</v>
      </c>
      <c r="K619" s="15" t="s">
        <v>2810</v>
      </c>
      <c r="L619" s="15">
        <v>4.0</v>
      </c>
      <c r="M619" s="17">
        <v>29.139144</v>
      </c>
      <c r="N619" s="17">
        <v>80.961186</v>
      </c>
      <c r="O619" s="15" t="s">
        <v>2814</v>
      </c>
    </row>
    <row r="620" ht="33.75" customHeight="1">
      <c r="A620" s="24">
        <v>42045.0</v>
      </c>
      <c r="B620" s="18" t="s">
        <v>1502</v>
      </c>
      <c r="C620" s="18" t="s">
        <v>2808</v>
      </c>
      <c r="D620" s="18" t="s">
        <v>1505</v>
      </c>
      <c r="E620" s="18" t="s">
        <v>679</v>
      </c>
      <c r="F620" s="16">
        <v>29.078525</v>
      </c>
      <c r="G620" s="16">
        <v>80.918942</v>
      </c>
      <c r="H620" s="16">
        <v>29.47205</v>
      </c>
      <c r="I620" s="17">
        <v>81.102139</v>
      </c>
      <c r="J620" s="15" t="s">
        <v>2809</v>
      </c>
      <c r="K620" s="15" t="s">
        <v>2810</v>
      </c>
      <c r="L620" s="15">
        <v>5.0</v>
      </c>
      <c r="M620" s="17">
        <v>29.145539</v>
      </c>
      <c r="N620" s="17">
        <v>80.964617</v>
      </c>
      <c r="O620" s="15" t="s">
        <v>2815</v>
      </c>
    </row>
    <row r="621" ht="33.75" customHeight="1">
      <c r="A621" s="24">
        <v>42045.0</v>
      </c>
      <c r="B621" s="18" t="s">
        <v>1502</v>
      </c>
      <c r="C621" s="18" t="s">
        <v>2808</v>
      </c>
      <c r="D621" s="18" t="s">
        <v>1505</v>
      </c>
      <c r="E621" s="18" t="s">
        <v>679</v>
      </c>
      <c r="F621" s="16">
        <v>29.078525</v>
      </c>
      <c r="G621" s="16">
        <v>80.918942</v>
      </c>
      <c r="H621" s="16">
        <v>29.47205</v>
      </c>
      <c r="I621" s="17">
        <v>81.102139</v>
      </c>
      <c r="J621" s="15" t="s">
        <v>2809</v>
      </c>
      <c r="K621" s="15" t="s">
        <v>2810</v>
      </c>
      <c r="L621" s="15">
        <v>6.0</v>
      </c>
      <c r="M621" s="17">
        <v>29.163044</v>
      </c>
      <c r="N621" s="17">
        <v>80.974131</v>
      </c>
      <c r="O621" s="15" t="s">
        <v>2816</v>
      </c>
    </row>
    <row r="622" ht="33.75" customHeight="1">
      <c r="A622" s="24">
        <v>42045.0</v>
      </c>
      <c r="B622" s="18" t="s">
        <v>1502</v>
      </c>
      <c r="C622" s="18" t="s">
        <v>2808</v>
      </c>
      <c r="D622" s="18" t="s">
        <v>1505</v>
      </c>
      <c r="E622" s="18" t="s">
        <v>679</v>
      </c>
      <c r="F622" s="16">
        <v>29.078525</v>
      </c>
      <c r="G622" s="16">
        <v>80.918942</v>
      </c>
      <c r="H622" s="16">
        <v>29.47205</v>
      </c>
      <c r="I622" s="17">
        <v>81.102139</v>
      </c>
      <c r="J622" s="15" t="s">
        <v>2809</v>
      </c>
      <c r="K622" s="15" t="s">
        <v>2810</v>
      </c>
      <c r="L622" s="15">
        <v>7.0</v>
      </c>
      <c r="M622" s="17">
        <v>29.180825</v>
      </c>
      <c r="N622" s="17">
        <v>80.983814</v>
      </c>
      <c r="O622" s="15" t="s">
        <v>2817</v>
      </c>
    </row>
    <row r="623" ht="33.75" customHeight="1">
      <c r="A623" s="24">
        <v>42045.0</v>
      </c>
      <c r="B623" s="18" t="s">
        <v>1502</v>
      </c>
      <c r="C623" s="18" t="s">
        <v>2808</v>
      </c>
      <c r="D623" s="18" t="s">
        <v>1505</v>
      </c>
      <c r="E623" s="18" t="s">
        <v>679</v>
      </c>
      <c r="F623" s="16">
        <v>29.078525</v>
      </c>
      <c r="G623" s="16">
        <v>80.918942</v>
      </c>
      <c r="H623" s="16">
        <v>29.47205</v>
      </c>
      <c r="I623" s="17">
        <v>81.102139</v>
      </c>
      <c r="J623" s="15" t="s">
        <v>2809</v>
      </c>
      <c r="K623" s="15" t="s">
        <v>2810</v>
      </c>
      <c r="L623" s="15">
        <v>8.0</v>
      </c>
      <c r="M623" s="17">
        <v>29.202522</v>
      </c>
      <c r="N623" s="17">
        <v>80.994825</v>
      </c>
      <c r="O623" s="15" t="s">
        <v>2818</v>
      </c>
    </row>
    <row r="624" ht="33.75" customHeight="1">
      <c r="A624" s="24">
        <v>42045.0</v>
      </c>
      <c r="B624" s="18" t="s">
        <v>1502</v>
      </c>
      <c r="C624" s="18" t="s">
        <v>2808</v>
      </c>
      <c r="D624" s="18" t="s">
        <v>1505</v>
      </c>
      <c r="E624" s="18" t="s">
        <v>679</v>
      </c>
      <c r="F624" s="16">
        <v>29.078525</v>
      </c>
      <c r="G624" s="16">
        <v>80.918942</v>
      </c>
      <c r="H624" s="16">
        <v>29.47205</v>
      </c>
      <c r="I624" s="17">
        <v>81.102139</v>
      </c>
      <c r="J624" s="15" t="s">
        <v>2809</v>
      </c>
      <c r="K624" s="15" t="s">
        <v>2810</v>
      </c>
      <c r="L624" s="15">
        <v>9.0</v>
      </c>
      <c r="M624" s="17">
        <v>29.218719</v>
      </c>
      <c r="N624" s="17">
        <v>81.002772</v>
      </c>
      <c r="O624" s="15" t="s">
        <v>2819</v>
      </c>
    </row>
    <row r="625" ht="33.75" customHeight="1">
      <c r="A625" s="24">
        <v>42045.0</v>
      </c>
      <c r="B625" s="18" t="s">
        <v>1502</v>
      </c>
      <c r="C625" s="18" t="s">
        <v>2808</v>
      </c>
      <c r="D625" s="18" t="s">
        <v>1505</v>
      </c>
      <c r="E625" s="18" t="s">
        <v>679</v>
      </c>
      <c r="F625" s="16">
        <v>29.078525</v>
      </c>
      <c r="G625" s="16">
        <v>80.918942</v>
      </c>
      <c r="H625" s="16">
        <v>29.47205</v>
      </c>
      <c r="I625" s="17">
        <v>81.102139</v>
      </c>
      <c r="J625" s="15" t="s">
        <v>2809</v>
      </c>
      <c r="K625" s="15" t="s">
        <v>2810</v>
      </c>
      <c r="L625" s="15">
        <v>10.0</v>
      </c>
      <c r="M625" s="17">
        <v>29.226983</v>
      </c>
      <c r="N625" s="17">
        <v>81.006236</v>
      </c>
      <c r="O625" s="15" t="s">
        <v>2820</v>
      </c>
      <c r="P625" s="15" t="s">
        <v>2821</v>
      </c>
    </row>
    <row r="626" ht="33.75" customHeight="1">
      <c r="A626" s="24">
        <v>42045.0</v>
      </c>
      <c r="B626" s="18" t="s">
        <v>1502</v>
      </c>
      <c r="C626" s="18" t="s">
        <v>2808</v>
      </c>
      <c r="D626" s="18" t="s">
        <v>1505</v>
      </c>
      <c r="E626" s="18" t="s">
        <v>679</v>
      </c>
      <c r="F626" s="16">
        <v>29.078525</v>
      </c>
      <c r="G626" s="16">
        <v>80.918942</v>
      </c>
      <c r="H626" s="16">
        <v>29.47205</v>
      </c>
      <c r="I626" s="17">
        <v>81.102139</v>
      </c>
      <c r="J626" s="15" t="s">
        <v>2809</v>
      </c>
      <c r="K626" s="15" t="s">
        <v>2810</v>
      </c>
      <c r="L626" s="15">
        <v>11.0</v>
      </c>
      <c r="M626" s="17">
        <v>29.242081</v>
      </c>
      <c r="N626" s="17">
        <v>81.014214</v>
      </c>
      <c r="O626" s="15" t="s">
        <v>2822</v>
      </c>
    </row>
    <row r="627" ht="33.75" customHeight="1">
      <c r="A627" s="24">
        <v>42045.0</v>
      </c>
      <c r="B627" s="18" t="s">
        <v>1502</v>
      </c>
      <c r="C627" s="18" t="s">
        <v>2808</v>
      </c>
      <c r="D627" s="18" t="s">
        <v>1505</v>
      </c>
      <c r="E627" s="18" t="s">
        <v>679</v>
      </c>
      <c r="F627" s="16">
        <v>29.078525</v>
      </c>
      <c r="G627" s="16">
        <v>80.918942</v>
      </c>
      <c r="H627" s="16">
        <v>29.47205</v>
      </c>
      <c r="I627" s="17">
        <v>81.102139</v>
      </c>
      <c r="J627" s="15" t="s">
        <v>2809</v>
      </c>
      <c r="K627" s="15" t="s">
        <v>2810</v>
      </c>
      <c r="L627" s="15">
        <v>12.0</v>
      </c>
      <c r="M627" s="17">
        <v>29.248333</v>
      </c>
      <c r="N627" s="17">
        <v>81.017222</v>
      </c>
      <c r="O627" s="15" t="s">
        <v>2823</v>
      </c>
      <c r="P627" s="15" t="s">
        <v>2824</v>
      </c>
    </row>
    <row r="628" ht="33.75" customHeight="1">
      <c r="A628" s="24">
        <v>42045.0</v>
      </c>
      <c r="B628" s="18" t="s">
        <v>1502</v>
      </c>
      <c r="C628" s="18" t="s">
        <v>2808</v>
      </c>
      <c r="D628" s="18" t="s">
        <v>1505</v>
      </c>
      <c r="E628" s="18" t="s">
        <v>679</v>
      </c>
      <c r="F628" s="16">
        <v>29.078525</v>
      </c>
      <c r="G628" s="16">
        <v>80.918942</v>
      </c>
      <c r="H628" s="16">
        <v>29.47205</v>
      </c>
      <c r="I628" s="17">
        <v>81.102139</v>
      </c>
      <c r="J628" s="15" t="s">
        <v>2809</v>
      </c>
      <c r="K628" s="15" t="s">
        <v>2810</v>
      </c>
      <c r="L628" s="15">
        <v>13.0</v>
      </c>
      <c r="M628" s="17">
        <v>29.263936</v>
      </c>
      <c r="N628" s="17">
        <v>81.025006</v>
      </c>
      <c r="O628" s="15" t="s">
        <v>2825</v>
      </c>
    </row>
    <row r="629" ht="33.75" customHeight="1">
      <c r="A629" s="24">
        <v>42045.0</v>
      </c>
      <c r="B629" s="18" t="s">
        <v>1502</v>
      </c>
      <c r="C629" s="18" t="s">
        <v>2808</v>
      </c>
      <c r="D629" s="18" t="s">
        <v>1505</v>
      </c>
      <c r="E629" s="18" t="s">
        <v>679</v>
      </c>
      <c r="F629" s="16">
        <v>29.078525</v>
      </c>
      <c r="G629" s="16">
        <v>80.918942</v>
      </c>
      <c r="H629" s="16">
        <v>29.47205</v>
      </c>
      <c r="I629" s="17">
        <v>81.102139</v>
      </c>
      <c r="J629" s="15" t="s">
        <v>2809</v>
      </c>
      <c r="K629" s="15" t="s">
        <v>2810</v>
      </c>
      <c r="L629" s="15">
        <v>14.0</v>
      </c>
      <c r="M629" s="17">
        <v>29.291422</v>
      </c>
      <c r="N629" s="17">
        <v>81.038514</v>
      </c>
      <c r="O629" s="15" t="s">
        <v>2826</v>
      </c>
    </row>
    <row r="630" ht="33.75" customHeight="1">
      <c r="A630" s="24">
        <v>42045.0</v>
      </c>
      <c r="B630" s="18" t="s">
        <v>1502</v>
      </c>
      <c r="C630" s="18" t="s">
        <v>2808</v>
      </c>
      <c r="D630" s="18" t="s">
        <v>1505</v>
      </c>
      <c r="E630" s="18" t="s">
        <v>679</v>
      </c>
      <c r="F630" s="16">
        <v>29.078525</v>
      </c>
      <c r="G630" s="16">
        <v>80.918942</v>
      </c>
      <c r="H630" s="16">
        <v>29.47205</v>
      </c>
      <c r="I630" s="17">
        <v>81.102139</v>
      </c>
      <c r="J630" s="15" t="s">
        <v>2809</v>
      </c>
      <c r="K630" s="15" t="s">
        <v>2810</v>
      </c>
      <c r="L630" s="15">
        <v>15.0</v>
      </c>
      <c r="M630" s="17">
        <v>29.334986</v>
      </c>
      <c r="N630" s="17">
        <v>81.05905</v>
      </c>
      <c r="O630" s="15" t="s">
        <v>2827</v>
      </c>
    </row>
    <row r="631" ht="33.75" customHeight="1">
      <c r="A631" s="24">
        <v>42045.0</v>
      </c>
      <c r="B631" s="18" t="s">
        <v>1502</v>
      </c>
      <c r="C631" s="18" t="s">
        <v>2808</v>
      </c>
      <c r="D631" s="18" t="s">
        <v>1505</v>
      </c>
      <c r="E631" s="18" t="s">
        <v>679</v>
      </c>
      <c r="F631" s="16">
        <v>29.078525</v>
      </c>
      <c r="G631" s="16">
        <v>80.918942</v>
      </c>
      <c r="H631" s="16">
        <v>29.47205</v>
      </c>
      <c r="I631" s="17">
        <v>81.102139</v>
      </c>
      <c r="J631" s="15" t="s">
        <v>2809</v>
      </c>
      <c r="K631" s="15" t="s">
        <v>2810</v>
      </c>
      <c r="L631" s="15">
        <v>16.0</v>
      </c>
      <c r="M631" s="17">
        <v>29.36175</v>
      </c>
      <c r="N631" s="17">
        <v>81.071983</v>
      </c>
      <c r="O631" s="15" t="s">
        <v>2828</v>
      </c>
    </row>
    <row r="632" ht="33.75" customHeight="1">
      <c r="A632" s="24">
        <v>42045.0</v>
      </c>
      <c r="B632" s="18" t="s">
        <v>1502</v>
      </c>
      <c r="C632" s="18" t="s">
        <v>2808</v>
      </c>
      <c r="D632" s="18" t="s">
        <v>1505</v>
      </c>
      <c r="E632" s="18" t="s">
        <v>679</v>
      </c>
      <c r="F632" s="16">
        <v>29.078525</v>
      </c>
      <c r="G632" s="16">
        <v>80.918942</v>
      </c>
      <c r="H632" s="16">
        <v>29.47205</v>
      </c>
      <c r="I632" s="17">
        <v>81.102139</v>
      </c>
      <c r="J632" s="15" t="s">
        <v>2809</v>
      </c>
      <c r="K632" s="15" t="s">
        <v>2810</v>
      </c>
      <c r="L632" s="15">
        <v>17.0</v>
      </c>
      <c r="M632" s="17">
        <v>29.387269</v>
      </c>
      <c r="N632" s="17">
        <v>81.083661</v>
      </c>
      <c r="O632" s="15" t="s">
        <v>2829</v>
      </c>
    </row>
    <row r="633" ht="33.75" customHeight="1">
      <c r="A633" s="24">
        <v>42045.0</v>
      </c>
      <c r="B633" s="18" t="s">
        <v>1502</v>
      </c>
      <c r="C633" s="18" t="s">
        <v>2808</v>
      </c>
      <c r="D633" s="18" t="s">
        <v>1505</v>
      </c>
      <c r="E633" s="18" t="s">
        <v>679</v>
      </c>
      <c r="F633" s="16">
        <v>29.078525</v>
      </c>
      <c r="G633" s="16">
        <v>80.918942</v>
      </c>
      <c r="H633" s="16">
        <v>29.47205</v>
      </c>
      <c r="I633" s="17">
        <v>81.102139</v>
      </c>
      <c r="J633" s="15" t="s">
        <v>2809</v>
      </c>
      <c r="K633" s="15" t="s">
        <v>2810</v>
      </c>
      <c r="L633" s="15">
        <v>18.0</v>
      </c>
      <c r="M633" s="17">
        <v>29.190039</v>
      </c>
      <c r="N633" s="17">
        <v>80.988217</v>
      </c>
      <c r="O633" s="15" t="s">
        <v>2830</v>
      </c>
      <c r="P633" s="15" t="s">
        <v>2831</v>
      </c>
    </row>
    <row r="634" ht="33.75" customHeight="1">
      <c r="A634" s="24">
        <v>42045.0</v>
      </c>
      <c r="B634" s="18" t="s">
        <v>1502</v>
      </c>
      <c r="C634" s="18" t="s">
        <v>2808</v>
      </c>
      <c r="D634" s="18" t="s">
        <v>1505</v>
      </c>
      <c r="E634" s="18" t="s">
        <v>679</v>
      </c>
      <c r="F634" s="16">
        <v>29.078525</v>
      </c>
      <c r="G634" s="16">
        <v>80.918942</v>
      </c>
      <c r="H634" s="16">
        <v>29.47205</v>
      </c>
      <c r="I634" s="17">
        <v>81.102139</v>
      </c>
      <c r="J634" s="15" t="s">
        <v>2809</v>
      </c>
      <c r="K634" s="15" t="s">
        <v>2810</v>
      </c>
      <c r="L634" s="15">
        <v>19.0</v>
      </c>
      <c r="M634" s="17">
        <v>29.176722</v>
      </c>
      <c r="N634" s="17">
        <v>80.981544</v>
      </c>
      <c r="P634" s="15" t="s">
        <v>2832</v>
      </c>
    </row>
    <row r="635" ht="33.75" customHeight="1">
      <c r="A635" s="24">
        <v>42042.0</v>
      </c>
      <c r="B635" s="18" t="s">
        <v>2669</v>
      </c>
      <c r="C635" s="18" t="s">
        <v>2670</v>
      </c>
      <c r="D635" s="18" t="s">
        <v>2671</v>
      </c>
      <c r="E635" s="18" t="s">
        <v>2672</v>
      </c>
      <c r="F635" s="16">
        <v>30.032507</v>
      </c>
      <c r="G635" s="16">
        <v>-84.390514</v>
      </c>
      <c r="H635" s="16">
        <v>29.969598</v>
      </c>
      <c r="I635" s="17">
        <v>-84.346906</v>
      </c>
      <c r="J635" s="15" t="s">
        <v>2673</v>
      </c>
      <c r="K635" s="15" t="s">
        <v>2674</v>
      </c>
      <c r="M635" s="32"/>
      <c r="N635" s="32"/>
    </row>
    <row r="636" ht="33.75" customHeight="1">
      <c r="A636" s="24">
        <v>42042.0</v>
      </c>
      <c r="B636" s="18" t="s">
        <v>74</v>
      </c>
      <c r="C636" s="18" t="s">
        <v>75</v>
      </c>
      <c r="D636" s="18" t="s">
        <v>2671</v>
      </c>
      <c r="E636" s="18" t="s">
        <v>2833</v>
      </c>
      <c r="F636" s="16">
        <v>29.97092</v>
      </c>
      <c r="G636" s="16">
        <v>-84.34388</v>
      </c>
      <c r="H636" s="16">
        <v>29.98202</v>
      </c>
      <c r="I636" s="17">
        <v>-84.35361</v>
      </c>
      <c r="J636" s="15" t="s">
        <v>2676</v>
      </c>
      <c r="K636" s="15" t="s">
        <v>2677</v>
      </c>
      <c r="L636" s="15">
        <v>1.0</v>
      </c>
      <c r="M636" s="17">
        <v>29.97058</v>
      </c>
      <c r="N636" s="17">
        <v>-84.34249</v>
      </c>
      <c r="O636" s="15" t="s">
        <v>2834</v>
      </c>
      <c r="P636" s="15" t="s">
        <v>2835</v>
      </c>
    </row>
    <row r="637" ht="33.75" customHeight="1">
      <c r="A637" s="24">
        <v>42042.0</v>
      </c>
      <c r="B637" s="18" t="s">
        <v>74</v>
      </c>
      <c r="C637" s="18" t="s">
        <v>75</v>
      </c>
      <c r="D637" s="18" t="s">
        <v>2671</v>
      </c>
      <c r="E637" s="18" t="s">
        <v>2833</v>
      </c>
      <c r="F637" s="16">
        <v>29.97092</v>
      </c>
      <c r="G637" s="16">
        <v>-84.34388</v>
      </c>
      <c r="H637" s="16">
        <v>29.98202</v>
      </c>
      <c r="I637" s="17">
        <v>-84.35361</v>
      </c>
      <c r="J637" s="15" t="s">
        <v>2676</v>
      </c>
      <c r="K637" s="15" t="s">
        <v>2677</v>
      </c>
      <c r="L637" s="15">
        <v>2.0</v>
      </c>
      <c r="M637" s="17">
        <v>29.98202</v>
      </c>
      <c r="N637" s="17">
        <v>-84.35361</v>
      </c>
      <c r="O637" s="15" t="s">
        <v>2836</v>
      </c>
      <c r="P637" s="15" t="s">
        <v>2837</v>
      </c>
    </row>
    <row r="638" ht="33.75" customHeight="1">
      <c r="A638" s="24">
        <v>42045.0</v>
      </c>
      <c r="B638" s="18" t="s">
        <v>102</v>
      </c>
      <c r="C638" s="18" t="s">
        <v>104</v>
      </c>
      <c r="D638" s="18" t="s">
        <v>319</v>
      </c>
      <c r="E638" s="18" t="s">
        <v>320</v>
      </c>
      <c r="F638" s="16">
        <v>30.30228</v>
      </c>
      <c r="G638" s="16">
        <v>-86.08517</v>
      </c>
      <c r="H638" s="16">
        <v>30.29919</v>
      </c>
      <c r="I638" s="17">
        <v>-86.07721</v>
      </c>
      <c r="J638" s="15" t="s">
        <v>2704</v>
      </c>
      <c r="K638" s="15" t="s">
        <v>2705</v>
      </c>
      <c r="L638" s="15">
        <v>1.0</v>
      </c>
      <c r="M638" s="17">
        <v>30.30102</v>
      </c>
      <c r="N638" s="17">
        <v>-86.08186</v>
      </c>
      <c r="O638" s="15" t="s">
        <v>569</v>
      </c>
      <c r="P638" s="15" t="s">
        <v>568</v>
      </c>
    </row>
    <row r="639" ht="33.75" customHeight="1">
      <c r="A639" s="24">
        <v>42045.0</v>
      </c>
      <c r="B639" s="18" t="s">
        <v>102</v>
      </c>
      <c r="C639" s="18" t="s">
        <v>104</v>
      </c>
      <c r="D639" s="18" t="s">
        <v>319</v>
      </c>
      <c r="E639" s="18" t="s">
        <v>320</v>
      </c>
      <c r="F639" s="16">
        <v>30.30228</v>
      </c>
      <c r="G639" s="16">
        <v>-86.08517</v>
      </c>
      <c r="H639" s="16">
        <v>30.29919</v>
      </c>
      <c r="I639" s="17">
        <v>-86.07721</v>
      </c>
      <c r="J639" s="15" t="s">
        <v>2704</v>
      </c>
      <c r="K639" s="15" t="s">
        <v>2705</v>
      </c>
      <c r="L639" s="15">
        <v>2.0</v>
      </c>
      <c r="M639" s="17">
        <v>30.30066</v>
      </c>
      <c r="N639" s="17">
        <v>-86.08057</v>
      </c>
      <c r="O639" s="15" t="s">
        <v>575</v>
      </c>
      <c r="P639" s="15" t="s">
        <v>568</v>
      </c>
    </row>
    <row r="640" ht="33.75" customHeight="1">
      <c r="A640" s="26">
        <v>42045.0</v>
      </c>
      <c r="B640" s="18" t="s">
        <v>198</v>
      </c>
      <c r="C640" s="18" t="s">
        <v>338</v>
      </c>
      <c r="D640" s="18" t="s">
        <v>339</v>
      </c>
      <c r="E640" s="18" t="s">
        <v>320</v>
      </c>
      <c r="F640" s="18">
        <v>30.2993</v>
      </c>
      <c r="G640" s="18">
        <v>-86.07711</v>
      </c>
      <c r="H640" s="18">
        <v>30.29589</v>
      </c>
      <c r="I640" s="16">
        <v>-86.0647</v>
      </c>
      <c r="J640" s="20" t="s">
        <v>2712</v>
      </c>
      <c r="K640" s="15" t="s">
        <v>2714</v>
      </c>
      <c r="L640" s="15">
        <v>1.0</v>
      </c>
      <c r="M640" s="17">
        <v>30.2954</v>
      </c>
      <c r="N640" s="17">
        <v>-86.06573</v>
      </c>
      <c r="O640" s="15" t="s">
        <v>569</v>
      </c>
      <c r="P640" s="15" t="s">
        <v>570</v>
      </c>
    </row>
    <row r="641" ht="33.75" customHeight="1">
      <c r="A641" s="14">
        <v>42045.0</v>
      </c>
      <c r="B641" s="18" t="s">
        <v>198</v>
      </c>
      <c r="C641" s="18" t="s">
        <v>338</v>
      </c>
      <c r="D641" s="15" t="s">
        <v>345</v>
      </c>
      <c r="E641" s="15" t="s">
        <v>320</v>
      </c>
      <c r="F641" s="15">
        <v>30.35507</v>
      </c>
      <c r="G641" s="15">
        <v>-86.26353</v>
      </c>
      <c r="H641" s="15">
        <v>30.36815</v>
      </c>
      <c r="I641" s="17">
        <v>-86.32443</v>
      </c>
      <c r="J641" s="15" t="s">
        <v>2720</v>
      </c>
      <c r="K641" s="15" t="s">
        <v>2721</v>
      </c>
      <c r="L641" s="15">
        <v>1.0</v>
      </c>
      <c r="M641" s="17">
        <v>30.36479</v>
      </c>
      <c r="N641" s="17">
        <v>-86.30708</v>
      </c>
      <c r="O641" s="15" t="s">
        <v>569</v>
      </c>
      <c r="P641" s="15" t="s">
        <v>570</v>
      </c>
    </row>
    <row r="642" ht="33.75" customHeight="1">
      <c r="A642" s="14">
        <v>42045.0</v>
      </c>
      <c r="B642" s="18" t="s">
        <v>198</v>
      </c>
      <c r="C642" s="18" t="s">
        <v>338</v>
      </c>
      <c r="D642" s="15" t="s">
        <v>525</v>
      </c>
      <c r="E642" s="15" t="s">
        <v>320</v>
      </c>
      <c r="F642" s="15">
        <v>30.33363</v>
      </c>
      <c r="G642" s="15">
        <v>-86.18729</v>
      </c>
      <c r="H642" s="15">
        <v>30.32141</v>
      </c>
      <c r="I642" s="17">
        <v>-86.14645</v>
      </c>
      <c r="J642" s="15" t="s">
        <v>2727</v>
      </c>
      <c r="K642" s="15" t="s">
        <v>2838</v>
      </c>
      <c r="L642" s="15">
        <v>1.0</v>
      </c>
      <c r="M642" s="17">
        <v>30.32629</v>
      </c>
      <c r="N642" s="17">
        <v>-86.16261</v>
      </c>
      <c r="O642" s="15" t="s">
        <v>575</v>
      </c>
      <c r="P642" s="15" t="s">
        <v>1750</v>
      </c>
    </row>
    <row r="643" ht="33.75" customHeight="1">
      <c r="A643" s="14">
        <v>42045.0</v>
      </c>
      <c r="B643" s="18" t="s">
        <v>198</v>
      </c>
      <c r="C643" s="18" t="s">
        <v>338</v>
      </c>
      <c r="D643" s="15" t="s">
        <v>525</v>
      </c>
      <c r="E643" s="15" t="s">
        <v>320</v>
      </c>
      <c r="F643" s="15">
        <v>30.33363</v>
      </c>
      <c r="G643" s="15">
        <v>-86.18729</v>
      </c>
      <c r="H643" s="15">
        <v>30.32141</v>
      </c>
      <c r="I643" s="17">
        <v>-86.14645</v>
      </c>
      <c r="J643" s="15" t="s">
        <v>2727</v>
      </c>
      <c r="K643" s="15" t="s">
        <v>2838</v>
      </c>
      <c r="L643" s="15">
        <v>2.0</v>
      </c>
      <c r="M643" s="17">
        <v>30.32733</v>
      </c>
      <c r="N643" s="17">
        <v>-86.16513</v>
      </c>
      <c r="O643" s="15" t="s">
        <v>2839</v>
      </c>
      <c r="P643" s="15" t="s">
        <v>723</v>
      </c>
    </row>
    <row r="644" ht="33.75" customHeight="1">
      <c r="A644" s="26">
        <v>42044.0</v>
      </c>
      <c r="B644" s="18" t="s">
        <v>440</v>
      </c>
      <c r="C644" s="18" t="s">
        <v>441</v>
      </c>
      <c r="D644" s="18" t="s">
        <v>442</v>
      </c>
      <c r="E644" s="18" t="s">
        <v>320</v>
      </c>
      <c r="F644" s="18">
        <v>30.28978</v>
      </c>
      <c r="G644" s="18">
        <v>-86.05046</v>
      </c>
      <c r="H644" s="18">
        <v>30.2963</v>
      </c>
      <c r="I644" s="16">
        <v>-86.06839</v>
      </c>
      <c r="J644" s="20" t="s">
        <v>1820</v>
      </c>
      <c r="K644" s="18" t="s">
        <v>2693</v>
      </c>
      <c r="L644" s="15">
        <v>1.0</v>
      </c>
      <c r="M644" s="17">
        <v>30.29511</v>
      </c>
      <c r="N644" s="17">
        <v>-86.06574</v>
      </c>
      <c r="O644" s="15" t="s">
        <v>2184</v>
      </c>
    </row>
    <row r="645" ht="33.75" customHeight="1">
      <c r="A645" s="14">
        <v>42041.0</v>
      </c>
      <c r="B645" s="15" t="s">
        <v>2153</v>
      </c>
      <c r="C645" s="15" t="s">
        <v>2840</v>
      </c>
      <c r="D645" s="15" t="s">
        <v>2738</v>
      </c>
      <c r="E645" s="15" t="s">
        <v>2841</v>
      </c>
      <c r="F645" s="15">
        <v>30.355328</v>
      </c>
      <c r="G645" s="15">
        <v>-87.035578</v>
      </c>
      <c r="H645" s="15">
        <v>30.3520322</v>
      </c>
      <c r="I645" s="17">
        <v>-87.044631</v>
      </c>
      <c r="J645" s="15" t="s">
        <v>2740</v>
      </c>
      <c r="K645" s="15" t="s">
        <v>2741</v>
      </c>
      <c r="L645" s="15">
        <v>1.0</v>
      </c>
      <c r="M645" s="15">
        <v>30.355967</v>
      </c>
      <c r="N645" s="15">
        <v>-87.043892</v>
      </c>
      <c r="O645" s="15" t="s">
        <v>2286</v>
      </c>
    </row>
    <row r="646" ht="33.75" customHeight="1">
      <c r="A646" s="14">
        <v>42041.0</v>
      </c>
      <c r="B646" s="15" t="s">
        <v>2153</v>
      </c>
      <c r="C646" s="15" t="s">
        <v>2840</v>
      </c>
      <c r="D646" s="15" t="s">
        <v>2738</v>
      </c>
      <c r="E646" s="15" t="s">
        <v>2841</v>
      </c>
      <c r="F646" s="15">
        <v>30.355328</v>
      </c>
      <c r="G646" s="15">
        <v>-87.035578</v>
      </c>
      <c r="H646" s="15">
        <v>30.3520322</v>
      </c>
      <c r="I646" s="17">
        <v>-87.044631</v>
      </c>
      <c r="J646" s="15" t="s">
        <v>2740</v>
      </c>
      <c r="K646" s="15" t="s">
        <v>2741</v>
      </c>
      <c r="L646" s="15">
        <v>2.0</v>
      </c>
      <c r="M646" s="15">
        <v>30.356508</v>
      </c>
      <c r="N646" s="15">
        <v>-87.043953</v>
      </c>
      <c r="O646" s="15" t="s">
        <v>2286</v>
      </c>
      <c r="P646" s="32"/>
    </row>
    <row r="647" ht="33.75" customHeight="1">
      <c r="A647" s="14">
        <v>42041.0</v>
      </c>
      <c r="B647" s="15" t="s">
        <v>2153</v>
      </c>
      <c r="C647" s="15" t="s">
        <v>2840</v>
      </c>
      <c r="D647" s="15" t="s">
        <v>2738</v>
      </c>
      <c r="E647" s="15" t="s">
        <v>2841</v>
      </c>
      <c r="F647" s="15">
        <v>30.355328</v>
      </c>
      <c r="G647" s="15">
        <v>-87.035578</v>
      </c>
      <c r="H647" s="15">
        <v>30.3520322</v>
      </c>
      <c r="I647" s="17">
        <v>-87.044631</v>
      </c>
      <c r="J647" s="15" t="s">
        <v>2740</v>
      </c>
      <c r="K647" s="15" t="s">
        <v>2741</v>
      </c>
      <c r="L647" s="15">
        <v>3.0</v>
      </c>
      <c r="M647" s="15">
        <v>30.355967</v>
      </c>
      <c r="N647" s="15">
        <v>-87.043892</v>
      </c>
      <c r="O647" s="15" t="s">
        <v>2184</v>
      </c>
      <c r="P647" s="32"/>
    </row>
    <row r="648" ht="33.75" customHeight="1">
      <c r="A648" s="14">
        <v>42041.0</v>
      </c>
      <c r="B648" s="15" t="s">
        <v>2153</v>
      </c>
      <c r="C648" s="15" t="s">
        <v>2840</v>
      </c>
      <c r="D648" s="15" t="s">
        <v>2738</v>
      </c>
      <c r="E648" s="15" t="s">
        <v>2841</v>
      </c>
      <c r="F648" s="15">
        <v>30.355328</v>
      </c>
      <c r="G648" s="15">
        <v>-87.035578</v>
      </c>
      <c r="H648" s="15">
        <v>30.3520322</v>
      </c>
      <c r="I648" s="17">
        <v>-87.044631</v>
      </c>
      <c r="J648" s="15" t="s">
        <v>2740</v>
      </c>
      <c r="K648" s="15" t="s">
        <v>2741</v>
      </c>
      <c r="L648" s="15">
        <v>4.0</v>
      </c>
      <c r="M648" s="15">
        <v>30.355967</v>
      </c>
      <c r="N648" s="15">
        <v>-87.043892</v>
      </c>
      <c r="O648" s="15" t="s">
        <v>2842</v>
      </c>
      <c r="P648" s="32"/>
    </row>
    <row r="649" ht="33.75" customHeight="1">
      <c r="A649" s="14">
        <v>42041.0</v>
      </c>
      <c r="B649" s="15" t="s">
        <v>2153</v>
      </c>
      <c r="C649" s="15" t="s">
        <v>2840</v>
      </c>
      <c r="D649" s="15" t="s">
        <v>2738</v>
      </c>
      <c r="E649" s="15" t="s">
        <v>2841</v>
      </c>
      <c r="F649" s="15">
        <v>30.355328</v>
      </c>
      <c r="G649" s="15">
        <v>-87.035578</v>
      </c>
      <c r="H649" s="15">
        <v>30.3520322</v>
      </c>
      <c r="I649" s="17">
        <v>-87.044631</v>
      </c>
      <c r="J649" s="15" t="s">
        <v>2740</v>
      </c>
      <c r="K649" s="15" t="s">
        <v>2741</v>
      </c>
      <c r="L649" s="15">
        <v>5.0</v>
      </c>
      <c r="M649" s="15">
        <v>30.357856</v>
      </c>
      <c r="N649" s="15">
        <v>-87.044486</v>
      </c>
      <c r="O649" s="15" t="s">
        <v>2843</v>
      </c>
      <c r="P649" s="32"/>
    </row>
    <row r="650" ht="33.75" customHeight="1">
      <c r="A650" s="14">
        <v>42041.0</v>
      </c>
      <c r="B650" s="15" t="s">
        <v>2153</v>
      </c>
      <c r="C650" s="15" t="s">
        <v>2840</v>
      </c>
      <c r="D650" s="15" t="s">
        <v>2738</v>
      </c>
      <c r="E650" s="15" t="s">
        <v>2841</v>
      </c>
      <c r="F650" s="15">
        <v>30.355328</v>
      </c>
      <c r="G650" s="15">
        <v>-87.035578</v>
      </c>
      <c r="H650" s="15">
        <v>30.3520322</v>
      </c>
      <c r="I650" s="17">
        <v>-87.044631</v>
      </c>
      <c r="J650" s="15" t="s">
        <v>2740</v>
      </c>
      <c r="K650" s="15" t="s">
        <v>2741</v>
      </c>
      <c r="L650" s="15">
        <v>6.0</v>
      </c>
      <c r="M650" s="15">
        <v>30.357856</v>
      </c>
      <c r="N650" s="15">
        <v>-87.044486</v>
      </c>
      <c r="O650" s="15" t="s">
        <v>2491</v>
      </c>
      <c r="P650" s="32"/>
    </row>
    <row r="651" ht="33.75" customHeight="1">
      <c r="A651" s="26">
        <v>42044.0</v>
      </c>
      <c r="B651" s="18" t="s">
        <v>2844</v>
      </c>
      <c r="C651" s="18" t="s">
        <v>2845</v>
      </c>
      <c r="D651" s="18" t="s">
        <v>2846</v>
      </c>
      <c r="E651" s="18" t="s">
        <v>243</v>
      </c>
      <c r="F651" s="18">
        <v>24.65466</v>
      </c>
      <c r="G651" s="18">
        <v>-81.29984</v>
      </c>
      <c r="H651" s="15">
        <v>24.65492</v>
      </c>
      <c r="I651" s="15">
        <v>-81.29875</v>
      </c>
      <c r="J651" s="15" t="s">
        <v>1514</v>
      </c>
      <c r="K651" s="15" t="s">
        <v>2847</v>
      </c>
      <c r="L651" s="15">
        <v>1.0</v>
      </c>
      <c r="M651" s="15">
        <v>24.65466</v>
      </c>
      <c r="N651" s="15">
        <v>-81.29875</v>
      </c>
      <c r="O651" s="15" t="s">
        <v>2848</v>
      </c>
      <c r="P651" s="32"/>
    </row>
    <row r="652" ht="33.75" customHeight="1">
      <c r="A652" s="14">
        <v>42044.0</v>
      </c>
      <c r="B652" s="43" t="s">
        <v>2844</v>
      </c>
      <c r="C652" s="18" t="s">
        <v>2845</v>
      </c>
      <c r="D652" s="43" t="s">
        <v>1520</v>
      </c>
      <c r="E652" s="43" t="s">
        <v>243</v>
      </c>
      <c r="F652" s="43">
        <v>24.67199</v>
      </c>
      <c r="G652" s="43">
        <v>-81.2461</v>
      </c>
      <c r="H652" s="43">
        <v>24.6734</v>
      </c>
      <c r="I652" s="43">
        <v>-81.24339</v>
      </c>
      <c r="J652" s="43" t="s">
        <v>1522</v>
      </c>
      <c r="K652" s="43" t="s">
        <v>2849</v>
      </c>
      <c r="L652" s="43">
        <v>1.0</v>
      </c>
      <c r="M652" s="43">
        <v>24.6734</v>
      </c>
      <c r="N652" s="43">
        <v>-81.24339</v>
      </c>
      <c r="O652" s="43" t="s">
        <v>2850</v>
      </c>
    </row>
    <row r="653" ht="33.75" customHeight="1">
      <c r="A653" s="14">
        <v>42044.0</v>
      </c>
      <c r="B653" s="43" t="s">
        <v>2844</v>
      </c>
      <c r="C653" s="18" t="s">
        <v>2845</v>
      </c>
      <c r="D653" s="43" t="s">
        <v>1520</v>
      </c>
      <c r="E653" s="43" t="s">
        <v>243</v>
      </c>
      <c r="F653" s="43">
        <v>24.6734</v>
      </c>
      <c r="G653" s="43">
        <v>-81.24339</v>
      </c>
      <c r="H653" s="43">
        <v>24.6734</v>
      </c>
      <c r="I653" s="43">
        <v>-81.24339</v>
      </c>
      <c r="J653" s="43" t="s">
        <v>2851</v>
      </c>
      <c r="K653" s="43" t="s">
        <v>2852</v>
      </c>
      <c r="L653" s="43">
        <v>2.0</v>
      </c>
      <c r="M653" s="43">
        <v>24.6734</v>
      </c>
      <c r="N653" s="43">
        <v>-81.24339</v>
      </c>
      <c r="O653" s="43" t="s">
        <v>2853</v>
      </c>
    </row>
    <row r="654" ht="33.75" customHeight="1">
      <c r="A654" s="22"/>
      <c r="B654" s="22"/>
      <c r="C654" s="22"/>
      <c r="D654" s="22"/>
      <c r="E654" s="22"/>
      <c r="F654" s="22"/>
      <c r="G654" s="22"/>
      <c r="P654" s="32"/>
    </row>
    <row r="655" ht="33.75" customHeight="1">
      <c r="A655" s="22"/>
      <c r="B655" s="22"/>
      <c r="C655" s="22"/>
      <c r="D655" s="22"/>
      <c r="E655" s="22"/>
      <c r="F655" s="22"/>
      <c r="G655" s="22"/>
      <c r="P655" s="32"/>
    </row>
    <row r="656" ht="33.75" customHeight="1">
      <c r="A656" s="22"/>
      <c r="B656" s="22"/>
      <c r="C656" s="22"/>
      <c r="D656" s="22"/>
      <c r="E656" s="22"/>
      <c r="F656" s="22"/>
      <c r="G656" s="22"/>
      <c r="P656" s="32"/>
    </row>
    <row r="657" ht="33.75" customHeight="1">
      <c r="A657" s="22"/>
      <c r="B657" s="22"/>
      <c r="C657" s="22"/>
      <c r="D657" s="22"/>
      <c r="E657" s="22"/>
      <c r="F657" s="22"/>
      <c r="G657" s="22"/>
      <c r="P657" s="32"/>
    </row>
    <row r="658" ht="33.75" customHeight="1">
      <c r="A658" s="22"/>
      <c r="B658" s="22"/>
      <c r="C658" s="22"/>
      <c r="D658" s="22"/>
      <c r="E658" s="22"/>
      <c r="F658" s="22"/>
      <c r="G658" s="22"/>
      <c r="P658" s="32"/>
    </row>
  </sheetData>
  <mergeCells count="1">
    <mergeCell ref="A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6.57"/>
    <col customWidth="1" min="2" max="2" width="17.0"/>
    <col customWidth="1" min="3" max="3" width="21.43"/>
    <col customWidth="1" min="4" max="4" width="12.43"/>
    <col customWidth="1" min="6" max="6" width="14.14"/>
    <col customWidth="1" min="7" max="7" width="14.0"/>
    <col customWidth="1" min="9" max="9" width="14.0"/>
    <col customWidth="1" min="10" max="10" width="17.29"/>
    <col customWidth="1" min="11" max="11" width="56.71"/>
    <col customWidth="1" min="12" max="59" width="17.29"/>
    <col customWidth="1" min="60" max="60" width="15.86"/>
    <col customWidth="1" min="61" max="61" width="209.0"/>
  </cols>
  <sheetData>
    <row r="1" ht="36.75" customHeight="1">
      <c r="A1" s="9" t="s">
        <v>7</v>
      </c>
      <c r="L1" s="12">
        <f t="shared" ref="L1:BG1" si="1">sum(L5:L245)</f>
        <v>659</v>
      </c>
      <c r="M1" s="12">
        <f t="shared" si="1"/>
        <v>27</v>
      </c>
      <c r="N1" s="12">
        <f t="shared" si="1"/>
        <v>1900</v>
      </c>
      <c r="O1" s="12">
        <f t="shared" si="1"/>
        <v>12619</v>
      </c>
      <c r="P1" s="12">
        <f t="shared" si="1"/>
        <v>177</v>
      </c>
      <c r="Q1" s="12">
        <f t="shared" si="1"/>
        <v>292</v>
      </c>
      <c r="R1" s="12">
        <f t="shared" si="1"/>
        <v>1189</v>
      </c>
      <c r="S1" s="12">
        <f t="shared" si="1"/>
        <v>423</v>
      </c>
      <c r="T1" s="12">
        <f t="shared" si="1"/>
        <v>5</v>
      </c>
      <c r="U1" s="12">
        <f t="shared" si="1"/>
        <v>896</v>
      </c>
      <c r="V1" s="12">
        <f t="shared" si="1"/>
        <v>488</v>
      </c>
      <c r="W1" s="12">
        <f t="shared" si="1"/>
        <v>351</v>
      </c>
      <c r="X1" s="12">
        <f t="shared" si="1"/>
        <v>1695</v>
      </c>
      <c r="Y1" s="12">
        <f t="shared" si="1"/>
        <v>2304</v>
      </c>
      <c r="Z1" s="12">
        <f t="shared" si="1"/>
        <v>10622</v>
      </c>
      <c r="AA1" s="12">
        <f t="shared" si="1"/>
        <v>4398</v>
      </c>
      <c r="AB1" s="12">
        <f t="shared" si="1"/>
        <v>23</v>
      </c>
      <c r="AC1" s="12">
        <f t="shared" si="1"/>
        <v>1548</v>
      </c>
      <c r="AD1" s="12">
        <f t="shared" si="1"/>
        <v>510</v>
      </c>
      <c r="AE1" s="12">
        <f t="shared" si="1"/>
        <v>35</v>
      </c>
      <c r="AF1" s="12">
        <f t="shared" si="1"/>
        <v>1453</v>
      </c>
      <c r="AG1" s="12">
        <f t="shared" si="1"/>
        <v>27</v>
      </c>
      <c r="AH1" s="12">
        <f t="shared" si="1"/>
        <v>4147</v>
      </c>
      <c r="AI1" s="12">
        <f t="shared" si="1"/>
        <v>180</v>
      </c>
      <c r="AJ1" s="12">
        <f t="shared" si="1"/>
        <v>1</v>
      </c>
      <c r="AK1" s="12">
        <f t="shared" si="1"/>
        <v>3623</v>
      </c>
      <c r="AL1" s="12">
        <f t="shared" si="1"/>
        <v>1262</v>
      </c>
      <c r="AM1" s="12">
        <f t="shared" si="1"/>
        <v>0</v>
      </c>
      <c r="AN1" s="12">
        <f t="shared" si="1"/>
        <v>1810</v>
      </c>
      <c r="AO1" s="12">
        <f t="shared" si="1"/>
        <v>168</v>
      </c>
      <c r="AP1" s="12">
        <f t="shared" si="1"/>
        <v>2</v>
      </c>
      <c r="AQ1" s="12">
        <f t="shared" si="1"/>
        <v>5053</v>
      </c>
      <c r="AR1" s="12">
        <f t="shared" si="1"/>
        <v>2652</v>
      </c>
      <c r="AS1" s="12">
        <f t="shared" si="1"/>
        <v>28</v>
      </c>
      <c r="AT1" s="12">
        <f t="shared" si="1"/>
        <v>2</v>
      </c>
      <c r="AU1" s="12">
        <f t="shared" si="1"/>
        <v>50</v>
      </c>
      <c r="AV1" s="12">
        <f t="shared" si="1"/>
        <v>1832</v>
      </c>
      <c r="AW1" s="12">
        <f t="shared" si="1"/>
        <v>11719</v>
      </c>
      <c r="AX1" s="12">
        <f t="shared" si="1"/>
        <v>225</v>
      </c>
      <c r="AY1" s="12">
        <f t="shared" si="1"/>
        <v>8046</v>
      </c>
      <c r="AZ1" s="12">
        <f t="shared" si="1"/>
        <v>5701</v>
      </c>
      <c r="BA1" s="12">
        <f t="shared" si="1"/>
        <v>115</v>
      </c>
      <c r="BB1" s="12">
        <f t="shared" si="1"/>
        <v>0</v>
      </c>
      <c r="BC1" s="12">
        <f t="shared" si="1"/>
        <v>426</v>
      </c>
      <c r="BD1" s="12">
        <f t="shared" si="1"/>
        <v>791</v>
      </c>
      <c r="BE1" s="12">
        <f t="shared" si="1"/>
        <v>212</v>
      </c>
      <c r="BF1" s="12">
        <f t="shared" si="1"/>
        <v>7</v>
      </c>
      <c r="BG1" s="12">
        <f t="shared" si="1"/>
        <v>19</v>
      </c>
      <c r="BH1" s="12">
        <f>sum(BH5:BH275)</f>
        <v>202383</v>
      </c>
    </row>
    <row r="2" ht="36.75" customHeight="1">
      <c r="A2" s="13" t="s">
        <v>13</v>
      </c>
      <c r="B2" s="13" t="s">
        <v>14</v>
      </c>
      <c r="C2" s="13" t="s">
        <v>15</v>
      </c>
      <c r="D2" s="13" t="s">
        <v>16</v>
      </c>
      <c r="E2" s="13" t="s">
        <v>17</v>
      </c>
      <c r="F2" s="13" t="s">
        <v>18</v>
      </c>
      <c r="G2" s="13" t="s">
        <v>19</v>
      </c>
      <c r="H2" s="13" t="s">
        <v>20</v>
      </c>
      <c r="I2" s="13" t="s">
        <v>21</v>
      </c>
      <c r="J2" s="13" t="s">
        <v>22</v>
      </c>
      <c r="K2" s="13" t="s">
        <v>23</v>
      </c>
      <c r="L2" s="13" t="s">
        <v>24</v>
      </c>
      <c r="M2" s="13" t="s">
        <v>25</v>
      </c>
      <c r="N2" s="13" t="s">
        <v>26</v>
      </c>
      <c r="O2" s="13" t="s">
        <v>27</v>
      </c>
      <c r="P2" s="13" t="s">
        <v>28</v>
      </c>
      <c r="Q2" s="13" t="s">
        <v>29</v>
      </c>
      <c r="R2" s="13" t="s">
        <v>30</v>
      </c>
      <c r="S2" s="13" t="s">
        <v>31</v>
      </c>
      <c r="T2" s="13" t="s">
        <v>32</v>
      </c>
      <c r="U2" s="13" t="s">
        <v>33</v>
      </c>
      <c r="V2" s="13" t="s">
        <v>34</v>
      </c>
      <c r="W2" s="13" t="s">
        <v>35</v>
      </c>
      <c r="X2" s="13" t="s">
        <v>36</v>
      </c>
      <c r="Y2" s="13" t="s">
        <v>37</v>
      </c>
      <c r="Z2" s="13" t="s">
        <v>38</v>
      </c>
      <c r="AA2" s="13" t="s">
        <v>39</v>
      </c>
      <c r="AB2" s="13" t="s">
        <v>40</v>
      </c>
      <c r="AC2" s="13" t="s">
        <v>41</v>
      </c>
      <c r="AD2" s="13" t="s">
        <v>42</v>
      </c>
      <c r="AE2" s="13" t="s">
        <v>43</v>
      </c>
      <c r="AF2" s="13" t="s">
        <v>44</v>
      </c>
      <c r="AG2" s="13" t="s">
        <v>45</v>
      </c>
      <c r="AH2" s="13" t="s">
        <v>46</v>
      </c>
      <c r="AI2" s="13" t="s">
        <v>47</v>
      </c>
      <c r="AJ2" s="13" t="s">
        <v>48</v>
      </c>
      <c r="AK2" s="13" t="s">
        <v>49</v>
      </c>
      <c r="AL2" s="13" t="s">
        <v>50</v>
      </c>
      <c r="AM2" s="13" t="s">
        <v>51</v>
      </c>
      <c r="AN2" s="13" t="s">
        <v>52</v>
      </c>
      <c r="AO2" s="13" t="s">
        <v>53</v>
      </c>
      <c r="AP2" s="13" t="s">
        <v>54</v>
      </c>
      <c r="AQ2" s="13" t="s">
        <v>55</v>
      </c>
      <c r="AR2" s="13" t="s">
        <v>56</v>
      </c>
      <c r="AS2" s="13" t="s">
        <v>57</v>
      </c>
      <c r="AT2" s="13" t="s">
        <v>58</v>
      </c>
      <c r="AU2" s="13" t="s">
        <v>59</v>
      </c>
      <c r="AV2" s="13" t="s">
        <v>60</v>
      </c>
      <c r="AW2" s="13" t="s">
        <v>61</v>
      </c>
      <c r="AX2" s="13" t="s">
        <v>62</v>
      </c>
      <c r="AY2" s="13" t="s">
        <v>63</v>
      </c>
      <c r="AZ2" s="13" t="s">
        <v>64</v>
      </c>
      <c r="BA2" s="13" t="s">
        <v>65</v>
      </c>
      <c r="BB2" s="13" t="s">
        <v>66</v>
      </c>
      <c r="BC2" s="13" t="s">
        <v>67</v>
      </c>
      <c r="BD2" s="13" t="s">
        <v>68</v>
      </c>
      <c r="BE2" s="13" t="s">
        <v>69</v>
      </c>
      <c r="BF2" s="13" t="s">
        <v>70</v>
      </c>
      <c r="BG2" s="13" t="s">
        <v>71</v>
      </c>
      <c r="BH2" s="13" t="s">
        <v>72</v>
      </c>
      <c r="BI2" s="13" t="s">
        <v>73</v>
      </c>
    </row>
    <row r="3" ht="36.75" customHeight="1">
      <c r="A3" s="14">
        <v>42043.0</v>
      </c>
      <c r="B3" s="15" t="s">
        <v>74</v>
      </c>
      <c r="C3" s="15" t="s">
        <v>75</v>
      </c>
      <c r="D3" s="15" t="s">
        <v>76</v>
      </c>
      <c r="E3" s="15" t="s">
        <v>77</v>
      </c>
      <c r="F3" s="16">
        <v>29.95456</v>
      </c>
      <c r="G3" s="16">
        <v>-85.44788</v>
      </c>
      <c r="H3" s="16">
        <v>29.99925</v>
      </c>
      <c r="I3" s="17">
        <v>-85.529036</v>
      </c>
      <c r="J3" s="15" t="s">
        <v>78</v>
      </c>
      <c r="K3" s="15" t="s">
        <v>79</v>
      </c>
      <c r="L3" s="15">
        <v>2.0</v>
      </c>
      <c r="N3" s="15">
        <v>11.0</v>
      </c>
      <c r="O3" s="15">
        <v>33.0</v>
      </c>
      <c r="R3" s="15">
        <v>11.0</v>
      </c>
      <c r="X3" s="15">
        <v>7.0</v>
      </c>
      <c r="Y3" s="15">
        <v>15.0</v>
      </c>
      <c r="Z3" s="15">
        <v>130.0</v>
      </c>
      <c r="AD3" s="15">
        <v>43.0</v>
      </c>
      <c r="AH3" s="15">
        <v>54.0</v>
      </c>
      <c r="AL3" s="15">
        <v>28.0</v>
      </c>
      <c r="AN3" s="15">
        <v>9.0</v>
      </c>
      <c r="AQ3" s="15">
        <v>3.0</v>
      </c>
      <c r="AR3" s="15">
        <v>37.0</v>
      </c>
      <c r="AV3" s="15">
        <v>40.0</v>
      </c>
      <c r="AW3" s="15">
        <v>7.0</v>
      </c>
      <c r="AY3" s="15">
        <v>106.0</v>
      </c>
      <c r="BH3" s="12">
        <f t="shared" ref="BH3:BH4" si="2">SUM(L3:BG3)</f>
        <v>536</v>
      </c>
      <c r="BI3" s="15" t="s">
        <v>80</v>
      </c>
    </row>
    <row r="4" ht="36.75" customHeight="1">
      <c r="A4" s="14">
        <v>42044.0</v>
      </c>
      <c r="B4" s="15" t="s">
        <v>81</v>
      </c>
      <c r="C4" s="15" t="s">
        <v>75</v>
      </c>
      <c r="D4" s="15" t="s">
        <v>82</v>
      </c>
      <c r="E4" s="15" t="s">
        <v>77</v>
      </c>
      <c r="F4" s="16">
        <v>30.05292</v>
      </c>
      <c r="G4" s="16">
        <v>-85.60097</v>
      </c>
      <c r="H4" s="16">
        <v>30.00587</v>
      </c>
      <c r="I4" s="17">
        <v>-85.53516</v>
      </c>
      <c r="J4" s="15" t="s">
        <v>83</v>
      </c>
      <c r="K4" s="15" t="s">
        <v>84</v>
      </c>
      <c r="N4" s="15">
        <v>20.0</v>
      </c>
      <c r="O4" s="15">
        <v>174.0</v>
      </c>
      <c r="Q4" s="15">
        <v>1.0</v>
      </c>
      <c r="R4" s="15">
        <v>4.0</v>
      </c>
      <c r="Y4" s="15">
        <v>19.0</v>
      </c>
      <c r="Z4" s="15">
        <v>109.0</v>
      </c>
      <c r="AD4" s="15">
        <v>47.0</v>
      </c>
      <c r="AH4" s="15">
        <v>28.0</v>
      </c>
      <c r="AI4" s="15">
        <v>4.0</v>
      </c>
      <c r="AL4" s="15">
        <v>283.0</v>
      </c>
      <c r="AN4" s="15">
        <v>3.0</v>
      </c>
      <c r="AQ4" s="15">
        <v>3.0</v>
      </c>
      <c r="AR4" s="15">
        <v>21.0</v>
      </c>
      <c r="AV4" s="15">
        <v>79.0</v>
      </c>
      <c r="AW4" s="15">
        <v>1.0</v>
      </c>
      <c r="AY4" s="15">
        <v>141.0</v>
      </c>
      <c r="AZ4" s="15">
        <v>9.0</v>
      </c>
      <c r="BH4" s="12">
        <f t="shared" si="2"/>
        <v>946</v>
      </c>
      <c r="BI4" s="15" t="s">
        <v>85</v>
      </c>
    </row>
    <row r="5" ht="36.75" customHeight="1">
      <c r="A5" s="14">
        <v>42044.0</v>
      </c>
      <c r="B5" s="15" t="s">
        <v>86</v>
      </c>
      <c r="C5" s="15" t="s">
        <v>87</v>
      </c>
      <c r="D5" s="15" t="s">
        <v>88</v>
      </c>
      <c r="E5" s="18" t="s">
        <v>77</v>
      </c>
      <c r="F5" s="18">
        <v>30.13741</v>
      </c>
      <c r="G5" s="15">
        <v>-85.71873</v>
      </c>
      <c r="H5" s="18">
        <v>30.13689</v>
      </c>
      <c r="I5" s="15">
        <v>-85.7247</v>
      </c>
      <c r="J5" s="20" t="s">
        <v>89</v>
      </c>
      <c r="K5" s="15" t="s">
        <v>91</v>
      </c>
      <c r="M5" s="22"/>
      <c r="N5" s="15">
        <v>1.0</v>
      </c>
      <c r="O5" s="22"/>
      <c r="Q5" s="15">
        <v>5.0</v>
      </c>
      <c r="W5" s="22"/>
      <c r="X5" s="22"/>
      <c r="AH5" s="15">
        <v>3.0</v>
      </c>
      <c r="AN5" s="15">
        <v>4.0</v>
      </c>
      <c r="AQ5" s="15">
        <v>13.0</v>
      </c>
      <c r="AV5" s="15">
        <v>1.0</v>
      </c>
      <c r="AX5" s="15">
        <v>6.0</v>
      </c>
      <c r="AY5" s="15">
        <v>3.0</v>
      </c>
      <c r="AZ5" s="22"/>
      <c r="BB5" s="22"/>
      <c r="BG5" s="22"/>
      <c r="BH5" s="22"/>
    </row>
    <row r="6" ht="36.75" customHeight="1">
      <c r="A6" s="24">
        <v>42045.0</v>
      </c>
      <c r="B6" s="18" t="s">
        <v>102</v>
      </c>
      <c r="C6" s="18" t="s">
        <v>104</v>
      </c>
      <c r="D6" s="18" t="s">
        <v>105</v>
      </c>
      <c r="E6" s="18" t="s">
        <v>77</v>
      </c>
      <c r="F6" s="16">
        <v>30.26922</v>
      </c>
      <c r="G6" s="16">
        <v>-85.99591</v>
      </c>
      <c r="H6" s="16">
        <v>30.26624</v>
      </c>
      <c r="I6" s="17">
        <v>-85.98904</v>
      </c>
      <c r="J6" s="15" t="s">
        <v>106</v>
      </c>
      <c r="K6" s="15" t="s">
        <v>107</v>
      </c>
      <c r="L6" s="15">
        <v>0.0</v>
      </c>
      <c r="M6" s="15">
        <v>0.0</v>
      </c>
      <c r="N6" s="15">
        <v>1.0</v>
      </c>
      <c r="O6" s="15">
        <v>1.0</v>
      </c>
      <c r="P6" s="15">
        <v>0.0</v>
      </c>
      <c r="Q6" s="15">
        <v>16.0</v>
      </c>
      <c r="R6" s="15">
        <v>0.0</v>
      </c>
      <c r="S6" s="15">
        <v>0.0</v>
      </c>
      <c r="T6" s="15">
        <v>0.0</v>
      </c>
      <c r="U6" s="15">
        <v>0.0</v>
      </c>
      <c r="V6" s="15">
        <v>0.0</v>
      </c>
      <c r="W6" s="15">
        <v>0.0</v>
      </c>
      <c r="X6" s="15">
        <v>0.0</v>
      </c>
      <c r="Y6" s="15">
        <v>0.0</v>
      </c>
      <c r="Z6" s="15">
        <v>27.0</v>
      </c>
      <c r="AA6" s="15">
        <v>0.0</v>
      </c>
      <c r="AB6" s="15">
        <v>0.0</v>
      </c>
      <c r="AC6" s="15">
        <v>0.0</v>
      </c>
      <c r="AD6" s="15">
        <v>8.0</v>
      </c>
      <c r="AE6" s="15">
        <v>0.0</v>
      </c>
      <c r="AF6" s="15">
        <v>0.0</v>
      </c>
      <c r="AG6" s="15">
        <v>0.0</v>
      </c>
      <c r="AH6" s="15">
        <v>2.0</v>
      </c>
      <c r="AI6" s="15">
        <v>0.0</v>
      </c>
      <c r="AJ6" s="15">
        <v>0.0</v>
      </c>
      <c r="AK6" s="15">
        <v>0.0</v>
      </c>
      <c r="AL6" s="15">
        <v>5.0</v>
      </c>
      <c r="AM6" s="15">
        <v>0.0</v>
      </c>
      <c r="AN6" s="15">
        <v>1.0</v>
      </c>
      <c r="AO6" s="15">
        <v>0.0</v>
      </c>
      <c r="AP6" s="15">
        <v>0.0</v>
      </c>
      <c r="AQ6" s="15">
        <v>0.0</v>
      </c>
      <c r="AR6" s="15">
        <v>4.0</v>
      </c>
      <c r="AS6" s="15">
        <v>0.0</v>
      </c>
      <c r="AT6" s="15">
        <v>0.0</v>
      </c>
      <c r="AU6" s="15">
        <v>0.0</v>
      </c>
      <c r="AV6" s="15">
        <v>0.0</v>
      </c>
      <c r="AW6" s="15">
        <v>1.0</v>
      </c>
      <c r="AX6" s="15">
        <v>0.0</v>
      </c>
      <c r="AY6" s="15">
        <v>3.0</v>
      </c>
      <c r="AZ6" s="15">
        <v>1.0</v>
      </c>
      <c r="BA6" s="15">
        <v>0.0</v>
      </c>
      <c r="BB6" s="15">
        <v>0.0</v>
      </c>
      <c r="BC6" s="15">
        <v>0.0</v>
      </c>
      <c r="BD6" s="15">
        <v>0.0</v>
      </c>
      <c r="BE6" s="15">
        <v>0.0</v>
      </c>
      <c r="BF6" s="15">
        <v>0.0</v>
      </c>
      <c r="BH6" s="12">
        <f t="shared" ref="BH6:BH16" si="3">SUM(L6:BG6)</f>
        <v>70</v>
      </c>
    </row>
    <row r="7" ht="36.75" customHeight="1">
      <c r="A7" s="26">
        <v>42045.0</v>
      </c>
      <c r="B7" s="15" t="s">
        <v>132</v>
      </c>
      <c r="C7" s="15" t="s">
        <v>134</v>
      </c>
      <c r="D7" s="18" t="s">
        <v>137</v>
      </c>
      <c r="E7" s="18" t="s">
        <v>77</v>
      </c>
      <c r="F7" s="18">
        <v>30.13088</v>
      </c>
      <c r="G7" s="18">
        <v>-85.72121</v>
      </c>
      <c r="H7" s="18">
        <v>30.13284</v>
      </c>
      <c r="I7" s="16">
        <v>-84.74549</v>
      </c>
      <c r="J7" s="20" t="s">
        <v>141</v>
      </c>
      <c r="K7" s="18" t="s">
        <v>142</v>
      </c>
      <c r="L7" s="18">
        <v>0.0</v>
      </c>
      <c r="M7" s="18">
        <v>0.0</v>
      </c>
      <c r="N7" s="18">
        <v>0.0</v>
      </c>
      <c r="O7" s="18">
        <v>0.0</v>
      </c>
      <c r="P7" s="18">
        <v>0.0</v>
      </c>
      <c r="Q7" s="18">
        <v>0.0</v>
      </c>
      <c r="R7" s="18">
        <v>0.0</v>
      </c>
      <c r="S7" s="18">
        <v>0.0</v>
      </c>
      <c r="T7" s="18">
        <v>0.0</v>
      </c>
      <c r="U7" s="18">
        <v>0.0</v>
      </c>
      <c r="V7" s="18">
        <v>0.0</v>
      </c>
      <c r="W7" s="18">
        <v>0.0</v>
      </c>
      <c r="X7" s="18">
        <v>0.0</v>
      </c>
      <c r="Y7" s="18">
        <v>2.0</v>
      </c>
      <c r="Z7" s="18">
        <v>21.0</v>
      </c>
      <c r="AA7" s="18">
        <v>0.0</v>
      </c>
      <c r="AB7" s="18">
        <v>0.0</v>
      </c>
      <c r="AC7" s="18">
        <v>0.0</v>
      </c>
      <c r="AD7" s="18">
        <v>0.0</v>
      </c>
      <c r="AE7" s="18">
        <v>0.0</v>
      </c>
      <c r="AF7" s="18">
        <v>0.0</v>
      </c>
      <c r="AG7" s="18">
        <v>0.0</v>
      </c>
      <c r="AH7" s="18">
        <v>16.0</v>
      </c>
      <c r="AI7" s="18">
        <v>0.0</v>
      </c>
      <c r="AJ7" s="18">
        <v>0.0</v>
      </c>
      <c r="AK7" s="18">
        <v>0.0</v>
      </c>
      <c r="AL7" s="18">
        <v>77.0</v>
      </c>
      <c r="AM7" s="18">
        <v>0.0</v>
      </c>
      <c r="AN7" s="18">
        <v>2.0</v>
      </c>
      <c r="AO7" s="18">
        <v>0.0</v>
      </c>
      <c r="AP7" s="18">
        <v>0.0</v>
      </c>
      <c r="AQ7" s="18">
        <v>18.0</v>
      </c>
      <c r="AR7" s="18">
        <v>14.0</v>
      </c>
      <c r="AS7" s="18">
        <v>0.0</v>
      </c>
      <c r="AT7" s="18">
        <v>0.0</v>
      </c>
      <c r="AU7" s="18">
        <v>0.0</v>
      </c>
      <c r="AV7" s="18">
        <v>1.0</v>
      </c>
      <c r="AW7" s="18">
        <v>11.0</v>
      </c>
      <c r="AX7" s="18">
        <v>0.0</v>
      </c>
      <c r="AY7" s="18">
        <v>4.0</v>
      </c>
      <c r="AZ7" s="18">
        <v>49.0</v>
      </c>
      <c r="BA7" s="18">
        <v>0.0</v>
      </c>
      <c r="BB7" s="18">
        <v>0.0</v>
      </c>
      <c r="BC7" s="18">
        <v>0.0</v>
      </c>
      <c r="BD7" s="18">
        <v>0.0</v>
      </c>
      <c r="BE7" s="18">
        <v>0.0</v>
      </c>
      <c r="BF7" s="18">
        <v>0.0</v>
      </c>
      <c r="BH7" s="12">
        <f t="shared" si="3"/>
        <v>215</v>
      </c>
    </row>
    <row r="8" ht="36.75" customHeight="1">
      <c r="A8" s="26">
        <v>42045.0</v>
      </c>
      <c r="B8" s="18" t="s">
        <v>157</v>
      </c>
      <c r="C8" s="18" t="s">
        <v>158</v>
      </c>
      <c r="D8" s="18" t="s">
        <v>159</v>
      </c>
      <c r="E8" s="18" t="s">
        <v>77</v>
      </c>
      <c r="F8" s="18" t="s">
        <v>161</v>
      </c>
      <c r="G8" s="18" t="s">
        <v>163</v>
      </c>
      <c r="H8" s="18" t="s">
        <v>165</v>
      </c>
      <c r="I8" s="16" t="s">
        <v>166</v>
      </c>
      <c r="J8" s="18" t="s">
        <v>167</v>
      </c>
      <c r="K8" s="15" t="s">
        <v>168</v>
      </c>
      <c r="M8" s="22"/>
      <c r="P8" s="27"/>
      <c r="Z8" s="15">
        <v>92.0</v>
      </c>
      <c r="AD8" s="15">
        <v>4.0</v>
      </c>
      <c r="AH8" s="15">
        <v>4.0</v>
      </c>
      <c r="AL8" s="15">
        <v>20.0</v>
      </c>
      <c r="AN8" s="15">
        <v>20.0</v>
      </c>
      <c r="AR8" s="15">
        <v>27.0</v>
      </c>
      <c r="AV8" s="15">
        <v>1.0</v>
      </c>
      <c r="AW8" s="15">
        <v>7.0</v>
      </c>
      <c r="AY8" s="15">
        <v>11.0</v>
      </c>
      <c r="BG8" s="22"/>
      <c r="BH8" s="12">
        <f t="shared" si="3"/>
        <v>186</v>
      </c>
    </row>
    <row r="9" ht="36.75" customHeight="1">
      <c r="A9" s="14">
        <v>42045.0</v>
      </c>
      <c r="B9" s="15" t="s">
        <v>157</v>
      </c>
      <c r="C9" s="15" t="s">
        <v>158</v>
      </c>
      <c r="D9" s="18" t="s">
        <v>175</v>
      </c>
      <c r="E9" s="18" t="s">
        <v>77</v>
      </c>
      <c r="F9" s="16">
        <v>29.9506</v>
      </c>
      <c r="G9" s="16">
        <v>-85.4301</v>
      </c>
      <c r="H9" s="16">
        <v>29.925</v>
      </c>
      <c r="I9" s="17">
        <v>-85.3894</v>
      </c>
      <c r="J9" s="15" t="s">
        <v>176</v>
      </c>
      <c r="K9" s="15" t="s">
        <v>178</v>
      </c>
      <c r="Z9" s="15">
        <v>15.0</v>
      </c>
      <c r="AH9" s="15">
        <v>8.0</v>
      </c>
      <c r="AL9" s="15">
        <v>5.0</v>
      </c>
      <c r="AN9" s="15">
        <v>3.0</v>
      </c>
      <c r="AR9" s="15">
        <v>112.0</v>
      </c>
      <c r="AW9" s="15">
        <v>115.0</v>
      </c>
      <c r="AY9" s="15">
        <v>33.0</v>
      </c>
      <c r="AZ9" s="15">
        <v>10.0</v>
      </c>
      <c r="BH9" s="12">
        <f t="shared" si="3"/>
        <v>301</v>
      </c>
    </row>
    <row r="10" ht="36.75" customHeight="1">
      <c r="A10" s="24">
        <v>42046.0</v>
      </c>
      <c r="B10" s="18" t="s">
        <v>102</v>
      </c>
      <c r="C10" s="18" t="s">
        <v>104</v>
      </c>
      <c r="D10" s="18" t="s">
        <v>185</v>
      </c>
      <c r="E10" s="18" t="s">
        <v>77</v>
      </c>
      <c r="F10" s="16">
        <v>30.05275</v>
      </c>
      <c r="G10" s="16">
        <v>-85.60041</v>
      </c>
      <c r="H10" s="16">
        <v>30.08897</v>
      </c>
      <c r="I10" s="17">
        <v>-85.67867</v>
      </c>
      <c r="J10" s="15" t="s">
        <v>186</v>
      </c>
      <c r="K10" s="15" t="s">
        <v>187</v>
      </c>
      <c r="L10" s="18">
        <v>0.0</v>
      </c>
      <c r="M10" s="18">
        <v>0.0</v>
      </c>
      <c r="N10" s="18">
        <v>8.0</v>
      </c>
      <c r="O10" s="18">
        <v>169.0</v>
      </c>
      <c r="P10" s="18">
        <v>0.0</v>
      </c>
      <c r="Q10" s="18">
        <v>0.0</v>
      </c>
      <c r="R10" s="18">
        <v>0.0</v>
      </c>
      <c r="S10" s="18">
        <v>0.0</v>
      </c>
      <c r="T10" s="18">
        <v>0.0</v>
      </c>
      <c r="U10" s="18">
        <v>0.0</v>
      </c>
      <c r="V10" s="18">
        <v>0.0</v>
      </c>
      <c r="W10" s="18">
        <v>15.0</v>
      </c>
      <c r="X10" s="18">
        <v>20.0</v>
      </c>
      <c r="Y10" s="18">
        <v>7.0</v>
      </c>
      <c r="Z10" s="18">
        <v>79.0</v>
      </c>
      <c r="AA10" s="18">
        <v>0.0</v>
      </c>
      <c r="AB10" s="18">
        <v>0.0</v>
      </c>
      <c r="AC10" s="18">
        <v>8.0</v>
      </c>
      <c r="AD10" s="18">
        <v>19.0</v>
      </c>
      <c r="AE10" s="18">
        <v>0.0</v>
      </c>
      <c r="AF10" s="18">
        <v>0.0</v>
      </c>
      <c r="AG10" s="18">
        <v>0.0</v>
      </c>
      <c r="AH10" s="18">
        <v>34.0</v>
      </c>
      <c r="AI10" s="18">
        <v>3.0</v>
      </c>
      <c r="AJ10" s="18">
        <v>0.0</v>
      </c>
      <c r="AK10" s="18">
        <v>0.0</v>
      </c>
      <c r="AL10" s="18">
        <v>0.0</v>
      </c>
      <c r="AM10" s="18">
        <v>0.0</v>
      </c>
      <c r="AN10" s="18">
        <v>1.0</v>
      </c>
      <c r="AO10" s="18">
        <v>0.0</v>
      </c>
      <c r="AP10" s="18">
        <v>0.0</v>
      </c>
      <c r="AQ10" s="18">
        <v>0.0</v>
      </c>
      <c r="AR10" s="18">
        <v>9.0</v>
      </c>
      <c r="AS10" s="18">
        <v>0.0</v>
      </c>
      <c r="AT10" s="18">
        <v>0.0</v>
      </c>
      <c r="AU10" s="18">
        <v>0.0</v>
      </c>
      <c r="AV10" s="18">
        <v>3.0</v>
      </c>
      <c r="AW10" s="18">
        <v>2.0</v>
      </c>
      <c r="AX10" s="18">
        <v>0.0</v>
      </c>
      <c r="AY10" s="18">
        <v>47.0</v>
      </c>
      <c r="AZ10" s="18">
        <v>2.0</v>
      </c>
      <c r="BA10" s="18">
        <v>0.0</v>
      </c>
      <c r="BB10" s="18">
        <v>0.0</v>
      </c>
      <c r="BC10" s="18">
        <v>0.0</v>
      </c>
      <c r="BD10" s="18">
        <v>0.0</v>
      </c>
      <c r="BE10" s="18">
        <v>0.0</v>
      </c>
      <c r="BF10" s="18">
        <v>0.0</v>
      </c>
      <c r="BH10" s="12">
        <f t="shared" si="3"/>
        <v>426</v>
      </c>
    </row>
    <row r="11" ht="36.75" customHeight="1">
      <c r="A11" s="26">
        <v>42046.0</v>
      </c>
      <c r="B11" s="18" t="s">
        <v>198</v>
      </c>
      <c r="C11" s="15" t="s">
        <v>199</v>
      </c>
      <c r="D11" s="15" t="s">
        <v>200</v>
      </c>
      <c r="E11" s="18" t="s">
        <v>77</v>
      </c>
      <c r="F11" s="18">
        <v>30.08868</v>
      </c>
      <c r="G11" s="18">
        <v>-85.67838</v>
      </c>
      <c r="H11" s="18">
        <v>30.11856</v>
      </c>
      <c r="I11" s="16">
        <v>-85.72963</v>
      </c>
      <c r="J11" s="18" t="s">
        <v>204</v>
      </c>
      <c r="K11" s="15" t="s">
        <v>206</v>
      </c>
      <c r="L11" s="15">
        <v>0.0</v>
      </c>
      <c r="M11" s="18">
        <v>0.0</v>
      </c>
      <c r="N11" s="15">
        <v>6.0</v>
      </c>
      <c r="O11" s="15">
        <v>32.0</v>
      </c>
      <c r="P11" s="15">
        <v>0.0</v>
      </c>
      <c r="Q11" s="15">
        <v>0.0</v>
      </c>
      <c r="R11" s="15">
        <v>0.0</v>
      </c>
      <c r="S11" s="15">
        <v>0.0</v>
      </c>
      <c r="T11" s="15">
        <v>0.0</v>
      </c>
      <c r="U11" s="15">
        <v>0.0</v>
      </c>
      <c r="V11" s="15">
        <v>0.0</v>
      </c>
      <c r="W11" s="15">
        <v>0.0</v>
      </c>
      <c r="X11" s="15">
        <v>0.0</v>
      </c>
      <c r="Y11" s="15">
        <v>4.0</v>
      </c>
      <c r="Z11" s="15">
        <v>52.0</v>
      </c>
      <c r="AA11" s="15">
        <v>0.0</v>
      </c>
      <c r="AB11" s="15">
        <v>0.0</v>
      </c>
      <c r="AC11" s="15">
        <v>0.0</v>
      </c>
      <c r="AD11" s="15">
        <v>32.0</v>
      </c>
      <c r="AE11" s="15">
        <v>0.0</v>
      </c>
      <c r="AF11" s="15">
        <v>0.0</v>
      </c>
      <c r="AG11" s="15">
        <v>0.0</v>
      </c>
      <c r="AH11" s="15">
        <v>13.0</v>
      </c>
      <c r="AI11" s="15">
        <v>0.0</v>
      </c>
      <c r="AJ11" s="15">
        <v>0.0</v>
      </c>
      <c r="AK11" s="15">
        <v>0.0</v>
      </c>
      <c r="AL11" s="15">
        <v>0.0</v>
      </c>
      <c r="AM11" s="15">
        <v>0.0</v>
      </c>
      <c r="AN11" s="15">
        <v>13.0</v>
      </c>
      <c r="AO11" s="15">
        <v>0.0</v>
      </c>
      <c r="AP11" s="15">
        <v>0.0</v>
      </c>
      <c r="AQ11" s="15">
        <v>0.0</v>
      </c>
      <c r="AR11" s="15">
        <v>1.0</v>
      </c>
      <c r="AS11" s="15">
        <v>0.0</v>
      </c>
      <c r="AT11" s="15">
        <v>0.0</v>
      </c>
      <c r="AU11" s="15">
        <v>0.0</v>
      </c>
      <c r="AV11" s="15">
        <v>3.0</v>
      </c>
      <c r="AW11" s="15">
        <v>13.0</v>
      </c>
      <c r="AX11" s="15">
        <v>0.0</v>
      </c>
      <c r="AY11" s="15">
        <v>3.0</v>
      </c>
      <c r="AZ11" s="15">
        <v>2.0</v>
      </c>
      <c r="BA11" s="15">
        <v>0.0</v>
      </c>
      <c r="BB11" s="15">
        <v>0.0</v>
      </c>
      <c r="BC11" s="15">
        <v>0.0</v>
      </c>
      <c r="BD11" s="15">
        <v>0.0</v>
      </c>
      <c r="BE11" s="15">
        <v>0.0</v>
      </c>
      <c r="BF11" s="15">
        <v>0.0</v>
      </c>
      <c r="BG11" s="15">
        <v>0.0</v>
      </c>
      <c r="BH11" s="12">
        <f t="shared" si="3"/>
        <v>174</v>
      </c>
    </row>
    <row r="12" ht="36.75" customHeight="1">
      <c r="A12" s="14">
        <v>42045.0</v>
      </c>
      <c r="B12" s="15" t="s">
        <v>214</v>
      </c>
      <c r="C12" s="15" t="s">
        <v>216</v>
      </c>
      <c r="D12" s="15" t="s">
        <v>217</v>
      </c>
      <c r="E12" s="15" t="s">
        <v>219</v>
      </c>
      <c r="F12" s="15" t="s">
        <v>221</v>
      </c>
      <c r="G12" s="15" t="s">
        <v>222</v>
      </c>
      <c r="H12" s="15" t="s">
        <v>223</v>
      </c>
      <c r="I12" s="17" t="s">
        <v>224</v>
      </c>
      <c r="J12" s="15" t="s">
        <v>226</v>
      </c>
      <c r="K12" s="15" t="s">
        <v>228</v>
      </c>
      <c r="N12" s="15">
        <v>1.0</v>
      </c>
      <c r="Y12" s="15">
        <v>23.0</v>
      </c>
      <c r="Z12" s="15">
        <v>287.0</v>
      </c>
      <c r="AH12" s="15">
        <v>45.0</v>
      </c>
      <c r="AK12" s="15">
        <v>75.0</v>
      </c>
      <c r="AL12" s="15">
        <v>1.0</v>
      </c>
      <c r="AN12" s="15">
        <v>22.0</v>
      </c>
      <c r="AQ12" s="15">
        <v>1.0</v>
      </c>
      <c r="AR12" s="15">
        <v>21.0</v>
      </c>
      <c r="AV12" s="15">
        <v>7.0</v>
      </c>
      <c r="AX12" s="15">
        <v>1.0</v>
      </c>
      <c r="AY12" s="15">
        <v>47.0</v>
      </c>
      <c r="AZ12" s="15">
        <v>86.0</v>
      </c>
      <c r="BA12" s="15">
        <v>22.0</v>
      </c>
      <c r="BH12" s="12">
        <f t="shared" si="3"/>
        <v>639</v>
      </c>
      <c r="BI12" s="15" t="s">
        <v>236</v>
      </c>
    </row>
    <row r="13" ht="36.75" customHeight="1">
      <c r="A13" s="14">
        <v>42045.0</v>
      </c>
      <c r="B13" s="15" t="s">
        <v>237</v>
      </c>
      <c r="C13" s="15" t="s">
        <v>238</v>
      </c>
      <c r="D13" s="15" t="s">
        <v>240</v>
      </c>
      <c r="E13" s="15" t="s">
        <v>219</v>
      </c>
      <c r="F13" s="15">
        <v>28.27195</v>
      </c>
      <c r="G13" s="15">
        <v>-80.60527</v>
      </c>
      <c r="H13" s="15">
        <v>28.21282</v>
      </c>
      <c r="I13" s="17">
        <v>-80.5969</v>
      </c>
      <c r="J13" s="15" t="s">
        <v>244</v>
      </c>
      <c r="K13" s="15" t="s">
        <v>245</v>
      </c>
      <c r="L13" s="15">
        <v>0.0</v>
      </c>
      <c r="M13" s="15">
        <v>0.0</v>
      </c>
      <c r="N13" s="15">
        <v>5.0</v>
      </c>
      <c r="O13" s="15">
        <v>0.0</v>
      </c>
      <c r="P13" s="15">
        <v>0.0</v>
      </c>
      <c r="Q13" s="15">
        <v>0.0</v>
      </c>
      <c r="R13" s="15">
        <v>0.0</v>
      </c>
      <c r="S13" s="15">
        <v>0.0</v>
      </c>
      <c r="T13" s="15">
        <v>0.0</v>
      </c>
      <c r="U13" s="15">
        <v>0.0</v>
      </c>
      <c r="V13" s="15">
        <v>0.0</v>
      </c>
      <c r="W13" s="15">
        <v>0.0</v>
      </c>
      <c r="X13" s="15">
        <v>0.0</v>
      </c>
      <c r="Y13" s="15">
        <v>14.0</v>
      </c>
      <c r="Z13" s="15">
        <v>97.0</v>
      </c>
      <c r="AA13" s="15">
        <v>0.0</v>
      </c>
      <c r="AB13" s="15">
        <v>0.0</v>
      </c>
      <c r="AC13" s="15">
        <v>0.0</v>
      </c>
      <c r="AD13" s="15">
        <v>0.0</v>
      </c>
      <c r="AE13" s="15">
        <v>0.0</v>
      </c>
      <c r="AF13" s="15">
        <v>0.0</v>
      </c>
      <c r="AG13" s="15">
        <v>0.0</v>
      </c>
      <c r="AH13" s="15">
        <v>12.0</v>
      </c>
      <c r="AI13" s="15">
        <v>0.0</v>
      </c>
      <c r="AJ13" s="15">
        <v>0.0</v>
      </c>
      <c r="AK13" s="15">
        <v>0.0</v>
      </c>
      <c r="AL13" s="15">
        <v>0.0</v>
      </c>
      <c r="AM13" s="15">
        <v>0.0</v>
      </c>
      <c r="AN13" s="15">
        <v>2.0</v>
      </c>
      <c r="AO13" s="15">
        <v>0.0</v>
      </c>
      <c r="AP13" s="15">
        <v>0.0</v>
      </c>
      <c r="AQ13" s="15">
        <v>0.0</v>
      </c>
      <c r="AR13" s="15">
        <v>0.0</v>
      </c>
      <c r="AS13" s="15">
        <v>0.0</v>
      </c>
      <c r="AT13" s="15">
        <v>1.0</v>
      </c>
      <c r="AU13" s="15">
        <v>4.0</v>
      </c>
      <c r="AV13" s="15">
        <v>8.0</v>
      </c>
      <c r="AW13" s="15">
        <v>5.0</v>
      </c>
      <c r="AX13" s="15">
        <v>0.0</v>
      </c>
      <c r="AY13" s="15">
        <v>51.0</v>
      </c>
      <c r="AZ13" s="15">
        <v>18.0</v>
      </c>
      <c r="BA13" s="15">
        <v>8.0</v>
      </c>
      <c r="BB13" s="15">
        <v>0.0</v>
      </c>
      <c r="BC13" s="15">
        <v>0.0</v>
      </c>
      <c r="BD13" s="15">
        <v>0.0</v>
      </c>
      <c r="BE13" s="15">
        <v>0.0</v>
      </c>
      <c r="BF13" s="15">
        <v>0.0</v>
      </c>
      <c r="BH13" s="12">
        <f t="shared" si="3"/>
        <v>225</v>
      </c>
      <c r="BI13" s="15" t="s">
        <v>260</v>
      </c>
    </row>
    <row r="14" ht="36.75" customHeight="1">
      <c r="A14" s="14">
        <v>42045.0</v>
      </c>
      <c r="B14" s="15" t="s">
        <v>261</v>
      </c>
      <c r="C14" s="15" t="s">
        <v>262</v>
      </c>
      <c r="D14" s="15" t="s">
        <v>264</v>
      </c>
      <c r="E14" s="15" t="s">
        <v>219</v>
      </c>
      <c r="F14" s="15">
        <v>28.56851</v>
      </c>
      <c r="G14" s="15">
        <v>-80.56951</v>
      </c>
      <c r="H14" s="15">
        <v>28.41096</v>
      </c>
      <c r="I14" s="17">
        <v>-80.58381</v>
      </c>
      <c r="J14" s="15" t="s">
        <v>265</v>
      </c>
      <c r="K14" s="15" t="s">
        <v>266</v>
      </c>
      <c r="L14" s="15">
        <v>0.0</v>
      </c>
      <c r="M14" s="15">
        <v>0.0</v>
      </c>
      <c r="N14" s="15">
        <v>39.0</v>
      </c>
      <c r="O14" s="15">
        <v>18.0</v>
      </c>
      <c r="P14" s="15">
        <v>0.0</v>
      </c>
      <c r="Q14" s="15">
        <v>0.0</v>
      </c>
      <c r="R14" s="15">
        <v>0.0</v>
      </c>
      <c r="S14" s="15">
        <v>0.0</v>
      </c>
      <c r="T14" s="15">
        <v>0.0</v>
      </c>
      <c r="U14" s="15">
        <v>0.0</v>
      </c>
      <c r="V14" s="15">
        <v>0.0</v>
      </c>
      <c r="W14" s="15">
        <v>0.0</v>
      </c>
      <c r="X14" s="15">
        <v>34.0</v>
      </c>
      <c r="Y14" s="15">
        <v>12.0</v>
      </c>
      <c r="Z14" s="15">
        <v>111.0</v>
      </c>
      <c r="AA14" s="15">
        <v>37.0</v>
      </c>
      <c r="AB14" s="15">
        <v>0.0</v>
      </c>
      <c r="AC14" s="15">
        <v>0.0</v>
      </c>
      <c r="AD14" s="15">
        <v>0.0</v>
      </c>
      <c r="AE14" s="15">
        <v>0.0</v>
      </c>
      <c r="AF14" s="15">
        <v>0.0</v>
      </c>
      <c r="AG14" s="15">
        <v>0.0</v>
      </c>
      <c r="AH14" s="15">
        <v>14.0</v>
      </c>
      <c r="AI14" s="15">
        <v>1.0</v>
      </c>
      <c r="AJ14" s="15">
        <v>0.0</v>
      </c>
      <c r="AK14" s="15">
        <v>0.0</v>
      </c>
      <c r="AL14" s="15">
        <v>2.0</v>
      </c>
      <c r="AM14" s="15">
        <v>0.0</v>
      </c>
      <c r="AN14" s="15">
        <v>95.0</v>
      </c>
      <c r="AO14" s="15">
        <v>0.0</v>
      </c>
      <c r="AP14" s="15">
        <v>0.0</v>
      </c>
      <c r="AQ14" s="15">
        <v>19.0</v>
      </c>
      <c r="AR14" s="15">
        <v>26.0</v>
      </c>
      <c r="AS14" s="15">
        <v>0.0</v>
      </c>
      <c r="AT14" s="15">
        <v>1.0</v>
      </c>
      <c r="AU14" s="15">
        <v>1.0</v>
      </c>
      <c r="AV14" s="15">
        <v>130.0</v>
      </c>
      <c r="AW14" s="15">
        <v>15.0</v>
      </c>
      <c r="AX14" s="15">
        <v>0.0</v>
      </c>
      <c r="AY14" s="15">
        <v>157.0</v>
      </c>
      <c r="AZ14" s="15">
        <v>595.0</v>
      </c>
      <c r="BA14" s="15">
        <v>0.0</v>
      </c>
      <c r="BB14" s="15">
        <v>0.0</v>
      </c>
      <c r="BC14" s="15">
        <v>0.0</v>
      </c>
      <c r="BD14" s="15">
        <v>0.0</v>
      </c>
      <c r="BE14" s="15">
        <v>0.0</v>
      </c>
      <c r="BF14" s="15">
        <v>0.0</v>
      </c>
      <c r="BH14" s="12">
        <f t="shared" si="3"/>
        <v>1307</v>
      </c>
      <c r="BI14" s="15" t="s">
        <v>281</v>
      </c>
    </row>
    <row r="15" ht="36.75" customHeight="1">
      <c r="A15" s="14">
        <v>42045.0</v>
      </c>
      <c r="B15" s="15" t="s">
        <v>282</v>
      </c>
      <c r="C15" s="15" t="s">
        <v>283</v>
      </c>
      <c r="D15" s="15" t="s">
        <v>284</v>
      </c>
      <c r="E15" s="15" t="s">
        <v>219</v>
      </c>
      <c r="F15" s="15" t="s">
        <v>285</v>
      </c>
      <c r="G15" s="15" t="s">
        <v>286</v>
      </c>
      <c r="H15" s="15" t="s">
        <v>287</v>
      </c>
      <c r="I15" s="17" t="s">
        <v>288</v>
      </c>
      <c r="J15" s="15" t="s">
        <v>289</v>
      </c>
      <c r="K15" s="15" t="s">
        <v>291</v>
      </c>
      <c r="Q15" s="15">
        <v>1.0</v>
      </c>
      <c r="Y15" s="15">
        <v>12.0</v>
      </c>
      <c r="Z15" s="15">
        <v>141.0</v>
      </c>
      <c r="AH15" s="15">
        <v>38.0</v>
      </c>
      <c r="AN15" s="15">
        <v>12.0</v>
      </c>
      <c r="AR15" s="15">
        <v>2.0</v>
      </c>
      <c r="AV15" s="15">
        <v>1.0</v>
      </c>
      <c r="AY15" s="15">
        <v>53.0</v>
      </c>
      <c r="AZ15" s="15">
        <v>49.0</v>
      </c>
      <c r="BH15" s="12">
        <f t="shared" si="3"/>
        <v>309</v>
      </c>
    </row>
    <row r="16" ht="36.75" customHeight="1">
      <c r="A16" s="14">
        <v>42045.0</v>
      </c>
      <c r="B16" s="15" t="s">
        <v>299</v>
      </c>
      <c r="C16" s="15" t="s">
        <v>283</v>
      </c>
      <c r="D16" s="15" t="s">
        <v>301</v>
      </c>
      <c r="E16" s="15" t="s">
        <v>219</v>
      </c>
      <c r="F16" s="15" t="s">
        <v>302</v>
      </c>
      <c r="G16" s="15" t="s">
        <v>303</v>
      </c>
      <c r="H16" s="15" t="s">
        <v>304</v>
      </c>
      <c r="I16" s="17" t="s">
        <v>305</v>
      </c>
      <c r="J16" s="15" t="s">
        <v>289</v>
      </c>
      <c r="K16" s="15" t="s">
        <v>291</v>
      </c>
      <c r="Y16" s="15">
        <v>14.0</v>
      </c>
      <c r="Z16" s="15">
        <v>508.0</v>
      </c>
      <c r="AH16" s="15">
        <v>40.0</v>
      </c>
      <c r="AN16" s="15">
        <v>3.0</v>
      </c>
      <c r="AV16" s="15">
        <v>3.0</v>
      </c>
      <c r="AW16" s="15">
        <v>1.0</v>
      </c>
      <c r="AY16" s="15">
        <v>34.0</v>
      </c>
      <c r="AZ16" s="15">
        <v>2.0</v>
      </c>
      <c r="BE16" s="15">
        <v>1.0</v>
      </c>
      <c r="BH16" s="12">
        <f t="shared" si="3"/>
        <v>606</v>
      </c>
    </row>
    <row r="17" ht="36.75" customHeight="1">
      <c r="A17" s="14">
        <v>42043.0</v>
      </c>
      <c r="B17" s="15" t="s">
        <v>308</v>
      </c>
      <c r="C17" s="15" t="s">
        <v>310</v>
      </c>
      <c r="D17" s="15" t="s">
        <v>312</v>
      </c>
      <c r="E17" s="15" t="s">
        <v>314</v>
      </c>
      <c r="F17" s="15">
        <v>26.259444</v>
      </c>
      <c r="G17" s="15">
        <v>80.08</v>
      </c>
      <c r="H17" s="15">
        <v>26.318889</v>
      </c>
      <c r="I17" s="17">
        <v>80.075278</v>
      </c>
      <c r="J17" s="15" t="s">
        <v>315</v>
      </c>
      <c r="K17" s="15" t="s">
        <v>316</v>
      </c>
      <c r="N17" s="15" t="s">
        <v>317</v>
      </c>
      <c r="O17" s="15" t="s">
        <v>318</v>
      </c>
      <c r="AV17" s="15" t="s">
        <v>321</v>
      </c>
      <c r="AW17" s="15" t="s">
        <v>322</v>
      </c>
      <c r="AY17" s="15" t="s">
        <v>324</v>
      </c>
      <c r="AZ17" s="15" t="s">
        <v>325</v>
      </c>
      <c r="BH17" s="15">
        <v>381.0</v>
      </c>
      <c r="BI17" s="15" t="s">
        <v>326</v>
      </c>
    </row>
    <row r="18" ht="36.75" customHeight="1">
      <c r="A18" s="14">
        <v>42044.0</v>
      </c>
      <c r="B18" s="15" t="s">
        <v>327</v>
      </c>
      <c r="C18" s="15" t="s">
        <v>328</v>
      </c>
      <c r="D18" s="15" t="s">
        <v>329</v>
      </c>
      <c r="E18" s="15" t="s">
        <v>314</v>
      </c>
      <c r="F18" s="15">
        <v>26.09243</v>
      </c>
      <c r="G18" s="15">
        <v>-80.10818</v>
      </c>
      <c r="H18" s="15">
        <v>26.06372</v>
      </c>
      <c r="I18" s="17">
        <v>-80.11121</v>
      </c>
      <c r="J18" s="15" t="s">
        <v>331</v>
      </c>
      <c r="K18" s="15" t="s">
        <v>332</v>
      </c>
      <c r="Z18" s="15">
        <v>15.0</v>
      </c>
      <c r="AN18" s="15">
        <v>4.0</v>
      </c>
      <c r="AQ18" s="15">
        <v>2.0</v>
      </c>
      <c r="AV18" s="15">
        <v>1.0</v>
      </c>
      <c r="AW18" s="15">
        <v>5.0</v>
      </c>
      <c r="AY18" s="15">
        <v>25.0</v>
      </c>
      <c r="BH18" s="12">
        <f t="shared" ref="BH18:BH30" si="4">SUM(L18:BG18)</f>
        <v>52</v>
      </c>
    </row>
    <row r="19" ht="36.75" customHeight="1">
      <c r="A19" s="26">
        <v>42044.0</v>
      </c>
      <c r="B19" s="18" t="s">
        <v>327</v>
      </c>
      <c r="C19" s="18" t="s">
        <v>340</v>
      </c>
      <c r="D19" s="22"/>
      <c r="E19" s="18" t="s">
        <v>314</v>
      </c>
      <c r="F19" s="18">
        <v>26.09243</v>
      </c>
      <c r="G19" s="18">
        <v>-80.10818</v>
      </c>
      <c r="H19" s="18">
        <v>26.06372</v>
      </c>
      <c r="I19" s="16" t="s">
        <v>342</v>
      </c>
      <c r="J19" s="20" t="s">
        <v>343</v>
      </c>
      <c r="K19" s="15" t="s">
        <v>344</v>
      </c>
      <c r="M19" s="22"/>
      <c r="O19" s="22"/>
      <c r="P19" s="22"/>
      <c r="Q19" s="22"/>
      <c r="W19" s="22"/>
      <c r="X19" s="22"/>
      <c r="Y19" s="22"/>
      <c r="Z19" s="18">
        <v>15.0</v>
      </c>
      <c r="AA19" s="22"/>
      <c r="AB19" s="22"/>
      <c r="AN19" s="15">
        <v>4.0</v>
      </c>
      <c r="AQ19" s="15">
        <v>2.0</v>
      </c>
      <c r="AV19" s="15">
        <v>1.0</v>
      </c>
      <c r="AW19" s="15">
        <v>5.0</v>
      </c>
      <c r="AY19" s="15">
        <v>25.0</v>
      </c>
      <c r="AZ19" s="22"/>
      <c r="BB19" s="22"/>
      <c r="BH19" s="12">
        <f t="shared" si="4"/>
        <v>52</v>
      </c>
    </row>
    <row r="20" ht="36.75" customHeight="1">
      <c r="A20" s="26">
        <v>42041.0</v>
      </c>
      <c r="B20" s="18" t="s">
        <v>346</v>
      </c>
      <c r="C20" s="15" t="s">
        <v>347</v>
      </c>
      <c r="D20" s="15" t="s">
        <v>348</v>
      </c>
      <c r="E20" s="18" t="s">
        <v>349</v>
      </c>
      <c r="F20" s="18">
        <v>26.898411</v>
      </c>
      <c r="G20" s="18">
        <v>-82.338582</v>
      </c>
      <c r="H20" s="18">
        <v>26.87918</v>
      </c>
      <c r="I20" s="16">
        <v>-82.328582</v>
      </c>
      <c r="J20" s="20" t="s">
        <v>351</v>
      </c>
      <c r="K20" s="18" t="s">
        <v>352</v>
      </c>
      <c r="L20" s="22"/>
      <c r="M20" s="22"/>
      <c r="N20" s="22"/>
      <c r="O20" s="22"/>
      <c r="P20" s="22"/>
      <c r="Q20" s="22"/>
      <c r="R20" s="22"/>
      <c r="S20" s="22"/>
      <c r="T20" s="22"/>
      <c r="U20" s="22"/>
      <c r="V20" s="22"/>
      <c r="W20" s="22"/>
      <c r="X20" s="22"/>
      <c r="Y20" s="22"/>
      <c r="Z20" s="18">
        <v>1.0</v>
      </c>
      <c r="AA20" s="22"/>
      <c r="AB20" s="22"/>
      <c r="AC20" s="22"/>
      <c r="AD20" s="22"/>
      <c r="AE20" s="22"/>
      <c r="AF20" s="22"/>
      <c r="AG20" s="22"/>
      <c r="AH20" s="22"/>
      <c r="AI20" s="22"/>
      <c r="AJ20" s="22"/>
      <c r="AK20" s="22"/>
      <c r="AL20" s="22"/>
      <c r="AM20" s="22"/>
      <c r="AN20" s="18">
        <v>9.0</v>
      </c>
      <c r="AO20" s="22"/>
      <c r="AP20" s="22"/>
      <c r="AQ20" s="18">
        <v>3.0</v>
      </c>
      <c r="AR20" s="18">
        <v>2.0</v>
      </c>
      <c r="AS20" s="22"/>
      <c r="AT20" s="22"/>
      <c r="AU20" s="22"/>
      <c r="AV20" s="22"/>
      <c r="AW20" s="22"/>
      <c r="AX20" s="22"/>
      <c r="AY20" s="18">
        <v>1.0</v>
      </c>
      <c r="AZ20" s="22"/>
      <c r="BA20" s="22"/>
      <c r="BB20" s="22"/>
      <c r="BC20" s="22"/>
      <c r="BD20" s="22"/>
      <c r="BE20" s="22"/>
      <c r="BF20" s="22"/>
      <c r="BH20" s="12">
        <f t="shared" si="4"/>
        <v>16</v>
      </c>
      <c r="BI20" s="15" t="s">
        <v>360</v>
      </c>
    </row>
    <row r="21" ht="36.75" customHeight="1">
      <c r="A21" s="26">
        <v>42045.0</v>
      </c>
      <c r="B21" s="18" t="s">
        <v>361</v>
      </c>
      <c r="C21" s="18" t="s">
        <v>363</v>
      </c>
      <c r="D21" s="18" t="s">
        <v>364</v>
      </c>
      <c r="E21" s="18" t="s">
        <v>349</v>
      </c>
      <c r="F21" s="18">
        <v>26.91096</v>
      </c>
      <c r="G21" s="18">
        <v>-82.35324</v>
      </c>
      <c r="H21" s="18">
        <v>26.94548</v>
      </c>
      <c r="I21" s="17">
        <v>-82.37426</v>
      </c>
      <c r="J21" s="15" t="s">
        <v>368</v>
      </c>
      <c r="K21" s="15" t="s">
        <v>369</v>
      </c>
      <c r="M21" s="22"/>
      <c r="N21" s="15">
        <v>1.0</v>
      </c>
      <c r="Y21" s="15">
        <v>7.0</v>
      </c>
      <c r="Z21" s="15">
        <v>31.0</v>
      </c>
      <c r="AH21" s="15">
        <v>14.0</v>
      </c>
      <c r="AK21" s="15">
        <v>3.0</v>
      </c>
      <c r="AW21" s="15">
        <v>48.0</v>
      </c>
      <c r="AY21" s="15">
        <v>8.0</v>
      </c>
      <c r="AZ21" s="15">
        <v>170.0</v>
      </c>
      <c r="BG21" s="18">
        <v>12.0</v>
      </c>
      <c r="BH21" s="12">
        <f t="shared" si="4"/>
        <v>294</v>
      </c>
    </row>
    <row r="22" ht="36.75" customHeight="1">
      <c r="A22" s="26">
        <v>42046.0</v>
      </c>
      <c r="B22" s="18" t="s">
        <v>371</v>
      </c>
      <c r="C22" s="18" t="s">
        <v>372</v>
      </c>
      <c r="D22" s="18" t="s">
        <v>373</v>
      </c>
      <c r="E22" s="18" t="s">
        <v>349</v>
      </c>
      <c r="F22" s="18">
        <v>2.839635</v>
      </c>
      <c r="G22" s="18">
        <v>-82.298899</v>
      </c>
      <c r="H22" s="18">
        <v>26.815423</v>
      </c>
      <c r="I22" s="16">
        <v>-82.281587</v>
      </c>
      <c r="J22" s="20" t="s">
        <v>375</v>
      </c>
      <c r="K22" s="18" t="s">
        <v>376</v>
      </c>
      <c r="L22" s="22"/>
      <c r="M22" s="22"/>
      <c r="N22" s="22"/>
      <c r="O22" s="22"/>
      <c r="P22" s="22"/>
      <c r="Q22" s="22"/>
      <c r="R22" s="22"/>
      <c r="S22" s="22"/>
      <c r="T22" s="22"/>
      <c r="U22" s="22"/>
      <c r="V22" s="22"/>
      <c r="W22" s="22"/>
      <c r="X22" s="22"/>
      <c r="Y22" s="22"/>
      <c r="Z22" s="22"/>
      <c r="AA22" s="22"/>
      <c r="AB22" s="22"/>
      <c r="AC22" s="22"/>
      <c r="AD22" s="22"/>
      <c r="AE22" s="22"/>
      <c r="AF22" s="22"/>
      <c r="AG22" s="22"/>
      <c r="AH22" s="18">
        <v>13.0</v>
      </c>
      <c r="AI22" s="22"/>
      <c r="AJ22" s="22"/>
      <c r="AK22" s="22"/>
      <c r="AL22" s="22"/>
      <c r="AM22" s="22"/>
      <c r="AN22" s="22"/>
      <c r="AO22" s="22"/>
      <c r="AP22" s="22"/>
      <c r="AQ22" s="22"/>
      <c r="AR22" s="22"/>
      <c r="AS22" s="22"/>
      <c r="AT22" s="22"/>
      <c r="AU22" s="22"/>
      <c r="AV22" s="22"/>
      <c r="AW22" s="22"/>
      <c r="AX22" s="22"/>
      <c r="AY22" s="18">
        <v>10.0</v>
      </c>
      <c r="AZ22" s="18">
        <v>1.0</v>
      </c>
      <c r="BA22" s="22"/>
      <c r="BB22" s="22"/>
      <c r="BC22" s="22"/>
      <c r="BD22" s="22"/>
      <c r="BE22" s="22"/>
      <c r="BF22" s="22"/>
      <c r="BH22" s="12">
        <f t="shared" si="4"/>
        <v>24</v>
      </c>
      <c r="BI22" s="15" t="s">
        <v>382</v>
      </c>
    </row>
    <row r="23" ht="36.75" customHeight="1">
      <c r="A23" s="26">
        <v>42047.0</v>
      </c>
      <c r="B23" s="18" t="s">
        <v>383</v>
      </c>
      <c r="C23" s="18" t="s">
        <v>384</v>
      </c>
      <c r="D23" s="18" t="s">
        <v>386</v>
      </c>
      <c r="E23" s="18" t="s">
        <v>349</v>
      </c>
      <c r="F23" s="22"/>
      <c r="G23" s="22"/>
      <c r="J23" s="15" t="s">
        <v>387</v>
      </c>
      <c r="K23" s="15" t="s">
        <v>388</v>
      </c>
      <c r="N23" s="15">
        <v>6.0</v>
      </c>
      <c r="O23" s="15">
        <v>3.0</v>
      </c>
      <c r="Y23" s="15">
        <v>8.0</v>
      </c>
      <c r="Z23" s="15">
        <v>14.0</v>
      </c>
      <c r="AA23" s="15">
        <v>11.0</v>
      </c>
      <c r="AH23" s="15">
        <v>20.0</v>
      </c>
      <c r="AI23" s="15">
        <v>3.0</v>
      </c>
      <c r="AK23" s="15">
        <v>118.0</v>
      </c>
      <c r="AL23" s="15">
        <v>1.0</v>
      </c>
      <c r="AN23" s="15">
        <v>16.0</v>
      </c>
      <c r="AQ23" s="15">
        <v>1.0</v>
      </c>
      <c r="AR23" s="15">
        <v>3.0</v>
      </c>
      <c r="AU23" s="15">
        <v>1.0</v>
      </c>
      <c r="AV23" s="15">
        <v>2.0</v>
      </c>
      <c r="AW23" s="15">
        <v>8.0</v>
      </c>
      <c r="AZ23" s="15">
        <v>77.0</v>
      </c>
      <c r="BA23" s="15">
        <v>3.0</v>
      </c>
      <c r="BC23" s="15">
        <v>35.0</v>
      </c>
      <c r="BH23" s="12">
        <f t="shared" si="4"/>
        <v>330</v>
      </c>
    </row>
    <row r="24" ht="36.75" customHeight="1">
      <c r="A24" s="24">
        <v>42041.0</v>
      </c>
      <c r="B24" s="18" t="s">
        <v>255</v>
      </c>
      <c r="C24" s="18" t="s">
        <v>256</v>
      </c>
      <c r="D24" s="18" t="s">
        <v>390</v>
      </c>
      <c r="E24" s="18" t="s">
        <v>258</v>
      </c>
      <c r="F24" s="16">
        <v>25.846704</v>
      </c>
      <c r="G24" s="16">
        <v>-81.663647</v>
      </c>
      <c r="H24" s="16">
        <v>25.839674</v>
      </c>
      <c r="I24" s="17">
        <v>-81.665235</v>
      </c>
      <c r="J24" s="15" t="s">
        <v>391</v>
      </c>
      <c r="K24" s="15" t="s">
        <v>392</v>
      </c>
      <c r="L24" s="15">
        <v>0.0</v>
      </c>
      <c r="M24" s="15">
        <v>0.0</v>
      </c>
      <c r="N24" s="15">
        <v>200.0</v>
      </c>
      <c r="O24" s="15">
        <v>400.0</v>
      </c>
      <c r="P24" s="15">
        <v>0.0</v>
      </c>
      <c r="Q24" s="15">
        <v>0.0</v>
      </c>
      <c r="R24" s="15">
        <v>0.0</v>
      </c>
      <c r="S24" s="15">
        <v>0.0</v>
      </c>
      <c r="T24" s="15">
        <v>0.0</v>
      </c>
      <c r="U24" s="15">
        <v>0.0</v>
      </c>
      <c r="V24" s="15">
        <v>0.0</v>
      </c>
      <c r="W24" s="15">
        <v>0.0</v>
      </c>
      <c r="X24" s="15">
        <v>0.0</v>
      </c>
      <c r="Y24" s="15">
        <v>20.0</v>
      </c>
      <c r="Z24" s="15">
        <v>200.0</v>
      </c>
      <c r="AA24" s="15">
        <v>0.0</v>
      </c>
      <c r="AB24" s="15">
        <v>0.0</v>
      </c>
      <c r="AC24" s="15">
        <v>10.0</v>
      </c>
      <c r="AD24" s="15">
        <v>0.0</v>
      </c>
      <c r="AE24" s="15">
        <v>0.0</v>
      </c>
      <c r="AF24" s="15">
        <v>30.0</v>
      </c>
      <c r="AG24" s="15">
        <v>0.0</v>
      </c>
      <c r="AH24" s="15">
        <v>0.0</v>
      </c>
      <c r="AI24" s="15">
        <v>0.0</v>
      </c>
      <c r="AJ24" s="15">
        <v>0.0</v>
      </c>
      <c r="AK24" s="15">
        <v>0.0</v>
      </c>
      <c r="AL24" s="15">
        <v>0.0</v>
      </c>
      <c r="AM24" s="15">
        <v>0.0</v>
      </c>
      <c r="AN24" s="15">
        <v>0.0</v>
      </c>
      <c r="AO24" s="15">
        <v>0.0</v>
      </c>
      <c r="AP24" s="15">
        <v>0.0</v>
      </c>
      <c r="AQ24" s="15">
        <v>23.0</v>
      </c>
      <c r="AR24" s="15">
        <v>0.0</v>
      </c>
      <c r="AS24" s="15">
        <v>0.0</v>
      </c>
      <c r="AT24" s="15">
        <v>0.0</v>
      </c>
      <c r="AU24" s="15">
        <v>0.0</v>
      </c>
      <c r="AV24" s="15">
        <v>1.0</v>
      </c>
      <c r="AW24" s="15">
        <v>0.0</v>
      </c>
      <c r="AX24" s="15">
        <v>0.0</v>
      </c>
      <c r="AY24" s="15">
        <v>38.0</v>
      </c>
      <c r="AZ24" s="15">
        <v>20.0</v>
      </c>
      <c r="BA24" s="15">
        <v>0.0</v>
      </c>
      <c r="BB24" s="15">
        <v>0.0</v>
      </c>
      <c r="BC24" s="15">
        <v>20.0</v>
      </c>
      <c r="BD24" s="15">
        <v>0.0</v>
      </c>
      <c r="BE24" s="15">
        <v>0.0</v>
      </c>
      <c r="BF24" s="15">
        <v>0.0</v>
      </c>
      <c r="BH24" s="12">
        <f t="shared" si="4"/>
        <v>962</v>
      </c>
    </row>
    <row r="25" ht="36.75" customHeight="1">
      <c r="A25" s="24">
        <v>42041.0</v>
      </c>
      <c r="B25" s="18" t="s">
        <v>255</v>
      </c>
      <c r="C25" s="18" t="s">
        <v>256</v>
      </c>
      <c r="D25" s="18" t="s">
        <v>257</v>
      </c>
      <c r="E25" s="18" t="s">
        <v>258</v>
      </c>
      <c r="F25" s="16">
        <v>25.90139</v>
      </c>
      <c r="G25" s="16">
        <v>-81.715789</v>
      </c>
      <c r="H25" s="16">
        <v>25.871004</v>
      </c>
      <c r="I25" s="17">
        <v>-81.69694</v>
      </c>
      <c r="J25" s="15" t="s">
        <v>403</v>
      </c>
      <c r="K25" s="15" t="s">
        <v>392</v>
      </c>
      <c r="L25" s="15">
        <v>0.0</v>
      </c>
      <c r="M25" s="15">
        <v>0.0</v>
      </c>
      <c r="N25" s="15">
        <v>39.0</v>
      </c>
      <c r="O25" s="18">
        <v>80.0</v>
      </c>
      <c r="P25" s="15">
        <v>0.0</v>
      </c>
      <c r="Q25" s="15">
        <v>0.0</v>
      </c>
      <c r="R25" s="15">
        <v>0.0</v>
      </c>
      <c r="S25" s="15">
        <v>0.0</v>
      </c>
      <c r="T25" s="15">
        <v>0.0</v>
      </c>
      <c r="U25" s="15">
        <v>0.0</v>
      </c>
      <c r="V25" s="15">
        <v>7.0</v>
      </c>
      <c r="W25" s="15">
        <v>0.0</v>
      </c>
      <c r="X25" s="15">
        <v>25.0</v>
      </c>
      <c r="Y25" s="15">
        <v>2.0</v>
      </c>
      <c r="Z25" s="15">
        <v>60.0</v>
      </c>
      <c r="AA25" s="15">
        <v>17.0</v>
      </c>
      <c r="AB25" s="18">
        <v>0.0</v>
      </c>
      <c r="AC25" s="15">
        <v>150.0</v>
      </c>
      <c r="AD25" s="15">
        <v>1.0</v>
      </c>
      <c r="AE25" s="15">
        <v>0.0</v>
      </c>
      <c r="AF25" s="15">
        <v>75.0</v>
      </c>
      <c r="AG25" s="15">
        <v>2.0</v>
      </c>
      <c r="AH25" s="15">
        <v>371.0</v>
      </c>
      <c r="AI25" s="15">
        <v>2.0</v>
      </c>
      <c r="AJ25" s="15">
        <v>0.0</v>
      </c>
      <c r="AK25" s="15">
        <v>0.0</v>
      </c>
      <c r="AL25" s="15">
        <v>0.0</v>
      </c>
      <c r="AM25" s="15">
        <v>0.0</v>
      </c>
      <c r="AN25" s="15">
        <v>0.0</v>
      </c>
      <c r="AO25" s="15">
        <v>0.0</v>
      </c>
      <c r="AP25" s="15">
        <v>0.0</v>
      </c>
      <c r="AQ25" s="15">
        <v>0.0</v>
      </c>
      <c r="AR25" s="15">
        <v>0.0</v>
      </c>
      <c r="AS25" s="15">
        <v>0.0</v>
      </c>
      <c r="AT25" s="15">
        <v>0.0</v>
      </c>
      <c r="AU25" s="15">
        <v>0.0</v>
      </c>
      <c r="AV25" s="15">
        <v>0.0</v>
      </c>
      <c r="AW25" s="15">
        <v>0.0</v>
      </c>
      <c r="AX25" s="15">
        <v>0.0</v>
      </c>
      <c r="AY25" s="15">
        <v>0.0</v>
      </c>
      <c r="AZ25" s="18">
        <v>1.0</v>
      </c>
      <c r="BA25" s="15">
        <v>0.0</v>
      </c>
      <c r="BB25" s="15">
        <v>0.0</v>
      </c>
      <c r="BC25" s="15">
        <v>0.0</v>
      </c>
      <c r="BD25" s="15">
        <v>0.0</v>
      </c>
      <c r="BE25" s="15">
        <v>0.0</v>
      </c>
      <c r="BF25" s="15">
        <v>0.0</v>
      </c>
      <c r="BH25" s="12">
        <f t="shared" si="4"/>
        <v>832</v>
      </c>
    </row>
    <row r="26" ht="36.75" customHeight="1">
      <c r="A26" s="24">
        <v>42041.0</v>
      </c>
      <c r="B26" s="18" t="s">
        <v>255</v>
      </c>
      <c r="C26" s="18" t="s">
        <v>256</v>
      </c>
      <c r="D26" s="18" t="s">
        <v>407</v>
      </c>
      <c r="E26" s="18" t="s">
        <v>258</v>
      </c>
      <c r="F26" s="16">
        <v>25.870116</v>
      </c>
      <c r="G26" s="16">
        <v>-81.696885</v>
      </c>
      <c r="H26" s="16">
        <v>25.844512</v>
      </c>
      <c r="I26" s="17">
        <v>-81.67901</v>
      </c>
      <c r="J26" s="15" t="s">
        <v>408</v>
      </c>
      <c r="K26" s="15" t="s">
        <v>392</v>
      </c>
      <c r="L26" s="18">
        <v>0.0</v>
      </c>
      <c r="M26" s="18">
        <v>0.0</v>
      </c>
      <c r="N26" s="18">
        <v>15.0</v>
      </c>
      <c r="O26" s="18">
        <v>50.0</v>
      </c>
      <c r="P26" s="18">
        <v>0.0</v>
      </c>
      <c r="Q26" s="18">
        <v>0.0</v>
      </c>
      <c r="R26" s="18">
        <v>0.0</v>
      </c>
      <c r="S26" s="18">
        <v>0.0</v>
      </c>
      <c r="T26" s="18">
        <v>0.0</v>
      </c>
      <c r="U26" s="18">
        <v>0.0</v>
      </c>
      <c r="V26" s="18">
        <v>0.0</v>
      </c>
      <c r="W26" s="18">
        <v>0.0</v>
      </c>
      <c r="X26" s="18">
        <v>0.0</v>
      </c>
      <c r="Y26" s="18">
        <v>0.0</v>
      </c>
      <c r="Z26" s="18">
        <v>0.0</v>
      </c>
      <c r="AA26" s="18">
        <v>0.0</v>
      </c>
      <c r="AB26" s="18">
        <v>0.0</v>
      </c>
      <c r="AC26" s="18">
        <v>100.0</v>
      </c>
      <c r="AD26" s="18">
        <v>0.0</v>
      </c>
      <c r="AE26" s="18">
        <v>0.0</v>
      </c>
      <c r="AF26" s="18">
        <v>0.0</v>
      </c>
      <c r="AG26" s="18">
        <v>1.0</v>
      </c>
      <c r="AH26" s="18">
        <v>111.0</v>
      </c>
      <c r="AI26" s="18">
        <v>0.0</v>
      </c>
      <c r="AJ26" s="18">
        <v>0.0</v>
      </c>
      <c r="AK26" s="18">
        <v>0.0</v>
      </c>
      <c r="AL26" s="18">
        <v>0.0</v>
      </c>
      <c r="AM26" s="18">
        <v>0.0</v>
      </c>
      <c r="AN26" s="18">
        <v>0.0</v>
      </c>
      <c r="AO26" s="18">
        <v>0.0</v>
      </c>
      <c r="AP26" s="18">
        <v>0.0</v>
      </c>
      <c r="AQ26" s="18">
        <v>0.0</v>
      </c>
      <c r="AR26" s="18">
        <v>0.0</v>
      </c>
      <c r="AS26" s="18">
        <v>0.0</v>
      </c>
      <c r="AT26" s="18">
        <v>0.0</v>
      </c>
      <c r="AU26" s="18">
        <v>0.0</v>
      </c>
      <c r="AV26" s="18">
        <v>0.0</v>
      </c>
      <c r="AW26" s="18">
        <v>0.0</v>
      </c>
      <c r="AX26" s="18">
        <v>0.0</v>
      </c>
      <c r="AY26" s="18">
        <v>0.0</v>
      </c>
      <c r="AZ26" s="18">
        <v>0.0</v>
      </c>
      <c r="BA26" s="18">
        <v>0.0</v>
      </c>
      <c r="BB26" s="18">
        <v>0.0</v>
      </c>
      <c r="BC26" s="18">
        <v>47.0</v>
      </c>
      <c r="BD26" s="18">
        <v>0.0</v>
      </c>
      <c r="BE26" s="18">
        <v>0.0</v>
      </c>
      <c r="BF26" s="18">
        <v>0.0</v>
      </c>
      <c r="BH26" s="12">
        <f t="shared" si="4"/>
        <v>324</v>
      </c>
    </row>
    <row r="27" ht="36.75" customHeight="1">
      <c r="A27" s="14">
        <v>42042.0</v>
      </c>
      <c r="B27" s="15" t="s">
        <v>255</v>
      </c>
      <c r="C27" s="15" t="s">
        <v>415</v>
      </c>
      <c r="D27" s="15" t="s">
        <v>416</v>
      </c>
      <c r="E27" s="15" t="s">
        <v>258</v>
      </c>
      <c r="F27" s="15">
        <v>25.989172</v>
      </c>
      <c r="G27" s="15">
        <v>-81.749735</v>
      </c>
      <c r="H27" s="15">
        <v>26.091758</v>
      </c>
      <c r="I27" s="17">
        <v>-81.80192</v>
      </c>
      <c r="J27" s="15" t="s">
        <v>418</v>
      </c>
      <c r="K27" s="15" t="s">
        <v>419</v>
      </c>
      <c r="L27" s="15">
        <v>0.0</v>
      </c>
      <c r="M27" s="15">
        <v>0.0</v>
      </c>
      <c r="N27" s="15">
        <v>2.0</v>
      </c>
      <c r="O27" s="15">
        <v>2.0</v>
      </c>
      <c r="P27" s="15">
        <v>0.0</v>
      </c>
      <c r="Q27" s="15">
        <v>0.0</v>
      </c>
      <c r="R27" s="15">
        <v>0.0</v>
      </c>
      <c r="S27" s="15">
        <v>0.0</v>
      </c>
      <c r="T27" s="15">
        <v>0.0</v>
      </c>
      <c r="U27" s="15">
        <v>0.0</v>
      </c>
      <c r="V27" s="15">
        <v>0.0</v>
      </c>
      <c r="W27" s="15">
        <v>0.0</v>
      </c>
      <c r="X27" s="15">
        <v>0.0</v>
      </c>
      <c r="Y27" s="15">
        <v>2.0</v>
      </c>
      <c r="Z27" s="15">
        <v>110.0</v>
      </c>
      <c r="AA27" s="15">
        <v>0.0</v>
      </c>
      <c r="AB27" s="15">
        <v>0.0</v>
      </c>
      <c r="AC27" s="15">
        <v>0.0</v>
      </c>
      <c r="AD27" s="15">
        <v>0.0</v>
      </c>
      <c r="AE27" s="15">
        <v>0.0</v>
      </c>
      <c r="AF27" s="15">
        <v>0.0</v>
      </c>
      <c r="AG27" s="15">
        <v>0.0</v>
      </c>
      <c r="AH27" s="15">
        <v>55.0</v>
      </c>
      <c r="AI27" s="15">
        <v>1.0</v>
      </c>
      <c r="AJ27" s="15">
        <v>0.0</v>
      </c>
      <c r="AK27" s="15">
        <v>0.0</v>
      </c>
      <c r="AL27" s="15">
        <v>0.0</v>
      </c>
      <c r="AM27" s="15">
        <v>0.0</v>
      </c>
      <c r="AN27" s="15">
        <v>27.0</v>
      </c>
      <c r="AO27" s="15">
        <v>0.0</v>
      </c>
      <c r="AP27" s="15">
        <v>0.0</v>
      </c>
      <c r="AQ27" s="15">
        <v>20.0</v>
      </c>
      <c r="AR27" s="15">
        <v>0.0</v>
      </c>
      <c r="AS27" s="15">
        <v>0.0</v>
      </c>
      <c r="AT27" s="15">
        <v>0.0</v>
      </c>
      <c r="AU27" s="15">
        <v>0.0</v>
      </c>
      <c r="AV27" s="15">
        <v>0.0</v>
      </c>
      <c r="AW27" s="15">
        <v>1.0</v>
      </c>
      <c r="AX27" s="15">
        <v>0.0</v>
      </c>
      <c r="AY27" s="15">
        <v>2.0</v>
      </c>
      <c r="AZ27" s="15">
        <v>1.0</v>
      </c>
      <c r="BA27" s="15">
        <v>0.0</v>
      </c>
      <c r="BB27" s="15">
        <v>0.0</v>
      </c>
      <c r="BC27" s="15">
        <v>0.0</v>
      </c>
      <c r="BD27" s="15">
        <v>0.0</v>
      </c>
      <c r="BE27" s="15">
        <v>0.0</v>
      </c>
      <c r="BF27" s="15">
        <v>0.0</v>
      </c>
      <c r="BH27" s="12">
        <f t="shared" si="4"/>
        <v>223</v>
      </c>
      <c r="BI27" s="15" t="s">
        <v>423</v>
      </c>
    </row>
    <row r="28" ht="36.75" customHeight="1">
      <c r="A28" s="26">
        <v>42042.0</v>
      </c>
      <c r="B28" s="18" t="s">
        <v>424</v>
      </c>
      <c r="C28" s="18" t="s">
        <v>426</v>
      </c>
      <c r="D28" s="18" t="s">
        <v>427</v>
      </c>
      <c r="E28" s="18" t="s">
        <v>258</v>
      </c>
      <c r="F28" s="18">
        <v>26.316894</v>
      </c>
      <c r="G28" s="18">
        <v>81.039722</v>
      </c>
      <c r="H28" s="18">
        <v>26.283432</v>
      </c>
      <c r="I28" s="16">
        <v>81.86893</v>
      </c>
      <c r="J28" s="20" t="s">
        <v>428</v>
      </c>
      <c r="K28" s="18" t="s">
        <v>429</v>
      </c>
      <c r="L28" s="22"/>
      <c r="M28" s="22"/>
      <c r="N28" s="18">
        <v>4.0</v>
      </c>
      <c r="O28" s="22"/>
      <c r="P28" s="22"/>
      <c r="Q28" s="22"/>
      <c r="R28" s="22"/>
      <c r="S28" s="22"/>
      <c r="T28" s="22"/>
      <c r="U28" s="22"/>
      <c r="V28" s="22"/>
      <c r="W28" s="22"/>
      <c r="X28" s="22"/>
      <c r="Y28" s="18">
        <v>17.0</v>
      </c>
      <c r="Z28" s="18">
        <v>101.0</v>
      </c>
      <c r="AA28" s="22"/>
      <c r="AB28" s="22"/>
      <c r="AC28" s="22"/>
      <c r="AD28" s="22"/>
      <c r="AE28" s="22"/>
      <c r="AF28" s="22"/>
      <c r="AG28" s="22"/>
      <c r="AH28" s="18">
        <v>18.0</v>
      </c>
      <c r="AI28" s="22"/>
      <c r="AJ28" s="22"/>
      <c r="AK28" s="22"/>
      <c r="AL28" s="22"/>
      <c r="AM28" s="22"/>
      <c r="AN28" s="18">
        <v>20.0</v>
      </c>
      <c r="AO28" s="22"/>
      <c r="AP28" s="22"/>
      <c r="AQ28" s="18">
        <v>11.0</v>
      </c>
      <c r="AR28" s="22"/>
      <c r="AS28" s="22"/>
      <c r="AT28" s="22"/>
      <c r="AU28" s="22"/>
      <c r="AV28" s="22"/>
      <c r="AW28" s="18">
        <v>20.0</v>
      </c>
      <c r="AX28" s="22"/>
      <c r="AY28" s="18">
        <v>12.0</v>
      </c>
      <c r="AZ28" s="18">
        <v>7.0</v>
      </c>
      <c r="BA28" s="22"/>
      <c r="BB28" s="22"/>
      <c r="BC28" s="22"/>
      <c r="BD28" s="22"/>
      <c r="BE28" s="22"/>
      <c r="BF28" s="22"/>
      <c r="BH28" s="12">
        <f t="shared" si="4"/>
        <v>210</v>
      </c>
      <c r="BI28" s="15" t="s">
        <v>431</v>
      </c>
    </row>
    <row r="29" ht="36.75" customHeight="1">
      <c r="A29" s="26">
        <v>42042.0</v>
      </c>
      <c r="B29" s="18" t="s">
        <v>424</v>
      </c>
      <c r="C29" s="18" t="s">
        <v>426</v>
      </c>
      <c r="D29" s="18" t="s">
        <v>427</v>
      </c>
      <c r="E29" s="18" t="s">
        <v>258</v>
      </c>
      <c r="F29" s="18">
        <v>26.316894</v>
      </c>
      <c r="G29" s="18">
        <v>81.039722</v>
      </c>
      <c r="H29" s="18">
        <v>26.283432</v>
      </c>
      <c r="I29" s="16">
        <v>81.86893</v>
      </c>
      <c r="J29" s="20" t="s">
        <v>428</v>
      </c>
      <c r="K29" s="18" t="s">
        <v>429</v>
      </c>
      <c r="L29" s="22"/>
      <c r="M29" s="22"/>
      <c r="N29" s="18">
        <v>4.0</v>
      </c>
      <c r="O29" s="22"/>
      <c r="P29" s="22"/>
      <c r="Q29" s="22"/>
      <c r="R29" s="22"/>
      <c r="S29" s="22"/>
      <c r="T29" s="22"/>
      <c r="U29" s="22"/>
      <c r="V29" s="22"/>
      <c r="W29" s="22"/>
      <c r="X29" s="22"/>
      <c r="Y29" s="18">
        <v>17.0</v>
      </c>
      <c r="Z29" s="18">
        <v>101.0</v>
      </c>
      <c r="AA29" s="22"/>
      <c r="AB29" s="22"/>
      <c r="AC29" s="22"/>
      <c r="AD29" s="22"/>
      <c r="AE29" s="22"/>
      <c r="AF29" s="22"/>
      <c r="AG29" s="22"/>
      <c r="AH29" s="18">
        <v>18.0</v>
      </c>
      <c r="AI29" s="22"/>
      <c r="AJ29" s="22"/>
      <c r="AK29" s="22"/>
      <c r="AL29" s="22"/>
      <c r="AM29" s="22"/>
      <c r="AN29" s="18">
        <v>20.0</v>
      </c>
      <c r="AO29" s="22"/>
      <c r="AP29" s="22"/>
      <c r="AQ29" s="18">
        <v>11.0</v>
      </c>
      <c r="AR29" s="22"/>
      <c r="AS29" s="22"/>
      <c r="AT29" s="22"/>
      <c r="AU29" s="22"/>
      <c r="AV29" s="22"/>
      <c r="AW29" s="18">
        <v>20.0</v>
      </c>
      <c r="AX29" s="22"/>
      <c r="AY29" s="18">
        <v>12.0</v>
      </c>
      <c r="AZ29" s="18">
        <v>7.0</v>
      </c>
      <c r="BA29" s="22"/>
      <c r="BB29" s="22"/>
      <c r="BC29" s="22"/>
      <c r="BD29" s="22"/>
      <c r="BE29" s="22"/>
      <c r="BF29" s="22"/>
      <c r="BH29" s="12">
        <f t="shared" si="4"/>
        <v>210</v>
      </c>
      <c r="BI29" s="15" t="s">
        <v>431</v>
      </c>
    </row>
    <row r="30" ht="36.75" customHeight="1">
      <c r="A30" s="24">
        <v>42045.0</v>
      </c>
      <c r="B30" s="18" t="s">
        <v>434</v>
      </c>
      <c r="C30" s="18" t="s">
        <v>435</v>
      </c>
      <c r="D30" s="18" t="s">
        <v>436</v>
      </c>
      <c r="E30" s="18" t="s">
        <v>258</v>
      </c>
      <c r="F30" s="16">
        <v>25.94746</v>
      </c>
      <c r="G30" s="16">
        <v>-81.74335</v>
      </c>
      <c r="H30" s="16">
        <v>25.96796</v>
      </c>
      <c r="I30" s="17">
        <v>-81.74419</v>
      </c>
      <c r="J30" s="15" t="s">
        <v>437</v>
      </c>
      <c r="K30" s="15" t="s">
        <v>438</v>
      </c>
      <c r="M30" s="22"/>
      <c r="N30" s="15">
        <v>23.0</v>
      </c>
      <c r="O30" s="15">
        <v>139.0</v>
      </c>
      <c r="R30" s="15">
        <v>27.0</v>
      </c>
      <c r="W30" s="15">
        <v>3.0</v>
      </c>
      <c r="X30" s="15">
        <v>5.0</v>
      </c>
      <c r="Y30" s="15">
        <v>30.0</v>
      </c>
      <c r="Z30" s="15">
        <v>7.0</v>
      </c>
      <c r="AA30" s="15">
        <v>8.0</v>
      </c>
      <c r="AC30" s="15">
        <v>80.0</v>
      </c>
      <c r="AD30" s="15">
        <v>10.0</v>
      </c>
      <c r="AH30" s="15">
        <v>20.0</v>
      </c>
      <c r="AI30" s="15">
        <v>15.0</v>
      </c>
      <c r="AN30" s="15">
        <v>1.0</v>
      </c>
      <c r="AQ30" s="15">
        <v>1.0</v>
      </c>
      <c r="AY30" s="15">
        <v>2.0</v>
      </c>
      <c r="BG30" s="22"/>
      <c r="BH30" s="12">
        <f t="shared" si="4"/>
        <v>371</v>
      </c>
    </row>
    <row r="31" ht="36.75" customHeight="1">
      <c r="A31" s="26">
        <v>42046.0</v>
      </c>
      <c r="B31" s="18" t="s">
        <v>443</v>
      </c>
      <c r="C31" s="18" t="s">
        <v>444</v>
      </c>
      <c r="D31" s="18" t="s">
        <v>446</v>
      </c>
      <c r="E31" s="18" t="s">
        <v>258</v>
      </c>
      <c r="F31" s="18" t="s">
        <v>447</v>
      </c>
      <c r="G31" s="18" t="s">
        <v>448</v>
      </c>
      <c r="H31" s="18" t="s">
        <v>449</v>
      </c>
      <c r="I31" s="16">
        <v>-81.82803</v>
      </c>
      <c r="J31" s="30"/>
      <c r="K31" s="18" t="s">
        <v>459</v>
      </c>
      <c r="L31" s="18">
        <v>0.0</v>
      </c>
      <c r="M31" s="18">
        <v>0.0</v>
      </c>
      <c r="N31" s="18">
        <v>0.0</v>
      </c>
      <c r="O31" s="18">
        <v>0.0</v>
      </c>
      <c r="P31" s="18">
        <v>0.0</v>
      </c>
      <c r="Q31" s="18">
        <v>0.0</v>
      </c>
      <c r="R31" s="18">
        <v>0.0</v>
      </c>
      <c r="S31" s="18">
        <v>0.0</v>
      </c>
      <c r="T31" s="18">
        <v>0.0</v>
      </c>
      <c r="U31" s="18">
        <v>0.0</v>
      </c>
      <c r="V31" s="18">
        <v>0.0</v>
      </c>
      <c r="W31" s="18">
        <v>0.0</v>
      </c>
      <c r="X31" s="18">
        <v>0.0</v>
      </c>
      <c r="Y31" s="18">
        <v>0.0</v>
      </c>
      <c r="Z31" s="18">
        <v>17.0</v>
      </c>
      <c r="AA31" s="18">
        <v>0.0</v>
      </c>
      <c r="AB31" s="18">
        <v>0.0</v>
      </c>
      <c r="AC31" s="18">
        <v>0.0</v>
      </c>
      <c r="AD31" s="18">
        <v>0.0</v>
      </c>
      <c r="AE31" s="18">
        <v>0.0</v>
      </c>
      <c r="AF31" s="18">
        <v>0.0</v>
      </c>
      <c r="AG31" s="18">
        <v>0.0</v>
      </c>
      <c r="AH31" s="18">
        <v>5.0</v>
      </c>
      <c r="AI31" s="18">
        <v>0.0</v>
      </c>
      <c r="AJ31" s="18">
        <v>0.0</v>
      </c>
      <c r="AK31" s="18">
        <v>0.0</v>
      </c>
      <c r="AL31" s="18">
        <v>0.0</v>
      </c>
      <c r="AM31" s="18">
        <v>0.0</v>
      </c>
      <c r="AN31" s="18">
        <v>4.0</v>
      </c>
      <c r="AO31" s="18">
        <v>0.0</v>
      </c>
      <c r="AP31" s="18">
        <v>0.0</v>
      </c>
      <c r="AQ31" s="18">
        <v>0.0</v>
      </c>
      <c r="AR31" s="18">
        <v>0.0</v>
      </c>
      <c r="AS31" s="18">
        <v>0.0</v>
      </c>
      <c r="AT31" s="18">
        <v>0.0</v>
      </c>
      <c r="AU31" s="18">
        <v>0.0</v>
      </c>
      <c r="AV31" s="18">
        <v>0.0</v>
      </c>
      <c r="AW31" s="18">
        <v>0.0</v>
      </c>
      <c r="AX31" s="18">
        <v>0.0</v>
      </c>
      <c r="AY31" s="18">
        <v>8.0</v>
      </c>
      <c r="AZ31" s="18">
        <v>15.0</v>
      </c>
      <c r="BA31" s="18">
        <v>0.0</v>
      </c>
      <c r="BB31" s="18">
        <v>0.0</v>
      </c>
      <c r="BC31" s="18">
        <v>0.0</v>
      </c>
      <c r="BD31" s="18">
        <v>0.0</v>
      </c>
      <c r="BE31" s="18">
        <v>0.0</v>
      </c>
      <c r="BF31" s="18">
        <v>0.0</v>
      </c>
      <c r="BG31" s="18">
        <v>0.0</v>
      </c>
      <c r="BH31" s="18">
        <v>49.0</v>
      </c>
      <c r="BI31" s="15" t="s">
        <v>464</v>
      </c>
    </row>
    <row r="32" ht="36.75" customHeight="1">
      <c r="A32" s="14">
        <v>42043.0</v>
      </c>
      <c r="B32" s="15" t="s">
        <v>465</v>
      </c>
      <c r="C32" s="15" t="s">
        <v>466</v>
      </c>
      <c r="D32" s="15" t="s">
        <v>467</v>
      </c>
      <c r="E32" s="15" t="s">
        <v>468</v>
      </c>
      <c r="F32" s="15">
        <v>29.437104</v>
      </c>
      <c r="G32" s="15">
        <v>-83.29144</v>
      </c>
      <c r="H32" s="15">
        <v>29.365419</v>
      </c>
      <c r="I32" s="17">
        <v>-83.194154</v>
      </c>
      <c r="J32" s="15" t="s">
        <v>471</v>
      </c>
      <c r="K32" s="15" t="s">
        <v>472</v>
      </c>
      <c r="L32" s="15">
        <v>410.0</v>
      </c>
      <c r="N32" s="15">
        <v>70.0</v>
      </c>
      <c r="O32" s="15">
        <v>375.0</v>
      </c>
      <c r="R32" s="15">
        <v>2.0</v>
      </c>
      <c r="V32" s="15">
        <v>12.0</v>
      </c>
      <c r="Y32" s="15">
        <v>56.0</v>
      </c>
      <c r="Z32" s="15">
        <v>22.0</v>
      </c>
      <c r="AA32" s="15">
        <v>53.0</v>
      </c>
      <c r="AC32" s="15">
        <v>137.0</v>
      </c>
      <c r="AG32" s="15">
        <v>6.0</v>
      </c>
      <c r="AH32" s="15">
        <v>129.0</v>
      </c>
      <c r="AK32" s="15">
        <v>55.0</v>
      </c>
      <c r="AN32" s="15">
        <v>133.0</v>
      </c>
      <c r="AO32" s="15">
        <v>2.0</v>
      </c>
      <c r="AY32" s="15">
        <v>30.0</v>
      </c>
      <c r="AZ32" s="15">
        <v>3.0</v>
      </c>
      <c r="BC32" s="15">
        <v>20.0</v>
      </c>
      <c r="BH32" s="12">
        <f t="shared" ref="BH32:BH92" si="5">SUM(L32:BG32)</f>
        <v>1515</v>
      </c>
      <c r="BI32" s="15" t="s">
        <v>477</v>
      </c>
    </row>
    <row r="33" ht="36.75" customHeight="1">
      <c r="A33" s="14">
        <v>42041.0</v>
      </c>
      <c r="B33" s="15" t="s">
        <v>479</v>
      </c>
      <c r="C33" s="15" t="s">
        <v>480</v>
      </c>
      <c r="D33" s="15" t="s">
        <v>481</v>
      </c>
      <c r="E33" s="15" t="s">
        <v>482</v>
      </c>
      <c r="F33" s="15">
        <v>30.3966666</v>
      </c>
      <c r="G33" s="15">
        <v>-81.3926388</v>
      </c>
      <c r="H33" s="15">
        <v>30.2529166</v>
      </c>
      <c r="I33" s="32"/>
      <c r="J33" s="15" t="s">
        <v>491</v>
      </c>
      <c r="K33" s="15" t="s">
        <v>492</v>
      </c>
      <c r="Y33" s="15">
        <v>63.0</v>
      </c>
      <c r="Z33" s="15">
        <v>100.0</v>
      </c>
      <c r="AH33" s="15">
        <v>28.0</v>
      </c>
      <c r="AK33" s="15">
        <v>200.0</v>
      </c>
      <c r="AL33" s="15">
        <v>3.0</v>
      </c>
      <c r="AN33" s="15">
        <v>24.0</v>
      </c>
      <c r="AQ33" s="15">
        <v>298.0</v>
      </c>
      <c r="AR33" s="15">
        <v>175.0</v>
      </c>
      <c r="AU33" s="15">
        <v>1.0</v>
      </c>
      <c r="AV33" s="15">
        <v>28.0</v>
      </c>
      <c r="AW33" s="15">
        <v>46.0</v>
      </c>
      <c r="AY33" s="15">
        <v>671.0</v>
      </c>
      <c r="AZ33" s="15">
        <v>4.0</v>
      </c>
      <c r="BH33" s="12">
        <f t="shared" si="5"/>
        <v>1641</v>
      </c>
      <c r="BI33" s="15" t="s">
        <v>499</v>
      </c>
    </row>
    <row r="34" ht="36.75" customHeight="1">
      <c r="A34" s="14">
        <v>42045.0</v>
      </c>
      <c r="B34" s="15" t="s">
        <v>503</v>
      </c>
      <c r="C34" s="15" t="s">
        <v>504</v>
      </c>
      <c r="D34" s="15" t="s">
        <v>505</v>
      </c>
      <c r="E34" s="15" t="s">
        <v>482</v>
      </c>
      <c r="F34" s="15">
        <v>30.4863889</v>
      </c>
      <c r="G34" s="15">
        <v>-81.4411111</v>
      </c>
      <c r="H34" s="15">
        <v>30.4294444</v>
      </c>
      <c r="I34" s="17">
        <v>-81.40972222</v>
      </c>
      <c r="J34" s="15" t="s">
        <v>508</v>
      </c>
      <c r="K34" s="15" t="s">
        <v>509</v>
      </c>
      <c r="L34" s="15">
        <v>0.0</v>
      </c>
      <c r="M34" s="15">
        <v>0.0</v>
      </c>
      <c r="N34" s="15">
        <v>14.0</v>
      </c>
      <c r="O34" s="15">
        <v>1800.0</v>
      </c>
      <c r="P34" s="15">
        <v>1.0</v>
      </c>
      <c r="Q34" s="15">
        <v>1.0</v>
      </c>
      <c r="R34" s="15">
        <v>0.0</v>
      </c>
      <c r="S34" s="15">
        <v>0.0</v>
      </c>
      <c r="T34" s="15">
        <v>0.0</v>
      </c>
      <c r="U34" s="15">
        <v>0.0</v>
      </c>
      <c r="V34" s="15">
        <v>0.0</v>
      </c>
      <c r="W34" s="15">
        <v>4.0</v>
      </c>
      <c r="X34" s="15">
        <v>22.0</v>
      </c>
      <c r="Y34" s="15">
        <v>1.0</v>
      </c>
      <c r="Z34" s="15">
        <v>36.0</v>
      </c>
      <c r="AA34" s="15">
        <v>25.0</v>
      </c>
      <c r="AB34" s="15">
        <v>0.0</v>
      </c>
      <c r="AC34" s="15">
        <v>3.0</v>
      </c>
      <c r="AD34" s="15">
        <v>0.0</v>
      </c>
      <c r="AE34" s="15">
        <v>0.0</v>
      </c>
      <c r="AF34" s="15">
        <v>10.0</v>
      </c>
      <c r="AG34" s="15">
        <v>0.0</v>
      </c>
      <c r="AH34" s="15">
        <v>5.0</v>
      </c>
      <c r="AI34" s="15">
        <v>0.0</v>
      </c>
      <c r="AJ34" s="15">
        <v>0.0</v>
      </c>
      <c r="AK34" s="15">
        <v>0.0</v>
      </c>
      <c r="AL34" s="15">
        <v>61.0</v>
      </c>
      <c r="AM34" s="15">
        <v>0.0</v>
      </c>
      <c r="AN34" s="15">
        <v>1.0</v>
      </c>
      <c r="AO34" s="15">
        <v>0.0</v>
      </c>
      <c r="AP34" s="15">
        <v>0.0</v>
      </c>
      <c r="AQ34" s="15">
        <v>4.0</v>
      </c>
      <c r="AR34" s="15">
        <v>101.0</v>
      </c>
      <c r="AS34" s="15">
        <v>0.0</v>
      </c>
      <c r="AT34" s="15">
        <v>0.0</v>
      </c>
      <c r="AU34" s="15">
        <v>1.0</v>
      </c>
      <c r="AV34" s="15">
        <v>0.0</v>
      </c>
      <c r="AW34" s="15">
        <v>5.0</v>
      </c>
      <c r="AX34" s="15">
        <v>1.0</v>
      </c>
      <c r="AY34" s="15">
        <v>17.0</v>
      </c>
      <c r="AZ34" s="15">
        <v>1.0</v>
      </c>
      <c r="BA34" s="15">
        <v>0.0</v>
      </c>
      <c r="BB34" s="15">
        <v>0.0</v>
      </c>
      <c r="BC34" s="15">
        <v>3.0</v>
      </c>
      <c r="BD34" s="15">
        <v>0.0</v>
      </c>
      <c r="BE34" s="15">
        <v>0.0</v>
      </c>
      <c r="BF34" s="15">
        <v>0.0</v>
      </c>
      <c r="BH34" s="12">
        <f t="shared" si="5"/>
        <v>2117</v>
      </c>
      <c r="BI34" s="15" t="s">
        <v>511</v>
      </c>
    </row>
    <row r="35" ht="36.75" customHeight="1">
      <c r="A35" s="14">
        <v>42045.0</v>
      </c>
      <c r="B35" s="15" t="s">
        <v>503</v>
      </c>
      <c r="C35" s="15" t="s">
        <v>504</v>
      </c>
      <c r="D35" s="15" t="s">
        <v>512</v>
      </c>
      <c r="E35" s="15" t="s">
        <v>482</v>
      </c>
      <c r="F35" s="15">
        <v>30.5094444</v>
      </c>
      <c r="G35" s="15">
        <v>-81.455</v>
      </c>
      <c r="H35" s="15">
        <v>30.4613889</v>
      </c>
      <c r="I35" s="17">
        <v>-81.4308333</v>
      </c>
      <c r="J35" s="15" t="s">
        <v>513</v>
      </c>
      <c r="K35" s="15" t="s">
        <v>514</v>
      </c>
      <c r="L35" s="15">
        <v>0.0</v>
      </c>
      <c r="M35" s="15">
        <v>0.0</v>
      </c>
      <c r="N35" s="15">
        <v>0.0</v>
      </c>
      <c r="O35" s="15">
        <v>16.0</v>
      </c>
      <c r="P35" s="15">
        <v>0.0</v>
      </c>
      <c r="Q35" s="15">
        <v>0.0</v>
      </c>
      <c r="R35" s="15">
        <v>0.0</v>
      </c>
      <c r="S35" s="15">
        <v>0.0</v>
      </c>
      <c r="T35" s="15">
        <v>0.0</v>
      </c>
      <c r="U35" s="15">
        <v>0.0</v>
      </c>
      <c r="V35" s="15">
        <v>0.0</v>
      </c>
      <c r="W35" s="15">
        <v>0.0</v>
      </c>
      <c r="X35" s="15">
        <v>0.0</v>
      </c>
      <c r="Y35" s="15">
        <v>0.0</v>
      </c>
      <c r="Z35" s="15">
        <v>72.0</v>
      </c>
      <c r="AA35" s="15">
        <v>0.0</v>
      </c>
      <c r="AB35" s="15">
        <v>0.0</v>
      </c>
      <c r="AC35" s="15">
        <v>0.0</v>
      </c>
      <c r="AD35" s="15">
        <v>0.0</v>
      </c>
      <c r="AE35" s="15">
        <v>0.0</v>
      </c>
      <c r="AF35" s="15">
        <v>0.0</v>
      </c>
      <c r="AG35" s="15">
        <v>0.0</v>
      </c>
      <c r="AH35" s="15">
        <v>1.0</v>
      </c>
      <c r="AI35" s="15">
        <v>0.0</v>
      </c>
      <c r="AJ35" s="15">
        <v>0.0</v>
      </c>
      <c r="AK35" s="15">
        <v>0.0</v>
      </c>
      <c r="AL35" s="15">
        <v>42.0</v>
      </c>
      <c r="AM35" s="15">
        <v>0.0</v>
      </c>
      <c r="AN35" s="15">
        <v>0.0</v>
      </c>
      <c r="AO35" s="15">
        <v>0.0</v>
      </c>
      <c r="AP35" s="15">
        <v>0.0</v>
      </c>
      <c r="AQ35" s="15">
        <v>0.0</v>
      </c>
      <c r="AR35" s="15">
        <v>5.0</v>
      </c>
      <c r="AS35" s="15">
        <v>0.0</v>
      </c>
      <c r="AT35" s="15">
        <v>0.0</v>
      </c>
      <c r="AU35" s="15">
        <v>0.0</v>
      </c>
      <c r="AV35" s="15">
        <v>0.0</v>
      </c>
      <c r="AW35" s="15">
        <v>0.0</v>
      </c>
      <c r="AX35" s="15">
        <v>0.0</v>
      </c>
      <c r="AY35" s="15">
        <v>0.0</v>
      </c>
      <c r="AZ35" s="15">
        <v>0.0</v>
      </c>
      <c r="BA35" s="15">
        <v>0.0</v>
      </c>
      <c r="BB35" s="15">
        <v>0.0</v>
      </c>
      <c r="BC35" s="15">
        <v>0.0</v>
      </c>
      <c r="BD35" s="15">
        <v>0.0</v>
      </c>
      <c r="BE35" s="15">
        <v>0.0</v>
      </c>
      <c r="BF35" s="15">
        <v>0.0</v>
      </c>
      <c r="BH35" s="12">
        <f t="shared" si="5"/>
        <v>136</v>
      </c>
    </row>
    <row r="36" ht="36.75" customHeight="1">
      <c r="A36" s="14">
        <v>42045.0</v>
      </c>
      <c r="B36" s="15" t="s">
        <v>503</v>
      </c>
      <c r="C36" s="15" t="s">
        <v>504</v>
      </c>
      <c r="D36" s="15" t="s">
        <v>517</v>
      </c>
      <c r="E36" s="15" t="s">
        <v>482</v>
      </c>
      <c r="F36" s="15">
        <v>30.42</v>
      </c>
      <c r="G36" s="15">
        <v>-81.42</v>
      </c>
      <c r="H36" s="15">
        <v>30.42</v>
      </c>
      <c r="I36" s="15">
        <v>-81.42</v>
      </c>
      <c r="J36" s="15" t="s">
        <v>518</v>
      </c>
      <c r="K36" s="15" t="s">
        <v>519</v>
      </c>
      <c r="L36" s="15">
        <v>0.0</v>
      </c>
      <c r="M36" s="15">
        <v>0.0</v>
      </c>
      <c r="N36" s="15">
        <v>0.0</v>
      </c>
      <c r="O36" s="15">
        <v>0.0</v>
      </c>
      <c r="P36" s="15">
        <v>0.0</v>
      </c>
      <c r="Q36" s="15">
        <v>0.0</v>
      </c>
      <c r="R36" s="15">
        <v>0.0</v>
      </c>
      <c r="S36" s="15">
        <v>0.0</v>
      </c>
      <c r="T36" s="15">
        <v>0.0</v>
      </c>
      <c r="U36" s="15">
        <v>0.0</v>
      </c>
      <c r="V36" s="15">
        <v>0.0</v>
      </c>
      <c r="W36" s="15">
        <v>0.0</v>
      </c>
      <c r="X36" s="15">
        <v>0.0</v>
      </c>
      <c r="Y36" s="15">
        <v>0.0</v>
      </c>
      <c r="Z36" s="15">
        <v>0.0</v>
      </c>
      <c r="AA36" s="15">
        <v>0.0</v>
      </c>
      <c r="AB36" s="15">
        <v>0.0</v>
      </c>
      <c r="AC36" s="15">
        <v>0.0</v>
      </c>
      <c r="AD36" s="15">
        <v>0.0</v>
      </c>
      <c r="AE36" s="15">
        <v>0.0</v>
      </c>
      <c r="AF36" s="15">
        <v>0.0</v>
      </c>
      <c r="AG36" s="15">
        <v>0.0</v>
      </c>
      <c r="AH36" s="15">
        <v>2.0</v>
      </c>
      <c r="AI36" s="15">
        <v>0.0</v>
      </c>
      <c r="AJ36" s="15">
        <v>0.0</v>
      </c>
      <c r="AK36" s="15">
        <v>0.0</v>
      </c>
      <c r="AL36" s="15">
        <v>1.0</v>
      </c>
      <c r="AM36" s="15">
        <v>0.0</v>
      </c>
      <c r="AN36" s="15">
        <v>1.0</v>
      </c>
      <c r="AO36" s="15">
        <v>0.0</v>
      </c>
      <c r="AP36" s="15">
        <v>0.0</v>
      </c>
      <c r="AQ36" s="15">
        <v>12.0</v>
      </c>
      <c r="AR36" s="15">
        <v>30.0</v>
      </c>
      <c r="AS36" s="15">
        <v>0.0</v>
      </c>
      <c r="AT36" s="15">
        <v>0.0</v>
      </c>
      <c r="AU36" s="15">
        <v>0.0</v>
      </c>
      <c r="AV36" s="15">
        <v>0.0</v>
      </c>
      <c r="AW36" s="15">
        <v>0.0</v>
      </c>
      <c r="AX36" s="15">
        <v>0.0</v>
      </c>
      <c r="AY36" s="15">
        <v>2.0</v>
      </c>
      <c r="AZ36" s="15">
        <v>2.0</v>
      </c>
      <c r="BA36" s="15">
        <v>0.0</v>
      </c>
      <c r="BB36" s="15">
        <v>0.0</v>
      </c>
      <c r="BC36" s="15">
        <v>0.0</v>
      </c>
      <c r="BD36" s="15">
        <v>0.0</v>
      </c>
      <c r="BE36" s="15">
        <v>0.0</v>
      </c>
      <c r="BF36" s="15">
        <v>0.0</v>
      </c>
      <c r="BH36" s="12">
        <f t="shared" si="5"/>
        <v>50</v>
      </c>
    </row>
    <row r="37" ht="36.75" customHeight="1">
      <c r="A37" s="14">
        <v>42045.0</v>
      </c>
      <c r="B37" s="15" t="s">
        <v>523</v>
      </c>
      <c r="C37" s="15" t="s">
        <v>524</v>
      </c>
      <c r="D37" s="15" t="s">
        <v>526</v>
      </c>
      <c r="E37" s="15" t="s">
        <v>482</v>
      </c>
      <c r="F37" s="15">
        <v>30.4054</v>
      </c>
      <c r="G37" s="15">
        <v>-81.5057</v>
      </c>
      <c r="H37" s="15">
        <v>30.4047</v>
      </c>
      <c r="I37" s="17">
        <v>-81.5056</v>
      </c>
      <c r="J37" s="15" t="s">
        <v>527</v>
      </c>
      <c r="K37" s="15" t="s">
        <v>528</v>
      </c>
      <c r="M37" s="15">
        <v>26.0</v>
      </c>
      <c r="N37" s="15">
        <v>29.0</v>
      </c>
      <c r="O37" s="15">
        <v>2000.0</v>
      </c>
      <c r="P37" s="15">
        <v>13.0</v>
      </c>
      <c r="Q37" s="15">
        <v>2.0</v>
      </c>
      <c r="R37" s="15">
        <v>401.0</v>
      </c>
      <c r="S37" s="15">
        <v>7.0</v>
      </c>
      <c r="Y37" s="15">
        <v>1.0</v>
      </c>
      <c r="AA37" s="15">
        <v>575.0</v>
      </c>
      <c r="AF37" s="15">
        <v>500.0</v>
      </c>
      <c r="BC37" s="15">
        <v>31.0</v>
      </c>
      <c r="BD37" s="15">
        <v>712.0</v>
      </c>
      <c r="BH37" s="12">
        <f t="shared" si="5"/>
        <v>4297</v>
      </c>
      <c r="BI37" s="15" t="s">
        <v>531</v>
      </c>
    </row>
    <row r="38" ht="36.75" customHeight="1">
      <c r="A38" s="14">
        <v>42045.0</v>
      </c>
      <c r="B38" s="15" t="s">
        <v>523</v>
      </c>
      <c r="C38" s="15" t="s">
        <v>532</v>
      </c>
      <c r="D38" s="15" t="s">
        <v>533</v>
      </c>
      <c r="E38" s="15" t="s">
        <v>482</v>
      </c>
      <c r="F38" s="15">
        <v>30.3918</v>
      </c>
      <c r="G38" s="15">
        <v>-81.5249</v>
      </c>
      <c r="H38" s="15">
        <v>30.3929</v>
      </c>
      <c r="I38" s="17">
        <v>-81.5177</v>
      </c>
      <c r="J38" s="15" t="s">
        <v>535</v>
      </c>
      <c r="K38" s="15" t="s">
        <v>528</v>
      </c>
      <c r="Q38" s="15">
        <v>4.0</v>
      </c>
      <c r="AK38" s="15">
        <v>1.0</v>
      </c>
      <c r="AN38" s="15">
        <v>1.0</v>
      </c>
      <c r="AQ38" s="15">
        <v>1.0</v>
      </c>
      <c r="AR38" s="15">
        <v>1.0</v>
      </c>
      <c r="AW38" s="15">
        <v>2.0</v>
      </c>
      <c r="AY38" s="15">
        <v>1.0</v>
      </c>
      <c r="BH38" s="12">
        <f t="shared" si="5"/>
        <v>11</v>
      </c>
    </row>
    <row r="39" ht="36.75" customHeight="1">
      <c r="A39" s="26">
        <v>42045.0</v>
      </c>
      <c r="B39" s="18" t="s">
        <v>523</v>
      </c>
      <c r="C39" s="18" t="s">
        <v>524</v>
      </c>
      <c r="D39" s="18" t="s">
        <v>536</v>
      </c>
      <c r="E39" s="18" t="s">
        <v>482</v>
      </c>
      <c r="F39" s="18">
        <v>30.399</v>
      </c>
      <c r="G39" s="18">
        <v>-81.5167</v>
      </c>
      <c r="H39" s="18">
        <v>30.4014</v>
      </c>
      <c r="I39" s="16">
        <v>-81.5159</v>
      </c>
      <c r="J39" s="20" t="s">
        <v>537</v>
      </c>
      <c r="K39" s="15" t="s">
        <v>528</v>
      </c>
      <c r="M39" s="22"/>
      <c r="O39" s="22"/>
      <c r="P39" s="22"/>
      <c r="Q39" s="15">
        <v>6.0</v>
      </c>
      <c r="R39" s="22"/>
      <c r="W39" s="22"/>
      <c r="Z39" s="22"/>
      <c r="AQ39" s="15">
        <v>4.0</v>
      </c>
      <c r="AY39" s="15">
        <v>1.0</v>
      </c>
      <c r="AZ39" s="18">
        <v>1.0</v>
      </c>
      <c r="BB39" s="22"/>
      <c r="BG39" s="22"/>
      <c r="BH39" s="12">
        <f t="shared" si="5"/>
        <v>12</v>
      </c>
    </row>
    <row r="40" ht="36.75" customHeight="1">
      <c r="A40" s="26">
        <v>42045.0</v>
      </c>
      <c r="B40" s="18" t="s">
        <v>523</v>
      </c>
      <c r="C40" s="18" t="s">
        <v>532</v>
      </c>
      <c r="D40" s="18" t="s">
        <v>540</v>
      </c>
      <c r="E40" s="18" t="s">
        <v>482</v>
      </c>
      <c r="F40" s="18">
        <v>30.4071</v>
      </c>
      <c r="G40" s="18">
        <v>-81.527</v>
      </c>
      <c r="H40" s="18">
        <v>30.4137</v>
      </c>
      <c r="I40" s="17">
        <v>-81.532</v>
      </c>
      <c r="J40" s="20" t="s">
        <v>542</v>
      </c>
      <c r="K40" s="15" t="s">
        <v>528</v>
      </c>
      <c r="L40" s="22"/>
      <c r="M40" s="22"/>
      <c r="N40" s="22"/>
      <c r="O40" s="22"/>
      <c r="P40" s="18">
        <v>13.0</v>
      </c>
      <c r="Q40" s="22"/>
      <c r="R40" s="22"/>
      <c r="S40" s="18">
        <v>2.0</v>
      </c>
      <c r="T40" s="22"/>
      <c r="U40" s="22"/>
      <c r="V40" s="22"/>
      <c r="W40" s="22"/>
      <c r="X40" s="22"/>
      <c r="Y40" s="22"/>
      <c r="Z40" s="22"/>
      <c r="AA40" s="22"/>
      <c r="AB40" s="22"/>
      <c r="AC40" s="22"/>
      <c r="AD40" s="22"/>
      <c r="AE40" s="22"/>
      <c r="AF40" s="22"/>
      <c r="AG40" s="22"/>
      <c r="AH40" s="22"/>
      <c r="AI40" s="22"/>
      <c r="AJ40" s="22"/>
      <c r="AK40" s="22"/>
      <c r="AL40" s="18">
        <v>1.0</v>
      </c>
      <c r="AM40" s="22"/>
      <c r="AN40" s="22"/>
      <c r="AO40" s="22"/>
      <c r="AP40" s="22"/>
      <c r="AQ40" s="22"/>
      <c r="AR40" s="18">
        <v>6.0</v>
      </c>
      <c r="AS40" s="22"/>
      <c r="AT40" s="22"/>
      <c r="AU40" s="22"/>
      <c r="AV40" s="22"/>
      <c r="AW40" s="22"/>
      <c r="AX40" s="22"/>
      <c r="AY40" s="22"/>
      <c r="AZ40" s="22"/>
      <c r="BA40" s="22"/>
      <c r="BB40" s="22"/>
      <c r="BC40" s="22"/>
      <c r="BD40" s="22"/>
      <c r="BE40" s="22"/>
      <c r="BF40" s="22"/>
      <c r="BH40" s="12">
        <f t="shared" si="5"/>
        <v>22</v>
      </c>
    </row>
    <row r="41" ht="36.75" customHeight="1">
      <c r="A41" s="26">
        <v>42045.0</v>
      </c>
      <c r="B41" s="18" t="s">
        <v>523</v>
      </c>
      <c r="C41" s="18" t="s">
        <v>524</v>
      </c>
      <c r="D41" s="18" t="s">
        <v>550</v>
      </c>
      <c r="E41" s="18" t="s">
        <v>482</v>
      </c>
      <c r="F41" s="18">
        <v>30.3977</v>
      </c>
      <c r="G41" s="18">
        <v>-81.5171</v>
      </c>
      <c r="H41" s="18">
        <v>30.4076</v>
      </c>
      <c r="I41" s="16">
        <v>-81.5217</v>
      </c>
      <c r="J41" s="20" t="s">
        <v>553</v>
      </c>
      <c r="K41" s="15" t="s">
        <v>528</v>
      </c>
      <c r="M41" s="22"/>
      <c r="O41" s="22"/>
      <c r="W41" s="22"/>
      <c r="Y41" s="22"/>
      <c r="AE41" s="15">
        <v>3.0</v>
      </c>
      <c r="AJ41" s="22"/>
      <c r="AQ41" s="15">
        <v>32.0</v>
      </c>
      <c r="AR41" s="15">
        <v>2.0</v>
      </c>
      <c r="AW41" s="15">
        <v>1.0</v>
      </c>
      <c r="AY41" s="15">
        <v>2.0</v>
      </c>
      <c r="BA41" s="22"/>
      <c r="BB41" s="22"/>
      <c r="BH41" s="12">
        <f t="shared" si="5"/>
        <v>40</v>
      </c>
    </row>
    <row r="42" ht="36.75" customHeight="1">
      <c r="A42" s="18" t="s">
        <v>557</v>
      </c>
      <c r="B42" s="18" t="s">
        <v>558</v>
      </c>
      <c r="C42" s="18" t="s">
        <v>495</v>
      </c>
      <c r="D42" s="18" t="s">
        <v>496</v>
      </c>
      <c r="E42" s="18" t="s">
        <v>482</v>
      </c>
      <c r="F42" s="18">
        <v>30.411283</v>
      </c>
      <c r="G42" s="18">
        <v>-81.420273</v>
      </c>
      <c r="H42" s="18">
        <v>30.408285</v>
      </c>
      <c r="I42" s="17">
        <v>-81.414029</v>
      </c>
      <c r="J42" s="15" t="s">
        <v>561</v>
      </c>
      <c r="K42" s="15" t="s">
        <v>562</v>
      </c>
      <c r="L42" s="15">
        <v>0.0</v>
      </c>
      <c r="M42" s="18">
        <v>0.0</v>
      </c>
      <c r="N42" s="15">
        <v>60.0</v>
      </c>
      <c r="O42" s="15">
        <v>2015.0</v>
      </c>
      <c r="P42" s="15">
        <v>0.0</v>
      </c>
      <c r="Q42" s="15">
        <v>0.0</v>
      </c>
      <c r="R42" s="15">
        <v>0.0</v>
      </c>
      <c r="S42" s="15">
        <v>0.0</v>
      </c>
      <c r="T42" s="15">
        <v>0.0</v>
      </c>
      <c r="U42" s="15">
        <v>0.0</v>
      </c>
      <c r="V42" s="15">
        <v>0.0</v>
      </c>
      <c r="W42" s="15">
        <v>1.0</v>
      </c>
      <c r="X42" s="15">
        <v>0.0</v>
      </c>
      <c r="Y42" s="15">
        <v>29.0</v>
      </c>
      <c r="Z42" s="15">
        <v>70.0</v>
      </c>
      <c r="AA42" s="15">
        <v>1564.0</v>
      </c>
      <c r="AB42" s="15">
        <v>0.0</v>
      </c>
      <c r="AC42" s="15">
        <v>0.0</v>
      </c>
      <c r="AD42" s="15">
        <v>0.0</v>
      </c>
      <c r="AE42" s="15">
        <v>0.0</v>
      </c>
      <c r="AF42" s="15">
        <v>0.0</v>
      </c>
      <c r="AG42" s="15">
        <v>0.0</v>
      </c>
      <c r="AH42" s="15">
        <v>0.0</v>
      </c>
      <c r="AI42" s="15">
        <v>16.0</v>
      </c>
      <c r="AJ42" s="15">
        <v>0.0</v>
      </c>
      <c r="AK42" s="15">
        <v>0.0</v>
      </c>
      <c r="AL42" s="15">
        <v>20.0</v>
      </c>
      <c r="AM42" s="15">
        <v>0.0</v>
      </c>
      <c r="AN42" s="15">
        <v>4.0</v>
      </c>
      <c r="AO42" s="15">
        <v>0.0</v>
      </c>
      <c r="AP42" s="15">
        <v>0.0</v>
      </c>
      <c r="AQ42" s="15">
        <v>27.0</v>
      </c>
      <c r="AR42" s="15">
        <v>134.0</v>
      </c>
      <c r="AS42" s="15">
        <v>0.0</v>
      </c>
      <c r="AT42" s="15">
        <v>0.0</v>
      </c>
      <c r="AU42" s="15">
        <v>0.0</v>
      </c>
      <c r="AV42" s="15">
        <v>1.0</v>
      </c>
      <c r="AW42" s="15">
        <v>0.0</v>
      </c>
      <c r="AX42" s="15">
        <v>0.0</v>
      </c>
      <c r="AY42" s="15">
        <v>29.0</v>
      </c>
      <c r="AZ42" s="15">
        <v>4.0</v>
      </c>
      <c r="BA42" s="15">
        <v>0.0</v>
      </c>
      <c r="BB42" s="15">
        <v>0.0</v>
      </c>
      <c r="BC42" s="15">
        <v>0.0</v>
      </c>
      <c r="BD42" s="15">
        <v>0.0</v>
      </c>
      <c r="BE42" s="15">
        <v>0.0</v>
      </c>
      <c r="BF42" s="15">
        <v>0.0</v>
      </c>
      <c r="BG42" s="18">
        <v>0.0</v>
      </c>
      <c r="BH42" s="12">
        <f t="shared" si="5"/>
        <v>3974</v>
      </c>
    </row>
    <row r="43" ht="36.75" customHeight="1">
      <c r="A43" s="14">
        <v>42041.0</v>
      </c>
      <c r="B43" s="18" t="s">
        <v>198</v>
      </c>
      <c r="C43" s="18" t="s">
        <v>338</v>
      </c>
      <c r="D43" s="15" t="s">
        <v>571</v>
      </c>
      <c r="E43" s="15" t="s">
        <v>208</v>
      </c>
      <c r="F43" s="15">
        <v>30.31207</v>
      </c>
      <c r="G43" s="15">
        <v>-87.39899</v>
      </c>
      <c r="H43" s="15">
        <v>30.30993</v>
      </c>
      <c r="I43" s="17">
        <v>-87.40647</v>
      </c>
      <c r="J43" s="15" t="s">
        <v>573</v>
      </c>
      <c r="K43" s="15" t="s">
        <v>574</v>
      </c>
      <c r="L43" s="15">
        <v>0.0</v>
      </c>
      <c r="M43" s="15">
        <v>0.0</v>
      </c>
      <c r="N43" s="15">
        <v>1.0</v>
      </c>
      <c r="O43" s="15">
        <v>0.0</v>
      </c>
      <c r="P43" s="15">
        <v>0.0</v>
      </c>
      <c r="Q43" s="15">
        <v>4.0</v>
      </c>
      <c r="R43" s="15">
        <v>0.0</v>
      </c>
      <c r="S43" s="15">
        <v>0.0</v>
      </c>
      <c r="T43" s="15">
        <v>0.0</v>
      </c>
      <c r="U43" s="15">
        <v>0.0</v>
      </c>
      <c r="V43" s="15">
        <v>0.0</v>
      </c>
      <c r="W43" s="15">
        <v>0.0</v>
      </c>
      <c r="X43" s="15">
        <v>0.0</v>
      </c>
      <c r="Y43" s="15">
        <v>0.0</v>
      </c>
      <c r="Z43" s="15">
        <v>10.0</v>
      </c>
      <c r="AA43" s="15">
        <v>0.0</v>
      </c>
      <c r="AB43" s="15">
        <v>0.0</v>
      </c>
      <c r="AC43" s="15">
        <v>0.0</v>
      </c>
      <c r="AD43" s="15">
        <v>0.0</v>
      </c>
      <c r="AE43" s="15">
        <v>0.0</v>
      </c>
      <c r="AF43" s="15">
        <v>0.0</v>
      </c>
      <c r="AG43" s="15">
        <v>0.0</v>
      </c>
      <c r="AH43" s="15">
        <v>28.0</v>
      </c>
      <c r="AI43" s="15">
        <v>0.0</v>
      </c>
      <c r="AJ43" s="15">
        <v>0.0</v>
      </c>
      <c r="AK43" s="15">
        <v>0.0</v>
      </c>
      <c r="AL43" s="15">
        <v>0.0</v>
      </c>
      <c r="AM43" s="15">
        <v>0.0</v>
      </c>
      <c r="AN43" s="15">
        <v>0.0</v>
      </c>
      <c r="AO43" s="15">
        <v>0.0</v>
      </c>
      <c r="AP43" s="15">
        <v>0.0</v>
      </c>
      <c r="AQ43" s="15">
        <v>0.0</v>
      </c>
      <c r="AR43" s="15">
        <v>19.0</v>
      </c>
      <c r="AS43" s="15">
        <v>0.0</v>
      </c>
      <c r="AT43" s="15">
        <v>0.0</v>
      </c>
      <c r="AU43" s="15">
        <v>0.0</v>
      </c>
      <c r="AV43" s="15">
        <v>3.0</v>
      </c>
      <c r="AW43" s="15">
        <v>8.0</v>
      </c>
      <c r="AX43" s="15">
        <v>0.0</v>
      </c>
      <c r="AY43" s="15">
        <v>4.0</v>
      </c>
      <c r="AZ43" s="15">
        <v>0.0</v>
      </c>
      <c r="BA43" s="15">
        <v>0.0</v>
      </c>
      <c r="BB43" s="15">
        <v>0.0</v>
      </c>
      <c r="BC43" s="15">
        <v>0.0</v>
      </c>
      <c r="BD43" s="15">
        <v>0.0</v>
      </c>
      <c r="BE43" s="15">
        <v>0.0</v>
      </c>
      <c r="BF43" s="15">
        <v>0.0</v>
      </c>
      <c r="BH43" s="12">
        <f t="shared" si="5"/>
        <v>77</v>
      </c>
    </row>
    <row r="44" ht="36.75" customHeight="1">
      <c r="A44" s="14">
        <v>42041.0</v>
      </c>
      <c r="B44" s="18" t="s">
        <v>198</v>
      </c>
      <c r="C44" s="18" t="s">
        <v>338</v>
      </c>
      <c r="D44" s="15" t="s">
        <v>354</v>
      </c>
      <c r="E44" s="15" t="s">
        <v>208</v>
      </c>
      <c r="F44" s="15">
        <v>30.29525</v>
      </c>
      <c r="G44" s="15">
        <v>-87.43269</v>
      </c>
      <c r="H44" s="15">
        <v>30.27984</v>
      </c>
      <c r="I44" s="17">
        <v>-87.51816</v>
      </c>
      <c r="J44" s="15" t="s">
        <v>582</v>
      </c>
      <c r="K44" s="15" t="s">
        <v>574</v>
      </c>
      <c r="L44" s="15">
        <v>0.0</v>
      </c>
      <c r="M44" s="15">
        <v>0.0</v>
      </c>
      <c r="N44" s="15">
        <v>0.0</v>
      </c>
      <c r="O44" s="15">
        <v>0.0</v>
      </c>
      <c r="P44" s="15">
        <v>0.0</v>
      </c>
      <c r="Q44" s="15">
        <v>0.0</v>
      </c>
      <c r="R44" s="15">
        <v>0.0</v>
      </c>
      <c r="S44" s="15">
        <v>0.0</v>
      </c>
      <c r="T44" s="15">
        <v>0.0</v>
      </c>
      <c r="U44" s="15">
        <v>0.0</v>
      </c>
      <c r="V44" s="15">
        <v>0.0</v>
      </c>
      <c r="W44" s="15">
        <v>0.0</v>
      </c>
      <c r="X44" s="15">
        <v>0.0</v>
      </c>
      <c r="Y44" s="15">
        <v>6.0</v>
      </c>
      <c r="Z44" s="15">
        <v>70.0</v>
      </c>
      <c r="AA44" s="15">
        <v>0.0</v>
      </c>
      <c r="AB44" s="15">
        <v>0.0</v>
      </c>
      <c r="AC44" s="15">
        <v>0.0</v>
      </c>
      <c r="AD44" s="15">
        <v>3.0</v>
      </c>
      <c r="AE44" s="15">
        <v>0.0</v>
      </c>
      <c r="AF44" s="15">
        <v>0.0</v>
      </c>
      <c r="AG44" s="15">
        <v>0.0</v>
      </c>
      <c r="AH44" s="15">
        <v>10.0</v>
      </c>
      <c r="AI44" s="15">
        <v>0.0</v>
      </c>
      <c r="AJ44" s="15">
        <v>0.0</v>
      </c>
      <c r="AK44" s="15">
        <v>0.0</v>
      </c>
      <c r="AL44" s="15">
        <v>0.0</v>
      </c>
      <c r="AM44" s="15">
        <v>0.0</v>
      </c>
      <c r="AN44" s="15">
        <v>0.0</v>
      </c>
      <c r="AO44" s="15">
        <v>0.0</v>
      </c>
      <c r="AP44" s="15">
        <v>0.0</v>
      </c>
      <c r="AQ44" s="15">
        <v>0.0</v>
      </c>
      <c r="AR44" s="15">
        <v>1.0</v>
      </c>
      <c r="AS44" s="15">
        <v>0.0</v>
      </c>
      <c r="AT44" s="15">
        <v>0.0</v>
      </c>
      <c r="AU44" s="15">
        <v>0.0</v>
      </c>
      <c r="AV44" s="15">
        <v>1.0</v>
      </c>
      <c r="AW44" s="15">
        <v>52.0</v>
      </c>
      <c r="AX44" s="15">
        <v>0.0</v>
      </c>
      <c r="AY44" s="15">
        <v>21.0</v>
      </c>
      <c r="AZ44" s="15">
        <v>1.0</v>
      </c>
      <c r="BA44" s="15">
        <v>0.0</v>
      </c>
      <c r="BB44" s="15">
        <v>0.0</v>
      </c>
      <c r="BC44" s="15">
        <v>0.0</v>
      </c>
      <c r="BD44" s="15">
        <v>0.0</v>
      </c>
      <c r="BE44" s="15">
        <v>0.0</v>
      </c>
      <c r="BF44" s="15">
        <v>0.0</v>
      </c>
      <c r="BH44" s="12">
        <f t="shared" si="5"/>
        <v>165</v>
      </c>
    </row>
    <row r="45" ht="36.75" customHeight="1">
      <c r="A45" s="26">
        <v>42041.0</v>
      </c>
      <c r="B45" s="18" t="s">
        <v>74</v>
      </c>
      <c r="C45" s="18" t="s">
        <v>75</v>
      </c>
      <c r="D45" s="18" t="s">
        <v>592</v>
      </c>
      <c r="E45" s="18" t="s">
        <v>208</v>
      </c>
      <c r="F45" s="18">
        <v>30.33043</v>
      </c>
      <c r="G45" s="18">
        <v>-87.142616</v>
      </c>
      <c r="H45" s="18">
        <v>30.32496</v>
      </c>
      <c r="I45" s="16">
        <v>-87.18104</v>
      </c>
      <c r="J45" s="20" t="s">
        <v>594</v>
      </c>
      <c r="K45" s="15" t="s">
        <v>595</v>
      </c>
      <c r="L45" s="22"/>
      <c r="M45" s="22"/>
      <c r="N45" s="22"/>
      <c r="O45" s="22"/>
      <c r="P45" s="22"/>
      <c r="Q45" s="22"/>
      <c r="R45" s="22"/>
      <c r="S45" s="22"/>
      <c r="T45" s="22"/>
      <c r="U45" s="22"/>
      <c r="V45" s="22"/>
      <c r="W45" s="22"/>
      <c r="X45" s="22"/>
      <c r="Y45" s="22"/>
      <c r="Z45" s="18">
        <v>21.0</v>
      </c>
      <c r="AA45" s="22"/>
      <c r="AB45" s="22"/>
      <c r="AC45" s="22"/>
      <c r="AD45" s="22"/>
      <c r="AE45" s="22"/>
      <c r="AF45" s="22"/>
      <c r="AG45" s="22"/>
      <c r="AH45" s="22"/>
      <c r="AI45" s="22"/>
      <c r="AJ45" s="22"/>
      <c r="AK45" s="22"/>
      <c r="AL45" s="22"/>
      <c r="AM45" s="22"/>
      <c r="AN45" s="18">
        <v>5.0</v>
      </c>
      <c r="AO45" s="22"/>
      <c r="AP45" s="22"/>
      <c r="AQ45" s="22"/>
      <c r="AR45" s="18">
        <v>6.0</v>
      </c>
      <c r="AS45" s="22"/>
      <c r="AT45" s="22"/>
      <c r="AU45" s="22"/>
      <c r="AV45" s="18">
        <v>3.0</v>
      </c>
      <c r="AW45" s="18">
        <v>208.0</v>
      </c>
      <c r="AX45" s="22"/>
      <c r="AY45" s="18">
        <v>54.0</v>
      </c>
      <c r="AZ45" s="18">
        <v>2.0</v>
      </c>
      <c r="BA45" s="22"/>
      <c r="BB45" s="22"/>
      <c r="BC45" s="22"/>
      <c r="BD45" s="22"/>
      <c r="BE45" s="22"/>
      <c r="BF45" s="22"/>
      <c r="BH45" s="12">
        <f t="shared" si="5"/>
        <v>299</v>
      </c>
      <c r="BI45" s="15" t="s">
        <v>601</v>
      </c>
    </row>
    <row r="46" ht="36.75" customHeight="1">
      <c r="A46" s="26">
        <v>42046.0</v>
      </c>
      <c r="B46" s="18" t="s">
        <v>203</v>
      </c>
      <c r="C46" s="18" t="s">
        <v>205</v>
      </c>
      <c r="D46" s="18" t="s">
        <v>603</v>
      </c>
      <c r="E46" s="18" t="s">
        <v>208</v>
      </c>
      <c r="F46" s="18">
        <v>30.34926</v>
      </c>
      <c r="G46" s="18">
        <v>-87.04378</v>
      </c>
      <c r="H46" s="18">
        <v>30.37108</v>
      </c>
      <c r="I46" s="16">
        <v>-86.9185</v>
      </c>
      <c r="J46" s="20" t="s">
        <v>604</v>
      </c>
      <c r="K46" s="15" t="s">
        <v>606</v>
      </c>
      <c r="L46" s="15">
        <v>0.0</v>
      </c>
      <c r="M46" s="18">
        <v>0.0</v>
      </c>
      <c r="N46" s="15">
        <v>0.0</v>
      </c>
      <c r="O46" s="18">
        <v>0.0</v>
      </c>
      <c r="P46" s="15">
        <v>0.0</v>
      </c>
      <c r="Q46" s="15">
        <v>0.0</v>
      </c>
      <c r="R46" s="15">
        <v>0.0</v>
      </c>
      <c r="S46" s="15">
        <v>0.0</v>
      </c>
      <c r="T46" s="15">
        <v>0.0</v>
      </c>
      <c r="U46" s="15">
        <v>0.0</v>
      </c>
      <c r="V46" s="15">
        <v>0.0</v>
      </c>
      <c r="W46" s="18">
        <v>0.0</v>
      </c>
      <c r="X46" s="15">
        <v>0.0</v>
      </c>
      <c r="Y46" s="15">
        <v>0.0</v>
      </c>
      <c r="Z46" s="15">
        <v>90.0</v>
      </c>
      <c r="AA46" s="15">
        <v>0.0</v>
      </c>
      <c r="AB46" s="18">
        <v>0.0</v>
      </c>
      <c r="AC46" s="15">
        <v>0.0</v>
      </c>
      <c r="AD46" s="15">
        <v>2.0</v>
      </c>
      <c r="AE46" s="15">
        <v>0.0</v>
      </c>
      <c r="AF46" s="15">
        <v>0.0</v>
      </c>
      <c r="AG46" s="15">
        <v>0.0</v>
      </c>
      <c r="AH46" s="15">
        <v>0.0</v>
      </c>
      <c r="AI46" s="15">
        <v>0.0</v>
      </c>
      <c r="AJ46" s="18">
        <v>0.0</v>
      </c>
      <c r="AK46" s="15">
        <v>0.0</v>
      </c>
      <c r="AL46" s="15">
        <v>16.0</v>
      </c>
      <c r="AM46" s="15">
        <v>0.0</v>
      </c>
      <c r="AN46" s="15">
        <v>3.0</v>
      </c>
      <c r="AO46" s="15">
        <v>0.0</v>
      </c>
      <c r="AP46" s="15">
        <v>0.0</v>
      </c>
      <c r="AQ46" s="15">
        <v>0.0</v>
      </c>
      <c r="AR46" s="15">
        <v>0.0</v>
      </c>
      <c r="AS46" s="15">
        <v>0.0</v>
      </c>
      <c r="AT46" s="15">
        <v>0.0</v>
      </c>
      <c r="AU46" s="15">
        <v>0.0</v>
      </c>
      <c r="AV46" s="15">
        <v>12.0</v>
      </c>
      <c r="AW46" s="15">
        <v>7.0</v>
      </c>
      <c r="AX46" s="15">
        <v>0.0</v>
      </c>
      <c r="AY46" s="15">
        <v>30.0</v>
      </c>
      <c r="AZ46" s="18">
        <v>0.0</v>
      </c>
      <c r="BA46" s="18">
        <v>0.0</v>
      </c>
      <c r="BB46" s="18">
        <v>0.0</v>
      </c>
      <c r="BC46" s="15">
        <v>0.0</v>
      </c>
      <c r="BD46" s="15">
        <v>0.0</v>
      </c>
      <c r="BE46" s="15">
        <v>0.0</v>
      </c>
      <c r="BF46" s="15">
        <v>0.0</v>
      </c>
      <c r="BH46" s="12">
        <f t="shared" si="5"/>
        <v>160</v>
      </c>
    </row>
    <row r="47" ht="36.75" customHeight="1">
      <c r="A47" s="26">
        <v>42046.0</v>
      </c>
      <c r="B47" s="18" t="s">
        <v>203</v>
      </c>
      <c r="C47" s="18" t="s">
        <v>205</v>
      </c>
      <c r="D47" s="18" t="s">
        <v>613</v>
      </c>
      <c r="E47" s="18" t="s">
        <v>208</v>
      </c>
      <c r="F47" s="18">
        <v>30.37453</v>
      </c>
      <c r="G47" s="18">
        <v>-86.91897</v>
      </c>
      <c r="H47" s="18">
        <v>30.3575</v>
      </c>
      <c r="I47" s="16">
        <v>-87.04365</v>
      </c>
      <c r="J47" s="20" t="s">
        <v>614</v>
      </c>
      <c r="K47" s="15" t="s">
        <v>606</v>
      </c>
      <c r="L47" s="18">
        <v>0.0</v>
      </c>
      <c r="M47" s="18">
        <v>0.0</v>
      </c>
      <c r="N47" s="18">
        <v>3.0</v>
      </c>
      <c r="O47" s="18">
        <v>26.0</v>
      </c>
      <c r="P47" s="18">
        <v>0.0</v>
      </c>
      <c r="Q47" s="18">
        <v>0.0</v>
      </c>
      <c r="R47" s="18">
        <v>0.0</v>
      </c>
      <c r="S47" s="18">
        <v>0.0</v>
      </c>
      <c r="T47" s="18">
        <v>0.0</v>
      </c>
      <c r="U47" s="18">
        <v>0.0</v>
      </c>
      <c r="V47" s="18">
        <v>0.0</v>
      </c>
      <c r="W47" s="18">
        <v>14.0</v>
      </c>
      <c r="X47" s="18">
        <v>0.0</v>
      </c>
      <c r="Y47" s="18">
        <v>0.0</v>
      </c>
      <c r="Z47" s="18">
        <v>75.0</v>
      </c>
      <c r="AA47" s="18">
        <v>0.0</v>
      </c>
      <c r="AB47" s="18">
        <v>0.0</v>
      </c>
      <c r="AC47" s="18">
        <v>0.0</v>
      </c>
      <c r="AD47" s="18">
        <v>0.0</v>
      </c>
      <c r="AE47" s="18">
        <v>0.0</v>
      </c>
      <c r="AF47" s="18">
        <v>0.0</v>
      </c>
      <c r="AG47" s="18">
        <v>0.0</v>
      </c>
      <c r="AH47" s="18">
        <v>4.0</v>
      </c>
      <c r="AI47" s="18">
        <v>0.0</v>
      </c>
      <c r="AJ47" s="18">
        <v>0.0</v>
      </c>
      <c r="AK47" s="18">
        <v>0.0</v>
      </c>
      <c r="AL47" s="18">
        <v>25.0</v>
      </c>
      <c r="AM47" s="18">
        <v>0.0</v>
      </c>
      <c r="AN47" s="18">
        <v>3.0</v>
      </c>
      <c r="AO47" s="18">
        <v>0.0</v>
      </c>
      <c r="AP47" s="18">
        <v>0.0</v>
      </c>
      <c r="AQ47" s="18">
        <v>0.0</v>
      </c>
      <c r="AR47" s="18">
        <v>4.0</v>
      </c>
      <c r="AS47" s="18">
        <v>0.0</v>
      </c>
      <c r="AT47" s="18">
        <v>0.0</v>
      </c>
      <c r="AU47" s="18">
        <v>0.0</v>
      </c>
      <c r="AV47" s="18">
        <v>16.0</v>
      </c>
      <c r="AW47" s="18">
        <v>3.0</v>
      </c>
      <c r="AX47" s="18">
        <v>0.0</v>
      </c>
      <c r="AY47" s="18">
        <v>28.0</v>
      </c>
      <c r="AZ47" s="18">
        <v>2.0</v>
      </c>
      <c r="BA47" s="18">
        <v>0.0</v>
      </c>
      <c r="BB47" s="18">
        <v>0.0</v>
      </c>
      <c r="BC47" s="18">
        <v>0.0</v>
      </c>
      <c r="BD47" s="18">
        <v>0.0</v>
      </c>
      <c r="BE47" s="18">
        <v>0.0</v>
      </c>
      <c r="BF47" s="18">
        <v>1.0</v>
      </c>
      <c r="BH47" s="12">
        <f t="shared" si="5"/>
        <v>204</v>
      </c>
    </row>
    <row r="48" ht="36.75" customHeight="1">
      <c r="A48" s="26">
        <v>42046.0</v>
      </c>
      <c r="B48" s="18" t="s">
        <v>365</v>
      </c>
      <c r="C48" s="18" t="s">
        <v>366</v>
      </c>
      <c r="D48" s="18" t="s">
        <v>630</v>
      </c>
      <c r="E48" s="18" t="s">
        <v>208</v>
      </c>
      <c r="F48" s="18">
        <v>30.31295</v>
      </c>
      <c r="G48" s="18">
        <v>-87.35925</v>
      </c>
      <c r="H48" s="18">
        <v>30.32858</v>
      </c>
      <c r="I48" s="16">
        <v>-87.31566</v>
      </c>
      <c r="J48" s="20" t="s">
        <v>634</v>
      </c>
      <c r="K48" s="15" t="s">
        <v>606</v>
      </c>
      <c r="L48" s="18">
        <v>0.0</v>
      </c>
      <c r="M48" s="18">
        <v>0.0</v>
      </c>
      <c r="N48" s="18">
        <v>5.0</v>
      </c>
      <c r="O48" s="18">
        <v>0.0</v>
      </c>
      <c r="P48" s="18">
        <v>0.0</v>
      </c>
      <c r="Q48" s="18">
        <v>0.0</v>
      </c>
      <c r="R48" s="18">
        <v>0.0</v>
      </c>
      <c r="S48" s="18">
        <v>0.0</v>
      </c>
      <c r="T48" s="18">
        <v>0.0</v>
      </c>
      <c r="U48" s="18">
        <v>0.0</v>
      </c>
      <c r="V48" s="18">
        <v>0.0</v>
      </c>
      <c r="W48" s="18">
        <v>0.0</v>
      </c>
      <c r="X48" s="18">
        <v>0.0</v>
      </c>
      <c r="Y48" s="18">
        <v>7.0</v>
      </c>
      <c r="Z48" s="18">
        <v>75.0</v>
      </c>
      <c r="AA48" s="18">
        <v>0.0</v>
      </c>
      <c r="AB48" s="18">
        <v>0.0</v>
      </c>
      <c r="AC48" s="18">
        <v>0.0</v>
      </c>
      <c r="AD48" s="18">
        <v>12.0</v>
      </c>
      <c r="AE48" s="18">
        <v>0.0</v>
      </c>
      <c r="AF48" s="22"/>
      <c r="AG48" s="18">
        <v>0.0</v>
      </c>
      <c r="AH48" s="18">
        <v>2.0</v>
      </c>
      <c r="AI48" s="18">
        <v>0.0</v>
      </c>
      <c r="AJ48" s="18">
        <v>0.0</v>
      </c>
      <c r="AK48" s="18">
        <v>0.0</v>
      </c>
      <c r="AL48" s="18">
        <v>0.0</v>
      </c>
      <c r="AM48" s="18">
        <v>0.0</v>
      </c>
      <c r="AN48" s="18">
        <v>9.0</v>
      </c>
      <c r="AO48" s="18">
        <v>0.0</v>
      </c>
      <c r="AP48" s="18">
        <v>0.0</v>
      </c>
      <c r="AQ48" s="18">
        <v>0.0</v>
      </c>
      <c r="AR48" s="18">
        <v>2.0</v>
      </c>
      <c r="AS48" s="18">
        <v>0.0</v>
      </c>
      <c r="AT48" s="18">
        <v>0.0</v>
      </c>
      <c r="AU48" s="18">
        <v>0.0</v>
      </c>
      <c r="AV48" s="18">
        <v>16.0</v>
      </c>
      <c r="AW48" s="18">
        <v>15.0</v>
      </c>
      <c r="AX48" s="18">
        <v>0.0</v>
      </c>
      <c r="AY48" s="18">
        <v>1.0</v>
      </c>
      <c r="AZ48" s="18">
        <v>0.0</v>
      </c>
      <c r="BA48" s="18">
        <v>0.0</v>
      </c>
      <c r="BB48" s="18">
        <v>0.0</v>
      </c>
      <c r="BC48" s="18">
        <v>0.0</v>
      </c>
      <c r="BD48" s="18">
        <v>0.0</v>
      </c>
      <c r="BE48" s="18">
        <v>0.0</v>
      </c>
      <c r="BF48" s="18">
        <v>0.0</v>
      </c>
      <c r="BG48" s="22"/>
      <c r="BH48" s="12">
        <f t="shared" si="5"/>
        <v>144</v>
      </c>
    </row>
    <row r="49" ht="36.75" customHeight="1">
      <c r="A49" s="26">
        <v>42046.0</v>
      </c>
      <c r="B49" s="18" t="s">
        <v>365</v>
      </c>
      <c r="C49" s="18" t="s">
        <v>366</v>
      </c>
      <c r="D49" s="18" t="s">
        <v>646</v>
      </c>
      <c r="E49" s="18" t="s">
        <v>208</v>
      </c>
      <c r="F49" s="18">
        <v>30.32858</v>
      </c>
      <c r="G49" s="18">
        <v>-87.31566</v>
      </c>
      <c r="H49" s="18">
        <v>30.30371</v>
      </c>
      <c r="I49" s="16">
        <v>-87.41368</v>
      </c>
      <c r="J49" s="20" t="s">
        <v>647</v>
      </c>
      <c r="K49" s="15" t="s">
        <v>606</v>
      </c>
      <c r="L49" s="18">
        <v>0.0</v>
      </c>
      <c r="M49" s="18">
        <v>0.0</v>
      </c>
      <c r="N49" s="18">
        <v>5.0</v>
      </c>
      <c r="O49" s="18">
        <v>9.0</v>
      </c>
      <c r="P49" s="18">
        <v>0.0</v>
      </c>
      <c r="Q49" s="18">
        <v>0.0</v>
      </c>
      <c r="R49" s="18">
        <v>0.0</v>
      </c>
      <c r="S49" s="18">
        <v>0.0</v>
      </c>
      <c r="T49" s="18">
        <v>0.0</v>
      </c>
      <c r="U49" s="18">
        <v>0.0</v>
      </c>
      <c r="V49" s="18">
        <v>0.0</v>
      </c>
      <c r="W49" s="18">
        <v>0.0</v>
      </c>
      <c r="X49" s="18">
        <v>0.0</v>
      </c>
      <c r="Y49" s="18">
        <v>3.0</v>
      </c>
      <c r="Z49" s="18">
        <v>91.0</v>
      </c>
      <c r="AA49" s="18">
        <v>1.0</v>
      </c>
      <c r="AB49" s="18">
        <v>0.0</v>
      </c>
      <c r="AC49" s="18">
        <v>0.0</v>
      </c>
      <c r="AD49" s="18">
        <v>0.0</v>
      </c>
      <c r="AE49" s="18">
        <v>0.0</v>
      </c>
      <c r="AF49" s="18">
        <v>0.0</v>
      </c>
      <c r="AG49" s="18">
        <v>0.0</v>
      </c>
      <c r="AH49" s="18">
        <v>6.0</v>
      </c>
      <c r="AI49" s="18">
        <v>0.0</v>
      </c>
      <c r="AJ49" s="18">
        <v>0.0</v>
      </c>
      <c r="AK49" s="18">
        <v>0.0</v>
      </c>
      <c r="AL49" s="18">
        <v>0.0</v>
      </c>
      <c r="AM49" s="18">
        <v>0.0</v>
      </c>
      <c r="AN49" s="18">
        <v>5.0</v>
      </c>
      <c r="AO49" s="18">
        <v>0.0</v>
      </c>
      <c r="AP49" s="18">
        <v>0.0</v>
      </c>
      <c r="AQ49" s="18">
        <v>2.0</v>
      </c>
      <c r="AR49" s="18">
        <v>42.0</v>
      </c>
      <c r="AS49" s="18">
        <v>0.0</v>
      </c>
      <c r="AT49" s="18">
        <v>0.0</v>
      </c>
      <c r="AU49" s="18">
        <v>0.0</v>
      </c>
      <c r="AV49" s="18">
        <v>320.0</v>
      </c>
      <c r="AW49" s="18">
        <v>29.0</v>
      </c>
      <c r="AX49" s="18">
        <v>0.0</v>
      </c>
      <c r="AY49" s="18">
        <v>28.0</v>
      </c>
      <c r="AZ49" s="18">
        <v>0.0</v>
      </c>
      <c r="BA49" s="18">
        <v>0.0</v>
      </c>
      <c r="BB49" s="18">
        <v>0.0</v>
      </c>
      <c r="BC49" s="18">
        <v>0.0</v>
      </c>
      <c r="BD49" s="18">
        <v>0.0</v>
      </c>
      <c r="BE49" s="18">
        <v>0.0</v>
      </c>
      <c r="BF49" s="18">
        <v>0.0</v>
      </c>
      <c r="BH49" s="12">
        <f t="shared" si="5"/>
        <v>541</v>
      </c>
    </row>
    <row r="50" ht="36.75" customHeight="1">
      <c r="A50" s="26">
        <v>42046.0</v>
      </c>
      <c r="B50" s="18" t="s">
        <v>377</v>
      </c>
      <c r="C50" s="18" t="s">
        <v>378</v>
      </c>
      <c r="D50" s="18" t="s">
        <v>656</v>
      </c>
      <c r="E50" s="18" t="s">
        <v>208</v>
      </c>
      <c r="F50" s="18">
        <v>30.32482</v>
      </c>
      <c r="G50" s="18">
        <v>-87.18103</v>
      </c>
      <c r="H50" s="18">
        <v>30.33119</v>
      </c>
      <c r="I50" s="16">
        <v>-87.295592</v>
      </c>
      <c r="J50" s="20" t="s">
        <v>657</v>
      </c>
      <c r="K50" s="15" t="s">
        <v>606</v>
      </c>
      <c r="L50" s="18">
        <v>0.0</v>
      </c>
      <c r="M50" s="18">
        <v>0.0</v>
      </c>
      <c r="N50" s="18">
        <v>0.0</v>
      </c>
      <c r="O50" s="18">
        <v>0.0</v>
      </c>
      <c r="P50" s="18">
        <v>0.0</v>
      </c>
      <c r="Q50" s="18">
        <v>0.0</v>
      </c>
      <c r="R50" s="18">
        <v>0.0</v>
      </c>
      <c r="S50" s="18">
        <v>0.0</v>
      </c>
      <c r="T50" s="18">
        <v>0.0</v>
      </c>
      <c r="U50" s="18">
        <v>0.0</v>
      </c>
      <c r="V50" s="18">
        <v>0.0</v>
      </c>
      <c r="W50" s="18">
        <v>0.0</v>
      </c>
      <c r="X50" s="18">
        <v>0.0</v>
      </c>
      <c r="Y50" s="18">
        <v>5.0</v>
      </c>
      <c r="Z50" s="18">
        <v>174.0</v>
      </c>
      <c r="AA50" s="18">
        <v>0.0</v>
      </c>
      <c r="AB50" s="18">
        <v>0.0</v>
      </c>
      <c r="AC50" s="18">
        <v>0.0</v>
      </c>
      <c r="AD50" s="18">
        <v>30.0</v>
      </c>
      <c r="AE50" s="18">
        <v>0.0</v>
      </c>
      <c r="AF50" s="18">
        <v>0.0</v>
      </c>
      <c r="AG50" s="18">
        <v>0.0</v>
      </c>
      <c r="AH50" s="18">
        <v>35.0</v>
      </c>
      <c r="AI50" s="18">
        <v>0.0</v>
      </c>
      <c r="AJ50" s="18">
        <v>0.0</v>
      </c>
      <c r="AK50" s="18">
        <v>0.0</v>
      </c>
      <c r="AL50" s="18">
        <v>2.0</v>
      </c>
      <c r="AM50" s="18">
        <v>0.0</v>
      </c>
      <c r="AN50" s="18">
        <v>38.0</v>
      </c>
      <c r="AO50" s="18">
        <v>0.0</v>
      </c>
      <c r="AP50" s="18">
        <v>0.0</v>
      </c>
      <c r="AQ50" s="18">
        <v>0.0</v>
      </c>
      <c r="AR50" s="18">
        <v>8.0</v>
      </c>
      <c r="AS50" s="18">
        <v>0.0</v>
      </c>
      <c r="AT50" s="18">
        <v>0.0</v>
      </c>
      <c r="AU50" s="18">
        <v>0.0</v>
      </c>
      <c r="AV50" s="18">
        <v>74.0</v>
      </c>
      <c r="AW50" s="18">
        <v>8.0</v>
      </c>
      <c r="AX50" s="18">
        <v>0.0</v>
      </c>
      <c r="AY50" s="18">
        <v>113.0</v>
      </c>
      <c r="AZ50" s="18">
        <v>0.0</v>
      </c>
      <c r="BA50" s="18">
        <v>0.0</v>
      </c>
      <c r="BB50" s="18">
        <v>0.0</v>
      </c>
      <c r="BC50" s="18">
        <v>0.0</v>
      </c>
      <c r="BD50" s="18">
        <v>0.0</v>
      </c>
      <c r="BE50" s="18">
        <v>0.0</v>
      </c>
      <c r="BF50" s="18">
        <v>0.0</v>
      </c>
      <c r="BG50" s="22"/>
      <c r="BH50" s="12">
        <f t="shared" si="5"/>
        <v>487</v>
      </c>
    </row>
    <row r="51" ht="36.75" customHeight="1">
      <c r="A51" s="26">
        <v>42046.0</v>
      </c>
      <c r="B51" s="18" t="s">
        <v>377</v>
      </c>
      <c r="C51" s="18" t="s">
        <v>378</v>
      </c>
      <c r="D51" s="18" t="s">
        <v>662</v>
      </c>
      <c r="E51" s="18" t="s">
        <v>208</v>
      </c>
      <c r="F51" s="18">
        <v>30.3309</v>
      </c>
      <c r="G51" s="18">
        <v>-87.30197</v>
      </c>
      <c r="H51" s="18">
        <v>30.3271</v>
      </c>
      <c r="I51" s="16">
        <v>-87.18102</v>
      </c>
      <c r="J51" s="18" t="s">
        <v>663</v>
      </c>
      <c r="K51" s="15" t="s">
        <v>606</v>
      </c>
      <c r="L51" s="18">
        <v>0.0</v>
      </c>
      <c r="M51" s="18">
        <v>0.0</v>
      </c>
      <c r="N51" s="18">
        <v>3.0</v>
      </c>
      <c r="O51" s="18">
        <v>0.0</v>
      </c>
      <c r="P51" s="18">
        <v>0.0</v>
      </c>
      <c r="Q51" s="18">
        <v>7.0</v>
      </c>
      <c r="R51" s="18">
        <v>0.0</v>
      </c>
      <c r="S51" s="18">
        <v>0.0</v>
      </c>
      <c r="T51" s="18">
        <v>0.0</v>
      </c>
      <c r="U51" s="18">
        <v>0.0</v>
      </c>
      <c r="V51" s="18">
        <v>0.0</v>
      </c>
      <c r="W51" s="18">
        <v>0.0</v>
      </c>
      <c r="X51" s="18">
        <v>0.0</v>
      </c>
      <c r="Y51" s="18">
        <v>3.0</v>
      </c>
      <c r="Z51" s="18">
        <v>100.0</v>
      </c>
      <c r="AA51" s="18">
        <v>1.0</v>
      </c>
      <c r="AB51" s="18">
        <v>0.0</v>
      </c>
      <c r="AC51" s="18">
        <v>0.0</v>
      </c>
      <c r="AD51" s="18">
        <v>1.0</v>
      </c>
      <c r="AE51" s="18">
        <v>0.0</v>
      </c>
      <c r="AF51" s="18">
        <v>0.0</v>
      </c>
      <c r="AG51" s="18">
        <v>0.0</v>
      </c>
      <c r="AH51" s="18">
        <v>3.0</v>
      </c>
      <c r="AI51" s="18">
        <v>0.0</v>
      </c>
      <c r="AJ51" s="18">
        <v>0.0</v>
      </c>
      <c r="AK51" s="18">
        <v>0.0</v>
      </c>
      <c r="AL51" s="18">
        <v>13.0</v>
      </c>
      <c r="AM51" s="18">
        <v>0.0</v>
      </c>
      <c r="AN51" s="18">
        <v>0.0</v>
      </c>
      <c r="AO51" s="18">
        <v>0.0</v>
      </c>
      <c r="AP51" s="18">
        <v>0.0</v>
      </c>
      <c r="AQ51" s="18">
        <v>0.0</v>
      </c>
      <c r="AR51" s="18">
        <v>0.0</v>
      </c>
      <c r="AS51" s="18">
        <v>0.0</v>
      </c>
      <c r="AT51" s="18">
        <v>0.0</v>
      </c>
      <c r="AU51" s="18">
        <v>0.0</v>
      </c>
      <c r="AV51" s="18">
        <v>25.0</v>
      </c>
      <c r="AW51" s="18">
        <v>0.0</v>
      </c>
      <c r="AX51" s="18">
        <v>0.0</v>
      </c>
      <c r="AY51" s="18">
        <v>65.0</v>
      </c>
      <c r="AZ51" s="18">
        <v>0.0</v>
      </c>
      <c r="BA51" s="18">
        <v>0.0</v>
      </c>
      <c r="BB51" s="18">
        <v>0.0</v>
      </c>
      <c r="BC51" s="18">
        <v>0.0</v>
      </c>
      <c r="BD51" s="18">
        <v>0.0</v>
      </c>
      <c r="BE51" s="18">
        <v>0.0</v>
      </c>
      <c r="BF51" s="18">
        <v>0.0</v>
      </c>
      <c r="BH51" s="12">
        <f t="shared" si="5"/>
        <v>221</v>
      </c>
    </row>
    <row r="52" ht="36.75" customHeight="1">
      <c r="A52" s="26">
        <v>42041.0</v>
      </c>
      <c r="B52" s="18" t="s">
        <v>681</v>
      </c>
      <c r="C52" s="18" t="s">
        <v>682</v>
      </c>
      <c r="D52" s="18" t="s">
        <v>683</v>
      </c>
      <c r="E52" s="18" t="s">
        <v>684</v>
      </c>
      <c r="F52" s="18">
        <v>29.442312</v>
      </c>
      <c r="G52" s="18">
        <v>-81.108901</v>
      </c>
      <c r="H52" s="18">
        <v>29.48</v>
      </c>
      <c r="I52" s="17">
        <v>-81.126126</v>
      </c>
      <c r="J52" s="15" t="s">
        <v>687</v>
      </c>
      <c r="K52" s="15" t="s">
        <v>688</v>
      </c>
      <c r="L52" s="15">
        <v>0.0</v>
      </c>
      <c r="M52" s="18">
        <v>0.0</v>
      </c>
      <c r="N52" s="15">
        <v>0.0</v>
      </c>
      <c r="O52" s="15">
        <v>0.0</v>
      </c>
      <c r="P52" s="15">
        <v>0.0</v>
      </c>
      <c r="Q52" s="15">
        <v>0.0</v>
      </c>
      <c r="R52" s="15">
        <v>0.0</v>
      </c>
      <c r="S52" s="15">
        <v>0.0</v>
      </c>
      <c r="T52" s="15">
        <v>0.0</v>
      </c>
      <c r="U52" s="15">
        <v>0.0</v>
      </c>
      <c r="V52" s="15">
        <v>0.0</v>
      </c>
      <c r="W52" s="15">
        <v>0.0</v>
      </c>
      <c r="X52" s="15">
        <v>0.0</v>
      </c>
      <c r="Y52" s="15">
        <v>6.0</v>
      </c>
      <c r="Z52" s="15">
        <v>11.0</v>
      </c>
      <c r="AA52" s="15">
        <v>0.0</v>
      </c>
      <c r="AB52" s="15">
        <v>0.0</v>
      </c>
      <c r="AC52" s="15">
        <v>0.0</v>
      </c>
      <c r="AD52" s="15">
        <v>0.0</v>
      </c>
      <c r="AE52" s="15">
        <v>0.0</v>
      </c>
      <c r="AF52" s="15">
        <v>0.0</v>
      </c>
      <c r="AG52" s="15">
        <v>0.0</v>
      </c>
      <c r="AH52" s="15">
        <v>10.0</v>
      </c>
      <c r="AI52" s="15">
        <v>0.0</v>
      </c>
      <c r="AJ52" s="15">
        <v>0.0</v>
      </c>
      <c r="AK52" s="15">
        <v>34.0</v>
      </c>
      <c r="AL52" s="15">
        <v>0.0</v>
      </c>
      <c r="AM52" s="15">
        <v>0.0</v>
      </c>
      <c r="AN52" s="15">
        <v>1.0</v>
      </c>
      <c r="AO52" s="15">
        <v>0.0</v>
      </c>
      <c r="AP52" s="15">
        <v>1.0</v>
      </c>
      <c r="AQ52" s="15">
        <v>1.0</v>
      </c>
      <c r="AR52" s="15">
        <v>43.0</v>
      </c>
      <c r="AS52" s="15">
        <v>0.0</v>
      </c>
      <c r="AT52" s="15">
        <v>0.0</v>
      </c>
      <c r="AU52" s="15">
        <v>1.0</v>
      </c>
      <c r="AV52" s="15">
        <v>1.0</v>
      </c>
      <c r="AW52" s="15">
        <v>32.0</v>
      </c>
      <c r="AX52" s="15">
        <v>0.0</v>
      </c>
      <c r="AY52" s="15">
        <v>80.0</v>
      </c>
      <c r="AZ52" s="15">
        <v>58.0</v>
      </c>
      <c r="BA52" s="15">
        <v>0.0</v>
      </c>
      <c r="BB52" s="15">
        <v>0.0</v>
      </c>
      <c r="BC52" s="15">
        <v>0.0</v>
      </c>
      <c r="BD52" s="15">
        <v>0.0</v>
      </c>
      <c r="BE52" s="15">
        <v>0.0</v>
      </c>
      <c r="BF52" s="15">
        <v>0.0</v>
      </c>
      <c r="BG52" s="18">
        <v>0.0</v>
      </c>
      <c r="BH52" s="12">
        <f t="shared" si="5"/>
        <v>279</v>
      </c>
    </row>
    <row r="53" ht="36.75" customHeight="1">
      <c r="A53" s="26">
        <v>42041.0</v>
      </c>
      <c r="B53" s="18" t="s">
        <v>698</v>
      </c>
      <c r="C53" s="18" t="s">
        <v>700</v>
      </c>
      <c r="D53" s="18" t="s">
        <v>702</v>
      </c>
      <c r="E53" s="18" t="s">
        <v>684</v>
      </c>
      <c r="F53" s="18">
        <v>29.48</v>
      </c>
      <c r="G53" s="18">
        <v>-81.126126</v>
      </c>
      <c r="H53" s="18">
        <v>29.548889</v>
      </c>
      <c r="I53" s="17">
        <v>-81.160833</v>
      </c>
      <c r="J53" s="15" t="s">
        <v>705</v>
      </c>
      <c r="K53" s="15" t="s">
        <v>688</v>
      </c>
      <c r="L53" s="15">
        <v>0.0</v>
      </c>
      <c r="M53" s="18">
        <v>0.0</v>
      </c>
      <c r="N53" s="15">
        <v>3.0</v>
      </c>
      <c r="O53" s="15">
        <v>0.0</v>
      </c>
      <c r="P53" s="15">
        <v>0.0</v>
      </c>
      <c r="Q53" s="15">
        <v>0.0</v>
      </c>
      <c r="R53" s="15">
        <v>0.0</v>
      </c>
      <c r="S53" s="15">
        <v>0.0</v>
      </c>
      <c r="T53" s="15">
        <v>0.0</v>
      </c>
      <c r="U53" s="15">
        <v>0.0</v>
      </c>
      <c r="V53" s="15">
        <v>0.0</v>
      </c>
      <c r="W53" s="15">
        <v>0.0</v>
      </c>
      <c r="X53" s="15">
        <v>0.0</v>
      </c>
      <c r="Y53" s="15">
        <v>20.0</v>
      </c>
      <c r="Z53" s="15">
        <v>74.0</v>
      </c>
      <c r="AA53" s="15">
        <v>0.0</v>
      </c>
      <c r="AB53" s="15">
        <v>0.0</v>
      </c>
      <c r="AC53" s="15">
        <v>0.0</v>
      </c>
      <c r="AD53" s="15">
        <v>0.0</v>
      </c>
      <c r="AE53" s="15">
        <v>0.0</v>
      </c>
      <c r="AF53" s="15">
        <v>0.0</v>
      </c>
      <c r="AG53" s="15">
        <v>0.0</v>
      </c>
      <c r="AH53" s="15">
        <v>14.0</v>
      </c>
      <c r="AI53" s="15">
        <v>0.0</v>
      </c>
      <c r="AJ53" s="15">
        <v>0.0</v>
      </c>
      <c r="AK53" s="15">
        <v>0.0</v>
      </c>
      <c r="AL53" s="15">
        <v>3.0</v>
      </c>
      <c r="AM53" s="15">
        <v>0.0</v>
      </c>
      <c r="AN53" s="15">
        <v>1.0</v>
      </c>
      <c r="AO53" s="15">
        <v>0.0</v>
      </c>
      <c r="AP53" s="15">
        <v>0.0</v>
      </c>
      <c r="AQ53" s="15">
        <v>4.0</v>
      </c>
      <c r="AR53" s="15">
        <v>42.0</v>
      </c>
      <c r="AS53" s="15">
        <v>0.0</v>
      </c>
      <c r="AT53" s="15">
        <v>0.0</v>
      </c>
      <c r="AU53" s="15">
        <v>10.0</v>
      </c>
      <c r="AV53" s="15">
        <v>6.0</v>
      </c>
      <c r="AW53" s="15">
        <v>180.0</v>
      </c>
      <c r="AX53" s="15">
        <v>0.0</v>
      </c>
      <c r="AY53" s="15">
        <v>58.0</v>
      </c>
      <c r="AZ53" s="15">
        <v>19.0</v>
      </c>
      <c r="BA53" s="15">
        <v>0.0</v>
      </c>
      <c r="BB53" s="15">
        <v>0.0</v>
      </c>
      <c r="BC53" s="15">
        <v>0.0</v>
      </c>
      <c r="BD53" s="15">
        <v>0.0</v>
      </c>
      <c r="BE53" s="15">
        <v>0.0</v>
      </c>
      <c r="BF53" s="15">
        <v>0.0</v>
      </c>
      <c r="BG53" s="18">
        <v>0.0</v>
      </c>
      <c r="BH53" s="12">
        <f t="shared" si="5"/>
        <v>434</v>
      </c>
    </row>
    <row r="54" ht="36.75" customHeight="1">
      <c r="A54" s="26">
        <v>42041.0</v>
      </c>
      <c r="B54" s="18" t="s">
        <v>713</v>
      </c>
      <c r="C54" s="18" t="s">
        <v>714</v>
      </c>
      <c r="D54" s="18" t="s">
        <v>716</v>
      </c>
      <c r="E54" s="18" t="s">
        <v>684</v>
      </c>
      <c r="F54" s="18">
        <v>29.548889</v>
      </c>
      <c r="G54" s="18">
        <v>-81.160833</v>
      </c>
      <c r="H54" s="18">
        <v>29.63356</v>
      </c>
      <c r="I54" s="17">
        <v>-81.187687</v>
      </c>
      <c r="J54" s="15" t="s">
        <v>719</v>
      </c>
      <c r="K54" s="15" t="s">
        <v>688</v>
      </c>
      <c r="L54" s="15">
        <v>0.0</v>
      </c>
      <c r="M54" s="18">
        <v>0.0</v>
      </c>
      <c r="N54" s="15">
        <v>0.0</v>
      </c>
      <c r="O54" s="15">
        <v>0.0</v>
      </c>
      <c r="P54" s="15">
        <v>0.0</v>
      </c>
      <c r="Q54" s="15">
        <v>0.0</v>
      </c>
      <c r="R54" s="15">
        <v>0.0</v>
      </c>
      <c r="S54" s="15">
        <v>0.0</v>
      </c>
      <c r="T54" s="15">
        <v>0.0</v>
      </c>
      <c r="U54" s="15">
        <v>0.0</v>
      </c>
      <c r="V54" s="15">
        <v>0.0</v>
      </c>
      <c r="W54" s="15">
        <v>0.0</v>
      </c>
      <c r="X54" s="15">
        <v>0.0</v>
      </c>
      <c r="Y54" s="15">
        <v>0.0</v>
      </c>
      <c r="Z54" s="15">
        <v>49.0</v>
      </c>
      <c r="AA54" s="15">
        <v>0.0</v>
      </c>
      <c r="AB54" s="15">
        <v>0.0</v>
      </c>
      <c r="AC54" s="15">
        <v>0.0</v>
      </c>
      <c r="AD54" s="15">
        <v>0.0</v>
      </c>
      <c r="AE54" s="15">
        <v>0.0</v>
      </c>
      <c r="AF54" s="15">
        <v>0.0</v>
      </c>
      <c r="AG54" s="15">
        <v>0.0</v>
      </c>
      <c r="AH54" s="15">
        <v>6.0</v>
      </c>
      <c r="AI54" s="15">
        <v>0.0</v>
      </c>
      <c r="AJ54" s="15">
        <v>0.0</v>
      </c>
      <c r="AK54" s="15">
        <v>0.0</v>
      </c>
      <c r="AL54" s="15">
        <v>1.0</v>
      </c>
      <c r="AM54" s="15">
        <v>0.0</v>
      </c>
      <c r="AN54" s="15">
        <v>0.0</v>
      </c>
      <c r="AO54" s="15">
        <v>0.0</v>
      </c>
      <c r="AP54" s="15">
        <v>1.0</v>
      </c>
      <c r="AQ54" s="15">
        <v>3.0</v>
      </c>
      <c r="AR54" s="15">
        <v>78.0</v>
      </c>
      <c r="AS54" s="15">
        <v>3.0</v>
      </c>
      <c r="AT54" s="15">
        <v>0.0</v>
      </c>
      <c r="AU54" s="15">
        <v>0.0</v>
      </c>
      <c r="AV54" s="15">
        <v>20.0</v>
      </c>
      <c r="AW54" s="15">
        <v>11.0</v>
      </c>
      <c r="AX54" s="15">
        <v>2.0</v>
      </c>
      <c r="AY54" s="15">
        <v>50.0</v>
      </c>
      <c r="AZ54" s="15">
        <v>42.0</v>
      </c>
      <c r="BA54" s="15">
        <v>0.0</v>
      </c>
      <c r="BB54" s="15">
        <v>0.0</v>
      </c>
      <c r="BC54" s="15">
        <v>0.0</v>
      </c>
      <c r="BD54" s="15">
        <v>0.0</v>
      </c>
      <c r="BE54" s="15">
        <v>0.0</v>
      </c>
      <c r="BF54" s="15">
        <v>0.0</v>
      </c>
      <c r="BG54" s="18">
        <v>0.0</v>
      </c>
      <c r="BH54" s="12">
        <f t="shared" si="5"/>
        <v>266</v>
      </c>
    </row>
    <row r="55" ht="36.75" customHeight="1">
      <c r="A55" s="26">
        <v>42041.0</v>
      </c>
      <c r="B55" s="18" t="s">
        <v>725</v>
      </c>
      <c r="C55" s="18" t="s">
        <v>726</v>
      </c>
      <c r="D55" s="18" t="s">
        <v>727</v>
      </c>
      <c r="E55" s="18" t="s">
        <v>684</v>
      </c>
      <c r="F55" s="18">
        <v>29.67</v>
      </c>
      <c r="G55" s="18">
        <v>-81.211944</v>
      </c>
      <c r="H55" s="18">
        <v>29.63356</v>
      </c>
      <c r="I55" s="17">
        <v>-8.1197687E7</v>
      </c>
      <c r="J55" s="15" t="s">
        <v>729</v>
      </c>
      <c r="K55" s="15" t="s">
        <v>688</v>
      </c>
      <c r="L55" s="15">
        <v>0.0</v>
      </c>
      <c r="M55" s="18">
        <v>0.0</v>
      </c>
      <c r="N55" s="15">
        <v>0.0</v>
      </c>
      <c r="O55" s="15">
        <v>0.0</v>
      </c>
      <c r="P55" s="15">
        <v>0.0</v>
      </c>
      <c r="Q55" s="15">
        <v>0.0</v>
      </c>
      <c r="R55" s="15">
        <v>0.0</v>
      </c>
      <c r="S55" s="15">
        <v>0.0</v>
      </c>
      <c r="T55" s="15">
        <v>0.0</v>
      </c>
      <c r="U55" s="15">
        <v>0.0</v>
      </c>
      <c r="V55" s="15">
        <v>0.0</v>
      </c>
      <c r="W55" s="15">
        <v>0.0</v>
      </c>
      <c r="X55" s="15">
        <v>0.0</v>
      </c>
      <c r="Y55" s="15">
        <v>1.0</v>
      </c>
      <c r="Z55" s="15">
        <v>5.0</v>
      </c>
      <c r="AA55" s="15">
        <v>0.0</v>
      </c>
      <c r="AB55" s="15">
        <v>0.0</v>
      </c>
      <c r="AC55" s="15">
        <v>0.0</v>
      </c>
      <c r="AD55" s="15">
        <v>0.0</v>
      </c>
      <c r="AE55" s="15">
        <v>0.0</v>
      </c>
      <c r="AF55" s="15">
        <v>0.0</v>
      </c>
      <c r="AG55" s="15">
        <v>0.0</v>
      </c>
      <c r="AH55" s="15">
        <v>2.0</v>
      </c>
      <c r="AI55" s="15">
        <v>0.0</v>
      </c>
      <c r="AJ55" s="15">
        <v>0.0</v>
      </c>
      <c r="AK55" s="15">
        <v>0.0</v>
      </c>
      <c r="AL55" s="15">
        <v>0.0</v>
      </c>
      <c r="AM55" s="15">
        <v>0.0</v>
      </c>
      <c r="AN55" s="15">
        <v>0.0</v>
      </c>
      <c r="AO55" s="15">
        <v>0.0</v>
      </c>
      <c r="AP55" s="15">
        <v>0.0</v>
      </c>
      <c r="AQ55" s="15">
        <v>0.0</v>
      </c>
      <c r="AR55" s="15">
        <v>0.0</v>
      </c>
      <c r="AS55" s="15">
        <v>0.0</v>
      </c>
      <c r="AT55" s="15">
        <v>0.0</v>
      </c>
      <c r="AU55" s="15">
        <v>0.0</v>
      </c>
      <c r="AV55" s="15">
        <v>0.0</v>
      </c>
      <c r="AW55" s="15">
        <v>0.0</v>
      </c>
      <c r="AX55" s="15">
        <v>0.0</v>
      </c>
      <c r="AY55" s="15">
        <v>0.0</v>
      </c>
      <c r="AZ55" s="15">
        <v>0.0</v>
      </c>
      <c r="BA55" s="15">
        <v>0.0</v>
      </c>
      <c r="BB55" s="15">
        <v>0.0</v>
      </c>
      <c r="BC55" s="15">
        <v>0.0</v>
      </c>
      <c r="BD55" s="15">
        <v>0.0</v>
      </c>
      <c r="BE55" s="15">
        <v>0.0</v>
      </c>
      <c r="BF55" s="15">
        <v>0.0</v>
      </c>
      <c r="BG55" s="18">
        <v>0.0</v>
      </c>
      <c r="BH55" s="12">
        <f t="shared" si="5"/>
        <v>8</v>
      </c>
    </row>
    <row r="56" ht="36.75" customHeight="1">
      <c r="A56" s="26">
        <v>42041.0</v>
      </c>
      <c r="B56" s="18" t="s">
        <v>725</v>
      </c>
      <c r="C56" s="18" t="s">
        <v>726</v>
      </c>
      <c r="D56" s="18" t="s">
        <v>744</v>
      </c>
      <c r="E56" s="18" t="s">
        <v>684</v>
      </c>
      <c r="F56" s="18">
        <v>29.628889</v>
      </c>
      <c r="G56" s="18">
        <v>-81.208889</v>
      </c>
      <c r="H56" s="18">
        <v>29.670821</v>
      </c>
      <c r="I56" s="17">
        <v>-81.21539</v>
      </c>
      <c r="J56" s="15" t="s">
        <v>748</v>
      </c>
      <c r="K56" s="15" t="s">
        <v>750</v>
      </c>
      <c r="L56" s="15">
        <v>0.0</v>
      </c>
      <c r="M56" s="18">
        <v>0.0</v>
      </c>
      <c r="N56" s="15">
        <v>0.0</v>
      </c>
      <c r="O56" s="15">
        <v>0.0</v>
      </c>
      <c r="P56" s="15">
        <v>0.0</v>
      </c>
      <c r="Q56" s="15">
        <v>0.0</v>
      </c>
      <c r="R56" s="15">
        <v>0.0</v>
      </c>
      <c r="S56" s="15">
        <v>0.0</v>
      </c>
      <c r="T56" s="15">
        <v>0.0</v>
      </c>
      <c r="U56" s="15">
        <v>0.0</v>
      </c>
      <c r="V56" s="15">
        <v>0.0</v>
      </c>
      <c r="W56" s="15">
        <v>0.0</v>
      </c>
      <c r="X56" s="15">
        <v>0.0</v>
      </c>
      <c r="Y56" s="15">
        <v>1.0</v>
      </c>
      <c r="Z56" s="15">
        <v>3.0</v>
      </c>
      <c r="AA56" s="15">
        <v>0.0</v>
      </c>
      <c r="AB56" s="15">
        <v>0.0</v>
      </c>
      <c r="AC56" s="15">
        <v>0.0</v>
      </c>
      <c r="AD56" s="15">
        <v>0.0</v>
      </c>
      <c r="AE56" s="15">
        <v>0.0</v>
      </c>
      <c r="AF56" s="15">
        <v>0.0</v>
      </c>
      <c r="AG56" s="15">
        <v>0.0</v>
      </c>
      <c r="AH56" s="15">
        <v>0.0</v>
      </c>
      <c r="AI56" s="15">
        <v>0.0</v>
      </c>
      <c r="AJ56" s="15">
        <v>0.0</v>
      </c>
      <c r="AK56" s="15">
        <v>0.0</v>
      </c>
      <c r="AL56" s="15">
        <v>0.0</v>
      </c>
      <c r="AM56" s="15">
        <v>0.0</v>
      </c>
      <c r="AN56" s="15">
        <v>22.0</v>
      </c>
      <c r="AO56" s="15">
        <v>0.0</v>
      </c>
      <c r="AP56" s="15">
        <v>0.0</v>
      </c>
      <c r="AQ56" s="15">
        <v>124.0</v>
      </c>
      <c r="AR56" s="15">
        <v>8.0</v>
      </c>
      <c r="AS56" s="15">
        <v>0.0</v>
      </c>
      <c r="AT56" s="15">
        <v>0.0</v>
      </c>
      <c r="AU56" s="15">
        <v>0.0</v>
      </c>
      <c r="AV56" s="15">
        <v>0.0</v>
      </c>
      <c r="AW56" s="15">
        <v>1.0</v>
      </c>
      <c r="AX56" s="15">
        <v>0.0</v>
      </c>
      <c r="AY56" s="15">
        <v>26.0</v>
      </c>
      <c r="AZ56" s="15">
        <v>5.0</v>
      </c>
      <c r="BA56" s="15">
        <v>0.0</v>
      </c>
      <c r="BB56" s="15">
        <v>0.0</v>
      </c>
      <c r="BC56" s="15">
        <v>0.0</v>
      </c>
      <c r="BD56" s="15">
        <v>0.0</v>
      </c>
      <c r="BE56" s="15">
        <v>0.0</v>
      </c>
      <c r="BF56" s="15">
        <v>0.0</v>
      </c>
      <c r="BG56" s="18">
        <v>0.0</v>
      </c>
      <c r="BH56" s="12">
        <f t="shared" si="5"/>
        <v>190</v>
      </c>
    </row>
    <row r="57" ht="36.75" customHeight="1">
      <c r="A57" s="26">
        <v>42041.0</v>
      </c>
      <c r="B57" s="18" t="s">
        <v>769</v>
      </c>
      <c r="C57" s="18" t="s">
        <v>714</v>
      </c>
      <c r="D57" s="18" t="s">
        <v>771</v>
      </c>
      <c r="E57" s="18" t="s">
        <v>684</v>
      </c>
      <c r="F57" s="18">
        <v>29.475578</v>
      </c>
      <c r="G57" s="18">
        <v>-81.128406</v>
      </c>
      <c r="H57" s="18">
        <v>29.47413</v>
      </c>
      <c r="I57" s="17">
        <v>-81.134704</v>
      </c>
      <c r="J57" s="15" t="s">
        <v>774</v>
      </c>
      <c r="K57" s="15" t="s">
        <v>775</v>
      </c>
      <c r="L57" s="15">
        <v>0.0</v>
      </c>
      <c r="M57" s="18">
        <v>0.0</v>
      </c>
      <c r="N57" s="15">
        <v>0.0</v>
      </c>
      <c r="O57" s="15">
        <v>0.0</v>
      </c>
      <c r="P57" s="15">
        <v>0.0</v>
      </c>
      <c r="Q57" s="15">
        <v>0.0</v>
      </c>
      <c r="R57" s="15">
        <v>0.0</v>
      </c>
      <c r="S57" s="15">
        <v>0.0</v>
      </c>
      <c r="T57" s="15">
        <v>0.0</v>
      </c>
      <c r="U57" s="15">
        <v>0.0</v>
      </c>
      <c r="V57" s="15">
        <v>0.0</v>
      </c>
      <c r="W57" s="15">
        <v>0.0</v>
      </c>
      <c r="X57" s="15">
        <v>0.0</v>
      </c>
      <c r="Y57" s="15">
        <v>0.0</v>
      </c>
      <c r="Z57" s="15">
        <v>0.0</v>
      </c>
      <c r="AA57" s="15">
        <v>0.0</v>
      </c>
      <c r="AB57" s="15">
        <v>0.0</v>
      </c>
      <c r="AC57" s="15">
        <v>0.0</v>
      </c>
      <c r="AD57" s="15">
        <v>0.0</v>
      </c>
      <c r="AE57" s="15">
        <v>0.0</v>
      </c>
      <c r="AF57" s="15">
        <v>0.0</v>
      </c>
      <c r="AG57" s="15">
        <v>0.0</v>
      </c>
      <c r="AH57" s="15">
        <v>0.0</v>
      </c>
      <c r="AI57" s="15">
        <v>0.0</v>
      </c>
      <c r="AJ57" s="15">
        <v>0.0</v>
      </c>
      <c r="AK57" s="15">
        <v>0.0</v>
      </c>
      <c r="AL57" s="15">
        <v>0.0</v>
      </c>
      <c r="AM57" s="15">
        <v>0.0</v>
      </c>
      <c r="AN57" s="15">
        <v>8.0</v>
      </c>
      <c r="AO57" s="15">
        <v>0.0</v>
      </c>
      <c r="AP57" s="15">
        <v>0.0</v>
      </c>
      <c r="AQ57" s="15">
        <v>0.0</v>
      </c>
      <c r="AR57" s="15">
        <v>2.0</v>
      </c>
      <c r="AS57" s="15">
        <v>0.0</v>
      </c>
      <c r="AT57" s="15">
        <v>0.0</v>
      </c>
      <c r="AU57" s="15">
        <v>0.0</v>
      </c>
      <c r="AV57" s="15">
        <v>0.0</v>
      </c>
      <c r="AW57" s="15">
        <v>0.0</v>
      </c>
      <c r="AX57" s="15">
        <v>0.0</v>
      </c>
      <c r="AY57" s="15">
        <v>22.0</v>
      </c>
      <c r="AZ57" s="15">
        <v>1.0</v>
      </c>
      <c r="BA57" s="15">
        <v>0.0</v>
      </c>
      <c r="BB57" s="15">
        <v>0.0</v>
      </c>
      <c r="BC57" s="15">
        <v>0.0</v>
      </c>
      <c r="BD57" s="15">
        <v>0.0</v>
      </c>
      <c r="BE57" s="15">
        <v>0.0</v>
      </c>
      <c r="BF57" s="15">
        <v>0.0</v>
      </c>
      <c r="BG57" s="18">
        <v>0.0</v>
      </c>
      <c r="BH57" s="12">
        <f t="shared" si="5"/>
        <v>33</v>
      </c>
    </row>
    <row r="58" ht="36.75" customHeight="1">
      <c r="A58" s="26">
        <v>42041.0</v>
      </c>
      <c r="B58" s="18" t="s">
        <v>784</v>
      </c>
      <c r="C58" s="18" t="s">
        <v>785</v>
      </c>
      <c r="D58" s="18" t="s">
        <v>786</v>
      </c>
      <c r="E58" s="18" t="s">
        <v>684</v>
      </c>
      <c r="F58" s="18">
        <v>29.437107</v>
      </c>
      <c r="G58" s="18">
        <v>-81.109754</v>
      </c>
      <c r="H58" s="18">
        <v>29.437107</v>
      </c>
      <c r="I58" s="17">
        <v>-81.109754</v>
      </c>
      <c r="J58" s="15" t="s">
        <v>787</v>
      </c>
      <c r="K58" s="15" t="s">
        <v>788</v>
      </c>
      <c r="L58" s="15">
        <v>0.0</v>
      </c>
      <c r="M58" s="18">
        <v>0.0</v>
      </c>
      <c r="N58" s="15">
        <v>0.0</v>
      </c>
      <c r="O58" s="15">
        <v>0.0</v>
      </c>
      <c r="P58" s="15">
        <v>0.0</v>
      </c>
      <c r="Q58" s="15">
        <v>0.0</v>
      </c>
      <c r="R58" s="15">
        <v>0.0</v>
      </c>
      <c r="S58" s="15">
        <v>0.0</v>
      </c>
      <c r="T58" s="15">
        <v>0.0</v>
      </c>
      <c r="U58" s="15">
        <v>0.0</v>
      </c>
      <c r="V58" s="15">
        <v>0.0</v>
      </c>
      <c r="W58" s="15">
        <v>0.0</v>
      </c>
      <c r="X58" s="15">
        <v>0.0</v>
      </c>
      <c r="Y58" s="15">
        <v>0.0</v>
      </c>
      <c r="Z58" s="15">
        <v>0.0</v>
      </c>
      <c r="AA58" s="15">
        <v>0.0</v>
      </c>
      <c r="AB58" s="15">
        <v>0.0</v>
      </c>
      <c r="AC58" s="15">
        <v>0.0</v>
      </c>
      <c r="AD58" s="15">
        <v>0.0</v>
      </c>
      <c r="AE58" s="15">
        <v>0.0</v>
      </c>
      <c r="AF58" s="15">
        <v>0.0</v>
      </c>
      <c r="AG58" s="15">
        <v>0.0</v>
      </c>
      <c r="AH58" s="15">
        <v>0.0</v>
      </c>
      <c r="AI58" s="15">
        <v>0.0</v>
      </c>
      <c r="AJ58" s="15">
        <v>0.0</v>
      </c>
      <c r="AK58" s="15">
        <v>0.0</v>
      </c>
      <c r="AL58" s="15">
        <v>0.0</v>
      </c>
      <c r="AM58" s="15">
        <v>0.0</v>
      </c>
      <c r="AN58" s="15">
        <v>0.0</v>
      </c>
      <c r="AO58" s="15">
        <v>0.0</v>
      </c>
      <c r="AP58" s="15">
        <v>0.0</v>
      </c>
      <c r="AQ58" s="15">
        <v>0.0</v>
      </c>
      <c r="AR58" s="15">
        <v>0.0</v>
      </c>
      <c r="AS58" s="15">
        <v>0.0</v>
      </c>
      <c r="AT58" s="15">
        <v>0.0</v>
      </c>
      <c r="AU58" s="15">
        <v>0.0</v>
      </c>
      <c r="AV58" s="15">
        <v>0.0</v>
      </c>
      <c r="AW58" s="15">
        <v>0.0</v>
      </c>
      <c r="AX58" s="15">
        <v>0.0</v>
      </c>
      <c r="AY58" s="15">
        <v>3.0</v>
      </c>
      <c r="AZ58" s="15">
        <v>1.0</v>
      </c>
      <c r="BA58" s="15">
        <v>0.0</v>
      </c>
      <c r="BB58" s="15">
        <v>0.0</v>
      </c>
      <c r="BC58" s="15">
        <v>0.0</v>
      </c>
      <c r="BD58" s="15">
        <v>0.0</v>
      </c>
      <c r="BE58" s="15">
        <v>0.0</v>
      </c>
      <c r="BF58" s="15">
        <v>0.0</v>
      </c>
      <c r="BG58" s="18">
        <v>0.0</v>
      </c>
      <c r="BH58" s="12">
        <f t="shared" si="5"/>
        <v>4</v>
      </c>
    </row>
    <row r="59" ht="36.75" customHeight="1">
      <c r="A59" s="26">
        <v>42041.0</v>
      </c>
      <c r="B59" s="18" t="s">
        <v>784</v>
      </c>
      <c r="C59" s="18" t="s">
        <v>785</v>
      </c>
      <c r="D59" s="18" t="s">
        <v>805</v>
      </c>
      <c r="E59" s="18" t="s">
        <v>684</v>
      </c>
      <c r="F59" s="18">
        <v>29.442312</v>
      </c>
      <c r="G59" s="18">
        <v>-81.108901</v>
      </c>
      <c r="H59" s="18">
        <v>29.427198</v>
      </c>
      <c r="I59" s="17">
        <v>-81.102115</v>
      </c>
      <c r="J59" s="15" t="s">
        <v>807</v>
      </c>
      <c r="K59" s="15" t="s">
        <v>808</v>
      </c>
      <c r="L59" s="15">
        <v>0.0</v>
      </c>
      <c r="M59" s="18">
        <v>0.0</v>
      </c>
      <c r="N59" s="15">
        <v>0.0</v>
      </c>
      <c r="O59" s="15">
        <v>0.0</v>
      </c>
      <c r="P59" s="15">
        <v>0.0</v>
      </c>
      <c r="Q59" s="15">
        <v>0.0</v>
      </c>
      <c r="R59" s="15">
        <v>0.0</v>
      </c>
      <c r="S59" s="15">
        <v>0.0</v>
      </c>
      <c r="T59" s="15">
        <v>0.0</v>
      </c>
      <c r="U59" s="15">
        <v>0.0</v>
      </c>
      <c r="V59" s="15">
        <v>0.0</v>
      </c>
      <c r="W59" s="15">
        <v>0.0</v>
      </c>
      <c r="X59" s="15">
        <v>0.0</v>
      </c>
      <c r="Y59" s="15">
        <v>2.0</v>
      </c>
      <c r="Z59" s="15">
        <v>2.0</v>
      </c>
      <c r="AA59" s="15">
        <v>0.0</v>
      </c>
      <c r="AB59" s="15">
        <v>0.0</v>
      </c>
      <c r="AC59" s="15">
        <v>0.0</v>
      </c>
      <c r="AD59" s="15">
        <v>0.0</v>
      </c>
      <c r="AE59" s="15">
        <v>0.0</v>
      </c>
      <c r="AF59" s="15">
        <v>0.0</v>
      </c>
      <c r="AG59" s="15">
        <v>0.0</v>
      </c>
      <c r="AH59" s="15">
        <v>5.0</v>
      </c>
      <c r="AI59" s="15">
        <v>0.0</v>
      </c>
      <c r="AJ59" s="15">
        <v>0.0</v>
      </c>
      <c r="AK59" s="15">
        <v>0.0</v>
      </c>
      <c r="AL59" s="15">
        <v>0.0</v>
      </c>
      <c r="AM59" s="15">
        <v>0.0</v>
      </c>
      <c r="AN59" s="15">
        <v>0.0</v>
      </c>
      <c r="AO59" s="15">
        <v>0.0</v>
      </c>
      <c r="AP59" s="15">
        <v>0.0</v>
      </c>
      <c r="AQ59" s="15">
        <v>0.0</v>
      </c>
      <c r="AR59" s="15">
        <v>10.0</v>
      </c>
      <c r="AS59" s="15">
        <v>0.0</v>
      </c>
      <c r="AT59" s="15">
        <v>0.0</v>
      </c>
      <c r="AU59" s="15">
        <v>1.0</v>
      </c>
      <c r="AV59" s="15">
        <v>1.0</v>
      </c>
      <c r="AW59" s="15">
        <v>0.0</v>
      </c>
      <c r="AX59" s="15">
        <v>0.0</v>
      </c>
      <c r="AY59" s="15">
        <v>12.0</v>
      </c>
      <c r="AZ59" s="15">
        <v>2.0</v>
      </c>
      <c r="BA59" s="15">
        <v>0.0</v>
      </c>
      <c r="BB59" s="15">
        <v>0.0</v>
      </c>
      <c r="BC59" s="15">
        <v>0.0</v>
      </c>
      <c r="BD59" s="15">
        <v>0.0</v>
      </c>
      <c r="BE59" s="15">
        <v>0.0</v>
      </c>
      <c r="BF59" s="15">
        <v>0.0</v>
      </c>
      <c r="BG59" s="18">
        <v>0.0</v>
      </c>
      <c r="BH59" s="12">
        <f t="shared" si="5"/>
        <v>35</v>
      </c>
    </row>
    <row r="60" ht="36.75" customHeight="1">
      <c r="A60" s="24">
        <v>42041.0</v>
      </c>
      <c r="B60" s="18" t="s">
        <v>618</v>
      </c>
      <c r="C60" s="18" t="s">
        <v>218</v>
      </c>
      <c r="D60" s="18" t="s">
        <v>818</v>
      </c>
      <c r="E60" s="18" t="s">
        <v>119</v>
      </c>
      <c r="F60" s="16">
        <v>29.61365</v>
      </c>
      <c r="G60" s="16">
        <v>-84.96041</v>
      </c>
      <c r="H60" s="16">
        <v>29.62661</v>
      </c>
      <c r="I60" s="17">
        <v>-85.09583</v>
      </c>
      <c r="J60" s="15" t="s">
        <v>819</v>
      </c>
      <c r="K60" s="15" t="s">
        <v>820</v>
      </c>
      <c r="L60" s="15">
        <v>2.0</v>
      </c>
      <c r="N60" s="15">
        <v>6.0</v>
      </c>
      <c r="O60" s="18">
        <v>21.0</v>
      </c>
      <c r="P60" s="22"/>
      <c r="Q60" s="15">
        <v>1.0</v>
      </c>
      <c r="X60" s="15">
        <v>9.0</v>
      </c>
      <c r="Y60" s="15">
        <v>11.0</v>
      </c>
      <c r="Z60" s="15">
        <v>66.0</v>
      </c>
      <c r="AA60" s="15">
        <v>1.0</v>
      </c>
      <c r="AD60" s="15">
        <v>24.0</v>
      </c>
      <c r="AH60" s="15">
        <v>80.0</v>
      </c>
      <c r="AK60" s="15">
        <v>14.0</v>
      </c>
      <c r="AL60" s="15">
        <v>19.0</v>
      </c>
      <c r="AN60" s="15">
        <v>2.0</v>
      </c>
      <c r="AQ60" s="15">
        <v>219.0</v>
      </c>
      <c r="AR60" s="15">
        <v>31.0</v>
      </c>
      <c r="AV60" s="15">
        <v>1.0</v>
      </c>
      <c r="AW60" s="15">
        <v>461.0</v>
      </c>
      <c r="AY60" s="15">
        <v>40.0</v>
      </c>
      <c r="AZ60" s="18">
        <v>154.0</v>
      </c>
      <c r="BB60" s="22"/>
      <c r="BH60" s="12">
        <f t="shared" si="5"/>
        <v>1162</v>
      </c>
    </row>
    <row r="61" ht="36.75" customHeight="1">
      <c r="A61" s="24">
        <v>42041.0</v>
      </c>
      <c r="B61" s="18" t="s">
        <v>618</v>
      </c>
      <c r="C61" s="18" t="s">
        <v>218</v>
      </c>
      <c r="D61" s="18" t="s">
        <v>825</v>
      </c>
      <c r="E61" s="18" t="s">
        <v>119</v>
      </c>
      <c r="F61" s="16">
        <v>29.68745</v>
      </c>
      <c r="G61" s="16">
        <v>-84.87695</v>
      </c>
      <c r="H61" s="16">
        <v>29.70331</v>
      </c>
      <c r="I61" s="17">
        <v>-84.88688</v>
      </c>
      <c r="J61" s="15" t="s">
        <v>826</v>
      </c>
      <c r="K61" s="15" t="s">
        <v>827</v>
      </c>
      <c r="L61" s="22"/>
      <c r="M61" s="22"/>
      <c r="N61" s="22"/>
      <c r="O61" s="22"/>
      <c r="P61" s="22"/>
      <c r="Q61" s="22"/>
      <c r="R61" s="22"/>
      <c r="S61" s="22"/>
      <c r="T61" s="22"/>
      <c r="U61" s="22"/>
      <c r="V61" s="22"/>
      <c r="W61" s="22"/>
      <c r="X61" s="22"/>
      <c r="Y61" s="22"/>
      <c r="Z61" s="22"/>
      <c r="AA61" s="22"/>
      <c r="AB61" s="22"/>
      <c r="AC61" s="22"/>
      <c r="AD61" s="22"/>
      <c r="AE61" s="18">
        <v>5.0</v>
      </c>
      <c r="AF61" s="22"/>
      <c r="AG61" s="22"/>
      <c r="AH61" s="22"/>
      <c r="AI61" s="22"/>
      <c r="AJ61" s="22"/>
      <c r="AK61" s="22"/>
      <c r="AL61" s="22"/>
      <c r="AM61" s="22"/>
      <c r="AN61" s="18">
        <v>127.0</v>
      </c>
      <c r="AO61" s="22"/>
      <c r="AP61" s="22"/>
      <c r="AQ61" s="18">
        <v>3.0</v>
      </c>
      <c r="AR61" s="22"/>
      <c r="AS61" s="22"/>
      <c r="AT61" s="22"/>
      <c r="AU61" s="22"/>
      <c r="AV61" s="22"/>
      <c r="AW61" s="22"/>
      <c r="AX61" s="22"/>
      <c r="AY61" s="18">
        <v>1.0</v>
      </c>
      <c r="AZ61" s="22"/>
      <c r="BA61" s="22"/>
      <c r="BB61" s="22"/>
      <c r="BC61" s="22"/>
      <c r="BD61" s="22"/>
      <c r="BE61" s="22"/>
      <c r="BF61" s="22"/>
      <c r="BH61" s="12">
        <f t="shared" si="5"/>
        <v>136</v>
      </c>
    </row>
    <row r="62" ht="36.75" customHeight="1">
      <c r="A62" s="24">
        <v>42042.0</v>
      </c>
      <c r="B62" s="18" t="s">
        <v>335</v>
      </c>
      <c r="C62" s="18" t="s">
        <v>104</v>
      </c>
      <c r="D62" s="18" t="s">
        <v>336</v>
      </c>
      <c r="E62" s="18" t="s">
        <v>119</v>
      </c>
      <c r="F62" s="16">
        <v>29.90457</v>
      </c>
      <c r="G62" s="16">
        <v>-84.4242</v>
      </c>
      <c r="H62" s="16">
        <v>29.91896</v>
      </c>
      <c r="I62" s="17">
        <v>-84.4412</v>
      </c>
      <c r="J62" s="15" t="s">
        <v>831</v>
      </c>
      <c r="K62" s="15" t="s">
        <v>832</v>
      </c>
      <c r="L62" s="15">
        <v>4.0</v>
      </c>
      <c r="M62" s="15">
        <v>0.0</v>
      </c>
      <c r="N62" s="15">
        <v>26.0</v>
      </c>
      <c r="O62" s="15">
        <v>145.0</v>
      </c>
      <c r="P62" s="15">
        <v>0.0</v>
      </c>
      <c r="Q62" s="15">
        <v>0.0</v>
      </c>
      <c r="R62" s="15">
        <v>0.0</v>
      </c>
      <c r="S62" s="15">
        <v>0.0</v>
      </c>
      <c r="T62" s="15">
        <v>0.0</v>
      </c>
      <c r="U62" s="15">
        <v>0.0</v>
      </c>
      <c r="V62" s="15">
        <v>0.0</v>
      </c>
      <c r="W62" s="15">
        <v>11.0</v>
      </c>
      <c r="X62" s="15">
        <v>46.0</v>
      </c>
      <c r="Y62" s="15">
        <v>9.0</v>
      </c>
      <c r="Z62" s="15">
        <v>282.0</v>
      </c>
      <c r="AA62" s="15">
        <v>0.0</v>
      </c>
      <c r="AB62" s="15">
        <v>0.0</v>
      </c>
      <c r="AC62" s="15">
        <v>1.0</v>
      </c>
      <c r="AD62" s="15">
        <v>17.0</v>
      </c>
      <c r="AE62" s="15">
        <v>0.0</v>
      </c>
      <c r="AF62" s="15">
        <v>0.0</v>
      </c>
      <c r="AG62" s="15">
        <v>0.0</v>
      </c>
      <c r="AH62" s="15">
        <v>29.0</v>
      </c>
      <c r="AI62" s="15">
        <v>0.0</v>
      </c>
      <c r="AJ62" s="15">
        <v>0.0</v>
      </c>
      <c r="AK62" s="15">
        <v>0.0</v>
      </c>
      <c r="AL62" s="15">
        <v>2.0</v>
      </c>
      <c r="AM62" s="15">
        <v>0.0</v>
      </c>
      <c r="AN62" s="15">
        <v>2.0</v>
      </c>
      <c r="AO62" s="15">
        <v>3.0</v>
      </c>
      <c r="AP62" s="15">
        <v>0.0</v>
      </c>
      <c r="AQ62" s="15">
        <v>0.0</v>
      </c>
      <c r="AR62" s="15">
        <v>5.0</v>
      </c>
      <c r="AS62" s="15">
        <v>0.0</v>
      </c>
      <c r="AT62" s="15">
        <v>0.0</v>
      </c>
      <c r="AU62" s="15">
        <v>0.0</v>
      </c>
      <c r="AV62" s="15">
        <v>4.0</v>
      </c>
      <c r="AW62" s="15">
        <v>0.0</v>
      </c>
      <c r="AX62" s="15">
        <v>0.0</v>
      </c>
      <c r="AY62" s="15">
        <v>75.0</v>
      </c>
      <c r="AZ62" s="15">
        <v>2.0</v>
      </c>
      <c r="BA62" s="15">
        <v>0.0</v>
      </c>
      <c r="BB62" s="15">
        <v>0.0</v>
      </c>
      <c r="BC62" s="15">
        <v>0.0</v>
      </c>
      <c r="BD62" s="15">
        <v>0.0</v>
      </c>
      <c r="BE62" s="15">
        <v>0.0</v>
      </c>
      <c r="BF62" s="15">
        <v>0.0</v>
      </c>
      <c r="BH62" s="12">
        <f t="shared" si="5"/>
        <v>663</v>
      </c>
    </row>
    <row r="63" ht="36.75" customHeight="1">
      <c r="A63" s="14">
        <v>42042.0</v>
      </c>
      <c r="B63" s="15" t="s">
        <v>132</v>
      </c>
      <c r="C63" s="15" t="s">
        <v>134</v>
      </c>
      <c r="D63" s="15" t="s">
        <v>846</v>
      </c>
      <c r="E63" s="15" t="s">
        <v>119</v>
      </c>
      <c r="F63" s="15">
        <v>29.93198</v>
      </c>
      <c r="G63" s="15">
        <v>-84.33457</v>
      </c>
      <c r="H63" s="15">
        <v>29.94804</v>
      </c>
      <c r="I63" s="17">
        <v>-84.34049</v>
      </c>
      <c r="J63" s="15" t="s">
        <v>850</v>
      </c>
      <c r="K63" s="15" t="s">
        <v>851</v>
      </c>
      <c r="L63" s="15">
        <v>0.0</v>
      </c>
      <c r="M63" s="15">
        <v>0.0</v>
      </c>
      <c r="N63" s="15">
        <v>0.0</v>
      </c>
      <c r="O63" s="15">
        <v>0.0</v>
      </c>
      <c r="P63" s="15">
        <v>0.0</v>
      </c>
      <c r="Q63" s="15">
        <v>0.0</v>
      </c>
      <c r="R63" s="15">
        <v>0.0</v>
      </c>
      <c r="S63" s="15">
        <v>0.0</v>
      </c>
      <c r="T63" s="15">
        <v>0.0</v>
      </c>
      <c r="U63" s="15">
        <v>0.0</v>
      </c>
      <c r="V63" s="15">
        <v>0.0</v>
      </c>
      <c r="W63" s="15">
        <v>0.0</v>
      </c>
      <c r="X63" s="15">
        <v>0.0</v>
      </c>
      <c r="Y63" s="15">
        <v>0.0</v>
      </c>
      <c r="Z63" s="15">
        <v>0.0</v>
      </c>
      <c r="AA63" s="15">
        <v>0.0</v>
      </c>
      <c r="AB63" s="15">
        <v>0.0</v>
      </c>
      <c r="AC63" s="15">
        <v>0.0</v>
      </c>
      <c r="AD63" s="15">
        <v>0.0</v>
      </c>
      <c r="AE63" s="15">
        <v>0.0</v>
      </c>
      <c r="AF63" s="15">
        <v>0.0</v>
      </c>
      <c r="AG63" s="15">
        <v>0.0</v>
      </c>
      <c r="AH63" s="15">
        <v>5.0</v>
      </c>
      <c r="AI63" s="15">
        <v>0.0</v>
      </c>
      <c r="AJ63" s="15">
        <v>0.0</v>
      </c>
      <c r="AK63" s="15">
        <v>0.0</v>
      </c>
      <c r="AL63" s="15">
        <v>0.0</v>
      </c>
      <c r="AM63" s="15">
        <v>0.0</v>
      </c>
      <c r="AN63" s="15">
        <v>1.0</v>
      </c>
      <c r="AO63" s="15">
        <v>0.0</v>
      </c>
      <c r="AP63" s="15">
        <v>0.0</v>
      </c>
      <c r="AQ63" s="15">
        <v>1.0</v>
      </c>
      <c r="AR63" s="15">
        <v>0.0</v>
      </c>
      <c r="AS63" s="15">
        <v>0.0</v>
      </c>
      <c r="AT63" s="15">
        <v>0.0</v>
      </c>
      <c r="AU63" s="15">
        <v>0.0</v>
      </c>
      <c r="AV63" s="15">
        <v>1.0</v>
      </c>
      <c r="AW63" s="15">
        <v>0.0</v>
      </c>
      <c r="AX63" s="15">
        <v>0.0</v>
      </c>
      <c r="AY63" s="15">
        <v>5.0</v>
      </c>
      <c r="AZ63" s="15">
        <v>0.0</v>
      </c>
      <c r="BA63" s="15">
        <v>0.0</v>
      </c>
      <c r="BB63" s="15">
        <v>0.0</v>
      </c>
      <c r="BC63" s="15">
        <v>0.0</v>
      </c>
      <c r="BD63" s="15">
        <v>0.0</v>
      </c>
      <c r="BE63" s="15">
        <v>0.0</v>
      </c>
      <c r="BF63" s="15">
        <v>0.0</v>
      </c>
      <c r="BH63" s="12">
        <f t="shared" si="5"/>
        <v>13</v>
      </c>
      <c r="BI63" s="15" t="s">
        <v>860</v>
      </c>
    </row>
    <row r="64" ht="36.75" customHeight="1">
      <c r="A64" s="14">
        <v>42042.0</v>
      </c>
      <c r="B64" s="18" t="s">
        <v>125</v>
      </c>
      <c r="C64" s="18" t="s">
        <v>75</v>
      </c>
      <c r="D64" s="18" t="s">
        <v>126</v>
      </c>
      <c r="E64" s="15" t="s">
        <v>119</v>
      </c>
      <c r="F64" s="16">
        <v>29.82862</v>
      </c>
      <c r="G64" s="16">
        <v>-84.69309</v>
      </c>
      <c r="H64" s="16">
        <v>29.8319</v>
      </c>
      <c r="I64" s="17">
        <v>-84.6747</v>
      </c>
      <c r="J64" s="15" t="s">
        <v>864</v>
      </c>
      <c r="K64" s="15" t="s">
        <v>867</v>
      </c>
      <c r="L64" s="15">
        <v>8.0</v>
      </c>
      <c r="O64" s="15">
        <v>7.0</v>
      </c>
      <c r="P64" s="15">
        <v>1.0</v>
      </c>
      <c r="Z64" s="15">
        <v>13.0</v>
      </c>
      <c r="AH64" s="15">
        <v>20.0</v>
      </c>
      <c r="AK64" s="15">
        <v>6.0</v>
      </c>
      <c r="AR64" s="15">
        <v>24.0</v>
      </c>
      <c r="AV64" s="15">
        <v>1.0</v>
      </c>
      <c r="AY64" s="15">
        <v>8.0</v>
      </c>
      <c r="AZ64" s="15">
        <v>1.0</v>
      </c>
      <c r="BH64" s="12">
        <f t="shared" si="5"/>
        <v>89</v>
      </c>
      <c r="BI64" s="15" t="s">
        <v>874</v>
      </c>
    </row>
    <row r="65" ht="36.75" customHeight="1">
      <c r="A65" s="26">
        <v>42043.0</v>
      </c>
      <c r="B65" s="18" t="s">
        <v>877</v>
      </c>
      <c r="C65" s="18" t="s">
        <v>878</v>
      </c>
      <c r="D65" s="18" t="s">
        <v>879</v>
      </c>
      <c r="E65" s="18" t="s">
        <v>119</v>
      </c>
      <c r="F65" s="18">
        <v>29.553491</v>
      </c>
      <c r="G65" s="18">
        <v>-84.261217</v>
      </c>
      <c r="H65" s="18">
        <v>29.550032</v>
      </c>
      <c r="I65" s="16">
        <v>-84.285627</v>
      </c>
      <c r="J65" s="20" t="s">
        <v>882</v>
      </c>
      <c r="K65" s="15" t="s">
        <v>883</v>
      </c>
      <c r="L65" s="15">
        <v>2.0</v>
      </c>
      <c r="M65" s="22"/>
      <c r="N65" s="15">
        <v>31.0</v>
      </c>
      <c r="O65" s="18">
        <v>188.0</v>
      </c>
      <c r="P65" s="22"/>
      <c r="S65" s="15">
        <v>123.0</v>
      </c>
      <c r="V65" s="15">
        <v>14.0</v>
      </c>
      <c r="X65" s="15">
        <v>8.0</v>
      </c>
      <c r="Y65" s="15">
        <v>5.0</v>
      </c>
      <c r="Z65" s="15">
        <v>11.0</v>
      </c>
      <c r="AA65" s="15">
        <v>44.0</v>
      </c>
      <c r="AH65" s="15">
        <v>81.0</v>
      </c>
      <c r="AN65" s="15">
        <v>4.0</v>
      </c>
      <c r="AQ65" s="15">
        <v>79.0</v>
      </c>
      <c r="AR65" s="15">
        <v>3.0</v>
      </c>
      <c r="AV65" s="15">
        <v>2.0</v>
      </c>
      <c r="AW65" s="15">
        <v>2.0</v>
      </c>
      <c r="AY65" s="15">
        <v>78.0</v>
      </c>
      <c r="AZ65" s="22"/>
      <c r="BB65" s="22"/>
      <c r="BH65" s="12">
        <f t="shared" si="5"/>
        <v>675</v>
      </c>
    </row>
    <row r="66" ht="36.75" customHeight="1">
      <c r="A66" s="24">
        <v>42046.0</v>
      </c>
      <c r="B66" s="15" t="s">
        <v>500</v>
      </c>
      <c r="C66" s="15" t="s">
        <v>501</v>
      </c>
      <c r="D66" s="18" t="s">
        <v>502</v>
      </c>
      <c r="E66" s="18" t="s">
        <v>119</v>
      </c>
      <c r="F66" s="16">
        <v>29.68117</v>
      </c>
      <c r="G66" s="16">
        <v>-85.21696</v>
      </c>
      <c r="H66" s="16">
        <v>29.67376</v>
      </c>
      <c r="I66" s="17">
        <v>-85.07497</v>
      </c>
      <c r="J66" s="15" t="s">
        <v>888</v>
      </c>
      <c r="K66" s="15" t="s">
        <v>889</v>
      </c>
      <c r="L66" s="15">
        <v>2.0</v>
      </c>
      <c r="M66" s="15">
        <v>0.0</v>
      </c>
      <c r="N66" s="15">
        <v>12.0</v>
      </c>
      <c r="O66" s="15">
        <v>11.0</v>
      </c>
      <c r="P66" s="15">
        <v>2.0</v>
      </c>
      <c r="Q66" s="15">
        <v>0.0</v>
      </c>
      <c r="R66" s="15">
        <v>0.0</v>
      </c>
      <c r="S66" s="15">
        <v>0.0</v>
      </c>
      <c r="T66" s="15">
        <v>0.0</v>
      </c>
      <c r="U66" s="15">
        <v>0.0</v>
      </c>
      <c r="V66" s="15">
        <v>0.0</v>
      </c>
      <c r="W66" s="15">
        <v>8.0</v>
      </c>
      <c r="X66" s="15">
        <v>152.0</v>
      </c>
      <c r="Y66" s="15">
        <v>16.0</v>
      </c>
      <c r="Z66" s="15">
        <v>64.0</v>
      </c>
      <c r="AA66" s="15">
        <v>2.0</v>
      </c>
      <c r="AB66" s="15">
        <v>0.0</v>
      </c>
      <c r="AC66" s="15">
        <v>0.0</v>
      </c>
      <c r="AD66" s="15">
        <v>19.0</v>
      </c>
      <c r="AE66" s="15">
        <v>1.0</v>
      </c>
      <c r="AF66" s="15">
        <v>0.0</v>
      </c>
      <c r="AG66" s="15">
        <v>0.0</v>
      </c>
      <c r="AH66" s="15">
        <v>131.0</v>
      </c>
      <c r="AI66" s="15">
        <v>0.0</v>
      </c>
      <c r="AJ66" s="15">
        <v>0.0</v>
      </c>
      <c r="AK66" s="15">
        <v>25.0</v>
      </c>
      <c r="AL66" s="15">
        <v>32.0</v>
      </c>
      <c r="AM66" s="15">
        <v>0.0</v>
      </c>
      <c r="AN66" s="15">
        <v>12.0</v>
      </c>
      <c r="AO66" s="15">
        <v>0.0</v>
      </c>
      <c r="AP66" s="15">
        <v>0.0</v>
      </c>
      <c r="AQ66" s="15">
        <v>111.0</v>
      </c>
      <c r="AR66" s="15">
        <v>47.0</v>
      </c>
      <c r="AS66" s="15">
        <v>0.0</v>
      </c>
      <c r="AT66" s="15">
        <v>0.0</v>
      </c>
      <c r="AU66" s="15">
        <v>0.0</v>
      </c>
      <c r="AV66" s="15">
        <v>0.0</v>
      </c>
      <c r="AW66" s="15">
        <v>28.0</v>
      </c>
      <c r="AX66" s="15">
        <v>0.0</v>
      </c>
      <c r="AY66" s="15">
        <v>33.0</v>
      </c>
      <c r="AZ66" s="15">
        <v>12.0</v>
      </c>
      <c r="BA66" s="15">
        <v>0.0</v>
      </c>
      <c r="BB66" s="15">
        <v>0.0</v>
      </c>
      <c r="BC66" s="15">
        <v>11.0</v>
      </c>
      <c r="BD66" s="15">
        <v>0.0</v>
      </c>
      <c r="BE66" s="15">
        <v>0.0</v>
      </c>
      <c r="BF66" s="15">
        <v>0.0</v>
      </c>
      <c r="BH66" s="12">
        <f t="shared" si="5"/>
        <v>731</v>
      </c>
    </row>
    <row r="67" ht="36.75" customHeight="1">
      <c r="A67" s="14">
        <v>42046.0</v>
      </c>
      <c r="B67" s="18" t="s">
        <v>895</v>
      </c>
      <c r="C67" s="18" t="s">
        <v>896</v>
      </c>
      <c r="D67" s="18" t="s">
        <v>897</v>
      </c>
      <c r="E67" s="18" t="s">
        <v>119</v>
      </c>
      <c r="F67" s="16">
        <v>29.83853</v>
      </c>
      <c r="G67" s="16">
        <v>-84.66152</v>
      </c>
      <c r="H67" s="16">
        <v>29.839127</v>
      </c>
      <c r="I67" s="17">
        <v>-84.65712</v>
      </c>
      <c r="J67" s="15" t="s">
        <v>898</v>
      </c>
      <c r="K67" s="15" t="s">
        <v>899</v>
      </c>
      <c r="L67" s="15">
        <v>2.0</v>
      </c>
      <c r="M67" s="18">
        <v>0.0</v>
      </c>
      <c r="N67" s="15">
        <v>10.0</v>
      </c>
      <c r="O67" s="18">
        <v>46.0</v>
      </c>
      <c r="P67" s="15">
        <v>5.0</v>
      </c>
      <c r="Q67" s="15">
        <v>1.0</v>
      </c>
      <c r="R67" s="15">
        <v>0.0</v>
      </c>
      <c r="S67" s="15">
        <v>7.0</v>
      </c>
      <c r="T67" s="15">
        <v>0.0</v>
      </c>
      <c r="U67" s="15">
        <v>0.0</v>
      </c>
      <c r="V67" s="15">
        <v>0.0</v>
      </c>
      <c r="W67" s="18">
        <v>0.0</v>
      </c>
      <c r="X67" s="18">
        <v>0.0</v>
      </c>
      <c r="Y67" s="18">
        <v>0.0</v>
      </c>
      <c r="Z67" s="15">
        <v>10.0</v>
      </c>
      <c r="AA67" s="15">
        <v>3.0</v>
      </c>
      <c r="AB67" s="18">
        <v>0.0</v>
      </c>
      <c r="AC67" s="18">
        <v>0.0</v>
      </c>
      <c r="AD67" s="18">
        <v>0.0</v>
      </c>
      <c r="AE67" s="18">
        <v>0.0</v>
      </c>
      <c r="AF67" s="18">
        <v>0.0</v>
      </c>
      <c r="AG67" s="18">
        <v>0.0</v>
      </c>
      <c r="AH67" s="18">
        <v>43.0</v>
      </c>
      <c r="AI67" s="18">
        <v>0.0</v>
      </c>
      <c r="AJ67" s="18">
        <v>0.0</v>
      </c>
      <c r="AK67" s="18">
        <v>0.0</v>
      </c>
      <c r="AL67" s="18">
        <v>2.0</v>
      </c>
      <c r="AM67" s="18">
        <v>0.0</v>
      </c>
      <c r="AN67" s="18">
        <v>6.0</v>
      </c>
      <c r="AO67" s="18">
        <v>0.0</v>
      </c>
      <c r="AP67" s="18">
        <v>0.0</v>
      </c>
      <c r="AQ67" s="18">
        <v>63.0</v>
      </c>
      <c r="AR67" s="18">
        <v>11.0</v>
      </c>
      <c r="AS67" s="18">
        <v>0.0</v>
      </c>
      <c r="AT67" s="18">
        <v>0.0</v>
      </c>
      <c r="AU67" s="18">
        <v>0.0</v>
      </c>
      <c r="AV67" s="18">
        <v>2.0</v>
      </c>
      <c r="AW67" s="18">
        <v>2.0</v>
      </c>
      <c r="AX67" s="18">
        <v>0.0</v>
      </c>
      <c r="AY67" s="15">
        <v>20.0</v>
      </c>
      <c r="AZ67" s="18">
        <v>1.0</v>
      </c>
      <c r="BA67" s="15">
        <v>0.0</v>
      </c>
      <c r="BB67" s="18">
        <v>0.0</v>
      </c>
      <c r="BC67" s="15">
        <v>0.0</v>
      </c>
      <c r="BD67" s="18">
        <v>0.0</v>
      </c>
      <c r="BE67" s="18">
        <v>0.0</v>
      </c>
      <c r="BF67" s="18">
        <v>0.0</v>
      </c>
      <c r="BH67" s="12">
        <f t="shared" si="5"/>
        <v>234</v>
      </c>
    </row>
    <row r="68" ht="36.75" customHeight="1">
      <c r="A68" s="14">
        <v>42046.0</v>
      </c>
      <c r="B68" s="18" t="s">
        <v>895</v>
      </c>
      <c r="C68" s="18" t="s">
        <v>896</v>
      </c>
      <c r="D68" s="18" t="s">
        <v>905</v>
      </c>
      <c r="E68" s="18" t="s">
        <v>119</v>
      </c>
      <c r="F68" s="16">
        <v>29.91189</v>
      </c>
      <c r="G68" s="16">
        <v>-84.36762</v>
      </c>
      <c r="H68" s="16">
        <v>29.9164</v>
      </c>
      <c r="I68" s="17">
        <v>-84.39169</v>
      </c>
      <c r="J68" s="15" t="s">
        <v>906</v>
      </c>
      <c r="K68" s="15" t="s">
        <v>907</v>
      </c>
      <c r="L68" s="15">
        <v>6.0</v>
      </c>
      <c r="M68" s="15">
        <v>0.0</v>
      </c>
      <c r="N68" s="15">
        <v>0.0</v>
      </c>
      <c r="O68" s="15">
        <v>0.0</v>
      </c>
      <c r="P68" s="15">
        <v>0.0</v>
      </c>
      <c r="Q68" s="15">
        <v>0.0</v>
      </c>
      <c r="R68" s="15">
        <v>0.0</v>
      </c>
      <c r="S68" s="15">
        <v>0.0</v>
      </c>
      <c r="T68" s="15">
        <v>0.0</v>
      </c>
      <c r="U68" s="15">
        <v>0.0</v>
      </c>
      <c r="V68" s="15">
        <v>0.0</v>
      </c>
      <c r="W68" s="15">
        <v>0.0</v>
      </c>
      <c r="X68" s="15">
        <v>0.0</v>
      </c>
      <c r="Y68" s="15">
        <v>1.0</v>
      </c>
      <c r="Z68" s="15">
        <v>0.0</v>
      </c>
      <c r="AA68" s="15">
        <v>0.0</v>
      </c>
      <c r="AB68" s="15">
        <v>0.0</v>
      </c>
      <c r="AC68" s="15">
        <v>0.0</v>
      </c>
      <c r="AD68" s="15">
        <v>0.0</v>
      </c>
      <c r="AE68" s="15">
        <v>0.0</v>
      </c>
      <c r="AF68" s="15">
        <v>0.0</v>
      </c>
      <c r="AG68" s="15">
        <v>0.0</v>
      </c>
      <c r="AH68" s="15">
        <v>1.0</v>
      </c>
      <c r="AI68" s="15">
        <v>0.0</v>
      </c>
      <c r="AJ68" s="15">
        <v>0.0</v>
      </c>
      <c r="AK68" s="15">
        <v>0.0</v>
      </c>
      <c r="AL68" s="15">
        <v>2.0</v>
      </c>
      <c r="AM68" s="15">
        <v>0.0</v>
      </c>
      <c r="AN68" s="15">
        <v>1.0</v>
      </c>
      <c r="AO68" s="15">
        <v>0.0</v>
      </c>
      <c r="AP68" s="15">
        <v>0.0</v>
      </c>
      <c r="AQ68" s="15">
        <v>0.0</v>
      </c>
      <c r="AR68" s="15">
        <v>0.0</v>
      </c>
      <c r="AS68" s="15">
        <v>0.0</v>
      </c>
      <c r="AT68" s="15">
        <v>0.0</v>
      </c>
      <c r="AU68" s="15">
        <v>0.0</v>
      </c>
      <c r="AV68" s="15">
        <v>0.0</v>
      </c>
      <c r="AW68" s="15">
        <v>0.0</v>
      </c>
      <c r="AX68" s="15">
        <v>0.0</v>
      </c>
      <c r="AY68" s="15">
        <v>134.0</v>
      </c>
      <c r="AZ68" s="15">
        <v>0.0</v>
      </c>
      <c r="BA68" s="15">
        <v>0.0</v>
      </c>
      <c r="BB68" s="15">
        <v>0.0</v>
      </c>
      <c r="BC68" s="15">
        <v>0.0</v>
      </c>
      <c r="BD68" s="15">
        <v>0.0</v>
      </c>
      <c r="BE68" s="15">
        <v>0.0</v>
      </c>
      <c r="BF68" s="15">
        <v>0.0</v>
      </c>
      <c r="BH68" s="12">
        <f t="shared" si="5"/>
        <v>145</v>
      </c>
    </row>
    <row r="69" ht="36.75" customHeight="1">
      <c r="A69" s="26">
        <v>42046.0</v>
      </c>
      <c r="B69" s="18" t="s">
        <v>421</v>
      </c>
      <c r="C69" s="18" t="s">
        <v>218</v>
      </c>
      <c r="D69" s="18" t="s">
        <v>422</v>
      </c>
      <c r="E69" s="18" t="s">
        <v>119</v>
      </c>
      <c r="F69" s="16">
        <v>29.83225</v>
      </c>
      <c r="G69" s="16">
        <v>-84.57465</v>
      </c>
      <c r="H69" s="16">
        <v>29.78659</v>
      </c>
      <c r="I69" s="17">
        <v>-84.67448</v>
      </c>
      <c r="J69" s="15" t="s">
        <v>914</v>
      </c>
      <c r="K69" s="15" t="s">
        <v>915</v>
      </c>
      <c r="L69" s="15">
        <v>5.0</v>
      </c>
      <c r="M69" s="22"/>
      <c r="N69" s="15">
        <v>27.0</v>
      </c>
      <c r="W69" s="15">
        <v>11.0</v>
      </c>
      <c r="X69" s="15">
        <v>18.0</v>
      </c>
      <c r="Y69" s="15">
        <v>10.0</v>
      </c>
      <c r="Z69" s="15">
        <v>62.0</v>
      </c>
      <c r="AD69" s="15">
        <v>35.0</v>
      </c>
      <c r="AH69" s="15">
        <v>58.0</v>
      </c>
      <c r="AL69" s="15">
        <v>2.0</v>
      </c>
      <c r="AN69" s="15">
        <v>12.0</v>
      </c>
      <c r="AQ69" s="15">
        <v>241.0</v>
      </c>
      <c r="AR69" s="15">
        <v>93.0</v>
      </c>
      <c r="AV69" s="15">
        <v>15.0</v>
      </c>
      <c r="AW69" s="15">
        <v>1.0</v>
      </c>
      <c r="AY69" s="15">
        <v>54.0</v>
      </c>
      <c r="BG69" s="22"/>
      <c r="BH69" s="12">
        <f t="shared" si="5"/>
        <v>644</v>
      </c>
    </row>
    <row r="70" ht="36.75" customHeight="1">
      <c r="A70" s="26">
        <v>42046.0</v>
      </c>
      <c r="B70" s="18" t="s">
        <v>919</v>
      </c>
      <c r="C70" s="18" t="s">
        <v>921</v>
      </c>
      <c r="D70" s="18" t="s">
        <v>922</v>
      </c>
      <c r="E70" s="18" t="s">
        <v>119</v>
      </c>
      <c r="F70" s="18">
        <v>29.86942</v>
      </c>
      <c r="G70" s="18">
        <v>-84.59414</v>
      </c>
      <c r="H70" s="18">
        <v>29.52325</v>
      </c>
      <c r="I70" s="16">
        <v>-84.35212</v>
      </c>
      <c r="J70" s="20" t="s">
        <v>923</v>
      </c>
      <c r="K70" s="18" t="s">
        <v>924</v>
      </c>
      <c r="L70" s="18">
        <v>9.0</v>
      </c>
      <c r="M70" s="22"/>
      <c r="N70" s="18">
        <v>40.0</v>
      </c>
      <c r="O70" s="18">
        <v>1015.0</v>
      </c>
      <c r="P70" s="22"/>
      <c r="Q70" s="22"/>
      <c r="R70" s="18">
        <v>27.0</v>
      </c>
      <c r="S70" s="18">
        <v>6.0</v>
      </c>
      <c r="T70" s="22"/>
      <c r="U70" s="22"/>
      <c r="V70" s="18">
        <v>307.0</v>
      </c>
      <c r="W70" s="18">
        <v>32.0</v>
      </c>
      <c r="X70" s="22"/>
      <c r="Y70" s="18">
        <v>4.0</v>
      </c>
      <c r="Z70" s="18">
        <v>243.0</v>
      </c>
      <c r="AA70" s="18">
        <v>65.0</v>
      </c>
      <c r="AB70" s="22"/>
      <c r="AC70" s="18">
        <v>10.0</v>
      </c>
      <c r="AD70" s="18">
        <v>11.0</v>
      </c>
      <c r="AE70" s="22"/>
      <c r="AF70" s="22"/>
      <c r="AG70" s="22"/>
      <c r="AH70" s="18">
        <v>49.0</v>
      </c>
      <c r="AI70" s="18">
        <v>4.0</v>
      </c>
      <c r="AJ70" s="22"/>
      <c r="AK70" s="22"/>
      <c r="AL70" s="22"/>
      <c r="AM70" s="22"/>
      <c r="AN70" s="18">
        <v>1.0</v>
      </c>
      <c r="AO70" s="22"/>
      <c r="AP70" s="22"/>
      <c r="AQ70" s="22"/>
      <c r="AR70" s="22"/>
      <c r="AS70" s="22"/>
      <c r="AT70" s="22"/>
      <c r="AU70" s="22"/>
      <c r="AV70" s="18">
        <v>4.0</v>
      </c>
      <c r="AW70" s="22"/>
      <c r="AX70" s="22"/>
      <c r="AY70" s="18">
        <v>4.0</v>
      </c>
      <c r="AZ70" s="22"/>
      <c r="BA70" s="22"/>
      <c r="BB70" s="22"/>
      <c r="BC70" s="22"/>
      <c r="BD70" s="22"/>
      <c r="BE70" s="22"/>
      <c r="BF70" s="22"/>
      <c r="BH70" s="12">
        <f t="shared" si="5"/>
        <v>1831</v>
      </c>
    </row>
    <row r="71" ht="36.75" customHeight="1">
      <c r="A71" s="24">
        <v>42047.0</v>
      </c>
      <c r="B71" s="18" t="s">
        <v>117</v>
      </c>
      <c r="C71" s="18" t="s">
        <v>104</v>
      </c>
      <c r="D71" s="18" t="s">
        <v>118</v>
      </c>
      <c r="E71" s="18" t="s">
        <v>119</v>
      </c>
      <c r="F71" s="16">
        <v>29.69373</v>
      </c>
      <c r="G71" s="16">
        <v>-84.78785</v>
      </c>
      <c r="H71" s="16">
        <v>29.70303</v>
      </c>
      <c r="I71" s="17">
        <v>-84.801</v>
      </c>
      <c r="J71" s="15" t="s">
        <v>929</v>
      </c>
      <c r="K71" s="15" t="s">
        <v>930</v>
      </c>
      <c r="L71" s="15">
        <v>47.0</v>
      </c>
      <c r="M71" s="15">
        <v>0.0</v>
      </c>
      <c r="N71" s="15">
        <v>6.0</v>
      </c>
      <c r="O71" s="15">
        <v>10.0</v>
      </c>
      <c r="P71" s="15">
        <v>1.0</v>
      </c>
      <c r="Q71" s="15">
        <v>0.0</v>
      </c>
      <c r="R71" s="15">
        <v>0.0</v>
      </c>
      <c r="S71" s="15">
        <v>0.0</v>
      </c>
      <c r="T71" s="15">
        <v>0.0</v>
      </c>
      <c r="U71" s="15">
        <v>0.0</v>
      </c>
      <c r="V71" s="15">
        <v>0.0</v>
      </c>
      <c r="W71" s="15">
        <v>0.0</v>
      </c>
      <c r="X71" s="15">
        <v>0.0</v>
      </c>
      <c r="Y71" s="15">
        <v>21.0</v>
      </c>
      <c r="Z71" s="15">
        <v>3.0</v>
      </c>
      <c r="AA71" s="15">
        <v>4.0</v>
      </c>
      <c r="AB71" s="15">
        <v>0.0</v>
      </c>
      <c r="AC71" s="15">
        <v>0.0</v>
      </c>
      <c r="AD71" s="15">
        <v>0.0</v>
      </c>
      <c r="AE71" s="15">
        <v>0.0</v>
      </c>
      <c r="AF71" s="15">
        <v>0.0</v>
      </c>
      <c r="AG71" s="15">
        <v>0.0</v>
      </c>
      <c r="AH71" s="15">
        <v>9.0</v>
      </c>
      <c r="AI71" s="15">
        <v>0.0</v>
      </c>
      <c r="AJ71" s="15">
        <v>0.0</v>
      </c>
      <c r="AK71" s="15">
        <v>0.0</v>
      </c>
      <c r="AL71" s="15">
        <v>0.0</v>
      </c>
      <c r="AM71" s="15">
        <v>0.0</v>
      </c>
      <c r="AN71" s="15">
        <v>5.0</v>
      </c>
      <c r="AO71" s="15">
        <v>0.0</v>
      </c>
      <c r="AP71" s="15">
        <v>0.0</v>
      </c>
      <c r="AQ71" s="15">
        <v>1.0</v>
      </c>
      <c r="AR71" s="15">
        <v>0.0</v>
      </c>
      <c r="AS71" s="15">
        <v>0.0</v>
      </c>
      <c r="AT71" s="15">
        <v>0.0</v>
      </c>
      <c r="AU71" s="15">
        <v>0.0</v>
      </c>
      <c r="AV71" s="15">
        <v>4.0</v>
      </c>
      <c r="AW71" s="15">
        <v>0.0</v>
      </c>
      <c r="AX71" s="15">
        <v>0.0</v>
      </c>
      <c r="AY71" s="15">
        <v>9.0</v>
      </c>
      <c r="AZ71" s="15">
        <v>4.0</v>
      </c>
      <c r="BA71" s="15">
        <v>0.0</v>
      </c>
      <c r="BB71" s="15">
        <v>0.0</v>
      </c>
      <c r="BC71" s="15">
        <v>0.0</v>
      </c>
      <c r="BD71" s="15">
        <v>0.0</v>
      </c>
      <c r="BE71" s="15">
        <v>0.0</v>
      </c>
      <c r="BF71" s="15">
        <v>0.0</v>
      </c>
      <c r="BH71" s="12">
        <f t="shared" si="5"/>
        <v>124</v>
      </c>
    </row>
    <row r="72" ht="36.75" customHeight="1">
      <c r="A72" s="24">
        <v>42047.0</v>
      </c>
      <c r="B72" s="18" t="s">
        <v>117</v>
      </c>
      <c r="C72" s="18" t="s">
        <v>104</v>
      </c>
      <c r="D72" s="18" t="s">
        <v>123</v>
      </c>
      <c r="E72" s="18" t="s">
        <v>119</v>
      </c>
      <c r="F72" s="16">
        <v>29.6823</v>
      </c>
      <c r="G72" s="16">
        <v>-84.79735</v>
      </c>
      <c r="H72" s="16">
        <v>29.77214</v>
      </c>
      <c r="I72" s="17">
        <v>-84.69551</v>
      </c>
      <c r="J72" s="15" t="s">
        <v>935</v>
      </c>
      <c r="K72" s="15" t="s">
        <v>936</v>
      </c>
      <c r="L72" s="15">
        <v>2.0</v>
      </c>
      <c r="M72" s="18">
        <v>0.0</v>
      </c>
      <c r="N72" s="15">
        <v>27.0</v>
      </c>
      <c r="O72" s="18">
        <v>2.0</v>
      </c>
      <c r="P72" s="18">
        <v>0.0</v>
      </c>
      <c r="Q72" s="15">
        <v>1.0</v>
      </c>
      <c r="R72" s="15">
        <v>1.0</v>
      </c>
      <c r="S72" s="15">
        <v>0.0</v>
      </c>
      <c r="T72" s="15">
        <v>0.0</v>
      </c>
      <c r="U72" s="15">
        <v>0.0</v>
      </c>
      <c r="V72" s="15">
        <v>0.0</v>
      </c>
      <c r="W72" s="18">
        <v>5.0</v>
      </c>
      <c r="X72" s="18">
        <v>0.0</v>
      </c>
      <c r="Y72" s="15">
        <v>32.0</v>
      </c>
      <c r="Z72" s="15">
        <v>132.0</v>
      </c>
      <c r="AA72" s="15">
        <v>8.0</v>
      </c>
      <c r="AB72" s="18">
        <v>0.0</v>
      </c>
      <c r="AC72" s="18">
        <v>2.0</v>
      </c>
      <c r="AD72" s="18">
        <v>34.0</v>
      </c>
      <c r="AE72" s="18">
        <v>0.0</v>
      </c>
      <c r="AF72" s="18">
        <v>0.0</v>
      </c>
      <c r="AG72" s="15">
        <v>0.0</v>
      </c>
      <c r="AH72" s="15">
        <v>29.0</v>
      </c>
      <c r="AI72" s="15">
        <v>0.0</v>
      </c>
      <c r="AJ72" s="18">
        <v>0.0</v>
      </c>
      <c r="AK72" s="15">
        <v>0.0</v>
      </c>
      <c r="AL72" s="15">
        <v>7.0</v>
      </c>
      <c r="AM72" s="15">
        <v>0.0</v>
      </c>
      <c r="AN72" s="15">
        <v>2.0</v>
      </c>
      <c r="AO72" s="15">
        <v>0.0</v>
      </c>
      <c r="AP72" s="15">
        <v>0.0</v>
      </c>
      <c r="AQ72" s="15">
        <v>2.0</v>
      </c>
      <c r="AR72" s="15">
        <v>0.0</v>
      </c>
      <c r="AS72" s="15">
        <v>0.0</v>
      </c>
      <c r="AT72" s="15">
        <v>0.0</v>
      </c>
      <c r="AU72" s="15">
        <v>0.0</v>
      </c>
      <c r="AV72" s="15">
        <v>22.0</v>
      </c>
      <c r="AW72" s="15">
        <v>2.0</v>
      </c>
      <c r="AX72" s="15">
        <v>0.0</v>
      </c>
      <c r="AY72" s="15">
        <v>34.0</v>
      </c>
      <c r="AZ72" s="18">
        <v>1.0</v>
      </c>
      <c r="BA72" s="15">
        <v>0.0</v>
      </c>
      <c r="BB72" s="18">
        <v>0.0</v>
      </c>
      <c r="BC72" s="15">
        <v>0.0</v>
      </c>
      <c r="BD72" s="15">
        <v>0.0</v>
      </c>
      <c r="BE72" s="15">
        <v>0.0</v>
      </c>
      <c r="BF72" s="15">
        <v>0.0</v>
      </c>
      <c r="BH72" s="12">
        <f t="shared" si="5"/>
        <v>345</v>
      </c>
    </row>
    <row r="73" ht="36.75" customHeight="1">
      <c r="A73" s="26">
        <v>42047.0</v>
      </c>
      <c r="B73" s="18" t="s">
        <v>618</v>
      </c>
      <c r="C73" s="18" t="s">
        <v>218</v>
      </c>
      <c r="D73" s="18" t="s">
        <v>943</v>
      </c>
      <c r="E73" s="18" t="s">
        <v>119</v>
      </c>
      <c r="F73" s="18">
        <v>29.62395</v>
      </c>
      <c r="G73" s="18">
        <v>-85.15042</v>
      </c>
      <c r="H73" s="18">
        <v>29.62585</v>
      </c>
      <c r="I73" s="16">
        <v>-85.14602</v>
      </c>
      <c r="J73" s="18" t="s">
        <v>944</v>
      </c>
      <c r="K73" s="15" t="s">
        <v>946</v>
      </c>
      <c r="L73" s="15">
        <v>1.0</v>
      </c>
      <c r="M73" s="22"/>
      <c r="N73" s="15">
        <v>4.0</v>
      </c>
      <c r="O73" s="15">
        <v>7.0</v>
      </c>
      <c r="Z73" s="15">
        <v>7.0</v>
      </c>
      <c r="AA73" s="15">
        <v>1.0</v>
      </c>
      <c r="AF73" s="15">
        <v>1.0</v>
      </c>
      <c r="AH73" s="15">
        <v>2.0</v>
      </c>
      <c r="AL73" s="15">
        <v>1.0</v>
      </c>
      <c r="AR73" s="15">
        <v>5.0</v>
      </c>
      <c r="AV73" s="15">
        <v>44.0</v>
      </c>
      <c r="AW73" s="15">
        <v>20.0</v>
      </c>
      <c r="AY73" s="15">
        <v>3.0</v>
      </c>
      <c r="AZ73" s="15">
        <v>2.0</v>
      </c>
      <c r="BG73" s="22"/>
      <c r="BH73" s="12">
        <f t="shared" si="5"/>
        <v>98</v>
      </c>
    </row>
    <row r="74" ht="36.75" customHeight="1">
      <c r="A74" s="26">
        <v>42047.0</v>
      </c>
      <c r="B74" s="18" t="s">
        <v>618</v>
      </c>
      <c r="C74" s="18" t="s">
        <v>218</v>
      </c>
      <c r="D74" s="18" t="s">
        <v>220</v>
      </c>
      <c r="E74" s="18" t="s">
        <v>119</v>
      </c>
      <c r="F74" s="18">
        <v>29.64092</v>
      </c>
      <c r="G74" s="18">
        <v>-85.15574</v>
      </c>
      <c r="H74" s="18">
        <v>29.63228</v>
      </c>
      <c r="I74" s="16">
        <v>-85.15678</v>
      </c>
      <c r="J74" s="18" t="s">
        <v>954</v>
      </c>
      <c r="K74" s="15" t="s">
        <v>946</v>
      </c>
      <c r="L74" s="15">
        <v>2.0</v>
      </c>
      <c r="M74" s="22"/>
      <c r="N74" s="15">
        <v>5.0</v>
      </c>
      <c r="O74" s="15">
        <v>47.0</v>
      </c>
      <c r="T74" s="15">
        <v>2.0</v>
      </c>
      <c r="V74" s="15">
        <v>2.0</v>
      </c>
      <c r="W74" s="15">
        <v>2.0</v>
      </c>
      <c r="Z74" s="15">
        <v>76.0</v>
      </c>
      <c r="AH74" s="15">
        <v>4.0</v>
      </c>
      <c r="AR74" s="15">
        <v>66.0</v>
      </c>
      <c r="AV74" s="15">
        <v>6.0</v>
      </c>
      <c r="AW74" s="15">
        <v>35.0</v>
      </c>
      <c r="AY74" s="15">
        <v>10.0</v>
      </c>
      <c r="AZ74" s="15">
        <v>27.0</v>
      </c>
      <c r="BG74" s="22"/>
      <c r="BH74" s="12">
        <f t="shared" si="5"/>
        <v>284</v>
      </c>
    </row>
    <row r="75" ht="36.75" customHeight="1">
      <c r="A75" s="26">
        <v>42047.0</v>
      </c>
      <c r="B75" s="18" t="s">
        <v>919</v>
      </c>
      <c r="C75" s="18" t="s">
        <v>921</v>
      </c>
      <c r="D75" s="18" t="s">
        <v>956</v>
      </c>
      <c r="E75" s="18" t="s">
        <v>119</v>
      </c>
      <c r="F75" s="18">
        <v>29.47143</v>
      </c>
      <c r="G75" s="18">
        <v>-84.46089</v>
      </c>
      <c r="H75" s="18">
        <v>29.79351</v>
      </c>
      <c r="I75" s="16">
        <v>-84.74915</v>
      </c>
      <c r="J75" s="20" t="s">
        <v>958</v>
      </c>
      <c r="K75" s="15" t="s">
        <v>959</v>
      </c>
      <c r="M75" s="22"/>
      <c r="N75" s="15">
        <v>1.0</v>
      </c>
      <c r="O75" s="18">
        <v>68.0</v>
      </c>
      <c r="S75" s="15">
        <v>13.0</v>
      </c>
      <c r="V75" s="15">
        <v>1.0</v>
      </c>
      <c r="W75" s="18">
        <v>1.0</v>
      </c>
      <c r="X75" s="22"/>
      <c r="Y75" s="18">
        <v>7.0</v>
      </c>
      <c r="Z75" s="15">
        <v>28.0</v>
      </c>
      <c r="AB75" s="15">
        <v>12.0</v>
      </c>
      <c r="AC75" s="15">
        <v>1.0</v>
      </c>
      <c r="AH75" s="15">
        <v>43.0</v>
      </c>
      <c r="AI75" s="15">
        <v>1.0</v>
      </c>
      <c r="AJ75" s="22"/>
      <c r="AY75" s="15">
        <v>30.0</v>
      </c>
      <c r="AZ75" s="22"/>
      <c r="BB75" s="22"/>
      <c r="BH75" s="12">
        <f t="shared" si="5"/>
        <v>206</v>
      </c>
    </row>
    <row r="76" ht="36.75" customHeight="1">
      <c r="A76" s="26">
        <v>42047.0</v>
      </c>
      <c r="B76" s="18" t="s">
        <v>961</v>
      </c>
      <c r="C76" s="18" t="s">
        <v>962</v>
      </c>
      <c r="D76" s="18" t="s">
        <v>963</v>
      </c>
      <c r="E76" s="18" t="s">
        <v>964</v>
      </c>
      <c r="F76" s="18" t="s">
        <v>965</v>
      </c>
      <c r="G76" s="18" t="s">
        <v>966</v>
      </c>
      <c r="H76" s="18" t="s">
        <v>968</v>
      </c>
      <c r="I76" s="16" t="s">
        <v>969</v>
      </c>
      <c r="J76" s="20" t="s">
        <v>970</v>
      </c>
      <c r="K76" s="18" t="s">
        <v>971</v>
      </c>
      <c r="L76" s="22"/>
      <c r="M76" s="22"/>
      <c r="N76" s="22"/>
      <c r="O76" s="18">
        <v>90.0</v>
      </c>
      <c r="P76" s="18">
        <v>90.0</v>
      </c>
      <c r="Q76" s="22"/>
      <c r="R76" s="18">
        <v>30.0</v>
      </c>
      <c r="S76" s="18">
        <v>210.0</v>
      </c>
      <c r="T76" s="22"/>
      <c r="U76" s="18">
        <v>890.0</v>
      </c>
      <c r="V76" s="22"/>
      <c r="W76" s="22"/>
      <c r="X76" s="22"/>
      <c r="Y76" s="22"/>
      <c r="Z76" s="22"/>
      <c r="AA76" s="22"/>
      <c r="AB76" s="22"/>
      <c r="AC76" s="22"/>
      <c r="AD76" s="22"/>
      <c r="AE76" s="22"/>
      <c r="AF76" s="22"/>
      <c r="AG76" s="22"/>
      <c r="AH76" s="22"/>
      <c r="AI76" s="22"/>
      <c r="AJ76" s="22"/>
      <c r="AK76" s="22"/>
      <c r="AL76" s="22"/>
      <c r="AM76" s="22"/>
      <c r="AN76" s="22"/>
      <c r="AO76" s="18">
        <v>22.0</v>
      </c>
      <c r="AP76" s="22"/>
      <c r="AQ76" s="22"/>
      <c r="AR76" s="22"/>
      <c r="AS76" s="22"/>
      <c r="AT76" s="22"/>
      <c r="AU76" s="22"/>
      <c r="AV76" s="22"/>
      <c r="AW76" s="22"/>
      <c r="AX76" s="22"/>
      <c r="AY76" s="22"/>
      <c r="AZ76" s="22"/>
      <c r="BA76" s="22"/>
      <c r="BB76" s="22"/>
      <c r="BC76" s="18">
        <v>25.0</v>
      </c>
      <c r="BD76" s="22"/>
      <c r="BE76" s="22"/>
      <c r="BF76" s="22"/>
      <c r="BH76" s="12">
        <f t="shared" si="5"/>
        <v>1357</v>
      </c>
    </row>
    <row r="77" ht="36.75" customHeight="1">
      <c r="A77" s="14">
        <v>42041.0</v>
      </c>
      <c r="B77" s="18" t="s">
        <v>102</v>
      </c>
      <c r="C77" s="18" t="s">
        <v>104</v>
      </c>
      <c r="D77" s="15" t="s">
        <v>475</v>
      </c>
      <c r="E77" s="15" t="s">
        <v>269</v>
      </c>
      <c r="F77" s="15">
        <v>29.8794</v>
      </c>
      <c r="G77" s="15">
        <v>-85.38474</v>
      </c>
      <c r="H77" s="15">
        <v>29.75923</v>
      </c>
      <c r="I77" s="17">
        <v>-85.40343</v>
      </c>
      <c r="J77" s="15" t="s">
        <v>985</v>
      </c>
      <c r="K77" s="15" t="s">
        <v>986</v>
      </c>
      <c r="L77" s="15">
        <v>0.0</v>
      </c>
      <c r="M77" s="15">
        <v>0.0</v>
      </c>
      <c r="N77" s="15">
        <v>12.0</v>
      </c>
      <c r="O77" s="15">
        <v>10.0</v>
      </c>
      <c r="P77" s="15">
        <v>2.0</v>
      </c>
      <c r="Q77" s="15">
        <v>6.0</v>
      </c>
      <c r="R77" s="15">
        <v>0.0</v>
      </c>
      <c r="S77" s="15">
        <v>0.0</v>
      </c>
      <c r="T77" s="15">
        <v>0.0</v>
      </c>
      <c r="U77" s="15">
        <v>0.0</v>
      </c>
      <c r="V77" s="15">
        <v>0.0</v>
      </c>
      <c r="W77" s="15">
        <v>6.0</v>
      </c>
      <c r="X77" s="15">
        <v>0.0</v>
      </c>
      <c r="Y77" s="15">
        <v>20.0</v>
      </c>
      <c r="Z77" s="15">
        <v>111.0</v>
      </c>
      <c r="AA77" s="15">
        <v>20.0</v>
      </c>
      <c r="AB77" s="15">
        <v>0.0</v>
      </c>
      <c r="AC77" s="15">
        <v>0.0</v>
      </c>
      <c r="AD77" s="15">
        <v>48.0</v>
      </c>
      <c r="AE77" s="15">
        <v>0.0</v>
      </c>
      <c r="AF77" s="15">
        <v>0.0</v>
      </c>
      <c r="AG77" s="15">
        <v>0.0</v>
      </c>
      <c r="AH77" s="15">
        <v>83.0</v>
      </c>
      <c r="AI77" s="15">
        <v>0.0</v>
      </c>
      <c r="AJ77" s="15">
        <v>0.0</v>
      </c>
      <c r="AK77" s="15">
        <v>0.0</v>
      </c>
      <c r="AL77" s="15">
        <v>52.0</v>
      </c>
      <c r="AM77" s="15">
        <v>0.0</v>
      </c>
      <c r="AN77" s="15">
        <v>20.0</v>
      </c>
      <c r="AO77" s="15">
        <v>0.0</v>
      </c>
      <c r="AP77" s="15">
        <v>0.0</v>
      </c>
      <c r="AQ77" s="15">
        <v>12.0</v>
      </c>
      <c r="AR77" s="15">
        <v>5.0</v>
      </c>
      <c r="AS77" s="15">
        <v>0.0</v>
      </c>
      <c r="AT77" s="15">
        <v>0.0</v>
      </c>
      <c r="AU77" s="15">
        <v>0.0</v>
      </c>
      <c r="AV77" s="15">
        <v>42.0</v>
      </c>
      <c r="AW77" s="15">
        <v>1.0</v>
      </c>
      <c r="AX77" s="15">
        <v>0.0</v>
      </c>
      <c r="AY77" s="15">
        <v>96.0</v>
      </c>
      <c r="AZ77" s="15">
        <v>8.0</v>
      </c>
      <c r="BA77" s="15">
        <v>0.0</v>
      </c>
      <c r="BB77" s="15">
        <v>0.0</v>
      </c>
      <c r="BC77" s="15">
        <v>0.0</v>
      </c>
      <c r="BD77" s="15">
        <v>0.0</v>
      </c>
      <c r="BE77" s="15">
        <v>0.0</v>
      </c>
      <c r="BF77" s="15">
        <v>0.0</v>
      </c>
      <c r="BH77" s="12">
        <f t="shared" si="5"/>
        <v>554</v>
      </c>
    </row>
    <row r="78" ht="36.75" customHeight="1">
      <c r="A78" s="26">
        <v>42045.0</v>
      </c>
      <c r="B78" s="18" t="s">
        <v>618</v>
      </c>
      <c r="C78" s="18" t="s">
        <v>218</v>
      </c>
      <c r="D78" s="16" t="s">
        <v>621</v>
      </c>
      <c r="E78" s="16" t="s">
        <v>269</v>
      </c>
      <c r="F78" s="16">
        <v>29.66988</v>
      </c>
      <c r="G78" s="17">
        <v>-85.35587</v>
      </c>
      <c r="H78" s="15">
        <v>29.67583</v>
      </c>
      <c r="I78" s="15">
        <v>-85.33368</v>
      </c>
      <c r="J78" s="15" t="s">
        <v>994</v>
      </c>
      <c r="K78" s="15" t="s">
        <v>995</v>
      </c>
      <c r="L78" s="15">
        <v>6.0</v>
      </c>
      <c r="M78" s="22"/>
      <c r="N78" s="15">
        <v>3.0</v>
      </c>
      <c r="O78" s="18">
        <v>2.0</v>
      </c>
      <c r="X78" s="15">
        <v>2.0</v>
      </c>
      <c r="Y78" s="18">
        <v>10.0</v>
      </c>
      <c r="Z78" s="18">
        <v>21.0</v>
      </c>
      <c r="AD78" s="15">
        <v>6.0</v>
      </c>
      <c r="AH78" s="15">
        <v>14.0</v>
      </c>
      <c r="AI78" s="15">
        <v>1.0</v>
      </c>
      <c r="AK78" s="15">
        <v>154.0</v>
      </c>
      <c r="AL78" s="15">
        <v>12.0</v>
      </c>
      <c r="AQ78" s="15">
        <v>32.0</v>
      </c>
      <c r="AR78" s="15">
        <v>68.0</v>
      </c>
      <c r="AV78" s="15">
        <v>56.0</v>
      </c>
      <c r="AW78" s="15">
        <v>215.0</v>
      </c>
      <c r="AY78" s="15">
        <v>22.0</v>
      </c>
      <c r="AZ78" s="18">
        <v>43.0</v>
      </c>
      <c r="BG78" s="22"/>
      <c r="BH78" s="12">
        <f t="shared" si="5"/>
        <v>667</v>
      </c>
    </row>
    <row r="79" ht="36.75" customHeight="1">
      <c r="A79" s="14">
        <v>42045.0</v>
      </c>
      <c r="B79" s="15" t="s">
        <v>157</v>
      </c>
      <c r="C79" s="15" t="s">
        <v>158</v>
      </c>
      <c r="D79" s="15" t="s">
        <v>997</v>
      </c>
      <c r="E79" s="15" t="s">
        <v>269</v>
      </c>
      <c r="F79" s="15" t="s">
        <v>998</v>
      </c>
      <c r="G79" s="15" t="s">
        <v>999</v>
      </c>
      <c r="H79" s="15" t="s">
        <v>1000</v>
      </c>
      <c r="I79" s="15" t="s">
        <v>1001</v>
      </c>
      <c r="J79" s="15" t="s">
        <v>1002</v>
      </c>
      <c r="K79" s="15" t="s">
        <v>1003</v>
      </c>
      <c r="AD79" s="15">
        <v>10.0</v>
      </c>
      <c r="AH79" s="15">
        <v>2.0</v>
      </c>
      <c r="AV79" s="15">
        <v>7.0</v>
      </c>
      <c r="AY79" s="15">
        <v>10.0</v>
      </c>
      <c r="BH79" s="12">
        <f t="shared" si="5"/>
        <v>29</v>
      </c>
    </row>
    <row r="80" ht="36.75" customHeight="1">
      <c r="A80" s="24">
        <v>42045.0</v>
      </c>
      <c r="B80" s="18" t="s">
        <v>231</v>
      </c>
      <c r="C80" s="18" t="s">
        <v>232</v>
      </c>
      <c r="D80" s="18" t="s">
        <v>866</v>
      </c>
      <c r="E80" s="18" t="s">
        <v>269</v>
      </c>
      <c r="F80" s="16">
        <v>29.68304</v>
      </c>
      <c r="G80" s="16">
        <v>-85.22219</v>
      </c>
      <c r="H80" s="16">
        <v>29.67589</v>
      </c>
      <c r="I80" s="17">
        <v>-85.33371</v>
      </c>
      <c r="J80" s="15" t="s">
        <v>1009</v>
      </c>
      <c r="K80" s="15" t="s">
        <v>1010</v>
      </c>
      <c r="L80" s="15">
        <v>0.0</v>
      </c>
      <c r="M80" s="18">
        <v>0.0</v>
      </c>
      <c r="N80" s="15">
        <v>4.0</v>
      </c>
      <c r="O80" s="15">
        <v>12.0</v>
      </c>
      <c r="P80" s="15">
        <v>0.0</v>
      </c>
      <c r="Q80" s="15">
        <v>0.0</v>
      </c>
      <c r="R80" s="15">
        <v>0.0</v>
      </c>
      <c r="S80" s="15">
        <v>0.0</v>
      </c>
      <c r="T80" s="15">
        <v>0.0</v>
      </c>
      <c r="U80" s="15">
        <v>0.0</v>
      </c>
      <c r="V80" s="15">
        <v>0.0</v>
      </c>
      <c r="W80" s="15">
        <v>9.0</v>
      </c>
      <c r="X80" s="15">
        <v>2.0</v>
      </c>
      <c r="Y80" s="15">
        <v>9.0</v>
      </c>
      <c r="Z80" s="15">
        <v>76.0</v>
      </c>
      <c r="AA80" s="15">
        <v>10.0</v>
      </c>
      <c r="AB80" s="15">
        <v>0.0</v>
      </c>
      <c r="AC80" s="15">
        <v>0.0</v>
      </c>
      <c r="AD80" s="15">
        <v>0.0</v>
      </c>
      <c r="AE80" s="15">
        <v>0.0</v>
      </c>
      <c r="AF80" s="15">
        <v>0.0</v>
      </c>
      <c r="AG80" s="15">
        <v>0.0</v>
      </c>
      <c r="AH80" s="15">
        <v>44.0</v>
      </c>
      <c r="AI80" s="15">
        <v>0.0</v>
      </c>
      <c r="AJ80" s="15">
        <v>0.0</v>
      </c>
      <c r="AK80" s="15">
        <v>0.0</v>
      </c>
      <c r="AL80" s="15">
        <v>143.0</v>
      </c>
      <c r="AM80" s="15">
        <v>0.0</v>
      </c>
      <c r="AN80" s="15">
        <v>2.0</v>
      </c>
      <c r="AO80" s="15">
        <v>0.0</v>
      </c>
      <c r="AP80" s="15">
        <v>0.0</v>
      </c>
      <c r="AQ80" s="15">
        <v>2.0</v>
      </c>
      <c r="AR80" s="15">
        <v>18.0</v>
      </c>
      <c r="AS80" s="15">
        <v>0.0</v>
      </c>
      <c r="AT80" s="15">
        <v>0.0</v>
      </c>
      <c r="AU80" s="15">
        <v>0.0</v>
      </c>
      <c r="AV80" s="15">
        <v>2.0</v>
      </c>
      <c r="AW80" s="15">
        <v>115.0</v>
      </c>
      <c r="AX80" s="15">
        <v>0.0</v>
      </c>
      <c r="AY80" s="15">
        <v>69.0</v>
      </c>
      <c r="AZ80" s="15">
        <v>0.0</v>
      </c>
      <c r="BA80" s="15">
        <v>0.0</v>
      </c>
      <c r="BB80" s="15">
        <v>0.0</v>
      </c>
      <c r="BC80" s="15">
        <v>0.0</v>
      </c>
      <c r="BD80" s="15">
        <v>0.0</v>
      </c>
      <c r="BE80" s="15">
        <v>0.0</v>
      </c>
      <c r="BF80" s="15">
        <v>0.0</v>
      </c>
      <c r="BG80" s="18">
        <v>0.0</v>
      </c>
      <c r="BH80" s="12">
        <f t="shared" si="5"/>
        <v>517</v>
      </c>
    </row>
    <row r="81" ht="36.75" customHeight="1">
      <c r="A81" s="14">
        <v>42045.0</v>
      </c>
      <c r="B81" s="15" t="s">
        <v>157</v>
      </c>
      <c r="C81" s="15" t="s">
        <v>158</v>
      </c>
      <c r="D81" s="15" t="s">
        <v>1017</v>
      </c>
      <c r="E81" s="15" t="s">
        <v>269</v>
      </c>
      <c r="F81" s="15">
        <v>29.925</v>
      </c>
      <c r="G81" s="15">
        <v>-85.3894</v>
      </c>
      <c r="H81" s="15">
        <v>29.8934</v>
      </c>
      <c r="I81" s="17">
        <v>-85.3602</v>
      </c>
      <c r="J81" s="15" t="s">
        <v>1018</v>
      </c>
      <c r="K81" s="15" t="s">
        <v>1019</v>
      </c>
      <c r="Z81" s="15">
        <v>88.0</v>
      </c>
      <c r="AH81" s="15">
        <v>23.0</v>
      </c>
      <c r="AL81" s="15">
        <v>7.0</v>
      </c>
      <c r="AR81" s="15">
        <v>3.0</v>
      </c>
      <c r="AV81" s="15">
        <v>8.0</v>
      </c>
      <c r="AY81" s="15">
        <v>91.0</v>
      </c>
      <c r="BH81" s="12">
        <f t="shared" si="5"/>
        <v>220</v>
      </c>
    </row>
    <row r="82" ht="36.75" customHeight="1">
      <c r="A82" s="24">
        <v>42046.0</v>
      </c>
      <c r="B82" s="18" t="s">
        <v>231</v>
      </c>
      <c r="C82" s="18" t="s">
        <v>232</v>
      </c>
      <c r="D82" s="18" t="s">
        <v>268</v>
      </c>
      <c r="E82" s="18" t="s">
        <v>269</v>
      </c>
      <c r="F82" s="16">
        <v>29.69865</v>
      </c>
      <c r="G82" s="16">
        <v>-85.3154</v>
      </c>
      <c r="H82" s="16">
        <v>29.67922</v>
      </c>
      <c r="I82" s="17">
        <v>-85.36388</v>
      </c>
      <c r="J82" s="15" t="s">
        <v>1021</v>
      </c>
      <c r="K82" s="15" t="s">
        <v>1022</v>
      </c>
      <c r="L82" s="15">
        <v>0.0</v>
      </c>
      <c r="M82" s="18">
        <v>0.0</v>
      </c>
      <c r="N82" s="15">
        <v>16.0</v>
      </c>
      <c r="O82" s="15">
        <v>410.0</v>
      </c>
      <c r="P82" s="15">
        <v>1.0</v>
      </c>
      <c r="Q82" s="15">
        <v>3.0</v>
      </c>
      <c r="R82" s="15">
        <v>1.0</v>
      </c>
      <c r="S82" s="15">
        <v>0.0</v>
      </c>
      <c r="T82" s="15">
        <v>0.0</v>
      </c>
      <c r="U82" s="15">
        <v>0.0</v>
      </c>
      <c r="V82" s="15">
        <v>0.0</v>
      </c>
      <c r="W82" s="15">
        <v>4.0</v>
      </c>
      <c r="X82" s="15">
        <v>3.0</v>
      </c>
      <c r="Y82" s="15">
        <v>12.0</v>
      </c>
      <c r="Z82" s="15">
        <v>0.0</v>
      </c>
      <c r="AA82" s="15">
        <v>15.0</v>
      </c>
      <c r="AB82" s="15">
        <v>0.0</v>
      </c>
      <c r="AC82" s="15">
        <v>1.0</v>
      </c>
      <c r="AD82" s="15">
        <v>0.0</v>
      </c>
      <c r="AE82" s="15">
        <v>0.0</v>
      </c>
      <c r="AF82" s="15">
        <v>0.0</v>
      </c>
      <c r="AG82" s="15">
        <v>0.0</v>
      </c>
      <c r="AH82" s="15">
        <v>44.0</v>
      </c>
      <c r="AI82" s="15">
        <v>1.0</v>
      </c>
      <c r="AJ82" s="15">
        <v>0.0</v>
      </c>
      <c r="AK82" s="15">
        <v>0.0</v>
      </c>
      <c r="AL82" s="15">
        <v>0.0</v>
      </c>
      <c r="AM82" s="15">
        <v>0.0</v>
      </c>
      <c r="AN82" s="15">
        <v>4.0</v>
      </c>
      <c r="AO82" s="15">
        <v>0.0</v>
      </c>
      <c r="AP82" s="15">
        <v>0.0</v>
      </c>
      <c r="AQ82" s="15">
        <v>1.0</v>
      </c>
      <c r="AR82" s="15">
        <v>7.0</v>
      </c>
      <c r="AS82" s="15">
        <v>0.0</v>
      </c>
      <c r="AT82" s="15">
        <v>0.0</v>
      </c>
      <c r="AU82" s="15">
        <v>0.0</v>
      </c>
      <c r="AV82" s="15">
        <v>0.0</v>
      </c>
      <c r="AW82" s="15">
        <v>1.0</v>
      </c>
      <c r="AX82" s="15">
        <v>0.0</v>
      </c>
      <c r="AY82" s="15">
        <v>16.0</v>
      </c>
      <c r="AZ82" s="15">
        <v>0.0</v>
      </c>
      <c r="BA82" s="15">
        <v>0.0</v>
      </c>
      <c r="BB82" s="15">
        <v>0.0</v>
      </c>
      <c r="BC82" s="15">
        <v>3.0</v>
      </c>
      <c r="BD82" s="15">
        <v>0.0</v>
      </c>
      <c r="BE82" s="15">
        <v>0.0</v>
      </c>
      <c r="BF82" s="15">
        <v>0.0</v>
      </c>
      <c r="BG82" s="18">
        <v>0.0</v>
      </c>
      <c r="BH82" s="12">
        <f t="shared" si="5"/>
        <v>543</v>
      </c>
    </row>
    <row r="83" ht="36.75" customHeight="1">
      <c r="A83" s="26">
        <v>42046.0</v>
      </c>
      <c r="B83" s="18" t="s">
        <v>231</v>
      </c>
      <c r="C83" s="18" t="s">
        <v>232</v>
      </c>
      <c r="D83" s="18" t="s">
        <v>1032</v>
      </c>
      <c r="E83" s="18" t="s">
        <v>1034</v>
      </c>
      <c r="F83" s="18">
        <v>29.83227</v>
      </c>
      <c r="G83" s="18">
        <v>-85.31363</v>
      </c>
      <c r="H83" s="18">
        <v>29.84551</v>
      </c>
      <c r="I83" s="17">
        <v>-85.32956</v>
      </c>
      <c r="J83" s="15" t="s">
        <v>1039</v>
      </c>
      <c r="K83" s="15" t="s">
        <v>1040</v>
      </c>
      <c r="L83" s="15">
        <v>0.0</v>
      </c>
      <c r="M83" s="18">
        <v>0.0</v>
      </c>
      <c r="N83" s="15">
        <v>0.0</v>
      </c>
      <c r="O83" s="15">
        <v>6.0</v>
      </c>
      <c r="P83" s="15">
        <v>0.0</v>
      </c>
      <c r="Q83" s="15">
        <v>0.0</v>
      </c>
      <c r="R83" s="15">
        <v>3.0</v>
      </c>
      <c r="S83" s="15">
        <v>0.0</v>
      </c>
      <c r="T83" s="15">
        <v>0.0</v>
      </c>
      <c r="U83" s="15">
        <v>0.0</v>
      </c>
      <c r="V83" s="15">
        <v>0.0</v>
      </c>
      <c r="W83" s="15">
        <v>0.0</v>
      </c>
      <c r="X83" s="15">
        <v>0.0</v>
      </c>
      <c r="Y83" s="15">
        <v>0.0</v>
      </c>
      <c r="Z83" s="15">
        <v>6.0</v>
      </c>
      <c r="AA83" s="15">
        <v>2.0</v>
      </c>
      <c r="AB83" s="15">
        <v>0.0</v>
      </c>
      <c r="AC83" s="15">
        <v>0.0</v>
      </c>
      <c r="AD83" s="15">
        <v>0.0</v>
      </c>
      <c r="AE83" s="15">
        <v>0.0</v>
      </c>
      <c r="AF83" s="15">
        <v>0.0</v>
      </c>
      <c r="AG83" s="15">
        <v>0.0</v>
      </c>
      <c r="AH83" s="15">
        <v>0.0</v>
      </c>
      <c r="AI83" s="15">
        <v>0.0</v>
      </c>
      <c r="AJ83" s="15">
        <v>0.0</v>
      </c>
      <c r="AK83" s="15">
        <v>0.0</v>
      </c>
      <c r="AL83" s="15">
        <v>8.0</v>
      </c>
      <c r="AM83" s="15">
        <v>0.0</v>
      </c>
      <c r="AN83" s="15">
        <v>1.0</v>
      </c>
      <c r="AO83" s="15">
        <v>0.0</v>
      </c>
      <c r="AP83" s="15">
        <v>0.0</v>
      </c>
      <c r="AQ83" s="15">
        <v>0.0</v>
      </c>
      <c r="AR83" s="15">
        <v>8.0</v>
      </c>
      <c r="AS83" s="15">
        <v>0.0</v>
      </c>
      <c r="AT83" s="15">
        <v>0.0</v>
      </c>
      <c r="AU83" s="15">
        <v>0.0</v>
      </c>
      <c r="AV83" s="15">
        <v>0.0</v>
      </c>
      <c r="AW83" s="15">
        <v>0.0</v>
      </c>
      <c r="AX83" s="15">
        <v>0.0</v>
      </c>
      <c r="AY83" s="15">
        <v>1.0</v>
      </c>
      <c r="AZ83" s="15">
        <v>5.0</v>
      </c>
      <c r="BA83" s="15">
        <v>0.0</v>
      </c>
      <c r="BB83" s="15">
        <v>0.0</v>
      </c>
      <c r="BC83" s="15">
        <v>0.0</v>
      </c>
      <c r="BD83" s="15">
        <v>0.0</v>
      </c>
      <c r="BE83" s="15">
        <v>0.0</v>
      </c>
      <c r="BF83" s="15">
        <v>0.0</v>
      </c>
      <c r="BG83" s="18">
        <v>0.0</v>
      </c>
      <c r="BH83" s="12">
        <f t="shared" si="5"/>
        <v>40</v>
      </c>
    </row>
    <row r="84" ht="36.75" customHeight="1">
      <c r="A84" s="26">
        <v>42047.0</v>
      </c>
      <c r="B84" s="18" t="s">
        <v>157</v>
      </c>
      <c r="C84" s="18" t="s">
        <v>158</v>
      </c>
      <c r="D84" s="18" t="s">
        <v>1047</v>
      </c>
      <c r="E84" s="18" t="s">
        <v>269</v>
      </c>
      <c r="F84" s="18" t="s">
        <v>1050</v>
      </c>
      <c r="G84" s="18" t="s">
        <v>1051</v>
      </c>
      <c r="H84" s="18" t="s">
        <v>1052</v>
      </c>
      <c r="I84" s="16" t="s">
        <v>1053</v>
      </c>
      <c r="J84" s="20" t="s">
        <v>1054</v>
      </c>
      <c r="K84" s="15" t="s">
        <v>1055</v>
      </c>
      <c r="L84" s="15">
        <v>0.0</v>
      </c>
      <c r="M84" s="18">
        <v>0.0</v>
      </c>
      <c r="N84" s="15">
        <v>0.0</v>
      </c>
      <c r="O84" s="18">
        <v>0.0</v>
      </c>
      <c r="P84" s="18">
        <v>0.0</v>
      </c>
      <c r="Q84" s="15">
        <v>0.0</v>
      </c>
      <c r="R84" s="15">
        <v>0.0</v>
      </c>
      <c r="S84" s="15">
        <v>0.0</v>
      </c>
      <c r="T84" s="15">
        <v>0.0</v>
      </c>
      <c r="U84" s="15">
        <v>0.0</v>
      </c>
      <c r="V84" s="15">
        <v>0.0</v>
      </c>
      <c r="W84" s="18">
        <v>0.0</v>
      </c>
      <c r="X84" s="22"/>
      <c r="Y84" s="22"/>
      <c r="Z84" s="18">
        <v>12.0</v>
      </c>
      <c r="AD84" s="15">
        <v>6.0</v>
      </c>
      <c r="AH84" s="15">
        <v>29.0</v>
      </c>
      <c r="AL84" s="15">
        <v>1.0</v>
      </c>
      <c r="AN84" s="15">
        <v>3.0</v>
      </c>
      <c r="AR84" s="15">
        <v>1.0</v>
      </c>
      <c r="AV84" s="15">
        <v>1.0</v>
      </c>
      <c r="AW84" s="15">
        <v>2.0</v>
      </c>
      <c r="AY84" s="15">
        <v>69.0</v>
      </c>
      <c r="AZ84" s="22"/>
      <c r="BB84" s="22"/>
      <c r="BE84" s="22"/>
      <c r="BG84" s="22"/>
      <c r="BH84" s="12">
        <f t="shared" si="5"/>
        <v>124</v>
      </c>
    </row>
    <row r="85" ht="36.75" customHeight="1">
      <c r="A85" s="14">
        <v>42046.0</v>
      </c>
      <c r="B85" s="15" t="s">
        <v>1061</v>
      </c>
      <c r="C85" s="15" t="s">
        <v>1062</v>
      </c>
      <c r="D85" s="15" t="s">
        <v>1063</v>
      </c>
      <c r="E85" s="15" t="s">
        <v>1064</v>
      </c>
      <c r="F85" s="15">
        <v>28.568631</v>
      </c>
      <c r="G85" s="15">
        <v>-82.655156</v>
      </c>
      <c r="H85" s="15">
        <v>28.569006</v>
      </c>
      <c r="I85" s="17">
        <v>-82.656368</v>
      </c>
      <c r="J85" s="15" t="s">
        <v>1066</v>
      </c>
      <c r="K85" s="15" t="s">
        <v>1067</v>
      </c>
      <c r="L85" s="15">
        <v>1.0</v>
      </c>
      <c r="O85" s="15">
        <v>46.0</v>
      </c>
      <c r="Y85" s="15">
        <v>17.0</v>
      </c>
      <c r="Z85" s="15">
        <v>5.0</v>
      </c>
      <c r="AA85" s="15">
        <v>4.0</v>
      </c>
      <c r="AH85" s="15">
        <v>2.0</v>
      </c>
      <c r="AK85" s="15">
        <v>65.0</v>
      </c>
      <c r="AO85" s="15">
        <v>1.0</v>
      </c>
      <c r="AR85" s="15">
        <v>1.0</v>
      </c>
      <c r="AW85" s="15">
        <v>1029.0</v>
      </c>
      <c r="AY85" s="15">
        <v>348.0</v>
      </c>
      <c r="AZ85" s="15">
        <v>5.0</v>
      </c>
      <c r="BH85" s="12">
        <f t="shared" si="5"/>
        <v>1524</v>
      </c>
    </row>
    <row r="86" ht="36.75" customHeight="1">
      <c r="A86" s="14">
        <v>42046.0</v>
      </c>
      <c r="B86" s="18" t="s">
        <v>1061</v>
      </c>
      <c r="C86" s="18" t="s">
        <v>1062</v>
      </c>
      <c r="D86" s="18" t="s">
        <v>1071</v>
      </c>
      <c r="E86" s="18" t="s">
        <v>1064</v>
      </c>
      <c r="F86" s="18">
        <v>28.575778</v>
      </c>
      <c r="G86" s="18">
        <v>-82.651801</v>
      </c>
      <c r="H86" s="18">
        <v>28.575778</v>
      </c>
      <c r="I86" s="16">
        <v>-82.651801</v>
      </c>
      <c r="J86" s="20" t="s">
        <v>1073</v>
      </c>
      <c r="K86" s="15" t="s">
        <v>1067</v>
      </c>
      <c r="M86" s="22"/>
      <c r="O86" s="22"/>
      <c r="W86" s="22"/>
      <c r="AB86" s="22"/>
      <c r="AH86" s="15">
        <v>4.0</v>
      </c>
      <c r="AJ86" s="22"/>
      <c r="AY86" s="15">
        <v>18.0</v>
      </c>
      <c r="AZ86" s="22"/>
      <c r="BA86" s="22"/>
      <c r="BB86" s="22"/>
      <c r="BC86" s="15">
        <v>2.0</v>
      </c>
      <c r="BH86" s="12">
        <f t="shared" si="5"/>
        <v>24</v>
      </c>
    </row>
    <row r="87" ht="36.75" customHeight="1">
      <c r="A87" s="14">
        <v>42046.0</v>
      </c>
      <c r="B87" s="15" t="s">
        <v>1061</v>
      </c>
      <c r="C87" s="15" t="s">
        <v>1062</v>
      </c>
      <c r="D87" s="15" t="s">
        <v>1075</v>
      </c>
      <c r="E87" s="15" t="s">
        <v>1064</v>
      </c>
      <c r="F87" s="15">
        <v>28.534013</v>
      </c>
      <c r="G87" s="15">
        <v>-82.649882</v>
      </c>
      <c r="H87" s="15">
        <v>28.535766</v>
      </c>
      <c r="I87" s="17">
        <v>-82.661859</v>
      </c>
      <c r="J87" s="15" t="s">
        <v>1077</v>
      </c>
      <c r="K87" s="15" t="s">
        <v>1078</v>
      </c>
      <c r="AH87" s="15">
        <v>9.0</v>
      </c>
      <c r="AN87" s="15">
        <v>13.0</v>
      </c>
      <c r="AO87" s="15">
        <v>1.0</v>
      </c>
      <c r="AQ87" s="15">
        <v>34.0</v>
      </c>
      <c r="AW87" s="15">
        <v>27.0</v>
      </c>
      <c r="AY87" s="15">
        <v>10.0</v>
      </c>
      <c r="AZ87" s="15">
        <v>1.0</v>
      </c>
      <c r="BE87" s="15">
        <v>3.0</v>
      </c>
      <c r="BH87" s="12">
        <f t="shared" si="5"/>
        <v>98</v>
      </c>
    </row>
    <row r="88" ht="36.75" customHeight="1">
      <c r="A88" s="14">
        <v>42046.0</v>
      </c>
      <c r="B88" s="15" t="s">
        <v>1083</v>
      </c>
      <c r="C88" s="15" t="s">
        <v>1084</v>
      </c>
      <c r="D88" s="15" t="s">
        <v>1085</v>
      </c>
      <c r="E88" s="15" t="s">
        <v>1064</v>
      </c>
      <c r="F88" s="15" t="s">
        <v>1086</v>
      </c>
      <c r="G88" s="15">
        <v>-82.483625</v>
      </c>
      <c r="H88" s="15" t="s">
        <v>1086</v>
      </c>
      <c r="I88" s="17">
        <v>-82.483625</v>
      </c>
      <c r="J88" s="18" t="s">
        <v>1088</v>
      </c>
      <c r="K88" s="15" t="s">
        <v>1090</v>
      </c>
      <c r="Q88" s="15">
        <v>5.0</v>
      </c>
      <c r="R88" s="15">
        <v>13.0</v>
      </c>
      <c r="S88" s="15">
        <v>3.0</v>
      </c>
      <c r="U88" s="15">
        <v>6.0</v>
      </c>
      <c r="AY88" s="15">
        <v>11.0</v>
      </c>
      <c r="BH88" s="12">
        <f t="shared" si="5"/>
        <v>38</v>
      </c>
    </row>
    <row r="89" ht="36.75" customHeight="1">
      <c r="A89" s="14">
        <v>42046.0</v>
      </c>
      <c r="B89" s="15" t="s">
        <v>961</v>
      </c>
      <c r="C89" s="15" t="s">
        <v>1095</v>
      </c>
      <c r="D89" s="15" t="s">
        <v>1096</v>
      </c>
      <c r="E89" s="15" t="s">
        <v>1098</v>
      </c>
      <c r="F89" s="15" t="s">
        <v>1099</v>
      </c>
      <c r="G89" s="15" t="s">
        <v>1100</v>
      </c>
      <c r="H89" s="15" t="s">
        <v>1101</v>
      </c>
      <c r="I89" s="17" t="s">
        <v>1102</v>
      </c>
      <c r="J89" s="15" t="s">
        <v>1103</v>
      </c>
      <c r="K89" s="15" t="s">
        <v>1104</v>
      </c>
      <c r="P89" s="15">
        <v>13.0</v>
      </c>
      <c r="Q89" s="15">
        <v>32.0</v>
      </c>
      <c r="R89" s="15">
        <v>1.0</v>
      </c>
      <c r="S89" s="15">
        <v>16.0</v>
      </c>
      <c r="BH89" s="12">
        <f t="shared" si="5"/>
        <v>62</v>
      </c>
      <c r="BI89" s="15" t="s">
        <v>1107</v>
      </c>
    </row>
    <row r="90" ht="36.75" customHeight="1">
      <c r="A90" s="14">
        <v>42043.0</v>
      </c>
      <c r="B90" s="15" t="s">
        <v>1110</v>
      </c>
      <c r="C90" s="15" t="s">
        <v>1111</v>
      </c>
      <c r="D90" s="15" t="s">
        <v>1113</v>
      </c>
      <c r="E90" s="15" t="s">
        <v>1114</v>
      </c>
      <c r="F90" s="15">
        <v>27.9315</v>
      </c>
      <c r="G90" s="15">
        <v>-82.4284</v>
      </c>
      <c r="H90" s="15">
        <v>27.9453</v>
      </c>
      <c r="I90" s="17">
        <v>-82.4183</v>
      </c>
      <c r="J90" s="15" t="s">
        <v>1115</v>
      </c>
      <c r="K90" s="15" t="s">
        <v>1117</v>
      </c>
      <c r="L90" s="15">
        <v>1.0</v>
      </c>
      <c r="M90" s="15">
        <v>0.0</v>
      </c>
      <c r="N90" s="15">
        <v>0.0</v>
      </c>
      <c r="O90" s="15">
        <v>0.0</v>
      </c>
      <c r="P90" s="15">
        <v>0.0</v>
      </c>
      <c r="Q90" s="15">
        <v>0.0</v>
      </c>
      <c r="R90" s="15">
        <v>0.0</v>
      </c>
      <c r="S90" s="15">
        <v>0.0</v>
      </c>
      <c r="T90" s="15">
        <v>0.0</v>
      </c>
      <c r="U90" s="15">
        <v>0.0</v>
      </c>
      <c r="V90" s="15">
        <v>0.0</v>
      </c>
      <c r="W90" s="15">
        <v>0.0</v>
      </c>
      <c r="X90" s="15">
        <v>0.0</v>
      </c>
      <c r="Y90" s="15">
        <v>0.0</v>
      </c>
      <c r="Z90" s="15">
        <v>0.0</v>
      </c>
      <c r="AA90" s="15">
        <v>0.0</v>
      </c>
      <c r="AB90" s="15">
        <v>0.0</v>
      </c>
      <c r="AC90" s="15">
        <v>0.0</v>
      </c>
      <c r="AD90" s="15">
        <v>0.0</v>
      </c>
      <c r="AE90" s="15">
        <v>3.0</v>
      </c>
      <c r="AF90" s="15">
        <v>0.0</v>
      </c>
      <c r="AG90" s="15">
        <v>0.0</v>
      </c>
      <c r="AH90" s="15">
        <v>2.0</v>
      </c>
      <c r="AI90" s="15">
        <v>0.0</v>
      </c>
      <c r="AJ90" s="15">
        <v>0.0</v>
      </c>
      <c r="AK90" s="15">
        <v>0.0</v>
      </c>
      <c r="AL90" s="15">
        <v>0.0</v>
      </c>
      <c r="AM90" s="15">
        <v>0.0</v>
      </c>
      <c r="AN90" s="15">
        <v>4.0</v>
      </c>
      <c r="AO90" s="15">
        <v>0.0</v>
      </c>
      <c r="AP90" s="15">
        <v>0.0</v>
      </c>
      <c r="AQ90" s="15">
        <v>22.0</v>
      </c>
      <c r="AR90" s="15">
        <v>0.0</v>
      </c>
      <c r="AS90" s="15">
        <v>0.0</v>
      </c>
      <c r="AT90" s="15">
        <v>0.0</v>
      </c>
      <c r="AU90" s="15">
        <v>0.0</v>
      </c>
      <c r="AV90" s="15">
        <v>1.0</v>
      </c>
      <c r="AW90" s="15">
        <v>64.0</v>
      </c>
      <c r="AX90" s="15">
        <v>0.0</v>
      </c>
      <c r="AY90" s="15">
        <v>21.0</v>
      </c>
      <c r="AZ90" s="15">
        <v>0.0</v>
      </c>
      <c r="BA90" s="15">
        <v>0.0</v>
      </c>
      <c r="BB90" s="15">
        <v>0.0</v>
      </c>
      <c r="BC90" s="15">
        <v>0.0</v>
      </c>
      <c r="BD90" s="15">
        <v>0.0</v>
      </c>
      <c r="BE90" s="15">
        <v>0.0</v>
      </c>
      <c r="BF90" s="15">
        <v>0.0</v>
      </c>
      <c r="BH90" s="12">
        <f t="shared" si="5"/>
        <v>118</v>
      </c>
    </row>
    <row r="91" ht="36.75" customHeight="1">
      <c r="A91" s="14">
        <v>42043.0</v>
      </c>
      <c r="B91" s="15" t="s">
        <v>1110</v>
      </c>
      <c r="C91" s="15" t="s">
        <v>1111</v>
      </c>
      <c r="D91" s="15" t="s">
        <v>1125</v>
      </c>
      <c r="E91" s="15" t="s">
        <v>1114</v>
      </c>
      <c r="F91" s="15">
        <v>27.7395</v>
      </c>
      <c r="G91" s="15">
        <v>-82.4696</v>
      </c>
      <c r="H91" s="15">
        <v>27.7487</v>
      </c>
      <c r="I91" s="17">
        <v>-82.467</v>
      </c>
      <c r="J91" s="15" t="s">
        <v>1130</v>
      </c>
      <c r="K91" s="15" t="s">
        <v>1117</v>
      </c>
      <c r="L91" s="15">
        <v>0.0</v>
      </c>
      <c r="M91" s="15">
        <v>0.0</v>
      </c>
      <c r="N91" s="15">
        <v>0.0</v>
      </c>
      <c r="O91" s="15">
        <v>0.0</v>
      </c>
      <c r="P91" s="15">
        <v>0.0</v>
      </c>
      <c r="Q91" s="15">
        <v>0.0</v>
      </c>
      <c r="R91" s="15">
        <v>4.0</v>
      </c>
      <c r="S91" s="15">
        <v>0.0</v>
      </c>
      <c r="T91" s="15">
        <v>0.0</v>
      </c>
      <c r="U91" s="15">
        <v>0.0</v>
      </c>
      <c r="V91" s="15">
        <v>0.0</v>
      </c>
      <c r="W91" s="15">
        <v>0.0</v>
      </c>
      <c r="X91" s="15">
        <v>0.0</v>
      </c>
      <c r="Y91" s="15">
        <v>0.0</v>
      </c>
      <c r="Z91" s="15">
        <v>0.0</v>
      </c>
      <c r="AA91" s="15">
        <v>4.0</v>
      </c>
      <c r="AB91" s="15">
        <v>0.0</v>
      </c>
      <c r="AC91" s="15">
        <v>0.0</v>
      </c>
      <c r="AD91" s="15">
        <v>0.0</v>
      </c>
      <c r="AE91" s="15">
        <v>0.0</v>
      </c>
      <c r="AF91" s="15">
        <v>0.0</v>
      </c>
      <c r="AG91" s="15">
        <v>0.0</v>
      </c>
      <c r="AH91" s="15">
        <v>1.0</v>
      </c>
      <c r="AI91" s="15">
        <v>0.0</v>
      </c>
      <c r="AJ91" s="15">
        <v>0.0</v>
      </c>
      <c r="AK91" s="15">
        <v>0.0</v>
      </c>
      <c r="AL91" s="15">
        <v>0.0</v>
      </c>
      <c r="AM91" s="15">
        <v>0.0</v>
      </c>
      <c r="AN91" s="15">
        <v>16.0</v>
      </c>
      <c r="AO91" s="15">
        <v>0.0</v>
      </c>
      <c r="AP91" s="15">
        <v>0.0</v>
      </c>
      <c r="AQ91" s="15">
        <v>5.0</v>
      </c>
      <c r="AR91" s="15">
        <v>3.0</v>
      </c>
      <c r="AS91" s="15">
        <v>0.0</v>
      </c>
      <c r="AT91" s="15">
        <v>0.0</v>
      </c>
      <c r="AU91" s="15">
        <v>0.0</v>
      </c>
      <c r="AV91" s="15">
        <v>0.0</v>
      </c>
      <c r="AW91" s="15">
        <v>44.0</v>
      </c>
      <c r="AX91" s="15">
        <v>0.0</v>
      </c>
      <c r="AY91" s="15">
        <v>15.0</v>
      </c>
      <c r="AZ91" s="15">
        <v>1.0</v>
      </c>
      <c r="BA91" s="15">
        <v>0.0</v>
      </c>
      <c r="BB91" s="15">
        <v>0.0</v>
      </c>
      <c r="BC91" s="15">
        <v>6.0</v>
      </c>
      <c r="BD91" s="15">
        <v>0.0</v>
      </c>
      <c r="BE91" s="15">
        <v>0.0</v>
      </c>
      <c r="BF91" s="15">
        <v>0.0</v>
      </c>
      <c r="BH91" s="12">
        <f t="shared" si="5"/>
        <v>99</v>
      </c>
    </row>
    <row r="92" ht="36.75" customHeight="1">
      <c r="A92" s="14">
        <v>42047.0</v>
      </c>
      <c r="B92" s="15" t="s">
        <v>1139</v>
      </c>
      <c r="C92" s="15" t="s">
        <v>151</v>
      </c>
      <c r="D92" s="15" t="s">
        <v>1140</v>
      </c>
      <c r="E92" s="15" t="s">
        <v>1114</v>
      </c>
      <c r="F92" s="15">
        <v>27.58623</v>
      </c>
      <c r="G92" s="15">
        <v>-82.76057</v>
      </c>
      <c r="H92" s="15">
        <v>27.58623</v>
      </c>
      <c r="I92" s="17">
        <v>-82.76057</v>
      </c>
      <c r="J92" s="15" t="s">
        <v>1143</v>
      </c>
      <c r="K92" s="15" t="s">
        <v>1144</v>
      </c>
      <c r="L92" s="15">
        <v>9.0</v>
      </c>
      <c r="M92" s="15">
        <v>0.0</v>
      </c>
      <c r="N92" s="15">
        <v>3.0</v>
      </c>
      <c r="O92" s="15">
        <v>0.0</v>
      </c>
      <c r="P92" s="15">
        <v>0.0</v>
      </c>
      <c r="Q92" s="15">
        <v>0.0</v>
      </c>
      <c r="R92" s="15">
        <v>0.0</v>
      </c>
      <c r="S92" s="15">
        <v>0.0</v>
      </c>
      <c r="T92" s="15">
        <v>0.0</v>
      </c>
      <c r="U92" s="15">
        <v>0.0</v>
      </c>
      <c r="V92" s="15">
        <v>0.0</v>
      </c>
      <c r="W92" s="15">
        <v>0.0</v>
      </c>
      <c r="X92" s="15">
        <v>0.0</v>
      </c>
      <c r="Y92" s="15">
        <v>10.0</v>
      </c>
      <c r="Z92" s="15">
        <v>0.0</v>
      </c>
      <c r="AA92" s="15">
        <v>0.0</v>
      </c>
      <c r="AB92" s="15">
        <v>0.0</v>
      </c>
      <c r="AC92" s="15">
        <v>0.0</v>
      </c>
      <c r="AD92" s="15">
        <v>0.0</v>
      </c>
      <c r="AE92" s="15">
        <v>0.0</v>
      </c>
      <c r="AF92" s="15">
        <v>0.0</v>
      </c>
      <c r="AG92" s="15">
        <v>0.0</v>
      </c>
      <c r="AH92" s="15">
        <v>24.0</v>
      </c>
      <c r="AI92" s="15">
        <v>0.0</v>
      </c>
      <c r="AJ92" s="15">
        <v>0.0</v>
      </c>
      <c r="AK92" s="15">
        <v>0.0</v>
      </c>
      <c r="AL92" s="15">
        <v>0.0</v>
      </c>
      <c r="AM92" s="15">
        <v>0.0</v>
      </c>
      <c r="AN92" s="15">
        <v>22.0</v>
      </c>
      <c r="AO92" s="15">
        <v>0.0</v>
      </c>
      <c r="AP92" s="15">
        <v>0.0</v>
      </c>
      <c r="AQ92" s="15">
        <v>16.0</v>
      </c>
      <c r="AR92" s="15">
        <v>1.0</v>
      </c>
      <c r="AS92" s="15">
        <v>0.0</v>
      </c>
      <c r="AT92" s="15">
        <v>0.0</v>
      </c>
      <c r="AU92" s="15">
        <v>0.0</v>
      </c>
      <c r="AV92" s="15">
        <v>8.0</v>
      </c>
      <c r="AW92" s="15">
        <v>965.0</v>
      </c>
      <c r="AX92" s="15">
        <v>0.0</v>
      </c>
      <c r="AY92" s="15">
        <v>9.0</v>
      </c>
      <c r="AZ92" s="15">
        <v>20.0</v>
      </c>
      <c r="BA92" s="15">
        <v>0.0</v>
      </c>
      <c r="BB92" s="15">
        <v>0.0</v>
      </c>
      <c r="BC92" s="15">
        <v>0.0</v>
      </c>
      <c r="BD92" s="15">
        <v>0.0</v>
      </c>
      <c r="BE92" s="15">
        <v>0.0</v>
      </c>
      <c r="BF92" s="15">
        <v>0.0</v>
      </c>
      <c r="BH92" s="12">
        <f t="shared" si="5"/>
        <v>1087</v>
      </c>
    </row>
    <row r="93" ht="36.75" customHeight="1">
      <c r="A93" s="26">
        <v>42047.0</v>
      </c>
      <c r="B93" s="18" t="s">
        <v>1146</v>
      </c>
      <c r="C93" s="18" t="s">
        <v>1147</v>
      </c>
      <c r="D93" s="18" t="s">
        <v>1148</v>
      </c>
      <c r="E93" s="18" t="s">
        <v>1114</v>
      </c>
      <c r="F93" s="18" t="s">
        <v>1149</v>
      </c>
      <c r="G93" s="18" t="s">
        <v>1150</v>
      </c>
      <c r="H93" s="18" t="s">
        <v>1151</v>
      </c>
      <c r="I93" s="16" t="s">
        <v>1152</v>
      </c>
      <c r="J93" s="20" t="s">
        <v>1153</v>
      </c>
      <c r="K93" s="15" t="s">
        <v>1154</v>
      </c>
      <c r="L93" s="15">
        <v>9.0</v>
      </c>
      <c r="M93" s="18">
        <v>0.0</v>
      </c>
      <c r="N93" s="15">
        <v>3.0</v>
      </c>
      <c r="O93" s="18">
        <v>0.0</v>
      </c>
      <c r="P93" s="15">
        <v>0.0</v>
      </c>
      <c r="Q93" s="15">
        <v>0.0</v>
      </c>
      <c r="R93" s="15">
        <v>0.0</v>
      </c>
      <c r="S93" s="15">
        <v>0.0</v>
      </c>
      <c r="T93" s="15">
        <v>0.0</v>
      </c>
      <c r="U93" s="15">
        <v>0.0</v>
      </c>
      <c r="V93" s="15">
        <v>0.0</v>
      </c>
      <c r="W93" s="18">
        <v>0.0</v>
      </c>
      <c r="X93" s="15">
        <v>0.0</v>
      </c>
      <c r="Y93" s="15">
        <v>10.0</v>
      </c>
      <c r="Z93" s="15">
        <v>0.0</v>
      </c>
      <c r="AA93" s="15">
        <v>0.0</v>
      </c>
      <c r="AB93" s="15">
        <v>0.0</v>
      </c>
      <c r="AC93" s="15">
        <v>0.0</v>
      </c>
      <c r="AD93" s="15">
        <v>0.0</v>
      </c>
      <c r="AE93" s="15">
        <v>0.0</v>
      </c>
      <c r="AF93" s="15">
        <v>0.0</v>
      </c>
      <c r="AG93" s="15">
        <v>0.0</v>
      </c>
      <c r="AH93" s="15">
        <v>36.0</v>
      </c>
      <c r="AI93" s="15">
        <v>0.0</v>
      </c>
      <c r="AJ93" s="15">
        <v>0.0</v>
      </c>
      <c r="AK93" s="15">
        <v>0.0</v>
      </c>
      <c r="AL93" s="15">
        <v>0.0</v>
      </c>
      <c r="AM93" s="15">
        <v>0.0</v>
      </c>
      <c r="AN93" s="15">
        <v>22.0</v>
      </c>
      <c r="AO93" s="15">
        <v>0.0</v>
      </c>
      <c r="AP93" s="15">
        <v>0.0</v>
      </c>
      <c r="AQ93" s="15">
        <v>26.0</v>
      </c>
      <c r="AR93" s="15">
        <v>1.0</v>
      </c>
      <c r="AS93" s="15">
        <v>0.0</v>
      </c>
      <c r="AT93" s="15">
        <v>0.0</v>
      </c>
      <c r="AU93" s="15">
        <v>0.0</v>
      </c>
      <c r="AV93" s="15">
        <v>8.0</v>
      </c>
      <c r="AW93" s="15">
        <v>1140.0</v>
      </c>
      <c r="AX93" s="15">
        <v>0.0</v>
      </c>
      <c r="AY93" s="15">
        <v>1.0</v>
      </c>
      <c r="AZ93" s="18">
        <v>24.0</v>
      </c>
      <c r="BA93" s="15">
        <v>0.0</v>
      </c>
      <c r="BB93" s="18">
        <v>0.0</v>
      </c>
      <c r="BC93" s="15">
        <v>0.0</v>
      </c>
      <c r="BD93" s="15">
        <v>0.0</v>
      </c>
      <c r="BE93" s="15">
        <v>0.0</v>
      </c>
      <c r="BF93" s="15">
        <v>0.0</v>
      </c>
      <c r="BG93" s="18">
        <v>0.0</v>
      </c>
      <c r="BH93" s="18">
        <v>1280.0</v>
      </c>
    </row>
    <row r="94" ht="36.75" customHeight="1">
      <c r="A94" s="14">
        <v>42044.0</v>
      </c>
      <c r="B94" s="15" t="s">
        <v>214</v>
      </c>
      <c r="C94" s="15" t="s">
        <v>1158</v>
      </c>
      <c r="D94" s="15" t="s">
        <v>1159</v>
      </c>
      <c r="E94" s="15" t="s">
        <v>1160</v>
      </c>
      <c r="F94" s="15" t="s">
        <v>1161</v>
      </c>
      <c r="G94" s="15" t="s">
        <v>1162</v>
      </c>
      <c r="H94" s="15" t="s">
        <v>1163</v>
      </c>
      <c r="I94" s="17" t="s">
        <v>1165</v>
      </c>
      <c r="J94" s="15" t="s">
        <v>1167</v>
      </c>
      <c r="K94" s="15" t="s">
        <v>1168</v>
      </c>
      <c r="Y94" s="15">
        <v>21.0</v>
      </c>
      <c r="Z94" s="15">
        <v>14.0</v>
      </c>
      <c r="AH94" s="15">
        <v>5.0</v>
      </c>
      <c r="AL94" s="15">
        <v>1.0</v>
      </c>
      <c r="AN94" s="15">
        <v>4.0</v>
      </c>
      <c r="AQ94" s="15">
        <v>1.0</v>
      </c>
      <c r="AR94" s="15">
        <v>1.0</v>
      </c>
      <c r="AV94" s="15">
        <v>6.0</v>
      </c>
      <c r="AY94" s="15">
        <v>22.0</v>
      </c>
      <c r="AZ94" s="15">
        <v>7.0</v>
      </c>
      <c r="BH94" s="12">
        <f t="shared" ref="BH94:BH102" si="6">SUM(L94:BG94)</f>
        <v>82</v>
      </c>
      <c r="BI94" s="15" t="s">
        <v>1180</v>
      </c>
    </row>
    <row r="95" ht="36.75" customHeight="1">
      <c r="A95" s="14">
        <v>42044.0</v>
      </c>
      <c r="B95" s="15" t="s">
        <v>214</v>
      </c>
      <c r="C95" s="15" t="s">
        <v>1182</v>
      </c>
      <c r="D95" s="15" t="s">
        <v>1183</v>
      </c>
      <c r="E95" s="15" t="s">
        <v>1160</v>
      </c>
      <c r="F95" s="15" t="s">
        <v>1163</v>
      </c>
      <c r="G95" s="15" t="s">
        <v>1165</v>
      </c>
      <c r="H95" s="15" t="s">
        <v>1184</v>
      </c>
      <c r="I95" s="17" t="s">
        <v>1185</v>
      </c>
      <c r="J95" s="15" t="s">
        <v>1186</v>
      </c>
      <c r="K95" s="15" t="s">
        <v>1187</v>
      </c>
      <c r="Z95" s="15">
        <v>43.0</v>
      </c>
      <c r="AA95" s="15" t="s">
        <v>1189</v>
      </c>
      <c r="AH95" s="15">
        <v>16.0</v>
      </c>
      <c r="AN95" s="15">
        <v>2.0</v>
      </c>
      <c r="AY95" s="15">
        <v>8.0</v>
      </c>
      <c r="BH95" s="12">
        <f t="shared" si="6"/>
        <v>69</v>
      </c>
      <c r="BI95" s="15" t="s">
        <v>1191</v>
      </c>
    </row>
    <row r="96" ht="36.75" customHeight="1">
      <c r="A96" s="14">
        <v>42045.0</v>
      </c>
      <c r="B96" s="15" t="s">
        <v>1193</v>
      </c>
      <c r="C96" s="15" t="s">
        <v>1195</v>
      </c>
      <c r="D96" s="15" t="s">
        <v>1196</v>
      </c>
      <c r="E96" s="15" t="s">
        <v>1160</v>
      </c>
      <c r="F96" s="15">
        <v>27.85980346</v>
      </c>
      <c r="G96" s="15">
        <v>-80.44711897</v>
      </c>
      <c r="H96" s="15">
        <v>27.83613003</v>
      </c>
      <c r="I96" s="17">
        <v>-80.43452198</v>
      </c>
      <c r="J96" s="15" t="s">
        <v>1199</v>
      </c>
      <c r="K96" s="15" t="s">
        <v>1201</v>
      </c>
      <c r="L96" s="15">
        <v>0.0</v>
      </c>
      <c r="M96" s="15">
        <v>0.0</v>
      </c>
      <c r="N96" s="15">
        <v>0.0</v>
      </c>
      <c r="O96" s="15">
        <v>0.0</v>
      </c>
      <c r="P96" s="15">
        <v>0.0</v>
      </c>
      <c r="Q96" s="15">
        <v>0.0</v>
      </c>
      <c r="R96" s="15">
        <v>0.0</v>
      </c>
      <c r="S96" s="15">
        <v>0.0</v>
      </c>
      <c r="T96" s="15">
        <v>0.0</v>
      </c>
      <c r="U96" s="15">
        <v>0.0</v>
      </c>
      <c r="V96" s="15">
        <v>0.0</v>
      </c>
      <c r="W96" s="15">
        <v>0.0</v>
      </c>
      <c r="X96" s="15">
        <v>0.0</v>
      </c>
      <c r="Y96" s="15">
        <v>12.0</v>
      </c>
      <c r="Z96" s="15">
        <v>31.0</v>
      </c>
      <c r="AA96" s="15">
        <v>0.0</v>
      </c>
      <c r="AB96" s="15">
        <v>0.0</v>
      </c>
      <c r="AC96" s="15">
        <v>0.0</v>
      </c>
      <c r="AD96" s="15">
        <v>0.0</v>
      </c>
      <c r="AE96" s="15">
        <v>0.0</v>
      </c>
      <c r="AF96" s="15">
        <v>0.0</v>
      </c>
      <c r="AG96" s="15">
        <v>0.0</v>
      </c>
      <c r="AH96" s="15">
        <v>9.0</v>
      </c>
      <c r="AI96" s="15">
        <v>0.0</v>
      </c>
      <c r="AJ96" s="15">
        <v>0.0</v>
      </c>
      <c r="AK96" s="15">
        <v>0.0</v>
      </c>
      <c r="AL96" s="15">
        <v>0.0</v>
      </c>
      <c r="AM96" s="15">
        <v>0.0</v>
      </c>
      <c r="AN96" s="15">
        <v>0.0</v>
      </c>
      <c r="AO96" s="15">
        <v>0.0</v>
      </c>
      <c r="AP96" s="15">
        <v>0.0</v>
      </c>
      <c r="AQ96" s="15">
        <v>0.0</v>
      </c>
      <c r="AR96" s="15">
        <v>1.0</v>
      </c>
      <c r="AS96" s="15">
        <v>0.0</v>
      </c>
      <c r="AT96" s="15">
        <v>0.0</v>
      </c>
      <c r="AU96" s="15">
        <v>2.0</v>
      </c>
      <c r="AV96" s="15">
        <v>3.0</v>
      </c>
      <c r="AW96" s="15">
        <v>0.0</v>
      </c>
      <c r="AX96" s="15">
        <v>0.0</v>
      </c>
      <c r="AY96" s="15">
        <v>19.0</v>
      </c>
      <c r="AZ96" s="15">
        <v>4.0</v>
      </c>
      <c r="BA96" s="15">
        <v>0.0</v>
      </c>
      <c r="BB96" s="15">
        <v>0.0</v>
      </c>
      <c r="BC96" s="15">
        <v>0.0</v>
      </c>
      <c r="BD96" s="15">
        <v>0.0</v>
      </c>
      <c r="BE96" s="15">
        <v>0.0</v>
      </c>
      <c r="BF96" s="15">
        <v>0.0</v>
      </c>
      <c r="BH96" s="12">
        <f t="shared" si="6"/>
        <v>81</v>
      </c>
      <c r="BI96" s="15" t="s">
        <v>1208</v>
      </c>
    </row>
    <row r="97" ht="36.75" customHeight="1">
      <c r="A97" s="14">
        <v>42045.0</v>
      </c>
      <c r="B97" s="15" t="s">
        <v>1210</v>
      </c>
      <c r="C97" s="15" t="s">
        <v>1211</v>
      </c>
      <c r="D97" s="15" t="s">
        <v>1212</v>
      </c>
      <c r="E97" s="15" t="s">
        <v>1160</v>
      </c>
      <c r="F97" s="18">
        <v>27.653333</v>
      </c>
      <c r="G97" s="18">
        <v>-80.355556</v>
      </c>
      <c r="H97" s="15">
        <v>27.6325</v>
      </c>
      <c r="I97" s="15">
        <v>-80.35028</v>
      </c>
      <c r="J97" s="15" t="s">
        <v>1214</v>
      </c>
      <c r="K97" s="15" t="s">
        <v>1215</v>
      </c>
      <c r="N97" s="15">
        <v>9.0</v>
      </c>
      <c r="Y97" s="15">
        <v>4.0</v>
      </c>
      <c r="Z97" s="15">
        <v>19.0</v>
      </c>
      <c r="AV97" s="15">
        <v>1.0</v>
      </c>
      <c r="AW97" s="15">
        <v>36.0</v>
      </c>
      <c r="AY97" s="15">
        <v>57.0</v>
      </c>
      <c r="AZ97" s="15">
        <v>37.0</v>
      </c>
      <c r="BH97" s="12">
        <f t="shared" si="6"/>
        <v>163</v>
      </c>
    </row>
    <row r="98" ht="36.75" customHeight="1">
      <c r="A98" s="26">
        <v>42046.0</v>
      </c>
      <c r="B98" s="18" t="s">
        <v>1219</v>
      </c>
      <c r="C98" s="18" t="s">
        <v>1221</v>
      </c>
      <c r="D98" s="18" t="s">
        <v>1223</v>
      </c>
      <c r="E98" s="18" t="s">
        <v>1160</v>
      </c>
      <c r="F98" s="16" t="s">
        <v>1224</v>
      </c>
      <c r="G98" s="16" t="s">
        <v>1225</v>
      </c>
      <c r="H98" s="16" t="s">
        <v>1226</v>
      </c>
      <c r="I98" s="17" t="s">
        <v>1227</v>
      </c>
      <c r="J98" s="15" t="s">
        <v>1228</v>
      </c>
      <c r="K98" s="15" t="s">
        <v>1229</v>
      </c>
      <c r="L98" s="15">
        <v>2.0</v>
      </c>
      <c r="M98" s="22"/>
      <c r="AN98" s="15">
        <v>29.0</v>
      </c>
      <c r="AQ98" s="15">
        <v>97.0</v>
      </c>
      <c r="AY98" s="15">
        <v>7.0</v>
      </c>
      <c r="BG98" s="22"/>
      <c r="BH98" s="12">
        <f t="shared" si="6"/>
        <v>135</v>
      </c>
    </row>
    <row r="99" ht="36.75" customHeight="1">
      <c r="A99" s="26">
        <v>42041.0</v>
      </c>
      <c r="B99" s="18" t="s">
        <v>250</v>
      </c>
      <c r="C99" s="18" t="s">
        <v>251</v>
      </c>
      <c r="D99" s="18" t="s">
        <v>1230</v>
      </c>
      <c r="E99" s="18" t="s">
        <v>253</v>
      </c>
      <c r="F99" s="18">
        <v>26.46573</v>
      </c>
      <c r="G99" s="18">
        <v>-81.96758</v>
      </c>
      <c r="H99" s="15">
        <v>26.4421</v>
      </c>
      <c r="I99" s="15">
        <v>-81.93179</v>
      </c>
      <c r="J99" s="15" t="s">
        <v>1231</v>
      </c>
      <c r="K99" s="15" t="s">
        <v>1232</v>
      </c>
      <c r="W99" s="15">
        <v>15.0</v>
      </c>
      <c r="Y99" s="15">
        <v>6.0</v>
      </c>
      <c r="Z99" s="15">
        <v>336.0</v>
      </c>
      <c r="AD99" s="15">
        <v>2.0</v>
      </c>
      <c r="AF99" s="15">
        <v>1.0</v>
      </c>
      <c r="AH99" s="15">
        <v>36.0</v>
      </c>
      <c r="AN99" s="15">
        <v>6.0</v>
      </c>
      <c r="AQ99" s="15">
        <v>2.0</v>
      </c>
      <c r="AR99" s="15">
        <v>2.0</v>
      </c>
      <c r="AW99" s="15">
        <v>110.0</v>
      </c>
      <c r="AY99" s="15">
        <v>29.0</v>
      </c>
      <c r="AZ99" s="15">
        <v>13.0</v>
      </c>
      <c r="BA99" s="15">
        <v>2.0</v>
      </c>
      <c r="BH99" s="12">
        <f t="shared" si="6"/>
        <v>560</v>
      </c>
      <c r="BI99" s="15" t="s">
        <v>1236</v>
      </c>
    </row>
    <row r="100" ht="36.75" customHeight="1">
      <c r="A100" s="26">
        <v>42041.0</v>
      </c>
      <c r="B100" s="18" t="s">
        <v>250</v>
      </c>
      <c r="C100" s="18" t="s">
        <v>251</v>
      </c>
      <c r="D100" s="18" t="s">
        <v>1237</v>
      </c>
      <c r="E100" s="18" t="s">
        <v>253</v>
      </c>
      <c r="F100" s="18">
        <v>26.4421</v>
      </c>
      <c r="G100" s="18">
        <v>-81.93179</v>
      </c>
      <c r="H100" s="15">
        <v>26.41581</v>
      </c>
      <c r="I100" s="15">
        <v>-81.90487</v>
      </c>
      <c r="J100" s="15" t="s">
        <v>1238</v>
      </c>
      <c r="K100" s="15" t="s">
        <v>1239</v>
      </c>
      <c r="L100" s="22"/>
      <c r="M100" s="22"/>
      <c r="N100" s="18">
        <v>14.0</v>
      </c>
      <c r="O100" s="22"/>
      <c r="P100" s="22"/>
      <c r="Q100" s="22"/>
      <c r="R100" s="22"/>
      <c r="S100" s="22"/>
      <c r="T100" s="22"/>
      <c r="U100" s="22"/>
      <c r="V100" s="22"/>
      <c r="W100" s="22"/>
      <c r="X100" s="22"/>
      <c r="Y100" s="18">
        <v>30.0</v>
      </c>
      <c r="Z100" s="18">
        <v>29.0</v>
      </c>
      <c r="AA100" s="18">
        <v>1.0</v>
      </c>
      <c r="AB100" s="22"/>
      <c r="AC100" s="22"/>
      <c r="AD100" s="22"/>
      <c r="AE100" s="22"/>
      <c r="AF100" s="22"/>
      <c r="AG100" s="22"/>
      <c r="AH100" s="18">
        <v>26.0</v>
      </c>
      <c r="AI100" s="22"/>
      <c r="AJ100" s="22"/>
      <c r="AK100" s="22"/>
      <c r="AL100" s="22"/>
      <c r="AM100" s="22"/>
      <c r="AN100" s="18">
        <v>2.0</v>
      </c>
      <c r="AO100" s="22"/>
      <c r="AP100" s="22"/>
      <c r="AQ100" s="22"/>
      <c r="AR100" s="22"/>
      <c r="AS100" s="22"/>
      <c r="AT100" s="22"/>
      <c r="AU100" s="22"/>
      <c r="AV100" s="18">
        <v>1.0</v>
      </c>
      <c r="AW100" s="18">
        <v>9.0</v>
      </c>
      <c r="AX100" s="22"/>
      <c r="AY100" s="18">
        <v>31.0</v>
      </c>
      <c r="AZ100" s="18">
        <v>3.0</v>
      </c>
      <c r="BA100" s="22"/>
      <c r="BB100" s="22"/>
      <c r="BC100" s="22"/>
      <c r="BD100" s="22"/>
      <c r="BE100" s="22"/>
      <c r="BF100" s="22"/>
      <c r="BH100" s="12">
        <f t="shared" si="6"/>
        <v>146</v>
      </c>
      <c r="BI100" s="15" t="s">
        <v>1248</v>
      </c>
    </row>
    <row r="101" ht="36.75" customHeight="1">
      <c r="A101" s="26">
        <v>42042.0</v>
      </c>
      <c r="B101" s="18" t="s">
        <v>1251</v>
      </c>
      <c r="C101" s="18" t="s">
        <v>1252</v>
      </c>
      <c r="D101" s="18" t="s">
        <v>1253</v>
      </c>
      <c r="E101" s="18" t="s">
        <v>253</v>
      </c>
      <c r="F101" s="18">
        <v>26.479677</v>
      </c>
      <c r="G101" s="18">
        <v>-81.982684</v>
      </c>
      <c r="H101" s="15">
        <v>26.467461</v>
      </c>
      <c r="I101" s="15">
        <v>-81.956677</v>
      </c>
      <c r="J101" s="15" t="s">
        <v>1255</v>
      </c>
      <c r="K101" s="15" t="s">
        <v>1256</v>
      </c>
      <c r="L101" s="22"/>
      <c r="M101" s="22"/>
      <c r="N101" s="18">
        <v>8.0</v>
      </c>
      <c r="O101" s="18">
        <v>200.0</v>
      </c>
      <c r="P101" s="22"/>
      <c r="Q101" s="22"/>
      <c r="R101" s="18">
        <v>54.0</v>
      </c>
      <c r="S101" s="22"/>
      <c r="T101" s="18">
        <v>1.0</v>
      </c>
      <c r="U101" s="22"/>
      <c r="V101" s="18">
        <v>20.0</v>
      </c>
      <c r="W101" s="18">
        <v>15.0</v>
      </c>
      <c r="X101" s="22"/>
      <c r="Y101" s="18">
        <v>12.0</v>
      </c>
      <c r="Z101" s="18">
        <v>43.0</v>
      </c>
      <c r="AA101" s="18">
        <v>23.0</v>
      </c>
      <c r="AB101" s="22"/>
      <c r="AC101" s="18">
        <v>226.0</v>
      </c>
      <c r="AD101" s="22"/>
      <c r="AE101" s="18">
        <v>1.0</v>
      </c>
      <c r="AF101" s="18">
        <v>54.0</v>
      </c>
      <c r="AG101" s="22"/>
      <c r="AH101" s="18">
        <v>65.0</v>
      </c>
      <c r="AI101" s="18">
        <v>16.0</v>
      </c>
      <c r="AJ101" s="22"/>
      <c r="AK101" s="18">
        <v>250.0</v>
      </c>
      <c r="AL101" s="22"/>
      <c r="AM101" s="22"/>
      <c r="AN101" s="18">
        <v>7.0</v>
      </c>
      <c r="AO101" s="22"/>
      <c r="AP101" s="22"/>
      <c r="AQ101" s="18">
        <v>9.0</v>
      </c>
      <c r="AR101" s="18">
        <v>6.0</v>
      </c>
      <c r="AS101" s="22"/>
      <c r="AT101" s="22"/>
      <c r="AU101" s="22"/>
      <c r="AV101" s="22"/>
      <c r="AW101" s="18">
        <v>17.0</v>
      </c>
      <c r="AX101" s="22"/>
      <c r="AY101" s="18">
        <v>6.0</v>
      </c>
      <c r="AZ101" s="18">
        <v>32.0</v>
      </c>
      <c r="BA101" s="22"/>
      <c r="BB101" s="22"/>
      <c r="BC101" s="22"/>
      <c r="BD101" s="22"/>
      <c r="BE101" s="22"/>
      <c r="BF101" s="22"/>
      <c r="BH101" s="12">
        <f t="shared" si="6"/>
        <v>1065</v>
      </c>
      <c r="BI101" s="15" t="s">
        <v>1264</v>
      </c>
    </row>
    <row r="102" ht="36.75" customHeight="1">
      <c r="A102" s="26">
        <v>42042.0</v>
      </c>
      <c r="B102" s="18" t="s">
        <v>1265</v>
      </c>
      <c r="C102" s="18" t="s">
        <v>1252</v>
      </c>
      <c r="D102" s="18" t="s">
        <v>1266</v>
      </c>
      <c r="E102" s="18" t="s">
        <v>253</v>
      </c>
      <c r="F102" s="18">
        <v>26.377279</v>
      </c>
      <c r="G102" s="18">
        <v>-81.864924</v>
      </c>
      <c r="H102" s="15">
        <v>26.36659</v>
      </c>
      <c r="I102" s="15">
        <v>-81.861791</v>
      </c>
      <c r="J102" s="15" t="s">
        <v>1267</v>
      </c>
      <c r="K102" s="15" t="s">
        <v>1268</v>
      </c>
      <c r="L102" s="18">
        <v>1.0</v>
      </c>
      <c r="M102" s="22"/>
      <c r="N102" s="18">
        <v>2.0</v>
      </c>
      <c r="O102" s="22"/>
      <c r="P102" s="22"/>
      <c r="Q102" s="22"/>
      <c r="R102" s="22"/>
      <c r="S102" s="22"/>
      <c r="T102" s="22"/>
      <c r="U102" s="22"/>
      <c r="V102" s="22"/>
      <c r="W102" s="22"/>
      <c r="X102" s="22"/>
      <c r="Y102" s="18">
        <v>5.0</v>
      </c>
      <c r="Z102" s="18">
        <v>24.0</v>
      </c>
      <c r="AA102" s="22"/>
      <c r="AB102" s="22"/>
      <c r="AC102" s="22"/>
      <c r="AD102" s="22"/>
      <c r="AE102" s="22"/>
      <c r="AF102" s="22"/>
      <c r="AG102" s="22"/>
      <c r="AH102" s="18">
        <v>15.0</v>
      </c>
      <c r="AI102" s="18">
        <v>1.0</v>
      </c>
      <c r="AJ102" s="22"/>
      <c r="AK102" s="22"/>
      <c r="AL102" s="22"/>
      <c r="AM102" s="22"/>
      <c r="AN102" s="18">
        <v>5.0</v>
      </c>
      <c r="AO102" s="22"/>
      <c r="AP102" s="22"/>
      <c r="AQ102" s="18">
        <v>2.0</v>
      </c>
      <c r="AR102" s="18">
        <v>2.0</v>
      </c>
      <c r="AS102" s="22"/>
      <c r="AT102" s="22"/>
      <c r="AU102" s="22"/>
      <c r="AV102" s="22"/>
      <c r="AW102" s="18">
        <v>13.0</v>
      </c>
      <c r="AX102" s="22"/>
      <c r="AY102" s="18">
        <v>3.0</v>
      </c>
      <c r="AZ102" s="18">
        <v>16.0</v>
      </c>
      <c r="BA102" s="22"/>
      <c r="BB102" s="22"/>
      <c r="BC102" s="22"/>
      <c r="BD102" s="22"/>
      <c r="BE102" s="22"/>
      <c r="BF102" s="22"/>
      <c r="BH102" s="12">
        <f t="shared" si="6"/>
        <v>89</v>
      </c>
      <c r="BI102" s="15" t="s">
        <v>1270</v>
      </c>
    </row>
    <row r="103" ht="36.75" customHeight="1">
      <c r="A103" s="14">
        <v>42043.0</v>
      </c>
      <c r="B103" s="15" t="s">
        <v>1271</v>
      </c>
      <c r="C103" s="15" t="s">
        <v>1272</v>
      </c>
      <c r="D103" s="15" t="s">
        <v>1273</v>
      </c>
      <c r="E103" s="15" t="s">
        <v>253</v>
      </c>
      <c r="F103" s="15">
        <v>26.40958</v>
      </c>
      <c r="G103" s="15">
        <v>-81.90078</v>
      </c>
      <c r="H103" s="15">
        <v>26.40257</v>
      </c>
      <c r="I103" s="15">
        <v>-81.88507</v>
      </c>
      <c r="J103" s="15" t="s">
        <v>1274</v>
      </c>
      <c r="K103" s="15" t="s">
        <v>1275</v>
      </c>
      <c r="L103" s="15">
        <v>2.0</v>
      </c>
      <c r="M103" s="15">
        <v>0.0</v>
      </c>
      <c r="N103" s="15">
        <v>5.0</v>
      </c>
      <c r="O103" s="15">
        <v>0.0</v>
      </c>
      <c r="P103" s="15">
        <v>0.0</v>
      </c>
      <c r="Q103" s="15">
        <v>0.0</v>
      </c>
      <c r="R103" s="15">
        <v>2.0</v>
      </c>
      <c r="S103" s="15">
        <v>0.0</v>
      </c>
      <c r="T103" s="15">
        <v>0.0</v>
      </c>
      <c r="U103" s="15">
        <v>0.0</v>
      </c>
      <c r="V103" s="15">
        <v>0.0</v>
      </c>
      <c r="W103" s="15">
        <v>0.0</v>
      </c>
      <c r="X103" s="15">
        <v>0.0</v>
      </c>
      <c r="Y103" s="15">
        <v>12.0</v>
      </c>
      <c r="Z103" s="15">
        <v>73.0</v>
      </c>
      <c r="AA103" s="15">
        <v>0.0</v>
      </c>
      <c r="AB103" s="15">
        <v>0.0</v>
      </c>
      <c r="AC103" s="15">
        <v>0.0</v>
      </c>
      <c r="AD103" s="15">
        <v>10.0</v>
      </c>
      <c r="AE103" s="15">
        <v>0.0</v>
      </c>
      <c r="AF103" s="15">
        <v>0.0</v>
      </c>
      <c r="AG103" s="15">
        <v>0.0</v>
      </c>
      <c r="AH103" s="15">
        <v>88.0</v>
      </c>
      <c r="AI103" s="15">
        <v>32.0</v>
      </c>
      <c r="AJ103" s="15">
        <v>0.0</v>
      </c>
      <c r="AK103" s="15">
        <v>0.0</v>
      </c>
      <c r="AL103" s="15">
        <v>0.0</v>
      </c>
      <c r="AM103" s="15">
        <v>0.0</v>
      </c>
      <c r="AN103" s="15">
        <v>0.0</v>
      </c>
      <c r="AO103" s="15">
        <v>0.0</v>
      </c>
      <c r="AP103" s="15">
        <v>0.0</v>
      </c>
      <c r="AQ103" s="15">
        <v>8.0</v>
      </c>
      <c r="AR103" s="15">
        <v>2.0</v>
      </c>
      <c r="AS103" s="15">
        <v>0.0</v>
      </c>
      <c r="AT103" s="15">
        <v>0.0</v>
      </c>
      <c r="AU103" s="15">
        <v>1.0</v>
      </c>
      <c r="AV103" s="15">
        <v>0.0</v>
      </c>
      <c r="AW103" s="15">
        <v>13.0</v>
      </c>
      <c r="AX103" s="15">
        <v>0.0</v>
      </c>
      <c r="AY103" s="15">
        <v>4.0</v>
      </c>
      <c r="AZ103" s="15">
        <v>38.0</v>
      </c>
      <c r="BA103" s="15">
        <v>0.0</v>
      </c>
      <c r="BB103" s="15">
        <v>0.0</v>
      </c>
      <c r="BC103" s="15">
        <v>0.0</v>
      </c>
      <c r="BD103" s="15">
        <v>0.0</v>
      </c>
      <c r="BE103" s="15">
        <v>0.0</v>
      </c>
      <c r="BF103" s="15">
        <v>0.0</v>
      </c>
      <c r="BG103" s="15">
        <v>0.0</v>
      </c>
    </row>
    <row r="104" ht="36.75" customHeight="1">
      <c r="A104" s="26">
        <v>42043.0</v>
      </c>
      <c r="B104" s="18" t="s">
        <v>250</v>
      </c>
      <c r="C104" s="18" t="s">
        <v>251</v>
      </c>
      <c r="D104" s="18" t="s">
        <v>252</v>
      </c>
      <c r="E104" s="18" t="s">
        <v>253</v>
      </c>
      <c r="F104" s="18">
        <v>26.66909</v>
      </c>
      <c r="G104" s="18">
        <v>-82.25515</v>
      </c>
      <c r="H104" s="15">
        <v>26.63515</v>
      </c>
      <c r="I104" s="15">
        <v>-82.253245</v>
      </c>
      <c r="J104" s="15" t="s">
        <v>1277</v>
      </c>
      <c r="K104" s="15" t="s">
        <v>1279</v>
      </c>
      <c r="M104" s="22"/>
      <c r="N104" s="15">
        <v>24.0</v>
      </c>
      <c r="O104" s="18">
        <v>65.0</v>
      </c>
      <c r="W104" s="15">
        <v>3.0</v>
      </c>
      <c r="X104" s="15">
        <v>2.0</v>
      </c>
      <c r="Y104" s="15">
        <v>27.0</v>
      </c>
      <c r="Z104" s="15">
        <v>70.0</v>
      </c>
      <c r="AA104" s="15">
        <v>1.0</v>
      </c>
      <c r="AD104" s="15">
        <v>21.0</v>
      </c>
      <c r="AF104" s="15">
        <v>52.0</v>
      </c>
      <c r="AH104" s="15">
        <v>20.0</v>
      </c>
      <c r="AI104" s="15">
        <v>7.0</v>
      </c>
      <c r="AY104" s="15">
        <v>12.0</v>
      </c>
      <c r="AZ104" s="18">
        <v>18.0</v>
      </c>
      <c r="BG104" s="22"/>
      <c r="BH104" s="12">
        <f t="shared" ref="BH104:BH105" si="7">SUM(L104:BG104)</f>
        <v>322</v>
      </c>
      <c r="BI104" s="15" t="s">
        <v>1283</v>
      </c>
    </row>
    <row r="105" ht="36.75" customHeight="1">
      <c r="A105" s="26">
        <v>42043.0</v>
      </c>
      <c r="B105" s="18" t="s">
        <v>250</v>
      </c>
      <c r="C105" s="18" t="s">
        <v>251</v>
      </c>
      <c r="D105" s="18" t="s">
        <v>1285</v>
      </c>
      <c r="E105" s="18" t="s">
        <v>253</v>
      </c>
      <c r="F105" s="18">
        <v>26.63515</v>
      </c>
      <c r="G105" s="18">
        <v>-82.23247</v>
      </c>
      <c r="H105" s="15">
        <v>26.613287</v>
      </c>
      <c r="I105" s="15">
        <v>-82.222591</v>
      </c>
      <c r="J105" s="15" t="s">
        <v>1286</v>
      </c>
      <c r="K105" s="15" t="s">
        <v>1287</v>
      </c>
      <c r="L105" s="22"/>
      <c r="M105" s="22"/>
      <c r="N105" s="18">
        <v>18.0</v>
      </c>
      <c r="O105" s="22"/>
      <c r="P105" s="22"/>
      <c r="Q105" s="22"/>
      <c r="R105" s="22"/>
      <c r="S105" s="22"/>
      <c r="T105" s="22"/>
      <c r="U105" s="22"/>
      <c r="V105" s="22"/>
      <c r="W105" s="22"/>
      <c r="X105" s="22"/>
      <c r="Y105" s="18">
        <v>8.0</v>
      </c>
      <c r="Z105" s="18">
        <v>52.0</v>
      </c>
      <c r="AA105" s="22"/>
      <c r="AB105" s="22"/>
      <c r="AC105" s="22"/>
      <c r="AD105" s="22"/>
      <c r="AE105" s="22"/>
      <c r="AF105" s="22"/>
      <c r="AG105" s="22"/>
      <c r="AH105" s="18">
        <v>18.0</v>
      </c>
      <c r="AI105" s="22"/>
      <c r="AJ105" s="22"/>
      <c r="AK105" s="22"/>
      <c r="AL105" s="22"/>
      <c r="AM105" s="22"/>
      <c r="AN105" s="22"/>
      <c r="AO105" s="22"/>
      <c r="AP105" s="22"/>
      <c r="AQ105" s="22"/>
      <c r="AR105" s="22"/>
      <c r="AS105" s="22"/>
      <c r="AT105" s="22"/>
      <c r="AU105" s="22"/>
      <c r="AV105" s="18">
        <v>2.0</v>
      </c>
      <c r="AW105" s="22"/>
      <c r="AX105" s="22"/>
      <c r="AY105" s="18">
        <v>5.0</v>
      </c>
      <c r="AZ105" s="18">
        <v>6.0</v>
      </c>
      <c r="BA105" s="22"/>
      <c r="BB105" s="22"/>
      <c r="BC105" s="22"/>
      <c r="BD105" s="22"/>
      <c r="BE105" s="22"/>
      <c r="BF105" s="22"/>
      <c r="BG105" s="22"/>
      <c r="BH105" s="12">
        <f t="shared" si="7"/>
        <v>109</v>
      </c>
      <c r="BI105" s="15" t="s">
        <v>1292</v>
      </c>
    </row>
    <row r="106" ht="36.75" customHeight="1">
      <c r="A106" s="26">
        <v>42043.0</v>
      </c>
      <c r="B106" s="18" t="s">
        <v>1294</v>
      </c>
      <c r="C106" s="18" t="s">
        <v>1252</v>
      </c>
      <c r="D106" s="18" t="s">
        <v>1295</v>
      </c>
      <c r="E106" s="18" t="s">
        <v>253</v>
      </c>
      <c r="F106" s="18">
        <v>26.68435</v>
      </c>
      <c r="G106" s="18">
        <v>-82.26142</v>
      </c>
      <c r="H106" s="15">
        <v>26.66909</v>
      </c>
      <c r="I106" s="15">
        <v>-82.25515</v>
      </c>
      <c r="J106" s="15" t="s">
        <v>1296</v>
      </c>
      <c r="K106" s="15" t="s">
        <v>1297</v>
      </c>
      <c r="L106" s="18">
        <v>2.0</v>
      </c>
      <c r="M106" s="22"/>
      <c r="N106" s="18">
        <v>4.0</v>
      </c>
      <c r="O106" s="18">
        <v>200.0</v>
      </c>
      <c r="P106" s="22"/>
      <c r="Q106" s="22"/>
      <c r="R106" s="18">
        <v>1.0</v>
      </c>
      <c r="S106" s="22"/>
      <c r="T106" s="22"/>
      <c r="U106" s="22"/>
      <c r="V106" s="22"/>
      <c r="W106" s="22"/>
      <c r="X106" s="22"/>
      <c r="Y106" s="18">
        <v>25.0</v>
      </c>
      <c r="Z106" s="18">
        <v>35.0</v>
      </c>
      <c r="AA106" s="18">
        <v>8.0</v>
      </c>
      <c r="AB106" s="22"/>
      <c r="AC106" s="18">
        <v>31.0</v>
      </c>
      <c r="AD106" s="22"/>
      <c r="AE106" s="22"/>
      <c r="AF106" s="18">
        <v>250.0</v>
      </c>
      <c r="AG106" s="22"/>
      <c r="AH106" s="18">
        <v>15.0</v>
      </c>
      <c r="AI106" s="18">
        <v>6.0</v>
      </c>
      <c r="AJ106" s="22"/>
      <c r="AK106" s="22"/>
      <c r="AL106" s="22"/>
      <c r="AM106" s="22"/>
      <c r="AN106" s="18">
        <v>8.0</v>
      </c>
      <c r="AO106" s="22"/>
      <c r="AP106" s="22"/>
      <c r="AQ106" s="18">
        <v>11.0</v>
      </c>
      <c r="AR106" s="22"/>
      <c r="AS106" s="22"/>
      <c r="AT106" s="22"/>
      <c r="AU106" s="22"/>
      <c r="AV106" s="18">
        <v>100.0</v>
      </c>
      <c r="AW106" s="18">
        <v>10.0</v>
      </c>
      <c r="AX106" s="22"/>
      <c r="AY106" s="18">
        <v>5.0</v>
      </c>
      <c r="AZ106" s="18">
        <v>300.0</v>
      </c>
      <c r="BA106" s="22"/>
      <c r="BB106" s="22"/>
      <c r="BC106" s="22"/>
      <c r="BD106" s="22"/>
      <c r="BE106" s="22"/>
      <c r="BF106" s="22"/>
      <c r="BG106" s="22"/>
      <c r="BH106" s="18">
        <v>1011.0</v>
      </c>
      <c r="BI106" s="15" t="s">
        <v>1270</v>
      </c>
    </row>
    <row r="107" ht="36.75" customHeight="1">
      <c r="A107" s="26">
        <v>42043.0</v>
      </c>
      <c r="B107" s="18" t="s">
        <v>1294</v>
      </c>
      <c r="C107" s="18" t="s">
        <v>1252</v>
      </c>
      <c r="D107" s="18" t="s">
        <v>1302</v>
      </c>
      <c r="E107" s="18" t="s">
        <v>253</v>
      </c>
      <c r="F107" s="18">
        <v>26.707624</v>
      </c>
      <c r="G107" s="18">
        <v>-82.250394</v>
      </c>
      <c r="H107" s="15">
        <v>26.68949</v>
      </c>
      <c r="I107" s="15">
        <v>-82.257428</v>
      </c>
      <c r="J107" s="15" t="s">
        <v>1304</v>
      </c>
      <c r="K107" s="15" t="s">
        <v>1305</v>
      </c>
      <c r="M107" s="22"/>
      <c r="N107" s="15">
        <v>2.0</v>
      </c>
      <c r="O107" s="22"/>
      <c r="P107" s="22"/>
      <c r="V107" s="22"/>
      <c r="W107" s="22"/>
      <c r="X107" s="22"/>
      <c r="Y107" s="22"/>
      <c r="Z107" s="22"/>
      <c r="AA107" s="22"/>
      <c r="AB107" s="22"/>
      <c r="AC107" s="22"/>
      <c r="AD107" s="22"/>
      <c r="AE107" s="22"/>
      <c r="AF107" s="22"/>
      <c r="AG107" s="22"/>
      <c r="AH107" s="18">
        <v>10.0</v>
      </c>
      <c r="AI107" s="22"/>
      <c r="AJ107" s="22"/>
      <c r="AN107" s="15">
        <v>3.0</v>
      </c>
      <c r="AQ107" s="15">
        <v>2.0</v>
      </c>
      <c r="AY107" s="15">
        <v>2.0</v>
      </c>
      <c r="AZ107" s="18">
        <v>1.0</v>
      </c>
      <c r="BB107" s="22"/>
      <c r="BF107" s="22"/>
      <c r="BH107" s="12">
        <f t="shared" ref="BH107:BH119" si="8">SUM(L107:BG107)</f>
        <v>20</v>
      </c>
      <c r="BI107" s="15" t="s">
        <v>1309</v>
      </c>
    </row>
    <row r="108" ht="36.75" customHeight="1">
      <c r="A108" s="14">
        <v>42044.0</v>
      </c>
      <c r="B108" s="15" t="s">
        <v>1312</v>
      </c>
      <c r="C108" s="15" t="s">
        <v>394</v>
      </c>
      <c r="D108" s="15" t="s">
        <v>1313</v>
      </c>
      <c r="E108" s="15" t="s">
        <v>253</v>
      </c>
      <c r="F108" s="15">
        <v>26.578445</v>
      </c>
      <c r="G108" s="15">
        <v>-82.212207</v>
      </c>
      <c r="H108" s="15">
        <v>26.55552</v>
      </c>
      <c r="I108" s="17">
        <v>-82.199829</v>
      </c>
      <c r="J108" s="15" t="s">
        <v>1314</v>
      </c>
      <c r="K108" s="15" t="s">
        <v>1315</v>
      </c>
      <c r="N108" s="15">
        <v>8.0</v>
      </c>
      <c r="Y108" s="15">
        <v>14.0</v>
      </c>
      <c r="Z108" s="15">
        <v>11.0</v>
      </c>
      <c r="AA108" s="15">
        <v>1.0</v>
      </c>
      <c r="AH108" s="15">
        <v>40.0</v>
      </c>
      <c r="AN108" s="15">
        <v>2.0</v>
      </c>
      <c r="AV108" s="15">
        <v>1.0</v>
      </c>
      <c r="AW108" s="15">
        <v>13.0</v>
      </c>
      <c r="AY108" s="15">
        <v>6.0</v>
      </c>
      <c r="AZ108" s="15">
        <v>40.0</v>
      </c>
      <c r="BA108" s="15">
        <v>3.0</v>
      </c>
      <c r="BH108" s="12">
        <f t="shared" si="8"/>
        <v>139</v>
      </c>
    </row>
    <row r="109" ht="36.75" customHeight="1">
      <c r="A109" s="14">
        <v>42044.0</v>
      </c>
      <c r="B109" s="15" t="s">
        <v>1312</v>
      </c>
      <c r="C109" s="15" t="s">
        <v>394</v>
      </c>
      <c r="D109" s="15" t="s">
        <v>1318</v>
      </c>
      <c r="E109" s="15" t="s">
        <v>253</v>
      </c>
      <c r="F109" s="15">
        <v>26.607007</v>
      </c>
      <c r="G109" s="15">
        <v>-82.21995</v>
      </c>
      <c r="H109" s="15">
        <v>26.578445</v>
      </c>
      <c r="I109" s="17">
        <v>-82.212207</v>
      </c>
      <c r="J109" s="15" t="s">
        <v>1319</v>
      </c>
      <c r="K109" s="15" t="s">
        <v>1315</v>
      </c>
      <c r="Y109" s="15">
        <v>10.0</v>
      </c>
      <c r="Z109" s="15">
        <v>25.0</v>
      </c>
      <c r="AH109" s="15">
        <v>26.0</v>
      </c>
      <c r="AK109" s="15">
        <v>26.0</v>
      </c>
      <c r="AV109" s="15">
        <v>1.0</v>
      </c>
      <c r="AW109" s="15">
        <v>7.0</v>
      </c>
      <c r="AX109" s="15">
        <v>1.0</v>
      </c>
      <c r="AY109" s="15">
        <v>12.0</v>
      </c>
      <c r="AZ109" s="15">
        <v>10.0</v>
      </c>
      <c r="BH109" s="12">
        <f t="shared" si="8"/>
        <v>118</v>
      </c>
    </row>
    <row r="110" ht="36.75" customHeight="1">
      <c r="A110" s="14">
        <v>42046.0</v>
      </c>
      <c r="B110" s="15" t="s">
        <v>577</v>
      </c>
      <c r="C110" s="15" t="s">
        <v>394</v>
      </c>
      <c r="D110" s="15" t="s">
        <v>937</v>
      </c>
      <c r="E110" s="15" t="s">
        <v>253</v>
      </c>
      <c r="F110" s="15">
        <v>26.45362</v>
      </c>
      <c r="G110" s="15">
        <v>-82.01411</v>
      </c>
      <c r="H110" s="15">
        <v>26.43842</v>
      </c>
      <c r="I110" s="17">
        <v>-82.03759</v>
      </c>
      <c r="J110" s="15" t="s">
        <v>1322</v>
      </c>
      <c r="K110" s="15" t="s">
        <v>1323</v>
      </c>
      <c r="N110" s="15">
        <v>20.0</v>
      </c>
      <c r="Y110" s="15">
        <v>91.0</v>
      </c>
      <c r="Z110" s="15">
        <v>203.0</v>
      </c>
      <c r="AC110" s="15">
        <v>3.0</v>
      </c>
      <c r="AD110" s="15">
        <v>12.0</v>
      </c>
      <c r="AH110" s="15">
        <v>24.0</v>
      </c>
      <c r="AV110" s="15">
        <v>3.0</v>
      </c>
      <c r="AW110" s="15">
        <v>54.0</v>
      </c>
      <c r="AY110" s="15">
        <v>37.0</v>
      </c>
      <c r="AZ110" s="15">
        <v>45.0</v>
      </c>
      <c r="BG110" s="15">
        <v>6.0</v>
      </c>
      <c r="BH110" s="12">
        <f t="shared" si="8"/>
        <v>498</v>
      </c>
    </row>
    <row r="111" ht="36.75" customHeight="1">
      <c r="A111" s="14">
        <v>42046.0</v>
      </c>
      <c r="B111" s="15" t="s">
        <v>577</v>
      </c>
      <c r="C111" s="15" t="s">
        <v>394</v>
      </c>
      <c r="D111" s="15" t="s">
        <v>1326</v>
      </c>
      <c r="E111" s="15" t="s">
        <v>253</v>
      </c>
      <c r="F111" s="15">
        <v>26.43842</v>
      </c>
      <c r="G111" s="15">
        <v>-82.03759</v>
      </c>
      <c r="H111" s="15">
        <v>26.43101</v>
      </c>
      <c r="I111" s="17">
        <v>-82.05121</v>
      </c>
      <c r="J111" s="15" t="s">
        <v>1327</v>
      </c>
      <c r="K111" s="15" t="s">
        <v>1323</v>
      </c>
      <c r="N111" s="15">
        <v>3.0</v>
      </c>
      <c r="Y111" s="15">
        <v>3.0</v>
      </c>
      <c r="Z111" s="15">
        <v>1.0</v>
      </c>
      <c r="AH111" s="15">
        <v>27.0</v>
      </c>
      <c r="AW111" s="15">
        <v>5.0</v>
      </c>
      <c r="AY111" s="15">
        <v>27.0</v>
      </c>
      <c r="BH111" s="12">
        <f t="shared" si="8"/>
        <v>66</v>
      </c>
    </row>
    <row r="112" ht="36.75" customHeight="1">
      <c r="A112" s="26">
        <v>42046.0</v>
      </c>
      <c r="B112" s="18" t="s">
        <v>577</v>
      </c>
      <c r="C112" s="18" t="s">
        <v>394</v>
      </c>
      <c r="D112" s="18" t="s">
        <v>578</v>
      </c>
      <c r="E112" s="18" t="s">
        <v>253</v>
      </c>
      <c r="F112" s="16">
        <v>26.43101</v>
      </c>
      <c r="G112" s="18">
        <v>-82.05121</v>
      </c>
      <c r="H112" s="18">
        <v>26.42196</v>
      </c>
      <c r="I112" s="16">
        <v>-82.0801</v>
      </c>
      <c r="J112" s="20" t="s">
        <v>1330</v>
      </c>
      <c r="K112" s="18" t="s">
        <v>1331</v>
      </c>
      <c r="L112" s="22"/>
      <c r="M112" s="22"/>
      <c r="N112" s="18">
        <v>11.0</v>
      </c>
      <c r="O112" s="22"/>
      <c r="P112" s="22"/>
      <c r="Q112" s="22"/>
      <c r="R112" s="22"/>
      <c r="S112" s="22"/>
      <c r="T112" s="22"/>
      <c r="U112" s="22"/>
      <c r="V112" s="22"/>
      <c r="W112" s="22"/>
      <c r="X112" s="22"/>
      <c r="Y112" s="18">
        <v>12.0</v>
      </c>
      <c r="Z112" s="18">
        <v>1.0</v>
      </c>
      <c r="AA112" s="22"/>
      <c r="AB112" s="22"/>
      <c r="AC112" s="22"/>
      <c r="AD112" s="18">
        <v>4.0</v>
      </c>
      <c r="AE112" s="22"/>
      <c r="AF112" s="22"/>
      <c r="AG112" s="22"/>
      <c r="AH112" s="18">
        <v>56.0</v>
      </c>
      <c r="AI112" s="22"/>
      <c r="AJ112" s="22"/>
      <c r="AK112" s="18">
        <v>7.0</v>
      </c>
      <c r="AL112" s="22"/>
      <c r="AM112" s="22"/>
      <c r="AN112" s="22"/>
      <c r="AO112" s="22"/>
      <c r="AP112" s="22"/>
      <c r="AQ112" s="22"/>
      <c r="AR112" s="22"/>
      <c r="AS112" s="22"/>
      <c r="AT112" s="22"/>
      <c r="AU112" s="22"/>
      <c r="AV112" s="18">
        <v>9.0</v>
      </c>
      <c r="AW112" s="18">
        <v>133.0</v>
      </c>
      <c r="AX112" s="22"/>
      <c r="AY112" s="18">
        <v>100.0</v>
      </c>
      <c r="AZ112" s="18">
        <v>66.0</v>
      </c>
      <c r="BA112" s="22"/>
      <c r="BB112" s="22"/>
      <c r="BC112" s="22"/>
      <c r="BD112" s="22"/>
      <c r="BE112" s="22"/>
      <c r="BF112" s="22"/>
      <c r="BG112" s="15">
        <v>1.0</v>
      </c>
      <c r="BH112" s="12">
        <f t="shared" si="8"/>
        <v>400</v>
      </c>
    </row>
    <row r="113" ht="36.75" customHeight="1">
      <c r="A113" s="14">
        <v>42046.0</v>
      </c>
      <c r="B113" s="15" t="s">
        <v>393</v>
      </c>
      <c r="C113" s="15" t="s">
        <v>394</v>
      </c>
      <c r="D113" s="15" t="s">
        <v>395</v>
      </c>
      <c r="E113" s="15" t="s">
        <v>253</v>
      </c>
      <c r="F113" s="15">
        <v>26.42196</v>
      </c>
      <c r="G113" s="15">
        <v>-82.0801</v>
      </c>
      <c r="H113" s="15">
        <v>26.43009</v>
      </c>
      <c r="I113" s="17">
        <v>-82.11198</v>
      </c>
      <c r="J113" s="15" t="s">
        <v>1332</v>
      </c>
      <c r="K113" s="15" t="s">
        <v>1333</v>
      </c>
      <c r="N113" s="15">
        <v>14.0</v>
      </c>
      <c r="Y113" s="15">
        <v>3.0</v>
      </c>
      <c r="Z113" s="15">
        <v>16.0</v>
      </c>
      <c r="AD113" s="15">
        <v>3.0</v>
      </c>
      <c r="AH113" s="15">
        <v>27.0</v>
      </c>
      <c r="AY113" s="15">
        <v>15.0</v>
      </c>
      <c r="AZ113" s="15">
        <v>23.0</v>
      </c>
      <c r="BH113" s="12">
        <f t="shared" si="8"/>
        <v>101</v>
      </c>
    </row>
    <row r="114" ht="36.75" customHeight="1">
      <c r="A114" s="26">
        <v>42046.0</v>
      </c>
      <c r="B114" s="18" t="s">
        <v>393</v>
      </c>
      <c r="C114" s="15" t="s">
        <v>394</v>
      </c>
      <c r="D114" s="15" t="s">
        <v>1335</v>
      </c>
      <c r="E114" s="15" t="s">
        <v>253</v>
      </c>
      <c r="F114" s="15">
        <v>26.44961</v>
      </c>
      <c r="G114" s="18">
        <v>-82.14276</v>
      </c>
      <c r="H114" s="18">
        <v>26.46507</v>
      </c>
      <c r="I114" s="16">
        <v>-82.1671</v>
      </c>
      <c r="J114" s="20" t="s">
        <v>1336</v>
      </c>
      <c r="K114" s="18" t="s">
        <v>1333</v>
      </c>
      <c r="L114" s="22"/>
      <c r="M114" s="22"/>
      <c r="N114" s="22"/>
      <c r="O114" s="22"/>
      <c r="P114" s="22"/>
      <c r="Q114" s="22"/>
      <c r="R114" s="22"/>
      <c r="S114" s="22"/>
      <c r="T114" s="22"/>
      <c r="U114" s="22"/>
      <c r="V114" s="22"/>
      <c r="W114" s="22"/>
      <c r="X114" s="22"/>
      <c r="Y114" s="22"/>
      <c r="Z114" s="18">
        <v>1.0</v>
      </c>
      <c r="AA114" s="22"/>
      <c r="AB114" s="22"/>
      <c r="AC114" s="22"/>
      <c r="AD114" s="18">
        <v>4.0</v>
      </c>
      <c r="AE114" s="22"/>
      <c r="AF114" s="22"/>
      <c r="AG114" s="22"/>
      <c r="AH114" s="18">
        <v>7.0</v>
      </c>
      <c r="AI114" s="22"/>
      <c r="AJ114" s="22"/>
      <c r="AK114" s="22"/>
      <c r="AL114" s="22"/>
      <c r="AM114" s="22"/>
      <c r="AN114" s="22"/>
      <c r="AO114" s="22"/>
      <c r="AP114" s="22"/>
      <c r="AQ114" s="22"/>
      <c r="AR114" s="22"/>
      <c r="AS114" s="22"/>
      <c r="AT114" s="22"/>
      <c r="AU114" s="22"/>
      <c r="AV114" s="22"/>
      <c r="AW114" s="18">
        <v>4.0</v>
      </c>
      <c r="AX114" s="22"/>
      <c r="AY114" s="18">
        <v>9.0</v>
      </c>
      <c r="AZ114" s="22"/>
      <c r="BA114" s="22"/>
      <c r="BB114" s="22"/>
      <c r="BC114" s="22"/>
      <c r="BD114" s="22"/>
      <c r="BE114" s="22"/>
      <c r="BF114" s="22"/>
      <c r="BH114" s="12">
        <f t="shared" si="8"/>
        <v>25</v>
      </c>
    </row>
    <row r="115" ht="36.75" customHeight="1">
      <c r="A115" s="14">
        <v>42046.0</v>
      </c>
      <c r="B115" s="15" t="s">
        <v>393</v>
      </c>
      <c r="C115" s="15" t="s">
        <v>1338</v>
      </c>
      <c r="D115" s="15" t="s">
        <v>1339</v>
      </c>
      <c r="E115" s="15" t="s">
        <v>253</v>
      </c>
      <c r="F115" s="15">
        <v>26.43009</v>
      </c>
      <c r="G115" s="15">
        <v>-82.11198</v>
      </c>
      <c r="H115" s="15">
        <v>26.44961</v>
      </c>
      <c r="I115" s="17">
        <v>-82.14276</v>
      </c>
      <c r="J115" s="15" t="s">
        <v>1341</v>
      </c>
      <c r="K115" s="15" t="s">
        <v>1333</v>
      </c>
      <c r="N115" s="15">
        <v>3.0</v>
      </c>
      <c r="Y115" s="15">
        <v>2.0</v>
      </c>
      <c r="AH115" s="15">
        <v>28.0</v>
      </c>
      <c r="AX115" s="15">
        <v>1.0</v>
      </c>
      <c r="AY115" s="15">
        <v>8.0</v>
      </c>
      <c r="BH115" s="12">
        <f t="shared" si="8"/>
        <v>42</v>
      </c>
    </row>
    <row r="116" ht="36.75" customHeight="1">
      <c r="A116" s="26">
        <v>42046.0</v>
      </c>
      <c r="B116" s="15" t="s">
        <v>393</v>
      </c>
      <c r="C116" s="15" t="s">
        <v>394</v>
      </c>
      <c r="D116" s="15" t="s">
        <v>1345</v>
      </c>
      <c r="E116" s="15" t="s">
        <v>253</v>
      </c>
      <c r="F116" s="15">
        <v>26.46507</v>
      </c>
      <c r="G116" s="15">
        <v>-82.1671</v>
      </c>
      <c r="H116" s="15">
        <v>26.48258</v>
      </c>
      <c r="I116" s="17">
        <v>-82.18221</v>
      </c>
      <c r="J116" s="15" t="s">
        <v>1347</v>
      </c>
      <c r="K116" s="15" t="s">
        <v>1333</v>
      </c>
      <c r="Y116" s="15">
        <v>2.0</v>
      </c>
      <c r="Z116" s="15">
        <v>13.0</v>
      </c>
      <c r="AH116" s="15">
        <v>22.0</v>
      </c>
      <c r="AI116" s="15">
        <v>1.0</v>
      </c>
      <c r="AX116" s="15">
        <v>1.0</v>
      </c>
      <c r="AY116" s="15">
        <v>10.0</v>
      </c>
      <c r="BH116" s="12">
        <f t="shared" si="8"/>
        <v>49</v>
      </c>
    </row>
    <row r="117" ht="36.75" customHeight="1">
      <c r="A117" s="14">
        <v>42047.0</v>
      </c>
      <c r="B117" s="15" t="s">
        <v>1351</v>
      </c>
      <c r="C117" s="15" t="s">
        <v>1352</v>
      </c>
      <c r="D117" s="15" t="s">
        <v>1353</v>
      </c>
      <c r="E117" s="15" t="s">
        <v>253</v>
      </c>
      <c r="F117" s="15">
        <v>26.40354</v>
      </c>
      <c r="G117" s="15">
        <v>-81.87839</v>
      </c>
      <c r="H117" s="15">
        <v>26.37992</v>
      </c>
      <c r="I117" s="17">
        <v>-81.86757</v>
      </c>
      <c r="J117" s="15" t="s">
        <v>1354</v>
      </c>
      <c r="K117" s="15" t="s">
        <v>1355</v>
      </c>
      <c r="L117" s="15">
        <v>3.0</v>
      </c>
      <c r="M117" s="15">
        <v>0.0</v>
      </c>
      <c r="N117" s="15">
        <v>0.0</v>
      </c>
      <c r="O117" s="15">
        <v>0.0</v>
      </c>
      <c r="P117" s="15">
        <v>0.0</v>
      </c>
      <c r="Q117" s="15">
        <v>0.0</v>
      </c>
      <c r="R117" s="15">
        <v>0.0</v>
      </c>
      <c r="S117" s="15">
        <v>0.0</v>
      </c>
      <c r="T117" s="15">
        <v>0.0</v>
      </c>
      <c r="U117" s="15">
        <v>0.0</v>
      </c>
      <c r="V117" s="15">
        <v>0.0</v>
      </c>
      <c r="W117" s="15">
        <v>0.0</v>
      </c>
      <c r="X117" s="15">
        <v>0.0</v>
      </c>
      <c r="Y117" s="15">
        <v>2.0</v>
      </c>
      <c r="Z117" s="15">
        <v>37.0</v>
      </c>
      <c r="AA117" s="15">
        <v>0.0</v>
      </c>
      <c r="AB117" s="15">
        <v>0.0</v>
      </c>
      <c r="AC117" s="15">
        <v>0.0</v>
      </c>
      <c r="AD117" s="15">
        <v>0.0</v>
      </c>
      <c r="AE117" s="15">
        <v>0.0</v>
      </c>
      <c r="AF117" s="15">
        <v>0.0</v>
      </c>
      <c r="AG117" s="15">
        <v>0.0</v>
      </c>
      <c r="AH117" s="15">
        <v>10.0</v>
      </c>
      <c r="AI117" s="15">
        <v>0.0</v>
      </c>
      <c r="AJ117" s="15">
        <v>0.0</v>
      </c>
      <c r="AK117" s="15">
        <v>38.0</v>
      </c>
      <c r="AL117" s="15">
        <v>0.0</v>
      </c>
      <c r="AM117" s="15">
        <v>0.0</v>
      </c>
      <c r="AN117" s="15">
        <v>3.0</v>
      </c>
      <c r="AO117" s="15">
        <v>0.0</v>
      </c>
      <c r="AP117" s="15">
        <v>0.0</v>
      </c>
      <c r="AQ117" s="15">
        <v>1.0</v>
      </c>
      <c r="AR117" s="15">
        <v>0.0</v>
      </c>
      <c r="AS117" s="15">
        <v>0.0</v>
      </c>
      <c r="AT117" s="15">
        <v>0.0</v>
      </c>
      <c r="AU117" s="15">
        <v>0.0</v>
      </c>
      <c r="AV117" s="15">
        <v>0.0</v>
      </c>
      <c r="AW117" s="15">
        <v>18.0</v>
      </c>
      <c r="AX117" s="15">
        <v>0.0</v>
      </c>
      <c r="AY117" s="15">
        <v>19.0</v>
      </c>
      <c r="AZ117" s="15">
        <v>4.0</v>
      </c>
      <c r="BA117" s="15">
        <v>0.0</v>
      </c>
      <c r="BB117" s="15">
        <v>0.0</v>
      </c>
      <c r="BC117" s="15">
        <v>0.0</v>
      </c>
      <c r="BD117" s="15">
        <v>0.0</v>
      </c>
      <c r="BE117" s="15">
        <v>0.0</v>
      </c>
      <c r="BF117" s="15">
        <v>0.0</v>
      </c>
      <c r="BH117" s="12">
        <f t="shared" si="8"/>
        <v>135</v>
      </c>
      <c r="BI117" s="15" t="s">
        <v>1361</v>
      </c>
    </row>
    <row r="118" ht="36.75" customHeight="1">
      <c r="A118" s="14">
        <v>42046.0</v>
      </c>
      <c r="B118" s="15" t="s">
        <v>1362</v>
      </c>
      <c r="C118" s="15" t="s">
        <v>1363</v>
      </c>
      <c r="D118" s="15" t="s">
        <v>1364</v>
      </c>
      <c r="E118" s="15" t="s">
        <v>1365</v>
      </c>
      <c r="F118" s="15">
        <v>26.718373</v>
      </c>
      <c r="G118" s="15">
        <v>-82.259079</v>
      </c>
      <c r="H118" s="15">
        <v>26.82142</v>
      </c>
      <c r="I118" s="17">
        <v>-82.312676</v>
      </c>
      <c r="J118" s="15" t="s">
        <v>1368</v>
      </c>
      <c r="K118" s="15" t="s">
        <v>1369</v>
      </c>
      <c r="L118" s="15">
        <v>0.0</v>
      </c>
      <c r="M118" s="15">
        <v>0.0</v>
      </c>
      <c r="N118" s="15">
        <v>7.0</v>
      </c>
      <c r="O118" s="15">
        <v>1.0</v>
      </c>
      <c r="P118" s="15">
        <v>0.0</v>
      </c>
      <c r="Q118" s="15">
        <v>0.0</v>
      </c>
      <c r="R118" s="15">
        <v>0.0</v>
      </c>
      <c r="S118" s="15">
        <v>0.0</v>
      </c>
      <c r="T118" s="15">
        <v>0.0</v>
      </c>
      <c r="U118" s="15">
        <v>0.0</v>
      </c>
      <c r="V118" s="15">
        <v>0.0</v>
      </c>
      <c r="W118" s="15">
        <v>0.0</v>
      </c>
      <c r="X118" s="15">
        <v>0.0</v>
      </c>
      <c r="Y118" s="38">
        <v>4.0</v>
      </c>
      <c r="Z118" s="38">
        <v>70.0</v>
      </c>
      <c r="AA118" s="15">
        <v>3.0</v>
      </c>
      <c r="AB118" s="15">
        <v>0.0</v>
      </c>
      <c r="AC118" s="15">
        <v>0.0</v>
      </c>
      <c r="AD118" s="15">
        <v>10.0</v>
      </c>
      <c r="AE118" s="15">
        <v>0.0</v>
      </c>
      <c r="AF118" s="15">
        <v>0.0</v>
      </c>
      <c r="AG118" s="15">
        <v>0.0</v>
      </c>
      <c r="AH118" s="38">
        <v>29.0</v>
      </c>
      <c r="AI118" s="15">
        <v>1.0</v>
      </c>
      <c r="AJ118" s="15">
        <v>0.0</v>
      </c>
      <c r="AK118" s="15">
        <v>0.0</v>
      </c>
      <c r="AL118" s="15">
        <v>0.0</v>
      </c>
      <c r="AM118" s="15">
        <v>0.0</v>
      </c>
      <c r="AN118" s="15">
        <v>38.0</v>
      </c>
      <c r="AO118" s="15">
        <v>0.0</v>
      </c>
      <c r="AP118" s="15">
        <v>0.0</v>
      </c>
      <c r="AQ118" s="15">
        <v>31.0</v>
      </c>
      <c r="AR118" s="15">
        <v>5.0</v>
      </c>
      <c r="AS118" s="15">
        <v>0.0</v>
      </c>
      <c r="AT118" s="15">
        <v>0.0</v>
      </c>
      <c r="AU118" s="15">
        <v>0.0</v>
      </c>
      <c r="AV118" s="15">
        <v>10.0</v>
      </c>
      <c r="AW118" s="15">
        <v>47.0</v>
      </c>
      <c r="AX118" s="15">
        <v>0.0</v>
      </c>
      <c r="AY118" s="38">
        <v>134.0</v>
      </c>
      <c r="AZ118" s="15">
        <v>66.0</v>
      </c>
      <c r="BA118" s="15">
        <v>0.0</v>
      </c>
      <c r="BB118" s="15">
        <v>0.0</v>
      </c>
      <c r="BC118" s="15">
        <v>1.0</v>
      </c>
      <c r="BD118" s="15">
        <v>0.0</v>
      </c>
      <c r="BE118" s="15">
        <v>0.0</v>
      </c>
      <c r="BF118" s="15">
        <v>0.0</v>
      </c>
      <c r="BH118" s="12">
        <f t="shared" si="8"/>
        <v>457</v>
      </c>
    </row>
    <row r="119" ht="36.75" customHeight="1">
      <c r="A119" s="14">
        <v>42045.0</v>
      </c>
      <c r="B119" s="15" t="s">
        <v>1380</v>
      </c>
      <c r="C119" s="15" t="s">
        <v>1381</v>
      </c>
      <c r="D119" s="15" t="s">
        <v>1383</v>
      </c>
      <c r="E119" s="15" t="s">
        <v>138</v>
      </c>
      <c r="F119" s="16">
        <v>27.44316</v>
      </c>
      <c r="G119" s="16">
        <v>-82.67073</v>
      </c>
      <c r="H119" s="16">
        <v>27.525515</v>
      </c>
      <c r="I119" s="17">
        <v>-82.73752</v>
      </c>
      <c r="J119" s="15" t="s">
        <v>1386</v>
      </c>
      <c r="K119" s="15" t="s">
        <v>1387</v>
      </c>
      <c r="Y119" s="15">
        <v>8.0</v>
      </c>
      <c r="Z119" s="15">
        <v>60.0</v>
      </c>
      <c r="AH119" s="15">
        <v>83.0</v>
      </c>
      <c r="AQ119" s="15">
        <v>14.0</v>
      </c>
      <c r="AR119" s="15">
        <v>2.0</v>
      </c>
      <c r="AV119" s="15">
        <v>5.0</v>
      </c>
      <c r="AW119" s="15">
        <v>86.0</v>
      </c>
      <c r="AY119" s="15">
        <v>58.0</v>
      </c>
      <c r="AZ119" s="15">
        <v>15.0</v>
      </c>
      <c r="BH119" s="12">
        <f t="shared" si="8"/>
        <v>331</v>
      </c>
    </row>
    <row r="120" ht="36.75" customHeight="1">
      <c r="A120" s="26">
        <v>42045.0</v>
      </c>
      <c r="B120" s="18" t="s">
        <v>133</v>
      </c>
      <c r="C120" s="18" t="s">
        <v>135</v>
      </c>
      <c r="D120" s="18" t="s">
        <v>136</v>
      </c>
      <c r="E120" s="18" t="s">
        <v>138</v>
      </c>
      <c r="F120" s="18" t="s">
        <v>1390</v>
      </c>
      <c r="G120" s="18" t="s">
        <v>1392</v>
      </c>
      <c r="H120" s="18" t="s">
        <v>1393</v>
      </c>
      <c r="I120" s="16" t="s">
        <v>1395</v>
      </c>
      <c r="J120" s="20" t="s">
        <v>1398</v>
      </c>
      <c r="K120" s="18" t="s">
        <v>1399</v>
      </c>
      <c r="L120" s="18">
        <v>6.0</v>
      </c>
      <c r="M120" s="18">
        <v>0.0</v>
      </c>
      <c r="N120" s="18">
        <v>21.0</v>
      </c>
      <c r="O120" s="18">
        <v>284.0</v>
      </c>
      <c r="P120" s="18">
        <v>0.0</v>
      </c>
      <c r="Q120" s="18">
        <v>0.0</v>
      </c>
      <c r="R120" s="18">
        <v>0.0</v>
      </c>
      <c r="S120" s="18">
        <v>0.0</v>
      </c>
      <c r="T120" s="18">
        <v>0.0</v>
      </c>
      <c r="U120" s="18">
        <v>0.0</v>
      </c>
      <c r="V120" s="18">
        <v>0.0</v>
      </c>
      <c r="W120" s="18">
        <v>1.0</v>
      </c>
      <c r="X120" s="18">
        <v>538.0</v>
      </c>
      <c r="Y120" s="18">
        <v>19.0</v>
      </c>
      <c r="Z120" s="18">
        <v>294.0</v>
      </c>
      <c r="AA120" s="18">
        <v>119.0</v>
      </c>
      <c r="AB120" s="18">
        <v>0.0</v>
      </c>
      <c r="AC120" s="18">
        <v>1.0</v>
      </c>
      <c r="AD120" s="18">
        <v>2.0</v>
      </c>
      <c r="AE120" s="18">
        <v>0.0</v>
      </c>
      <c r="AF120" s="18">
        <v>0.0</v>
      </c>
      <c r="AG120" s="18">
        <v>0.0</v>
      </c>
      <c r="AH120" s="18">
        <v>14.0</v>
      </c>
      <c r="AI120" s="18">
        <v>0.0</v>
      </c>
      <c r="AJ120" s="18">
        <v>0.0</v>
      </c>
      <c r="AK120" s="18">
        <v>0.0</v>
      </c>
      <c r="AL120" s="18">
        <v>0.0</v>
      </c>
      <c r="AM120" s="18">
        <v>0.0</v>
      </c>
      <c r="AN120" s="18">
        <v>12.0</v>
      </c>
      <c r="AO120" s="18">
        <v>0.0</v>
      </c>
      <c r="AP120" s="18">
        <v>0.0</v>
      </c>
      <c r="AQ120" s="18">
        <v>0.0</v>
      </c>
      <c r="AR120" s="18">
        <v>5.0</v>
      </c>
      <c r="AS120" s="18">
        <v>0.0</v>
      </c>
      <c r="AT120" s="18">
        <v>0.0</v>
      </c>
      <c r="AU120" s="18">
        <v>0.0</v>
      </c>
      <c r="AV120" s="18">
        <v>0.0</v>
      </c>
      <c r="AW120" s="18">
        <v>31.0</v>
      </c>
      <c r="AX120" s="18">
        <v>1.0</v>
      </c>
      <c r="AY120" s="18">
        <v>25.0</v>
      </c>
      <c r="AZ120" s="18">
        <v>58.0</v>
      </c>
      <c r="BA120" s="18">
        <v>7.0</v>
      </c>
      <c r="BB120" s="18">
        <v>0.0</v>
      </c>
      <c r="BC120" s="18">
        <v>0.0</v>
      </c>
      <c r="BD120" s="18">
        <v>0.0</v>
      </c>
      <c r="BE120" s="18">
        <v>1.0</v>
      </c>
      <c r="BF120" s="18">
        <v>0.0</v>
      </c>
      <c r="BG120" s="18">
        <v>0.0</v>
      </c>
      <c r="BH120" s="18">
        <v>1439.0</v>
      </c>
      <c r="BI120" s="15" t="s">
        <v>1403</v>
      </c>
    </row>
    <row r="121" ht="36.75" customHeight="1">
      <c r="A121" s="14">
        <v>42047.0</v>
      </c>
      <c r="B121" s="15" t="s">
        <v>1405</v>
      </c>
      <c r="C121" s="15" t="s">
        <v>1406</v>
      </c>
      <c r="D121" s="15" t="s">
        <v>1407</v>
      </c>
      <c r="E121" s="15" t="s">
        <v>138</v>
      </c>
      <c r="F121" s="16">
        <v>27.525475</v>
      </c>
      <c r="G121" s="16">
        <v>-82.742093</v>
      </c>
      <c r="H121" s="16">
        <v>27.537329</v>
      </c>
      <c r="I121" s="17">
        <v>82.74901</v>
      </c>
      <c r="J121" s="15" t="s">
        <v>1409</v>
      </c>
      <c r="K121" s="15" t="s">
        <v>1410</v>
      </c>
      <c r="N121" s="15">
        <v>9.0</v>
      </c>
      <c r="R121" s="15">
        <v>5.0</v>
      </c>
      <c r="Z121" s="15">
        <v>82.0</v>
      </c>
      <c r="AA121" s="15">
        <v>41.0</v>
      </c>
      <c r="AD121" s="15">
        <v>7.0</v>
      </c>
      <c r="AH121" s="15">
        <v>89.0</v>
      </c>
      <c r="AV121" s="15">
        <v>1.0</v>
      </c>
      <c r="AW121" s="15">
        <v>55.0</v>
      </c>
      <c r="AY121" s="15">
        <v>5.0</v>
      </c>
      <c r="AZ121" s="15">
        <v>28.0</v>
      </c>
      <c r="BA121" s="15">
        <v>21.0</v>
      </c>
      <c r="BH121" s="12">
        <f t="shared" ref="BH121:BH200" si="9">SUM(L121:BG121)</f>
        <v>343</v>
      </c>
    </row>
    <row r="122" ht="36.75" customHeight="1">
      <c r="A122" s="14">
        <v>42043.0</v>
      </c>
      <c r="B122" s="15" t="s">
        <v>1415</v>
      </c>
      <c r="C122" s="15" t="s">
        <v>1416</v>
      </c>
      <c r="D122" s="15" t="s">
        <v>1417</v>
      </c>
      <c r="E122" s="15" t="s">
        <v>1418</v>
      </c>
      <c r="F122" s="15">
        <v>26.5813</v>
      </c>
      <c r="G122" s="15">
        <v>-80.0449</v>
      </c>
      <c r="H122" s="15">
        <v>27.02279</v>
      </c>
      <c r="I122" s="17">
        <v>-80.095808</v>
      </c>
      <c r="J122" s="15" t="s">
        <v>1420</v>
      </c>
      <c r="K122" s="15" t="s">
        <v>1421</v>
      </c>
      <c r="N122" s="15">
        <v>18.0</v>
      </c>
      <c r="Q122" s="15">
        <v>6.0</v>
      </c>
      <c r="Y122" s="15">
        <v>8.0</v>
      </c>
      <c r="Z122" s="15">
        <v>167.0</v>
      </c>
      <c r="AH122" s="15">
        <v>7.0</v>
      </c>
      <c r="AV122" s="15">
        <v>1.0</v>
      </c>
      <c r="BH122" s="12">
        <f t="shared" si="9"/>
        <v>207</v>
      </c>
    </row>
    <row r="123" ht="36.75" customHeight="1">
      <c r="A123" s="14">
        <v>42044.0</v>
      </c>
      <c r="B123" s="15" t="s">
        <v>1424</v>
      </c>
      <c r="C123" s="15" t="s">
        <v>1416</v>
      </c>
      <c r="D123" s="15" t="s">
        <v>1425</v>
      </c>
      <c r="E123" s="15" t="s">
        <v>1418</v>
      </c>
      <c r="F123" s="15">
        <v>27.0836</v>
      </c>
      <c r="G123" s="15">
        <v>-80.1232</v>
      </c>
      <c r="H123" s="15">
        <v>27.03628</v>
      </c>
      <c r="I123" s="17">
        <v>-80.101354</v>
      </c>
      <c r="J123" s="15" t="s">
        <v>1427</v>
      </c>
      <c r="K123" s="15" t="s">
        <v>1428</v>
      </c>
      <c r="Y123" s="15">
        <v>12.0</v>
      </c>
      <c r="Z123" s="15">
        <v>20.0</v>
      </c>
      <c r="AH123" s="15">
        <v>5.0</v>
      </c>
      <c r="AW123" s="15">
        <v>2.0</v>
      </c>
      <c r="AY123" s="15">
        <v>10.0</v>
      </c>
      <c r="AZ123" s="15">
        <v>6.0</v>
      </c>
      <c r="BH123" s="12">
        <f t="shared" si="9"/>
        <v>55</v>
      </c>
    </row>
    <row r="124" ht="36.75" customHeight="1">
      <c r="A124" s="26">
        <v>42046.0</v>
      </c>
      <c r="B124" s="18" t="s">
        <v>1431</v>
      </c>
      <c r="C124" s="18" t="s">
        <v>1432</v>
      </c>
      <c r="D124" s="18" t="s">
        <v>1433</v>
      </c>
      <c r="E124" s="18" t="s">
        <v>1418</v>
      </c>
      <c r="F124" s="18">
        <v>27.4119796</v>
      </c>
      <c r="G124" s="18">
        <v>-80.672618</v>
      </c>
      <c r="H124" s="15">
        <v>27.159246</v>
      </c>
      <c r="I124" s="15">
        <v>-80.683627</v>
      </c>
      <c r="J124" s="15" t="s">
        <v>1434</v>
      </c>
      <c r="K124" s="15" t="s">
        <v>1435</v>
      </c>
      <c r="Q124" s="15">
        <v>2.0</v>
      </c>
      <c r="S124" s="15">
        <v>6.0</v>
      </c>
      <c r="AQ124" s="15">
        <v>30.0</v>
      </c>
      <c r="BH124" s="12">
        <f t="shared" si="9"/>
        <v>38</v>
      </c>
    </row>
    <row r="125" ht="36.75" customHeight="1">
      <c r="A125" s="26">
        <v>42041.0</v>
      </c>
      <c r="B125" s="18" t="s">
        <v>1438</v>
      </c>
      <c r="C125" s="18" t="s">
        <v>1439</v>
      </c>
      <c r="D125" s="18" t="s">
        <v>1440</v>
      </c>
      <c r="E125" s="18" t="s">
        <v>1441</v>
      </c>
      <c r="F125" s="16">
        <v>27.08644</v>
      </c>
      <c r="G125" s="16">
        <v>-80.1249</v>
      </c>
      <c r="H125" s="16">
        <v>27.13079</v>
      </c>
      <c r="I125" s="17">
        <v>-80.1453</v>
      </c>
      <c r="J125" s="15" t="s">
        <v>1444</v>
      </c>
      <c r="K125" s="15" t="s">
        <v>1445</v>
      </c>
      <c r="M125" s="22"/>
      <c r="N125" s="15">
        <v>2.0</v>
      </c>
      <c r="O125" s="22"/>
      <c r="W125" s="22"/>
      <c r="Y125" s="15">
        <v>6.0</v>
      </c>
      <c r="Z125" s="15">
        <v>40.0</v>
      </c>
      <c r="AH125" s="15">
        <v>15.0</v>
      </c>
      <c r="AL125" s="15">
        <v>4.0</v>
      </c>
      <c r="AR125" s="15">
        <v>2.0</v>
      </c>
      <c r="AU125" s="15">
        <v>1.0</v>
      </c>
      <c r="AY125" s="15">
        <v>10.0</v>
      </c>
      <c r="AZ125" s="18">
        <v>68.0</v>
      </c>
      <c r="BA125" s="15">
        <v>1.0</v>
      </c>
      <c r="BB125" s="22"/>
      <c r="BH125" s="12">
        <f t="shared" si="9"/>
        <v>149</v>
      </c>
    </row>
    <row r="126" ht="36.75" customHeight="1">
      <c r="A126" s="26">
        <v>42044.0</v>
      </c>
      <c r="B126" s="15" t="s">
        <v>1448</v>
      </c>
      <c r="C126" s="15" t="s">
        <v>1450</v>
      </c>
      <c r="D126" s="15" t="s">
        <v>1451</v>
      </c>
      <c r="E126" s="15" t="s">
        <v>1452</v>
      </c>
      <c r="F126" s="16">
        <v>27.16906</v>
      </c>
      <c r="G126" s="16">
        <v>-80.1564</v>
      </c>
      <c r="H126" s="16">
        <v>27.30904</v>
      </c>
      <c r="I126" s="17">
        <v>-80.2209</v>
      </c>
      <c r="J126" s="15" t="s">
        <v>1454</v>
      </c>
      <c r="K126" s="15" t="s">
        <v>1456</v>
      </c>
      <c r="N126" s="15">
        <v>1.0</v>
      </c>
      <c r="Q126" s="15">
        <v>21.0</v>
      </c>
      <c r="Y126" s="15">
        <v>90.0</v>
      </c>
      <c r="Z126" s="15">
        <v>249.0</v>
      </c>
      <c r="AA126" s="15">
        <v>3.0</v>
      </c>
      <c r="AE126" s="15">
        <v>1.0</v>
      </c>
      <c r="AH126" s="15">
        <v>11.0</v>
      </c>
      <c r="AL126" s="15">
        <v>4.0</v>
      </c>
      <c r="AN126" s="15">
        <v>1.0</v>
      </c>
      <c r="AU126" s="15">
        <v>3.0</v>
      </c>
      <c r="AV126" s="15">
        <v>3.0</v>
      </c>
      <c r="AW126" s="15">
        <v>30.0</v>
      </c>
      <c r="AY126" s="15">
        <v>116.0</v>
      </c>
      <c r="AZ126" s="15">
        <v>623.0</v>
      </c>
      <c r="BH126" s="12">
        <f t="shared" si="9"/>
        <v>1156</v>
      </c>
    </row>
    <row r="127" ht="36.75" customHeight="1">
      <c r="A127" s="26">
        <v>42045.0</v>
      </c>
      <c r="B127" s="18" t="s">
        <v>1459</v>
      </c>
      <c r="C127" s="18" t="s">
        <v>1460</v>
      </c>
      <c r="D127" s="18" t="s">
        <v>1461</v>
      </c>
      <c r="E127" s="18" t="s">
        <v>1462</v>
      </c>
      <c r="F127" s="18">
        <v>25.4633</v>
      </c>
      <c r="G127" s="18">
        <v>-80.3338</v>
      </c>
      <c r="H127" s="18">
        <v>25.4633</v>
      </c>
      <c r="I127" s="18">
        <v>-80.3338</v>
      </c>
      <c r="J127" s="20" t="s">
        <v>1463</v>
      </c>
      <c r="K127" s="18" t="s">
        <v>1465</v>
      </c>
      <c r="L127" s="18">
        <v>0.0</v>
      </c>
      <c r="M127" s="18">
        <v>0.0</v>
      </c>
      <c r="N127" s="18">
        <v>19.0</v>
      </c>
      <c r="O127" s="18">
        <v>0.0</v>
      </c>
      <c r="P127" s="18">
        <v>0.0</v>
      </c>
      <c r="Q127" s="18">
        <v>0.0</v>
      </c>
      <c r="R127" s="18">
        <v>125.0</v>
      </c>
      <c r="S127" s="18">
        <v>0.0</v>
      </c>
      <c r="T127" s="18">
        <v>0.0</v>
      </c>
      <c r="U127" s="18">
        <v>0.0</v>
      </c>
      <c r="V127" s="18">
        <v>0.0</v>
      </c>
      <c r="W127" s="18">
        <v>0.0</v>
      </c>
      <c r="X127" s="18">
        <v>0.0</v>
      </c>
      <c r="Y127" s="18">
        <v>22.0</v>
      </c>
      <c r="Z127" s="18">
        <v>262.0</v>
      </c>
      <c r="AA127" s="18">
        <v>32.0</v>
      </c>
      <c r="AB127" s="18">
        <v>0.0</v>
      </c>
      <c r="AC127" s="18">
        <v>8.0</v>
      </c>
      <c r="AD127" s="18">
        <v>0.0</v>
      </c>
      <c r="AE127" s="18">
        <v>1.0</v>
      </c>
      <c r="AF127" s="18">
        <v>0.0</v>
      </c>
      <c r="AG127" s="18">
        <v>0.0</v>
      </c>
      <c r="AH127" s="18">
        <v>0.0</v>
      </c>
      <c r="AI127" s="18">
        <v>0.0</v>
      </c>
      <c r="AJ127" s="18">
        <v>0.0</v>
      </c>
      <c r="AK127" s="18">
        <v>0.0</v>
      </c>
      <c r="AL127" s="18">
        <v>0.0</v>
      </c>
      <c r="AM127" s="18">
        <v>0.0</v>
      </c>
      <c r="AN127" s="18">
        <v>17.0</v>
      </c>
      <c r="AO127" s="18">
        <v>3.0</v>
      </c>
      <c r="AP127" s="18">
        <v>0.0</v>
      </c>
      <c r="AQ127" s="18">
        <v>421.0</v>
      </c>
      <c r="AR127" s="18">
        <v>2.0</v>
      </c>
      <c r="AS127" s="18">
        <v>0.0</v>
      </c>
      <c r="AT127" s="18">
        <v>0.0</v>
      </c>
      <c r="AU127" s="18">
        <v>0.0</v>
      </c>
      <c r="AV127" s="18">
        <v>2.0</v>
      </c>
      <c r="AW127" s="18">
        <v>165.0</v>
      </c>
      <c r="AX127" s="42">
        <v>37.0</v>
      </c>
      <c r="AY127" s="18">
        <v>245.0</v>
      </c>
      <c r="AZ127" s="18">
        <v>243.0</v>
      </c>
      <c r="BA127" s="18">
        <v>0.0</v>
      </c>
      <c r="BB127" s="18">
        <v>0.0</v>
      </c>
      <c r="BC127" s="18">
        <v>0.0</v>
      </c>
      <c r="BD127" s="18">
        <v>0.0</v>
      </c>
      <c r="BE127" s="18">
        <v>0.0</v>
      </c>
      <c r="BF127" s="18">
        <v>0.0</v>
      </c>
      <c r="BH127" s="12">
        <f t="shared" si="9"/>
        <v>1604</v>
      </c>
      <c r="BI127" s="15" t="s">
        <v>1471</v>
      </c>
    </row>
    <row r="128" ht="36.75" customHeight="1">
      <c r="A128" s="24">
        <v>42047.0</v>
      </c>
      <c r="B128" s="18" t="s">
        <v>434</v>
      </c>
      <c r="C128" s="18" t="s">
        <v>1472</v>
      </c>
      <c r="D128" s="18" t="s">
        <v>1473</v>
      </c>
      <c r="E128" s="18" t="s">
        <v>1462</v>
      </c>
      <c r="F128" s="16">
        <v>25.84782</v>
      </c>
      <c r="G128" s="16">
        <v>-80.16824</v>
      </c>
      <c r="H128" s="16">
        <v>25.72834</v>
      </c>
      <c r="I128" s="17">
        <v>-80.16397</v>
      </c>
      <c r="J128" s="15" t="s">
        <v>1475</v>
      </c>
      <c r="K128" s="15" t="s">
        <v>1476</v>
      </c>
      <c r="M128" s="22"/>
      <c r="AA128" s="15">
        <v>2.0</v>
      </c>
      <c r="AH128" s="15">
        <v>1.0</v>
      </c>
      <c r="AN128" s="15">
        <v>26.0</v>
      </c>
      <c r="AQ128" s="15">
        <v>103.0</v>
      </c>
      <c r="AV128" s="15">
        <v>5.0</v>
      </c>
      <c r="AW128" s="15">
        <v>189.0</v>
      </c>
      <c r="AY128" s="15">
        <v>5.0</v>
      </c>
      <c r="AZ128" s="15">
        <v>25.0</v>
      </c>
      <c r="BG128" s="22"/>
      <c r="BH128" s="12">
        <f t="shared" si="9"/>
        <v>356</v>
      </c>
    </row>
    <row r="129" ht="36.75" customHeight="1">
      <c r="A129" s="14">
        <v>42044.0</v>
      </c>
      <c r="B129" s="15" t="s">
        <v>1479</v>
      </c>
      <c r="C129" s="15" t="s">
        <v>1480</v>
      </c>
      <c r="D129" s="15" t="s">
        <v>1482</v>
      </c>
      <c r="E129" s="15" t="s">
        <v>1483</v>
      </c>
      <c r="F129" s="15">
        <v>25.683</v>
      </c>
      <c r="G129" s="15">
        <v>-80.1553</v>
      </c>
      <c r="H129" s="15">
        <v>25.7002</v>
      </c>
      <c r="I129" s="17">
        <v>-80.1553</v>
      </c>
      <c r="J129" s="15" t="s">
        <v>1485</v>
      </c>
      <c r="K129" s="15" t="s">
        <v>1487</v>
      </c>
      <c r="Z129" s="15">
        <v>63.0</v>
      </c>
      <c r="AQ129" s="15">
        <v>11.0</v>
      </c>
      <c r="AW129" s="15">
        <v>94.0</v>
      </c>
      <c r="AX129" s="15">
        <v>1.0</v>
      </c>
      <c r="AY129" s="15">
        <v>69.0</v>
      </c>
      <c r="BH129" s="12">
        <f t="shared" si="9"/>
        <v>238</v>
      </c>
    </row>
    <row r="130" ht="36.75" customHeight="1">
      <c r="A130" s="14">
        <v>42044.0</v>
      </c>
      <c r="B130" s="15" t="s">
        <v>1479</v>
      </c>
      <c r="C130" s="15" t="s">
        <v>1480</v>
      </c>
      <c r="D130" s="15" t="s">
        <v>1489</v>
      </c>
      <c r="E130" s="15" t="s">
        <v>1483</v>
      </c>
      <c r="F130" s="15">
        <v>25.6667</v>
      </c>
      <c r="G130" s="15" t="s">
        <v>1490</v>
      </c>
      <c r="H130" s="15">
        <v>25.683</v>
      </c>
      <c r="I130" s="17">
        <v>-80.1553</v>
      </c>
      <c r="J130" s="15" t="s">
        <v>1491</v>
      </c>
      <c r="K130" s="15" t="s">
        <v>1487</v>
      </c>
      <c r="Y130" s="15">
        <v>3.0</v>
      </c>
      <c r="Z130" s="15">
        <v>22.0</v>
      </c>
      <c r="AA130" s="15">
        <v>6.0</v>
      </c>
      <c r="AN130" s="15">
        <v>3.0</v>
      </c>
      <c r="AQ130" s="15">
        <v>7.0</v>
      </c>
      <c r="AY130" s="15">
        <v>2.0</v>
      </c>
      <c r="BH130" s="12">
        <f t="shared" si="9"/>
        <v>43</v>
      </c>
    </row>
    <row r="131" ht="36.75" customHeight="1">
      <c r="A131" s="14">
        <v>42044.0</v>
      </c>
      <c r="B131" s="15" t="s">
        <v>1492</v>
      </c>
      <c r="C131" s="15" t="s">
        <v>1493</v>
      </c>
      <c r="D131" s="15" t="s">
        <v>1494</v>
      </c>
      <c r="E131" s="15" t="s">
        <v>1483</v>
      </c>
      <c r="F131" s="15">
        <v>25.700643</v>
      </c>
      <c r="G131" s="42">
        <v>-80.154668</v>
      </c>
      <c r="H131" s="18">
        <v>25.724667</v>
      </c>
      <c r="I131" s="16">
        <v>-80.147873</v>
      </c>
      <c r="J131" s="15" t="s">
        <v>1496</v>
      </c>
      <c r="K131" s="15" t="s">
        <v>1497</v>
      </c>
      <c r="N131" s="15">
        <v>128.0</v>
      </c>
      <c r="O131" s="15">
        <v>24.0</v>
      </c>
      <c r="R131" s="15">
        <v>25.0</v>
      </c>
      <c r="W131" s="15">
        <v>39.0</v>
      </c>
      <c r="Y131" s="15">
        <v>32.0</v>
      </c>
      <c r="Z131" s="15">
        <v>130.0</v>
      </c>
      <c r="AA131" s="15">
        <v>119.0</v>
      </c>
      <c r="AC131" s="15">
        <v>10.0</v>
      </c>
      <c r="AD131" s="15">
        <v>1.0</v>
      </c>
      <c r="AI131" s="15">
        <v>3.0</v>
      </c>
      <c r="AO131" s="15">
        <v>1.0</v>
      </c>
      <c r="AQ131" s="15">
        <v>32.0</v>
      </c>
      <c r="AV131" s="15">
        <v>5.0</v>
      </c>
      <c r="AW131" s="15">
        <v>200.0</v>
      </c>
      <c r="AX131" s="15">
        <v>34.0</v>
      </c>
      <c r="AY131" s="15">
        <v>18.0</v>
      </c>
      <c r="AZ131" s="15">
        <v>72.0</v>
      </c>
      <c r="BH131" s="12">
        <f t="shared" si="9"/>
        <v>873</v>
      </c>
      <c r="BI131" s="15" t="s">
        <v>1504</v>
      </c>
    </row>
    <row r="132" ht="36.75" customHeight="1">
      <c r="A132" s="14">
        <v>42044.0</v>
      </c>
      <c r="B132" s="15" t="s">
        <v>1507</v>
      </c>
      <c r="C132" s="15" t="s">
        <v>1508</v>
      </c>
      <c r="D132" s="15" t="s">
        <v>1510</v>
      </c>
      <c r="E132" s="15" t="s">
        <v>243</v>
      </c>
      <c r="F132" s="15">
        <v>24.65466</v>
      </c>
      <c r="G132" s="15">
        <v>-81.29984</v>
      </c>
      <c r="H132" s="15">
        <v>24.65492</v>
      </c>
      <c r="I132" s="17">
        <v>-81.29875</v>
      </c>
      <c r="J132" s="15" t="s">
        <v>1514</v>
      </c>
      <c r="K132" s="15" t="s">
        <v>1515</v>
      </c>
      <c r="R132" s="15">
        <v>45.0</v>
      </c>
      <c r="Y132" s="15">
        <v>4.0</v>
      </c>
      <c r="AA132" s="15">
        <v>4.0</v>
      </c>
      <c r="AE132" s="15">
        <v>1.0</v>
      </c>
      <c r="BH132" s="12">
        <f t="shared" si="9"/>
        <v>54</v>
      </c>
    </row>
    <row r="133" ht="36.75" customHeight="1">
      <c r="A133" s="14">
        <v>42044.0</v>
      </c>
      <c r="B133" s="43" t="s">
        <v>1507</v>
      </c>
      <c r="C133" s="43" t="s">
        <v>1519</v>
      </c>
      <c r="D133" s="43" t="s">
        <v>1520</v>
      </c>
      <c r="E133" s="43" t="s">
        <v>243</v>
      </c>
      <c r="F133" s="43">
        <v>24.67199</v>
      </c>
      <c r="G133" s="43">
        <v>-81.2461</v>
      </c>
      <c r="H133" s="43">
        <v>24.6734</v>
      </c>
      <c r="I133" s="17">
        <v>-81.24339</v>
      </c>
      <c r="J133" s="43" t="s">
        <v>1522</v>
      </c>
      <c r="K133" s="43" t="s">
        <v>1515</v>
      </c>
      <c r="N133" s="43">
        <v>9.0</v>
      </c>
      <c r="P133" s="43">
        <v>1.0</v>
      </c>
      <c r="R133" s="43">
        <v>18.0</v>
      </c>
      <c r="X133" s="43">
        <v>1.0</v>
      </c>
      <c r="Z133" s="43">
        <v>3.0</v>
      </c>
      <c r="AA133" s="43">
        <v>27.0</v>
      </c>
      <c r="AB133" s="43">
        <v>11.0</v>
      </c>
      <c r="AC133" s="43">
        <v>38.0</v>
      </c>
      <c r="AF133" s="43">
        <v>4.0</v>
      </c>
      <c r="AH133" s="43">
        <v>5.0</v>
      </c>
      <c r="AN133" s="43">
        <v>5.0</v>
      </c>
      <c r="AZ133" s="43">
        <v>2.0</v>
      </c>
      <c r="BH133" s="12">
        <f t="shared" si="9"/>
        <v>124</v>
      </c>
    </row>
    <row r="134" ht="36.75" customHeight="1">
      <c r="A134" s="14">
        <v>42044.0</v>
      </c>
      <c r="B134" s="43" t="s">
        <v>1507</v>
      </c>
      <c r="C134" s="43" t="s">
        <v>1519</v>
      </c>
      <c r="D134" s="43" t="s">
        <v>1520</v>
      </c>
      <c r="E134" s="43" t="s">
        <v>243</v>
      </c>
      <c r="F134" s="43">
        <v>24.67199</v>
      </c>
      <c r="G134" s="43">
        <v>-81.2461</v>
      </c>
      <c r="H134" s="43">
        <v>24.6734</v>
      </c>
      <c r="I134" s="17">
        <v>-81.24339</v>
      </c>
      <c r="J134" s="43" t="s">
        <v>1527</v>
      </c>
      <c r="K134" s="43" t="s">
        <v>1528</v>
      </c>
      <c r="AA134" s="43">
        <v>115.0</v>
      </c>
      <c r="BH134" s="12">
        <f t="shared" si="9"/>
        <v>115</v>
      </c>
    </row>
    <row r="135" ht="36.75" customHeight="1">
      <c r="A135" s="14">
        <v>42045.0</v>
      </c>
      <c r="B135" s="15" t="s">
        <v>1530</v>
      </c>
      <c r="C135" s="15" t="s">
        <v>1532</v>
      </c>
      <c r="D135" s="15" t="s">
        <v>1533</v>
      </c>
      <c r="E135" s="15" t="s">
        <v>243</v>
      </c>
      <c r="F135" s="15">
        <v>24.654</v>
      </c>
      <c r="G135" s="15">
        <v>-81.28062</v>
      </c>
      <c r="H135" s="15">
        <v>24.6677</v>
      </c>
      <c r="I135" s="17">
        <v>-81.2499</v>
      </c>
      <c r="J135" s="15" t="s">
        <v>1534</v>
      </c>
      <c r="K135" s="15" t="s">
        <v>1535</v>
      </c>
      <c r="R135" s="15">
        <v>27.0</v>
      </c>
      <c r="Y135" s="15">
        <v>53.0</v>
      </c>
      <c r="Z135" s="15">
        <v>96.0</v>
      </c>
      <c r="AQ135" s="15">
        <v>1.0</v>
      </c>
      <c r="AW135" s="15">
        <v>8.0</v>
      </c>
      <c r="AY135" s="15">
        <v>1.0</v>
      </c>
      <c r="BH135" s="12">
        <f t="shared" si="9"/>
        <v>186</v>
      </c>
    </row>
    <row r="136" ht="36.75" customHeight="1">
      <c r="A136" s="14">
        <v>42046.0</v>
      </c>
      <c r="B136" s="15" t="s">
        <v>1507</v>
      </c>
      <c r="C136" s="15" t="s">
        <v>1508</v>
      </c>
      <c r="D136" s="15" t="s">
        <v>1541</v>
      </c>
      <c r="E136" s="15" t="s">
        <v>243</v>
      </c>
      <c r="F136" s="15">
        <v>24.53758</v>
      </c>
      <c r="G136" s="15">
        <v>-82.00818</v>
      </c>
      <c r="H136" s="15">
        <v>24.52751</v>
      </c>
      <c r="I136" s="17">
        <v>-82.00629</v>
      </c>
      <c r="J136" s="15" t="s">
        <v>1542</v>
      </c>
      <c r="K136" s="15" t="s">
        <v>1543</v>
      </c>
      <c r="N136" s="15">
        <v>32.0</v>
      </c>
      <c r="O136" s="15">
        <v>11.0</v>
      </c>
      <c r="P136" s="15">
        <v>1.0</v>
      </c>
      <c r="R136" s="15">
        <v>21.0</v>
      </c>
      <c r="T136" s="15">
        <v>2.0</v>
      </c>
      <c r="W136" s="15">
        <v>6.0</v>
      </c>
      <c r="Y136" s="15">
        <v>1.0</v>
      </c>
      <c r="AA136" s="15">
        <v>30.0</v>
      </c>
      <c r="AC136" s="15">
        <v>7.0</v>
      </c>
      <c r="AG136" s="15">
        <v>1.0</v>
      </c>
      <c r="AH136" s="15">
        <v>11.0</v>
      </c>
      <c r="AN136" s="15">
        <v>33.0</v>
      </c>
      <c r="AQ136" s="15">
        <v>17.0</v>
      </c>
      <c r="BH136" s="12">
        <f t="shared" si="9"/>
        <v>173</v>
      </c>
    </row>
    <row r="137" ht="36.75" customHeight="1">
      <c r="A137" s="14">
        <v>42046.0</v>
      </c>
      <c r="B137" s="15" t="s">
        <v>1507</v>
      </c>
      <c r="C137" s="15" t="s">
        <v>1508</v>
      </c>
      <c r="D137" s="15" t="s">
        <v>1548</v>
      </c>
      <c r="E137" s="15" t="s">
        <v>243</v>
      </c>
      <c r="F137" s="15">
        <v>24.52406</v>
      </c>
      <c r="G137" s="15">
        <v>-81.96727</v>
      </c>
      <c r="H137" s="15">
        <v>24.52461</v>
      </c>
      <c r="I137" s="17">
        <v>-81.97932</v>
      </c>
      <c r="J137" s="15" t="s">
        <v>1551</v>
      </c>
      <c r="K137" s="15" t="s">
        <v>1552</v>
      </c>
      <c r="BH137" s="12">
        <f t="shared" si="9"/>
        <v>0</v>
      </c>
    </row>
    <row r="138" ht="36.75" customHeight="1">
      <c r="A138" s="26">
        <v>42046.0</v>
      </c>
      <c r="B138" s="18" t="s">
        <v>1507</v>
      </c>
      <c r="C138" s="18" t="s">
        <v>1508</v>
      </c>
      <c r="D138" s="18" t="s">
        <v>1560</v>
      </c>
      <c r="E138" s="18" t="s">
        <v>243</v>
      </c>
      <c r="F138" s="18">
        <v>24.527509</v>
      </c>
      <c r="G138" s="18">
        <v>-81.984125</v>
      </c>
      <c r="H138" s="18">
        <v>24.527509</v>
      </c>
      <c r="I138" s="18">
        <v>-81.984125</v>
      </c>
      <c r="J138" s="20" t="s">
        <v>1563</v>
      </c>
      <c r="K138" s="18" t="s">
        <v>1566</v>
      </c>
      <c r="L138" s="22"/>
      <c r="M138" s="22"/>
      <c r="N138" s="18">
        <v>9.0</v>
      </c>
      <c r="O138" s="22"/>
      <c r="P138" s="22"/>
      <c r="Q138" s="22"/>
      <c r="R138" s="22"/>
      <c r="S138" s="22"/>
      <c r="T138" s="22"/>
      <c r="U138" s="22"/>
      <c r="V138" s="22"/>
      <c r="W138" s="22"/>
      <c r="X138" s="22"/>
      <c r="Y138" s="22"/>
      <c r="Z138" s="18">
        <v>57.0</v>
      </c>
      <c r="AA138" s="22"/>
      <c r="AB138" s="22"/>
      <c r="AC138" s="18">
        <v>134.0</v>
      </c>
      <c r="AD138" s="22"/>
      <c r="AE138" s="22"/>
      <c r="AF138" s="22"/>
      <c r="AG138" s="22"/>
      <c r="AH138" s="18">
        <v>32.0</v>
      </c>
      <c r="AI138" s="22"/>
      <c r="AJ138" s="22"/>
      <c r="AK138" s="22"/>
      <c r="AL138" s="22"/>
      <c r="AM138" s="22"/>
      <c r="AN138" s="22"/>
      <c r="AO138" s="22"/>
      <c r="AP138" s="22"/>
      <c r="AQ138" s="18">
        <v>11.0</v>
      </c>
      <c r="AR138" s="22"/>
      <c r="AS138" s="22"/>
      <c r="AT138" s="22"/>
      <c r="AU138" s="22"/>
      <c r="AV138" s="22"/>
      <c r="AW138" s="18">
        <v>36.0</v>
      </c>
      <c r="AX138" s="22"/>
      <c r="AY138" s="22"/>
      <c r="AZ138" s="18">
        <v>209.0</v>
      </c>
      <c r="BA138" s="22"/>
      <c r="BB138" s="22"/>
      <c r="BC138" s="18">
        <v>16.0</v>
      </c>
      <c r="BD138" s="22"/>
      <c r="BE138" s="22"/>
      <c r="BF138" s="22"/>
      <c r="BH138" s="12">
        <f t="shared" si="9"/>
        <v>504</v>
      </c>
    </row>
    <row r="139" ht="36.75" customHeight="1">
      <c r="A139" s="14">
        <v>42046.0</v>
      </c>
      <c r="B139" s="15" t="s">
        <v>1507</v>
      </c>
      <c r="C139" s="15" t="s">
        <v>1508</v>
      </c>
      <c r="D139" s="15" t="s">
        <v>1571</v>
      </c>
      <c r="E139" s="15" t="s">
        <v>243</v>
      </c>
      <c r="F139" s="15">
        <v>24.55836</v>
      </c>
      <c r="G139" s="15">
        <v>-82.10892</v>
      </c>
      <c r="H139" s="15">
        <v>24.56022</v>
      </c>
      <c r="I139" s="17">
        <v>-82.105</v>
      </c>
      <c r="J139" s="15" t="s">
        <v>1574</v>
      </c>
      <c r="K139" s="15" t="s">
        <v>1575</v>
      </c>
      <c r="BH139" s="12">
        <f t="shared" si="9"/>
        <v>0</v>
      </c>
    </row>
    <row r="140" ht="36.75" customHeight="1">
      <c r="A140" s="14">
        <v>42046.0</v>
      </c>
      <c r="B140" s="15" t="s">
        <v>1507</v>
      </c>
      <c r="C140" s="15" t="s">
        <v>1508</v>
      </c>
      <c r="D140" s="15" t="s">
        <v>1584</v>
      </c>
      <c r="E140" s="15" t="s">
        <v>243</v>
      </c>
      <c r="F140" s="18">
        <v>24.5487</v>
      </c>
      <c r="G140" s="15">
        <v>-82.1197</v>
      </c>
      <c r="H140" s="18">
        <v>24.5487</v>
      </c>
      <c r="I140" s="15">
        <v>-82.1197</v>
      </c>
      <c r="J140" s="15" t="s">
        <v>1574</v>
      </c>
      <c r="K140" s="15" t="s">
        <v>1575</v>
      </c>
      <c r="AQ140" s="15">
        <v>6.0</v>
      </c>
      <c r="AZ140" s="15">
        <v>11.0</v>
      </c>
      <c r="BH140" s="12">
        <f t="shared" si="9"/>
        <v>17</v>
      </c>
    </row>
    <row r="141" ht="36.75" customHeight="1">
      <c r="A141" s="14">
        <v>42046.0</v>
      </c>
      <c r="B141" s="15" t="s">
        <v>1507</v>
      </c>
      <c r="C141" s="15" t="s">
        <v>1508</v>
      </c>
      <c r="D141" s="15" t="s">
        <v>1589</v>
      </c>
      <c r="E141" s="15" t="s">
        <v>243</v>
      </c>
      <c r="F141" s="18">
        <v>24.5439</v>
      </c>
      <c r="G141" s="15">
        <v>-82.13567</v>
      </c>
      <c r="H141" s="18">
        <v>24.5439</v>
      </c>
      <c r="I141" s="15">
        <v>-82.13567</v>
      </c>
      <c r="J141" s="15" t="s">
        <v>1574</v>
      </c>
      <c r="K141" s="15" t="s">
        <v>1575</v>
      </c>
      <c r="AN141" s="15">
        <v>35.0</v>
      </c>
      <c r="BH141" s="12">
        <f t="shared" si="9"/>
        <v>35</v>
      </c>
    </row>
    <row r="142" ht="36.75" customHeight="1">
      <c r="A142" s="14">
        <v>42046.0</v>
      </c>
      <c r="B142" s="15" t="s">
        <v>1507</v>
      </c>
      <c r="C142" s="15" t="s">
        <v>1508</v>
      </c>
      <c r="D142" s="15" t="s">
        <v>1593</v>
      </c>
      <c r="E142" s="15" t="s">
        <v>243</v>
      </c>
      <c r="F142" s="18">
        <v>24.5492</v>
      </c>
      <c r="G142" s="15">
        <v>-82.1581</v>
      </c>
      <c r="H142" s="18">
        <v>24.5492</v>
      </c>
      <c r="I142" s="15">
        <v>-82.1581</v>
      </c>
      <c r="J142" s="15" t="s">
        <v>1574</v>
      </c>
      <c r="K142" s="15" t="s">
        <v>1575</v>
      </c>
      <c r="AN142" s="15">
        <v>20.0</v>
      </c>
      <c r="BH142" s="12">
        <f t="shared" si="9"/>
        <v>20</v>
      </c>
    </row>
    <row r="143" ht="36.75" customHeight="1">
      <c r="A143" s="14">
        <v>42046.0</v>
      </c>
      <c r="B143" s="15" t="s">
        <v>1507</v>
      </c>
      <c r="C143" s="15" t="s">
        <v>1508</v>
      </c>
      <c r="D143" s="15" t="s">
        <v>1596</v>
      </c>
      <c r="E143" s="15" t="s">
        <v>243</v>
      </c>
      <c r="F143" s="18">
        <v>24.54997</v>
      </c>
      <c r="G143" s="15">
        <v>-82.16192</v>
      </c>
      <c r="H143" s="18">
        <v>24.54833</v>
      </c>
      <c r="I143" s="15">
        <v>-82.15801</v>
      </c>
      <c r="J143" s="15" t="s">
        <v>1574</v>
      </c>
      <c r="K143" s="15" t="s">
        <v>1575</v>
      </c>
      <c r="AN143" s="15">
        <v>32.0</v>
      </c>
      <c r="AQ143" s="15">
        <v>18.0</v>
      </c>
      <c r="BH143" s="12">
        <f t="shared" si="9"/>
        <v>50</v>
      </c>
    </row>
    <row r="144" ht="36.75" customHeight="1">
      <c r="A144" s="14">
        <v>42046.0</v>
      </c>
      <c r="B144" s="15" t="s">
        <v>1507</v>
      </c>
      <c r="C144" s="15" t="s">
        <v>1508</v>
      </c>
      <c r="D144" s="15" t="s">
        <v>1600</v>
      </c>
      <c r="E144" s="15" t="s">
        <v>243</v>
      </c>
      <c r="F144" s="18">
        <v>24.54965</v>
      </c>
      <c r="G144" s="15">
        <v>-82.16307</v>
      </c>
      <c r="H144" s="18">
        <v>24.55849</v>
      </c>
      <c r="I144" s="15">
        <v>-82.16483</v>
      </c>
      <c r="J144" s="15" t="s">
        <v>1574</v>
      </c>
      <c r="K144" s="15" t="s">
        <v>1575</v>
      </c>
      <c r="AN144" s="15">
        <v>35.0</v>
      </c>
      <c r="AQ144" s="15">
        <v>3.0</v>
      </c>
      <c r="AZ144" s="15">
        <v>4.0</v>
      </c>
      <c r="BH144" s="12">
        <f t="shared" si="9"/>
        <v>42</v>
      </c>
    </row>
    <row r="145" ht="36.75" customHeight="1">
      <c r="A145" s="14">
        <v>42046.0</v>
      </c>
      <c r="B145" s="15" t="s">
        <v>1507</v>
      </c>
      <c r="C145" s="15" t="s">
        <v>1508</v>
      </c>
      <c r="D145" s="15" t="s">
        <v>1608</v>
      </c>
      <c r="E145" s="15" t="s">
        <v>243</v>
      </c>
      <c r="F145" s="18">
        <v>24.56082</v>
      </c>
      <c r="G145" s="15">
        <v>-82.16454</v>
      </c>
      <c r="H145" s="18">
        <v>24.5643</v>
      </c>
      <c r="I145" s="15">
        <v>-82.16345</v>
      </c>
      <c r="J145" s="15" t="s">
        <v>1574</v>
      </c>
      <c r="K145" s="15" t="s">
        <v>1575</v>
      </c>
      <c r="AN145" s="15">
        <v>3.0</v>
      </c>
      <c r="BH145" s="12">
        <f t="shared" si="9"/>
        <v>3</v>
      </c>
    </row>
    <row r="146" ht="36.75" customHeight="1">
      <c r="A146" s="14">
        <v>42046.0</v>
      </c>
      <c r="B146" s="15" t="s">
        <v>1507</v>
      </c>
      <c r="C146" s="15" t="s">
        <v>1508</v>
      </c>
      <c r="D146" s="15" t="s">
        <v>1609</v>
      </c>
      <c r="E146" s="15" t="s">
        <v>243</v>
      </c>
      <c r="F146" s="18">
        <v>24.5726</v>
      </c>
      <c r="G146" s="15">
        <v>-82.15358</v>
      </c>
      <c r="H146" s="18">
        <v>24.5726</v>
      </c>
      <c r="I146" s="15">
        <v>-82.15358</v>
      </c>
      <c r="J146" s="15" t="s">
        <v>1574</v>
      </c>
      <c r="K146" s="15" t="s">
        <v>1575</v>
      </c>
      <c r="AN146" s="15">
        <v>22.0</v>
      </c>
      <c r="BH146" s="12">
        <f t="shared" si="9"/>
        <v>22</v>
      </c>
    </row>
    <row r="147" ht="36.75" customHeight="1">
      <c r="A147" s="14">
        <v>42046.0</v>
      </c>
      <c r="B147" s="15" t="s">
        <v>1507</v>
      </c>
      <c r="C147" s="15" t="s">
        <v>1508</v>
      </c>
      <c r="D147" s="15" t="s">
        <v>1611</v>
      </c>
      <c r="E147" s="15" t="s">
        <v>243</v>
      </c>
      <c r="F147" s="18">
        <v>24.58873</v>
      </c>
      <c r="G147" s="15">
        <v>-82.14545</v>
      </c>
      <c r="H147" s="18">
        <v>24.59527</v>
      </c>
      <c r="I147" s="15">
        <v>-82.12029</v>
      </c>
      <c r="J147" s="15" t="s">
        <v>1574</v>
      </c>
      <c r="K147" s="15" t="s">
        <v>1575</v>
      </c>
      <c r="Q147" s="15">
        <v>1.0</v>
      </c>
      <c r="AN147" s="15">
        <v>6.0</v>
      </c>
      <c r="AQ147" s="15">
        <v>3.0</v>
      </c>
      <c r="BC147" s="15">
        <v>6.0</v>
      </c>
      <c r="BH147" s="12">
        <f t="shared" si="9"/>
        <v>16</v>
      </c>
    </row>
    <row r="148" ht="36.75" customHeight="1">
      <c r="A148" s="14">
        <v>74916.0</v>
      </c>
      <c r="B148" s="43" t="s">
        <v>1507</v>
      </c>
      <c r="C148" s="43" t="s">
        <v>1519</v>
      </c>
      <c r="D148" s="43" t="s">
        <v>1533</v>
      </c>
      <c r="E148" s="43" t="s">
        <v>243</v>
      </c>
      <c r="F148" s="43">
        <v>24.66824</v>
      </c>
      <c r="G148" s="43">
        <v>-81.24979</v>
      </c>
      <c r="H148" s="43">
        <v>24.65422</v>
      </c>
      <c r="I148" s="17">
        <v>-81.28059</v>
      </c>
      <c r="J148" s="43" t="s">
        <v>1615</v>
      </c>
      <c r="K148" s="43" t="s">
        <v>1616</v>
      </c>
      <c r="R148" s="43">
        <v>64.0</v>
      </c>
      <c r="Y148" s="43">
        <v>51.0</v>
      </c>
      <c r="Z148" s="43">
        <v>121.0</v>
      </c>
      <c r="AN148" s="43">
        <v>11.0</v>
      </c>
      <c r="BH148" s="12">
        <f t="shared" si="9"/>
        <v>247</v>
      </c>
    </row>
    <row r="149" ht="36.75" customHeight="1">
      <c r="A149" s="26">
        <v>42042.0</v>
      </c>
      <c r="B149" s="18" t="s">
        <v>1621</v>
      </c>
      <c r="C149" s="18" t="s">
        <v>1624</v>
      </c>
      <c r="D149" s="18" t="s">
        <v>1626</v>
      </c>
      <c r="E149" s="18" t="s">
        <v>1627</v>
      </c>
      <c r="F149" s="18">
        <v>30.700534</v>
      </c>
      <c r="G149" s="18">
        <v>-81.429004</v>
      </c>
      <c r="H149" s="18">
        <v>30.690845</v>
      </c>
      <c r="I149" s="17">
        <v>-81.427961</v>
      </c>
      <c r="J149" s="15" t="s">
        <v>1629</v>
      </c>
      <c r="K149" s="15" t="s">
        <v>1630</v>
      </c>
      <c r="M149" s="22"/>
      <c r="Y149" s="15">
        <v>96.0</v>
      </c>
      <c r="Z149" s="15">
        <v>11.0</v>
      </c>
      <c r="AH149" s="15">
        <v>2.0</v>
      </c>
      <c r="AN149" s="15">
        <v>2.0</v>
      </c>
      <c r="AV149" s="15">
        <v>14.0</v>
      </c>
      <c r="AY149" s="15">
        <v>20.0</v>
      </c>
      <c r="AZ149" s="15">
        <v>14.0</v>
      </c>
      <c r="BF149" s="15">
        <v>2.0</v>
      </c>
      <c r="BG149" s="22"/>
      <c r="BH149" s="12">
        <f t="shared" si="9"/>
        <v>161</v>
      </c>
    </row>
    <row r="150" ht="36.75" customHeight="1">
      <c r="A150" s="14">
        <v>42045.0</v>
      </c>
      <c r="B150" s="15" t="s">
        <v>503</v>
      </c>
      <c r="C150" s="15" t="s">
        <v>504</v>
      </c>
      <c r="D150" s="15" t="s">
        <v>1635</v>
      </c>
      <c r="E150" s="15" t="s">
        <v>1627</v>
      </c>
      <c r="F150" s="15">
        <v>30.5219444</v>
      </c>
      <c r="G150" s="15">
        <v>-81.445</v>
      </c>
      <c r="H150" s="15">
        <v>30.5169444</v>
      </c>
      <c r="I150" s="17">
        <v>-81.435</v>
      </c>
      <c r="J150" s="15" t="s">
        <v>1637</v>
      </c>
      <c r="K150" s="15" t="s">
        <v>514</v>
      </c>
      <c r="L150" s="15">
        <v>0.0</v>
      </c>
      <c r="M150" s="15">
        <v>0.0</v>
      </c>
      <c r="N150" s="15">
        <v>0.0</v>
      </c>
      <c r="O150" s="15">
        <v>11.0</v>
      </c>
      <c r="P150" s="15">
        <v>0.0</v>
      </c>
      <c r="Q150" s="15">
        <v>0.0</v>
      </c>
      <c r="R150" s="15">
        <v>0.0</v>
      </c>
      <c r="S150" s="15">
        <v>0.0</v>
      </c>
      <c r="T150" s="15">
        <v>0.0</v>
      </c>
      <c r="U150" s="15">
        <v>0.0</v>
      </c>
      <c r="V150" s="15">
        <v>0.0</v>
      </c>
      <c r="W150" s="15">
        <v>0.0</v>
      </c>
      <c r="X150" s="15">
        <v>8.0</v>
      </c>
      <c r="Y150" s="15">
        <v>6.0</v>
      </c>
      <c r="Z150" s="15">
        <v>13.0</v>
      </c>
      <c r="AA150" s="15">
        <v>0.0</v>
      </c>
      <c r="AB150" s="15">
        <v>0.0</v>
      </c>
      <c r="AC150" s="15">
        <v>0.0</v>
      </c>
      <c r="AD150" s="15">
        <v>0.0</v>
      </c>
      <c r="AE150" s="15">
        <v>0.0</v>
      </c>
      <c r="AF150" s="15">
        <v>0.0</v>
      </c>
      <c r="AG150" s="15">
        <v>0.0</v>
      </c>
      <c r="AH150" s="15">
        <v>2.0</v>
      </c>
      <c r="AI150" s="15">
        <v>30.0</v>
      </c>
      <c r="AJ150" s="15">
        <v>0.0</v>
      </c>
      <c r="AK150" s="15">
        <v>4.0</v>
      </c>
      <c r="AL150" s="15">
        <v>59.0</v>
      </c>
      <c r="AM150" s="15">
        <v>0.0</v>
      </c>
      <c r="AN150" s="15">
        <v>4.0</v>
      </c>
      <c r="AO150" s="15">
        <v>0.0</v>
      </c>
      <c r="AP150" s="15">
        <v>0.0</v>
      </c>
      <c r="AQ150" s="15">
        <v>2.0</v>
      </c>
      <c r="AR150" s="15">
        <v>78.0</v>
      </c>
      <c r="AS150" s="15">
        <v>0.0</v>
      </c>
      <c r="AT150" s="15">
        <v>0.0</v>
      </c>
      <c r="AU150" s="15">
        <v>0.0</v>
      </c>
      <c r="AV150" s="15">
        <v>1.0</v>
      </c>
      <c r="AW150" s="15">
        <v>0.0</v>
      </c>
      <c r="AX150" s="15">
        <v>0.0</v>
      </c>
      <c r="AY150" s="15">
        <v>8.0</v>
      </c>
      <c r="AZ150" s="15">
        <v>0.0</v>
      </c>
      <c r="BA150" s="15">
        <v>0.0</v>
      </c>
      <c r="BB150" s="15">
        <v>0.0</v>
      </c>
      <c r="BC150" s="15">
        <v>0.0</v>
      </c>
      <c r="BD150" s="15">
        <v>0.0</v>
      </c>
      <c r="BE150" s="15">
        <v>0.0</v>
      </c>
      <c r="BF150" s="15">
        <v>0.0</v>
      </c>
      <c r="BH150" s="12">
        <f t="shared" si="9"/>
        <v>226</v>
      </c>
      <c r="BI150" s="15" t="s">
        <v>1644</v>
      </c>
    </row>
    <row r="151" ht="36.75" customHeight="1">
      <c r="A151" s="26">
        <v>42046.0</v>
      </c>
      <c r="B151" s="18" t="s">
        <v>1621</v>
      </c>
      <c r="C151" s="18" t="s">
        <v>1624</v>
      </c>
      <c r="D151" s="18" t="s">
        <v>1626</v>
      </c>
      <c r="E151" s="18" t="s">
        <v>1627</v>
      </c>
      <c r="F151" s="18">
        <v>30.696368</v>
      </c>
      <c r="G151" s="18">
        <v>-81.460063</v>
      </c>
      <c r="H151" s="18">
        <v>30.690832</v>
      </c>
      <c r="I151" s="17">
        <v>-81.427425</v>
      </c>
      <c r="J151" s="15" t="s">
        <v>1646</v>
      </c>
      <c r="K151" s="15" t="s">
        <v>1647</v>
      </c>
      <c r="M151" s="22"/>
      <c r="Y151" s="15">
        <v>143.0</v>
      </c>
      <c r="Z151" s="15">
        <v>13.0</v>
      </c>
      <c r="AU151" s="15">
        <v>1.0</v>
      </c>
      <c r="AV151" s="15">
        <v>1.0</v>
      </c>
      <c r="AY151" s="15">
        <v>8.0</v>
      </c>
      <c r="BF151" s="15">
        <v>3.0</v>
      </c>
      <c r="BG151" s="22"/>
      <c r="BH151" s="12">
        <f t="shared" si="9"/>
        <v>169</v>
      </c>
    </row>
    <row r="152" ht="36.75" customHeight="1">
      <c r="A152" s="26">
        <v>42047.0</v>
      </c>
      <c r="B152" s="18" t="s">
        <v>1650</v>
      </c>
      <c r="C152" s="18" t="s">
        <v>1651</v>
      </c>
      <c r="D152" s="18" t="s">
        <v>1652</v>
      </c>
      <c r="E152" s="18" t="s">
        <v>1627</v>
      </c>
      <c r="F152" s="18">
        <v>30.5990027</v>
      </c>
      <c r="G152" s="18">
        <v>-81.4422555</v>
      </c>
      <c r="H152" s="18">
        <v>30.6907</v>
      </c>
      <c r="I152" s="16">
        <v>-81.4281722</v>
      </c>
      <c r="J152" s="20" t="s">
        <v>1653</v>
      </c>
      <c r="K152" s="15" t="s">
        <v>1654</v>
      </c>
      <c r="M152" s="22"/>
      <c r="N152" s="22"/>
      <c r="O152" s="22"/>
      <c r="P152" s="22"/>
      <c r="W152" s="22"/>
      <c r="X152" s="22"/>
      <c r="Y152" s="15">
        <v>3.0</v>
      </c>
      <c r="Z152" s="18">
        <v>29.0</v>
      </c>
      <c r="AA152" s="22"/>
      <c r="AB152" s="22"/>
      <c r="AC152" s="22"/>
      <c r="AD152" s="22"/>
      <c r="AE152" s="22"/>
      <c r="AH152" s="15">
        <v>7.0</v>
      </c>
      <c r="AJ152" s="22"/>
      <c r="AK152" s="15">
        <v>307.0</v>
      </c>
      <c r="AL152" s="15">
        <v>20.0</v>
      </c>
      <c r="AR152" s="15">
        <v>51.0</v>
      </c>
      <c r="AW152" s="15">
        <v>20.0</v>
      </c>
      <c r="AY152" s="15">
        <v>221.0</v>
      </c>
      <c r="AZ152" s="18">
        <v>1.0</v>
      </c>
      <c r="BB152" s="22"/>
      <c r="BF152" s="22"/>
      <c r="BH152" s="12">
        <f t="shared" si="9"/>
        <v>659</v>
      </c>
      <c r="BI152" s="15" t="s">
        <v>1656</v>
      </c>
    </row>
    <row r="153" ht="36.75" customHeight="1">
      <c r="A153" s="26">
        <v>42045.0</v>
      </c>
      <c r="B153" s="18" t="s">
        <v>198</v>
      </c>
      <c r="C153" s="18" t="s">
        <v>338</v>
      </c>
      <c r="D153" s="18" t="s">
        <v>1657</v>
      </c>
      <c r="E153" s="18" t="s">
        <v>454</v>
      </c>
      <c r="F153" s="18">
        <v>30.38332</v>
      </c>
      <c r="G153" s="18">
        <v>-86.45354</v>
      </c>
      <c r="H153" s="18">
        <v>30.38214</v>
      </c>
      <c r="I153" s="16">
        <v>-86.43242</v>
      </c>
      <c r="J153" s="20" t="s">
        <v>1658</v>
      </c>
      <c r="K153" s="18" t="s">
        <v>1659</v>
      </c>
      <c r="L153" s="18">
        <v>0.0</v>
      </c>
      <c r="M153" s="18">
        <v>0.0</v>
      </c>
      <c r="N153" s="18">
        <v>0.0</v>
      </c>
      <c r="O153" s="18">
        <v>0.0</v>
      </c>
      <c r="P153" s="18">
        <v>0.0</v>
      </c>
      <c r="Q153" s="18">
        <v>0.0</v>
      </c>
      <c r="R153" s="18">
        <v>0.0</v>
      </c>
      <c r="S153" s="18">
        <v>0.0</v>
      </c>
      <c r="T153" s="18">
        <v>0.0</v>
      </c>
      <c r="U153" s="18">
        <v>0.0</v>
      </c>
      <c r="V153" s="18">
        <v>0.0</v>
      </c>
      <c r="W153" s="18">
        <v>0.0</v>
      </c>
      <c r="X153" s="18">
        <v>0.0</v>
      </c>
      <c r="Y153" s="18">
        <v>0.0</v>
      </c>
      <c r="Z153" s="18">
        <v>17.0</v>
      </c>
      <c r="AA153" s="18">
        <v>0.0</v>
      </c>
      <c r="AB153" s="18">
        <v>0.0</v>
      </c>
      <c r="AC153" s="18">
        <v>0.0</v>
      </c>
      <c r="AD153" s="18">
        <v>0.0</v>
      </c>
      <c r="AE153" s="18">
        <v>0.0</v>
      </c>
      <c r="AF153" s="18">
        <v>0.0</v>
      </c>
      <c r="AG153" s="18">
        <v>0.0</v>
      </c>
      <c r="AH153" s="18">
        <v>0.0</v>
      </c>
      <c r="AI153" s="18">
        <v>0.0</v>
      </c>
      <c r="AJ153" s="18">
        <v>0.0</v>
      </c>
      <c r="AK153" s="18">
        <v>0.0</v>
      </c>
      <c r="AL153" s="18">
        <v>0.0</v>
      </c>
      <c r="AM153" s="18">
        <v>0.0</v>
      </c>
      <c r="AN153" s="18">
        <v>0.0</v>
      </c>
      <c r="AO153" s="18">
        <v>0.0</v>
      </c>
      <c r="AP153" s="18">
        <v>0.0</v>
      </c>
      <c r="AQ153" s="18">
        <v>0.0</v>
      </c>
      <c r="AR153" s="18">
        <v>0.0</v>
      </c>
      <c r="AS153" s="18">
        <v>0.0</v>
      </c>
      <c r="AT153" s="18">
        <v>0.0</v>
      </c>
      <c r="AU153" s="18">
        <v>0.0</v>
      </c>
      <c r="AV153" s="18">
        <v>0.0</v>
      </c>
      <c r="AW153" s="18">
        <v>4.0</v>
      </c>
      <c r="AX153" s="18">
        <v>0.0</v>
      </c>
      <c r="AY153" s="18">
        <v>5.0</v>
      </c>
      <c r="AZ153" s="18">
        <v>0.0</v>
      </c>
      <c r="BA153" s="18">
        <v>0.0</v>
      </c>
      <c r="BB153" s="18">
        <v>0.0</v>
      </c>
      <c r="BC153" s="18">
        <v>0.0</v>
      </c>
      <c r="BD153" s="18">
        <v>0.0</v>
      </c>
      <c r="BE153" s="18">
        <v>0.0</v>
      </c>
      <c r="BF153" s="18">
        <v>0.0</v>
      </c>
      <c r="BH153" s="12">
        <f t="shared" si="9"/>
        <v>26</v>
      </c>
    </row>
    <row r="154" ht="36.75" customHeight="1">
      <c r="A154" s="26">
        <v>42046.0</v>
      </c>
      <c r="B154" s="18" t="s">
        <v>451</v>
      </c>
      <c r="C154" s="18" t="s">
        <v>452</v>
      </c>
      <c r="D154" s="18" t="s">
        <v>453</v>
      </c>
      <c r="E154" s="18" t="s">
        <v>454</v>
      </c>
      <c r="F154" s="18">
        <v>30.39287</v>
      </c>
      <c r="G154" s="18">
        <v>-86.58274</v>
      </c>
      <c r="H154" s="18">
        <v>30.39192</v>
      </c>
      <c r="I154" s="16">
        <v>-8652508.0</v>
      </c>
      <c r="J154" s="20" t="s">
        <v>1666</v>
      </c>
      <c r="K154" s="18" t="s">
        <v>1667</v>
      </c>
      <c r="L154" s="22"/>
      <c r="M154" s="22"/>
      <c r="N154" s="22"/>
      <c r="O154" s="22"/>
      <c r="P154" s="22"/>
      <c r="Q154" s="22"/>
      <c r="R154" s="22"/>
      <c r="S154" s="22"/>
      <c r="T154" s="22"/>
      <c r="V154" s="22"/>
      <c r="W154" s="22"/>
      <c r="X154" s="22"/>
      <c r="Y154" s="22"/>
      <c r="Z154" s="18">
        <v>57.0</v>
      </c>
      <c r="AA154" s="22"/>
      <c r="AB154" s="22"/>
      <c r="AC154" s="22"/>
      <c r="AD154" s="18">
        <v>4.0</v>
      </c>
      <c r="AE154" s="22"/>
      <c r="AF154" s="22"/>
      <c r="AG154" s="22"/>
      <c r="AH154" s="22"/>
      <c r="AI154" s="22"/>
      <c r="AJ154" s="22"/>
      <c r="AK154" s="22"/>
      <c r="AL154" s="18">
        <v>2.0</v>
      </c>
      <c r="AM154" s="22"/>
      <c r="AN154" s="22"/>
      <c r="AO154" s="22"/>
      <c r="AP154" s="22"/>
      <c r="AQ154" s="22"/>
      <c r="AR154" s="22"/>
      <c r="AS154" s="22"/>
      <c r="AT154" s="22"/>
      <c r="AU154" s="22"/>
      <c r="AV154" s="18">
        <v>2.0</v>
      </c>
      <c r="AW154" s="18">
        <v>12.0</v>
      </c>
      <c r="AX154" s="22"/>
      <c r="AY154" s="18">
        <v>8.0</v>
      </c>
      <c r="AZ154" s="18">
        <v>2.0</v>
      </c>
      <c r="BA154" s="22"/>
      <c r="BB154" s="22"/>
      <c r="BC154" s="22"/>
      <c r="BD154" s="22"/>
      <c r="BE154" s="22"/>
      <c r="BF154" s="22"/>
      <c r="BH154" s="12">
        <f t="shared" si="9"/>
        <v>87</v>
      </c>
    </row>
    <row r="155" ht="36.75" customHeight="1">
      <c r="A155" s="14">
        <v>42046.0</v>
      </c>
      <c r="B155" s="15" t="s">
        <v>961</v>
      </c>
      <c r="C155" s="15" t="s">
        <v>1671</v>
      </c>
      <c r="D155" s="15" t="s">
        <v>1672</v>
      </c>
      <c r="E155" s="15" t="s">
        <v>1673</v>
      </c>
      <c r="F155" s="15" t="s">
        <v>1674</v>
      </c>
      <c r="G155" s="15" t="s">
        <v>1675</v>
      </c>
      <c r="H155" s="15" t="s">
        <v>1676</v>
      </c>
      <c r="I155" s="17" t="s">
        <v>1677</v>
      </c>
      <c r="J155" s="15" t="s">
        <v>1678</v>
      </c>
      <c r="K155" s="15" t="s">
        <v>1680</v>
      </c>
      <c r="P155" s="15">
        <v>13.0</v>
      </c>
      <c r="Q155" s="15">
        <v>32.0</v>
      </c>
      <c r="R155" s="15">
        <v>1.0</v>
      </c>
      <c r="S155" s="15">
        <v>16.0</v>
      </c>
      <c r="AK155" s="15">
        <v>350.0</v>
      </c>
      <c r="AQ155" s="15">
        <v>5.0</v>
      </c>
      <c r="AR155" s="15">
        <v>4.0</v>
      </c>
      <c r="AW155" s="15">
        <v>49.0</v>
      </c>
      <c r="AY155" s="15">
        <v>92.0</v>
      </c>
      <c r="BH155" s="12">
        <f t="shared" si="9"/>
        <v>562</v>
      </c>
      <c r="BI155" s="15" t="s">
        <v>1107</v>
      </c>
    </row>
    <row r="156" ht="36.75" customHeight="1">
      <c r="A156" s="26">
        <v>42046.0</v>
      </c>
      <c r="B156" s="18" t="s">
        <v>1431</v>
      </c>
      <c r="C156" s="18" t="s">
        <v>1432</v>
      </c>
      <c r="D156" s="18" t="s">
        <v>1687</v>
      </c>
      <c r="E156" s="18" t="s">
        <v>1673</v>
      </c>
      <c r="F156" s="18">
        <v>27.20041</v>
      </c>
      <c r="G156" s="18">
        <v>-80.739032</v>
      </c>
      <c r="H156" s="18">
        <v>27.20041</v>
      </c>
      <c r="I156" s="18">
        <v>-80.739032</v>
      </c>
      <c r="J156" s="15" t="s">
        <v>1689</v>
      </c>
      <c r="K156" s="15" t="s">
        <v>1691</v>
      </c>
      <c r="P156" s="15">
        <v>3.0</v>
      </c>
      <c r="Q156" s="15">
        <v>12.0</v>
      </c>
      <c r="AF156" s="15">
        <v>4.0</v>
      </c>
      <c r="AQ156" s="15">
        <v>14.0</v>
      </c>
      <c r="BH156" s="12">
        <f t="shared" si="9"/>
        <v>33</v>
      </c>
    </row>
    <row r="157" ht="36.75" customHeight="1">
      <c r="A157" s="26">
        <v>42046.0</v>
      </c>
      <c r="B157" s="18" t="s">
        <v>1431</v>
      </c>
      <c r="C157" s="18" t="s">
        <v>1432</v>
      </c>
      <c r="D157" s="15" t="s">
        <v>1699</v>
      </c>
      <c r="E157" s="18" t="s">
        <v>1673</v>
      </c>
      <c r="F157" s="15">
        <v>27.304833</v>
      </c>
      <c r="G157" s="15">
        <v>-80.826618</v>
      </c>
      <c r="H157" s="15">
        <v>27.304833</v>
      </c>
      <c r="I157" s="15">
        <v>-80.826618</v>
      </c>
      <c r="J157" s="15" t="s">
        <v>1267</v>
      </c>
      <c r="K157" s="15" t="s">
        <v>1701</v>
      </c>
      <c r="AQ157" s="15">
        <v>2.0</v>
      </c>
      <c r="BH157" s="12">
        <f t="shared" si="9"/>
        <v>2</v>
      </c>
    </row>
    <row r="158" ht="36.75" customHeight="1">
      <c r="A158" s="14">
        <v>42047.0</v>
      </c>
      <c r="B158" s="15" t="s">
        <v>961</v>
      </c>
      <c r="C158" s="15" t="s">
        <v>962</v>
      </c>
      <c r="D158" s="15" t="s">
        <v>1704</v>
      </c>
      <c r="E158" s="15" t="s">
        <v>1673</v>
      </c>
      <c r="F158" s="15" t="s">
        <v>1706</v>
      </c>
      <c r="G158" s="15" t="s">
        <v>1707</v>
      </c>
      <c r="H158" s="15" t="s">
        <v>1708</v>
      </c>
      <c r="I158" s="17" t="s">
        <v>1709</v>
      </c>
      <c r="J158" s="15" t="s">
        <v>1710</v>
      </c>
      <c r="K158" s="15" t="s">
        <v>971</v>
      </c>
      <c r="R158" s="15">
        <v>20.0</v>
      </c>
      <c r="AJ158" s="15">
        <v>1.0</v>
      </c>
      <c r="AN158" s="15">
        <v>1.0</v>
      </c>
      <c r="AO158" s="15">
        <v>9.0</v>
      </c>
      <c r="AY158" s="15">
        <v>2.0</v>
      </c>
      <c r="BH158" s="12">
        <f t="shared" si="9"/>
        <v>33</v>
      </c>
    </row>
    <row r="159" ht="36.75" customHeight="1">
      <c r="A159" s="14">
        <v>42047.0</v>
      </c>
      <c r="B159" s="15" t="s">
        <v>961</v>
      </c>
      <c r="C159" s="15" t="s">
        <v>1671</v>
      </c>
      <c r="D159" s="15" t="s">
        <v>1714</v>
      </c>
      <c r="E159" s="15" t="s">
        <v>1715</v>
      </c>
      <c r="F159" s="15" t="s">
        <v>1716</v>
      </c>
      <c r="G159" s="15" t="s">
        <v>1717</v>
      </c>
      <c r="H159" s="15" t="s">
        <v>1719</v>
      </c>
      <c r="I159" s="17" t="s">
        <v>1721</v>
      </c>
      <c r="J159" s="15" t="s">
        <v>1722</v>
      </c>
      <c r="K159" s="15" t="s">
        <v>971</v>
      </c>
      <c r="BH159" s="12">
        <f t="shared" si="9"/>
        <v>0</v>
      </c>
    </row>
    <row r="160" ht="36.75" customHeight="1">
      <c r="A160" s="14">
        <v>42042.0</v>
      </c>
      <c r="B160" s="15" t="s">
        <v>1724</v>
      </c>
      <c r="C160" s="15" t="s">
        <v>1725</v>
      </c>
      <c r="D160" s="15" t="s">
        <v>1726</v>
      </c>
      <c r="E160" s="15" t="s">
        <v>1728</v>
      </c>
      <c r="F160" s="15">
        <v>26.8364</v>
      </c>
      <c r="G160" s="15">
        <v>-80.0414</v>
      </c>
      <c r="H160" s="15">
        <v>26.8144</v>
      </c>
      <c r="I160" s="17">
        <v>-80.0357</v>
      </c>
      <c r="J160" s="15" t="s">
        <v>1729</v>
      </c>
      <c r="K160" s="15" t="s">
        <v>1730</v>
      </c>
      <c r="Z160" s="15">
        <v>18.0</v>
      </c>
      <c r="AH160" s="15">
        <v>1.0</v>
      </c>
      <c r="AU160" s="15">
        <v>1.0</v>
      </c>
      <c r="AY160" s="15">
        <v>56.0</v>
      </c>
      <c r="AZ160" s="15">
        <v>3.0</v>
      </c>
      <c r="BH160" s="12">
        <f t="shared" si="9"/>
        <v>79</v>
      </c>
    </row>
    <row r="161" ht="36.75" customHeight="1">
      <c r="A161" s="14">
        <v>42043.0</v>
      </c>
      <c r="B161" s="15" t="s">
        <v>1415</v>
      </c>
      <c r="C161" s="15" t="s">
        <v>1416</v>
      </c>
      <c r="D161" s="15" t="s">
        <v>1731</v>
      </c>
      <c r="E161" s="15" t="s">
        <v>1728</v>
      </c>
      <c r="F161" s="15">
        <v>26.94359</v>
      </c>
      <c r="G161" s="15">
        <v>-80.071546</v>
      </c>
      <c r="H161" s="15">
        <v>26.89319</v>
      </c>
      <c r="I161" s="17">
        <v>-80.05673</v>
      </c>
      <c r="J161" s="15" t="s">
        <v>1733</v>
      </c>
      <c r="K161" s="15" t="s">
        <v>1734</v>
      </c>
      <c r="Y161" s="15">
        <v>64.0</v>
      </c>
      <c r="Z161" s="15">
        <v>52.0</v>
      </c>
      <c r="AW161" s="15">
        <v>7.0</v>
      </c>
      <c r="AY161" s="15">
        <v>75.0</v>
      </c>
      <c r="AZ161" s="15">
        <v>229.0</v>
      </c>
      <c r="BH161" s="12">
        <f t="shared" si="9"/>
        <v>427</v>
      </c>
      <c r="BI161" s="15" t="s">
        <v>1735</v>
      </c>
    </row>
    <row r="162" ht="36.75" customHeight="1">
      <c r="A162" s="14">
        <v>42044.0</v>
      </c>
      <c r="B162" s="15" t="s">
        <v>1736</v>
      </c>
      <c r="C162" s="15" t="s">
        <v>1737</v>
      </c>
      <c r="D162" s="15" t="s">
        <v>1738</v>
      </c>
      <c r="E162" s="15" t="s">
        <v>1728</v>
      </c>
      <c r="F162" s="15">
        <v>26.6155</v>
      </c>
      <c r="G162" s="18">
        <v>-80.0354</v>
      </c>
      <c r="H162" s="18">
        <v>26.5839</v>
      </c>
      <c r="I162" s="17">
        <v>-80.0377</v>
      </c>
      <c r="J162" s="15" t="s">
        <v>1739</v>
      </c>
      <c r="K162" s="15" t="s">
        <v>1740</v>
      </c>
      <c r="Y162" s="15">
        <v>14.0</v>
      </c>
      <c r="Z162" s="15">
        <v>64.0</v>
      </c>
      <c r="AV162" s="15">
        <v>3.0</v>
      </c>
      <c r="AW162" s="15">
        <v>6.0</v>
      </c>
      <c r="AX162" s="15">
        <v>1.0</v>
      </c>
      <c r="AY162" s="15">
        <v>34.0</v>
      </c>
      <c r="BH162" s="12">
        <f t="shared" si="9"/>
        <v>122</v>
      </c>
      <c r="BI162" s="15" t="s">
        <v>1743</v>
      </c>
    </row>
    <row r="163" ht="36.75" customHeight="1">
      <c r="A163" s="26">
        <v>42044.0</v>
      </c>
      <c r="B163" s="18" t="s">
        <v>1744</v>
      </c>
      <c r="C163" s="18" t="s">
        <v>1745</v>
      </c>
      <c r="D163" s="18" t="s">
        <v>1746</v>
      </c>
      <c r="E163" s="18" t="s">
        <v>1728</v>
      </c>
      <c r="F163" s="18">
        <v>26.9256944</v>
      </c>
      <c r="G163" s="18">
        <v>-80.1352778</v>
      </c>
      <c r="H163" s="18">
        <v>26.9216722</v>
      </c>
      <c r="I163" s="17">
        <v>-80.1352028</v>
      </c>
      <c r="J163" s="18" t="s">
        <v>1747</v>
      </c>
      <c r="K163" s="15" t="s">
        <v>1749</v>
      </c>
      <c r="O163" s="22"/>
      <c r="Q163" s="15">
        <v>27.0</v>
      </c>
      <c r="R163" s="15">
        <v>1.0</v>
      </c>
      <c r="S163" s="15">
        <v>1.0</v>
      </c>
      <c r="AL163" s="15">
        <v>1.0</v>
      </c>
      <c r="AN163" s="15">
        <v>6.0</v>
      </c>
      <c r="AQ163" s="15">
        <v>25.0</v>
      </c>
      <c r="AZ163" s="22"/>
      <c r="BA163" s="22"/>
      <c r="BH163" s="12">
        <f t="shared" si="9"/>
        <v>61</v>
      </c>
    </row>
    <row r="164" ht="36.75" customHeight="1">
      <c r="A164" s="14">
        <v>42045.0</v>
      </c>
      <c r="B164" s="15" t="s">
        <v>1751</v>
      </c>
      <c r="C164" s="15" t="s">
        <v>1752</v>
      </c>
      <c r="D164" s="15" t="s">
        <v>1753</v>
      </c>
      <c r="E164" s="15" t="s">
        <v>1728</v>
      </c>
      <c r="F164" s="15">
        <v>26.892751789</v>
      </c>
      <c r="G164" s="15">
        <v>-80.056528537</v>
      </c>
      <c r="H164" s="15">
        <v>26.836533519</v>
      </c>
      <c r="I164" s="17">
        <v>-80.041265155</v>
      </c>
      <c r="J164" s="15" t="s">
        <v>1754</v>
      </c>
      <c r="K164" s="15" t="s">
        <v>1755</v>
      </c>
      <c r="N164" s="15">
        <v>14.0</v>
      </c>
      <c r="Z164" s="15">
        <v>53.0</v>
      </c>
      <c r="AH164" s="15">
        <v>3.0</v>
      </c>
      <c r="AV164" s="15">
        <v>2.0</v>
      </c>
      <c r="AY164" s="15">
        <v>20.0</v>
      </c>
      <c r="BH164" s="12">
        <f t="shared" si="9"/>
        <v>92</v>
      </c>
    </row>
    <row r="165" ht="36.75" customHeight="1">
      <c r="A165" s="14">
        <v>42045.0</v>
      </c>
      <c r="B165" s="15" t="s">
        <v>1751</v>
      </c>
      <c r="C165" s="15" t="s">
        <v>1752</v>
      </c>
      <c r="D165" s="15" t="s">
        <v>1756</v>
      </c>
      <c r="E165" s="15" t="s">
        <v>1728</v>
      </c>
      <c r="F165" s="15">
        <v>26.814305796</v>
      </c>
      <c r="G165" s="15">
        <v>-80.035528576</v>
      </c>
      <c r="H165" s="15">
        <v>26.77396943</v>
      </c>
      <c r="I165" s="17">
        <v>-80.031651488</v>
      </c>
      <c r="J165" s="15" t="s">
        <v>1757</v>
      </c>
      <c r="K165" s="15" t="s">
        <v>1758</v>
      </c>
      <c r="Y165" s="15">
        <v>1.0</v>
      </c>
      <c r="Z165" s="15">
        <v>9.0</v>
      </c>
      <c r="AK165" s="15">
        <v>133.0</v>
      </c>
      <c r="AU165" s="15">
        <v>1.0</v>
      </c>
      <c r="AV165" s="15">
        <v>21.0</v>
      </c>
      <c r="AW165" s="15">
        <v>8.0</v>
      </c>
      <c r="AY165" s="15">
        <v>33.0</v>
      </c>
      <c r="AZ165" s="15">
        <v>25.0</v>
      </c>
      <c r="BH165" s="12">
        <f t="shared" si="9"/>
        <v>231</v>
      </c>
    </row>
    <row r="166" ht="36.75" customHeight="1">
      <c r="A166" s="24">
        <v>42045.0</v>
      </c>
      <c r="B166" s="18" t="s">
        <v>1760</v>
      </c>
      <c r="C166" s="18" t="s">
        <v>1761</v>
      </c>
      <c r="D166" s="18" t="s">
        <v>1762</v>
      </c>
      <c r="E166" s="18" t="s">
        <v>1728</v>
      </c>
      <c r="F166" s="16">
        <v>26.54775</v>
      </c>
      <c r="G166" s="16">
        <v>-80.04572</v>
      </c>
      <c r="H166" s="16">
        <v>26.776417</v>
      </c>
      <c r="I166" s="17">
        <v>-80.042944</v>
      </c>
      <c r="J166" s="15" t="s">
        <v>1763</v>
      </c>
      <c r="K166" s="15" t="s">
        <v>1764</v>
      </c>
      <c r="L166" s="15">
        <v>12.0</v>
      </c>
      <c r="M166" s="22"/>
      <c r="N166" s="15">
        <v>5.0</v>
      </c>
      <c r="Q166" s="15">
        <v>6.0</v>
      </c>
      <c r="Y166" s="15">
        <v>9.0</v>
      </c>
      <c r="Z166" s="15">
        <v>25.0</v>
      </c>
      <c r="AE166" s="15">
        <v>2.0</v>
      </c>
      <c r="AN166" s="15">
        <v>15.0</v>
      </c>
      <c r="AQ166" s="15">
        <v>1.0</v>
      </c>
      <c r="AW166" s="15">
        <v>14.0</v>
      </c>
      <c r="AY166" s="15">
        <v>3.0</v>
      </c>
      <c r="AZ166" s="15">
        <v>1.0</v>
      </c>
      <c r="BG166" s="22"/>
      <c r="BH166" s="12">
        <f t="shared" si="9"/>
        <v>93</v>
      </c>
    </row>
    <row r="167" ht="36.75" customHeight="1">
      <c r="A167" s="24">
        <v>42046.0</v>
      </c>
      <c r="B167" s="18" t="s">
        <v>1769</v>
      </c>
      <c r="C167" s="18" t="s">
        <v>1770</v>
      </c>
      <c r="D167" s="18" t="s">
        <v>1771</v>
      </c>
      <c r="E167" s="18" t="s">
        <v>1728</v>
      </c>
      <c r="F167" s="16">
        <v>26.441235</v>
      </c>
      <c r="G167" s="16">
        <v>-80.060312</v>
      </c>
      <c r="H167" s="16">
        <v>26.48556</v>
      </c>
      <c r="I167" s="17">
        <v>-80.050278</v>
      </c>
      <c r="J167" s="15" t="s">
        <v>1774</v>
      </c>
      <c r="K167" s="15" t="s">
        <v>1775</v>
      </c>
      <c r="N167" s="15">
        <v>1.0</v>
      </c>
      <c r="Q167" s="15">
        <v>5.0</v>
      </c>
      <c r="Y167" s="15">
        <v>7.0</v>
      </c>
      <c r="Z167" s="15">
        <v>50.0</v>
      </c>
      <c r="AH167" s="15">
        <v>2.0</v>
      </c>
      <c r="AV167" s="15">
        <v>12.0</v>
      </c>
      <c r="AW167" s="15">
        <v>28.0</v>
      </c>
      <c r="AY167" s="15">
        <v>23.0</v>
      </c>
      <c r="AZ167" s="15">
        <v>2.0</v>
      </c>
      <c r="BH167" s="12">
        <f t="shared" si="9"/>
        <v>130</v>
      </c>
    </row>
    <row r="168" ht="36.75" customHeight="1">
      <c r="A168" s="14">
        <v>42046.0</v>
      </c>
      <c r="B168" s="15" t="s">
        <v>1424</v>
      </c>
      <c r="C168" s="15" t="s">
        <v>1782</v>
      </c>
      <c r="D168" s="15" t="s">
        <v>1783</v>
      </c>
      <c r="E168" s="15" t="s">
        <v>1728</v>
      </c>
      <c r="F168" s="15">
        <v>26.54506</v>
      </c>
      <c r="G168" s="15">
        <v>-80.04297</v>
      </c>
      <c r="H168" s="15">
        <v>26.48556</v>
      </c>
      <c r="I168" s="17">
        <v>-80.050278</v>
      </c>
      <c r="J168" s="15" t="s">
        <v>1784</v>
      </c>
      <c r="K168" s="15" t="s">
        <v>1775</v>
      </c>
      <c r="N168" s="15">
        <v>9.0</v>
      </c>
      <c r="Y168" s="15">
        <v>22.0</v>
      </c>
      <c r="Z168" s="15">
        <v>69.0</v>
      </c>
      <c r="AA168" s="15">
        <v>3.0</v>
      </c>
      <c r="AL168" s="15">
        <v>1.0</v>
      </c>
      <c r="AU168" s="15">
        <v>1.0</v>
      </c>
      <c r="AV168" s="15">
        <v>6.0</v>
      </c>
      <c r="AW168" s="15">
        <v>59.0</v>
      </c>
      <c r="AX168" s="15">
        <v>3.0</v>
      </c>
      <c r="AY168" s="15">
        <v>70.0</v>
      </c>
      <c r="AZ168" s="15">
        <v>23.0</v>
      </c>
      <c r="BA168" s="15">
        <v>4.0</v>
      </c>
      <c r="BH168" s="12">
        <f t="shared" si="9"/>
        <v>270</v>
      </c>
    </row>
    <row r="169" ht="36.75" customHeight="1">
      <c r="A169" s="14">
        <v>42046.0</v>
      </c>
      <c r="B169" s="15" t="s">
        <v>1424</v>
      </c>
      <c r="C169" s="15" t="s">
        <v>1782</v>
      </c>
      <c r="D169" s="15" t="s">
        <v>1790</v>
      </c>
      <c r="E169" s="15" t="s">
        <v>1728</v>
      </c>
      <c r="F169" s="15">
        <v>26.58537</v>
      </c>
      <c r="G169" s="15">
        <v>-80.03769</v>
      </c>
      <c r="H169" s="15">
        <v>26.545624</v>
      </c>
      <c r="I169" s="17">
        <v>-80.04227</v>
      </c>
      <c r="J169" s="15" t="s">
        <v>1792</v>
      </c>
      <c r="K169" s="15" t="s">
        <v>1793</v>
      </c>
      <c r="Z169" s="15">
        <v>7.0</v>
      </c>
      <c r="AA169" s="15">
        <v>13.0</v>
      </c>
      <c r="AV169" s="15">
        <v>1.0</v>
      </c>
      <c r="AY169" s="15">
        <v>22.0</v>
      </c>
      <c r="BH169" s="12">
        <f t="shared" si="9"/>
        <v>43</v>
      </c>
    </row>
    <row r="170" ht="36.75" customHeight="1">
      <c r="A170" s="14">
        <v>42047.0</v>
      </c>
      <c r="B170" s="15" t="s">
        <v>1798</v>
      </c>
      <c r="C170" s="15" t="s">
        <v>1799</v>
      </c>
      <c r="D170" s="15" t="s">
        <v>1800</v>
      </c>
      <c r="E170" s="15" t="s">
        <v>1728</v>
      </c>
      <c r="F170" s="15">
        <v>26.3909</v>
      </c>
      <c r="G170" s="15">
        <v>-80.0661</v>
      </c>
      <c r="H170" s="15">
        <v>26.3362</v>
      </c>
      <c r="I170" s="17">
        <v>-80.0707</v>
      </c>
      <c r="J170" s="15" t="s">
        <v>1801</v>
      </c>
      <c r="K170" s="15" t="s">
        <v>1802</v>
      </c>
      <c r="Y170" s="15">
        <v>2.0</v>
      </c>
      <c r="Z170" s="15">
        <v>48.0</v>
      </c>
      <c r="AN170" s="15">
        <v>4.0</v>
      </c>
      <c r="AW170" s="15">
        <v>6.0</v>
      </c>
      <c r="AX170" s="15">
        <v>3.0</v>
      </c>
      <c r="AY170" s="15">
        <v>45.0</v>
      </c>
      <c r="AZ170" s="15">
        <v>15.0</v>
      </c>
      <c r="BA170" s="15">
        <v>7.0</v>
      </c>
      <c r="BH170" s="12">
        <f t="shared" si="9"/>
        <v>130</v>
      </c>
    </row>
    <row r="171" ht="36.75" customHeight="1">
      <c r="A171" s="14">
        <v>42047.0</v>
      </c>
      <c r="B171" s="15" t="s">
        <v>1805</v>
      </c>
      <c r="C171" s="15" t="s">
        <v>1806</v>
      </c>
      <c r="D171" s="15" t="s">
        <v>1800</v>
      </c>
      <c r="E171" s="15" t="s">
        <v>1728</v>
      </c>
      <c r="F171" s="15">
        <v>26.3355</v>
      </c>
      <c r="G171" s="15">
        <v>-80.07179</v>
      </c>
      <c r="H171" s="15">
        <v>26.32103</v>
      </c>
      <c r="I171" s="17">
        <v>-80.07451</v>
      </c>
      <c r="J171" s="15" t="s">
        <v>1807</v>
      </c>
      <c r="K171" s="15" t="s">
        <v>1808</v>
      </c>
      <c r="AY171" s="15">
        <v>8.0</v>
      </c>
      <c r="BH171" s="12">
        <f t="shared" si="9"/>
        <v>8</v>
      </c>
    </row>
    <row r="172" ht="36.75" customHeight="1">
      <c r="A172" s="26">
        <v>42047.0</v>
      </c>
      <c r="B172" s="18" t="s">
        <v>1810</v>
      </c>
      <c r="C172" s="18" t="s">
        <v>1782</v>
      </c>
      <c r="D172" s="18" t="s">
        <v>1811</v>
      </c>
      <c r="E172" s="18" t="s">
        <v>1728</v>
      </c>
      <c r="F172" s="18">
        <v>26.674722</v>
      </c>
      <c r="G172" s="18">
        <v>-80.035833</v>
      </c>
      <c r="H172" s="18">
        <v>26.710608</v>
      </c>
      <c r="I172" s="16">
        <v>-80.033258</v>
      </c>
      <c r="J172" s="20" t="s">
        <v>1812</v>
      </c>
      <c r="K172" s="18" t="s">
        <v>1813</v>
      </c>
      <c r="L172" s="22"/>
      <c r="M172" s="22"/>
      <c r="N172" s="22"/>
      <c r="O172" s="22"/>
      <c r="P172" s="22"/>
      <c r="Q172" s="22"/>
      <c r="R172" s="22"/>
      <c r="S172" s="22"/>
      <c r="T172" s="22"/>
      <c r="U172" s="22"/>
      <c r="V172" s="22"/>
      <c r="W172" s="22"/>
      <c r="X172" s="22"/>
      <c r="Y172" s="18">
        <v>8.0</v>
      </c>
      <c r="Z172" s="18">
        <v>33.0</v>
      </c>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18">
        <v>12.0</v>
      </c>
      <c r="AX172" s="18">
        <v>108.0</v>
      </c>
      <c r="AY172" s="18">
        <v>17.0</v>
      </c>
      <c r="AZ172" s="18">
        <v>1.0</v>
      </c>
      <c r="BA172" s="22"/>
      <c r="BB172" s="22"/>
      <c r="BC172" s="22"/>
      <c r="BD172" s="22"/>
      <c r="BE172" s="22"/>
      <c r="BF172" s="22"/>
      <c r="BG172" s="22"/>
      <c r="BH172" s="12">
        <f t="shared" si="9"/>
        <v>179</v>
      </c>
      <c r="BI172" s="15" t="s">
        <v>1816</v>
      </c>
    </row>
    <row r="173" ht="36.75" customHeight="1">
      <c r="A173" s="14">
        <v>42047.0</v>
      </c>
      <c r="B173" s="15" t="s">
        <v>1818</v>
      </c>
      <c r="C173" s="15" t="s">
        <v>1782</v>
      </c>
      <c r="D173" s="15" t="s">
        <v>1819</v>
      </c>
      <c r="E173" s="15" t="s">
        <v>1728</v>
      </c>
      <c r="F173" s="15">
        <v>26.771293</v>
      </c>
      <c r="G173" s="15">
        <v>-80.035259</v>
      </c>
      <c r="H173" s="15">
        <v>26.730631</v>
      </c>
      <c r="I173" s="17">
        <v>-80.034978</v>
      </c>
      <c r="J173" s="15" t="s">
        <v>1820</v>
      </c>
      <c r="K173" s="15" t="s">
        <v>1813</v>
      </c>
      <c r="L173" s="46"/>
      <c r="M173" s="46"/>
      <c r="N173" s="46"/>
      <c r="O173" s="46"/>
      <c r="P173" s="46"/>
      <c r="Q173" s="46"/>
      <c r="R173" s="46"/>
      <c r="S173" s="46"/>
      <c r="T173" s="46"/>
      <c r="U173" s="46"/>
      <c r="V173" s="46"/>
      <c r="W173" s="46"/>
      <c r="X173" s="46"/>
      <c r="Y173" s="46"/>
      <c r="Z173" s="47">
        <v>22.0</v>
      </c>
      <c r="AA173" s="46"/>
      <c r="AB173" s="46"/>
      <c r="AC173" s="46"/>
      <c r="AD173" s="46"/>
      <c r="AE173" s="46"/>
      <c r="AF173" s="46"/>
      <c r="AG173" s="46"/>
      <c r="AH173" s="47">
        <v>1.0</v>
      </c>
      <c r="AI173" s="46"/>
      <c r="AJ173" s="46"/>
      <c r="AK173" s="47">
        <v>1.0</v>
      </c>
      <c r="AL173" s="46"/>
      <c r="AM173" s="46"/>
      <c r="AN173" s="46"/>
      <c r="AO173" s="46"/>
      <c r="AP173" s="46"/>
      <c r="AQ173" s="46"/>
      <c r="AR173" s="46"/>
      <c r="AS173" s="46"/>
      <c r="AT173" s="46"/>
      <c r="AU173" s="46"/>
      <c r="AV173" s="46"/>
      <c r="AW173" s="46"/>
      <c r="AX173" s="47">
        <v>1.0</v>
      </c>
      <c r="AY173" s="47">
        <v>81.0</v>
      </c>
      <c r="AZ173" s="47">
        <v>9.0</v>
      </c>
      <c r="BA173" s="46"/>
      <c r="BB173" s="46"/>
      <c r="BC173" s="46"/>
      <c r="BD173" s="46"/>
      <c r="BE173" s="46"/>
      <c r="BF173" s="46"/>
      <c r="BH173" s="12">
        <f t="shared" si="9"/>
        <v>115</v>
      </c>
    </row>
    <row r="174" ht="36.75" customHeight="1">
      <c r="A174" s="14">
        <v>42047.0</v>
      </c>
      <c r="B174" s="18" t="s">
        <v>1431</v>
      </c>
      <c r="C174" s="18" t="s">
        <v>1432</v>
      </c>
      <c r="D174" s="15" t="s">
        <v>1827</v>
      </c>
      <c r="E174" s="15" t="s">
        <v>1728</v>
      </c>
      <c r="F174" s="15">
        <v>26.682484</v>
      </c>
      <c r="G174" s="15">
        <v>-80.298396</v>
      </c>
      <c r="H174" s="15">
        <v>26.67743</v>
      </c>
      <c r="I174" s="17">
        <v>-80.36349</v>
      </c>
      <c r="J174" s="15" t="s">
        <v>1828</v>
      </c>
      <c r="K174" s="15" t="s">
        <v>1829</v>
      </c>
      <c r="S174" s="15">
        <v>4.0</v>
      </c>
      <c r="AK174" s="15">
        <v>58.0</v>
      </c>
      <c r="AO174" s="15">
        <v>80.0</v>
      </c>
      <c r="AQ174" s="15">
        <v>26.0</v>
      </c>
      <c r="BC174" s="15">
        <v>64.0</v>
      </c>
      <c r="BH174" s="12">
        <f t="shared" si="9"/>
        <v>232</v>
      </c>
    </row>
    <row r="175" ht="36.75" customHeight="1">
      <c r="A175" s="14">
        <v>42047.0</v>
      </c>
      <c r="B175" s="18" t="s">
        <v>1431</v>
      </c>
      <c r="C175" s="18" t="s">
        <v>1432</v>
      </c>
      <c r="D175" s="15" t="s">
        <v>1831</v>
      </c>
      <c r="E175" s="15" t="s">
        <v>1728</v>
      </c>
      <c r="F175" s="15">
        <v>26.6756</v>
      </c>
      <c r="G175" s="15">
        <v>-80.380207</v>
      </c>
      <c r="H175" s="15">
        <v>26.594788</v>
      </c>
      <c r="I175" s="17">
        <v>-80.444436</v>
      </c>
      <c r="J175" s="15" t="s">
        <v>1833</v>
      </c>
      <c r="K175" s="15" t="s">
        <v>1835</v>
      </c>
      <c r="AQ175" s="15">
        <v>28.0</v>
      </c>
      <c r="BH175" s="12">
        <f t="shared" si="9"/>
        <v>28</v>
      </c>
    </row>
    <row r="176" ht="36.75" customHeight="1">
      <c r="A176" s="14">
        <v>42047.0</v>
      </c>
      <c r="B176" s="18" t="s">
        <v>1431</v>
      </c>
      <c r="C176" s="18" t="s">
        <v>1432</v>
      </c>
      <c r="D176" s="15" t="s">
        <v>1836</v>
      </c>
      <c r="E176" s="15" t="s">
        <v>1728</v>
      </c>
      <c r="F176" s="15">
        <v>26.464448</v>
      </c>
      <c r="G176" s="15">
        <v>-80.45313</v>
      </c>
      <c r="H176" s="15">
        <v>26.369932</v>
      </c>
      <c r="I176" s="17">
        <v>-80.563949</v>
      </c>
      <c r="J176" s="15" t="s">
        <v>1839</v>
      </c>
      <c r="K176" s="15" t="s">
        <v>1840</v>
      </c>
      <c r="M176" s="15">
        <v>1.0</v>
      </c>
      <c r="N176" s="15">
        <v>25.0</v>
      </c>
      <c r="P176" s="15">
        <v>3.0</v>
      </c>
      <c r="Q176" s="15">
        <v>7.0</v>
      </c>
      <c r="AK176" s="15">
        <v>23.0</v>
      </c>
      <c r="AO176" s="15">
        <v>28.0</v>
      </c>
      <c r="AQ176" s="15">
        <v>237.0</v>
      </c>
      <c r="BC176" s="15">
        <v>94.0</v>
      </c>
      <c r="BD176" s="15">
        <v>48.0</v>
      </c>
      <c r="BH176" s="12">
        <f t="shared" si="9"/>
        <v>466</v>
      </c>
    </row>
    <row r="177" ht="36.75" customHeight="1">
      <c r="A177" s="14">
        <v>42047.0</v>
      </c>
      <c r="B177" s="18" t="s">
        <v>1431</v>
      </c>
      <c r="C177" s="18" t="s">
        <v>1432</v>
      </c>
      <c r="D177" s="15" t="s">
        <v>1844</v>
      </c>
      <c r="E177" s="15" t="s">
        <v>1728</v>
      </c>
      <c r="F177" s="15">
        <v>26.334196</v>
      </c>
      <c r="G177" s="15">
        <v>-80.546238</v>
      </c>
      <c r="H177" s="15">
        <v>26.334196</v>
      </c>
      <c r="I177" s="17">
        <v>-80.546238</v>
      </c>
      <c r="J177" s="15" t="s">
        <v>1845</v>
      </c>
      <c r="K177" s="15" t="s">
        <v>1846</v>
      </c>
      <c r="Q177" s="15">
        <v>8.0</v>
      </c>
      <c r="AO177" s="15">
        <v>1.0</v>
      </c>
      <c r="AQ177" s="15">
        <v>1.0</v>
      </c>
      <c r="BD177" s="15">
        <v>10.0</v>
      </c>
      <c r="BH177" s="12">
        <f t="shared" si="9"/>
        <v>20</v>
      </c>
    </row>
    <row r="178" ht="36.75" customHeight="1">
      <c r="A178" s="14">
        <v>42047.0</v>
      </c>
      <c r="B178" s="18" t="s">
        <v>1431</v>
      </c>
      <c r="C178" s="18" t="s">
        <v>1432</v>
      </c>
      <c r="D178" s="15" t="s">
        <v>1848</v>
      </c>
      <c r="E178" s="15" t="s">
        <v>1728</v>
      </c>
      <c r="F178" s="15">
        <v>26.332433</v>
      </c>
      <c r="G178" s="15">
        <v>-80.882657</v>
      </c>
      <c r="H178" s="15">
        <v>26.461558</v>
      </c>
      <c r="I178" s="17">
        <v>-80.915708</v>
      </c>
      <c r="J178" s="15" t="s">
        <v>1849</v>
      </c>
      <c r="K178" s="15" t="s">
        <v>1850</v>
      </c>
      <c r="P178" s="15">
        <v>3.0</v>
      </c>
      <c r="Q178" s="15">
        <v>38.0</v>
      </c>
      <c r="R178" s="15">
        <v>20.0</v>
      </c>
      <c r="S178" s="15">
        <v>7.0</v>
      </c>
      <c r="AA178" s="15">
        <v>2.0</v>
      </c>
      <c r="AE178" s="15">
        <v>1.0</v>
      </c>
      <c r="AF178" s="15">
        <v>1.0</v>
      </c>
      <c r="AO178" s="15">
        <v>1.0</v>
      </c>
      <c r="AQ178" s="15">
        <v>61.0</v>
      </c>
      <c r="BC178" s="15">
        <v>2.0</v>
      </c>
      <c r="BE178" s="15">
        <v>26.0</v>
      </c>
      <c r="BH178" s="12">
        <f t="shared" si="9"/>
        <v>162</v>
      </c>
    </row>
    <row r="179" ht="36.75" customHeight="1">
      <c r="A179" s="24">
        <v>42041.0</v>
      </c>
      <c r="B179" s="18" t="s">
        <v>457</v>
      </c>
      <c r="C179" s="18" t="s">
        <v>458</v>
      </c>
      <c r="D179" s="18" t="s">
        <v>460</v>
      </c>
      <c r="E179" s="18" t="s">
        <v>461</v>
      </c>
      <c r="F179" s="16">
        <v>28.2299</v>
      </c>
      <c r="G179" s="16">
        <v>-82.840169</v>
      </c>
      <c r="H179" s="16">
        <v>28.2299</v>
      </c>
      <c r="I179" s="16">
        <v>-82.840169</v>
      </c>
      <c r="J179" s="15" t="s">
        <v>1839</v>
      </c>
      <c r="K179" s="15" t="s">
        <v>1852</v>
      </c>
      <c r="L179" s="15">
        <v>2.0</v>
      </c>
      <c r="M179" s="15">
        <v>0.0</v>
      </c>
      <c r="N179" s="15">
        <v>3.0</v>
      </c>
      <c r="O179" s="15">
        <v>55.0</v>
      </c>
      <c r="P179" s="15">
        <v>0.0</v>
      </c>
      <c r="Q179" s="15">
        <v>0.0</v>
      </c>
      <c r="R179" s="15">
        <v>15.0</v>
      </c>
      <c r="S179" s="15">
        <v>0.0</v>
      </c>
      <c r="T179" s="15">
        <v>0.0</v>
      </c>
      <c r="U179" s="15">
        <v>0.0</v>
      </c>
      <c r="V179" s="15">
        <v>0.0</v>
      </c>
      <c r="W179" s="15">
        <v>20.0</v>
      </c>
      <c r="X179" s="15">
        <v>0.0</v>
      </c>
      <c r="Y179" s="15">
        <v>7.0</v>
      </c>
      <c r="Z179" s="15">
        <v>55.0</v>
      </c>
      <c r="AA179" s="15">
        <v>60.0</v>
      </c>
      <c r="AB179" s="15">
        <v>0.0</v>
      </c>
      <c r="AC179" s="15">
        <v>3.0</v>
      </c>
      <c r="AD179" s="15">
        <v>20.0</v>
      </c>
      <c r="AE179" s="15">
        <v>0.0</v>
      </c>
      <c r="AF179" s="15">
        <v>10.0</v>
      </c>
      <c r="AG179" s="15">
        <v>0.0</v>
      </c>
      <c r="AH179" s="15">
        <v>0.0</v>
      </c>
      <c r="AI179" s="15">
        <v>0.0</v>
      </c>
      <c r="AJ179" s="15">
        <v>0.0</v>
      </c>
      <c r="AK179" s="15">
        <v>0.0</v>
      </c>
      <c r="AL179" s="15">
        <v>0.0</v>
      </c>
      <c r="AM179" s="15">
        <v>0.0</v>
      </c>
      <c r="AN179" s="15">
        <v>0.0</v>
      </c>
      <c r="AO179" s="15">
        <v>0.0</v>
      </c>
      <c r="AP179" s="15">
        <v>0.0</v>
      </c>
      <c r="AQ179" s="15">
        <v>175.0</v>
      </c>
      <c r="AR179" s="15">
        <v>1.0</v>
      </c>
      <c r="AS179" s="15">
        <v>0.0</v>
      </c>
      <c r="AT179" s="15">
        <v>0.0</v>
      </c>
      <c r="AU179" s="15">
        <v>0.0</v>
      </c>
      <c r="AV179" s="15">
        <v>2.0</v>
      </c>
      <c r="AW179" s="15">
        <v>8.0</v>
      </c>
      <c r="AX179" s="15">
        <v>0.0</v>
      </c>
      <c r="AY179" s="15">
        <v>50.0</v>
      </c>
      <c r="AZ179" s="15">
        <v>165.0</v>
      </c>
      <c r="BA179" s="15">
        <v>0.0</v>
      </c>
      <c r="BB179" s="15">
        <v>0.0</v>
      </c>
      <c r="BC179" s="15">
        <v>0.0</v>
      </c>
      <c r="BD179" s="15">
        <v>0.0</v>
      </c>
      <c r="BE179" s="15">
        <v>0.0</v>
      </c>
      <c r="BF179" s="15">
        <v>0.0</v>
      </c>
      <c r="BH179" s="12">
        <f t="shared" si="9"/>
        <v>651</v>
      </c>
      <c r="BI179" s="15" t="s">
        <v>1854</v>
      </c>
    </row>
    <row r="180" ht="36.75" customHeight="1">
      <c r="A180" s="24">
        <v>42041.0</v>
      </c>
      <c r="B180" s="18" t="s">
        <v>150</v>
      </c>
      <c r="C180" s="18" t="s">
        <v>151</v>
      </c>
      <c r="D180" s="18" t="s">
        <v>1855</v>
      </c>
      <c r="E180" s="18" t="s">
        <v>461</v>
      </c>
      <c r="F180" s="16">
        <v>28.171811</v>
      </c>
      <c r="G180" s="16">
        <v>-82.84976</v>
      </c>
      <c r="H180" s="16">
        <v>28.21298</v>
      </c>
      <c r="I180" s="17">
        <v>-82.844863</v>
      </c>
      <c r="J180" s="15" t="s">
        <v>1857</v>
      </c>
      <c r="K180" s="15" t="s">
        <v>1852</v>
      </c>
      <c r="L180" s="15">
        <v>0.0</v>
      </c>
      <c r="M180" s="15">
        <v>0.0</v>
      </c>
      <c r="N180" s="15">
        <v>27.0</v>
      </c>
      <c r="O180" s="15">
        <v>4.0</v>
      </c>
      <c r="P180" s="15">
        <v>0.0</v>
      </c>
      <c r="Q180" s="15">
        <v>0.0</v>
      </c>
      <c r="R180" s="15">
        <v>0.0</v>
      </c>
      <c r="S180" s="15">
        <v>0.0</v>
      </c>
      <c r="T180" s="15">
        <v>0.0</v>
      </c>
      <c r="U180" s="15">
        <v>0.0</v>
      </c>
      <c r="V180" s="15">
        <v>0.0</v>
      </c>
      <c r="W180" s="15">
        <v>0.0</v>
      </c>
      <c r="X180" s="15">
        <v>0.0</v>
      </c>
      <c r="Y180" s="15">
        <v>31.0</v>
      </c>
      <c r="Z180" s="15">
        <v>40.0</v>
      </c>
      <c r="AA180" s="15">
        <v>3.0</v>
      </c>
      <c r="AB180" s="15">
        <v>0.0</v>
      </c>
      <c r="AC180" s="15">
        <v>0.0</v>
      </c>
      <c r="AD180" s="15">
        <v>0.0</v>
      </c>
      <c r="AE180" s="15">
        <v>0.0</v>
      </c>
      <c r="AF180" s="15">
        <v>0.0</v>
      </c>
      <c r="AG180" s="15">
        <v>0.0</v>
      </c>
      <c r="AH180" s="15">
        <v>14.0</v>
      </c>
      <c r="AI180" s="15">
        <v>0.0</v>
      </c>
      <c r="AJ180" s="15">
        <v>0.0</v>
      </c>
      <c r="AK180" s="15">
        <v>0.0</v>
      </c>
      <c r="AL180" s="15">
        <v>0.0</v>
      </c>
      <c r="AM180" s="15">
        <v>0.0</v>
      </c>
      <c r="AN180" s="15">
        <v>11.0</v>
      </c>
      <c r="AO180" s="15">
        <v>0.0</v>
      </c>
      <c r="AP180" s="15">
        <v>0.0</v>
      </c>
      <c r="AQ180" s="15">
        <v>0.0</v>
      </c>
      <c r="AR180" s="15">
        <v>0.0</v>
      </c>
      <c r="AS180" s="15">
        <v>0.0</v>
      </c>
      <c r="AT180" s="15">
        <v>0.0</v>
      </c>
      <c r="AU180" s="15">
        <v>0.0</v>
      </c>
      <c r="AV180" s="15">
        <v>2.0</v>
      </c>
      <c r="AW180" s="15">
        <v>0.0</v>
      </c>
      <c r="AX180" s="15">
        <v>0.0</v>
      </c>
      <c r="AY180" s="15">
        <v>47.0</v>
      </c>
      <c r="AZ180" s="15">
        <v>10.0</v>
      </c>
      <c r="BA180" s="15">
        <v>0.0</v>
      </c>
      <c r="BB180" s="15">
        <v>0.0</v>
      </c>
      <c r="BC180" s="15">
        <v>0.0</v>
      </c>
      <c r="BD180" s="15">
        <v>0.0</v>
      </c>
      <c r="BE180" s="15">
        <v>0.0</v>
      </c>
      <c r="BF180" s="15">
        <v>0.0</v>
      </c>
      <c r="BH180" s="12">
        <f t="shared" si="9"/>
        <v>189</v>
      </c>
      <c r="BI180" s="15" t="s">
        <v>1859</v>
      </c>
    </row>
    <row r="181" ht="36.75" customHeight="1">
      <c r="A181" s="14">
        <v>42041.0</v>
      </c>
      <c r="B181" s="15" t="s">
        <v>1860</v>
      </c>
      <c r="C181" s="18" t="s">
        <v>1861</v>
      </c>
      <c r="D181" s="15" t="s">
        <v>1862</v>
      </c>
      <c r="E181" s="15" t="s">
        <v>461</v>
      </c>
      <c r="F181" s="16">
        <v>28.1726</v>
      </c>
      <c r="G181" s="16">
        <v>-82.7873</v>
      </c>
      <c r="H181" s="16">
        <v>28.363</v>
      </c>
      <c r="I181" s="17">
        <v>-82.7114</v>
      </c>
      <c r="J181" s="15" t="s">
        <v>1863</v>
      </c>
      <c r="K181" s="15" t="s">
        <v>1864</v>
      </c>
      <c r="L181" s="15">
        <v>1.0</v>
      </c>
      <c r="M181" s="15">
        <v>0.0</v>
      </c>
      <c r="N181" s="15">
        <v>7.0</v>
      </c>
      <c r="O181" s="15">
        <v>140.0</v>
      </c>
      <c r="P181" s="15">
        <v>0.0</v>
      </c>
      <c r="Q181" s="15">
        <v>15.0</v>
      </c>
      <c r="R181" s="15">
        <v>12.0</v>
      </c>
      <c r="S181" s="15">
        <v>0.0</v>
      </c>
      <c r="T181" s="15">
        <v>0.0</v>
      </c>
      <c r="U181" s="15">
        <v>0.0</v>
      </c>
      <c r="V181" s="15">
        <v>8.0</v>
      </c>
      <c r="W181" s="15">
        <v>0.0</v>
      </c>
      <c r="X181" s="15">
        <v>0.0</v>
      </c>
      <c r="Y181" s="15">
        <v>4.0</v>
      </c>
      <c r="AA181" s="15">
        <v>7.0</v>
      </c>
      <c r="AB181" s="15">
        <v>0.0</v>
      </c>
      <c r="AC181" s="15">
        <v>0.0</v>
      </c>
      <c r="AD181" s="15">
        <v>0.0</v>
      </c>
      <c r="AE181" s="15">
        <v>7.0</v>
      </c>
      <c r="AF181" s="15">
        <v>50.0</v>
      </c>
      <c r="AG181" s="15">
        <v>2.0</v>
      </c>
      <c r="AH181" s="15">
        <v>117.0</v>
      </c>
      <c r="AI181" s="15">
        <v>0.0</v>
      </c>
      <c r="AJ181" s="15">
        <v>0.0</v>
      </c>
      <c r="AK181" s="15">
        <v>44.0</v>
      </c>
      <c r="AL181" s="15">
        <v>0.0</v>
      </c>
      <c r="AM181" s="15">
        <v>0.0</v>
      </c>
      <c r="AN181" s="15">
        <v>43.0</v>
      </c>
      <c r="AO181" s="15">
        <v>5.0</v>
      </c>
      <c r="AP181" s="15">
        <v>0.0</v>
      </c>
      <c r="AQ181" s="15">
        <v>341.0</v>
      </c>
      <c r="AR181" s="15">
        <v>2.0</v>
      </c>
      <c r="AS181" s="15">
        <v>0.0</v>
      </c>
      <c r="AT181" s="15">
        <v>0.0</v>
      </c>
      <c r="AU181" s="15">
        <v>0.0</v>
      </c>
      <c r="AV181" s="15">
        <v>8.0</v>
      </c>
      <c r="AW181" s="15">
        <v>1297.0</v>
      </c>
      <c r="AX181" s="15">
        <v>2.0</v>
      </c>
      <c r="AY181" s="15">
        <v>224.0</v>
      </c>
      <c r="AZ181" s="15">
        <v>66.0</v>
      </c>
      <c r="BA181" s="15">
        <v>0.0</v>
      </c>
      <c r="BB181" s="15">
        <v>0.0</v>
      </c>
      <c r="BC181" s="15">
        <v>0.0</v>
      </c>
      <c r="BD181" s="15">
        <v>0.0</v>
      </c>
      <c r="BE181" s="15">
        <v>0.0</v>
      </c>
      <c r="BF181" s="15">
        <v>0.0</v>
      </c>
      <c r="BH181" s="12">
        <f t="shared" si="9"/>
        <v>2402</v>
      </c>
      <c r="BI181" s="15" t="s">
        <v>1867</v>
      </c>
    </row>
    <row r="182" ht="36.75" customHeight="1">
      <c r="A182" s="14">
        <v>42038.0</v>
      </c>
      <c r="B182" s="15" t="s">
        <v>1868</v>
      </c>
      <c r="C182" s="15" t="s">
        <v>632</v>
      </c>
      <c r="D182" s="15" t="s">
        <v>633</v>
      </c>
      <c r="E182" s="15" t="s">
        <v>146</v>
      </c>
      <c r="F182" s="15">
        <v>28.105</v>
      </c>
      <c r="G182" s="15">
        <v>-82.82809</v>
      </c>
      <c r="H182" s="15">
        <v>28.11198</v>
      </c>
      <c r="I182" s="17">
        <v>-82.8373</v>
      </c>
      <c r="J182" s="15" t="s">
        <v>1870</v>
      </c>
      <c r="K182" s="15" t="s">
        <v>1871</v>
      </c>
      <c r="L182" s="15">
        <v>6.0</v>
      </c>
      <c r="M182" s="15">
        <v>0.0</v>
      </c>
      <c r="N182" s="15">
        <v>23.0</v>
      </c>
      <c r="O182" s="15">
        <v>26.0</v>
      </c>
      <c r="P182" s="15">
        <v>0.0</v>
      </c>
      <c r="Q182" s="15">
        <v>0.0</v>
      </c>
      <c r="R182" s="15">
        <v>34.0</v>
      </c>
      <c r="S182" s="15">
        <v>0.0</v>
      </c>
      <c r="T182" s="15">
        <v>0.0</v>
      </c>
      <c r="U182" s="15">
        <v>0.0</v>
      </c>
      <c r="V182" s="15">
        <v>0.0</v>
      </c>
      <c r="W182" s="15">
        <v>40.0</v>
      </c>
      <c r="X182" s="15">
        <v>114.0</v>
      </c>
      <c r="Y182" s="15">
        <v>49.0</v>
      </c>
      <c r="Z182" s="15">
        <v>20.0</v>
      </c>
      <c r="AA182" s="15">
        <v>47.0</v>
      </c>
      <c r="AB182" s="15">
        <v>0.0</v>
      </c>
      <c r="AC182" s="15">
        <v>70.0</v>
      </c>
      <c r="AD182" s="15">
        <v>0.0</v>
      </c>
      <c r="AE182" s="15">
        <v>0.0</v>
      </c>
      <c r="AF182" s="15">
        <v>1.0</v>
      </c>
      <c r="AG182" s="15">
        <v>0.0</v>
      </c>
      <c r="AH182" s="15">
        <v>1.0</v>
      </c>
      <c r="AI182" s="15">
        <v>1.0</v>
      </c>
      <c r="AJ182" s="15">
        <v>0.0</v>
      </c>
      <c r="AK182" s="15">
        <v>0.0</v>
      </c>
      <c r="AL182" s="15">
        <v>0.0</v>
      </c>
      <c r="AM182" s="15">
        <v>0.0</v>
      </c>
      <c r="AN182" s="15">
        <v>2.0</v>
      </c>
      <c r="AO182" s="15">
        <v>0.0</v>
      </c>
      <c r="AP182" s="15">
        <v>0.0</v>
      </c>
      <c r="AQ182" s="15">
        <v>250.0</v>
      </c>
      <c r="AR182" s="15">
        <v>2.0</v>
      </c>
      <c r="AS182" s="15">
        <v>0.0</v>
      </c>
      <c r="AT182" s="15">
        <v>0.0</v>
      </c>
      <c r="AU182" s="15">
        <v>0.0</v>
      </c>
      <c r="AV182" s="15">
        <v>5.0</v>
      </c>
      <c r="AW182" s="15">
        <v>1.0</v>
      </c>
      <c r="AX182" s="15">
        <v>0.0</v>
      </c>
      <c r="AY182" s="15">
        <v>10.0</v>
      </c>
      <c r="AZ182" s="15">
        <v>2.0</v>
      </c>
      <c r="BA182" s="15">
        <v>0.0</v>
      </c>
      <c r="BB182" s="15">
        <v>0.0</v>
      </c>
      <c r="BC182" s="15">
        <v>0.0</v>
      </c>
      <c r="BD182" s="15">
        <v>0.0</v>
      </c>
      <c r="BE182" s="15">
        <v>0.0</v>
      </c>
      <c r="BF182" s="15">
        <v>0.0</v>
      </c>
      <c r="BH182" s="12">
        <f t="shared" si="9"/>
        <v>704</v>
      </c>
    </row>
    <row r="183" ht="36.75" customHeight="1">
      <c r="A183" s="14">
        <v>42041.0</v>
      </c>
      <c r="B183" s="15" t="s">
        <v>1873</v>
      </c>
      <c r="C183" s="15" t="s">
        <v>1875</v>
      </c>
      <c r="D183" s="15" t="s">
        <v>1876</v>
      </c>
      <c r="E183" s="15" t="s">
        <v>146</v>
      </c>
      <c r="F183" s="15">
        <v>28.13167</v>
      </c>
      <c r="G183" s="18">
        <v>-82.82801</v>
      </c>
      <c r="H183" s="18">
        <v>28.11249</v>
      </c>
      <c r="I183" s="16">
        <v>-82.83855</v>
      </c>
      <c r="J183" s="15" t="s">
        <v>719</v>
      </c>
      <c r="K183" s="15" t="s">
        <v>1877</v>
      </c>
      <c r="L183" s="15">
        <v>8.0</v>
      </c>
      <c r="M183" s="15">
        <v>0.0</v>
      </c>
      <c r="N183" s="15">
        <v>13.0</v>
      </c>
      <c r="O183" s="15">
        <v>42.0</v>
      </c>
      <c r="P183" s="15">
        <v>0.0</v>
      </c>
      <c r="Q183" s="15">
        <v>0.0</v>
      </c>
      <c r="R183" s="15">
        <v>23.0</v>
      </c>
      <c r="S183" s="15">
        <v>0.0</v>
      </c>
      <c r="T183" s="15">
        <v>0.0</v>
      </c>
      <c r="U183" s="15">
        <v>0.0</v>
      </c>
      <c r="V183" s="15">
        <v>0.0</v>
      </c>
      <c r="W183" s="15">
        <v>19.0</v>
      </c>
      <c r="X183" s="15">
        <v>0.0</v>
      </c>
      <c r="Y183" s="15">
        <v>9.0</v>
      </c>
      <c r="Z183" s="15">
        <v>36.0</v>
      </c>
      <c r="AA183" s="15">
        <v>23.0</v>
      </c>
      <c r="AB183" s="15">
        <v>0.0</v>
      </c>
      <c r="AC183" s="15">
        <v>6.0</v>
      </c>
      <c r="AD183" s="15">
        <v>5.0</v>
      </c>
      <c r="AE183" s="15">
        <v>0.0</v>
      </c>
      <c r="AF183" s="15">
        <v>0.0</v>
      </c>
      <c r="AG183" s="15">
        <v>0.0</v>
      </c>
      <c r="AH183" s="15">
        <v>0.0</v>
      </c>
      <c r="AI183" s="15">
        <v>0.0</v>
      </c>
      <c r="AJ183" s="15">
        <v>0.0</v>
      </c>
      <c r="AK183" s="15">
        <v>0.0</v>
      </c>
      <c r="AL183" s="15">
        <v>0.0</v>
      </c>
      <c r="AM183" s="15">
        <v>0.0</v>
      </c>
      <c r="AN183" s="15">
        <v>4.0</v>
      </c>
      <c r="AO183" s="15">
        <v>0.0</v>
      </c>
      <c r="AP183" s="15">
        <v>0.0</v>
      </c>
      <c r="AQ183" s="15">
        <v>300.0</v>
      </c>
      <c r="AR183" s="15">
        <v>4.0</v>
      </c>
      <c r="AS183" s="15">
        <v>0.0</v>
      </c>
      <c r="AT183" s="15">
        <v>0.0</v>
      </c>
      <c r="AU183" s="15">
        <v>0.0</v>
      </c>
      <c r="AV183" s="15">
        <v>4.0</v>
      </c>
      <c r="AW183" s="15">
        <v>5.0</v>
      </c>
      <c r="AX183" s="15">
        <v>0.0</v>
      </c>
      <c r="AY183" s="15">
        <v>16.0</v>
      </c>
      <c r="AZ183" s="15">
        <v>10.0</v>
      </c>
      <c r="BA183" s="15">
        <v>0.0</v>
      </c>
      <c r="BB183" s="15">
        <v>0.0</v>
      </c>
      <c r="BC183" s="15">
        <v>0.0</v>
      </c>
      <c r="BD183" s="15">
        <v>0.0</v>
      </c>
      <c r="BE183" s="15">
        <v>0.0</v>
      </c>
      <c r="BF183" s="15">
        <v>0.0</v>
      </c>
      <c r="BH183" s="12">
        <f t="shared" si="9"/>
        <v>527</v>
      </c>
    </row>
    <row r="184" ht="36.75" customHeight="1">
      <c r="A184" s="24">
        <v>42041.0</v>
      </c>
      <c r="B184" s="18" t="s">
        <v>1881</v>
      </c>
      <c r="C184" s="18" t="s">
        <v>1883</v>
      </c>
      <c r="D184" s="18" t="s">
        <v>1884</v>
      </c>
      <c r="E184" s="18" t="s">
        <v>146</v>
      </c>
      <c r="F184" s="16">
        <v>28.055813</v>
      </c>
      <c r="G184" s="16">
        <v>-82.51552</v>
      </c>
      <c r="H184" s="16">
        <v>28.063237</v>
      </c>
      <c r="I184" s="17">
        <v>-82.831897</v>
      </c>
      <c r="J184" s="15" t="s">
        <v>1885</v>
      </c>
      <c r="K184" s="15" t="s">
        <v>1852</v>
      </c>
      <c r="L184" s="15">
        <v>0.0</v>
      </c>
      <c r="M184" s="18">
        <v>0.0</v>
      </c>
      <c r="N184" s="15">
        <v>0.0</v>
      </c>
      <c r="O184" s="18">
        <v>0.0</v>
      </c>
      <c r="P184" s="15">
        <v>0.0</v>
      </c>
      <c r="Q184" s="15">
        <v>0.0</v>
      </c>
      <c r="R184" s="15">
        <v>0.0</v>
      </c>
      <c r="S184" s="15">
        <v>0.0</v>
      </c>
      <c r="T184" s="15">
        <v>0.0</v>
      </c>
      <c r="U184" s="15">
        <v>0.0</v>
      </c>
      <c r="V184" s="15">
        <v>0.0</v>
      </c>
      <c r="W184" s="18">
        <v>0.0</v>
      </c>
      <c r="X184" s="18">
        <v>0.0</v>
      </c>
      <c r="Y184" s="15">
        <v>0.0</v>
      </c>
      <c r="Z184" s="15">
        <v>0.0</v>
      </c>
      <c r="AA184" s="15">
        <v>0.0</v>
      </c>
      <c r="AB184" s="15">
        <v>0.0</v>
      </c>
      <c r="AC184" s="15">
        <v>0.0</v>
      </c>
      <c r="AD184" s="15">
        <v>0.0</v>
      </c>
      <c r="AE184" s="15">
        <v>0.0</v>
      </c>
      <c r="AF184" s="15">
        <v>0.0</v>
      </c>
      <c r="AG184" s="15">
        <v>0.0</v>
      </c>
      <c r="AH184" s="15">
        <v>0.0</v>
      </c>
      <c r="AI184" s="15">
        <v>0.0</v>
      </c>
      <c r="AJ184" s="15">
        <v>0.0</v>
      </c>
      <c r="AK184" s="15">
        <v>0.0</v>
      </c>
      <c r="AL184" s="15">
        <v>0.0</v>
      </c>
      <c r="AM184" s="15">
        <v>0.0</v>
      </c>
      <c r="AN184" s="15">
        <v>0.0</v>
      </c>
      <c r="AO184" s="15">
        <v>0.0</v>
      </c>
      <c r="AP184" s="15">
        <v>0.0</v>
      </c>
      <c r="AQ184" s="15">
        <v>0.0</v>
      </c>
      <c r="AR184" s="15">
        <v>0.0</v>
      </c>
      <c r="AS184" s="15">
        <v>0.0</v>
      </c>
      <c r="AT184" s="15">
        <v>0.0</v>
      </c>
      <c r="AU184" s="15">
        <v>0.0</v>
      </c>
      <c r="AV184" s="15">
        <v>4.0</v>
      </c>
      <c r="AW184" s="15">
        <v>0.0</v>
      </c>
      <c r="AX184" s="15">
        <v>0.0</v>
      </c>
      <c r="AY184" s="15">
        <v>7.0</v>
      </c>
      <c r="AZ184" s="18">
        <v>4.0</v>
      </c>
      <c r="BA184" s="15">
        <v>0.0</v>
      </c>
      <c r="BB184" s="18">
        <v>0.0</v>
      </c>
      <c r="BC184" s="15">
        <v>0.0</v>
      </c>
      <c r="BD184" s="15">
        <v>0.0</v>
      </c>
      <c r="BE184" s="15">
        <v>0.0</v>
      </c>
      <c r="BF184" s="18">
        <v>0.0</v>
      </c>
      <c r="BH184" s="12">
        <f t="shared" si="9"/>
        <v>15</v>
      </c>
      <c r="BI184" s="15" t="s">
        <v>1886</v>
      </c>
    </row>
    <row r="185" ht="36.75" customHeight="1">
      <c r="A185" s="26">
        <v>42041.0</v>
      </c>
      <c r="B185" s="18" t="s">
        <v>1881</v>
      </c>
      <c r="C185" s="18" t="s">
        <v>1883</v>
      </c>
      <c r="D185" s="18" t="s">
        <v>1887</v>
      </c>
      <c r="E185" s="18" t="s">
        <v>146</v>
      </c>
      <c r="F185" s="16">
        <v>28.06578</v>
      </c>
      <c r="G185" s="16">
        <v>-82.83342</v>
      </c>
      <c r="H185" s="16">
        <v>28.093816</v>
      </c>
      <c r="I185" s="17">
        <v>-82.833689</v>
      </c>
      <c r="J185" s="15" t="s">
        <v>1888</v>
      </c>
      <c r="K185" s="15" t="s">
        <v>1852</v>
      </c>
      <c r="L185" s="15">
        <v>0.0</v>
      </c>
      <c r="M185" s="18">
        <v>0.0</v>
      </c>
      <c r="N185" s="15">
        <v>2.0</v>
      </c>
      <c r="O185" s="18">
        <v>4.0</v>
      </c>
      <c r="P185" s="15">
        <v>2.0</v>
      </c>
      <c r="Q185" s="15">
        <v>0.0</v>
      </c>
      <c r="R185" s="15">
        <v>0.0</v>
      </c>
      <c r="S185" s="15">
        <v>2.0</v>
      </c>
      <c r="T185" s="15">
        <v>0.0</v>
      </c>
      <c r="U185" s="15">
        <v>0.0</v>
      </c>
      <c r="V185" s="15">
        <v>0.0</v>
      </c>
      <c r="W185" s="18">
        <v>7.0</v>
      </c>
      <c r="X185" s="18">
        <v>0.0</v>
      </c>
      <c r="Y185" s="15">
        <v>4.0</v>
      </c>
      <c r="Z185" s="15">
        <v>5.0</v>
      </c>
      <c r="AA185" s="15">
        <v>0.0</v>
      </c>
      <c r="AB185" s="15">
        <v>0.0</v>
      </c>
      <c r="AC185" s="15">
        <v>0.0</v>
      </c>
      <c r="AD185" s="15">
        <v>0.0</v>
      </c>
      <c r="AE185" s="15">
        <v>0.0</v>
      </c>
      <c r="AF185" s="15">
        <v>0.0</v>
      </c>
      <c r="AG185" s="15">
        <v>0.0</v>
      </c>
      <c r="AH185" s="15">
        <v>0.0</v>
      </c>
      <c r="AI185" s="15">
        <v>0.0</v>
      </c>
      <c r="AJ185" s="15">
        <v>0.0</v>
      </c>
      <c r="AK185" s="15">
        <v>0.0</v>
      </c>
      <c r="AL185" s="15">
        <v>0.0</v>
      </c>
      <c r="AM185" s="15">
        <v>0.0</v>
      </c>
      <c r="AN185" s="15">
        <v>0.0</v>
      </c>
      <c r="AO185" s="15">
        <v>0.0</v>
      </c>
      <c r="AP185" s="15">
        <v>0.0</v>
      </c>
      <c r="AQ185" s="15">
        <v>4.0</v>
      </c>
      <c r="AR185" s="15">
        <v>7.0</v>
      </c>
      <c r="AS185" s="15">
        <v>0.0</v>
      </c>
      <c r="AT185" s="15">
        <v>0.0</v>
      </c>
      <c r="AU185" s="15">
        <v>0.0</v>
      </c>
      <c r="AV185" s="15">
        <v>0.0</v>
      </c>
      <c r="AW185" s="15">
        <v>3.0</v>
      </c>
      <c r="AX185" s="15">
        <v>0.0</v>
      </c>
      <c r="AY185" s="15">
        <v>9.0</v>
      </c>
      <c r="AZ185" s="18">
        <v>6.0</v>
      </c>
      <c r="BA185" s="15">
        <v>0.0</v>
      </c>
      <c r="BB185" s="18">
        <v>0.0</v>
      </c>
      <c r="BC185" s="15">
        <v>0.0</v>
      </c>
      <c r="BD185" s="15">
        <v>0.0</v>
      </c>
      <c r="BE185" s="15">
        <v>0.0</v>
      </c>
      <c r="BF185" s="18">
        <v>0.0</v>
      </c>
      <c r="BH185" s="12">
        <f t="shared" si="9"/>
        <v>55</v>
      </c>
      <c r="BI185" s="15" t="s">
        <v>1891</v>
      </c>
    </row>
    <row r="186" ht="36.75" customHeight="1">
      <c r="A186" s="24">
        <v>42041.0</v>
      </c>
      <c r="B186" s="18" t="s">
        <v>150</v>
      </c>
      <c r="C186" s="18" t="s">
        <v>151</v>
      </c>
      <c r="D186" s="18" t="s">
        <v>152</v>
      </c>
      <c r="E186" s="18" t="s">
        <v>146</v>
      </c>
      <c r="F186" s="16">
        <v>28.165892</v>
      </c>
      <c r="G186" s="16">
        <v>-82.840678</v>
      </c>
      <c r="H186" s="16">
        <v>28.171811</v>
      </c>
      <c r="I186" s="17">
        <v>-82.849757</v>
      </c>
      <c r="J186" s="15" t="s">
        <v>1893</v>
      </c>
      <c r="K186" s="15" t="s">
        <v>1852</v>
      </c>
      <c r="L186" s="15">
        <v>1.0</v>
      </c>
      <c r="M186" s="15">
        <v>0.0</v>
      </c>
      <c r="N186" s="15">
        <v>46.0</v>
      </c>
      <c r="O186" s="15">
        <v>75.0</v>
      </c>
      <c r="P186" s="15">
        <v>0.0</v>
      </c>
      <c r="Q186" s="15">
        <v>0.0</v>
      </c>
      <c r="R186" s="15">
        <v>0.0</v>
      </c>
      <c r="S186" s="15">
        <v>0.0</v>
      </c>
      <c r="T186" s="15">
        <v>0.0</v>
      </c>
      <c r="U186" s="15">
        <v>0.0</v>
      </c>
      <c r="V186" s="15">
        <v>0.0</v>
      </c>
      <c r="W186" s="15">
        <v>24.0</v>
      </c>
      <c r="X186" s="15">
        <v>0.0</v>
      </c>
      <c r="Y186" s="15">
        <v>120.0</v>
      </c>
      <c r="Z186" s="15">
        <v>128.0</v>
      </c>
      <c r="AA186" s="15">
        <v>34.0</v>
      </c>
      <c r="AB186" s="15">
        <v>0.0</v>
      </c>
      <c r="AC186" s="15">
        <v>7.0</v>
      </c>
      <c r="AD186" s="15">
        <v>15.0</v>
      </c>
      <c r="AE186" s="15">
        <v>0.0</v>
      </c>
      <c r="AF186" s="15">
        <v>0.0</v>
      </c>
      <c r="AG186" s="15">
        <v>0.0</v>
      </c>
      <c r="AH186" s="15">
        <v>23.0</v>
      </c>
      <c r="AI186" s="15">
        <v>6.0</v>
      </c>
      <c r="AJ186" s="15">
        <v>0.0</v>
      </c>
      <c r="AK186" s="15">
        <v>0.0</v>
      </c>
      <c r="AL186" s="15">
        <v>0.0</v>
      </c>
      <c r="AM186" s="15">
        <v>0.0</v>
      </c>
      <c r="AN186" s="15">
        <v>28.0</v>
      </c>
      <c r="AO186" s="15">
        <v>0.0</v>
      </c>
      <c r="AP186" s="15">
        <v>0.0</v>
      </c>
      <c r="AQ186" s="15">
        <v>130.0</v>
      </c>
      <c r="AR186" s="15">
        <v>20.0</v>
      </c>
      <c r="AS186" s="15">
        <v>0.0</v>
      </c>
      <c r="AT186" s="15">
        <v>0.0</v>
      </c>
      <c r="AU186" s="15">
        <v>0.0</v>
      </c>
      <c r="AV186" s="15">
        <v>18.0</v>
      </c>
      <c r="AW186" s="15">
        <v>0.0</v>
      </c>
      <c r="AX186" s="15">
        <v>0.0</v>
      </c>
      <c r="AY186" s="15">
        <v>124.0</v>
      </c>
      <c r="AZ186" s="15">
        <v>160.0</v>
      </c>
      <c r="BA186" s="15">
        <v>0.0</v>
      </c>
      <c r="BB186" s="15">
        <v>0.0</v>
      </c>
      <c r="BC186" s="15">
        <v>0.0</v>
      </c>
      <c r="BD186" s="15">
        <v>0.0</v>
      </c>
      <c r="BE186" s="15">
        <v>18.0</v>
      </c>
      <c r="BF186" s="15">
        <v>1.0</v>
      </c>
      <c r="BH186" s="12">
        <f t="shared" si="9"/>
        <v>978</v>
      </c>
      <c r="BI186" s="15" t="s">
        <v>1897</v>
      </c>
    </row>
    <row r="187" ht="36.75" customHeight="1">
      <c r="A187" s="14">
        <v>42041.0</v>
      </c>
      <c r="B187" s="15" t="s">
        <v>1898</v>
      </c>
      <c r="C187" s="18" t="s">
        <v>1899</v>
      </c>
      <c r="D187" s="18" t="s">
        <v>1901</v>
      </c>
      <c r="E187" s="15" t="s">
        <v>146</v>
      </c>
      <c r="F187" s="16">
        <v>28.0211</v>
      </c>
      <c r="G187" s="16">
        <v>82.8264</v>
      </c>
      <c r="H187" s="16">
        <v>28.05096</v>
      </c>
      <c r="I187" s="17">
        <v>82.81638</v>
      </c>
      <c r="J187" s="15" t="s">
        <v>1903</v>
      </c>
      <c r="K187" s="15" t="s">
        <v>1904</v>
      </c>
      <c r="L187" s="15">
        <v>8.0</v>
      </c>
      <c r="M187" s="15">
        <v>0.0</v>
      </c>
      <c r="N187" s="15">
        <v>25.0</v>
      </c>
      <c r="O187" s="15">
        <v>190.0</v>
      </c>
      <c r="P187" s="15">
        <v>0.0</v>
      </c>
      <c r="Q187" s="15">
        <v>0.0</v>
      </c>
      <c r="R187" s="15">
        <v>0.0</v>
      </c>
      <c r="S187" s="15">
        <v>0.0</v>
      </c>
      <c r="T187" s="15">
        <v>0.0</v>
      </c>
      <c r="U187" s="15">
        <v>0.0</v>
      </c>
      <c r="V187" s="15">
        <v>3.0</v>
      </c>
      <c r="W187" s="15">
        <v>4.0</v>
      </c>
      <c r="X187" s="15">
        <v>10.0</v>
      </c>
      <c r="Y187" s="15">
        <v>15.0</v>
      </c>
      <c r="Z187" s="15">
        <v>63.0</v>
      </c>
      <c r="AA187" s="15">
        <v>15.0</v>
      </c>
      <c r="AB187" s="15">
        <v>0.0</v>
      </c>
      <c r="AC187" s="15">
        <v>1.0</v>
      </c>
      <c r="AD187" s="15">
        <v>1.0</v>
      </c>
      <c r="AE187" s="15">
        <v>0.0</v>
      </c>
      <c r="AF187" s="15">
        <v>0.0</v>
      </c>
      <c r="AG187" s="15">
        <v>0.0</v>
      </c>
      <c r="AH187" s="15">
        <v>0.0</v>
      </c>
      <c r="AI187" s="15">
        <v>0.0</v>
      </c>
      <c r="AJ187" s="15">
        <v>0.0</v>
      </c>
      <c r="AK187" s="15">
        <v>20.0</v>
      </c>
      <c r="AL187" s="15">
        <v>0.0</v>
      </c>
      <c r="AM187" s="15">
        <v>0.0</v>
      </c>
      <c r="AN187" s="15">
        <v>14.0</v>
      </c>
      <c r="AO187" s="15">
        <v>1.0</v>
      </c>
      <c r="AP187" s="15">
        <v>0.0</v>
      </c>
      <c r="AQ187" s="15">
        <v>18.0</v>
      </c>
      <c r="AR187" s="15">
        <v>0.0</v>
      </c>
      <c r="AS187" s="15">
        <v>0.0</v>
      </c>
      <c r="AT187" s="15">
        <v>0.0</v>
      </c>
      <c r="AU187" s="15">
        <v>0.0</v>
      </c>
      <c r="AV187" s="15">
        <v>6.0</v>
      </c>
      <c r="AW187" s="15">
        <v>22.0</v>
      </c>
      <c r="AX187" s="15">
        <v>0.0</v>
      </c>
      <c r="AY187" s="15">
        <v>33.0</v>
      </c>
      <c r="AZ187" s="15">
        <v>6.0</v>
      </c>
      <c r="BA187" s="15">
        <v>0.0</v>
      </c>
      <c r="BB187" s="15">
        <v>0.0</v>
      </c>
      <c r="BC187" s="15">
        <v>0.0</v>
      </c>
      <c r="BD187" s="15">
        <v>21.0</v>
      </c>
      <c r="BE187" s="15">
        <v>3.0</v>
      </c>
      <c r="BF187" s="15">
        <v>0.0</v>
      </c>
      <c r="BH187" s="12">
        <f t="shared" si="9"/>
        <v>479</v>
      </c>
      <c r="BI187" s="15" t="s">
        <v>1907</v>
      </c>
    </row>
    <row r="188" ht="36.75" customHeight="1">
      <c r="A188" s="14">
        <v>42041.0</v>
      </c>
      <c r="B188" s="15" t="s">
        <v>1908</v>
      </c>
      <c r="C188" s="15" t="s">
        <v>144</v>
      </c>
      <c r="D188" s="15" t="s">
        <v>1911</v>
      </c>
      <c r="E188" s="15" t="s">
        <v>146</v>
      </c>
      <c r="F188" s="15">
        <v>28.05053</v>
      </c>
      <c r="G188" s="15">
        <v>-82.78986</v>
      </c>
      <c r="H188" s="15">
        <v>28.05851</v>
      </c>
      <c r="I188" s="17">
        <v>-82.81018</v>
      </c>
      <c r="J188" s="15" t="s">
        <v>1912</v>
      </c>
      <c r="K188" s="15" t="s">
        <v>1913</v>
      </c>
      <c r="L188" s="15">
        <v>10.0</v>
      </c>
      <c r="M188" s="15">
        <v>0.0</v>
      </c>
      <c r="N188" s="15">
        <v>0.0</v>
      </c>
      <c r="O188" s="15">
        <v>0.0</v>
      </c>
      <c r="P188" s="15">
        <v>0.0</v>
      </c>
      <c r="Q188" s="15">
        <v>0.0</v>
      </c>
      <c r="R188" s="15">
        <v>0.0</v>
      </c>
      <c r="S188" s="15">
        <v>0.0</v>
      </c>
      <c r="T188" s="15">
        <v>0.0</v>
      </c>
      <c r="U188" s="15">
        <v>0.0</v>
      </c>
      <c r="V188" s="15">
        <v>11.0</v>
      </c>
      <c r="W188" s="15">
        <v>0.0</v>
      </c>
      <c r="X188" s="15">
        <v>0.0</v>
      </c>
      <c r="Y188" s="15">
        <v>4.0</v>
      </c>
      <c r="Z188" s="15">
        <v>0.0</v>
      </c>
      <c r="AA188" s="15">
        <v>0.0</v>
      </c>
      <c r="AB188" s="15">
        <v>0.0</v>
      </c>
      <c r="AC188" s="15">
        <v>22.0</v>
      </c>
      <c r="AD188" s="15">
        <v>0.0</v>
      </c>
      <c r="AE188" s="15">
        <v>0.0</v>
      </c>
      <c r="AF188" s="15">
        <v>0.0</v>
      </c>
      <c r="AG188" s="15">
        <v>0.0</v>
      </c>
      <c r="AH188" s="15">
        <v>9.0</v>
      </c>
      <c r="AJ188" s="15">
        <v>0.0</v>
      </c>
      <c r="AK188" s="15">
        <v>87.0</v>
      </c>
      <c r="AL188" s="15">
        <v>0.0</v>
      </c>
      <c r="AM188" s="15">
        <v>0.0</v>
      </c>
      <c r="AN188" s="15">
        <v>3.0</v>
      </c>
      <c r="AO188" s="15">
        <v>0.0</v>
      </c>
      <c r="AP188" s="15">
        <v>0.0</v>
      </c>
      <c r="AQ188" s="15">
        <v>5.0</v>
      </c>
      <c r="AR188" s="15">
        <v>2.0</v>
      </c>
      <c r="AS188" s="15">
        <v>0.0</v>
      </c>
      <c r="AT188" s="15">
        <v>0.0</v>
      </c>
      <c r="AU188" s="15">
        <v>0.0</v>
      </c>
      <c r="AV188" s="15">
        <v>7.0</v>
      </c>
      <c r="AW188" s="15">
        <v>47.0</v>
      </c>
      <c r="AX188" s="15">
        <v>0.0</v>
      </c>
      <c r="AY188" s="15">
        <v>23.0</v>
      </c>
      <c r="AZ188" s="15">
        <v>8.0</v>
      </c>
      <c r="BA188" s="15">
        <v>0.0</v>
      </c>
      <c r="BB188" s="15">
        <v>0.0</v>
      </c>
      <c r="BC188" s="15">
        <v>0.0</v>
      </c>
      <c r="BD188" s="15">
        <v>0.0</v>
      </c>
      <c r="BE188" s="15">
        <v>160.0</v>
      </c>
      <c r="BF188" s="15">
        <v>0.0</v>
      </c>
      <c r="BH188" s="12">
        <f t="shared" si="9"/>
        <v>398</v>
      </c>
      <c r="BI188" s="15" t="s">
        <v>1921</v>
      </c>
    </row>
    <row r="189" ht="36.75" customHeight="1">
      <c r="A189" s="26">
        <v>42042.0</v>
      </c>
      <c r="B189" s="18" t="s">
        <v>1924</v>
      </c>
      <c r="C189" s="18" t="s">
        <v>1925</v>
      </c>
      <c r="D189" s="18" t="s">
        <v>1926</v>
      </c>
      <c r="E189" s="18" t="s">
        <v>146</v>
      </c>
      <c r="F189" s="16">
        <v>27.873586</v>
      </c>
      <c r="G189" s="16">
        <v>-82.601631</v>
      </c>
      <c r="H189" s="16">
        <v>27.873586</v>
      </c>
      <c r="I189" s="17">
        <v>-82.601631</v>
      </c>
      <c r="J189" s="15" t="s">
        <v>1929</v>
      </c>
      <c r="K189" s="15" t="s">
        <v>1931</v>
      </c>
      <c r="L189" s="15">
        <v>3.0</v>
      </c>
      <c r="M189" s="18">
        <v>0.0</v>
      </c>
      <c r="N189" s="15">
        <v>5.0</v>
      </c>
      <c r="O189" s="18">
        <v>0.0</v>
      </c>
      <c r="P189" s="15">
        <v>0.0</v>
      </c>
      <c r="Q189" s="15">
        <v>0.0</v>
      </c>
      <c r="R189" s="15">
        <v>0.0</v>
      </c>
      <c r="S189" s="15">
        <v>0.0</v>
      </c>
      <c r="T189" s="15">
        <v>0.0</v>
      </c>
      <c r="U189" s="15">
        <v>0.0</v>
      </c>
      <c r="V189" s="15">
        <v>0.0</v>
      </c>
      <c r="W189" s="15">
        <v>0.0</v>
      </c>
      <c r="X189" s="18">
        <v>0.0</v>
      </c>
      <c r="Y189" s="15">
        <v>12.0</v>
      </c>
      <c r="Z189" s="15">
        <v>0.0</v>
      </c>
      <c r="AA189" s="15">
        <v>0.0</v>
      </c>
      <c r="AB189" s="15">
        <v>0.0</v>
      </c>
      <c r="AC189" s="15">
        <v>0.0</v>
      </c>
      <c r="AD189" s="18">
        <v>0.0</v>
      </c>
      <c r="AE189" s="15">
        <v>0.0</v>
      </c>
      <c r="AF189" s="15">
        <v>0.0</v>
      </c>
      <c r="AG189" s="15">
        <v>0.0</v>
      </c>
      <c r="AH189" s="15">
        <v>2.0</v>
      </c>
      <c r="AI189" s="18">
        <v>0.0</v>
      </c>
      <c r="AJ189" s="15">
        <v>0.0</v>
      </c>
      <c r="AK189" s="15">
        <v>65.0</v>
      </c>
      <c r="AL189" s="15">
        <v>7.0</v>
      </c>
      <c r="AM189" s="15">
        <v>0.0</v>
      </c>
      <c r="AN189" s="15">
        <v>7.0</v>
      </c>
      <c r="AO189" s="15">
        <v>2.0</v>
      </c>
      <c r="AP189" s="15">
        <v>0.0</v>
      </c>
      <c r="AQ189" s="15">
        <v>2.0</v>
      </c>
      <c r="AR189" s="15">
        <v>8.0</v>
      </c>
      <c r="AS189" s="15">
        <v>0.0</v>
      </c>
      <c r="AT189" s="15">
        <v>0.0</v>
      </c>
      <c r="AU189" s="15">
        <v>0.0</v>
      </c>
      <c r="AV189" s="15">
        <v>0.0</v>
      </c>
      <c r="AW189" s="15">
        <v>350.0</v>
      </c>
      <c r="AX189" s="15">
        <v>0.0</v>
      </c>
      <c r="AY189" s="15">
        <v>110.0</v>
      </c>
      <c r="AZ189" s="18">
        <v>15.0</v>
      </c>
      <c r="BA189" s="15">
        <v>0.0</v>
      </c>
      <c r="BB189" s="18">
        <v>0.0</v>
      </c>
      <c r="BC189" s="15">
        <v>15.0</v>
      </c>
      <c r="BD189" s="15">
        <v>0.0</v>
      </c>
      <c r="BE189" s="15">
        <v>0.0</v>
      </c>
      <c r="BF189" s="15">
        <v>0.0</v>
      </c>
      <c r="BH189" s="12">
        <f t="shared" si="9"/>
        <v>603</v>
      </c>
      <c r="BI189" s="15" t="s">
        <v>1937</v>
      </c>
    </row>
    <row r="190" ht="36.75" customHeight="1">
      <c r="A190" s="14">
        <v>42042.0</v>
      </c>
      <c r="B190" s="15" t="s">
        <v>1938</v>
      </c>
      <c r="C190" s="15" t="s">
        <v>1939</v>
      </c>
      <c r="D190" s="15" t="s">
        <v>1940</v>
      </c>
      <c r="E190" s="15" t="s">
        <v>146</v>
      </c>
      <c r="F190" s="15">
        <v>27.541469</v>
      </c>
      <c r="G190" s="15">
        <v>82.505587</v>
      </c>
      <c r="H190" s="15">
        <v>27.521804</v>
      </c>
      <c r="I190" s="17">
        <v>82.510307</v>
      </c>
      <c r="J190" s="15" t="s">
        <v>1943</v>
      </c>
      <c r="K190" s="15" t="s">
        <v>1944</v>
      </c>
      <c r="L190" s="15">
        <v>0.0</v>
      </c>
      <c r="M190" s="15">
        <v>0.0</v>
      </c>
      <c r="N190" s="15">
        <v>0.0</v>
      </c>
      <c r="O190" s="15">
        <v>0.0</v>
      </c>
      <c r="P190" s="15">
        <v>0.0</v>
      </c>
      <c r="Q190" s="15">
        <v>0.0</v>
      </c>
      <c r="R190" s="15">
        <v>0.0</v>
      </c>
      <c r="S190" s="15">
        <v>0.0</v>
      </c>
      <c r="T190" s="15">
        <v>0.0</v>
      </c>
      <c r="U190" s="15">
        <v>0.0</v>
      </c>
      <c r="V190" s="15">
        <v>0.0</v>
      </c>
      <c r="W190" s="15">
        <v>0.0</v>
      </c>
      <c r="X190" s="15">
        <v>0.0</v>
      </c>
      <c r="Y190" s="15">
        <v>0.0</v>
      </c>
      <c r="Z190" s="15">
        <v>2.0</v>
      </c>
      <c r="AA190" s="15">
        <v>0.0</v>
      </c>
      <c r="AB190" s="15">
        <v>0.0</v>
      </c>
      <c r="AC190" s="15">
        <v>0.0</v>
      </c>
      <c r="AD190" s="15">
        <v>0.0</v>
      </c>
      <c r="AE190" s="15">
        <v>0.0</v>
      </c>
      <c r="AF190" s="15">
        <v>0.0</v>
      </c>
      <c r="AG190" s="15">
        <v>0.0</v>
      </c>
      <c r="AH190" s="15">
        <v>0.0</v>
      </c>
      <c r="AI190" s="15">
        <v>0.0</v>
      </c>
      <c r="AJ190" s="15">
        <v>0.0</v>
      </c>
      <c r="AK190" s="15">
        <v>0.0</v>
      </c>
      <c r="AL190" s="15">
        <v>0.0</v>
      </c>
      <c r="AM190" s="15">
        <v>0.0</v>
      </c>
      <c r="AN190" s="15">
        <v>0.0</v>
      </c>
      <c r="AO190" s="15">
        <v>0.0</v>
      </c>
      <c r="AP190" s="15">
        <v>0.0</v>
      </c>
      <c r="AQ190" s="15">
        <v>0.0</v>
      </c>
      <c r="AR190" s="15">
        <v>1.0</v>
      </c>
      <c r="AS190" s="15">
        <v>0.0</v>
      </c>
      <c r="AT190" s="15">
        <v>0.0</v>
      </c>
      <c r="AU190" s="15">
        <v>0.0</v>
      </c>
      <c r="AV190" s="15">
        <v>5.0</v>
      </c>
      <c r="AW190" s="15">
        <v>115.0</v>
      </c>
      <c r="AX190" s="15">
        <v>0.0</v>
      </c>
      <c r="AY190" s="15">
        <v>40.0</v>
      </c>
      <c r="AZ190" s="15">
        <v>4.0</v>
      </c>
      <c r="BA190" s="15">
        <v>0.0</v>
      </c>
      <c r="BB190" s="15">
        <v>0.0</v>
      </c>
      <c r="BC190" s="15">
        <v>0.0</v>
      </c>
      <c r="BD190" s="15">
        <v>0.0</v>
      </c>
      <c r="BE190" s="15">
        <v>0.0</v>
      </c>
      <c r="BF190" s="15">
        <v>0.0</v>
      </c>
      <c r="BH190" s="12">
        <f t="shared" si="9"/>
        <v>167</v>
      </c>
      <c r="BI190" s="15" t="s">
        <v>1948</v>
      </c>
    </row>
    <row r="191" ht="36.75" customHeight="1">
      <c r="A191" s="14">
        <v>42042.0</v>
      </c>
      <c r="B191" s="15" t="s">
        <v>309</v>
      </c>
      <c r="C191" s="15" t="s">
        <v>311</v>
      </c>
      <c r="D191" s="15" t="s">
        <v>1950</v>
      </c>
      <c r="E191" s="15" t="s">
        <v>146</v>
      </c>
      <c r="F191" s="15" t="s">
        <v>1951</v>
      </c>
      <c r="G191" s="15" t="s">
        <v>1952</v>
      </c>
      <c r="H191" s="15" t="s">
        <v>1953</v>
      </c>
      <c r="I191" s="17" t="s">
        <v>1954</v>
      </c>
      <c r="J191" s="15" t="s">
        <v>1955</v>
      </c>
      <c r="K191" s="15" t="s">
        <v>1956</v>
      </c>
      <c r="L191" s="15">
        <v>1.0</v>
      </c>
      <c r="M191" s="15">
        <v>0.0</v>
      </c>
      <c r="N191" s="15">
        <v>5.0</v>
      </c>
      <c r="O191" s="15">
        <v>0.0</v>
      </c>
      <c r="P191" s="15">
        <v>0.0</v>
      </c>
      <c r="Q191" s="15">
        <v>0.0</v>
      </c>
      <c r="R191" s="15">
        <v>0.0</v>
      </c>
      <c r="S191" s="15">
        <v>0.0</v>
      </c>
      <c r="T191" s="15">
        <v>0.0</v>
      </c>
      <c r="U191" s="15">
        <v>0.0</v>
      </c>
      <c r="V191" s="15">
        <v>0.0</v>
      </c>
      <c r="W191" s="15">
        <v>0.0</v>
      </c>
      <c r="X191" s="15">
        <v>0.0</v>
      </c>
      <c r="Y191" s="15">
        <v>0.0</v>
      </c>
      <c r="Z191" s="15">
        <v>0.0</v>
      </c>
      <c r="AA191" s="15">
        <v>0.0</v>
      </c>
      <c r="AB191" s="15">
        <v>0.0</v>
      </c>
      <c r="AC191" s="15">
        <v>0.0</v>
      </c>
      <c r="AD191" s="15">
        <v>0.0</v>
      </c>
      <c r="AE191" s="15">
        <v>0.0</v>
      </c>
      <c r="AF191" s="15">
        <v>0.0</v>
      </c>
      <c r="AG191" s="15">
        <v>0.0</v>
      </c>
      <c r="AH191" s="15">
        <v>2.0</v>
      </c>
      <c r="AI191" s="15">
        <v>0.0</v>
      </c>
      <c r="AJ191" s="15">
        <v>0.0</v>
      </c>
      <c r="AK191" s="15">
        <v>1.0</v>
      </c>
      <c r="AL191" s="15">
        <v>0.0</v>
      </c>
      <c r="AM191" s="15">
        <v>0.0</v>
      </c>
      <c r="AN191" s="15">
        <v>8.0</v>
      </c>
      <c r="AO191" s="15">
        <v>1.0</v>
      </c>
      <c r="AP191" s="15">
        <v>0.0</v>
      </c>
      <c r="AQ191" s="15">
        <v>8.0</v>
      </c>
      <c r="AR191" s="15">
        <v>5.0</v>
      </c>
      <c r="AS191" s="15">
        <v>0.0</v>
      </c>
      <c r="AT191" s="15">
        <v>0.0</v>
      </c>
      <c r="AU191" s="15">
        <v>0.0</v>
      </c>
      <c r="AV191" s="15">
        <v>6.0</v>
      </c>
      <c r="AW191" s="15">
        <v>9.0</v>
      </c>
      <c r="AX191" s="15">
        <v>0.0</v>
      </c>
      <c r="AY191" s="15">
        <v>10.0</v>
      </c>
      <c r="AZ191" s="15">
        <v>2.0</v>
      </c>
      <c r="BA191" s="15">
        <v>0.0</v>
      </c>
      <c r="BB191" s="15">
        <v>0.0</v>
      </c>
      <c r="BC191" s="15">
        <v>1.0</v>
      </c>
      <c r="BD191" s="15">
        <v>0.0</v>
      </c>
      <c r="BE191" s="15">
        <v>0.0</v>
      </c>
      <c r="BF191" s="15">
        <v>0.0</v>
      </c>
      <c r="BH191" s="12">
        <f t="shared" si="9"/>
        <v>59</v>
      </c>
    </row>
    <row r="192" ht="36.75" customHeight="1">
      <c r="A192" s="14">
        <v>42042.0</v>
      </c>
      <c r="B192" s="15" t="s">
        <v>309</v>
      </c>
      <c r="C192" s="15" t="s">
        <v>311</v>
      </c>
      <c r="D192" s="15" t="s">
        <v>313</v>
      </c>
      <c r="E192" s="15" t="s">
        <v>146</v>
      </c>
      <c r="F192" s="15" t="s">
        <v>1961</v>
      </c>
      <c r="G192" s="15" t="s">
        <v>1962</v>
      </c>
      <c r="H192" s="15" t="s">
        <v>1963</v>
      </c>
      <c r="I192" s="17" t="s">
        <v>1964</v>
      </c>
      <c r="J192" s="15" t="s">
        <v>1965</v>
      </c>
      <c r="K192" s="15" t="s">
        <v>1966</v>
      </c>
      <c r="L192" s="15">
        <v>2.0</v>
      </c>
      <c r="M192" s="15">
        <v>0.0</v>
      </c>
      <c r="N192" s="15">
        <v>20.0</v>
      </c>
      <c r="O192" s="15">
        <v>160.0</v>
      </c>
      <c r="P192" s="15">
        <v>0.0</v>
      </c>
      <c r="Q192" s="15">
        <v>0.0</v>
      </c>
      <c r="R192" s="15">
        <v>20.0</v>
      </c>
      <c r="S192" s="15">
        <v>0.0</v>
      </c>
      <c r="T192" s="15">
        <v>0.0</v>
      </c>
      <c r="U192" s="15">
        <v>0.0</v>
      </c>
      <c r="V192" s="15">
        <v>0.0</v>
      </c>
      <c r="W192" s="15">
        <v>15.0</v>
      </c>
      <c r="X192" s="15">
        <v>435.0</v>
      </c>
      <c r="Y192" s="15">
        <v>9.0</v>
      </c>
      <c r="Z192" s="15">
        <v>210.0</v>
      </c>
      <c r="AA192" s="15">
        <v>255.0</v>
      </c>
      <c r="AB192" s="15">
        <v>0.0</v>
      </c>
      <c r="AC192" s="15">
        <v>25.0</v>
      </c>
      <c r="AD192" s="15">
        <v>3.0</v>
      </c>
      <c r="AE192" s="15">
        <v>0.0</v>
      </c>
      <c r="AF192" s="15">
        <v>35.0</v>
      </c>
      <c r="AG192" s="15">
        <v>0.0</v>
      </c>
      <c r="AH192" s="15">
        <v>0.0</v>
      </c>
      <c r="AI192" s="15">
        <v>26.0</v>
      </c>
      <c r="AJ192" s="15">
        <v>0.0</v>
      </c>
      <c r="AK192" s="15">
        <v>0.0</v>
      </c>
      <c r="AL192" s="15">
        <v>0.0</v>
      </c>
      <c r="AM192" s="15">
        <v>0.0</v>
      </c>
      <c r="AN192" s="15">
        <v>0.0</v>
      </c>
      <c r="AO192" s="15">
        <v>3.0</v>
      </c>
      <c r="AP192" s="15">
        <v>0.0</v>
      </c>
      <c r="AQ192" s="15">
        <v>375.0</v>
      </c>
      <c r="AR192" s="15">
        <v>0.0</v>
      </c>
      <c r="AS192" s="15">
        <v>0.0</v>
      </c>
      <c r="AT192" s="15">
        <v>0.0</v>
      </c>
      <c r="AU192" s="15">
        <v>0.0</v>
      </c>
      <c r="AV192" s="15">
        <v>5.0</v>
      </c>
      <c r="AW192" s="15">
        <v>9.0</v>
      </c>
      <c r="AX192" s="15">
        <v>0.0</v>
      </c>
      <c r="AY192" s="15">
        <v>5.0</v>
      </c>
      <c r="AZ192" s="15">
        <v>0.0</v>
      </c>
      <c r="BA192" s="15">
        <v>4.0</v>
      </c>
      <c r="BB192" s="15">
        <v>0.0</v>
      </c>
      <c r="BC192" s="15">
        <v>0.0</v>
      </c>
      <c r="BD192" s="15">
        <v>0.0</v>
      </c>
      <c r="BE192" s="15">
        <v>0.0</v>
      </c>
      <c r="BF192" s="15">
        <v>0.0</v>
      </c>
      <c r="BH192" s="12">
        <f t="shared" si="9"/>
        <v>1616</v>
      </c>
    </row>
    <row r="193" ht="36.75" customHeight="1">
      <c r="A193" s="26">
        <v>42043.0</v>
      </c>
      <c r="B193" s="18" t="s">
        <v>1581</v>
      </c>
      <c r="C193" s="18" t="s">
        <v>1582</v>
      </c>
      <c r="D193" s="18" t="s">
        <v>1976</v>
      </c>
      <c r="E193" s="18" t="s">
        <v>146</v>
      </c>
      <c r="F193" s="18">
        <v>27.672352</v>
      </c>
      <c r="G193" s="18">
        <v>-82.743645</v>
      </c>
      <c r="H193" s="18">
        <v>27.674873</v>
      </c>
      <c r="I193" s="17">
        <v>-82.732291</v>
      </c>
      <c r="J193" s="15" t="s">
        <v>1977</v>
      </c>
      <c r="K193" s="15" t="s">
        <v>1980</v>
      </c>
      <c r="L193" s="15">
        <v>8.0</v>
      </c>
      <c r="M193" s="18">
        <v>0.0</v>
      </c>
      <c r="N193" s="15">
        <v>125.0</v>
      </c>
      <c r="O193" s="15">
        <v>600.0</v>
      </c>
      <c r="P193" s="15">
        <v>2.0</v>
      </c>
      <c r="Q193" s="15">
        <v>0.0</v>
      </c>
      <c r="R193" s="15">
        <v>0.0</v>
      </c>
      <c r="S193" s="15">
        <v>0.0</v>
      </c>
      <c r="T193" s="15">
        <v>0.0</v>
      </c>
      <c r="U193" s="15">
        <v>0.0</v>
      </c>
      <c r="V193" s="15">
        <v>30.0</v>
      </c>
      <c r="W193" s="15">
        <v>0.0</v>
      </c>
      <c r="X193" s="15">
        <v>0.0</v>
      </c>
      <c r="Y193" s="15">
        <v>80.0</v>
      </c>
      <c r="Z193" s="15">
        <v>45.0</v>
      </c>
      <c r="AA193" s="15">
        <v>350.0</v>
      </c>
      <c r="AB193" s="15">
        <v>0.0</v>
      </c>
      <c r="AC193" s="15">
        <v>250.0</v>
      </c>
      <c r="AD193" s="15">
        <v>0.0</v>
      </c>
      <c r="AE193" s="15">
        <v>0.0</v>
      </c>
      <c r="AF193" s="15">
        <v>80.0</v>
      </c>
      <c r="AG193" s="15">
        <v>0.0</v>
      </c>
      <c r="AH193" s="15">
        <v>120.0</v>
      </c>
      <c r="AI193" s="15">
        <v>1.0</v>
      </c>
      <c r="AJ193" s="15">
        <v>0.0</v>
      </c>
      <c r="AK193" s="15">
        <v>0.0</v>
      </c>
      <c r="AL193" s="15">
        <v>0.0</v>
      </c>
      <c r="AM193" s="15">
        <v>0.0</v>
      </c>
      <c r="AN193" s="15">
        <v>20.0</v>
      </c>
      <c r="AO193" s="15">
        <v>0.0</v>
      </c>
      <c r="AP193" s="15">
        <v>0.0</v>
      </c>
      <c r="AQ193" s="15">
        <v>15.0</v>
      </c>
      <c r="AR193" s="15">
        <v>25.0</v>
      </c>
      <c r="AS193" s="15">
        <v>0.0</v>
      </c>
      <c r="AT193" s="15">
        <v>0.0</v>
      </c>
      <c r="AU193" s="15">
        <v>0.0</v>
      </c>
      <c r="AV193" s="15">
        <v>10.0</v>
      </c>
      <c r="AW193" s="15">
        <v>75.0</v>
      </c>
      <c r="AX193" s="15">
        <v>1.0</v>
      </c>
      <c r="AY193" s="15">
        <v>35.0</v>
      </c>
      <c r="AZ193" s="15">
        <v>1.0</v>
      </c>
      <c r="BA193" s="15">
        <v>0.0</v>
      </c>
      <c r="BB193" s="15">
        <v>0.0</v>
      </c>
      <c r="BC193" s="15">
        <v>0.0</v>
      </c>
      <c r="BD193" s="15">
        <v>0.0</v>
      </c>
      <c r="BE193" s="15">
        <v>0.0</v>
      </c>
      <c r="BF193" s="15">
        <v>0.0</v>
      </c>
      <c r="BG193" s="18">
        <v>0.0</v>
      </c>
      <c r="BH193" s="12">
        <f t="shared" si="9"/>
        <v>1873</v>
      </c>
    </row>
    <row r="194" ht="36.75" customHeight="1">
      <c r="A194" s="26">
        <v>42043.0</v>
      </c>
      <c r="B194" s="18" t="s">
        <v>1989</v>
      </c>
      <c r="C194" s="18" t="s">
        <v>1990</v>
      </c>
      <c r="D194" s="18" t="s">
        <v>1991</v>
      </c>
      <c r="E194" s="18" t="s">
        <v>146</v>
      </c>
      <c r="F194" s="18">
        <v>27.616486</v>
      </c>
      <c r="G194" s="18">
        <v>-82.725787</v>
      </c>
      <c r="H194" s="18">
        <v>27.637678</v>
      </c>
      <c r="I194" s="17">
        <v>-82.698785</v>
      </c>
      <c r="J194" s="15" t="s">
        <v>1993</v>
      </c>
      <c r="K194" s="15" t="s">
        <v>1995</v>
      </c>
      <c r="L194" s="15">
        <v>0.0</v>
      </c>
      <c r="M194" s="18">
        <v>0.0</v>
      </c>
      <c r="N194" s="15">
        <v>0.0</v>
      </c>
      <c r="O194" s="15">
        <v>6.0</v>
      </c>
      <c r="P194" s="15">
        <v>0.0</v>
      </c>
      <c r="Q194" s="15">
        <v>0.0</v>
      </c>
      <c r="R194" s="15">
        <v>0.0</v>
      </c>
      <c r="S194" s="15">
        <v>0.0</v>
      </c>
      <c r="T194" s="15">
        <v>0.0</v>
      </c>
      <c r="U194" s="15">
        <v>0.0</v>
      </c>
      <c r="V194" s="15">
        <v>0.0</v>
      </c>
      <c r="W194" s="15">
        <v>0.0</v>
      </c>
      <c r="X194" s="15">
        <v>0.0</v>
      </c>
      <c r="Y194" s="15">
        <v>1.0</v>
      </c>
      <c r="Z194" s="15">
        <v>19.0</v>
      </c>
      <c r="AA194" s="15">
        <v>8.0</v>
      </c>
      <c r="AB194" s="15">
        <v>0.0</v>
      </c>
      <c r="AC194" s="15">
        <v>12.0</v>
      </c>
      <c r="AD194" s="15">
        <v>0.0</v>
      </c>
      <c r="AE194" s="15">
        <v>0.0</v>
      </c>
      <c r="AF194" s="15">
        <v>0.0</v>
      </c>
      <c r="AG194" s="15">
        <v>0.0</v>
      </c>
      <c r="AH194" s="15">
        <v>0.0</v>
      </c>
      <c r="AI194" s="15">
        <v>0.0</v>
      </c>
      <c r="AJ194" s="15">
        <v>0.0</v>
      </c>
      <c r="AK194" s="15">
        <v>0.0</v>
      </c>
      <c r="AL194" s="15">
        <v>0.0</v>
      </c>
      <c r="AM194" s="15">
        <v>0.0</v>
      </c>
      <c r="AN194" s="15">
        <v>0.0</v>
      </c>
      <c r="AO194" s="15">
        <v>0.0</v>
      </c>
      <c r="AP194" s="15">
        <v>0.0</v>
      </c>
      <c r="AQ194" s="15">
        <v>0.0</v>
      </c>
      <c r="AR194" s="15">
        <v>0.0</v>
      </c>
      <c r="AS194" s="15">
        <v>0.0</v>
      </c>
      <c r="AT194" s="15">
        <v>0.0</v>
      </c>
      <c r="AW194" s="15">
        <v>0.0</v>
      </c>
      <c r="AX194" s="15">
        <v>0.0</v>
      </c>
      <c r="AY194" s="15">
        <v>0.0</v>
      </c>
      <c r="AZ194" s="15">
        <v>0.0</v>
      </c>
      <c r="BA194" s="15">
        <v>0.0</v>
      </c>
      <c r="BB194" s="15">
        <v>0.0</v>
      </c>
      <c r="BC194" s="15">
        <v>0.0</v>
      </c>
      <c r="BD194" s="15">
        <v>0.0</v>
      </c>
      <c r="BE194" s="15">
        <v>0.0</v>
      </c>
      <c r="BF194" s="15">
        <v>0.0</v>
      </c>
      <c r="BG194" s="18">
        <v>0.0</v>
      </c>
      <c r="BH194" s="12">
        <f t="shared" si="9"/>
        <v>46</v>
      </c>
    </row>
    <row r="195" ht="36.75" customHeight="1">
      <c r="A195" s="14">
        <v>42044.0</v>
      </c>
      <c r="B195" s="15" t="s">
        <v>1998</v>
      </c>
      <c r="C195" s="15" t="s">
        <v>1999</v>
      </c>
      <c r="D195" s="15" t="s">
        <v>2000</v>
      </c>
      <c r="E195" s="15" t="s">
        <v>146</v>
      </c>
      <c r="F195" s="15">
        <v>27.96534</v>
      </c>
      <c r="G195" s="15">
        <v>82.82021</v>
      </c>
      <c r="H195" s="15">
        <v>27.99799</v>
      </c>
      <c r="I195" s="17">
        <v>82.82864</v>
      </c>
      <c r="J195" s="15" t="s">
        <v>2005</v>
      </c>
      <c r="K195" s="15" t="s">
        <v>2006</v>
      </c>
      <c r="L195" s="15">
        <v>2.0</v>
      </c>
      <c r="Y195" s="15">
        <v>23.0</v>
      </c>
      <c r="Z195" s="15">
        <v>31.0</v>
      </c>
      <c r="AA195" s="15">
        <v>15.0</v>
      </c>
      <c r="AH195" s="15">
        <v>9.0</v>
      </c>
      <c r="AN195" s="15">
        <v>17.0</v>
      </c>
      <c r="AQ195" s="15">
        <v>3.0</v>
      </c>
      <c r="AR195" s="15">
        <v>4.0</v>
      </c>
      <c r="AV195" s="15">
        <v>2.0</v>
      </c>
      <c r="AW195" s="15">
        <v>260.0</v>
      </c>
      <c r="AY195" s="15">
        <v>29.0</v>
      </c>
      <c r="AZ195" s="15">
        <v>53.0</v>
      </c>
      <c r="BH195" s="12">
        <f t="shared" si="9"/>
        <v>448</v>
      </c>
    </row>
    <row r="196" ht="36.75" customHeight="1">
      <c r="A196" s="14">
        <v>42044.0</v>
      </c>
      <c r="B196" s="15" t="s">
        <v>699</v>
      </c>
      <c r="C196" s="15" t="s">
        <v>701</v>
      </c>
      <c r="D196" s="15" t="s">
        <v>703</v>
      </c>
      <c r="E196" s="15" t="s">
        <v>146</v>
      </c>
      <c r="F196" s="15" t="s">
        <v>2014</v>
      </c>
      <c r="G196" s="15" t="s">
        <v>2015</v>
      </c>
      <c r="H196" s="15" t="s">
        <v>2016</v>
      </c>
      <c r="I196" s="17" t="s">
        <v>2017</v>
      </c>
      <c r="J196" s="15" t="s">
        <v>2018</v>
      </c>
      <c r="K196" s="15" t="s">
        <v>2019</v>
      </c>
      <c r="N196" s="15">
        <v>9.0</v>
      </c>
      <c r="X196" s="15">
        <v>19.0</v>
      </c>
      <c r="Y196" s="15">
        <v>8.0</v>
      </c>
      <c r="Z196" s="15">
        <v>104.0</v>
      </c>
      <c r="AH196" s="15">
        <v>33.0</v>
      </c>
      <c r="AK196" s="15">
        <v>105.0</v>
      </c>
      <c r="AN196" s="15">
        <v>12.0</v>
      </c>
      <c r="AQ196" s="15">
        <v>53.0</v>
      </c>
      <c r="AV196" s="15">
        <v>9.0</v>
      </c>
      <c r="AW196" s="15">
        <v>406.0</v>
      </c>
      <c r="AX196" s="15">
        <v>7.0</v>
      </c>
      <c r="AY196" s="15">
        <v>98.0</v>
      </c>
      <c r="AZ196" s="15">
        <v>267.0</v>
      </c>
      <c r="BA196" s="15">
        <v>9.0</v>
      </c>
      <c r="BH196" s="12">
        <f t="shared" si="9"/>
        <v>1139</v>
      </c>
    </row>
    <row r="197" ht="36.75" customHeight="1">
      <c r="A197" s="26">
        <v>42044.0</v>
      </c>
      <c r="B197" s="18" t="s">
        <v>1577</v>
      </c>
      <c r="C197" s="18" t="s">
        <v>2024</v>
      </c>
      <c r="D197" s="18" t="s">
        <v>1580</v>
      </c>
      <c r="E197" s="18" t="s">
        <v>146</v>
      </c>
      <c r="F197" s="18">
        <v>27.708836</v>
      </c>
      <c r="G197" s="18">
        <v>-82.737198</v>
      </c>
      <c r="H197" s="18">
        <v>27.737729</v>
      </c>
      <c r="I197" s="17">
        <v>-82.7548141</v>
      </c>
      <c r="J197" s="15" t="s">
        <v>2027</v>
      </c>
      <c r="K197" s="15" t="s">
        <v>2028</v>
      </c>
      <c r="L197" s="15">
        <v>0.0</v>
      </c>
      <c r="M197" s="18">
        <v>0.0</v>
      </c>
      <c r="N197" s="15">
        <v>0.0</v>
      </c>
      <c r="O197" s="15">
        <v>0.0</v>
      </c>
      <c r="P197" s="15">
        <v>0.0</v>
      </c>
      <c r="Q197" s="15">
        <v>0.0</v>
      </c>
      <c r="R197" s="15">
        <v>0.0</v>
      </c>
      <c r="S197" s="15">
        <v>0.0</v>
      </c>
      <c r="T197" s="15">
        <v>0.0</v>
      </c>
      <c r="U197" s="15">
        <v>0.0</v>
      </c>
      <c r="V197" s="15">
        <v>0.0</v>
      </c>
      <c r="W197" s="15">
        <v>0.0</v>
      </c>
      <c r="X197" s="15">
        <v>0.0</v>
      </c>
      <c r="Y197" s="15">
        <v>4.0</v>
      </c>
      <c r="Z197" s="15">
        <v>20.0</v>
      </c>
      <c r="AA197" s="15">
        <v>0.0</v>
      </c>
      <c r="AB197" s="15">
        <v>0.0</v>
      </c>
      <c r="AC197" s="15">
        <v>0.0</v>
      </c>
      <c r="AD197" s="15">
        <v>0.0</v>
      </c>
      <c r="AE197" s="15">
        <v>0.0</v>
      </c>
      <c r="AF197" s="15">
        <v>0.0</v>
      </c>
      <c r="AG197" s="15">
        <v>0.0</v>
      </c>
      <c r="AH197" s="15">
        <v>75.0</v>
      </c>
      <c r="AI197" s="15">
        <v>0.0</v>
      </c>
      <c r="AJ197" s="15">
        <v>0.0</v>
      </c>
      <c r="AK197" s="15">
        <v>0.0</v>
      </c>
      <c r="AL197" s="15">
        <v>0.0</v>
      </c>
      <c r="AM197" s="15">
        <v>0.0</v>
      </c>
      <c r="AN197" s="15">
        <v>15.0</v>
      </c>
      <c r="AO197" s="15">
        <v>0.0</v>
      </c>
      <c r="AP197" s="15">
        <v>0.0</v>
      </c>
      <c r="AQ197" s="15">
        <v>13.0</v>
      </c>
      <c r="AR197" s="15">
        <v>11.0</v>
      </c>
      <c r="AS197" s="15">
        <v>0.0</v>
      </c>
      <c r="AT197" s="15">
        <v>0.0</v>
      </c>
      <c r="AU197" s="15">
        <v>0.0</v>
      </c>
      <c r="AV197" s="15">
        <v>3.0</v>
      </c>
      <c r="AW197" s="15">
        <v>169.0</v>
      </c>
      <c r="AX197" s="15">
        <v>1.0</v>
      </c>
      <c r="AY197" s="15">
        <v>68.0</v>
      </c>
      <c r="AZ197" s="15">
        <v>30.0</v>
      </c>
      <c r="BA197" s="15">
        <v>2.0</v>
      </c>
      <c r="BB197" s="15">
        <v>0.0</v>
      </c>
      <c r="BC197" s="15">
        <v>0.0</v>
      </c>
      <c r="BD197" s="15">
        <v>0.0</v>
      </c>
      <c r="BE197" s="15">
        <v>0.0</v>
      </c>
      <c r="BF197" s="15">
        <v>0.0</v>
      </c>
      <c r="BG197" s="18">
        <v>0.0</v>
      </c>
      <c r="BH197" s="12">
        <f t="shared" si="9"/>
        <v>411</v>
      </c>
    </row>
    <row r="198" ht="36.75" customHeight="1">
      <c r="A198" s="24">
        <v>42045.0</v>
      </c>
      <c r="B198" s="18" t="s">
        <v>2039</v>
      </c>
      <c r="C198" s="18" t="s">
        <v>2041</v>
      </c>
      <c r="D198" s="18" t="s">
        <v>2042</v>
      </c>
      <c r="E198" s="18" t="s">
        <v>146</v>
      </c>
      <c r="F198" s="16">
        <v>27.748832</v>
      </c>
      <c r="G198" s="16">
        <v>-82.6294</v>
      </c>
      <c r="H198" s="16">
        <v>27.754998</v>
      </c>
      <c r="I198" s="17">
        <v>-83.63303</v>
      </c>
      <c r="J198" s="15" t="s">
        <v>2045</v>
      </c>
      <c r="K198" s="15" t="s">
        <v>2046</v>
      </c>
      <c r="L198" s="15">
        <v>2.0</v>
      </c>
      <c r="M198" s="18">
        <v>0.0</v>
      </c>
      <c r="N198" s="18">
        <v>30.0</v>
      </c>
      <c r="O198" s="18">
        <v>35.0</v>
      </c>
      <c r="P198" s="18">
        <v>0.0</v>
      </c>
      <c r="Q198" s="18">
        <v>0.0</v>
      </c>
      <c r="R198" s="18">
        <v>0.0</v>
      </c>
      <c r="S198" s="18">
        <v>0.0</v>
      </c>
      <c r="T198" s="18">
        <v>0.0</v>
      </c>
      <c r="U198" s="18">
        <v>0.0</v>
      </c>
      <c r="V198" s="18">
        <v>0.0</v>
      </c>
      <c r="W198" s="18">
        <v>0.0</v>
      </c>
      <c r="X198" s="18">
        <v>0.0</v>
      </c>
      <c r="Y198" s="18">
        <v>1.0</v>
      </c>
      <c r="Z198" s="18">
        <v>10.0</v>
      </c>
      <c r="AA198" s="18">
        <v>9.0</v>
      </c>
      <c r="AB198" s="18">
        <v>0.0</v>
      </c>
      <c r="AC198" s="18">
        <v>0.0</v>
      </c>
      <c r="AD198" s="18">
        <v>0.0</v>
      </c>
      <c r="AE198" s="18">
        <v>0.0</v>
      </c>
      <c r="AF198" s="15">
        <v>30.0</v>
      </c>
      <c r="AG198" s="18">
        <v>0.0</v>
      </c>
      <c r="AH198" s="18">
        <v>12.0</v>
      </c>
      <c r="AI198" s="18">
        <v>0.0</v>
      </c>
      <c r="AJ198" s="18">
        <v>0.0</v>
      </c>
      <c r="AK198" s="18">
        <v>0.0</v>
      </c>
      <c r="AL198" s="18">
        <v>35.0</v>
      </c>
      <c r="AM198" s="18">
        <v>0.0</v>
      </c>
      <c r="AN198" s="18">
        <v>6.0</v>
      </c>
      <c r="AO198" s="18">
        <v>0.0</v>
      </c>
      <c r="AP198" s="18">
        <v>0.0</v>
      </c>
      <c r="AQ198" s="18">
        <v>0.0</v>
      </c>
      <c r="AR198" s="15">
        <v>20.0</v>
      </c>
      <c r="AS198" s="18">
        <v>0.0</v>
      </c>
      <c r="AT198" s="18">
        <v>0.0</v>
      </c>
      <c r="AU198" s="18">
        <v>0.0</v>
      </c>
      <c r="AV198" s="18">
        <v>0.0</v>
      </c>
      <c r="AW198" s="18">
        <v>12.0</v>
      </c>
      <c r="AX198" s="18">
        <v>0.0</v>
      </c>
      <c r="AY198" s="18">
        <v>12.0</v>
      </c>
      <c r="AZ198" s="18">
        <v>1.0</v>
      </c>
      <c r="BA198" s="18">
        <v>2.0</v>
      </c>
      <c r="BB198" s="18">
        <v>0.0</v>
      </c>
      <c r="BC198" s="18">
        <v>5.0</v>
      </c>
      <c r="BD198" s="18">
        <v>0.0</v>
      </c>
      <c r="BE198" s="18">
        <v>0.0</v>
      </c>
      <c r="BF198" s="18">
        <v>0.0</v>
      </c>
      <c r="BH198" s="12">
        <f t="shared" si="9"/>
        <v>222</v>
      </c>
    </row>
    <row r="199" ht="36.75" customHeight="1">
      <c r="A199" s="24">
        <v>42045.0</v>
      </c>
      <c r="B199" s="18" t="s">
        <v>2039</v>
      </c>
      <c r="C199" s="18" t="s">
        <v>2041</v>
      </c>
      <c r="D199" s="18" t="s">
        <v>2042</v>
      </c>
      <c r="E199" s="15" t="s">
        <v>146</v>
      </c>
      <c r="F199" s="16">
        <v>27.781978</v>
      </c>
      <c r="G199" s="16">
        <v>-82.62519</v>
      </c>
      <c r="H199" s="16">
        <v>27.784835</v>
      </c>
      <c r="I199" s="17">
        <v>-82.624341</v>
      </c>
      <c r="J199" s="15" t="s">
        <v>2059</v>
      </c>
      <c r="K199" s="15" t="s">
        <v>2046</v>
      </c>
      <c r="L199" s="15">
        <v>0.0</v>
      </c>
      <c r="M199" s="15">
        <v>0.0</v>
      </c>
      <c r="N199" s="15">
        <v>55.0</v>
      </c>
      <c r="O199" s="15">
        <v>220.0</v>
      </c>
      <c r="P199" s="15">
        <v>0.0</v>
      </c>
      <c r="Q199" s="15">
        <v>0.0</v>
      </c>
      <c r="R199" s="15">
        <v>0.0</v>
      </c>
      <c r="S199" s="15">
        <v>0.0</v>
      </c>
      <c r="T199" s="15">
        <v>0.0</v>
      </c>
      <c r="U199" s="15">
        <v>0.0</v>
      </c>
      <c r="V199" s="15">
        <v>14.0</v>
      </c>
      <c r="W199" s="15">
        <v>0.0</v>
      </c>
      <c r="X199" s="15">
        <v>26.0</v>
      </c>
      <c r="Y199" s="15">
        <v>1.0</v>
      </c>
      <c r="Z199" s="15">
        <v>120.0</v>
      </c>
      <c r="AA199" s="15">
        <v>33.0</v>
      </c>
      <c r="AB199" s="15">
        <v>0.0</v>
      </c>
      <c r="AC199" s="15">
        <v>0.0</v>
      </c>
      <c r="AD199" s="15">
        <v>0.0</v>
      </c>
      <c r="AE199" s="15">
        <v>0.0</v>
      </c>
      <c r="AF199" s="15">
        <v>220.0</v>
      </c>
      <c r="AG199" s="15">
        <v>0.0</v>
      </c>
      <c r="AH199" s="15">
        <v>14.0</v>
      </c>
      <c r="AI199" s="15">
        <v>0.0</v>
      </c>
      <c r="AJ199" s="15">
        <v>0.0</v>
      </c>
      <c r="AK199" s="15">
        <v>90.0</v>
      </c>
      <c r="AL199" s="15">
        <v>0.0</v>
      </c>
      <c r="AM199" s="15">
        <v>0.0</v>
      </c>
      <c r="AN199" s="15">
        <v>4.0</v>
      </c>
      <c r="AO199" s="15">
        <v>0.0</v>
      </c>
      <c r="AP199" s="15">
        <v>0.0</v>
      </c>
      <c r="AQ199" s="15">
        <v>0.0</v>
      </c>
      <c r="AR199" s="15">
        <v>61.0</v>
      </c>
      <c r="AS199" s="15">
        <v>0.0</v>
      </c>
      <c r="AT199" s="15">
        <v>0.0</v>
      </c>
      <c r="AU199" s="15">
        <v>0.0</v>
      </c>
      <c r="AV199" s="15">
        <v>1.0</v>
      </c>
      <c r="AW199" s="15">
        <v>70.0</v>
      </c>
      <c r="AX199" s="15">
        <v>0.0</v>
      </c>
      <c r="AY199" s="15">
        <v>19.0</v>
      </c>
      <c r="AZ199" s="15">
        <v>8.0</v>
      </c>
      <c r="BA199" s="15">
        <v>8.0</v>
      </c>
      <c r="BB199" s="15">
        <v>0.0</v>
      </c>
      <c r="BC199" s="15">
        <v>0.0</v>
      </c>
      <c r="BD199" s="15">
        <v>0.0</v>
      </c>
      <c r="BE199" s="15">
        <v>0.0</v>
      </c>
      <c r="BF199" s="15">
        <v>0.0</v>
      </c>
      <c r="BH199" s="12">
        <f t="shared" si="9"/>
        <v>964</v>
      </c>
    </row>
    <row r="200" ht="36.75" customHeight="1">
      <c r="A200" s="14">
        <v>42045.0</v>
      </c>
      <c r="B200" s="15" t="s">
        <v>2063</v>
      </c>
      <c r="C200" s="15" t="s">
        <v>2064</v>
      </c>
      <c r="D200" s="15" t="s">
        <v>2065</v>
      </c>
      <c r="E200" s="15" t="s">
        <v>146</v>
      </c>
      <c r="F200" s="15">
        <v>27.84199</v>
      </c>
      <c r="G200" s="15">
        <v>-82.841071</v>
      </c>
      <c r="H200" s="15">
        <v>27.884171</v>
      </c>
      <c r="I200" s="17">
        <v>-82.851666</v>
      </c>
      <c r="J200" s="15" t="s">
        <v>2066</v>
      </c>
      <c r="K200" s="15" t="s">
        <v>2067</v>
      </c>
      <c r="L200" s="15">
        <v>1.0</v>
      </c>
      <c r="M200" s="15">
        <v>0.0</v>
      </c>
      <c r="N200" s="15">
        <v>0.0</v>
      </c>
      <c r="O200" s="15">
        <v>6.0</v>
      </c>
      <c r="P200" s="15">
        <v>0.0</v>
      </c>
      <c r="Q200" s="15">
        <v>0.0</v>
      </c>
      <c r="R200" s="15">
        <v>0.0</v>
      </c>
      <c r="S200" s="15">
        <v>0.0</v>
      </c>
      <c r="T200" s="15">
        <v>0.0</v>
      </c>
      <c r="U200" s="15">
        <v>0.0</v>
      </c>
      <c r="V200" s="15">
        <v>0.0</v>
      </c>
      <c r="W200" s="15">
        <v>0.0</v>
      </c>
      <c r="X200" s="15">
        <v>0.0</v>
      </c>
      <c r="Y200" s="15">
        <v>3.0</v>
      </c>
      <c r="Z200" s="15">
        <v>13.0</v>
      </c>
      <c r="AA200" s="15">
        <v>0.0</v>
      </c>
      <c r="AB200" s="15">
        <v>0.0</v>
      </c>
      <c r="AC200" s="15">
        <v>0.0</v>
      </c>
      <c r="AD200" s="15">
        <v>0.0</v>
      </c>
      <c r="AE200" s="15">
        <v>0.0</v>
      </c>
      <c r="AF200" s="15">
        <v>0.0</v>
      </c>
      <c r="AG200" s="15">
        <v>0.0</v>
      </c>
      <c r="AH200" s="15">
        <v>11.0</v>
      </c>
      <c r="AI200" s="15">
        <v>0.0</v>
      </c>
      <c r="AJ200" s="15">
        <v>0.0</v>
      </c>
      <c r="AK200" s="15">
        <v>0.0</v>
      </c>
      <c r="AL200" s="15">
        <v>0.0</v>
      </c>
      <c r="AM200" s="15">
        <v>0.0</v>
      </c>
      <c r="AN200" s="15">
        <v>5.0</v>
      </c>
      <c r="AO200" s="15">
        <v>0.0</v>
      </c>
      <c r="AP200" s="15">
        <v>0.0</v>
      </c>
      <c r="AQ200" s="15">
        <v>2.0</v>
      </c>
      <c r="AR200" s="15">
        <v>2.0</v>
      </c>
      <c r="AS200" s="15">
        <v>0.0</v>
      </c>
      <c r="AT200" s="15">
        <v>0.0</v>
      </c>
      <c r="AU200" s="15">
        <v>0.0</v>
      </c>
      <c r="AV200" s="15">
        <v>2.0</v>
      </c>
      <c r="AW200" s="15">
        <v>27.0</v>
      </c>
      <c r="AX200" s="15">
        <v>1.0</v>
      </c>
      <c r="AY200" s="15">
        <v>32.0</v>
      </c>
      <c r="AZ200" s="15">
        <v>14.0</v>
      </c>
      <c r="BA200" s="15">
        <v>0.0</v>
      </c>
      <c r="BB200" s="15">
        <v>0.0</v>
      </c>
      <c r="BC200" s="15">
        <v>0.0</v>
      </c>
      <c r="BD200" s="15">
        <v>0.0</v>
      </c>
      <c r="BE200" s="15">
        <v>0.0</v>
      </c>
      <c r="BF200" s="15">
        <v>0.0</v>
      </c>
      <c r="BG200" s="15">
        <v>0.0</v>
      </c>
      <c r="BH200" s="12">
        <f t="shared" si="9"/>
        <v>119</v>
      </c>
    </row>
    <row r="201" ht="36.75" customHeight="1">
      <c r="A201" s="26">
        <v>42045.0</v>
      </c>
      <c r="B201" s="18" t="s">
        <v>2071</v>
      </c>
      <c r="C201" s="18" t="s">
        <v>2072</v>
      </c>
      <c r="D201" s="18" t="s">
        <v>2073</v>
      </c>
      <c r="E201" s="18" t="s">
        <v>146</v>
      </c>
      <c r="F201" s="18">
        <v>27.63425</v>
      </c>
      <c r="G201" s="18">
        <v>-82.74117</v>
      </c>
      <c r="H201" s="15">
        <v>27.61342</v>
      </c>
      <c r="I201" s="15">
        <v>-82.73774</v>
      </c>
      <c r="J201" s="15" t="s">
        <v>2074</v>
      </c>
      <c r="L201" s="15">
        <v>2.0</v>
      </c>
      <c r="AH201" s="15">
        <v>2.0</v>
      </c>
      <c r="AQ201" s="15">
        <v>440.0</v>
      </c>
      <c r="AW201" s="15">
        <v>210.0</v>
      </c>
      <c r="AY201" s="15">
        <v>7.0</v>
      </c>
      <c r="AZ201" s="15">
        <v>3.0</v>
      </c>
      <c r="BH201" s="15">
        <v>664.0</v>
      </c>
      <c r="BI201" s="15" t="s">
        <v>2076</v>
      </c>
    </row>
    <row r="202" ht="36.75" customHeight="1">
      <c r="A202" s="26">
        <v>42045.0</v>
      </c>
      <c r="B202" s="18" t="s">
        <v>2071</v>
      </c>
      <c r="C202" s="18" t="s">
        <v>2072</v>
      </c>
      <c r="D202" s="18" t="s">
        <v>2078</v>
      </c>
      <c r="E202" s="18" t="s">
        <v>146</v>
      </c>
      <c r="F202" s="18">
        <v>27.61297</v>
      </c>
      <c r="G202" s="18">
        <v>-82.73692</v>
      </c>
      <c r="H202" s="15">
        <v>27.61609</v>
      </c>
      <c r="I202" s="15">
        <v>-82.72645</v>
      </c>
      <c r="J202" s="15" t="s">
        <v>2081</v>
      </c>
      <c r="AH202" s="15">
        <v>1.0</v>
      </c>
      <c r="AN202" s="15">
        <v>1.0</v>
      </c>
      <c r="AQ202" s="15">
        <v>8.0</v>
      </c>
      <c r="AV202" s="15">
        <v>1.0</v>
      </c>
      <c r="AW202" s="15">
        <v>361.0</v>
      </c>
      <c r="AY202" s="15">
        <v>4.0</v>
      </c>
      <c r="BH202" s="15">
        <v>376.0</v>
      </c>
      <c r="BI202" s="15" t="s">
        <v>2076</v>
      </c>
    </row>
    <row r="203" ht="36.75" customHeight="1">
      <c r="A203" s="26">
        <v>42046.0</v>
      </c>
      <c r="B203" s="18" t="s">
        <v>2084</v>
      </c>
      <c r="C203" s="18" t="s">
        <v>2085</v>
      </c>
      <c r="D203" s="18" t="s">
        <v>2086</v>
      </c>
      <c r="E203" s="18" t="s">
        <v>146</v>
      </c>
      <c r="F203" s="18">
        <v>27.708924</v>
      </c>
      <c r="G203" s="18">
        <v>-82.738745</v>
      </c>
      <c r="H203" s="18">
        <v>27.683269</v>
      </c>
      <c r="I203" s="16">
        <v>-82.738664</v>
      </c>
      <c r="J203" s="20" t="s">
        <v>2088</v>
      </c>
      <c r="K203" s="18" t="s">
        <v>2089</v>
      </c>
      <c r="L203" s="18">
        <v>0.0</v>
      </c>
      <c r="M203" s="18">
        <v>0.0</v>
      </c>
      <c r="N203" s="18">
        <v>0.0</v>
      </c>
      <c r="O203" s="18">
        <v>0.0</v>
      </c>
      <c r="P203" s="18">
        <v>0.0</v>
      </c>
      <c r="Q203" s="18">
        <v>0.0</v>
      </c>
      <c r="R203" s="18">
        <v>0.0</v>
      </c>
      <c r="S203" s="18">
        <v>0.0</v>
      </c>
      <c r="T203" s="18">
        <v>0.0</v>
      </c>
      <c r="U203" s="18">
        <v>0.0</v>
      </c>
      <c r="V203" s="18">
        <v>0.0</v>
      </c>
      <c r="W203" s="18">
        <v>0.0</v>
      </c>
      <c r="X203" s="18">
        <v>0.0</v>
      </c>
      <c r="Y203" s="18">
        <v>0.0</v>
      </c>
      <c r="Z203" s="18">
        <v>0.0</v>
      </c>
      <c r="AA203" s="18">
        <v>0.0</v>
      </c>
      <c r="AB203" s="18">
        <v>0.0</v>
      </c>
      <c r="AC203" s="18">
        <v>0.0</v>
      </c>
      <c r="AD203" s="18">
        <v>0.0</v>
      </c>
      <c r="AE203" s="18">
        <v>0.0</v>
      </c>
      <c r="AF203" s="18">
        <v>0.0</v>
      </c>
      <c r="AG203" s="18">
        <v>0.0</v>
      </c>
      <c r="AH203" s="18">
        <v>69.0</v>
      </c>
      <c r="AI203" s="18">
        <v>0.0</v>
      </c>
      <c r="AJ203" s="18">
        <v>0.0</v>
      </c>
      <c r="AK203" s="18">
        <v>0.0</v>
      </c>
      <c r="AL203" s="18">
        <v>0.0</v>
      </c>
      <c r="AM203" s="18">
        <v>0.0</v>
      </c>
      <c r="AN203" s="18">
        <v>0.0</v>
      </c>
      <c r="AO203" s="18">
        <v>0.0</v>
      </c>
      <c r="AP203" s="18">
        <v>0.0</v>
      </c>
      <c r="AQ203" s="18">
        <v>0.0</v>
      </c>
      <c r="AR203" s="18">
        <v>2.0</v>
      </c>
      <c r="AS203" s="18">
        <v>25.0</v>
      </c>
      <c r="AT203" s="18">
        <v>0.0</v>
      </c>
      <c r="AU203" s="18">
        <v>0.0</v>
      </c>
      <c r="AV203" s="18">
        <v>2.0</v>
      </c>
      <c r="AW203" s="18">
        <v>6.0</v>
      </c>
      <c r="AX203" s="18">
        <v>0.0</v>
      </c>
      <c r="AY203" s="18">
        <v>29.0</v>
      </c>
      <c r="AZ203" s="18">
        <v>1.0</v>
      </c>
      <c r="BA203" s="18">
        <v>0.0</v>
      </c>
      <c r="BB203" s="18">
        <v>0.0</v>
      </c>
      <c r="BC203" s="18">
        <v>0.0</v>
      </c>
      <c r="BD203" s="18">
        <v>0.0</v>
      </c>
      <c r="BE203" s="18">
        <v>0.0</v>
      </c>
      <c r="BF203" s="18">
        <v>0.0</v>
      </c>
      <c r="BH203" s="12">
        <f t="shared" ref="BH203:BH242" si="10">SUM(L203:BG203)</f>
        <v>134</v>
      </c>
      <c r="BI203" s="15" t="s">
        <v>2103</v>
      </c>
    </row>
    <row r="204" ht="36.75" customHeight="1">
      <c r="A204" s="26">
        <v>42046.0</v>
      </c>
      <c r="B204" s="18" t="s">
        <v>2104</v>
      </c>
      <c r="C204" s="18" t="s">
        <v>2105</v>
      </c>
      <c r="D204" s="18" t="s">
        <v>2106</v>
      </c>
      <c r="E204" s="18" t="s">
        <v>146</v>
      </c>
      <c r="F204" s="18">
        <v>27.93668</v>
      </c>
      <c r="G204" s="16">
        <v>-82.84069</v>
      </c>
      <c r="H204" s="18">
        <v>27.910148</v>
      </c>
      <c r="I204" s="16">
        <v>-82.72</v>
      </c>
      <c r="J204" s="20" t="s">
        <v>2108</v>
      </c>
      <c r="K204" s="15" t="s">
        <v>2110</v>
      </c>
      <c r="L204" s="18">
        <v>0.0</v>
      </c>
      <c r="M204" s="18">
        <v>0.0</v>
      </c>
      <c r="N204" s="18">
        <v>0.0</v>
      </c>
      <c r="O204" s="18">
        <v>0.0</v>
      </c>
      <c r="P204" s="18">
        <v>0.0</v>
      </c>
      <c r="Q204" s="18">
        <v>0.0</v>
      </c>
      <c r="R204" s="18">
        <v>0.0</v>
      </c>
      <c r="S204" s="18">
        <v>0.0</v>
      </c>
      <c r="T204" s="18">
        <v>0.0</v>
      </c>
      <c r="U204" s="18">
        <v>0.0</v>
      </c>
      <c r="V204" s="18">
        <v>0.0</v>
      </c>
      <c r="W204" s="18">
        <v>0.0</v>
      </c>
      <c r="X204" s="18">
        <v>0.0</v>
      </c>
      <c r="Y204" s="18">
        <v>15.0</v>
      </c>
      <c r="Z204" s="18">
        <v>50.0</v>
      </c>
      <c r="AA204" s="18">
        <v>0.0</v>
      </c>
      <c r="AB204" s="18">
        <v>0.0</v>
      </c>
      <c r="AC204" s="18">
        <v>0.0</v>
      </c>
      <c r="AD204" s="18">
        <v>0.0</v>
      </c>
      <c r="AE204" s="18">
        <v>0.0</v>
      </c>
      <c r="AF204" s="18">
        <v>0.0</v>
      </c>
      <c r="AG204" s="18">
        <v>0.0</v>
      </c>
      <c r="AH204" s="18">
        <v>8.0</v>
      </c>
      <c r="AI204" s="18">
        <v>0.0</v>
      </c>
      <c r="AJ204" s="18">
        <v>0.0</v>
      </c>
      <c r="AK204" s="18">
        <v>0.0</v>
      </c>
      <c r="AL204" s="18">
        <v>0.0</v>
      </c>
      <c r="AM204" s="18">
        <v>0.0</v>
      </c>
      <c r="AN204" s="18">
        <v>0.0</v>
      </c>
      <c r="AO204" s="18">
        <v>0.0</v>
      </c>
      <c r="AP204" s="18">
        <v>0.0</v>
      </c>
      <c r="AQ204" s="18">
        <v>7.0</v>
      </c>
      <c r="AR204" s="18">
        <v>0.0</v>
      </c>
      <c r="AS204" s="18">
        <v>0.0</v>
      </c>
      <c r="AT204" s="18">
        <v>0.0</v>
      </c>
      <c r="AU204" s="18">
        <v>0.0</v>
      </c>
      <c r="AV204" s="18">
        <v>2.0</v>
      </c>
      <c r="AW204" s="18">
        <v>18.0</v>
      </c>
      <c r="AX204" s="18">
        <v>0.0</v>
      </c>
      <c r="AY204" s="18">
        <v>26.0</v>
      </c>
      <c r="AZ204" s="18">
        <v>4.0</v>
      </c>
      <c r="BA204" s="18">
        <v>0.0</v>
      </c>
      <c r="BB204" s="18">
        <v>0.0</v>
      </c>
      <c r="BC204" s="18">
        <v>0.0</v>
      </c>
      <c r="BD204" s="18">
        <v>0.0</v>
      </c>
      <c r="BE204" s="18">
        <v>0.0</v>
      </c>
      <c r="BF204" s="18">
        <v>0.0</v>
      </c>
      <c r="BH204" s="12">
        <f t="shared" si="10"/>
        <v>130</v>
      </c>
      <c r="BI204" s="15" t="s">
        <v>2115</v>
      </c>
    </row>
    <row r="205" ht="36.75" customHeight="1">
      <c r="A205" s="24">
        <v>42042.0</v>
      </c>
      <c r="B205" s="18" t="s">
        <v>2117</v>
      </c>
      <c r="C205" s="18" t="s">
        <v>632</v>
      </c>
      <c r="D205" s="18" t="s">
        <v>2120</v>
      </c>
      <c r="E205" s="18" t="s">
        <v>2121</v>
      </c>
      <c r="F205" s="16">
        <v>27.95702</v>
      </c>
      <c r="G205" s="16">
        <v>-82.7111</v>
      </c>
      <c r="H205" s="16">
        <v>27.96215</v>
      </c>
      <c r="I205" s="17">
        <v>-82.57063</v>
      </c>
      <c r="J205" s="15" t="s">
        <v>2122</v>
      </c>
      <c r="K205" s="15" t="s">
        <v>2123</v>
      </c>
      <c r="L205" s="18">
        <v>28.0</v>
      </c>
      <c r="M205" s="18">
        <v>0.0</v>
      </c>
      <c r="N205" s="18">
        <v>45.0</v>
      </c>
      <c r="O205" s="18">
        <v>454.0</v>
      </c>
      <c r="P205" s="18">
        <v>0.0</v>
      </c>
      <c r="Q205" s="18">
        <v>0.0</v>
      </c>
      <c r="R205" s="18">
        <v>145.0</v>
      </c>
      <c r="S205" s="18">
        <v>0.0</v>
      </c>
      <c r="T205" s="18">
        <v>0.0</v>
      </c>
      <c r="U205" s="18">
        <v>0.0</v>
      </c>
      <c r="V205" s="18">
        <v>59.0</v>
      </c>
      <c r="W205" s="18">
        <v>0.0</v>
      </c>
      <c r="X205" s="18">
        <v>0.0</v>
      </c>
      <c r="Y205" s="18">
        <v>22.0</v>
      </c>
      <c r="Z205" s="18">
        <v>18.0</v>
      </c>
      <c r="AA205" s="18">
        <v>128.0</v>
      </c>
      <c r="AB205" s="18">
        <v>0.0</v>
      </c>
      <c r="AC205" s="18">
        <v>2.0</v>
      </c>
      <c r="AD205" s="18">
        <v>0.0</v>
      </c>
      <c r="AE205" s="18">
        <v>4.0</v>
      </c>
      <c r="AF205" s="18">
        <v>4.0</v>
      </c>
      <c r="AG205" s="18">
        <v>0.0</v>
      </c>
      <c r="AH205" s="18">
        <v>123.0</v>
      </c>
      <c r="AI205" s="18">
        <v>1.0</v>
      </c>
      <c r="AJ205" s="18">
        <v>0.0</v>
      </c>
      <c r="AK205" s="18">
        <v>300.0</v>
      </c>
      <c r="AL205" s="18">
        <v>130.0</v>
      </c>
      <c r="AM205" s="18">
        <v>0.0</v>
      </c>
      <c r="AN205" s="18">
        <v>131.0</v>
      </c>
      <c r="AO205" s="18">
        <v>2.0</v>
      </c>
      <c r="AP205" s="18">
        <v>0.0</v>
      </c>
      <c r="AQ205" s="18">
        <v>4.0</v>
      </c>
      <c r="AR205" s="18">
        <v>10.0</v>
      </c>
      <c r="AS205" s="18">
        <v>0.0</v>
      </c>
      <c r="AT205" s="18">
        <v>0.0</v>
      </c>
      <c r="AU205" s="18">
        <v>0.0</v>
      </c>
      <c r="AV205" s="18">
        <v>2.0</v>
      </c>
      <c r="AW205" s="18">
        <v>279.0</v>
      </c>
      <c r="AX205" s="18">
        <v>2.0</v>
      </c>
      <c r="AY205" s="18">
        <v>44.0</v>
      </c>
      <c r="AZ205" s="18">
        <v>12.0</v>
      </c>
      <c r="BA205" s="18">
        <v>0.0</v>
      </c>
      <c r="BB205" s="18">
        <v>0.0</v>
      </c>
      <c r="BC205" s="18">
        <v>0.0</v>
      </c>
      <c r="BD205" s="18">
        <v>0.0</v>
      </c>
      <c r="BE205" s="18">
        <v>0.0</v>
      </c>
      <c r="BF205" s="18">
        <v>0.0</v>
      </c>
      <c r="BH205" s="12">
        <f t="shared" si="10"/>
        <v>1949</v>
      </c>
    </row>
    <row r="206" ht="36.75" customHeight="1">
      <c r="A206" s="26">
        <v>42041.0</v>
      </c>
      <c r="B206" s="18" t="s">
        <v>74</v>
      </c>
      <c r="C206" s="18" t="s">
        <v>75</v>
      </c>
      <c r="D206" s="18" t="s">
        <v>180</v>
      </c>
      <c r="E206" s="18" t="s">
        <v>181</v>
      </c>
      <c r="F206" s="18">
        <v>30.35101</v>
      </c>
      <c r="G206" s="18">
        <v>-87.07115</v>
      </c>
      <c r="H206" s="18">
        <v>30.3558</v>
      </c>
      <c r="I206" s="16">
        <v>-87.04252</v>
      </c>
      <c r="J206" s="20" t="s">
        <v>2129</v>
      </c>
      <c r="K206" s="15" t="s">
        <v>2130</v>
      </c>
      <c r="L206" s="22"/>
      <c r="M206" s="22"/>
      <c r="N206" s="18">
        <v>1.0</v>
      </c>
      <c r="O206" s="18">
        <v>9.0</v>
      </c>
      <c r="P206" s="22"/>
      <c r="Q206" s="18">
        <v>1.0</v>
      </c>
      <c r="R206" s="22"/>
      <c r="S206" s="22"/>
      <c r="T206" s="22"/>
      <c r="U206" s="22"/>
      <c r="V206" s="22"/>
      <c r="W206" s="18">
        <v>15.0</v>
      </c>
      <c r="X206" s="22"/>
      <c r="Y206" s="22"/>
      <c r="Z206" s="18">
        <v>74.0</v>
      </c>
      <c r="AA206" s="22"/>
      <c r="AB206" s="22"/>
      <c r="AC206" s="22"/>
      <c r="AD206" s="18">
        <v>20.0</v>
      </c>
      <c r="AE206" s="22"/>
      <c r="AF206" s="22"/>
      <c r="AG206" s="22"/>
      <c r="AH206" s="18">
        <v>19.0</v>
      </c>
      <c r="AI206" s="22"/>
      <c r="AJ206" s="22"/>
      <c r="AK206" s="22"/>
      <c r="AL206" s="18">
        <v>11.0</v>
      </c>
      <c r="AM206" s="22"/>
      <c r="AN206" s="18">
        <v>2.0</v>
      </c>
      <c r="AO206" s="22"/>
      <c r="AP206" s="22"/>
      <c r="AQ206" s="18">
        <v>1.0</v>
      </c>
      <c r="AR206" s="18">
        <v>14.0</v>
      </c>
      <c r="AS206" s="22"/>
      <c r="AT206" s="22"/>
      <c r="AU206" s="22"/>
      <c r="AV206" s="18">
        <v>7.0</v>
      </c>
      <c r="AW206" s="18">
        <v>1.0</v>
      </c>
      <c r="AX206" s="22"/>
      <c r="AY206" s="18">
        <v>59.0</v>
      </c>
      <c r="AZ206" s="18">
        <v>6.0</v>
      </c>
      <c r="BA206" s="22"/>
      <c r="BB206" s="22"/>
      <c r="BC206" s="22"/>
      <c r="BD206" s="22"/>
      <c r="BE206" s="22"/>
      <c r="BF206" s="22"/>
      <c r="BH206" s="12">
        <f t="shared" si="10"/>
        <v>240</v>
      </c>
      <c r="BI206" s="15" t="s">
        <v>2133</v>
      </c>
    </row>
    <row r="207" ht="36.75" customHeight="1">
      <c r="A207" s="49">
        <v>42041.0</v>
      </c>
      <c r="B207" s="42" t="s">
        <v>74</v>
      </c>
      <c r="C207" s="42" t="s">
        <v>75</v>
      </c>
      <c r="D207" s="42" t="s">
        <v>359</v>
      </c>
      <c r="E207" s="42" t="s">
        <v>181</v>
      </c>
      <c r="F207" s="42">
        <v>30.37935</v>
      </c>
      <c r="G207" s="42">
        <v>-86.86361</v>
      </c>
      <c r="H207" s="42">
        <v>30.38615</v>
      </c>
      <c r="I207" s="16">
        <v>-86.84993</v>
      </c>
      <c r="J207" s="50" t="s">
        <v>2141</v>
      </c>
      <c r="K207" s="15" t="s">
        <v>2144</v>
      </c>
      <c r="L207" s="51"/>
      <c r="M207" s="51"/>
      <c r="N207" s="42">
        <v>1.0</v>
      </c>
      <c r="O207" s="42">
        <v>21.0</v>
      </c>
      <c r="P207" s="51"/>
      <c r="Q207" s="51"/>
      <c r="R207" s="51"/>
      <c r="S207" s="51"/>
      <c r="T207" s="51"/>
      <c r="U207" s="51"/>
      <c r="V207" s="51"/>
      <c r="W207" s="42">
        <v>2.0</v>
      </c>
      <c r="X207" s="51"/>
      <c r="Y207" s="51"/>
      <c r="Z207" s="42">
        <v>30.0</v>
      </c>
      <c r="AA207" s="51"/>
      <c r="AB207" s="51"/>
      <c r="AC207" s="51"/>
      <c r="AD207" s="42">
        <v>6.0</v>
      </c>
      <c r="AE207" s="51"/>
      <c r="AF207" s="51"/>
      <c r="AG207" s="51"/>
      <c r="AH207" s="42">
        <v>2.0</v>
      </c>
      <c r="AI207" s="51"/>
      <c r="AJ207" s="51"/>
      <c r="AK207" s="51"/>
      <c r="AL207" s="42">
        <v>106.0</v>
      </c>
      <c r="AM207" s="51"/>
      <c r="AN207" s="42">
        <v>1.0</v>
      </c>
      <c r="AO207" s="51"/>
      <c r="AP207" s="51"/>
      <c r="AQ207" s="51"/>
      <c r="AR207" s="51"/>
      <c r="AS207" s="51"/>
      <c r="AT207" s="51"/>
      <c r="AU207" s="51"/>
      <c r="AV207" s="51"/>
      <c r="AW207" s="42">
        <v>2.0</v>
      </c>
      <c r="AX207" s="51"/>
      <c r="AY207" s="42">
        <v>12.0</v>
      </c>
      <c r="AZ207" s="51"/>
      <c r="BA207" s="51"/>
      <c r="BB207" s="51"/>
      <c r="BC207" s="51"/>
      <c r="BD207" s="51"/>
      <c r="BE207" s="51"/>
      <c r="BF207" s="51"/>
      <c r="BG207" s="22"/>
      <c r="BH207" s="12">
        <f t="shared" si="10"/>
        <v>183</v>
      </c>
      <c r="BI207" s="15" t="s">
        <v>2152</v>
      </c>
    </row>
    <row r="208" ht="36.75" customHeight="1">
      <c r="A208" s="14">
        <v>42041.0</v>
      </c>
      <c r="B208" s="15" t="s">
        <v>2153</v>
      </c>
      <c r="C208" s="15" t="s">
        <v>2154</v>
      </c>
      <c r="D208" s="15" t="s">
        <v>2156</v>
      </c>
      <c r="E208" s="15" t="s">
        <v>181</v>
      </c>
      <c r="F208" s="15">
        <v>30.379286</v>
      </c>
      <c r="G208" s="15">
        <v>-86.863497</v>
      </c>
      <c r="H208" s="15">
        <v>30.381433</v>
      </c>
      <c r="I208" s="17">
        <v>-86.849375</v>
      </c>
      <c r="J208" s="15" t="s">
        <v>2157</v>
      </c>
      <c r="K208" s="15" t="s">
        <v>2158</v>
      </c>
      <c r="AD208" s="15">
        <v>6.0</v>
      </c>
      <c r="AW208" s="15">
        <v>6.0</v>
      </c>
      <c r="BH208" s="12">
        <f t="shared" si="10"/>
        <v>12</v>
      </c>
    </row>
    <row r="209" ht="36.75" customHeight="1">
      <c r="A209" s="14">
        <v>42041.0</v>
      </c>
      <c r="B209" s="15" t="s">
        <v>2153</v>
      </c>
      <c r="C209" s="15" t="s">
        <v>2154</v>
      </c>
      <c r="D209" s="15" t="s">
        <v>2161</v>
      </c>
      <c r="E209" s="15" t="s">
        <v>181</v>
      </c>
      <c r="F209" s="15">
        <v>30.385278</v>
      </c>
      <c r="G209" s="15">
        <v>-86.849292</v>
      </c>
      <c r="H209" s="15">
        <v>30.385644</v>
      </c>
      <c r="I209" s="17">
        <v>-8.6862131E7</v>
      </c>
      <c r="J209" s="15" t="s">
        <v>2164</v>
      </c>
      <c r="K209" s="15" t="s">
        <v>2166</v>
      </c>
      <c r="N209" s="15">
        <v>2.0</v>
      </c>
      <c r="Z209" s="15">
        <v>76.0</v>
      </c>
      <c r="AH209" s="15">
        <v>4.0</v>
      </c>
      <c r="AL209" s="15">
        <v>3.0</v>
      </c>
      <c r="AW209" s="15">
        <v>26.0</v>
      </c>
      <c r="BH209" s="12">
        <f t="shared" si="10"/>
        <v>111</v>
      </c>
      <c r="BI209" s="15" t="s">
        <v>2168</v>
      </c>
    </row>
    <row r="210" ht="36.75" customHeight="1">
      <c r="A210" s="14">
        <v>41681.0</v>
      </c>
      <c r="B210" s="15" t="s">
        <v>2169</v>
      </c>
      <c r="C210" s="15" t="s">
        <v>2170</v>
      </c>
      <c r="D210" s="15" t="s">
        <v>2171</v>
      </c>
      <c r="E210" s="15" t="s">
        <v>2172</v>
      </c>
      <c r="F210" s="15">
        <v>30.39676333</v>
      </c>
      <c r="G210" s="15">
        <v>-86.63327</v>
      </c>
      <c r="H210" s="15">
        <v>30.38158167</v>
      </c>
      <c r="I210" s="17">
        <v>-86.84925667</v>
      </c>
      <c r="J210" s="15" t="s">
        <v>2173</v>
      </c>
      <c r="K210" s="15" t="s">
        <v>2174</v>
      </c>
      <c r="N210" s="15">
        <v>2.0</v>
      </c>
      <c r="Z210" s="15">
        <v>168.0</v>
      </c>
      <c r="AD210" s="15">
        <v>3.0</v>
      </c>
      <c r="AH210" s="15">
        <v>2.0</v>
      </c>
      <c r="AL210" s="15">
        <v>3.0</v>
      </c>
      <c r="AN210" s="15">
        <v>7.0</v>
      </c>
      <c r="AY210" s="15">
        <v>4.0</v>
      </c>
      <c r="BH210" s="12">
        <f t="shared" si="10"/>
        <v>189</v>
      </c>
    </row>
    <row r="211" ht="36.75" customHeight="1">
      <c r="A211" s="14">
        <v>42046.0</v>
      </c>
      <c r="B211" s="15" t="s">
        <v>2179</v>
      </c>
      <c r="C211" s="15" t="s">
        <v>2180</v>
      </c>
      <c r="D211" s="15" t="s">
        <v>2181</v>
      </c>
      <c r="E211" s="15" t="s">
        <v>2172</v>
      </c>
      <c r="F211" s="15">
        <v>30.38592</v>
      </c>
      <c r="G211" s="15">
        <v>-86.84752</v>
      </c>
      <c r="H211" s="15">
        <v>30.40107</v>
      </c>
      <c r="I211" s="17">
        <v>-86.70015</v>
      </c>
      <c r="J211" s="15" t="s">
        <v>2182</v>
      </c>
      <c r="K211" s="15" t="s">
        <v>2183</v>
      </c>
      <c r="N211" s="15">
        <v>6.0</v>
      </c>
      <c r="O211" s="15">
        <v>24.0</v>
      </c>
      <c r="Q211" s="15">
        <v>8.0</v>
      </c>
      <c r="Z211" s="15">
        <v>126.0</v>
      </c>
      <c r="AH211" s="15">
        <v>6.0</v>
      </c>
      <c r="AL211" s="15">
        <v>124.0</v>
      </c>
      <c r="AN211" s="15">
        <v>3.0</v>
      </c>
      <c r="AY211" s="15">
        <v>3.0</v>
      </c>
      <c r="BH211" s="12">
        <f t="shared" si="10"/>
        <v>300</v>
      </c>
      <c r="BI211" s="15" t="s">
        <v>2186</v>
      </c>
    </row>
    <row r="212" ht="36.75" customHeight="1">
      <c r="A212" s="26">
        <v>42041.0</v>
      </c>
      <c r="B212" s="18" t="s">
        <v>1605</v>
      </c>
      <c r="C212" s="18" t="s">
        <v>1606</v>
      </c>
      <c r="D212" s="18" t="s">
        <v>1607</v>
      </c>
      <c r="E212" s="18" t="s">
        <v>670</v>
      </c>
      <c r="F212" s="18">
        <v>27.296543</v>
      </c>
      <c r="G212" s="18">
        <v>-82.567289</v>
      </c>
      <c r="H212" s="18">
        <v>27.324834</v>
      </c>
      <c r="I212" s="16">
        <v>-82.588272</v>
      </c>
      <c r="J212" s="20" t="s">
        <v>2187</v>
      </c>
      <c r="K212" s="18" t="s">
        <v>2188</v>
      </c>
      <c r="L212" s="18">
        <v>0.0</v>
      </c>
      <c r="M212" s="18">
        <v>0.0</v>
      </c>
      <c r="N212" s="18">
        <v>0.0</v>
      </c>
      <c r="O212" s="18">
        <v>0.0</v>
      </c>
      <c r="P212" s="18">
        <v>0.0</v>
      </c>
      <c r="Q212" s="18">
        <v>0.0</v>
      </c>
      <c r="R212" s="18">
        <v>0.0</v>
      </c>
      <c r="S212" s="18">
        <v>0.0</v>
      </c>
      <c r="T212" s="18">
        <v>0.0</v>
      </c>
      <c r="U212" s="18">
        <v>0.0</v>
      </c>
      <c r="V212" s="18">
        <v>0.0</v>
      </c>
      <c r="W212" s="18">
        <v>0.0</v>
      </c>
      <c r="X212" s="18">
        <v>0.0</v>
      </c>
      <c r="Y212" s="18">
        <v>0.0</v>
      </c>
      <c r="Z212" s="18">
        <v>0.0</v>
      </c>
      <c r="AA212" s="18">
        <v>0.0</v>
      </c>
      <c r="AB212" s="18">
        <v>0.0</v>
      </c>
      <c r="AC212" s="18">
        <v>0.0</v>
      </c>
      <c r="AD212" s="18">
        <v>0.0</v>
      </c>
      <c r="AE212" s="18">
        <v>0.0</v>
      </c>
      <c r="AF212" s="18">
        <v>0.0</v>
      </c>
      <c r="AG212" s="18">
        <v>0.0</v>
      </c>
      <c r="AH212" s="18">
        <v>0.0</v>
      </c>
      <c r="AI212" s="18">
        <v>0.0</v>
      </c>
      <c r="AJ212" s="18">
        <v>0.0</v>
      </c>
      <c r="AK212" s="18">
        <v>1.0</v>
      </c>
      <c r="AL212" s="18">
        <v>0.0</v>
      </c>
      <c r="AM212" s="18">
        <v>0.0</v>
      </c>
      <c r="AN212" s="18">
        <v>0.0</v>
      </c>
      <c r="AO212" s="18">
        <v>0.0</v>
      </c>
      <c r="AP212" s="18">
        <v>0.0</v>
      </c>
      <c r="AQ212" s="18">
        <v>0.0</v>
      </c>
      <c r="AR212" s="18">
        <v>0.0</v>
      </c>
      <c r="AS212" s="18">
        <v>0.0</v>
      </c>
      <c r="AT212" s="18">
        <v>0.0</v>
      </c>
      <c r="AU212" s="18">
        <v>0.0</v>
      </c>
      <c r="AV212" s="18">
        <v>0.0</v>
      </c>
      <c r="AW212" s="18">
        <v>30.0</v>
      </c>
      <c r="AX212" s="18">
        <v>0.0</v>
      </c>
      <c r="AY212" s="18">
        <v>13.0</v>
      </c>
      <c r="AZ212" s="18">
        <v>22.0</v>
      </c>
      <c r="BA212" s="18">
        <v>1.0</v>
      </c>
      <c r="BB212" s="18">
        <v>0.0</v>
      </c>
      <c r="BC212" s="18">
        <v>0.0</v>
      </c>
      <c r="BD212" s="18">
        <v>0.0</v>
      </c>
      <c r="BE212" s="18">
        <v>0.0</v>
      </c>
      <c r="BF212" s="18">
        <v>0.0</v>
      </c>
      <c r="BH212" s="12">
        <f t="shared" si="10"/>
        <v>67</v>
      </c>
      <c r="BI212" s="15" t="s">
        <v>2194</v>
      </c>
    </row>
    <row r="213" ht="36.75" customHeight="1">
      <c r="A213" s="14">
        <v>42043.0</v>
      </c>
      <c r="B213" s="15" t="s">
        <v>2195</v>
      </c>
      <c r="C213" s="15" t="s">
        <v>2196</v>
      </c>
      <c r="D213" s="15" t="s">
        <v>2197</v>
      </c>
      <c r="E213" s="15" t="s">
        <v>670</v>
      </c>
      <c r="F213" s="15">
        <v>27.03676</v>
      </c>
      <c r="G213" s="15">
        <v>-82.42938</v>
      </c>
      <c r="H213" s="15">
        <v>27.01688</v>
      </c>
      <c r="I213" s="17">
        <v>-82.41664</v>
      </c>
      <c r="J213" s="15" t="s">
        <v>2198</v>
      </c>
      <c r="K213" s="15" t="s">
        <v>2199</v>
      </c>
      <c r="Y213" s="15">
        <v>2.0</v>
      </c>
      <c r="Z213" s="15">
        <v>62.0</v>
      </c>
      <c r="AH213" s="15">
        <v>7.0</v>
      </c>
      <c r="AN213" s="15">
        <v>1.0</v>
      </c>
      <c r="AY213" s="15">
        <v>2.0</v>
      </c>
      <c r="BH213" s="12">
        <f t="shared" si="10"/>
        <v>74</v>
      </c>
    </row>
    <row r="214" ht="36.75" customHeight="1">
      <c r="A214" s="26">
        <v>42043.0</v>
      </c>
      <c r="B214" s="18" t="s">
        <v>2202</v>
      </c>
      <c r="C214" s="18" t="s">
        <v>2204</v>
      </c>
      <c r="D214" s="18" t="s">
        <v>2205</v>
      </c>
      <c r="E214" s="18" t="s">
        <v>670</v>
      </c>
      <c r="F214" s="18">
        <v>27.113247</v>
      </c>
      <c r="G214" s="18">
        <v>-82.468725</v>
      </c>
      <c r="H214" s="18">
        <v>27.20787</v>
      </c>
      <c r="I214" s="16">
        <v>-82.511725</v>
      </c>
      <c r="J214" s="20" t="s">
        <v>2208</v>
      </c>
      <c r="K214" s="15" t="s">
        <v>2209</v>
      </c>
      <c r="L214" s="15">
        <v>0.0</v>
      </c>
      <c r="M214" s="18">
        <v>0.0</v>
      </c>
      <c r="N214" s="18">
        <v>1.0</v>
      </c>
      <c r="O214" s="18">
        <v>0.0</v>
      </c>
      <c r="P214" s="15">
        <v>0.0</v>
      </c>
      <c r="Q214" s="15">
        <v>0.0</v>
      </c>
      <c r="R214" s="15">
        <v>0.0</v>
      </c>
      <c r="S214" s="15">
        <v>0.0</v>
      </c>
      <c r="T214" s="15">
        <v>0.0</v>
      </c>
      <c r="U214" s="15">
        <v>0.0</v>
      </c>
      <c r="V214" s="15">
        <v>0.0</v>
      </c>
      <c r="W214" s="18">
        <v>0.0</v>
      </c>
      <c r="X214" s="18">
        <v>0.0</v>
      </c>
      <c r="Y214" s="18">
        <v>1.0</v>
      </c>
      <c r="Z214" s="15">
        <v>59.0</v>
      </c>
      <c r="AA214" s="15">
        <v>0.0</v>
      </c>
      <c r="AB214" s="15">
        <v>0.0</v>
      </c>
      <c r="AC214" s="15">
        <v>0.0</v>
      </c>
      <c r="AD214" s="15">
        <v>0.0</v>
      </c>
      <c r="AE214" s="15">
        <v>0.0</v>
      </c>
      <c r="AF214" s="15">
        <v>0.0</v>
      </c>
      <c r="AG214" s="15">
        <v>0.0</v>
      </c>
      <c r="AH214" s="15">
        <v>69.0</v>
      </c>
      <c r="AI214" s="15">
        <v>0.0</v>
      </c>
      <c r="AJ214" s="15">
        <v>0.0</v>
      </c>
      <c r="AK214" s="15">
        <v>94.0</v>
      </c>
      <c r="AL214" s="15">
        <v>1.0</v>
      </c>
      <c r="AM214" s="15">
        <v>0.0</v>
      </c>
      <c r="AN214" s="15">
        <v>0.0</v>
      </c>
      <c r="AO214" s="15">
        <v>0.0</v>
      </c>
      <c r="AP214" s="15">
        <v>0.0</v>
      </c>
      <c r="AQ214" s="15">
        <v>10.0</v>
      </c>
      <c r="AR214" s="15">
        <v>2.0</v>
      </c>
      <c r="AS214" s="15">
        <v>0.0</v>
      </c>
      <c r="AT214" s="15">
        <v>0.0</v>
      </c>
      <c r="AU214" s="15">
        <v>0.0</v>
      </c>
      <c r="AV214" s="15">
        <v>1.0</v>
      </c>
      <c r="AW214" s="15">
        <v>131.0</v>
      </c>
      <c r="AX214" s="15">
        <v>0.0</v>
      </c>
      <c r="AY214" s="15">
        <v>101.0</v>
      </c>
      <c r="AZ214" s="18">
        <v>73.0</v>
      </c>
      <c r="BA214" s="15">
        <v>0.0</v>
      </c>
      <c r="BB214" s="18">
        <v>0.0</v>
      </c>
      <c r="BC214" s="15">
        <v>0.0</v>
      </c>
      <c r="BD214" s="15">
        <v>0.0</v>
      </c>
      <c r="BE214" s="15">
        <v>0.0</v>
      </c>
      <c r="BF214" s="15">
        <v>0.0</v>
      </c>
      <c r="BH214" s="12">
        <f t="shared" si="10"/>
        <v>543</v>
      </c>
      <c r="BI214" s="15" t="s">
        <v>2215</v>
      </c>
    </row>
    <row r="215" ht="36.75" customHeight="1">
      <c r="A215" s="26">
        <v>42043.0</v>
      </c>
      <c r="B215" s="18" t="s">
        <v>2202</v>
      </c>
      <c r="C215" s="18" t="s">
        <v>2204</v>
      </c>
      <c r="D215" s="18" t="s">
        <v>2216</v>
      </c>
      <c r="E215" s="18" t="s">
        <v>670</v>
      </c>
      <c r="F215" s="18">
        <v>27.20787</v>
      </c>
      <c r="G215" s="18">
        <v>-82.511725</v>
      </c>
      <c r="H215" s="18">
        <v>27.211047</v>
      </c>
      <c r="I215" s="16">
        <v>-82.513667</v>
      </c>
      <c r="J215" s="20" t="s">
        <v>2217</v>
      </c>
      <c r="K215" s="15" t="s">
        <v>2218</v>
      </c>
      <c r="L215" s="15">
        <v>0.0</v>
      </c>
      <c r="M215" s="18">
        <v>0.0</v>
      </c>
      <c r="N215" s="18">
        <v>0.0</v>
      </c>
      <c r="O215" s="18">
        <v>0.0</v>
      </c>
      <c r="P215" s="15">
        <v>0.0</v>
      </c>
      <c r="Q215" s="15">
        <v>0.0</v>
      </c>
      <c r="R215" s="15">
        <v>0.0</v>
      </c>
      <c r="S215" s="15">
        <v>0.0</v>
      </c>
      <c r="T215" s="15">
        <v>0.0</v>
      </c>
      <c r="U215" s="15">
        <v>0.0</v>
      </c>
      <c r="V215" s="15">
        <v>0.0</v>
      </c>
      <c r="W215" s="18">
        <v>0.0</v>
      </c>
      <c r="X215" s="18">
        <v>0.0</v>
      </c>
      <c r="Y215" s="18">
        <v>0.0</v>
      </c>
      <c r="Z215" s="15">
        <v>0.0</v>
      </c>
      <c r="AA215" s="15">
        <v>0.0</v>
      </c>
      <c r="AB215" s="15">
        <v>0.0</v>
      </c>
      <c r="AC215" s="15">
        <v>0.0</v>
      </c>
      <c r="AD215" s="15">
        <v>0.0</v>
      </c>
      <c r="AE215" s="15">
        <v>0.0</v>
      </c>
      <c r="AF215" s="15">
        <v>0.0</v>
      </c>
      <c r="AG215" s="15">
        <v>0.0</v>
      </c>
      <c r="AH215" s="15">
        <v>1.0</v>
      </c>
      <c r="AI215" s="15">
        <v>0.0</v>
      </c>
      <c r="AJ215" s="15">
        <v>0.0</v>
      </c>
      <c r="AK215" s="15">
        <v>0.0</v>
      </c>
      <c r="AL215" s="15">
        <v>0.0</v>
      </c>
      <c r="AM215" s="15">
        <v>0.0</v>
      </c>
      <c r="AN215" s="15">
        <v>0.0</v>
      </c>
      <c r="AO215" s="15">
        <v>0.0</v>
      </c>
      <c r="AP215" s="15">
        <v>0.0</v>
      </c>
      <c r="AQ215" s="15">
        <v>0.0</v>
      </c>
      <c r="AR215" s="15">
        <v>0.0</v>
      </c>
      <c r="AS215" s="15">
        <v>0.0</v>
      </c>
      <c r="AT215" s="15">
        <v>0.0</v>
      </c>
      <c r="AU215" s="15">
        <v>0.0</v>
      </c>
      <c r="AV215" s="15">
        <v>0.0</v>
      </c>
      <c r="AW215" s="15">
        <v>0.0</v>
      </c>
      <c r="AX215" s="15">
        <v>0.0</v>
      </c>
      <c r="AY215" s="15">
        <v>0.0</v>
      </c>
      <c r="AZ215" s="18">
        <v>0.0</v>
      </c>
      <c r="BA215" s="15">
        <v>0.0</v>
      </c>
      <c r="BB215" s="18">
        <v>0.0</v>
      </c>
      <c r="BC215" s="15">
        <v>0.0</v>
      </c>
      <c r="BD215" s="15">
        <v>0.0</v>
      </c>
      <c r="BE215" s="15">
        <v>0.0</v>
      </c>
      <c r="BF215" s="15">
        <v>0.0</v>
      </c>
      <c r="BH215" s="12">
        <f t="shared" si="10"/>
        <v>1</v>
      </c>
      <c r="BI215" s="15" t="s">
        <v>2222</v>
      </c>
    </row>
    <row r="216" ht="36.75" customHeight="1">
      <c r="A216" s="26">
        <v>42044.0</v>
      </c>
      <c r="B216" s="15" t="s">
        <v>2195</v>
      </c>
      <c r="C216" s="15" t="s">
        <v>2196</v>
      </c>
      <c r="D216" s="18" t="s">
        <v>2225</v>
      </c>
      <c r="E216" s="18" t="s">
        <v>670</v>
      </c>
      <c r="F216" s="18">
        <v>26.98763</v>
      </c>
      <c r="G216" s="18">
        <v>-82.40113</v>
      </c>
      <c r="H216" s="18">
        <v>27.00248</v>
      </c>
      <c r="I216" s="16">
        <v>-82.40834</v>
      </c>
      <c r="J216" s="20" t="s">
        <v>2226</v>
      </c>
      <c r="K216" s="18" t="s">
        <v>2227</v>
      </c>
      <c r="L216" s="22"/>
      <c r="M216" s="22"/>
      <c r="N216" s="18">
        <v>2.0</v>
      </c>
      <c r="O216" s="22"/>
      <c r="P216" s="22"/>
      <c r="Q216" s="22"/>
      <c r="R216" s="22"/>
      <c r="S216" s="22"/>
      <c r="T216" s="22"/>
      <c r="U216" s="22"/>
      <c r="V216" s="22"/>
      <c r="W216" s="22"/>
      <c r="X216" s="22"/>
      <c r="Y216" s="18">
        <v>3.0</v>
      </c>
      <c r="Z216" s="18">
        <v>65.0</v>
      </c>
      <c r="AA216" s="22"/>
      <c r="AB216" s="22"/>
      <c r="AC216" s="22"/>
      <c r="AD216" s="22"/>
      <c r="AE216" s="22"/>
      <c r="AF216" s="22"/>
      <c r="AG216" s="22"/>
      <c r="AH216" s="18">
        <v>12.0</v>
      </c>
      <c r="AI216" s="22"/>
      <c r="AJ216" s="22"/>
      <c r="AK216" s="22"/>
      <c r="AL216" s="22"/>
      <c r="AM216" s="22"/>
      <c r="AN216" s="22"/>
      <c r="AO216" s="22"/>
      <c r="AP216" s="22"/>
      <c r="AQ216" s="22"/>
      <c r="AR216" s="22"/>
      <c r="AS216" s="22"/>
      <c r="AT216" s="22"/>
      <c r="AU216" s="22"/>
      <c r="AV216" s="22"/>
      <c r="AW216" s="22"/>
      <c r="AX216" s="22"/>
      <c r="AY216" s="18">
        <v>2.0</v>
      </c>
      <c r="AZ216" s="22"/>
      <c r="BA216" s="22"/>
      <c r="BB216" s="22"/>
      <c r="BC216" s="22"/>
      <c r="BD216" s="22"/>
      <c r="BE216" s="22"/>
      <c r="BF216" s="22"/>
      <c r="BH216" s="12">
        <f t="shared" si="10"/>
        <v>84</v>
      </c>
    </row>
    <row r="217" ht="36.75" customHeight="1">
      <c r="A217" s="26">
        <v>42044.0</v>
      </c>
      <c r="B217" s="18" t="s">
        <v>2231</v>
      </c>
      <c r="C217" s="18" t="s">
        <v>2232</v>
      </c>
      <c r="D217" s="18" t="s">
        <v>2233</v>
      </c>
      <c r="E217" s="18" t="s">
        <v>670</v>
      </c>
      <c r="F217" s="18" t="s">
        <v>2234</v>
      </c>
      <c r="G217" s="18">
        <v>-82.42938</v>
      </c>
      <c r="H217" s="18" t="s">
        <v>2235</v>
      </c>
      <c r="I217" s="17">
        <v>-82.43491</v>
      </c>
      <c r="J217" s="15" t="s">
        <v>2236</v>
      </c>
      <c r="K217" s="15" t="s">
        <v>2237</v>
      </c>
      <c r="M217" s="22"/>
      <c r="Y217" s="15">
        <v>28.0</v>
      </c>
      <c r="Z217" s="15">
        <v>15.0</v>
      </c>
      <c r="AH217" s="15">
        <v>7.0</v>
      </c>
      <c r="AY217" s="15">
        <v>4.0</v>
      </c>
      <c r="BG217" s="22"/>
      <c r="BH217" s="12">
        <f t="shared" si="10"/>
        <v>54</v>
      </c>
    </row>
    <row r="218" ht="36.75" customHeight="1">
      <c r="A218" s="24">
        <v>42044.0</v>
      </c>
      <c r="B218" s="18" t="s">
        <v>1586</v>
      </c>
      <c r="C218" s="18" t="s">
        <v>1587</v>
      </c>
      <c r="D218" s="18" t="s">
        <v>1588</v>
      </c>
      <c r="E218" s="18" t="s">
        <v>670</v>
      </c>
      <c r="F218" s="16">
        <v>27.055</v>
      </c>
      <c r="G218" s="16">
        <v>-82.4418</v>
      </c>
      <c r="H218" s="16">
        <v>27.04481</v>
      </c>
      <c r="I218" s="17">
        <v>-82.43491</v>
      </c>
      <c r="J218" s="15" t="s">
        <v>2241</v>
      </c>
      <c r="K218" s="15" t="s">
        <v>2242</v>
      </c>
      <c r="L218" s="52">
        <v>0.0</v>
      </c>
      <c r="M218" s="52">
        <v>0.0</v>
      </c>
      <c r="N218" s="52">
        <v>0.0</v>
      </c>
      <c r="O218" s="52">
        <v>0.0</v>
      </c>
      <c r="P218" s="52">
        <v>0.0</v>
      </c>
      <c r="Q218" s="52">
        <v>0.0</v>
      </c>
      <c r="R218" s="52">
        <v>0.0</v>
      </c>
      <c r="S218" s="52">
        <v>0.0</v>
      </c>
      <c r="T218" s="52">
        <v>0.0</v>
      </c>
      <c r="U218" s="52">
        <v>0.0</v>
      </c>
      <c r="V218" s="52">
        <v>0.0</v>
      </c>
      <c r="W218" s="52">
        <v>0.0</v>
      </c>
      <c r="X218" s="52">
        <v>0.0</v>
      </c>
      <c r="Y218" s="52">
        <v>0.0</v>
      </c>
      <c r="Z218" s="52">
        <v>0.0</v>
      </c>
      <c r="AA218" s="52">
        <v>0.0</v>
      </c>
      <c r="AB218" s="52">
        <v>0.0</v>
      </c>
      <c r="AC218" s="52">
        <v>0.0</v>
      </c>
      <c r="AD218" s="52">
        <v>0.0</v>
      </c>
      <c r="AE218" s="52">
        <v>0.0</v>
      </c>
      <c r="AF218" s="52">
        <v>0.0</v>
      </c>
      <c r="AG218" s="52">
        <v>0.0</v>
      </c>
      <c r="AH218" s="52">
        <v>6.0</v>
      </c>
      <c r="AI218" s="52">
        <v>0.0</v>
      </c>
      <c r="AJ218" s="52">
        <v>0.0</v>
      </c>
      <c r="AK218" s="52">
        <v>0.0</v>
      </c>
      <c r="AL218" s="52">
        <v>0.0</v>
      </c>
      <c r="AM218" s="52">
        <v>0.0</v>
      </c>
      <c r="AN218" s="52">
        <v>0.0</v>
      </c>
      <c r="AO218" s="52">
        <v>0.0</v>
      </c>
      <c r="AP218" s="52">
        <v>0.0</v>
      </c>
      <c r="AQ218" s="52">
        <v>0.0</v>
      </c>
      <c r="AR218" s="52">
        <v>0.0</v>
      </c>
      <c r="AS218" s="52">
        <v>0.0</v>
      </c>
      <c r="AT218" s="52">
        <v>0.0</v>
      </c>
      <c r="AU218" s="52">
        <v>0.0</v>
      </c>
      <c r="AV218" s="52">
        <v>0.0</v>
      </c>
      <c r="AW218" s="52">
        <v>0.0</v>
      </c>
      <c r="AX218" s="52">
        <v>0.0</v>
      </c>
      <c r="AY218" s="52">
        <v>0.0</v>
      </c>
      <c r="AZ218" s="52">
        <v>0.0</v>
      </c>
      <c r="BA218" s="52">
        <v>0.0</v>
      </c>
      <c r="BB218" s="52">
        <v>0.0</v>
      </c>
      <c r="BC218" s="52">
        <v>0.0</v>
      </c>
      <c r="BD218" s="52">
        <v>0.0</v>
      </c>
      <c r="BE218" s="52">
        <v>0.0</v>
      </c>
      <c r="BF218" s="52">
        <v>0.0</v>
      </c>
      <c r="BG218" s="52">
        <v>0.0</v>
      </c>
      <c r="BH218" s="12">
        <f t="shared" si="10"/>
        <v>6</v>
      </c>
    </row>
    <row r="219" ht="36.75" customHeight="1">
      <c r="A219" s="14">
        <v>42045.0</v>
      </c>
      <c r="B219" s="15" t="s">
        <v>2195</v>
      </c>
      <c r="C219" s="15" t="s">
        <v>2196</v>
      </c>
      <c r="D219" s="18" t="s">
        <v>2248</v>
      </c>
      <c r="E219" s="15" t="s">
        <v>670</v>
      </c>
      <c r="F219" s="15">
        <v>26.96247</v>
      </c>
      <c r="G219" s="15">
        <v>-82.38472</v>
      </c>
      <c r="H219" s="15">
        <v>26.97051</v>
      </c>
      <c r="I219" s="17">
        <v>-82.39049</v>
      </c>
      <c r="J219" s="15" t="s">
        <v>2250</v>
      </c>
      <c r="K219" s="15" t="s">
        <v>2251</v>
      </c>
      <c r="Z219" s="15">
        <v>1.0</v>
      </c>
      <c r="AH219" s="15">
        <v>2.0</v>
      </c>
      <c r="AR219" s="15">
        <v>1.0</v>
      </c>
      <c r="AV219" s="15">
        <v>1.0</v>
      </c>
      <c r="AY219" s="15">
        <v>4.0</v>
      </c>
      <c r="BH219" s="12">
        <f t="shared" si="10"/>
        <v>9</v>
      </c>
    </row>
    <row r="220" ht="36.75" customHeight="1">
      <c r="A220" s="14">
        <v>42045.0</v>
      </c>
      <c r="B220" s="15" t="s">
        <v>666</v>
      </c>
      <c r="C220" s="15" t="s">
        <v>668</v>
      </c>
      <c r="D220" s="15" t="s">
        <v>669</v>
      </c>
      <c r="E220" s="15" t="s">
        <v>670</v>
      </c>
      <c r="F220" s="15">
        <v>27.32846</v>
      </c>
      <c r="G220" s="15">
        <v>-82.58895</v>
      </c>
      <c r="H220" s="15">
        <v>27.38926</v>
      </c>
      <c r="I220" s="17">
        <v>-82.6426</v>
      </c>
      <c r="J220" s="15" t="s">
        <v>2253</v>
      </c>
      <c r="K220" s="15" t="s">
        <v>2255</v>
      </c>
      <c r="N220" s="15">
        <v>54.0</v>
      </c>
      <c r="O220" s="15">
        <v>34.0</v>
      </c>
      <c r="X220" s="15">
        <v>190.0</v>
      </c>
      <c r="Y220" s="15">
        <v>54.0</v>
      </c>
      <c r="Z220" s="15">
        <v>304.0</v>
      </c>
      <c r="AC220" s="15">
        <v>3.0</v>
      </c>
      <c r="AH220" s="15">
        <v>172.0</v>
      </c>
      <c r="AK220" s="15">
        <v>117.0</v>
      </c>
      <c r="AL220" s="15">
        <v>2.0</v>
      </c>
      <c r="AR220" s="15">
        <v>6.0</v>
      </c>
      <c r="AW220" s="15">
        <v>14.0</v>
      </c>
      <c r="AX220" s="15">
        <v>2.0</v>
      </c>
      <c r="AY220" s="15">
        <v>22.0</v>
      </c>
      <c r="AZ220" s="15">
        <v>152.0</v>
      </c>
      <c r="BA220" s="15">
        <v>4.0</v>
      </c>
      <c r="BH220" s="12">
        <f t="shared" si="10"/>
        <v>1130</v>
      </c>
    </row>
    <row r="221" ht="36.75" customHeight="1">
      <c r="A221" s="26">
        <v>42045.0</v>
      </c>
      <c r="B221" s="18" t="s">
        <v>2257</v>
      </c>
      <c r="C221" s="18" t="s">
        <v>2258</v>
      </c>
      <c r="D221" s="18" t="s">
        <v>2259</v>
      </c>
      <c r="E221" s="18" t="s">
        <v>670</v>
      </c>
      <c r="F221" s="18">
        <v>27.009942</v>
      </c>
      <c r="G221" s="18">
        <v>-82.412841</v>
      </c>
      <c r="H221" s="18">
        <v>27.016615</v>
      </c>
      <c r="I221" s="17">
        <v>-82.41678</v>
      </c>
      <c r="J221" s="15" t="s">
        <v>2261</v>
      </c>
      <c r="K221" s="15" t="s">
        <v>2262</v>
      </c>
      <c r="M221" s="22"/>
      <c r="N221" s="15">
        <v>5.0</v>
      </c>
      <c r="Y221" s="15">
        <v>5.0</v>
      </c>
      <c r="Z221" s="15">
        <v>126.0</v>
      </c>
      <c r="AH221" s="15">
        <v>4.0</v>
      </c>
      <c r="AR221" s="15">
        <v>4.0</v>
      </c>
      <c r="AV221" s="15">
        <v>2.0</v>
      </c>
      <c r="AW221" s="15">
        <v>3.0</v>
      </c>
      <c r="AY221" s="15">
        <v>9.0</v>
      </c>
      <c r="AZ221" s="15">
        <v>84.0</v>
      </c>
      <c r="BA221" s="15">
        <v>5.0</v>
      </c>
      <c r="BG221" s="22"/>
      <c r="BH221" s="12">
        <f t="shared" si="10"/>
        <v>247</v>
      </c>
    </row>
    <row r="222" ht="36.75" customHeight="1">
      <c r="A222" s="26">
        <v>42046.0</v>
      </c>
      <c r="B222" s="18" t="s">
        <v>2264</v>
      </c>
      <c r="C222" s="18" t="s">
        <v>2265</v>
      </c>
      <c r="D222" s="18" t="s">
        <v>2266</v>
      </c>
      <c r="E222" s="18" t="s">
        <v>670</v>
      </c>
      <c r="F222" s="18">
        <v>27.163364</v>
      </c>
      <c r="G222" s="18">
        <v>-82.340882</v>
      </c>
      <c r="H222" s="18">
        <v>27.144648</v>
      </c>
      <c r="I222" s="16">
        <v>-82.320886</v>
      </c>
      <c r="J222" s="20" t="s">
        <v>2267</v>
      </c>
      <c r="K222" s="15" t="s">
        <v>2269</v>
      </c>
      <c r="L222" s="15">
        <v>0.0</v>
      </c>
      <c r="M222" s="18">
        <v>0.0</v>
      </c>
      <c r="N222" s="15">
        <v>5.0</v>
      </c>
      <c r="O222" s="18">
        <v>3.0</v>
      </c>
      <c r="P222" s="15">
        <v>1.0</v>
      </c>
      <c r="Q222" s="15">
        <v>0.0</v>
      </c>
      <c r="R222" s="15">
        <v>1.0</v>
      </c>
      <c r="S222" s="15">
        <v>0.0</v>
      </c>
      <c r="T222" s="15">
        <v>0.0</v>
      </c>
      <c r="U222" s="15">
        <v>0.0</v>
      </c>
      <c r="V222" s="15">
        <v>0.0</v>
      </c>
      <c r="W222" s="18">
        <v>0.0</v>
      </c>
      <c r="X222" s="15">
        <v>0.0</v>
      </c>
      <c r="Y222" s="18">
        <v>10.0</v>
      </c>
      <c r="Z222" s="18">
        <v>158.0</v>
      </c>
      <c r="AA222" s="15">
        <v>13.0</v>
      </c>
      <c r="AB222" s="15">
        <v>0.0</v>
      </c>
      <c r="AC222" s="15">
        <v>0.0</v>
      </c>
      <c r="AD222" s="15">
        <v>18.0</v>
      </c>
      <c r="AE222" s="15">
        <v>0.0</v>
      </c>
      <c r="AF222" s="15">
        <v>1.0</v>
      </c>
      <c r="AG222" s="15">
        <v>0.0</v>
      </c>
      <c r="AH222" s="15">
        <v>4.0</v>
      </c>
      <c r="AI222" s="15">
        <v>0.0</v>
      </c>
      <c r="AJ222" s="18">
        <v>0.0</v>
      </c>
      <c r="AK222" s="15">
        <v>0.0</v>
      </c>
      <c r="AL222" s="15">
        <v>0.0</v>
      </c>
      <c r="AM222" s="15">
        <v>0.0</v>
      </c>
      <c r="AN222" s="15">
        <v>8.0</v>
      </c>
      <c r="AO222" s="15">
        <v>0.0</v>
      </c>
      <c r="AP222" s="15">
        <v>0.0</v>
      </c>
      <c r="AQ222" s="15">
        <v>4.0</v>
      </c>
      <c r="AR222" s="15">
        <v>7.0</v>
      </c>
      <c r="AS222" s="15">
        <v>0.0</v>
      </c>
      <c r="AT222" s="15">
        <v>0.0</v>
      </c>
      <c r="AU222" s="15">
        <v>0.0</v>
      </c>
      <c r="AV222" s="15">
        <v>151.0</v>
      </c>
      <c r="AW222" s="15">
        <v>160.0</v>
      </c>
      <c r="AX222" s="15">
        <v>2.0</v>
      </c>
      <c r="AY222" s="15">
        <v>43.0</v>
      </c>
      <c r="AZ222" s="18">
        <v>80.0</v>
      </c>
      <c r="BA222" s="15">
        <v>1.0</v>
      </c>
      <c r="BB222" s="18">
        <v>0.0</v>
      </c>
      <c r="BC222" s="15">
        <v>0.0</v>
      </c>
      <c r="BD222" s="15">
        <v>0.0</v>
      </c>
      <c r="BE222" s="15">
        <v>0.0</v>
      </c>
      <c r="BF222" s="15">
        <v>0.0</v>
      </c>
      <c r="BH222" s="12">
        <f t="shared" si="10"/>
        <v>670</v>
      </c>
      <c r="BI222" s="15" t="s">
        <v>2272</v>
      </c>
    </row>
    <row r="223" ht="36.75" customHeight="1">
      <c r="A223" s="14">
        <v>42046.0</v>
      </c>
      <c r="B223" s="15" t="s">
        <v>2274</v>
      </c>
      <c r="C223" s="15" t="s">
        <v>2275</v>
      </c>
      <c r="D223" s="15" t="s">
        <v>2276</v>
      </c>
      <c r="E223" s="15" t="s">
        <v>670</v>
      </c>
      <c r="F223" s="15">
        <v>27.01009</v>
      </c>
      <c r="G223" s="15">
        <v>-82.41257</v>
      </c>
      <c r="H223" s="15">
        <v>27.00241</v>
      </c>
      <c r="I223" s="17">
        <v>-82.40849</v>
      </c>
      <c r="J223" s="15" t="s">
        <v>2279</v>
      </c>
      <c r="K223" s="15" t="s">
        <v>2280</v>
      </c>
      <c r="N223" s="15">
        <v>1.0</v>
      </c>
      <c r="Y223" s="15">
        <v>4.0</v>
      </c>
      <c r="Z223" s="15">
        <v>6.0</v>
      </c>
      <c r="AH223" s="15">
        <v>3.0</v>
      </c>
      <c r="AW223" s="15">
        <v>6.0</v>
      </c>
      <c r="AY223" s="15">
        <v>10.0</v>
      </c>
      <c r="BH223" s="12">
        <f t="shared" si="10"/>
        <v>30</v>
      </c>
    </row>
    <row r="224" ht="36.75" customHeight="1">
      <c r="A224" s="14">
        <v>42046.0</v>
      </c>
      <c r="B224" s="18" t="s">
        <v>2281</v>
      </c>
      <c r="C224" s="15" t="s">
        <v>2282</v>
      </c>
      <c r="D224" s="15" t="s">
        <v>2283</v>
      </c>
      <c r="E224" s="15" t="s">
        <v>670</v>
      </c>
      <c r="F224" s="15">
        <v>27.2146</v>
      </c>
      <c r="G224" s="18">
        <v>-82.5154</v>
      </c>
      <c r="H224" s="18">
        <v>27.2359</v>
      </c>
      <c r="I224" s="16">
        <v>-82.5265</v>
      </c>
      <c r="J224" s="20" t="s">
        <v>2284</v>
      </c>
      <c r="K224" s="18" t="s">
        <v>2285</v>
      </c>
      <c r="L224" s="18">
        <v>0.0</v>
      </c>
      <c r="M224" s="18">
        <v>0.0</v>
      </c>
      <c r="N224" s="18">
        <v>0.0</v>
      </c>
      <c r="O224" s="18">
        <v>0.0</v>
      </c>
      <c r="P224" s="18">
        <v>0.0</v>
      </c>
      <c r="Q224" s="18">
        <v>0.0</v>
      </c>
      <c r="R224" s="18">
        <v>0.0</v>
      </c>
      <c r="S224" s="18">
        <v>0.0</v>
      </c>
      <c r="T224" s="18">
        <v>0.0</v>
      </c>
      <c r="U224" s="18">
        <v>0.0</v>
      </c>
      <c r="V224" s="18">
        <v>0.0</v>
      </c>
      <c r="W224" s="18">
        <v>0.0</v>
      </c>
      <c r="X224" s="18">
        <v>0.0</v>
      </c>
      <c r="Y224" s="18">
        <v>0.0</v>
      </c>
      <c r="Z224" s="18">
        <v>0.0</v>
      </c>
      <c r="AA224" s="18">
        <v>0.0</v>
      </c>
      <c r="AB224" s="18">
        <v>0.0</v>
      </c>
      <c r="AC224" s="18">
        <v>0.0</v>
      </c>
      <c r="AD224" s="18">
        <v>0.0</v>
      </c>
      <c r="AE224" s="18">
        <v>0.0</v>
      </c>
      <c r="AF224" s="18">
        <v>0.0</v>
      </c>
      <c r="AG224" s="18">
        <v>0.0</v>
      </c>
      <c r="AH224" s="18">
        <v>26.0</v>
      </c>
      <c r="AI224" s="18">
        <v>0.0</v>
      </c>
      <c r="AJ224" s="18">
        <v>0.0</v>
      </c>
      <c r="AK224" s="18">
        <v>0.0</v>
      </c>
      <c r="AL224" s="18">
        <v>0.0</v>
      </c>
      <c r="AM224" s="18">
        <v>0.0</v>
      </c>
      <c r="AN224" s="18">
        <v>0.0</v>
      </c>
      <c r="AO224" s="18">
        <v>0.0</v>
      </c>
      <c r="AP224" s="18">
        <v>0.0</v>
      </c>
      <c r="AQ224" s="18">
        <v>1.0</v>
      </c>
      <c r="AR224" s="18">
        <v>0.0</v>
      </c>
      <c r="AS224" s="18">
        <v>0.0</v>
      </c>
      <c r="AT224" s="18">
        <v>0.0</v>
      </c>
      <c r="AU224" s="18">
        <v>0.0</v>
      </c>
      <c r="AV224" s="18">
        <v>0.0</v>
      </c>
      <c r="AW224" s="18">
        <v>4.0</v>
      </c>
      <c r="AX224" s="18">
        <v>0.0</v>
      </c>
      <c r="AY224" s="18">
        <v>2.0</v>
      </c>
      <c r="AZ224" s="18">
        <v>0.0</v>
      </c>
      <c r="BA224" s="18">
        <v>0.0</v>
      </c>
      <c r="BB224" s="18">
        <v>0.0</v>
      </c>
      <c r="BC224" s="18">
        <v>0.0</v>
      </c>
      <c r="BD224" s="18">
        <v>0.0</v>
      </c>
      <c r="BE224" s="18">
        <v>0.0</v>
      </c>
      <c r="BF224" s="18">
        <v>0.0</v>
      </c>
      <c r="BH224" s="12">
        <f t="shared" si="10"/>
        <v>33</v>
      </c>
      <c r="BI224" s="15" t="s">
        <v>2288</v>
      </c>
    </row>
    <row r="225" ht="36.75" customHeight="1">
      <c r="A225" s="14">
        <v>42045.0</v>
      </c>
      <c r="B225" s="15" t="s">
        <v>2291</v>
      </c>
      <c r="C225" s="15" t="s">
        <v>2292</v>
      </c>
      <c r="D225" s="15" t="s">
        <v>2293</v>
      </c>
      <c r="E225" s="15" t="s">
        <v>2294</v>
      </c>
      <c r="F225" s="15">
        <v>29.859454</v>
      </c>
      <c r="G225" s="15">
        <v>-81.265247</v>
      </c>
      <c r="H225" s="15">
        <v>29.87369</v>
      </c>
      <c r="I225" s="17">
        <v>-81.27029</v>
      </c>
      <c r="J225" s="15" t="s">
        <v>2295</v>
      </c>
      <c r="K225" s="15" t="s">
        <v>2296</v>
      </c>
      <c r="L225" s="15">
        <v>0.0</v>
      </c>
      <c r="M225" s="15">
        <v>0.0</v>
      </c>
      <c r="N225" s="15">
        <v>2.0</v>
      </c>
      <c r="O225" s="15">
        <v>0.0</v>
      </c>
      <c r="P225" s="15">
        <v>0.0</v>
      </c>
      <c r="Q225" s="15">
        <v>0.0</v>
      </c>
      <c r="R225" s="15">
        <v>0.0</v>
      </c>
      <c r="S225" s="15">
        <v>0.0</v>
      </c>
      <c r="T225" s="15">
        <v>0.0</v>
      </c>
      <c r="U225" s="15">
        <v>0.0</v>
      </c>
      <c r="V225" s="15">
        <v>0.0</v>
      </c>
      <c r="W225" s="15">
        <v>0.0</v>
      </c>
      <c r="X225" s="15">
        <v>0.0</v>
      </c>
      <c r="Y225" s="15">
        <v>5.0</v>
      </c>
      <c r="Z225" s="15">
        <v>6.0</v>
      </c>
      <c r="AA225" s="15">
        <v>5.0</v>
      </c>
      <c r="AB225" s="15">
        <v>0.0</v>
      </c>
      <c r="AC225" s="15">
        <v>0.0</v>
      </c>
      <c r="AD225" s="15">
        <v>0.0</v>
      </c>
      <c r="AE225" s="15">
        <v>0.0</v>
      </c>
      <c r="AF225" s="15">
        <v>0.0</v>
      </c>
      <c r="AG225" s="15">
        <v>0.0</v>
      </c>
      <c r="AH225" s="15">
        <v>3.0</v>
      </c>
      <c r="AI225" s="15">
        <v>0.0</v>
      </c>
      <c r="AJ225" s="15">
        <v>0.0</v>
      </c>
      <c r="AK225" s="15">
        <v>0.0</v>
      </c>
      <c r="AL225" s="15">
        <v>4.0</v>
      </c>
      <c r="AM225" s="15">
        <v>0.0</v>
      </c>
      <c r="AN225" s="15">
        <v>8.0</v>
      </c>
      <c r="AO225" s="15">
        <v>0.0</v>
      </c>
      <c r="AP225" s="15">
        <v>0.0</v>
      </c>
      <c r="AQ225" s="15">
        <v>2.0</v>
      </c>
      <c r="AR225" s="12">
        <f>7+32+1</f>
        <v>40</v>
      </c>
      <c r="AS225" s="15">
        <v>0.0</v>
      </c>
      <c r="AT225" s="15">
        <v>0.0</v>
      </c>
      <c r="AU225" s="15">
        <v>3.0</v>
      </c>
      <c r="AV225" s="15">
        <v>0.0</v>
      </c>
      <c r="AW225" s="12">
        <f>2+29</f>
        <v>31</v>
      </c>
      <c r="AX225" s="15">
        <v>0.0</v>
      </c>
      <c r="AY225" s="12">
        <f>10+22</f>
        <v>32</v>
      </c>
      <c r="AZ225" s="15">
        <v>6.0</v>
      </c>
      <c r="BA225" s="15">
        <v>1.0</v>
      </c>
      <c r="BB225" s="15">
        <v>0.0</v>
      </c>
      <c r="BC225" s="15">
        <v>0.0</v>
      </c>
      <c r="BD225" s="15">
        <v>0.0</v>
      </c>
      <c r="BE225" s="15">
        <v>0.0</v>
      </c>
      <c r="BF225" s="15">
        <v>0.0</v>
      </c>
      <c r="BH225" s="12">
        <f t="shared" si="10"/>
        <v>148</v>
      </c>
      <c r="BI225" s="15" t="s">
        <v>2301</v>
      </c>
    </row>
    <row r="226" ht="36.75" customHeight="1">
      <c r="A226" s="14">
        <v>42045.0</v>
      </c>
      <c r="B226" s="15" t="s">
        <v>2291</v>
      </c>
      <c r="C226" s="15" t="s">
        <v>2292</v>
      </c>
      <c r="D226" s="15" t="s">
        <v>2302</v>
      </c>
      <c r="E226" s="15" t="s">
        <v>2294</v>
      </c>
      <c r="F226" s="18">
        <v>29.87369</v>
      </c>
      <c r="G226" s="18">
        <v>-81.27029</v>
      </c>
      <c r="H226" s="15">
        <v>29.905597</v>
      </c>
      <c r="I226" s="16">
        <v>-81.29371</v>
      </c>
      <c r="J226" s="15" t="s">
        <v>2304</v>
      </c>
      <c r="K226" s="15" t="s">
        <v>2296</v>
      </c>
      <c r="L226" s="15">
        <v>0.0</v>
      </c>
      <c r="M226" s="15">
        <v>0.0</v>
      </c>
      <c r="N226" s="12">
        <f>2+2+6+7+2+3+7</f>
        <v>29</v>
      </c>
      <c r="O226" s="12">
        <f>34+44+8+34</f>
        <v>120</v>
      </c>
      <c r="P226" s="15">
        <v>0.0</v>
      </c>
      <c r="Q226" s="15">
        <v>0.0</v>
      </c>
      <c r="R226" s="15">
        <v>0.0</v>
      </c>
      <c r="S226" s="15">
        <v>0.0</v>
      </c>
      <c r="T226" s="15">
        <v>0.0</v>
      </c>
      <c r="U226" s="15">
        <v>0.0</v>
      </c>
      <c r="V226" s="15">
        <v>0.0</v>
      </c>
      <c r="W226" s="15">
        <v>0.0</v>
      </c>
      <c r="X226" s="15">
        <v>0.0</v>
      </c>
      <c r="Y226" s="12">
        <f>6+7+4+2</f>
        <v>19</v>
      </c>
      <c r="Z226" s="12">
        <f>16+3+1+2</f>
        <v>22</v>
      </c>
      <c r="AA226" s="12">
        <f>7+83+33+14+18</f>
        <v>155</v>
      </c>
      <c r="AB226" s="15">
        <v>0.0</v>
      </c>
      <c r="AC226" s="12">
        <f>23+34</f>
        <v>57</v>
      </c>
      <c r="AD226" s="15">
        <v>0.0</v>
      </c>
      <c r="AE226" s="15">
        <v>0.0</v>
      </c>
      <c r="AF226" s="15">
        <v>40.0</v>
      </c>
      <c r="AG226" s="15">
        <v>0.0</v>
      </c>
      <c r="AH226" s="15">
        <v>7.0</v>
      </c>
      <c r="AI226" s="15">
        <v>0.0</v>
      </c>
      <c r="AJ226" s="15">
        <v>0.0</v>
      </c>
      <c r="AK226" s="15">
        <v>0.0</v>
      </c>
      <c r="AL226" s="15">
        <v>9.0</v>
      </c>
      <c r="AM226" s="15">
        <v>0.0</v>
      </c>
      <c r="AN226" s="15">
        <v>40.0</v>
      </c>
      <c r="AO226" s="15">
        <v>0.0</v>
      </c>
      <c r="AP226" s="15">
        <v>0.0</v>
      </c>
      <c r="AQ226" s="15">
        <v>1.0</v>
      </c>
      <c r="AR226" s="12">
        <f>34+5+3+13+6</f>
        <v>61</v>
      </c>
      <c r="AS226" s="15">
        <v>0.0</v>
      </c>
      <c r="AT226" s="15">
        <v>0.0</v>
      </c>
      <c r="AU226" s="15">
        <v>7.0</v>
      </c>
      <c r="AV226" s="9">
        <v>291.0</v>
      </c>
      <c r="AW226" s="15">
        <v>23.0</v>
      </c>
      <c r="AX226" s="15">
        <v>0.0</v>
      </c>
      <c r="AY226" s="9">
        <v>0.0</v>
      </c>
      <c r="AZ226" s="15">
        <v>1.0</v>
      </c>
      <c r="BA226" s="15">
        <v>0.0</v>
      </c>
      <c r="BB226" s="15">
        <v>0.0</v>
      </c>
      <c r="BC226" s="15">
        <v>0.0</v>
      </c>
      <c r="BD226" s="15">
        <v>0.0</v>
      </c>
      <c r="BE226" s="15">
        <v>0.0</v>
      </c>
      <c r="BF226" s="15">
        <v>0.0</v>
      </c>
      <c r="BH226" s="12">
        <f t="shared" si="10"/>
        <v>882</v>
      </c>
      <c r="BI226" s="15" t="s">
        <v>2310</v>
      </c>
    </row>
    <row r="227" ht="36.75" customHeight="1">
      <c r="A227" s="14">
        <v>42045.0</v>
      </c>
      <c r="B227" s="15" t="s">
        <v>2291</v>
      </c>
      <c r="C227" s="15" t="s">
        <v>2292</v>
      </c>
      <c r="D227" s="15" t="s">
        <v>2313</v>
      </c>
      <c r="E227" s="15" t="s">
        <v>2294</v>
      </c>
      <c r="F227" s="15">
        <v>29.905597</v>
      </c>
      <c r="G227" s="15">
        <v>-81.29371</v>
      </c>
      <c r="H227" s="15">
        <v>29.895122</v>
      </c>
      <c r="I227" s="17">
        <v>-81.2913</v>
      </c>
      <c r="J227" s="15" t="s">
        <v>2314</v>
      </c>
      <c r="K227" s="15" t="s">
        <v>2296</v>
      </c>
      <c r="L227" s="15">
        <v>0.0</v>
      </c>
      <c r="M227" s="15">
        <v>0.0</v>
      </c>
      <c r="N227" s="15">
        <v>0.0</v>
      </c>
      <c r="O227" s="15">
        <v>0.0</v>
      </c>
      <c r="P227" s="15">
        <v>0.0</v>
      </c>
      <c r="Q227" s="15">
        <v>0.0</v>
      </c>
      <c r="R227" s="15">
        <v>0.0</v>
      </c>
      <c r="S227" s="15">
        <v>0.0</v>
      </c>
      <c r="T227" s="15">
        <v>0.0</v>
      </c>
      <c r="U227" s="15">
        <v>0.0</v>
      </c>
      <c r="V227" s="15">
        <v>0.0</v>
      </c>
      <c r="W227" s="15">
        <v>0.0</v>
      </c>
      <c r="X227" s="15">
        <v>0.0</v>
      </c>
      <c r="Y227" s="15">
        <v>0.0</v>
      </c>
      <c r="Z227" s="15">
        <v>0.0</v>
      </c>
      <c r="AA227" s="15">
        <v>0.0</v>
      </c>
      <c r="AB227" s="15">
        <v>0.0</v>
      </c>
      <c r="AC227" s="15">
        <v>0.0</v>
      </c>
      <c r="AD227" s="15">
        <v>0.0</v>
      </c>
      <c r="AE227" s="15">
        <v>0.0</v>
      </c>
      <c r="AF227" s="15">
        <v>0.0</v>
      </c>
      <c r="AG227" s="15">
        <v>0.0</v>
      </c>
      <c r="AH227" s="15">
        <v>0.0</v>
      </c>
      <c r="AI227" s="15">
        <v>0.0</v>
      </c>
      <c r="AJ227" s="15">
        <v>0.0</v>
      </c>
      <c r="AK227" s="15">
        <v>0.0</v>
      </c>
      <c r="AL227" s="15">
        <v>0.0</v>
      </c>
      <c r="AM227" s="15">
        <v>0.0</v>
      </c>
      <c r="AN227" s="15">
        <v>1.0</v>
      </c>
      <c r="AO227" s="15">
        <v>0.0</v>
      </c>
      <c r="AP227" s="15">
        <v>0.0</v>
      </c>
      <c r="AQ227" s="15">
        <v>1.0</v>
      </c>
      <c r="AR227" s="15">
        <v>1.0</v>
      </c>
      <c r="AS227" s="15">
        <v>0.0</v>
      </c>
      <c r="AT227" s="15">
        <v>0.0</v>
      </c>
      <c r="AU227" s="15">
        <v>0.0</v>
      </c>
      <c r="AV227" s="15">
        <v>0.0</v>
      </c>
      <c r="AW227" s="15">
        <v>0.0</v>
      </c>
      <c r="AX227" s="15">
        <v>0.0</v>
      </c>
      <c r="AY227" s="15">
        <v>0.0</v>
      </c>
      <c r="AZ227" s="15">
        <v>0.0</v>
      </c>
      <c r="BA227" s="15">
        <v>0.0</v>
      </c>
      <c r="BB227" s="15">
        <v>0.0</v>
      </c>
      <c r="BC227" s="15">
        <v>0.0</v>
      </c>
      <c r="BD227" s="15">
        <v>0.0</v>
      </c>
      <c r="BE227" s="15">
        <v>0.0</v>
      </c>
      <c r="BF227" s="15">
        <v>0.0</v>
      </c>
      <c r="BH227" s="12">
        <f t="shared" si="10"/>
        <v>3</v>
      </c>
      <c r="BI227" s="15" t="s">
        <v>2310</v>
      </c>
    </row>
    <row r="228" ht="36.75" customHeight="1">
      <c r="A228" s="26">
        <v>42046.0</v>
      </c>
      <c r="B228" s="18" t="s">
        <v>2317</v>
      </c>
      <c r="C228" s="18" t="s">
        <v>2318</v>
      </c>
      <c r="D228" s="18" t="s">
        <v>2319</v>
      </c>
      <c r="E228" s="18" t="s">
        <v>2294</v>
      </c>
      <c r="F228" s="16">
        <v>29.940195</v>
      </c>
      <c r="G228" s="16">
        <v>-81.300102</v>
      </c>
      <c r="H228" s="16">
        <v>29.989384</v>
      </c>
      <c r="I228" s="17">
        <v>-81.3144</v>
      </c>
      <c r="J228" s="15" t="s">
        <v>2321</v>
      </c>
      <c r="K228" s="15" t="s">
        <v>2322</v>
      </c>
      <c r="L228" s="15">
        <v>0.0</v>
      </c>
      <c r="M228" s="15">
        <v>0.0</v>
      </c>
      <c r="N228" s="15">
        <v>0.0</v>
      </c>
      <c r="O228" s="15">
        <v>0.0</v>
      </c>
      <c r="P228" s="15">
        <v>0.0</v>
      </c>
      <c r="Q228" s="15">
        <v>0.0</v>
      </c>
      <c r="R228" s="15">
        <v>0.0</v>
      </c>
      <c r="S228" s="15">
        <v>0.0</v>
      </c>
      <c r="T228" s="15">
        <v>0.0</v>
      </c>
      <c r="U228" s="15">
        <v>0.0</v>
      </c>
      <c r="V228" s="15">
        <v>0.0</v>
      </c>
      <c r="W228" s="15">
        <v>0.0</v>
      </c>
      <c r="X228" s="18">
        <v>0.0</v>
      </c>
      <c r="Y228" s="15">
        <v>8.0</v>
      </c>
      <c r="Z228" s="15">
        <v>26.0</v>
      </c>
      <c r="AA228" s="15">
        <v>0.0</v>
      </c>
      <c r="AB228" s="15">
        <v>0.0</v>
      </c>
      <c r="AC228" s="15">
        <v>0.0</v>
      </c>
      <c r="AD228" s="15">
        <v>0.0</v>
      </c>
      <c r="AE228" s="15">
        <v>0.0</v>
      </c>
      <c r="AF228" s="15">
        <v>0.0</v>
      </c>
      <c r="AG228" s="15">
        <v>0.0</v>
      </c>
      <c r="AH228" s="15">
        <v>6.0</v>
      </c>
      <c r="AI228" s="15">
        <v>0.0</v>
      </c>
      <c r="AJ228" s="15">
        <v>0.0</v>
      </c>
      <c r="AK228" s="15">
        <v>0.0</v>
      </c>
      <c r="AL228" s="15">
        <v>4.0</v>
      </c>
      <c r="AM228" s="15">
        <v>0.0</v>
      </c>
      <c r="AN228" s="15">
        <v>0.0</v>
      </c>
      <c r="AO228" s="15">
        <v>0.0</v>
      </c>
      <c r="AP228" s="15">
        <v>0.0</v>
      </c>
      <c r="AQ228" s="15">
        <v>0.0</v>
      </c>
      <c r="AR228" s="15">
        <v>41.0</v>
      </c>
      <c r="AS228" s="15">
        <v>0.0</v>
      </c>
      <c r="AT228" s="15">
        <v>0.0</v>
      </c>
      <c r="AU228" s="15">
        <v>0.0</v>
      </c>
      <c r="AV228" s="15">
        <v>3.0</v>
      </c>
      <c r="AW228" s="15">
        <v>44.0</v>
      </c>
      <c r="AX228" s="15">
        <v>0.0</v>
      </c>
      <c r="AY228" s="15">
        <v>203.0</v>
      </c>
      <c r="AZ228" s="15">
        <v>7.0</v>
      </c>
      <c r="BA228" s="15">
        <v>0.0</v>
      </c>
      <c r="BB228" s="18">
        <v>0.0</v>
      </c>
      <c r="BC228" s="15">
        <v>0.0</v>
      </c>
      <c r="BD228" s="15">
        <v>0.0</v>
      </c>
      <c r="BE228" s="15">
        <v>0.0</v>
      </c>
      <c r="BF228" s="15">
        <v>0.0</v>
      </c>
      <c r="BH228" s="12">
        <f t="shared" si="10"/>
        <v>342</v>
      </c>
      <c r="BI228" s="15" t="s">
        <v>2310</v>
      </c>
    </row>
    <row r="229" ht="36.75" customHeight="1">
      <c r="A229" s="14">
        <v>42046.0</v>
      </c>
      <c r="B229" s="18" t="s">
        <v>2330</v>
      </c>
      <c r="C229" s="18" t="s">
        <v>2331</v>
      </c>
      <c r="D229" s="18" t="s">
        <v>2332</v>
      </c>
      <c r="E229" s="18" t="s">
        <v>2294</v>
      </c>
      <c r="F229" s="18">
        <v>29.704381</v>
      </c>
      <c r="G229" s="18">
        <v>-81.227546</v>
      </c>
      <c r="H229" s="18">
        <v>29.671405</v>
      </c>
      <c r="I229" s="16">
        <v>-81.213534</v>
      </c>
      <c r="J229" s="20" t="s">
        <v>2334</v>
      </c>
      <c r="K229" s="18" t="s">
        <v>2336</v>
      </c>
      <c r="L229" s="18">
        <v>0.0</v>
      </c>
      <c r="M229" s="18">
        <v>0.0</v>
      </c>
      <c r="N229" s="18">
        <v>9.0</v>
      </c>
      <c r="O229" s="18">
        <v>0.0</v>
      </c>
      <c r="P229" s="18">
        <v>0.0</v>
      </c>
      <c r="Q229" s="18">
        <v>0.0</v>
      </c>
      <c r="R229" s="18">
        <v>0.0</v>
      </c>
      <c r="S229" s="18">
        <v>0.0</v>
      </c>
      <c r="T229" s="18">
        <v>0.0</v>
      </c>
      <c r="U229" s="18">
        <v>0.0</v>
      </c>
      <c r="V229" s="18">
        <v>0.0</v>
      </c>
      <c r="W229" s="18">
        <v>0.0</v>
      </c>
      <c r="X229" s="18">
        <v>0.0</v>
      </c>
      <c r="Y229" s="18">
        <v>0.0</v>
      </c>
      <c r="Z229" s="18">
        <v>15.0</v>
      </c>
      <c r="AA229" s="18">
        <v>0.0</v>
      </c>
      <c r="AB229" s="18">
        <v>0.0</v>
      </c>
      <c r="AC229" s="18">
        <v>0.0</v>
      </c>
      <c r="AD229" s="18">
        <v>0.0</v>
      </c>
      <c r="AE229" s="18">
        <v>0.0</v>
      </c>
      <c r="AF229" s="18">
        <v>0.0</v>
      </c>
      <c r="AG229" s="18">
        <v>0.0</v>
      </c>
      <c r="AH229" s="18">
        <v>3.0</v>
      </c>
      <c r="AI229" s="18">
        <v>0.0</v>
      </c>
      <c r="AJ229" s="18">
        <v>0.0</v>
      </c>
      <c r="AK229" s="18">
        <v>0.0</v>
      </c>
      <c r="AL229" s="18">
        <v>0.0</v>
      </c>
      <c r="AM229" s="18">
        <v>0.0</v>
      </c>
      <c r="AN229" s="18">
        <v>11.0</v>
      </c>
      <c r="AO229" s="18">
        <v>0.0</v>
      </c>
      <c r="AP229" s="18">
        <v>0.0</v>
      </c>
      <c r="AQ229" s="18">
        <v>6.0</v>
      </c>
      <c r="AR229" s="18">
        <v>46.0</v>
      </c>
      <c r="AS229" s="18">
        <v>0.0</v>
      </c>
      <c r="AT229" s="18">
        <v>0.0</v>
      </c>
      <c r="AU229" s="18">
        <v>0.0</v>
      </c>
      <c r="AV229" s="18">
        <v>1.0</v>
      </c>
      <c r="AW229" s="18">
        <v>2.0</v>
      </c>
      <c r="AX229" s="18">
        <v>0.0</v>
      </c>
      <c r="AY229" s="18">
        <v>9.0</v>
      </c>
      <c r="AZ229" s="18">
        <v>2.0</v>
      </c>
      <c r="BA229" s="18">
        <v>0.0</v>
      </c>
      <c r="BB229" s="18">
        <v>0.0</v>
      </c>
      <c r="BC229" s="18">
        <v>0.0</v>
      </c>
      <c r="BD229" s="18">
        <v>0.0</v>
      </c>
      <c r="BE229" s="18">
        <v>0.0</v>
      </c>
      <c r="BF229" s="18">
        <v>0.0</v>
      </c>
      <c r="BH229" s="12">
        <f t="shared" si="10"/>
        <v>104</v>
      </c>
    </row>
    <row r="230" ht="36.75" customHeight="1">
      <c r="A230" s="56">
        <v>42047.0</v>
      </c>
      <c r="B230" s="15" t="s">
        <v>2348</v>
      </c>
      <c r="C230" s="15" t="s">
        <v>2349</v>
      </c>
      <c r="D230" s="15" t="s">
        <v>2350</v>
      </c>
      <c r="E230" s="15" t="s">
        <v>2294</v>
      </c>
      <c r="F230" s="15">
        <v>29.718004</v>
      </c>
      <c r="G230" s="15">
        <v>-81.23958</v>
      </c>
      <c r="H230" s="15">
        <v>29.705574</v>
      </c>
      <c r="I230" s="17">
        <v>-81.228039</v>
      </c>
      <c r="J230" s="15" t="s">
        <v>2352</v>
      </c>
      <c r="K230" s="15" t="s">
        <v>2353</v>
      </c>
      <c r="L230" s="15">
        <v>0.0</v>
      </c>
      <c r="M230" s="15">
        <v>0.0</v>
      </c>
      <c r="N230" s="15">
        <v>3.0</v>
      </c>
      <c r="O230" s="15">
        <v>0.0</v>
      </c>
      <c r="P230" s="15">
        <v>0.0</v>
      </c>
      <c r="Q230" s="15">
        <v>0.0</v>
      </c>
      <c r="R230" s="15">
        <v>0.0</v>
      </c>
      <c r="S230" s="15">
        <v>0.0</v>
      </c>
      <c r="T230" s="15">
        <v>0.0</v>
      </c>
      <c r="U230" s="15">
        <v>0.0</v>
      </c>
      <c r="V230" s="15">
        <v>0.0</v>
      </c>
      <c r="W230" s="15">
        <v>0.0</v>
      </c>
      <c r="X230" s="15">
        <v>0.0</v>
      </c>
      <c r="Y230" s="15">
        <v>2.0</v>
      </c>
      <c r="Z230" s="15">
        <v>14.0</v>
      </c>
      <c r="AA230" s="15">
        <v>0.0</v>
      </c>
      <c r="AB230" s="15">
        <v>0.0</v>
      </c>
      <c r="AC230" s="15">
        <v>0.0</v>
      </c>
      <c r="AD230" s="15">
        <v>0.0</v>
      </c>
      <c r="AE230" s="15">
        <v>0.0</v>
      </c>
      <c r="AF230" s="15">
        <v>0.0</v>
      </c>
      <c r="AG230" s="15">
        <v>0.0</v>
      </c>
      <c r="AH230" s="15">
        <v>11.0</v>
      </c>
      <c r="AI230" s="15">
        <v>0.0</v>
      </c>
      <c r="AJ230" s="15">
        <v>0.0</v>
      </c>
      <c r="AK230" s="15">
        <v>420.0</v>
      </c>
      <c r="AL230" s="15">
        <v>4.0</v>
      </c>
      <c r="AM230" s="15">
        <v>0.0</v>
      </c>
      <c r="AN230" s="15">
        <v>36.0</v>
      </c>
      <c r="AO230" s="15">
        <v>0.0</v>
      </c>
      <c r="AP230" s="15">
        <v>0.0</v>
      </c>
      <c r="AQ230" s="15">
        <v>30.0</v>
      </c>
      <c r="AR230" s="15">
        <v>144.0</v>
      </c>
      <c r="AS230" s="15">
        <v>0.0</v>
      </c>
      <c r="AT230" s="15">
        <v>0.0</v>
      </c>
      <c r="AU230" s="15">
        <v>0.0</v>
      </c>
      <c r="AV230" s="15">
        <v>5.0</v>
      </c>
      <c r="AW230" s="15">
        <v>40.0</v>
      </c>
      <c r="AX230" s="15">
        <v>0.0</v>
      </c>
      <c r="AY230" s="15">
        <v>42.0</v>
      </c>
      <c r="AZ230" s="15">
        <v>48.0</v>
      </c>
      <c r="BA230" s="15">
        <v>0.0</v>
      </c>
      <c r="BB230" s="15">
        <v>0.0</v>
      </c>
      <c r="BC230" s="15">
        <v>0.0</v>
      </c>
      <c r="BD230" s="15">
        <v>0.0</v>
      </c>
      <c r="BE230" s="15">
        <v>0.0</v>
      </c>
      <c r="BF230" s="15">
        <v>0.0</v>
      </c>
      <c r="BH230" s="12">
        <f t="shared" si="10"/>
        <v>799</v>
      </c>
    </row>
    <row r="231" ht="36.75" customHeight="1">
      <c r="A231" s="14">
        <v>42041.0</v>
      </c>
      <c r="B231" s="15" t="s">
        <v>2359</v>
      </c>
      <c r="C231" s="15" t="s">
        <v>1725</v>
      </c>
      <c r="D231" s="15" t="s">
        <v>2360</v>
      </c>
      <c r="E231" s="15" t="s">
        <v>2361</v>
      </c>
      <c r="F231" s="15">
        <v>27.5345</v>
      </c>
      <c r="G231" s="15">
        <v>-80.3145</v>
      </c>
      <c r="H231" s="15">
        <v>27.5553</v>
      </c>
      <c r="I231" s="17">
        <v>-80.3212</v>
      </c>
      <c r="J231" s="15" t="s">
        <v>2365</v>
      </c>
      <c r="K231" s="15" t="s">
        <v>2366</v>
      </c>
      <c r="Y231" s="15">
        <v>1.0</v>
      </c>
      <c r="Z231" s="15">
        <v>3.0</v>
      </c>
      <c r="AH231" s="15">
        <v>2.0</v>
      </c>
      <c r="AL231" s="15">
        <v>3.0</v>
      </c>
      <c r="AY231" s="15">
        <v>2.0</v>
      </c>
      <c r="AZ231" s="15">
        <v>2.0</v>
      </c>
      <c r="BH231" s="12">
        <f t="shared" si="10"/>
        <v>13</v>
      </c>
    </row>
    <row r="232" ht="36.75" customHeight="1">
      <c r="A232" s="14">
        <v>42041.0</v>
      </c>
      <c r="B232" s="15" t="s">
        <v>2359</v>
      </c>
      <c r="C232" s="15" t="s">
        <v>1725</v>
      </c>
      <c r="D232" s="15" t="s">
        <v>2372</v>
      </c>
      <c r="E232" s="15" t="s">
        <v>2361</v>
      </c>
      <c r="F232" s="15">
        <v>27.4714</v>
      </c>
      <c r="G232" s="15">
        <v>-80.2979</v>
      </c>
      <c r="H232" s="15">
        <v>27.4789</v>
      </c>
      <c r="I232" s="17">
        <v>-80.2928</v>
      </c>
      <c r="J232" s="15" t="s">
        <v>2373</v>
      </c>
      <c r="K232" s="15" t="s">
        <v>2374</v>
      </c>
      <c r="Z232" s="15">
        <v>7.0</v>
      </c>
      <c r="AE232" s="15">
        <v>1.0</v>
      </c>
      <c r="AH232" s="15">
        <v>40.0</v>
      </c>
      <c r="AK232" s="15">
        <v>78.0</v>
      </c>
      <c r="AL232" s="15">
        <v>17.0</v>
      </c>
      <c r="AW232" s="15">
        <v>2.0</v>
      </c>
      <c r="AY232" s="15">
        <v>1.0</v>
      </c>
      <c r="AZ232" s="15">
        <v>93.0</v>
      </c>
      <c r="BH232" s="12">
        <f t="shared" si="10"/>
        <v>239</v>
      </c>
    </row>
    <row r="233" ht="36.75" customHeight="1">
      <c r="A233" s="14">
        <v>42045.0</v>
      </c>
      <c r="B233" s="15" t="s">
        <v>2376</v>
      </c>
      <c r="C233" s="15" t="s">
        <v>1725</v>
      </c>
      <c r="D233" s="15" t="s">
        <v>2377</v>
      </c>
      <c r="E233" s="15" t="s">
        <v>2361</v>
      </c>
      <c r="F233" s="15">
        <v>27.1641</v>
      </c>
      <c r="G233" s="15">
        <v>-80.1613</v>
      </c>
      <c r="H233" s="15">
        <v>27.1637</v>
      </c>
      <c r="I233" s="17">
        <v>-80.167</v>
      </c>
      <c r="J233" s="15" t="s">
        <v>2379</v>
      </c>
      <c r="K233" s="15" t="s">
        <v>2380</v>
      </c>
      <c r="L233" s="15">
        <v>0.0</v>
      </c>
      <c r="M233" s="15">
        <v>0.0</v>
      </c>
      <c r="N233" s="15">
        <v>0.0</v>
      </c>
      <c r="O233" s="15">
        <v>0.0</v>
      </c>
      <c r="P233" s="15">
        <v>0.0</v>
      </c>
      <c r="Q233" s="15">
        <v>8.0</v>
      </c>
      <c r="R233" s="15">
        <v>0.0</v>
      </c>
      <c r="S233" s="15">
        <v>0.0</v>
      </c>
      <c r="T233" s="15">
        <v>0.0</v>
      </c>
      <c r="U233" s="15">
        <v>0.0</v>
      </c>
      <c r="V233" s="15">
        <v>0.0</v>
      </c>
      <c r="W233" s="15">
        <v>0.0</v>
      </c>
      <c r="X233" s="15">
        <v>0.0</v>
      </c>
      <c r="Y233" s="15">
        <v>9.0</v>
      </c>
      <c r="Z233" s="15">
        <v>27.0</v>
      </c>
      <c r="AA233" s="15">
        <v>0.0</v>
      </c>
      <c r="AB233" s="15">
        <v>0.0</v>
      </c>
      <c r="AC233" s="15">
        <v>0.0</v>
      </c>
      <c r="AD233" s="15">
        <v>0.0</v>
      </c>
      <c r="AE233" s="15">
        <v>0.0</v>
      </c>
      <c r="AF233" s="15">
        <v>0.0</v>
      </c>
      <c r="AG233" s="15">
        <v>0.0</v>
      </c>
      <c r="AH233" s="15">
        <v>0.0</v>
      </c>
      <c r="AI233" s="15">
        <v>0.0</v>
      </c>
      <c r="AJ233" s="15">
        <v>0.0</v>
      </c>
      <c r="AK233" s="15">
        <v>0.0</v>
      </c>
      <c r="AL233" s="15">
        <v>0.0</v>
      </c>
      <c r="AM233" s="15">
        <v>0.0</v>
      </c>
      <c r="AN233" s="15">
        <v>1.0</v>
      </c>
      <c r="AO233" s="15">
        <v>0.0</v>
      </c>
      <c r="AP233" s="15">
        <v>0.0</v>
      </c>
      <c r="AQ233" s="15">
        <v>0.0</v>
      </c>
      <c r="AR233" s="15">
        <v>0.0</v>
      </c>
      <c r="AS233" s="15">
        <v>0.0</v>
      </c>
      <c r="AT233" s="15">
        <v>0.0</v>
      </c>
      <c r="AU233" s="15">
        <v>0.0</v>
      </c>
      <c r="AV233" s="15">
        <v>0.0</v>
      </c>
      <c r="AW233" s="15">
        <v>0.0</v>
      </c>
      <c r="AX233" s="15">
        <v>0.0</v>
      </c>
      <c r="AY233" s="15">
        <v>0.0</v>
      </c>
      <c r="AZ233" s="15">
        <v>0.0</v>
      </c>
      <c r="BA233" s="15">
        <v>0.0</v>
      </c>
      <c r="BB233" s="15">
        <v>0.0</v>
      </c>
      <c r="BC233" s="15">
        <v>0.0</v>
      </c>
      <c r="BD233" s="15">
        <v>0.0</v>
      </c>
      <c r="BE233" s="15">
        <v>0.0</v>
      </c>
      <c r="BF233" s="15">
        <v>0.0</v>
      </c>
      <c r="BH233" s="12">
        <f t="shared" si="10"/>
        <v>45</v>
      </c>
    </row>
    <row r="234" ht="36.75" customHeight="1">
      <c r="A234" s="14">
        <v>42045.0</v>
      </c>
      <c r="B234" s="15" t="s">
        <v>2376</v>
      </c>
      <c r="C234" s="15" t="s">
        <v>1725</v>
      </c>
      <c r="D234" s="15" t="s">
        <v>2384</v>
      </c>
      <c r="E234" s="15" t="s">
        <v>2361</v>
      </c>
      <c r="F234" s="15">
        <v>27.1632</v>
      </c>
      <c r="G234" s="15">
        <v>-80.1579</v>
      </c>
      <c r="H234" s="15">
        <v>27.1307</v>
      </c>
      <c r="I234" s="17">
        <v>-80.1452</v>
      </c>
      <c r="J234" s="15" t="s">
        <v>2386</v>
      </c>
      <c r="K234" s="15" t="s">
        <v>2380</v>
      </c>
      <c r="N234" s="15">
        <v>3.0</v>
      </c>
      <c r="Z234" s="15">
        <v>64.0</v>
      </c>
      <c r="AH234" s="15">
        <v>36.0</v>
      </c>
      <c r="AN234" s="15">
        <v>2.0</v>
      </c>
      <c r="AY234" s="15">
        <v>2.0</v>
      </c>
      <c r="BH234" s="12">
        <f t="shared" si="10"/>
        <v>107</v>
      </c>
    </row>
    <row r="235" ht="36.75" customHeight="1">
      <c r="A235" s="14">
        <v>42041.0</v>
      </c>
      <c r="B235" s="15" t="s">
        <v>2388</v>
      </c>
      <c r="C235" s="15" t="s">
        <v>2390</v>
      </c>
      <c r="D235" s="15" t="s">
        <v>2391</v>
      </c>
      <c r="E235" s="15" t="s">
        <v>111</v>
      </c>
      <c r="F235" s="15">
        <v>29.85778</v>
      </c>
      <c r="G235" s="15">
        <v>-81.265174</v>
      </c>
      <c r="H235" s="15">
        <v>29.844718</v>
      </c>
      <c r="I235" s="17">
        <v>-81.26545</v>
      </c>
      <c r="J235" s="15" t="s">
        <v>2393</v>
      </c>
      <c r="K235" s="15" t="s">
        <v>2394</v>
      </c>
      <c r="L235" s="18">
        <v>0.0</v>
      </c>
      <c r="M235" s="18">
        <v>0.0</v>
      </c>
      <c r="N235" s="18">
        <v>0.0</v>
      </c>
      <c r="O235" s="18">
        <v>0.0</v>
      </c>
      <c r="P235" s="15">
        <v>0.0</v>
      </c>
      <c r="Q235" s="18">
        <v>0.0</v>
      </c>
      <c r="R235" s="18">
        <v>0.0</v>
      </c>
      <c r="S235" s="18">
        <v>0.0</v>
      </c>
      <c r="T235" s="18">
        <v>0.0</v>
      </c>
      <c r="U235" s="18">
        <v>0.0</v>
      </c>
      <c r="V235" s="18">
        <v>0.0</v>
      </c>
      <c r="W235" s="18">
        <v>0.0</v>
      </c>
      <c r="X235" s="18">
        <v>0.0</v>
      </c>
      <c r="Y235" s="15">
        <v>26.0</v>
      </c>
      <c r="Z235" s="18">
        <v>7.0</v>
      </c>
      <c r="AA235" s="18">
        <v>2.0</v>
      </c>
      <c r="AB235" s="18">
        <v>0.0</v>
      </c>
      <c r="AC235" s="15">
        <v>0.0</v>
      </c>
      <c r="AD235" s="18">
        <v>0.0</v>
      </c>
      <c r="AE235" s="18">
        <v>0.0</v>
      </c>
      <c r="AF235" s="18">
        <v>0.0</v>
      </c>
      <c r="AG235" s="15">
        <v>0.0</v>
      </c>
      <c r="AH235" s="18">
        <v>5.0</v>
      </c>
      <c r="AI235" s="18">
        <v>0.0</v>
      </c>
      <c r="AJ235" s="18">
        <v>0.0</v>
      </c>
      <c r="AK235" s="18">
        <v>0.0</v>
      </c>
      <c r="AL235" s="18">
        <v>0.0</v>
      </c>
      <c r="AM235" s="18">
        <v>0.0</v>
      </c>
      <c r="AN235" s="18">
        <v>12.0</v>
      </c>
      <c r="AO235" s="18">
        <v>0.0</v>
      </c>
      <c r="AP235" s="18">
        <v>0.0</v>
      </c>
      <c r="AQ235" s="18">
        <v>0.0</v>
      </c>
      <c r="AR235" s="18">
        <v>162.0</v>
      </c>
      <c r="AS235" s="18">
        <v>0.0</v>
      </c>
      <c r="AT235" s="18">
        <v>0.0</v>
      </c>
      <c r="AU235" s="18">
        <v>0.0</v>
      </c>
      <c r="AV235" s="18">
        <v>0.0</v>
      </c>
      <c r="AW235" s="18">
        <v>26.0</v>
      </c>
      <c r="AX235" s="18">
        <v>0.0</v>
      </c>
      <c r="AY235" s="18">
        <v>203.0</v>
      </c>
      <c r="AZ235" s="18">
        <v>24.0</v>
      </c>
      <c r="BA235" s="18">
        <v>0.0</v>
      </c>
      <c r="BB235" s="18">
        <v>0.0</v>
      </c>
      <c r="BC235" s="18">
        <v>0.0</v>
      </c>
      <c r="BD235" s="18">
        <v>0.0</v>
      </c>
      <c r="BE235" s="18">
        <v>0.0</v>
      </c>
      <c r="BF235" s="18">
        <v>0.0</v>
      </c>
      <c r="BH235" s="12">
        <f t="shared" si="10"/>
        <v>467</v>
      </c>
    </row>
    <row r="236" ht="36.75" customHeight="1">
      <c r="A236" s="26">
        <v>42041.0</v>
      </c>
      <c r="B236" s="18" t="s">
        <v>2413</v>
      </c>
      <c r="C236" s="18" t="s">
        <v>2414</v>
      </c>
      <c r="D236" s="18" t="s">
        <v>2415</v>
      </c>
      <c r="E236" s="18" t="s">
        <v>111</v>
      </c>
      <c r="F236" s="18">
        <v>29.916989</v>
      </c>
      <c r="G236" s="18">
        <v>-81.289483</v>
      </c>
      <c r="H236" s="18">
        <v>29.91008</v>
      </c>
      <c r="I236" s="16">
        <v>-81.294311</v>
      </c>
      <c r="J236" s="20" t="s">
        <v>2417</v>
      </c>
      <c r="K236" s="18" t="s">
        <v>2419</v>
      </c>
      <c r="L236" s="18">
        <v>0.0</v>
      </c>
      <c r="M236" s="18">
        <v>0.0</v>
      </c>
      <c r="N236" s="18">
        <v>0.0</v>
      </c>
      <c r="O236" s="18">
        <v>0.0</v>
      </c>
      <c r="P236" s="18">
        <v>0.0</v>
      </c>
      <c r="Q236" s="18">
        <v>0.0</v>
      </c>
      <c r="R236" s="18">
        <v>0.0</v>
      </c>
      <c r="S236" s="18">
        <v>0.0</v>
      </c>
      <c r="T236" s="18">
        <v>0.0</v>
      </c>
      <c r="U236" s="18">
        <v>0.0</v>
      </c>
      <c r="V236" s="18">
        <v>0.0</v>
      </c>
      <c r="W236" s="18">
        <v>0.0</v>
      </c>
      <c r="X236" s="18">
        <v>0.0</v>
      </c>
      <c r="Y236" s="57">
        <f>2+2</f>
        <v>4</v>
      </c>
      <c r="Z236" s="18">
        <v>7.0</v>
      </c>
      <c r="AA236" s="18">
        <v>0.0</v>
      </c>
      <c r="AB236" s="18">
        <v>0.0</v>
      </c>
      <c r="AC236" s="18">
        <v>0.0</v>
      </c>
      <c r="AD236" s="18">
        <v>0.0</v>
      </c>
      <c r="AE236" s="18">
        <v>0.0</v>
      </c>
      <c r="AF236" s="18">
        <v>0.0</v>
      </c>
      <c r="AG236" s="18">
        <v>0.0</v>
      </c>
      <c r="AH236" s="18">
        <v>5.0</v>
      </c>
      <c r="AI236" s="18">
        <v>0.0</v>
      </c>
      <c r="AJ236" s="18">
        <v>0.0</v>
      </c>
      <c r="AK236" s="18">
        <v>250.0</v>
      </c>
      <c r="AL236" s="18">
        <v>11.0</v>
      </c>
      <c r="AM236" s="18">
        <v>0.0</v>
      </c>
      <c r="AN236" s="18">
        <v>9.0</v>
      </c>
      <c r="AO236" s="18">
        <v>0.0</v>
      </c>
      <c r="AP236" s="18">
        <v>0.0</v>
      </c>
      <c r="AQ236" s="18">
        <v>4.0</v>
      </c>
      <c r="AR236" s="57">
        <f>2+35+52</f>
        <v>89</v>
      </c>
      <c r="AS236" s="18">
        <v>0.0</v>
      </c>
      <c r="AT236" s="18">
        <v>0.0</v>
      </c>
      <c r="AU236" s="18">
        <v>0.0</v>
      </c>
      <c r="AV236" s="18">
        <v>0.0</v>
      </c>
      <c r="AW236" s="18">
        <v>33.0</v>
      </c>
      <c r="AX236" s="18">
        <v>0.0</v>
      </c>
      <c r="AY236" s="18">
        <v>85.0</v>
      </c>
      <c r="AZ236" s="57">
        <f>75+43+15</f>
        <v>133</v>
      </c>
      <c r="BA236" s="18">
        <v>0.0</v>
      </c>
      <c r="BB236" s="18">
        <v>0.0</v>
      </c>
      <c r="BC236" s="18">
        <v>0.0</v>
      </c>
      <c r="BD236" s="18">
        <v>0.0</v>
      </c>
      <c r="BE236" s="18">
        <v>0.0</v>
      </c>
      <c r="BF236" s="18">
        <v>0.0</v>
      </c>
      <c r="BH236" s="12">
        <f t="shared" si="10"/>
        <v>630</v>
      </c>
    </row>
    <row r="237" ht="36.75" customHeight="1">
      <c r="A237" s="26">
        <v>42042.0</v>
      </c>
      <c r="B237" s="18" t="s">
        <v>2438</v>
      </c>
      <c r="C237" s="18" t="s">
        <v>2440</v>
      </c>
      <c r="D237" s="18" t="s">
        <v>2442</v>
      </c>
      <c r="E237" s="18" t="s">
        <v>111</v>
      </c>
      <c r="F237" s="18">
        <v>30.01975</v>
      </c>
      <c r="G237" s="18">
        <v>-81.321756</v>
      </c>
      <c r="H237" s="18">
        <v>30.126825</v>
      </c>
      <c r="I237" s="16">
        <v>-80.347408</v>
      </c>
      <c r="J237" s="20" t="s">
        <v>2443</v>
      </c>
      <c r="K237" s="15" t="s">
        <v>2444</v>
      </c>
      <c r="M237" s="22"/>
      <c r="N237" s="15">
        <v>10.0</v>
      </c>
      <c r="O237" s="18">
        <v>42.0</v>
      </c>
      <c r="Y237" s="15">
        <v>18.0</v>
      </c>
      <c r="Z237" s="15">
        <v>19.0</v>
      </c>
      <c r="AC237" s="15">
        <v>48.0</v>
      </c>
      <c r="AH237" s="15">
        <v>9.0</v>
      </c>
      <c r="AI237" s="22"/>
      <c r="AL237" s="15">
        <v>1.0</v>
      </c>
      <c r="AN237" s="15">
        <v>7.0</v>
      </c>
      <c r="AO237" s="15">
        <v>1.0</v>
      </c>
      <c r="AQ237" s="15">
        <v>1.0</v>
      </c>
      <c r="AR237" s="15">
        <v>183.0</v>
      </c>
      <c r="AU237" s="15">
        <v>2.0</v>
      </c>
      <c r="AV237" s="15">
        <v>1.0</v>
      </c>
      <c r="AW237" s="15">
        <v>2.0</v>
      </c>
      <c r="AY237" s="15">
        <v>13.0</v>
      </c>
      <c r="AZ237" s="15">
        <v>6.0</v>
      </c>
      <c r="BB237" s="22"/>
      <c r="BH237" s="12">
        <f t="shared" si="10"/>
        <v>363</v>
      </c>
    </row>
    <row r="238" ht="36.75" customHeight="1">
      <c r="A238" s="26">
        <v>42046.0</v>
      </c>
      <c r="B238" s="18" t="s">
        <v>2448</v>
      </c>
      <c r="C238" s="18" t="s">
        <v>109</v>
      </c>
      <c r="D238" s="18" t="s">
        <v>2450</v>
      </c>
      <c r="E238" s="18" t="s">
        <v>111</v>
      </c>
      <c r="F238" s="18">
        <v>29.797527</v>
      </c>
      <c r="G238" s="18">
        <v>-81.2716305</v>
      </c>
      <c r="H238" s="18">
        <v>29.797527</v>
      </c>
      <c r="I238" s="16">
        <v>-81.2716305</v>
      </c>
      <c r="J238" s="20" t="s">
        <v>2451</v>
      </c>
      <c r="K238" s="18" t="s">
        <v>2452</v>
      </c>
      <c r="L238" s="18">
        <v>16.0</v>
      </c>
      <c r="M238" s="22"/>
      <c r="N238" s="18">
        <v>67.0</v>
      </c>
      <c r="O238" s="18">
        <v>210.0</v>
      </c>
      <c r="P238" s="22"/>
      <c r="Q238" s="22"/>
      <c r="R238" s="22"/>
      <c r="S238" s="22"/>
      <c r="T238" s="22"/>
      <c r="U238" s="22"/>
      <c r="V238" s="22"/>
      <c r="W238" s="22"/>
      <c r="X238" s="22"/>
      <c r="Y238" s="18">
        <v>18.0</v>
      </c>
      <c r="Z238" s="22"/>
      <c r="AA238" s="18">
        <v>161.0</v>
      </c>
      <c r="AB238" s="22"/>
      <c r="AC238" s="18">
        <v>14.0</v>
      </c>
      <c r="AD238" s="22"/>
      <c r="AE238" s="18">
        <v>2.0</v>
      </c>
      <c r="AF238" s="22"/>
      <c r="AG238" s="22"/>
      <c r="AH238" s="22"/>
      <c r="AI238" s="22"/>
      <c r="AJ238" s="22"/>
      <c r="AK238" s="22"/>
      <c r="AL238" s="22"/>
      <c r="AM238" s="22"/>
      <c r="AN238" s="18">
        <v>2.0</v>
      </c>
      <c r="AO238" s="22"/>
      <c r="AP238" s="22"/>
      <c r="AQ238" s="18">
        <v>63.0</v>
      </c>
      <c r="AR238" s="22"/>
      <c r="AS238" s="22"/>
      <c r="AT238" s="22"/>
      <c r="AU238" s="22"/>
      <c r="AV238" s="22"/>
      <c r="AW238" s="22"/>
      <c r="AX238" s="22"/>
      <c r="AY238" s="22"/>
      <c r="AZ238" s="18">
        <v>2.0</v>
      </c>
      <c r="BA238" s="22"/>
      <c r="BB238" s="22"/>
      <c r="BC238" s="22"/>
      <c r="BD238" s="22"/>
      <c r="BE238" s="22"/>
      <c r="BF238" s="22"/>
      <c r="BH238" s="12">
        <f t="shared" si="10"/>
        <v>555</v>
      </c>
      <c r="BI238" s="15" t="s">
        <v>2457</v>
      </c>
    </row>
    <row r="239" ht="36.75" customHeight="1">
      <c r="A239" s="14">
        <v>42046.0</v>
      </c>
      <c r="B239" s="15" t="s">
        <v>2448</v>
      </c>
      <c r="C239" s="15" t="s">
        <v>109</v>
      </c>
      <c r="D239" s="15" t="s">
        <v>2460</v>
      </c>
      <c r="E239" s="15" t="s">
        <v>111</v>
      </c>
      <c r="F239" s="15">
        <v>29.79081</v>
      </c>
      <c r="G239" s="15">
        <v>-81.26914</v>
      </c>
      <c r="H239" s="15">
        <v>29.79081</v>
      </c>
      <c r="I239" s="17">
        <v>-81.26914</v>
      </c>
      <c r="J239" s="15" t="s">
        <v>2462</v>
      </c>
      <c r="K239" s="15" t="s">
        <v>2463</v>
      </c>
      <c r="L239" s="15">
        <v>0.0</v>
      </c>
      <c r="N239" s="15">
        <v>18.0</v>
      </c>
      <c r="O239" s="15">
        <v>61.0</v>
      </c>
      <c r="P239" s="15">
        <v>4.0</v>
      </c>
      <c r="Y239" s="15">
        <v>3.0</v>
      </c>
      <c r="AC239" s="15">
        <v>67.0</v>
      </c>
      <c r="AE239" s="15">
        <v>2.0</v>
      </c>
      <c r="AG239" s="15">
        <v>15.0</v>
      </c>
      <c r="AN239" s="15">
        <v>35.0</v>
      </c>
      <c r="AQ239" s="15">
        <v>22.0</v>
      </c>
      <c r="AR239" s="15">
        <v>1.0</v>
      </c>
      <c r="AW239" s="15">
        <v>6.0</v>
      </c>
      <c r="AY239" s="15">
        <v>22.0</v>
      </c>
      <c r="AZ239" s="15">
        <v>5.0</v>
      </c>
      <c r="BH239" s="12">
        <f t="shared" si="10"/>
        <v>261</v>
      </c>
      <c r="BI239" s="15" t="s">
        <v>2465</v>
      </c>
    </row>
    <row r="240" ht="36.75" customHeight="1">
      <c r="A240" s="14">
        <v>42046.0</v>
      </c>
      <c r="B240" s="15" t="s">
        <v>2466</v>
      </c>
      <c r="C240" s="15" t="s">
        <v>504</v>
      </c>
      <c r="D240" s="15" t="s">
        <v>2467</v>
      </c>
      <c r="E240" s="15" t="s">
        <v>111</v>
      </c>
      <c r="F240" s="15">
        <v>29.9105556</v>
      </c>
      <c r="G240" s="15">
        <v>-81.294444</v>
      </c>
      <c r="H240" s="15">
        <v>29.9405556</v>
      </c>
      <c r="I240" s="15">
        <v>-81.3002778</v>
      </c>
      <c r="J240" s="15" t="s">
        <v>2469</v>
      </c>
      <c r="K240" s="15" t="s">
        <v>2470</v>
      </c>
      <c r="L240" s="15">
        <v>0.0</v>
      </c>
      <c r="M240" s="15">
        <v>0.0</v>
      </c>
      <c r="N240" s="15">
        <v>1.0</v>
      </c>
      <c r="O240" s="15">
        <v>1.0</v>
      </c>
      <c r="P240" s="15">
        <v>2.0</v>
      </c>
      <c r="Q240" s="15">
        <v>0.0</v>
      </c>
      <c r="R240" s="15">
        <v>0.0</v>
      </c>
      <c r="S240" s="15">
        <v>0.0</v>
      </c>
      <c r="T240" s="15">
        <v>0.0</v>
      </c>
      <c r="U240" s="15">
        <v>0.0</v>
      </c>
      <c r="V240" s="15">
        <v>0.0</v>
      </c>
      <c r="W240" s="15">
        <v>0.0</v>
      </c>
      <c r="X240" s="15">
        <v>0.0</v>
      </c>
      <c r="Y240" s="15">
        <v>17.0</v>
      </c>
      <c r="Z240" s="15">
        <v>23.0</v>
      </c>
      <c r="AA240" s="15">
        <v>0.0</v>
      </c>
      <c r="AB240" s="15">
        <v>0.0</v>
      </c>
      <c r="AC240" s="15">
        <v>0.0</v>
      </c>
      <c r="AD240" s="15">
        <v>0.0</v>
      </c>
      <c r="AE240" s="15">
        <v>0.0</v>
      </c>
      <c r="AF240" s="15">
        <v>0.0</v>
      </c>
      <c r="AG240" s="15">
        <v>0.0</v>
      </c>
      <c r="AH240" s="15">
        <v>11.0</v>
      </c>
      <c r="AI240" s="15">
        <v>0.0</v>
      </c>
      <c r="AJ240" s="15">
        <v>0.0</v>
      </c>
      <c r="AK240" s="15">
        <v>0.0</v>
      </c>
      <c r="AL240" s="15">
        <v>19.0</v>
      </c>
      <c r="AM240" s="15">
        <v>0.0</v>
      </c>
      <c r="AN240" s="15">
        <v>37.0</v>
      </c>
      <c r="AO240" s="15">
        <v>0.0</v>
      </c>
      <c r="AP240" s="15">
        <v>0.0</v>
      </c>
      <c r="AQ240" s="15">
        <v>1.0</v>
      </c>
      <c r="AR240" s="15">
        <v>45.0</v>
      </c>
      <c r="AS240" s="15">
        <v>0.0</v>
      </c>
      <c r="AT240" s="15">
        <v>0.0</v>
      </c>
      <c r="AU240" s="15">
        <v>3.0</v>
      </c>
      <c r="AV240" s="15">
        <v>0.0</v>
      </c>
      <c r="AW240" s="15">
        <v>37.0</v>
      </c>
      <c r="AX240" s="15">
        <v>2.0</v>
      </c>
      <c r="AY240" s="15">
        <v>78.0</v>
      </c>
      <c r="AZ240" s="15">
        <v>8.0</v>
      </c>
      <c r="BA240" s="15">
        <v>0.0</v>
      </c>
      <c r="BB240" s="15">
        <v>0.0</v>
      </c>
      <c r="BC240" s="15">
        <v>0.0</v>
      </c>
      <c r="BD240" s="15">
        <v>0.0</v>
      </c>
      <c r="BE240" s="15">
        <v>0.0</v>
      </c>
      <c r="BF240" s="15">
        <v>0.0</v>
      </c>
      <c r="BH240" s="12">
        <f t="shared" si="10"/>
        <v>285</v>
      </c>
    </row>
    <row r="241" ht="36.75" customHeight="1">
      <c r="A241" s="26">
        <v>42046.0</v>
      </c>
      <c r="B241" s="18" t="s">
        <v>2474</v>
      </c>
      <c r="C241" s="18" t="s">
        <v>2475</v>
      </c>
      <c r="D241" s="18" t="s">
        <v>2476</v>
      </c>
      <c r="E241" s="18" t="s">
        <v>111</v>
      </c>
      <c r="F241" s="18">
        <v>30.252891</v>
      </c>
      <c r="G241" s="18">
        <v>-81.380268</v>
      </c>
      <c r="H241" s="18">
        <v>30.127088</v>
      </c>
      <c r="I241" s="16">
        <v>-81.347136</v>
      </c>
      <c r="J241" s="20" t="s">
        <v>2479</v>
      </c>
      <c r="K241" s="15" t="s">
        <v>2480</v>
      </c>
      <c r="O241" s="22"/>
      <c r="P241" s="22"/>
      <c r="Z241" s="15">
        <v>45.0</v>
      </c>
      <c r="AH241" s="15">
        <v>10.0</v>
      </c>
      <c r="AN241" s="15">
        <v>4.0</v>
      </c>
      <c r="AQ241" s="15">
        <v>1.0</v>
      </c>
      <c r="AR241" s="15">
        <v>114.0</v>
      </c>
      <c r="AW241" s="15">
        <v>123.0</v>
      </c>
      <c r="AY241" s="15">
        <v>71.0</v>
      </c>
      <c r="AZ241" s="18">
        <v>71.0</v>
      </c>
      <c r="BB241" s="22"/>
      <c r="BH241" s="12">
        <f t="shared" si="10"/>
        <v>439</v>
      </c>
      <c r="BI241" s="15" t="s">
        <v>2481</v>
      </c>
    </row>
    <row r="242" ht="36.75" customHeight="1">
      <c r="A242" s="24">
        <v>42047.0</v>
      </c>
      <c r="B242" s="18" t="s">
        <v>2482</v>
      </c>
      <c r="C242" s="18" t="s">
        <v>2483</v>
      </c>
      <c r="D242" s="18" t="s">
        <v>2484</v>
      </c>
      <c r="E242" s="18" t="s">
        <v>111</v>
      </c>
      <c r="F242" s="16">
        <v>29.71822475</v>
      </c>
      <c r="G242" s="16">
        <v>-81.2311787</v>
      </c>
      <c r="H242" s="16">
        <v>29.85936877</v>
      </c>
      <c r="I242" s="17">
        <v>-81.26542406</v>
      </c>
      <c r="J242" s="15" t="s">
        <v>2487</v>
      </c>
      <c r="K242" s="15" t="s">
        <v>2488</v>
      </c>
      <c r="L242" s="15">
        <v>0.0</v>
      </c>
      <c r="M242" s="15">
        <v>0.0</v>
      </c>
      <c r="N242" s="15">
        <v>0.0</v>
      </c>
      <c r="O242" s="15">
        <v>3.0</v>
      </c>
      <c r="P242" s="15">
        <v>0.0</v>
      </c>
      <c r="Q242" s="15">
        <v>0.0</v>
      </c>
      <c r="R242" s="15">
        <v>0.0</v>
      </c>
      <c r="S242" s="15">
        <v>0.0</v>
      </c>
      <c r="T242" s="15">
        <v>0.0</v>
      </c>
      <c r="U242" s="15">
        <v>0.0</v>
      </c>
      <c r="V242" s="15">
        <v>0.0</v>
      </c>
      <c r="W242" s="15">
        <v>0.0</v>
      </c>
      <c r="X242" s="15">
        <v>6.0</v>
      </c>
      <c r="Y242" s="15">
        <v>44.0</v>
      </c>
      <c r="Z242" s="15">
        <v>69.0</v>
      </c>
      <c r="AA242" s="15">
        <v>47.0</v>
      </c>
      <c r="AB242" s="15">
        <v>0.0</v>
      </c>
      <c r="AC242" s="15">
        <v>0.0</v>
      </c>
      <c r="AD242" s="15">
        <v>0.0</v>
      </c>
      <c r="AE242" s="15">
        <v>0.0</v>
      </c>
      <c r="AF242" s="15">
        <v>0.0</v>
      </c>
      <c r="AG242" s="15">
        <v>0.0</v>
      </c>
      <c r="AH242" s="15">
        <v>30.0</v>
      </c>
      <c r="AI242" s="15">
        <v>0.0</v>
      </c>
      <c r="AJ242" s="15">
        <v>0.0</v>
      </c>
      <c r="AK242" s="15">
        <v>3.0</v>
      </c>
      <c r="AL242" s="15">
        <v>73.0</v>
      </c>
      <c r="AM242" s="15">
        <v>0.0</v>
      </c>
      <c r="AN242" s="15">
        <v>25.0</v>
      </c>
      <c r="AO242" s="15">
        <v>0.0</v>
      </c>
      <c r="AP242" s="15">
        <v>0.0</v>
      </c>
      <c r="AQ242" s="15">
        <v>2.0</v>
      </c>
      <c r="AR242" s="15">
        <v>0.0</v>
      </c>
      <c r="AS242" s="58">
        <v>0.0</v>
      </c>
      <c r="AT242" s="15">
        <v>0.0</v>
      </c>
      <c r="AU242" s="15">
        <v>2.0</v>
      </c>
      <c r="AV242" s="15">
        <v>0.0</v>
      </c>
      <c r="AW242" s="15">
        <v>557.0</v>
      </c>
      <c r="AX242" s="58">
        <v>0.0</v>
      </c>
      <c r="AY242" s="15">
        <v>440.0</v>
      </c>
      <c r="AZ242" s="15">
        <v>31.0</v>
      </c>
      <c r="BA242" s="15">
        <v>0.0</v>
      </c>
      <c r="BB242" s="15">
        <v>0.0</v>
      </c>
      <c r="BC242" s="15">
        <v>0.0</v>
      </c>
      <c r="BD242" s="15">
        <v>0.0</v>
      </c>
      <c r="BE242" s="15">
        <v>0.0</v>
      </c>
      <c r="BF242" s="15">
        <v>0.0</v>
      </c>
      <c r="BH242" s="12">
        <f t="shared" si="10"/>
        <v>1332</v>
      </c>
    </row>
    <row r="243" ht="36.75" customHeight="1">
      <c r="A243" s="59" t="s">
        <v>280</v>
      </c>
      <c r="B243" s="28" t="s">
        <v>290</v>
      </c>
      <c r="C243" s="28" t="s">
        <v>292</v>
      </c>
      <c r="D243" s="28" t="s">
        <v>293</v>
      </c>
      <c r="E243" s="28" t="s">
        <v>294</v>
      </c>
      <c r="F243" s="28">
        <v>27.3226</v>
      </c>
      <c r="G243" s="28">
        <v>-80.1911</v>
      </c>
      <c r="H243" s="28">
        <v>27.3333</v>
      </c>
      <c r="I243" s="28">
        <v>-80.1928</v>
      </c>
      <c r="J243" s="28" t="s">
        <v>2498</v>
      </c>
      <c r="K243" s="28" t="s">
        <v>2500</v>
      </c>
      <c r="L243" s="28">
        <v>0.0</v>
      </c>
      <c r="M243" s="28">
        <v>0.0</v>
      </c>
      <c r="N243" s="28">
        <v>0.0</v>
      </c>
      <c r="O243" s="28">
        <v>0.0</v>
      </c>
      <c r="P243" s="28">
        <v>0.0</v>
      </c>
      <c r="Q243" s="28">
        <v>0.0</v>
      </c>
      <c r="R243" s="28">
        <v>0.0</v>
      </c>
      <c r="S243" s="28">
        <v>0.0</v>
      </c>
      <c r="T243" s="28">
        <v>0.0</v>
      </c>
      <c r="U243" s="28">
        <v>0.0</v>
      </c>
      <c r="V243" s="28">
        <v>0.0</v>
      </c>
      <c r="W243" s="28">
        <v>0.0</v>
      </c>
      <c r="X243" s="28">
        <v>0.0</v>
      </c>
      <c r="Y243" s="28">
        <v>5.0</v>
      </c>
      <c r="Z243" s="28">
        <v>35.0</v>
      </c>
      <c r="AA243" s="28">
        <v>0.0</v>
      </c>
      <c r="AB243" s="28">
        <v>0.0</v>
      </c>
      <c r="AC243" s="28">
        <v>0.0</v>
      </c>
      <c r="AD243" s="28">
        <v>1.0</v>
      </c>
      <c r="AE243" s="28">
        <v>0.0</v>
      </c>
      <c r="AF243" s="28">
        <v>0.0</v>
      </c>
      <c r="AG243" s="28">
        <v>0.0</v>
      </c>
      <c r="AH243" s="28">
        <v>0.0</v>
      </c>
      <c r="AI243" s="28">
        <v>0.0</v>
      </c>
      <c r="AJ243" s="28">
        <v>0.0</v>
      </c>
      <c r="AK243" s="28">
        <v>0.0</v>
      </c>
      <c r="AL243" s="28">
        <v>0.0</v>
      </c>
      <c r="AM243" s="28">
        <v>0.0</v>
      </c>
      <c r="AN243" s="28">
        <v>0.0</v>
      </c>
      <c r="AO243" s="28">
        <v>0.0</v>
      </c>
      <c r="AP243" s="28">
        <v>0.0</v>
      </c>
      <c r="AQ243" s="28">
        <v>0.0</v>
      </c>
      <c r="AR243" s="28">
        <v>0.0</v>
      </c>
      <c r="AS243" s="28">
        <v>0.0</v>
      </c>
      <c r="AT243" s="28">
        <v>0.0</v>
      </c>
      <c r="AU243" s="28">
        <v>0.0</v>
      </c>
      <c r="AV243" s="28">
        <v>9.0</v>
      </c>
      <c r="AW243" s="28">
        <v>2.0</v>
      </c>
      <c r="AX243" s="28">
        <v>2.0</v>
      </c>
      <c r="AY243" s="28">
        <v>53.0</v>
      </c>
      <c r="AZ243" s="28">
        <v>3.0</v>
      </c>
      <c r="BA243" s="28">
        <v>0.0</v>
      </c>
      <c r="BB243" s="28">
        <v>0.0</v>
      </c>
      <c r="BC243" s="28">
        <v>0.0</v>
      </c>
      <c r="BD243" s="28">
        <v>0.0</v>
      </c>
      <c r="BE243" s="28">
        <v>0.0</v>
      </c>
      <c r="BF243" s="28">
        <v>0.0</v>
      </c>
      <c r="BG243" s="29"/>
      <c r="BH243" s="60">
        <v>0.0</v>
      </c>
      <c r="BI243" s="29"/>
    </row>
    <row r="244" ht="36.75" customHeight="1">
      <c r="A244" s="26">
        <v>41680.0</v>
      </c>
      <c r="B244" s="15" t="s">
        <v>2507</v>
      </c>
      <c r="C244" s="18" t="s">
        <v>2508</v>
      </c>
      <c r="D244" s="18" t="s">
        <v>2509</v>
      </c>
      <c r="E244" s="18" t="s">
        <v>294</v>
      </c>
      <c r="F244" s="16">
        <v>27.48056</v>
      </c>
      <c r="G244" s="16">
        <v>-80.33055</v>
      </c>
      <c r="H244" s="16">
        <v>27.48056</v>
      </c>
      <c r="I244" s="16">
        <v>-80.33055</v>
      </c>
      <c r="J244" s="15" t="s">
        <v>2512</v>
      </c>
      <c r="K244" s="15" t="s">
        <v>2513</v>
      </c>
      <c r="L244" s="15">
        <v>2.0</v>
      </c>
      <c r="M244" s="22"/>
      <c r="BG244" s="22"/>
      <c r="BH244" s="12">
        <f>SUM(L244:BG244)</f>
        <v>2</v>
      </c>
    </row>
    <row r="245" ht="36.75" customHeight="1">
      <c r="A245" s="26">
        <v>41680.0</v>
      </c>
      <c r="B245" s="15" t="s">
        <v>2507</v>
      </c>
      <c r="C245" s="18" t="s">
        <v>2508</v>
      </c>
      <c r="D245" s="18" t="s">
        <v>2521</v>
      </c>
      <c r="E245" s="18" t="s">
        <v>294</v>
      </c>
      <c r="F245" s="16">
        <v>27.464659</v>
      </c>
      <c r="G245" s="16">
        <v>-80.314537</v>
      </c>
      <c r="H245" s="16">
        <v>27.464659</v>
      </c>
      <c r="I245" s="16">
        <v>-80.314537</v>
      </c>
      <c r="J245" s="15" t="s">
        <v>2522</v>
      </c>
      <c r="K245" s="15" t="s">
        <v>2513</v>
      </c>
      <c r="M245" s="22"/>
      <c r="Y245" s="15">
        <v>8.0</v>
      </c>
      <c r="Z245" s="15">
        <v>3.0</v>
      </c>
      <c r="AH245" s="15">
        <v>3.0</v>
      </c>
      <c r="AK245" s="15">
        <v>1.0</v>
      </c>
      <c r="AL245" s="15">
        <v>14.0</v>
      </c>
      <c r="AN245" s="15">
        <v>1.0</v>
      </c>
      <c r="AO245" s="15">
        <v>1.0</v>
      </c>
      <c r="AU245" s="15">
        <v>2.0</v>
      </c>
      <c r="AV245" s="15">
        <v>103.0</v>
      </c>
      <c r="AX245" s="15">
        <v>1.0</v>
      </c>
      <c r="AY245" s="15">
        <v>105.0</v>
      </c>
      <c r="BC245" s="15">
        <v>19.0</v>
      </c>
      <c r="BG245" s="22"/>
      <c r="BH245" s="18">
        <v>261.0</v>
      </c>
      <c r="BI245" s="15" t="s">
        <v>2523</v>
      </c>
    </row>
    <row r="246" ht="36.75" customHeight="1">
      <c r="A246" s="26">
        <v>41680.0</v>
      </c>
      <c r="B246" s="15" t="s">
        <v>2524</v>
      </c>
      <c r="C246" s="18" t="s">
        <v>2508</v>
      </c>
      <c r="D246" s="18" t="s">
        <v>2526</v>
      </c>
      <c r="E246" s="18" t="s">
        <v>294</v>
      </c>
      <c r="F246" s="16">
        <v>27.492645</v>
      </c>
      <c r="G246" s="16">
        <v>-80.336473</v>
      </c>
      <c r="H246" s="16">
        <v>27.492645</v>
      </c>
      <c r="I246" s="16">
        <v>-80.336473</v>
      </c>
      <c r="J246" s="18" t="s">
        <v>2527</v>
      </c>
      <c r="K246" s="15" t="s">
        <v>2513</v>
      </c>
      <c r="M246" s="22"/>
      <c r="O246" s="15">
        <v>4.0</v>
      </c>
      <c r="Y246" s="15">
        <v>23.0</v>
      </c>
      <c r="Z246" s="15">
        <v>57.0</v>
      </c>
      <c r="AE246" s="15">
        <v>4.0</v>
      </c>
      <c r="AR246" s="15">
        <v>1.0</v>
      </c>
      <c r="BG246" s="22"/>
      <c r="BH246" s="12">
        <f t="shared" ref="BH246:BH275" si="11">SUM(L246:BG246)</f>
        <v>89</v>
      </c>
    </row>
    <row r="247" ht="36.75" customHeight="1">
      <c r="A247" s="26">
        <v>42042.0</v>
      </c>
      <c r="B247" s="18" t="s">
        <v>2530</v>
      </c>
      <c r="C247" s="18" t="s">
        <v>2531</v>
      </c>
      <c r="D247" s="18" t="s">
        <v>2532</v>
      </c>
      <c r="E247" s="18" t="s">
        <v>294</v>
      </c>
      <c r="F247" s="18">
        <v>27.474033</v>
      </c>
      <c r="G247" s="18">
        <v>-80.290217</v>
      </c>
      <c r="H247" s="15">
        <v>27.47325</v>
      </c>
      <c r="I247" s="15">
        <v>-80.28995</v>
      </c>
      <c r="J247" s="15" t="s">
        <v>2534</v>
      </c>
      <c r="K247" s="15" t="s">
        <v>2535</v>
      </c>
      <c r="AF247" s="15">
        <v>14.0</v>
      </c>
      <c r="AK247" s="15">
        <v>40.0</v>
      </c>
      <c r="AW247" s="15">
        <v>25.0</v>
      </c>
      <c r="AZ247" s="15">
        <v>37.0</v>
      </c>
      <c r="BH247" s="12">
        <f t="shared" si="11"/>
        <v>116</v>
      </c>
    </row>
    <row r="248" ht="36.75" customHeight="1">
      <c r="A248" s="26">
        <v>42043.0</v>
      </c>
      <c r="B248" s="18" t="s">
        <v>2539</v>
      </c>
      <c r="C248" s="18" t="s">
        <v>2540</v>
      </c>
      <c r="D248" s="18" t="s">
        <v>2541</v>
      </c>
      <c r="E248" s="18" t="s">
        <v>294</v>
      </c>
      <c r="F248" s="18">
        <v>27.4951</v>
      </c>
      <c r="G248" s="18">
        <v>-80.2987</v>
      </c>
      <c r="H248" s="18">
        <v>27.483</v>
      </c>
      <c r="I248" s="16">
        <v>-80.2948</v>
      </c>
      <c r="J248" s="18" t="s">
        <v>2542</v>
      </c>
      <c r="K248" s="15" t="s">
        <v>2543</v>
      </c>
      <c r="M248" s="22"/>
      <c r="R248" s="15">
        <v>3.0</v>
      </c>
      <c r="Z248" s="15">
        <v>3.0</v>
      </c>
      <c r="AA248" s="15">
        <v>4.0</v>
      </c>
      <c r="AE248" s="15">
        <v>1.0</v>
      </c>
      <c r="AW248" s="15">
        <v>1.0</v>
      </c>
      <c r="AY248" s="15">
        <v>2.0</v>
      </c>
      <c r="AZ248" s="15">
        <v>23.0</v>
      </c>
      <c r="BG248" s="18">
        <v>28.0</v>
      </c>
      <c r="BH248" s="12">
        <f t="shared" si="11"/>
        <v>65</v>
      </c>
    </row>
    <row r="249" ht="36.75" customHeight="1">
      <c r="A249" s="26">
        <v>42043.0</v>
      </c>
      <c r="B249" s="18" t="s">
        <v>2530</v>
      </c>
      <c r="C249" s="18" t="s">
        <v>2531</v>
      </c>
      <c r="D249" s="18" t="s">
        <v>2532</v>
      </c>
      <c r="E249" s="18" t="s">
        <v>294</v>
      </c>
      <c r="F249" s="18">
        <v>27.474033</v>
      </c>
      <c r="G249" s="18">
        <v>-80.290217</v>
      </c>
      <c r="H249" s="15">
        <v>27.47325</v>
      </c>
      <c r="I249" s="15">
        <v>-80.28995</v>
      </c>
      <c r="J249" s="15" t="s">
        <v>2534</v>
      </c>
      <c r="K249" s="15" t="s">
        <v>2535</v>
      </c>
      <c r="Y249" s="15">
        <v>12.0</v>
      </c>
      <c r="AK249" s="15">
        <v>41.0</v>
      </c>
      <c r="AZ249" s="15">
        <v>37.0</v>
      </c>
      <c r="BH249" s="12">
        <f t="shared" si="11"/>
        <v>90</v>
      </c>
    </row>
    <row r="250" ht="36.75" customHeight="1">
      <c r="A250" s="14">
        <v>42044.0</v>
      </c>
      <c r="B250" s="15" t="s">
        <v>2554</v>
      </c>
      <c r="C250" s="15" t="s">
        <v>2555</v>
      </c>
      <c r="D250" s="15" t="s">
        <v>2556</v>
      </c>
      <c r="E250" s="15" t="s">
        <v>294</v>
      </c>
      <c r="F250" s="15" t="s">
        <v>2557</v>
      </c>
      <c r="G250" s="15" t="s">
        <v>2558</v>
      </c>
      <c r="H250" s="15" t="s">
        <v>2559</v>
      </c>
      <c r="I250" s="17" t="s">
        <v>2561</v>
      </c>
      <c r="J250" s="15" t="s">
        <v>2562</v>
      </c>
      <c r="K250" s="15" t="s">
        <v>2563</v>
      </c>
      <c r="N250" s="15">
        <v>6.0</v>
      </c>
      <c r="Q250" s="15">
        <v>1.0</v>
      </c>
      <c r="Y250" s="15">
        <v>2.0</v>
      </c>
      <c r="Z250" s="15">
        <v>182.0</v>
      </c>
      <c r="AH250" s="15">
        <v>2.0</v>
      </c>
      <c r="AN250" s="15">
        <v>3.0</v>
      </c>
      <c r="AU250" s="15">
        <v>12.0</v>
      </c>
      <c r="AV250" s="15">
        <v>11.0</v>
      </c>
      <c r="AW250" s="15">
        <v>1.0</v>
      </c>
      <c r="AX250" s="15">
        <v>4.0</v>
      </c>
      <c r="AY250" s="15">
        <v>71.0</v>
      </c>
      <c r="AZ250" s="15">
        <v>5.0</v>
      </c>
      <c r="BH250" s="12">
        <f t="shared" si="11"/>
        <v>300</v>
      </c>
      <c r="BI250" s="15" t="s">
        <v>2570</v>
      </c>
    </row>
    <row r="251" ht="36.75" customHeight="1">
      <c r="A251" s="26">
        <v>42044.0</v>
      </c>
      <c r="B251" s="18" t="s">
        <v>2530</v>
      </c>
      <c r="C251" s="18" t="s">
        <v>2531</v>
      </c>
      <c r="D251" s="18" t="s">
        <v>2532</v>
      </c>
      <c r="E251" s="18" t="s">
        <v>294</v>
      </c>
      <c r="F251" s="18">
        <v>27.474033</v>
      </c>
      <c r="G251" s="18">
        <v>-80.290217</v>
      </c>
      <c r="H251" s="15">
        <v>27.47325</v>
      </c>
      <c r="I251" s="15">
        <v>-80.28995</v>
      </c>
      <c r="J251" s="15" t="s">
        <v>2534</v>
      </c>
      <c r="K251" s="15" t="s">
        <v>2572</v>
      </c>
      <c r="Y251" s="15">
        <v>6.0</v>
      </c>
      <c r="Z251" s="15">
        <v>12.0</v>
      </c>
      <c r="AF251" s="15">
        <v>18.0</v>
      </c>
      <c r="AN251" s="15">
        <v>4.0</v>
      </c>
      <c r="BH251" s="12">
        <f t="shared" si="11"/>
        <v>40</v>
      </c>
    </row>
    <row r="252" ht="36.75" customHeight="1">
      <c r="A252" s="26">
        <v>42045.0</v>
      </c>
      <c r="B252" s="18" t="s">
        <v>2530</v>
      </c>
      <c r="C252" s="18" t="s">
        <v>2531</v>
      </c>
      <c r="D252" s="18" t="s">
        <v>2532</v>
      </c>
      <c r="E252" s="18" t="s">
        <v>294</v>
      </c>
      <c r="F252" s="18">
        <v>27.474033</v>
      </c>
      <c r="G252" s="18">
        <v>-80.290217</v>
      </c>
      <c r="H252" s="15">
        <v>27.47325</v>
      </c>
      <c r="I252" s="15">
        <v>-80.28995</v>
      </c>
      <c r="J252" s="15" t="s">
        <v>2534</v>
      </c>
      <c r="K252" s="15" t="s">
        <v>2535</v>
      </c>
      <c r="Y252" s="15">
        <v>10.0</v>
      </c>
      <c r="AK252" s="15">
        <v>58.0</v>
      </c>
      <c r="AW252" s="15">
        <v>4.0</v>
      </c>
      <c r="AY252" s="15">
        <v>6.0</v>
      </c>
      <c r="AZ252" s="15">
        <v>90.0</v>
      </c>
      <c r="BH252" s="12">
        <f t="shared" si="11"/>
        <v>168</v>
      </c>
    </row>
    <row r="253" ht="36.75" customHeight="1">
      <c r="A253" s="26">
        <v>42046.0</v>
      </c>
      <c r="B253" s="18" t="s">
        <v>2530</v>
      </c>
      <c r="C253" s="18" t="s">
        <v>2531</v>
      </c>
      <c r="D253" s="18" t="s">
        <v>2532</v>
      </c>
      <c r="E253" s="18" t="s">
        <v>294</v>
      </c>
      <c r="F253" s="18">
        <v>27.474033</v>
      </c>
      <c r="G253" s="18">
        <v>-80.290217</v>
      </c>
      <c r="H253" s="15">
        <v>27.47325</v>
      </c>
      <c r="I253" s="15">
        <v>-80.28995</v>
      </c>
      <c r="J253" s="15" t="s">
        <v>2534</v>
      </c>
      <c r="K253" s="15" t="s">
        <v>2535</v>
      </c>
      <c r="AK253" s="15">
        <v>44.0</v>
      </c>
      <c r="AL253" s="15">
        <v>6.0</v>
      </c>
      <c r="AN253" s="15">
        <v>3.0</v>
      </c>
      <c r="AW253" s="15">
        <v>10.0</v>
      </c>
      <c r="BH253" s="12">
        <f t="shared" si="11"/>
        <v>63</v>
      </c>
    </row>
    <row r="254" ht="36.75" customHeight="1">
      <c r="A254" s="26">
        <v>42047.0</v>
      </c>
      <c r="B254" s="18" t="s">
        <v>2530</v>
      </c>
      <c r="C254" s="18" t="s">
        <v>2531</v>
      </c>
      <c r="D254" s="18" t="s">
        <v>2532</v>
      </c>
      <c r="E254" s="18" t="s">
        <v>294</v>
      </c>
      <c r="F254" s="18">
        <v>27.474033</v>
      </c>
      <c r="G254" s="18">
        <v>-80.290217</v>
      </c>
      <c r="H254" s="15">
        <v>27.47325</v>
      </c>
      <c r="I254" s="15">
        <v>-80.28995</v>
      </c>
      <c r="J254" s="15" t="s">
        <v>2534</v>
      </c>
      <c r="K254" s="15" t="s">
        <v>2535</v>
      </c>
      <c r="Y254" s="15">
        <v>7.0</v>
      </c>
      <c r="AF254" s="15">
        <v>11.0</v>
      </c>
      <c r="AK254" s="15">
        <v>33.0</v>
      </c>
      <c r="AN254" s="15">
        <v>4.0</v>
      </c>
      <c r="AZ254" s="15">
        <v>27.0</v>
      </c>
      <c r="BH254" s="12">
        <f t="shared" si="11"/>
        <v>82</v>
      </c>
    </row>
    <row r="255" ht="36.75" customHeight="1">
      <c r="A255" s="26">
        <v>42046.0</v>
      </c>
      <c r="B255" s="18" t="s">
        <v>1787</v>
      </c>
      <c r="C255" s="18" t="s">
        <v>1221</v>
      </c>
      <c r="D255" s="18" t="s">
        <v>2585</v>
      </c>
      <c r="E255" s="18" t="s">
        <v>2586</v>
      </c>
      <c r="F255" s="16" t="s">
        <v>2587</v>
      </c>
      <c r="G255" s="16" t="s">
        <v>2588</v>
      </c>
      <c r="H255" s="16" t="s">
        <v>2589</v>
      </c>
      <c r="I255" s="17" t="s">
        <v>2590</v>
      </c>
      <c r="J255" s="15" t="s">
        <v>2591</v>
      </c>
      <c r="K255" s="15" t="s">
        <v>1229</v>
      </c>
      <c r="L255" s="15">
        <v>2.0</v>
      </c>
      <c r="M255" s="22"/>
      <c r="Y255" s="15">
        <v>11.0</v>
      </c>
      <c r="Z255" s="15">
        <v>9.0</v>
      </c>
      <c r="AE255" s="15">
        <v>2.0</v>
      </c>
      <c r="AN255" s="15">
        <v>57.0</v>
      </c>
      <c r="AO255" s="15">
        <v>2.0</v>
      </c>
      <c r="AQ255" s="15">
        <v>83.0</v>
      </c>
      <c r="AV255" s="15">
        <v>52.0</v>
      </c>
      <c r="AW255" s="15">
        <v>4.0</v>
      </c>
      <c r="AY255" s="15">
        <v>31.0</v>
      </c>
      <c r="AZ255" s="15">
        <v>2.0</v>
      </c>
      <c r="BC255" s="15">
        <v>17.0</v>
      </c>
      <c r="BG255" s="22"/>
      <c r="BH255" s="12">
        <f t="shared" si="11"/>
        <v>272</v>
      </c>
    </row>
    <row r="256" ht="36.75" customHeight="1">
      <c r="A256" s="24">
        <v>42041.0</v>
      </c>
      <c r="B256" s="18" t="s">
        <v>2594</v>
      </c>
      <c r="C256" s="18" t="s">
        <v>2595</v>
      </c>
      <c r="D256" s="18" t="s">
        <v>2597</v>
      </c>
      <c r="E256" s="18" t="s">
        <v>2598</v>
      </c>
      <c r="F256" s="17">
        <v>29.77905</v>
      </c>
      <c r="G256" s="17">
        <v>-83.58059</v>
      </c>
      <c r="H256" s="17">
        <v>29.77905</v>
      </c>
      <c r="I256" s="17">
        <v>-83.58059</v>
      </c>
      <c r="J256" s="15" t="s">
        <v>2603</v>
      </c>
      <c r="K256" s="15" t="s">
        <v>2604</v>
      </c>
      <c r="L256" s="15">
        <v>0.0</v>
      </c>
      <c r="M256" s="15">
        <v>0.0</v>
      </c>
      <c r="N256" s="15">
        <v>41.0</v>
      </c>
      <c r="O256" s="15">
        <v>1400.0</v>
      </c>
      <c r="P256" s="15">
        <v>14.0</v>
      </c>
      <c r="Q256" s="15">
        <v>0.0</v>
      </c>
      <c r="R256" s="15">
        <v>200.0</v>
      </c>
      <c r="S256" s="15">
        <v>0.0</v>
      </c>
      <c r="T256" s="15">
        <v>0.0</v>
      </c>
      <c r="U256" s="15">
        <v>0.0</v>
      </c>
      <c r="V256" s="15">
        <v>0.0</v>
      </c>
      <c r="W256" s="15">
        <v>0.0</v>
      </c>
      <c r="X256" s="15">
        <v>3.0</v>
      </c>
      <c r="Y256" s="15">
        <v>1.0</v>
      </c>
      <c r="Z256" s="15">
        <v>0.0</v>
      </c>
      <c r="AA256" s="15">
        <v>156.0</v>
      </c>
      <c r="AB256" s="15">
        <v>0.0</v>
      </c>
      <c r="AC256" s="15">
        <v>0.0</v>
      </c>
      <c r="AD256" s="15">
        <v>0.0</v>
      </c>
      <c r="AE256" s="15">
        <v>0.0</v>
      </c>
      <c r="AF256" s="15">
        <v>150.0</v>
      </c>
      <c r="AG256" s="15">
        <v>0.0</v>
      </c>
      <c r="AH256" s="15">
        <v>0.0</v>
      </c>
      <c r="AI256" s="15">
        <v>0.0</v>
      </c>
      <c r="AJ256" s="15">
        <v>0.0</v>
      </c>
      <c r="AK256" s="15">
        <v>0.0</v>
      </c>
      <c r="AL256" s="15">
        <v>0.0</v>
      </c>
      <c r="AM256" s="15">
        <v>0.0</v>
      </c>
      <c r="AN256" s="15">
        <v>0.0</v>
      </c>
      <c r="AO256" s="15">
        <v>0.0</v>
      </c>
      <c r="AP256" s="15">
        <v>0.0</v>
      </c>
      <c r="AQ256" s="15">
        <v>0.0</v>
      </c>
      <c r="AR256" s="15">
        <v>0.0</v>
      </c>
      <c r="AS256" s="15">
        <v>0.0</v>
      </c>
      <c r="AT256" s="15">
        <v>0.0</v>
      </c>
      <c r="AU256" s="15">
        <v>0.0</v>
      </c>
      <c r="AV256" s="15">
        <v>0.0</v>
      </c>
      <c r="AW256" s="15">
        <v>0.0</v>
      </c>
      <c r="AX256" s="15">
        <v>0.0</v>
      </c>
      <c r="AY256" s="15">
        <v>8.0</v>
      </c>
      <c r="AZ256" s="15">
        <v>0.0</v>
      </c>
      <c r="BA256" s="15">
        <v>0.0</v>
      </c>
      <c r="BB256" s="15">
        <v>0.0</v>
      </c>
      <c r="BC256" s="15">
        <v>0.0</v>
      </c>
      <c r="BD256" s="15">
        <v>300.0</v>
      </c>
      <c r="BE256" s="15">
        <v>0.0</v>
      </c>
      <c r="BF256" s="15">
        <v>0.0</v>
      </c>
      <c r="BG256" s="15">
        <v>0.0</v>
      </c>
      <c r="BH256" s="12">
        <f t="shared" si="11"/>
        <v>2273</v>
      </c>
    </row>
    <row r="257" ht="36.75" customHeight="1">
      <c r="A257" s="26">
        <v>42041.0</v>
      </c>
      <c r="B257" s="18" t="s">
        <v>2613</v>
      </c>
      <c r="C257" s="18" t="s">
        <v>2614</v>
      </c>
      <c r="D257" s="18" t="s">
        <v>2615</v>
      </c>
      <c r="E257" s="18" t="s">
        <v>679</v>
      </c>
      <c r="F257" s="48">
        <v>29.063453</v>
      </c>
      <c r="G257" s="48">
        <v>-80.907167</v>
      </c>
      <c r="H257" s="18">
        <v>28.961917</v>
      </c>
      <c r="I257" s="16">
        <v>-80.829803</v>
      </c>
      <c r="J257" s="20" t="s">
        <v>2617</v>
      </c>
      <c r="K257" s="15" t="s">
        <v>2618</v>
      </c>
      <c r="L257" s="15">
        <v>0.0</v>
      </c>
      <c r="M257" s="18">
        <v>0.0</v>
      </c>
      <c r="N257" s="15">
        <v>1.0</v>
      </c>
      <c r="O257" s="18">
        <v>0.0</v>
      </c>
      <c r="P257" s="15">
        <v>0.0</v>
      </c>
      <c r="Q257" s="15">
        <v>6.0</v>
      </c>
      <c r="R257" s="15">
        <v>1.0</v>
      </c>
      <c r="S257" s="15">
        <v>1.0</v>
      </c>
      <c r="T257" s="15">
        <v>0.0</v>
      </c>
      <c r="U257" s="15">
        <v>0.0</v>
      </c>
      <c r="V257" s="15">
        <v>0.0</v>
      </c>
      <c r="W257" s="15">
        <v>0.0</v>
      </c>
      <c r="X257" s="18">
        <v>86.0</v>
      </c>
      <c r="Y257" s="15">
        <v>113.0</v>
      </c>
      <c r="Z257" s="15">
        <v>92.0</v>
      </c>
      <c r="AA257" s="15">
        <v>1.0</v>
      </c>
      <c r="AB257" s="15">
        <v>0.0</v>
      </c>
      <c r="AC257" s="15">
        <v>0.0</v>
      </c>
      <c r="AD257" s="15">
        <v>0.0</v>
      </c>
      <c r="AE257" s="15">
        <v>1.0</v>
      </c>
      <c r="AF257" s="15">
        <v>0.0</v>
      </c>
      <c r="AG257" s="15">
        <v>0.0</v>
      </c>
      <c r="AH257" s="15">
        <v>64.0</v>
      </c>
      <c r="AI257" s="15">
        <v>0.0</v>
      </c>
      <c r="AJ257" s="15">
        <v>0.0</v>
      </c>
      <c r="AK257" s="15">
        <v>7.0</v>
      </c>
      <c r="AL257" s="15">
        <v>0.0</v>
      </c>
      <c r="AM257" s="15">
        <v>0.0</v>
      </c>
      <c r="AN257" s="15">
        <v>576.0</v>
      </c>
      <c r="AO257" s="15">
        <v>1.0</v>
      </c>
      <c r="AP257" s="15">
        <v>0.0</v>
      </c>
      <c r="AQ257" s="15">
        <v>184.0</v>
      </c>
      <c r="AR257" s="15">
        <v>80.0</v>
      </c>
      <c r="AS257" s="15">
        <v>0.0</v>
      </c>
      <c r="AT257" s="15">
        <v>0.0</v>
      </c>
      <c r="AU257" s="15">
        <v>8.0</v>
      </c>
      <c r="AV257" s="15">
        <v>8.0</v>
      </c>
      <c r="AW257" s="15">
        <v>371.0</v>
      </c>
      <c r="AX257" s="15">
        <v>0.0</v>
      </c>
      <c r="AY257" s="15">
        <v>677.0</v>
      </c>
      <c r="AZ257" s="18">
        <v>297.0</v>
      </c>
      <c r="BA257" s="15">
        <v>8.0</v>
      </c>
      <c r="BB257" s="15">
        <v>0.0</v>
      </c>
      <c r="BC257" s="15">
        <v>362.0</v>
      </c>
      <c r="BD257" s="15">
        <v>0.0</v>
      </c>
      <c r="BE257" s="15">
        <v>0.0</v>
      </c>
      <c r="BF257" s="15">
        <v>0.0</v>
      </c>
      <c r="BG257" s="15">
        <v>0.0</v>
      </c>
      <c r="BH257" s="12">
        <f t="shared" si="11"/>
        <v>2945</v>
      </c>
      <c r="BI257" s="15" t="s">
        <v>2624</v>
      </c>
    </row>
    <row r="258" ht="36.75" customHeight="1">
      <c r="A258" s="26">
        <v>42041.0</v>
      </c>
      <c r="B258" s="18" t="s">
        <v>784</v>
      </c>
      <c r="C258" s="18" t="s">
        <v>785</v>
      </c>
      <c r="D258" s="18" t="s">
        <v>2627</v>
      </c>
      <c r="E258" s="18" t="s">
        <v>679</v>
      </c>
      <c r="F258" s="18">
        <v>29.421661</v>
      </c>
      <c r="G258" s="18">
        <v>-81.103161</v>
      </c>
      <c r="H258" s="18">
        <v>29.41825</v>
      </c>
      <c r="I258" s="17">
        <v>-81.101874</v>
      </c>
      <c r="J258" s="15" t="s">
        <v>2630</v>
      </c>
      <c r="K258" s="15" t="s">
        <v>2631</v>
      </c>
      <c r="L258" s="15">
        <v>0.0</v>
      </c>
      <c r="M258" s="18">
        <v>0.0</v>
      </c>
      <c r="N258" s="15">
        <v>0.0</v>
      </c>
      <c r="O258" s="15">
        <v>0.0</v>
      </c>
      <c r="P258" s="15">
        <v>0.0</v>
      </c>
      <c r="Q258" s="15">
        <v>0.0</v>
      </c>
      <c r="R258" s="15">
        <v>0.0</v>
      </c>
      <c r="S258" s="15">
        <v>0.0</v>
      </c>
      <c r="T258" s="15">
        <v>0.0</v>
      </c>
      <c r="U258" s="15">
        <v>0.0</v>
      </c>
      <c r="V258" s="15">
        <v>0.0</v>
      </c>
      <c r="W258" s="15">
        <v>0.0</v>
      </c>
      <c r="X258" s="15">
        <v>0.0</v>
      </c>
      <c r="Y258" s="15">
        <v>0.0</v>
      </c>
      <c r="Z258" s="15">
        <v>0.0</v>
      </c>
      <c r="AA258" s="15">
        <v>0.0</v>
      </c>
      <c r="AB258" s="15">
        <v>0.0</v>
      </c>
      <c r="AC258" s="15">
        <v>0.0</v>
      </c>
      <c r="AD258" s="15">
        <v>0.0</v>
      </c>
      <c r="AE258" s="15">
        <v>0.0</v>
      </c>
      <c r="AF258" s="15">
        <v>0.0</v>
      </c>
      <c r="AG258" s="15">
        <v>0.0</v>
      </c>
      <c r="AH258" s="15">
        <v>0.0</v>
      </c>
      <c r="AI258" s="15">
        <v>0.0</v>
      </c>
      <c r="AJ258" s="15">
        <v>0.0</v>
      </c>
      <c r="AK258" s="15">
        <v>0.0</v>
      </c>
      <c r="AL258" s="15">
        <v>0.0</v>
      </c>
      <c r="AM258" s="15">
        <v>0.0</v>
      </c>
      <c r="AN258" s="15">
        <v>1.0</v>
      </c>
      <c r="AO258" s="15">
        <v>0.0</v>
      </c>
      <c r="AP258" s="15">
        <v>0.0</v>
      </c>
      <c r="AQ258" s="15">
        <v>0.0</v>
      </c>
      <c r="AR258" s="15">
        <v>0.0</v>
      </c>
      <c r="AS258" s="15">
        <v>0.0</v>
      </c>
      <c r="AT258" s="15">
        <v>0.0</v>
      </c>
      <c r="AU258" s="15">
        <v>0.0</v>
      </c>
      <c r="AV258" s="15">
        <v>0.0</v>
      </c>
      <c r="AW258" s="15">
        <v>0.0</v>
      </c>
      <c r="AX258" s="15">
        <v>0.0</v>
      </c>
      <c r="AY258" s="15">
        <v>2.0</v>
      </c>
      <c r="AZ258" s="15">
        <v>2.0</v>
      </c>
      <c r="BA258" s="15">
        <v>0.0</v>
      </c>
      <c r="BB258" s="15">
        <v>0.0</v>
      </c>
      <c r="BC258" s="15">
        <v>0.0</v>
      </c>
      <c r="BD258" s="15">
        <v>0.0</v>
      </c>
      <c r="BE258" s="15">
        <v>0.0</v>
      </c>
      <c r="BF258" s="15">
        <v>0.0</v>
      </c>
      <c r="BG258" s="18">
        <v>0.0</v>
      </c>
      <c r="BH258" s="12">
        <f t="shared" si="11"/>
        <v>5</v>
      </c>
    </row>
    <row r="259" ht="36.75" customHeight="1">
      <c r="A259" s="26">
        <v>42041.0</v>
      </c>
      <c r="B259" s="18" t="s">
        <v>784</v>
      </c>
      <c r="C259" s="18" t="s">
        <v>785</v>
      </c>
      <c r="D259" s="18" t="s">
        <v>2641</v>
      </c>
      <c r="E259" s="18" t="s">
        <v>679</v>
      </c>
      <c r="F259" s="18">
        <v>29.405848</v>
      </c>
      <c r="G259" s="18">
        <v>-81.096659</v>
      </c>
      <c r="H259" s="18">
        <v>29.394176</v>
      </c>
      <c r="I259" s="17">
        <v>-81.091952</v>
      </c>
      <c r="J259" s="15" t="s">
        <v>2644</v>
      </c>
      <c r="K259" s="15" t="s">
        <v>2645</v>
      </c>
      <c r="L259" s="15">
        <v>0.0</v>
      </c>
      <c r="M259" s="18">
        <v>0.0</v>
      </c>
      <c r="N259" s="15">
        <v>0.0</v>
      </c>
      <c r="O259" s="15">
        <v>0.0</v>
      </c>
      <c r="P259" s="15">
        <v>0.0</v>
      </c>
      <c r="Q259" s="15">
        <v>8.0</v>
      </c>
      <c r="R259" s="15">
        <v>6.0</v>
      </c>
      <c r="S259" s="15">
        <v>0.0</v>
      </c>
      <c r="T259" s="15">
        <v>0.0</v>
      </c>
      <c r="U259" s="15">
        <v>0.0</v>
      </c>
      <c r="V259" s="15">
        <v>0.0</v>
      </c>
      <c r="W259" s="15">
        <v>0.0</v>
      </c>
      <c r="X259" s="15">
        <v>0.0</v>
      </c>
      <c r="Y259" s="15">
        <v>0.0</v>
      </c>
      <c r="Z259" s="15">
        <v>0.0</v>
      </c>
      <c r="AA259" s="15">
        <v>0.0</v>
      </c>
      <c r="AB259" s="15">
        <v>0.0</v>
      </c>
      <c r="AC259" s="15">
        <v>0.0</v>
      </c>
      <c r="AD259" s="15">
        <v>0.0</v>
      </c>
      <c r="AE259" s="15">
        <v>0.0</v>
      </c>
      <c r="AF259" s="15">
        <v>0.0</v>
      </c>
      <c r="AG259" s="15">
        <v>0.0</v>
      </c>
      <c r="AH259" s="15">
        <v>0.0</v>
      </c>
      <c r="AI259" s="15">
        <v>0.0</v>
      </c>
      <c r="AJ259" s="15">
        <v>0.0</v>
      </c>
      <c r="AK259" s="15">
        <v>0.0</v>
      </c>
      <c r="AL259" s="15">
        <v>0.0</v>
      </c>
      <c r="AM259" s="15">
        <v>0.0</v>
      </c>
      <c r="AN259" s="15">
        <v>2.0</v>
      </c>
      <c r="AO259" s="15">
        <v>0.0</v>
      </c>
      <c r="AP259" s="15">
        <v>0.0</v>
      </c>
      <c r="AQ259" s="15">
        <v>9.0</v>
      </c>
      <c r="AR259" s="15">
        <v>0.0</v>
      </c>
      <c r="AS259" s="15">
        <v>0.0</v>
      </c>
      <c r="AT259" s="15">
        <v>0.0</v>
      </c>
      <c r="AU259" s="15">
        <v>0.0</v>
      </c>
      <c r="AV259" s="15">
        <v>0.0</v>
      </c>
      <c r="AW259" s="15">
        <v>0.0</v>
      </c>
      <c r="AX259" s="15">
        <v>0.0</v>
      </c>
      <c r="AY259" s="15">
        <v>1.0</v>
      </c>
      <c r="AZ259" s="15">
        <v>2.0</v>
      </c>
      <c r="BA259" s="15">
        <v>0.0</v>
      </c>
      <c r="BB259" s="15">
        <v>0.0</v>
      </c>
      <c r="BC259" s="15">
        <v>0.0</v>
      </c>
      <c r="BD259" s="15">
        <v>0.0</v>
      </c>
      <c r="BE259" s="15">
        <v>0.0</v>
      </c>
      <c r="BF259" s="15">
        <v>0.0</v>
      </c>
      <c r="BG259" s="18">
        <v>0.0</v>
      </c>
      <c r="BH259" s="12">
        <f t="shared" si="11"/>
        <v>28</v>
      </c>
    </row>
    <row r="260" ht="36.75" customHeight="1">
      <c r="A260" s="24">
        <v>42045.0</v>
      </c>
      <c r="B260" s="18" t="s">
        <v>675</v>
      </c>
      <c r="C260" s="18" t="s">
        <v>2653</v>
      </c>
      <c r="D260" s="18" t="s">
        <v>678</v>
      </c>
      <c r="E260" s="18" t="s">
        <v>679</v>
      </c>
      <c r="F260" s="16">
        <v>29.076041</v>
      </c>
      <c r="G260" s="16">
        <v>-80.925754</v>
      </c>
      <c r="H260" s="16">
        <v>29.062266</v>
      </c>
      <c r="I260" s="17">
        <v>-80.918727</v>
      </c>
      <c r="J260" s="15" t="s">
        <v>2655</v>
      </c>
      <c r="K260" s="15" t="s">
        <v>2656</v>
      </c>
      <c r="L260" s="15">
        <v>0.0</v>
      </c>
      <c r="M260" s="15">
        <v>0.0</v>
      </c>
      <c r="N260" s="15">
        <v>22.0</v>
      </c>
      <c r="O260" s="15">
        <v>302.0</v>
      </c>
      <c r="P260" s="15">
        <v>24.0</v>
      </c>
      <c r="Q260" s="15">
        <v>0.0</v>
      </c>
      <c r="R260" s="15">
        <v>2.0</v>
      </c>
      <c r="S260" s="15">
        <v>0.0</v>
      </c>
      <c r="T260" s="15">
        <v>0.0</v>
      </c>
      <c r="U260" s="15">
        <v>0.0</v>
      </c>
      <c r="V260" s="15">
        <v>0.0</v>
      </c>
      <c r="W260" s="15">
        <v>13.0</v>
      </c>
      <c r="X260" s="15">
        <v>397.0</v>
      </c>
      <c r="Y260" s="15">
        <v>31.0</v>
      </c>
      <c r="Z260" s="15">
        <v>147.0</v>
      </c>
      <c r="AA260" s="15">
        <v>76.0</v>
      </c>
      <c r="AB260" s="15">
        <v>0.0</v>
      </c>
      <c r="AC260" s="15">
        <v>0.0</v>
      </c>
      <c r="AD260" s="15">
        <v>0.0</v>
      </c>
      <c r="AE260" s="15">
        <v>0.0</v>
      </c>
      <c r="AF260" s="15">
        <v>22.0</v>
      </c>
      <c r="AG260" s="15">
        <v>0.0</v>
      </c>
      <c r="AH260" s="15">
        <v>17.0</v>
      </c>
      <c r="AI260" s="15">
        <v>18.0</v>
      </c>
      <c r="AJ260" s="15">
        <v>0.0</v>
      </c>
      <c r="AK260" s="15">
        <v>232.0</v>
      </c>
      <c r="AL260" s="15">
        <v>7.0</v>
      </c>
      <c r="AM260" s="15">
        <v>0.0</v>
      </c>
      <c r="AN260" s="15">
        <v>2.0</v>
      </c>
      <c r="AO260" s="15">
        <v>5.0</v>
      </c>
      <c r="AP260" s="15">
        <v>0.0</v>
      </c>
      <c r="AQ260" s="15">
        <v>5.0</v>
      </c>
      <c r="AR260" s="15">
        <v>84.0</v>
      </c>
      <c r="AS260" s="15">
        <v>0.0</v>
      </c>
      <c r="AT260" s="15">
        <v>0.0</v>
      </c>
      <c r="AU260" s="15">
        <v>4.0</v>
      </c>
      <c r="AV260" s="15">
        <v>397.0</v>
      </c>
      <c r="AW260" s="15">
        <v>388.0</v>
      </c>
      <c r="AX260" s="15">
        <v>1.0</v>
      </c>
      <c r="AY260" s="15">
        <v>105.0</v>
      </c>
      <c r="AZ260" s="15">
        <v>11.0</v>
      </c>
      <c r="BA260" s="15">
        <v>0.0</v>
      </c>
      <c r="BB260" s="15">
        <v>0.0</v>
      </c>
      <c r="BC260" s="15">
        <v>7.0</v>
      </c>
      <c r="BD260" s="15">
        <v>0.0</v>
      </c>
      <c r="BE260" s="15">
        <v>0.0</v>
      </c>
      <c r="BF260" s="15">
        <v>0.0</v>
      </c>
      <c r="BH260" s="12">
        <f t="shared" si="11"/>
        <v>2319</v>
      </c>
    </row>
    <row r="261" ht="36.75" customHeight="1">
      <c r="A261" s="26">
        <v>42045.0</v>
      </c>
      <c r="B261" s="18" t="s">
        <v>1502</v>
      </c>
      <c r="C261" s="18" t="s">
        <v>2659</v>
      </c>
      <c r="D261" s="18" t="s">
        <v>1505</v>
      </c>
      <c r="E261" s="18" t="s">
        <v>679</v>
      </c>
      <c r="F261" s="18">
        <v>29.078525</v>
      </c>
      <c r="G261" s="18">
        <v>80.918942</v>
      </c>
      <c r="H261" s="18">
        <v>29.47205</v>
      </c>
      <c r="I261" s="16">
        <v>81.102139</v>
      </c>
      <c r="J261" s="20" t="s">
        <v>2661</v>
      </c>
      <c r="K261" s="18" t="s">
        <v>2662</v>
      </c>
      <c r="M261" s="22"/>
      <c r="N261" s="18">
        <v>13.0</v>
      </c>
      <c r="W261" s="18">
        <v>1.0</v>
      </c>
      <c r="X261" s="18">
        <v>20.0</v>
      </c>
      <c r="Y261" s="18">
        <v>132.0</v>
      </c>
      <c r="Z261" s="18">
        <v>537.0</v>
      </c>
      <c r="AH261" s="18">
        <v>129.0</v>
      </c>
      <c r="AK261" s="18">
        <v>1300.0</v>
      </c>
      <c r="AL261" s="18">
        <v>5.0</v>
      </c>
      <c r="AN261" s="18">
        <v>111.0</v>
      </c>
      <c r="AQ261" s="18">
        <v>7.0</v>
      </c>
      <c r="AR261" s="18">
        <v>284.0</v>
      </c>
      <c r="AS261" s="22"/>
      <c r="AT261" s="22"/>
      <c r="AU261" s="18">
        <v>197.0</v>
      </c>
      <c r="AV261" s="18">
        <v>9330.0</v>
      </c>
      <c r="AW261" s="18">
        <v>46850.0</v>
      </c>
      <c r="AX261" s="18">
        <v>205.0</v>
      </c>
      <c r="AY261" s="18">
        <v>37150.0</v>
      </c>
      <c r="AZ261" s="18">
        <v>290.0</v>
      </c>
      <c r="BA261" s="18">
        <v>13.0</v>
      </c>
      <c r="BB261" s="22"/>
      <c r="BC261" s="22"/>
      <c r="BD261" s="22"/>
      <c r="BE261" s="22"/>
      <c r="BF261" s="22"/>
      <c r="BH261" s="12">
        <f t="shared" si="11"/>
        <v>96574</v>
      </c>
    </row>
    <row r="262" ht="36.75" customHeight="1">
      <c r="A262" s="14">
        <v>42042.0</v>
      </c>
      <c r="B262" s="18" t="s">
        <v>2669</v>
      </c>
      <c r="C262" s="18" t="s">
        <v>2670</v>
      </c>
      <c r="D262" s="15" t="s">
        <v>2671</v>
      </c>
      <c r="E262" s="15" t="s">
        <v>2672</v>
      </c>
      <c r="F262" s="15">
        <v>30.032507</v>
      </c>
      <c r="G262" s="15">
        <v>-84.390514</v>
      </c>
      <c r="H262" s="15">
        <v>29.969598</v>
      </c>
      <c r="I262" s="17">
        <v>-84.346906</v>
      </c>
      <c r="J262" s="15" t="s">
        <v>2673</v>
      </c>
      <c r="K262" s="15" t="s">
        <v>2674</v>
      </c>
      <c r="L262" s="15">
        <v>0.0</v>
      </c>
      <c r="M262" s="15">
        <v>0.0</v>
      </c>
      <c r="N262" s="15">
        <v>2.0</v>
      </c>
      <c r="O262" s="15">
        <v>0.0</v>
      </c>
      <c r="P262" s="15">
        <v>0.0</v>
      </c>
      <c r="Q262" s="15">
        <v>0.0</v>
      </c>
      <c r="R262" s="15">
        <v>0.0</v>
      </c>
      <c r="S262" s="15">
        <v>0.0</v>
      </c>
      <c r="T262" s="15">
        <v>0.0</v>
      </c>
      <c r="U262" s="15">
        <v>0.0</v>
      </c>
      <c r="V262" s="15">
        <v>0.0</v>
      </c>
      <c r="W262" s="15">
        <v>0.0</v>
      </c>
      <c r="X262" s="15">
        <v>0.0</v>
      </c>
      <c r="Y262" s="15">
        <v>0.0</v>
      </c>
      <c r="Z262" s="15">
        <v>0.0</v>
      </c>
      <c r="AA262" s="15">
        <v>0.0</v>
      </c>
      <c r="AB262" s="15">
        <v>0.0</v>
      </c>
      <c r="AC262" s="15">
        <v>0.0</v>
      </c>
      <c r="AD262" s="15">
        <v>0.0</v>
      </c>
      <c r="AE262" s="15">
        <v>0.0</v>
      </c>
      <c r="AF262" s="15">
        <v>0.0</v>
      </c>
      <c r="AG262" s="15">
        <v>0.0</v>
      </c>
      <c r="AH262" s="15">
        <v>0.0</v>
      </c>
      <c r="AI262" s="15">
        <v>0.0</v>
      </c>
      <c r="AJ262" s="15">
        <v>0.0</v>
      </c>
      <c r="AK262" s="15">
        <v>35.0</v>
      </c>
      <c r="AL262" s="15">
        <v>0.0</v>
      </c>
      <c r="AM262" s="15">
        <v>0.0</v>
      </c>
      <c r="AN262" s="15">
        <v>8.0</v>
      </c>
      <c r="AO262" s="15">
        <v>0.0</v>
      </c>
      <c r="AP262" s="15">
        <v>0.0</v>
      </c>
      <c r="AQ262" s="15">
        <v>0.0</v>
      </c>
      <c r="AR262" s="15">
        <v>0.0</v>
      </c>
      <c r="AS262" s="15">
        <v>0.0</v>
      </c>
      <c r="AT262" s="15">
        <v>0.0</v>
      </c>
      <c r="AU262" s="15">
        <v>0.0</v>
      </c>
      <c r="AV262" s="15">
        <v>0.0</v>
      </c>
      <c r="AW262" s="15">
        <v>4.0</v>
      </c>
      <c r="AX262" s="15">
        <v>0.0</v>
      </c>
      <c r="AY262" s="15">
        <v>23.0</v>
      </c>
      <c r="AZ262" s="15">
        <v>0.0</v>
      </c>
      <c r="BA262" s="15">
        <v>0.0</v>
      </c>
      <c r="BB262" s="15">
        <v>0.0</v>
      </c>
      <c r="BC262" s="15">
        <v>0.0</v>
      </c>
      <c r="BH262" s="12">
        <f t="shared" si="11"/>
        <v>72</v>
      </c>
    </row>
    <row r="263" ht="36.75" customHeight="1">
      <c r="A263" s="14">
        <v>42042.0</v>
      </c>
      <c r="B263" s="15" t="s">
        <v>74</v>
      </c>
      <c r="C263" s="15" t="s">
        <v>75</v>
      </c>
      <c r="D263" s="15" t="s">
        <v>2671</v>
      </c>
      <c r="E263" s="15" t="s">
        <v>2672</v>
      </c>
      <c r="F263" s="16">
        <v>29.97092</v>
      </c>
      <c r="G263" s="16">
        <v>-84.34388</v>
      </c>
      <c r="H263" s="16">
        <v>29.98202</v>
      </c>
      <c r="I263" s="17">
        <v>-84.35361</v>
      </c>
      <c r="J263" s="15" t="s">
        <v>2676</v>
      </c>
      <c r="K263" s="15" t="s">
        <v>2677</v>
      </c>
      <c r="N263" s="15">
        <v>8.0</v>
      </c>
      <c r="O263" s="15">
        <v>31.0</v>
      </c>
      <c r="P263" s="15">
        <v>10.0</v>
      </c>
      <c r="R263" s="15">
        <v>1.0</v>
      </c>
      <c r="Y263" s="15">
        <v>15.0</v>
      </c>
      <c r="AE263" s="15">
        <v>1.0</v>
      </c>
      <c r="AH263" s="15">
        <v>12.0</v>
      </c>
      <c r="AK263" s="15">
        <v>46.0</v>
      </c>
      <c r="AN263" s="15">
        <v>41.0</v>
      </c>
      <c r="AO263" s="15">
        <v>3.0</v>
      </c>
      <c r="AQ263" s="15">
        <v>1.0</v>
      </c>
      <c r="AR263" s="15">
        <v>1.0</v>
      </c>
      <c r="AV263" s="15">
        <v>9.0</v>
      </c>
      <c r="AW263" s="15">
        <v>18.0</v>
      </c>
      <c r="AY263" s="15">
        <v>113.0</v>
      </c>
      <c r="BC263" s="15">
        <v>6.0</v>
      </c>
      <c r="BH263" s="12">
        <f t="shared" si="11"/>
        <v>316</v>
      </c>
    </row>
    <row r="264" ht="36.75" customHeight="1">
      <c r="A264" s="26">
        <v>42041.0</v>
      </c>
      <c r="B264" s="18" t="s">
        <v>2680</v>
      </c>
      <c r="C264" s="18" t="s">
        <v>441</v>
      </c>
      <c r="D264" s="18" t="s">
        <v>442</v>
      </c>
      <c r="E264" s="18" t="s">
        <v>320</v>
      </c>
      <c r="F264" s="18">
        <v>30.31279</v>
      </c>
      <c r="G264" s="18">
        <v>-86.11918</v>
      </c>
      <c r="H264" s="18">
        <v>30.30624</v>
      </c>
      <c r="I264" s="16">
        <v>-86.0975</v>
      </c>
      <c r="J264" s="20" t="s">
        <v>2684</v>
      </c>
      <c r="K264" s="15" t="s">
        <v>2685</v>
      </c>
      <c r="M264" s="22"/>
      <c r="O264" s="22"/>
      <c r="P264" s="22"/>
      <c r="R264" s="22"/>
      <c r="W264" s="22"/>
      <c r="Z264" s="18">
        <v>18.0</v>
      </c>
      <c r="AH264" s="15">
        <v>2.0</v>
      </c>
      <c r="AL264" s="15">
        <v>2.0</v>
      </c>
      <c r="AN264" s="15">
        <v>6.0</v>
      </c>
      <c r="AR264" s="15">
        <v>5.0</v>
      </c>
      <c r="AW264" s="15">
        <v>28.0</v>
      </c>
      <c r="AY264" s="15">
        <v>7.0</v>
      </c>
      <c r="AZ264" s="22"/>
      <c r="BB264" s="22"/>
      <c r="BG264" s="22"/>
      <c r="BH264" s="12">
        <f t="shared" si="11"/>
        <v>68</v>
      </c>
      <c r="BI264" s="15" t="s">
        <v>2690</v>
      </c>
    </row>
    <row r="265" ht="36.75" customHeight="1">
      <c r="A265" s="26">
        <v>42044.0</v>
      </c>
      <c r="B265" s="18" t="s">
        <v>440</v>
      </c>
      <c r="C265" s="18" t="s">
        <v>441</v>
      </c>
      <c r="D265" s="18" t="s">
        <v>442</v>
      </c>
      <c r="E265" s="18" t="s">
        <v>320</v>
      </c>
      <c r="F265" s="18">
        <v>30.28978</v>
      </c>
      <c r="G265" s="18">
        <v>-86.05046</v>
      </c>
      <c r="H265" s="18">
        <v>30.2963</v>
      </c>
      <c r="I265" s="16">
        <v>-86.06839</v>
      </c>
      <c r="J265" s="20" t="s">
        <v>1820</v>
      </c>
      <c r="K265" s="18" t="s">
        <v>2693</v>
      </c>
      <c r="L265" s="22"/>
      <c r="M265" s="22"/>
      <c r="N265" s="22"/>
      <c r="O265" s="22"/>
      <c r="P265" s="22"/>
      <c r="Q265" s="22"/>
      <c r="R265" s="22"/>
      <c r="S265" s="22"/>
      <c r="T265" s="22"/>
      <c r="U265" s="22"/>
      <c r="V265" s="22"/>
      <c r="W265" s="22"/>
      <c r="X265" s="22"/>
      <c r="Y265" s="22"/>
      <c r="Z265" s="18">
        <v>25.0</v>
      </c>
      <c r="AA265" s="22"/>
      <c r="AB265" s="22"/>
      <c r="AC265" s="22"/>
      <c r="AD265" s="22"/>
      <c r="AE265" s="22"/>
      <c r="AF265" s="22"/>
      <c r="AG265" s="22"/>
      <c r="AH265" s="18">
        <v>1.0</v>
      </c>
      <c r="AI265" s="22"/>
      <c r="AJ265" s="22"/>
      <c r="AK265" s="22"/>
      <c r="AL265" s="18">
        <v>17.0</v>
      </c>
      <c r="AM265" s="22"/>
      <c r="AN265" s="22"/>
      <c r="AO265" s="22"/>
      <c r="AP265" s="22"/>
      <c r="AQ265" s="22"/>
      <c r="AR265" s="18">
        <v>4.0</v>
      </c>
      <c r="AS265" s="22"/>
      <c r="AT265" s="22"/>
      <c r="AU265" s="22"/>
      <c r="AV265" s="22"/>
      <c r="AW265" s="22"/>
      <c r="AX265" s="22"/>
      <c r="AY265" s="18">
        <v>2.0</v>
      </c>
      <c r="AZ265" s="22"/>
      <c r="BA265" s="22"/>
      <c r="BB265" s="22"/>
      <c r="BC265" s="22"/>
      <c r="BD265" s="22"/>
      <c r="BE265" s="22"/>
      <c r="BF265" s="22"/>
      <c r="BG265" s="22"/>
      <c r="BH265" s="12">
        <f t="shared" si="11"/>
        <v>49</v>
      </c>
    </row>
    <row r="266" ht="36.75" customHeight="1">
      <c r="A266" s="24">
        <v>42045.0</v>
      </c>
      <c r="B266" s="18" t="s">
        <v>102</v>
      </c>
      <c r="C266" s="18" t="s">
        <v>104</v>
      </c>
      <c r="D266" s="18" t="s">
        <v>319</v>
      </c>
      <c r="E266" s="18" t="s">
        <v>320</v>
      </c>
      <c r="F266" s="16">
        <v>30.30228</v>
      </c>
      <c r="G266" s="16">
        <v>-86.08517</v>
      </c>
      <c r="H266" s="16">
        <v>30.29919</v>
      </c>
      <c r="I266" s="17">
        <v>-86.07721</v>
      </c>
      <c r="J266" s="15" t="s">
        <v>2704</v>
      </c>
      <c r="K266" s="15" t="s">
        <v>2705</v>
      </c>
      <c r="L266" s="15">
        <v>0.0</v>
      </c>
      <c r="M266" s="15">
        <v>0.0</v>
      </c>
      <c r="N266" s="15">
        <v>0.0</v>
      </c>
      <c r="O266" s="15">
        <v>0.0</v>
      </c>
      <c r="P266" s="15">
        <v>0.0</v>
      </c>
      <c r="Q266" s="15">
        <v>0.0</v>
      </c>
      <c r="R266" s="15">
        <v>0.0</v>
      </c>
      <c r="S266" s="15">
        <v>0.0</v>
      </c>
      <c r="T266" s="15">
        <v>0.0</v>
      </c>
      <c r="U266" s="15">
        <v>0.0</v>
      </c>
      <c r="V266" s="15">
        <v>0.0</v>
      </c>
      <c r="W266" s="15">
        <v>0.0</v>
      </c>
      <c r="X266" s="15">
        <v>0.0</v>
      </c>
      <c r="Y266" s="15">
        <v>0.0</v>
      </c>
      <c r="Z266" s="15">
        <v>0.0</v>
      </c>
      <c r="AA266" s="15">
        <v>0.0</v>
      </c>
      <c r="AB266" s="15">
        <v>0.0</v>
      </c>
      <c r="AC266" s="15">
        <v>0.0</v>
      </c>
      <c r="AD266" s="15">
        <v>3.0</v>
      </c>
      <c r="AE266" s="15">
        <v>0.0</v>
      </c>
      <c r="AF266" s="15">
        <v>0.0</v>
      </c>
      <c r="AG266" s="15">
        <v>0.0</v>
      </c>
      <c r="AH266" s="15">
        <v>1.0</v>
      </c>
      <c r="AI266" s="15">
        <v>0.0</v>
      </c>
      <c r="AJ266" s="15">
        <v>0.0</v>
      </c>
      <c r="AK266" s="15">
        <v>0.0</v>
      </c>
      <c r="AL266" s="15">
        <v>0.0</v>
      </c>
      <c r="AM266" s="15">
        <v>0.0</v>
      </c>
      <c r="AN266" s="15">
        <v>0.0</v>
      </c>
      <c r="AO266" s="15">
        <v>0.0</v>
      </c>
      <c r="AP266" s="15">
        <v>0.0</v>
      </c>
      <c r="AQ266" s="15">
        <v>0.0</v>
      </c>
      <c r="AR266" s="15">
        <v>1.0</v>
      </c>
      <c r="AS266" s="15">
        <v>0.0</v>
      </c>
      <c r="AT266" s="15">
        <v>0.0</v>
      </c>
      <c r="AU266" s="15">
        <v>0.0</v>
      </c>
      <c r="AV266" s="15">
        <v>0.0</v>
      </c>
      <c r="AW266" s="15">
        <v>2.0</v>
      </c>
      <c r="AX266" s="15">
        <v>0.0</v>
      </c>
      <c r="AY266" s="15">
        <v>1.0</v>
      </c>
      <c r="AZ266" s="15">
        <v>0.0</v>
      </c>
      <c r="BA266" s="15">
        <v>0.0</v>
      </c>
      <c r="BB266" s="15">
        <v>0.0</v>
      </c>
      <c r="BC266" s="15">
        <v>0.0</v>
      </c>
      <c r="BD266" s="15">
        <v>0.0</v>
      </c>
      <c r="BE266" s="15">
        <v>0.0</v>
      </c>
      <c r="BF266" s="15">
        <v>0.0</v>
      </c>
      <c r="BH266" s="12">
        <f t="shared" si="11"/>
        <v>8</v>
      </c>
    </row>
    <row r="267" ht="36.75" customHeight="1">
      <c r="A267" s="26">
        <v>42045.0</v>
      </c>
      <c r="B267" s="18" t="s">
        <v>198</v>
      </c>
      <c r="C267" s="18" t="s">
        <v>338</v>
      </c>
      <c r="D267" s="18" t="s">
        <v>339</v>
      </c>
      <c r="E267" s="18" t="s">
        <v>320</v>
      </c>
      <c r="F267" s="18">
        <v>30.2993</v>
      </c>
      <c r="G267" s="18">
        <v>-86.07711</v>
      </c>
      <c r="H267" s="18">
        <v>30.29589</v>
      </c>
      <c r="I267" s="16">
        <v>-86.0647</v>
      </c>
      <c r="J267" s="20" t="s">
        <v>2712</v>
      </c>
      <c r="K267" s="15" t="s">
        <v>2714</v>
      </c>
      <c r="L267" s="15">
        <v>0.0</v>
      </c>
      <c r="M267" s="18">
        <v>0.0</v>
      </c>
      <c r="N267" s="15">
        <v>0.0</v>
      </c>
      <c r="O267" s="18">
        <v>0.0</v>
      </c>
      <c r="P267" s="18">
        <v>0.0</v>
      </c>
      <c r="Q267" s="15">
        <v>0.0</v>
      </c>
      <c r="R267" s="15">
        <v>0.0</v>
      </c>
      <c r="S267" s="15">
        <v>0.0</v>
      </c>
      <c r="T267" s="15">
        <v>0.0</v>
      </c>
      <c r="U267" s="15">
        <v>0.0</v>
      </c>
      <c r="V267" s="15">
        <v>0.0</v>
      </c>
      <c r="W267" s="18">
        <v>0.0</v>
      </c>
      <c r="X267" s="18">
        <v>0.0</v>
      </c>
      <c r="Y267" s="15">
        <v>0.0</v>
      </c>
      <c r="Z267" s="15">
        <v>7.0</v>
      </c>
      <c r="AA267" s="15">
        <v>0.0</v>
      </c>
      <c r="AB267" s="15">
        <v>0.0</v>
      </c>
      <c r="AC267" s="15">
        <v>0.0</v>
      </c>
      <c r="AD267" s="15">
        <v>2.0</v>
      </c>
      <c r="AE267" s="15">
        <v>0.0</v>
      </c>
      <c r="AF267" s="15">
        <v>0.0</v>
      </c>
      <c r="AG267" s="15">
        <v>0.0</v>
      </c>
      <c r="AH267" s="15">
        <v>0.0</v>
      </c>
      <c r="AI267" s="15">
        <v>0.0</v>
      </c>
      <c r="AJ267" s="15">
        <v>0.0</v>
      </c>
      <c r="AK267" s="15">
        <v>0.0</v>
      </c>
      <c r="AL267" s="15">
        <v>1.0</v>
      </c>
      <c r="AM267" s="15">
        <v>0.0</v>
      </c>
      <c r="AN267" s="15">
        <v>0.0</v>
      </c>
      <c r="AO267" s="15">
        <v>0.0</v>
      </c>
      <c r="AP267" s="15">
        <v>0.0</v>
      </c>
      <c r="AQ267" s="15">
        <v>0.0</v>
      </c>
      <c r="AR267" s="15">
        <v>27.0</v>
      </c>
      <c r="AS267" s="15">
        <v>0.0</v>
      </c>
      <c r="AT267" s="15">
        <v>0.0</v>
      </c>
      <c r="AU267" s="15">
        <v>0.0</v>
      </c>
      <c r="AV267" s="15">
        <v>0.0</v>
      </c>
      <c r="AW267" s="15">
        <v>0.0</v>
      </c>
      <c r="AX267" s="15">
        <v>0.0</v>
      </c>
      <c r="AY267" s="15">
        <v>5.0</v>
      </c>
      <c r="AZ267" s="18">
        <v>1.0</v>
      </c>
      <c r="BA267" s="15">
        <v>0.0</v>
      </c>
      <c r="BB267" s="18">
        <v>0.0</v>
      </c>
      <c r="BC267" s="15">
        <v>0.0</v>
      </c>
      <c r="BD267" s="15">
        <v>0.0</v>
      </c>
      <c r="BE267" s="15">
        <v>0.0</v>
      </c>
      <c r="BF267" s="15">
        <v>0.0</v>
      </c>
      <c r="BH267" s="12">
        <f t="shared" si="11"/>
        <v>43</v>
      </c>
    </row>
    <row r="268" ht="36.75" customHeight="1">
      <c r="A268" s="14">
        <v>42045.0</v>
      </c>
      <c r="B268" s="18" t="s">
        <v>198</v>
      </c>
      <c r="C268" s="18" t="s">
        <v>338</v>
      </c>
      <c r="D268" s="15" t="s">
        <v>345</v>
      </c>
      <c r="E268" s="15" t="s">
        <v>320</v>
      </c>
      <c r="F268" s="15">
        <v>30.35507</v>
      </c>
      <c r="G268" s="15">
        <v>-86.26353</v>
      </c>
      <c r="H268" s="15">
        <v>30.36815</v>
      </c>
      <c r="I268" s="17">
        <v>-86.32443</v>
      </c>
      <c r="J268" s="15" t="s">
        <v>2720</v>
      </c>
      <c r="K268" s="15" t="s">
        <v>2721</v>
      </c>
      <c r="L268" s="15">
        <v>0.0</v>
      </c>
      <c r="M268" s="15">
        <v>0.0</v>
      </c>
      <c r="N268" s="15">
        <v>0.0</v>
      </c>
      <c r="O268" s="15">
        <v>0.0</v>
      </c>
      <c r="P268" s="15">
        <v>0.0</v>
      </c>
      <c r="Q268" s="15">
        <v>0.0</v>
      </c>
      <c r="R268" s="15">
        <v>0.0</v>
      </c>
      <c r="S268" s="15">
        <v>0.0</v>
      </c>
      <c r="T268" s="15">
        <v>0.0</v>
      </c>
      <c r="U268" s="15">
        <v>0.0</v>
      </c>
      <c r="V268" s="15">
        <v>0.0</v>
      </c>
      <c r="W268" s="15">
        <v>0.0</v>
      </c>
      <c r="X268" s="15">
        <v>0.0</v>
      </c>
      <c r="Y268" s="15">
        <v>0.0</v>
      </c>
      <c r="Z268" s="15">
        <v>61.0</v>
      </c>
      <c r="AA268" s="15">
        <v>0.0</v>
      </c>
      <c r="AB268" s="15">
        <v>0.0</v>
      </c>
      <c r="AC268" s="15">
        <v>0.0</v>
      </c>
      <c r="AD268" s="15">
        <v>2.0</v>
      </c>
      <c r="AE268" s="15">
        <v>0.0</v>
      </c>
      <c r="AF268" s="15">
        <v>0.0</v>
      </c>
      <c r="AG268" s="15">
        <v>0.0</v>
      </c>
      <c r="AH268" s="15">
        <v>0.0</v>
      </c>
      <c r="AI268" s="15">
        <v>0.0</v>
      </c>
      <c r="AJ268" s="15">
        <v>0.0</v>
      </c>
      <c r="AK268" s="15">
        <v>0.0</v>
      </c>
      <c r="AL268" s="15">
        <v>35.0</v>
      </c>
      <c r="AM268" s="15">
        <v>0.0</v>
      </c>
      <c r="AN268" s="15">
        <v>0.0</v>
      </c>
      <c r="AO268" s="15">
        <v>0.0</v>
      </c>
      <c r="AP268" s="15">
        <v>0.0</v>
      </c>
      <c r="AQ268" s="15">
        <v>0.0</v>
      </c>
      <c r="AR268" s="15">
        <v>0.0</v>
      </c>
      <c r="AS268" s="15">
        <v>0.0</v>
      </c>
      <c r="AT268" s="15">
        <v>0.0</v>
      </c>
      <c r="AU268" s="15">
        <v>0.0</v>
      </c>
      <c r="AV268" s="15">
        <v>0.0</v>
      </c>
      <c r="AW268" s="15">
        <v>0.0</v>
      </c>
      <c r="AX268" s="15">
        <v>0.0</v>
      </c>
      <c r="AY268" s="15">
        <v>5.0</v>
      </c>
      <c r="AZ268" s="15">
        <v>0.0</v>
      </c>
      <c r="BA268" s="15">
        <v>0.0</v>
      </c>
      <c r="BB268" s="15">
        <v>0.0</v>
      </c>
      <c r="BC268" s="15">
        <v>0.0</v>
      </c>
      <c r="BD268" s="15">
        <v>0.0</v>
      </c>
      <c r="BE268" s="15">
        <v>0.0</v>
      </c>
      <c r="BF268" s="15">
        <v>0.0</v>
      </c>
      <c r="BH268" s="12">
        <f t="shared" si="11"/>
        <v>103</v>
      </c>
    </row>
    <row r="269" ht="36.75" customHeight="1">
      <c r="A269" s="14">
        <v>42045.0</v>
      </c>
      <c r="B269" s="18" t="s">
        <v>198</v>
      </c>
      <c r="C269" s="18" t="s">
        <v>338</v>
      </c>
      <c r="D269" s="15" t="s">
        <v>525</v>
      </c>
      <c r="E269" s="15" t="s">
        <v>320</v>
      </c>
      <c r="F269" s="15">
        <v>30.33363</v>
      </c>
      <c r="G269" s="15">
        <v>-86.18729</v>
      </c>
      <c r="H269" s="15">
        <v>30.32141</v>
      </c>
      <c r="I269" s="17">
        <v>-86.14645</v>
      </c>
      <c r="J269" s="15" t="s">
        <v>2727</v>
      </c>
      <c r="K269" s="15" t="s">
        <v>2728</v>
      </c>
      <c r="L269" s="15">
        <v>0.0</v>
      </c>
      <c r="M269" s="15">
        <v>0.0</v>
      </c>
      <c r="N269" s="15">
        <v>0.0</v>
      </c>
      <c r="O269" s="15">
        <v>0.0</v>
      </c>
      <c r="P269" s="15">
        <v>0.0</v>
      </c>
      <c r="Q269" s="15">
        <v>0.0</v>
      </c>
      <c r="R269" s="15">
        <v>0.0</v>
      </c>
      <c r="S269" s="15">
        <v>0.0</v>
      </c>
      <c r="T269" s="15">
        <v>0.0</v>
      </c>
      <c r="U269" s="15">
        <v>0.0</v>
      </c>
      <c r="V269" s="15">
        <v>0.0</v>
      </c>
      <c r="W269" s="15">
        <v>0.0</v>
      </c>
      <c r="X269" s="15">
        <v>0.0</v>
      </c>
      <c r="Y269" s="15">
        <v>0.0</v>
      </c>
      <c r="Z269" s="15">
        <v>19.0</v>
      </c>
      <c r="AA269" s="15">
        <v>0.0</v>
      </c>
      <c r="AB269" s="15">
        <v>0.0</v>
      </c>
      <c r="AC269" s="15">
        <v>0.0</v>
      </c>
      <c r="AD269" s="15">
        <v>7.0</v>
      </c>
      <c r="AE269" s="15">
        <v>0.0</v>
      </c>
      <c r="AF269" s="15">
        <v>0.0</v>
      </c>
      <c r="AG269" s="15">
        <v>0.0</v>
      </c>
      <c r="AH269" s="15">
        <v>2.0</v>
      </c>
      <c r="AI269" s="15">
        <v>0.0</v>
      </c>
      <c r="AJ269" s="15">
        <v>0.0</v>
      </c>
      <c r="AK269" s="15">
        <v>0.0</v>
      </c>
      <c r="AL269" s="15">
        <v>0.0</v>
      </c>
      <c r="AM269" s="15">
        <v>0.0</v>
      </c>
      <c r="AN269" s="15">
        <v>3.0</v>
      </c>
      <c r="AO269" s="15">
        <v>0.0</v>
      </c>
      <c r="AQ269" s="15">
        <v>0.0</v>
      </c>
      <c r="AR269" s="15">
        <v>11.0</v>
      </c>
      <c r="AS269" s="15">
        <v>0.0</v>
      </c>
      <c r="AT269" s="15">
        <v>0.0</v>
      </c>
      <c r="AU269" s="15">
        <v>0.0</v>
      </c>
      <c r="AV269" s="15">
        <v>0.0</v>
      </c>
      <c r="AW269" s="15">
        <v>1.0</v>
      </c>
      <c r="AX269" s="15">
        <v>0.0</v>
      </c>
      <c r="AY269" s="15">
        <v>1.0</v>
      </c>
      <c r="AZ269" s="15">
        <v>0.0</v>
      </c>
      <c r="BA269" s="15">
        <v>0.0</v>
      </c>
      <c r="BB269" s="15">
        <v>0.0</v>
      </c>
      <c r="BC269" s="15">
        <v>0.0</v>
      </c>
      <c r="BD269" s="15">
        <v>0.0</v>
      </c>
      <c r="BE269" s="15">
        <v>0.0</v>
      </c>
      <c r="BF269" s="15">
        <v>0.0</v>
      </c>
      <c r="BH269" s="12">
        <f t="shared" si="11"/>
        <v>44</v>
      </c>
    </row>
    <row r="270" ht="36.75" customHeight="1">
      <c r="A270" s="26">
        <v>42045.0</v>
      </c>
      <c r="B270" s="18" t="s">
        <v>2680</v>
      </c>
      <c r="C270" s="18" t="s">
        <v>441</v>
      </c>
      <c r="D270" s="18" t="s">
        <v>2731</v>
      </c>
      <c r="E270" s="18" t="s">
        <v>320</v>
      </c>
      <c r="F270" s="18">
        <v>30.3377</v>
      </c>
      <c r="G270" s="18">
        <v>-86.20095</v>
      </c>
      <c r="H270" s="18">
        <v>30.33497</v>
      </c>
      <c r="I270" s="16">
        <v>-86.19057</v>
      </c>
      <c r="J270" s="20" t="s">
        <v>2734</v>
      </c>
      <c r="K270" s="18" t="s">
        <v>2735</v>
      </c>
      <c r="L270" s="22"/>
      <c r="M270" s="22"/>
      <c r="N270" s="22"/>
      <c r="O270" s="22"/>
      <c r="P270" s="22"/>
      <c r="Q270" s="22"/>
      <c r="R270" s="22"/>
      <c r="S270" s="22"/>
      <c r="T270" s="22"/>
      <c r="U270" s="22"/>
      <c r="V270" s="22"/>
      <c r="W270" s="22"/>
      <c r="X270" s="22"/>
      <c r="Y270" s="22"/>
      <c r="Z270" s="18">
        <v>30.0</v>
      </c>
      <c r="AA270" s="22"/>
      <c r="AB270" s="22"/>
      <c r="AC270" s="22"/>
      <c r="AD270" s="22"/>
      <c r="AE270" s="22"/>
      <c r="AF270" s="22"/>
      <c r="AG270" s="22"/>
      <c r="AH270" s="18">
        <v>1.0</v>
      </c>
      <c r="AI270" s="22"/>
      <c r="AJ270" s="22"/>
      <c r="AK270" s="22"/>
      <c r="AL270" s="18">
        <v>123.0</v>
      </c>
      <c r="AM270" s="22"/>
      <c r="AN270" s="22"/>
      <c r="AO270" s="22"/>
      <c r="AP270" s="22"/>
      <c r="AQ270" s="22"/>
      <c r="AR270" s="18">
        <v>1.0</v>
      </c>
      <c r="AS270" s="22"/>
      <c r="AT270" s="22"/>
      <c r="AU270" s="22"/>
      <c r="AV270" s="22"/>
      <c r="AW270" s="18">
        <v>6.0</v>
      </c>
      <c r="AX270" s="22"/>
      <c r="AY270" s="18">
        <v>12.0</v>
      </c>
      <c r="AZ270" s="22"/>
      <c r="BA270" s="22"/>
      <c r="BB270" s="22"/>
      <c r="BC270" s="22"/>
      <c r="BD270" s="22"/>
      <c r="BE270" s="22"/>
      <c r="BF270" s="22"/>
      <c r="BG270" s="22"/>
      <c r="BH270" s="12">
        <f t="shared" si="11"/>
        <v>173</v>
      </c>
    </row>
    <row r="271" ht="36.75" customHeight="1">
      <c r="A271" s="14">
        <v>42041.0</v>
      </c>
      <c r="B271" s="15" t="s">
        <v>2153</v>
      </c>
      <c r="C271" s="15" t="s">
        <v>2154</v>
      </c>
      <c r="D271" s="15" t="s">
        <v>2738</v>
      </c>
      <c r="F271" s="15">
        <v>30.355328</v>
      </c>
      <c r="G271" s="15">
        <v>-87.035578</v>
      </c>
      <c r="H271" s="15">
        <v>30.3520322</v>
      </c>
      <c r="I271" s="17">
        <v>-87.044631</v>
      </c>
      <c r="J271" s="15" t="s">
        <v>2740</v>
      </c>
      <c r="K271" s="15" t="s">
        <v>2741</v>
      </c>
      <c r="O271" s="15">
        <v>16.0</v>
      </c>
      <c r="Q271" s="15">
        <v>1.0</v>
      </c>
      <c r="W271" s="15">
        <v>4.0</v>
      </c>
      <c r="Z271" s="15">
        <v>77.0</v>
      </c>
      <c r="AD271" s="15">
        <v>29.0</v>
      </c>
      <c r="AH271" s="15">
        <v>1.0</v>
      </c>
      <c r="AL271" s="15">
        <v>5.0</v>
      </c>
      <c r="AR271" s="15">
        <v>27.0</v>
      </c>
      <c r="AW271" s="15">
        <v>33.0</v>
      </c>
      <c r="AZ271" s="15">
        <v>3.0</v>
      </c>
      <c r="BF271" s="15">
        <v>2.0</v>
      </c>
      <c r="BH271" s="12">
        <f t="shared" si="11"/>
        <v>198</v>
      </c>
      <c r="BI271" s="15" t="s">
        <v>2742</v>
      </c>
    </row>
    <row r="272" ht="36.75" customHeight="1">
      <c r="A272" s="26">
        <v>42042.0</v>
      </c>
      <c r="B272" s="18" t="s">
        <v>465</v>
      </c>
      <c r="C272" s="18" t="s">
        <v>466</v>
      </c>
      <c r="D272" s="18" t="s">
        <v>2744</v>
      </c>
      <c r="E272" s="22"/>
      <c r="F272" s="18">
        <v>29.13594</v>
      </c>
      <c r="G272" s="18">
        <v>-83.030021</v>
      </c>
      <c r="H272" s="18">
        <v>29.155224</v>
      </c>
      <c r="I272" s="16">
        <v>-82.976335</v>
      </c>
      <c r="J272" s="18" t="s">
        <v>2745</v>
      </c>
      <c r="K272" s="15" t="s">
        <v>1928</v>
      </c>
      <c r="L272" s="47">
        <v>887.0</v>
      </c>
      <c r="M272" s="18">
        <v>320.0</v>
      </c>
      <c r="N272" s="15">
        <v>125.0</v>
      </c>
      <c r="O272" s="18">
        <v>1009.0</v>
      </c>
      <c r="P272" s="22"/>
      <c r="V272" s="15">
        <v>259.0</v>
      </c>
      <c r="W272" s="18">
        <v>5.0</v>
      </c>
      <c r="X272" s="18">
        <v>50.0</v>
      </c>
      <c r="Y272" s="18">
        <v>31.0</v>
      </c>
      <c r="Z272" s="22"/>
      <c r="AA272" s="18">
        <v>50.0</v>
      </c>
      <c r="AB272" s="22"/>
      <c r="AD272" s="15">
        <v>1.0</v>
      </c>
      <c r="AF272" s="15">
        <v>25.0</v>
      </c>
      <c r="AG272" s="15">
        <v>16.0</v>
      </c>
      <c r="AH272" s="15">
        <v>368.0</v>
      </c>
      <c r="AI272" s="15">
        <v>4.0</v>
      </c>
      <c r="AN272" s="15">
        <v>11.0</v>
      </c>
      <c r="AQ272" s="15">
        <v>125.0</v>
      </c>
      <c r="AY272" s="15">
        <v>47.0</v>
      </c>
      <c r="AZ272" s="18">
        <v>3.0</v>
      </c>
      <c r="BC272" s="15">
        <v>280.0</v>
      </c>
      <c r="BE272" s="15">
        <v>2450.0</v>
      </c>
      <c r="BH272" s="12">
        <f t="shared" si="11"/>
        <v>6066</v>
      </c>
      <c r="BI272" s="15" t="s">
        <v>2749</v>
      </c>
    </row>
    <row r="273" ht="36.75" customHeight="1">
      <c r="A273" s="14">
        <v>42046.0</v>
      </c>
      <c r="B273" s="18" t="s">
        <v>2750</v>
      </c>
      <c r="C273" s="18" t="s">
        <v>2751</v>
      </c>
      <c r="D273" s="18" t="s">
        <v>2752</v>
      </c>
      <c r="E273" s="22"/>
      <c r="F273" s="18">
        <v>29.715367</v>
      </c>
      <c r="G273" s="18">
        <v>-81.234423</v>
      </c>
      <c r="H273" s="18">
        <v>29.715367</v>
      </c>
      <c r="I273" s="16">
        <v>-81.234423</v>
      </c>
      <c r="J273" s="18" t="s">
        <v>2754</v>
      </c>
      <c r="K273" s="15" t="s">
        <v>2756</v>
      </c>
      <c r="L273" s="15">
        <v>0.0</v>
      </c>
      <c r="M273" s="18">
        <v>0.0</v>
      </c>
      <c r="O273" s="22"/>
      <c r="P273" s="18">
        <v>0.0</v>
      </c>
      <c r="Q273" s="15">
        <v>0.0</v>
      </c>
      <c r="R273" s="15">
        <v>0.0</v>
      </c>
      <c r="S273" s="15">
        <v>0.0</v>
      </c>
      <c r="T273" s="15">
        <v>0.0</v>
      </c>
      <c r="U273" s="15">
        <v>0.0</v>
      </c>
      <c r="V273" s="15">
        <v>0.0</v>
      </c>
      <c r="W273" s="18">
        <v>0.0</v>
      </c>
      <c r="X273" s="18">
        <v>0.0</v>
      </c>
      <c r="Y273" s="18">
        <v>0.0</v>
      </c>
      <c r="Z273" s="15">
        <v>0.0</v>
      </c>
      <c r="AA273" s="15">
        <v>0.0</v>
      </c>
      <c r="AB273" s="15">
        <v>0.0</v>
      </c>
      <c r="AC273" s="15">
        <v>0.0</v>
      </c>
      <c r="AD273" s="15">
        <v>0.0</v>
      </c>
      <c r="AE273" s="15">
        <v>0.0</v>
      </c>
      <c r="AF273" s="15">
        <v>0.0</v>
      </c>
      <c r="AG273" s="15">
        <v>0.0</v>
      </c>
      <c r="AH273" s="15">
        <v>0.0</v>
      </c>
      <c r="AI273" s="15">
        <v>0.0</v>
      </c>
      <c r="AJ273" s="18">
        <v>0.0</v>
      </c>
      <c r="AK273" s="15">
        <v>0.0</v>
      </c>
      <c r="AL273" s="15">
        <v>1.0</v>
      </c>
      <c r="AM273" s="15">
        <v>0.0</v>
      </c>
      <c r="AN273" s="15">
        <v>8.0</v>
      </c>
      <c r="AO273" s="15">
        <v>0.0</v>
      </c>
      <c r="AP273" s="15">
        <v>0.0</v>
      </c>
      <c r="AQ273" s="15">
        <v>1.0</v>
      </c>
      <c r="AR273" s="15">
        <v>3.0</v>
      </c>
      <c r="AS273" s="15">
        <v>0.0</v>
      </c>
      <c r="AT273" s="15">
        <v>0.0</v>
      </c>
      <c r="AU273" s="15">
        <v>0.0</v>
      </c>
      <c r="AV273" s="15">
        <v>0.0</v>
      </c>
      <c r="AW273" s="15">
        <v>0.0</v>
      </c>
      <c r="AX273" s="15">
        <v>0.0</v>
      </c>
      <c r="AY273" s="15">
        <v>0.0</v>
      </c>
      <c r="AZ273" s="18">
        <v>0.0</v>
      </c>
      <c r="BA273" s="15">
        <v>0.0</v>
      </c>
      <c r="BB273" s="18">
        <v>0.0</v>
      </c>
      <c r="BC273" s="15">
        <v>0.0</v>
      </c>
      <c r="BD273" s="15">
        <v>0.0</v>
      </c>
      <c r="BE273" s="15">
        <v>0.0</v>
      </c>
      <c r="BF273" s="15">
        <v>0.0</v>
      </c>
      <c r="BH273" s="12">
        <f t="shared" si="11"/>
        <v>13</v>
      </c>
    </row>
    <row r="274" ht="36.75" customHeight="1">
      <c r="A274" s="14">
        <v>42046.0</v>
      </c>
      <c r="B274" s="15" t="s">
        <v>2750</v>
      </c>
      <c r="C274" s="15" t="s">
        <v>2751</v>
      </c>
      <c r="D274" s="15" t="s">
        <v>2759</v>
      </c>
      <c r="F274" s="15">
        <v>29.715367</v>
      </c>
      <c r="G274" s="15">
        <v>-81.235839</v>
      </c>
      <c r="H274" s="15">
        <v>29.715367</v>
      </c>
      <c r="I274" s="17">
        <v>-81.234423</v>
      </c>
      <c r="J274" s="15" t="s">
        <v>2760</v>
      </c>
      <c r="K274" s="15" t="s">
        <v>2756</v>
      </c>
      <c r="L274" s="15">
        <v>0.0</v>
      </c>
      <c r="M274" s="15">
        <v>0.0</v>
      </c>
      <c r="N274" s="15">
        <v>0.0</v>
      </c>
      <c r="O274" s="15">
        <v>0.0</v>
      </c>
      <c r="P274" s="15">
        <v>0.0</v>
      </c>
      <c r="Q274" s="15">
        <v>0.0</v>
      </c>
      <c r="R274" s="15">
        <v>0.0</v>
      </c>
      <c r="S274" s="15">
        <v>0.0</v>
      </c>
      <c r="T274" s="15">
        <v>0.0</v>
      </c>
      <c r="U274" s="15">
        <v>0.0</v>
      </c>
      <c r="V274" s="15">
        <v>0.0</v>
      </c>
      <c r="W274" s="15">
        <v>0.0</v>
      </c>
      <c r="X274" s="15">
        <v>0.0</v>
      </c>
      <c r="Y274" s="15">
        <v>0.0</v>
      </c>
      <c r="Z274" s="15">
        <v>0.0</v>
      </c>
      <c r="AA274" s="15">
        <v>0.0</v>
      </c>
      <c r="AB274" s="15">
        <v>0.0</v>
      </c>
      <c r="AC274" s="15">
        <v>0.0</v>
      </c>
      <c r="AD274" s="15">
        <v>0.0</v>
      </c>
      <c r="AE274" s="15">
        <v>0.0</v>
      </c>
      <c r="AF274" s="15">
        <v>0.0</v>
      </c>
      <c r="AG274" s="15">
        <v>0.0</v>
      </c>
      <c r="AH274" s="15">
        <v>0.0</v>
      </c>
      <c r="AI274" s="15">
        <v>0.0</v>
      </c>
      <c r="AJ274" s="15">
        <v>0.0</v>
      </c>
      <c r="AK274" s="15">
        <v>0.0</v>
      </c>
      <c r="AL274" s="15">
        <v>0.0</v>
      </c>
      <c r="AM274" s="15">
        <v>0.0</v>
      </c>
      <c r="AN274" s="15">
        <v>0.0</v>
      </c>
      <c r="AO274" s="15">
        <v>0.0</v>
      </c>
      <c r="AP274" s="15">
        <v>0.0</v>
      </c>
      <c r="AQ274" s="15">
        <v>0.0</v>
      </c>
      <c r="AR274" s="15">
        <v>0.0</v>
      </c>
      <c r="AS274" s="15">
        <v>0.0</v>
      </c>
      <c r="AT274" s="15">
        <v>0.0</v>
      </c>
      <c r="AU274" s="15">
        <v>0.0</v>
      </c>
      <c r="AV274" s="15">
        <v>0.0</v>
      </c>
      <c r="AW274" s="15">
        <v>0.0</v>
      </c>
      <c r="AX274" s="15">
        <v>0.0</v>
      </c>
      <c r="AY274" s="15">
        <v>0.0</v>
      </c>
      <c r="AZ274" s="15">
        <v>0.0</v>
      </c>
      <c r="BA274" s="15">
        <v>0.0</v>
      </c>
      <c r="BB274" s="15">
        <v>0.0</v>
      </c>
      <c r="BC274" s="15">
        <v>0.0</v>
      </c>
      <c r="BD274" s="15">
        <v>0.0</v>
      </c>
      <c r="BE274" s="15">
        <v>0.0</v>
      </c>
      <c r="BF274" s="15">
        <v>0.0</v>
      </c>
      <c r="BH274" s="12">
        <f t="shared" si="11"/>
        <v>0</v>
      </c>
    </row>
    <row r="275" ht="36.75" customHeight="1">
      <c r="A275" s="26">
        <v>42046.0</v>
      </c>
      <c r="B275" s="18" t="s">
        <v>2104</v>
      </c>
      <c r="C275" s="18" t="s">
        <v>2105</v>
      </c>
      <c r="D275" s="18" t="s">
        <v>2770</v>
      </c>
      <c r="E275" s="22"/>
      <c r="F275" s="18">
        <v>27.96293</v>
      </c>
      <c r="G275" s="18">
        <v>-82.82952</v>
      </c>
      <c r="H275" s="18">
        <v>27.93668</v>
      </c>
      <c r="I275" s="16">
        <v>-82.84069</v>
      </c>
      <c r="J275" s="20" t="s">
        <v>2771</v>
      </c>
      <c r="K275" s="15" t="s">
        <v>2772</v>
      </c>
      <c r="L275" s="15">
        <v>0.0</v>
      </c>
      <c r="M275" s="18">
        <v>0.0</v>
      </c>
      <c r="N275" s="15">
        <v>1.0</v>
      </c>
      <c r="O275" s="18">
        <v>0.0</v>
      </c>
      <c r="Q275" s="15">
        <v>0.0</v>
      </c>
      <c r="R275" s="15">
        <v>0.0</v>
      </c>
      <c r="T275" s="15">
        <v>0.0</v>
      </c>
      <c r="U275" s="15">
        <v>0.0</v>
      </c>
      <c r="V275" s="15">
        <v>0.0</v>
      </c>
      <c r="W275" s="18">
        <v>0.0</v>
      </c>
      <c r="X275" s="18">
        <v>0.0</v>
      </c>
      <c r="Y275" s="18">
        <v>13.0</v>
      </c>
      <c r="Z275" s="15">
        <v>55.0</v>
      </c>
      <c r="AA275" s="15">
        <v>0.0</v>
      </c>
      <c r="AB275" s="15">
        <v>0.0</v>
      </c>
      <c r="AC275" s="15">
        <v>0.0</v>
      </c>
      <c r="AD275" s="15">
        <v>0.0</v>
      </c>
      <c r="AE275" s="15">
        <v>0.0</v>
      </c>
      <c r="AF275" s="15">
        <v>0.0</v>
      </c>
      <c r="AG275" s="15">
        <v>0.0</v>
      </c>
      <c r="AH275" s="15">
        <v>7.0</v>
      </c>
      <c r="AI275" s="15">
        <v>0.0</v>
      </c>
      <c r="AJ275" s="15">
        <v>0.0</v>
      </c>
      <c r="AK275" s="15">
        <v>0.0</v>
      </c>
      <c r="AL275" s="15">
        <v>0.0</v>
      </c>
      <c r="AM275" s="15">
        <v>0.0</v>
      </c>
      <c r="AN275" s="15">
        <v>2.0</v>
      </c>
      <c r="AO275" s="15">
        <v>0.0</v>
      </c>
      <c r="AP275" s="15">
        <v>0.0</v>
      </c>
      <c r="AQ275" s="15">
        <v>7.0</v>
      </c>
      <c r="AR275" s="15">
        <v>0.0</v>
      </c>
      <c r="AS275" s="15">
        <v>0.0</v>
      </c>
      <c r="AT275" s="15">
        <v>0.0</v>
      </c>
      <c r="AU275" s="15">
        <v>0.0</v>
      </c>
      <c r="AV275" s="15">
        <v>2.0</v>
      </c>
      <c r="AW275" s="15">
        <v>21.0</v>
      </c>
      <c r="AX275" s="15">
        <v>0.0</v>
      </c>
      <c r="AY275" s="15">
        <v>30.0</v>
      </c>
      <c r="AZ275" s="18">
        <v>6.0</v>
      </c>
      <c r="BA275" s="15">
        <v>0.0</v>
      </c>
      <c r="BB275" s="18">
        <v>0.0</v>
      </c>
      <c r="BC275" s="15">
        <v>0.0</v>
      </c>
      <c r="BD275" s="15">
        <v>0.0</v>
      </c>
      <c r="BE275" s="15">
        <v>0.0</v>
      </c>
      <c r="BF275" s="15">
        <v>0.0</v>
      </c>
      <c r="BH275" s="12">
        <f t="shared" si="11"/>
        <v>144</v>
      </c>
      <c r="BI275" s="15" t="s">
        <v>2115</v>
      </c>
    </row>
    <row r="276" ht="36.75" customHeight="1">
      <c r="I276" s="32"/>
      <c r="BH276" s="12"/>
    </row>
    <row r="277" ht="36.75" customHeight="1">
      <c r="A277" s="22"/>
      <c r="I277" s="32"/>
      <c r="BH277" s="12"/>
    </row>
    <row r="278" ht="36.75" customHeight="1">
      <c r="A278" s="22"/>
      <c r="B278" s="22"/>
      <c r="C278" s="22"/>
      <c r="D278" s="22"/>
      <c r="E278" s="22"/>
      <c r="F278" s="22"/>
      <c r="G278" s="22"/>
      <c r="H278" s="22"/>
      <c r="I278" s="45"/>
      <c r="J278" s="30"/>
      <c r="O278" s="22"/>
      <c r="X278" s="22"/>
      <c r="AZ278" s="22"/>
      <c r="BB278" s="22"/>
      <c r="BF278" s="22"/>
      <c r="BG278" s="22"/>
      <c r="BH278" s="22"/>
    </row>
    <row r="279" ht="36.75" customHeight="1"/>
    <row r="280" ht="36.75" customHeight="1"/>
    <row r="281" ht="36.75" customHeight="1">
      <c r="A281" s="22"/>
      <c r="B281" s="22"/>
      <c r="C281" s="22"/>
      <c r="D281" s="22"/>
      <c r="E281" s="22"/>
      <c r="F281" s="22"/>
      <c r="G281" s="22"/>
      <c r="H281" s="22"/>
      <c r="I281" s="45"/>
      <c r="J281" s="30"/>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row>
    <row r="282" ht="36.75" customHeight="1">
      <c r="C282" s="22"/>
      <c r="D282" s="22"/>
      <c r="G282" s="22"/>
      <c r="H282" s="22"/>
      <c r="I282" s="45"/>
    </row>
    <row r="283" ht="36.75" customHeight="1">
      <c r="A283" s="22"/>
      <c r="C283" s="22"/>
      <c r="D283" s="22"/>
      <c r="G283" s="22"/>
      <c r="H283" s="22"/>
      <c r="I283" s="45"/>
      <c r="J283" s="22"/>
      <c r="M283" s="22"/>
      <c r="O283" s="22"/>
      <c r="W283" s="22"/>
      <c r="X283" s="22"/>
      <c r="AD283" s="22"/>
      <c r="AZ283" s="22"/>
      <c r="BB283" s="22"/>
    </row>
    <row r="284" ht="36.75" customHeight="1">
      <c r="A284" s="51"/>
      <c r="B284" s="51"/>
      <c r="C284" s="51"/>
      <c r="D284" s="51"/>
      <c r="E284" s="51"/>
      <c r="F284" s="51"/>
      <c r="G284" s="51"/>
      <c r="H284" s="22"/>
      <c r="I284" s="45"/>
      <c r="J284" s="30"/>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row>
    <row r="285" ht="36.75" customHeight="1">
      <c r="A285" s="22"/>
      <c r="B285" s="22"/>
      <c r="C285" s="22"/>
      <c r="D285" s="22"/>
      <c r="E285" s="22"/>
      <c r="F285" s="22"/>
      <c r="G285" s="51"/>
      <c r="H285" s="22"/>
      <c r="I285" s="45"/>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row>
    <row r="286" ht="36.75" customHeight="1">
      <c r="I286" s="32"/>
    </row>
    <row r="287" ht="36.75" customHeight="1">
      <c r="I287" s="32"/>
    </row>
    <row r="288" ht="36.75" customHeight="1">
      <c r="I288" s="32"/>
    </row>
    <row r="289" ht="36.75" customHeight="1">
      <c r="I289" s="32"/>
    </row>
    <row r="290" ht="36.75" customHeight="1">
      <c r="I290" s="32"/>
    </row>
    <row r="291" ht="36.75" customHeight="1">
      <c r="I291" s="32"/>
    </row>
    <row r="292" ht="36.75" customHeight="1">
      <c r="I292" s="32"/>
    </row>
    <row r="293" ht="36.75" customHeight="1">
      <c r="I293" s="32"/>
    </row>
    <row r="294" ht="36.75" customHeight="1">
      <c r="I294" s="32"/>
    </row>
    <row r="295" ht="36.75" customHeight="1">
      <c r="I295" s="32"/>
    </row>
    <row r="296" ht="36.75" customHeight="1">
      <c r="I296" s="32"/>
    </row>
    <row r="297" ht="36.75" customHeight="1">
      <c r="I297" s="32"/>
    </row>
    <row r="298" ht="36.75" customHeight="1">
      <c r="I298" s="32"/>
    </row>
    <row r="299" ht="36.75" customHeight="1">
      <c r="I299" s="32"/>
    </row>
    <row r="300" ht="36.75" customHeight="1">
      <c r="I300" s="32"/>
    </row>
    <row r="301" ht="36.75" customHeight="1">
      <c r="I301" s="32"/>
    </row>
    <row r="302" ht="36.75" customHeight="1">
      <c r="I302" s="32"/>
    </row>
    <row r="303" ht="36.75" customHeight="1"/>
    <row r="304" ht="36.75" customHeight="1">
      <c r="I304" s="32"/>
    </row>
    <row r="305" ht="36.75" customHeight="1">
      <c r="I305" s="32"/>
    </row>
    <row r="306" ht="36.75" customHeight="1">
      <c r="I306" s="32"/>
    </row>
    <row r="307" ht="36.75" customHeight="1">
      <c r="I307" s="32"/>
    </row>
    <row r="308" ht="36.75" customHeight="1">
      <c r="I308" s="32"/>
    </row>
    <row r="309" ht="36.75" customHeight="1">
      <c r="I309" s="32"/>
    </row>
    <row r="310" ht="36.75" customHeight="1">
      <c r="I310" s="32"/>
    </row>
    <row r="311" ht="36.75" customHeight="1">
      <c r="I311" s="32"/>
    </row>
    <row r="312" ht="36.75" customHeight="1">
      <c r="I312" s="32"/>
    </row>
    <row r="313" ht="36.75" customHeight="1">
      <c r="I313" s="32"/>
    </row>
    <row r="314" ht="36.75" customHeight="1">
      <c r="I314" s="32"/>
    </row>
    <row r="315" ht="36.75" customHeight="1">
      <c r="I315" s="32"/>
    </row>
    <row r="316" ht="36.75" customHeight="1">
      <c r="I316" s="32"/>
    </row>
    <row r="317" ht="36.75" customHeight="1">
      <c r="I317" s="32"/>
    </row>
    <row r="318" ht="36.75" customHeight="1">
      <c r="I318" s="32"/>
    </row>
    <row r="319" ht="36.75" customHeight="1">
      <c r="I319" s="32"/>
    </row>
    <row r="320" ht="36.75" customHeight="1">
      <c r="I320" s="32"/>
    </row>
    <row r="321" ht="36.75" customHeight="1">
      <c r="I321" s="32"/>
    </row>
    <row r="322" ht="36.75" customHeight="1">
      <c r="I322" s="32"/>
    </row>
    <row r="323" ht="36.75" customHeight="1">
      <c r="I323" s="32"/>
    </row>
    <row r="324" ht="36.75" customHeight="1">
      <c r="I324" s="32"/>
    </row>
    <row r="325" ht="36.75" customHeight="1">
      <c r="I325" s="32"/>
    </row>
    <row r="326" ht="36.75" customHeight="1">
      <c r="I326" s="32"/>
    </row>
  </sheetData>
  <mergeCells count="1">
    <mergeCell ref="A1:K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2" width="17.29"/>
    <col customWidth="1" min="3" max="3" width="22.86"/>
    <col customWidth="1" min="4" max="15" width="17.29"/>
    <col customWidth="1" min="16" max="16" width="25.86"/>
    <col customWidth="1" min="17" max="20" width="17.29"/>
  </cols>
  <sheetData>
    <row r="1" ht="28.5" customHeight="1">
      <c r="A1" s="19" t="s">
        <v>90</v>
      </c>
      <c r="F1" s="21"/>
      <c r="G1" s="21"/>
      <c r="H1" s="21"/>
      <c r="I1" s="21"/>
      <c r="J1" s="21"/>
      <c r="K1" s="21"/>
      <c r="L1" s="21"/>
      <c r="M1" s="21"/>
      <c r="N1" s="21"/>
      <c r="O1" s="21"/>
      <c r="P1" s="21"/>
    </row>
    <row r="2" ht="28.5" customHeight="1">
      <c r="A2" s="23" t="s">
        <v>13</v>
      </c>
      <c r="B2" s="23" t="s">
        <v>14</v>
      </c>
      <c r="C2" s="23" t="s">
        <v>15</v>
      </c>
      <c r="D2" s="23" t="s">
        <v>16</v>
      </c>
      <c r="E2" s="23" t="s">
        <v>17</v>
      </c>
      <c r="F2" s="23" t="s">
        <v>92</v>
      </c>
      <c r="G2" s="23" t="s">
        <v>93</v>
      </c>
      <c r="H2" s="23" t="s">
        <v>94</v>
      </c>
      <c r="I2" s="23" t="s">
        <v>95</v>
      </c>
      <c r="J2" s="23" t="s">
        <v>96</v>
      </c>
      <c r="K2" s="23" t="s">
        <v>97</v>
      </c>
      <c r="L2" s="23" t="s">
        <v>98</v>
      </c>
      <c r="M2" s="23" t="s">
        <v>99</v>
      </c>
      <c r="N2" s="23" t="s">
        <v>100</v>
      </c>
      <c r="O2" s="23" t="s">
        <v>101</v>
      </c>
      <c r="P2" s="23" t="s">
        <v>103</v>
      </c>
      <c r="Q2" s="25"/>
      <c r="R2" s="25"/>
      <c r="S2" s="25"/>
      <c r="T2" s="25"/>
    </row>
    <row r="3" ht="28.5" customHeight="1">
      <c r="A3" s="14">
        <v>42046.0</v>
      </c>
      <c r="B3" s="15" t="s">
        <v>108</v>
      </c>
      <c r="C3" s="15" t="s">
        <v>109</v>
      </c>
      <c r="D3" s="15" t="s">
        <v>110</v>
      </c>
      <c r="E3" s="15" t="s">
        <v>111</v>
      </c>
      <c r="F3" s="15">
        <v>1.0</v>
      </c>
      <c r="G3" s="15" t="s">
        <v>112</v>
      </c>
      <c r="H3" s="15" t="s">
        <v>113</v>
      </c>
      <c r="M3" s="15" t="s">
        <v>114</v>
      </c>
      <c r="N3" s="15" t="s">
        <v>115</v>
      </c>
      <c r="O3" s="15" t="s">
        <v>116</v>
      </c>
    </row>
    <row r="4" ht="28.5" customHeight="1">
      <c r="A4" s="24">
        <v>42047.0</v>
      </c>
      <c r="B4" s="18" t="s">
        <v>117</v>
      </c>
      <c r="C4" s="18" t="s">
        <v>104</v>
      </c>
      <c r="D4" s="18" t="s">
        <v>118</v>
      </c>
      <c r="E4" s="15" t="s">
        <v>119</v>
      </c>
      <c r="F4" s="15">
        <v>1.0</v>
      </c>
      <c r="G4" s="15" t="s">
        <v>112</v>
      </c>
      <c r="H4" s="15">
        <v>68.0</v>
      </c>
      <c r="I4" s="15" t="s">
        <v>120</v>
      </c>
      <c r="J4" s="15" t="s">
        <v>121</v>
      </c>
      <c r="K4" s="15" t="s">
        <v>120</v>
      </c>
      <c r="M4" s="15" t="s">
        <v>120</v>
      </c>
      <c r="N4" s="15" t="s">
        <v>115</v>
      </c>
      <c r="O4" s="15" t="s">
        <v>122</v>
      </c>
    </row>
    <row r="5" ht="28.5" customHeight="1">
      <c r="A5" s="24">
        <v>42047.0</v>
      </c>
      <c r="B5" s="18" t="s">
        <v>117</v>
      </c>
      <c r="C5" s="18" t="s">
        <v>104</v>
      </c>
      <c r="D5" s="18" t="s">
        <v>123</v>
      </c>
      <c r="E5" s="18" t="s">
        <v>119</v>
      </c>
      <c r="F5" s="15">
        <v>1.0</v>
      </c>
      <c r="G5" s="15" t="s">
        <v>112</v>
      </c>
      <c r="H5" s="15" t="s">
        <v>124</v>
      </c>
      <c r="I5" s="15" t="s">
        <v>120</v>
      </c>
      <c r="K5" s="15" t="s">
        <v>120</v>
      </c>
      <c r="M5" s="15" t="s">
        <v>120</v>
      </c>
      <c r="N5" s="15" t="s">
        <v>115</v>
      </c>
      <c r="O5" s="15" t="s">
        <v>122</v>
      </c>
    </row>
    <row r="6" ht="28.5" customHeight="1">
      <c r="A6" s="14">
        <v>42042.0</v>
      </c>
      <c r="B6" s="18" t="s">
        <v>125</v>
      </c>
      <c r="C6" s="18" t="s">
        <v>75</v>
      </c>
      <c r="D6" s="18" t="s">
        <v>126</v>
      </c>
      <c r="E6" s="18" t="s">
        <v>119</v>
      </c>
      <c r="F6" s="15">
        <v>1.0</v>
      </c>
      <c r="G6" s="15" t="s">
        <v>112</v>
      </c>
      <c r="H6" s="15" t="s">
        <v>127</v>
      </c>
      <c r="I6" s="15" t="s">
        <v>128</v>
      </c>
      <c r="J6" s="15" t="s">
        <v>129</v>
      </c>
      <c r="M6" s="15" t="s">
        <v>120</v>
      </c>
      <c r="N6" s="15" t="s">
        <v>115</v>
      </c>
      <c r="O6" s="15" t="s">
        <v>130</v>
      </c>
      <c r="P6" s="15" t="s">
        <v>131</v>
      </c>
    </row>
    <row r="7" ht="28.5" customHeight="1">
      <c r="A7" s="26">
        <v>42045.0</v>
      </c>
      <c r="B7" s="18" t="s">
        <v>133</v>
      </c>
      <c r="C7" s="15" t="s">
        <v>135</v>
      </c>
      <c r="D7" s="15" t="s">
        <v>136</v>
      </c>
      <c r="E7" s="18" t="s">
        <v>138</v>
      </c>
      <c r="F7" s="15">
        <v>1.0</v>
      </c>
      <c r="G7" s="15" t="s">
        <v>112</v>
      </c>
      <c r="H7" s="15" t="s">
        <v>139</v>
      </c>
      <c r="I7" s="15" t="s">
        <v>140</v>
      </c>
      <c r="J7" s="15" t="s">
        <v>129</v>
      </c>
      <c r="K7" s="15" t="s">
        <v>113</v>
      </c>
      <c r="L7" s="15" t="s">
        <v>113</v>
      </c>
      <c r="M7" s="15" t="s">
        <v>122</v>
      </c>
      <c r="N7" s="15" t="s">
        <v>115</v>
      </c>
      <c r="O7" s="15" t="s">
        <v>130</v>
      </c>
    </row>
    <row r="8" ht="28.5" customHeight="1">
      <c r="A8" s="14">
        <v>42041.0</v>
      </c>
      <c r="B8" s="15" t="s">
        <v>143</v>
      </c>
      <c r="C8" s="15" t="s">
        <v>144</v>
      </c>
      <c r="D8" s="15" t="s">
        <v>145</v>
      </c>
      <c r="E8" s="15" t="s">
        <v>146</v>
      </c>
      <c r="F8" s="15">
        <v>1.0</v>
      </c>
      <c r="G8" s="15" t="s">
        <v>147</v>
      </c>
      <c r="H8" s="15" t="s">
        <v>113</v>
      </c>
      <c r="I8" s="15" t="s">
        <v>113</v>
      </c>
      <c r="J8" s="15" t="s">
        <v>113</v>
      </c>
      <c r="K8" s="15" t="s">
        <v>148</v>
      </c>
      <c r="L8" s="15" t="s">
        <v>113</v>
      </c>
      <c r="M8" s="15" t="s">
        <v>115</v>
      </c>
      <c r="N8" s="15" t="s">
        <v>149</v>
      </c>
      <c r="O8" s="15" t="s">
        <v>122</v>
      </c>
    </row>
    <row r="9" ht="28.5" customHeight="1">
      <c r="A9" s="24">
        <v>42041.0</v>
      </c>
      <c r="B9" s="18" t="s">
        <v>150</v>
      </c>
      <c r="C9" s="18" t="s">
        <v>151</v>
      </c>
      <c r="D9" s="18" t="s">
        <v>152</v>
      </c>
      <c r="E9" s="18" t="s">
        <v>146</v>
      </c>
      <c r="F9" s="15">
        <v>1.0</v>
      </c>
      <c r="G9" s="15" t="s">
        <v>147</v>
      </c>
      <c r="H9" s="15" t="s">
        <v>153</v>
      </c>
      <c r="I9" s="15" t="s">
        <v>122</v>
      </c>
      <c r="J9" s="15" t="s">
        <v>113</v>
      </c>
      <c r="K9" s="15" t="s">
        <v>154</v>
      </c>
      <c r="L9" s="15" t="s">
        <v>155</v>
      </c>
      <c r="M9" s="15" t="s">
        <v>115</v>
      </c>
      <c r="N9" s="15" t="s">
        <v>156</v>
      </c>
      <c r="O9" s="15" t="s">
        <v>122</v>
      </c>
    </row>
    <row r="10" ht="28.5" customHeight="1">
      <c r="A10" s="24">
        <v>42041.0</v>
      </c>
      <c r="B10" s="18" t="s">
        <v>150</v>
      </c>
      <c r="C10" s="18" t="s">
        <v>151</v>
      </c>
      <c r="D10" s="18" t="s">
        <v>152</v>
      </c>
      <c r="E10" s="18" t="s">
        <v>146</v>
      </c>
      <c r="F10" s="15">
        <v>1.0</v>
      </c>
      <c r="G10" s="15" t="s">
        <v>147</v>
      </c>
      <c r="H10" s="15" t="s">
        <v>160</v>
      </c>
      <c r="I10" s="15" t="s">
        <v>162</v>
      </c>
      <c r="J10" s="15" t="s">
        <v>113</v>
      </c>
      <c r="K10" s="15" t="s">
        <v>164</v>
      </c>
      <c r="L10" s="15" t="s">
        <v>113</v>
      </c>
      <c r="M10" s="15" t="s">
        <v>115</v>
      </c>
      <c r="N10" s="15" t="s">
        <v>113</v>
      </c>
      <c r="P10" s="15" t="s">
        <v>169</v>
      </c>
    </row>
    <row r="11" ht="28.5" customHeight="1">
      <c r="A11" s="24">
        <v>42041.0</v>
      </c>
      <c r="B11" s="18" t="s">
        <v>150</v>
      </c>
      <c r="C11" s="18" t="s">
        <v>151</v>
      </c>
      <c r="D11" s="18" t="s">
        <v>152</v>
      </c>
      <c r="E11" s="18" t="s">
        <v>146</v>
      </c>
      <c r="F11" s="15">
        <v>1.0</v>
      </c>
      <c r="G11" s="15" t="s">
        <v>147</v>
      </c>
      <c r="H11" s="15" t="s">
        <v>113</v>
      </c>
      <c r="I11" s="15" t="s">
        <v>170</v>
      </c>
      <c r="J11" s="15" t="s">
        <v>113</v>
      </c>
      <c r="K11" s="15" t="s">
        <v>171</v>
      </c>
      <c r="L11" s="15" t="s">
        <v>172</v>
      </c>
      <c r="M11" s="15" t="s">
        <v>122</v>
      </c>
      <c r="N11" s="15" t="s">
        <v>113</v>
      </c>
      <c r="O11" s="15" t="s">
        <v>122</v>
      </c>
    </row>
    <row r="12" ht="28.5" customHeight="1">
      <c r="A12" s="24">
        <v>42041.0</v>
      </c>
      <c r="B12" s="18" t="s">
        <v>150</v>
      </c>
      <c r="C12" s="18" t="s">
        <v>151</v>
      </c>
      <c r="D12" s="18" t="s">
        <v>152</v>
      </c>
      <c r="E12" s="18" t="s">
        <v>146</v>
      </c>
      <c r="F12" s="15">
        <v>1.0</v>
      </c>
      <c r="G12" s="15" t="s">
        <v>147</v>
      </c>
      <c r="H12" s="15" t="s">
        <v>113</v>
      </c>
      <c r="I12" s="15" t="s">
        <v>170</v>
      </c>
      <c r="J12" s="15" t="s">
        <v>113</v>
      </c>
      <c r="K12" s="15" t="s">
        <v>113</v>
      </c>
      <c r="L12" s="15" t="s">
        <v>173</v>
      </c>
      <c r="M12" s="15" t="s">
        <v>171</v>
      </c>
      <c r="N12" s="15" t="s">
        <v>174</v>
      </c>
      <c r="O12" s="15" t="s">
        <v>122</v>
      </c>
    </row>
    <row r="13" ht="28.5" customHeight="1">
      <c r="A13" s="24">
        <v>42041.0</v>
      </c>
      <c r="B13" s="18" t="s">
        <v>150</v>
      </c>
      <c r="C13" s="18" t="s">
        <v>151</v>
      </c>
      <c r="D13" s="18" t="s">
        <v>152</v>
      </c>
      <c r="E13" s="18" t="s">
        <v>146</v>
      </c>
      <c r="F13" s="15">
        <v>1.0</v>
      </c>
      <c r="G13" s="15" t="s">
        <v>147</v>
      </c>
      <c r="H13" s="15" t="s">
        <v>113</v>
      </c>
      <c r="I13" s="15" t="s">
        <v>170</v>
      </c>
      <c r="J13" s="15" t="s">
        <v>113</v>
      </c>
      <c r="K13" s="15" t="s">
        <v>115</v>
      </c>
      <c r="L13" s="15" t="s">
        <v>177</v>
      </c>
      <c r="M13" s="15" t="s">
        <v>171</v>
      </c>
      <c r="N13" s="15" t="s">
        <v>179</v>
      </c>
      <c r="O13" s="15" t="s">
        <v>122</v>
      </c>
    </row>
    <row r="14" ht="28.5" customHeight="1">
      <c r="A14" s="14">
        <v>42041.0</v>
      </c>
      <c r="B14" s="15" t="s">
        <v>74</v>
      </c>
      <c r="C14" s="15" t="s">
        <v>75</v>
      </c>
      <c r="D14" s="15" t="s">
        <v>180</v>
      </c>
      <c r="E14" s="15" t="s">
        <v>181</v>
      </c>
      <c r="F14" s="15">
        <v>1.0</v>
      </c>
      <c r="G14" s="15" t="s">
        <v>147</v>
      </c>
      <c r="H14" s="15" t="s">
        <v>182</v>
      </c>
      <c r="I14" s="15" t="s">
        <v>140</v>
      </c>
      <c r="J14" s="15" t="s">
        <v>129</v>
      </c>
      <c r="K14" s="15" t="s">
        <v>183</v>
      </c>
      <c r="M14" s="15" t="s">
        <v>115</v>
      </c>
      <c r="O14" s="15" t="s">
        <v>130</v>
      </c>
      <c r="P14" s="15" t="s">
        <v>184</v>
      </c>
    </row>
    <row r="15" ht="28.5" customHeight="1">
      <c r="A15" s="14">
        <v>42041.0</v>
      </c>
      <c r="B15" s="15" t="s">
        <v>74</v>
      </c>
      <c r="C15" s="15" t="s">
        <v>75</v>
      </c>
      <c r="D15" s="15" t="s">
        <v>180</v>
      </c>
      <c r="E15" s="15" t="s">
        <v>181</v>
      </c>
      <c r="F15" s="15">
        <v>1.0</v>
      </c>
      <c r="G15" s="15" t="s">
        <v>147</v>
      </c>
      <c r="H15" s="15" t="s">
        <v>188</v>
      </c>
      <c r="I15" s="15" t="s">
        <v>140</v>
      </c>
      <c r="J15" s="15" t="s">
        <v>129</v>
      </c>
      <c r="K15" s="15" t="s">
        <v>115</v>
      </c>
      <c r="L15" s="15" t="s">
        <v>189</v>
      </c>
      <c r="M15" s="15" t="s">
        <v>183</v>
      </c>
      <c r="N15" s="15" t="s">
        <v>190</v>
      </c>
      <c r="O15" s="15" t="s">
        <v>130</v>
      </c>
      <c r="P15" s="15" t="s">
        <v>191</v>
      </c>
    </row>
    <row r="16" ht="28.5" customHeight="1">
      <c r="A16" s="14">
        <v>42041.0</v>
      </c>
      <c r="B16" s="15" t="s">
        <v>74</v>
      </c>
      <c r="C16" s="15" t="s">
        <v>75</v>
      </c>
      <c r="D16" s="15" t="s">
        <v>180</v>
      </c>
      <c r="E16" s="15" t="s">
        <v>181</v>
      </c>
      <c r="F16" s="15">
        <v>1.0</v>
      </c>
      <c r="G16" s="15" t="s">
        <v>147</v>
      </c>
      <c r="I16" s="15" t="s">
        <v>192</v>
      </c>
      <c r="K16" s="15" t="s">
        <v>193</v>
      </c>
      <c r="L16" s="15" t="s">
        <v>194</v>
      </c>
      <c r="N16" s="15" t="s">
        <v>195</v>
      </c>
      <c r="O16" s="15" t="s">
        <v>130</v>
      </c>
      <c r="P16" s="15" t="s">
        <v>196</v>
      </c>
    </row>
    <row r="17" ht="28.5" customHeight="1">
      <c r="A17" s="14">
        <v>42041.0</v>
      </c>
      <c r="B17" s="15" t="s">
        <v>74</v>
      </c>
      <c r="C17" s="15" t="s">
        <v>75</v>
      </c>
      <c r="D17" s="15" t="s">
        <v>180</v>
      </c>
      <c r="E17" s="15" t="s">
        <v>181</v>
      </c>
      <c r="F17" s="15">
        <v>1.0</v>
      </c>
      <c r="G17" s="15" t="s">
        <v>147</v>
      </c>
      <c r="H17" s="15" t="s">
        <v>197</v>
      </c>
      <c r="I17" s="15" t="s">
        <v>140</v>
      </c>
      <c r="J17" s="15" t="s">
        <v>129</v>
      </c>
      <c r="K17" s="15" t="s">
        <v>183</v>
      </c>
      <c r="L17" s="15" t="s">
        <v>190</v>
      </c>
      <c r="N17" s="15" t="s">
        <v>201</v>
      </c>
      <c r="O17" s="15" t="s">
        <v>130</v>
      </c>
      <c r="P17" s="15" t="s">
        <v>202</v>
      </c>
    </row>
    <row r="18" ht="28.5" customHeight="1">
      <c r="A18" s="14">
        <v>42046.0</v>
      </c>
      <c r="B18" s="15" t="s">
        <v>203</v>
      </c>
      <c r="C18" s="15" t="s">
        <v>205</v>
      </c>
      <c r="D18" s="15" t="s">
        <v>207</v>
      </c>
      <c r="E18" s="15" t="s">
        <v>208</v>
      </c>
      <c r="F18" s="15">
        <v>1.0</v>
      </c>
      <c r="G18" s="15" t="s">
        <v>147</v>
      </c>
      <c r="H18" s="15" t="s">
        <v>209</v>
      </c>
      <c r="I18" s="15" t="s">
        <v>210</v>
      </c>
      <c r="J18" s="15" t="s">
        <v>113</v>
      </c>
      <c r="K18" s="15" t="s">
        <v>115</v>
      </c>
      <c r="L18" s="15" t="s">
        <v>189</v>
      </c>
      <c r="M18" s="15" t="s">
        <v>183</v>
      </c>
      <c r="N18" s="15" t="s">
        <v>190</v>
      </c>
      <c r="O18" s="15" t="s">
        <v>130</v>
      </c>
      <c r="P18" s="15" t="s">
        <v>211</v>
      </c>
    </row>
    <row r="19" ht="28.5" customHeight="1">
      <c r="A19" s="14">
        <v>42046.0</v>
      </c>
      <c r="B19" s="15" t="s">
        <v>203</v>
      </c>
      <c r="C19" s="15" t="s">
        <v>205</v>
      </c>
      <c r="D19" s="15" t="s">
        <v>207</v>
      </c>
      <c r="E19" s="15" t="s">
        <v>208</v>
      </c>
      <c r="F19" s="15">
        <v>1.0</v>
      </c>
      <c r="G19" s="15" t="s">
        <v>147</v>
      </c>
      <c r="H19" s="15" t="s">
        <v>182</v>
      </c>
      <c r="I19" s="15" t="s">
        <v>210</v>
      </c>
      <c r="J19" s="15" t="s">
        <v>113</v>
      </c>
      <c r="K19" s="15" t="s">
        <v>183</v>
      </c>
      <c r="L19" s="15" t="s">
        <v>113</v>
      </c>
      <c r="M19" s="15" t="s">
        <v>115</v>
      </c>
      <c r="N19" s="15" t="s">
        <v>113</v>
      </c>
      <c r="O19" s="15" t="s">
        <v>130</v>
      </c>
      <c r="P19" s="15" t="s">
        <v>212</v>
      </c>
    </row>
    <row r="20" ht="28.5" customHeight="1">
      <c r="A20" s="14">
        <v>42046.0</v>
      </c>
      <c r="B20" s="15" t="s">
        <v>203</v>
      </c>
      <c r="C20" s="15" t="s">
        <v>205</v>
      </c>
      <c r="D20" s="15" t="s">
        <v>207</v>
      </c>
      <c r="E20" s="15" t="s">
        <v>208</v>
      </c>
      <c r="F20" s="15">
        <v>1.0</v>
      </c>
      <c r="G20" s="15" t="s">
        <v>147</v>
      </c>
      <c r="H20" s="15" t="s">
        <v>197</v>
      </c>
      <c r="I20" s="15" t="s">
        <v>210</v>
      </c>
      <c r="J20" s="15" t="s">
        <v>113</v>
      </c>
      <c r="K20" s="15" t="s">
        <v>183</v>
      </c>
      <c r="L20" s="15" t="s">
        <v>190</v>
      </c>
      <c r="M20" s="15" t="s">
        <v>115</v>
      </c>
      <c r="N20" s="15" t="s">
        <v>213</v>
      </c>
      <c r="O20" s="15" t="s">
        <v>130</v>
      </c>
      <c r="P20" s="15" t="s">
        <v>211</v>
      </c>
    </row>
    <row r="21" ht="28.5" customHeight="1">
      <c r="A21" s="26">
        <v>42047.0</v>
      </c>
      <c r="B21" s="18" t="s">
        <v>215</v>
      </c>
      <c r="C21" s="15" t="s">
        <v>218</v>
      </c>
      <c r="D21" s="15" t="s">
        <v>220</v>
      </c>
      <c r="E21" s="18" t="s">
        <v>119</v>
      </c>
      <c r="F21" s="15">
        <v>1.0</v>
      </c>
      <c r="G21" s="15" t="s">
        <v>147</v>
      </c>
      <c r="I21" s="15" t="s">
        <v>192</v>
      </c>
      <c r="K21" s="15" t="s">
        <v>225</v>
      </c>
      <c r="L21" s="15" t="s">
        <v>227</v>
      </c>
      <c r="M21" s="15" t="s">
        <v>229</v>
      </c>
      <c r="N21" s="15" t="s">
        <v>230</v>
      </c>
      <c r="O21" s="15" t="s">
        <v>130</v>
      </c>
    </row>
    <row r="22" ht="28.5" customHeight="1">
      <c r="A22" s="26">
        <v>42041.0</v>
      </c>
      <c r="B22" s="18" t="s">
        <v>231</v>
      </c>
      <c r="C22" s="15" t="s">
        <v>232</v>
      </c>
      <c r="D22" s="15" t="s">
        <v>233</v>
      </c>
      <c r="E22" s="18" t="s">
        <v>77</v>
      </c>
      <c r="F22" s="15">
        <v>1.0</v>
      </c>
      <c r="G22" s="15" t="s">
        <v>147</v>
      </c>
      <c r="H22" s="15" t="s">
        <v>234</v>
      </c>
      <c r="I22" s="15" t="s">
        <v>140</v>
      </c>
      <c r="J22" s="15" t="s">
        <v>129</v>
      </c>
      <c r="K22" s="15" t="s">
        <v>235</v>
      </c>
      <c r="L22" s="15" t="s">
        <v>225</v>
      </c>
      <c r="M22" s="15" t="s">
        <v>115</v>
      </c>
      <c r="N22" s="15" t="s">
        <v>225</v>
      </c>
      <c r="O22" s="15" t="s">
        <v>130</v>
      </c>
    </row>
    <row r="23" ht="28.5" customHeight="1">
      <c r="A23" s="26">
        <v>42046.0</v>
      </c>
      <c r="B23" s="18" t="s">
        <v>239</v>
      </c>
      <c r="C23" s="15" t="s">
        <v>241</v>
      </c>
      <c r="D23" s="15" t="s">
        <v>242</v>
      </c>
      <c r="E23" s="18" t="s">
        <v>243</v>
      </c>
      <c r="F23" s="15">
        <v>1.0</v>
      </c>
      <c r="G23" s="15" t="s">
        <v>147</v>
      </c>
      <c r="I23" s="15" t="s">
        <v>246</v>
      </c>
      <c r="K23" s="15" t="s">
        <v>247</v>
      </c>
      <c r="L23" s="15" t="s">
        <v>248</v>
      </c>
      <c r="M23" s="15" t="s">
        <v>246</v>
      </c>
      <c r="N23" s="15" t="s">
        <v>249</v>
      </c>
    </row>
    <row r="24" ht="28.5" customHeight="1">
      <c r="A24" s="26">
        <v>42043.0</v>
      </c>
      <c r="B24" s="18" t="s">
        <v>250</v>
      </c>
      <c r="C24" s="18" t="s">
        <v>251</v>
      </c>
      <c r="D24" s="18" t="s">
        <v>252</v>
      </c>
      <c r="E24" s="18" t="s">
        <v>253</v>
      </c>
      <c r="F24" s="18">
        <v>1.0</v>
      </c>
      <c r="G24" s="18" t="s">
        <v>147</v>
      </c>
      <c r="K24" s="15" t="s">
        <v>120</v>
      </c>
      <c r="L24" s="15" t="s">
        <v>179</v>
      </c>
      <c r="M24" s="15" t="s">
        <v>113</v>
      </c>
      <c r="N24" s="15" t="s">
        <v>254</v>
      </c>
      <c r="O24" s="15" t="s">
        <v>130</v>
      </c>
    </row>
    <row r="25" ht="28.5" customHeight="1">
      <c r="A25" s="24">
        <v>42041.0</v>
      </c>
      <c r="B25" s="18" t="s">
        <v>255</v>
      </c>
      <c r="C25" s="18" t="s">
        <v>256</v>
      </c>
      <c r="D25" s="18" t="s">
        <v>257</v>
      </c>
      <c r="E25" s="18" t="s">
        <v>258</v>
      </c>
      <c r="F25" s="15">
        <v>1.0</v>
      </c>
      <c r="G25" s="16" t="s">
        <v>259</v>
      </c>
      <c r="H25" s="16" t="s">
        <v>263</v>
      </c>
      <c r="I25" s="17" t="s">
        <v>193</v>
      </c>
      <c r="J25" s="15" t="s">
        <v>113</v>
      </c>
      <c r="K25" s="15" t="s">
        <v>193</v>
      </c>
      <c r="L25" s="15" t="s">
        <v>113</v>
      </c>
      <c r="M25" s="15" t="s">
        <v>122</v>
      </c>
      <c r="N25" s="15" t="s">
        <v>115</v>
      </c>
      <c r="O25" s="15" t="s">
        <v>122</v>
      </c>
      <c r="P25" s="15" t="s">
        <v>267</v>
      </c>
    </row>
    <row r="26" ht="28.5" customHeight="1">
      <c r="A26" s="26">
        <v>42046.0</v>
      </c>
      <c r="B26" s="18" t="s">
        <v>231</v>
      </c>
      <c r="C26" s="15" t="s">
        <v>232</v>
      </c>
      <c r="D26" s="15" t="s">
        <v>268</v>
      </c>
      <c r="E26" s="18" t="s">
        <v>269</v>
      </c>
      <c r="F26" s="15">
        <v>1.0</v>
      </c>
      <c r="G26" s="15" t="s">
        <v>259</v>
      </c>
      <c r="H26" s="15" t="s">
        <v>270</v>
      </c>
      <c r="I26" s="15" t="s">
        <v>271</v>
      </c>
      <c r="J26" s="15" t="s">
        <v>129</v>
      </c>
      <c r="K26" s="15" t="s">
        <v>272</v>
      </c>
      <c r="N26" s="15" t="s">
        <v>115</v>
      </c>
      <c r="O26" s="15" t="s">
        <v>130</v>
      </c>
      <c r="P26" s="15" t="s">
        <v>273</v>
      </c>
    </row>
    <row r="27" ht="28.5" customHeight="1">
      <c r="A27" s="24">
        <v>42046.0</v>
      </c>
      <c r="B27" s="18" t="s">
        <v>102</v>
      </c>
      <c r="C27" s="18" t="s">
        <v>104</v>
      </c>
      <c r="D27" s="18" t="s">
        <v>185</v>
      </c>
      <c r="E27" s="18" t="s">
        <v>77</v>
      </c>
      <c r="F27" s="15">
        <v>1.0</v>
      </c>
      <c r="G27" s="15" t="s">
        <v>274</v>
      </c>
      <c r="H27" s="15" t="s">
        <v>275</v>
      </c>
      <c r="I27" s="15" t="s">
        <v>276</v>
      </c>
      <c r="K27" s="15" t="s">
        <v>277</v>
      </c>
      <c r="N27" s="15" t="s">
        <v>115</v>
      </c>
      <c r="O27" s="15" t="s">
        <v>122</v>
      </c>
    </row>
    <row r="28" ht="28.5" customHeight="1">
      <c r="A28" s="14">
        <v>42044.0</v>
      </c>
      <c r="B28" s="15" t="s">
        <v>74</v>
      </c>
      <c r="C28" s="15" t="s">
        <v>75</v>
      </c>
      <c r="D28" s="15" t="s">
        <v>82</v>
      </c>
      <c r="E28" s="15" t="s">
        <v>77</v>
      </c>
      <c r="F28" s="15">
        <v>1.0</v>
      </c>
      <c r="G28" s="15" t="s">
        <v>274</v>
      </c>
      <c r="H28" s="15" t="s">
        <v>275</v>
      </c>
      <c r="I28" s="15" t="s">
        <v>278</v>
      </c>
      <c r="J28" s="15" t="s">
        <v>129</v>
      </c>
      <c r="K28" s="15" t="s">
        <v>277</v>
      </c>
      <c r="N28" s="15" t="s">
        <v>115</v>
      </c>
      <c r="O28" s="15" t="s">
        <v>130</v>
      </c>
      <c r="P28" s="15" t="s">
        <v>279</v>
      </c>
    </row>
    <row r="29" ht="28.5" customHeight="1">
      <c r="A29" s="28" t="s">
        <v>280</v>
      </c>
      <c r="B29" s="28" t="s">
        <v>290</v>
      </c>
      <c r="C29" s="28" t="s">
        <v>292</v>
      </c>
      <c r="D29" s="28" t="s">
        <v>293</v>
      </c>
      <c r="E29" s="28" t="s">
        <v>294</v>
      </c>
      <c r="F29" s="28">
        <v>1.0</v>
      </c>
      <c r="G29" s="28" t="s">
        <v>295</v>
      </c>
      <c r="H29" s="28" t="s">
        <v>113</v>
      </c>
      <c r="I29" s="28" t="s">
        <v>113</v>
      </c>
      <c r="J29" s="28" t="s">
        <v>296</v>
      </c>
      <c r="K29" s="28" t="s">
        <v>115</v>
      </c>
      <c r="L29" s="28" t="s">
        <v>297</v>
      </c>
      <c r="M29" s="28" t="s">
        <v>113</v>
      </c>
      <c r="N29" s="28" t="s">
        <v>298</v>
      </c>
      <c r="O29" s="28" t="s">
        <v>122</v>
      </c>
      <c r="P29" s="28" t="s">
        <v>300</v>
      </c>
      <c r="Q29" s="29"/>
      <c r="R29" s="29"/>
      <c r="S29" s="29"/>
      <c r="T29" s="29"/>
    </row>
    <row r="30" ht="28.5" customHeight="1">
      <c r="A30" s="24">
        <v>42041.0</v>
      </c>
      <c r="B30" s="18" t="s">
        <v>150</v>
      </c>
      <c r="C30" s="18" t="s">
        <v>151</v>
      </c>
      <c r="D30" s="18" t="s">
        <v>152</v>
      </c>
      <c r="E30" s="18" t="s">
        <v>146</v>
      </c>
      <c r="F30" s="15">
        <v>1.0</v>
      </c>
      <c r="G30" s="15" t="s">
        <v>295</v>
      </c>
      <c r="H30" s="15" t="s">
        <v>113</v>
      </c>
      <c r="I30" s="15" t="s">
        <v>113</v>
      </c>
      <c r="J30" s="15" t="s">
        <v>113</v>
      </c>
      <c r="K30" s="15" t="s">
        <v>115</v>
      </c>
      <c r="L30" s="15" t="s">
        <v>306</v>
      </c>
      <c r="M30" s="15" t="s">
        <v>113</v>
      </c>
      <c r="N30" s="15" t="s">
        <v>307</v>
      </c>
      <c r="O30" s="15" t="s">
        <v>122</v>
      </c>
    </row>
    <row r="31" ht="28.5" customHeight="1">
      <c r="A31" s="14">
        <v>42042.0</v>
      </c>
      <c r="B31" s="15" t="s">
        <v>309</v>
      </c>
      <c r="C31" s="15" t="s">
        <v>311</v>
      </c>
      <c r="D31" s="15" t="s">
        <v>313</v>
      </c>
      <c r="E31" s="15" t="s">
        <v>146</v>
      </c>
      <c r="F31" s="15">
        <v>1.0</v>
      </c>
      <c r="G31" s="15" t="s">
        <v>295</v>
      </c>
      <c r="K31" s="15" t="s">
        <v>122</v>
      </c>
      <c r="L31" s="15" t="s">
        <v>120</v>
      </c>
      <c r="M31" s="15" t="s">
        <v>115</v>
      </c>
      <c r="N31" s="15" t="s">
        <v>122</v>
      </c>
      <c r="O31" s="15" t="s">
        <v>122</v>
      </c>
    </row>
    <row r="32" ht="28.5" customHeight="1">
      <c r="A32" s="14">
        <v>42045.0</v>
      </c>
      <c r="B32" s="18" t="s">
        <v>102</v>
      </c>
      <c r="C32" s="18" t="s">
        <v>104</v>
      </c>
      <c r="D32" s="15" t="s">
        <v>319</v>
      </c>
      <c r="E32" s="15" t="s">
        <v>320</v>
      </c>
      <c r="F32" s="15">
        <v>1.0</v>
      </c>
      <c r="G32" s="15" t="s">
        <v>295</v>
      </c>
      <c r="K32" s="15" t="s">
        <v>115</v>
      </c>
      <c r="M32" s="15" t="s">
        <v>162</v>
      </c>
      <c r="N32" s="15" t="s">
        <v>323</v>
      </c>
      <c r="O32" s="15" t="s">
        <v>122</v>
      </c>
    </row>
    <row r="33" ht="28.5" customHeight="1">
      <c r="A33" s="24">
        <v>42045.0</v>
      </c>
      <c r="B33" s="18" t="s">
        <v>102</v>
      </c>
      <c r="C33" s="18" t="s">
        <v>104</v>
      </c>
      <c r="D33" s="18" t="s">
        <v>105</v>
      </c>
      <c r="E33" s="18" t="s">
        <v>77</v>
      </c>
      <c r="F33" s="15">
        <v>1.0</v>
      </c>
      <c r="G33" s="15" t="s">
        <v>295</v>
      </c>
      <c r="K33" s="15" t="s">
        <v>115</v>
      </c>
      <c r="L33" s="15" t="s">
        <v>120</v>
      </c>
      <c r="N33" s="15" t="s">
        <v>330</v>
      </c>
      <c r="O33" s="15" t="s">
        <v>122</v>
      </c>
    </row>
    <row r="34" ht="28.5" customHeight="1">
      <c r="A34" s="24">
        <v>42045.0</v>
      </c>
      <c r="B34" s="18" t="s">
        <v>102</v>
      </c>
      <c r="C34" s="18" t="s">
        <v>104</v>
      </c>
      <c r="D34" s="18" t="s">
        <v>105</v>
      </c>
      <c r="E34" s="18" t="s">
        <v>77</v>
      </c>
      <c r="F34" s="15">
        <v>1.0</v>
      </c>
      <c r="G34" s="15" t="s">
        <v>295</v>
      </c>
      <c r="L34" s="15" t="s">
        <v>333</v>
      </c>
      <c r="M34" s="15" t="s">
        <v>115</v>
      </c>
      <c r="N34" s="15" t="s">
        <v>162</v>
      </c>
      <c r="O34" s="15" t="s">
        <v>122</v>
      </c>
    </row>
    <row r="35" ht="28.5" customHeight="1">
      <c r="A35" s="24">
        <v>42045.0</v>
      </c>
      <c r="B35" s="18" t="s">
        <v>102</v>
      </c>
      <c r="C35" s="18" t="s">
        <v>104</v>
      </c>
      <c r="D35" s="18" t="s">
        <v>105</v>
      </c>
      <c r="E35" s="18" t="s">
        <v>77</v>
      </c>
      <c r="F35" s="15">
        <v>1.0</v>
      </c>
      <c r="G35" s="15" t="s">
        <v>295</v>
      </c>
      <c r="K35" s="15" t="s">
        <v>115</v>
      </c>
      <c r="L35" s="15" t="s">
        <v>122</v>
      </c>
      <c r="N35" s="15" t="s">
        <v>334</v>
      </c>
      <c r="O35" s="15" t="s">
        <v>122</v>
      </c>
    </row>
    <row r="36" ht="28.5" customHeight="1">
      <c r="A36" s="24">
        <v>42042.0</v>
      </c>
      <c r="B36" s="18" t="s">
        <v>335</v>
      </c>
      <c r="C36" s="18" t="s">
        <v>104</v>
      </c>
      <c r="D36" s="18" t="s">
        <v>336</v>
      </c>
      <c r="E36" s="15" t="s">
        <v>119</v>
      </c>
      <c r="F36" s="15">
        <v>1.0</v>
      </c>
      <c r="G36" s="15" t="s">
        <v>295</v>
      </c>
      <c r="K36" s="15" t="s">
        <v>115</v>
      </c>
      <c r="L36" s="15" t="s">
        <v>306</v>
      </c>
      <c r="N36" s="15" t="s">
        <v>337</v>
      </c>
      <c r="O36" s="15" t="s">
        <v>122</v>
      </c>
    </row>
    <row r="37" ht="28.5" customHeight="1">
      <c r="A37" s="26">
        <v>42045.0</v>
      </c>
      <c r="B37" s="18" t="s">
        <v>198</v>
      </c>
      <c r="C37" s="18" t="s">
        <v>338</v>
      </c>
      <c r="D37" s="18" t="s">
        <v>339</v>
      </c>
      <c r="E37" s="15" t="s">
        <v>320</v>
      </c>
      <c r="F37" s="15">
        <v>1.0</v>
      </c>
      <c r="G37" s="15" t="s">
        <v>295</v>
      </c>
      <c r="L37" s="15" t="s">
        <v>341</v>
      </c>
      <c r="M37" s="15" t="s">
        <v>115</v>
      </c>
      <c r="N37" s="15" t="s">
        <v>306</v>
      </c>
      <c r="O37" s="15" t="s">
        <v>122</v>
      </c>
    </row>
    <row r="38" ht="28.5" customHeight="1">
      <c r="A38" s="26">
        <v>42045.0</v>
      </c>
      <c r="B38" s="18" t="s">
        <v>198</v>
      </c>
      <c r="C38" s="18" t="s">
        <v>338</v>
      </c>
      <c r="D38" s="18" t="s">
        <v>339</v>
      </c>
      <c r="E38" s="15" t="s">
        <v>320</v>
      </c>
      <c r="F38" s="15">
        <v>1.0</v>
      </c>
      <c r="G38" s="15" t="s">
        <v>295</v>
      </c>
      <c r="L38" s="15" t="s">
        <v>334</v>
      </c>
      <c r="M38" s="15" t="s">
        <v>115</v>
      </c>
      <c r="N38" s="15" t="s">
        <v>323</v>
      </c>
      <c r="O38" s="15" t="s">
        <v>122</v>
      </c>
    </row>
    <row r="39" ht="28.5" customHeight="1">
      <c r="A39" s="14">
        <v>42045.0</v>
      </c>
      <c r="B39" s="18" t="s">
        <v>198</v>
      </c>
      <c r="C39" s="18" t="s">
        <v>338</v>
      </c>
      <c r="D39" s="15" t="s">
        <v>345</v>
      </c>
      <c r="E39" s="15" t="s">
        <v>320</v>
      </c>
      <c r="F39" s="15">
        <v>1.0</v>
      </c>
      <c r="G39" s="15" t="s">
        <v>295</v>
      </c>
      <c r="K39" s="15" t="s">
        <v>115</v>
      </c>
      <c r="L39" s="15" t="s">
        <v>306</v>
      </c>
      <c r="N39" s="15" t="s">
        <v>350</v>
      </c>
      <c r="O39" s="15" t="s">
        <v>122</v>
      </c>
    </row>
    <row r="40" ht="28.5" customHeight="1">
      <c r="A40" s="14">
        <v>42045.0</v>
      </c>
      <c r="B40" s="18" t="s">
        <v>198</v>
      </c>
      <c r="C40" s="18" t="s">
        <v>338</v>
      </c>
      <c r="D40" s="15" t="s">
        <v>345</v>
      </c>
      <c r="E40" s="15" t="s">
        <v>320</v>
      </c>
      <c r="F40" s="15">
        <v>1.0</v>
      </c>
      <c r="G40" s="15" t="s">
        <v>295</v>
      </c>
      <c r="K40" s="15" t="s">
        <v>115</v>
      </c>
      <c r="L40" s="15" t="s">
        <v>306</v>
      </c>
      <c r="N40" s="15" t="s">
        <v>353</v>
      </c>
      <c r="O40" s="15" t="s">
        <v>122</v>
      </c>
    </row>
    <row r="41" ht="28.5" customHeight="1">
      <c r="A41" s="14">
        <v>42041.0</v>
      </c>
      <c r="B41" s="18" t="s">
        <v>198</v>
      </c>
      <c r="C41" s="18" t="s">
        <v>338</v>
      </c>
      <c r="D41" s="15" t="s">
        <v>354</v>
      </c>
      <c r="E41" s="15" t="s">
        <v>208</v>
      </c>
      <c r="F41" s="15">
        <v>1.0</v>
      </c>
      <c r="G41" s="15" t="s">
        <v>295</v>
      </c>
      <c r="K41" s="15" t="s">
        <v>355</v>
      </c>
      <c r="M41" s="15" t="s">
        <v>356</v>
      </c>
      <c r="O41" s="15" t="s">
        <v>122</v>
      </c>
    </row>
    <row r="42" ht="28.5" customHeight="1">
      <c r="A42" s="14">
        <v>42041.0</v>
      </c>
      <c r="B42" s="18" t="s">
        <v>198</v>
      </c>
      <c r="C42" s="18" t="s">
        <v>338</v>
      </c>
      <c r="D42" s="15" t="s">
        <v>354</v>
      </c>
      <c r="E42" s="15" t="s">
        <v>208</v>
      </c>
      <c r="F42" s="15">
        <v>1.0</v>
      </c>
      <c r="G42" s="15" t="s">
        <v>295</v>
      </c>
      <c r="K42" s="15" t="s">
        <v>357</v>
      </c>
      <c r="M42" s="15" t="s">
        <v>358</v>
      </c>
      <c r="O42" s="15" t="s">
        <v>122</v>
      </c>
    </row>
    <row r="43" ht="28.5" customHeight="1">
      <c r="A43" s="14">
        <v>42041.0</v>
      </c>
      <c r="B43" s="15" t="s">
        <v>74</v>
      </c>
      <c r="C43" s="15" t="s">
        <v>75</v>
      </c>
      <c r="D43" s="15" t="s">
        <v>359</v>
      </c>
      <c r="E43" s="15" t="s">
        <v>181</v>
      </c>
      <c r="F43" s="15">
        <v>1.0</v>
      </c>
      <c r="G43" s="15" t="s">
        <v>295</v>
      </c>
      <c r="L43" s="15" t="s">
        <v>330</v>
      </c>
      <c r="N43" s="15" t="s">
        <v>115</v>
      </c>
      <c r="O43" s="15" t="s">
        <v>130</v>
      </c>
      <c r="P43" s="15" t="s">
        <v>362</v>
      </c>
    </row>
    <row r="44" ht="28.5" customHeight="1">
      <c r="A44" s="14">
        <v>42046.0</v>
      </c>
      <c r="B44" s="15" t="s">
        <v>365</v>
      </c>
      <c r="C44" s="15" t="s">
        <v>366</v>
      </c>
      <c r="D44" s="15" t="s">
        <v>367</v>
      </c>
      <c r="E44" s="15" t="s">
        <v>208</v>
      </c>
      <c r="F44" s="15">
        <v>1.0</v>
      </c>
      <c r="G44" s="15" t="s">
        <v>295</v>
      </c>
      <c r="H44" s="15" t="s">
        <v>113</v>
      </c>
      <c r="I44" s="15" t="s">
        <v>113</v>
      </c>
      <c r="J44" s="15" t="s">
        <v>113</v>
      </c>
      <c r="K44" s="15" t="s">
        <v>230</v>
      </c>
      <c r="L44" s="15" t="s">
        <v>113</v>
      </c>
      <c r="M44" s="15" t="s">
        <v>370</v>
      </c>
      <c r="N44" s="15" t="s">
        <v>113</v>
      </c>
      <c r="O44" s="15" t="s">
        <v>130</v>
      </c>
    </row>
    <row r="45" ht="28.5" customHeight="1">
      <c r="A45" s="14">
        <v>42046.0</v>
      </c>
      <c r="B45" s="15" t="s">
        <v>365</v>
      </c>
      <c r="C45" s="15" t="s">
        <v>366</v>
      </c>
      <c r="D45" s="15" t="s">
        <v>367</v>
      </c>
      <c r="E45" s="15" t="s">
        <v>208</v>
      </c>
      <c r="F45" s="15">
        <v>1.0</v>
      </c>
      <c r="G45" s="15" t="s">
        <v>295</v>
      </c>
      <c r="H45" s="15" t="s">
        <v>113</v>
      </c>
      <c r="I45" s="15" t="s">
        <v>113</v>
      </c>
      <c r="J45" s="15" t="s">
        <v>113</v>
      </c>
      <c r="K45" s="15" t="s">
        <v>374</v>
      </c>
      <c r="L45" s="15" t="s">
        <v>113</v>
      </c>
      <c r="M45" s="15" t="s">
        <v>374</v>
      </c>
      <c r="N45" s="15" t="s">
        <v>113</v>
      </c>
      <c r="O45" s="15" t="s">
        <v>130</v>
      </c>
    </row>
    <row r="46" ht="28.5" customHeight="1">
      <c r="A46" s="14">
        <v>42046.0</v>
      </c>
      <c r="B46" s="15" t="s">
        <v>377</v>
      </c>
      <c r="C46" s="15" t="s">
        <v>378</v>
      </c>
      <c r="D46" s="15" t="s">
        <v>379</v>
      </c>
      <c r="E46" s="15" t="s">
        <v>208</v>
      </c>
      <c r="F46" s="15">
        <v>1.0</v>
      </c>
      <c r="G46" s="15" t="s">
        <v>295</v>
      </c>
      <c r="H46" s="15" t="s">
        <v>113</v>
      </c>
      <c r="I46" s="15" t="s">
        <v>113</v>
      </c>
      <c r="J46" s="15" t="s">
        <v>113</v>
      </c>
      <c r="K46" s="15" t="s">
        <v>380</v>
      </c>
      <c r="L46" s="15" t="s">
        <v>113</v>
      </c>
      <c r="M46" s="15" t="s">
        <v>381</v>
      </c>
      <c r="N46" s="15" t="s">
        <v>113</v>
      </c>
      <c r="O46" s="15" t="s">
        <v>130</v>
      </c>
    </row>
    <row r="47" ht="28.5" customHeight="1">
      <c r="A47" s="14">
        <v>42046.0</v>
      </c>
      <c r="B47" s="15" t="s">
        <v>377</v>
      </c>
      <c r="C47" s="15" t="s">
        <v>378</v>
      </c>
      <c r="D47" s="15" t="s">
        <v>379</v>
      </c>
      <c r="E47" s="15" t="s">
        <v>208</v>
      </c>
      <c r="F47" s="15">
        <v>1.0</v>
      </c>
      <c r="G47" s="15" t="s">
        <v>295</v>
      </c>
      <c r="H47" s="15" t="s">
        <v>113</v>
      </c>
      <c r="I47" s="15" t="s">
        <v>113</v>
      </c>
      <c r="J47" s="15" t="s">
        <v>113</v>
      </c>
      <c r="K47" s="15" t="s">
        <v>385</v>
      </c>
      <c r="L47" s="15" t="s">
        <v>113</v>
      </c>
      <c r="M47" s="15" t="s">
        <v>385</v>
      </c>
      <c r="N47" s="15" t="s">
        <v>113</v>
      </c>
      <c r="O47" s="15" t="s">
        <v>130</v>
      </c>
    </row>
    <row r="48" ht="28.5" customHeight="1">
      <c r="A48" s="14">
        <v>42046.0</v>
      </c>
      <c r="B48" s="15" t="s">
        <v>377</v>
      </c>
      <c r="C48" s="15" t="s">
        <v>378</v>
      </c>
      <c r="D48" s="15" t="s">
        <v>379</v>
      </c>
      <c r="E48" s="15" t="s">
        <v>208</v>
      </c>
      <c r="F48" s="15">
        <v>1.0</v>
      </c>
      <c r="G48" s="15" t="s">
        <v>295</v>
      </c>
      <c r="H48" s="15" t="s">
        <v>113</v>
      </c>
      <c r="I48" s="15" t="s">
        <v>113</v>
      </c>
      <c r="J48" s="15" t="s">
        <v>113</v>
      </c>
      <c r="K48" s="15" t="s">
        <v>230</v>
      </c>
      <c r="L48" s="15" t="s">
        <v>113</v>
      </c>
      <c r="M48" s="15" t="s">
        <v>389</v>
      </c>
      <c r="N48" s="15" t="s">
        <v>113</v>
      </c>
      <c r="O48" s="15" t="s">
        <v>130</v>
      </c>
    </row>
    <row r="49" ht="28.5" customHeight="1">
      <c r="A49" s="14">
        <v>42046.0</v>
      </c>
      <c r="B49" s="15" t="s">
        <v>377</v>
      </c>
      <c r="C49" s="15" t="s">
        <v>378</v>
      </c>
      <c r="D49" s="15" t="s">
        <v>379</v>
      </c>
      <c r="E49" s="15" t="s">
        <v>208</v>
      </c>
      <c r="F49" s="15">
        <v>1.0</v>
      </c>
      <c r="G49" s="15" t="s">
        <v>295</v>
      </c>
      <c r="H49" s="15" t="s">
        <v>113</v>
      </c>
      <c r="I49" s="15" t="s">
        <v>113</v>
      </c>
      <c r="J49" s="15" t="s">
        <v>113</v>
      </c>
      <c r="K49" s="15" t="s">
        <v>189</v>
      </c>
      <c r="L49" s="15" t="s">
        <v>113</v>
      </c>
      <c r="M49" s="15" t="s">
        <v>355</v>
      </c>
      <c r="N49" s="15" t="s">
        <v>113</v>
      </c>
      <c r="O49" s="15" t="s">
        <v>130</v>
      </c>
    </row>
    <row r="50" ht="28.5" customHeight="1">
      <c r="A50" s="14">
        <v>42046.0</v>
      </c>
      <c r="B50" s="15" t="s">
        <v>377</v>
      </c>
      <c r="C50" s="15" t="s">
        <v>378</v>
      </c>
      <c r="D50" s="15" t="s">
        <v>379</v>
      </c>
      <c r="E50" s="15" t="s">
        <v>208</v>
      </c>
      <c r="F50" s="15">
        <v>1.0</v>
      </c>
      <c r="G50" s="15" t="s">
        <v>295</v>
      </c>
      <c r="H50" s="15" t="s">
        <v>113</v>
      </c>
      <c r="I50" s="15" t="s">
        <v>113</v>
      </c>
      <c r="J50" s="15" t="s">
        <v>113</v>
      </c>
      <c r="K50" s="15" t="s">
        <v>306</v>
      </c>
      <c r="L50" s="15" t="s">
        <v>120</v>
      </c>
      <c r="M50" s="15" t="s">
        <v>170</v>
      </c>
      <c r="N50" s="15" t="s">
        <v>113</v>
      </c>
      <c r="O50" s="15" t="s">
        <v>130</v>
      </c>
      <c r="P50" s="15" t="s">
        <v>211</v>
      </c>
    </row>
    <row r="51" ht="28.5" customHeight="1">
      <c r="A51" s="14">
        <v>42046.0</v>
      </c>
      <c r="B51" s="15" t="s">
        <v>393</v>
      </c>
      <c r="C51" s="15" t="s">
        <v>394</v>
      </c>
      <c r="D51" s="15" t="s">
        <v>395</v>
      </c>
      <c r="E51" s="15" t="s">
        <v>253</v>
      </c>
      <c r="F51" s="15">
        <v>1.0</v>
      </c>
      <c r="G51" s="15" t="s">
        <v>295</v>
      </c>
      <c r="L51" s="15" t="s">
        <v>396</v>
      </c>
      <c r="M51" s="15" t="s">
        <v>115</v>
      </c>
      <c r="N51" s="15" t="s">
        <v>162</v>
      </c>
      <c r="O51" s="15" t="s">
        <v>130</v>
      </c>
      <c r="P51" s="15" t="s">
        <v>397</v>
      </c>
    </row>
    <row r="52" ht="28.5" customHeight="1">
      <c r="A52" s="14">
        <v>42043.0</v>
      </c>
      <c r="B52" s="15" t="s">
        <v>74</v>
      </c>
      <c r="C52" s="15" t="s">
        <v>75</v>
      </c>
      <c r="D52" s="15" t="s">
        <v>76</v>
      </c>
      <c r="E52" s="15" t="s">
        <v>77</v>
      </c>
      <c r="F52" s="15">
        <v>1.0</v>
      </c>
      <c r="G52" s="15" t="s">
        <v>295</v>
      </c>
      <c r="K52" s="15" t="s">
        <v>115</v>
      </c>
      <c r="N52" s="15" t="s">
        <v>398</v>
      </c>
      <c r="O52" s="15" t="s">
        <v>130</v>
      </c>
      <c r="P52" s="15" t="s">
        <v>399</v>
      </c>
    </row>
    <row r="53" ht="28.5" customHeight="1">
      <c r="A53" s="14">
        <v>42043.0</v>
      </c>
      <c r="B53" s="15" t="s">
        <v>74</v>
      </c>
      <c r="C53" s="15" t="s">
        <v>75</v>
      </c>
      <c r="D53" s="15" t="s">
        <v>76</v>
      </c>
      <c r="E53" s="15" t="s">
        <v>77</v>
      </c>
      <c r="F53" s="15">
        <v>1.0</v>
      </c>
      <c r="G53" s="15" t="s">
        <v>295</v>
      </c>
      <c r="L53" s="15" t="s">
        <v>400</v>
      </c>
      <c r="N53" s="15" t="s">
        <v>401</v>
      </c>
      <c r="O53" s="15" t="s">
        <v>130</v>
      </c>
      <c r="P53" s="15" t="s">
        <v>402</v>
      </c>
    </row>
    <row r="54" ht="28.5" customHeight="1">
      <c r="A54" s="14">
        <v>42043.0</v>
      </c>
      <c r="B54" s="15" t="s">
        <v>74</v>
      </c>
      <c r="C54" s="15" t="s">
        <v>75</v>
      </c>
      <c r="D54" s="15" t="s">
        <v>76</v>
      </c>
      <c r="E54" s="15" t="s">
        <v>77</v>
      </c>
      <c r="F54" s="15">
        <v>1.0</v>
      </c>
      <c r="G54" s="15" t="s">
        <v>295</v>
      </c>
      <c r="L54" s="15" t="s">
        <v>194</v>
      </c>
      <c r="M54" s="15" t="s">
        <v>115</v>
      </c>
      <c r="N54" s="15" t="s">
        <v>306</v>
      </c>
      <c r="O54" s="15" t="s">
        <v>130</v>
      </c>
      <c r="P54" s="15" t="s">
        <v>404</v>
      </c>
    </row>
    <row r="55" ht="28.5" customHeight="1">
      <c r="A55" s="14">
        <v>42044.0</v>
      </c>
      <c r="B55" s="15" t="s">
        <v>74</v>
      </c>
      <c r="C55" s="15" t="s">
        <v>75</v>
      </c>
      <c r="D55" s="15" t="s">
        <v>82</v>
      </c>
      <c r="E55" s="15" t="s">
        <v>77</v>
      </c>
      <c r="F55" s="15">
        <v>1.0</v>
      </c>
      <c r="G55" s="15" t="s">
        <v>295</v>
      </c>
      <c r="M55" s="15" t="s">
        <v>115</v>
      </c>
      <c r="N55" s="15" t="s">
        <v>405</v>
      </c>
      <c r="O55" s="15" t="s">
        <v>130</v>
      </c>
      <c r="P55" s="15" t="s">
        <v>406</v>
      </c>
    </row>
    <row r="56" ht="28.5" customHeight="1">
      <c r="A56" s="14">
        <v>42044.0</v>
      </c>
      <c r="B56" s="15" t="s">
        <v>74</v>
      </c>
      <c r="C56" s="15" t="s">
        <v>75</v>
      </c>
      <c r="D56" s="15" t="s">
        <v>82</v>
      </c>
      <c r="E56" s="15" t="s">
        <v>77</v>
      </c>
      <c r="F56" s="15">
        <v>1.0</v>
      </c>
      <c r="G56" s="15" t="s">
        <v>295</v>
      </c>
      <c r="L56" s="15" t="s">
        <v>323</v>
      </c>
      <c r="M56" s="15" t="s">
        <v>115</v>
      </c>
      <c r="N56" s="15" t="s">
        <v>409</v>
      </c>
      <c r="O56" s="15" t="s">
        <v>130</v>
      </c>
      <c r="P56" s="15" t="s">
        <v>410</v>
      </c>
    </row>
    <row r="57" ht="28.5" customHeight="1">
      <c r="A57" s="14">
        <v>42044.0</v>
      </c>
      <c r="B57" s="15" t="s">
        <v>74</v>
      </c>
      <c r="C57" s="15" t="s">
        <v>75</v>
      </c>
      <c r="D57" s="15" t="s">
        <v>82</v>
      </c>
      <c r="E57" s="15" t="s">
        <v>77</v>
      </c>
      <c r="F57" s="15">
        <v>1.0</v>
      </c>
      <c r="G57" s="15" t="s">
        <v>295</v>
      </c>
      <c r="K57" s="15" t="s">
        <v>115</v>
      </c>
      <c r="N57" s="15" t="s">
        <v>341</v>
      </c>
      <c r="O57" s="15" t="s">
        <v>130</v>
      </c>
      <c r="P57" s="15" t="s">
        <v>411</v>
      </c>
    </row>
    <row r="58" ht="28.5" customHeight="1">
      <c r="A58" s="26">
        <v>42046.0</v>
      </c>
      <c r="B58" s="18" t="s">
        <v>198</v>
      </c>
      <c r="C58" s="15" t="s">
        <v>199</v>
      </c>
      <c r="D58" s="15" t="s">
        <v>200</v>
      </c>
      <c r="E58" s="18" t="s">
        <v>77</v>
      </c>
      <c r="F58" s="15">
        <v>1.0</v>
      </c>
      <c r="G58" s="15" t="s">
        <v>295</v>
      </c>
      <c r="K58" s="15" t="s">
        <v>115</v>
      </c>
      <c r="L58" s="15" t="s">
        <v>412</v>
      </c>
      <c r="N58" s="15" t="s">
        <v>230</v>
      </c>
      <c r="O58" s="15" t="s">
        <v>413</v>
      </c>
    </row>
    <row r="59" ht="28.5" customHeight="1">
      <c r="A59" s="26">
        <v>42046.0</v>
      </c>
      <c r="B59" s="18" t="s">
        <v>198</v>
      </c>
      <c r="C59" s="15" t="s">
        <v>199</v>
      </c>
      <c r="D59" s="15" t="s">
        <v>200</v>
      </c>
      <c r="E59" s="18" t="s">
        <v>77</v>
      </c>
      <c r="F59" s="15">
        <v>1.0</v>
      </c>
      <c r="G59" s="15" t="s">
        <v>295</v>
      </c>
      <c r="L59" s="15" t="s">
        <v>414</v>
      </c>
      <c r="M59" s="15" t="s">
        <v>115</v>
      </c>
      <c r="N59" s="15" t="s">
        <v>323</v>
      </c>
      <c r="O59" s="15" t="s">
        <v>413</v>
      </c>
    </row>
    <row r="60" ht="28.5" customHeight="1">
      <c r="A60" s="26">
        <v>42046.0</v>
      </c>
      <c r="B60" s="18" t="s">
        <v>198</v>
      </c>
      <c r="C60" s="15" t="s">
        <v>199</v>
      </c>
      <c r="D60" s="15" t="s">
        <v>200</v>
      </c>
      <c r="E60" s="18" t="s">
        <v>77</v>
      </c>
      <c r="F60" s="15">
        <v>1.0</v>
      </c>
      <c r="G60" s="15" t="s">
        <v>295</v>
      </c>
      <c r="L60" s="15" t="s">
        <v>417</v>
      </c>
      <c r="M60" s="15" t="s">
        <v>115</v>
      </c>
      <c r="N60" s="15" t="s">
        <v>306</v>
      </c>
      <c r="O60" s="15" t="s">
        <v>413</v>
      </c>
    </row>
    <row r="61" ht="28.5" customHeight="1">
      <c r="A61" s="26">
        <v>42046.0</v>
      </c>
      <c r="B61" s="18" t="s">
        <v>198</v>
      </c>
      <c r="C61" s="15" t="s">
        <v>199</v>
      </c>
      <c r="D61" s="15" t="s">
        <v>200</v>
      </c>
      <c r="E61" s="18" t="s">
        <v>77</v>
      </c>
      <c r="F61" s="15">
        <v>1.0</v>
      </c>
      <c r="G61" s="15" t="s">
        <v>295</v>
      </c>
      <c r="L61" s="15" t="s">
        <v>381</v>
      </c>
      <c r="M61" s="15" t="s">
        <v>115</v>
      </c>
      <c r="N61" s="15" t="s">
        <v>122</v>
      </c>
      <c r="O61" s="15" t="s">
        <v>413</v>
      </c>
    </row>
    <row r="62" ht="28.5" customHeight="1">
      <c r="A62" s="26">
        <v>42046.0</v>
      </c>
      <c r="B62" s="18" t="s">
        <v>198</v>
      </c>
      <c r="C62" s="15" t="s">
        <v>199</v>
      </c>
      <c r="D62" s="15" t="s">
        <v>200</v>
      </c>
      <c r="E62" s="18" t="s">
        <v>77</v>
      </c>
      <c r="F62" s="15">
        <v>1.0</v>
      </c>
      <c r="G62" s="15" t="s">
        <v>295</v>
      </c>
      <c r="L62" s="15" t="s">
        <v>420</v>
      </c>
      <c r="O62" s="15" t="s">
        <v>413</v>
      </c>
    </row>
    <row r="63" ht="28.5" customHeight="1">
      <c r="A63" s="26">
        <v>42046.0</v>
      </c>
      <c r="B63" s="18" t="s">
        <v>198</v>
      </c>
      <c r="C63" s="15" t="s">
        <v>199</v>
      </c>
      <c r="D63" s="15" t="s">
        <v>200</v>
      </c>
      <c r="E63" s="18" t="s">
        <v>77</v>
      </c>
      <c r="F63" s="15">
        <v>1.0</v>
      </c>
      <c r="G63" s="15" t="s">
        <v>295</v>
      </c>
      <c r="L63" s="15" t="s">
        <v>337</v>
      </c>
      <c r="M63" s="15" t="s">
        <v>115</v>
      </c>
      <c r="N63" s="15" t="s">
        <v>120</v>
      </c>
      <c r="O63" s="15" t="s">
        <v>413</v>
      </c>
    </row>
    <row r="64" ht="28.5" customHeight="1">
      <c r="A64" s="26">
        <v>42046.0</v>
      </c>
      <c r="B64" s="18" t="s">
        <v>421</v>
      </c>
      <c r="C64" s="15" t="s">
        <v>218</v>
      </c>
      <c r="D64" s="15" t="s">
        <v>422</v>
      </c>
      <c r="E64" s="18" t="s">
        <v>119</v>
      </c>
      <c r="F64" s="15">
        <v>1.0</v>
      </c>
      <c r="G64" s="15" t="s">
        <v>295</v>
      </c>
      <c r="K64" s="15" t="s">
        <v>170</v>
      </c>
      <c r="L64" s="15" t="s">
        <v>225</v>
      </c>
      <c r="M64" s="15" t="s">
        <v>225</v>
      </c>
      <c r="N64" s="15" t="s">
        <v>425</v>
      </c>
      <c r="O64" s="15" t="s">
        <v>130</v>
      </c>
    </row>
    <row r="65" ht="28.5" customHeight="1">
      <c r="A65" s="26">
        <v>42046.0</v>
      </c>
      <c r="B65" s="18" t="s">
        <v>421</v>
      </c>
      <c r="C65" s="15" t="s">
        <v>218</v>
      </c>
      <c r="D65" s="15" t="s">
        <v>422</v>
      </c>
      <c r="E65" s="18" t="s">
        <v>119</v>
      </c>
      <c r="F65" s="15">
        <v>1.0</v>
      </c>
      <c r="G65" s="15" t="s">
        <v>295</v>
      </c>
      <c r="K65" s="15" t="s">
        <v>170</v>
      </c>
      <c r="L65" s="15" t="s">
        <v>122</v>
      </c>
      <c r="M65" s="15" t="s">
        <v>225</v>
      </c>
      <c r="N65" s="15" t="s">
        <v>323</v>
      </c>
      <c r="O65" s="15" t="s">
        <v>130</v>
      </c>
    </row>
    <row r="66" ht="28.5" customHeight="1">
      <c r="A66" s="26">
        <v>42046.0</v>
      </c>
      <c r="B66" s="18" t="s">
        <v>421</v>
      </c>
      <c r="C66" s="15" t="s">
        <v>218</v>
      </c>
      <c r="D66" s="15" t="s">
        <v>422</v>
      </c>
      <c r="E66" s="18" t="s">
        <v>119</v>
      </c>
      <c r="F66" s="15">
        <v>1.0</v>
      </c>
      <c r="G66" s="15" t="s">
        <v>295</v>
      </c>
      <c r="K66" s="15" t="s">
        <v>225</v>
      </c>
      <c r="L66" s="15" t="s">
        <v>358</v>
      </c>
      <c r="M66" s="15" t="s">
        <v>170</v>
      </c>
      <c r="N66" s="15" t="s">
        <v>225</v>
      </c>
      <c r="O66" s="15" t="s">
        <v>130</v>
      </c>
    </row>
    <row r="67" ht="28.5" customHeight="1">
      <c r="A67" s="26">
        <v>42046.0</v>
      </c>
      <c r="B67" s="18" t="s">
        <v>421</v>
      </c>
      <c r="C67" s="15" t="s">
        <v>218</v>
      </c>
      <c r="D67" s="15" t="s">
        <v>422</v>
      </c>
      <c r="E67" s="18" t="s">
        <v>119</v>
      </c>
      <c r="F67" s="15">
        <v>1.0</v>
      </c>
      <c r="G67" s="15" t="s">
        <v>295</v>
      </c>
      <c r="K67" s="15" t="s">
        <v>306</v>
      </c>
      <c r="L67" s="15" t="s">
        <v>225</v>
      </c>
      <c r="M67" s="15" t="s">
        <v>115</v>
      </c>
      <c r="N67" s="15" t="s">
        <v>162</v>
      </c>
      <c r="O67" s="15" t="s">
        <v>130</v>
      </c>
    </row>
    <row r="68" ht="28.5" customHeight="1">
      <c r="A68" s="26">
        <v>42045.0</v>
      </c>
      <c r="B68" s="18" t="s">
        <v>157</v>
      </c>
      <c r="C68" s="15" t="s">
        <v>158</v>
      </c>
      <c r="D68" s="15" t="s">
        <v>430</v>
      </c>
      <c r="E68" s="18" t="s">
        <v>269</v>
      </c>
      <c r="F68" s="15">
        <v>1.0</v>
      </c>
      <c r="G68" s="15" t="s">
        <v>295</v>
      </c>
      <c r="K68" s="15" t="s">
        <v>120</v>
      </c>
      <c r="L68" s="15" t="s">
        <v>323</v>
      </c>
      <c r="M68" s="15" t="s">
        <v>115</v>
      </c>
      <c r="N68" s="15" t="s">
        <v>306</v>
      </c>
      <c r="O68" s="15" t="s">
        <v>130</v>
      </c>
    </row>
    <row r="69" ht="28.5" customHeight="1">
      <c r="A69" s="26">
        <v>42045.0</v>
      </c>
      <c r="B69" s="18" t="s">
        <v>157</v>
      </c>
      <c r="C69" s="15" t="s">
        <v>158</v>
      </c>
      <c r="D69" s="15" t="s">
        <v>430</v>
      </c>
      <c r="E69" s="18" t="s">
        <v>269</v>
      </c>
      <c r="F69" s="15">
        <v>1.0</v>
      </c>
      <c r="G69" s="15" t="s">
        <v>295</v>
      </c>
      <c r="K69" s="15" t="s">
        <v>122</v>
      </c>
      <c r="L69" s="15" t="s">
        <v>148</v>
      </c>
      <c r="M69" s="15" t="s">
        <v>432</v>
      </c>
      <c r="N69" s="15" t="s">
        <v>306</v>
      </c>
      <c r="O69" s="15" t="s">
        <v>130</v>
      </c>
    </row>
    <row r="70" ht="28.5" customHeight="1">
      <c r="A70" s="26">
        <v>42045.0</v>
      </c>
      <c r="B70" s="18" t="s">
        <v>157</v>
      </c>
      <c r="C70" s="15" t="s">
        <v>158</v>
      </c>
      <c r="D70" s="15" t="s">
        <v>430</v>
      </c>
      <c r="E70" s="18" t="s">
        <v>269</v>
      </c>
      <c r="F70" s="15">
        <v>1.0</v>
      </c>
      <c r="G70" s="15" t="s">
        <v>295</v>
      </c>
      <c r="K70" s="15" t="s">
        <v>120</v>
      </c>
      <c r="L70" s="15" t="s">
        <v>148</v>
      </c>
      <c r="M70" s="15" t="s">
        <v>115</v>
      </c>
      <c r="N70" s="15" t="s">
        <v>162</v>
      </c>
      <c r="O70" s="15" t="s">
        <v>130</v>
      </c>
    </row>
    <row r="71" ht="28.5" customHeight="1">
      <c r="A71" s="26">
        <v>42045.0</v>
      </c>
      <c r="B71" s="18" t="s">
        <v>157</v>
      </c>
      <c r="C71" s="15" t="s">
        <v>433</v>
      </c>
      <c r="D71" s="15" t="s">
        <v>430</v>
      </c>
      <c r="E71" s="18" t="s">
        <v>269</v>
      </c>
      <c r="F71" s="15">
        <v>1.0</v>
      </c>
      <c r="G71" s="15" t="s">
        <v>295</v>
      </c>
      <c r="K71" s="15" t="s">
        <v>113</v>
      </c>
      <c r="L71" s="15" t="s">
        <v>115</v>
      </c>
      <c r="M71" s="15" t="s">
        <v>113</v>
      </c>
      <c r="N71" s="15" t="s">
        <v>323</v>
      </c>
      <c r="O71" s="15" t="s">
        <v>130</v>
      </c>
    </row>
    <row r="72" ht="28.5" customHeight="1">
      <c r="A72" s="26">
        <v>42045.0</v>
      </c>
      <c r="B72" s="18" t="s">
        <v>157</v>
      </c>
      <c r="C72" s="15" t="s">
        <v>433</v>
      </c>
      <c r="D72" s="15" t="s">
        <v>430</v>
      </c>
      <c r="E72" s="18" t="s">
        <v>269</v>
      </c>
      <c r="F72" s="15">
        <v>1.0</v>
      </c>
      <c r="G72" s="15" t="s">
        <v>295</v>
      </c>
      <c r="K72" s="15" t="s">
        <v>115</v>
      </c>
      <c r="L72" s="15" t="s">
        <v>306</v>
      </c>
      <c r="M72" s="15" t="s">
        <v>122</v>
      </c>
      <c r="N72" s="15" t="s">
        <v>122</v>
      </c>
      <c r="O72" s="15" t="s">
        <v>130</v>
      </c>
    </row>
    <row r="73" ht="28.5" customHeight="1">
      <c r="A73" s="26">
        <v>42045.0</v>
      </c>
      <c r="B73" s="18" t="s">
        <v>157</v>
      </c>
      <c r="C73" s="15" t="s">
        <v>433</v>
      </c>
      <c r="D73" s="15" t="s">
        <v>430</v>
      </c>
      <c r="E73" s="18" t="s">
        <v>269</v>
      </c>
      <c r="F73" s="15">
        <v>1.0</v>
      </c>
      <c r="G73" s="15" t="s">
        <v>295</v>
      </c>
      <c r="K73" s="15" t="s">
        <v>113</v>
      </c>
      <c r="L73" s="15" t="s">
        <v>323</v>
      </c>
      <c r="M73" s="15" t="s">
        <v>306</v>
      </c>
      <c r="N73" s="15" t="s">
        <v>120</v>
      </c>
      <c r="O73" s="15" t="s">
        <v>130</v>
      </c>
      <c r="P73" s="15" t="s">
        <v>439</v>
      </c>
    </row>
    <row r="74" ht="28.5" customHeight="1">
      <c r="A74" s="26">
        <v>42045.0</v>
      </c>
      <c r="B74" s="18" t="s">
        <v>157</v>
      </c>
      <c r="C74" s="15" t="s">
        <v>433</v>
      </c>
      <c r="D74" s="15" t="s">
        <v>430</v>
      </c>
      <c r="E74" s="18" t="s">
        <v>269</v>
      </c>
      <c r="F74" s="15">
        <v>1.0</v>
      </c>
      <c r="G74" s="15" t="s">
        <v>295</v>
      </c>
      <c r="K74" s="15" t="s">
        <v>115</v>
      </c>
      <c r="L74" s="15" t="s">
        <v>162</v>
      </c>
      <c r="M74" s="15" t="s">
        <v>306</v>
      </c>
      <c r="N74" s="15" t="s">
        <v>306</v>
      </c>
      <c r="O74" s="15" t="s">
        <v>130</v>
      </c>
    </row>
    <row r="75" ht="28.5" customHeight="1">
      <c r="A75" s="26">
        <v>42044.0</v>
      </c>
      <c r="B75" s="18" t="s">
        <v>440</v>
      </c>
      <c r="C75" s="18" t="s">
        <v>441</v>
      </c>
      <c r="D75" s="18" t="s">
        <v>442</v>
      </c>
      <c r="E75" s="18" t="s">
        <v>320</v>
      </c>
      <c r="F75" s="15">
        <v>1.0</v>
      </c>
      <c r="G75" s="15" t="s">
        <v>295</v>
      </c>
      <c r="L75" s="15" t="s">
        <v>445</v>
      </c>
      <c r="M75" s="15" t="s">
        <v>115</v>
      </c>
      <c r="N75" s="15" t="s">
        <v>323</v>
      </c>
      <c r="O75" s="15" t="s">
        <v>122</v>
      </c>
    </row>
    <row r="76" ht="28.5" customHeight="1">
      <c r="A76" s="26">
        <v>42044.0</v>
      </c>
      <c r="B76" s="18" t="s">
        <v>440</v>
      </c>
      <c r="C76" s="18" t="s">
        <v>441</v>
      </c>
      <c r="D76" s="18" t="s">
        <v>442</v>
      </c>
      <c r="E76" s="18" t="s">
        <v>320</v>
      </c>
      <c r="F76" s="15">
        <v>1.0</v>
      </c>
      <c r="G76" s="15" t="s">
        <v>295</v>
      </c>
      <c r="L76" s="15" t="s">
        <v>450</v>
      </c>
      <c r="M76" s="15" t="s">
        <v>115</v>
      </c>
      <c r="N76" s="15" t="s">
        <v>306</v>
      </c>
      <c r="O76" s="15" t="s">
        <v>122</v>
      </c>
    </row>
    <row r="77" ht="28.5" customHeight="1">
      <c r="A77" s="26">
        <v>42046.0</v>
      </c>
      <c r="B77" s="18" t="s">
        <v>451</v>
      </c>
      <c r="C77" s="18" t="s">
        <v>452</v>
      </c>
      <c r="D77" s="18" t="s">
        <v>453</v>
      </c>
      <c r="E77" s="18" t="s">
        <v>454</v>
      </c>
      <c r="F77" s="15">
        <v>1.0</v>
      </c>
      <c r="G77" s="15" t="s">
        <v>295</v>
      </c>
      <c r="L77" s="15" t="s">
        <v>122</v>
      </c>
      <c r="M77" s="15" t="s">
        <v>170</v>
      </c>
      <c r="N77" s="15" t="s">
        <v>162</v>
      </c>
    </row>
    <row r="78" ht="28.5" customHeight="1">
      <c r="A78" s="14">
        <v>42042.0</v>
      </c>
      <c r="B78" s="15" t="s">
        <v>309</v>
      </c>
      <c r="C78" s="15" t="s">
        <v>311</v>
      </c>
      <c r="D78" s="15" t="s">
        <v>313</v>
      </c>
      <c r="E78" s="15" t="s">
        <v>146</v>
      </c>
      <c r="F78" s="15">
        <v>1.0</v>
      </c>
      <c r="G78" s="15" t="s">
        <v>455</v>
      </c>
      <c r="L78" s="15" t="s">
        <v>456</v>
      </c>
      <c r="M78" s="15" t="s">
        <v>115</v>
      </c>
      <c r="N78" s="15" t="s">
        <v>120</v>
      </c>
      <c r="O78" s="15" t="s">
        <v>122</v>
      </c>
    </row>
    <row r="79" ht="28.5" customHeight="1">
      <c r="A79" s="24">
        <v>42041.0</v>
      </c>
      <c r="B79" s="18" t="s">
        <v>457</v>
      </c>
      <c r="C79" s="18" t="s">
        <v>458</v>
      </c>
      <c r="D79" s="18" t="s">
        <v>460</v>
      </c>
      <c r="E79" s="18" t="s">
        <v>461</v>
      </c>
      <c r="F79" s="15">
        <v>2.0</v>
      </c>
      <c r="G79" s="15" t="s">
        <v>147</v>
      </c>
      <c r="H79" s="15" t="s">
        <v>462</v>
      </c>
      <c r="I79" s="15" t="s">
        <v>122</v>
      </c>
      <c r="K79" s="15" t="s">
        <v>162</v>
      </c>
      <c r="L79" s="15" t="s">
        <v>120</v>
      </c>
      <c r="M79" s="15" t="s">
        <v>122</v>
      </c>
      <c r="N79" s="15" t="s">
        <v>323</v>
      </c>
      <c r="O79" s="15" t="s">
        <v>122</v>
      </c>
    </row>
    <row r="80" ht="28.5" customHeight="1">
      <c r="A80" s="24">
        <v>42041.0</v>
      </c>
      <c r="B80" s="18" t="s">
        <v>457</v>
      </c>
      <c r="C80" s="18" t="s">
        <v>458</v>
      </c>
      <c r="D80" s="18" t="s">
        <v>460</v>
      </c>
      <c r="E80" s="18" t="s">
        <v>461</v>
      </c>
      <c r="F80" s="15">
        <v>2.0</v>
      </c>
      <c r="G80" s="15" t="s">
        <v>147</v>
      </c>
      <c r="H80" s="15">
        <v>556.0</v>
      </c>
      <c r="I80" s="15" t="s">
        <v>122</v>
      </c>
      <c r="K80" s="15" t="s">
        <v>323</v>
      </c>
      <c r="L80" s="15" t="s">
        <v>122</v>
      </c>
      <c r="M80" s="15" t="s">
        <v>122</v>
      </c>
      <c r="N80" s="15" t="s">
        <v>120</v>
      </c>
    </row>
    <row r="81" ht="28.5" customHeight="1">
      <c r="A81" s="24">
        <v>42041.0</v>
      </c>
      <c r="B81" s="18" t="s">
        <v>457</v>
      </c>
      <c r="C81" s="18" t="s">
        <v>458</v>
      </c>
      <c r="D81" s="18" t="s">
        <v>460</v>
      </c>
      <c r="E81" s="18" t="s">
        <v>461</v>
      </c>
      <c r="F81" s="15">
        <v>2.0</v>
      </c>
      <c r="G81" s="15" t="s">
        <v>147</v>
      </c>
      <c r="I81" s="15" t="s">
        <v>463</v>
      </c>
      <c r="K81" s="15" t="s">
        <v>162</v>
      </c>
      <c r="L81" s="15" t="s">
        <v>162</v>
      </c>
      <c r="M81" s="15" t="s">
        <v>162</v>
      </c>
      <c r="N81" s="15" t="s">
        <v>120</v>
      </c>
    </row>
    <row r="82" ht="28.5" customHeight="1">
      <c r="A82" s="14">
        <v>42042.0</v>
      </c>
      <c r="B82" s="15" t="s">
        <v>309</v>
      </c>
      <c r="C82" s="15" t="s">
        <v>311</v>
      </c>
      <c r="D82" s="15" t="s">
        <v>313</v>
      </c>
      <c r="E82" s="15" t="s">
        <v>146</v>
      </c>
      <c r="F82" s="15">
        <v>2.0</v>
      </c>
      <c r="G82" s="15" t="s">
        <v>147</v>
      </c>
      <c r="H82" s="15" t="s">
        <v>469</v>
      </c>
      <c r="O82" s="15" t="s">
        <v>122</v>
      </c>
      <c r="P82" s="15" t="s">
        <v>470</v>
      </c>
    </row>
    <row r="83" ht="28.5" customHeight="1">
      <c r="A83" s="24">
        <v>42042.0</v>
      </c>
      <c r="B83" s="18" t="s">
        <v>335</v>
      </c>
      <c r="C83" s="18" t="s">
        <v>104</v>
      </c>
      <c r="D83" s="18" t="s">
        <v>336</v>
      </c>
      <c r="E83" s="15" t="s">
        <v>119</v>
      </c>
      <c r="F83" s="15">
        <v>2.0</v>
      </c>
      <c r="G83" s="15" t="s">
        <v>147</v>
      </c>
      <c r="I83" s="15" t="s">
        <v>170</v>
      </c>
      <c r="K83" s="15" t="s">
        <v>193</v>
      </c>
      <c r="L83" s="15" t="s">
        <v>350</v>
      </c>
      <c r="M83" s="15" t="s">
        <v>170</v>
      </c>
      <c r="N83" s="15" t="s">
        <v>473</v>
      </c>
      <c r="O83" s="15" t="s">
        <v>122</v>
      </c>
      <c r="P83" s="31" t="s">
        <v>474</v>
      </c>
    </row>
    <row r="84" ht="28.5" customHeight="1">
      <c r="A84" s="14">
        <v>42041.0</v>
      </c>
      <c r="B84" s="18" t="s">
        <v>102</v>
      </c>
      <c r="C84" s="18" t="s">
        <v>104</v>
      </c>
      <c r="D84" s="15" t="s">
        <v>475</v>
      </c>
      <c r="E84" s="15" t="s">
        <v>269</v>
      </c>
      <c r="F84" s="15">
        <v>2.0</v>
      </c>
      <c r="G84" s="15" t="s">
        <v>147</v>
      </c>
      <c r="K84" s="15" t="s">
        <v>148</v>
      </c>
      <c r="M84" s="15" t="s">
        <v>115</v>
      </c>
      <c r="N84" s="15" t="s">
        <v>476</v>
      </c>
      <c r="O84" s="15" t="s">
        <v>122</v>
      </c>
      <c r="P84" s="15" t="s">
        <v>478</v>
      </c>
    </row>
    <row r="85" ht="28.5" customHeight="1">
      <c r="A85" s="26">
        <v>42046.0</v>
      </c>
      <c r="B85" s="18" t="s">
        <v>231</v>
      </c>
      <c r="C85" s="15" t="s">
        <v>232</v>
      </c>
      <c r="D85" s="15" t="s">
        <v>268</v>
      </c>
      <c r="E85" s="18" t="s">
        <v>269</v>
      </c>
      <c r="F85" s="15">
        <v>2.0</v>
      </c>
      <c r="G85" s="15" t="s">
        <v>147</v>
      </c>
      <c r="H85" s="15" t="s">
        <v>483</v>
      </c>
      <c r="I85" s="15" t="s">
        <v>484</v>
      </c>
      <c r="K85" s="15" t="s">
        <v>148</v>
      </c>
      <c r="L85" s="15" t="s">
        <v>485</v>
      </c>
      <c r="M85" s="15" t="s">
        <v>115</v>
      </c>
      <c r="N85" s="15" t="s">
        <v>486</v>
      </c>
      <c r="O85" s="15" t="s">
        <v>130</v>
      </c>
      <c r="P85" s="15" t="s">
        <v>487</v>
      </c>
    </row>
    <row r="86" ht="28.5" customHeight="1">
      <c r="A86" s="26">
        <v>42046.0</v>
      </c>
      <c r="B86" s="18" t="s">
        <v>231</v>
      </c>
      <c r="C86" s="15" t="s">
        <v>232</v>
      </c>
      <c r="D86" s="15" t="s">
        <v>268</v>
      </c>
      <c r="E86" s="18" t="s">
        <v>269</v>
      </c>
      <c r="F86" s="15">
        <v>2.0</v>
      </c>
      <c r="G86" s="15" t="s">
        <v>147</v>
      </c>
      <c r="H86" s="15" t="s">
        <v>488</v>
      </c>
      <c r="I86" s="15" t="s">
        <v>140</v>
      </c>
      <c r="J86" s="15" t="s">
        <v>129</v>
      </c>
      <c r="K86" s="15" t="s">
        <v>115</v>
      </c>
      <c r="L86" s="15" t="s">
        <v>489</v>
      </c>
      <c r="M86" s="15" t="s">
        <v>235</v>
      </c>
      <c r="N86" s="15" t="s">
        <v>473</v>
      </c>
      <c r="O86" s="15" t="s">
        <v>130</v>
      </c>
    </row>
    <row r="87" ht="28.5" customHeight="1">
      <c r="A87" s="26">
        <v>42046.0</v>
      </c>
      <c r="B87" s="18" t="s">
        <v>231</v>
      </c>
      <c r="C87" s="15" t="s">
        <v>232</v>
      </c>
      <c r="D87" s="15" t="s">
        <v>268</v>
      </c>
      <c r="E87" s="18" t="s">
        <v>269</v>
      </c>
      <c r="F87" s="15">
        <v>2.0</v>
      </c>
      <c r="G87" s="15" t="s">
        <v>147</v>
      </c>
      <c r="H87" s="15" t="s">
        <v>490</v>
      </c>
      <c r="I87" s="15" t="s">
        <v>140</v>
      </c>
      <c r="J87" s="15" t="s">
        <v>129</v>
      </c>
      <c r="K87" s="15" t="s">
        <v>235</v>
      </c>
      <c r="L87" s="15" t="s">
        <v>456</v>
      </c>
      <c r="M87" s="15" t="s">
        <v>115</v>
      </c>
      <c r="N87" s="15" t="s">
        <v>189</v>
      </c>
      <c r="O87" s="15" t="s">
        <v>130</v>
      </c>
      <c r="P87" s="15" t="s">
        <v>493</v>
      </c>
    </row>
    <row r="88" ht="28.5" customHeight="1">
      <c r="A88" s="26">
        <v>42041.0</v>
      </c>
      <c r="B88" s="18" t="s">
        <v>494</v>
      </c>
      <c r="C88" s="15" t="s">
        <v>495</v>
      </c>
      <c r="D88" s="15" t="s">
        <v>496</v>
      </c>
      <c r="E88" s="18" t="s">
        <v>482</v>
      </c>
      <c r="F88" s="15">
        <v>2.0</v>
      </c>
      <c r="G88" s="15" t="s">
        <v>147</v>
      </c>
      <c r="K88" s="15" t="s">
        <v>113</v>
      </c>
      <c r="L88" s="15" t="s">
        <v>113</v>
      </c>
      <c r="M88" s="15" t="s">
        <v>113</v>
      </c>
      <c r="N88" s="15" t="s">
        <v>497</v>
      </c>
      <c r="O88" s="15" t="s">
        <v>130</v>
      </c>
      <c r="P88" s="15" t="s">
        <v>498</v>
      </c>
    </row>
    <row r="89" ht="28.5" customHeight="1">
      <c r="A89" s="24">
        <v>42046.0</v>
      </c>
      <c r="B89" s="15" t="s">
        <v>500</v>
      </c>
      <c r="C89" s="18" t="s">
        <v>501</v>
      </c>
      <c r="D89" s="18" t="s">
        <v>502</v>
      </c>
      <c r="E89" s="18" t="s">
        <v>119</v>
      </c>
      <c r="F89" s="18">
        <v>2.0</v>
      </c>
      <c r="G89" s="15" t="s">
        <v>259</v>
      </c>
      <c r="H89" s="15" t="s">
        <v>506</v>
      </c>
      <c r="I89" s="15" t="s">
        <v>277</v>
      </c>
      <c r="K89" s="15" t="s">
        <v>507</v>
      </c>
      <c r="L89" s="15" t="s">
        <v>113</v>
      </c>
      <c r="M89" s="15" t="s">
        <v>113</v>
      </c>
      <c r="N89" s="15" t="s">
        <v>115</v>
      </c>
      <c r="O89" s="15" t="s">
        <v>122</v>
      </c>
    </row>
    <row r="90" ht="28.5" customHeight="1">
      <c r="A90" s="24">
        <v>42046.0</v>
      </c>
      <c r="B90" s="15" t="s">
        <v>500</v>
      </c>
      <c r="C90" s="18" t="s">
        <v>501</v>
      </c>
      <c r="D90" s="18" t="s">
        <v>502</v>
      </c>
      <c r="E90" s="18" t="s">
        <v>119</v>
      </c>
      <c r="F90" s="18">
        <v>2.0</v>
      </c>
      <c r="G90" s="15" t="s">
        <v>259</v>
      </c>
      <c r="I90" s="15" t="s">
        <v>277</v>
      </c>
      <c r="K90" s="15" t="s">
        <v>113</v>
      </c>
      <c r="L90" s="15" t="s">
        <v>113</v>
      </c>
      <c r="M90" s="15" t="s">
        <v>277</v>
      </c>
      <c r="N90" s="15" t="s">
        <v>115</v>
      </c>
      <c r="P90" s="15" t="s">
        <v>510</v>
      </c>
    </row>
    <row r="91" ht="28.5" customHeight="1">
      <c r="A91" s="24">
        <v>42046.0</v>
      </c>
      <c r="B91" s="15" t="s">
        <v>500</v>
      </c>
      <c r="C91" s="18" t="s">
        <v>501</v>
      </c>
      <c r="D91" s="18" t="s">
        <v>502</v>
      </c>
      <c r="E91" s="18" t="s">
        <v>119</v>
      </c>
      <c r="F91" s="18">
        <v>2.0</v>
      </c>
      <c r="G91" s="15" t="s">
        <v>259</v>
      </c>
      <c r="M91" s="15" t="s">
        <v>122</v>
      </c>
      <c r="N91" s="15" t="s">
        <v>115</v>
      </c>
    </row>
    <row r="92" ht="28.5" customHeight="1">
      <c r="A92" s="24">
        <v>42046.0</v>
      </c>
      <c r="B92" s="15" t="s">
        <v>500</v>
      </c>
      <c r="C92" s="18" t="s">
        <v>501</v>
      </c>
      <c r="D92" s="18" t="s">
        <v>502</v>
      </c>
      <c r="E92" s="18" t="s">
        <v>119</v>
      </c>
      <c r="F92" s="18">
        <v>2.0</v>
      </c>
      <c r="G92" s="15" t="s">
        <v>259</v>
      </c>
      <c r="I92" s="15" t="s">
        <v>277</v>
      </c>
      <c r="K92" s="15" t="s">
        <v>277</v>
      </c>
      <c r="L92" s="15" t="s">
        <v>113</v>
      </c>
      <c r="M92" s="15" t="s">
        <v>122</v>
      </c>
      <c r="N92" s="15" t="s">
        <v>115</v>
      </c>
      <c r="P92" s="15" t="s">
        <v>510</v>
      </c>
    </row>
    <row r="93" ht="28.5" customHeight="1">
      <c r="A93" s="24">
        <v>42041.0</v>
      </c>
      <c r="B93" s="18" t="s">
        <v>150</v>
      </c>
      <c r="C93" s="18" t="s">
        <v>151</v>
      </c>
      <c r="D93" s="18" t="s">
        <v>152</v>
      </c>
      <c r="E93" s="18" t="s">
        <v>146</v>
      </c>
      <c r="F93" s="15">
        <v>2.0</v>
      </c>
      <c r="G93" s="15" t="s">
        <v>295</v>
      </c>
      <c r="H93" s="15" t="s">
        <v>113</v>
      </c>
      <c r="I93" s="15" t="s">
        <v>113</v>
      </c>
      <c r="J93" s="15" t="s">
        <v>113</v>
      </c>
      <c r="K93" s="15" t="s">
        <v>115</v>
      </c>
      <c r="L93" s="15" t="s">
        <v>120</v>
      </c>
      <c r="M93" s="15" t="s">
        <v>306</v>
      </c>
      <c r="N93" s="15" t="s">
        <v>113</v>
      </c>
      <c r="O93" s="15" t="s">
        <v>122</v>
      </c>
    </row>
    <row r="94" ht="28.5" customHeight="1">
      <c r="A94" s="14">
        <v>42045.0</v>
      </c>
      <c r="B94" s="18" t="s">
        <v>102</v>
      </c>
      <c r="C94" s="18" t="s">
        <v>104</v>
      </c>
      <c r="D94" s="15" t="s">
        <v>319</v>
      </c>
      <c r="E94" s="15" t="s">
        <v>320</v>
      </c>
      <c r="F94" s="15">
        <v>2.0</v>
      </c>
      <c r="G94" s="15" t="s">
        <v>295</v>
      </c>
      <c r="K94" s="15" t="s">
        <v>115</v>
      </c>
      <c r="L94" s="15" t="s">
        <v>120</v>
      </c>
      <c r="N94" s="15" t="s">
        <v>414</v>
      </c>
      <c r="O94" s="15" t="s">
        <v>122</v>
      </c>
    </row>
    <row r="95" ht="28.5" customHeight="1">
      <c r="A95" s="24">
        <v>42045.0</v>
      </c>
      <c r="B95" s="18" t="s">
        <v>102</v>
      </c>
      <c r="C95" s="18" t="s">
        <v>104</v>
      </c>
      <c r="D95" s="18" t="s">
        <v>105</v>
      </c>
      <c r="E95" s="18" t="s">
        <v>77</v>
      </c>
      <c r="F95" s="15">
        <v>2.0</v>
      </c>
      <c r="G95" s="15" t="s">
        <v>295</v>
      </c>
      <c r="L95" s="15" t="s">
        <v>515</v>
      </c>
      <c r="M95" s="15" t="s">
        <v>115</v>
      </c>
      <c r="N95" s="15" t="s">
        <v>162</v>
      </c>
      <c r="O95" s="15" t="s">
        <v>122</v>
      </c>
    </row>
    <row r="96" ht="28.5" customHeight="1">
      <c r="A96" s="24">
        <v>42046.0</v>
      </c>
      <c r="B96" s="18" t="s">
        <v>102</v>
      </c>
      <c r="C96" s="18" t="s">
        <v>104</v>
      </c>
      <c r="D96" s="18" t="s">
        <v>185</v>
      </c>
      <c r="E96" s="18" t="s">
        <v>77</v>
      </c>
      <c r="F96" s="15">
        <v>2.0</v>
      </c>
      <c r="G96" s="15" t="s">
        <v>295</v>
      </c>
      <c r="L96" s="15" t="s">
        <v>516</v>
      </c>
      <c r="M96" s="15" t="s">
        <v>115</v>
      </c>
      <c r="N96" s="15" t="s">
        <v>162</v>
      </c>
      <c r="O96" s="15" t="s">
        <v>122</v>
      </c>
    </row>
    <row r="97" ht="28.5" customHeight="1">
      <c r="A97" s="24">
        <v>42046.0</v>
      </c>
      <c r="B97" s="18" t="s">
        <v>102</v>
      </c>
      <c r="C97" s="18" t="s">
        <v>104</v>
      </c>
      <c r="D97" s="18" t="s">
        <v>185</v>
      </c>
      <c r="E97" s="18" t="s">
        <v>77</v>
      </c>
      <c r="F97" s="15">
        <v>2.0</v>
      </c>
      <c r="G97" s="15" t="s">
        <v>295</v>
      </c>
      <c r="L97" s="15" t="s">
        <v>456</v>
      </c>
      <c r="M97" s="15" t="s">
        <v>115</v>
      </c>
      <c r="N97" s="15" t="s">
        <v>323</v>
      </c>
      <c r="O97" s="15" t="s">
        <v>122</v>
      </c>
    </row>
    <row r="98" ht="28.5" customHeight="1">
      <c r="A98" s="24">
        <v>42046.0</v>
      </c>
      <c r="B98" s="18" t="s">
        <v>102</v>
      </c>
      <c r="C98" s="18" t="s">
        <v>104</v>
      </c>
      <c r="D98" s="18" t="s">
        <v>185</v>
      </c>
      <c r="E98" s="18" t="s">
        <v>77</v>
      </c>
      <c r="F98" s="15">
        <v>2.0</v>
      </c>
      <c r="G98" s="15" t="s">
        <v>295</v>
      </c>
      <c r="K98" s="15" t="s">
        <v>115</v>
      </c>
      <c r="N98" s="15" t="s">
        <v>520</v>
      </c>
      <c r="O98" s="15" t="s">
        <v>122</v>
      </c>
    </row>
    <row r="99" ht="28.5" customHeight="1">
      <c r="A99" s="24">
        <v>42046.0</v>
      </c>
      <c r="B99" s="18" t="s">
        <v>102</v>
      </c>
      <c r="C99" s="18" t="s">
        <v>104</v>
      </c>
      <c r="D99" s="18" t="s">
        <v>185</v>
      </c>
      <c r="E99" s="18" t="s">
        <v>77</v>
      </c>
      <c r="F99" s="15">
        <v>2.0</v>
      </c>
      <c r="G99" s="15" t="s">
        <v>295</v>
      </c>
      <c r="K99" s="15" t="s">
        <v>115</v>
      </c>
      <c r="N99" s="15" t="s">
        <v>341</v>
      </c>
      <c r="O99" s="15" t="s">
        <v>122</v>
      </c>
    </row>
    <row r="100" ht="28.5" customHeight="1">
      <c r="A100" s="24">
        <v>42047.0</v>
      </c>
      <c r="B100" s="18" t="s">
        <v>117</v>
      </c>
      <c r="C100" s="18" t="s">
        <v>104</v>
      </c>
      <c r="D100" s="18" t="s">
        <v>123</v>
      </c>
      <c r="E100" s="18" t="s">
        <v>119</v>
      </c>
      <c r="F100" s="15">
        <v>2.0</v>
      </c>
      <c r="G100" s="15" t="s">
        <v>295</v>
      </c>
      <c r="K100" s="15" t="s">
        <v>115</v>
      </c>
      <c r="L100" s="15" t="s">
        <v>162</v>
      </c>
      <c r="N100" s="15" t="s">
        <v>521</v>
      </c>
      <c r="O100" s="15" t="s">
        <v>122</v>
      </c>
    </row>
    <row r="101" ht="28.5" customHeight="1">
      <c r="A101" s="24">
        <v>42047.0</v>
      </c>
      <c r="B101" s="18" t="s">
        <v>117</v>
      </c>
      <c r="C101" s="18" t="s">
        <v>104</v>
      </c>
      <c r="D101" s="18" t="s">
        <v>123</v>
      </c>
      <c r="E101" s="18" t="s">
        <v>119</v>
      </c>
      <c r="F101" s="15">
        <v>2.0</v>
      </c>
      <c r="G101" s="15" t="s">
        <v>295</v>
      </c>
      <c r="L101" s="15" t="s">
        <v>522</v>
      </c>
      <c r="M101" s="15" t="s">
        <v>115</v>
      </c>
      <c r="N101" s="15" t="s">
        <v>162</v>
      </c>
      <c r="O101" s="15" t="s">
        <v>122</v>
      </c>
    </row>
    <row r="102" ht="28.5" customHeight="1">
      <c r="A102" s="24">
        <v>42047.0</v>
      </c>
      <c r="B102" s="18" t="s">
        <v>117</v>
      </c>
      <c r="C102" s="18" t="s">
        <v>104</v>
      </c>
      <c r="D102" s="18" t="s">
        <v>123</v>
      </c>
      <c r="E102" s="18" t="s">
        <v>119</v>
      </c>
      <c r="F102" s="15">
        <v>2.0</v>
      </c>
      <c r="G102" s="15" t="s">
        <v>295</v>
      </c>
      <c r="K102" s="15" t="s">
        <v>115</v>
      </c>
      <c r="L102" s="15" t="s">
        <v>337</v>
      </c>
      <c r="O102" s="15" t="s">
        <v>122</v>
      </c>
    </row>
    <row r="103" ht="28.5" customHeight="1">
      <c r="A103" s="24">
        <v>42047.0</v>
      </c>
      <c r="B103" s="18" t="s">
        <v>117</v>
      </c>
      <c r="C103" s="18" t="s">
        <v>104</v>
      </c>
      <c r="D103" s="18" t="s">
        <v>123</v>
      </c>
      <c r="E103" s="18" t="s">
        <v>119</v>
      </c>
      <c r="F103" s="15">
        <v>2.0</v>
      </c>
      <c r="G103" s="15" t="s">
        <v>295</v>
      </c>
      <c r="L103" s="15" t="s">
        <v>227</v>
      </c>
      <c r="M103" s="15" t="s">
        <v>115</v>
      </c>
      <c r="N103" s="15" t="s">
        <v>306</v>
      </c>
      <c r="O103" s="15" t="s">
        <v>122</v>
      </c>
    </row>
    <row r="104" ht="28.5" customHeight="1">
      <c r="A104" s="14">
        <v>42045.0</v>
      </c>
      <c r="B104" s="18" t="s">
        <v>198</v>
      </c>
      <c r="C104" s="18" t="s">
        <v>338</v>
      </c>
      <c r="D104" s="15" t="s">
        <v>525</v>
      </c>
      <c r="E104" s="15" t="s">
        <v>320</v>
      </c>
      <c r="F104" s="15">
        <v>2.0</v>
      </c>
      <c r="G104" s="15" t="s">
        <v>295</v>
      </c>
      <c r="L104" s="15" t="s">
        <v>420</v>
      </c>
      <c r="M104" s="15" t="s">
        <v>115</v>
      </c>
      <c r="N104" s="15" t="s">
        <v>162</v>
      </c>
      <c r="O104" s="15" t="s">
        <v>122</v>
      </c>
    </row>
    <row r="105" ht="28.5" customHeight="1">
      <c r="A105" s="14">
        <v>42045.0</v>
      </c>
      <c r="B105" s="18" t="s">
        <v>198</v>
      </c>
      <c r="C105" s="18" t="s">
        <v>338</v>
      </c>
      <c r="D105" s="15" t="s">
        <v>525</v>
      </c>
      <c r="E105" s="15" t="s">
        <v>320</v>
      </c>
      <c r="F105" s="15">
        <v>2.0</v>
      </c>
      <c r="G105" s="15" t="s">
        <v>295</v>
      </c>
      <c r="L105" s="15" t="s">
        <v>122</v>
      </c>
      <c r="M105" s="15" t="s">
        <v>529</v>
      </c>
      <c r="N105" s="15" t="s">
        <v>122</v>
      </c>
      <c r="O105" s="15" t="s">
        <v>122</v>
      </c>
      <c r="P105" s="15" t="s">
        <v>530</v>
      </c>
    </row>
    <row r="106" ht="28.5" customHeight="1">
      <c r="A106" s="14">
        <v>42045.0</v>
      </c>
      <c r="B106" s="18" t="s">
        <v>198</v>
      </c>
      <c r="C106" s="18" t="s">
        <v>338</v>
      </c>
      <c r="D106" s="15" t="s">
        <v>525</v>
      </c>
      <c r="E106" s="15" t="s">
        <v>320</v>
      </c>
      <c r="F106" s="15">
        <v>2.0</v>
      </c>
      <c r="G106" s="15" t="s">
        <v>295</v>
      </c>
      <c r="L106" s="15" t="s">
        <v>409</v>
      </c>
      <c r="M106" s="15" t="s">
        <v>115</v>
      </c>
      <c r="N106" s="15" t="s">
        <v>162</v>
      </c>
      <c r="O106" s="15" t="s">
        <v>122</v>
      </c>
    </row>
    <row r="107" ht="28.5" customHeight="1">
      <c r="A107" s="14">
        <v>42045.0</v>
      </c>
      <c r="B107" s="18" t="s">
        <v>198</v>
      </c>
      <c r="C107" s="18" t="s">
        <v>338</v>
      </c>
      <c r="D107" s="15" t="s">
        <v>525</v>
      </c>
      <c r="E107" s="15" t="s">
        <v>320</v>
      </c>
      <c r="F107" s="15">
        <v>2.0</v>
      </c>
      <c r="G107" s="15" t="s">
        <v>295</v>
      </c>
      <c r="L107" s="15" t="s">
        <v>534</v>
      </c>
      <c r="M107" s="15" t="s">
        <v>115</v>
      </c>
      <c r="N107" s="15" t="s">
        <v>306</v>
      </c>
      <c r="O107" s="15" t="s">
        <v>122</v>
      </c>
    </row>
    <row r="108" ht="28.5" customHeight="1">
      <c r="A108" s="14">
        <v>42045.0</v>
      </c>
      <c r="B108" s="18" t="s">
        <v>198</v>
      </c>
      <c r="C108" s="18" t="s">
        <v>338</v>
      </c>
      <c r="D108" s="15" t="s">
        <v>525</v>
      </c>
      <c r="E108" s="15" t="s">
        <v>320</v>
      </c>
      <c r="F108" s="15">
        <v>2.0</v>
      </c>
      <c r="G108" s="15" t="s">
        <v>295</v>
      </c>
      <c r="K108" s="15" t="s">
        <v>115</v>
      </c>
      <c r="L108" s="15" t="s">
        <v>122</v>
      </c>
      <c r="N108" s="15" t="s">
        <v>473</v>
      </c>
      <c r="O108" s="15" t="s">
        <v>122</v>
      </c>
    </row>
    <row r="109" ht="28.5" customHeight="1">
      <c r="A109" s="14">
        <v>42045.0</v>
      </c>
      <c r="B109" s="18" t="s">
        <v>198</v>
      </c>
      <c r="C109" s="18" t="s">
        <v>338</v>
      </c>
      <c r="D109" s="15" t="s">
        <v>525</v>
      </c>
      <c r="E109" s="15" t="s">
        <v>320</v>
      </c>
      <c r="F109" s="15">
        <v>2.0</v>
      </c>
      <c r="G109" s="15" t="s">
        <v>295</v>
      </c>
      <c r="L109" s="15" t="s">
        <v>190</v>
      </c>
      <c r="M109" s="15" t="s">
        <v>115</v>
      </c>
      <c r="N109" s="15" t="s">
        <v>306</v>
      </c>
      <c r="O109" s="15" t="s">
        <v>122</v>
      </c>
    </row>
    <row r="110" ht="28.5" customHeight="1">
      <c r="A110" s="14">
        <v>42041.0</v>
      </c>
      <c r="B110" s="18" t="s">
        <v>198</v>
      </c>
      <c r="C110" s="18" t="s">
        <v>338</v>
      </c>
      <c r="D110" s="15" t="s">
        <v>354</v>
      </c>
      <c r="E110" s="15" t="s">
        <v>208</v>
      </c>
      <c r="F110" s="15">
        <v>2.0</v>
      </c>
      <c r="G110" s="15" t="s">
        <v>295</v>
      </c>
      <c r="L110" s="15" t="s">
        <v>122</v>
      </c>
      <c r="M110" s="15" t="s">
        <v>115</v>
      </c>
      <c r="N110" s="15" t="s">
        <v>521</v>
      </c>
      <c r="O110" s="15" t="s">
        <v>122</v>
      </c>
    </row>
    <row r="111" ht="28.5" customHeight="1">
      <c r="A111" s="14">
        <v>42041.0</v>
      </c>
      <c r="B111" s="15" t="s">
        <v>74</v>
      </c>
      <c r="C111" s="15" t="s">
        <v>75</v>
      </c>
      <c r="D111" s="15" t="s">
        <v>180</v>
      </c>
      <c r="E111" s="15" t="s">
        <v>181</v>
      </c>
      <c r="F111" s="15">
        <v>2.0</v>
      </c>
      <c r="G111" s="15" t="s">
        <v>295</v>
      </c>
      <c r="K111" s="15" t="s">
        <v>374</v>
      </c>
      <c r="M111" s="15" t="s">
        <v>538</v>
      </c>
      <c r="N111" s="15" t="s">
        <v>115</v>
      </c>
      <c r="O111" s="15" t="s">
        <v>130</v>
      </c>
      <c r="P111" s="15" t="s">
        <v>539</v>
      </c>
    </row>
    <row r="112" ht="28.5" customHeight="1">
      <c r="A112" s="14">
        <v>42041.0</v>
      </c>
      <c r="B112" s="15" t="s">
        <v>74</v>
      </c>
      <c r="C112" s="15" t="s">
        <v>75</v>
      </c>
      <c r="D112" s="15" t="s">
        <v>180</v>
      </c>
      <c r="E112" s="15" t="s">
        <v>181</v>
      </c>
      <c r="F112" s="15">
        <v>2.0</v>
      </c>
      <c r="G112" s="15" t="s">
        <v>295</v>
      </c>
      <c r="K112" s="15" t="s">
        <v>541</v>
      </c>
      <c r="M112" s="15" t="s">
        <v>541</v>
      </c>
      <c r="O112" s="15" t="s">
        <v>130</v>
      </c>
      <c r="P112" s="15" t="s">
        <v>543</v>
      </c>
    </row>
    <row r="113" ht="28.5" customHeight="1">
      <c r="A113" s="14">
        <v>42041.0</v>
      </c>
      <c r="B113" s="15" t="s">
        <v>74</v>
      </c>
      <c r="C113" s="15" t="s">
        <v>75</v>
      </c>
      <c r="D113" s="15" t="s">
        <v>180</v>
      </c>
      <c r="E113" s="15" t="s">
        <v>181</v>
      </c>
      <c r="F113" s="15">
        <v>2.0</v>
      </c>
      <c r="G113" s="15" t="s">
        <v>295</v>
      </c>
      <c r="K113" s="15" t="s">
        <v>356</v>
      </c>
      <c r="M113" s="15" t="s">
        <v>189</v>
      </c>
      <c r="O113" s="15" t="s">
        <v>130</v>
      </c>
      <c r="P113" s="15" t="s">
        <v>544</v>
      </c>
    </row>
    <row r="114" ht="28.5" customHeight="1">
      <c r="A114" s="14">
        <v>42041.0</v>
      </c>
      <c r="B114" s="15" t="s">
        <v>74</v>
      </c>
      <c r="C114" s="15" t="s">
        <v>75</v>
      </c>
      <c r="D114" s="15" t="s">
        <v>180</v>
      </c>
      <c r="E114" s="15" t="s">
        <v>181</v>
      </c>
      <c r="F114" s="15">
        <v>2.0</v>
      </c>
      <c r="G114" s="15" t="s">
        <v>295</v>
      </c>
      <c r="K114" s="15" t="s">
        <v>356</v>
      </c>
      <c r="M114" s="15" t="s">
        <v>227</v>
      </c>
      <c r="O114" s="15" t="s">
        <v>130</v>
      </c>
      <c r="P114" s="15" t="s">
        <v>545</v>
      </c>
    </row>
    <row r="115" ht="28.5" customHeight="1">
      <c r="A115" s="14">
        <v>42041.0</v>
      </c>
      <c r="B115" s="15" t="s">
        <v>74</v>
      </c>
      <c r="C115" s="15" t="s">
        <v>75</v>
      </c>
      <c r="D115" s="15" t="s">
        <v>180</v>
      </c>
      <c r="E115" s="15" t="s">
        <v>181</v>
      </c>
      <c r="F115" s="15">
        <v>2.0</v>
      </c>
      <c r="G115" s="15" t="s">
        <v>295</v>
      </c>
      <c r="K115" s="15" t="s">
        <v>546</v>
      </c>
      <c r="M115" s="15" t="s">
        <v>547</v>
      </c>
      <c r="O115" s="15" t="s">
        <v>130</v>
      </c>
      <c r="P115" s="15" t="s">
        <v>549</v>
      </c>
    </row>
    <row r="116" ht="28.5" customHeight="1">
      <c r="A116" s="14">
        <v>42041.0</v>
      </c>
      <c r="B116" s="15" t="s">
        <v>74</v>
      </c>
      <c r="C116" s="15" t="s">
        <v>75</v>
      </c>
      <c r="D116" s="15" t="s">
        <v>180</v>
      </c>
      <c r="E116" s="15" t="s">
        <v>181</v>
      </c>
      <c r="F116" s="15">
        <v>2.0</v>
      </c>
      <c r="G116" s="15" t="s">
        <v>295</v>
      </c>
      <c r="K116" s="15" t="s">
        <v>551</v>
      </c>
      <c r="M116" s="15" t="s">
        <v>374</v>
      </c>
      <c r="O116" s="15" t="s">
        <v>130</v>
      </c>
      <c r="P116" s="15" t="s">
        <v>552</v>
      </c>
    </row>
    <row r="117" ht="28.5" customHeight="1">
      <c r="A117" s="14">
        <v>42041.0</v>
      </c>
      <c r="B117" s="15" t="s">
        <v>74</v>
      </c>
      <c r="C117" s="15" t="s">
        <v>75</v>
      </c>
      <c r="D117" s="15" t="s">
        <v>180</v>
      </c>
      <c r="E117" s="15" t="s">
        <v>181</v>
      </c>
      <c r="F117" s="15">
        <v>2.0</v>
      </c>
      <c r="G117" s="15" t="s">
        <v>295</v>
      </c>
      <c r="K117" s="15" t="s">
        <v>306</v>
      </c>
      <c r="L117" s="15" t="s">
        <v>120</v>
      </c>
      <c r="M117" s="15" t="s">
        <v>170</v>
      </c>
      <c r="O117" s="15" t="s">
        <v>130</v>
      </c>
      <c r="P117" s="15" t="s">
        <v>556</v>
      </c>
    </row>
    <row r="118" ht="28.5" customHeight="1">
      <c r="A118" s="14">
        <v>42041.0</v>
      </c>
      <c r="B118" s="15" t="s">
        <v>74</v>
      </c>
      <c r="C118" s="15" t="s">
        <v>75</v>
      </c>
      <c r="D118" s="15" t="s">
        <v>180</v>
      </c>
      <c r="E118" s="15" t="s">
        <v>181</v>
      </c>
      <c r="F118" s="15">
        <v>2.0</v>
      </c>
      <c r="G118" s="15" t="s">
        <v>295</v>
      </c>
      <c r="K118" s="15" t="s">
        <v>551</v>
      </c>
      <c r="M118" s="15" t="s">
        <v>381</v>
      </c>
      <c r="O118" s="15" t="s">
        <v>130</v>
      </c>
      <c r="P118" s="15" t="s">
        <v>559</v>
      </c>
    </row>
    <row r="119" ht="28.5" customHeight="1">
      <c r="A119" s="14">
        <v>42046.0</v>
      </c>
      <c r="B119" s="15" t="s">
        <v>203</v>
      </c>
      <c r="C119" s="15" t="s">
        <v>205</v>
      </c>
      <c r="D119" s="15" t="s">
        <v>560</v>
      </c>
      <c r="E119" s="15" t="s">
        <v>208</v>
      </c>
      <c r="F119" s="15">
        <v>2.0</v>
      </c>
      <c r="G119" s="15" t="s">
        <v>295</v>
      </c>
      <c r="H119" s="15" t="s">
        <v>113</v>
      </c>
      <c r="I119" s="15" t="s">
        <v>113</v>
      </c>
      <c r="J119" s="15" t="s">
        <v>113</v>
      </c>
      <c r="K119" s="15" t="s">
        <v>148</v>
      </c>
      <c r="L119" s="15" t="s">
        <v>113</v>
      </c>
      <c r="M119" s="15" t="s">
        <v>122</v>
      </c>
      <c r="N119" s="15" t="s">
        <v>113</v>
      </c>
      <c r="O119" s="15" t="s">
        <v>563</v>
      </c>
      <c r="P119" s="15" t="s">
        <v>564</v>
      </c>
    </row>
    <row r="120" ht="28.5" customHeight="1">
      <c r="A120" s="14">
        <v>42046.0</v>
      </c>
      <c r="B120" s="15" t="s">
        <v>365</v>
      </c>
      <c r="C120" s="15" t="s">
        <v>366</v>
      </c>
      <c r="D120" s="15" t="s">
        <v>367</v>
      </c>
      <c r="E120" s="15" t="s">
        <v>208</v>
      </c>
      <c r="F120" s="15">
        <v>2.0</v>
      </c>
      <c r="G120" s="15" t="s">
        <v>295</v>
      </c>
      <c r="H120" s="15" t="s">
        <v>113</v>
      </c>
      <c r="I120" s="15" t="s">
        <v>113</v>
      </c>
      <c r="J120" s="15" t="s">
        <v>113</v>
      </c>
      <c r="K120" s="15" t="s">
        <v>385</v>
      </c>
      <c r="L120" s="15" t="s">
        <v>113</v>
      </c>
      <c r="M120" s="15" t="s">
        <v>541</v>
      </c>
      <c r="N120" s="15" t="s">
        <v>113</v>
      </c>
      <c r="O120" s="15" t="s">
        <v>130</v>
      </c>
    </row>
    <row r="121" ht="28.5" customHeight="1">
      <c r="A121" s="14">
        <v>42046.0</v>
      </c>
      <c r="B121" s="15" t="s">
        <v>365</v>
      </c>
      <c r="C121" s="15" t="s">
        <v>366</v>
      </c>
      <c r="D121" s="15" t="s">
        <v>367</v>
      </c>
      <c r="E121" s="15" t="s">
        <v>208</v>
      </c>
      <c r="F121" s="15">
        <v>2.0</v>
      </c>
      <c r="G121" s="15" t="s">
        <v>295</v>
      </c>
      <c r="H121" s="15" t="s">
        <v>113</v>
      </c>
      <c r="I121" s="15" t="s">
        <v>113</v>
      </c>
      <c r="J121" s="15" t="s">
        <v>113</v>
      </c>
      <c r="K121" s="15" t="s">
        <v>489</v>
      </c>
      <c r="L121" s="15" t="s">
        <v>113</v>
      </c>
      <c r="M121" s="15" t="s">
        <v>489</v>
      </c>
      <c r="N121" s="15" t="s">
        <v>113</v>
      </c>
      <c r="O121" s="15" t="s">
        <v>130</v>
      </c>
    </row>
    <row r="122" ht="28.5" customHeight="1">
      <c r="A122" s="14">
        <v>42046.0</v>
      </c>
      <c r="B122" s="15" t="s">
        <v>377</v>
      </c>
      <c r="C122" s="15" t="s">
        <v>378</v>
      </c>
      <c r="D122" s="15" t="s">
        <v>379</v>
      </c>
      <c r="E122" s="15" t="s">
        <v>208</v>
      </c>
      <c r="F122" s="15">
        <v>2.0</v>
      </c>
      <c r="G122" s="15" t="s">
        <v>295</v>
      </c>
      <c r="H122" s="15" t="s">
        <v>113</v>
      </c>
      <c r="I122" s="15" t="s">
        <v>113</v>
      </c>
      <c r="J122" s="15" t="s">
        <v>113</v>
      </c>
      <c r="K122" s="15" t="s">
        <v>572</v>
      </c>
      <c r="L122" s="15" t="s">
        <v>113</v>
      </c>
      <c r="M122" s="15" t="s">
        <v>572</v>
      </c>
      <c r="N122" s="15" t="s">
        <v>113</v>
      </c>
      <c r="O122" s="15" t="s">
        <v>130</v>
      </c>
    </row>
    <row r="123" ht="28.5" customHeight="1">
      <c r="A123" s="14">
        <v>42046.0</v>
      </c>
      <c r="B123" s="15" t="s">
        <v>377</v>
      </c>
      <c r="C123" s="15" t="s">
        <v>378</v>
      </c>
      <c r="D123" s="15" t="s">
        <v>379</v>
      </c>
      <c r="E123" s="15" t="s">
        <v>208</v>
      </c>
      <c r="F123" s="15">
        <v>2.0</v>
      </c>
      <c r="G123" s="15" t="s">
        <v>295</v>
      </c>
      <c r="H123" s="15" t="s">
        <v>113</v>
      </c>
      <c r="I123" s="15" t="s">
        <v>113</v>
      </c>
      <c r="J123" s="15" t="s">
        <v>113</v>
      </c>
      <c r="K123" s="15" t="s">
        <v>551</v>
      </c>
      <c r="L123" s="15" t="s">
        <v>113</v>
      </c>
      <c r="M123" s="15" t="s">
        <v>576</v>
      </c>
      <c r="N123" s="15" t="s">
        <v>113</v>
      </c>
      <c r="O123" s="15" t="s">
        <v>130</v>
      </c>
      <c r="P123" s="15" t="s">
        <v>211</v>
      </c>
    </row>
    <row r="124" ht="28.5" customHeight="1">
      <c r="A124" s="14">
        <v>42046.0</v>
      </c>
      <c r="B124" s="15" t="s">
        <v>577</v>
      </c>
      <c r="C124" s="15" t="s">
        <v>394</v>
      </c>
      <c r="D124" s="15" t="s">
        <v>578</v>
      </c>
      <c r="E124" s="15" t="s">
        <v>253</v>
      </c>
      <c r="F124" s="15">
        <v>2.0</v>
      </c>
      <c r="G124" s="15" t="s">
        <v>295</v>
      </c>
      <c r="K124" s="15" t="s">
        <v>115</v>
      </c>
      <c r="L124" s="15" t="s">
        <v>170</v>
      </c>
      <c r="N124" s="15" t="s">
        <v>385</v>
      </c>
      <c r="O124" s="15" t="s">
        <v>130</v>
      </c>
    </row>
    <row r="125" ht="28.5" customHeight="1">
      <c r="A125" s="14">
        <v>42043.0</v>
      </c>
      <c r="B125" s="15" t="s">
        <v>74</v>
      </c>
      <c r="C125" s="15" t="s">
        <v>75</v>
      </c>
      <c r="D125" s="15" t="s">
        <v>76</v>
      </c>
      <c r="E125" s="15" t="s">
        <v>77</v>
      </c>
      <c r="F125" s="15">
        <v>2.0</v>
      </c>
      <c r="G125" s="15" t="s">
        <v>295</v>
      </c>
      <c r="L125" s="15" t="s">
        <v>425</v>
      </c>
      <c r="M125" s="15" t="s">
        <v>115</v>
      </c>
      <c r="N125" s="15" t="s">
        <v>162</v>
      </c>
      <c r="O125" s="15" t="s">
        <v>130</v>
      </c>
      <c r="P125" s="15" t="s">
        <v>581</v>
      </c>
    </row>
    <row r="126" ht="28.5" customHeight="1">
      <c r="A126" s="14">
        <v>42044.0</v>
      </c>
      <c r="B126" s="15" t="s">
        <v>74</v>
      </c>
      <c r="C126" s="15" t="s">
        <v>75</v>
      </c>
      <c r="D126" s="15" t="s">
        <v>82</v>
      </c>
      <c r="E126" s="15" t="s">
        <v>77</v>
      </c>
      <c r="F126" s="15">
        <v>2.0</v>
      </c>
      <c r="G126" s="15" t="s">
        <v>295</v>
      </c>
      <c r="L126" s="15" t="s">
        <v>323</v>
      </c>
      <c r="M126" s="15" t="s">
        <v>115</v>
      </c>
      <c r="N126" s="15" t="s">
        <v>227</v>
      </c>
      <c r="O126" s="15" t="s">
        <v>130</v>
      </c>
      <c r="P126" s="15" t="s">
        <v>584</v>
      </c>
    </row>
    <row r="127" ht="28.5" customHeight="1">
      <c r="A127" s="14">
        <v>42044.0</v>
      </c>
      <c r="B127" s="15" t="s">
        <v>74</v>
      </c>
      <c r="C127" s="15" t="s">
        <v>75</v>
      </c>
      <c r="D127" s="15" t="s">
        <v>82</v>
      </c>
      <c r="E127" s="15" t="s">
        <v>77</v>
      </c>
      <c r="F127" s="15">
        <v>2.0</v>
      </c>
      <c r="G127" s="15" t="s">
        <v>295</v>
      </c>
      <c r="K127" s="15" t="s">
        <v>115</v>
      </c>
      <c r="L127" s="15" t="s">
        <v>306</v>
      </c>
      <c r="N127" s="15" t="s">
        <v>551</v>
      </c>
      <c r="O127" s="15" t="s">
        <v>130</v>
      </c>
      <c r="P127" s="15" t="s">
        <v>586</v>
      </c>
    </row>
    <row r="128" ht="28.5" customHeight="1">
      <c r="A128" s="14">
        <v>42044.0</v>
      </c>
      <c r="B128" s="15" t="s">
        <v>74</v>
      </c>
      <c r="C128" s="15" t="s">
        <v>75</v>
      </c>
      <c r="D128" s="15" t="s">
        <v>82</v>
      </c>
      <c r="E128" s="15" t="s">
        <v>77</v>
      </c>
      <c r="F128" s="15">
        <v>2.0</v>
      </c>
      <c r="G128" s="15" t="s">
        <v>295</v>
      </c>
      <c r="L128" s="15" t="s">
        <v>414</v>
      </c>
      <c r="M128" s="15" t="s">
        <v>115</v>
      </c>
      <c r="N128" s="15" t="s">
        <v>306</v>
      </c>
      <c r="O128" s="15" t="s">
        <v>130</v>
      </c>
      <c r="P128" s="15" t="s">
        <v>589</v>
      </c>
    </row>
    <row r="129" ht="28.5" customHeight="1">
      <c r="A129" s="14">
        <v>42044.0</v>
      </c>
      <c r="B129" s="15" t="s">
        <v>74</v>
      </c>
      <c r="C129" s="15" t="s">
        <v>75</v>
      </c>
      <c r="D129" s="15" t="s">
        <v>82</v>
      </c>
      <c r="E129" s="15" t="s">
        <v>77</v>
      </c>
      <c r="F129" s="15">
        <v>2.0</v>
      </c>
      <c r="G129" s="15" t="s">
        <v>295</v>
      </c>
      <c r="L129" s="15" t="s">
        <v>213</v>
      </c>
      <c r="M129" s="15" t="s">
        <v>115</v>
      </c>
      <c r="N129" s="15" t="s">
        <v>162</v>
      </c>
      <c r="O129" s="15" t="s">
        <v>130</v>
      </c>
      <c r="P129" s="15" t="s">
        <v>593</v>
      </c>
    </row>
    <row r="130" ht="28.5" customHeight="1">
      <c r="A130" s="14">
        <v>42044.0</v>
      </c>
      <c r="B130" s="15" t="s">
        <v>74</v>
      </c>
      <c r="C130" s="15" t="s">
        <v>75</v>
      </c>
      <c r="D130" s="15" t="s">
        <v>82</v>
      </c>
      <c r="E130" s="15" t="s">
        <v>77</v>
      </c>
      <c r="F130" s="15">
        <v>2.0</v>
      </c>
      <c r="G130" s="15" t="s">
        <v>295</v>
      </c>
      <c r="L130" s="15" t="s">
        <v>596</v>
      </c>
      <c r="M130" s="15" t="s">
        <v>115</v>
      </c>
      <c r="N130" s="15" t="s">
        <v>306</v>
      </c>
      <c r="O130" s="15" t="s">
        <v>130</v>
      </c>
      <c r="P130" s="15" t="s">
        <v>597</v>
      </c>
    </row>
    <row r="131" ht="28.5" customHeight="1">
      <c r="A131" s="26">
        <v>42046.0</v>
      </c>
      <c r="B131" s="18" t="s">
        <v>198</v>
      </c>
      <c r="C131" s="15" t="s">
        <v>199</v>
      </c>
      <c r="D131" s="15" t="s">
        <v>200</v>
      </c>
      <c r="E131" s="18" t="s">
        <v>77</v>
      </c>
      <c r="F131" s="15">
        <v>2.0</v>
      </c>
      <c r="G131" s="15" t="s">
        <v>295</v>
      </c>
      <c r="L131" s="15" t="s">
        <v>598</v>
      </c>
      <c r="M131" s="15" t="s">
        <v>115</v>
      </c>
      <c r="N131" s="15" t="s">
        <v>323</v>
      </c>
      <c r="O131" s="15" t="s">
        <v>413</v>
      </c>
    </row>
    <row r="132" ht="28.5" customHeight="1">
      <c r="A132" s="26">
        <v>42046.0</v>
      </c>
      <c r="B132" s="18" t="s">
        <v>421</v>
      </c>
      <c r="C132" s="15" t="s">
        <v>218</v>
      </c>
      <c r="D132" s="15" t="s">
        <v>422</v>
      </c>
      <c r="E132" s="18" t="s">
        <v>119</v>
      </c>
      <c r="F132" s="15">
        <v>2.0</v>
      </c>
      <c r="G132" s="15" t="s">
        <v>295</v>
      </c>
      <c r="K132" s="15" t="s">
        <v>115</v>
      </c>
      <c r="L132" s="15" t="s">
        <v>306</v>
      </c>
      <c r="M132" s="15" t="s">
        <v>225</v>
      </c>
      <c r="N132" s="15" t="s">
        <v>456</v>
      </c>
      <c r="O132" s="15" t="s">
        <v>130</v>
      </c>
      <c r="P132" s="15" t="s">
        <v>602</v>
      </c>
    </row>
    <row r="133" ht="28.5" customHeight="1">
      <c r="A133" s="26">
        <v>42046.0</v>
      </c>
      <c r="B133" s="18" t="s">
        <v>421</v>
      </c>
      <c r="C133" s="15" t="s">
        <v>218</v>
      </c>
      <c r="D133" s="15" t="s">
        <v>422</v>
      </c>
      <c r="E133" s="18" t="s">
        <v>119</v>
      </c>
      <c r="F133" s="15">
        <v>2.0</v>
      </c>
      <c r="G133" s="15" t="s">
        <v>295</v>
      </c>
      <c r="K133" s="15" t="s">
        <v>115</v>
      </c>
      <c r="L133" s="15" t="s">
        <v>122</v>
      </c>
      <c r="M133" s="15" t="s">
        <v>225</v>
      </c>
      <c r="N133" s="15" t="s">
        <v>398</v>
      </c>
      <c r="O133" s="15" t="s">
        <v>130</v>
      </c>
    </row>
    <row r="134" ht="28.5" customHeight="1">
      <c r="A134" s="26">
        <v>42046.0</v>
      </c>
      <c r="B134" s="18" t="s">
        <v>421</v>
      </c>
      <c r="C134" s="15" t="s">
        <v>218</v>
      </c>
      <c r="D134" s="15" t="s">
        <v>422</v>
      </c>
      <c r="E134" s="18" t="s">
        <v>119</v>
      </c>
      <c r="F134" s="15">
        <v>2.0</v>
      </c>
      <c r="G134" s="15" t="s">
        <v>295</v>
      </c>
      <c r="K134" s="15" t="s">
        <v>170</v>
      </c>
      <c r="L134" s="15" t="s">
        <v>225</v>
      </c>
      <c r="M134" s="15" t="s">
        <v>225</v>
      </c>
      <c r="N134" s="15" t="s">
        <v>358</v>
      </c>
      <c r="O134" s="15" t="s">
        <v>563</v>
      </c>
    </row>
    <row r="135" ht="28.5" customHeight="1">
      <c r="A135" s="26">
        <v>42046.0</v>
      </c>
      <c r="B135" s="18" t="s">
        <v>421</v>
      </c>
      <c r="C135" s="15" t="s">
        <v>218</v>
      </c>
      <c r="D135" s="15" t="s">
        <v>422</v>
      </c>
      <c r="E135" s="18" t="s">
        <v>119</v>
      </c>
      <c r="F135" s="15">
        <v>2.0</v>
      </c>
      <c r="G135" s="15" t="s">
        <v>295</v>
      </c>
      <c r="K135" s="15" t="s">
        <v>170</v>
      </c>
      <c r="L135" s="15" t="s">
        <v>225</v>
      </c>
      <c r="M135" s="15" t="s">
        <v>225</v>
      </c>
      <c r="N135" s="15" t="s">
        <v>414</v>
      </c>
      <c r="O135" s="15" t="s">
        <v>130</v>
      </c>
    </row>
    <row r="136" ht="28.5" customHeight="1">
      <c r="A136" s="26">
        <v>42046.0</v>
      </c>
      <c r="B136" s="18" t="s">
        <v>421</v>
      </c>
      <c r="C136" s="15" t="s">
        <v>218</v>
      </c>
      <c r="D136" s="15" t="s">
        <v>422</v>
      </c>
      <c r="E136" s="18" t="s">
        <v>119</v>
      </c>
      <c r="F136" s="15">
        <v>2.0</v>
      </c>
      <c r="G136" s="15" t="s">
        <v>295</v>
      </c>
      <c r="K136" s="15" t="s">
        <v>225</v>
      </c>
      <c r="L136" s="15" t="s">
        <v>485</v>
      </c>
      <c r="M136" s="15" t="s">
        <v>115</v>
      </c>
      <c r="N136" s="15" t="s">
        <v>225</v>
      </c>
      <c r="O136" s="15" t="s">
        <v>130</v>
      </c>
    </row>
    <row r="137" ht="28.5" customHeight="1">
      <c r="A137" s="26">
        <v>42047.0</v>
      </c>
      <c r="B137" s="18" t="s">
        <v>157</v>
      </c>
      <c r="C137" s="15" t="s">
        <v>433</v>
      </c>
      <c r="D137" s="15" t="s">
        <v>609</v>
      </c>
      <c r="E137" s="18" t="s">
        <v>269</v>
      </c>
      <c r="F137" s="15">
        <v>2.0</v>
      </c>
      <c r="G137" s="15" t="s">
        <v>295</v>
      </c>
      <c r="K137" s="15" t="s">
        <v>113</v>
      </c>
      <c r="L137" s="15" t="s">
        <v>122</v>
      </c>
      <c r="M137" s="15" t="s">
        <v>306</v>
      </c>
      <c r="N137" s="15" t="s">
        <v>122</v>
      </c>
      <c r="O137" s="15" t="s">
        <v>130</v>
      </c>
    </row>
    <row r="138" ht="28.5" customHeight="1">
      <c r="A138" s="26">
        <v>42047.0</v>
      </c>
      <c r="B138" s="18" t="s">
        <v>157</v>
      </c>
      <c r="C138" s="15" t="s">
        <v>433</v>
      </c>
      <c r="D138" s="15" t="s">
        <v>610</v>
      </c>
      <c r="E138" s="18" t="s">
        <v>269</v>
      </c>
      <c r="F138" s="15">
        <v>2.0</v>
      </c>
      <c r="G138" s="15" t="s">
        <v>295</v>
      </c>
      <c r="K138" s="15" t="s">
        <v>115</v>
      </c>
      <c r="L138" s="15" t="s">
        <v>113</v>
      </c>
      <c r="M138" s="15" t="s">
        <v>148</v>
      </c>
      <c r="N138" s="15" t="s">
        <v>170</v>
      </c>
      <c r="O138" s="15" t="s">
        <v>130</v>
      </c>
    </row>
    <row r="139" ht="28.5" customHeight="1">
      <c r="A139" s="26">
        <v>42046.0</v>
      </c>
      <c r="B139" s="18" t="s">
        <v>451</v>
      </c>
      <c r="C139" s="18" t="s">
        <v>452</v>
      </c>
      <c r="D139" s="18" t="s">
        <v>453</v>
      </c>
      <c r="E139" s="18" t="s">
        <v>454</v>
      </c>
      <c r="F139" s="15">
        <v>2.0</v>
      </c>
      <c r="G139" s="15" t="s">
        <v>295</v>
      </c>
      <c r="K139" s="15" t="s">
        <v>115</v>
      </c>
      <c r="L139" s="15" t="s">
        <v>323</v>
      </c>
      <c r="N139" s="15" t="s">
        <v>155</v>
      </c>
    </row>
    <row r="140" ht="28.5" customHeight="1">
      <c r="A140" s="14">
        <v>42044.0</v>
      </c>
      <c r="B140" s="15" t="s">
        <v>74</v>
      </c>
      <c r="C140" s="15" t="s">
        <v>75</v>
      </c>
      <c r="D140" s="15" t="s">
        <v>82</v>
      </c>
      <c r="E140" s="15" t="s">
        <v>77</v>
      </c>
      <c r="F140" s="15">
        <v>2.0</v>
      </c>
      <c r="G140" s="15" t="s">
        <v>455</v>
      </c>
      <c r="L140" s="15" t="s">
        <v>520</v>
      </c>
      <c r="M140" s="15" t="s">
        <v>115</v>
      </c>
      <c r="N140" s="15" t="s">
        <v>323</v>
      </c>
      <c r="O140" s="15" t="s">
        <v>130</v>
      </c>
      <c r="P140" s="15" t="s">
        <v>617</v>
      </c>
    </row>
    <row r="141" ht="28.5" customHeight="1">
      <c r="A141" s="14">
        <v>42045.0</v>
      </c>
      <c r="B141" s="15" t="s">
        <v>618</v>
      </c>
      <c r="C141" s="15" t="s">
        <v>218</v>
      </c>
      <c r="D141" s="15" t="s">
        <v>621</v>
      </c>
      <c r="E141" s="15" t="s">
        <v>269</v>
      </c>
      <c r="F141" s="15">
        <v>2.0</v>
      </c>
      <c r="G141" s="15" t="s">
        <v>455</v>
      </c>
      <c r="H141" s="15" t="s">
        <v>622</v>
      </c>
      <c r="K141" s="15" t="s">
        <v>225</v>
      </c>
      <c r="L141" s="15" t="s">
        <v>412</v>
      </c>
      <c r="M141" s="15" t="s">
        <v>115</v>
      </c>
      <c r="N141" s="15" t="s">
        <v>341</v>
      </c>
      <c r="O141" s="15" t="s">
        <v>413</v>
      </c>
    </row>
    <row r="142" ht="28.5" customHeight="1">
      <c r="A142" s="26">
        <v>42046.0</v>
      </c>
      <c r="B142" s="18" t="s">
        <v>231</v>
      </c>
      <c r="C142" s="15" t="s">
        <v>232</v>
      </c>
      <c r="D142" s="15" t="s">
        <v>268</v>
      </c>
      <c r="E142" s="18" t="s">
        <v>269</v>
      </c>
      <c r="F142" s="15">
        <v>2.0</v>
      </c>
      <c r="G142" s="15" t="s">
        <v>455</v>
      </c>
      <c r="H142" s="15" t="s">
        <v>625</v>
      </c>
      <c r="I142" s="15" t="s">
        <v>192</v>
      </c>
      <c r="L142" s="15" t="s">
        <v>412</v>
      </c>
      <c r="M142" s="15" t="s">
        <v>115</v>
      </c>
      <c r="N142" s="15" t="s">
        <v>341</v>
      </c>
      <c r="O142" s="15" t="s">
        <v>130</v>
      </c>
      <c r="P142" s="15" t="s">
        <v>626</v>
      </c>
    </row>
    <row r="143" ht="28.5" customHeight="1">
      <c r="A143" s="24">
        <v>42047.0</v>
      </c>
      <c r="B143" s="18" t="s">
        <v>117</v>
      </c>
      <c r="C143" s="18" t="s">
        <v>104</v>
      </c>
      <c r="D143" s="18" t="s">
        <v>118</v>
      </c>
      <c r="E143" s="15" t="s">
        <v>119</v>
      </c>
      <c r="F143" s="15">
        <v>3.0</v>
      </c>
      <c r="G143" s="15" t="s">
        <v>112</v>
      </c>
      <c r="H143" s="15" t="s">
        <v>628</v>
      </c>
      <c r="I143" s="15" t="s">
        <v>120</v>
      </c>
      <c r="J143" s="15" t="s">
        <v>629</v>
      </c>
      <c r="K143" s="15" t="s">
        <v>120</v>
      </c>
      <c r="M143" s="15" t="s">
        <v>120</v>
      </c>
      <c r="N143" s="15" t="s">
        <v>115</v>
      </c>
      <c r="O143" s="15" t="s">
        <v>122</v>
      </c>
    </row>
    <row r="144" ht="28.5" customHeight="1">
      <c r="A144" s="14">
        <v>42041.0</v>
      </c>
      <c r="B144" s="15" t="s">
        <v>631</v>
      </c>
      <c r="C144" s="15" t="s">
        <v>632</v>
      </c>
      <c r="D144" s="15" t="s">
        <v>633</v>
      </c>
      <c r="E144" s="15" t="s">
        <v>146</v>
      </c>
      <c r="F144" s="15">
        <v>3.0</v>
      </c>
      <c r="G144" s="15" t="s">
        <v>147</v>
      </c>
      <c r="I144" s="15" t="s">
        <v>635</v>
      </c>
      <c r="K144" s="15" t="s">
        <v>635</v>
      </c>
      <c r="L144" s="15" t="s">
        <v>122</v>
      </c>
      <c r="M144" s="15" t="s">
        <v>115</v>
      </c>
      <c r="N144" s="15" t="s">
        <v>306</v>
      </c>
      <c r="O144" s="15" t="s">
        <v>122</v>
      </c>
      <c r="P144" s="15" t="s">
        <v>638</v>
      </c>
    </row>
    <row r="145" ht="28.5" customHeight="1">
      <c r="A145" s="14">
        <v>42041.0</v>
      </c>
      <c r="B145" s="15" t="s">
        <v>631</v>
      </c>
      <c r="C145" s="15" t="s">
        <v>632</v>
      </c>
      <c r="D145" s="15" t="s">
        <v>633</v>
      </c>
      <c r="E145" s="15" t="s">
        <v>146</v>
      </c>
      <c r="F145" s="15">
        <v>3.0</v>
      </c>
      <c r="G145" s="15" t="s">
        <v>147</v>
      </c>
      <c r="I145" s="15" t="s">
        <v>639</v>
      </c>
      <c r="K145" s="15" t="s">
        <v>639</v>
      </c>
      <c r="L145" s="15" t="s">
        <v>640</v>
      </c>
      <c r="M145" s="15" t="s">
        <v>115</v>
      </c>
      <c r="N145" s="15" t="s">
        <v>306</v>
      </c>
      <c r="O145" s="15" t="s">
        <v>122</v>
      </c>
      <c r="P145" s="15" t="s">
        <v>638</v>
      </c>
    </row>
    <row r="146" ht="28.5" customHeight="1">
      <c r="A146" s="24">
        <v>42046.0</v>
      </c>
      <c r="B146" s="18" t="s">
        <v>102</v>
      </c>
      <c r="C146" s="18" t="s">
        <v>104</v>
      </c>
      <c r="D146" s="18" t="s">
        <v>185</v>
      </c>
      <c r="E146" s="18" t="s">
        <v>77</v>
      </c>
      <c r="F146" s="15">
        <v>3.0</v>
      </c>
      <c r="G146" s="15" t="s">
        <v>147</v>
      </c>
      <c r="I146" s="15" t="s">
        <v>162</v>
      </c>
      <c r="K146" s="15" t="s">
        <v>115</v>
      </c>
      <c r="M146" s="15" t="s">
        <v>643</v>
      </c>
      <c r="N146" s="15" t="s">
        <v>596</v>
      </c>
      <c r="O146" s="15" t="s">
        <v>122</v>
      </c>
    </row>
    <row r="147" ht="28.5" customHeight="1">
      <c r="A147" s="24">
        <v>42046.0</v>
      </c>
      <c r="B147" s="18" t="s">
        <v>102</v>
      </c>
      <c r="C147" s="18" t="s">
        <v>104</v>
      </c>
      <c r="D147" s="18" t="s">
        <v>185</v>
      </c>
      <c r="E147" s="18" t="s">
        <v>77</v>
      </c>
      <c r="F147" s="15">
        <v>3.0</v>
      </c>
      <c r="G147" s="15" t="s">
        <v>147</v>
      </c>
      <c r="K147" s="15" t="s">
        <v>148</v>
      </c>
      <c r="L147" s="15" t="s">
        <v>170</v>
      </c>
      <c r="M147" s="15" t="s">
        <v>115</v>
      </c>
      <c r="N147" s="15" t="s">
        <v>170</v>
      </c>
      <c r="O147" s="15" t="s">
        <v>122</v>
      </c>
    </row>
    <row r="148" ht="28.5" customHeight="1">
      <c r="A148" s="24">
        <v>42046.0</v>
      </c>
      <c r="B148" s="18" t="s">
        <v>102</v>
      </c>
      <c r="C148" s="18" t="s">
        <v>104</v>
      </c>
      <c r="D148" s="18" t="s">
        <v>185</v>
      </c>
      <c r="E148" s="18" t="s">
        <v>77</v>
      </c>
      <c r="F148" s="15">
        <v>3.0</v>
      </c>
      <c r="G148" s="15" t="s">
        <v>147</v>
      </c>
      <c r="I148" s="15" t="s">
        <v>170</v>
      </c>
      <c r="K148" s="15" t="s">
        <v>193</v>
      </c>
      <c r="L148" s="15" t="s">
        <v>650</v>
      </c>
      <c r="N148" s="15" t="s">
        <v>195</v>
      </c>
      <c r="O148" s="15" t="s">
        <v>122</v>
      </c>
    </row>
    <row r="149" ht="28.5" customHeight="1">
      <c r="A149" s="24">
        <v>42046.0</v>
      </c>
      <c r="B149" s="18" t="s">
        <v>102</v>
      </c>
      <c r="C149" s="18" t="s">
        <v>104</v>
      </c>
      <c r="D149" s="18" t="s">
        <v>185</v>
      </c>
      <c r="E149" s="18" t="s">
        <v>77</v>
      </c>
      <c r="F149" s="15">
        <v>3.0</v>
      </c>
      <c r="G149" s="15" t="s">
        <v>147</v>
      </c>
      <c r="K149" s="15" t="s">
        <v>148</v>
      </c>
      <c r="L149" s="15" t="s">
        <v>174</v>
      </c>
      <c r="M149" s="15" t="s">
        <v>115</v>
      </c>
      <c r="O149" s="15" t="s">
        <v>122</v>
      </c>
      <c r="P149" s="15" t="s">
        <v>652</v>
      </c>
    </row>
    <row r="150" ht="28.5" customHeight="1">
      <c r="A150" s="24">
        <v>42046.0</v>
      </c>
      <c r="B150" s="18" t="s">
        <v>102</v>
      </c>
      <c r="C150" s="18" t="s">
        <v>104</v>
      </c>
      <c r="D150" s="18" t="s">
        <v>185</v>
      </c>
      <c r="E150" s="18" t="s">
        <v>77</v>
      </c>
      <c r="F150" s="15">
        <v>3.0</v>
      </c>
      <c r="G150" s="15" t="s">
        <v>147</v>
      </c>
      <c r="I150" s="15" t="s">
        <v>122</v>
      </c>
      <c r="K150" s="15" t="s">
        <v>170</v>
      </c>
      <c r="L150" s="15" t="s">
        <v>489</v>
      </c>
      <c r="M150" s="15" t="s">
        <v>183</v>
      </c>
      <c r="N150" s="15" t="s">
        <v>655</v>
      </c>
      <c r="O150" s="15" t="s">
        <v>122</v>
      </c>
    </row>
    <row r="151" ht="28.5" customHeight="1">
      <c r="A151" s="24">
        <v>42046.0</v>
      </c>
      <c r="B151" s="18" t="s">
        <v>102</v>
      </c>
      <c r="C151" s="18" t="s">
        <v>104</v>
      </c>
      <c r="D151" s="18" t="s">
        <v>185</v>
      </c>
      <c r="E151" s="18" t="s">
        <v>77</v>
      </c>
      <c r="F151" s="15">
        <v>3.0</v>
      </c>
      <c r="G151" s="15" t="s">
        <v>147</v>
      </c>
      <c r="H151" s="15" t="s">
        <v>659</v>
      </c>
      <c r="I151" s="15" t="s">
        <v>122</v>
      </c>
      <c r="K151" s="15" t="s">
        <v>115</v>
      </c>
      <c r="L151" s="15" t="s">
        <v>420</v>
      </c>
      <c r="M151" s="15" t="s">
        <v>183</v>
      </c>
      <c r="N151" s="15" t="s">
        <v>414</v>
      </c>
      <c r="O151" s="15" t="s">
        <v>122</v>
      </c>
    </row>
    <row r="152" ht="28.5" customHeight="1">
      <c r="A152" s="14">
        <v>42041.0</v>
      </c>
      <c r="B152" s="18" t="s">
        <v>102</v>
      </c>
      <c r="C152" s="18" t="s">
        <v>104</v>
      </c>
      <c r="D152" s="15" t="s">
        <v>475</v>
      </c>
      <c r="E152" s="15" t="s">
        <v>269</v>
      </c>
      <c r="F152" s="15">
        <v>3.0</v>
      </c>
      <c r="G152" s="15" t="s">
        <v>147</v>
      </c>
      <c r="I152" s="15" t="s">
        <v>170</v>
      </c>
      <c r="K152" s="15" t="s">
        <v>193</v>
      </c>
      <c r="L152" s="15" t="s">
        <v>516</v>
      </c>
      <c r="N152" s="15" t="s">
        <v>489</v>
      </c>
      <c r="O152" s="15" t="s">
        <v>122</v>
      </c>
    </row>
    <row r="153" ht="28.5" customHeight="1">
      <c r="A153" s="14">
        <v>42041.0</v>
      </c>
      <c r="B153" s="18" t="s">
        <v>102</v>
      </c>
      <c r="C153" s="18" t="s">
        <v>104</v>
      </c>
      <c r="D153" s="15" t="s">
        <v>475</v>
      </c>
      <c r="E153" s="15" t="s">
        <v>269</v>
      </c>
      <c r="F153" s="15">
        <v>3.0</v>
      </c>
      <c r="G153" s="15" t="s">
        <v>147</v>
      </c>
      <c r="I153" s="15" t="s">
        <v>170</v>
      </c>
      <c r="K153" s="15" t="s">
        <v>170</v>
      </c>
      <c r="L153" s="15" t="s">
        <v>655</v>
      </c>
      <c r="M153" s="15" t="s">
        <v>193</v>
      </c>
    </row>
    <row r="154" ht="28.5" customHeight="1">
      <c r="A154" s="14">
        <v>42041.0</v>
      </c>
      <c r="B154" s="15" t="s">
        <v>74</v>
      </c>
      <c r="C154" s="15" t="s">
        <v>75</v>
      </c>
      <c r="D154" s="15" t="s">
        <v>359</v>
      </c>
      <c r="E154" s="15" t="s">
        <v>181</v>
      </c>
      <c r="F154" s="15">
        <v>3.0</v>
      </c>
      <c r="G154" s="15" t="s">
        <v>147</v>
      </c>
      <c r="I154" s="15" t="s">
        <v>140</v>
      </c>
      <c r="K154" s="15" t="s">
        <v>115</v>
      </c>
      <c r="L154" s="15" t="s">
        <v>162</v>
      </c>
      <c r="M154" s="15" t="s">
        <v>183</v>
      </c>
      <c r="N154" s="15" t="s">
        <v>306</v>
      </c>
      <c r="O154" s="15" t="s">
        <v>130</v>
      </c>
      <c r="P154" s="15" t="s">
        <v>664</v>
      </c>
    </row>
    <row r="155" ht="28.5" customHeight="1">
      <c r="A155" s="14">
        <v>42045.0</v>
      </c>
      <c r="B155" s="15" t="s">
        <v>666</v>
      </c>
      <c r="C155" s="15" t="s">
        <v>668</v>
      </c>
      <c r="D155" s="15" t="s">
        <v>669</v>
      </c>
      <c r="E155" s="15" t="s">
        <v>670</v>
      </c>
      <c r="F155" s="15">
        <v>3.0</v>
      </c>
      <c r="G155" s="15" t="s">
        <v>259</v>
      </c>
      <c r="H155" s="15" t="s">
        <v>671</v>
      </c>
      <c r="I155" s="15" t="s">
        <v>193</v>
      </c>
      <c r="O155" s="15" t="s">
        <v>122</v>
      </c>
    </row>
    <row r="156" ht="28.5" customHeight="1">
      <c r="A156" s="14">
        <v>42045.0</v>
      </c>
      <c r="B156" s="15" t="s">
        <v>666</v>
      </c>
      <c r="C156" s="15" t="s">
        <v>668</v>
      </c>
      <c r="D156" s="15" t="s">
        <v>669</v>
      </c>
      <c r="E156" s="15" t="s">
        <v>670</v>
      </c>
      <c r="F156" s="15">
        <v>3.0</v>
      </c>
      <c r="G156" s="15" t="s">
        <v>259</v>
      </c>
      <c r="H156" s="15" t="s">
        <v>113</v>
      </c>
      <c r="K156" s="15" t="s">
        <v>323</v>
      </c>
      <c r="L156" s="15" t="s">
        <v>113</v>
      </c>
      <c r="M156" s="15" t="s">
        <v>193</v>
      </c>
      <c r="N156" s="15" t="s">
        <v>115</v>
      </c>
      <c r="O156" s="15" t="s">
        <v>122</v>
      </c>
      <c r="P156" s="15" t="s">
        <v>674</v>
      </c>
    </row>
    <row r="157" ht="28.5" customHeight="1">
      <c r="A157" s="14">
        <v>42045.0</v>
      </c>
      <c r="B157" s="18" t="s">
        <v>675</v>
      </c>
      <c r="C157" s="18" t="s">
        <v>676</v>
      </c>
      <c r="D157" s="15" t="s">
        <v>678</v>
      </c>
      <c r="E157" s="15" t="s">
        <v>679</v>
      </c>
      <c r="F157" s="15">
        <v>3.0</v>
      </c>
      <c r="G157" s="15" t="s">
        <v>259</v>
      </c>
      <c r="I157" s="15" t="s">
        <v>277</v>
      </c>
      <c r="K157" s="15" t="s">
        <v>277</v>
      </c>
      <c r="M157" s="15" t="s">
        <v>276</v>
      </c>
      <c r="O157" s="15" t="s">
        <v>685</v>
      </c>
      <c r="P157" s="15" t="s">
        <v>686</v>
      </c>
    </row>
    <row r="158" ht="28.5" customHeight="1">
      <c r="A158" s="14">
        <v>42045.0</v>
      </c>
      <c r="B158" s="18" t="s">
        <v>675</v>
      </c>
      <c r="C158" s="18" t="s">
        <v>676</v>
      </c>
      <c r="D158" s="15" t="s">
        <v>678</v>
      </c>
      <c r="E158" s="15" t="s">
        <v>679</v>
      </c>
      <c r="F158" s="15">
        <v>3.0</v>
      </c>
      <c r="G158" s="15" t="s">
        <v>259</v>
      </c>
      <c r="H158" s="15" t="s">
        <v>690</v>
      </c>
      <c r="I158" s="15" t="s">
        <v>277</v>
      </c>
      <c r="K158" s="15" t="s">
        <v>277</v>
      </c>
      <c r="N158" s="15" t="s">
        <v>115</v>
      </c>
      <c r="O158" s="15" t="s">
        <v>122</v>
      </c>
    </row>
    <row r="159" ht="28.5" customHeight="1">
      <c r="A159" s="14">
        <v>42045.0</v>
      </c>
      <c r="B159" s="18" t="s">
        <v>675</v>
      </c>
      <c r="C159" s="18" t="s">
        <v>676</v>
      </c>
      <c r="D159" s="15" t="s">
        <v>678</v>
      </c>
      <c r="E159" s="15" t="s">
        <v>679</v>
      </c>
      <c r="F159" s="15">
        <v>3.0</v>
      </c>
      <c r="G159" s="15" t="s">
        <v>259</v>
      </c>
      <c r="H159" s="15" t="s">
        <v>692</v>
      </c>
      <c r="I159" s="15" t="s">
        <v>277</v>
      </c>
      <c r="K159" s="15" t="s">
        <v>277</v>
      </c>
      <c r="N159" s="15" t="s">
        <v>115</v>
      </c>
      <c r="O159" s="15" t="s">
        <v>122</v>
      </c>
    </row>
    <row r="160" ht="28.5" customHeight="1">
      <c r="A160" s="14">
        <v>42045.0</v>
      </c>
      <c r="B160" s="18" t="s">
        <v>675</v>
      </c>
      <c r="C160" s="18" t="s">
        <v>676</v>
      </c>
      <c r="D160" s="15" t="s">
        <v>678</v>
      </c>
      <c r="E160" s="15" t="s">
        <v>679</v>
      </c>
      <c r="F160" s="15">
        <v>3.0</v>
      </c>
      <c r="G160" s="15" t="s">
        <v>259</v>
      </c>
      <c r="H160" s="15" t="s">
        <v>695</v>
      </c>
      <c r="I160" s="15" t="s">
        <v>277</v>
      </c>
      <c r="K160" s="15" t="s">
        <v>277</v>
      </c>
      <c r="M160" s="15" t="s">
        <v>276</v>
      </c>
      <c r="N160" s="15" t="s">
        <v>115</v>
      </c>
      <c r="O160" s="15" t="s">
        <v>122</v>
      </c>
    </row>
    <row r="161" ht="28.5" customHeight="1">
      <c r="A161" s="14">
        <v>42044.0</v>
      </c>
      <c r="B161" s="15" t="s">
        <v>699</v>
      </c>
      <c r="C161" s="15" t="s">
        <v>701</v>
      </c>
      <c r="D161" s="15" t="s">
        <v>703</v>
      </c>
      <c r="E161" s="15" t="s">
        <v>146</v>
      </c>
      <c r="F161" s="15">
        <v>3.0</v>
      </c>
      <c r="G161" s="15" t="s">
        <v>259</v>
      </c>
      <c r="H161" s="15" t="s">
        <v>704</v>
      </c>
      <c r="I161" s="15" t="s">
        <v>277</v>
      </c>
      <c r="M161" s="15" t="s">
        <v>704</v>
      </c>
      <c r="N161" s="15" t="s">
        <v>706</v>
      </c>
      <c r="O161" s="15" t="s">
        <v>130</v>
      </c>
      <c r="P161" s="15" t="s">
        <v>211</v>
      </c>
    </row>
    <row r="162" ht="28.5" customHeight="1">
      <c r="A162" s="24">
        <v>42046.0</v>
      </c>
      <c r="B162" s="15" t="s">
        <v>500</v>
      </c>
      <c r="C162" s="18" t="s">
        <v>501</v>
      </c>
      <c r="D162" s="18" t="s">
        <v>502</v>
      </c>
      <c r="E162" s="18" t="s">
        <v>119</v>
      </c>
      <c r="F162" s="15">
        <v>3.0</v>
      </c>
      <c r="G162" s="15" t="s">
        <v>295</v>
      </c>
      <c r="K162" s="15" t="s">
        <v>113</v>
      </c>
      <c r="L162" s="15" t="s">
        <v>148</v>
      </c>
      <c r="M162" s="15" t="s">
        <v>115</v>
      </c>
      <c r="N162" s="15" t="s">
        <v>120</v>
      </c>
      <c r="O162" s="15" t="s">
        <v>122</v>
      </c>
    </row>
    <row r="163" ht="28.5" customHeight="1">
      <c r="A163" s="24">
        <v>42046.0</v>
      </c>
      <c r="B163" s="15" t="s">
        <v>500</v>
      </c>
      <c r="C163" s="18" t="s">
        <v>501</v>
      </c>
      <c r="D163" s="18" t="s">
        <v>502</v>
      </c>
      <c r="E163" s="18" t="s">
        <v>119</v>
      </c>
      <c r="F163" s="15">
        <v>3.0</v>
      </c>
      <c r="G163" s="15" t="s">
        <v>295</v>
      </c>
      <c r="L163" s="15" t="s">
        <v>711</v>
      </c>
      <c r="N163" s="15" t="s">
        <v>463</v>
      </c>
      <c r="O163" s="15" t="s">
        <v>122</v>
      </c>
      <c r="P163" s="15" t="s">
        <v>712</v>
      </c>
    </row>
    <row r="164" ht="28.5" customHeight="1">
      <c r="A164" s="24">
        <v>42046.0</v>
      </c>
      <c r="B164" s="15" t="s">
        <v>500</v>
      </c>
      <c r="C164" s="18" t="s">
        <v>501</v>
      </c>
      <c r="D164" s="18" t="s">
        <v>502</v>
      </c>
      <c r="E164" s="18" t="s">
        <v>119</v>
      </c>
      <c r="F164" s="15">
        <v>3.0</v>
      </c>
      <c r="G164" s="15" t="s">
        <v>295</v>
      </c>
      <c r="L164" s="15" t="s">
        <v>396</v>
      </c>
      <c r="N164" s="15" t="s">
        <v>120</v>
      </c>
      <c r="P164" s="15" t="s">
        <v>718</v>
      </c>
    </row>
    <row r="165" ht="28.5" customHeight="1">
      <c r="A165" s="24">
        <v>42046.0</v>
      </c>
      <c r="B165" s="15" t="s">
        <v>500</v>
      </c>
      <c r="C165" s="18" t="s">
        <v>501</v>
      </c>
      <c r="D165" s="18" t="s">
        <v>502</v>
      </c>
      <c r="E165" s="18" t="s">
        <v>119</v>
      </c>
      <c r="F165" s="15">
        <v>3.0</v>
      </c>
      <c r="G165" s="15" t="s">
        <v>295</v>
      </c>
      <c r="L165" s="15" t="s">
        <v>330</v>
      </c>
      <c r="N165" s="15" t="s">
        <v>323</v>
      </c>
    </row>
    <row r="166" ht="28.5" customHeight="1">
      <c r="A166" s="24">
        <v>42045.0</v>
      </c>
      <c r="B166" s="18" t="s">
        <v>102</v>
      </c>
      <c r="C166" s="18" t="s">
        <v>104</v>
      </c>
      <c r="D166" s="18" t="s">
        <v>105</v>
      </c>
      <c r="E166" s="18" t="s">
        <v>77</v>
      </c>
      <c r="F166" s="15">
        <v>3.0</v>
      </c>
      <c r="G166" s="15" t="s">
        <v>295</v>
      </c>
      <c r="K166" s="15" t="s">
        <v>115</v>
      </c>
      <c r="L166" s="15" t="s">
        <v>306</v>
      </c>
      <c r="N166" s="15" t="s">
        <v>655</v>
      </c>
      <c r="O166" s="15" t="s">
        <v>122</v>
      </c>
    </row>
    <row r="167" ht="28.5" customHeight="1">
      <c r="A167" s="24">
        <v>42045.0</v>
      </c>
      <c r="B167" s="18" t="s">
        <v>102</v>
      </c>
      <c r="C167" s="18" t="s">
        <v>104</v>
      </c>
      <c r="D167" s="18" t="s">
        <v>105</v>
      </c>
      <c r="E167" s="18" t="s">
        <v>77</v>
      </c>
      <c r="F167" s="15">
        <v>3.0</v>
      </c>
      <c r="G167" s="15" t="s">
        <v>295</v>
      </c>
      <c r="K167" s="15" t="s">
        <v>115</v>
      </c>
      <c r="L167" s="15" t="s">
        <v>306</v>
      </c>
      <c r="N167" s="15" t="s">
        <v>420</v>
      </c>
      <c r="O167" s="15" t="s">
        <v>122</v>
      </c>
    </row>
    <row r="168" ht="28.5" customHeight="1">
      <c r="A168" s="24">
        <v>42046.0</v>
      </c>
      <c r="B168" s="18" t="s">
        <v>102</v>
      </c>
      <c r="C168" s="18" t="s">
        <v>104</v>
      </c>
      <c r="D168" s="18" t="s">
        <v>185</v>
      </c>
      <c r="E168" s="18" t="s">
        <v>77</v>
      </c>
      <c r="F168" s="15">
        <v>3.0</v>
      </c>
      <c r="G168" s="15" t="s">
        <v>295</v>
      </c>
      <c r="L168" s="15" t="s">
        <v>724</v>
      </c>
      <c r="M168" s="15" t="s">
        <v>115</v>
      </c>
      <c r="N168" s="15" t="s">
        <v>306</v>
      </c>
      <c r="O168" s="15" t="s">
        <v>122</v>
      </c>
    </row>
    <row r="169" ht="28.5" customHeight="1">
      <c r="A169" s="24">
        <v>42046.0</v>
      </c>
      <c r="B169" s="18" t="s">
        <v>102</v>
      </c>
      <c r="C169" s="18" t="s">
        <v>104</v>
      </c>
      <c r="D169" s="18" t="s">
        <v>185</v>
      </c>
      <c r="E169" s="18" t="s">
        <v>77</v>
      </c>
      <c r="F169" s="15">
        <v>3.0</v>
      </c>
      <c r="G169" s="15" t="s">
        <v>295</v>
      </c>
      <c r="L169" s="15" t="s">
        <v>456</v>
      </c>
      <c r="M169" s="15" t="s">
        <v>115</v>
      </c>
      <c r="N169" s="15" t="s">
        <v>122</v>
      </c>
      <c r="O169" s="15" t="s">
        <v>122</v>
      </c>
    </row>
    <row r="170" ht="28.5" customHeight="1">
      <c r="A170" s="24">
        <v>42046.0</v>
      </c>
      <c r="B170" s="18" t="s">
        <v>102</v>
      </c>
      <c r="C170" s="18" t="s">
        <v>104</v>
      </c>
      <c r="D170" s="18" t="s">
        <v>185</v>
      </c>
      <c r="E170" s="18" t="s">
        <v>77</v>
      </c>
      <c r="F170" s="15">
        <v>3.0</v>
      </c>
      <c r="G170" s="15" t="s">
        <v>295</v>
      </c>
      <c r="L170" s="15" t="s">
        <v>420</v>
      </c>
      <c r="M170" s="15" t="s">
        <v>115</v>
      </c>
      <c r="N170" s="15" t="s">
        <v>323</v>
      </c>
      <c r="O170" s="15" t="s">
        <v>122</v>
      </c>
    </row>
    <row r="171" ht="28.5" customHeight="1">
      <c r="A171" s="24">
        <v>42047.0</v>
      </c>
      <c r="B171" s="18" t="s">
        <v>117</v>
      </c>
      <c r="C171" s="18" t="s">
        <v>104</v>
      </c>
      <c r="D171" s="18" t="s">
        <v>123</v>
      </c>
      <c r="E171" s="18" t="s">
        <v>119</v>
      </c>
      <c r="F171" s="15">
        <v>3.0</v>
      </c>
      <c r="G171" s="15" t="s">
        <v>295</v>
      </c>
      <c r="L171" s="15" t="s">
        <v>323</v>
      </c>
      <c r="M171" s="15" t="s">
        <v>115</v>
      </c>
      <c r="N171" s="15" t="s">
        <v>350</v>
      </c>
      <c r="O171" s="15" t="s">
        <v>122</v>
      </c>
    </row>
    <row r="172" ht="28.5" customHeight="1">
      <c r="A172" s="24">
        <v>42047.0</v>
      </c>
      <c r="B172" s="18" t="s">
        <v>117</v>
      </c>
      <c r="C172" s="18" t="s">
        <v>104</v>
      </c>
      <c r="D172" s="18" t="s">
        <v>123</v>
      </c>
      <c r="E172" s="18" t="s">
        <v>119</v>
      </c>
      <c r="F172" s="15">
        <v>3.0</v>
      </c>
      <c r="G172" s="15" t="s">
        <v>295</v>
      </c>
      <c r="L172" s="15" t="s">
        <v>350</v>
      </c>
      <c r="M172" s="15" t="s">
        <v>115</v>
      </c>
      <c r="N172" s="15" t="s">
        <v>306</v>
      </c>
      <c r="O172" s="15" t="s">
        <v>122</v>
      </c>
    </row>
    <row r="173" ht="28.5" customHeight="1">
      <c r="A173" s="24">
        <v>42047.0</v>
      </c>
      <c r="B173" s="18" t="s">
        <v>117</v>
      </c>
      <c r="C173" s="18" t="s">
        <v>104</v>
      </c>
      <c r="D173" s="18" t="s">
        <v>123</v>
      </c>
      <c r="E173" s="18" t="s">
        <v>119</v>
      </c>
      <c r="F173" s="15">
        <v>3.0</v>
      </c>
      <c r="G173" s="15" t="s">
        <v>295</v>
      </c>
      <c r="L173" s="15" t="s">
        <v>412</v>
      </c>
      <c r="M173" s="15" t="s">
        <v>115</v>
      </c>
      <c r="N173" s="15" t="s">
        <v>306</v>
      </c>
      <c r="O173" s="15" t="s">
        <v>122</v>
      </c>
    </row>
    <row r="174" ht="28.5" customHeight="1">
      <c r="A174" s="24">
        <v>42047.0</v>
      </c>
      <c r="B174" s="18" t="s">
        <v>117</v>
      </c>
      <c r="C174" s="18" t="s">
        <v>104</v>
      </c>
      <c r="D174" s="18" t="s">
        <v>123</v>
      </c>
      <c r="E174" s="18" t="s">
        <v>119</v>
      </c>
      <c r="F174" s="15">
        <v>3.0</v>
      </c>
      <c r="G174" s="15" t="s">
        <v>295</v>
      </c>
      <c r="K174" s="15" t="s">
        <v>115</v>
      </c>
      <c r="L174" s="15" t="s">
        <v>162</v>
      </c>
      <c r="N174" s="15" t="s">
        <v>341</v>
      </c>
      <c r="O174" s="15" t="s">
        <v>122</v>
      </c>
    </row>
    <row r="175" ht="28.5" customHeight="1">
      <c r="A175" s="24">
        <v>42047.0</v>
      </c>
      <c r="B175" s="18" t="s">
        <v>117</v>
      </c>
      <c r="C175" s="18" t="s">
        <v>104</v>
      </c>
      <c r="D175" s="18" t="s">
        <v>123</v>
      </c>
      <c r="E175" s="18" t="s">
        <v>119</v>
      </c>
      <c r="F175" s="15">
        <v>3.0</v>
      </c>
      <c r="G175" s="15" t="s">
        <v>295</v>
      </c>
      <c r="K175" s="15" t="s">
        <v>115</v>
      </c>
      <c r="L175" s="15" t="s">
        <v>162</v>
      </c>
      <c r="N175" s="15" t="s">
        <v>398</v>
      </c>
      <c r="O175" s="15" t="s">
        <v>122</v>
      </c>
    </row>
    <row r="176" ht="28.5" customHeight="1">
      <c r="A176" s="24">
        <v>42047.0</v>
      </c>
      <c r="B176" s="18" t="s">
        <v>117</v>
      </c>
      <c r="C176" s="18" t="s">
        <v>104</v>
      </c>
      <c r="D176" s="18" t="s">
        <v>123</v>
      </c>
      <c r="E176" s="18" t="s">
        <v>119</v>
      </c>
      <c r="F176" s="15">
        <v>3.0</v>
      </c>
      <c r="G176" s="15" t="s">
        <v>295</v>
      </c>
      <c r="L176" s="15" t="s">
        <v>337</v>
      </c>
      <c r="M176" s="15" t="s">
        <v>115</v>
      </c>
      <c r="N176" s="15" t="s">
        <v>306</v>
      </c>
      <c r="O176" s="15" t="s">
        <v>122</v>
      </c>
    </row>
    <row r="177" ht="28.5" customHeight="1">
      <c r="A177" s="24">
        <v>42047.0</v>
      </c>
      <c r="B177" s="18" t="s">
        <v>117</v>
      </c>
      <c r="C177" s="18" t="s">
        <v>104</v>
      </c>
      <c r="D177" s="18" t="s">
        <v>123</v>
      </c>
      <c r="E177" s="18" t="s">
        <v>119</v>
      </c>
      <c r="F177" s="15">
        <v>3.0</v>
      </c>
      <c r="G177" s="15" t="s">
        <v>295</v>
      </c>
      <c r="L177" s="15" t="s">
        <v>195</v>
      </c>
      <c r="M177" s="15" t="s">
        <v>115</v>
      </c>
      <c r="N177" s="15" t="s">
        <v>306</v>
      </c>
      <c r="O177" s="15" t="s">
        <v>122</v>
      </c>
    </row>
    <row r="178" ht="28.5" customHeight="1">
      <c r="A178" s="24">
        <v>42047.0</v>
      </c>
      <c r="B178" s="18" t="s">
        <v>117</v>
      </c>
      <c r="C178" s="18" t="s">
        <v>104</v>
      </c>
      <c r="D178" s="18" t="s">
        <v>123</v>
      </c>
      <c r="E178" s="18" t="s">
        <v>119</v>
      </c>
      <c r="F178" s="15">
        <v>3.0</v>
      </c>
      <c r="G178" s="15" t="s">
        <v>295</v>
      </c>
      <c r="K178" s="15" t="s">
        <v>115</v>
      </c>
      <c r="L178" s="15" t="s">
        <v>162</v>
      </c>
      <c r="N178" s="15" t="s">
        <v>353</v>
      </c>
      <c r="O178" s="15" t="s">
        <v>122</v>
      </c>
    </row>
    <row r="179" ht="28.5" customHeight="1">
      <c r="A179" s="24">
        <v>42047.0</v>
      </c>
      <c r="B179" s="18" t="s">
        <v>117</v>
      </c>
      <c r="C179" s="18" t="s">
        <v>104</v>
      </c>
      <c r="D179" s="18" t="s">
        <v>123</v>
      </c>
      <c r="E179" s="18" t="s">
        <v>119</v>
      </c>
      <c r="F179" s="15">
        <v>3.0</v>
      </c>
      <c r="G179" s="15" t="s">
        <v>295</v>
      </c>
      <c r="L179" s="15" t="s">
        <v>323</v>
      </c>
      <c r="M179" s="15" t="s">
        <v>115</v>
      </c>
      <c r="N179" s="15" t="s">
        <v>398</v>
      </c>
      <c r="O179" s="15" t="s">
        <v>122</v>
      </c>
    </row>
    <row r="180" ht="28.5" customHeight="1">
      <c r="A180" s="14">
        <v>42046.0</v>
      </c>
      <c r="B180" s="15" t="s">
        <v>377</v>
      </c>
      <c r="C180" s="15" t="s">
        <v>378</v>
      </c>
      <c r="D180" s="15" t="s">
        <v>379</v>
      </c>
      <c r="E180" s="15" t="s">
        <v>208</v>
      </c>
      <c r="F180" s="15">
        <v>3.0</v>
      </c>
      <c r="G180" s="15" t="s">
        <v>295</v>
      </c>
      <c r="H180" s="15" t="s">
        <v>113</v>
      </c>
      <c r="I180" s="15" t="s">
        <v>113</v>
      </c>
      <c r="J180" s="15" t="s">
        <v>113</v>
      </c>
      <c r="K180" s="15" t="s">
        <v>380</v>
      </c>
      <c r="L180" s="15" t="s">
        <v>113</v>
      </c>
      <c r="M180" s="15" t="s">
        <v>227</v>
      </c>
      <c r="N180" s="15" t="s">
        <v>113</v>
      </c>
      <c r="O180" s="15" t="s">
        <v>130</v>
      </c>
    </row>
    <row r="181" ht="28.5" customHeight="1">
      <c r="A181" s="14">
        <v>42043.0</v>
      </c>
      <c r="B181" s="15" t="s">
        <v>74</v>
      </c>
      <c r="C181" s="15" t="s">
        <v>75</v>
      </c>
      <c r="D181" s="15" t="s">
        <v>76</v>
      </c>
      <c r="E181" s="15" t="s">
        <v>77</v>
      </c>
      <c r="F181" s="15">
        <v>3.0</v>
      </c>
      <c r="G181" s="15" t="s">
        <v>295</v>
      </c>
      <c r="K181" s="15" t="s">
        <v>115</v>
      </c>
      <c r="L181" s="15" t="s">
        <v>162</v>
      </c>
      <c r="N181" s="15" t="s">
        <v>227</v>
      </c>
      <c r="O181" s="15" t="s">
        <v>130</v>
      </c>
      <c r="P181" s="15" t="s">
        <v>789</v>
      </c>
    </row>
    <row r="182" ht="28.5" customHeight="1">
      <c r="A182" s="14">
        <v>42043.0</v>
      </c>
      <c r="B182" s="15" t="s">
        <v>74</v>
      </c>
      <c r="C182" s="15" t="s">
        <v>75</v>
      </c>
      <c r="D182" s="15" t="s">
        <v>76</v>
      </c>
      <c r="E182" s="15" t="s">
        <v>77</v>
      </c>
      <c r="F182" s="15">
        <v>3.0</v>
      </c>
      <c r="G182" s="15" t="s">
        <v>295</v>
      </c>
      <c r="K182" s="15" t="s">
        <v>546</v>
      </c>
      <c r="M182" s="15" t="s">
        <v>227</v>
      </c>
      <c r="O182" s="15" t="s">
        <v>130</v>
      </c>
      <c r="P182" s="15" t="s">
        <v>792</v>
      </c>
    </row>
    <row r="183" ht="28.5" customHeight="1">
      <c r="A183" s="14">
        <v>42044.0</v>
      </c>
      <c r="B183" s="15" t="s">
        <v>74</v>
      </c>
      <c r="C183" s="15" t="s">
        <v>75</v>
      </c>
      <c r="D183" s="15" t="s">
        <v>82</v>
      </c>
      <c r="E183" s="15" t="s">
        <v>77</v>
      </c>
      <c r="F183" s="15">
        <v>3.0</v>
      </c>
      <c r="G183" s="15" t="s">
        <v>295</v>
      </c>
      <c r="K183" s="15" t="s">
        <v>115</v>
      </c>
      <c r="L183" s="15" t="s">
        <v>306</v>
      </c>
      <c r="N183" s="15" t="s">
        <v>405</v>
      </c>
      <c r="O183" s="15" t="s">
        <v>130</v>
      </c>
      <c r="P183" s="15" t="s">
        <v>799</v>
      </c>
    </row>
    <row r="184" ht="28.5" customHeight="1">
      <c r="A184" s="14">
        <v>42044.0</v>
      </c>
      <c r="B184" s="15" t="s">
        <v>74</v>
      </c>
      <c r="C184" s="15" t="s">
        <v>75</v>
      </c>
      <c r="D184" s="15" t="s">
        <v>82</v>
      </c>
      <c r="E184" s="15" t="s">
        <v>77</v>
      </c>
      <c r="F184" s="15">
        <v>3.0</v>
      </c>
      <c r="G184" s="15" t="s">
        <v>295</v>
      </c>
      <c r="L184" s="15" t="s">
        <v>724</v>
      </c>
      <c r="M184" s="15" t="s">
        <v>115</v>
      </c>
      <c r="N184" s="15" t="s">
        <v>306</v>
      </c>
      <c r="O184" s="15" t="s">
        <v>130</v>
      </c>
      <c r="P184" s="15" t="s">
        <v>806</v>
      </c>
    </row>
    <row r="185" ht="28.5" customHeight="1">
      <c r="A185" s="26">
        <v>42046.0</v>
      </c>
      <c r="B185" s="18" t="s">
        <v>198</v>
      </c>
      <c r="C185" s="15" t="s">
        <v>199</v>
      </c>
      <c r="D185" s="15" t="s">
        <v>200</v>
      </c>
      <c r="E185" s="18" t="s">
        <v>77</v>
      </c>
      <c r="F185" s="15">
        <v>3.0</v>
      </c>
      <c r="G185" s="15" t="s">
        <v>295</v>
      </c>
      <c r="L185" s="15" t="s">
        <v>122</v>
      </c>
      <c r="M185" s="15" t="s">
        <v>115</v>
      </c>
      <c r="N185" s="15" t="s">
        <v>227</v>
      </c>
      <c r="O185" s="15" t="s">
        <v>413</v>
      </c>
    </row>
    <row r="186" ht="28.5" customHeight="1">
      <c r="A186" s="26">
        <v>42046.0</v>
      </c>
      <c r="B186" s="18" t="s">
        <v>198</v>
      </c>
      <c r="C186" s="15" t="s">
        <v>199</v>
      </c>
      <c r="D186" s="15" t="s">
        <v>200</v>
      </c>
      <c r="E186" s="18" t="s">
        <v>77</v>
      </c>
      <c r="F186" s="15">
        <v>3.0</v>
      </c>
      <c r="G186" s="15" t="s">
        <v>295</v>
      </c>
      <c r="K186" s="15" t="s">
        <v>115</v>
      </c>
      <c r="N186" s="15" t="s">
        <v>520</v>
      </c>
      <c r="O186" s="15" t="s">
        <v>413</v>
      </c>
    </row>
    <row r="187" ht="28.5" customHeight="1">
      <c r="A187" s="26">
        <v>42046.0</v>
      </c>
      <c r="B187" s="18" t="s">
        <v>198</v>
      </c>
      <c r="C187" s="15" t="s">
        <v>199</v>
      </c>
      <c r="D187" s="15" t="s">
        <v>200</v>
      </c>
      <c r="E187" s="18" t="s">
        <v>77</v>
      </c>
      <c r="F187" s="15">
        <v>3.0</v>
      </c>
      <c r="G187" s="15" t="s">
        <v>295</v>
      </c>
      <c r="L187" s="15" t="s">
        <v>120</v>
      </c>
      <c r="M187" s="15" t="s">
        <v>529</v>
      </c>
      <c r="N187" s="15" t="s">
        <v>306</v>
      </c>
      <c r="O187" s="15" t="s">
        <v>413</v>
      </c>
      <c r="P187" s="15" t="s">
        <v>814</v>
      </c>
    </row>
    <row r="188" ht="28.5" customHeight="1">
      <c r="A188" s="26">
        <v>42046.0</v>
      </c>
      <c r="B188" s="18" t="s">
        <v>198</v>
      </c>
      <c r="C188" s="15" t="s">
        <v>199</v>
      </c>
      <c r="D188" s="15" t="s">
        <v>200</v>
      </c>
      <c r="E188" s="18" t="s">
        <v>77</v>
      </c>
      <c r="F188" s="15">
        <v>3.0</v>
      </c>
      <c r="G188" s="15" t="s">
        <v>295</v>
      </c>
      <c r="L188" s="15" t="s">
        <v>724</v>
      </c>
      <c r="M188" s="15" t="s">
        <v>115</v>
      </c>
      <c r="N188" s="15" t="s">
        <v>323</v>
      </c>
      <c r="O188" s="15" t="s">
        <v>413</v>
      </c>
    </row>
    <row r="189" ht="28.5" customHeight="1">
      <c r="A189" s="26">
        <v>42046.0</v>
      </c>
      <c r="B189" s="18" t="s">
        <v>198</v>
      </c>
      <c r="C189" s="15" t="s">
        <v>199</v>
      </c>
      <c r="D189" s="15" t="s">
        <v>200</v>
      </c>
      <c r="E189" s="18" t="s">
        <v>77</v>
      </c>
      <c r="F189" s="15">
        <v>3.0</v>
      </c>
      <c r="G189" s="15" t="s">
        <v>295</v>
      </c>
      <c r="L189" s="15" t="s">
        <v>405</v>
      </c>
      <c r="M189" s="15" t="s">
        <v>115</v>
      </c>
      <c r="N189" s="15" t="s">
        <v>323</v>
      </c>
      <c r="O189" s="15" t="s">
        <v>413</v>
      </c>
    </row>
    <row r="190" ht="28.5" customHeight="1">
      <c r="A190" s="26">
        <v>42046.0</v>
      </c>
      <c r="B190" s="18" t="s">
        <v>198</v>
      </c>
      <c r="C190" s="15" t="s">
        <v>199</v>
      </c>
      <c r="D190" s="15" t="s">
        <v>200</v>
      </c>
      <c r="E190" s="18" t="s">
        <v>77</v>
      </c>
      <c r="F190" s="15">
        <v>3.0</v>
      </c>
      <c r="G190" s="15" t="s">
        <v>295</v>
      </c>
      <c r="L190" s="15" t="s">
        <v>358</v>
      </c>
      <c r="M190" s="15" t="s">
        <v>115</v>
      </c>
      <c r="N190" s="15" t="s">
        <v>323</v>
      </c>
      <c r="O190" s="15" t="s">
        <v>413</v>
      </c>
    </row>
    <row r="191" ht="28.5" customHeight="1">
      <c r="A191" s="26">
        <v>42046.0</v>
      </c>
      <c r="B191" s="18" t="s">
        <v>198</v>
      </c>
      <c r="C191" s="15" t="s">
        <v>199</v>
      </c>
      <c r="D191" s="15" t="s">
        <v>200</v>
      </c>
      <c r="E191" s="18" t="s">
        <v>77</v>
      </c>
      <c r="F191" s="15">
        <v>3.0</v>
      </c>
      <c r="G191" s="15" t="s">
        <v>295</v>
      </c>
      <c r="L191" s="15" t="s">
        <v>334</v>
      </c>
      <c r="M191" s="15" t="s">
        <v>115</v>
      </c>
      <c r="N191" s="15" t="s">
        <v>162</v>
      </c>
      <c r="O191" s="15" t="s">
        <v>413</v>
      </c>
    </row>
    <row r="192" ht="28.5" customHeight="1">
      <c r="A192" s="26">
        <v>42046.0</v>
      </c>
      <c r="B192" s="18" t="s">
        <v>198</v>
      </c>
      <c r="C192" s="15" t="s">
        <v>199</v>
      </c>
      <c r="D192" s="15" t="s">
        <v>200</v>
      </c>
      <c r="E192" s="18" t="s">
        <v>77</v>
      </c>
      <c r="F192" s="15">
        <v>3.0</v>
      </c>
      <c r="G192" s="15" t="s">
        <v>295</v>
      </c>
      <c r="L192" s="15" t="s">
        <v>822</v>
      </c>
      <c r="M192" s="15" t="s">
        <v>115</v>
      </c>
      <c r="N192" s="15" t="s">
        <v>162</v>
      </c>
      <c r="O192" s="15" t="s">
        <v>413</v>
      </c>
    </row>
    <row r="193" ht="28.5" customHeight="1">
      <c r="A193" s="26">
        <v>42046.0</v>
      </c>
      <c r="B193" s="18" t="s">
        <v>198</v>
      </c>
      <c r="C193" s="15" t="s">
        <v>199</v>
      </c>
      <c r="D193" s="15" t="s">
        <v>200</v>
      </c>
      <c r="E193" s="18" t="s">
        <v>77</v>
      </c>
      <c r="F193" s="15">
        <v>3.0</v>
      </c>
      <c r="G193" s="15" t="s">
        <v>295</v>
      </c>
      <c r="K193" s="15" t="s">
        <v>115</v>
      </c>
      <c r="L193" s="15" t="s">
        <v>306</v>
      </c>
      <c r="N193" s="15" t="s">
        <v>598</v>
      </c>
      <c r="O193" s="15" t="s">
        <v>413</v>
      </c>
    </row>
    <row r="194" ht="28.5" customHeight="1">
      <c r="A194" s="26">
        <v>42046.0</v>
      </c>
      <c r="B194" s="18" t="s">
        <v>198</v>
      </c>
      <c r="C194" s="15" t="s">
        <v>199</v>
      </c>
      <c r="D194" s="15" t="s">
        <v>200</v>
      </c>
      <c r="E194" s="18" t="s">
        <v>77</v>
      </c>
      <c r="F194" s="15">
        <v>3.0</v>
      </c>
      <c r="G194" s="15" t="s">
        <v>295</v>
      </c>
      <c r="K194" s="15" t="s">
        <v>115</v>
      </c>
      <c r="L194" s="15" t="s">
        <v>306</v>
      </c>
      <c r="N194" s="15" t="s">
        <v>417</v>
      </c>
      <c r="O194" s="15" t="s">
        <v>413</v>
      </c>
    </row>
    <row r="195" ht="28.5" customHeight="1">
      <c r="A195" s="26">
        <v>42046.0</v>
      </c>
      <c r="B195" s="18" t="s">
        <v>198</v>
      </c>
      <c r="C195" s="15" t="s">
        <v>199</v>
      </c>
      <c r="D195" s="15" t="s">
        <v>200</v>
      </c>
      <c r="E195" s="18" t="s">
        <v>77</v>
      </c>
      <c r="F195" s="15">
        <v>3.0</v>
      </c>
      <c r="G195" s="15" t="s">
        <v>295</v>
      </c>
      <c r="K195" s="15" t="s">
        <v>115</v>
      </c>
      <c r="L195" s="15" t="s">
        <v>120</v>
      </c>
      <c r="N195" s="15" t="s">
        <v>489</v>
      </c>
      <c r="O195" s="15" t="s">
        <v>413</v>
      </c>
    </row>
    <row r="196" ht="28.5" customHeight="1">
      <c r="A196" s="26">
        <v>42046.0</v>
      </c>
      <c r="B196" s="18" t="s">
        <v>198</v>
      </c>
      <c r="C196" s="15" t="s">
        <v>199</v>
      </c>
      <c r="D196" s="15" t="s">
        <v>200</v>
      </c>
      <c r="E196" s="18" t="s">
        <v>77</v>
      </c>
      <c r="F196" s="15">
        <v>3.0</v>
      </c>
      <c r="G196" s="15" t="s">
        <v>295</v>
      </c>
      <c r="L196" s="15" t="s">
        <v>409</v>
      </c>
      <c r="M196" s="15" t="s">
        <v>115</v>
      </c>
      <c r="N196" s="15" t="s">
        <v>120</v>
      </c>
      <c r="O196" s="15" t="s">
        <v>413</v>
      </c>
    </row>
    <row r="197" ht="28.5" customHeight="1">
      <c r="A197" s="26">
        <v>42046.0</v>
      </c>
      <c r="B197" s="18" t="s">
        <v>198</v>
      </c>
      <c r="C197" s="15" t="s">
        <v>199</v>
      </c>
      <c r="D197" s="15" t="s">
        <v>200</v>
      </c>
      <c r="E197" s="18" t="s">
        <v>77</v>
      </c>
      <c r="F197" s="15">
        <v>3.0</v>
      </c>
      <c r="G197" s="15" t="s">
        <v>295</v>
      </c>
      <c r="K197" s="15" t="s">
        <v>115</v>
      </c>
      <c r="L197" s="15" t="s">
        <v>306</v>
      </c>
      <c r="N197" s="15" t="s">
        <v>385</v>
      </c>
      <c r="O197" s="15" t="s">
        <v>413</v>
      </c>
    </row>
    <row r="198" ht="28.5" customHeight="1">
      <c r="A198" s="26">
        <v>42046.0</v>
      </c>
      <c r="B198" s="18" t="s">
        <v>198</v>
      </c>
      <c r="C198" s="15" t="s">
        <v>199</v>
      </c>
      <c r="D198" s="15" t="s">
        <v>200</v>
      </c>
      <c r="E198" s="18" t="s">
        <v>77</v>
      </c>
      <c r="F198" s="15">
        <v>3.0</v>
      </c>
      <c r="G198" s="15" t="s">
        <v>295</v>
      </c>
      <c r="L198" s="15" t="s">
        <v>190</v>
      </c>
      <c r="M198" s="15" t="s">
        <v>115</v>
      </c>
      <c r="N198" s="15" t="s">
        <v>323</v>
      </c>
      <c r="O198" s="15" t="s">
        <v>413</v>
      </c>
    </row>
    <row r="199" ht="28.5" customHeight="1">
      <c r="A199" s="26">
        <v>42046.0</v>
      </c>
      <c r="B199" s="18" t="s">
        <v>198</v>
      </c>
      <c r="C199" s="15" t="s">
        <v>199</v>
      </c>
      <c r="D199" s="15" t="s">
        <v>200</v>
      </c>
      <c r="E199" s="18" t="s">
        <v>77</v>
      </c>
      <c r="F199" s="15">
        <v>3.0</v>
      </c>
      <c r="G199" s="15" t="s">
        <v>295</v>
      </c>
      <c r="M199" s="15" t="s">
        <v>115</v>
      </c>
      <c r="N199" s="15" t="s">
        <v>596</v>
      </c>
      <c r="O199" s="15" t="s">
        <v>413</v>
      </c>
    </row>
    <row r="200" ht="28.5" customHeight="1">
      <c r="A200" s="26">
        <v>42046.0</v>
      </c>
      <c r="B200" s="18" t="s">
        <v>198</v>
      </c>
      <c r="C200" s="15" t="s">
        <v>199</v>
      </c>
      <c r="D200" s="15" t="s">
        <v>200</v>
      </c>
      <c r="E200" s="18" t="s">
        <v>77</v>
      </c>
      <c r="F200" s="15">
        <v>3.0</v>
      </c>
      <c r="G200" s="15" t="s">
        <v>295</v>
      </c>
      <c r="L200" s="15" t="s">
        <v>334</v>
      </c>
      <c r="M200" s="15" t="s">
        <v>115</v>
      </c>
      <c r="N200" s="15" t="s">
        <v>122</v>
      </c>
      <c r="O200" s="15" t="s">
        <v>413</v>
      </c>
    </row>
    <row r="201" ht="28.5" customHeight="1">
      <c r="A201" s="26">
        <v>42046.0</v>
      </c>
      <c r="B201" s="18" t="s">
        <v>198</v>
      </c>
      <c r="C201" s="15" t="s">
        <v>199</v>
      </c>
      <c r="D201" s="15" t="s">
        <v>200</v>
      </c>
      <c r="E201" s="18" t="s">
        <v>77</v>
      </c>
      <c r="F201" s="15">
        <v>3.0</v>
      </c>
      <c r="G201" s="15" t="s">
        <v>295</v>
      </c>
      <c r="L201" s="15" t="s">
        <v>425</v>
      </c>
      <c r="M201" s="15" t="s">
        <v>115</v>
      </c>
      <c r="N201" s="15" t="s">
        <v>323</v>
      </c>
      <c r="O201" s="15" t="s">
        <v>413</v>
      </c>
    </row>
    <row r="202" ht="28.5" customHeight="1">
      <c r="A202" s="14">
        <v>42041.0</v>
      </c>
      <c r="B202" s="15" t="s">
        <v>143</v>
      </c>
      <c r="C202" s="15" t="s">
        <v>144</v>
      </c>
      <c r="D202" s="15" t="s">
        <v>145</v>
      </c>
      <c r="E202" s="15" t="s">
        <v>146</v>
      </c>
      <c r="F202" s="15">
        <v>4.0</v>
      </c>
      <c r="G202" s="15" t="s">
        <v>147</v>
      </c>
      <c r="H202" s="15" t="s">
        <v>113</v>
      </c>
      <c r="I202" s="15" t="s">
        <v>113</v>
      </c>
      <c r="J202" s="15" t="s">
        <v>113</v>
      </c>
      <c r="K202" s="15" t="s">
        <v>115</v>
      </c>
      <c r="L202" s="15" t="s">
        <v>854</v>
      </c>
      <c r="M202" s="15" t="s">
        <v>113</v>
      </c>
      <c r="N202" s="15">
        <v>0.0</v>
      </c>
      <c r="O202" s="15" t="s">
        <v>122</v>
      </c>
      <c r="P202" s="15" t="s">
        <v>855</v>
      </c>
    </row>
    <row r="203" ht="28.5" customHeight="1">
      <c r="A203" s="24">
        <v>42046.0</v>
      </c>
      <c r="B203" s="18" t="s">
        <v>102</v>
      </c>
      <c r="C203" s="18" t="s">
        <v>104</v>
      </c>
      <c r="D203" s="18" t="s">
        <v>185</v>
      </c>
      <c r="E203" s="18" t="s">
        <v>77</v>
      </c>
      <c r="F203" s="15">
        <v>4.0</v>
      </c>
      <c r="G203" s="15" t="s">
        <v>147</v>
      </c>
      <c r="K203" s="15" t="s">
        <v>148</v>
      </c>
      <c r="L203" s="15" t="s">
        <v>463</v>
      </c>
      <c r="M203" s="15" t="s">
        <v>115</v>
      </c>
      <c r="O203" s="15" t="s">
        <v>122</v>
      </c>
    </row>
    <row r="204" ht="28.5" customHeight="1">
      <c r="A204" s="24">
        <v>42046.0</v>
      </c>
      <c r="B204" s="18" t="s">
        <v>102</v>
      </c>
      <c r="C204" s="18" t="s">
        <v>104</v>
      </c>
      <c r="D204" s="18" t="s">
        <v>185</v>
      </c>
      <c r="E204" s="18" t="s">
        <v>77</v>
      </c>
      <c r="F204" s="15">
        <v>4.0</v>
      </c>
      <c r="G204" s="15" t="s">
        <v>147</v>
      </c>
      <c r="I204" s="15" t="s">
        <v>463</v>
      </c>
      <c r="K204" s="15" t="s">
        <v>115</v>
      </c>
      <c r="L204" s="15" t="s">
        <v>534</v>
      </c>
      <c r="M204" s="15" t="s">
        <v>862</v>
      </c>
      <c r="N204" s="15" t="s">
        <v>489</v>
      </c>
      <c r="O204" s="15" t="s">
        <v>122</v>
      </c>
    </row>
    <row r="205" ht="28.5" customHeight="1">
      <c r="A205" s="26">
        <v>42045.0</v>
      </c>
      <c r="B205" s="18" t="s">
        <v>231</v>
      </c>
      <c r="C205" s="15" t="s">
        <v>232</v>
      </c>
      <c r="D205" s="15" t="s">
        <v>866</v>
      </c>
      <c r="E205" s="18" t="s">
        <v>269</v>
      </c>
      <c r="F205" s="15">
        <v>4.0</v>
      </c>
      <c r="G205" s="15" t="s">
        <v>147</v>
      </c>
      <c r="H205" s="15" t="s">
        <v>483</v>
      </c>
      <c r="I205" s="15" t="s">
        <v>484</v>
      </c>
      <c r="K205" s="15" t="s">
        <v>148</v>
      </c>
      <c r="L205" s="15" t="s">
        <v>485</v>
      </c>
      <c r="M205" s="15" t="s">
        <v>115</v>
      </c>
      <c r="N205" s="15" t="s">
        <v>486</v>
      </c>
      <c r="O205" s="15" t="s">
        <v>130</v>
      </c>
      <c r="P205" s="15" t="s">
        <v>487</v>
      </c>
    </row>
    <row r="206" ht="28.5" customHeight="1">
      <c r="A206" s="24">
        <v>42045.0</v>
      </c>
      <c r="B206" s="18" t="s">
        <v>102</v>
      </c>
      <c r="C206" s="18" t="s">
        <v>104</v>
      </c>
      <c r="D206" s="18" t="s">
        <v>105</v>
      </c>
      <c r="E206" s="18" t="s">
        <v>77</v>
      </c>
      <c r="F206" s="15">
        <v>4.0</v>
      </c>
      <c r="G206" s="15" t="s">
        <v>295</v>
      </c>
      <c r="K206" s="15" t="s">
        <v>880</v>
      </c>
      <c r="M206" s="15" t="s">
        <v>881</v>
      </c>
      <c r="O206" s="15" t="s">
        <v>122</v>
      </c>
    </row>
    <row r="207" ht="28.5" customHeight="1">
      <c r="A207" s="24">
        <v>42046.0</v>
      </c>
      <c r="B207" s="18" t="s">
        <v>102</v>
      </c>
      <c r="C207" s="18" t="s">
        <v>104</v>
      </c>
      <c r="D207" s="18" t="s">
        <v>185</v>
      </c>
      <c r="E207" s="18" t="s">
        <v>77</v>
      </c>
      <c r="F207" s="15">
        <v>4.0</v>
      </c>
      <c r="G207" s="15" t="s">
        <v>295</v>
      </c>
      <c r="K207" s="15" t="s">
        <v>115</v>
      </c>
      <c r="L207" s="15" t="s">
        <v>162</v>
      </c>
      <c r="N207" s="15" t="s">
        <v>337</v>
      </c>
      <c r="O207" s="15" t="s">
        <v>122</v>
      </c>
    </row>
    <row r="208" ht="28.5" customHeight="1">
      <c r="A208" s="24">
        <v>42047.0</v>
      </c>
      <c r="B208" s="18" t="s">
        <v>117</v>
      </c>
      <c r="C208" s="18" t="s">
        <v>104</v>
      </c>
      <c r="D208" s="18" t="s">
        <v>123</v>
      </c>
      <c r="E208" s="18" t="s">
        <v>119</v>
      </c>
      <c r="F208" s="15">
        <v>4.0</v>
      </c>
      <c r="G208" s="15" t="s">
        <v>295</v>
      </c>
      <c r="L208" s="15" t="s">
        <v>538</v>
      </c>
      <c r="M208" s="15" t="s">
        <v>115</v>
      </c>
      <c r="N208" s="15" t="s">
        <v>306</v>
      </c>
      <c r="O208" s="15" t="s">
        <v>122</v>
      </c>
    </row>
    <row r="209" ht="28.5" customHeight="1">
      <c r="A209" s="24">
        <v>42047.0</v>
      </c>
      <c r="B209" s="18" t="s">
        <v>117</v>
      </c>
      <c r="C209" s="18" t="s">
        <v>104</v>
      </c>
      <c r="D209" s="18" t="s">
        <v>123</v>
      </c>
      <c r="E209" s="18" t="s">
        <v>119</v>
      </c>
      <c r="F209" s="15">
        <v>4.0</v>
      </c>
      <c r="G209" s="15" t="s">
        <v>295</v>
      </c>
      <c r="K209" s="15" t="s">
        <v>115</v>
      </c>
      <c r="L209" s="15" t="s">
        <v>120</v>
      </c>
      <c r="N209" s="15" t="s">
        <v>412</v>
      </c>
      <c r="O209" s="15" t="s">
        <v>122</v>
      </c>
    </row>
    <row r="210" ht="28.5" customHeight="1">
      <c r="A210" s="14">
        <v>42041.0</v>
      </c>
      <c r="B210" s="18" t="s">
        <v>102</v>
      </c>
      <c r="C210" s="18" t="s">
        <v>104</v>
      </c>
      <c r="D210" s="15" t="s">
        <v>475</v>
      </c>
      <c r="E210" s="15" t="s">
        <v>269</v>
      </c>
      <c r="F210" s="15">
        <v>4.0</v>
      </c>
      <c r="G210" s="15" t="s">
        <v>295</v>
      </c>
      <c r="K210" s="15" t="s">
        <v>115</v>
      </c>
      <c r="L210" s="15" t="s">
        <v>655</v>
      </c>
      <c r="N210" s="15" t="s">
        <v>122</v>
      </c>
      <c r="O210" s="15" t="s">
        <v>122</v>
      </c>
    </row>
    <row r="211" ht="28.5" customHeight="1">
      <c r="A211" s="14">
        <v>42041.0</v>
      </c>
      <c r="B211" s="18" t="s">
        <v>102</v>
      </c>
      <c r="C211" s="18" t="s">
        <v>104</v>
      </c>
      <c r="D211" s="15" t="s">
        <v>475</v>
      </c>
      <c r="E211" s="15" t="s">
        <v>269</v>
      </c>
      <c r="F211" s="15">
        <v>4.0</v>
      </c>
      <c r="G211" s="15" t="s">
        <v>295</v>
      </c>
      <c r="K211" s="15" t="s">
        <v>115</v>
      </c>
      <c r="L211" s="15" t="s">
        <v>162</v>
      </c>
      <c r="N211" s="15" t="s">
        <v>414</v>
      </c>
      <c r="O211" s="15" t="s">
        <v>122</v>
      </c>
    </row>
    <row r="212" ht="28.5" customHeight="1">
      <c r="A212" s="14">
        <v>42041.0</v>
      </c>
      <c r="B212" s="18" t="s">
        <v>102</v>
      </c>
      <c r="C212" s="18" t="s">
        <v>104</v>
      </c>
      <c r="D212" s="15" t="s">
        <v>475</v>
      </c>
      <c r="E212" s="15" t="s">
        <v>269</v>
      </c>
      <c r="F212" s="15">
        <v>4.0</v>
      </c>
      <c r="G212" s="15" t="s">
        <v>295</v>
      </c>
      <c r="L212" s="15" t="s">
        <v>520</v>
      </c>
      <c r="M212" s="15" t="s">
        <v>115</v>
      </c>
      <c r="N212" s="15" t="s">
        <v>306</v>
      </c>
      <c r="O212" s="15" t="s">
        <v>122</v>
      </c>
    </row>
    <row r="213" ht="28.5" customHeight="1">
      <c r="A213" s="14">
        <v>42041.0</v>
      </c>
      <c r="B213" s="18" t="s">
        <v>102</v>
      </c>
      <c r="C213" s="18" t="s">
        <v>104</v>
      </c>
      <c r="D213" s="15" t="s">
        <v>475</v>
      </c>
      <c r="E213" s="15" t="s">
        <v>269</v>
      </c>
      <c r="F213" s="15">
        <v>4.0</v>
      </c>
      <c r="G213" s="15" t="s">
        <v>295</v>
      </c>
      <c r="K213" s="15" t="s">
        <v>115</v>
      </c>
      <c r="L213" s="15" t="s">
        <v>122</v>
      </c>
      <c r="N213" s="15" t="s">
        <v>213</v>
      </c>
      <c r="O213" s="15" t="s">
        <v>122</v>
      </c>
    </row>
    <row r="214" ht="28.5" customHeight="1">
      <c r="A214" s="14">
        <v>42041.0</v>
      </c>
      <c r="B214" s="18" t="s">
        <v>102</v>
      </c>
      <c r="C214" s="18" t="s">
        <v>104</v>
      </c>
      <c r="D214" s="15" t="s">
        <v>475</v>
      </c>
      <c r="E214" s="15" t="s">
        <v>269</v>
      </c>
      <c r="F214" s="15">
        <v>4.0</v>
      </c>
      <c r="G214" s="15" t="s">
        <v>295</v>
      </c>
      <c r="K214" s="15" t="s">
        <v>115</v>
      </c>
      <c r="L214" s="15" t="s">
        <v>162</v>
      </c>
      <c r="N214" s="15" t="s">
        <v>350</v>
      </c>
      <c r="O214" s="15" t="s">
        <v>122</v>
      </c>
    </row>
    <row r="215" ht="28.5" customHeight="1">
      <c r="A215" s="14">
        <v>42041.0</v>
      </c>
      <c r="B215" s="18" t="s">
        <v>102</v>
      </c>
      <c r="C215" s="18" t="s">
        <v>104</v>
      </c>
      <c r="D215" s="15" t="s">
        <v>475</v>
      </c>
      <c r="E215" s="15" t="s">
        <v>269</v>
      </c>
      <c r="F215" s="15">
        <v>4.0</v>
      </c>
      <c r="G215" s="15" t="s">
        <v>295</v>
      </c>
      <c r="K215" s="15" t="s">
        <v>115</v>
      </c>
      <c r="L215" s="15" t="s">
        <v>162</v>
      </c>
      <c r="N215" s="15" t="s">
        <v>396</v>
      </c>
      <c r="O215" s="15" t="s">
        <v>122</v>
      </c>
    </row>
    <row r="216" ht="28.5" customHeight="1">
      <c r="A216" s="14">
        <v>42041.0</v>
      </c>
      <c r="B216" s="18" t="s">
        <v>102</v>
      </c>
      <c r="C216" s="18" t="s">
        <v>104</v>
      </c>
      <c r="D216" s="15" t="s">
        <v>475</v>
      </c>
      <c r="E216" s="15" t="s">
        <v>269</v>
      </c>
      <c r="F216" s="15">
        <v>4.0</v>
      </c>
      <c r="G216" s="15" t="s">
        <v>295</v>
      </c>
      <c r="K216" s="15" t="s">
        <v>162</v>
      </c>
      <c r="L216" s="15" t="s">
        <v>170</v>
      </c>
      <c r="M216" s="15" t="s">
        <v>115</v>
      </c>
      <c r="O216" s="15" t="s">
        <v>122</v>
      </c>
    </row>
    <row r="217" ht="28.5" customHeight="1">
      <c r="A217" s="14">
        <v>42041.0</v>
      </c>
      <c r="B217" s="18" t="s">
        <v>102</v>
      </c>
      <c r="C217" s="18" t="s">
        <v>104</v>
      </c>
      <c r="D217" s="15" t="s">
        <v>475</v>
      </c>
      <c r="E217" s="15" t="s">
        <v>269</v>
      </c>
      <c r="F217" s="15">
        <v>4.0</v>
      </c>
      <c r="G217" s="15" t="s">
        <v>295</v>
      </c>
      <c r="L217" s="15" t="s">
        <v>414</v>
      </c>
      <c r="M217" s="15" t="s">
        <v>115</v>
      </c>
      <c r="O217" s="15" t="s">
        <v>122</v>
      </c>
    </row>
    <row r="218" ht="28.5" customHeight="1">
      <c r="A218" s="14">
        <v>42041.0</v>
      </c>
      <c r="B218" s="18" t="s">
        <v>102</v>
      </c>
      <c r="C218" s="18" t="s">
        <v>104</v>
      </c>
      <c r="D218" s="15" t="s">
        <v>475</v>
      </c>
      <c r="E218" s="15" t="s">
        <v>269</v>
      </c>
      <c r="F218" s="15">
        <v>4.0</v>
      </c>
      <c r="G218" s="15" t="s">
        <v>295</v>
      </c>
      <c r="K218" s="15" t="s">
        <v>115</v>
      </c>
      <c r="L218" s="15" t="s">
        <v>162</v>
      </c>
      <c r="N218" s="15" t="s">
        <v>822</v>
      </c>
      <c r="O218" s="15" t="s">
        <v>122</v>
      </c>
    </row>
    <row r="219" ht="28.5" customHeight="1">
      <c r="A219" s="14">
        <v>42041.0</v>
      </c>
      <c r="B219" s="18" t="s">
        <v>102</v>
      </c>
      <c r="C219" s="18" t="s">
        <v>104</v>
      </c>
      <c r="D219" s="15" t="s">
        <v>475</v>
      </c>
      <c r="E219" s="15" t="s">
        <v>269</v>
      </c>
      <c r="F219" s="15">
        <v>4.0</v>
      </c>
      <c r="G219" s="15" t="s">
        <v>295</v>
      </c>
      <c r="K219" s="15" t="s">
        <v>115</v>
      </c>
      <c r="L219" s="15" t="s">
        <v>122</v>
      </c>
      <c r="N219" s="15" t="s">
        <v>909</v>
      </c>
      <c r="O219" s="15" t="s">
        <v>122</v>
      </c>
    </row>
    <row r="220" ht="28.5" customHeight="1">
      <c r="A220" s="14">
        <v>42041.0</v>
      </c>
      <c r="B220" s="18" t="s">
        <v>102</v>
      </c>
      <c r="C220" s="18" t="s">
        <v>104</v>
      </c>
      <c r="D220" s="15" t="s">
        <v>475</v>
      </c>
      <c r="E220" s="15" t="s">
        <v>269</v>
      </c>
      <c r="F220" s="15">
        <v>4.0</v>
      </c>
      <c r="G220" s="15" t="s">
        <v>295</v>
      </c>
      <c r="L220" s="15" t="s">
        <v>551</v>
      </c>
      <c r="M220" s="15" t="s">
        <v>115</v>
      </c>
      <c r="N220" s="15" t="s">
        <v>162</v>
      </c>
      <c r="O220" s="15" t="s">
        <v>122</v>
      </c>
    </row>
    <row r="221" ht="28.5" customHeight="1">
      <c r="A221" s="14">
        <v>42041.0</v>
      </c>
      <c r="B221" s="18" t="s">
        <v>102</v>
      </c>
      <c r="C221" s="18" t="s">
        <v>104</v>
      </c>
      <c r="D221" s="15" t="s">
        <v>475</v>
      </c>
      <c r="E221" s="15" t="s">
        <v>269</v>
      </c>
      <c r="F221" s="15">
        <v>4.0</v>
      </c>
      <c r="G221" s="15" t="s">
        <v>295</v>
      </c>
      <c r="L221" s="15" t="s">
        <v>189</v>
      </c>
      <c r="M221" s="15" t="s">
        <v>115</v>
      </c>
      <c r="N221" s="15" t="s">
        <v>162</v>
      </c>
      <c r="O221" s="15" t="s">
        <v>122</v>
      </c>
    </row>
    <row r="222" ht="28.5" customHeight="1">
      <c r="A222" s="14">
        <v>42041.0</v>
      </c>
      <c r="B222" s="18" t="s">
        <v>102</v>
      </c>
      <c r="C222" s="18" t="s">
        <v>104</v>
      </c>
      <c r="D222" s="15" t="s">
        <v>475</v>
      </c>
      <c r="E222" s="15" t="s">
        <v>269</v>
      </c>
      <c r="F222" s="15">
        <v>4.0</v>
      </c>
      <c r="G222" s="15" t="s">
        <v>295</v>
      </c>
      <c r="L222" s="15" t="s">
        <v>650</v>
      </c>
      <c r="M222" s="15" t="s">
        <v>115</v>
      </c>
      <c r="N222" s="15" t="s">
        <v>162</v>
      </c>
      <c r="O222" s="15" t="s">
        <v>122</v>
      </c>
    </row>
    <row r="223" ht="28.5" customHeight="1">
      <c r="A223" s="14">
        <v>42041.0</v>
      </c>
      <c r="B223" s="18" t="s">
        <v>102</v>
      </c>
      <c r="C223" s="18" t="s">
        <v>104</v>
      </c>
      <c r="D223" s="15" t="s">
        <v>475</v>
      </c>
      <c r="E223" s="15" t="s">
        <v>269</v>
      </c>
      <c r="F223" s="15">
        <v>4.0</v>
      </c>
      <c r="G223" s="15" t="s">
        <v>295</v>
      </c>
      <c r="L223" s="15" t="s">
        <v>115</v>
      </c>
      <c r="N223" s="15" t="s">
        <v>323</v>
      </c>
      <c r="O223" s="15" t="s">
        <v>122</v>
      </c>
      <c r="P223" s="15" t="s">
        <v>917</v>
      </c>
    </row>
    <row r="224" ht="28.5" customHeight="1">
      <c r="A224" s="14">
        <v>42041.0</v>
      </c>
      <c r="B224" s="18" t="s">
        <v>102</v>
      </c>
      <c r="C224" s="18" t="s">
        <v>104</v>
      </c>
      <c r="D224" s="15" t="s">
        <v>475</v>
      </c>
      <c r="E224" s="15" t="s">
        <v>269</v>
      </c>
      <c r="F224" s="15">
        <v>4.0</v>
      </c>
      <c r="G224" s="15" t="s">
        <v>295</v>
      </c>
      <c r="L224" s="15" t="s">
        <v>538</v>
      </c>
      <c r="M224" s="15" t="s">
        <v>115</v>
      </c>
      <c r="N224" s="15" t="s">
        <v>120</v>
      </c>
      <c r="O224" s="15" t="s">
        <v>122</v>
      </c>
    </row>
    <row r="225" ht="28.5" customHeight="1">
      <c r="A225" s="14">
        <v>42041.0</v>
      </c>
      <c r="B225" s="18" t="s">
        <v>102</v>
      </c>
      <c r="C225" s="18" t="s">
        <v>104</v>
      </c>
      <c r="D225" s="15" t="s">
        <v>475</v>
      </c>
      <c r="E225" s="15" t="s">
        <v>269</v>
      </c>
      <c r="F225" s="15">
        <v>4.0</v>
      </c>
      <c r="G225" s="15" t="s">
        <v>295</v>
      </c>
      <c r="L225" s="15" t="s">
        <v>724</v>
      </c>
      <c r="M225" s="15" t="s">
        <v>115</v>
      </c>
      <c r="N225" s="15" t="s">
        <v>162</v>
      </c>
      <c r="O225" s="15" t="s">
        <v>122</v>
      </c>
    </row>
    <row r="226" ht="28.5" customHeight="1">
      <c r="A226" s="14">
        <v>42041.0</v>
      </c>
      <c r="B226" s="18" t="s">
        <v>102</v>
      </c>
      <c r="C226" s="18" t="s">
        <v>104</v>
      </c>
      <c r="D226" s="15" t="s">
        <v>475</v>
      </c>
      <c r="E226" s="15" t="s">
        <v>269</v>
      </c>
      <c r="F226" s="15">
        <v>4.0</v>
      </c>
      <c r="G226" s="15" t="s">
        <v>295</v>
      </c>
      <c r="L226" s="15" t="s">
        <v>572</v>
      </c>
      <c r="M226" s="15" t="s">
        <v>115</v>
      </c>
      <c r="N226" s="15" t="s">
        <v>162</v>
      </c>
      <c r="O226" s="15" t="s">
        <v>122</v>
      </c>
    </row>
    <row r="227" ht="28.5" customHeight="1">
      <c r="A227" s="14">
        <v>42041.0</v>
      </c>
      <c r="B227" s="18" t="s">
        <v>102</v>
      </c>
      <c r="C227" s="18" t="s">
        <v>104</v>
      </c>
      <c r="D227" s="15" t="s">
        <v>475</v>
      </c>
      <c r="E227" s="15" t="s">
        <v>269</v>
      </c>
      <c r="F227" s="15">
        <v>4.0</v>
      </c>
      <c r="G227" s="15" t="s">
        <v>295</v>
      </c>
      <c r="L227" s="15" t="s">
        <v>323</v>
      </c>
      <c r="M227" s="15" t="s">
        <v>115</v>
      </c>
      <c r="N227" s="15" t="s">
        <v>334</v>
      </c>
      <c r="O227" s="15" t="s">
        <v>122</v>
      </c>
    </row>
    <row r="228" ht="28.5" customHeight="1">
      <c r="A228" s="14">
        <v>42041.0</v>
      </c>
      <c r="B228" s="18" t="s">
        <v>102</v>
      </c>
      <c r="C228" s="18" t="s">
        <v>104</v>
      </c>
      <c r="D228" s="15" t="s">
        <v>475</v>
      </c>
      <c r="E228" s="15" t="s">
        <v>269</v>
      </c>
      <c r="F228" s="15">
        <v>4.0</v>
      </c>
      <c r="G228" s="15" t="s">
        <v>295</v>
      </c>
      <c r="K228" s="15" t="s">
        <v>115</v>
      </c>
      <c r="L228" s="15" t="s">
        <v>162</v>
      </c>
      <c r="N228" s="15" t="s">
        <v>655</v>
      </c>
      <c r="O228" s="15" t="s">
        <v>122</v>
      </c>
    </row>
    <row r="229" ht="28.5" customHeight="1">
      <c r="A229" s="14">
        <v>42046.0</v>
      </c>
      <c r="B229" s="15" t="s">
        <v>377</v>
      </c>
      <c r="C229" s="15" t="s">
        <v>378</v>
      </c>
      <c r="D229" s="15" t="s">
        <v>379</v>
      </c>
      <c r="E229" s="15" t="s">
        <v>208</v>
      </c>
      <c r="F229" s="15">
        <v>4.0</v>
      </c>
      <c r="G229" s="15" t="s">
        <v>295</v>
      </c>
      <c r="H229" s="15" t="s">
        <v>113</v>
      </c>
      <c r="I229" s="15" t="s">
        <v>113</v>
      </c>
      <c r="J229" s="15" t="s">
        <v>113</v>
      </c>
      <c r="K229" s="15" t="s">
        <v>489</v>
      </c>
      <c r="L229" s="15" t="s">
        <v>113</v>
      </c>
      <c r="M229" s="15" t="s">
        <v>551</v>
      </c>
      <c r="N229" s="15" t="s">
        <v>113</v>
      </c>
      <c r="O229" s="15" t="s">
        <v>130</v>
      </c>
    </row>
    <row r="230" ht="28.5" customHeight="1">
      <c r="A230" s="14">
        <v>42046.0</v>
      </c>
      <c r="B230" s="15" t="s">
        <v>377</v>
      </c>
      <c r="C230" s="15" t="s">
        <v>378</v>
      </c>
      <c r="D230" s="15" t="s">
        <v>379</v>
      </c>
      <c r="E230" s="15" t="s">
        <v>208</v>
      </c>
      <c r="F230" s="15">
        <v>4.0</v>
      </c>
      <c r="G230" s="15" t="s">
        <v>295</v>
      </c>
      <c r="H230" s="15" t="s">
        <v>113</v>
      </c>
      <c r="I230" s="15" t="s">
        <v>113</v>
      </c>
      <c r="J230" s="15" t="s">
        <v>113</v>
      </c>
      <c r="K230" s="15" t="s">
        <v>189</v>
      </c>
      <c r="L230" s="15" t="s">
        <v>113</v>
      </c>
      <c r="M230" s="15" t="s">
        <v>374</v>
      </c>
      <c r="N230" s="15" t="s">
        <v>113</v>
      </c>
      <c r="O230" s="15" t="s">
        <v>130</v>
      </c>
    </row>
    <row r="231" ht="28.5" customHeight="1">
      <c r="A231" s="14">
        <v>42046.0</v>
      </c>
      <c r="B231" s="15" t="s">
        <v>377</v>
      </c>
      <c r="C231" s="15" t="s">
        <v>378</v>
      </c>
      <c r="D231" s="15" t="s">
        <v>379</v>
      </c>
      <c r="E231" s="15" t="s">
        <v>208</v>
      </c>
      <c r="F231" s="15">
        <v>4.0</v>
      </c>
      <c r="G231" s="15" t="s">
        <v>295</v>
      </c>
      <c r="H231" s="15" t="s">
        <v>113</v>
      </c>
      <c r="I231" s="15" t="s">
        <v>113</v>
      </c>
      <c r="J231" s="15" t="s">
        <v>113</v>
      </c>
      <c r="K231" s="15" t="s">
        <v>547</v>
      </c>
      <c r="L231" s="15" t="s">
        <v>113</v>
      </c>
      <c r="M231" s="15" t="s">
        <v>655</v>
      </c>
      <c r="N231" s="15" t="s">
        <v>113</v>
      </c>
      <c r="O231" s="15" t="s">
        <v>130</v>
      </c>
    </row>
    <row r="232" ht="28.5" customHeight="1">
      <c r="A232" s="14">
        <v>42046.0</v>
      </c>
      <c r="B232" s="15" t="s">
        <v>577</v>
      </c>
      <c r="C232" s="15" t="s">
        <v>394</v>
      </c>
      <c r="D232" s="15" t="s">
        <v>937</v>
      </c>
      <c r="E232" s="15" t="s">
        <v>253</v>
      </c>
      <c r="F232" s="15">
        <v>4.0</v>
      </c>
      <c r="G232" s="15" t="s">
        <v>295</v>
      </c>
      <c r="L232" s="15" t="s">
        <v>385</v>
      </c>
      <c r="M232" s="15" t="s">
        <v>115</v>
      </c>
      <c r="N232" s="15" t="s">
        <v>323</v>
      </c>
      <c r="O232" s="15" t="s">
        <v>130</v>
      </c>
    </row>
    <row r="233" ht="28.5" customHeight="1">
      <c r="A233" s="26">
        <v>42045.0</v>
      </c>
      <c r="B233" s="18" t="s">
        <v>157</v>
      </c>
      <c r="C233" s="15" t="s">
        <v>158</v>
      </c>
      <c r="D233" s="15" t="s">
        <v>940</v>
      </c>
      <c r="E233" s="18" t="s">
        <v>77</v>
      </c>
      <c r="F233" s="15">
        <v>4.0</v>
      </c>
      <c r="G233" s="15" t="s">
        <v>295</v>
      </c>
      <c r="K233" s="15" t="s">
        <v>115</v>
      </c>
      <c r="L233" s="15" t="s">
        <v>120</v>
      </c>
      <c r="M233" s="15" t="s">
        <v>162</v>
      </c>
      <c r="N233" s="15" t="s">
        <v>323</v>
      </c>
      <c r="O233" s="15" t="s">
        <v>130</v>
      </c>
    </row>
    <row r="234" ht="28.5" customHeight="1">
      <c r="A234" s="26">
        <v>42047.0</v>
      </c>
      <c r="B234" s="18" t="s">
        <v>157</v>
      </c>
      <c r="C234" s="15" t="s">
        <v>433</v>
      </c>
      <c r="D234" s="15" t="s">
        <v>610</v>
      </c>
      <c r="E234" s="18" t="s">
        <v>269</v>
      </c>
      <c r="F234" s="15">
        <v>4.0</v>
      </c>
      <c r="G234" s="15" t="s">
        <v>295</v>
      </c>
      <c r="K234" s="15" t="s">
        <v>113</v>
      </c>
      <c r="L234" s="15" t="s">
        <v>148</v>
      </c>
      <c r="M234" s="15" t="s">
        <v>115</v>
      </c>
      <c r="N234" s="15" t="s">
        <v>113</v>
      </c>
      <c r="O234" s="15" t="s">
        <v>130</v>
      </c>
    </row>
    <row r="235" ht="28.5" customHeight="1">
      <c r="A235" s="24">
        <v>42046.0</v>
      </c>
      <c r="B235" s="15" t="s">
        <v>500</v>
      </c>
      <c r="C235" s="18" t="s">
        <v>501</v>
      </c>
      <c r="D235" s="18" t="s">
        <v>502</v>
      </c>
      <c r="E235" s="18" t="s">
        <v>119</v>
      </c>
      <c r="F235" s="15">
        <v>5.0</v>
      </c>
      <c r="G235" s="15" t="s">
        <v>147</v>
      </c>
      <c r="I235" s="15" t="s">
        <v>635</v>
      </c>
      <c r="K235" s="15" t="s">
        <v>635</v>
      </c>
      <c r="L235" s="15" t="s">
        <v>520</v>
      </c>
      <c r="M235" s="15" t="s">
        <v>115</v>
      </c>
      <c r="N235" s="15" t="s">
        <v>306</v>
      </c>
      <c r="O235" s="15" t="s">
        <v>122</v>
      </c>
      <c r="P235" s="15" t="s">
        <v>949</v>
      </c>
    </row>
    <row r="236" ht="28.5" customHeight="1">
      <c r="A236" s="24">
        <v>42046.0</v>
      </c>
      <c r="B236" s="15" t="s">
        <v>500</v>
      </c>
      <c r="C236" s="18" t="s">
        <v>501</v>
      </c>
      <c r="D236" s="18" t="s">
        <v>502</v>
      </c>
      <c r="E236" s="18" t="s">
        <v>119</v>
      </c>
      <c r="F236" s="15">
        <v>5.0</v>
      </c>
      <c r="G236" s="15" t="s">
        <v>147</v>
      </c>
      <c r="I236" s="15" t="s">
        <v>193</v>
      </c>
      <c r="K236" s="15" t="s">
        <v>113</v>
      </c>
      <c r="L236" s="15" t="s">
        <v>170</v>
      </c>
      <c r="M236" s="15" t="s">
        <v>193</v>
      </c>
      <c r="N236" s="15" t="s">
        <v>230</v>
      </c>
      <c r="O236" s="15" t="s">
        <v>122</v>
      </c>
      <c r="P236" s="15" t="s">
        <v>949</v>
      </c>
    </row>
    <row r="237" ht="28.5" customHeight="1">
      <c r="A237" s="14">
        <v>42041.0</v>
      </c>
      <c r="B237" s="18" t="s">
        <v>102</v>
      </c>
      <c r="C237" s="18" t="s">
        <v>104</v>
      </c>
      <c r="D237" s="15" t="s">
        <v>475</v>
      </c>
      <c r="E237" s="15" t="s">
        <v>269</v>
      </c>
      <c r="F237" s="15">
        <v>5.0</v>
      </c>
      <c r="G237" s="15" t="s">
        <v>147</v>
      </c>
      <c r="I237" s="15" t="s">
        <v>170</v>
      </c>
      <c r="K237" s="15" t="s">
        <v>193</v>
      </c>
      <c r="L237" s="15" t="s">
        <v>330</v>
      </c>
      <c r="N237" s="15" t="s">
        <v>414</v>
      </c>
      <c r="O237" s="15" t="s">
        <v>122</v>
      </c>
    </row>
    <row r="238" ht="28.5" customHeight="1">
      <c r="A238" s="26">
        <v>42045.0</v>
      </c>
      <c r="B238" s="18" t="s">
        <v>231</v>
      </c>
      <c r="C238" s="15" t="s">
        <v>232</v>
      </c>
      <c r="D238" s="15" t="s">
        <v>866</v>
      </c>
      <c r="E238" s="18" t="s">
        <v>269</v>
      </c>
      <c r="F238" s="15">
        <v>5.0</v>
      </c>
      <c r="G238" s="15" t="s">
        <v>147</v>
      </c>
      <c r="H238" s="15" t="s">
        <v>488</v>
      </c>
      <c r="I238" s="15" t="s">
        <v>140</v>
      </c>
      <c r="J238" s="15" t="s">
        <v>129</v>
      </c>
      <c r="K238" s="15" t="s">
        <v>115</v>
      </c>
      <c r="L238" s="15" t="s">
        <v>489</v>
      </c>
      <c r="M238" s="15" t="s">
        <v>235</v>
      </c>
      <c r="N238" s="15" t="s">
        <v>473</v>
      </c>
      <c r="O238" s="15" t="s">
        <v>130</v>
      </c>
    </row>
    <row r="239" ht="28.5" customHeight="1">
      <c r="A239" s="14">
        <v>42045.0</v>
      </c>
      <c r="B239" s="18" t="s">
        <v>675</v>
      </c>
      <c r="C239" s="18" t="s">
        <v>676</v>
      </c>
      <c r="D239" s="15" t="s">
        <v>678</v>
      </c>
      <c r="E239" s="15" t="s">
        <v>679</v>
      </c>
      <c r="F239" s="15">
        <v>5.0</v>
      </c>
      <c r="G239" s="15" t="s">
        <v>259</v>
      </c>
      <c r="I239" s="15" t="s">
        <v>277</v>
      </c>
      <c r="K239" s="15" t="s">
        <v>277</v>
      </c>
      <c r="M239" s="15" t="s">
        <v>276</v>
      </c>
      <c r="O239" s="15" t="s">
        <v>685</v>
      </c>
      <c r="P239" s="15" t="s">
        <v>686</v>
      </c>
    </row>
    <row r="240" ht="28.5" customHeight="1">
      <c r="A240" s="24">
        <v>42046.0</v>
      </c>
      <c r="B240" s="15" t="s">
        <v>500</v>
      </c>
      <c r="C240" s="18" t="s">
        <v>501</v>
      </c>
      <c r="D240" s="18" t="s">
        <v>502</v>
      </c>
      <c r="E240" s="18" t="s">
        <v>119</v>
      </c>
      <c r="F240" s="15">
        <v>5.0</v>
      </c>
      <c r="G240" s="15" t="s">
        <v>295</v>
      </c>
      <c r="K240" s="15" t="s">
        <v>113</v>
      </c>
      <c r="L240" s="15" t="s">
        <v>358</v>
      </c>
      <c r="M240" s="15" t="s">
        <v>975</v>
      </c>
      <c r="N240" s="15" t="s">
        <v>120</v>
      </c>
      <c r="P240" s="15" t="s">
        <v>977</v>
      </c>
    </row>
    <row r="241" ht="28.5" customHeight="1">
      <c r="A241" s="24">
        <v>42047.0</v>
      </c>
      <c r="B241" s="18" t="s">
        <v>117</v>
      </c>
      <c r="C241" s="18" t="s">
        <v>104</v>
      </c>
      <c r="D241" s="18" t="s">
        <v>123</v>
      </c>
      <c r="E241" s="18" t="s">
        <v>119</v>
      </c>
      <c r="F241" s="15">
        <v>5.0</v>
      </c>
      <c r="G241" s="15" t="s">
        <v>295</v>
      </c>
      <c r="L241" s="15" t="s">
        <v>982</v>
      </c>
      <c r="N241" s="15" t="s">
        <v>489</v>
      </c>
      <c r="O241" s="15" t="s">
        <v>122</v>
      </c>
    </row>
    <row r="242" ht="28.5" customHeight="1">
      <c r="A242" s="14">
        <v>42041.0</v>
      </c>
      <c r="B242" s="18" t="s">
        <v>102</v>
      </c>
      <c r="C242" s="18" t="s">
        <v>104</v>
      </c>
      <c r="D242" s="15" t="s">
        <v>475</v>
      </c>
      <c r="E242" s="15" t="s">
        <v>269</v>
      </c>
      <c r="F242" s="15">
        <v>5.0</v>
      </c>
      <c r="G242" s="15" t="s">
        <v>295</v>
      </c>
      <c r="L242" s="15" t="s">
        <v>576</v>
      </c>
      <c r="M242" s="15" t="s">
        <v>115</v>
      </c>
      <c r="N242" s="15" t="s">
        <v>323</v>
      </c>
      <c r="O242" s="15" t="s">
        <v>122</v>
      </c>
    </row>
    <row r="243" ht="28.5" customHeight="1">
      <c r="A243" s="14">
        <v>42041.0</v>
      </c>
      <c r="B243" s="18" t="s">
        <v>102</v>
      </c>
      <c r="C243" s="18" t="s">
        <v>104</v>
      </c>
      <c r="D243" s="15" t="s">
        <v>475</v>
      </c>
      <c r="E243" s="15" t="s">
        <v>269</v>
      </c>
      <c r="F243" s="15">
        <v>5.0</v>
      </c>
      <c r="G243" s="15" t="s">
        <v>295</v>
      </c>
      <c r="L243" s="15" t="s">
        <v>473</v>
      </c>
      <c r="M243" s="15" t="s">
        <v>115</v>
      </c>
      <c r="N243" s="15" t="s">
        <v>323</v>
      </c>
      <c r="O243" s="15" t="s">
        <v>122</v>
      </c>
    </row>
    <row r="244" ht="28.5" customHeight="1">
      <c r="A244" s="14">
        <v>42041.0</v>
      </c>
      <c r="B244" s="18" t="s">
        <v>102</v>
      </c>
      <c r="C244" s="18" t="s">
        <v>104</v>
      </c>
      <c r="D244" s="15" t="s">
        <v>475</v>
      </c>
      <c r="E244" s="15" t="s">
        <v>269</v>
      </c>
      <c r="F244" s="15">
        <v>5.0</v>
      </c>
      <c r="G244" s="15" t="s">
        <v>295</v>
      </c>
      <c r="L244" s="15" t="s">
        <v>323</v>
      </c>
      <c r="M244" s="15" t="s">
        <v>115</v>
      </c>
      <c r="N244" s="15" t="s">
        <v>385</v>
      </c>
      <c r="O244" s="15" t="s">
        <v>122</v>
      </c>
    </row>
    <row r="245" ht="28.5" customHeight="1">
      <c r="A245" s="14">
        <v>42041.0</v>
      </c>
      <c r="B245" s="18" t="s">
        <v>102</v>
      </c>
      <c r="C245" s="18" t="s">
        <v>104</v>
      </c>
      <c r="D245" s="15" t="s">
        <v>475</v>
      </c>
      <c r="E245" s="15" t="s">
        <v>269</v>
      </c>
      <c r="F245" s="15">
        <v>5.0</v>
      </c>
      <c r="G245" s="15" t="s">
        <v>295</v>
      </c>
      <c r="L245" s="15" t="s">
        <v>992</v>
      </c>
      <c r="N245" s="15" t="s">
        <v>993</v>
      </c>
      <c r="O245" s="15" t="s">
        <v>122</v>
      </c>
    </row>
    <row r="246" ht="28.5" customHeight="1">
      <c r="A246" s="14">
        <v>42046.0</v>
      </c>
      <c r="B246" s="15" t="s">
        <v>377</v>
      </c>
      <c r="C246" s="15" t="s">
        <v>378</v>
      </c>
      <c r="D246" s="15" t="s">
        <v>379</v>
      </c>
      <c r="E246" s="15" t="s">
        <v>208</v>
      </c>
      <c r="F246" s="15">
        <v>5.0</v>
      </c>
      <c r="G246" s="15" t="s">
        <v>295</v>
      </c>
      <c r="H246" s="15" t="s">
        <v>113</v>
      </c>
      <c r="I246" s="15" t="s">
        <v>113</v>
      </c>
      <c r="J246" s="15" t="s">
        <v>113</v>
      </c>
      <c r="K246" s="15" t="s">
        <v>489</v>
      </c>
      <c r="L246" s="15" t="s">
        <v>113</v>
      </c>
      <c r="M246" s="15" t="s">
        <v>420</v>
      </c>
      <c r="N246" s="15" t="s">
        <v>113</v>
      </c>
      <c r="O246" s="15" t="s">
        <v>130</v>
      </c>
    </row>
    <row r="247" ht="28.5" customHeight="1">
      <c r="A247" s="14">
        <v>42046.0</v>
      </c>
      <c r="B247" s="15" t="s">
        <v>377</v>
      </c>
      <c r="C247" s="15" t="s">
        <v>378</v>
      </c>
      <c r="D247" s="15" t="s">
        <v>379</v>
      </c>
      <c r="E247" s="15" t="s">
        <v>208</v>
      </c>
      <c r="F247" s="15">
        <v>5.0</v>
      </c>
      <c r="G247" s="15" t="s">
        <v>295</v>
      </c>
      <c r="H247" s="15" t="s">
        <v>113</v>
      </c>
      <c r="I247" s="15" t="s">
        <v>113</v>
      </c>
      <c r="J247" s="15" t="s">
        <v>113</v>
      </c>
      <c r="K247" s="15" t="s">
        <v>358</v>
      </c>
      <c r="L247" s="15" t="s">
        <v>113</v>
      </c>
      <c r="M247" s="15" t="s">
        <v>541</v>
      </c>
      <c r="N247" s="15" t="s">
        <v>113</v>
      </c>
      <c r="O247" s="15" t="s">
        <v>130</v>
      </c>
    </row>
    <row r="248" ht="28.5" customHeight="1">
      <c r="A248" s="14">
        <v>42046.0</v>
      </c>
      <c r="B248" s="15" t="s">
        <v>377</v>
      </c>
      <c r="C248" s="15" t="s">
        <v>378</v>
      </c>
      <c r="D248" s="15" t="s">
        <v>379</v>
      </c>
      <c r="E248" s="15" t="s">
        <v>208</v>
      </c>
      <c r="F248" s="15">
        <v>5.0</v>
      </c>
      <c r="G248" s="15" t="s">
        <v>295</v>
      </c>
      <c r="H248" s="15" t="s">
        <v>113</v>
      </c>
      <c r="I248" s="15" t="s">
        <v>113</v>
      </c>
      <c r="J248" s="15" t="s">
        <v>113</v>
      </c>
      <c r="K248" s="15" t="s">
        <v>356</v>
      </c>
      <c r="L248" s="15" t="s">
        <v>113</v>
      </c>
      <c r="M248" s="15" t="s">
        <v>356</v>
      </c>
      <c r="N248" s="15" t="s">
        <v>113</v>
      </c>
      <c r="O248" s="15" t="s">
        <v>130</v>
      </c>
    </row>
    <row r="249" ht="28.5" customHeight="1">
      <c r="A249" s="14">
        <v>42046.0</v>
      </c>
      <c r="B249" s="15" t="s">
        <v>377</v>
      </c>
      <c r="C249" s="15" t="s">
        <v>378</v>
      </c>
      <c r="D249" s="15" t="s">
        <v>379</v>
      </c>
      <c r="E249" s="15" t="s">
        <v>208</v>
      </c>
      <c r="F249" s="15">
        <v>5.0</v>
      </c>
      <c r="G249" s="15" t="s">
        <v>295</v>
      </c>
      <c r="H249" s="15" t="s">
        <v>113</v>
      </c>
      <c r="I249" s="15" t="s">
        <v>113</v>
      </c>
      <c r="J249" s="15" t="s">
        <v>113</v>
      </c>
      <c r="K249" s="15" t="s">
        <v>541</v>
      </c>
      <c r="L249" s="15" t="s">
        <v>113</v>
      </c>
      <c r="M249" s="15" t="s">
        <v>389</v>
      </c>
      <c r="N249" s="15" t="s">
        <v>113</v>
      </c>
      <c r="O249" s="15" t="s">
        <v>130</v>
      </c>
    </row>
    <row r="250" ht="28.5" customHeight="1">
      <c r="A250" s="14">
        <v>42046.0</v>
      </c>
      <c r="B250" s="15" t="s">
        <v>377</v>
      </c>
      <c r="C250" s="15" t="s">
        <v>378</v>
      </c>
      <c r="D250" s="15" t="s">
        <v>379</v>
      </c>
      <c r="E250" s="15" t="s">
        <v>208</v>
      </c>
      <c r="F250" s="15">
        <v>5.0</v>
      </c>
      <c r="G250" s="15" t="s">
        <v>295</v>
      </c>
      <c r="H250" s="15" t="s">
        <v>113</v>
      </c>
      <c r="I250" s="15" t="s">
        <v>113</v>
      </c>
      <c r="J250" s="15" t="s">
        <v>113</v>
      </c>
      <c r="K250" s="15" t="s">
        <v>541</v>
      </c>
      <c r="L250" s="15" t="s">
        <v>113</v>
      </c>
      <c r="M250" s="15" t="s">
        <v>655</v>
      </c>
      <c r="N250" s="15" t="s">
        <v>113</v>
      </c>
      <c r="O250" s="15" t="s">
        <v>130</v>
      </c>
    </row>
    <row r="251" ht="28.5" customHeight="1">
      <c r="A251" s="14">
        <v>42046.0</v>
      </c>
      <c r="B251" s="15" t="s">
        <v>377</v>
      </c>
      <c r="C251" s="15" t="s">
        <v>378</v>
      </c>
      <c r="D251" s="15" t="s">
        <v>379</v>
      </c>
      <c r="E251" s="15" t="s">
        <v>208</v>
      </c>
      <c r="F251" s="15">
        <v>5.0</v>
      </c>
      <c r="G251" s="15" t="s">
        <v>295</v>
      </c>
      <c r="H251" s="15" t="s">
        <v>113</v>
      </c>
      <c r="I251" s="15" t="s">
        <v>113</v>
      </c>
      <c r="J251" s="15" t="s">
        <v>113</v>
      </c>
      <c r="K251" s="15" t="s">
        <v>115</v>
      </c>
      <c r="L251" s="15" t="s">
        <v>1026</v>
      </c>
      <c r="M251" s="15" t="s">
        <v>113</v>
      </c>
      <c r="N251" s="15" t="s">
        <v>170</v>
      </c>
      <c r="O251" s="15" t="s">
        <v>130</v>
      </c>
    </row>
    <row r="252" ht="28.5" customHeight="1">
      <c r="A252" s="14">
        <v>42043.0</v>
      </c>
      <c r="B252" s="15" t="s">
        <v>74</v>
      </c>
      <c r="C252" s="15" t="s">
        <v>75</v>
      </c>
      <c r="D252" s="15" t="s">
        <v>76</v>
      </c>
      <c r="E252" s="15" t="s">
        <v>77</v>
      </c>
      <c r="F252" s="15">
        <v>5.0</v>
      </c>
      <c r="G252" s="15" t="s">
        <v>295</v>
      </c>
      <c r="L252" s="15" t="s">
        <v>120</v>
      </c>
      <c r="M252" s="15" t="s">
        <v>115</v>
      </c>
      <c r="N252" s="15" t="s">
        <v>148</v>
      </c>
      <c r="O252" s="15" t="s">
        <v>130</v>
      </c>
      <c r="P252" s="15" t="s">
        <v>1038</v>
      </c>
    </row>
    <row r="253" ht="28.5" customHeight="1">
      <c r="A253" s="14">
        <v>42044.0</v>
      </c>
      <c r="B253" s="15" t="s">
        <v>74</v>
      </c>
      <c r="C253" s="15" t="s">
        <v>75</v>
      </c>
      <c r="D253" s="15" t="s">
        <v>82</v>
      </c>
      <c r="E253" s="15" t="s">
        <v>77</v>
      </c>
      <c r="F253" s="15">
        <v>5.0</v>
      </c>
      <c r="G253" s="15" t="s">
        <v>295</v>
      </c>
      <c r="K253" s="15" t="s">
        <v>115</v>
      </c>
      <c r="L253" s="15" t="s">
        <v>306</v>
      </c>
      <c r="N253" s="15" t="s">
        <v>330</v>
      </c>
      <c r="O253" s="15" t="s">
        <v>130</v>
      </c>
      <c r="P253" s="15" t="s">
        <v>1043</v>
      </c>
    </row>
    <row r="254" ht="28.5" customHeight="1">
      <c r="A254" s="14">
        <v>42044.0</v>
      </c>
      <c r="B254" s="15" t="s">
        <v>74</v>
      </c>
      <c r="C254" s="15" t="s">
        <v>75</v>
      </c>
      <c r="D254" s="15" t="s">
        <v>82</v>
      </c>
      <c r="E254" s="15" t="s">
        <v>77</v>
      </c>
      <c r="F254" s="15">
        <v>5.0</v>
      </c>
      <c r="G254" s="15" t="s">
        <v>295</v>
      </c>
      <c r="L254" s="15" t="s">
        <v>1046</v>
      </c>
      <c r="M254" s="15" t="s">
        <v>115</v>
      </c>
      <c r="N254" s="15" t="s">
        <v>162</v>
      </c>
      <c r="O254" s="15" t="s">
        <v>130</v>
      </c>
      <c r="P254" s="15" t="s">
        <v>1049</v>
      </c>
    </row>
    <row r="255" ht="28.5" customHeight="1">
      <c r="A255" s="14">
        <v>42044.0</v>
      </c>
      <c r="B255" s="15" t="s">
        <v>74</v>
      </c>
      <c r="C255" s="15" t="s">
        <v>75</v>
      </c>
      <c r="D255" s="15" t="s">
        <v>82</v>
      </c>
      <c r="E255" s="15" t="s">
        <v>77</v>
      </c>
      <c r="F255" s="15">
        <v>5.0</v>
      </c>
      <c r="G255" s="15" t="s">
        <v>295</v>
      </c>
      <c r="L255" s="15" t="s">
        <v>323</v>
      </c>
      <c r="M255" s="15" t="s">
        <v>115</v>
      </c>
      <c r="N255" s="15" t="s">
        <v>551</v>
      </c>
      <c r="O255" s="15" t="s">
        <v>130</v>
      </c>
      <c r="P255" s="15" t="s">
        <v>1057</v>
      </c>
    </row>
    <row r="256" ht="28.5" customHeight="1">
      <c r="A256" s="14">
        <v>42044.0</v>
      </c>
      <c r="B256" s="15" t="s">
        <v>74</v>
      </c>
      <c r="C256" s="15" t="s">
        <v>75</v>
      </c>
      <c r="D256" s="15" t="s">
        <v>82</v>
      </c>
      <c r="E256" s="15" t="s">
        <v>77</v>
      </c>
      <c r="F256" s="15">
        <v>5.0</v>
      </c>
      <c r="G256" s="15" t="s">
        <v>295</v>
      </c>
      <c r="L256" s="15" t="s">
        <v>194</v>
      </c>
      <c r="M256" s="15" t="s">
        <v>115</v>
      </c>
      <c r="N256" s="15" t="s">
        <v>120</v>
      </c>
      <c r="O256" s="15" t="s">
        <v>130</v>
      </c>
      <c r="P256" s="15" t="s">
        <v>1060</v>
      </c>
    </row>
    <row r="257" ht="28.5" customHeight="1">
      <c r="A257" s="14">
        <v>42044.0</v>
      </c>
      <c r="B257" s="15" t="s">
        <v>74</v>
      </c>
      <c r="C257" s="15" t="s">
        <v>75</v>
      </c>
      <c r="D257" s="15" t="s">
        <v>82</v>
      </c>
      <c r="E257" s="15" t="s">
        <v>77</v>
      </c>
      <c r="F257" s="15">
        <v>5.0</v>
      </c>
      <c r="G257" s="15" t="s">
        <v>295</v>
      </c>
      <c r="L257" s="15" t="s">
        <v>473</v>
      </c>
      <c r="M257" s="15" t="s">
        <v>115</v>
      </c>
      <c r="N257" s="15" t="s">
        <v>162</v>
      </c>
      <c r="O257" s="15" t="s">
        <v>130</v>
      </c>
      <c r="P257" s="15" t="s">
        <v>1065</v>
      </c>
    </row>
    <row r="258" ht="28.5" customHeight="1">
      <c r="A258" s="14">
        <v>42044.0</v>
      </c>
      <c r="B258" s="15" t="s">
        <v>74</v>
      </c>
      <c r="C258" s="15" t="s">
        <v>75</v>
      </c>
      <c r="D258" s="15" t="s">
        <v>82</v>
      </c>
      <c r="E258" s="15" t="s">
        <v>77</v>
      </c>
      <c r="F258" s="15">
        <v>5.0</v>
      </c>
      <c r="G258" s="15" t="s">
        <v>295</v>
      </c>
      <c r="L258" s="15" t="s">
        <v>120</v>
      </c>
      <c r="N258" s="15" t="s">
        <v>355</v>
      </c>
      <c r="O258" s="15" t="s">
        <v>130</v>
      </c>
      <c r="P258" s="15" t="s">
        <v>1069</v>
      </c>
    </row>
    <row r="259" ht="28.5" customHeight="1">
      <c r="A259" s="14">
        <v>42044.0</v>
      </c>
      <c r="B259" s="15" t="s">
        <v>74</v>
      </c>
      <c r="C259" s="15" t="s">
        <v>75</v>
      </c>
      <c r="D259" s="15" t="s">
        <v>82</v>
      </c>
      <c r="E259" s="15" t="s">
        <v>77</v>
      </c>
      <c r="F259" s="15">
        <v>5.0</v>
      </c>
      <c r="G259" s="15" t="s">
        <v>295</v>
      </c>
      <c r="L259" s="15" t="s">
        <v>341</v>
      </c>
      <c r="M259" s="15" t="s">
        <v>115</v>
      </c>
      <c r="N259" s="15" t="s">
        <v>323</v>
      </c>
      <c r="O259" s="15" t="s">
        <v>130</v>
      </c>
      <c r="P259" s="15" t="s">
        <v>1072</v>
      </c>
    </row>
    <row r="260" ht="28.5" customHeight="1">
      <c r="A260" s="14">
        <v>42044.0</v>
      </c>
      <c r="B260" s="15" t="s">
        <v>74</v>
      </c>
      <c r="C260" s="15" t="s">
        <v>75</v>
      </c>
      <c r="D260" s="15" t="s">
        <v>82</v>
      </c>
      <c r="E260" s="15" t="s">
        <v>77</v>
      </c>
      <c r="F260" s="15">
        <v>5.0</v>
      </c>
      <c r="G260" s="15" t="s">
        <v>295</v>
      </c>
      <c r="L260" s="15" t="s">
        <v>572</v>
      </c>
      <c r="M260" s="15" t="s">
        <v>115</v>
      </c>
      <c r="N260" s="15" t="s">
        <v>306</v>
      </c>
      <c r="O260" s="15" t="s">
        <v>130</v>
      </c>
      <c r="P260" s="15" t="s">
        <v>1074</v>
      </c>
    </row>
    <row r="261" ht="28.5" customHeight="1">
      <c r="A261" s="14">
        <v>42044.0</v>
      </c>
      <c r="B261" s="15" t="s">
        <v>74</v>
      </c>
      <c r="C261" s="15" t="s">
        <v>75</v>
      </c>
      <c r="D261" s="15" t="s">
        <v>82</v>
      </c>
      <c r="E261" s="15" t="s">
        <v>77</v>
      </c>
      <c r="F261" s="15">
        <v>5.0</v>
      </c>
      <c r="G261" s="15" t="s">
        <v>295</v>
      </c>
      <c r="K261" s="15" t="s">
        <v>115</v>
      </c>
      <c r="N261" s="15" t="s">
        <v>306</v>
      </c>
      <c r="O261" s="15" t="s">
        <v>130</v>
      </c>
      <c r="P261" s="15" t="s">
        <v>1076</v>
      </c>
    </row>
    <row r="262" ht="28.5" customHeight="1">
      <c r="A262" s="14">
        <v>42041.0</v>
      </c>
      <c r="B262" s="15" t="s">
        <v>618</v>
      </c>
      <c r="C262" s="15" t="s">
        <v>218</v>
      </c>
      <c r="D262" s="18" t="s">
        <v>818</v>
      </c>
      <c r="E262" s="18" t="s">
        <v>119</v>
      </c>
      <c r="F262" s="15">
        <v>5.0</v>
      </c>
      <c r="G262" s="15" t="s">
        <v>295</v>
      </c>
      <c r="H262" s="15" t="s">
        <v>1081</v>
      </c>
      <c r="K262" s="15" t="s">
        <v>389</v>
      </c>
      <c r="L262" s="15" t="s">
        <v>225</v>
      </c>
      <c r="M262" s="15" t="s">
        <v>358</v>
      </c>
      <c r="N262" s="15" t="s">
        <v>225</v>
      </c>
      <c r="O262" s="15" t="s">
        <v>413</v>
      </c>
    </row>
    <row r="263" ht="28.5" customHeight="1">
      <c r="A263" s="26">
        <v>42045.0</v>
      </c>
      <c r="B263" s="18" t="s">
        <v>231</v>
      </c>
      <c r="C263" s="15" t="s">
        <v>232</v>
      </c>
      <c r="D263" s="15" t="s">
        <v>866</v>
      </c>
      <c r="E263" s="18" t="s">
        <v>269</v>
      </c>
      <c r="F263" s="15">
        <v>6.0</v>
      </c>
      <c r="G263" s="15" t="s">
        <v>147</v>
      </c>
      <c r="H263" s="15" t="s">
        <v>1091</v>
      </c>
      <c r="I263" s="15" t="s">
        <v>140</v>
      </c>
      <c r="J263" s="15" t="s">
        <v>129</v>
      </c>
      <c r="K263" s="15" t="s">
        <v>235</v>
      </c>
      <c r="M263" s="15" t="s">
        <v>115</v>
      </c>
      <c r="O263" s="15" t="s">
        <v>130</v>
      </c>
    </row>
    <row r="264" ht="28.5" customHeight="1">
      <c r="A264" s="26">
        <v>42045.0</v>
      </c>
      <c r="B264" s="18" t="s">
        <v>231</v>
      </c>
      <c r="C264" s="15" t="s">
        <v>232</v>
      </c>
      <c r="D264" s="15" t="s">
        <v>866</v>
      </c>
      <c r="E264" s="18" t="s">
        <v>269</v>
      </c>
      <c r="F264" s="15">
        <v>6.0</v>
      </c>
      <c r="G264" s="15" t="s">
        <v>147</v>
      </c>
      <c r="I264" s="15" t="s">
        <v>192</v>
      </c>
      <c r="K264" s="15" t="s">
        <v>229</v>
      </c>
      <c r="L264" s="15" t="s">
        <v>355</v>
      </c>
      <c r="N264" s="15" t="s">
        <v>195</v>
      </c>
      <c r="O264" s="15" t="s">
        <v>130</v>
      </c>
      <c r="P264" s="15" t="s">
        <v>1105</v>
      </c>
    </row>
    <row r="265" ht="28.5" customHeight="1">
      <c r="A265" s="26">
        <v>42045.0</v>
      </c>
      <c r="B265" s="18" t="s">
        <v>231</v>
      </c>
      <c r="C265" s="15" t="s">
        <v>232</v>
      </c>
      <c r="D265" s="15" t="s">
        <v>866</v>
      </c>
      <c r="E265" s="18" t="s">
        <v>269</v>
      </c>
      <c r="F265" s="15">
        <v>6.0</v>
      </c>
      <c r="G265" s="15" t="s">
        <v>147</v>
      </c>
      <c r="I265" s="15" t="s">
        <v>484</v>
      </c>
      <c r="K265" s="15" t="s">
        <v>1108</v>
      </c>
      <c r="L265" s="15" t="s">
        <v>456</v>
      </c>
      <c r="N265" s="15" t="s">
        <v>1112</v>
      </c>
      <c r="O265" s="15" t="s">
        <v>130</v>
      </c>
    </row>
    <row r="266" ht="28.5" customHeight="1">
      <c r="A266" s="26">
        <v>42045.0</v>
      </c>
      <c r="B266" s="18" t="s">
        <v>231</v>
      </c>
      <c r="C266" s="15" t="s">
        <v>232</v>
      </c>
      <c r="D266" s="15" t="s">
        <v>866</v>
      </c>
      <c r="E266" s="18" t="s">
        <v>269</v>
      </c>
      <c r="F266" s="15">
        <v>6.0</v>
      </c>
      <c r="G266" s="15" t="s">
        <v>147</v>
      </c>
      <c r="H266" s="15" t="s">
        <v>490</v>
      </c>
      <c r="I266" s="15" t="s">
        <v>140</v>
      </c>
      <c r="J266" s="15" t="s">
        <v>129</v>
      </c>
      <c r="K266" s="15" t="s">
        <v>235</v>
      </c>
      <c r="L266" s="15" t="s">
        <v>456</v>
      </c>
      <c r="M266" s="15" t="s">
        <v>115</v>
      </c>
      <c r="N266" s="15" t="s">
        <v>189</v>
      </c>
      <c r="O266" s="15" t="s">
        <v>130</v>
      </c>
      <c r="P266" s="15" t="s">
        <v>493</v>
      </c>
    </row>
    <row r="267" ht="28.5" customHeight="1">
      <c r="A267" s="14">
        <v>42041.0</v>
      </c>
      <c r="B267" s="15" t="s">
        <v>631</v>
      </c>
      <c r="C267" s="15" t="s">
        <v>632</v>
      </c>
      <c r="D267" s="15" t="s">
        <v>633</v>
      </c>
      <c r="E267" s="15" t="s">
        <v>146</v>
      </c>
      <c r="F267" s="15">
        <v>6.0</v>
      </c>
      <c r="G267" s="15" t="s">
        <v>259</v>
      </c>
      <c r="H267" s="15" t="s">
        <v>1121</v>
      </c>
      <c r="I267" s="15" t="s">
        <v>277</v>
      </c>
      <c r="K267" s="15" t="s">
        <v>277</v>
      </c>
      <c r="O267" s="15" t="s">
        <v>122</v>
      </c>
      <c r="P267" s="15" t="s">
        <v>1122</v>
      </c>
    </row>
    <row r="268" ht="28.5" customHeight="1">
      <c r="A268" s="24">
        <v>42046.0</v>
      </c>
      <c r="B268" s="15" t="s">
        <v>500</v>
      </c>
      <c r="C268" s="18" t="s">
        <v>501</v>
      </c>
      <c r="D268" s="18" t="s">
        <v>502</v>
      </c>
      <c r="E268" s="18" t="s">
        <v>119</v>
      </c>
      <c r="F268" s="15">
        <v>6.0</v>
      </c>
      <c r="G268" s="15" t="s">
        <v>259</v>
      </c>
      <c r="H268" s="15" t="s">
        <v>1124</v>
      </c>
      <c r="I268" s="15" t="s">
        <v>277</v>
      </c>
      <c r="K268" s="15" t="s">
        <v>1126</v>
      </c>
      <c r="O268" s="15" t="s">
        <v>685</v>
      </c>
      <c r="P268" s="15" t="s">
        <v>949</v>
      </c>
    </row>
    <row r="269" ht="28.5" customHeight="1">
      <c r="A269" s="26">
        <v>42045.0</v>
      </c>
      <c r="B269" s="18" t="s">
        <v>133</v>
      </c>
      <c r="C269" s="15" t="s">
        <v>135</v>
      </c>
      <c r="D269" s="15" t="s">
        <v>136</v>
      </c>
      <c r="E269" s="18" t="s">
        <v>138</v>
      </c>
      <c r="F269" s="15">
        <v>6.0</v>
      </c>
      <c r="G269" s="15" t="s">
        <v>259</v>
      </c>
      <c r="H269" s="15" t="s">
        <v>1129</v>
      </c>
      <c r="I269" s="15" t="s">
        <v>277</v>
      </c>
      <c r="J269" s="15" t="s">
        <v>129</v>
      </c>
      <c r="K269" s="15" t="s">
        <v>113</v>
      </c>
      <c r="L269" s="15" t="s">
        <v>113</v>
      </c>
      <c r="M269" s="15" t="s">
        <v>277</v>
      </c>
      <c r="N269" s="15" t="s">
        <v>115</v>
      </c>
      <c r="O269" s="15" t="s">
        <v>130</v>
      </c>
      <c r="P269" s="15" t="s">
        <v>1131</v>
      </c>
    </row>
    <row r="270" ht="28.5" customHeight="1">
      <c r="A270" s="26">
        <v>42045.0</v>
      </c>
      <c r="B270" s="18" t="s">
        <v>133</v>
      </c>
      <c r="C270" s="15" t="s">
        <v>135</v>
      </c>
      <c r="D270" s="15" t="s">
        <v>136</v>
      </c>
      <c r="E270" s="18" t="s">
        <v>138</v>
      </c>
      <c r="F270" s="15">
        <v>6.0</v>
      </c>
      <c r="G270" s="15" t="s">
        <v>259</v>
      </c>
      <c r="H270" s="15" t="s">
        <v>1134</v>
      </c>
      <c r="I270" s="15" t="s">
        <v>277</v>
      </c>
      <c r="J270" s="15" t="s">
        <v>129</v>
      </c>
      <c r="K270" s="15" t="s">
        <v>113</v>
      </c>
      <c r="L270" s="15" t="s">
        <v>113</v>
      </c>
      <c r="M270" s="15" t="s">
        <v>277</v>
      </c>
      <c r="N270" s="15" t="s">
        <v>115</v>
      </c>
      <c r="O270" s="15" t="s">
        <v>130</v>
      </c>
    </row>
    <row r="271" ht="28.5" customHeight="1">
      <c r="A271" s="26">
        <v>42045.0</v>
      </c>
      <c r="B271" s="18" t="s">
        <v>133</v>
      </c>
      <c r="C271" s="15" t="s">
        <v>135</v>
      </c>
      <c r="D271" s="15" t="s">
        <v>136</v>
      </c>
      <c r="E271" s="18" t="s">
        <v>138</v>
      </c>
      <c r="F271" s="15">
        <v>6.0</v>
      </c>
      <c r="G271" s="15" t="s">
        <v>259</v>
      </c>
      <c r="H271" s="15" t="s">
        <v>1129</v>
      </c>
      <c r="I271" s="15" t="s">
        <v>277</v>
      </c>
      <c r="J271" s="15" t="s">
        <v>129</v>
      </c>
      <c r="K271" s="15" t="s">
        <v>113</v>
      </c>
      <c r="L271" s="15" t="s">
        <v>113</v>
      </c>
      <c r="M271" s="15" t="s">
        <v>277</v>
      </c>
      <c r="N271" s="15" t="s">
        <v>115</v>
      </c>
      <c r="O271" s="15" t="s">
        <v>130</v>
      </c>
      <c r="P271" s="15" t="s">
        <v>1137</v>
      </c>
    </row>
    <row r="272" ht="28.5" customHeight="1">
      <c r="A272" s="26">
        <v>42045.0</v>
      </c>
      <c r="B272" s="18" t="s">
        <v>133</v>
      </c>
      <c r="C272" s="15" t="s">
        <v>135</v>
      </c>
      <c r="D272" s="15" t="s">
        <v>136</v>
      </c>
      <c r="E272" s="18" t="s">
        <v>138</v>
      </c>
      <c r="F272" s="15">
        <v>6.0</v>
      </c>
      <c r="G272" s="15" t="s">
        <v>259</v>
      </c>
      <c r="H272" s="15" t="s">
        <v>1129</v>
      </c>
      <c r="I272" s="15" t="s">
        <v>277</v>
      </c>
      <c r="J272" s="15" t="s">
        <v>129</v>
      </c>
      <c r="K272" s="15" t="s">
        <v>113</v>
      </c>
      <c r="L272" s="15" t="s">
        <v>113</v>
      </c>
      <c r="M272" s="15" t="s">
        <v>277</v>
      </c>
      <c r="N272" s="15" t="s">
        <v>115</v>
      </c>
      <c r="O272" s="15" t="s">
        <v>130</v>
      </c>
      <c r="P272" s="15" t="s">
        <v>1137</v>
      </c>
    </row>
    <row r="273" ht="28.5" customHeight="1">
      <c r="A273" s="26">
        <v>42045.0</v>
      </c>
      <c r="B273" s="18" t="s">
        <v>133</v>
      </c>
      <c r="C273" s="15" t="s">
        <v>135</v>
      </c>
      <c r="D273" s="15" t="s">
        <v>136</v>
      </c>
      <c r="E273" s="18" t="s">
        <v>138</v>
      </c>
      <c r="F273" s="15">
        <v>6.0</v>
      </c>
      <c r="G273" s="15" t="s">
        <v>259</v>
      </c>
      <c r="H273" s="15" t="s">
        <v>1129</v>
      </c>
      <c r="I273" s="15" t="s">
        <v>277</v>
      </c>
      <c r="J273" s="15" t="s">
        <v>129</v>
      </c>
      <c r="K273" s="15" t="s">
        <v>113</v>
      </c>
      <c r="L273" s="15" t="s">
        <v>113</v>
      </c>
      <c r="M273" s="15" t="s">
        <v>277</v>
      </c>
      <c r="N273" s="15" t="s">
        <v>115</v>
      </c>
      <c r="O273" s="15" t="s">
        <v>130</v>
      </c>
      <c r="P273" s="15" t="s">
        <v>1137</v>
      </c>
    </row>
    <row r="274" ht="28.5" customHeight="1">
      <c r="A274" s="26">
        <v>42045.0</v>
      </c>
      <c r="B274" s="18" t="s">
        <v>133</v>
      </c>
      <c r="C274" s="15" t="s">
        <v>135</v>
      </c>
      <c r="D274" s="15" t="s">
        <v>136</v>
      </c>
      <c r="E274" s="18" t="s">
        <v>138</v>
      </c>
      <c r="F274" s="15">
        <v>6.0</v>
      </c>
      <c r="G274" s="15" t="s">
        <v>259</v>
      </c>
      <c r="H274" s="15" t="s">
        <v>1129</v>
      </c>
      <c r="I274" s="15" t="s">
        <v>277</v>
      </c>
      <c r="J274" s="15" t="s">
        <v>129</v>
      </c>
      <c r="K274" s="15" t="s">
        <v>113</v>
      </c>
      <c r="L274" s="15" t="s">
        <v>113</v>
      </c>
      <c r="M274" s="15" t="s">
        <v>277</v>
      </c>
      <c r="N274" s="15" t="s">
        <v>115</v>
      </c>
      <c r="O274" s="15" t="s">
        <v>130</v>
      </c>
      <c r="P274" s="15" t="s">
        <v>1137</v>
      </c>
    </row>
    <row r="275" ht="28.5" customHeight="1">
      <c r="A275" s="24">
        <v>42046.0</v>
      </c>
      <c r="B275" s="18" t="s">
        <v>102</v>
      </c>
      <c r="C275" s="18" t="s">
        <v>104</v>
      </c>
      <c r="D275" s="18" t="s">
        <v>185</v>
      </c>
      <c r="E275" s="18" t="s">
        <v>77</v>
      </c>
      <c r="F275" s="15">
        <v>6.0</v>
      </c>
      <c r="G275" s="15" t="s">
        <v>295</v>
      </c>
      <c r="L275" s="15" t="s">
        <v>189</v>
      </c>
      <c r="M275" s="15" t="s">
        <v>115</v>
      </c>
      <c r="N275" s="15" t="s">
        <v>323</v>
      </c>
      <c r="O275" s="15" t="s">
        <v>122</v>
      </c>
    </row>
    <row r="276" ht="28.5" customHeight="1">
      <c r="A276" s="14">
        <v>42041.0</v>
      </c>
      <c r="B276" s="18" t="s">
        <v>102</v>
      </c>
      <c r="C276" s="18" t="s">
        <v>104</v>
      </c>
      <c r="D276" s="15" t="s">
        <v>475</v>
      </c>
      <c r="E276" s="15" t="s">
        <v>269</v>
      </c>
      <c r="F276" s="15">
        <v>6.0</v>
      </c>
      <c r="G276" s="15" t="s">
        <v>295</v>
      </c>
      <c r="K276" s="15" t="s">
        <v>115</v>
      </c>
      <c r="L276" s="15" t="s">
        <v>162</v>
      </c>
      <c r="N276" s="15" t="s">
        <v>355</v>
      </c>
      <c r="O276" s="15" t="s">
        <v>122</v>
      </c>
    </row>
    <row r="277" ht="28.5" customHeight="1">
      <c r="A277" s="14">
        <v>42041.0</v>
      </c>
      <c r="B277" s="18" t="s">
        <v>102</v>
      </c>
      <c r="C277" s="18" t="s">
        <v>104</v>
      </c>
      <c r="D277" s="15" t="s">
        <v>475</v>
      </c>
      <c r="E277" s="15" t="s">
        <v>269</v>
      </c>
      <c r="F277" s="15">
        <v>6.0</v>
      </c>
      <c r="G277" s="15" t="s">
        <v>295</v>
      </c>
      <c r="L277" s="15" t="s">
        <v>405</v>
      </c>
      <c r="M277" s="15" t="s">
        <v>115</v>
      </c>
      <c r="N277" s="15" t="s">
        <v>306</v>
      </c>
      <c r="O277" s="15" t="s">
        <v>122</v>
      </c>
    </row>
    <row r="278" ht="28.5" customHeight="1">
      <c r="A278" s="14">
        <v>42041.0</v>
      </c>
      <c r="B278" s="18" t="s">
        <v>102</v>
      </c>
      <c r="C278" s="18" t="s">
        <v>104</v>
      </c>
      <c r="D278" s="15" t="s">
        <v>475</v>
      </c>
      <c r="E278" s="15" t="s">
        <v>269</v>
      </c>
      <c r="F278" s="15">
        <v>6.0</v>
      </c>
      <c r="G278" s="15" t="s">
        <v>295</v>
      </c>
      <c r="L278" s="15" t="s">
        <v>551</v>
      </c>
      <c r="M278" s="15" t="s">
        <v>115</v>
      </c>
      <c r="N278" s="15" t="s">
        <v>306</v>
      </c>
      <c r="O278" s="15" t="s">
        <v>122</v>
      </c>
    </row>
    <row r="279" ht="28.5" customHeight="1">
      <c r="A279" s="14">
        <v>42041.0</v>
      </c>
      <c r="B279" s="18" t="s">
        <v>102</v>
      </c>
      <c r="C279" s="18" t="s">
        <v>104</v>
      </c>
      <c r="D279" s="15" t="s">
        <v>475</v>
      </c>
      <c r="E279" s="15" t="s">
        <v>269</v>
      </c>
      <c r="F279" s="15">
        <v>6.0</v>
      </c>
      <c r="G279" s="15" t="s">
        <v>295</v>
      </c>
      <c r="L279" s="15" t="s">
        <v>323</v>
      </c>
      <c r="M279" s="15" t="s">
        <v>115</v>
      </c>
      <c r="N279" s="15" t="s">
        <v>355</v>
      </c>
      <c r="O279" s="15" t="s">
        <v>122</v>
      </c>
    </row>
    <row r="280" ht="28.5" customHeight="1">
      <c r="A280" s="14">
        <v>42041.0</v>
      </c>
      <c r="B280" s="18" t="s">
        <v>102</v>
      </c>
      <c r="C280" s="18" t="s">
        <v>104</v>
      </c>
      <c r="D280" s="15" t="s">
        <v>475</v>
      </c>
      <c r="E280" s="15" t="s">
        <v>269</v>
      </c>
      <c r="F280" s="15">
        <v>6.0</v>
      </c>
      <c r="G280" s="15" t="s">
        <v>295</v>
      </c>
      <c r="K280" s="15" t="s">
        <v>115</v>
      </c>
      <c r="L280" s="15" t="s">
        <v>120</v>
      </c>
      <c r="N280" s="15" t="s">
        <v>405</v>
      </c>
      <c r="O280" s="15" t="s">
        <v>122</v>
      </c>
    </row>
    <row r="281" ht="28.5" customHeight="1">
      <c r="A281" s="14">
        <v>42043.0</v>
      </c>
      <c r="B281" s="15" t="s">
        <v>74</v>
      </c>
      <c r="C281" s="15" t="s">
        <v>75</v>
      </c>
      <c r="D281" s="15" t="s">
        <v>76</v>
      </c>
      <c r="E281" s="15" t="s">
        <v>77</v>
      </c>
      <c r="F281" s="15">
        <v>6.0</v>
      </c>
      <c r="G281" s="15" t="s">
        <v>295</v>
      </c>
      <c r="K281" s="15" t="s">
        <v>551</v>
      </c>
      <c r="M281" s="15" t="s">
        <v>1176</v>
      </c>
      <c r="O281" s="15" t="s">
        <v>130</v>
      </c>
      <c r="P281" s="15" t="s">
        <v>1177</v>
      </c>
    </row>
    <row r="282" ht="28.5" customHeight="1">
      <c r="A282" s="14">
        <v>42043.0</v>
      </c>
      <c r="B282" s="15" t="s">
        <v>74</v>
      </c>
      <c r="C282" s="15" t="s">
        <v>75</v>
      </c>
      <c r="D282" s="15" t="s">
        <v>76</v>
      </c>
      <c r="E282" s="15" t="s">
        <v>77</v>
      </c>
      <c r="F282" s="15">
        <v>6.0</v>
      </c>
      <c r="G282" s="15" t="s">
        <v>295</v>
      </c>
      <c r="L282" s="15" t="s">
        <v>650</v>
      </c>
      <c r="M282" s="15" t="s">
        <v>115</v>
      </c>
      <c r="N282" s="15" t="s">
        <v>122</v>
      </c>
      <c r="O282" s="15" t="s">
        <v>130</v>
      </c>
      <c r="P282" s="15" t="s">
        <v>1179</v>
      </c>
    </row>
    <row r="283" ht="28.5" customHeight="1">
      <c r="A283" s="26">
        <v>42046.0</v>
      </c>
      <c r="B283" s="18" t="s">
        <v>421</v>
      </c>
      <c r="C283" s="15" t="s">
        <v>218</v>
      </c>
      <c r="D283" s="15" t="s">
        <v>422</v>
      </c>
      <c r="E283" s="18" t="s">
        <v>119</v>
      </c>
      <c r="F283" s="15">
        <v>6.0</v>
      </c>
      <c r="G283" s="15" t="s">
        <v>295</v>
      </c>
      <c r="K283" s="15" t="s">
        <v>162</v>
      </c>
      <c r="L283" s="15" t="s">
        <v>225</v>
      </c>
      <c r="M283" s="15" t="s">
        <v>115</v>
      </c>
      <c r="N283" s="15" t="s">
        <v>122</v>
      </c>
      <c r="O283" s="15" t="s">
        <v>130</v>
      </c>
    </row>
    <row r="284" ht="28.5" customHeight="1">
      <c r="A284" s="26">
        <v>42046.0</v>
      </c>
      <c r="B284" s="18" t="s">
        <v>919</v>
      </c>
      <c r="C284" s="18" t="s">
        <v>921</v>
      </c>
      <c r="D284" s="18" t="s">
        <v>922</v>
      </c>
      <c r="E284" s="18" t="s">
        <v>119</v>
      </c>
      <c r="F284" s="15">
        <v>6.0</v>
      </c>
      <c r="G284" s="15" t="s">
        <v>295</v>
      </c>
      <c r="H284" s="15" t="s">
        <v>1198</v>
      </c>
      <c r="K284" s="15" t="s">
        <v>148</v>
      </c>
      <c r="L284" s="15" t="s">
        <v>323</v>
      </c>
      <c r="M284" s="15" t="s">
        <v>122</v>
      </c>
      <c r="N284" s="15" t="s">
        <v>323</v>
      </c>
      <c r="O284" s="15" t="s">
        <v>122</v>
      </c>
    </row>
    <row r="285" ht="28.5" customHeight="1">
      <c r="A285" s="24">
        <v>42047.0</v>
      </c>
      <c r="B285" s="18" t="s">
        <v>117</v>
      </c>
      <c r="C285" s="18" t="s">
        <v>104</v>
      </c>
      <c r="D285" s="18" t="s">
        <v>118</v>
      </c>
      <c r="E285" s="15" t="s">
        <v>119</v>
      </c>
      <c r="F285" s="15">
        <v>7.0</v>
      </c>
      <c r="G285" s="15" t="s">
        <v>112</v>
      </c>
      <c r="H285" s="15" t="s">
        <v>1203</v>
      </c>
      <c r="I285" s="15" t="s">
        <v>120</v>
      </c>
      <c r="J285" s="15" t="s">
        <v>629</v>
      </c>
      <c r="K285" s="15" t="s">
        <v>120</v>
      </c>
      <c r="M285" s="15" t="s">
        <v>120</v>
      </c>
      <c r="N285" s="15" t="s">
        <v>115</v>
      </c>
      <c r="O285" s="15" t="s">
        <v>122</v>
      </c>
    </row>
    <row r="286" ht="28.5" customHeight="1">
      <c r="A286" s="24">
        <v>42042.0</v>
      </c>
      <c r="B286" s="18" t="s">
        <v>335</v>
      </c>
      <c r="C286" s="18" t="s">
        <v>104</v>
      </c>
      <c r="D286" s="18" t="s">
        <v>336</v>
      </c>
      <c r="E286" s="15" t="s">
        <v>119</v>
      </c>
      <c r="F286" s="15">
        <v>7.0</v>
      </c>
      <c r="G286" s="15" t="s">
        <v>147</v>
      </c>
      <c r="I286" s="15" t="s">
        <v>170</v>
      </c>
      <c r="K286" s="15" t="s">
        <v>193</v>
      </c>
      <c r="L286" s="15" t="s">
        <v>350</v>
      </c>
      <c r="N286" s="15" t="s">
        <v>122</v>
      </c>
      <c r="O286" s="15" t="s">
        <v>122</v>
      </c>
      <c r="P286" s="15" t="s">
        <v>1206</v>
      </c>
    </row>
    <row r="287" ht="28.5" customHeight="1">
      <c r="A287" s="24">
        <v>42042.0</v>
      </c>
      <c r="B287" s="18" t="s">
        <v>335</v>
      </c>
      <c r="C287" s="18" t="s">
        <v>104</v>
      </c>
      <c r="D287" s="18" t="s">
        <v>336</v>
      </c>
      <c r="E287" s="15" t="s">
        <v>119</v>
      </c>
      <c r="F287" s="15">
        <v>7.0</v>
      </c>
      <c r="G287" s="15" t="s">
        <v>147</v>
      </c>
      <c r="H287" s="15" t="s">
        <v>1213</v>
      </c>
      <c r="I287" s="15" t="s">
        <v>122</v>
      </c>
      <c r="K287" s="15" t="s">
        <v>115</v>
      </c>
      <c r="L287" s="15" t="s">
        <v>596</v>
      </c>
      <c r="M287" s="15" t="s">
        <v>183</v>
      </c>
      <c r="N287" s="15" t="s">
        <v>489</v>
      </c>
      <c r="O287" s="15" t="s">
        <v>122</v>
      </c>
      <c r="P287" s="15" t="s">
        <v>1206</v>
      </c>
    </row>
    <row r="288" ht="28.5" customHeight="1">
      <c r="A288" s="24">
        <v>42047.0</v>
      </c>
      <c r="B288" s="18" t="s">
        <v>117</v>
      </c>
      <c r="C288" s="18" t="s">
        <v>104</v>
      </c>
      <c r="D288" s="18" t="s">
        <v>123</v>
      </c>
      <c r="E288" s="18" t="s">
        <v>119</v>
      </c>
      <c r="F288" s="15">
        <v>7.0</v>
      </c>
      <c r="G288" s="15" t="s">
        <v>147</v>
      </c>
      <c r="K288" s="15" t="s">
        <v>115</v>
      </c>
      <c r="L288" s="15" t="s">
        <v>1218</v>
      </c>
      <c r="M288" s="15" t="s">
        <v>148</v>
      </c>
      <c r="N288" s="15" t="s">
        <v>122</v>
      </c>
      <c r="O288" s="15" t="s">
        <v>122</v>
      </c>
      <c r="P288" s="15" t="s">
        <v>1233</v>
      </c>
    </row>
    <row r="289" ht="28.5" customHeight="1">
      <c r="A289" s="24">
        <v>42047.0</v>
      </c>
      <c r="B289" s="18" t="s">
        <v>117</v>
      </c>
      <c r="C289" s="18" t="s">
        <v>104</v>
      </c>
      <c r="D289" s="18" t="s">
        <v>123</v>
      </c>
      <c r="E289" s="18" t="s">
        <v>119</v>
      </c>
      <c r="F289" s="15">
        <v>7.0</v>
      </c>
      <c r="G289" s="15" t="s">
        <v>147</v>
      </c>
      <c r="I289" s="15" t="s">
        <v>170</v>
      </c>
      <c r="L289" s="15" t="s">
        <v>572</v>
      </c>
      <c r="M289" s="15" t="s">
        <v>193</v>
      </c>
      <c r="N289" s="15" t="s">
        <v>473</v>
      </c>
      <c r="O289" s="15" t="s">
        <v>122</v>
      </c>
    </row>
    <row r="290" ht="28.5" customHeight="1">
      <c r="A290" s="24">
        <v>42047.0</v>
      </c>
      <c r="B290" s="18" t="s">
        <v>117</v>
      </c>
      <c r="C290" s="18" t="s">
        <v>104</v>
      </c>
      <c r="D290" s="18" t="s">
        <v>123</v>
      </c>
      <c r="E290" s="18" t="s">
        <v>119</v>
      </c>
      <c r="F290" s="15">
        <v>7.0</v>
      </c>
      <c r="G290" s="15" t="s">
        <v>147</v>
      </c>
      <c r="H290" s="15" t="s">
        <v>1243</v>
      </c>
      <c r="I290" s="15" t="s">
        <v>122</v>
      </c>
      <c r="K290" s="15" t="s">
        <v>183</v>
      </c>
      <c r="M290" s="15" t="s">
        <v>115</v>
      </c>
      <c r="O290" s="15" t="s">
        <v>122</v>
      </c>
    </row>
    <row r="291" ht="28.5" customHeight="1">
      <c r="A291" s="24">
        <v>42047.0</v>
      </c>
      <c r="B291" s="18" t="s">
        <v>117</v>
      </c>
      <c r="C291" s="18" t="s">
        <v>104</v>
      </c>
      <c r="D291" s="18" t="s">
        <v>123</v>
      </c>
      <c r="E291" s="18" t="s">
        <v>119</v>
      </c>
      <c r="F291" s="15">
        <v>7.0</v>
      </c>
      <c r="G291" s="15" t="s">
        <v>147</v>
      </c>
      <c r="I291" s="15" t="s">
        <v>306</v>
      </c>
      <c r="K291" s="15" t="s">
        <v>1247</v>
      </c>
      <c r="L291" s="15" t="s">
        <v>120</v>
      </c>
      <c r="M291" s="15" t="s">
        <v>115</v>
      </c>
      <c r="N291" s="15" t="s">
        <v>572</v>
      </c>
      <c r="O291" s="15" t="s">
        <v>122</v>
      </c>
    </row>
    <row r="292" ht="28.5" customHeight="1">
      <c r="A292" s="14">
        <v>42045.0</v>
      </c>
      <c r="B292" s="18" t="s">
        <v>675</v>
      </c>
      <c r="C292" s="18" t="s">
        <v>676</v>
      </c>
      <c r="D292" s="15" t="s">
        <v>678</v>
      </c>
      <c r="E292" s="15" t="s">
        <v>679</v>
      </c>
      <c r="F292" s="15">
        <v>7.0</v>
      </c>
      <c r="G292" s="15" t="s">
        <v>147</v>
      </c>
      <c r="K292" s="15" t="s">
        <v>115</v>
      </c>
      <c r="L292" s="15" t="s">
        <v>1254</v>
      </c>
      <c r="M292" s="15" t="s">
        <v>148</v>
      </c>
      <c r="N292" s="15" t="s">
        <v>306</v>
      </c>
      <c r="O292" s="15" t="s">
        <v>122</v>
      </c>
      <c r="P292" s="15" t="s">
        <v>1257</v>
      </c>
    </row>
    <row r="293" ht="28.5" customHeight="1">
      <c r="A293" s="14">
        <v>42045.0</v>
      </c>
      <c r="B293" s="18" t="s">
        <v>675</v>
      </c>
      <c r="C293" s="18" t="s">
        <v>676</v>
      </c>
      <c r="D293" s="15" t="s">
        <v>678</v>
      </c>
      <c r="E293" s="15" t="s">
        <v>679</v>
      </c>
      <c r="F293" s="15">
        <v>7.0</v>
      </c>
      <c r="G293" s="15" t="s">
        <v>147</v>
      </c>
      <c r="K293" s="15" t="s">
        <v>115</v>
      </c>
      <c r="L293" s="15" t="s">
        <v>650</v>
      </c>
      <c r="O293" s="15" t="s">
        <v>122</v>
      </c>
      <c r="P293" s="15" t="s">
        <v>1261</v>
      </c>
    </row>
    <row r="294" ht="28.5" customHeight="1">
      <c r="A294" s="24">
        <v>42046.0</v>
      </c>
      <c r="B294" s="15" t="s">
        <v>500</v>
      </c>
      <c r="C294" s="18" t="s">
        <v>501</v>
      </c>
      <c r="D294" s="18" t="s">
        <v>502</v>
      </c>
      <c r="E294" s="18" t="s">
        <v>119</v>
      </c>
      <c r="F294" s="15">
        <v>7.0</v>
      </c>
      <c r="G294" s="15" t="s">
        <v>295</v>
      </c>
      <c r="L294" s="15" t="s">
        <v>323</v>
      </c>
      <c r="M294" s="15" t="s">
        <v>115</v>
      </c>
      <c r="N294" s="15" t="s">
        <v>162</v>
      </c>
      <c r="O294" s="15" t="s">
        <v>122</v>
      </c>
      <c r="P294" s="15" t="s">
        <v>1263</v>
      </c>
    </row>
    <row r="295" ht="28.5" customHeight="1">
      <c r="A295" s="24">
        <v>42047.0</v>
      </c>
      <c r="B295" s="18" t="s">
        <v>117</v>
      </c>
      <c r="C295" s="18" t="s">
        <v>104</v>
      </c>
      <c r="D295" s="18" t="s">
        <v>123</v>
      </c>
      <c r="E295" s="18" t="s">
        <v>119</v>
      </c>
      <c r="F295" s="15">
        <v>7.0</v>
      </c>
      <c r="G295" s="15" t="s">
        <v>295</v>
      </c>
      <c r="K295" s="15" t="s">
        <v>115</v>
      </c>
      <c r="L295" s="15" t="s">
        <v>162</v>
      </c>
      <c r="N295" s="15" t="s">
        <v>330</v>
      </c>
      <c r="O295" s="15" t="s">
        <v>122</v>
      </c>
    </row>
    <row r="296" ht="28.5" customHeight="1">
      <c r="A296" s="24">
        <v>42047.0</v>
      </c>
      <c r="B296" s="18" t="s">
        <v>117</v>
      </c>
      <c r="C296" s="18" t="s">
        <v>104</v>
      </c>
      <c r="D296" s="18" t="s">
        <v>123</v>
      </c>
      <c r="E296" s="18" t="s">
        <v>119</v>
      </c>
      <c r="F296" s="15">
        <v>7.0</v>
      </c>
      <c r="G296" s="15" t="s">
        <v>295</v>
      </c>
      <c r="L296" s="15" t="s">
        <v>323</v>
      </c>
      <c r="M296" s="15" t="s">
        <v>115</v>
      </c>
      <c r="N296" s="15" t="s">
        <v>596</v>
      </c>
      <c r="O296" s="15" t="s">
        <v>122</v>
      </c>
    </row>
    <row r="297" ht="28.5" customHeight="1">
      <c r="A297" s="24">
        <v>42047.0</v>
      </c>
      <c r="B297" s="18" t="s">
        <v>117</v>
      </c>
      <c r="C297" s="18" t="s">
        <v>104</v>
      </c>
      <c r="D297" s="18" t="s">
        <v>123</v>
      </c>
      <c r="E297" s="18" t="s">
        <v>119</v>
      </c>
      <c r="F297" s="15">
        <v>7.0</v>
      </c>
      <c r="G297" s="15" t="s">
        <v>295</v>
      </c>
      <c r="L297" s="15" t="s">
        <v>385</v>
      </c>
      <c r="M297" s="15" t="s">
        <v>115</v>
      </c>
      <c r="N297" s="15" t="s">
        <v>306</v>
      </c>
      <c r="O297" s="15" t="s">
        <v>122</v>
      </c>
    </row>
    <row r="298" ht="28.5" customHeight="1">
      <c r="A298" s="24">
        <v>42047.0</v>
      </c>
      <c r="B298" s="18" t="s">
        <v>117</v>
      </c>
      <c r="C298" s="18" t="s">
        <v>104</v>
      </c>
      <c r="D298" s="18" t="s">
        <v>123</v>
      </c>
      <c r="E298" s="18" t="s">
        <v>119</v>
      </c>
      <c r="F298" s="15">
        <v>7.0</v>
      </c>
      <c r="G298" s="15" t="s">
        <v>295</v>
      </c>
      <c r="K298" s="15" t="s">
        <v>115</v>
      </c>
      <c r="L298" s="15" t="s">
        <v>417</v>
      </c>
      <c r="O298" s="15" t="s">
        <v>122</v>
      </c>
    </row>
    <row r="299" ht="28.5" customHeight="1">
      <c r="A299" s="14">
        <v>42041.0</v>
      </c>
      <c r="B299" s="18" t="s">
        <v>102</v>
      </c>
      <c r="C299" s="18" t="s">
        <v>104</v>
      </c>
      <c r="D299" s="15" t="s">
        <v>475</v>
      </c>
      <c r="E299" s="15" t="s">
        <v>269</v>
      </c>
      <c r="F299" s="15">
        <v>7.0</v>
      </c>
      <c r="G299" s="15" t="s">
        <v>295</v>
      </c>
      <c r="K299" s="15" t="s">
        <v>115</v>
      </c>
      <c r="L299" s="15" t="s">
        <v>162</v>
      </c>
      <c r="N299" s="15" t="s">
        <v>189</v>
      </c>
      <c r="O299" s="15" t="s">
        <v>122</v>
      </c>
    </row>
    <row r="300" ht="28.5" customHeight="1">
      <c r="A300" s="14">
        <v>42041.0</v>
      </c>
      <c r="B300" s="18" t="s">
        <v>102</v>
      </c>
      <c r="C300" s="18" t="s">
        <v>104</v>
      </c>
      <c r="D300" s="15" t="s">
        <v>475</v>
      </c>
      <c r="E300" s="15" t="s">
        <v>269</v>
      </c>
      <c r="F300" s="15">
        <v>7.0</v>
      </c>
      <c r="G300" s="15" t="s">
        <v>295</v>
      </c>
      <c r="K300" s="15" t="s">
        <v>115</v>
      </c>
      <c r="L300" s="15" t="s">
        <v>120</v>
      </c>
      <c r="N300" s="15" t="s">
        <v>909</v>
      </c>
      <c r="O300" s="15" t="s">
        <v>122</v>
      </c>
    </row>
    <row r="301" ht="28.5" customHeight="1">
      <c r="A301" s="14">
        <v>42041.0</v>
      </c>
      <c r="B301" s="18" t="s">
        <v>102</v>
      </c>
      <c r="C301" s="18" t="s">
        <v>104</v>
      </c>
      <c r="D301" s="15" t="s">
        <v>475</v>
      </c>
      <c r="E301" s="15" t="s">
        <v>269</v>
      </c>
      <c r="F301" s="15">
        <v>7.0</v>
      </c>
      <c r="G301" s="15" t="s">
        <v>295</v>
      </c>
      <c r="L301" s="15" t="s">
        <v>598</v>
      </c>
      <c r="M301" s="15" t="s">
        <v>115</v>
      </c>
      <c r="N301" s="15" t="s">
        <v>162</v>
      </c>
      <c r="O301" s="15" t="s">
        <v>122</v>
      </c>
    </row>
    <row r="302" ht="28.5" customHeight="1">
      <c r="A302" s="14">
        <v>42043.0</v>
      </c>
      <c r="B302" s="15" t="s">
        <v>74</v>
      </c>
      <c r="C302" s="15" t="s">
        <v>75</v>
      </c>
      <c r="D302" s="15" t="s">
        <v>76</v>
      </c>
      <c r="E302" s="15" t="s">
        <v>77</v>
      </c>
      <c r="F302" s="15">
        <v>7.0</v>
      </c>
      <c r="G302" s="15" t="s">
        <v>295</v>
      </c>
      <c r="L302" s="15" t="s">
        <v>385</v>
      </c>
      <c r="M302" s="15" t="s">
        <v>115</v>
      </c>
      <c r="N302" s="15" t="s">
        <v>162</v>
      </c>
      <c r="O302" s="15" t="s">
        <v>130</v>
      </c>
      <c r="P302" s="15" t="s">
        <v>1280</v>
      </c>
    </row>
    <row r="303" ht="28.5" customHeight="1">
      <c r="A303" s="14">
        <v>42044.0</v>
      </c>
      <c r="B303" s="15" t="s">
        <v>74</v>
      </c>
      <c r="C303" s="15" t="s">
        <v>75</v>
      </c>
      <c r="D303" s="15" t="s">
        <v>82</v>
      </c>
      <c r="E303" s="15" t="s">
        <v>77</v>
      </c>
      <c r="F303" s="15">
        <v>7.0</v>
      </c>
      <c r="G303" s="15" t="s">
        <v>295</v>
      </c>
      <c r="L303" s="15" t="s">
        <v>358</v>
      </c>
      <c r="M303" s="15" t="s">
        <v>115</v>
      </c>
      <c r="N303" s="15" t="s">
        <v>122</v>
      </c>
      <c r="O303" s="15" t="s">
        <v>130</v>
      </c>
      <c r="P303" s="15" t="s">
        <v>1282</v>
      </c>
    </row>
    <row r="304" ht="28.5" customHeight="1">
      <c r="A304" s="24">
        <v>42046.0</v>
      </c>
      <c r="B304" s="18" t="s">
        <v>102</v>
      </c>
      <c r="C304" s="18" t="s">
        <v>104</v>
      </c>
      <c r="D304" s="18" t="s">
        <v>185</v>
      </c>
      <c r="E304" s="18" t="s">
        <v>77</v>
      </c>
      <c r="F304" s="15">
        <v>8.0</v>
      </c>
      <c r="G304" s="15" t="s">
        <v>295</v>
      </c>
      <c r="L304" s="15" t="s">
        <v>655</v>
      </c>
      <c r="M304" s="15" t="s">
        <v>115</v>
      </c>
      <c r="N304" s="15" t="s">
        <v>323</v>
      </c>
      <c r="O304" s="15" t="s">
        <v>122</v>
      </c>
    </row>
    <row r="305" ht="28.5" customHeight="1">
      <c r="A305" s="14">
        <v>42041.0</v>
      </c>
      <c r="B305" s="18" t="s">
        <v>102</v>
      </c>
      <c r="C305" s="18" t="s">
        <v>104</v>
      </c>
      <c r="D305" s="15" t="s">
        <v>475</v>
      </c>
      <c r="E305" s="15" t="s">
        <v>269</v>
      </c>
      <c r="F305" s="15">
        <v>8.0</v>
      </c>
      <c r="G305" s="15" t="s">
        <v>295</v>
      </c>
      <c r="L305" s="15" t="s">
        <v>520</v>
      </c>
      <c r="M305" s="15" t="s">
        <v>115</v>
      </c>
      <c r="N305" s="15" t="s">
        <v>120</v>
      </c>
      <c r="O305" s="15" t="s">
        <v>122</v>
      </c>
    </row>
    <row r="306" ht="28.5" customHeight="1">
      <c r="A306" s="14">
        <v>42041.0</v>
      </c>
      <c r="B306" s="18" t="s">
        <v>102</v>
      </c>
      <c r="C306" s="18" t="s">
        <v>104</v>
      </c>
      <c r="D306" s="15" t="s">
        <v>475</v>
      </c>
      <c r="E306" s="15" t="s">
        <v>269</v>
      </c>
      <c r="F306" s="15">
        <v>8.0</v>
      </c>
      <c r="G306" s="15" t="s">
        <v>295</v>
      </c>
      <c r="L306" s="15" t="s">
        <v>520</v>
      </c>
      <c r="M306" s="15" t="s">
        <v>115</v>
      </c>
      <c r="N306" s="15" t="s">
        <v>162</v>
      </c>
      <c r="O306" s="15" t="s">
        <v>122</v>
      </c>
    </row>
    <row r="307" ht="28.5" customHeight="1">
      <c r="A307" s="14">
        <v>42043.0</v>
      </c>
      <c r="B307" s="15" t="s">
        <v>74</v>
      </c>
      <c r="C307" s="15" t="s">
        <v>75</v>
      </c>
      <c r="D307" s="15" t="s">
        <v>76</v>
      </c>
      <c r="E307" s="15" t="s">
        <v>77</v>
      </c>
      <c r="F307" s="15">
        <v>8.0</v>
      </c>
      <c r="G307" s="15" t="s">
        <v>295</v>
      </c>
      <c r="L307" s="15" t="s">
        <v>230</v>
      </c>
      <c r="M307" s="15" t="s">
        <v>115</v>
      </c>
      <c r="N307" s="15" t="s">
        <v>162</v>
      </c>
      <c r="O307" s="15" t="s">
        <v>130</v>
      </c>
      <c r="P307" s="15" t="s">
        <v>1291</v>
      </c>
    </row>
    <row r="308" ht="28.5" customHeight="1">
      <c r="A308" s="14">
        <v>42044.0</v>
      </c>
      <c r="B308" s="15" t="s">
        <v>74</v>
      </c>
      <c r="C308" s="15" t="s">
        <v>75</v>
      </c>
      <c r="D308" s="15" t="s">
        <v>82</v>
      </c>
      <c r="E308" s="15" t="s">
        <v>77</v>
      </c>
      <c r="F308" s="15">
        <v>8.0</v>
      </c>
      <c r="G308" s="15" t="s">
        <v>295</v>
      </c>
      <c r="L308" s="15" t="s">
        <v>230</v>
      </c>
      <c r="M308" s="15" t="s">
        <v>115</v>
      </c>
      <c r="N308" s="15" t="s">
        <v>306</v>
      </c>
      <c r="O308" s="15" t="s">
        <v>130</v>
      </c>
      <c r="P308" s="15" t="s">
        <v>1293</v>
      </c>
    </row>
    <row r="309" ht="28.5" customHeight="1">
      <c r="A309" s="14">
        <v>42044.0</v>
      </c>
      <c r="B309" s="15" t="s">
        <v>74</v>
      </c>
      <c r="C309" s="15" t="s">
        <v>75</v>
      </c>
      <c r="D309" s="15" t="s">
        <v>82</v>
      </c>
      <c r="E309" s="15" t="s">
        <v>77</v>
      </c>
      <c r="F309" s="15">
        <v>8.0</v>
      </c>
      <c r="G309" s="15" t="s">
        <v>295</v>
      </c>
      <c r="K309" s="15" t="s">
        <v>115</v>
      </c>
      <c r="L309" s="15" t="s">
        <v>306</v>
      </c>
      <c r="N309" s="15" t="s">
        <v>227</v>
      </c>
      <c r="O309" s="15" t="s">
        <v>130</v>
      </c>
      <c r="P309" s="15" t="s">
        <v>1298</v>
      </c>
    </row>
    <row r="310" ht="28.5" customHeight="1">
      <c r="A310" s="14">
        <v>42044.0</v>
      </c>
      <c r="B310" s="15" t="s">
        <v>74</v>
      </c>
      <c r="C310" s="15" t="s">
        <v>75</v>
      </c>
      <c r="D310" s="15" t="s">
        <v>82</v>
      </c>
      <c r="E310" s="15" t="s">
        <v>77</v>
      </c>
      <c r="F310" s="15">
        <v>8.0</v>
      </c>
      <c r="G310" s="15" t="s">
        <v>295</v>
      </c>
      <c r="K310" s="15" t="s">
        <v>115</v>
      </c>
      <c r="L310" s="15" t="s">
        <v>162</v>
      </c>
      <c r="N310" s="15" t="s">
        <v>230</v>
      </c>
      <c r="O310" s="15" t="s">
        <v>130</v>
      </c>
      <c r="P310" s="15" t="s">
        <v>1300</v>
      </c>
    </row>
    <row r="311" ht="28.5" customHeight="1">
      <c r="A311" s="14">
        <v>42044.0</v>
      </c>
      <c r="B311" s="15" t="s">
        <v>74</v>
      </c>
      <c r="C311" s="15" t="s">
        <v>75</v>
      </c>
      <c r="D311" s="15" t="s">
        <v>82</v>
      </c>
      <c r="E311" s="15" t="s">
        <v>77</v>
      </c>
      <c r="F311" s="15">
        <v>8.0</v>
      </c>
      <c r="G311" s="15" t="s">
        <v>295</v>
      </c>
      <c r="L311" s="15" t="s">
        <v>405</v>
      </c>
      <c r="M311" s="15" t="s">
        <v>115</v>
      </c>
      <c r="N311" s="15" t="s">
        <v>162</v>
      </c>
      <c r="O311" s="15" t="s">
        <v>130</v>
      </c>
      <c r="P311" s="15" t="s">
        <v>1303</v>
      </c>
    </row>
    <row r="312" ht="28.5" customHeight="1">
      <c r="A312" s="14">
        <v>42044.0</v>
      </c>
      <c r="B312" s="15" t="s">
        <v>74</v>
      </c>
      <c r="C312" s="15" t="s">
        <v>75</v>
      </c>
      <c r="D312" s="15" t="s">
        <v>82</v>
      </c>
      <c r="E312" s="15" t="s">
        <v>77</v>
      </c>
      <c r="F312" s="15">
        <v>8.0</v>
      </c>
      <c r="G312" s="15" t="s">
        <v>295</v>
      </c>
      <c r="K312" s="15" t="s">
        <v>115</v>
      </c>
      <c r="L312" s="15" t="s">
        <v>358</v>
      </c>
      <c r="O312" s="15" t="s">
        <v>130</v>
      </c>
      <c r="P312" s="15" t="s">
        <v>1306</v>
      </c>
    </row>
    <row r="313" ht="28.5" customHeight="1">
      <c r="A313" s="14">
        <v>42044.0</v>
      </c>
      <c r="B313" s="15" t="s">
        <v>74</v>
      </c>
      <c r="C313" s="15" t="s">
        <v>75</v>
      </c>
      <c r="D313" s="15" t="s">
        <v>82</v>
      </c>
      <c r="E313" s="15" t="s">
        <v>77</v>
      </c>
      <c r="F313" s="15">
        <v>8.0</v>
      </c>
      <c r="G313" s="15" t="s">
        <v>295</v>
      </c>
      <c r="L313" s="15" t="s">
        <v>385</v>
      </c>
      <c r="N313" s="15" t="s">
        <v>993</v>
      </c>
      <c r="O313" s="15" t="s">
        <v>130</v>
      </c>
      <c r="P313" s="15" t="s">
        <v>1308</v>
      </c>
    </row>
    <row r="314" ht="28.5" customHeight="1">
      <c r="A314" s="14">
        <v>42044.0</v>
      </c>
      <c r="B314" s="15" t="s">
        <v>74</v>
      </c>
      <c r="C314" s="15" t="s">
        <v>75</v>
      </c>
      <c r="D314" s="15" t="s">
        <v>82</v>
      </c>
      <c r="E314" s="15" t="s">
        <v>77</v>
      </c>
      <c r="F314" s="15">
        <v>8.0</v>
      </c>
      <c r="G314" s="15" t="s">
        <v>295</v>
      </c>
      <c r="K314" s="15" t="s">
        <v>115</v>
      </c>
      <c r="L314" s="15" t="s">
        <v>306</v>
      </c>
      <c r="N314" s="15" t="s">
        <v>522</v>
      </c>
      <c r="O314" s="15" t="s">
        <v>130</v>
      </c>
      <c r="P314" s="15" t="s">
        <v>1311</v>
      </c>
    </row>
    <row r="315" ht="28.5" customHeight="1">
      <c r="A315" s="24">
        <v>42046.0</v>
      </c>
      <c r="B315" s="18" t="s">
        <v>102</v>
      </c>
      <c r="C315" s="18" t="s">
        <v>104</v>
      </c>
      <c r="D315" s="18" t="s">
        <v>185</v>
      </c>
      <c r="E315" s="18" t="s">
        <v>77</v>
      </c>
      <c r="F315" s="15">
        <v>8.0</v>
      </c>
      <c r="G315" s="15" t="s">
        <v>455</v>
      </c>
      <c r="H315" s="15" t="s">
        <v>1316</v>
      </c>
      <c r="I315" s="15" t="s">
        <v>170</v>
      </c>
      <c r="L315" s="15" t="s">
        <v>414</v>
      </c>
      <c r="M315" s="15" t="s">
        <v>115</v>
      </c>
      <c r="N315" s="15" t="s">
        <v>190</v>
      </c>
      <c r="O315" s="15" t="s">
        <v>122</v>
      </c>
    </row>
    <row r="316" ht="28.5" customHeight="1">
      <c r="A316" s="24">
        <v>42046.0</v>
      </c>
      <c r="B316" s="18" t="s">
        <v>102</v>
      </c>
      <c r="C316" s="18" t="s">
        <v>104</v>
      </c>
      <c r="D316" s="18" t="s">
        <v>185</v>
      </c>
      <c r="E316" s="18" t="s">
        <v>77</v>
      </c>
      <c r="F316" s="15">
        <v>8.0</v>
      </c>
      <c r="G316" s="15" t="s">
        <v>455</v>
      </c>
      <c r="H316" s="15" t="s">
        <v>1317</v>
      </c>
      <c r="I316" s="15" t="s">
        <v>170</v>
      </c>
      <c r="L316" s="15" t="s">
        <v>396</v>
      </c>
      <c r="M316" s="15" t="s">
        <v>115</v>
      </c>
      <c r="N316" s="15" t="s">
        <v>341</v>
      </c>
      <c r="O316" s="15" t="s">
        <v>122</v>
      </c>
    </row>
    <row r="317" ht="28.5" customHeight="1">
      <c r="A317" s="14">
        <v>42041.0</v>
      </c>
      <c r="B317" s="15" t="s">
        <v>143</v>
      </c>
      <c r="C317" s="15" t="s">
        <v>144</v>
      </c>
      <c r="D317" s="15" t="s">
        <v>145</v>
      </c>
      <c r="E317" s="15" t="s">
        <v>146</v>
      </c>
      <c r="F317" s="15">
        <v>9.0</v>
      </c>
      <c r="G317" s="15" t="s">
        <v>147</v>
      </c>
      <c r="H317" s="15" t="s">
        <v>113</v>
      </c>
      <c r="I317" s="15" t="s">
        <v>170</v>
      </c>
      <c r="J317" s="15" t="s">
        <v>113</v>
      </c>
      <c r="K317" s="15" t="s">
        <v>171</v>
      </c>
      <c r="L317" s="15" t="s">
        <v>1320</v>
      </c>
      <c r="M317" s="15" t="s">
        <v>113</v>
      </c>
      <c r="N317" s="15" t="s">
        <v>1321</v>
      </c>
      <c r="O317" s="15" t="s">
        <v>685</v>
      </c>
    </row>
    <row r="318" ht="28.5" customHeight="1">
      <c r="A318" s="14">
        <v>42045.0</v>
      </c>
      <c r="B318" s="18" t="s">
        <v>675</v>
      </c>
      <c r="C318" s="18" t="s">
        <v>676</v>
      </c>
      <c r="D318" s="15" t="s">
        <v>678</v>
      </c>
      <c r="E318" s="15" t="s">
        <v>679</v>
      </c>
      <c r="F318" s="15">
        <v>9.0</v>
      </c>
      <c r="G318" s="15" t="s">
        <v>147</v>
      </c>
      <c r="I318" s="15" t="s">
        <v>635</v>
      </c>
      <c r="K318" s="15" t="s">
        <v>635</v>
      </c>
      <c r="L318" s="15" t="s">
        <v>1324</v>
      </c>
      <c r="M318" s="15" t="s">
        <v>115</v>
      </c>
      <c r="N318" s="15" t="s">
        <v>463</v>
      </c>
      <c r="O318" s="15" t="s">
        <v>122</v>
      </c>
      <c r="P318" s="15" t="s">
        <v>1325</v>
      </c>
    </row>
    <row r="319" ht="28.5" customHeight="1">
      <c r="A319" s="26">
        <v>42046.0</v>
      </c>
      <c r="B319" s="18" t="s">
        <v>919</v>
      </c>
      <c r="C319" s="18" t="s">
        <v>921</v>
      </c>
      <c r="D319" s="18" t="s">
        <v>922</v>
      </c>
      <c r="E319" s="18" t="s">
        <v>119</v>
      </c>
      <c r="F319" s="15">
        <v>9.0</v>
      </c>
      <c r="G319" s="15" t="s">
        <v>147</v>
      </c>
      <c r="K319" s="15" t="s">
        <v>122</v>
      </c>
      <c r="L319" s="15" t="s">
        <v>323</v>
      </c>
      <c r="M319" s="15" t="s">
        <v>115</v>
      </c>
      <c r="N319" s="15" t="s">
        <v>162</v>
      </c>
      <c r="O319" s="15" t="s">
        <v>122</v>
      </c>
    </row>
    <row r="320" ht="28.5" customHeight="1">
      <c r="A320" s="24">
        <v>42046.0</v>
      </c>
      <c r="B320" s="18" t="s">
        <v>102</v>
      </c>
      <c r="C320" s="18" t="s">
        <v>104</v>
      </c>
      <c r="D320" s="18" t="s">
        <v>185</v>
      </c>
      <c r="E320" s="18" t="s">
        <v>77</v>
      </c>
      <c r="F320" s="15">
        <v>9.0</v>
      </c>
      <c r="G320" s="15" t="s">
        <v>295</v>
      </c>
      <c r="L320" s="15" t="s">
        <v>909</v>
      </c>
      <c r="M320" s="15" t="s">
        <v>115</v>
      </c>
      <c r="N320" s="15" t="s">
        <v>306</v>
      </c>
      <c r="O320" s="15" t="s">
        <v>122</v>
      </c>
    </row>
    <row r="321" ht="28.5" customHeight="1">
      <c r="A321" s="24">
        <v>42046.0</v>
      </c>
      <c r="B321" s="18" t="s">
        <v>102</v>
      </c>
      <c r="C321" s="18" t="s">
        <v>104</v>
      </c>
      <c r="D321" s="18" t="s">
        <v>185</v>
      </c>
      <c r="E321" s="18" t="s">
        <v>77</v>
      </c>
      <c r="F321" s="15">
        <v>9.0</v>
      </c>
      <c r="G321" s="15" t="s">
        <v>295</v>
      </c>
      <c r="L321" s="15" t="s">
        <v>425</v>
      </c>
      <c r="M321" s="15" t="s">
        <v>115</v>
      </c>
      <c r="N321" s="15" t="s">
        <v>306</v>
      </c>
      <c r="O321" s="15" t="s">
        <v>122</v>
      </c>
    </row>
    <row r="322" ht="28.5" customHeight="1">
      <c r="A322" s="24">
        <v>42047.0</v>
      </c>
      <c r="B322" s="18" t="s">
        <v>117</v>
      </c>
      <c r="C322" s="18" t="s">
        <v>104</v>
      </c>
      <c r="D322" s="18" t="s">
        <v>123</v>
      </c>
      <c r="E322" s="18" t="s">
        <v>119</v>
      </c>
      <c r="F322" s="15">
        <v>9.0</v>
      </c>
      <c r="G322" s="15" t="s">
        <v>295</v>
      </c>
      <c r="L322" s="15" t="s">
        <v>323</v>
      </c>
      <c r="M322" s="15" t="s">
        <v>115</v>
      </c>
      <c r="N322" s="15" t="s">
        <v>381</v>
      </c>
      <c r="O322" s="15" t="s">
        <v>122</v>
      </c>
    </row>
    <row r="323" ht="28.5" customHeight="1">
      <c r="A323" s="24">
        <v>42047.0</v>
      </c>
      <c r="B323" s="18" t="s">
        <v>117</v>
      </c>
      <c r="C323" s="18" t="s">
        <v>104</v>
      </c>
      <c r="D323" s="18" t="s">
        <v>123</v>
      </c>
      <c r="E323" s="18" t="s">
        <v>119</v>
      </c>
      <c r="F323" s="15">
        <v>9.0</v>
      </c>
      <c r="G323" s="15" t="s">
        <v>295</v>
      </c>
      <c r="L323" s="15" t="s">
        <v>190</v>
      </c>
      <c r="M323" s="15" t="s">
        <v>529</v>
      </c>
      <c r="N323" s="15" t="s">
        <v>162</v>
      </c>
      <c r="O323" s="15" t="s">
        <v>122</v>
      </c>
      <c r="P323" s="15" t="s">
        <v>530</v>
      </c>
    </row>
    <row r="324" ht="28.5" customHeight="1">
      <c r="A324" s="14">
        <v>42041.0</v>
      </c>
      <c r="B324" s="18" t="s">
        <v>102</v>
      </c>
      <c r="C324" s="18" t="s">
        <v>104</v>
      </c>
      <c r="D324" s="15" t="s">
        <v>475</v>
      </c>
      <c r="E324" s="15" t="s">
        <v>269</v>
      </c>
      <c r="F324" s="15">
        <v>9.0</v>
      </c>
      <c r="G324" s="15" t="s">
        <v>295</v>
      </c>
      <c r="L324" s="15" t="s">
        <v>405</v>
      </c>
      <c r="M324" s="15" t="s">
        <v>115</v>
      </c>
      <c r="N324" s="15" t="s">
        <v>189</v>
      </c>
      <c r="O324" s="15" t="s">
        <v>122</v>
      </c>
    </row>
    <row r="325" ht="28.5" customHeight="1">
      <c r="A325" s="14">
        <v>42041.0</v>
      </c>
      <c r="B325" s="18" t="s">
        <v>102</v>
      </c>
      <c r="C325" s="18" t="s">
        <v>104</v>
      </c>
      <c r="D325" s="15" t="s">
        <v>475</v>
      </c>
      <c r="E325" s="15" t="s">
        <v>269</v>
      </c>
      <c r="F325" s="15">
        <v>9.0</v>
      </c>
      <c r="G325" s="15" t="s">
        <v>295</v>
      </c>
      <c r="L325" s="15" t="s">
        <v>333</v>
      </c>
      <c r="M325" s="15" t="s">
        <v>115</v>
      </c>
      <c r="N325" s="15" t="s">
        <v>306</v>
      </c>
      <c r="O325" s="15" t="s">
        <v>122</v>
      </c>
    </row>
    <row r="326" ht="28.5" customHeight="1">
      <c r="A326" s="14">
        <v>42041.0</v>
      </c>
      <c r="B326" s="18" t="s">
        <v>102</v>
      </c>
      <c r="C326" s="18" t="s">
        <v>104</v>
      </c>
      <c r="D326" s="15" t="s">
        <v>475</v>
      </c>
      <c r="E326" s="15" t="s">
        <v>269</v>
      </c>
      <c r="F326" s="15">
        <v>9.0</v>
      </c>
      <c r="G326" s="15" t="s">
        <v>295</v>
      </c>
      <c r="L326" s="15" t="s">
        <v>381</v>
      </c>
      <c r="M326" s="15" t="s">
        <v>115</v>
      </c>
      <c r="N326" s="15" t="s">
        <v>306</v>
      </c>
      <c r="O326" s="15" t="s">
        <v>122</v>
      </c>
    </row>
    <row r="327" ht="28.5" customHeight="1">
      <c r="A327" s="14">
        <v>42041.0</v>
      </c>
      <c r="B327" s="18" t="s">
        <v>102</v>
      </c>
      <c r="C327" s="18" t="s">
        <v>104</v>
      </c>
      <c r="D327" s="15" t="s">
        <v>475</v>
      </c>
      <c r="E327" s="15" t="s">
        <v>269</v>
      </c>
      <c r="F327" s="15">
        <v>9.0</v>
      </c>
      <c r="G327" s="15" t="s">
        <v>295</v>
      </c>
      <c r="L327" s="15" t="s">
        <v>227</v>
      </c>
      <c r="M327" s="15" t="s">
        <v>115</v>
      </c>
      <c r="N327" s="15" t="s">
        <v>323</v>
      </c>
      <c r="O327" s="15" t="s">
        <v>122</v>
      </c>
    </row>
    <row r="328" ht="28.5" customHeight="1">
      <c r="A328" s="14">
        <v>42043.0</v>
      </c>
      <c r="B328" s="15" t="s">
        <v>74</v>
      </c>
      <c r="C328" s="15" t="s">
        <v>75</v>
      </c>
      <c r="D328" s="15" t="s">
        <v>76</v>
      </c>
      <c r="E328" s="15" t="s">
        <v>77</v>
      </c>
      <c r="F328" s="15">
        <v>9.0</v>
      </c>
      <c r="G328" s="15" t="s">
        <v>295</v>
      </c>
      <c r="L328" s="15" t="s">
        <v>398</v>
      </c>
      <c r="M328" s="15" t="s">
        <v>115</v>
      </c>
      <c r="N328" s="15" t="s">
        <v>162</v>
      </c>
      <c r="O328" s="15" t="s">
        <v>130</v>
      </c>
      <c r="P328" s="15" t="s">
        <v>1346</v>
      </c>
    </row>
    <row r="329" ht="28.5" customHeight="1">
      <c r="A329" s="14">
        <v>42043.0</v>
      </c>
      <c r="B329" s="15" t="s">
        <v>74</v>
      </c>
      <c r="C329" s="15" t="s">
        <v>75</v>
      </c>
      <c r="D329" s="15" t="s">
        <v>76</v>
      </c>
      <c r="E329" s="15" t="s">
        <v>77</v>
      </c>
      <c r="F329" s="15">
        <v>9.0</v>
      </c>
      <c r="G329" s="15" t="s">
        <v>295</v>
      </c>
      <c r="L329" s="15" t="s">
        <v>195</v>
      </c>
      <c r="M329" s="15" t="s">
        <v>115</v>
      </c>
      <c r="N329" s="15" t="s">
        <v>122</v>
      </c>
      <c r="O329" s="15" t="s">
        <v>130</v>
      </c>
      <c r="P329" s="15" t="s">
        <v>1350</v>
      </c>
    </row>
    <row r="330" ht="28.5" customHeight="1">
      <c r="A330" s="14">
        <v>42043.0</v>
      </c>
      <c r="B330" s="15" t="s">
        <v>74</v>
      </c>
      <c r="C330" s="15" t="s">
        <v>75</v>
      </c>
      <c r="D330" s="15" t="s">
        <v>76</v>
      </c>
      <c r="E330" s="15" t="s">
        <v>77</v>
      </c>
      <c r="F330" s="15">
        <v>9.0</v>
      </c>
      <c r="G330" s="15" t="s">
        <v>295</v>
      </c>
      <c r="L330" s="15" t="s">
        <v>551</v>
      </c>
      <c r="M330" s="15" t="s">
        <v>115</v>
      </c>
      <c r="N330" s="15" t="s">
        <v>120</v>
      </c>
      <c r="O330" s="15" t="s">
        <v>130</v>
      </c>
      <c r="P330" s="15" t="s">
        <v>1356</v>
      </c>
    </row>
    <row r="331" ht="28.5" customHeight="1">
      <c r="A331" s="14">
        <v>42043.0</v>
      </c>
      <c r="B331" s="15" t="s">
        <v>74</v>
      </c>
      <c r="C331" s="15" t="s">
        <v>75</v>
      </c>
      <c r="D331" s="15" t="s">
        <v>76</v>
      </c>
      <c r="E331" s="15" t="s">
        <v>77</v>
      </c>
      <c r="F331" s="15">
        <v>9.0</v>
      </c>
      <c r="G331" s="15" t="s">
        <v>295</v>
      </c>
      <c r="K331" s="15" t="s">
        <v>115</v>
      </c>
      <c r="N331" s="15" t="s">
        <v>1357</v>
      </c>
      <c r="O331" s="15" t="s">
        <v>130</v>
      </c>
      <c r="P331" s="15" t="s">
        <v>1358</v>
      </c>
    </row>
    <row r="332" ht="28.5" customHeight="1">
      <c r="A332" s="14">
        <v>42043.0</v>
      </c>
      <c r="B332" s="15" t="s">
        <v>74</v>
      </c>
      <c r="C332" s="15" t="s">
        <v>75</v>
      </c>
      <c r="D332" s="15" t="s">
        <v>76</v>
      </c>
      <c r="E332" s="15" t="s">
        <v>77</v>
      </c>
      <c r="F332" s="15">
        <v>9.0</v>
      </c>
      <c r="G332" s="15" t="s">
        <v>295</v>
      </c>
      <c r="K332" s="15" t="s">
        <v>306</v>
      </c>
      <c r="M332" s="15" t="s">
        <v>115</v>
      </c>
      <c r="N332" s="15" t="s">
        <v>306</v>
      </c>
      <c r="O332" s="15" t="s">
        <v>130</v>
      </c>
      <c r="P332" s="15" t="s">
        <v>1360</v>
      </c>
    </row>
    <row r="333" ht="28.5" customHeight="1">
      <c r="A333" s="14">
        <v>42043.0</v>
      </c>
      <c r="B333" s="15" t="s">
        <v>74</v>
      </c>
      <c r="C333" s="15" t="s">
        <v>75</v>
      </c>
      <c r="D333" s="15" t="s">
        <v>76</v>
      </c>
      <c r="E333" s="15" t="s">
        <v>77</v>
      </c>
      <c r="F333" s="15">
        <v>9.0</v>
      </c>
      <c r="G333" s="15" t="s">
        <v>295</v>
      </c>
      <c r="L333" s="15" t="s">
        <v>353</v>
      </c>
      <c r="M333" s="15" t="s">
        <v>115</v>
      </c>
      <c r="N333" s="15" t="s">
        <v>162</v>
      </c>
      <c r="O333" s="15" t="s">
        <v>130</v>
      </c>
      <c r="P333" s="15" t="s">
        <v>1370</v>
      </c>
    </row>
    <row r="334" ht="28.5" customHeight="1">
      <c r="A334" s="14">
        <v>42043.0</v>
      </c>
      <c r="B334" s="15" t="s">
        <v>74</v>
      </c>
      <c r="C334" s="15" t="s">
        <v>75</v>
      </c>
      <c r="D334" s="15" t="s">
        <v>76</v>
      </c>
      <c r="E334" s="15" t="s">
        <v>77</v>
      </c>
      <c r="F334" s="15">
        <v>9.0</v>
      </c>
      <c r="G334" s="15" t="s">
        <v>295</v>
      </c>
      <c r="L334" s="15" t="s">
        <v>655</v>
      </c>
      <c r="M334" s="15" t="s">
        <v>115</v>
      </c>
      <c r="N334" s="15" t="s">
        <v>122</v>
      </c>
      <c r="O334" s="15" t="s">
        <v>130</v>
      </c>
      <c r="P334" s="15" t="s">
        <v>1372</v>
      </c>
    </row>
    <row r="335" ht="28.5" customHeight="1">
      <c r="A335" s="14">
        <v>42044.0</v>
      </c>
      <c r="B335" s="15" t="s">
        <v>74</v>
      </c>
      <c r="C335" s="15" t="s">
        <v>75</v>
      </c>
      <c r="D335" s="15" t="s">
        <v>82</v>
      </c>
      <c r="E335" s="15" t="s">
        <v>77</v>
      </c>
      <c r="F335" s="15">
        <v>9.0</v>
      </c>
      <c r="G335" s="15" t="s">
        <v>295</v>
      </c>
      <c r="L335" s="15" t="s">
        <v>381</v>
      </c>
      <c r="M335" s="15" t="s">
        <v>115</v>
      </c>
      <c r="N335" s="15" t="s">
        <v>162</v>
      </c>
      <c r="O335" s="15" t="s">
        <v>130</v>
      </c>
      <c r="P335" s="15" t="s">
        <v>1373</v>
      </c>
    </row>
    <row r="336" ht="28.5" customHeight="1">
      <c r="A336" s="14">
        <v>42044.0</v>
      </c>
      <c r="B336" s="15" t="s">
        <v>74</v>
      </c>
      <c r="C336" s="15" t="s">
        <v>75</v>
      </c>
      <c r="D336" s="15" t="s">
        <v>82</v>
      </c>
      <c r="E336" s="15" t="s">
        <v>77</v>
      </c>
      <c r="F336" s="15">
        <v>9.0</v>
      </c>
      <c r="G336" s="15" t="s">
        <v>295</v>
      </c>
      <c r="L336" s="15" t="s">
        <v>1046</v>
      </c>
      <c r="M336" s="15" t="s">
        <v>115</v>
      </c>
      <c r="O336" s="15" t="s">
        <v>130</v>
      </c>
      <c r="P336" s="15" t="s">
        <v>1375</v>
      </c>
    </row>
    <row r="337" ht="28.5" customHeight="1">
      <c r="A337" s="14">
        <v>42041.0</v>
      </c>
      <c r="B337" s="15" t="s">
        <v>143</v>
      </c>
      <c r="C337" s="15" t="s">
        <v>144</v>
      </c>
      <c r="D337" s="15" t="s">
        <v>145</v>
      </c>
      <c r="E337" s="15" t="s">
        <v>146</v>
      </c>
      <c r="F337" s="15">
        <v>10.0</v>
      </c>
      <c r="G337" s="15" t="s">
        <v>147</v>
      </c>
      <c r="H337" s="15" t="s">
        <v>113</v>
      </c>
      <c r="I337" s="15" t="s">
        <v>170</v>
      </c>
      <c r="J337" s="15" t="s">
        <v>113</v>
      </c>
      <c r="K337" s="15" t="s">
        <v>171</v>
      </c>
      <c r="L337" s="15" t="s">
        <v>306</v>
      </c>
      <c r="M337" s="15" t="s">
        <v>170</v>
      </c>
      <c r="N337" s="15" t="s">
        <v>113</v>
      </c>
      <c r="O337" s="15" t="s">
        <v>685</v>
      </c>
    </row>
    <row r="338" ht="28.5" customHeight="1">
      <c r="A338" s="14">
        <v>42045.0</v>
      </c>
      <c r="B338" s="18" t="s">
        <v>675</v>
      </c>
      <c r="C338" s="18" t="s">
        <v>676</v>
      </c>
      <c r="D338" s="15" t="s">
        <v>678</v>
      </c>
      <c r="E338" s="15" t="s">
        <v>679</v>
      </c>
      <c r="F338" s="15">
        <v>10.0</v>
      </c>
      <c r="G338" s="15" t="s">
        <v>259</v>
      </c>
      <c r="H338" s="15" t="s">
        <v>1378</v>
      </c>
      <c r="I338" s="15" t="s">
        <v>277</v>
      </c>
      <c r="K338" s="15" t="s">
        <v>277</v>
      </c>
      <c r="N338" s="15" t="s">
        <v>115</v>
      </c>
      <c r="O338" s="15" t="s">
        <v>122</v>
      </c>
      <c r="P338" s="15" t="s">
        <v>211</v>
      </c>
    </row>
    <row r="339" ht="28.5" customHeight="1">
      <c r="A339" s="14">
        <v>42045.0</v>
      </c>
      <c r="B339" s="18" t="s">
        <v>675</v>
      </c>
      <c r="C339" s="18" t="s">
        <v>676</v>
      </c>
      <c r="D339" s="15" t="s">
        <v>678</v>
      </c>
      <c r="E339" s="15" t="s">
        <v>679</v>
      </c>
      <c r="F339" s="15">
        <v>10.0</v>
      </c>
      <c r="G339" s="15" t="s">
        <v>259</v>
      </c>
      <c r="H339" s="39">
        <v>190.0</v>
      </c>
      <c r="I339" s="15" t="s">
        <v>277</v>
      </c>
      <c r="K339" s="15" t="s">
        <v>277</v>
      </c>
      <c r="M339" s="15" t="s">
        <v>1391</v>
      </c>
      <c r="N339" s="15" t="s">
        <v>115</v>
      </c>
      <c r="O339" s="15" t="s">
        <v>122</v>
      </c>
      <c r="P339" s="15" t="s">
        <v>1396</v>
      </c>
    </row>
    <row r="340" ht="28.5" customHeight="1">
      <c r="A340" s="14">
        <v>42045.0</v>
      </c>
      <c r="B340" s="18" t="s">
        <v>675</v>
      </c>
      <c r="C340" s="18" t="s">
        <v>676</v>
      </c>
      <c r="D340" s="15" t="s">
        <v>678</v>
      </c>
      <c r="E340" s="15" t="s">
        <v>679</v>
      </c>
      <c r="F340" s="15">
        <v>10.0</v>
      </c>
      <c r="G340" s="15" t="s">
        <v>259</v>
      </c>
      <c r="H340" s="40" t="s">
        <v>1400</v>
      </c>
      <c r="I340" s="15" t="s">
        <v>277</v>
      </c>
      <c r="K340" s="15" t="s">
        <v>277</v>
      </c>
      <c r="N340" s="15" t="s">
        <v>115</v>
      </c>
      <c r="O340" s="15" t="s">
        <v>122</v>
      </c>
      <c r="P340" s="15" t="s">
        <v>1404</v>
      </c>
    </row>
    <row r="341" ht="28.5" customHeight="1">
      <c r="A341" s="14">
        <v>42045.0</v>
      </c>
      <c r="B341" s="18" t="s">
        <v>675</v>
      </c>
      <c r="C341" s="18" t="s">
        <v>676</v>
      </c>
      <c r="D341" s="15" t="s">
        <v>678</v>
      </c>
      <c r="E341" s="15" t="s">
        <v>679</v>
      </c>
      <c r="F341" s="15">
        <v>10.0</v>
      </c>
      <c r="G341" s="15" t="s">
        <v>259</v>
      </c>
      <c r="H341" s="15" t="s">
        <v>1411</v>
      </c>
      <c r="I341" s="15" t="s">
        <v>277</v>
      </c>
      <c r="K341" s="15" t="s">
        <v>277</v>
      </c>
      <c r="N341" s="15" t="s">
        <v>115</v>
      </c>
      <c r="O341" s="15" t="s">
        <v>122</v>
      </c>
    </row>
    <row r="342" ht="28.5" customHeight="1">
      <c r="A342" s="14">
        <v>42045.0</v>
      </c>
      <c r="B342" s="18" t="s">
        <v>675</v>
      </c>
      <c r="C342" s="18" t="s">
        <v>676</v>
      </c>
      <c r="D342" s="15" t="s">
        <v>678</v>
      </c>
      <c r="E342" s="15" t="s">
        <v>679</v>
      </c>
      <c r="F342" s="15">
        <v>10.0</v>
      </c>
      <c r="G342" s="15" t="s">
        <v>259</v>
      </c>
      <c r="H342" s="15" t="s">
        <v>1413</v>
      </c>
      <c r="I342" s="15" t="s">
        <v>277</v>
      </c>
      <c r="K342" s="15" t="s">
        <v>277</v>
      </c>
      <c r="M342" s="15" t="s">
        <v>276</v>
      </c>
      <c r="N342" s="15" t="s">
        <v>115</v>
      </c>
      <c r="O342" s="15" t="s">
        <v>122</v>
      </c>
    </row>
    <row r="343" ht="28.5" customHeight="1">
      <c r="A343" s="14">
        <v>42045.0</v>
      </c>
      <c r="B343" s="18" t="s">
        <v>675</v>
      </c>
      <c r="C343" s="18" t="s">
        <v>676</v>
      </c>
      <c r="D343" s="15" t="s">
        <v>678</v>
      </c>
      <c r="E343" s="15" t="s">
        <v>679</v>
      </c>
      <c r="F343" s="15">
        <v>10.0</v>
      </c>
      <c r="G343" s="15" t="s">
        <v>259</v>
      </c>
      <c r="H343" s="15" t="s">
        <v>692</v>
      </c>
      <c r="I343" s="15" t="s">
        <v>277</v>
      </c>
      <c r="K343" s="15" t="s">
        <v>277</v>
      </c>
      <c r="N343" s="15" t="s">
        <v>115</v>
      </c>
      <c r="O343" s="15" t="s">
        <v>122</v>
      </c>
    </row>
    <row r="344" ht="28.5" customHeight="1">
      <c r="A344" s="14">
        <v>42045.0</v>
      </c>
      <c r="B344" s="18" t="s">
        <v>675</v>
      </c>
      <c r="C344" s="18" t="s">
        <v>676</v>
      </c>
      <c r="D344" s="15" t="s">
        <v>678</v>
      </c>
      <c r="E344" s="15" t="s">
        <v>679</v>
      </c>
      <c r="F344" s="15">
        <v>10.0</v>
      </c>
      <c r="G344" s="15" t="s">
        <v>259</v>
      </c>
      <c r="H344" s="40" t="s">
        <v>1422</v>
      </c>
      <c r="I344" s="15" t="s">
        <v>277</v>
      </c>
      <c r="K344" s="15" t="s">
        <v>277</v>
      </c>
      <c r="N344" s="15" t="s">
        <v>115</v>
      </c>
      <c r="O344" s="15" t="s">
        <v>122</v>
      </c>
      <c r="P344" s="15" t="s">
        <v>1404</v>
      </c>
    </row>
    <row r="345" ht="28.5" customHeight="1">
      <c r="A345" s="14">
        <v>42045.0</v>
      </c>
      <c r="B345" s="18" t="s">
        <v>675</v>
      </c>
      <c r="C345" s="18" t="s">
        <v>676</v>
      </c>
      <c r="D345" s="15" t="s">
        <v>678</v>
      </c>
      <c r="E345" s="15" t="s">
        <v>679</v>
      </c>
      <c r="F345" s="15">
        <v>10.0</v>
      </c>
      <c r="G345" s="15" t="s">
        <v>259</v>
      </c>
      <c r="H345" s="40" t="s">
        <v>1426</v>
      </c>
      <c r="I345" s="15" t="s">
        <v>277</v>
      </c>
      <c r="K345" s="15" t="s">
        <v>277</v>
      </c>
      <c r="N345" s="15" t="s">
        <v>115</v>
      </c>
      <c r="O345" s="15" t="s">
        <v>122</v>
      </c>
    </row>
    <row r="346" ht="28.5" customHeight="1">
      <c r="A346" s="14">
        <v>42045.0</v>
      </c>
      <c r="B346" s="18" t="s">
        <v>675</v>
      </c>
      <c r="C346" s="18" t="s">
        <v>676</v>
      </c>
      <c r="D346" s="15" t="s">
        <v>678</v>
      </c>
      <c r="E346" s="15" t="s">
        <v>679</v>
      </c>
      <c r="F346" s="15">
        <v>10.0</v>
      </c>
      <c r="G346" s="15" t="s">
        <v>259</v>
      </c>
      <c r="H346" s="41"/>
      <c r="I346" s="15" t="s">
        <v>277</v>
      </c>
      <c r="M346" s="15" t="s">
        <v>277</v>
      </c>
      <c r="N346" s="15" t="s">
        <v>115</v>
      </c>
      <c r="O346" s="15" t="s">
        <v>685</v>
      </c>
      <c r="P346" s="15" t="s">
        <v>1437</v>
      </c>
    </row>
    <row r="347" ht="28.5" customHeight="1">
      <c r="A347" s="14">
        <v>42045.0</v>
      </c>
      <c r="B347" s="18" t="s">
        <v>675</v>
      </c>
      <c r="C347" s="18" t="s">
        <v>676</v>
      </c>
      <c r="D347" s="15" t="s">
        <v>678</v>
      </c>
      <c r="E347" s="15" t="s">
        <v>679</v>
      </c>
      <c r="F347" s="15">
        <v>10.0</v>
      </c>
      <c r="G347" s="15" t="s">
        <v>259</v>
      </c>
      <c r="H347" s="41"/>
      <c r="I347" s="15" t="s">
        <v>277</v>
      </c>
      <c r="K347" s="15" t="s">
        <v>148</v>
      </c>
      <c r="N347" s="15" t="s">
        <v>115</v>
      </c>
      <c r="O347" s="15" t="s">
        <v>685</v>
      </c>
      <c r="P347" s="15" t="s">
        <v>1446</v>
      </c>
    </row>
    <row r="348" ht="28.5" customHeight="1">
      <c r="A348" s="14">
        <v>42045.0</v>
      </c>
      <c r="B348" s="18" t="s">
        <v>675</v>
      </c>
      <c r="C348" s="18" t="s">
        <v>676</v>
      </c>
      <c r="D348" s="15" t="s">
        <v>678</v>
      </c>
      <c r="E348" s="15" t="s">
        <v>679</v>
      </c>
      <c r="F348" s="15">
        <v>10.0</v>
      </c>
      <c r="G348" s="15" t="s">
        <v>259</v>
      </c>
      <c r="H348" s="40" t="s">
        <v>1449</v>
      </c>
      <c r="I348" s="15" t="s">
        <v>193</v>
      </c>
      <c r="K348" s="15" t="s">
        <v>193</v>
      </c>
      <c r="N348" s="15" t="s">
        <v>115</v>
      </c>
      <c r="O348" s="15" t="s">
        <v>122</v>
      </c>
      <c r="P348" s="15" t="s">
        <v>1455</v>
      </c>
    </row>
    <row r="349" ht="28.5" customHeight="1">
      <c r="A349" s="24">
        <v>42047.0</v>
      </c>
      <c r="B349" s="18" t="s">
        <v>117</v>
      </c>
      <c r="C349" s="18" t="s">
        <v>104</v>
      </c>
      <c r="D349" s="18" t="s">
        <v>123</v>
      </c>
      <c r="E349" s="18" t="s">
        <v>119</v>
      </c>
      <c r="F349" s="15">
        <v>10.0</v>
      </c>
      <c r="G349" s="15" t="s">
        <v>295</v>
      </c>
      <c r="K349" s="15" t="s">
        <v>115</v>
      </c>
      <c r="L349" s="15" t="s">
        <v>306</v>
      </c>
      <c r="N349" s="15" t="s">
        <v>576</v>
      </c>
      <c r="O349" s="15" t="s">
        <v>122</v>
      </c>
    </row>
    <row r="350" ht="28.5" customHeight="1">
      <c r="A350" s="24">
        <v>42047.0</v>
      </c>
      <c r="B350" s="18" t="s">
        <v>117</v>
      </c>
      <c r="C350" s="18" t="s">
        <v>104</v>
      </c>
      <c r="D350" s="18" t="s">
        <v>123</v>
      </c>
      <c r="E350" s="18" t="s">
        <v>119</v>
      </c>
      <c r="F350" s="15">
        <v>10.0</v>
      </c>
      <c r="G350" s="15" t="s">
        <v>295</v>
      </c>
      <c r="L350" s="15" t="s">
        <v>323</v>
      </c>
      <c r="M350" s="15" t="s">
        <v>115</v>
      </c>
      <c r="N350" s="15" t="s">
        <v>655</v>
      </c>
      <c r="O350" s="15" t="s">
        <v>122</v>
      </c>
    </row>
    <row r="351" ht="28.5" customHeight="1">
      <c r="A351" s="24">
        <v>42047.0</v>
      </c>
      <c r="B351" s="18" t="s">
        <v>117</v>
      </c>
      <c r="C351" s="18" t="s">
        <v>104</v>
      </c>
      <c r="D351" s="18" t="s">
        <v>123</v>
      </c>
      <c r="E351" s="18" t="s">
        <v>119</v>
      </c>
      <c r="F351" s="15">
        <v>10.0</v>
      </c>
      <c r="G351" s="15" t="s">
        <v>295</v>
      </c>
      <c r="L351" s="15" t="s">
        <v>456</v>
      </c>
      <c r="M351" s="15" t="s">
        <v>115</v>
      </c>
      <c r="N351" s="15" t="s">
        <v>162</v>
      </c>
      <c r="O351" s="15" t="s">
        <v>122</v>
      </c>
    </row>
    <row r="352" ht="28.5" customHeight="1">
      <c r="A352" s="24">
        <v>42047.0</v>
      </c>
      <c r="B352" s="18" t="s">
        <v>117</v>
      </c>
      <c r="C352" s="18" t="s">
        <v>104</v>
      </c>
      <c r="D352" s="18" t="s">
        <v>123</v>
      </c>
      <c r="E352" s="18" t="s">
        <v>119</v>
      </c>
      <c r="F352" s="15">
        <v>10.0</v>
      </c>
      <c r="G352" s="15" t="s">
        <v>295</v>
      </c>
      <c r="L352" s="15" t="s">
        <v>323</v>
      </c>
      <c r="M352" s="15" t="s">
        <v>115</v>
      </c>
      <c r="N352" s="15" t="s">
        <v>189</v>
      </c>
      <c r="O352" s="15" t="s">
        <v>122</v>
      </c>
    </row>
    <row r="353" ht="28.5" customHeight="1">
      <c r="A353" s="14">
        <v>42041.0</v>
      </c>
      <c r="B353" s="18" t="s">
        <v>102</v>
      </c>
      <c r="C353" s="18" t="s">
        <v>104</v>
      </c>
      <c r="D353" s="15" t="s">
        <v>475</v>
      </c>
      <c r="E353" s="15" t="s">
        <v>269</v>
      </c>
      <c r="F353" s="15">
        <v>10.0</v>
      </c>
      <c r="G353" s="15" t="s">
        <v>295</v>
      </c>
      <c r="K353" s="15" t="s">
        <v>115</v>
      </c>
      <c r="L353" s="15" t="s">
        <v>120</v>
      </c>
      <c r="N353" s="15" t="s">
        <v>405</v>
      </c>
      <c r="O353" s="15" t="s">
        <v>122</v>
      </c>
    </row>
    <row r="354" ht="28.5" customHeight="1">
      <c r="A354" s="14">
        <v>42041.0</v>
      </c>
      <c r="B354" s="18" t="s">
        <v>102</v>
      </c>
      <c r="C354" s="18" t="s">
        <v>104</v>
      </c>
      <c r="D354" s="15" t="s">
        <v>475</v>
      </c>
      <c r="E354" s="15" t="s">
        <v>269</v>
      </c>
      <c r="F354" s="15">
        <v>10.0</v>
      </c>
      <c r="G354" s="15" t="s">
        <v>295</v>
      </c>
      <c r="K354" s="15" t="s">
        <v>115</v>
      </c>
      <c r="L354" s="15" t="s">
        <v>162</v>
      </c>
      <c r="N354" s="15" t="s">
        <v>190</v>
      </c>
      <c r="O354" s="15" t="s">
        <v>122</v>
      </c>
    </row>
    <row r="355" ht="28.5" customHeight="1">
      <c r="A355" s="14">
        <v>42041.0</v>
      </c>
      <c r="B355" s="18" t="s">
        <v>102</v>
      </c>
      <c r="C355" s="18" t="s">
        <v>104</v>
      </c>
      <c r="D355" s="15" t="s">
        <v>475</v>
      </c>
      <c r="E355" s="15" t="s">
        <v>269</v>
      </c>
      <c r="F355" s="15">
        <v>10.0</v>
      </c>
      <c r="G355" s="15" t="s">
        <v>295</v>
      </c>
      <c r="L355" s="15" t="s">
        <v>323</v>
      </c>
      <c r="M355" s="15" t="s">
        <v>115</v>
      </c>
      <c r="N355" s="15" t="s">
        <v>521</v>
      </c>
      <c r="O355" s="15" t="s">
        <v>122</v>
      </c>
    </row>
    <row r="356" ht="28.5" customHeight="1">
      <c r="A356" s="14">
        <v>42041.0</v>
      </c>
      <c r="B356" s="18" t="s">
        <v>102</v>
      </c>
      <c r="C356" s="18" t="s">
        <v>104</v>
      </c>
      <c r="D356" s="15" t="s">
        <v>475</v>
      </c>
      <c r="E356" s="15" t="s">
        <v>269</v>
      </c>
      <c r="F356" s="15">
        <v>10.0</v>
      </c>
      <c r="G356" s="15" t="s">
        <v>295</v>
      </c>
      <c r="L356" s="15" t="s">
        <v>398</v>
      </c>
      <c r="M356" s="15" t="s">
        <v>115</v>
      </c>
      <c r="O356" s="15" t="s">
        <v>122</v>
      </c>
    </row>
    <row r="357" ht="28.5" customHeight="1">
      <c r="A357" s="14">
        <v>42043.0</v>
      </c>
      <c r="B357" s="15" t="s">
        <v>74</v>
      </c>
      <c r="C357" s="15" t="s">
        <v>75</v>
      </c>
      <c r="D357" s="15" t="s">
        <v>76</v>
      </c>
      <c r="E357" s="15" t="s">
        <v>77</v>
      </c>
      <c r="F357" s="15">
        <v>10.0</v>
      </c>
      <c r="G357" s="15" t="s">
        <v>295</v>
      </c>
      <c r="L357" s="15" t="s">
        <v>194</v>
      </c>
      <c r="M357" s="15" t="s">
        <v>115</v>
      </c>
      <c r="N357" s="15" t="s">
        <v>162</v>
      </c>
      <c r="O357" s="15" t="s">
        <v>130</v>
      </c>
      <c r="P357" s="15" t="s">
        <v>1477</v>
      </c>
    </row>
    <row r="358" ht="28.5" customHeight="1">
      <c r="A358" s="26">
        <v>42046.0</v>
      </c>
      <c r="B358" s="18" t="s">
        <v>421</v>
      </c>
      <c r="C358" s="15" t="s">
        <v>218</v>
      </c>
      <c r="D358" s="15" t="s">
        <v>422</v>
      </c>
      <c r="E358" s="18" t="s">
        <v>119</v>
      </c>
      <c r="F358" s="15">
        <v>11.0</v>
      </c>
      <c r="G358" s="15" t="s">
        <v>147</v>
      </c>
      <c r="I358" s="15" t="s">
        <v>140</v>
      </c>
      <c r="K358" s="15" t="s">
        <v>115</v>
      </c>
      <c r="L358" s="15" t="s">
        <v>1481</v>
      </c>
      <c r="M358" s="15" t="s">
        <v>235</v>
      </c>
      <c r="N358" s="15" t="s">
        <v>189</v>
      </c>
      <c r="O358" s="15" t="s">
        <v>130</v>
      </c>
      <c r="P358" s="15" t="s">
        <v>1484</v>
      </c>
    </row>
    <row r="359" ht="28.5" customHeight="1">
      <c r="A359" s="26">
        <v>42046.0</v>
      </c>
      <c r="B359" s="18" t="s">
        <v>421</v>
      </c>
      <c r="C359" s="15" t="s">
        <v>218</v>
      </c>
      <c r="D359" s="15" t="s">
        <v>422</v>
      </c>
      <c r="E359" s="18" t="s">
        <v>119</v>
      </c>
      <c r="F359" s="15">
        <v>11.0</v>
      </c>
      <c r="G359" s="15" t="s">
        <v>147</v>
      </c>
      <c r="I359" s="15" t="s">
        <v>484</v>
      </c>
      <c r="K359" s="15" t="s">
        <v>1108</v>
      </c>
      <c r="L359" s="15" t="s">
        <v>389</v>
      </c>
      <c r="M359" s="15" t="s">
        <v>115</v>
      </c>
      <c r="N359" s="15" t="s">
        <v>225</v>
      </c>
      <c r="O359" s="15" t="s">
        <v>130</v>
      </c>
    </row>
    <row r="360" ht="28.5" customHeight="1">
      <c r="A360" s="26">
        <v>42046.0</v>
      </c>
      <c r="B360" s="18" t="s">
        <v>421</v>
      </c>
      <c r="C360" s="15" t="s">
        <v>218</v>
      </c>
      <c r="D360" s="15" t="s">
        <v>422</v>
      </c>
      <c r="E360" s="18" t="s">
        <v>119</v>
      </c>
      <c r="F360" s="15">
        <v>11.0</v>
      </c>
      <c r="G360" s="15" t="s">
        <v>295</v>
      </c>
      <c r="K360" s="15" t="s">
        <v>115</v>
      </c>
      <c r="L360" s="15" t="s">
        <v>337</v>
      </c>
      <c r="M360" s="15" t="s">
        <v>225</v>
      </c>
      <c r="N360" s="15" t="s">
        <v>225</v>
      </c>
      <c r="O360" s="15" t="s">
        <v>130</v>
      </c>
    </row>
    <row r="361" ht="28.5" customHeight="1">
      <c r="A361" s="26">
        <v>42046.0</v>
      </c>
      <c r="B361" s="18" t="s">
        <v>421</v>
      </c>
      <c r="C361" s="15" t="s">
        <v>218</v>
      </c>
      <c r="D361" s="15" t="s">
        <v>422</v>
      </c>
      <c r="E361" s="18" t="s">
        <v>119</v>
      </c>
      <c r="F361" s="15">
        <v>11.0</v>
      </c>
      <c r="G361" s="15" t="s">
        <v>295</v>
      </c>
      <c r="K361" s="15" t="s">
        <v>225</v>
      </c>
      <c r="L361" s="15" t="s">
        <v>353</v>
      </c>
      <c r="M361" s="15" t="s">
        <v>115</v>
      </c>
      <c r="N361" s="15" t="s">
        <v>225</v>
      </c>
      <c r="O361" s="15" t="s">
        <v>130</v>
      </c>
      <c r="P361" s="15" t="s">
        <v>1495</v>
      </c>
    </row>
    <row r="362" ht="28.5" customHeight="1">
      <c r="A362" s="14">
        <v>42041.0</v>
      </c>
      <c r="B362" s="15" t="s">
        <v>143</v>
      </c>
      <c r="C362" s="15" t="s">
        <v>144</v>
      </c>
      <c r="D362" s="15" t="s">
        <v>145</v>
      </c>
      <c r="E362" s="15" t="s">
        <v>146</v>
      </c>
      <c r="F362" s="15">
        <v>12.0</v>
      </c>
      <c r="G362" s="15" t="s">
        <v>147</v>
      </c>
      <c r="H362" s="15" t="s">
        <v>1498</v>
      </c>
      <c r="I362" s="15" t="s">
        <v>1026</v>
      </c>
      <c r="J362" s="15" t="s">
        <v>1500</v>
      </c>
      <c r="K362" s="15" t="s">
        <v>115</v>
      </c>
      <c r="L362" s="15" t="s">
        <v>113</v>
      </c>
      <c r="M362" s="15" t="s">
        <v>1501</v>
      </c>
      <c r="N362" s="15" t="s">
        <v>113</v>
      </c>
      <c r="O362" s="15" t="s">
        <v>122</v>
      </c>
    </row>
    <row r="363" ht="28.5" customHeight="1">
      <c r="A363" s="14">
        <v>42045.0</v>
      </c>
      <c r="B363" s="15" t="s">
        <v>1502</v>
      </c>
      <c r="C363" s="15" t="s">
        <v>1503</v>
      </c>
      <c r="D363" s="15" t="s">
        <v>1505</v>
      </c>
      <c r="E363" s="15" t="s">
        <v>679</v>
      </c>
      <c r="F363" s="15">
        <v>12.0</v>
      </c>
      <c r="G363" s="15" t="s">
        <v>259</v>
      </c>
      <c r="H363" s="15" t="s">
        <v>1509</v>
      </c>
      <c r="I363" s="15" t="s">
        <v>1511</v>
      </c>
      <c r="K363" s="15" t="s">
        <v>1512</v>
      </c>
      <c r="L363" s="15" t="s">
        <v>1513</v>
      </c>
    </row>
    <row r="364" ht="28.5" customHeight="1">
      <c r="A364" s="14">
        <v>42043.0</v>
      </c>
      <c r="B364" s="15" t="s">
        <v>74</v>
      </c>
      <c r="C364" s="15" t="s">
        <v>75</v>
      </c>
      <c r="D364" s="15" t="s">
        <v>76</v>
      </c>
      <c r="E364" s="15" t="s">
        <v>77</v>
      </c>
      <c r="F364" s="15">
        <v>12.0</v>
      </c>
      <c r="G364" s="15" t="s">
        <v>295</v>
      </c>
      <c r="K364" s="15" t="s">
        <v>148</v>
      </c>
      <c r="L364" s="15" t="s">
        <v>162</v>
      </c>
      <c r="M364" s="15" t="s">
        <v>115</v>
      </c>
      <c r="O364" s="15" t="s">
        <v>130</v>
      </c>
      <c r="P364" s="15" t="s">
        <v>1517</v>
      </c>
    </row>
    <row r="365" ht="28.5" customHeight="1">
      <c r="A365" s="14">
        <v>42043.0</v>
      </c>
      <c r="B365" s="15" t="s">
        <v>74</v>
      </c>
      <c r="C365" s="15" t="s">
        <v>75</v>
      </c>
      <c r="D365" s="15" t="s">
        <v>76</v>
      </c>
      <c r="E365" s="15" t="s">
        <v>77</v>
      </c>
      <c r="F365" s="15">
        <v>12.0</v>
      </c>
      <c r="G365" s="15" t="s">
        <v>295</v>
      </c>
      <c r="K365" s="15" t="s">
        <v>115</v>
      </c>
      <c r="N365" s="15" t="s">
        <v>598</v>
      </c>
      <c r="O365" s="15" t="s">
        <v>130</v>
      </c>
      <c r="P365" s="15" t="s">
        <v>1518</v>
      </c>
    </row>
    <row r="366" ht="28.5" customHeight="1">
      <c r="A366" s="14">
        <v>42043.0</v>
      </c>
      <c r="B366" s="15" t="s">
        <v>74</v>
      </c>
      <c r="C366" s="15" t="s">
        <v>75</v>
      </c>
      <c r="D366" s="15" t="s">
        <v>76</v>
      </c>
      <c r="E366" s="15" t="s">
        <v>77</v>
      </c>
      <c r="F366" s="15">
        <v>13.0</v>
      </c>
      <c r="G366" s="15" t="s">
        <v>295</v>
      </c>
      <c r="K366" s="15" t="s">
        <v>380</v>
      </c>
      <c r="M366" s="15" t="s">
        <v>358</v>
      </c>
      <c r="O366" s="15" t="s">
        <v>130</v>
      </c>
      <c r="P366" s="15" t="s">
        <v>1523</v>
      </c>
    </row>
    <row r="367" ht="28.5" customHeight="1">
      <c r="A367" s="14">
        <v>42043.0</v>
      </c>
      <c r="B367" s="15" t="s">
        <v>74</v>
      </c>
      <c r="C367" s="15" t="s">
        <v>75</v>
      </c>
      <c r="D367" s="15" t="s">
        <v>76</v>
      </c>
      <c r="E367" s="15" t="s">
        <v>77</v>
      </c>
      <c r="F367" s="15">
        <v>13.0</v>
      </c>
      <c r="G367" s="15" t="s">
        <v>295</v>
      </c>
      <c r="L367" s="15" t="s">
        <v>576</v>
      </c>
      <c r="M367" s="15" t="s">
        <v>115</v>
      </c>
      <c r="N367" s="15" t="s">
        <v>122</v>
      </c>
      <c r="O367" s="15" t="s">
        <v>130</v>
      </c>
      <c r="P367" s="15" t="s">
        <v>1525</v>
      </c>
    </row>
    <row r="368" ht="28.5" customHeight="1">
      <c r="A368" s="14">
        <v>42043.0</v>
      </c>
      <c r="B368" s="15" t="s">
        <v>74</v>
      </c>
      <c r="C368" s="15" t="s">
        <v>75</v>
      </c>
      <c r="D368" s="15" t="s">
        <v>76</v>
      </c>
      <c r="E368" s="15" t="s">
        <v>77</v>
      </c>
      <c r="F368" s="15">
        <v>13.0</v>
      </c>
      <c r="G368" s="15" t="s">
        <v>295</v>
      </c>
      <c r="L368" s="15" t="s">
        <v>572</v>
      </c>
      <c r="M368" s="15" t="s">
        <v>115</v>
      </c>
      <c r="N368" s="15" t="s">
        <v>122</v>
      </c>
      <c r="O368" s="15" t="s">
        <v>130</v>
      </c>
      <c r="P368" s="15" t="s">
        <v>1529</v>
      </c>
    </row>
    <row r="369" ht="28.5" customHeight="1">
      <c r="A369" s="14">
        <v>42043.0</v>
      </c>
      <c r="B369" s="15" t="s">
        <v>74</v>
      </c>
      <c r="C369" s="15" t="s">
        <v>75</v>
      </c>
      <c r="D369" s="15" t="s">
        <v>76</v>
      </c>
      <c r="E369" s="15" t="s">
        <v>77</v>
      </c>
      <c r="F369" s="15">
        <v>14.0</v>
      </c>
      <c r="G369" s="15" t="s">
        <v>295</v>
      </c>
      <c r="L369" s="15" t="s">
        <v>538</v>
      </c>
      <c r="M369" s="15" t="s">
        <v>115</v>
      </c>
      <c r="N369" s="15" t="s">
        <v>162</v>
      </c>
      <c r="O369" s="15" t="s">
        <v>130</v>
      </c>
      <c r="P369" s="15" t="s">
        <v>1536</v>
      </c>
    </row>
    <row r="370" ht="28.5" customHeight="1">
      <c r="A370" s="14">
        <v>42044.0</v>
      </c>
      <c r="B370" s="15" t="s">
        <v>1538</v>
      </c>
      <c r="C370" s="15" t="s">
        <v>1493</v>
      </c>
      <c r="D370" s="15" t="s">
        <v>1494</v>
      </c>
      <c r="E370" s="15" t="s">
        <v>1483</v>
      </c>
      <c r="F370" s="15" t="s">
        <v>1031</v>
      </c>
      <c r="G370" s="15" t="s">
        <v>147</v>
      </c>
      <c r="H370" s="15" t="s">
        <v>1539</v>
      </c>
      <c r="O370" s="15" t="s">
        <v>130</v>
      </c>
      <c r="P370" s="15" t="s">
        <v>211</v>
      </c>
    </row>
    <row r="371" ht="28.5" customHeight="1">
      <c r="A371" s="14">
        <v>42044.0</v>
      </c>
      <c r="B371" s="15" t="s">
        <v>1538</v>
      </c>
      <c r="C371" s="15" t="s">
        <v>1493</v>
      </c>
      <c r="D371" s="15" t="s">
        <v>1494</v>
      </c>
      <c r="E371" s="15" t="s">
        <v>1483</v>
      </c>
      <c r="F371" s="15" t="s">
        <v>1031</v>
      </c>
      <c r="G371" s="15" t="s">
        <v>147</v>
      </c>
      <c r="H371" s="15" t="s">
        <v>1540</v>
      </c>
      <c r="O371" s="15" t="s">
        <v>130</v>
      </c>
      <c r="P371" s="15" t="s">
        <v>211</v>
      </c>
    </row>
    <row r="372" ht="28.5" customHeight="1">
      <c r="A372" s="14">
        <v>42044.0</v>
      </c>
      <c r="B372" s="15" t="s">
        <v>1538</v>
      </c>
      <c r="C372" s="15" t="s">
        <v>1493</v>
      </c>
      <c r="D372" s="15" t="s">
        <v>1494</v>
      </c>
      <c r="E372" s="15" t="s">
        <v>1483</v>
      </c>
      <c r="F372" s="15" t="s">
        <v>1031</v>
      </c>
      <c r="G372" s="15" t="s">
        <v>147</v>
      </c>
      <c r="H372" s="15" t="s">
        <v>1544</v>
      </c>
      <c r="O372" s="15" t="s">
        <v>130</v>
      </c>
      <c r="P372" s="15" t="s">
        <v>211</v>
      </c>
    </row>
    <row r="373" ht="28.5" customHeight="1">
      <c r="A373" s="14">
        <v>42044.0</v>
      </c>
      <c r="B373" s="15" t="s">
        <v>1538</v>
      </c>
      <c r="C373" s="15" t="s">
        <v>1493</v>
      </c>
      <c r="D373" s="15" t="s">
        <v>1494</v>
      </c>
      <c r="E373" s="15" t="s">
        <v>1483</v>
      </c>
      <c r="F373" s="15" t="s">
        <v>1545</v>
      </c>
      <c r="G373" s="15" t="s">
        <v>147</v>
      </c>
      <c r="H373" s="15" t="s">
        <v>1546</v>
      </c>
      <c r="O373" s="15" t="s">
        <v>130</v>
      </c>
      <c r="P373" s="15" t="s">
        <v>211</v>
      </c>
    </row>
    <row r="374" ht="28.5" customHeight="1">
      <c r="A374" s="14">
        <v>42044.0</v>
      </c>
      <c r="B374" s="15" t="s">
        <v>1538</v>
      </c>
      <c r="C374" s="15" t="s">
        <v>1493</v>
      </c>
      <c r="D374" s="15" t="s">
        <v>1494</v>
      </c>
      <c r="E374" s="15" t="s">
        <v>1483</v>
      </c>
      <c r="F374" s="15" t="s">
        <v>1545</v>
      </c>
      <c r="G374" s="15" t="s">
        <v>147</v>
      </c>
      <c r="H374" s="15" t="s">
        <v>1553</v>
      </c>
      <c r="O374" s="15" t="s">
        <v>130</v>
      </c>
      <c r="P374" s="15" t="s">
        <v>211</v>
      </c>
    </row>
    <row r="375" ht="28.5" customHeight="1">
      <c r="A375" s="14">
        <v>42044.0</v>
      </c>
      <c r="B375" s="15" t="s">
        <v>1538</v>
      </c>
      <c r="C375" s="15" t="s">
        <v>1493</v>
      </c>
      <c r="D375" s="15" t="s">
        <v>1494</v>
      </c>
      <c r="E375" s="15" t="s">
        <v>1483</v>
      </c>
      <c r="F375" s="15" t="s">
        <v>1558</v>
      </c>
      <c r="G375" s="15" t="s">
        <v>147</v>
      </c>
      <c r="H375" s="15" t="s">
        <v>1559</v>
      </c>
      <c r="O375" s="15" t="s">
        <v>130</v>
      </c>
      <c r="P375" s="15" t="s">
        <v>211</v>
      </c>
    </row>
    <row r="376" ht="28.5" customHeight="1">
      <c r="A376" s="14">
        <v>42044.0</v>
      </c>
      <c r="B376" s="15" t="s">
        <v>1538</v>
      </c>
      <c r="C376" s="15" t="s">
        <v>1493</v>
      </c>
      <c r="D376" s="15" t="s">
        <v>1494</v>
      </c>
      <c r="E376" s="15" t="s">
        <v>1483</v>
      </c>
      <c r="F376" s="15" t="s">
        <v>1558</v>
      </c>
      <c r="G376" s="15" t="s">
        <v>147</v>
      </c>
      <c r="H376" s="15" t="s">
        <v>1568</v>
      </c>
      <c r="O376" s="15" t="s">
        <v>130</v>
      </c>
      <c r="P376" s="15" t="s">
        <v>211</v>
      </c>
    </row>
    <row r="377" ht="28.5" customHeight="1">
      <c r="A377" s="14">
        <v>42044.0</v>
      </c>
      <c r="B377" s="15" t="s">
        <v>1538</v>
      </c>
      <c r="C377" s="15" t="s">
        <v>1493</v>
      </c>
      <c r="D377" s="15" t="s">
        <v>1494</v>
      </c>
      <c r="E377" s="15" t="s">
        <v>1483</v>
      </c>
      <c r="F377" s="15" t="s">
        <v>1558</v>
      </c>
      <c r="G377" s="15" t="s">
        <v>147</v>
      </c>
      <c r="H377" s="15" t="s">
        <v>1569</v>
      </c>
      <c r="O377" s="15" t="s">
        <v>130</v>
      </c>
      <c r="P377" s="15" t="s">
        <v>211</v>
      </c>
    </row>
    <row r="378" ht="28.5" customHeight="1">
      <c r="A378" s="14">
        <v>42044.0</v>
      </c>
      <c r="B378" s="15" t="s">
        <v>1538</v>
      </c>
      <c r="C378" s="15" t="s">
        <v>1493</v>
      </c>
      <c r="D378" s="15" t="s">
        <v>1494</v>
      </c>
      <c r="E378" s="15" t="s">
        <v>1483</v>
      </c>
      <c r="F378" s="15" t="s">
        <v>1558</v>
      </c>
      <c r="G378" s="15" t="s">
        <v>147</v>
      </c>
      <c r="H378" s="15" t="s">
        <v>1576</v>
      </c>
      <c r="O378" s="15" t="s">
        <v>130</v>
      </c>
      <c r="P378" s="15" t="s">
        <v>211</v>
      </c>
    </row>
    <row r="379" ht="28.5" customHeight="1">
      <c r="A379" s="26">
        <v>42044.0</v>
      </c>
      <c r="B379" s="18" t="s">
        <v>1577</v>
      </c>
      <c r="C379" s="15" t="s">
        <v>1579</v>
      </c>
      <c r="D379" s="15" t="s">
        <v>1580</v>
      </c>
      <c r="E379" s="18" t="s">
        <v>146</v>
      </c>
      <c r="F379" s="15" t="s">
        <v>853</v>
      </c>
    </row>
    <row r="380" ht="28.5" customHeight="1">
      <c r="A380" s="26">
        <v>42043.0</v>
      </c>
      <c r="B380" s="18" t="s">
        <v>1581</v>
      </c>
      <c r="C380" s="15" t="s">
        <v>1582</v>
      </c>
      <c r="D380" s="15" t="s">
        <v>1583</v>
      </c>
      <c r="E380" s="18" t="s">
        <v>146</v>
      </c>
      <c r="F380" s="15" t="s">
        <v>853</v>
      </c>
    </row>
    <row r="381" ht="28.5" customHeight="1">
      <c r="A381" s="24">
        <v>42044.0</v>
      </c>
      <c r="B381" s="18" t="s">
        <v>1586</v>
      </c>
      <c r="C381" s="18" t="s">
        <v>1587</v>
      </c>
      <c r="D381" s="18" t="s">
        <v>1588</v>
      </c>
      <c r="E381" s="18" t="s">
        <v>670</v>
      </c>
      <c r="F381" s="16" t="s">
        <v>853</v>
      </c>
      <c r="G381" s="45"/>
      <c r="H381" s="45"/>
      <c r="I381" s="32"/>
    </row>
    <row r="382" ht="28.5" customHeight="1">
      <c r="A382" s="14">
        <v>42041.0</v>
      </c>
      <c r="B382" s="15" t="s">
        <v>1597</v>
      </c>
      <c r="C382" s="18" t="s">
        <v>1598</v>
      </c>
      <c r="D382" s="15" t="s">
        <v>1599</v>
      </c>
      <c r="E382" s="15" t="s">
        <v>679</v>
      </c>
      <c r="F382" s="15" t="s">
        <v>1601</v>
      </c>
      <c r="G382" s="15" t="s">
        <v>1602</v>
      </c>
      <c r="H382" s="15" t="s">
        <v>1603</v>
      </c>
      <c r="K382" s="15" t="s">
        <v>1604</v>
      </c>
      <c r="P382" s="15" t="s">
        <v>211</v>
      </c>
    </row>
    <row r="383" ht="28.5" customHeight="1">
      <c r="A383" s="14">
        <v>42041.0</v>
      </c>
      <c r="B383" s="15" t="s">
        <v>1605</v>
      </c>
      <c r="C383" s="15" t="s">
        <v>1606</v>
      </c>
      <c r="D383" s="15" t="s">
        <v>1607</v>
      </c>
      <c r="E383" s="15" t="s">
        <v>670</v>
      </c>
    </row>
    <row r="384" ht="28.5" customHeight="1">
      <c r="A384" s="22"/>
      <c r="B384" s="22"/>
      <c r="E384" s="22"/>
    </row>
    <row r="385" ht="28.5" customHeight="1">
      <c r="A385" s="22"/>
      <c r="B385" s="22"/>
      <c r="E385" s="22"/>
    </row>
    <row r="386" ht="28.5" customHeight="1">
      <c r="A386" s="22"/>
      <c r="B386" s="22"/>
      <c r="E386" s="22"/>
    </row>
  </sheetData>
  <mergeCells count="1">
    <mergeCell ref="A1:E1"/>
  </mergeCells>
  <drawing r:id="rId1"/>
</worksheet>
</file>