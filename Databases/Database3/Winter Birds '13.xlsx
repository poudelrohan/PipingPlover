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anpoudel/Documents/USFWS/PipingPlover/Databases/Database3/"/>
    </mc:Choice>
  </mc:AlternateContent>
  <xr:revisionPtr revIDLastSave="0" documentId="13_ncr:1_{D13E39FB-C2F2-1447-96F9-D984F4D3392E}" xr6:coauthVersionLast="47" xr6:coauthVersionMax="47" xr10:uidLastSave="{00000000-0000-0000-0000-000000000000}"/>
  <bookViews>
    <workbookView xWindow="14640" yWindow="-21000" windowWidth="19200" windowHeight="21000" activeTab="3" xr2:uid="{00000000-000D-0000-FFFF-FFFF00000000}"/>
  </bookViews>
  <sheets>
    <sheet name="Introduction" sheetId="1" r:id="rId1"/>
    <sheet name="Species GPS" sheetId="2" r:id="rId2"/>
    <sheet name="count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9" i="4" l="1"/>
  <c r="M17" i="4"/>
  <c r="M16" i="4"/>
  <c r="M15" i="4"/>
  <c r="M14" i="4"/>
  <c r="M13" i="4"/>
  <c r="M12" i="4"/>
  <c r="M11" i="4"/>
  <c r="M10" i="4"/>
  <c r="M4" i="4" s="1"/>
  <c r="M9" i="4"/>
  <c r="M8" i="4"/>
  <c r="M7" i="4"/>
  <c r="M6" i="4"/>
  <c r="M5" i="4"/>
  <c r="M3" i="4"/>
  <c r="BZ4" i="3"/>
  <c r="BY4" i="3"/>
  <c r="BY3" i="3"/>
  <c r="BX3" i="3"/>
  <c r="BX4" i="3"/>
  <c r="DB123" i="3"/>
  <c r="DB122" i="3"/>
  <c r="DB121" i="3"/>
  <c r="DB120" i="3"/>
  <c r="DB119" i="3"/>
  <c r="DB118" i="3"/>
  <c r="DB117" i="3"/>
  <c r="DB115" i="3"/>
  <c r="DB114" i="3"/>
  <c r="DB112" i="3"/>
  <c r="DB111" i="3"/>
  <c r="DB110" i="3"/>
  <c r="DB109" i="3"/>
  <c r="DB108" i="3"/>
  <c r="DB107" i="3"/>
  <c r="DB106" i="3"/>
  <c r="DB105" i="3"/>
  <c r="DB104" i="3"/>
  <c r="DB103" i="3"/>
  <c r="DB102" i="3"/>
  <c r="DB101" i="3"/>
  <c r="DB100" i="3"/>
  <c r="DB99" i="3"/>
  <c r="DB98" i="3"/>
  <c r="DB97" i="3"/>
  <c r="DB95" i="3"/>
  <c r="DB94" i="3"/>
  <c r="DB93" i="3"/>
  <c r="DB92" i="3"/>
  <c r="DB91" i="3"/>
  <c r="DB90" i="3"/>
  <c r="DB89" i="3"/>
  <c r="DB88" i="3"/>
  <c r="DB87" i="3"/>
  <c r="DB86" i="3"/>
  <c r="DB85" i="3"/>
  <c r="DB84" i="3"/>
  <c r="DB83" i="3"/>
  <c r="DB82" i="3"/>
  <c r="DB81" i="3"/>
  <c r="DB80" i="3"/>
  <c r="DB79" i="3"/>
  <c r="DB78" i="3"/>
  <c r="DB77" i="3"/>
  <c r="DB76" i="3"/>
  <c r="DB75" i="3"/>
  <c r="DB74" i="3"/>
  <c r="DB73" i="3"/>
  <c r="DB72" i="3"/>
  <c r="DB71" i="3"/>
  <c r="DB70" i="3"/>
  <c r="DB69" i="3"/>
  <c r="DB68" i="3"/>
  <c r="DB67" i="3"/>
  <c r="DB66" i="3"/>
  <c r="DB65" i="3"/>
  <c r="DB64" i="3"/>
  <c r="DB63" i="3"/>
  <c r="DB61" i="3"/>
  <c r="DB60" i="3"/>
  <c r="DB59" i="3"/>
  <c r="DB58" i="3"/>
  <c r="DB57" i="3"/>
  <c r="DB54" i="3"/>
  <c r="DB53" i="3"/>
  <c r="DB52" i="3"/>
  <c r="DB51" i="3"/>
  <c r="DB50" i="3"/>
  <c r="DB49" i="3"/>
  <c r="DB48" i="3"/>
  <c r="DB47" i="3"/>
  <c r="DB46" i="3"/>
  <c r="DB45" i="3"/>
  <c r="DB44" i="3"/>
  <c r="DB43" i="3"/>
  <c r="DB42" i="3"/>
  <c r="DB40" i="3"/>
  <c r="DB39" i="3"/>
  <c r="DB38" i="3"/>
  <c r="DB37" i="3"/>
  <c r="DB36" i="3"/>
  <c r="DB35" i="3"/>
  <c r="DB33" i="3"/>
  <c r="DB31" i="3"/>
  <c r="DB30" i="3"/>
  <c r="DB29" i="3"/>
  <c r="DB28" i="3"/>
  <c r="DB27" i="3"/>
  <c r="DB26" i="3"/>
  <c r="DB25" i="3"/>
  <c r="DB24" i="3"/>
  <c r="DB22" i="3"/>
  <c r="DB20" i="3"/>
  <c r="DB19" i="3"/>
  <c r="DB18" i="3"/>
  <c r="DB17" i="3"/>
  <c r="DB16" i="3"/>
  <c r="DB15" i="3"/>
  <c r="DB14" i="3"/>
  <c r="DB13" i="3"/>
  <c r="DB12" i="3"/>
  <c r="DB11" i="3"/>
  <c r="DB10" i="3"/>
  <c r="DB9" i="3"/>
  <c r="DB8" i="3"/>
  <c r="DB7" i="3"/>
  <c r="DB6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DB3" i="3" l="1"/>
</calcChain>
</file>

<file path=xl/sharedStrings.xml><?xml version="1.0" encoding="utf-8"?>
<sst xmlns="http://schemas.openxmlformats.org/spreadsheetml/2006/main" count="1632" uniqueCount="882">
  <si>
    <t xml:space="preserve"> </t>
  </si>
  <si>
    <t>Google saves automatically</t>
  </si>
  <si>
    <t xml:space="preserve">Date </t>
  </si>
  <si>
    <t xml:space="preserve">Location </t>
  </si>
  <si>
    <t>If more than one person is entering data at the same time, you may need to move down a few rows and enter your data.  We'll fix this later.</t>
  </si>
  <si>
    <t>If you are experienced using Excel, please note that several of the features (such as using Ctrl down) work in google spreasheets</t>
  </si>
  <si>
    <t>Go to the "tabs" located in the lower left hand part of the screen and click on "counts" to enter general survey data</t>
  </si>
  <si>
    <t>If you have banded bird info or GPS for Red Knots, Piping Plovers, Snowy Plovers, or WIlson's Plovers, please enter this on the "Species GPS" (tab at the bottom)</t>
  </si>
  <si>
    <t>If you need a copy of the packet with instructions and forms, please use this link:  http://www.flshorebirdalliance.org/Wordpress-FSA/wp-content/uploads/2012/12/2013_Winter_Survey_packet2.pdf</t>
  </si>
  <si>
    <t>County</t>
  </si>
  <si>
    <t>Starting Latitude</t>
  </si>
  <si>
    <t>Starting Longitude</t>
  </si>
  <si>
    <t>Ending Latitude</t>
  </si>
  <si>
    <t>Ending Longitude</t>
  </si>
  <si>
    <t>Observers</t>
  </si>
  <si>
    <t>Email address (of primary observer)</t>
  </si>
  <si>
    <t>Starting Time</t>
  </si>
  <si>
    <t>Mottled Duck</t>
  </si>
  <si>
    <t>Redhead</t>
  </si>
  <si>
    <t>Ring-necked Duck</t>
  </si>
  <si>
    <t>Greater Scaup</t>
  </si>
  <si>
    <t>Lesser Scaup</t>
  </si>
  <si>
    <t>Scaup Sp.</t>
  </si>
  <si>
    <t>Surf Scoter</t>
  </si>
  <si>
    <t>White-winged Scoter</t>
  </si>
  <si>
    <t>Black Scoter</t>
  </si>
  <si>
    <t>Location (all lines of data need a location)</t>
  </si>
  <si>
    <t>Scoter sp.</t>
  </si>
  <si>
    <t>Long-tailed Duck</t>
  </si>
  <si>
    <t>Focal species (PIPL, SNPL, REKN, WIPL, other banded birds)</t>
  </si>
  <si>
    <t>Bufflehead</t>
  </si>
  <si>
    <t>No. of individuals of same species or flock size</t>
  </si>
  <si>
    <t>Common Goldeneye</t>
  </si>
  <si>
    <t>List species in flock</t>
  </si>
  <si>
    <t>Hooded Merganser</t>
  </si>
  <si>
    <t>(Individual bird or flock) Latitude</t>
  </si>
  <si>
    <t>Red-breasted Merganser</t>
  </si>
  <si>
    <t>Ruddy Duck</t>
  </si>
  <si>
    <t>(Individual bird or flock) Longitude</t>
  </si>
  <si>
    <t>Red Throated Loon</t>
  </si>
  <si>
    <t>Common Loon</t>
  </si>
  <si>
    <t>Horned Grebe</t>
  </si>
  <si>
    <t>Flag color and code (REKN, AMOY, other)</t>
  </si>
  <si>
    <t>Color band combo (Left leg top to bottom, Right leg top to bottom)</t>
  </si>
  <si>
    <t>Comments</t>
  </si>
  <si>
    <t>Pied-billed Grebe</t>
  </si>
  <si>
    <t>Northern Gannet</t>
  </si>
  <si>
    <t>Brown Booby</t>
  </si>
  <si>
    <t>Brown Pelican</t>
  </si>
  <si>
    <t>White Pelican</t>
  </si>
  <si>
    <t>Double-crested cormorant</t>
  </si>
  <si>
    <t>Pomerine Jaeger</t>
  </si>
  <si>
    <t>Parasitic Jaeger</t>
  </si>
  <si>
    <t>Laughing Gull</t>
  </si>
  <si>
    <t>Bonaparte’s Gull</t>
  </si>
  <si>
    <t>Ring-billed Gull</t>
  </si>
  <si>
    <t>Herring Gull</t>
  </si>
  <si>
    <t>Lesser Black-backed Gull</t>
  </si>
  <si>
    <t>Great Black-backed Gull</t>
  </si>
  <si>
    <t>Franklin's Gull</t>
  </si>
  <si>
    <t>Glaucous Gull</t>
  </si>
  <si>
    <t>Vega Gull</t>
  </si>
  <si>
    <t>Caspian Tern</t>
  </si>
  <si>
    <t>Royal Tern</t>
  </si>
  <si>
    <t>Forster’s Tern</t>
  </si>
  <si>
    <t>Sandwich Tern</t>
  </si>
  <si>
    <t>Black Skimmer</t>
  </si>
  <si>
    <t>Black-bellied Plover</t>
  </si>
  <si>
    <t>Wilson's Plover</t>
  </si>
  <si>
    <t>Semipalmated Plover</t>
  </si>
  <si>
    <t>Piping Plover</t>
  </si>
  <si>
    <t>Snowy Plover</t>
  </si>
  <si>
    <t>Killdeer</t>
  </si>
  <si>
    <t>American Oystercatcher</t>
  </si>
  <si>
    <t>American Avocet</t>
  </si>
  <si>
    <t>Greater Yellowlegs</t>
  </si>
  <si>
    <t>Lesser Yellowlegs</t>
  </si>
  <si>
    <t>Yellowlegs sp.</t>
  </si>
  <si>
    <t>Willet</t>
  </si>
  <si>
    <t>Spotted Sandpiper</t>
  </si>
  <si>
    <t>Whimbrel</t>
  </si>
  <si>
    <t>Long-billed Curlew</t>
  </si>
  <si>
    <t>Marbled Godwit</t>
  </si>
  <si>
    <t>Ruddy Turnstone</t>
  </si>
  <si>
    <t xml:space="preserve">Red Knot </t>
  </si>
  <si>
    <t>Sanderling</t>
  </si>
  <si>
    <t>Western Sandpiper</t>
  </si>
  <si>
    <t>Least Sandpiper</t>
  </si>
  <si>
    <t>Purple Sandpiper</t>
  </si>
  <si>
    <t>Dunlin</t>
  </si>
  <si>
    <t>Short-billed Dowitcher</t>
  </si>
  <si>
    <t>Long-billed Dowitcher</t>
  </si>
  <si>
    <t>Dowitcher sp.</t>
  </si>
  <si>
    <t>Wilson's Snipe</t>
  </si>
  <si>
    <t>Osprey</t>
  </si>
  <si>
    <t>Bald Eagle - Adult</t>
  </si>
  <si>
    <t>3625 Casey Key Rd, Nokomis, FL (Casey Key R1 Survey)</t>
  </si>
  <si>
    <t>Bald Eagle - Immature</t>
  </si>
  <si>
    <t>Northern Harrier</t>
  </si>
  <si>
    <t>Sharp-shinned Hawk</t>
  </si>
  <si>
    <t>Cooper’s Hawk</t>
  </si>
  <si>
    <t>Red-shouldered Hawk</t>
  </si>
  <si>
    <t>Red-tailed Hawk</t>
  </si>
  <si>
    <t>American Kestrel</t>
  </si>
  <si>
    <t>Merlin</t>
  </si>
  <si>
    <t>Peregrine Falcon</t>
  </si>
  <si>
    <t>Great Blue Heron</t>
  </si>
  <si>
    <t>Great Egret</t>
  </si>
  <si>
    <t>Snowy Egret</t>
  </si>
  <si>
    <t>Little Blue Heron</t>
  </si>
  <si>
    <t>Tricolored Heron</t>
  </si>
  <si>
    <t>Flock</t>
  </si>
  <si>
    <t>Reddish Egret</t>
  </si>
  <si>
    <t>Yellow-crowned Night-Heron</t>
  </si>
  <si>
    <t>White Ibis</t>
  </si>
  <si>
    <t>SAND</t>
  </si>
  <si>
    <t>Roseate Spoonbill</t>
  </si>
  <si>
    <t>Wood Stork</t>
  </si>
  <si>
    <t>Belted Kingfisher</t>
  </si>
  <si>
    <t>Red-Winged Blackbird</t>
  </si>
  <si>
    <t>K. Mazzarella</t>
  </si>
  <si>
    <t>Fish Crow</t>
  </si>
  <si>
    <t>kristen@mote.org</t>
  </si>
  <si>
    <t>Rock Dove</t>
  </si>
  <si>
    <t>other species</t>
  </si>
  <si>
    <t>GRAND TOTAL</t>
  </si>
  <si>
    <t>752 North Shore</t>
  </si>
  <si>
    <t xml:space="preserve">9 REKN's </t>
  </si>
  <si>
    <t>REKN SAND</t>
  </si>
  <si>
    <t>Glenn Wiseman</t>
  </si>
  <si>
    <t>wiseman.glenn@gmail.com</t>
  </si>
  <si>
    <t>REKN Lime Green CJ8 - TN6 - 3MA - C8E</t>
  </si>
  <si>
    <t>Leave blank</t>
  </si>
  <si>
    <t>All had lime green band on right leg above knee and metal band below knee on right leg</t>
  </si>
  <si>
    <t xml:space="preserve">Anastasia SP </t>
  </si>
  <si>
    <t>2 REKN's</t>
  </si>
  <si>
    <t>Jason DePue, Ned Shuler</t>
  </si>
  <si>
    <t>jason.depue@dep.state.fl.us</t>
  </si>
  <si>
    <t>1 WIPL</t>
  </si>
  <si>
    <t>Anclote Key- north route</t>
  </si>
  <si>
    <t>PIPL- 8, SNPL- 4, WIPL- 3</t>
  </si>
  <si>
    <t>100+</t>
  </si>
  <si>
    <t xml:space="preserve">RUTU, SAND, DUNL, BBPL, WILL, SPPL, </t>
  </si>
  <si>
    <t>DLarremore, CMaxwell, ACornett</t>
  </si>
  <si>
    <t>daniel.larremore@dep.state.fl.us</t>
  </si>
  <si>
    <t>1 banded PIPL seen, flushed before reading</t>
  </si>
  <si>
    <t>REKN-15</t>
  </si>
  <si>
    <t>BBPL- 6</t>
  </si>
  <si>
    <t>REKNs sitting and tucked in high wrack. No bands observed</t>
  </si>
  <si>
    <t>Anclote Key- south route</t>
  </si>
  <si>
    <t>14 WIPL, 46 PIPL, 30 SNPL, 2 REKN</t>
  </si>
  <si>
    <t>LKenney, TCarey, SArmstrong</t>
  </si>
  <si>
    <t>likenney@aol.com</t>
  </si>
  <si>
    <t>Big Marco Pass CWA</t>
  </si>
  <si>
    <t>WIPL - 12</t>
  </si>
  <si>
    <t>RZambrano, CRizkalla</t>
  </si>
  <si>
    <t>ricardo.zambrano@myfwc.om</t>
  </si>
  <si>
    <t>mixed flock</t>
  </si>
  <si>
    <t>SAND, SBDO, BBPL, DUNL</t>
  </si>
  <si>
    <t>BRPE, DDCO, ROYT, HERG, BLSK</t>
  </si>
  <si>
    <t>REKN - 6</t>
  </si>
  <si>
    <t>REKN - 1</t>
  </si>
  <si>
    <t>SNPL - 1, PIPL - 5, WIPL - 7, mixed flock</t>
  </si>
  <si>
    <t>RUTU, BBPL, SEPL, SBDO, WILL, WIPL, REEG, WESA, PIPL, SNPL, DUNL</t>
  </si>
  <si>
    <t>SNPL - 11, WIPL - 8</t>
  </si>
  <si>
    <t xml:space="preserve">Fort Matanzas National Monument </t>
  </si>
  <si>
    <t>WIPL - 4</t>
  </si>
  <si>
    <t>Joyce King, John Sloane, Kurt Foote, Jen and Julie</t>
  </si>
  <si>
    <t>sjoyceking@comcast.net</t>
  </si>
  <si>
    <t>Honeymoon Island- north route</t>
  </si>
  <si>
    <t>WIPL-1, PIPL-2</t>
  </si>
  <si>
    <t>RUTU, SAND, DUNL</t>
  </si>
  <si>
    <t>DLarremore, LKinney</t>
  </si>
  <si>
    <t>PIPL-2</t>
  </si>
  <si>
    <t>SAND, RUTU, SPPL</t>
  </si>
  <si>
    <t>WIPL-1, PIPL-8</t>
  </si>
  <si>
    <t>SAND, SPPL</t>
  </si>
  <si>
    <t>left- Green flag above, 0 below. right-green band above, white over orange below</t>
  </si>
  <si>
    <t>REKN- 32</t>
  </si>
  <si>
    <t>DUNL, BBPL</t>
  </si>
  <si>
    <t>Lime green flag, JV9</t>
  </si>
  <si>
    <t>left- dark blue above, metal below. right- lime green flag above, 0 below</t>
  </si>
  <si>
    <t>WIPL-1, PIPL-1</t>
  </si>
  <si>
    <t>DUNL- 50, SPPL, SAND</t>
  </si>
  <si>
    <t>LAGU- 80, ROTE- 65, HEGU- 4, FOTE- 11</t>
  </si>
  <si>
    <t>PIPL- 1</t>
  </si>
  <si>
    <t>DBCO- 196, CATE- 7, BRPE- 6, RUTU, DUNL, SPPL</t>
  </si>
  <si>
    <t>AMOY-4</t>
  </si>
  <si>
    <t>WILL, RUTU</t>
  </si>
  <si>
    <t>Indian Rocks Beach, Pinellas County, between 10th and 11th ave</t>
  </si>
  <si>
    <t>3 REKN</t>
  </si>
  <si>
    <t>24 red knots (3 banded), 9 snaderling, 1 black-bellied plover</t>
  </si>
  <si>
    <t>Kevin Christman, Rebecca Ruthberg</t>
  </si>
  <si>
    <t>kevinwchristman@gmail.com</t>
  </si>
  <si>
    <t>Lime Green: NJ6, Lime Green:H8U, Lime Green: E2Y</t>
  </si>
  <si>
    <t>Left leg: none top, none bottom / Right leg: lime green flag, bottom metal/silver band - same for all three</t>
  </si>
  <si>
    <t>Obtained photos of each of the 3 banded knots. Very skittish as foot traffic was heavy when spotted, flushed twice during observing thanks to joggers. Sightings have been reported to bandedbirds.org along with photos.</t>
  </si>
  <si>
    <t>LGS at Manatee County Beach to Pine Avenue, Anna Maria Island, Manatee County</t>
  </si>
  <si>
    <t>Large aggregation of 279 birds - mixed flock</t>
  </si>
  <si>
    <t xml:space="preserve">181 laughing gull
    1 ring-billed gull
  74 sanderling
  15 royal tern
    6 sandwich tern
    1 forster's tern
    1 ruddy turnstone
</t>
  </si>
  <si>
    <t>27.52349 N</t>
  </si>
  <si>
    <t>82.73559 W</t>
  </si>
  <si>
    <t>Pete Gross</t>
  </si>
  <si>
    <t>amitw.statguy@gmail.com</t>
  </si>
  <si>
    <t>none</t>
  </si>
  <si>
    <t>Red Knot</t>
  </si>
  <si>
    <t>27.52153 N</t>
  </si>
  <si>
    <t>82.73332 W</t>
  </si>
  <si>
    <t>Lido key</t>
  </si>
  <si>
    <t>ROYT,RBGU,LAGU,DCCO</t>
  </si>
  <si>
    <t>Ruth Ellen Peipert, Darla Kane</t>
  </si>
  <si>
    <t>ruthellen3@comcast.net</t>
  </si>
  <si>
    <t>DCCO was sick. Died on arrival to Wildlife Rehabber.</t>
  </si>
  <si>
    <t>Snowy Plovers</t>
  </si>
  <si>
    <t>REpeipert, Darla Kane</t>
  </si>
  <si>
    <t>territorial behavior observed and in pairs.</t>
  </si>
  <si>
    <t>Life Guard Station at Manatee County Beach to Cortez Road</t>
  </si>
  <si>
    <t>Mike and Nancy Barnes</t>
  </si>
  <si>
    <t>ncndmike@comcast.net</t>
  </si>
  <si>
    <t>Little Talbot Island State Park</t>
  </si>
  <si>
    <t>BRPE, BBPL, DUNL, SBDO, WILL, RUTU, ROYT, RBGU, DCCO, BOGU, HERG, GBBG, FOTE</t>
  </si>
  <si>
    <t>JB Becker, RL Becker</t>
  </si>
  <si>
    <t>RLBecker@songstar.org</t>
  </si>
  <si>
    <t>SAND, DUNL BBPL, WILL, SBDO</t>
  </si>
  <si>
    <t>DUNL, SEPL, WESA</t>
  </si>
  <si>
    <t>Lovers Key State Park Mid-Beach Area</t>
  </si>
  <si>
    <t>WIPL</t>
  </si>
  <si>
    <t>Katie Moses; Pam Jones-Morton</t>
  </si>
  <si>
    <t>Catherine.Moses@dep.state.fl.us</t>
  </si>
  <si>
    <t>Lovers Key State Park Near North Gate Bridge in estuary</t>
  </si>
  <si>
    <t>REKN</t>
  </si>
  <si>
    <t>Manasota Key - Zone 6</t>
  </si>
  <si>
    <t>Mixed Flock</t>
  </si>
  <si>
    <t>10 RBGU, 25 LAGU, 3 HEGU, 40 ROYT, 60 FOTE, 2 SATE, 1 COTE, 2 RUTU</t>
  </si>
  <si>
    <t>Curt Lundeen</t>
  </si>
  <si>
    <t>thelundeens@hotmail.com</t>
  </si>
  <si>
    <t>Mid-Fort De Soto</t>
  </si>
  <si>
    <t>Nancy &amp; John Ogden</t>
  </si>
  <si>
    <t>verdnan23@gmail.com</t>
  </si>
  <si>
    <t>Pale green H9Y</t>
  </si>
  <si>
    <t xml:space="preserve">Right: flag, metal </t>
  </si>
  <si>
    <t>Pale green E6A</t>
  </si>
  <si>
    <t>Pale green UE6</t>
  </si>
  <si>
    <t>Pale green X4U</t>
  </si>
  <si>
    <t xml:space="preserve">Left: flag; Right: bottom metal </t>
  </si>
  <si>
    <t>Pale green 3NA</t>
  </si>
  <si>
    <t>Left: yellow geo-tag; Right: flag, metal </t>
  </si>
  <si>
    <t>Pale green E9J</t>
  </si>
  <si>
    <t>Limping due to geo-tag, appears loose</t>
  </si>
  <si>
    <t>Pale green 1YM</t>
  </si>
  <si>
    <t>Left: top blue band; Right: flag, metal</t>
  </si>
  <si>
    <t>Code is faded</t>
  </si>
  <si>
    <t>Pale green EU5</t>
  </si>
  <si>
    <t>Pale green C7M</t>
  </si>
  <si>
    <t>Pale green KN6</t>
  </si>
  <si>
    <t>Pale green 2AX</t>
  </si>
  <si>
    <t>Left: yellow geo-tag; Right: flag </t>
  </si>
  <si>
    <t>Mid-Fort De Soto Rte 1</t>
  </si>
  <si>
    <t>Pale green Q7O?</t>
  </si>
  <si>
    <t>Code is very faded</t>
  </si>
  <si>
    <t>Pale green K4P</t>
  </si>
  <si>
    <t>87 Laughing Gull; 19 Ringbill Gull; 11 Royal Tern; 10 Forster's Tern; 3 Sandwich Tern</t>
  </si>
  <si>
    <t>Nancy Ogden</t>
  </si>
  <si>
    <t>Two men with a large, leashed, dog walking well away from the flock caused them to disperse.  Yet later on a bulldozer raking the beach where they had resettled only caused them to walk slightly away.</t>
  </si>
  <si>
    <t>resting with 2 Black Bellied plovers, 1 piping plover, 1 semi-palmated and 2 sanderlings</t>
  </si>
  <si>
    <t>PIPL</t>
  </si>
  <si>
    <t>North Anclote Bar</t>
  </si>
  <si>
    <t>10 SNPL, 8 WIPL, 16 PIPL, 42 REKN</t>
  </si>
  <si>
    <t>DGagne, BPranty</t>
  </si>
  <si>
    <t>oporornis77@yahoo.com</t>
  </si>
  <si>
    <t>REKN- 2 w/  green flags, no codes reported. PIPL- green flag</t>
  </si>
  <si>
    <t>left- 0 above, orange over blue below. right- green flag above, yellow over silver below.</t>
  </si>
  <si>
    <t>North Ponte Vedra</t>
  </si>
  <si>
    <t>Forster's Tern, Ringbilled Gull,Sanderling</t>
  </si>
  <si>
    <t>Mike Golubovich, Alex Gregorie</t>
  </si>
  <si>
    <t>mgolubovich@sjcfl.us</t>
  </si>
  <si>
    <t>2/1/1013</t>
  </si>
  <si>
    <t>Laughing Gulls</t>
  </si>
  <si>
    <t>2/1//2013</t>
  </si>
  <si>
    <t>Forster's Tern, Ringbilled Gull,Sanderling, Royal Tern</t>
  </si>
  <si>
    <t>North Redington Beach &amp; Redington Shores, Pinellas</t>
  </si>
  <si>
    <t>173 BLSK, 14 LAGU, 41 RBGU, 4 FOTE, 71 ROYT, 2 SAND</t>
  </si>
  <si>
    <t>27 49.270</t>
  </si>
  <si>
    <t>82 49.692</t>
  </si>
  <si>
    <t>Bonnie Jenks, Wendy Meehan, Allison Salas</t>
  </si>
  <si>
    <t>jenksb@hotmail.com</t>
  </si>
  <si>
    <t>3 ROYT (silver band)</t>
  </si>
  <si>
    <t>Right leg below knee on all 3 ROYT</t>
  </si>
  <si>
    <t>300 LAGU, 2 AMOY, 3 RBGU</t>
  </si>
  <si>
    <t>27 50.115</t>
  </si>
  <si>
    <t>82 50.233</t>
  </si>
  <si>
    <t>Behind Suncoast Seabird Sanctuary.</t>
  </si>
  <si>
    <t>27 50.368</t>
  </si>
  <si>
    <t>82 50.392</t>
  </si>
  <si>
    <t>North Rockhouse Creek Shoals island, Ponce Inlet</t>
  </si>
  <si>
    <t>J. Winters, J. Milio, M. Wilson</t>
  </si>
  <si>
    <t>jwinters@volusia.org</t>
  </si>
  <si>
    <t>N/A</t>
  </si>
  <si>
    <t xml:space="preserve">PIPL </t>
  </si>
  <si>
    <t>J.Winters, J. Milio, M. Wilson</t>
  </si>
  <si>
    <t>n/A</t>
  </si>
  <si>
    <t>none banded</t>
  </si>
  <si>
    <t>Mixed flock</t>
  </si>
  <si>
    <t>~70</t>
  </si>
  <si>
    <t>SAND, DUNL, SEPL, LESA</t>
  </si>
  <si>
    <t>~300</t>
  </si>
  <si>
    <t>BRPE, DCCO, HERG, LAGU, RBGU, CATE, ROYT, FOTE</t>
  </si>
  <si>
    <t>North Siesta Key beach</t>
  </si>
  <si>
    <t>SNPL</t>
  </si>
  <si>
    <t>27.16.048 N</t>
  </si>
  <si>
    <t>82.33.597 W</t>
  </si>
  <si>
    <t>Robert Luckner, Allan Worms, Dick Miles</t>
  </si>
  <si>
    <t>bobluckner5041@aol.com</t>
  </si>
  <si>
    <t>birds feeding on beach at Access 10</t>
  </si>
  <si>
    <t>North Siesta Key beach</t>
  </si>
  <si>
    <t>27.16.078 N</t>
  </si>
  <si>
    <t>27.16.097 N</t>
  </si>
  <si>
    <t>82.32.673 W</t>
  </si>
  <si>
    <t>birds feeding on beach at Access 9</t>
  </si>
  <si>
    <t>27.16.016 N</t>
  </si>
  <si>
    <t>82.33.708 W</t>
  </si>
  <si>
    <t>27.16.184 N</t>
  </si>
  <si>
    <t>82.33.771 W</t>
  </si>
  <si>
    <t>birds feeding on beach at Access 7</t>
  </si>
  <si>
    <t>Large aggregation more than 50 birds</t>
  </si>
  <si>
    <t>175 RGBL, 40 HEGU, 24 ROTE, 5 BRPE, 3 DDCO, 1 GBHE</t>
  </si>
  <si>
    <t>27.16.325 N</t>
  </si>
  <si>
    <t>82.34.075 W</t>
  </si>
  <si>
    <t>Robert Luckner, Allan Worms, Dick Miles, Catherine Luckner</t>
  </si>
  <si>
    <t>Large Mixed flock on sand bar 175 yards offshore Access 4</t>
  </si>
  <si>
    <t>4Feb2013</t>
  </si>
  <si>
    <t>Northern Longboat Key (Manatee County half of Longboat Key) 4125 Gulf of Mexico Rive to Longboat Pass</t>
  </si>
  <si>
    <t>Stu Wilson, Kristen Mazzarella</t>
  </si>
  <si>
    <t>stuwilson@comcast.net</t>
  </si>
  <si>
    <t>all unbanded</t>
  </si>
  <si>
    <t>unbanded</t>
  </si>
  <si>
    <t>REKNs plus flock</t>
  </si>
  <si>
    <t>REKN 9, BBPL 14, SEPL 9, RUTU 1, SAND 45, WESA 1, DUNL 66, SBDO 7, HEGU 1</t>
  </si>
  <si>
    <t xml:space="preserve">REKN (4): Green NN6, Green ?4M, Green MU9, Green H1U </t>
  </si>
  <si>
    <t>All 4 had green flag above and silver band below on left leg, the ?4M REKN had a yellow transmitter top right leg</t>
  </si>
  <si>
    <t>The "?" character was worn and couldn't be read, if it existed at all</t>
  </si>
  <si>
    <t>WILL 4, SAND 29, LAGU 48, RBGU 30, FOTE 10, ROYT 103, SATE 4, BLSK 290</t>
  </si>
  <si>
    <t>Palmetto Rd. docks</t>
  </si>
  <si>
    <t>1 REKN</t>
  </si>
  <si>
    <t>Teddy Shuler, Ned Shuler, Monique Borboen</t>
  </si>
  <si>
    <t>teddys23@bellsouth.net</t>
  </si>
  <si>
    <t>Perdido Key Area of Gulf Islands Nat'l Seashore</t>
  </si>
  <si>
    <t>T.Stapleton</t>
  </si>
  <si>
    <t>toby_stapleton@nps.gov</t>
  </si>
  <si>
    <t>BRPE</t>
  </si>
  <si>
    <t>DCCO</t>
  </si>
  <si>
    <t>Ponce Inlet boat ramp shoal islands, Ponce Inlet</t>
  </si>
  <si>
    <t>LAGU, BRPE, ROYT, BLSK, DCCO, HERG, CATE, RBGU</t>
  </si>
  <si>
    <t>S. Bell, J. Milio, M. Wilson, J. Winters</t>
  </si>
  <si>
    <t>sbell@volusia.org</t>
  </si>
  <si>
    <t>Smyrna Dunes Park shoreline, 2995 S. Peninsula Ave., New Smyrna Beach (Atlantic, inlet and river shores only)</t>
  </si>
  <si>
    <t>LAGU, ROYT, SATE</t>
  </si>
  <si>
    <t>A.Bridges, C. Lewis, S. Bell</t>
  </si>
  <si>
    <t>LAGU, RBGU, HERG</t>
  </si>
  <si>
    <t>LAGU, SATE, RBGU, HERG</t>
  </si>
  <si>
    <t>South Longboat Key</t>
  </si>
  <si>
    <t>RBGU,HERG,LBBG,LAGU,ROYT,SATE</t>
  </si>
  <si>
    <t>REpeipert</t>
  </si>
  <si>
    <t>LAGU,RBGU,LBBG,HERG,ROYT,SATE</t>
  </si>
  <si>
    <t>RBGU,LAGU,REKN,BBPL,SAND</t>
  </si>
  <si>
    <t>BRPE,DCCO,LAGU,RBGU,HERG,ROYT</t>
  </si>
  <si>
    <t>birds resting on concrete erosion abatement.</t>
  </si>
  <si>
    <t>LAGU,HERG,RBGU,LBBG,ROYT,FOTE,BBPL,SAND,WILL</t>
  </si>
  <si>
    <t>South Rockhouse Creek Shoal island, Ponce Inlet</t>
  </si>
  <si>
    <t>LAGU, RBGU, CATE, FOTE, ROYT, BRPE, DCCO</t>
  </si>
  <si>
    <t>S. Bell, A. Bridges, C. Lewis</t>
  </si>
  <si>
    <t>South Volusia County; Beach</t>
  </si>
  <si>
    <t>ROYT</t>
  </si>
  <si>
    <t>56 ROYT, LAGU &amp; SATE</t>
  </si>
  <si>
    <t>Ken Gunn, Nancy White</t>
  </si>
  <si>
    <t>gunnsatbeach@cfl.rr.com</t>
  </si>
  <si>
    <t>Silver</t>
  </si>
  <si>
    <t>Right leg</t>
  </si>
  <si>
    <t>Not able to read number</t>
  </si>
  <si>
    <t>92 ROYT, SATE, GBBG, LAGU,RBGU</t>
  </si>
  <si>
    <t>3 ROYT with band on right leg; 1 ROYT with band on right leg and on left leg.</t>
  </si>
  <si>
    <t>Ken Gunn, Kip Hulvershorn</t>
  </si>
  <si>
    <t>1 ROYT with band on right leg</t>
  </si>
  <si>
    <t>10 ROYT with band on right leg</t>
  </si>
  <si>
    <t>4 ROYT with band on right leg</t>
  </si>
  <si>
    <t>(Gate Gas Station) GTMNERR to Ponte Vedra South</t>
  </si>
  <si>
    <t>St. Johns</t>
  </si>
  <si>
    <t>38 RUTU; 2 BLSK; Gulls/Terns</t>
  </si>
  <si>
    <t>Diane Reed</t>
  </si>
  <si>
    <t>dreedster@aol.com</t>
  </si>
  <si>
    <t>Gulls and Terns</t>
  </si>
  <si>
    <t xml:space="preserve">South Volusia County; Indian River Lagoon </t>
  </si>
  <si>
    <t>6 LAGU; 1 AMOY; 6 WILL; 1BLSK</t>
  </si>
  <si>
    <t>Ken Gunn, Tad Fyock, Bill Rostock</t>
  </si>
  <si>
    <t>18 DUNL; 3 BBPL; 1 RUTU</t>
  </si>
  <si>
    <t>70 DUNL; 5 BRPE; 5 GREG; 7SNEC; 20RBGU; 3LAGU</t>
  </si>
  <si>
    <t>Ken Gunn, Don Picard</t>
  </si>
  <si>
    <t>In small mixed flock</t>
  </si>
  <si>
    <t>South Volusia County; Indian River Lagoon Wetlands</t>
  </si>
  <si>
    <t>70 DUNL; 10 BRPE; 8 RBGU; 5GREG</t>
  </si>
  <si>
    <t>St. Augustine Beach</t>
  </si>
  <si>
    <t>8 REKN's</t>
  </si>
  <si>
    <t>Teddy Shuler, Jade Dupuis,Linda Avery, Diana Justice</t>
  </si>
  <si>
    <t>Ten Thousand Islands NWR</t>
  </si>
  <si>
    <t>Large aggregation of birds</t>
  </si>
  <si>
    <t>American White Peilican</t>
  </si>
  <si>
    <t>Wade Gurley, Ashlee Sams, Jim Krakowski</t>
  </si>
  <si>
    <t>mark_gurley@fws.gov</t>
  </si>
  <si>
    <t>Brown Pelican (7), Double-crested Cormorant (27), American White Pelican (21)</t>
  </si>
  <si>
    <t>Three Rooker Island - middle, south half</t>
  </si>
  <si>
    <t>Marianne Korosy, Dana Kerstein</t>
  </si>
  <si>
    <t>mkorosy@audubon.org</t>
  </si>
  <si>
    <t>AMOY</t>
  </si>
  <si>
    <t>M Korosy, D Kerstein</t>
  </si>
  <si>
    <t>Venice- Sharkeys Pier to Venice Inlet route</t>
  </si>
  <si>
    <t>25 RBGU, 35 LAGU, 2 SAND, 5 FOTE, 4 ROTE</t>
  </si>
  <si>
    <t>Bonnie Samuelsen, Laure Shoule</t>
  </si>
  <si>
    <t>adventureflorida@aol.com</t>
  </si>
  <si>
    <t>n/a</t>
  </si>
  <si>
    <t>43 RBGU, 57 LAGU, 3 FOTE, 4 ROTE</t>
  </si>
  <si>
    <t>Sally Braem, Jim Glenn</t>
  </si>
  <si>
    <t>Weff Rd. docks</t>
  </si>
  <si>
    <t>10:43 am - 12:12pm  8 miles of beach, 100% cloud cover, drizzle, misty rain, low tide; (1) Dead Razorbill; (1) Dead Common Loon</t>
  </si>
  <si>
    <t>A Street to South Boundary of Anastasia Park</t>
  </si>
  <si>
    <t>Since there have been 2-3 SNPL on a regular basis, possible nest somewhere</t>
  </si>
  <si>
    <t>Gigi &amp; Don Spates, Mike McGonigle</t>
  </si>
  <si>
    <t>gspates@me.com</t>
  </si>
  <si>
    <t>April 17, 2013 Mid-Fort De Soto Rte 1</t>
  </si>
  <si>
    <t>They were moving under the string to the dunes, but it appeared to be two females</t>
  </si>
  <si>
    <t>High up on beach close to dunes</t>
  </si>
  <si>
    <t>feeding along shoreline</t>
  </si>
  <si>
    <t>turkey vulture - 12, mourning dove - 3, boat-tailed grackle - 13, European starling - 3</t>
  </si>
  <si>
    <t>Amelia Island State Park</t>
  </si>
  <si>
    <t>Nassau</t>
  </si>
  <si>
    <t>Joan &amp; Richard Becker</t>
  </si>
  <si>
    <t>rLbecker@songstar.org</t>
  </si>
  <si>
    <t>Anastasia State Park</t>
  </si>
  <si>
    <t>St.Johns</t>
  </si>
  <si>
    <t>29.865.457</t>
  </si>
  <si>
    <t>Palm Warbler 6,Savannah Sparrow18, House Finch 2, Swamp Sparrow 3, Gray Catbird 2, Yellow -rumped Warbler 2,Bblue-gray Gnatcatcher 2, Blue Jay 1, Y.B. Sapsucker 1</t>
  </si>
  <si>
    <t>This route circles behind the dune line to ASP's back beach, not a straight line between the 2 GPS points.</t>
  </si>
  <si>
    <t>Pasco</t>
  </si>
  <si>
    <t>Pinellas</t>
  </si>
  <si>
    <t xml:space="preserve">Bean Point Walkover to Pine Avenue </t>
  </si>
  <si>
    <t>Mantee</t>
  </si>
  <si>
    <t>TUVU - 1</t>
  </si>
  <si>
    <t>Belleair Beach</t>
  </si>
  <si>
    <t>Madeleine Bohrer</t>
  </si>
  <si>
    <t>maddogbee@gmail.com</t>
  </si>
  <si>
    <t>Turkey Vulture  6; Anhinga 1</t>
  </si>
  <si>
    <t>Betty Steflik Memorial Preserve, Flagler Beach  (ICW)</t>
  </si>
  <si>
    <t>Flagler</t>
  </si>
  <si>
    <t>29.28.538 N</t>
  </si>
  <si>
    <t>81.07.716 W</t>
  </si>
  <si>
    <t>29.28.444 N</t>
  </si>
  <si>
    <t>81.08.081 W</t>
  </si>
  <si>
    <t>Meret Wilson, Laura G. Ostapko, Liz Rourke, Cassy Moran, Jo Anne Polan</t>
  </si>
  <si>
    <t>lauragostap@yahoo.com</t>
  </si>
  <si>
    <t>7:05 a.m.</t>
  </si>
  <si>
    <t>Common Yellowthroat 10, Mourning Dove 2, Gray Catbird 1</t>
  </si>
  <si>
    <t>Collier</t>
  </si>
  <si>
    <t>Ricardo Zambrano, Carol Rizkalla</t>
  </si>
  <si>
    <t>rzambrano@myfwc.com</t>
  </si>
  <si>
    <t>Bimini Pass to Bean Pt Anna Maria Island Bayside</t>
  </si>
  <si>
    <t>Manatee</t>
  </si>
  <si>
    <t>John Defazio, Ellen Slentz</t>
  </si>
  <si>
    <t>eslentz@gmail.com</t>
  </si>
  <si>
    <t>Feb 3,2013</t>
  </si>
  <si>
    <t>Startling7, Eurasian Ringed Dove,5, Naday Conure 4, House sparrow 3, Turkey Vulture 17</t>
  </si>
  <si>
    <t>Bird Is  I-25  Clwtr Harbor</t>
  </si>
  <si>
    <t>David Hopkins, Lynn Sumerson</t>
  </si>
  <si>
    <t>dhop166@msn.com</t>
  </si>
  <si>
    <t>Grackle 1</t>
  </si>
  <si>
    <t>we counted from across the channel</t>
  </si>
  <si>
    <t>Blackburn Bay-N. Jetty Park</t>
  </si>
  <si>
    <t>Sarasota</t>
  </si>
  <si>
    <t>Kendra Richardson</t>
  </si>
  <si>
    <t>kenny8430@gmail.com</t>
  </si>
  <si>
    <t>Caladesi Island State Park</t>
  </si>
  <si>
    <t>Sid Crawford</t>
  </si>
  <si>
    <t>blumax100@gmail.com</t>
  </si>
  <si>
    <t>8:00a</t>
  </si>
  <si>
    <t>ANHI - 1; SESA -2; RAZO carcass</t>
  </si>
  <si>
    <t>Canaveral National Seashore - Apollo District</t>
  </si>
  <si>
    <t>Volusia</t>
  </si>
  <si>
    <t>Mike Daley, Terrie Ferguson</t>
  </si>
  <si>
    <t>miked129@gmail.com</t>
  </si>
  <si>
    <t>Turkey Vulture 8, Black Vulture 3, Swallow (Tree) 9</t>
  </si>
  <si>
    <t>Canaveral National Seashore - Playalinda District</t>
  </si>
  <si>
    <t>Brevard</t>
  </si>
  <si>
    <t>Candace Carter, Jaclyn Sisko, Dana Karelus</t>
  </si>
  <si>
    <t>candace_carter@nps.gov</t>
  </si>
  <si>
    <t>Black Vulture 2, Grackel (Boat-tailed) 4, Common Ground Dove 3</t>
  </si>
  <si>
    <t>Cayo Costa R1 - N. end of Cayo to just N. of Lagoon</t>
  </si>
  <si>
    <t>Lee</t>
  </si>
  <si>
    <t>Marie Di Rosa, Anita Marshall</t>
  </si>
  <si>
    <t>mariegrayson1@yahoo.com</t>
  </si>
  <si>
    <t>1 Mag. Frigatebird, 2 Ground dove, 1 Mourning dove, 4 Turkey Vulture.</t>
  </si>
  <si>
    <t>1 Red Knot at N. end of island. GPS is 26.707624, -82.250394</t>
  </si>
  <si>
    <t>Cayo Costa R2-N. of Lagoon to S. of Lagoon</t>
  </si>
  <si>
    <t>37 TU VULTURE, 3 Palm Warbler</t>
  </si>
  <si>
    <t>2 SNPL at 26.669, -82.256. 4 WIPL at 26.675, -82.261. 10 WIPL with mixed flock at 26.673, -82.259. 1 PIPL with mixed flock at 26.673, -82.259. Other flock members included 62 RBGU, 37 HEGU, 30 LAGU, 25 BRPE, 3 COTE, 5 FOTE, 2 SATE, 20 ROTE, 20 DUN, 8 sh-billed DOW. a second huge flock was located at 26.669, -82.254. It consisted of 10 TV, 70 HEGU, 115 RBGU, 2 BRPE, 29 ROTE, 3 FOTE, 1 SATE, 5 Sanderling.</t>
  </si>
  <si>
    <t>Cayo Costa R3-S. of Lagoon to S. of Tunnel of Love</t>
  </si>
  <si>
    <t>Frankie Crain, James Sommers</t>
  </si>
  <si>
    <t>60 TU VULTURE</t>
  </si>
  <si>
    <t>No banded birds. Vultures cleaning up huge fish kill from red tide.</t>
  </si>
  <si>
    <t>Cayo Costa R4-S. of Tunnel of Love to S. end of Cayo Costa</t>
  </si>
  <si>
    <t>No banded birds.</t>
  </si>
  <si>
    <t>Clam Bayou</t>
  </si>
  <si>
    <t>Saskia Janes</t>
  </si>
  <si>
    <t>icegull@netzero.com</t>
  </si>
  <si>
    <t>MODO 2, NOMO 1, TUVU 2</t>
  </si>
  <si>
    <t>mid-tide rising, partly cloudy, 68F, 10mph NE</t>
  </si>
  <si>
    <t>Courtney Campbell Causeway</t>
  </si>
  <si>
    <t>Mardy Hornsby, Cy Hornsby, Cindy Maxwell</t>
  </si>
  <si>
    <t>mardy.hornsby@gmail.com</t>
  </si>
  <si>
    <t>Boat-tailed Grackle 10, Brown-headed cowbird 2, Turkey Vulture 1</t>
  </si>
  <si>
    <t>Dunedin Causeway</t>
  </si>
  <si>
    <t>LKenney</t>
  </si>
  <si>
    <t>Flagler Beach (Flagler Pier south to north boundary of Gamble Rogers MSRA)</t>
  </si>
  <si>
    <t>29.28.810 N</t>
  </si>
  <si>
    <t>81.07.605 W</t>
  </si>
  <si>
    <t>29.26.377 N</t>
  </si>
  <si>
    <t>81.06.481 W</t>
  </si>
  <si>
    <t>Linda White, Meret Wilson, Alice Clark, Liz Rourke, Charlie and Sherry Tomlison</t>
  </si>
  <si>
    <t>lwhite1230@gmail.com</t>
  </si>
  <si>
    <t>8:00 a.m.</t>
  </si>
  <si>
    <t>1 (dead)</t>
  </si>
  <si>
    <t>COMMON TERN 1,Turkey Vulture 2, Mourning Dove 2, American Crow 3</t>
  </si>
  <si>
    <t xml:space="preserve">Flagler Beach to Beverly Beach (Flagler Pier North to Varn Park)  </t>
  </si>
  <si>
    <t>29.32.560 N</t>
  </si>
  <si>
    <t>81.09.390 W</t>
  </si>
  <si>
    <t>Walter Mahler, Mark and Sandy Turner</t>
  </si>
  <si>
    <t>walter.mahler@gmail.com</t>
  </si>
  <si>
    <t>Mourning Dove 5, Common Grackle 4, Palm Warbler 1</t>
  </si>
  <si>
    <t>Fort Clinch State Park</t>
  </si>
  <si>
    <t>Marie Bucher, Benjamin Faure, Patrick Leary, Doris Leary</t>
  </si>
  <si>
    <t>marie.bucher@dep.state.fl.us</t>
  </si>
  <si>
    <t>Fort De Soto Park North Beach</t>
  </si>
  <si>
    <t>-82.737674°</t>
  </si>
  <si>
    <t>Don and Lorraine Margeson</t>
  </si>
  <si>
    <t>donlocomm@aol.com</t>
  </si>
  <si>
    <t>1 Palm Warbler, 4 Turkey Vulture</t>
  </si>
  <si>
    <t>Fort Matanzas National Monument Beach</t>
  </si>
  <si>
    <t>Joyce King, John Sloan, Kurt Foote, Jen and Julie</t>
  </si>
  <si>
    <t>Turkey Vulture 9</t>
  </si>
  <si>
    <t>Fort Myers Beach from Ct. St. to Bowditch Point Park</t>
  </si>
  <si>
    <t>2 Turkey Vulture, 2 Morning Dove, 5 Tree Swallows, 3 Eur. Starlings,5 Common Grackles</t>
  </si>
  <si>
    <t xml:space="preserve">Temp. 48-55 degrees F. Wind 15-20mph. 2 Red Knots banded at 26.448, -81.945. 1 REKN w/ light green tag on upper RIGHT had K15 on tag. Lower RIGHT leg had silver metal band. The other REKN w/light green tag on upper LEFT had 609 on tag. Lower RIGHT leg with silver metal band. 6 dogs on leash, 2 dogs off leash. </t>
  </si>
  <si>
    <t>Fort Myers Beach from Holiday Inn to Ct. St.</t>
  </si>
  <si>
    <t>1 Common Tern, 2 Turkey Vulture, 125 Tree Swallows, 3 Common Grackle</t>
  </si>
  <si>
    <t>Temp. 45-48 degrees F.Wind 15-20mph. No banded birds. Peregrine carrying a tern to eat. 12 dogs on leash, 2 dogs off leash. Common tern had carpal bar.</t>
  </si>
  <si>
    <t>Fred Howard Park</t>
  </si>
  <si>
    <t>Merle Hubbard</t>
  </si>
  <si>
    <t>merlinhubb@gmail.com</t>
  </si>
  <si>
    <t>Ft. Pierce South Beach</t>
  </si>
  <si>
    <t xml:space="preserve">St. Lucie </t>
  </si>
  <si>
    <t>Danielle Kurish, Joe Scarola</t>
  </si>
  <si>
    <t>danielle@ecological-associates.com</t>
  </si>
  <si>
    <t>Noted ~25 Black Skimmers by inlet after survey</t>
  </si>
  <si>
    <t>Gamble Rogers MSRA south to Flagler Co. / Volusia Co. Line</t>
  </si>
  <si>
    <t>29.25.632 N</t>
  </si>
  <si>
    <t>81.06.154 W</t>
  </si>
  <si>
    <t>Cassy Moran, John Demkar</t>
  </si>
  <si>
    <t>cassym@cfl.rr.com</t>
  </si>
  <si>
    <t>8:25 a.m.</t>
  </si>
  <si>
    <t>Turkey Vulture 2</t>
  </si>
  <si>
    <t>Gamble Rogers MSRA, Flagler Beach (along ICW)</t>
  </si>
  <si>
    <t>29.26.296 N</t>
  </si>
  <si>
    <t>81.06.724 W</t>
  </si>
  <si>
    <t>29.26.056 N</t>
  </si>
  <si>
    <t>81.06.628 W</t>
  </si>
  <si>
    <t>Laura G. Ostapko, Jo Anne Polan, Lynne Flannery</t>
  </si>
  <si>
    <t>8:30 a.m.</t>
  </si>
  <si>
    <t>Carolina Wren 1, Ruby-crowned Kinglet 1, Yellow-rumped Warblers 13, Northern Cardinal 2, Eastern Phoebe 2, Brown-headed Cowbird 1, Downy Woodpecker, Palm Warbler 1, Turket Vulture 3</t>
  </si>
  <si>
    <t>Gandy Beach (south and north of road)</t>
  </si>
  <si>
    <t>Pinellas &amp; Hillsborough</t>
  </si>
  <si>
    <t>Beth Forys &amp; Lucy</t>
  </si>
  <si>
    <t>forysea@eckerd.edu</t>
  </si>
  <si>
    <t>3 Turkey Vulture</t>
  </si>
  <si>
    <t>Goose Island (St. George State Park)</t>
  </si>
  <si>
    <t>Franklin</t>
  </si>
  <si>
    <t>Marvin Friel</t>
  </si>
  <si>
    <t>Marvin.Friel@dep.state.fl.us</t>
  </si>
  <si>
    <t>Hagen's Cove, south of Keaton Beach</t>
  </si>
  <si>
    <t>Levy</t>
  </si>
  <si>
    <t>Clint Smith, Amy Schwarzer, Nathan Lambert</t>
  </si>
  <si>
    <t>Clinton.Smith@myFWC.com</t>
  </si>
  <si>
    <t>100 sandpipers (uncertain on western or least)</t>
  </si>
  <si>
    <t>Honeymoon Island - north route</t>
  </si>
  <si>
    <t>DLarremore, LKenney</t>
  </si>
  <si>
    <t>Honeymoon Island - south route</t>
  </si>
  <si>
    <t>Huguenot Memorial Park</t>
  </si>
  <si>
    <t>Duval</t>
  </si>
  <si>
    <t>same as starting. 3 mile long loop survey</t>
  </si>
  <si>
    <t>same as starting</t>
  </si>
  <si>
    <t>Kevin Dailey and Laura Johannsen</t>
  </si>
  <si>
    <t>kedailey@yahoo.com</t>
  </si>
  <si>
    <t>1 Jaeger Sp. (Pomarine or Parasitic)</t>
  </si>
  <si>
    <t>Hutchinson Island (South)</t>
  </si>
  <si>
    <t>St. Lucie/Martin</t>
  </si>
  <si>
    <t>Niki Desjardin</t>
  </si>
  <si>
    <t>niki@ecological-associates.com</t>
  </si>
  <si>
    <t>Turkey Vulture 1</t>
  </si>
  <si>
    <t>Counted only birds on land (not flying)</t>
  </si>
  <si>
    <t>Indian Rocks Beach</t>
  </si>
  <si>
    <t>Kevin Christman, Rebecca Ruthberg, Berlynna Heres</t>
  </si>
  <si>
    <t>:</t>
  </si>
  <si>
    <t>1 mourning dove, 1 mocking bird</t>
  </si>
  <si>
    <t>Low tide - rising by end of survey (8am-10am), wack line moderate-sparse, Cover: 20% clouds - rest sun, Temperature: upper 60s-low 70s, wind - moderate out of east, water calm, *See species GPS tab for information on banded red knots*</t>
  </si>
  <si>
    <t>Lake Okeechobee Buckhead Ridge Marsh</t>
  </si>
  <si>
    <t>Glades</t>
  </si>
  <si>
    <t>Paul Gray, Tyler Beck</t>
  </si>
  <si>
    <t>PGray@Audubon.org</t>
  </si>
  <si>
    <t xml:space="preserve">Northern Shoveller 4; Blue-winged Teal 60; Anhinga 18; American Bittern 1; Black-crowned Nightheron 1; Green Heron 1; Glossy Ibis; 35; Snail Kite 12; Limkpin 20; </t>
  </si>
  <si>
    <t>survey from airboat, map submitted separately, area between Kissimmee River and Pierce Canal (Buckhead Ridge Canal)</t>
  </si>
  <si>
    <t>Lake Okeechobee Indian Prairie</t>
  </si>
  <si>
    <t>Blue-winged Teal 158; Anhinga 24; Black-crowned Nightheron 130; Green Heron 2; Glossy Ibis 338; Snail Kite 5; Limpkin 19</t>
  </si>
  <si>
    <t>survey from airboat in loop between Buckhead Ridge (Pierce) Canal and Indian Prairie Canal, map submitted separately</t>
  </si>
  <si>
    <t>Lassing Park, St. Petersburg</t>
  </si>
  <si>
    <t>Kevin Christman, Mark Mueller</t>
  </si>
  <si>
    <t>Boat-tailed Grackle - 1; Mourning Dove - 2</t>
  </si>
  <si>
    <t>Low tode, sunny, mid-60s, north wind-moderate, mudflats and beach, foot traffic light, 3 dogs - none on leash and all on the beach</t>
  </si>
  <si>
    <t>LGS at Manatee County Beach to Pine Avenue, Anna Maria Island</t>
  </si>
  <si>
    <t>27.49706  N</t>
  </si>
  <si>
    <t>82.71326 W</t>
  </si>
  <si>
    <t>27.52550 N</t>
  </si>
  <si>
    <t>82.71317 W</t>
  </si>
  <si>
    <t>Pete Gross and Emily Gross</t>
  </si>
  <si>
    <t>7:30 a.m.</t>
  </si>
  <si>
    <t>Lido Key</t>
  </si>
  <si>
    <t>8:55 a.m.</t>
  </si>
  <si>
    <t xml:space="preserve">Eurasian Collared-Dove 1, Manday (Blackhooded) Parakeet 2, Mourning Dove 16, Boat-tailed Grackle 2, </t>
  </si>
  <si>
    <t>Lighthouse Point Park, Ponce Inlet, inlet beach shoreline only</t>
  </si>
  <si>
    <t>S. Bell, J. Winters, J. Milio, M. Wilson</t>
  </si>
  <si>
    <t>Black vulture: 1</t>
  </si>
  <si>
    <t>Turkey Vulture 4, Savannah Sparrow 9</t>
  </si>
  <si>
    <t>Lovers Key State Park</t>
  </si>
  <si>
    <t>Katie Moses, Pam Jones-Morton</t>
  </si>
  <si>
    <t>Black Vulture: 5; Turkey Vulture: 1; Solitary Sandpiper: 1; 1st Year Least Tern: 1</t>
  </si>
  <si>
    <t>Manasota Key</t>
  </si>
  <si>
    <t>Carol Leonard</t>
  </si>
  <si>
    <t>carol_leonard@verizon.net</t>
  </si>
  <si>
    <t>35 Black Vultures</t>
  </si>
  <si>
    <t>Redtide present, vultures only birds observed on beach</t>
  </si>
  <si>
    <t>Manasota Key
Zone 10</t>
  </si>
  <si>
    <t>Mike Shlasko, John Leon</t>
  </si>
  <si>
    <t>mike@shlasko.com</t>
  </si>
  <si>
    <t>Manasota Key  - Zone 7</t>
  </si>
  <si>
    <t>leave blank</t>
  </si>
  <si>
    <t>Judy Demersman, Amber Tracy</t>
  </si>
  <si>
    <t>Turkey Vulture:1; Common Tern:1</t>
  </si>
  <si>
    <t>Manasota Key zone 4</t>
  </si>
  <si>
    <t>sarasota</t>
  </si>
  <si>
    <t>John Leon,Mike Shlasko</t>
  </si>
  <si>
    <t>jozn57@gmail.com</t>
  </si>
  <si>
    <t>Manasota Key Zone 9</t>
  </si>
  <si>
    <t>Other- Turkey Vulture</t>
  </si>
  <si>
    <t>Manasota Key-Zone 14</t>
  </si>
  <si>
    <t xml:space="preserve">Linda Wilson </t>
  </si>
  <si>
    <t>ljayewilson@juno.com</t>
  </si>
  <si>
    <t>turkey vulture-13</t>
  </si>
  <si>
    <t>very windy</t>
  </si>
  <si>
    <t>Manasota Key,</t>
  </si>
  <si>
    <t>Jeff and Carol Rice</t>
  </si>
  <si>
    <t>cjlemonbay@comcast.net</t>
  </si>
  <si>
    <t>15 Turkey Vultures</t>
  </si>
  <si>
    <t>Pelicans, Terns, Gull, Osprey and Vultures were not on land.  Some were flying and some afloat just off shore.</t>
  </si>
  <si>
    <t>Manasota Key, Zone 1</t>
  </si>
  <si>
    <t>27 03.304</t>
  </si>
  <si>
    <t>-82 26.511</t>
  </si>
  <si>
    <t>Peg Magee, Bonnie Nickel</t>
  </si>
  <si>
    <t>z4539pr@msn.com</t>
  </si>
  <si>
    <t>2 Black Vultures</t>
  </si>
  <si>
    <t xml:space="preserve">Manasota Key, Zone 3 </t>
  </si>
  <si>
    <t>6 Turkey Vultures</t>
  </si>
  <si>
    <t>Pelicans, Terns, Osprey, Gulls and Vultures were flying or floating close to shore.</t>
  </si>
  <si>
    <t>Manasto Key-zone 5</t>
  </si>
  <si>
    <t>Marine Corps Support Facility Blount Island - Dayson Basin Dredge Disposal Area</t>
  </si>
  <si>
    <t>John Martin, Richard Weisenburger</t>
  </si>
  <si>
    <t>john.martin@ch2m.com</t>
  </si>
  <si>
    <t xml:space="preserve">3 CANG, 80 NSHO, 15 TUVU, 7 AMPI, 160 GWTE, 2 BWTE, 1 Western Kingbird (photos; plus two others on Main Base, also photos) </t>
  </si>
  <si>
    <t>Marine Corps Support Facility Blount Island - Dayson Basin Perimeter Saltmarsh</t>
  </si>
  <si>
    <t>1 TUVU, 35 TRES, 1 SORA, 2 CLRA</t>
  </si>
  <si>
    <t>Marine Corps Support Facility Blount Island - East Point Shoreline</t>
  </si>
  <si>
    <t>4 TUVU, 1 PBGR</t>
  </si>
  <si>
    <t>Marine Corps Support Facility Blount Island - Lake Tomroy, Pond A-A, Pond C</t>
  </si>
  <si>
    <t>8 PBGR, 9 AMCO, 12 COGA</t>
  </si>
  <si>
    <t>Marine Corps Support Facility Blount Island - Pond A</t>
  </si>
  <si>
    <t>21 NSHO, 6 MODU, 1 CAEG</t>
  </si>
  <si>
    <t>Marine Corps Support Facility Blount Island - Pond B</t>
  </si>
  <si>
    <t>1 PBGR</t>
  </si>
  <si>
    <t>Marine Corps Support Facility Blount Island - South Shore</t>
  </si>
  <si>
    <t>2 MODU, 1 BWTE</t>
  </si>
  <si>
    <t>Marineland / County Line south to Washington Oaks Gardens State Park (ICW)</t>
  </si>
  <si>
    <t>29.40.140 N</t>
  </si>
  <si>
    <t>81.12.540 W</t>
  </si>
  <si>
    <t>29.37.440 N</t>
  </si>
  <si>
    <t>81.12.320 W</t>
  </si>
  <si>
    <t>Joe Dziak, Judie Dziak, Graham Williams, Karen Brown</t>
  </si>
  <si>
    <t>jjdziak@att.net</t>
  </si>
  <si>
    <t>10:10 a. m.</t>
  </si>
  <si>
    <t>Black-crowned Night Heron 7, Black Vulture 30, Turkey Vulture 20</t>
  </si>
  <si>
    <t>Matanzas Inlet South side to Flagler County</t>
  </si>
  <si>
    <t>Peggy Cook, CJ McCartney, Alex McManus, Lydia Schindler Chris Farrell</t>
  </si>
  <si>
    <t>irateparrot@aol.com</t>
  </si>
  <si>
    <t>Savannah Sparrow 4, Am Crow1, Blk Vulture 1, Turkey Vulture 5</t>
  </si>
  <si>
    <t>Mid-Fort De Soto, Route 1</t>
  </si>
  <si>
    <t>Mourning dove 8, Palm Warbler 1</t>
  </si>
  <si>
    <t>Mid-Fort De Soto, Route 2</t>
  </si>
  <si>
    <t>2 Razor Bills, 2 Loggerhead Shrike</t>
  </si>
  <si>
    <t>N Casey Key to Blackburn (R1)</t>
  </si>
  <si>
    <t>Kristen Mazzarella, Paula Clark</t>
  </si>
  <si>
    <t>2/3/2012=3</t>
  </si>
  <si>
    <t>7 Turkey Vultures</t>
  </si>
  <si>
    <t>red tide - mild irritation, some dead fish on shore, clear sunny 50-65F</t>
  </si>
  <si>
    <t>North Clearwater Beach</t>
  </si>
  <si>
    <t>Susan McCombie</t>
  </si>
  <si>
    <t>mccombies@aol.com</t>
  </si>
  <si>
    <t>Boat-tailed Grackle 5, Mourning Dove 1, Turkey Vulture 2</t>
  </si>
  <si>
    <t>North Peninsula State Park: marsh restorations north of Highbridge Rd (ICW) </t>
  </si>
  <si>
    <t>29.25.300 N</t>
  </si>
  <si>
    <t>81.06.218 W</t>
  </si>
  <si>
    <t>29.25.096 N</t>
  </si>
  <si>
    <t>81.06.108 W</t>
  </si>
  <si>
    <t>Laura G. Ostapko, Jo Anne Polan, Cassy Moran, John Demkar</t>
  </si>
  <si>
    <t>10:00 a.m.</t>
  </si>
  <si>
    <t>Eastern Phoebe 2, Cardinal 1, Yellow-rumped Warblers 6</t>
  </si>
  <si>
    <t>North Peninsula State Park: marsh restorations south of Highbridge Rd (ICW) </t>
  </si>
  <si>
    <t>29.24.493 N</t>
  </si>
  <si>
    <t>81.06.006 W</t>
  </si>
  <si>
    <t>29.24.343 N</t>
  </si>
  <si>
    <t>81.05.818 W</t>
  </si>
  <si>
    <t>Laura G.Ostapko, Jo Anne Polan, Cassy Moran, Meret Wilson, Liz Rourke, Linda White, Alice Clark, John Demkar</t>
  </si>
  <si>
    <t>11:00 a.m.</t>
  </si>
  <si>
    <t>Eastern Bluebird 1, Bluejay 5, Northern Mockingbird 1, Yellow-rumped Warbler 5, Red-bellied Woodpecker 1, Turkey Vulture 2</t>
  </si>
  <si>
    <t>North Redington Beach &amp; Redinton Shores</t>
  </si>
  <si>
    <t>27 48.748</t>
  </si>
  <si>
    <t>82 49.127</t>
  </si>
  <si>
    <t>27 50.582</t>
  </si>
  <si>
    <t>82 50.500</t>
  </si>
  <si>
    <t>sbjenks@hotmail.com</t>
  </si>
  <si>
    <t>2 Turkey Vultures</t>
  </si>
  <si>
    <t>1 newly dead Common Loon on the beach, emaciated. (GPS = 27 49.853 &amp; 82 50.050)</t>
  </si>
  <si>
    <t>North Rockhouse Creek Shoal island, Ponce Inlet</t>
  </si>
  <si>
    <t>Palm Warbler: 1</t>
  </si>
  <si>
    <t>North side of Longboat Pass to Cortez RD including all of Coquina Beach</t>
  </si>
  <si>
    <t>Marve Zerkel Carole Brigham</t>
  </si>
  <si>
    <t>mzerkel@tampabay.rr.com</t>
  </si>
  <si>
    <t>37 Black Vulture</t>
  </si>
  <si>
    <t>North Siesta to Public Beach</t>
  </si>
  <si>
    <t>27.50.982 N</t>
  </si>
  <si>
    <t>82.33.392 W</t>
  </si>
  <si>
    <t>27.16.276 N</t>
  </si>
  <si>
    <t>82.556 W</t>
  </si>
  <si>
    <t>9:30 a..m.</t>
  </si>
  <si>
    <t>very low tide. beach has recovered well from TS Debi. Little evidence of any remain dead fish from red tide problem a few weeks ago.</t>
  </si>
  <si>
    <t>Northern Longboat Key (Manatee County half) 4125 Gulf of Mexico Drive to Longboat Pass</t>
  </si>
  <si>
    <t>Green Heron 1, Turkey Vulture 20, Black Vulture 2, Eurasian Collared-Dove 1, Mourning Dove 6, Red-bellied Woodpecker 3, European Starling 9, Palm Warbler 3, Common Grackle 8, Yellow-bellied Sapsucker 1, Northern Cardinal 2, Northern Mockingbird 1, Gray Catbird 1, Brown-headed Cowbird 8</t>
  </si>
  <si>
    <t>Northshore Park Beach, St. Petersburg</t>
  </si>
  <si>
    <t>Boat-tailed Grackle - 14; Turkey Vulture - 3; Mourning Dove - 1</t>
  </si>
  <si>
    <t xml:space="preserve">Low tide, Sunny, Temperature in low-mid 60s, North wind - moderate, mudflats and beach (no wrack line), foot traffic heavy - all on sidewalks, 10+ dogs in area - all on leashes. </t>
  </si>
  <si>
    <t>Noth Anclote Bar</t>
  </si>
  <si>
    <t>DGagne, BPranty, VPonzi</t>
  </si>
  <si>
    <t>1 YRWA</t>
  </si>
  <si>
    <t>Palma Sola Causeway Manatee Ave</t>
  </si>
  <si>
    <t>Dee Hanny</t>
  </si>
  <si>
    <t>ynnahda@yahoo.com</t>
  </si>
  <si>
    <t xml:space="preserve">Turkey Vulture 5 </t>
  </si>
  <si>
    <t>Palmetto Road docks on Matanzas R.</t>
  </si>
  <si>
    <t>AMOYs were not in position for team to read possible bands</t>
  </si>
  <si>
    <t>Pass-a-grille to St. Pete Beach</t>
  </si>
  <si>
    <t>Sue Muntner, Carrie Plaxco</t>
  </si>
  <si>
    <t>muntnesj@eckerd.edu</t>
  </si>
  <si>
    <t>2/10/1013</t>
  </si>
  <si>
    <t>Escambia</t>
  </si>
  <si>
    <t>Toby Stapleton</t>
  </si>
  <si>
    <t>Toby_Stapleton@nps.gov</t>
  </si>
  <si>
    <t>Ponce Inlet boat ramp area shoal islands, Ponce Inlet</t>
  </si>
  <si>
    <t>Ponte Vedra North, Mickler Landing to Duval Co. line</t>
  </si>
  <si>
    <t>Ponte Vedra South, Mickler Landing to GTMNERR</t>
  </si>
  <si>
    <t>45+ Tree Swallows</t>
  </si>
  <si>
    <t>Porpoise Point , from Surfside Park to river-side access</t>
  </si>
  <si>
    <t>Dan Hayes, Jeanene Farrell, Monique Borboen</t>
  </si>
  <si>
    <t>mborboen@audubon.org</t>
  </si>
  <si>
    <t>1 dead Common Loon, BTGR 41, TUVU 4. The flock of skmmers regularly flushed up by people, twice intentionally to take photos, once by person with a dog throwing food at them.</t>
  </si>
  <si>
    <t>Sand Key</t>
  </si>
  <si>
    <t>Scrub Pens Road</t>
  </si>
  <si>
    <t>Highlands</t>
  </si>
  <si>
    <t xml:space="preserve">Paul Gray </t>
  </si>
  <si>
    <t>Cattle Egret 4</t>
  </si>
  <si>
    <t>from car along first 0.6 miles of road</t>
  </si>
  <si>
    <t>Shell Key</t>
  </si>
  <si>
    <t>Ron Smith, Randy Harron &amp; Sue Tavaglione</t>
  </si>
  <si>
    <t>rsmith52@tampabay.rr.com</t>
  </si>
  <si>
    <t>10 Turke Vulture</t>
  </si>
  <si>
    <t>The numer of red heads is a minimum estimate</t>
  </si>
  <si>
    <t>Smyrna Dunes Park shoreline, 2995 S. Peninsula Ave., New Smyrna Beach (Atlantic, inlet and river shoreline beaches)</t>
  </si>
  <si>
    <t>south Clwtr Bch</t>
  </si>
  <si>
    <t>Ruth Ellen Peipert</t>
  </si>
  <si>
    <t>South Volusia County; Beach - Smyrna Dunes Park to Canaveral National Sea shore</t>
  </si>
  <si>
    <t>Ken Gunn, Don Chalfant, Nancy White, Kip Hulvershorn, Bill Cox</t>
  </si>
  <si>
    <t>1 RAZO (injured)</t>
  </si>
  <si>
    <t>South Volusia County: Inland - South of Rose Bay to Shiloh</t>
  </si>
  <si>
    <t>Ken Gunn, Dick and Gail Domroski, Bob Stallnaker</t>
  </si>
  <si>
    <t>1 BCNH; 30 NSHO; 17BWTE; 102 AMCO; 4 ANHI; 4 GLIB</t>
  </si>
  <si>
    <t>South Volusia County: Intercoastal/Indian River Lagoon/Wetlands - Piddler Island to Eldora and Campbell Cut except for waters and islands off Ponce Inlet and Smyrna Dunes Park</t>
  </si>
  <si>
    <t>Ken Gunn, Tad Fyock, Don Picard, Fern Murphy, Andrea Lux, Eli Shapero, Tom Lee, Mort Rosenblum. Snoookie De Marcie</t>
  </si>
  <si>
    <t>3 COME; 7 BCNH; 1 GRME</t>
  </si>
  <si>
    <t>St.Augustine Beach from Matanzas driving ramp to A St., 9.4 miles</t>
  </si>
  <si>
    <t>Teddy Shuler,Linda Avery, Diana Justice, Jade Dupuis</t>
  </si>
  <si>
    <t>No. Gannets were abundant for all 9.4 miles.  500 is estimate</t>
  </si>
  <si>
    <t>Sunset Beach</t>
  </si>
  <si>
    <t>Tree Swallow 2</t>
  </si>
  <si>
    <t>Three Rooker Bar - middle, south half</t>
  </si>
  <si>
    <t>Marianne Korosy, Dana Kerstein, Susan Silberberg</t>
  </si>
  <si>
    <t>mkorosy@gmail.com</t>
  </si>
  <si>
    <t>Three Rooker Bar - South</t>
  </si>
  <si>
    <t>Sid Crawford, John Hood</t>
  </si>
  <si>
    <t>9:00a</t>
  </si>
  <si>
    <t>11 (Mallard)</t>
  </si>
  <si>
    <t>TUVU - 3; PAWA -2</t>
  </si>
  <si>
    <t>Start-end - not straight line. Follow shoreline; intermediate GPS @ 28.10556 x -82.82885</t>
  </si>
  <si>
    <t>Three Rooker Bar Mid-North Route</t>
  </si>
  <si>
    <t>Anastasia Steinbrunner, Angela, Rachel</t>
  </si>
  <si>
    <t>anastasia.steinbrunner@gmail.com</t>
  </si>
  <si>
    <t xml:space="preserve">2 Common loons were found dead, Large flock of Red Knots, Semipalimated plovers and Ruddy Turnstorne in center of island. </t>
  </si>
  <si>
    <t>D Larremore, M Korosy</t>
  </si>
  <si>
    <t>Daniel.Larremore@dep.state.fl.us</t>
  </si>
  <si>
    <t>Three Rooker Bar- North</t>
  </si>
  <si>
    <t>Laura-Marie Koitsch, David Hopkins</t>
  </si>
  <si>
    <t>thebirdnerd42@gmail.com</t>
  </si>
  <si>
    <t>5 TUVU, 1 SAVS</t>
  </si>
  <si>
    <t>Low Tide Rising. Beaufort: 3, Cover: 80%. Temp: 65F. No banded birds.  4 PIPLs at 28.13096, -82.82991. Deceased Sea Turtle at 28.12988, -82.83199.</t>
  </si>
  <si>
    <t>Tierra Verde Causeway</t>
  </si>
  <si>
    <t xml:space="preserve"> 27.697718°</t>
  </si>
  <si>
    <t>-82.716001°</t>
  </si>
  <si>
    <t xml:space="preserve"> 27.624777°</t>
  </si>
  <si>
    <t>-82.715206°</t>
  </si>
  <si>
    <t>donatdonlo@aol.com</t>
  </si>
  <si>
    <t>`</t>
  </si>
  <si>
    <t>Turtle Beach - South Siesta Key to North Casey Key</t>
  </si>
  <si>
    <t>Michelle van Deventer</t>
  </si>
  <si>
    <t>michelle@vandeventer.com</t>
  </si>
  <si>
    <t>50 vultures (mix of turkey &amp; black) on the beach scavenging red tide killed fish</t>
  </si>
  <si>
    <t>Varn Park North to Washington Oaks Gardens State Park</t>
  </si>
  <si>
    <t>29.37.400 N</t>
  </si>
  <si>
    <t>81.60.300 W</t>
  </si>
  <si>
    <t>Don White, Amber Higginbothan</t>
  </si>
  <si>
    <t>djwhite077@earthlink.net</t>
  </si>
  <si>
    <t>8:45 a.m.</t>
  </si>
  <si>
    <t>LEAST TERN 4, Anhinga 2, Yellow-rumped Warble 1, Black Vulture 3, Boat-tailed Grackle 1, Mourning Dove 2, Northern Mockingbird 1, American Robon 35, Common Loon - also 1 dead</t>
  </si>
  <si>
    <t>Venice - Sharkeys Pier north to Venice jetty</t>
  </si>
  <si>
    <t>Bonnie Samuelsen, Sally Braem, Jim Glenn, Laura Shoule</t>
  </si>
  <si>
    <t>Washington Oaks Gardens State Park (oceanside) north to Marineland / County Line </t>
  </si>
  <si>
    <t>29.40.120 N</t>
  </si>
  <si>
    <t>81.12.430 W</t>
  </si>
  <si>
    <t>Weff Road docks on Matanzas R.</t>
  </si>
  <si>
    <t xml:space="preserve">1 AMOY with visible band H8?, dark band on upper rt. leg. </t>
  </si>
  <si>
    <t>Zone 13-Manasota Key</t>
  </si>
  <si>
    <t>Linda Wilson</t>
  </si>
  <si>
    <t>50 Turkey Vultures</t>
  </si>
  <si>
    <t>Zone 8-Manasota Key</t>
  </si>
  <si>
    <t>Pam &amp; Sam Davis</t>
  </si>
  <si>
    <t>samandpam@verizon.net</t>
  </si>
  <si>
    <t>9:00 a.m.</t>
  </si>
  <si>
    <t>Zone 12-Manasota Key</t>
  </si>
  <si>
    <t>9:47 a.m.</t>
  </si>
  <si>
    <t>3 starlings, 1 palm warbler</t>
  </si>
  <si>
    <t>Ospreys starting a nest on transformer</t>
  </si>
  <si>
    <t>Mid-Fort De Soto Rte 2</t>
  </si>
  <si>
    <t>14 Mourning dove, 1 Barn Swallow, 1 Am.Kestrel, 1 Log.Shrike, 2 Palm warbler, 6 Brn-hd.Cowbird</t>
  </si>
  <si>
    <t>Ospreys nesting on chimney</t>
  </si>
  <si>
    <t>Zone 14-Manasota Key</t>
  </si>
  <si>
    <t>None seen.</t>
  </si>
  <si>
    <t>yes</t>
  </si>
  <si>
    <t>first get the piping plovers from the count sheet</t>
  </si>
  <si>
    <t>then</t>
  </si>
  <si>
    <t>from species gps try to extract the number after PIPL - ""</t>
  </si>
  <si>
    <t xml:space="preserve">Human -verifictation. If the number of cols and </t>
  </si>
  <si>
    <t>code match if the numbers of count, location, not lat and long, person name email address, then date matches then we use the species gps lat and long</t>
  </si>
  <si>
    <t>if specis gps doesnot have lat and lon related to this just leave it blank and make a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</si>
</sst>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000"/>
    <numFmt numFmtId="166" formatCode="m/d/yyyy\ h:mm:ss"/>
  </numFmts>
  <fonts count="6" x14ac:knownFonts="1">
    <font>
      <sz val="10"/>
      <color rgb="FF000000"/>
      <name val="Arial"/>
    </font>
    <font>
      <sz val="12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24"/>
      <color rgb="FF00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3F3F3"/>
        <bgColor rgb="FFF3F3F3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DDDDDD"/>
        <bgColor rgb="FFDDDDD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1" fillId="3" borderId="4" xfId="0" applyFont="1" applyFill="1" applyBorder="1" applyAlignment="1">
      <alignment wrapText="1"/>
    </xf>
    <xf numFmtId="164" fontId="4" fillId="5" borderId="5" xfId="0" applyNumberFormat="1" applyFont="1" applyFill="1" applyBorder="1" applyAlignment="1">
      <alignment wrapText="1"/>
    </xf>
    <xf numFmtId="0" fontId="3" fillId="6" borderId="0" xfId="0" applyFont="1" applyFill="1" applyAlignment="1">
      <alignment wrapText="1"/>
    </xf>
    <xf numFmtId="1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3" fontId="3" fillId="7" borderId="0" xfId="0" applyNumberFormat="1" applyFont="1" applyFill="1" applyAlignment="1">
      <alignment wrapText="1"/>
    </xf>
    <xf numFmtId="0" fontId="2" fillId="0" borderId="0" xfId="0" applyFont="1" applyAlignment="1">
      <alignment wrapText="1"/>
    </xf>
    <xf numFmtId="0" fontId="3" fillId="8" borderId="0" xfId="0" applyFont="1" applyFill="1" applyAlignment="1">
      <alignment wrapText="1"/>
    </xf>
    <xf numFmtId="165" fontId="5" fillId="0" borderId="0" xfId="0" applyNumberFormat="1" applyFont="1" applyAlignment="1">
      <alignment wrapText="1"/>
    </xf>
    <xf numFmtId="16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166" fontId="5" fillId="0" borderId="0" xfId="0" applyNumberFormat="1" applyFont="1" applyAlignment="1">
      <alignment wrapText="1"/>
    </xf>
    <xf numFmtId="0" fontId="5" fillId="0" borderId="0" xfId="0" applyFont="1"/>
    <xf numFmtId="21" fontId="5" fillId="0" borderId="0" xfId="0" applyNumberFormat="1" applyFont="1" applyAlignment="1">
      <alignment wrapText="1"/>
    </xf>
    <xf numFmtId="3" fontId="3" fillId="8" borderId="0" xfId="0" applyNumberFormat="1" applyFont="1" applyFill="1" applyAlignment="1">
      <alignment wrapText="1"/>
    </xf>
    <xf numFmtId="14" fontId="2" fillId="0" borderId="0" xfId="0" applyNumberFormat="1" applyFont="1" applyAlignment="1">
      <alignment wrapText="1"/>
    </xf>
    <xf numFmtId="21" fontId="2" fillId="0" borderId="0" xfId="0" applyNumberFormat="1" applyFont="1" applyAlignment="1">
      <alignment wrapText="1"/>
    </xf>
    <xf numFmtId="0" fontId="5" fillId="3" borderId="0" xfId="0" applyFont="1" applyFill="1" applyAlignment="1">
      <alignment wrapText="1"/>
    </xf>
    <xf numFmtId="14" fontId="5" fillId="3" borderId="0" xfId="0" applyNumberFormat="1" applyFont="1" applyFill="1" applyAlignment="1">
      <alignment wrapText="1"/>
    </xf>
    <xf numFmtId="21" fontId="5" fillId="3" borderId="0" xfId="0" applyNumberFormat="1" applyFont="1" applyFill="1" applyAlignment="1">
      <alignment wrapText="1"/>
    </xf>
    <xf numFmtId="3" fontId="3" fillId="3" borderId="0" xfId="0" applyNumberFormat="1" applyFont="1" applyFill="1" applyAlignment="1">
      <alignment wrapText="1"/>
    </xf>
    <xf numFmtId="166" fontId="5" fillId="0" borderId="0" xfId="0" quotePrefix="1" applyNumberFormat="1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3"/>
  <sheetViews>
    <sheetView topLeftCell="A229" workbookViewId="0">
      <selection activeCell="A30" sqref="A30"/>
    </sheetView>
  </sheetViews>
  <sheetFormatPr baseColWidth="10" defaultColWidth="14.5" defaultRowHeight="12.75" customHeight="1" x14ac:dyDescent="0.15"/>
  <cols>
    <col min="1" max="1" width="101.83203125" customWidth="1"/>
    <col min="2" max="20" width="17.33203125" customWidth="1"/>
  </cols>
  <sheetData>
    <row r="1" spans="1:2" ht="12.75" customHeight="1" x14ac:dyDescent="0.2">
      <c r="A1" s="1" t="s">
        <v>0</v>
      </c>
      <c r="B1" s="2"/>
    </row>
    <row r="2" spans="1:2" ht="12.75" customHeight="1" x14ac:dyDescent="0.2">
      <c r="A2" s="3" t="s">
        <v>1</v>
      </c>
      <c r="B2" s="2"/>
    </row>
    <row r="3" spans="1:2" ht="12.75" customHeight="1" x14ac:dyDescent="0.2">
      <c r="A3" s="3" t="s">
        <v>4</v>
      </c>
      <c r="B3" s="2"/>
    </row>
    <row r="4" spans="1:2" ht="12.75" customHeight="1" x14ac:dyDescent="0.2">
      <c r="A4" s="3" t="s">
        <v>5</v>
      </c>
      <c r="B4" s="2"/>
    </row>
    <row r="5" spans="1:2" ht="12.75" customHeight="1" x14ac:dyDescent="0.2">
      <c r="A5" s="3" t="s">
        <v>6</v>
      </c>
      <c r="B5" s="2"/>
    </row>
    <row r="6" spans="1:2" ht="12.75" customHeight="1" x14ac:dyDescent="0.2">
      <c r="A6" s="3" t="s">
        <v>7</v>
      </c>
      <c r="B6" s="2"/>
    </row>
    <row r="7" spans="1:2" ht="12.75" customHeight="1" x14ac:dyDescent="0.2">
      <c r="A7" s="3" t="s">
        <v>8</v>
      </c>
      <c r="B7" s="2"/>
    </row>
    <row r="8" spans="1:2" ht="12.75" customHeight="1" x14ac:dyDescent="0.2">
      <c r="A8" s="5"/>
      <c r="B8" s="2"/>
    </row>
    <row r="9" spans="1:2" ht="12.75" customHeight="1" x14ac:dyDescent="0.3">
      <c r="A9" s="6"/>
    </row>
    <row r="19" spans="1:1" ht="12.75" customHeight="1" x14ac:dyDescent="0.15">
      <c r="A19" s="9" t="s">
        <v>876</v>
      </c>
    </row>
    <row r="20" spans="1:1" ht="12.75" customHeight="1" x14ac:dyDescent="0.15">
      <c r="A20" s="9" t="s">
        <v>877</v>
      </c>
    </row>
    <row r="21" spans="1:1" ht="12.75" customHeight="1" x14ac:dyDescent="0.15">
      <c r="A21" s="9" t="s">
        <v>878</v>
      </c>
    </row>
    <row r="22" spans="1:1" ht="12.75" customHeight="1" x14ac:dyDescent="0.15">
      <c r="A22" s="9" t="s">
        <v>879</v>
      </c>
    </row>
    <row r="23" spans="1:1" ht="12.75" customHeight="1" x14ac:dyDescent="0.15">
      <c r="A23" s="9" t="s">
        <v>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30"/>
  <sheetViews>
    <sheetView workbookViewId="0">
      <pane ySplit="2" topLeftCell="A10" activePane="bottomLeft" state="frozen"/>
      <selection pane="bottomLeft" activeCell="C7" sqref="C7"/>
    </sheetView>
  </sheetViews>
  <sheetFormatPr baseColWidth="10" defaultColWidth="14.5" defaultRowHeight="12.75" customHeight="1" x14ac:dyDescent="0.15"/>
  <cols>
    <col min="1" max="1" width="17.33203125" customWidth="1"/>
    <col min="2" max="2" width="22.5" customWidth="1"/>
    <col min="3" max="3" width="26.1640625" customWidth="1"/>
    <col min="4" max="4" width="17.33203125" customWidth="1"/>
    <col min="5" max="5" width="25.5" customWidth="1"/>
    <col min="6" max="7" width="17.33203125" customWidth="1"/>
    <col min="8" max="8" width="20.33203125" customWidth="1"/>
    <col min="9" max="9" width="21.6640625" customWidth="1"/>
    <col min="10" max="10" width="18.6640625" customWidth="1"/>
    <col min="11" max="11" width="22.83203125" customWidth="1"/>
    <col min="12" max="12" width="60.5" customWidth="1"/>
  </cols>
  <sheetData>
    <row r="1" spans="1:12" ht="38" customHeight="1" x14ac:dyDescent="0.15">
      <c r="F1" s="9" t="s">
        <v>875</v>
      </c>
      <c r="G1" s="9" t="s">
        <v>875</v>
      </c>
    </row>
    <row r="2" spans="1:12" ht="90" customHeight="1" x14ac:dyDescent="0.15">
      <c r="A2" s="4" t="s">
        <v>2</v>
      </c>
      <c r="B2" s="4" t="s">
        <v>26</v>
      </c>
      <c r="C2" s="4" t="s">
        <v>29</v>
      </c>
      <c r="D2" s="4" t="s">
        <v>31</v>
      </c>
      <c r="E2" s="4" t="s">
        <v>33</v>
      </c>
      <c r="F2" s="4" t="s">
        <v>35</v>
      </c>
      <c r="G2" s="4" t="s">
        <v>38</v>
      </c>
      <c r="H2" s="4" t="s">
        <v>14</v>
      </c>
      <c r="I2" s="4" t="s">
        <v>15</v>
      </c>
      <c r="J2" s="4" t="s">
        <v>42</v>
      </c>
      <c r="K2" s="4" t="s">
        <v>43</v>
      </c>
      <c r="L2" s="7" t="s">
        <v>44</v>
      </c>
    </row>
    <row r="3" spans="1:12" ht="71.25" customHeight="1" x14ac:dyDescent="0.15">
      <c r="A3" s="8">
        <v>41308</v>
      </c>
      <c r="B3" s="9" t="s">
        <v>96</v>
      </c>
      <c r="C3" s="9" t="s">
        <v>111</v>
      </c>
      <c r="D3" s="9">
        <v>60</v>
      </c>
      <c r="E3" s="9" t="s">
        <v>115</v>
      </c>
      <c r="F3" s="9">
        <v>27.173719999999999</v>
      </c>
      <c r="G3" s="9">
        <v>-82.496359999999996</v>
      </c>
      <c r="H3" s="9" t="s">
        <v>120</v>
      </c>
      <c r="I3" s="9" t="s">
        <v>122</v>
      </c>
      <c r="L3" s="9"/>
    </row>
    <row r="4" spans="1:12" ht="71.25" customHeight="1" x14ac:dyDescent="0.15">
      <c r="A4" s="8">
        <v>41308</v>
      </c>
      <c r="B4" s="9" t="s">
        <v>126</v>
      </c>
      <c r="C4" s="9" t="s">
        <v>127</v>
      </c>
      <c r="D4" s="9">
        <v>9</v>
      </c>
      <c r="E4" s="9" t="s">
        <v>128</v>
      </c>
      <c r="F4" s="9">
        <v>27.534727</v>
      </c>
      <c r="G4" s="9">
        <v>-82.744100000000003</v>
      </c>
      <c r="H4" s="9" t="s">
        <v>129</v>
      </c>
      <c r="I4" s="9" t="s">
        <v>130</v>
      </c>
      <c r="J4" s="11" t="s">
        <v>131</v>
      </c>
      <c r="K4" s="11" t="s">
        <v>133</v>
      </c>
      <c r="L4" s="9"/>
    </row>
    <row r="5" spans="1:12" ht="71.25" customHeight="1" x14ac:dyDescent="0.15">
      <c r="A5" s="8">
        <v>41306</v>
      </c>
      <c r="B5" s="9" t="s">
        <v>134</v>
      </c>
      <c r="C5" s="9" t="s">
        <v>135</v>
      </c>
      <c r="D5" s="9"/>
      <c r="E5" s="9"/>
      <c r="F5" s="9">
        <v>29.885746000000001</v>
      </c>
      <c r="G5" s="9">
        <v>-81.272420999999994</v>
      </c>
      <c r="H5" s="9" t="s">
        <v>136</v>
      </c>
      <c r="I5" s="9" t="s">
        <v>137</v>
      </c>
      <c r="L5" s="9"/>
    </row>
    <row r="6" spans="1:12" ht="71.25" customHeight="1" x14ac:dyDescent="0.15">
      <c r="A6" s="8">
        <v>41306</v>
      </c>
      <c r="B6" s="9" t="s">
        <v>134</v>
      </c>
      <c r="C6" s="9" t="s">
        <v>138</v>
      </c>
      <c r="D6" s="9"/>
      <c r="E6" s="9"/>
      <c r="F6" s="9">
        <v>29.881996999999998</v>
      </c>
      <c r="G6" s="9">
        <v>-81.272570999999999</v>
      </c>
      <c r="H6" s="9" t="s">
        <v>136</v>
      </c>
      <c r="I6" s="9" t="s">
        <v>137</v>
      </c>
      <c r="L6" s="9"/>
    </row>
    <row r="7" spans="1:12" ht="71.25" customHeight="1" x14ac:dyDescent="0.15">
      <c r="A7" s="8">
        <v>41313</v>
      </c>
      <c r="B7" s="9" t="s">
        <v>139</v>
      </c>
      <c r="C7" s="9" t="s">
        <v>140</v>
      </c>
      <c r="D7" s="9" t="s">
        <v>141</v>
      </c>
      <c r="E7" s="9" t="s">
        <v>142</v>
      </c>
      <c r="F7" s="9">
        <v>28.213999999999999</v>
      </c>
      <c r="G7" s="9">
        <v>-82.846999999999994</v>
      </c>
      <c r="H7" s="9" t="s">
        <v>143</v>
      </c>
      <c r="I7" s="9" t="s">
        <v>144</v>
      </c>
      <c r="J7" s="11">
        <v>0</v>
      </c>
      <c r="K7" s="11">
        <v>0</v>
      </c>
      <c r="L7" s="9" t="s">
        <v>145</v>
      </c>
    </row>
    <row r="8" spans="1:12" ht="71.25" customHeight="1" x14ac:dyDescent="0.15">
      <c r="A8" s="8">
        <v>41313</v>
      </c>
      <c r="B8" s="9" t="s">
        <v>139</v>
      </c>
      <c r="C8" s="9" t="s">
        <v>146</v>
      </c>
      <c r="D8" s="9">
        <v>25</v>
      </c>
      <c r="E8" s="9" t="s">
        <v>147</v>
      </c>
      <c r="F8" s="9">
        <v>28.216999999999999</v>
      </c>
      <c r="G8" s="9">
        <v>-82.846999999999994</v>
      </c>
      <c r="H8" s="9" t="s">
        <v>143</v>
      </c>
      <c r="I8" s="9" t="s">
        <v>144</v>
      </c>
      <c r="J8" s="11">
        <v>0</v>
      </c>
      <c r="K8" s="11">
        <v>0</v>
      </c>
      <c r="L8" s="9" t="s">
        <v>148</v>
      </c>
    </row>
    <row r="9" spans="1:12" ht="71.25" customHeight="1" x14ac:dyDescent="0.15">
      <c r="A9" s="8">
        <v>41313</v>
      </c>
      <c r="B9" s="9" t="s">
        <v>149</v>
      </c>
      <c r="C9" s="9" t="s">
        <v>150</v>
      </c>
      <c r="D9" s="9"/>
      <c r="E9" s="9"/>
      <c r="F9" s="9">
        <v>28.159300000000002</v>
      </c>
      <c r="G9" s="9">
        <v>-82.843400000000003</v>
      </c>
      <c r="H9" s="9" t="s">
        <v>151</v>
      </c>
      <c r="I9" s="9" t="s">
        <v>152</v>
      </c>
      <c r="L9" s="9"/>
    </row>
    <row r="10" spans="1:12" ht="71.25" customHeight="1" x14ac:dyDescent="0.15">
      <c r="A10" s="8">
        <v>41306</v>
      </c>
      <c r="B10" s="9" t="s">
        <v>153</v>
      </c>
      <c r="C10" s="9" t="s">
        <v>154</v>
      </c>
      <c r="D10" s="9">
        <v>8</v>
      </c>
      <c r="E10" s="9"/>
      <c r="F10" s="9">
        <v>25.96322</v>
      </c>
      <c r="G10" s="9">
        <v>-81.750680000000003</v>
      </c>
      <c r="H10" s="9" t="s">
        <v>155</v>
      </c>
      <c r="I10" s="9" t="s">
        <v>156</v>
      </c>
      <c r="J10" s="11">
        <v>0</v>
      </c>
      <c r="K10" s="11">
        <v>0</v>
      </c>
      <c r="L10" s="9"/>
    </row>
    <row r="11" spans="1:12" ht="71.25" customHeight="1" x14ac:dyDescent="0.15">
      <c r="A11" s="8">
        <v>41306</v>
      </c>
      <c r="B11" s="9" t="s">
        <v>153</v>
      </c>
      <c r="C11" s="9" t="s">
        <v>157</v>
      </c>
      <c r="D11" s="9">
        <v>51</v>
      </c>
      <c r="E11" s="9" t="s">
        <v>158</v>
      </c>
      <c r="F11" s="9">
        <v>25.96604</v>
      </c>
      <c r="G11" s="9">
        <v>-81.748260000000002</v>
      </c>
      <c r="H11" s="9" t="s">
        <v>155</v>
      </c>
      <c r="I11" s="9" t="s">
        <v>156</v>
      </c>
      <c r="J11" s="11">
        <v>0</v>
      </c>
      <c r="K11" s="11">
        <v>0</v>
      </c>
      <c r="L11" s="9"/>
    </row>
    <row r="12" spans="1:12" ht="71.25" customHeight="1" x14ac:dyDescent="0.15">
      <c r="A12" s="8">
        <v>41306</v>
      </c>
      <c r="B12" s="9" t="s">
        <v>153</v>
      </c>
      <c r="C12" s="9" t="s">
        <v>157</v>
      </c>
      <c r="D12" s="9">
        <v>153</v>
      </c>
      <c r="E12" s="9" t="s">
        <v>159</v>
      </c>
      <c r="F12" s="9">
        <v>25.9651</v>
      </c>
      <c r="G12" s="9">
        <v>-81.746639999999999</v>
      </c>
      <c r="H12" s="9" t="s">
        <v>155</v>
      </c>
      <c r="I12" s="9" t="s">
        <v>156</v>
      </c>
      <c r="J12" s="11">
        <v>0</v>
      </c>
      <c r="K12" s="11">
        <v>0</v>
      </c>
      <c r="L12" s="9"/>
    </row>
    <row r="13" spans="1:12" ht="71.25" customHeight="1" x14ac:dyDescent="0.15">
      <c r="A13" s="8">
        <v>41306</v>
      </c>
      <c r="B13" s="9" t="s">
        <v>153</v>
      </c>
      <c r="C13" s="9" t="s">
        <v>160</v>
      </c>
      <c r="D13" s="9">
        <v>6</v>
      </c>
      <c r="E13" s="9"/>
      <c r="F13" s="9">
        <v>25.947410000000001</v>
      </c>
      <c r="G13" s="9">
        <v>-81.743780000000001</v>
      </c>
      <c r="H13" s="9" t="s">
        <v>155</v>
      </c>
      <c r="I13" s="9" t="s">
        <v>156</v>
      </c>
      <c r="J13" s="11">
        <v>0</v>
      </c>
      <c r="K13" s="11">
        <v>0</v>
      </c>
      <c r="L13" s="9"/>
    </row>
    <row r="14" spans="1:12" ht="71.25" customHeight="1" x14ac:dyDescent="0.15">
      <c r="A14" s="8">
        <v>41306</v>
      </c>
      <c r="B14" s="9" t="s">
        <v>153</v>
      </c>
      <c r="C14" s="9" t="s">
        <v>161</v>
      </c>
      <c r="D14" s="9">
        <v>1</v>
      </c>
      <c r="E14" s="9"/>
      <c r="F14" s="9">
        <v>25.94708</v>
      </c>
      <c r="G14" s="9">
        <v>-81.742919999999998</v>
      </c>
      <c r="H14" s="9" t="s">
        <v>155</v>
      </c>
      <c r="I14" s="9" t="s">
        <v>156</v>
      </c>
      <c r="J14" s="11">
        <v>0</v>
      </c>
      <c r="K14" s="11">
        <v>0</v>
      </c>
      <c r="L14" s="9"/>
    </row>
    <row r="15" spans="1:12" ht="71.25" customHeight="1" x14ac:dyDescent="0.15">
      <c r="A15" s="8">
        <v>41306</v>
      </c>
      <c r="B15" s="9" t="s">
        <v>153</v>
      </c>
      <c r="C15" s="9" t="s">
        <v>162</v>
      </c>
      <c r="D15" s="9">
        <v>221</v>
      </c>
      <c r="E15" s="9" t="s">
        <v>163</v>
      </c>
      <c r="F15" s="9">
        <v>25.952909999999999</v>
      </c>
      <c r="G15" s="9">
        <v>-81.750929999999997</v>
      </c>
      <c r="H15" s="9" t="s">
        <v>155</v>
      </c>
      <c r="I15" s="9" t="s">
        <v>156</v>
      </c>
      <c r="J15" s="11">
        <v>0</v>
      </c>
      <c r="K15" s="11">
        <v>0</v>
      </c>
      <c r="L15" s="9"/>
    </row>
    <row r="16" spans="1:12" ht="71.25" customHeight="1" x14ac:dyDescent="0.15">
      <c r="A16" s="8">
        <v>41306</v>
      </c>
      <c r="B16" s="9" t="s">
        <v>153</v>
      </c>
      <c r="C16" s="9" t="s">
        <v>164</v>
      </c>
      <c r="D16" s="9">
        <v>20</v>
      </c>
      <c r="E16" s="9"/>
      <c r="F16" s="9">
        <v>25.95607</v>
      </c>
      <c r="G16" s="9">
        <v>-81.752120000000005</v>
      </c>
      <c r="H16" s="9" t="s">
        <v>155</v>
      </c>
      <c r="I16" s="9" t="s">
        <v>156</v>
      </c>
      <c r="J16" s="11">
        <v>0</v>
      </c>
      <c r="K16" s="11">
        <v>0</v>
      </c>
      <c r="L16" s="9"/>
    </row>
    <row r="17" spans="1:12" ht="71.25" customHeight="1" x14ac:dyDescent="0.15">
      <c r="A17" s="8">
        <v>41306</v>
      </c>
      <c r="B17" s="9" t="s">
        <v>165</v>
      </c>
      <c r="C17" s="9" t="s">
        <v>166</v>
      </c>
      <c r="D17" s="9"/>
      <c r="E17" s="9"/>
      <c r="F17" s="9">
        <v>29.706790999999999</v>
      </c>
      <c r="G17" s="9">
        <v>-81.229281</v>
      </c>
      <c r="H17" s="9" t="s">
        <v>167</v>
      </c>
      <c r="I17" s="9" t="s">
        <v>168</v>
      </c>
      <c r="L17" s="9"/>
    </row>
    <row r="18" spans="1:12" ht="71.25" customHeight="1" x14ac:dyDescent="0.15">
      <c r="A18" s="8">
        <v>41315</v>
      </c>
      <c r="B18" s="9" t="s">
        <v>169</v>
      </c>
      <c r="C18" s="9" t="s">
        <v>170</v>
      </c>
      <c r="D18" s="9">
        <v>20</v>
      </c>
      <c r="E18" s="9" t="s">
        <v>171</v>
      </c>
      <c r="F18" s="9">
        <v>28.092600000000001</v>
      </c>
      <c r="G18" s="9">
        <v>-82.836100000000002</v>
      </c>
      <c r="H18" s="9" t="s">
        <v>172</v>
      </c>
      <c r="I18" s="9" t="s">
        <v>144</v>
      </c>
      <c r="J18" s="11">
        <v>0</v>
      </c>
      <c r="K18" s="11">
        <v>0</v>
      </c>
      <c r="L18" s="9"/>
    </row>
    <row r="19" spans="1:12" ht="71.25" customHeight="1" x14ac:dyDescent="0.15">
      <c r="A19" s="8">
        <v>41315</v>
      </c>
      <c r="B19" s="9" t="s">
        <v>169</v>
      </c>
      <c r="C19" s="9" t="s">
        <v>173</v>
      </c>
      <c r="D19" s="9">
        <v>8</v>
      </c>
      <c r="E19" s="9" t="s">
        <v>174</v>
      </c>
      <c r="F19" s="9">
        <v>28.093699999999998</v>
      </c>
      <c r="G19" s="9">
        <v>-82.836200000000005</v>
      </c>
      <c r="H19" s="9" t="s">
        <v>172</v>
      </c>
      <c r="I19" s="9" t="s">
        <v>144</v>
      </c>
      <c r="J19" s="11">
        <v>0</v>
      </c>
      <c r="K19" s="11">
        <v>0</v>
      </c>
      <c r="L19" s="9"/>
    </row>
    <row r="20" spans="1:12" ht="71.25" customHeight="1" x14ac:dyDescent="0.15">
      <c r="A20" s="8">
        <v>41315</v>
      </c>
      <c r="B20" s="9" t="s">
        <v>169</v>
      </c>
      <c r="C20" s="9" t="s">
        <v>175</v>
      </c>
      <c r="D20" s="9">
        <v>12</v>
      </c>
      <c r="E20" s="9" t="s">
        <v>176</v>
      </c>
      <c r="F20" s="9">
        <v>28.0947</v>
      </c>
      <c r="G20" s="9">
        <v>-82.836100000000002</v>
      </c>
      <c r="H20" s="9" t="s">
        <v>172</v>
      </c>
      <c r="I20" s="9" t="s">
        <v>144</v>
      </c>
      <c r="J20" s="11">
        <v>0</v>
      </c>
      <c r="K20" s="11" t="s">
        <v>177</v>
      </c>
      <c r="L20" s="9"/>
    </row>
    <row r="21" spans="1:12" ht="71.25" customHeight="1" x14ac:dyDescent="0.15">
      <c r="A21" s="8">
        <v>41315</v>
      </c>
      <c r="B21" s="9" t="s">
        <v>169</v>
      </c>
      <c r="C21" s="9" t="s">
        <v>178</v>
      </c>
      <c r="D21" s="9">
        <v>45</v>
      </c>
      <c r="E21" s="9" t="s">
        <v>179</v>
      </c>
      <c r="F21" s="9">
        <v>28.097000000000001</v>
      </c>
      <c r="G21" s="9">
        <v>-82.835599999999999</v>
      </c>
      <c r="H21" s="9" t="s">
        <v>172</v>
      </c>
      <c r="I21" s="9" t="s">
        <v>144</v>
      </c>
      <c r="J21" s="11" t="s">
        <v>180</v>
      </c>
      <c r="K21" s="11" t="s">
        <v>181</v>
      </c>
      <c r="L21" s="9"/>
    </row>
    <row r="22" spans="1:12" ht="71.25" customHeight="1" x14ac:dyDescent="0.15">
      <c r="A22" s="8">
        <v>41315</v>
      </c>
      <c r="B22" s="9" t="s">
        <v>169</v>
      </c>
      <c r="C22" s="9" t="s">
        <v>182</v>
      </c>
      <c r="D22" s="9">
        <v>65</v>
      </c>
      <c r="E22" s="9" t="s">
        <v>183</v>
      </c>
      <c r="F22" s="9">
        <v>28.097899999999999</v>
      </c>
      <c r="G22" s="9">
        <v>-82.835400000000007</v>
      </c>
      <c r="H22" s="9" t="s">
        <v>172</v>
      </c>
      <c r="I22" s="9" t="s">
        <v>144</v>
      </c>
      <c r="J22" s="11">
        <v>0</v>
      </c>
      <c r="K22" s="11">
        <v>0</v>
      </c>
      <c r="L22" s="9"/>
    </row>
    <row r="23" spans="1:12" ht="71.25" customHeight="1" x14ac:dyDescent="0.15">
      <c r="A23" s="8">
        <v>41315</v>
      </c>
      <c r="B23" s="9" t="s">
        <v>169</v>
      </c>
      <c r="C23" s="9"/>
      <c r="D23" s="9">
        <v>145</v>
      </c>
      <c r="E23" s="9" t="s">
        <v>184</v>
      </c>
      <c r="F23" s="9">
        <v>28.097899999999999</v>
      </c>
      <c r="G23" s="9">
        <v>-82.835400000000007</v>
      </c>
      <c r="H23" s="9" t="s">
        <v>172</v>
      </c>
      <c r="I23" s="9" t="s">
        <v>144</v>
      </c>
      <c r="J23" s="11">
        <v>0</v>
      </c>
      <c r="K23" s="11">
        <v>0</v>
      </c>
      <c r="L23" s="9"/>
    </row>
    <row r="24" spans="1:12" ht="71.25" customHeight="1" x14ac:dyDescent="0.15">
      <c r="A24" s="8">
        <v>41315</v>
      </c>
      <c r="B24" s="9" t="s">
        <v>169</v>
      </c>
      <c r="C24" s="9" t="s">
        <v>185</v>
      </c>
      <c r="D24" s="9">
        <v>6</v>
      </c>
      <c r="E24" s="9" t="s">
        <v>171</v>
      </c>
      <c r="F24" s="9">
        <v>28.098400000000002</v>
      </c>
      <c r="G24" s="9">
        <v>-82.834900000000005</v>
      </c>
      <c r="H24" s="9" t="s">
        <v>172</v>
      </c>
      <c r="I24" s="9" t="s">
        <v>144</v>
      </c>
      <c r="J24" s="11">
        <v>0</v>
      </c>
      <c r="K24" s="11">
        <v>0</v>
      </c>
      <c r="L24" s="9"/>
    </row>
    <row r="25" spans="1:12" ht="71.25" customHeight="1" x14ac:dyDescent="0.15">
      <c r="A25" s="8">
        <v>41315</v>
      </c>
      <c r="B25" s="9" t="s">
        <v>169</v>
      </c>
      <c r="C25" s="9"/>
      <c r="D25" s="9">
        <v>180</v>
      </c>
      <c r="E25" s="9" t="s">
        <v>186</v>
      </c>
      <c r="F25" s="9">
        <v>28.0946</v>
      </c>
      <c r="G25" s="9">
        <v>-82.833500000000001</v>
      </c>
      <c r="H25" s="9" t="s">
        <v>172</v>
      </c>
      <c r="I25" s="9" t="s">
        <v>144</v>
      </c>
      <c r="J25" s="11">
        <v>0</v>
      </c>
      <c r="K25" s="11">
        <v>0</v>
      </c>
      <c r="L25" s="9"/>
    </row>
    <row r="26" spans="1:12" ht="71.25" customHeight="1" x14ac:dyDescent="0.15">
      <c r="A26" s="8">
        <v>41315</v>
      </c>
      <c r="B26" s="9" t="s">
        <v>169</v>
      </c>
      <c r="C26" s="9" t="s">
        <v>187</v>
      </c>
      <c r="D26" s="9">
        <v>6</v>
      </c>
      <c r="E26" s="9" t="s">
        <v>188</v>
      </c>
      <c r="F26" s="9">
        <v>28.097899999999999</v>
      </c>
      <c r="G26" s="9">
        <v>-82.835400000000007</v>
      </c>
      <c r="H26" s="9" t="s">
        <v>172</v>
      </c>
      <c r="I26" s="9" t="s">
        <v>144</v>
      </c>
      <c r="J26" s="11">
        <v>0</v>
      </c>
      <c r="K26" s="11">
        <v>0</v>
      </c>
      <c r="L26" s="9"/>
    </row>
    <row r="27" spans="1:12" ht="71.25" customHeight="1" x14ac:dyDescent="0.15">
      <c r="A27" s="8">
        <v>41315</v>
      </c>
      <c r="B27" s="9" t="s">
        <v>189</v>
      </c>
      <c r="C27" s="9" t="s">
        <v>190</v>
      </c>
      <c r="D27" s="9">
        <v>24</v>
      </c>
      <c r="E27" s="9" t="s">
        <v>191</v>
      </c>
      <c r="F27" s="9">
        <v>27.894237</v>
      </c>
      <c r="G27" s="9">
        <v>-82.850521999999998</v>
      </c>
      <c r="H27" s="9" t="s">
        <v>192</v>
      </c>
      <c r="I27" s="9" t="s">
        <v>193</v>
      </c>
      <c r="J27" s="11" t="s">
        <v>194</v>
      </c>
      <c r="K27" s="11" t="s">
        <v>195</v>
      </c>
      <c r="L27" s="9" t="s">
        <v>196</v>
      </c>
    </row>
    <row r="28" spans="1:12" ht="71.25" customHeight="1" x14ac:dyDescent="0.15">
      <c r="A28" s="8">
        <v>41307</v>
      </c>
      <c r="B28" s="9" t="s">
        <v>197</v>
      </c>
      <c r="C28" s="9" t="s">
        <v>198</v>
      </c>
      <c r="D28" s="9">
        <v>279</v>
      </c>
      <c r="E28" s="9" t="s">
        <v>199</v>
      </c>
      <c r="F28" s="9" t="s">
        <v>200</v>
      </c>
      <c r="G28" s="9" t="s">
        <v>201</v>
      </c>
      <c r="H28" s="9" t="s">
        <v>202</v>
      </c>
      <c r="I28" s="9" t="s">
        <v>203</v>
      </c>
      <c r="J28" s="11" t="s">
        <v>204</v>
      </c>
      <c r="K28" s="11" t="s">
        <v>204</v>
      </c>
      <c r="L28" s="9"/>
    </row>
    <row r="29" spans="1:12" ht="71.25" customHeight="1" x14ac:dyDescent="0.15">
      <c r="A29" s="8">
        <v>41307</v>
      </c>
      <c r="B29" s="9" t="s">
        <v>197</v>
      </c>
      <c r="C29" s="9" t="s">
        <v>205</v>
      </c>
      <c r="D29" s="9">
        <v>11</v>
      </c>
      <c r="E29" s="9"/>
      <c r="F29" s="9" t="s">
        <v>206</v>
      </c>
      <c r="G29" s="9" t="s">
        <v>207</v>
      </c>
      <c r="H29" s="9" t="s">
        <v>202</v>
      </c>
      <c r="I29" s="9" t="s">
        <v>203</v>
      </c>
      <c r="J29" s="11" t="s">
        <v>204</v>
      </c>
      <c r="K29" s="11" t="s">
        <v>204</v>
      </c>
      <c r="L29" s="9"/>
    </row>
    <row r="30" spans="1:12" ht="71.25" customHeight="1" x14ac:dyDescent="0.15">
      <c r="A30" s="8">
        <v>41306</v>
      </c>
      <c r="B30" s="9" t="s">
        <v>208</v>
      </c>
      <c r="C30" s="9" t="s">
        <v>157</v>
      </c>
      <c r="D30" s="9">
        <v>82</v>
      </c>
      <c r="E30" s="9" t="s">
        <v>209</v>
      </c>
      <c r="F30" s="9">
        <v>27.31559</v>
      </c>
      <c r="G30" s="9">
        <v>-82.581149999999994</v>
      </c>
      <c r="H30" s="9" t="s">
        <v>210</v>
      </c>
      <c r="I30" s="9" t="s">
        <v>211</v>
      </c>
      <c r="L30" s="9" t="s">
        <v>212</v>
      </c>
    </row>
    <row r="31" spans="1:12" ht="71.25" customHeight="1" x14ac:dyDescent="0.15">
      <c r="A31" s="8">
        <v>41306</v>
      </c>
      <c r="B31" s="9" t="s">
        <v>208</v>
      </c>
      <c r="C31" s="9" t="s">
        <v>213</v>
      </c>
      <c r="D31" s="9">
        <v>4</v>
      </c>
      <c r="E31" s="9"/>
      <c r="F31" s="9">
        <v>27.317440000000001</v>
      </c>
      <c r="G31" s="9">
        <v>-82.583950000000002</v>
      </c>
      <c r="H31" s="9" t="s">
        <v>214</v>
      </c>
      <c r="I31" s="9" t="s">
        <v>211</v>
      </c>
      <c r="L31" s="9" t="s">
        <v>215</v>
      </c>
    </row>
    <row r="32" spans="1:12" ht="71.25" customHeight="1" x14ac:dyDescent="0.15">
      <c r="A32" s="8">
        <v>41308</v>
      </c>
      <c r="B32" s="9" t="s">
        <v>216</v>
      </c>
      <c r="C32" s="13"/>
      <c r="D32" s="9">
        <v>89</v>
      </c>
      <c r="E32" s="9" t="s">
        <v>121</v>
      </c>
      <c r="F32" s="9">
        <v>27.46818</v>
      </c>
      <c r="G32" s="13">
        <v>-82.700149999999994</v>
      </c>
      <c r="H32" s="9" t="s">
        <v>217</v>
      </c>
      <c r="I32" s="9" t="s">
        <v>218</v>
      </c>
      <c r="J32" s="11" t="s">
        <v>204</v>
      </c>
      <c r="K32" s="11" t="s">
        <v>204</v>
      </c>
      <c r="L32" s="9"/>
    </row>
    <row r="33" spans="1:12" ht="71.25" customHeight="1" x14ac:dyDescent="0.15">
      <c r="A33" s="8">
        <v>41306</v>
      </c>
      <c r="B33" s="9" t="s">
        <v>219</v>
      </c>
      <c r="C33" s="9" t="s">
        <v>157</v>
      </c>
      <c r="D33" s="9">
        <v>214</v>
      </c>
      <c r="E33" s="9" t="s">
        <v>220</v>
      </c>
      <c r="F33" s="9">
        <v>30.5236111</v>
      </c>
      <c r="G33" s="9">
        <v>-81.526666700000007</v>
      </c>
      <c r="H33" s="9" t="s">
        <v>221</v>
      </c>
      <c r="I33" s="9" t="s">
        <v>222</v>
      </c>
      <c r="L33" s="9"/>
    </row>
    <row r="34" spans="1:12" ht="71.25" customHeight="1" x14ac:dyDescent="0.15">
      <c r="A34" s="8">
        <v>41306</v>
      </c>
      <c r="B34" s="9" t="s">
        <v>219</v>
      </c>
      <c r="C34" s="9" t="s">
        <v>157</v>
      </c>
      <c r="D34" s="9">
        <v>301</v>
      </c>
      <c r="E34" s="9" t="s">
        <v>223</v>
      </c>
      <c r="F34" s="9">
        <v>30.5169444</v>
      </c>
      <c r="G34" s="9">
        <v>-81.498055600000001</v>
      </c>
      <c r="H34" s="9" t="s">
        <v>221</v>
      </c>
      <c r="I34" s="9" t="s">
        <v>222</v>
      </c>
      <c r="L34" s="9"/>
    </row>
    <row r="35" spans="1:12" ht="71.25" customHeight="1" x14ac:dyDescent="0.15">
      <c r="A35" s="8">
        <v>41306</v>
      </c>
      <c r="B35" s="9" t="s">
        <v>219</v>
      </c>
      <c r="C35" s="9" t="s">
        <v>157</v>
      </c>
      <c r="D35" s="9">
        <v>221</v>
      </c>
      <c r="E35" s="9" t="s">
        <v>224</v>
      </c>
      <c r="F35" s="9">
        <v>30.550833300000001</v>
      </c>
      <c r="G35" s="9">
        <v>-81.463055600000004</v>
      </c>
      <c r="H35" s="9" t="s">
        <v>221</v>
      </c>
      <c r="I35" s="9" t="s">
        <v>222</v>
      </c>
      <c r="L35" s="9"/>
    </row>
    <row r="36" spans="1:12" ht="71.25" customHeight="1" x14ac:dyDescent="0.15">
      <c r="A36" s="8">
        <v>41312</v>
      </c>
      <c r="B36" s="9" t="s">
        <v>225</v>
      </c>
      <c r="C36" s="9" t="s">
        <v>226</v>
      </c>
      <c r="D36" s="9">
        <v>1</v>
      </c>
      <c r="E36" s="9"/>
      <c r="F36" s="9">
        <v>26.389099999999999</v>
      </c>
      <c r="G36" s="9">
        <v>-81.878200000000007</v>
      </c>
      <c r="H36" s="9" t="s">
        <v>227</v>
      </c>
      <c r="I36" s="9" t="s">
        <v>228</v>
      </c>
      <c r="L36" s="9"/>
    </row>
    <row r="37" spans="1:12" ht="71.25" customHeight="1" x14ac:dyDescent="0.15">
      <c r="A37" s="8">
        <v>41312</v>
      </c>
      <c r="B37" s="9" t="s">
        <v>229</v>
      </c>
      <c r="C37" s="9" t="s">
        <v>230</v>
      </c>
      <c r="D37" s="9">
        <v>2</v>
      </c>
      <c r="E37" s="9"/>
      <c r="F37" s="9">
        <v>26.403030000000001</v>
      </c>
      <c r="G37" s="9">
        <v>-81.878069999999994</v>
      </c>
      <c r="H37" s="9" t="s">
        <v>227</v>
      </c>
      <c r="I37" s="9" t="s">
        <v>228</v>
      </c>
      <c r="L37" s="9"/>
    </row>
    <row r="38" spans="1:12" ht="71.25" customHeight="1" x14ac:dyDescent="0.15">
      <c r="A38" s="8">
        <v>41311</v>
      </c>
      <c r="B38" s="9" t="s">
        <v>231</v>
      </c>
      <c r="C38" s="9" t="s">
        <v>232</v>
      </c>
      <c r="D38" s="9">
        <v>143</v>
      </c>
      <c r="E38" s="9" t="s">
        <v>233</v>
      </c>
      <c r="F38" s="9">
        <v>27.010439999999999</v>
      </c>
      <c r="G38" s="9">
        <v>-82.412580000000005</v>
      </c>
      <c r="H38" s="9" t="s">
        <v>234</v>
      </c>
      <c r="I38" s="9" t="s">
        <v>235</v>
      </c>
      <c r="L38" s="9"/>
    </row>
    <row r="39" spans="1:12" ht="71.25" customHeight="1" x14ac:dyDescent="0.15">
      <c r="A39" s="8">
        <v>41311</v>
      </c>
      <c r="B39" s="9" t="s">
        <v>236</v>
      </c>
      <c r="C39" s="9" t="s">
        <v>205</v>
      </c>
      <c r="D39" s="9">
        <v>5</v>
      </c>
      <c r="E39" s="9"/>
      <c r="F39" s="9">
        <v>27.611820000000002</v>
      </c>
      <c r="G39" s="9">
        <v>82.736199999999997</v>
      </c>
      <c r="H39" s="9" t="s">
        <v>237</v>
      </c>
      <c r="I39" s="9" t="s">
        <v>238</v>
      </c>
      <c r="J39" s="11" t="s">
        <v>239</v>
      </c>
      <c r="K39" s="11" t="s">
        <v>240</v>
      </c>
      <c r="L39" s="9"/>
    </row>
    <row r="40" spans="1:12" ht="71.25" customHeight="1" x14ac:dyDescent="0.15">
      <c r="A40" s="8">
        <v>41311</v>
      </c>
      <c r="B40" s="9" t="s">
        <v>236</v>
      </c>
      <c r="C40" s="9" t="s">
        <v>205</v>
      </c>
      <c r="D40" s="9">
        <v>7</v>
      </c>
      <c r="E40" s="9"/>
      <c r="F40" s="9">
        <v>27.78886</v>
      </c>
      <c r="G40" s="9">
        <v>82.636420000000001</v>
      </c>
      <c r="H40" s="9" t="s">
        <v>237</v>
      </c>
      <c r="I40" s="9" t="s">
        <v>238</v>
      </c>
      <c r="J40" s="11" t="s">
        <v>241</v>
      </c>
      <c r="K40" s="11" t="s">
        <v>240</v>
      </c>
      <c r="L40" s="9"/>
    </row>
    <row r="41" spans="1:12" ht="71.25" customHeight="1" x14ac:dyDescent="0.15">
      <c r="A41" s="8">
        <v>41311</v>
      </c>
      <c r="B41" s="9" t="s">
        <v>236</v>
      </c>
      <c r="C41" s="9" t="s">
        <v>205</v>
      </c>
      <c r="D41" s="9">
        <v>16</v>
      </c>
      <c r="E41" s="9"/>
      <c r="F41" s="9">
        <v>27.78886</v>
      </c>
      <c r="G41" s="9">
        <v>82.636420000000001</v>
      </c>
      <c r="H41" s="9" t="s">
        <v>237</v>
      </c>
      <c r="I41" s="9" t="s">
        <v>238</v>
      </c>
      <c r="J41" s="11" t="s">
        <v>242</v>
      </c>
      <c r="K41" s="11" t="s">
        <v>240</v>
      </c>
      <c r="L41" s="9"/>
    </row>
    <row r="42" spans="1:12" ht="71.25" customHeight="1" x14ac:dyDescent="0.15">
      <c r="A42" s="8">
        <v>41311</v>
      </c>
      <c r="B42" s="9" t="s">
        <v>236</v>
      </c>
      <c r="C42" s="9" t="s">
        <v>205</v>
      </c>
      <c r="D42" s="9">
        <v>29</v>
      </c>
      <c r="E42" s="9"/>
      <c r="F42" s="9">
        <v>27.614830000000001</v>
      </c>
      <c r="G42" s="9">
        <v>82.737430000000003</v>
      </c>
      <c r="H42" s="9" t="s">
        <v>237</v>
      </c>
      <c r="I42" s="9" t="s">
        <v>238</v>
      </c>
      <c r="J42" s="11" t="s">
        <v>243</v>
      </c>
      <c r="K42" s="11" t="s">
        <v>244</v>
      </c>
      <c r="L42" s="9"/>
    </row>
    <row r="43" spans="1:12" ht="71.25" customHeight="1" x14ac:dyDescent="0.15">
      <c r="A43" s="8">
        <v>41311</v>
      </c>
      <c r="B43" s="9" t="s">
        <v>236</v>
      </c>
      <c r="C43" s="9" t="s">
        <v>205</v>
      </c>
      <c r="D43" s="9">
        <v>29</v>
      </c>
      <c r="E43" s="9"/>
      <c r="F43" s="9">
        <v>27.61478</v>
      </c>
      <c r="G43" s="9">
        <v>82.737309999999994</v>
      </c>
      <c r="H43" s="9" t="s">
        <v>237</v>
      </c>
      <c r="I43" s="9" t="s">
        <v>238</v>
      </c>
      <c r="J43" s="11" t="s">
        <v>245</v>
      </c>
      <c r="K43" s="11" t="s">
        <v>246</v>
      </c>
      <c r="L43" s="9"/>
    </row>
    <row r="44" spans="1:12" ht="71.25" customHeight="1" x14ac:dyDescent="0.15">
      <c r="A44" s="8">
        <v>41311</v>
      </c>
      <c r="B44" s="9" t="s">
        <v>236</v>
      </c>
      <c r="C44" s="9" t="s">
        <v>205</v>
      </c>
      <c r="D44" s="9">
        <v>29</v>
      </c>
      <c r="E44" s="9"/>
      <c r="F44" s="9">
        <v>27.614889999999999</v>
      </c>
      <c r="G44" s="9">
        <v>82.737449999999995</v>
      </c>
      <c r="H44" s="9" t="s">
        <v>237</v>
      </c>
      <c r="I44" s="9" t="s">
        <v>238</v>
      </c>
      <c r="J44" s="11" t="s">
        <v>247</v>
      </c>
      <c r="K44" s="11" t="s">
        <v>246</v>
      </c>
      <c r="L44" s="9" t="s">
        <v>248</v>
      </c>
    </row>
    <row r="45" spans="1:12" ht="71.25" customHeight="1" x14ac:dyDescent="0.15">
      <c r="A45" s="8">
        <v>41311</v>
      </c>
      <c r="B45" s="9" t="s">
        <v>236</v>
      </c>
      <c r="C45" s="9" t="s">
        <v>205</v>
      </c>
      <c r="D45" s="9">
        <v>29</v>
      </c>
      <c r="E45" s="9"/>
      <c r="F45" s="9">
        <v>27.614889999999999</v>
      </c>
      <c r="G45" s="9">
        <v>82.737449999999995</v>
      </c>
      <c r="H45" s="9" t="s">
        <v>237</v>
      </c>
      <c r="I45" s="9" t="s">
        <v>238</v>
      </c>
      <c r="J45" s="11" t="s">
        <v>249</v>
      </c>
      <c r="K45" s="11" t="s">
        <v>250</v>
      </c>
      <c r="L45" s="9" t="s">
        <v>251</v>
      </c>
    </row>
    <row r="46" spans="1:12" ht="71.25" customHeight="1" x14ac:dyDescent="0.15">
      <c r="A46" s="8">
        <v>41311</v>
      </c>
      <c r="B46" s="9" t="s">
        <v>236</v>
      </c>
      <c r="C46" s="9" t="s">
        <v>205</v>
      </c>
      <c r="D46" s="9">
        <v>29</v>
      </c>
      <c r="E46" s="9"/>
      <c r="F46" s="9">
        <v>27.614889999999999</v>
      </c>
      <c r="G46" s="9">
        <v>82.737449999999995</v>
      </c>
      <c r="H46" s="9" t="s">
        <v>237</v>
      </c>
      <c r="I46" s="9" t="s">
        <v>238</v>
      </c>
      <c r="J46" s="11" t="s">
        <v>252</v>
      </c>
      <c r="K46" s="11" t="s">
        <v>240</v>
      </c>
      <c r="L46" s="9"/>
    </row>
    <row r="47" spans="1:12" ht="71.25" customHeight="1" x14ac:dyDescent="0.15">
      <c r="A47" s="8">
        <v>41311</v>
      </c>
      <c r="B47" s="9" t="s">
        <v>236</v>
      </c>
      <c r="C47" s="9" t="s">
        <v>205</v>
      </c>
      <c r="D47" s="9">
        <v>19</v>
      </c>
      <c r="E47" s="9"/>
      <c r="F47" s="9">
        <v>27.619050000000001</v>
      </c>
      <c r="G47" s="9">
        <v>82.736639999999994</v>
      </c>
      <c r="H47" s="9" t="s">
        <v>237</v>
      </c>
      <c r="I47" s="9" t="s">
        <v>238</v>
      </c>
      <c r="J47" s="11" t="s">
        <v>253</v>
      </c>
      <c r="K47" s="11" t="s">
        <v>240</v>
      </c>
      <c r="L47" s="9" t="s">
        <v>251</v>
      </c>
    </row>
    <row r="48" spans="1:12" ht="71.25" customHeight="1" x14ac:dyDescent="0.15">
      <c r="A48" s="8">
        <v>41311</v>
      </c>
      <c r="B48" s="9" t="s">
        <v>236</v>
      </c>
      <c r="C48" s="9" t="s">
        <v>205</v>
      </c>
      <c r="D48" s="9">
        <v>19</v>
      </c>
      <c r="E48" s="9"/>
      <c r="F48" s="9">
        <v>27.619050000000001</v>
      </c>
      <c r="G48" s="9">
        <v>82.736639999999994</v>
      </c>
      <c r="H48" s="9" t="s">
        <v>237</v>
      </c>
      <c r="I48" s="9" t="s">
        <v>238</v>
      </c>
      <c r="J48" s="11" t="s">
        <v>254</v>
      </c>
      <c r="K48" s="11" t="s">
        <v>240</v>
      </c>
      <c r="L48" s="9"/>
    </row>
    <row r="49" spans="1:12" ht="71.25" customHeight="1" x14ac:dyDescent="0.15">
      <c r="A49" s="8">
        <v>41311</v>
      </c>
      <c r="B49" s="9" t="s">
        <v>236</v>
      </c>
      <c r="C49" s="9" t="s">
        <v>205</v>
      </c>
      <c r="D49" s="9">
        <v>19</v>
      </c>
      <c r="E49" s="9"/>
      <c r="F49" s="9">
        <v>27.619050000000001</v>
      </c>
      <c r="G49" s="9">
        <v>82.736639999999994</v>
      </c>
      <c r="H49" s="9" t="s">
        <v>237</v>
      </c>
      <c r="I49" s="9" t="s">
        <v>238</v>
      </c>
      <c r="J49" s="11" t="s">
        <v>243</v>
      </c>
      <c r="K49" s="11" t="s">
        <v>240</v>
      </c>
      <c r="L49" s="9"/>
    </row>
    <row r="50" spans="1:12" ht="71.25" customHeight="1" x14ac:dyDescent="0.15">
      <c r="A50" s="8">
        <v>41311</v>
      </c>
      <c r="B50" s="9" t="s">
        <v>236</v>
      </c>
      <c r="C50" s="9" t="s">
        <v>205</v>
      </c>
      <c r="D50" s="9">
        <v>19</v>
      </c>
      <c r="E50" s="9"/>
      <c r="F50" s="9">
        <v>27.619050000000001</v>
      </c>
      <c r="G50" s="9">
        <v>82.736639999999994</v>
      </c>
      <c r="H50" s="9" t="s">
        <v>237</v>
      </c>
      <c r="I50" s="9" t="s">
        <v>238</v>
      </c>
      <c r="J50" s="11" t="s">
        <v>255</v>
      </c>
      <c r="K50" s="11" t="s">
        <v>256</v>
      </c>
      <c r="L50" s="9"/>
    </row>
    <row r="51" spans="1:12" ht="71.25" customHeight="1" x14ac:dyDescent="0.15">
      <c r="A51" s="8">
        <v>41311</v>
      </c>
      <c r="B51" s="9" t="s">
        <v>257</v>
      </c>
      <c r="C51" s="9" t="s">
        <v>205</v>
      </c>
      <c r="D51" s="9">
        <v>19</v>
      </c>
      <c r="E51" s="9"/>
      <c r="F51" s="9">
        <v>27.619050000000001</v>
      </c>
      <c r="G51" s="9">
        <v>82.736639999999994</v>
      </c>
      <c r="H51" s="9" t="s">
        <v>237</v>
      </c>
      <c r="I51" s="9" t="s">
        <v>238</v>
      </c>
      <c r="J51" s="11" t="s">
        <v>258</v>
      </c>
      <c r="K51" s="11" t="s">
        <v>240</v>
      </c>
      <c r="L51" s="9" t="s">
        <v>259</v>
      </c>
    </row>
    <row r="52" spans="1:12" ht="71.25" customHeight="1" x14ac:dyDescent="0.15">
      <c r="A52" s="8">
        <v>41311</v>
      </c>
      <c r="B52" s="9" t="s">
        <v>257</v>
      </c>
      <c r="C52" s="9" t="s">
        <v>205</v>
      </c>
      <c r="D52" s="9">
        <v>19</v>
      </c>
      <c r="E52" s="9"/>
      <c r="F52" s="9">
        <v>27.619050000000001</v>
      </c>
      <c r="G52" s="9">
        <v>82.736639999999994</v>
      </c>
      <c r="H52" s="9" t="s">
        <v>237</v>
      </c>
      <c r="I52" s="9" t="s">
        <v>238</v>
      </c>
      <c r="J52" s="11" t="s">
        <v>260</v>
      </c>
      <c r="K52" s="11" t="s">
        <v>240</v>
      </c>
      <c r="L52" s="9"/>
    </row>
    <row r="53" spans="1:12" ht="71.25" customHeight="1" x14ac:dyDescent="0.15">
      <c r="A53" s="8">
        <v>41311</v>
      </c>
      <c r="B53" s="9" t="s">
        <v>257</v>
      </c>
      <c r="C53" s="9" t="s">
        <v>157</v>
      </c>
      <c r="D53" s="9"/>
      <c r="E53" s="9" t="s">
        <v>261</v>
      </c>
      <c r="F53" s="9">
        <v>27.614889999999999</v>
      </c>
      <c r="G53" s="9">
        <v>82.737449999999995</v>
      </c>
      <c r="H53" s="9" t="s">
        <v>262</v>
      </c>
      <c r="I53" s="9" t="s">
        <v>238</v>
      </c>
      <c r="L53" s="9" t="s">
        <v>263</v>
      </c>
    </row>
    <row r="54" spans="1:12" ht="71.25" customHeight="1" x14ac:dyDescent="0.15">
      <c r="A54" s="8">
        <v>41311</v>
      </c>
      <c r="B54" s="9" t="s">
        <v>257</v>
      </c>
      <c r="C54" s="9" t="s">
        <v>213</v>
      </c>
      <c r="D54" s="9">
        <v>3</v>
      </c>
      <c r="E54" s="9" t="s">
        <v>264</v>
      </c>
      <c r="F54" s="9">
        <v>27.620139999999999</v>
      </c>
      <c r="G54" s="9">
        <v>82.736680000000007</v>
      </c>
      <c r="H54" s="9" t="s">
        <v>262</v>
      </c>
      <c r="I54" s="9" t="s">
        <v>238</v>
      </c>
      <c r="L54" s="9"/>
    </row>
    <row r="55" spans="1:12" ht="71.25" customHeight="1" x14ac:dyDescent="0.15">
      <c r="A55" s="8">
        <v>41311</v>
      </c>
      <c r="B55" s="9" t="s">
        <v>257</v>
      </c>
      <c r="C55" s="9" t="s">
        <v>265</v>
      </c>
      <c r="D55" s="9">
        <v>1</v>
      </c>
      <c r="E55" s="9"/>
      <c r="F55" s="9">
        <v>27.620139999999999</v>
      </c>
      <c r="G55" s="9">
        <v>82.736680000000007</v>
      </c>
      <c r="H55" s="9" t="s">
        <v>262</v>
      </c>
      <c r="I55" s="9" t="s">
        <v>238</v>
      </c>
      <c r="L55" s="9"/>
    </row>
    <row r="56" spans="1:12" ht="71.25" customHeight="1" x14ac:dyDescent="0.15">
      <c r="A56" s="8">
        <v>41313</v>
      </c>
      <c r="B56" s="9" t="s">
        <v>266</v>
      </c>
      <c r="C56" s="9" t="s">
        <v>267</v>
      </c>
      <c r="D56" s="9"/>
      <c r="E56" s="9"/>
      <c r="F56" s="9">
        <v>28.233699999999999</v>
      </c>
      <c r="G56" s="9">
        <v>-82.838999999999999</v>
      </c>
      <c r="H56" s="9" t="s">
        <v>268</v>
      </c>
      <c r="I56" s="9" t="s">
        <v>269</v>
      </c>
      <c r="J56" s="11" t="s">
        <v>270</v>
      </c>
      <c r="K56" s="11" t="s">
        <v>271</v>
      </c>
      <c r="L56" s="9"/>
    </row>
    <row r="57" spans="1:12" ht="71.25" customHeight="1" x14ac:dyDescent="0.15">
      <c r="A57" s="8">
        <v>41306</v>
      </c>
      <c r="B57" s="9" t="s">
        <v>272</v>
      </c>
      <c r="C57" s="9" t="s">
        <v>111</v>
      </c>
      <c r="D57" s="9">
        <v>57</v>
      </c>
      <c r="E57" s="9" t="s">
        <v>273</v>
      </c>
      <c r="F57" s="9">
        <v>30.208576000000001</v>
      </c>
      <c r="G57" s="9">
        <v>-81.368241999999995</v>
      </c>
      <c r="H57" s="9" t="s">
        <v>274</v>
      </c>
      <c r="I57" s="9" t="s">
        <v>275</v>
      </c>
      <c r="L57" s="9"/>
    </row>
    <row r="58" spans="1:12" ht="71.25" customHeight="1" x14ac:dyDescent="0.15">
      <c r="A58" s="8" t="s">
        <v>276</v>
      </c>
      <c r="B58" s="9" t="s">
        <v>272</v>
      </c>
      <c r="C58" s="9" t="s">
        <v>111</v>
      </c>
      <c r="D58" s="9">
        <v>62</v>
      </c>
      <c r="E58" s="9" t="s">
        <v>277</v>
      </c>
      <c r="F58" s="9">
        <v>30.227152</v>
      </c>
      <c r="G58" s="9">
        <v>-81.372859000000005</v>
      </c>
      <c r="H58" s="9" t="s">
        <v>274</v>
      </c>
      <c r="I58" s="9" t="s">
        <v>275</v>
      </c>
      <c r="L58" s="9"/>
    </row>
    <row r="59" spans="1:12" ht="71.25" customHeight="1" x14ac:dyDescent="0.15">
      <c r="A59" s="14" t="s">
        <v>278</v>
      </c>
      <c r="B59" s="9" t="s">
        <v>272</v>
      </c>
      <c r="C59" s="9" t="s">
        <v>111</v>
      </c>
      <c r="D59" s="9">
        <v>117</v>
      </c>
      <c r="E59" s="9" t="s">
        <v>279</v>
      </c>
      <c r="F59" s="9">
        <v>30.248626000000002</v>
      </c>
      <c r="G59" s="9">
        <v>-81.379142000000002</v>
      </c>
      <c r="H59" s="9" t="s">
        <v>274</v>
      </c>
      <c r="I59" s="9" t="s">
        <v>275</v>
      </c>
      <c r="L59" s="9"/>
    </row>
    <row r="60" spans="1:12" ht="71.25" customHeight="1" x14ac:dyDescent="0.15">
      <c r="A60" s="8">
        <v>41315</v>
      </c>
      <c r="B60" s="9" t="s">
        <v>280</v>
      </c>
      <c r="C60" s="9" t="s">
        <v>111</v>
      </c>
      <c r="D60" s="9">
        <v>305</v>
      </c>
      <c r="E60" s="9" t="s">
        <v>281</v>
      </c>
      <c r="F60" s="15" t="s">
        <v>282</v>
      </c>
      <c r="G60" s="15" t="s">
        <v>283</v>
      </c>
      <c r="H60" s="9" t="s">
        <v>284</v>
      </c>
      <c r="I60" s="9" t="s">
        <v>285</v>
      </c>
      <c r="J60" s="11" t="s">
        <v>286</v>
      </c>
      <c r="K60" s="11" t="s">
        <v>287</v>
      </c>
      <c r="L60" s="9"/>
    </row>
    <row r="61" spans="1:12" ht="71.25" customHeight="1" x14ac:dyDescent="0.15">
      <c r="A61" s="8">
        <v>41315</v>
      </c>
      <c r="B61" s="9" t="s">
        <v>280</v>
      </c>
      <c r="C61" s="9" t="s">
        <v>111</v>
      </c>
      <c r="D61" s="9">
        <v>305</v>
      </c>
      <c r="E61" s="9" t="s">
        <v>288</v>
      </c>
      <c r="F61" s="15" t="s">
        <v>289</v>
      </c>
      <c r="G61" s="15" t="s">
        <v>290</v>
      </c>
      <c r="H61" s="9" t="s">
        <v>284</v>
      </c>
      <c r="I61" s="9" t="s">
        <v>285</v>
      </c>
      <c r="L61" s="9" t="s">
        <v>291</v>
      </c>
    </row>
    <row r="62" spans="1:12" ht="71.25" customHeight="1" x14ac:dyDescent="0.15">
      <c r="A62" s="8">
        <v>41315</v>
      </c>
      <c r="B62" s="9" t="s">
        <v>280</v>
      </c>
      <c r="C62" s="9" t="s">
        <v>111</v>
      </c>
      <c r="D62" s="9">
        <v>73</v>
      </c>
      <c r="E62" s="9" t="s">
        <v>115</v>
      </c>
      <c r="F62" s="15" t="s">
        <v>292</v>
      </c>
      <c r="G62" s="15" t="s">
        <v>293</v>
      </c>
      <c r="H62" s="9" t="s">
        <v>284</v>
      </c>
      <c r="I62" s="9" t="s">
        <v>285</v>
      </c>
      <c r="L62" s="9"/>
    </row>
    <row r="63" spans="1:12" ht="71.25" customHeight="1" x14ac:dyDescent="0.15">
      <c r="A63" s="8">
        <v>41313</v>
      </c>
      <c r="B63" s="9" t="s">
        <v>294</v>
      </c>
      <c r="C63" s="9" t="s">
        <v>226</v>
      </c>
      <c r="D63" s="9">
        <v>1</v>
      </c>
      <c r="E63" s="9" t="s">
        <v>226</v>
      </c>
      <c r="F63" s="9">
        <v>29.066769617999999</v>
      </c>
      <c r="G63" s="9">
        <v>-80.926673840000007</v>
      </c>
      <c r="H63" s="9" t="s">
        <v>295</v>
      </c>
      <c r="I63" s="9" t="s">
        <v>296</v>
      </c>
      <c r="J63" s="11" t="s">
        <v>297</v>
      </c>
      <c r="K63" s="11" t="s">
        <v>297</v>
      </c>
      <c r="L63" s="9"/>
    </row>
    <row r="64" spans="1:12" ht="71.25" customHeight="1" x14ac:dyDescent="0.15">
      <c r="A64" s="8">
        <v>41313</v>
      </c>
      <c r="B64" s="9" t="s">
        <v>294</v>
      </c>
      <c r="C64" s="9" t="s">
        <v>298</v>
      </c>
      <c r="D64" s="9">
        <v>8</v>
      </c>
      <c r="E64" s="9" t="s">
        <v>265</v>
      </c>
      <c r="F64" s="9">
        <v>29.069715946999999</v>
      </c>
      <c r="G64" s="9">
        <v>-80.925780970000005</v>
      </c>
      <c r="H64" s="9" t="s">
        <v>299</v>
      </c>
      <c r="I64" s="9" t="s">
        <v>296</v>
      </c>
      <c r="J64" s="11" t="s">
        <v>300</v>
      </c>
      <c r="K64" s="11" t="s">
        <v>301</v>
      </c>
      <c r="L64" s="9"/>
    </row>
    <row r="65" spans="1:12" ht="71.25" customHeight="1" x14ac:dyDescent="0.15">
      <c r="A65" s="8">
        <v>41313</v>
      </c>
      <c r="B65" s="9" t="s">
        <v>294</v>
      </c>
      <c r="C65" s="9" t="s">
        <v>265</v>
      </c>
      <c r="D65" s="9">
        <v>2</v>
      </c>
      <c r="E65" s="9" t="s">
        <v>265</v>
      </c>
      <c r="F65" s="9">
        <v>29.069830320000001</v>
      </c>
      <c r="G65" s="9">
        <v>-80.925780970000005</v>
      </c>
      <c r="H65" s="9" t="s">
        <v>295</v>
      </c>
      <c r="I65" s="9" t="s">
        <v>296</v>
      </c>
      <c r="J65" s="11" t="s">
        <v>297</v>
      </c>
      <c r="K65" s="11" t="s">
        <v>301</v>
      </c>
      <c r="L65" s="9"/>
    </row>
    <row r="66" spans="1:12" ht="71.25" customHeight="1" x14ac:dyDescent="0.15">
      <c r="A66" s="8">
        <v>40947</v>
      </c>
      <c r="B66" s="9" t="s">
        <v>294</v>
      </c>
      <c r="C66" s="9" t="s">
        <v>302</v>
      </c>
      <c r="D66" s="9" t="s">
        <v>303</v>
      </c>
      <c r="E66" s="9" t="s">
        <v>304</v>
      </c>
      <c r="F66" s="9">
        <v>29.069789127</v>
      </c>
      <c r="G66" s="9">
        <v>-80.926184289999995</v>
      </c>
      <c r="H66" s="9" t="s">
        <v>295</v>
      </c>
      <c r="I66" s="9" t="s">
        <v>296</v>
      </c>
      <c r="J66" s="11" t="s">
        <v>300</v>
      </c>
      <c r="K66" s="11" t="s">
        <v>301</v>
      </c>
      <c r="L66" s="9"/>
    </row>
    <row r="67" spans="1:12" ht="71.25" customHeight="1" x14ac:dyDescent="0.15">
      <c r="A67" s="8">
        <v>41313</v>
      </c>
      <c r="B67" s="9" t="s">
        <v>294</v>
      </c>
      <c r="C67" s="9" t="s">
        <v>302</v>
      </c>
      <c r="D67" s="9" t="s">
        <v>305</v>
      </c>
      <c r="E67" s="9" t="s">
        <v>306</v>
      </c>
      <c r="F67" s="9">
        <v>29.072375000000001</v>
      </c>
      <c r="G67" s="9">
        <v>-80.925121000000004</v>
      </c>
      <c r="H67" s="9" t="s">
        <v>295</v>
      </c>
      <c r="I67" s="9" t="s">
        <v>296</v>
      </c>
      <c r="J67" s="11" t="s">
        <v>297</v>
      </c>
      <c r="K67" s="11" t="s">
        <v>301</v>
      </c>
      <c r="L67" s="9"/>
    </row>
    <row r="68" spans="1:12" ht="71.25" customHeight="1" x14ac:dyDescent="0.15">
      <c r="A68" s="8">
        <v>41307</v>
      </c>
      <c r="B68" s="9" t="s">
        <v>307</v>
      </c>
      <c r="C68" s="9" t="s">
        <v>308</v>
      </c>
      <c r="D68" s="9">
        <v>3</v>
      </c>
      <c r="E68" s="9" t="s">
        <v>308</v>
      </c>
      <c r="F68" s="9" t="s">
        <v>309</v>
      </c>
      <c r="G68" s="9" t="s">
        <v>310</v>
      </c>
      <c r="H68" s="9" t="s">
        <v>311</v>
      </c>
      <c r="I68" s="9" t="s">
        <v>312</v>
      </c>
      <c r="J68" s="11" t="s">
        <v>204</v>
      </c>
      <c r="K68" s="11" t="s">
        <v>204</v>
      </c>
      <c r="L68" s="9" t="s">
        <v>313</v>
      </c>
    </row>
    <row r="69" spans="1:12" ht="71.25" customHeight="1" x14ac:dyDescent="0.15">
      <c r="A69" s="8">
        <v>41307</v>
      </c>
      <c r="B69" s="9" t="s">
        <v>314</v>
      </c>
      <c r="C69" s="9" t="s">
        <v>308</v>
      </c>
      <c r="D69" s="9">
        <v>2</v>
      </c>
      <c r="E69" s="9" t="s">
        <v>308</v>
      </c>
      <c r="F69" s="9" t="s">
        <v>315</v>
      </c>
      <c r="G69" s="9" t="s">
        <v>310</v>
      </c>
      <c r="H69" s="9" t="s">
        <v>311</v>
      </c>
      <c r="I69" s="9" t="s">
        <v>312</v>
      </c>
      <c r="J69" s="11" t="s">
        <v>204</v>
      </c>
      <c r="K69" s="11" t="s">
        <v>204</v>
      </c>
      <c r="L69" s="9" t="s">
        <v>313</v>
      </c>
    </row>
    <row r="70" spans="1:12" ht="71.25" customHeight="1" x14ac:dyDescent="0.15">
      <c r="A70" s="8">
        <v>41307</v>
      </c>
      <c r="B70" s="9" t="s">
        <v>314</v>
      </c>
      <c r="C70" s="9" t="s">
        <v>308</v>
      </c>
      <c r="D70" s="9">
        <v>7</v>
      </c>
      <c r="E70" s="9" t="s">
        <v>308</v>
      </c>
      <c r="F70" s="9" t="s">
        <v>316</v>
      </c>
      <c r="G70" s="9" t="s">
        <v>317</v>
      </c>
      <c r="H70" s="9" t="s">
        <v>311</v>
      </c>
      <c r="I70" s="9" t="s">
        <v>312</v>
      </c>
      <c r="J70" s="11" t="s">
        <v>204</v>
      </c>
      <c r="K70" s="11" t="s">
        <v>204</v>
      </c>
      <c r="L70" s="9" t="s">
        <v>318</v>
      </c>
    </row>
    <row r="71" spans="1:12" ht="71.25" customHeight="1" x14ac:dyDescent="0.15">
      <c r="A71" s="8">
        <v>41307</v>
      </c>
      <c r="B71" s="9" t="s">
        <v>314</v>
      </c>
      <c r="C71" s="9" t="s">
        <v>308</v>
      </c>
      <c r="D71" s="9">
        <v>6</v>
      </c>
      <c r="E71" s="9" t="s">
        <v>308</v>
      </c>
      <c r="F71" s="9" t="s">
        <v>319</v>
      </c>
      <c r="G71" s="9" t="s">
        <v>320</v>
      </c>
      <c r="H71" s="9" t="s">
        <v>311</v>
      </c>
      <c r="I71" s="9" t="s">
        <v>312</v>
      </c>
      <c r="J71" s="11" t="s">
        <v>204</v>
      </c>
      <c r="K71" s="11" t="s">
        <v>204</v>
      </c>
      <c r="L71" s="9" t="s">
        <v>318</v>
      </c>
    </row>
    <row r="72" spans="1:12" ht="71.25" customHeight="1" x14ac:dyDescent="0.15">
      <c r="A72" s="8">
        <v>41307</v>
      </c>
      <c r="B72" s="9" t="s">
        <v>314</v>
      </c>
      <c r="C72" s="9" t="s">
        <v>308</v>
      </c>
      <c r="D72" s="9">
        <v>4</v>
      </c>
      <c r="E72" s="9" t="s">
        <v>308</v>
      </c>
      <c r="F72" s="9" t="s">
        <v>321</v>
      </c>
      <c r="G72" s="9" t="s">
        <v>322</v>
      </c>
      <c r="H72" s="9" t="s">
        <v>311</v>
      </c>
      <c r="I72" s="9" t="s">
        <v>312</v>
      </c>
      <c r="J72" s="11" t="s">
        <v>204</v>
      </c>
      <c r="K72" s="11" t="s">
        <v>204</v>
      </c>
      <c r="L72" s="9" t="s">
        <v>323</v>
      </c>
    </row>
    <row r="73" spans="1:12" ht="71.25" customHeight="1" x14ac:dyDescent="0.15">
      <c r="A73" s="8">
        <v>41307</v>
      </c>
      <c r="B73" s="9" t="s">
        <v>314</v>
      </c>
      <c r="C73" s="9" t="s">
        <v>324</v>
      </c>
      <c r="D73" s="9">
        <v>248</v>
      </c>
      <c r="E73" s="9" t="s">
        <v>325</v>
      </c>
      <c r="F73" s="9" t="s">
        <v>326</v>
      </c>
      <c r="G73" s="9" t="s">
        <v>327</v>
      </c>
      <c r="H73" s="9" t="s">
        <v>328</v>
      </c>
      <c r="I73" s="9" t="s">
        <v>312</v>
      </c>
      <c r="J73" s="11" t="s">
        <v>204</v>
      </c>
      <c r="K73" s="11" t="s">
        <v>204</v>
      </c>
      <c r="L73" s="9" t="s">
        <v>329</v>
      </c>
    </row>
    <row r="74" spans="1:12" ht="71.25" customHeight="1" x14ac:dyDescent="0.15">
      <c r="A74" s="16" t="s">
        <v>330</v>
      </c>
      <c r="B74" s="9" t="s">
        <v>331</v>
      </c>
      <c r="C74" s="9" t="s">
        <v>230</v>
      </c>
      <c r="D74" s="9">
        <v>3</v>
      </c>
      <c r="E74" s="9"/>
      <c r="F74" s="9">
        <v>27.41</v>
      </c>
      <c r="G74" s="9">
        <v>-82.66</v>
      </c>
      <c r="H74" s="9" t="s">
        <v>332</v>
      </c>
      <c r="I74" s="9" t="s">
        <v>333</v>
      </c>
      <c r="L74" s="9" t="s">
        <v>334</v>
      </c>
    </row>
    <row r="75" spans="1:12" ht="71.25" customHeight="1" x14ac:dyDescent="0.15">
      <c r="A75" s="16" t="s">
        <v>330</v>
      </c>
      <c r="B75" s="9" t="s">
        <v>331</v>
      </c>
      <c r="C75" s="9" t="s">
        <v>308</v>
      </c>
      <c r="D75" s="9">
        <v>1</v>
      </c>
      <c r="E75" s="9"/>
      <c r="F75" s="9">
        <v>27.417000000000002</v>
      </c>
      <c r="G75" s="9">
        <v>-82.666229999999999</v>
      </c>
      <c r="H75" s="9" t="s">
        <v>332</v>
      </c>
      <c r="I75" s="9" t="s">
        <v>333</v>
      </c>
      <c r="L75" s="9" t="s">
        <v>335</v>
      </c>
    </row>
    <row r="76" spans="1:12" ht="71.25" customHeight="1" x14ac:dyDescent="0.15">
      <c r="A76" s="16" t="s">
        <v>330</v>
      </c>
      <c r="B76" s="9" t="s">
        <v>331</v>
      </c>
      <c r="C76" s="9" t="s">
        <v>336</v>
      </c>
      <c r="D76" s="9">
        <v>153</v>
      </c>
      <c r="E76" s="9" t="s">
        <v>337</v>
      </c>
      <c r="F76" s="9">
        <v>27.421040000000001</v>
      </c>
      <c r="G76" s="9">
        <v>-82.6708</v>
      </c>
      <c r="H76" s="9" t="s">
        <v>332</v>
      </c>
      <c r="I76" s="9" t="s">
        <v>333</v>
      </c>
      <c r="J76" s="11" t="s">
        <v>338</v>
      </c>
      <c r="K76" s="11" t="s">
        <v>339</v>
      </c>
      <c r="L76" s="9" t="s">
        <v>340</v>
      </c>
    </row>
    <row r="77" spans="1:12" ht="71.25" customHeight="1" x14ac:dyDescent="0.15">
      <c r="A77" s="16" t="s">
        <v>330</v>
      </c>
      <c r="B77" s="9" t="s">
        <v>331</v>
      </c>
      <c r="C77" s="9" t="s">
        <v>111</v>
      </c>
      <c r="D77" s="9">
        <v>518</v>
      </c>
      <c r="E77" s="9" t="s">
        <v>341</v>
      </c>
      <c r="F77" s="9">
        <v>27.432030000000001</v>
      </c>
      <c r="G77" s="9">
        <v>-82.686300000000003</v>
      </c>
      <c r="H77" s="9" t="s">
        <v>332</v>
      </c>
      <c r="I77" s="9" t="s">
        <v>333</v>
      </c>
      <c r="L77" s="9"/>
    </row>
    <row r="78" spans="1:12" ht="71.25" customHeight="1" x14ac:dyDescent="0.15">
      <c r="A78" s="8">
        <v>41306</v>
      </c>
      <c r="B78" s="9" t="s">
        <v>342</v>
      </c>
      <c r="C78" s="9" t="s">
        <v>343</v>
      </c>
      <c r="D78" s="9"/>
      <c r="E78" s="9"/>
      <c r="F78" s="9">
        <v>29.79081</v>
      </c>
      <c r="G78" s="9">
        <v>-81.269413999999998</v>
      </c>
      <c r="H78" s="9" t="s">
        <v>344</v>
      </c>
      <c r="I78" s="9" t="s">
        <v>345</v>
      </c>
      <c r="L78" s="9"/>
    </row>
    <row r="79" spans="1:12" ht="71.25" customHeight="1" x14ac:dyDescent="0.15">
      <c r="A79" s="8">
        <v>41312</v>
      </c>
      <c r="B79" s="9" t="s">
        <v>346</v>
      </c>
      <c r="C79" s="9" t="s">
        <v>308</v>
      </c>
      <c r="D79" s="9">
        <v>5</v>
      </c>
      <c r="E79" s="9" t="s">
        <v>308</v>
      </c>
      <c r="F79" s="9">
        <v>30.297999999999998</v>
      </c>
      <c r="G79" s="9">
        <v>-87.418000000000006</v>
      </c>
      <c r="H79" s="9" t="s">
        <v>347</v>
      </c>
      <c r="I79" s="9" t="s">
        <v>348</v>
      </c>
      <c r="L79" s="9"/>
    </row>
    <row r="80" spans="1:12" ht="71.25" customHeight="1" x14ac:dyDescent="0.15">
      <c r="A80" s="8">
        <v>41312</v>
      </c>
      <c r="B80" s="9" t="s">
        <v>346</v>
      </c>
      <c r="C80" s="9" t="s">
        <v>111</v>
      </c>
      <c r="D80" s="9">
        <v>143</v>
      </c>
      <c r="E80" s="9" t="s">
        <v>349</v>
      </c>
      <c r="F80" s="9">
        <v>30.312000000000001</v>
      </c>
      <c r="G80" s="9">
        <v>-87.311999999999998</v>
      </c>
      <c r="H80" s="9" t="s">
        <v>347</v>
      </c>
      <c r="I80" s="9" t="s">
        <v>348</v>
      </c>
      <c r="L80" s="9"/>
    </row>
    <row r="81" spans="1:12" ht="71.25" customHeight="1" x14ac:dyDescent="0.15">
      <c r="A81" s="8">
        <v>41312</v>
      </c>
      <c r="B81" s="9" t="s">
        <v>346</v>
      </c>
      <c r="C81" s="9" t="s">
        <v>111</v>
      </c>
      <c r="D81" s="9">
        <v>139</v>
      </c>
      <c r="E81" s="9" t="s">
        <v>350</v>
      </c>
      <c r="F81" s="9">
        <v>30.312000000000001</v>
      </c>
      <c r="G81" s="9">
        <v>-87.311999999999998</v>
      </c>
      <c r="H81" s="9" t="s">
        <v>347</v>
      </c>
      <c r="I81" s="9" t="s">
        <v>348</v>
      </c>
      <c r="L81" s="9"/>
    </row>
    <row r="82" spans="1:12" ht="71.25" customHeight="1" x14ac:dyDescent="0.15">
      <c r="A82" s="8">
        <v>41313</v>
      </c>
      <c r="B82" s="9" t="s">
        <v>351</v>
      </c>
      <c r="C82" s="9" t="s">
        <v>302</v>
      </c>
      <c r="D82" s="9">
        <v>408</v>
      </c>
      <c r="E82" s="9" t="s">
        <v>352</v>
      </c>
      <c r="F82" s="9">
        <v>29.076893999999999</v>
      </c>
      <c r="G82" s="9">
        <v>-80.927975000000004</v>
      </c>
      <c r="H82" s="9" t="s">
        <v>353</v>
      </c>
      <c r="I82" s="9" t="s">
        <v>354</v>
      </c>
      <c r="J82" s="11" t="s">
        <v>297</v>
      </c>
      <c r="K82" s="11" t="s">
        <v>301</v>
      </c>
      <c r="L82" s="9"/>
    </row>
    <row r="83" spans="1:12" ht="71.25" customHeight="1" x14ac:dyDescent="0.15">
      <c r="A83" s="8">
        <v>41313</v>
      </c>
      <c r="B83" s="9" t="s">
        <v>355</v>
      </c>
      <c r="C83" s="9" t="s">
        <v>302</v>
      </c>
      <c r="D83" s="9">
        <v>169</v>
      </c>
      <c r="E83" s="9" t="s">
        <v>356</v>
      </c>
      <c r="F83" s="9">
        <v>29.04946</v>
      </c>
      <c r="G83" s="9">
        <v>-80.900720000000007</v>
      </c>
      <c r="H83" s="9" t="s">
        <v>357</v>
      </c>
      <c r="I83" s="9" t="s">
        <v>354</v>
      </c>
      <c r="J83" s="11" t="s">
        <v>300</v>
      </c>
      <c r="K83" s="11" t="s">
        <v>301</v>
      </c>
      <c r="L83" s="9"/>
    </row>
    <row r="84" spans="1:12" ht="71.25" customHeight="1" x14ac:dyDescent="0.15">
      <c r="A84" s="8">
        <v>41313</v>
      </c>
      <c r="B84" s="9" t="s">
        <v>355</v>
      </c>
      <c r="C84" s="9" t="s">
        <v>157</v>
      </c>
      <c r="D84" s="9">
        <v>184</v>
      </c>
      <c r="E84" s="9" t="s">
        <v>358</v>
      </c>
      <c r="F84" s="9">
        <v>29.066743334000002</v>
      </c>
      <c r="G84" s="9">
        <v>-80.907982939999997</v>
      </c>
      <c r="H84" s="9" t="s">
        <v>357</v>
      </c>
      <c r="I84" s="9" t="s">
        <v>354</v>
      </c>
      <c r="J84" s="11" t="s">
        <v>297</v>
      </c>
      <c r="K84" s="11" t="s">
        <v>301</v>
      </c>
      <c r="L84" s="9"/>
    </row>
    <row r="85" spans="1:12" ht="71.25" customHeight="1" x14ac:dyDescent="0.15">
      <c r="A85" s="8">
        <v>41313</v>
      </c>
      <c r="B85" s="9" t="s">
        <v>355</v>
      </c>
      <c r="C85" s="9" t="s">
        <v>302</v>
      </c>
      <c r="D85" s="9">
        <v>83</v>
      </c>
      <c r="E85" s="9" t="s">
        <v>359</v>
      </c>
      <c r="F85" s="9">
        <v>29.073066283999999</v>
      </c>
      <c r="G85" s="9">
        <v>-80.912209880000006</v>
      </c>
      <c r="H85" s="9" t="s">
        <v>357</v>
      </c>
      <c r="I85" s="9" t="s">
        <v>354</v>
      </c>
      <c r="J85" s="11" t="s">
        <v>297</v>
      </c>
      <c r="K85" s="11" t="s">
        <v>301</v>
      </c>
      <c r="L85" s="9"/>
    </row>
    <row r="86" spans="1:12" ht="71.25" customHeight="1" x14ac:dyDescent="0.15">
      <c r="A86" s="8">
        <v>41309</v>
      </c>
      <c r="B86" s="9" t="s">
        <v>360</v>
      </c>
      <c r="C86" s="9" t="s">
        <v>157</v>
      </c>
      <c r="D86" s="9">
        <v>178</v>
      </c>
      <c r="E86" s="9" t="s">
        <v>361</v>
      </c>
      <c r="F86" s="9">
        <v>27.32902</v>
      </c>
      <c r="G86" s="9">
        <v>-82.591120000000004</v>
      </c>
      <c r="H86" s="9" t="s">
        <v>362</v>
      </c>
      <c r="I86" s="9" t="s">
        <v>211</v>
      </c>
      <c r="L86" s="9"/>
    </row>
    <row r="87" spans="1:12" ht="71.25" customHeight="1" x14ac:dyDescent="0.15">
      <c r="A87" s="8">
        <v>41309</v>
      </c>
      <c r="B87" s="9" t="s">
        <v>360</v>
      </c>
      <c r="C87" s="9" t="s">
        <v>157</v>
      </c>
      <c r="D87" s="9">
        <v>57</v>
      </c>
      <c r="E87" s="9" t="s">
        <v>363</v>
      </c>
      <c r="F87" s="9">
        <v>27.353300000000001</v>
      </c>
      <c r="G87" s="9">
        <v>-82.615399999999994</v>
      </c>
      <c r="H87" s="9" t="s">
        <v>362</v>
      </c>
      <c r="I87" s="9" t="s">
        <v>211</v>
      </c>
      <c r="L87" s="9"/>
    </row>
    <row r="88" spans="1:12" ht="71.25" customHeight="1" x14ac:dyDescent="0.15">
      <c r="A88" s="8">
        <v>41309</v>
      </c>
      <c r="B88" s="9" t="s">
        <v>360</v>
      </c>
      <c r="C88" s="9" t="s">
        <v>157</v>
      </c>
      <c r="D88" s="9">
        <v>125</v>
      </c>
      <c r="E88" s="9" t="s">
        <v>364</v>
      </c>
      <c r="F88" s="9">
        <v>27.356480000000001</v>
      </c>
      <c r="G88" s="9">
        <v>-82.618380000000002</v>
      </c>
      <c r="H88" s="9" t="s">
        <v>362</v>
      </c>
      <c r="I88" s="9" t="s">
        <v>211</v>
      </c>
      <c r="L88" s="9"/>
    </row>
    <row r="89" spans="1:12" ht="71.25" customHeight="1" x14ac:dyDescent="0.15">
      <c r="A89" s="8">
        <v>41309</v>
      </c>
      <c r="B89" s="9" t="s">
        <v>360</v>
      </c>
      <c r="C89" s="9" t="s">
        <v>157</v>
      </c>
      <c r="D89" s="9">
        <v>55</v>
      </c>
      <c r="E89" s="9" t="s">
        <v>365</v>
      </c>
      <c r="F89" s="17">
        <v>27.360479999999999</v>
      </c>
      <c r="G89" s="9">
        <v>-82.622020000000006</v>
      </c>
      <c r="H89" s="9" t="s">
        <v>362</v>
      </c>
      <c r="I89" s="9" t="s">
        <v>211</v>
      </c>
      <c r="L89" s="9" t="s">
        <v>366</v>
      </c>
    </row>
    <row r="90" spans="1:12" ht="71.25" customHeight="1" x14ac:dyDescent="0.15">
      <c r="A90" s="8">
        <v>41309</v>
      </c>
      <c r="B90" s="9" t="s">
        <v>360</v>
      </c>
      <c r="C90" s="9" t="s">
        <v>157</v>
      </c>
      <c r="D90" s="9">
        <v>83</v>
      </c>
      <c r="E90" s="9" t="s">
        <v>367</v>
      </c>
      <c r="F90" s="9">
        <v>27.372599999999998</v>
      </c>
      <c r="G90" s="9">
        <v>-82.631619999999998</v>
      </c>
      <c r="H90" s="9" t="s">
        <v>362</v>
      </c>
      <c r="I90" s="9" t="s">
        <v>211</v>
      </c>
      <c r="L90" s="9"/>
    </row>
    <row r="91" spans="1:12" ht="71.25" customHeight="1" x14ac:dyDescent="0.15">
      <c r="A91" s="8">
        <v>41313</v>
      </c>
      <c r="B91" s="9" t="s">
        <v>368</v>
      </c>
      <c r="C91" s="9" t="s">
        <v>302</v>
      </c>
      <c r="D91" s="9">
        <v>213</v>
      </c>
      <c r="E91" s="9" t="s">
        <v>369</v>
      </c>
      <c r="F91" s="9">
        <v>29.066540773</v>
      </c>
      <c r="G91" s="9">
        <v>-80.922572119999998</v>
      </c>
      <c r="H91" s="9" t="s">
        <v>370</v>
      </c>
      <c r="I91" s="9" t="s">
        <v>354</v>
      </c>
      <c r="J91" s="11" t="s">
        <v>297</v>
      </c>
      <c r="K91" s="11" t="s">
        <v>301</v>
      </c>
      <c r="L91" s="9"/>
    </row>
    <row r="92" spans="1:12" ht="71.25" customHeight="1" x14ac:dyDescent="0.15">
      <c r="A92" s="8">
        <v>41313</v>
      </c>
      <c r="B92" s="9" t="s">
        <v>368</v>
      </c>
      <c r="C92" s="9" t="s">
        <v>226</v>
      </c>
      <c r="D92" s="9">
        <v>1</v>
      </c>
      <c r="E92" s="9" t="s">
        <v>226</v>
      </c>
      <c r="F92" s="9">
        <v>29.065314078</v>
      </c>
      <c r="G92" s="9">
        <v>-80.923063889999995</v>
      </c>
      <c r="H92" s="9" t="s">
        <v>370</v>
      </c>
      <c r="I92" s="9" t="s">
        <v>354</v>
      </c>
      <c r="J92" s="11" t="s">
        <v>297</v>
      </c>
      <c r="K92" s="11" t="s">
        <v>301</v>
      </c>
      <c r="L92" s="9"/>
    </row>
    <row r="93" spans="1:12" ht="71.25" customHeight="1" x14ac:dyDescent="0.15">
      <c r="A93" s="8">
        <v>41313</v>
      </c>
      <c r="B93" s="9" t="s">
        <v>371</v>
      </c>
      <c r="C93" s="9" t="s">
        <v>372</v>
      </c>
      <c r="D93" s="9">
        <v>4</v>
      </c>
      <c r="E93" s="9" t="s">
        <v>373</v>
      </c>
      <c r="F93" s="9">
        <v>29.029935999999999</v>
      </c>
      <c r="G93" s="9">
        <v>-80.898036000000005</v>
      </c>
      <c r="H93" s="9" t="s">
        <v>374</v>
      </c>
      <c r="I93" s="9" t="s">
        <v>375</v>
      </c>
      <c r="J93" s="11" t="s">
        <v>376</v>
      </c>
      <c r="K93" s="11" t="s">
        <v>377</v>
      </c>
      <c r="L93" s="9" t="s">
        <v>378</v>
      </c>
    </row>
    <row r="94" spans="1:12" ht="71.25" customHeight="1" x14ac:dyDescent="0.15">
      <c r="A94" s="8">
        <v>41313</v>
      </c>
      <c r="B94" s="9" t="s">
        <v>371</v>
      </c>
      <c r="C94" s="9" t="s">
        <v>372</v>
      </c>
      <c r="D94" s="9">
        <v>4</v>
      </c>
      <c r="E94" s="9" t="s">
        <v>379</v>
      </c>
      <c r="F94" s="9">
        <v>29.010629000000002</v>
      </c>
      <c r="G94" s="9">
        <v>-80.878099000000006</v>
      </c>
      <c r="H94" s="9" t="s">
        <v>374</v>
      </c>
      <c r="I94" s="9" t="s">
        <v>375</v>
      </c>
      <c r="J94" s="11" t="s">
        <v>376</v>
      </c>
      <c r="K94" s="11" t="s">
        <v>380</v>
      </c>
      <c r="L94" s="9" t="s">
        <v>378</v>
      </c>
    </row>
    <row r="95" spans="1:12" ht="71.25" customHeight="1" x14ac:dyDescent="0.15">
      <c r="A95" s="8">
        <v>41313</v>
      </c>
      <c r="B95" s="9" t="s">
        <v>371</v>
      </c>
      <c r="C95" s="9" t="s">
        <v>372</v>
      </c>
      <c r="D95" s="9">
        <v>1</v>
      </c>
      <c r="E95" s="9" t="s">
        <v>302</v>
      </c>
      <c r="F95" s="9">
        <v>28.991962000000001</v>
      </c>
      <c r="G95" s="9">
        <v>-80.866794999999996</v>
      </c>
      <c r="H95" s="9" t="s">
        <v>381</v>
      </c>
      <c r="I95" s="9" t="s">
        <v>375</v>
      </c>
      <c r="J95" s="11" t="s">
        <v>376</v>
      </c>
      <c r="K95" s="11" t="s">
        <v>382</v>
      </c>
      <c r="L95" s="9" t="s">
        <v>378</v>
      </c>
    </row>
    <row r="96" spans="1:12" ht="71.25" customHeight="1" x14ac:dyDescent="0.15">
      <c r="A96" s="8">
        <v>41313</v>
      </c>
      <c r="B96" s="9" t="s">
        <v>371</v>
      </c>
      <c r="C96" s="9" t="s">
        <v>372</v>
      </c>
      <c r="D96" s="9">
        <v>10</v>
      </c>
      <c r="E96" s="9" t="s">
        <v>302</v>
      </c>
      <c r="F96" s="9">
        <v>28.985206999999999</v>
      </c>
      <c r="G96" s="9">
        <v>-80.862121999999999</v>
      </c>
      <c r="H96" s="9" t="s">
        <v>381</v>
      </c>
      <c r="I96" s="9" t="s">
        <v>375</v>
      </c>
      <c r="J96" s="11" t="s">
        <v>376</v>
      </c>
      <c r="K96" s="11" t="s">
        <v>383</v>
      </c>
      <c r="L96" s="9" t="s">
        <v>378</v>
      </c>
    </row>
    <row r="97" spans="1:12" ht="71.25" customHeight="1" x14ac:dyDescent="0.15">
      <c r="A97" s="8">
        <v>41313</v>
      </c>
      <c r="B97" s="9" t="s">
        <v>371</v>
      </c>
      <c r="C97" s="9" t="s">
        <v>372</v>
      </c>
      <c r="D97" s="9">
        <v>4</v>
      </c>
      <c r="E97" s="9" t="s">
        <v>302</v>
      </c>
      <c r="F97" s="9">
        <v>28.982545999999999</v>
      </c>
      <c r="G97" s="9">
        <v>-80.860343999999998</v>
      </c>
      <c r="H97" s="9" t="s">
        <v>381</v>
      </c>
      <c r="I97" s="9" t="s">
        <v>375</v>
      </c>
      <c r="J97" s="11" t="s">
        <v>376</v>
      </c>
      <c r="K97" s="11" t="s">
        <v>384</v>
      </c>
      <c r="L97" s="9" t="s">
        <v>378</v>
      </c>
    </row>
    <row r="98" spans="1:12" ht="71.25" customHeight="1" x14ac:dyDescent="0.15">
      <c r="A98" s="8">
        <v>41313</v>
      </c>
      <c r="B98" s="9" t="s">
        <v>371</v>
      </c>
      <c r="C98" s="9" t="s">
        <v>302</v>
      </c>
      <c r="D98" s="9">
        <v>380</v>
      </c>
      <c r="E98" s="9" t="s">
        <v>387</v>
      </c>
      <c r="F98" s="9">
        <v>29.028542000000002</v>
      </c>
      <c r="G98" s="9">
        <v>-80.889169999999993</v>
      </c>
      <c r="H98" s="9" t="s">
        <v>374</v>
      </c>
      <c r="I98" s="9" t="s">
        <v>375</v>
      </c>
      <c r="L98" s="9"/>
    </row>
    <row r="99" spans="1:12" ht="71.25" customHeight="1" x14ac:dyDescent="0.15">
      <c r="A99" s="8">
        <v>41313</v>
      </c>
      <c r="B99" s="9" t="s">
        <v>371</v>
      </c>
      <c r="C99" s="9" t="s">
        <v>302</v>
      </c>
      <c r="D99" s="9">
        <v>270</v>
      </c>
      <c r="E99" s="9" t="s">
        <v>390</v>
      </c>
      <c r="F99" s="9">
        <v>29.018779899999998</v>
      </c>
      <c r="G99" s="9">
        <v>-80.883281999999994</v>
      </c>
      <c r="H99" s="9" t="s">
        <v>374</v>
      </c>
      <c r="I99" s="9" t="s">
        <v>375</v>
      </c>
      <c r="L99" s="9"/>
    </row>
    <row r="100" spans="1:12" ht="71.25" customHeight="1" x14ac:dyDescent="0.15">
      <c r="A100" s="8">
        <v>41313</v>
      </c>
      <c r="B100" s="9" t="s">
        <v>391</v>
      </c>
      <c r="C100" s="9" t="s">
        <v>230</v>
      </c>
      <c r="D100" s="9">
        <v>3</v>
      </c>
      <c r="E100" s="9" t="s">
        <v>392</v>
      </c>
      <c r="F100" s="9">
        <v>28.942245</v>
      </c>
      <c r="G100" s="9">
        <v>-80.845535999999996</v>
      </c>
      <c r="H100" s="9" t="s">
        <v>393</v>
      </c>
      <c r="I100" s="9" t="s">
        <v>375</v>
      </c>
      <c r="L100" s="9"/>
    </row>
    <row r="101" spans="1:12" ht="71.25" customHeight="1" x14ac:dyDescent="0.15">
      <c r="A101" s="8">
        <v>41313</v>
      </c>
      <c r="B101" s="9" t="s">
        <v>391</v>
      </c>
      <c r="C101" s="9" t="s">
        <v>226</v>
      </c>
      <c r="D101" s="9">
        <v>1</v>
      </c>
      <c r="E101" s="9" t="s">
        <v>394</v>
      </c>
      <c r="F101" s="9">
        <v>28.944963000000001</v>
      </c>
      <c r="G101" s="9">
        <v>-80.853847999999999</v>
      </c>
      <c r="H101" s="9" t="s">
        <v>393</v>
      </c>
      <c r="I101" s="9" t="s">
        <v>375</v>
      </c>
      <c r="L101" s="9"/>
    </row>
    <row r="102" spans="1:12" ht="71.25" customHeight="1" x14ac:dyDescent="0.15">
      <c r="A102" s="8">
        <v>41313</v>
      </c>
      <c r="B102" s="9" t="s">
        <v>391</v>
      </c>
      <c r="C102" s="9" t="s">
        <v>265</v>
      </c>
      <c r="D102" s="9">
        <v>7</v>
      </c>
      <c r="E102" s="9" t="s">
        <v>395</v>
      </c>
      <c r="F102" s="9">
        <v>28.570136999999999</v>
      </c>
      <c r="G102" s="9">
        <v>-80.874516</v>
      </c>
      <c r="H102" s="9" t="s">
        <v>396</v>
      </c>
      <c r="I102" s="9" t="s">
        <v>375</v>
      </c>
      <c r="L102" s="9"/>
    </row>
    <row r="103" spans="1:12" ht="71.25" customHeight="1" x14ac:dyDescent="0.15">
      <c r="A103" s="8">
        <v>41313</v>
      </c>
      <c r="B103" s="9" t="s">
        <v>391</v>
      </c>
      <c r="C103" s="9" t="s">
        <v>265</v>
      </c>
      <c r="D103" s="9">
        <v>8</v>
      </c>
      <c r="E103" s="9" t="s">
        <v>397</v>
      </c>
      <c r="F103" s="9">
        <v>29.001266000000001</v>
      </c>
      <c r="G103" s="9">
        <v>-80.900015999999994</v>
      </c>
      <c r="H103" s="9" t="s">
        <v>396</v>
      </c>
      <c r="I103" s="9" t="s">
        <v>375</v>
      </c>
      <c r="L103" s="9"/>
    </row>
    <row r="104" spans="1:12" ht="71.25" customHeight="1" x14ac:dyDescent="0.15">
      <c r="A104" s="8">
        <v>41313</v>
      </c>
      <c r="B104" s="9" t="s">
        <v>398</v>
      </c>
      <c r="C104" s="9" t="s">
        <v>302</v>
      </c>
      <c r="D104" s="9"/>
      <c r="E104" s="9" t="s">
        <v>399</v>
      </c>
      <c r="F104" s="9">
        <v>28.987466000000001</v>
      </c>
      <c r="G104" s="9">
        <v>-80.893500000000003</v>
      </c>
      <c r="H104" s="9" t="s">
        <v>396</v>
      </c>
      <c r="I104" s="9" t="s">
        <v>375</v>
      </c>
      <c r="L104" s="9"/>
    </row>
    <row r="105" spans="1:12" ht="71.25" customHeight="1" x14ac:dyDescent="0.15">
      <c r="A105" s="8">
        <v>41306</v>
      </c>
      <c r="B105" s="9" t="s">
        <v>400</v>
      </c>
      <c r="C105" s="9" t="s">
        <v>401</v>
      </c>
      <c r="D105" s="9"/>
      <c r="E105" s="9"/>
      <c r="F105" s="9">
        <v>29.759018000000001</v>
      </c>
      <c r="G105" s="9">
        <v>-81.247480999999993</v>
      </c>
      <c r="H105" s="9" t="s">
        <v>402</v>
      </c>
      <c r="I105" s="9" t="s">
        <v>345</v>
      </c>
      <c r="L105" s="9"/>
    </row>
    <row r="106" spans="1:12" ht="71.25" customHeight="1" x14ac:dyDescent="0.15">
      <c r="A106" s="8">
        <v>41306</v>
      </c>
      <c r="B106" s="9" t="s">
        <v>403</v>
      </c>
      <c r="C106" s="9" t="s">
        <v>404</v>
      </c>
      <c r="D106" s="9">
        <v>68</v>
      </c>
      <c r="E106" s="9" t="s">
        <v>405</v>
      </c>
      <c r="F106" s="9">
        <v>25.893509999999999</v>
      </c>
      <c r="G106" s="9">
        <v>-81.617131000000001</v>
      </c>
      <c r="H106" s="9" t="s">
        <v>406</v>
      </c>
      <c r="I106" s="9" t="s">
        <v>407</v>
      </c>
      <c r="L106" s="9"/>
    </row>
    <row r="107" spans="1:12" ht="71.25" customHeight="1" x14ac:dyDescent="0.15">
      <c r="A107" s="8">
        <v>41306</v>
      </c>
      <c r="B107" s="9" t="s">
        <v>403</v>
      </c>
      <c r="C107" s="9" t="s">
        <v>404</v>
      </c>
      <c r="D107" s="9">
        <v>166</v>
      </c>
      <c r="E107" s="9" t="s">
        <v>405</v>
      </c>
      <c r="F107" s="9">
        <v>25.894905000000001</v>
      </c>
      <c r="G107" s="9">
        <v>-81.611568000000005</v>
      </c>
      <c r="H107" s="9" t="s">
        <v>406</v>
      </c>
      <c r="I107" s="9" t="s">
        <v>407</v>
      </c>
      <c r="L107" s="9"/>
    </row>
    <row r="108" spans="1:12" ht="71.25" customHeight="1" x14ac:dyDescent="0.15">
      <c r="A108" s="8">
        <v>41306</v>
      </c>
      <c r="B108" s="9" t="s">
        <v>403</v>
      </c>
      <c r="C108" s="9" t="s">
        <v>404</v>
      </c>
      <c r="D108" s="9">
        <v>55</v>
      </c>
      <c r="E108" s="9" t="s">
        <v>408</v>
      </c>
      <c r="F108" s="9">
        <v>25.844593</v>
      </c>
      <c r="G108" s="9">
        <v>-81.525880000000001</v>
      </c>
      <c r="H108" s="9" t="s">
        <v>406</v>
      </c>
      <c r="I108" s="9" t="s">
        <v>407</v>
      </c>
      <c r="L108" s="9"/>
    </row>
    <row r="109" spans="1:12" ht="71.25" customHeight="1" x14ac:dyDescent="0.15">
      <c r="A109" s="8">
        <v>41306</v>
      </c>
      <c r="B109" s="9" t="s">
        <v>403</v>
      </c>
      <c r="C109" s="9" t="s">
        <v>226</v>
      </c>
      <c r="D109" s="9">
        <v>4</v>
      </c>
      <c r="E109" s="9" t="s">
        <v>68</v>
      </c>
      <c r="F109" s="9">
        <v>25.91619</v>
      </c>
      <c r="G109" s="9">
        <v>-81.605439000000004</v>
      </c>
      <c r="H109" s="9" t="s">
        <v>406</v>
      </c>
      <c r="I109" s="9" t="s">
        <v>407</v>
      </c>
      <c r="L109" s="9"/>
    </row>
    <row r="110" spans="1:12" ht="71.25" customHeight="1" x14ac:dyDescent="0.15">
      <c r="A110" s="8">
        <v>41313</v>
      </c>
      <c r="B110" s="9" t="s">
        <v>409</v>
      </c>
      <c r="C110" s="9" t="s">
        <v>68</v>
      </c>
      <c r="D110" s="9">
        <v>3</v>
      </c>
      <c r="E110" s="9" t="s">
        <v>226</v>
      </c>
      <c r="F110" s="9">
        <v>28.121390000000002</v>
      </c>
      <c r="G110" s="9">
        <v>82.838999999999999</v>
      </c>
      <c r="H110" s="9" t="s">
        <v>410</v>
      </c>
      <c r="I110" s="9" t="s">
        <v>411</v>
      </c>
      <c r="L110" s="9"/>
    </row>
    <row r="111" spans="1:12" ht="71.25" customHeight="1" x14ac:dyDescent="0.15">
      <c r="A111" s="8">
        <v>41313</v>
      </c>
      <c r="B111" s="9" t="s">
        <v>409</v>
      </c>
      <c r="C111" s="9" t="s">
        <v>73</v>
      </c>
      <c r="D111" s="9">
        <v>3</v>
      </c>
      <c r="E111" s="9" t="s">
        <v>412</v>
      </c>
      <c r="F111" s="9">
        <v>28.121390000000002</v>
      </c>
      <c r="G111" s="9">
        <v>82.838999999999999</v>
      </c>
      <c r="H111" s="9" t="s">
        <v>413</v>
      </c>
      <c r="I111" s="9" t="s">
        <v>411</v>
      </c>
      <c r="L111" s="9"/>
    </row>
    <row r="112" spans="1:12" ht="71.25" customHeight="1" x14ac:dyDescent="0.15">
      <c r="A112" s="8">
        <v>41308</v>
      </c>
      <c r="B112" s="9" t="s">
        <v>414</v>
      </c>
      <c r="C112" s="9" t="s">
        <v>157</v>
      </c>
      <c r="D112" s="9">
        <v>71</v>
      </c>
      <c r="E112" s="9" t="s">
        <v>415</v>
      </c>
      <c r="F112" s="9">
        <v>27.082857000000001</v>
      </c>
      <c r="G112" s="9">
        <v>-82.454505999999995</v>
      </c>
      <c r="H112" s="9" t="s">
        <v>416</v>
      </c>
      <c r="I112" s="9" t="s">
        <v>417</v>
      </c>
      <c r="J112" s="11" t="s">
        <v>418</v>
      </c>
      <c r="K112" s="11" t="s">
        <v>418</v>
      </c>
      <c r="L112" s="9"/>
    </row>
    <row r="113" spans="1:12" ht="71.25" customHeight="1" x14ac:dyDescent="0.15">
      <c r="A113" s="8">
        <v>41308</v>
      </c>
      <c r="B113" s="9" t="s">
        <v>414</v>
      </c>
      <c r="C113" s="9" t="s">
        <v>157</v>
      </c>
      <c r="D113" s="9">
        <v>107</v>
      </c>
      <c r="E113" s="9" t="s">
        <v>419</v>
      </c>
      <c r="F113" s="9">
        <v>27.100173999999999</v>
      </c>
      <c r="G113" s="9">
        <v>-82.460836</v>
      </c>
      <c r="H113" s="9" t="s">
        <v>420</v>
      </c>
      <c r="I113" s="9" t="s">
        <v>417</v>
      </c>
      <c r="J113" s="11" t="s">
        <v>418</v>
      </c>
      <c r="K113" s="11" t="s">
        <v>418</v>
      </c>
      <c r="L113" s="9"/>
    </row>
    <row r="114" spans="1:12" ht="71.25" customHeight="1" x14ac:dyDescent="0.15">
      <c r="A114" s="8">
        <v>41306</v>
      </c>
      <c r="B114" s="9" t="s">
        <v>421</v>
      </c>
      <c r="C114" s="9" t="s">
        <v>135</v>
      </c>
      <c r="D114" s="9"/>
      <c r="E114" s="9"/>
      <c r="F114" s="9">
        <v>29.7975277</v>
      </c>
      <c r="G114" s="9">
        <v>-81.271630500000001</v>
      </c>
      <c r="H114" s="9" t="s">
        <v>344</v>
      </c>
      <c r="I114" s="9" t="s">
        <v>345</v>
      </c>
      <c r="L114" s="9"/>
    </row>
    <row r="115" spans="1:12" ht="71.25" customHeight="1" x14ac:dyDescent="0.15">
      <c r="A115" s="8">
        <v>41355</v>
      </c>
      <c r="B115" s="9" t="s">
        <v>257</v>
      </c>
      <c r="C115" s="9" t="s">
        <v>308</v>
      </c>
      <c r="D115" s="9">
        <v>1</v>
      </c>
      <c r="E115" s="9"/>
      <c r="F115" s="9">
        <v>27.61177</v>
      </c>
      <c r="G115" s="9">
        <v>82.736170000000001</v>
      </c>
      <c r="H115" s="9" t="s">
        <v>262</v>
      </c>
      <c r="I115" s="9" t="s">
        <v>238</v>
      </c>
      <c r="L115" s="9" t="s">
        <v>424</v>
      </c>
    </row>
    <row r="116" spans="1:12" ht="71.25" customHeight="1" x14ac:dyDescent="0.15">
      <c r="A116" s="16"/>
      <c r="B116" s="9" t="s">
        <v>427</v>
      </c>
      <c r="C116" s="9" t="s">
        <v>226</v>
      </c>
      <c r="D116" s="9">
        <v>2</v>
      </c>
      <c r="E116" s="9"/>
      <c r="F116" s="9">
        <v>27.63307</v>
      </c>
      <c r="G116" s="9">
        <v>82.740740000000002</v>
      </c>
      <c r="H116" s="9" t="s">
        <v>262</v>
      </c>
      <c r="I116" s="9" t="s">
        <v>238</v>
      </c>
      <c r="L116" s="9" t="s">
        <v>428</v>
      </c>
    </row>
    <row r="117" spans="1:12" ht="71.25" customHeight="1" x14ac:dyDescent="0.15">
      <c r="A117" s="8">
        <v>41381</v>
      </c>
      <c r="B117" s="9" t="s">
        <v>257</v>
      </c>
      <c r="C117" s="9" t="s">
        <v>265</v>
      </c>
      <c r="D117" s="9">
        <v>1</v>
      </c>
      <c r="E117" s="9"/>
      <c r="F117" s="9">
        <v>27.61177</v>
      </c>
      <c r="G117" s="9">
        <v>82.736170000000001</v>
      </c>
      <c r="H117" s="9" t="s">
        <v>262</v>
      </c>
      <c r="I117" s="9" t="s">
        <v>238</v>
      </c>
      <c r="L117" s="9" t="s">
        <v>429</v>
      </c>
    </row>
    <row r="118" spans="1:12" ht="71.25" customHeight="1" x14ac:dyDescent="0.15">
      <c r="A118" s="8">
        <v>41381</v>
      </c>
      <c r="B118" s="9" t="s">
        <v>257</v>
      </c>
      <c r="C118" s="9" t="s">
        <v>230</v>
      </c>
      <c r="D118" s="9">
        <v>3</v>
      </c>
      <c r="E118" s="9"/>
      <c r="F118" s="9">
        <v>27.61177</v>
      </c>
      <c r="G118" s="9">
        <v>82.736170000000001</v>
      </c>
      <c r="H118" s="9" t="s">
        <v>262</v>
      </c>
      <c r="I118" s="9" t="s">
        <v>238</v>
      </c>
      <c r="L118" s="9" t="s">
        <v>430</v>
      </c>
    </row>
    <row r="119" spans="1:12" ht="71.25" customHeight="1" x14ac:dyDescent="0.15">
      <c r="A119" s="16"/>
      <c r="B119" s="9"/>
      <c r="C119" s="9"/>
      <c r="D119" s="9"/>
      <c r="E119" s="9"/>
      <c r="F119" s="9"/>
      <c r="G119" s="9"/>
      <c r="H119" s="9"/>
      <c r="I119" s="9"/>
      <c r="L119" s="9"/>
    </row>
    <row r="120" spans="1:12" ht="71.25" customHeight="1" x14ac:dyDescent="0.15">
      <c r="A120" s="16"/>
      <c r="B120" s="9"/>
      <c r="C120" s="9"/>
      <c r="D120" s="9"/>
      <c r="E120" s="9"/>
      <c r="F120" s="9"/>
      <c r="G120" s="9"/>
      <c r="H120" s="9"/>
      <c r="I120" s="9"/>
      <c r="L120" s="9"/>
    </row>
    <row r="121" spans="1:12" ht="71.25" customHeight="1" x14ac:dyDescent="0.15">
      <c r="A121" s="16"/>
      <c r="B121" s="9"/>
      <c r="C121" s="9"/>
      <c r="D121" s="9"/>
      <c r="E121" s="9"/>
      <c r="F121" s="9"/>
      <c r="G121" s="9"/>
      <c r="H121" s="9"/>
      <c r="I121" s="9"/>
      <c r="L121" s="9"/>
    </row>
    <row r="122" spans="1:12" ht="71.25" customHeight="1" x14ac:dyDescent="0.15">
      <c r="A122" s="16"/>
      <c r="B122" s="9"/>
      <c r="C122" s="9"/>
      <c r="D122" s="9"/>
      <c r="E122" s="9"/>
      <c r="F122" s="9"/>
      <c r="G122" s="9"/>
      <c r="H122" s="9"/>
      <c r="I122" s="9"/>
      <c r="L122" s="9"/>
    </row>
    <row r="123" spans="1:12" ht="71.25" customHeight="1" x14ac:dyDescent="0.15">
      <c r="A123" s="16"/>
      <c r="B123" s="9"/>
      <c r="C123" s="9"/>
      <c r="D123" s="9"/>
      <c r="E123" s="9"/>
      <c r="F123" s="9"/>
      <c r="G123" s="9"/>
      <c r="H123" s="9"/>
      <c r="I123" s="9"/>
      <c r="L123" s="9"/>
    </row>
    <row r="124" spans="1:12" ht="71.25" customHeight="1" x14ac:dyDescent="0.15">
      <c r="A124" s="16"/>
      <c r="B124" s="9"/>
      <c r="C124" s="9"/>
      <c r="D124" s="9"/>
      <c r="E124" s="9"/>
      <c r="F124" s="9"/>
      <c r="G124" s="9"/>
      <c r="H124" s="9"/>
      <c r="I124" s="9"/>
      <c r="L124" s="9"/>
    </row>
    <row r="125" spans="1:12" ht="71.25" customHeight="1" x14ac:dyDescent="0.15">
      <c r="A125" s="16"/>
      <c r="B125" s="9"/>
      <c r="C125" s="9"/>
      <c r="D125" s="9"/>
      <c r="E125" s="9"/>
      <c r="F125" s="9"/>
      <c r="G125" s="9"/>
      <c r="H125" s="9"/>
      <c r="I125" s="9"/>
      <c r="L125" s="9"/>
    </row>
    <row r="126" spans="1:12" ht="71.25" customHeight="1" x14ac:dyDescent="0.15">
      <c r="A126" s="16"/>
      <c r="B126" s="9"/>
      <c r="C126" s="9"/>
      <c r="D126" s="9"/>
      <c r="E126" s="9"/>
      <c r="F126" s="9"/>
      <c r="G126" s="9"/>
      <c r="H126" s="9"/>
      <c r="I126" s="9"/>
      <c r="L126" s="9"/>
    </row>
    <row r="127" spans="1:12" ht="71.25" customHeight="1" x14ac:dyDescent="0.15">
      <c r="A127" s="16"/>
      <c r="B127" s="9"/>
      <c r="C127" s="9"/>
      <c r="D127" s="9"/>
      <c r="E127" s="9"/>
      <c r="F127" s="9"/>
      <c r="G127" s="9"/>
      <c r="H127" s="9"/>
      <c r="I127" s="9"/>
      <c r="L127" s="9"/>
    </row>
    <row r="128" spans="1:12" ht="71.25" customHeight="1" x14ac:dyDescent="0.15">
      <c r="A128" s="16"/>
      <c r="B128" s="9"/>
      <c r="C128" s="9"/>
      <c r="D128" s="9"/>
      <c r="E128" s="9"/>
      <c r="F128" s="9"/>
      <c r="G128" s="9"/>
      <c r="H128" s="9"/>
      <c r="I128" s="9"/>
      <c r="L128" s="9"/>
    </row>
    <row r="129" spans="1:12" ht="71.25" customHeight="1" x14ac:dyDescent="0.15">
      <c r="A129" s="16"/>
      <c r="B129" s="9"/>
      <c r="C129" s="9"/>
      <c r="D129" s="9"/>
      <c r="E129" s="9"/>
      <c r="F129" s="9"/>
      <c r="G129" s="9"/>
      <c r="H129" s="9"/>
      <c r="I129" s="9"/>
      <c r="L129" s="9"/>
    </row>
    <row r="130" spans="1:12" ht="71.25" customHeight="1" x14ac:dyDescent="0.15">
      <c r="A130" s="16"/>
      <c r="B130" s="9"/>
      <c r="C130" s="9"/>
      <c r="D130" s="9"/>
      <c r="E130" s="9"/>
      <c r="F130" s="9"/>
      <c r="G130" s="9"/>
      <c r="H130" s="9"/>
      <c r="I130" s="9"/>
      <c r="L1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DC140"/>
  <sheetViews>
    <sheetView workbookViewId="0">
      <pane ySplit="3" topLeftCell="A4" activePane="bottomLeft" state="frozen"/>
      <selection pane="bottomLeft" activeCell="D21" sqref="D21"/>
    </sheetView>
  </sheetViews>
  <sheetFormatPr baseColWidth="10" defaultColWidth="14.5" defaultRowHeight="12.75" customHeight="1" x14ac:dyDescent="0.15"/>
  <cols>
    <col min="1" max="1" width="17.33203125" customWidth="1"/>
    <col min="2" max="2" width="17" customWidth="1"/>
    <col min="3" max="3" width="15" customWidth="1"/>
    <col min="4" max="4" width="15.6640625" customWidth="1"/>
    <col min="5" max="5" width="14.1640625" customWidth="1"/>
    <col min="6" max="6" width="15.1640625" customWidth="1"/>
    <col min="7" max="7" width="20.6640625" customWidth="1"/>
    <col min="8" max="8" width="27" customWidth="1"/>
    <col min="9" max="9" width="17.6640625" customWidth="1"/>
    <col min="10" max="10" width="10.33203125" customWidth="1"/>
    <col min="11" max="99" width="17.33203125" customWidth="1"/>
    <col min="100" max="100" width="17.6640625" customWidth="1"/>
    <col min="101" max="104" width="17.33203125" customWidth="1"/>
    <col min="105" max="105" width="36.5" customWidth="1"/>
    <col min="106" max="106" width="17.33203125" customWidth="1"/>
    <col min="107" max="107" width="42.6640625" customWidth="1"/>
  </cols>
  <sheetData>
    <row r="2" spans="1:107" ht="30.75" customHeight="1" x14ac:dyDescent="0.15">
      <c r="A2" s="4" t="s">
        <v>3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/>
      <c r="J2" s="4" t="s">
        <v>2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27</v>
      </c>
      <c r="V2" s="4" t="s">
        <v>28</v>
      </c>
      <c r="W2" s="4" t="s">
        <v>30</v>
      </c>
      <c r="X2" s="4" t="s">
        <v>32</v>
      </c>
      <c r="Y2" s="4" t="s">
        <v>34</v>
      </c>
      <c r="Z2" s="4" t="s">
        <v>36</v>
      </c>
      <c r="AA2" s="4" t="s">
        <v>37</v>
      </c>
      <c r="AB2" s="4" t="s">
        <v>39</v>
      </c>
      <c r="AC2" s="4" t="s">
        <v>40</v>
      </c>
      <c r="AD2" s="4" t="s">
        <v>41</v>
      </c>
      <c r="AE2" s="4" t="s">
        <v>45</v>
      </c>
      <c r="AF2" s="4" t="s">
        <v>46</v>
      </c>
      <c r="AG2" s="4" t="s">
        <v>47</v>
      </c>
      <c r="AH2" s="4" t="s">
        <v>48</v>
      </c>
      <c r="AI2" s="4" t="s">
        <v>49</v>
      </c>
      <c r="AJ2" s="4" t="s">
        <v>50</v>
      </c>
      <c r="AK2" s="4" t="s">
        <v>51</v>
      </c>
      <c r="AL2" s="4" t="s">
        <v>52</v>
      </c>
      <c r="AM2" s="4" t="s">
        <v>53</v>
      </c>
      <c r="AN2" s="4" t="s">
        <v>54</v>
      </c>
      <c r="AO2" s="4" t="s">
        <v>55</v>
      </c>
      <c r="AP2" s="4" t="s">
        <v>56</v>
      </c>
      <c r="AQ2" s="4" t="s">
        <v>57</v>
      </c>
      <c r="AR2" s="4" t="s">
        <v>58</v>
      </c>
      <c r="AS2" s="4" t="s">
        <v>59</v>
      </c>
      <c r="AT2" s="4" t="s">
        <v>60</v>
      </c>
      <c r="AU2" s="4" t="s">
        <v>61</v>
      </c>
      <c r="AV2" s="4" t="s">
        <v>62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67</v>
      </c>
      <c r="BB2" s="4" t="s">
        <v>68</v>
      </c>
      <c r="BC2" s="4" t="s">
        <v>69</v>
      </c>
      <c r="BD2" s="4" t="s">
        <v>70</v>
      </c>
      <c r="BE2" s="4" t="s">
        <v>71</v>
      </c>
      <c r="BF2" s="4" t="s">
        <v>72</v>
      </c>
      <c r="BG2" s="4" t="s">
        <v>73</v>
      </c>
      <c r="BH2" s="4" t="s">
        <v>74</v>
      </c>
      <c r="BI2" s="4" t="s">
        <v>75</v>
      </c>
      <c r="BJ2" s="4" t="s">
        <v>76</v>
      </c>
      <c r="BK2" s="4" t="s">
        <v>77</v>
      </c>
      <c r="BL2" s="4" t="s">
        <v>78</v>
      </c>
      <c r="BM2" s="4" t="s">
        <v>79</v>
      </c>
      <c r="BN2" s="4" t="s">
        <v>80</v>
      </c>
      <c r="BO2" s="4" t="s">
        <v>81</v>
      </c>
      <c r="BP2" s="4" t="s">
        <v>82</v>
      </c>
      <c r="BQ2" s="4" t="s">
        <v>83</v>
      </c>
      <c r="BR2" s="4" t="s">
        <v>84</v>
      </c>
      <c r="BS2" s="4" t="s">
        <v>85</v>
      </c>
      <c r="BT2" s="4" t="s">
        <v>86</v>
      </c>
      <c r="BU2" s="4" t="s">
        <v>87</v>
      </c>
      <c r="BV2" s="4" t="s">
        <v>88</v>
      </c>
      <c r="BW2" s="4" t="s">
        <v>89</v>
      </c>
      <c r="BX2" s="4" t="s">
        <v>90</v>
      </c>
      <c r="BY2" s="4" t="s">
        <v>91</v>
      </c>
      <c r="BZ2" s="4" t="s">
        <v>92</v>
      </c>
      <c r="CA2" s="4" t="s">
        <v>93</v>
      </c>
      <c r="CB2" s="4" t="s">
        <v>94</v>
      </c>
      <c r="CC2" s="4" t="s">
        <v>95</v>
      </c>
      <c r="CD2" s="4" t="s">
        <v>97</v>
      </c>
      <c r="CE2" s="4" t="s">
        <v>98</v>
      </c>
      <c r="CF2" s="4" t="s">
        <v>99</v>
      </c>
      <c r="CG2" s="4" t="s">
        <v>100</v>
      </c>
      <c r="CH2" s="4" t="s">
        <v>101</v>
      </c>
      <c r="CI2" s="4" t="s">
        <v>102</v>
      </c>
      <c r="CJ2" s="4" t="s">
        <v>103</v>
      </c>
      <c r="CK2" s="4" t="s">
        <v>104</v>
      </c>
      <c r="CL2" s="4" t="s">
        <v>105</v>
      </c>
      <c r="CM2" s="4" t="s">
        <v>106</v>
      </c>
      <c r="CN2" s="4" t="s">
        <v>107</v>
      </c>
      <c r="CO2" s="4" t="s">
        <v>108</v>
      </c>
      <c r="CP2" s="4" t="s">
        <v>109</v>
      </c>
      <c r="CQ2" s="4" t="s">
        <v>110</v>
      </c>
      <c r="CR2" s="4" t="s">
        <v>112</v>
      </c>
      <c r="CS2" s="4" t="s">
        <v>113</v>
      </c>
      <c r="CT2" s="4" t="s">
        <v>114</v>
      </c>
      <c r="CU2" s="4" t="s">
        <v>116</v>
      </c>
      <c r="CV2" s="4" t="s">
        <v>117</v>
      </c>
      <c r="CW2" s="4" t="s">
        <v>118</v>
      </c>
      <c r="CX2" s="4" t="s">
        <v>119</v>
      </c>
      <c r="CY2" s="4" t="s">
        <v>121</v>
      </c>
      <c r="CZ2" s="4" t="s">
        <v>123</v>
      </c>
      <c r="DA2" s="4" t="s">
        <v>124</v>
      </c>
      <c r="DB2" s="10" t="s">
        <v>125</v>
      </c>
      <c r="DC2" s="7" t="s">
        <v>44</v>
      </c>
    </row>
    <row r="3" spans="1:107" ht="15" customHeight="1" x14ac:dyDescent="0.15">
      <c r="A3" s="12" t="s">
        <v>132</v>
      </c>
      <c r="B3" s="12" t="s">
        <v>132</v>
      </c>
      <c r="C3" s="12" t="s">
        <v>132</v>
      </c>
      <c r="D3" s="12" t="s">
        <v>132</v>
      </c>
      <c r="E3" s="12" t="s">
        <v>132</v>
      </c>
      <c r="F3" s="12" t="s">
        <v>132</v>
      </c>
      <c r="G3" s="12" t="s">
        <v>132</v>
      </c>
      <c r="H3" s="12" t="s">
        <v>132</v>
      </c>
      <c r="I3" s="12"/>
      <c r="J3" s="12" t="s">
        <v>132</v>
      </c>
      <c r="K3" s="12" t="s">
        <v>132</v>
      </c>
      <c r="L3" s="12">
        <f t="shared" ref="L3:DB3" si="0">SUM(L5:L118)</f>
        <v>305</v>
      </c>
      <c r="M3" s="12">
        <f t="shared" si="0"/>
        <v>10200</v>
      </c>
      <c r="N3" s="12">
        <f t="shared" si="0"/>
        <v>2024</v>
      </c>
      <c r="O3" s="12">
        <f t="shared" si="0"/>
        <v>5</v>
      </c>
      <c r="P3" s="12">
        <f t="shared" si="0"/>
        <v>154</v>
      </c>
      <c r="Q3" s="12">
        <f t="shared" si="0"/>
        <v>1</v>
      </c>
      <c r="R3" s="12">
        <f t="shared" si="0"/>
        <v>0</v>
      </c>
      <c r="S3" s="12">
        <f t="shared" si="0"/>
        <v>0</v>
      </c>
      <c r="T3" s="12">
        <f t="shared" si="0"/>
        <v>92</v>
      </c>
      <c r="U3" s="12">
        <f t="shared" si="0"/>
        <v>0</v>
      </c>
      <c r="V3" s="12">
        <f t="shared" si="0"/>
        <v>0</v>
      </c>
      <c r="W3" s="12">
        <f t="shared" si="0"/>
        <v>4</v>
      </c>
      <c r="X3" s="12">
        <f t="shared" si="0"/>
        <v>0</v>
      </c>
      <c r="Y3" s="12">
        <f t="shared" si="0"/>
        <v>79</v>
      </c>
      <c r="Z3" s="12">
        <f t="shared" si="0"/>
        <v>300</v>
      </c>
      <c r="AA3" s="12">
        <f t="shared" si="0"/>
        <v>0</v>
      </c>
      <c r="AB3" s="12">
        <f t="shared" si="0"/>
        <v>1</v>
      </c>
      <c r="AC3" s="12">
        <f t="shared" si="0"/>
        <v>125</v>
      </c>
      <c r="AD3" s="12">
        <f t="shared" si="0"/>
        <v>78</v>
      </c>
      <c r="AE3" s="12">
        <f t="shared" si="0"/>
        <v>9</v>
      </c>
      <c r="AF3" s="12">
        <f t="shared" si="0"/>
        <v>3191</v>
      </c>
      <c r="AG3" s="12">
        <f t="shared" si="0"/>
        <v>0</v>
      </c>
      <c r="AH3" s="12">
        <f t="shared" si="0"/>
        <v>3910</v>
      </c>
      <c r="AI3" s="12">
        <f t="shared" si="0"/>
        <v>365</v>
      </c>
      <c r="AJ3" s="12">
        <f t="shared" si="0"/>
        <v>3978</v>
      </c>
      <c r="AK3" s="12">
        <f t="shared" si="0"/>
        <v>0</v>
      </c>
      <c r="AL3" s="12">
        <f t="shared" si="0"/>
        <v>4</v>
      </c>
      <c r="AM3" s="12">
        <f t="shared" si="0"/>
        <v>8105</v>
      </c>
      <c r="AN3" s="12">
        <f t="shared" si="0"/>
        <v>442</v>
      </c>
      <c r="AO3" s="12">
        <f t="shared" si="0"/>
        <v>5249</v>
      </c>
      <c r="AP3" s="12">
        <f t="shared" si="0"/>
        <v>2061</v>
      </c>
      <c r="AQ3" s="12">
        <f t="shared" si="0"/>
        <v>28</v>
      </c>
      <c r="AR3" s="12">
        <f t="shared" si="0"/>
        <v>44</v>
      </c>
      <c r="AS3" s="12">
        <f t="shared" si="0"/>
        <v>0</v>
      </c>
      <c r="AT3" s="12">
        <f t="shared" si="0"/>
        <v>1</v>
      </c>
      <c r="AU3" s="12">
        <f t="shared" si="0"/>
        <v>0</v>
      </c>
      <c r="AV3" s="12">
        <f t="shared" si="0"/>
        <v>104</v>
      </c>
      <c r="AW3" s="12">
        <f t="shared" si="0"/>
        <v>3918</v>
      </c>
      <c r="AX3" s="12">
        <f t="shared" si="0"/>
        <v>2319</v>
      </c>
      <c r="AY3" s="12">
        <f t="shared" si="0"/>
        <v>310</v>
      </c>
      <c r="AZ3" s="12">
        <f t="shared" si="0"/>
        <v>2949</v>
      </c>
      <c r="BA3" s="12">
        <f t="shared" si="0"/>
        <v>1021</v>
      </c>
      <c r="BB3" s="12">
        <f t="shared" si="0"/>
        <v>136</v>
      </c>
      <c r="BC3" s="12">
        <f t="shared" si="0"/>
        <v>1917</v>
      </c>
      <c r="BD3" s="12">
        <f t="shared" si="0"/>
        <v>264</v>
      </c>
      <c r="BE3" s="12">
        <f t="shared" si="0"/>
        <v>107</v>
      </c>
      <c r="BF3" s="12">
        <f t="shared" si="0"/>
        <v>67</v>
      </c>
      <c r="BG3" s="12">
        <f t="shared" si="0"/>
        <v>107</v>
      </c>
      <c r="BH3" s="12">
        <f t="shared" si="0"/>
        <v>146</v>
      </c>
      <c r="BI3" s="12">
        <f t="shared" si="0"/>
        <v>144</v>
      </c>
      <c r="BJ3" s="12">
        <f t="shared" si="0"/>
        <v>87</v>
      </c>
      <c r="BK3" s="12">
        <f t="shared" si="0"/>
        <v>0</v>
      </c>
      <c r="BL3" s="12">
        <f t="shared" si="0"/>
        <v>1538</v>
      </c>
      <c r="BM3" s="12">
        <f t="shared" si="0"/>
        <v>13</v>
      </c>
      <c r="BN3" s="12">
        <f t="shared" si="0"/>
        <v>12</v>
      </c>
      <c r="BO3" s="12">
        <f t="shared" si="0"/>
        <v>0</v>
      </c>
      <c r="BP3" s="12">
        <f t="shared" si="0"/>
        <v>199</v>
      </c>
      <c r="BQ3" s="12">
        <f t="shared" si="0"/>
        <v>1673</v>
      </c>
      <c r="BR3" s="12">
        <f t="shared" si="0"/>
        <v>1202</v>
      </c>
      <c r="BS3" s="12">
        <f t="shared" si="0"/>
        <v>4715</v>
      </c>
      <c r="BT3" s="12">
        <f t="shared" si="0"/>
        <v>1126</v>
      </c>
      <c r="BU3" s="12">
        <f t="shared" si="0"/>
        <v>965</v>
      </c>
      <c r="BV3" s="12">
        <f t="shared" si="0"/>
        <v>1</v>
      </c>
      <c r="BW3" s="12">
        <f t="shared" si="0"/>
        <v>8149</v>
      </c>
      <c r="BX3" s="12">
        <f>SUM(BX5:BX127)</f>
        <v>833</v>
      </c>
      <c r="BY3" s="12">
        <f>SUM(BY5:BY127)</f>
        <v>350</v>
      </c>
      <c r="BZ3" s="12">
        <f t="shared" si="0"/>
        <v>517</v>
      </c>
      <c r="CA3" s="12">
        <f t="shared" si="0"/>
        <v>36</v>
      </c>
      <c r="CB3" s="12">
        <f t="shared" si="0"/>
        <v>368</v>
      </c>
      <c r="CC3" s="12">
        <f t="shared" si="0"/>
        <v>27</v>
      </c>
      <c r="CD3" s="12">
        <f t="shared" si="0"/>
        <v>11</v>
      </c>
      <c r="CE3" s="12">
        <f t="shared" si="0"/>
        <v>11</v>
      </c>
      <c r="CF3" s="12">
        <f t="shared" si="0"/>
        <v>1</v>
      </c>
      <c r="CG3" s="12">
        <f t="shared" si="0"/>
        <v>1</v>
      </c>
      <c r="CH3" s="12">
        <f t="shared" si="0"/>
        <v>11</v>
      </c>
      <c r="CI3" s="12">
        <f t="shared" si="0"/>
        <v>4</v>
      </c>
      <c r="CJ3" s="12">
        <f t="shared" si="0"/>
        <v>9</v>
      </c>
      <c r="CK3" s="12">
        <f t="shared" si="0"/>
        <v>1</v>
      </c>
      <c r="CL3" s="12">
        <f t="shared" si="0"/>
        <v>2</v>
      </c>
      <c r="CM3" s="12">
        <f t="shared" si="0"/>
        <v>235</v>
      </c>
      <c r="CN3" s="12">
        <f t="shared" si="0"/>
        <v>295</v>
      </c>
      <c r="CO3" s="12">
        <f t="shared" si="0"/>
        <v>377</v>
      </c>
      <c r="CP3" s="12">
        <f t="shared" si="0"/>
        <v>139</v>
      </c>
      <c r="CQ3" s="12">
        <f t="shared" si="0"/>
        <v>168</v>
      </c>
      <c r="CR3" s="12">
        <f t="shared" si="0"/>
        <v>41</v>
      </c>
      <c r="CS3" s="12">
        <f t="shared" si="0"/>
        <v>9</v>
      </c>
      <c r="CT3" s="12">
        <f t="shared" si="0"/>
        <v>960</v>
      </c>
      <c r="CU3" s="12">
        <f t="shared" si="0"/>
        <v>58</v>
      </c>
      <c r="CV3" s="12">
        <f t="shared" si="0"/>
        <v>26</v>
      </c>
      <c r="CW3" s="12">
        <f t="shared" si="0"/>
        <v>67</v>
      </c>
      <c r="CX3" s="12">
        <f t="shared" si="0"/>
        <v>47</v>
      </c>
      <c r="CY3" s="12">
        <f t="shared" si="0"/>
        <v>455</v>
      </c>
      <c r="CZ3" s="12">
        <f t="shared" si="0"/>
        <v>144</v>
      </c>
      <c r="DA3" s="12">
        <f t="shared" si="0"/>
        <v>5</v>
      </c>
      <c r="DB3" s="12">
        <f t="shared" si="0"/>
        <v>74692</v>
      </c>
    </row>
    <row r="4" spans="1:107" ht="15" customHeight="1" x14ac:dyDescent="0.1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>
        <f>COUNT(BX5:BX127)</f>
        <v>23</v>
      </c>
      <c r="BY4" s="12">
        <f>COUNT(BY5:BY127)</f>
        <v>2</v>
      </c>
      <c r="BZ4" s="12">
        <f>COUNT(BZ5:BZ127)</f>
        <v>3</v>
      </c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</row>
    <row r="5" spans="1:107" ht="15" customHeight="1" x14ac:dyDescent="0.15">
      <c r="A5" s="9" t="s">
        <v>385</v>
      </c>
      <c r="B5" s="9" t="s">
        <v>386</v>
      </c>
      <c r="C5" s="9">
        <v>30.022449000000002</v>
      </c>
      <c r="D5" s="9">
        <v>-81.322593999999995</v>
      </c>
      <c r="E5" s="9">
        <v>30.160125000000001</v>
      </c>
      <c r="F5" s="9">
        <v>-81.355709000000004</v>
      </c>
      <c r="G5" s="9" t="s">
        <v>388</v>
      </c>
      <c r="H5" s="9" t="s">
        <v>389</v>
      </c>
      <c r="I5" s="9"/>
      <c r="J5" s="8">
        <v>41311</v>
      </c>
      <c r="K5" s="18">
        <v>0.4465277777777778</v>
      </c>
      <c r="Z5" s="9"/>
      <c r="AC5" s="11">
        <v>15</v>
      </c>
      <c r="AD5" s="9"/>
      <c r="AF5" s="11">
        <v>618</v>
      </c>
      <c r="AH5" s="9">
        <v>53</v>
      </c>
      <c r="AI5" s="9"/>
      <c r="AJ5" s="9">
        <v>501</v>
      </c>
      <c r="AM5" s="9">
        <v>74</v>
      </c>
      <c r="AN5" s="11">
        <v>3</v>
      </c>
      <c r="AO5" s="9">
        <v>31</v>
      </c>
      <c r="AP5" s="11">
        <v>5</v>
      </c>
      <c r="AR5" s="11">
        <v>2</v>
      </c>
      <c r="AW5" s="9">
        <v>24</v>
      </c>
      <c r="AX5" s="11">
        <v>255</v>
      </c>
      <c r="AZ5" s="11">
        <v>218</v>
      </c>
      <c r="BA5" s="9"/>
      <c r="BG5" s="9"/>
      <c r="BL5" s="9">
        <v>17</v>
      </c>
      <c r="BM5" s="9"/>
      <c r="BN5" s="9"/>
      <c r="BQ5" s="9">
        <v>1</v>
      </c>
      <c r="BS5" s="11">
        <v>33</v>
      </c>
      <c r="BW5" s="9"/>
      <c r="BX5" s="9"/>
      <c r="CB5" s="9">
        <v>1</v>
      </c>
      <c r="CE5" s="9"/>
      <c r="CM5" s="9"/>
      <c r="CN5" s="9"/>
      <c r="CO5" s="9"/>
      <c r="CP5" s="9"/>
      <c r="CQ5" s="9"/>
      <c r="CW5" s="9"/>
      <c r="DB5" s="19">
        <v>1402</v>
      </c>
      <c r="DC5" s="11" t="s">
        <v>422</v>
      </c>
    </row>
    <row r="6" spans="1:107" ht="28.5" customHeight="1" x14ac:dyDescent="0.15">
      <c r="A6" s="9" t="s">
        <v>423</v>
      </c>
      <c r="B6" s="9" t="s">
        <v>386</v>
      </c>
      <c r="C6" s="9">
        <v>29.504000000000001</v>
      </c>
      <c r="D6" s="9">
        <v>81.155199999999994</v>
      </c>
      <c r="E6" s="9">
        <v>29.513000000000002</v>
      </c>
      <c r="F6" s="9">
        <v>81.155600000000007</v>
      </c>
      <c r="G6" s="9" t="s">
        <v>425</v>
      </c>
      <c r="H6" s="9" t="s">
        <v>426</v>
      </c>
      <c r="I6" s="9"/>
      <c r="J6" s="8">
        <v>41306</v>
      </c>
      <c r="K6" s="18">
        <v>0.4236111111111111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>
        <v>135</v>
      </c>
      <c r="AG6" s="9"/>
      <c r="AH6" s="9">
        <v>142</v>
      </c>
      <c r="AI6" s="9"/>
      <c r="AJ6" s="9">
        <v>9</v>
      </c>
      <c r="AK6" s="9"/>
      <c r="AL6" s="9"/>
      <c r="AM6" s="9">
        <v>66</v>
      </c>
      <c r="AO6" s="9">
        <v>44</v>
      </c>
      <c r="AP6" s="9">
        <v>51</v>
      </c>
      <c r="AQ6" s="9"/>
      <c r="AR6" s="9"/>
      <c r="AS6" s="9"/>
      <c r="AT6" s="9"/>
      <c r="AU6" s="9"/>
      <c r="AV6" s="9"/>
      <c r="AW6" s="9">
        <v>40</v>
      </c>
      <c r="AX6" s="9">
        <v>86</v>
      </c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>
        <v>10</v>
      </c>
      <c r="BR6" s="9"/>
      <c r="BS6" s="9">
        <v>11</v>
      </c>
      <c r="BT6" s="9"/>
      <c r="BU6" s="9"/>
      <c r="BV6" s="9"/>
      <c r="BW6" s="9">
        <v>1</v>
      </c>
      <c r="BX6" s="9"/>
      <c r="BY6" s="9"/>
      <c r="BZ6" s="9"/>
      <c r="CA6" s="9"/>
      <c r="CB6" s="9">
        <v>4</v>
      </c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>
        <v>43</v>
      </c>
      <c r="DA6" s="11" t="s">
        <v>431</v>
      </c>
      <c r="DB6" s="19">
        <f t="shared" ref="DB6:DB20" si="1">SUM(L6:DA6)</f>
        <v>642</v>
      </c>
    </row>
    <row r="7" spans="1:107" ht="42.75" customHeight="1" x14ac:dyDescent="0.15">
      <c r="A7" s="9" t="s">
        <v>432</v>
      </c>
      <c r="B7" s="9" t="s">
        <v>433</v>
      </c>
      <c r="C7" s="9">
        <v>30.521944399999999</v>
      </c>
      <c r="D7" s="9">
        <v>-81.411666699999998</v>
      </c>
      <c r="E7" s="9">
        <v>30.5313889</v>
      </c>
      <c r="F7" s="9">
        <v>-81.438055599999998</v>
      </c>
      <c r="G7" s="9" t="s">
        <v>434</v>
      </c>
      <c r="H7" s="9" t="s">
        <v>435</v>
      </c>
      <c r="I7" s="9"/>
      <c r="J7" s="8">
        <v>41306</v>
      </c>
      <c r="K7" s="18">
        <v>0.3125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>
        <v>22</v>
      </c>
      <c r="AA7" s="9"/>
      <c r="AB7" s="9"/>
      <c r="AC7" s="9"/>
      <c r="AD7" s="11"/>
      <c r="AE7" s="11"/>
      <c r="AF7" s="9">
        <v>13</v>
      </c>
      <c r="AG7" s="9"/>
      <c r="AH7" s="9">
        <v>29</v>
      </c>
      <c r="AI7" s="9"/>
      <c r="AJ7" s="9">
        <v>8</v>
      </c>
      <c r="AK7" s="9"/>
      <c r="AL7" s="9"/>
      <c r="AM7" s="9">
        <v>28</v>
      </c>
      <c r="AN7" s="9">
        <v>36</v>
      </c>
      <c r="AO7" s="9">
        <v>13</v>
      </c>
      <c r="AP7" s="9"/>
      <c r="AQ7" s="9"/>
      <c r="AR7" s="9">
        <v>3</v>
      </c>
      <c r="AS7" s="9"/>
      <c r="AT7" s="9"/>
      <c r="AU7" s="9"/>
      <c r="AV7" s="9"/>
      <c r="AW7" s="9">
        <v>1</v>
      </c>
      <c r="AX7" s="9">
        <v>5</v>
      </c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>
        <v>4</v>
      </c>
      <c r="BM7" s="9"/>
      <c r="BN7" s="9"/>
      <c r="BO7" s="9"/>
      <c r="BP7" s="9"/>
      <c r="BQ7" s="9"/>
      <c r="BR7" s="9"/>
      <c r="BS7" s="9">
        <v>8</v>
      </c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>
        <v>1</v>
      </c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B7" s="19">
        <f t="shared" si="1"/>
        <v>171</v>
      </c>
    </row>
    <row r="8" spans="1:107" ht="60" customHeight="1" x14ac:dyDescent="0.15">
      <c r="A8" s="9" t="s">
        <v>436</v>
      </c>
      <c r="B8" s="9" t="s">
        <v>437</v>
      </c>
      <c r="C8" s="9" t="s">
        <v>438</v>
      </c>
      <c r="D8" s="9">
        <v>-81.267768000000004</v>
      </c>
      <c r="E8" s="9">
        <v>29.899432000000001</v>
      </c>
      <c r="F8" s="9">
        <v>-81.289766999999998</v>
      </c>
      <c r="G8" s="9" t="s">
        <v>136</v>
      </c>
      <c r="H8" s="9" t="s">
        <v>137</v>
      </c>
      <c r="J8" s="8">
        <v>41306</v>
      </c>
      <c r="K8" s="18">
        <v>0.375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9"/>
      <c r="AD8" s="11"/>
      <c r="AE8" s="11"/>
      <c r="AF8" s="11">
        <v>36</v>
      </c>
      <c r="AG8" s="11"/>
      <c r="AH8" s="9">
        <v>22</v>
      </c>
      <c r="AI8" s="11"/>
      <c r="AJ8" s="9"/>
      <c r="AK8" s="11"/>
      <c r="AL8" s="11"/>
      <c r="AM8" s="9">
        <v>7</v>
      </c>
      <c r="AN8" s="11"/>
      <c r="AO8" s="9">
        <v>25</v>
      </c>
      <c r="AP8" s="11">
        <v>8</v>
      </c>
      <c r="AQ8" s="11"/>
      <c r="AR8" s="11">
        <v>2</v>
      </c>
      <c r="AS8" s="11"/>
      <c r="AT8" s="11">
        <v>1</v>
      </c>
      <c r="AU8" s="11"/>
      <c r="AV8" s="11">
        <v>1</v>
      </c>
      <c r="AW8" s="11">
        <v>30</v>
      </c>
      <c r="AX8" s="9">
        <v>84</v>
      </c>
      <c r="AY8" s="11"/>
      <c r="AZ8" s="11">
        <v>80</v>
      </c>
      <c r="BA8" s="11">
        <v>56</v>
      </c>
      <c r="BB8" s="11">
        <v>1</v>
      </c>
      <c r="BC8" s="11">
        <v>450</v>
      </c>
      <c r="BD8" s="11"/>
      <c r="BE8" s="11"/>
      <c r="BF8" s="11"/>
      <c r="BG8" s="11"/>
      <c r="BH8" s="11"/>
      <c r="BI8" s="11"/>
      <c r="BJ8" s="11"/>
      <c r="BK8" s="11"/>
      <c r="BL8" s="9">
        <v>23</v>
      </c>
      <c r="BM8" s="11"/>
      <c r="BN8" s="11"/>
      <c r="BO8" s="11"/>
      <c r="BP8" s="11"/>
      <c r="BQ8" s="9">
        <v>25</v>
      </c>
      <c r="BR8" s="11">
        <v>2</v>
      </c>
      <c r="BS8" s="9">
        <v>91</v>
      </c>
      <c r="BT8" s="11">
        <v>33</v>
      </c>
      <c r="BU8" s="11"/>
      <c r="BV8" s="11"/>
      <c r="BW8" s="11">
        <v>275</v>
      </c>
      <c r="BX8" s="11">
        <v>30</v>
      </c>
      <c r="BY8" s="11"/>
      <c r="BZ8" s="11"/>
      <c r="CA8" s="11"/>
      <c r="CB8" s="9">
        <v>3</v>
      </c>
      <c r="CC8" s="11">
        <v>1</v>
      </c>
      <c r="CD8" s="11"/>
      <c r="CE8" s="11">
        <v>1</v>
      </c>
      <c r="CF8" s="11"/>
      <c r="CG8" s="11"/>
      <c r="CH8" s="11"/>
      <c r="CI8" s="11"/>
      <c r="CJ8" s="9"/>
      <c r="CK8" s="11"/>
      <c r="CL8" s="11"/>
      <c r="CM8" s="11">
        <v>2</v>
      </c>
      <c r="CN8" s="9"/>
      <c r="CO8" s="9"/>
      <c r="CP8" s="11"/>
      <c r="CQ8" s="11"/>
      <c r="CR8" s="11"/>
      <c r="CS8" s="11"/>
      <c r="CT8" s="11"/>
      <c r="CU8" s="11"/>
      <c r="CV8" s="11"/>
      <c r="CW8" s="11">
        <v>1</v>
      </c>
      <c r="CX8" s="9"/>
      <c r="CY8" s="11"/>
      <c r="CZ8" s="11">
        <v>2</v>
      </c>
      <c r="DA8" s="9" t="s">
        <v>439</v>
      </c>
      <c r="DB8" s="19">
        <f t="shared" si="1"/>
        <v>1292</v>
      </c>
      <c r="DC8" s="9" t="s">
        <v>440</v>
      </c>
    </row>
    <row r="9" spans="1:107" ht="28" x14ac:dyDescent="0.15">
      <c r="A9" s="11" t="s">
        <v>139</v>
      </c>
      <c r="B9" s="11" t="s">
        <v>441</v>
      </c>
      <c r="C9" s="11">
        <v>28.213999999999999</v>
      </c>
      <c r="D9" s="11">
        <v>-82.846999999999994</v>
      </c>
      <c r="E9" s="11">
        <v>28.187999999999999</v>
      </c>
      <c r="F9" s="11">
        <v>-82.850999999999999</v>
      </c>
      <c r="G9" s="11" t="s">
        <v>143</v>
      </c>
      <c r="H9" s="11" t="s">
        <v>144</v>
      </c>
      <c r="J9" s="20">
        <v>41313</v>
      </c>
      <c r="K9" s="21">
        <v>0.41666666666666669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>
        <v>6</v>
      </c>
      <c r="AA9" s="11"/>
      <c r="AB9" s="11"/>
      <c r="AC9" s="11"/>
      <c r="AD9" s="11"/>
      <c r="AE9" s="11"/>
      <c r="AF9" s="11"/>
      <c r="AG9" s="11"/>
      <c r="AH9" s="11">
        <v>36</v>
      </c>
      <c r="AI9" s="11"/>
      <c r="AJ9" s="11">
        <v>9</v>
      </c>
      <c r="AK9" s="11"/>
      <c r="AL9" s="11"/>
      <c r="AM9" s="11">
        <v>12</v>
      </c>
      <c r="AN9" s="11"/>
      <c r="AO9" s="11">
        <v>13</v>
      </c>
      <c r="AP9" s="11">
        <v>3</v>
      </c>
      <c r="AQ9" s="11"/>
      <c r="AR9" s="11"/>
      <c r="AS9" s="11"/>
      <c r="AT9" s="11"/>
      <c r="AU9" s="11"/>
      <c r="AV9" s="11"/>
      <c r="AW9" s="11">
        <v>126</v>
      </c>
      <c r="AX9" s="11">
        <v>12</v>
      </c>
      <c r="AY9" s="11"/>
      <c r="AZ9" s="11"/>
      <c r="BA9" s="11">
        <v>32</v>
      </c>
      <c r="BB9" s="11">
        <v>3</v>
      </c>
      <c r="BC9" s="11">
        <v>72</v>
      </c>
      <c r="BD9" s="11">
        <v>8</v>
      </c>
      <c r="BE9" s="11">
        <v>4</v>
      </c>
      <c r="BF9" s="11"/>
      <c r="BG9" s="11"/>
      <c r="BH9" s="11"/>
      <c r="BI9" s="11"/>
      <c r="BJ9" s="11"/>
      <c r="BK9" s="11"/>
      <c r="BL9" s="11">
        <v>63</v>
      </c>
      <c r="BM9" s="11"/>
      <c r="BN9" s="11"/>
      <c r="BO9" s="11"/>
      <c r="BP9" s="11"/>
      <c r="BQ9" s="11">
        <v>61</v>
      </c>
      <c r="BR9" s="11">
        <v>15</v>
      </c>
      <c r="BS9" s="11">
        <v>173</v>
      </c>
      <c r="BT9" s="11">
        <v>4</v>
      </c>
      <c r="BU9" s="11">
        <v>30</v>
      </c>
      <c r="BV9" s="11"/>
      <c r="BW9" s="11">
        <v>166</v>
      </c>
      <c r="BX9" s="11">
        <v>3</v>
      </c>
      <c r="BY9" s="11"/>
      <c r="BZ9" s="11"/>
      <c r="CA9" s="11"/>
      <c r="CB9" s="11">
        <v>3</v>
      </c>
      <c r="CC9" s="11"/>
      <c r="CD9" s="11"/>
      <c r="CE9" s="11"/>
      <c r="CF9" s="11"/>
      <c r="CG9" s="11"/>
      <c r="CH9" s="11"/>
      <c r="CI9" s="11"/>
      <c r="CJ9" s="11">
        <v>1</v>
      </c>
      <c r="CK9" s="11"/>
      <c r="CL9" s="11"/>
      <c r="CM9" s="11">
        <v>1</v>
      </c>
      <c r="CN9" s="11">
        <v>10</v>
      </c>
      <c r="CO9" s="11">
        <v>9</v>
      </c>
      <c r="CP9" s="11">
        <v>1</v>
      </c>
      <c r="CQ9" s="11"/>
      <c r="CR9" s="11"/>
      <c r="CS9" s="11"/>
      <c r="CT9" s="11">
        <v>19</v>
      </c>
      <c r="CU9" s="11"/>
      <c r="CV9" s="11"/>
      <c r="CW9" s="11"/>
      <c r="CX9" s="11"/>
      <c r="CY9" s="11">
        <v>6</v>
      </c>
      <c r="CZ9" s="11"/>
      <c r="DB9" s="19">
        <f t="shared" si="1"/>
        <v>901</v>
      </c>
    </row>
    <row r="10" spans="1:107" ht="28" x14ac:dyDescent="0.15">
      <c r="A10" s="9" t="s">
        <v>149</v>
      </c>
      <c r="B10" s="9" t="s">
        <v>442</v>
      </c>
      <c r="C10" s="9">
        <v>28.156400000000001</v>
      </c>
      <c r="D10" s="9">
        <v>-82.8369</v>
      </c>
      <c r="E10" s="9">
        <v>28.187999999999999</v>
      </c>
      <c r="F10" s="9">
        <v>-82.850999999999999</v>
      </c>
      <c r="G10" s="9" t="s">
        <v>151</v>
      </c>
      <c r="H10" s="9" t="s">
        <v>152</v>
      </c>
      <c r="I10" s="9"/>
      <c r="J10" s="8">
        <v>41313</v>
      </c>
      <c r="K10" s="18">
        <v>0.3888888888888889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>
        <v>2</v>
      </c>
      <c r="AI10" s="11"/>
      <c r="AJ10" s="11">
        <v>100</v>
      </c>
      <c r="AK10" s="11"/>
      <c r="AL10" s="11"/>
      <c r="AM10" s="9">
        <v>1</v>
      </c>
      <c r="AN10" s="11"/>
      <c r="AO10" s="11">
        <v>29</v>
      </c>
      <c r="AP10" s="11">
        <v>7</v>
      </c>
      <c r="AQ10" s="11"/>
      <c r="AR10" s="11"/>
      <c r="AS10" s="11"/>
      <c r="AT10" s="11"/>
      <c r="AU10" s="11"/>
      <c r="AV10" s="11"/>
      <c r="AW10" s="11">
        <v>8</v>
      </c>
      <c r="AX10" s="11">
        <v>12</v>
      </c>
      <c r="AY10" s="11"/>
      <c r="AZ10" s="11"/>
      <c r="BA10" s="11">
        <v>38</v>
      </c>
      <c r="BB10" s="11">
        <v>14</v>
      </c>
      <c r="BC10" s="11">
        <v>89</v>
      </c>
      <c r="BD10" s="11">
        <v>46</v>
      </c>
      <c r="BE10" s="11">
        <v>30</v>
      </c>
      <c r="BF10" s="11"/>
      <c r="BG10" s="11"/>
      <c r="BH10" s="11"/>
      <c r="BI10" s="11"/>
      <c r="BJ10" s="11"/>
      <c r="BK10" s="11"/>
      <c r="BL10" s="11">
        <v>7</v>
      </c>
      <c r="BM10" s="11"/>
      <c r="BN10" s="11"/>
      <c r="BO10" s="11"/>
      <c r="BP10" s="11"/>
      <c r="BQ10" s="11">
        <v>26</v>
      </c>
      <c r="BR10" s="11">
        <v>2</v>
      </c>
      <c r="BS10" s="11">
        <v>79</v>
      </c>
      <c r="BT10" s="11">
        <v>41</v>
      </c>
      <c r="BU10" s="11">
        <v>17</v>
      </c>
      <c r="BV10" s="11"/>
      <c r="BW10" s="11">
        <v>145</v>
      </c>
      <c r="BX10" s="11"/>
      <c r="BY10" s="11"/>
      <c r="BZ10" s="11">
        <v>8</v>
      </c>
      <c r="CA10" s="11"/>
      <c r="CB10" s="11">
        <v>2</v>
      </c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B10" s="19">
        <f t="shared" si="1"/>
        <v>703</v>
      </c>
      <c r="DC10" s="9"/>
    </row>
    <row r="11" spans="1:107" ht="28.5" customHeight="1" x14ac:dyDescent="0.15">
      <c r="A11" s="9" t="s">
        <v>443</v>
      </c>
      <c r="B11" s="9" t="s">
        <v>444</v>
      </c>
      <c r="C11" s="9">
        <v>27.535679999999999</v>
      </c>
      <c r="D11" s="9">
        <v>-82.743650000000002</v>
      </c>
      <c r="E11" s="9">
        <v>27.525500000000001</v>
      </c>
      <c r="F11" s="9">
        <v>-82.713170000000005</v>
      </c>
      <c r="G11" s="9" t="s">
        <v>129</v>
      </c>
      <c r="H11" s="9" t="s">
        <v>130</v>
      </c>
      <c r="J11" s="8">
        <v>41308</v>
      </c>
      <c r="K11" s="18">
        <v>0.33333333333333331</v>
      </c>
      <c r="L11" s="11"/>
      <c r="M11" s="11"/>
      <c r="N11" s="11"/>
      <c r="O11" s="11"/>
      <c r="P11" s="11"/>
      <c r="Q11" s="11"/>
      <c r="R11" s="11"/>
      <c r="S11" s="11"/>
      <c r="U11" s="11"/>
      <c r="V11" s="11"/>
      <c r="W11" s="11"/>
      <c r="X11" s="11"/>
      <c r="Y11" s="11"/>
      <c r="Z11" s="9"/>
      <c r="AA11" s="11"/>
      <c r="AB11" s="11"/>
      <c r="AC11" s="9">
        <v>2</v>
      </c>
      <c r="AD11" s="11"/>
      <c r="AE11" s="11"/>
      <c r="AF11" s="9"/>
      <c r="AG11" s="11"/>
      <c r="AH11" s="9">
        <v>316</v>
      </c>
      <c r="AI11" s="11"/>
      <c r="AJ11" s="9">
        <v>84</v>
      </c>
      <c r="AK11" s="11"/>
      <c r="AL11" s="11"/>
      <c r="AM11" s="9">
        <v>107</v>
      </c>
      <c r="AN11" s="11"/>
      <c r="AO11" s="9">
        <v>29</v>
      </c>
      <c r="AP11" s="11">
        <v>10</v>
      </c>
      <c r="AQ11" s="11"/>
      <c r="AR11" s="11"/>
      <c r="AS11" s="11"/>
      <c r="AT11" s="11"/>
      <c r="AU11" s="11"/>
      <c r="AV11" s="11"/>
      <c r="AW11" s="9">
        <v>25</v>
      </c>
      <c r="AX11" s="9">
        <v>1</v>
      </c>
      <c r="AY11" s="9">
        <v>5</v>
      </c>
      <c r="AZ11" s="11"/>
      <c r="BA11" s="9">
        <v>13</v>
      </c>
      <c r="BB11" s="9"/>
      <c r="BC11" s="9">
        <v>2</v>
      </c>
      <c r="BD11" s="9"/>
      <c r="BE11" s="9">
        <v>2</v>
      </c>
      <c r="BF11" s="9"/>
      <c r="BG11" s="9">
        <v>1</v>
      </c>
      <c r="BH11" s="9"/>
      <c r="BI11" s="9"/>
      <c r="BJ11" s="9"/>
      <c r="BK11" s="9"/>
      <c r="BL11" s="9">
        <v>7</v>
      </c>
      <c r="BM11" s="9"/>
      <c r="BN11" s="9"/>
      <c r="BO11" s="9"/>
      <c r="BP11" s="9"/>
      <c r="BQ11" s="9"/>
      <c r="BR11" s="9">
        <v>19</v>
      </c>
      <c r="BS11" s="9">
        <v>55</v>
      </c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11"/>
      <c r="CH11" s="11"/>
      <c r="CI11" s="11"/>
      <c r="CJ11" s="11"/>
      <c r="CK11" s="11"/>
      <c r="CL11" s="11"/>
      <c r="CM11" s="11"/>
      <c r="CN11" s="11">
        <v>2</v>
      </c>
      <c r="CO11" s="9"/>
      <c r="CP11" s="11"/>
      <c r="CQ11" s="11"/>
      <c r="CR11" s="11">
        <v>1</v>
      </c>
      <c r="CS11" s="11"/>
      <c r="CT11" s="11"/>
      <c r="CU11" s="11"/>
      <c r="CV11" s="11"/>
      <c r="CW11" s="9"/>
      <c r="CX11" s="11"/>
      <c r="CY11" s="9">
        <v>4</v>
      </c>
      <c r="CZ11" s="11"/>
      <c r="DA11" s="11" t="s">
        <v>445</v>
      </c>
      <c r="DB11" s="19">
        <f t="shared" si="1"/>
        <v>685</v>
      </c>
    </row>
    <row r="12" spans="1:107" ht="26.25" customHeight="1" x14ac:dyDescent="0.15">
      <c r="A12" s="9" t="s">
        <v>446</v>
      </c>
      <c r="B12" s="9" t="s">
        <v>442</v>
      </c>
      <c r="C12" s="9">
        <v>27.935972</v>
      </c>
      <c r="D12" s="9">
        <v>-82.839510000000004</v>
      </c>
      <c r="E12" s="9">
        <v>27.917922999999998</v>
      </c>
      <c r="F12" s="9">
        <v>-82.844466999999995</v>
      </c>
      <c r="G12" s="9" t="s">
        <v>447</v>
      </c>
      <c r="H12" s="9" t="s">
        <v>448</v>
      </c>
      <c r="I12" s="9"/>
      <c r="J12" s="8">
        <v>41307</v>
      </c>
      <c r="K12" s="18">
        <v>0.45833333333333331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>
        <v>8</v>
      </c>
      <c r="AI12" s="9"/>
      <c r="AJ12" s="9">
        <v>47</v>
      </c>
      <c r="AK12" s="9"/>
      <c r="AL12" s="9"/>
      <c r="AM12" s="9">
        <v>61</v>
      </c>
      <c r="AN12" s="9"/>
      <c r="AO12" s="9">
        <v>9</v>
      </c>
      <c r="AP12" s="9"/>
      <c r="AQ12" s="9"/>
      <c r="AR12" s="9"/>
      <c r="AS12" s="9"/>
      <c r="AT12" s="9"/>
      <c r="AU12" s="9"/>
      <c r="AV12" s="9"/>
      <c r="AW12" s="9">
        <v>1</v>
      </c>
      <c r="AX12" s="9">
        <v>3</v>
      </c>
      <c r="AY12" s="9"/>
      <c r="AZ12" s="9"/>
      <c r="BA12" s="9">
        <v>22</v>
      </c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>
        <v>10</v>
      </c>
      <c r="BM12" s="9"/>
      <c r="BN12" s="9"/>
      <c r="BO12" s="9"/>
      <c r="BP12" s="9"/>
      <c r="BQ12" s="9">
        <v>6</v>
      </c>
      <c r="BR12" s="9"/>
      <c r="BS12" s="9">
        <v>27</v>
      </c>
      <c r="BT12" s="9"/>
      <c r="BU12" s="9"/>
      <c r="BV12" s="9"/>
      <c r="BW12" s="9">
        <v>21</v>
      </c>
      <c r="BX12" s="9">
        <v>6</v>
      </c>
      <c r="BY12" s="9"/>
      <c r="BZ12" s="9"/>
      <c r="CA12" s="9"/>
      <c r="CB12" s="9">
        <v>1</v>
      </c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>
        <v>2</v>
      </c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 t="s">
        <v>449</v>
      </c>
      <c r="DB12" s="19">
        <f t="shared" si="1"/>
        <v>224</v>
      </c>
      <c r="DC12" s="9"/>
    </row>
    <row r="13" spans="1:107" ht="42.75" customHeight="1" x14ac:dyDescent="0.15">
      <c r="A13" s="9" t="s">
        <v>450</v>
      </c>
      <c r="B13" s="9" t="s">
        <v>451</v>
      </c>
      <c r="C13" s="9" t="s">
        <v>452</v>
      </c>
      <c r="D13" s="9" t="s">
        <v>453</v>
      </c>
      <c r="E13" s="9" t="s">
        <v>454</v>
      </c>
      <c r="F13" s="9" t="s">
        <v>455</v>
      </c>
      <c r="G13" s="9" t="s">
        <v>456</v>
      </c>
      <c r="H13" s="9" t="s">
        <v>457</v>
      </c>
      <c r="J13" s="8">
        <v>40940</v>
      </c>
      <c r="K13" s="16" t="s">
        <v>458</v>
      </c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>
        <v>18</v>
      </c>
      <c r="Z13" s="9">
        <v>3</v>
      </c>
      <c r="AA13" s="11"/>
      <c r="AB13" s="11"/>
      <c r="AC13" s="9"/>
      <c r="AD13" s="9"/>
      <c r="AE13" s="11">
        <v>3</v>
      </c>
      <c r="AF13" s="9"/>
      <c r="AG13" s="11"/>
      <c r="AH13" s="9">
        <v>2</v>
      </c>
      <c r="AI13" s="11"/>
      <c r="AJ13" s="9">
        <v>2</v>
      </c>
      <c r="AK13" s="11"/>
      <c r="AL13" s="11"/>
      <c r="AM13" s="9"/>
      <c r="AN13" s="11"/>
      <c r="AO13" s="9">
        <v>9</v>
      </c>
      <c r="AP13" s="9"/>
      <c r="AQ13" s="11"/>
      <c r="AR13" s="11"/>
      <c r="AS13" s="11"/>
      <c r="AT13" s="11"/>
      <c r="AU13" s="11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>
        <v>4</v>
      </c>
      <c r="BG13" s="9"/>
      <c r="BH13" s="11"/>
      <c r="BI13" s="9"/>
      <c r="BJ13" s="11"/>
      <c r="BK13" s="11"/>
      <c r="BL13" s="9"/>
      <c r="BM13" s="11"/>
      <c r="BN13" s="9"/>
      <c r="BO13" s="11"/>
      <c r="BP13" s="9"/>
      <c r="BQ13" s="9"/>
      <c r="BR13" s="9"/>
      <c r="BS13" s="9"/>
      <c r="BT13" s="9"/>
      <c r="BU13" s="9"/>
      <c r="BV13" s="9"/>
      <c r="BW13" s="9"/>
      <c r="BX13" s="9"/>
      <c r="BY13" s="11"/>
      <c r="BZ13" s="11"/>
      <c r="CA13" s="11"/>
      <c r="CB13" s="9"/>
      <c r="CC13" s="9"/>
      <c r="CD13" s="9"/>
      <c r="CE13" s="11"/>
      <c r="CF13" s="11"/>
      <c r="CG13" s="11"/>
      <c r="CH13" s="11"/>
      <c r="CI13" s="11"/>
      <c r="CJ13" s="11"/>
      <c r="CK13" s="11"/>
      <c r="CL13" s="11"/>
      <c r="CM13" s="9">
        <v>2</v>
      </c>
      <c r="CN13" s="9">
        <v>4</v>
      </c>
      <c r="CO13" s="9">
        <v>2</v>
      </c>
      <c r="CP13" s="9">
        <v>4</v>
      </c>
      <c r="CQ13" s="9">
        <v>1</v>
      </c>
      <c r="CR13" s="9"/>
      <c r="CS13" s="9"/>
      <c r="CT13" s="9">
        <v>7</v>
      </c>
      <c r="CU13" s="9"/>
      <c r="CV13" s="9">
        <v>3</v>
      </c>
      <c r="CW13" s="9">
        <v>2</v>
      </c>
      <c r="CX13" s="9">
        <v>1</v>
      </c>
      <c r="CY13" s="9"/>
      <c r="CZ13" s="9"/>
      <c r="DA13" s="9" t="s">
        <v>459</v>
      </c>
      <c r="DB13" s="19">
        <f t="shared" si="1"/>
        <v>67</v>
      </c>
    </row>
    <row r="14" spans="1:107" ht="28" x14ac:dyDescent="0.15">
      <c r="A14" s="11" t="s">
        <v>153</v>
      </c>
      <c r="B14" s="11" t="s">
        <v>460</v>
      </c>
      <c r="C14" s="11">
        <v>25.9481</v>
      </c>
      <c r="D14" s="11">
        <v>-81.743819999999999</v>
      </c>
      <c r="E14" s="11">
        <v>25.966975000000001</v>
      </c>
      <c r="F14" s="11">
        <v>-81.744856999999996</v>
      </c>
      <c r="G14" s="11" t="s">
        <v>461</v>
      </c>
      <c r="H14" s="11" t="s">
        <v>462</v>
      </c>
      <c r="J14" s="20">
        <v>41306</v>
      </c>
      <c r="K14" s="21">
        <v>0.44791666666666669</v>
      </c>
      <c r="AH14" s="11">
        <v>14</v>
      </c>
      <c r="AJ14" s="11">
        <v>32</v>
      </c>
      <c r="AM14" s="11">
        <v>2</v>
      </c>
      <c r="AP14" s="11">
        <v>28</v>
      </c>
      <c r="AW14" s="11">
        <v>85</v>
      </c>
      <c r="AZ14" s="11">
        <v>3</v>
      </c>
      <c r="BA14" s="11">
        <v>28</v>
      </c>
      <c r="BB14" s="11">
        <v>34</v>
      </c>
      <c r="BC14" s="11">
        <v>9</v>
      </c>
      <c r="BD14" s="11">
        <v>5</v>
      </c>
      <c r="BE14" s="11">
        <v>12</v>
      </c>
      <c r="BL14" s="11">
        <v>66</v>
      </c>
      <c r="BQ14" s="11">
        <v>12</v>
      </c>
      <c r="BR14" s="11">
        <v>7</v>
      </c>
      <c r="BS14" s="11">
        <v>23</v>
      </c>
      <c r="BT14" s="11">
        <v>17</v>
      </c>
      <c r="BW14" s="11">
        <v>32</v>
      </c>
      <c r="BX14" s="11">
        <v>92</v>
      </c>
      <c r="CB14" s="11">
        <v>2</v>
      </c>
      <c r="CE14" s="11">
        <v>1</v>
      </c>
      <c r="CN14" s="11">
        <v>3</v>
      </c>
      <c r="CO14" s="11">
        <v>3</v>
      </c>
      <c r="CP14" s="11">
        <v>1</v>
      </c>
      <c r="CR14" s="11">
        <v>1</v>
      </c>
      <c r="CT14" s="11">
        <v>37</v>
      </c>
      <c r="DB14" s="19">
        <f t="shared" si="1"/>
        <v>549</v>
      </c>
    </row>
    <row r="15" spans="1:107" ht="42.75" customHeight="1" x14ac:dyDescent="0.15">
      <c r="A15" s="9" t="s">
        <v>463</v>
      </c>
      <c r="B15" s="9" t="s">
        <v>464</v>
      </c>
      <c r="C15" s="13">
        <v>27.526979999999998</v>
      </c>
      <c r="D15" s="9">
        <v>-82.719650000000001</v>
      </c>
      <c r="E15" s="9">
        <v>27.536799999999999</v>
      </c>
      <c r="F15" s="9">
        <v>-82.743650000000002</v>
      </c>
      <c r="G15" s="9" t="s">
        <v>465</v>
      </c>
      <c r="H15" s="9" t="s">
        <v>466</v>
      </c>
      <c r="I15" s="9"/>
      <c r="J15" s="16" t="s">
        <v>467</v>
      </c>
      <c r="K15" s="18">
        <v>0.34722222222222221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>
        <v>24</v>
      </c>
      <c r="AI15" s="9"/>
      <c r="AJ15" s="9">
        <v>9</v>
      </c>
      <c r="AK15" s="9"/>
      <c r="AL15" s="9"/>
      <c r="AM15" s="9">
        <v>23</v>
      </c>
      <c r="AN15" s="9"/>
      <c r="AO15" s="9">
        <v>9</v>
      </c>
      <c r="AP15" s="9">
        <v>3</v>
      </c>
      <c r="AQ15" s="9"/>
      <c r="AR15" s="9"/>
      <c r="AS15" s="9"/>
      <c r="AT15" s="9"/>
      <c r="AU15" s="9"/>
      <c r="AV15" s="9"/>
      <c r="AW15" s="9">
        <v>1</v>
      </c>
      <c r="AX15" s="9"/>
      <c r="AY15" s="9"/>
      <c r="AZ15" s="9"/>
      <c r="BA15" s="9">
        <v>3</v>
      </c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>
        <v>3</v>
      </c>
      <c r="BM15" s="9"/>
      <c r="BN15" s="9"/>
      <c r="BO15" s="9"/>
      <c r="BP15" s="9"/>
      <c r="BQ15" s="9"/>
      <c r="BR15" s="9"/>
      <c r="BS15" s="9">
        <v>24</v>
      </c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>
        <v>2</v>
      </c>
      <c r="CN15" s="9">
        <v>4</v>
      </c>
      <c r="CO15" s="9">
        <v>3</v>
      </c>
      <c r="CP15" s="9"/>
      <c r="CQ15" s="9"/>
      <c r="CR15" s="9"/>
      <c r="CS15" s="9"/>
      <c r="CT15" s="9"/>
      <c r="CU15" s="9"/>
      <c r="CV15" s="9"/>
      <c r="CW15" s="9"/>
      <c r="CX15" s="9"/>
      <c r="CY15" s="9">
        <v>17</v>
      </c>
      <c r="CZ15" s="9"/>
      <c r="DA15" s="9" t="s">
        <v>468</v>
      </c>
      <c r="DB15" s="19">
        <f t="shared" si="1"/>
        <v>125</v>
      </c>
    </row>
    <row r="16" spans="1:107" ht="27.75" customHeight="1" x14ac:dyDescent="0.15">
      <c r="A16" s="9" t="s">
        <v>469</v>
      </c>
      <c r="B16" s="9" t="s">
        <v>442</v>
      </c>
      <c r="C16" s="9">
        <v>27.965295000000001</v>
      </c>
      <c r="D16" s="9">
        <v>-82.814941000000005</v>
      </c>
      <c r="E16" s="9"/>
      <c r="F16" s="9"/>
      <c r="G16" s="9" t="s">
        <v>470</v>
      </c>
      <c r="H16" s="9" t="s">
        <v>471</v>
      </c>
      <c r="I16" s="9"/>
      <c r="J16" s="8">
        <v>41315</v>
      </c>
      <c r="K16" s="18">
        <v>0.33333333333333331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>
        <v>30</v>
      </c>
      <c r="AI16" s="9"/>
      <c r="AJ16" s="9">
        <v>3</v>
      </c>
      <c r="AK16" s="9"/>
      <c r="AL16" s="9"/>
      <c r="AM16" s="9"/>
      <c r="AN16" s="9"/>
      <c r="AO16" s="9">
        <v>3</v>
      </c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>
        <v>1</v>
      </c>
      <c r="CN16" s="9">
        <v>5</v>
      </c>
      <c r="CO16" s="9">
        <v>20</v>
      </c>
      <c r="CP16" s="9"/>
      <c r="CQ16" s="9"/>
      <c r="CR16" s="9">
        <v>1</v>
      </c>
      <c r="CS16" s="9"/>
      <c r="CT16" s="9"/>
      <c r="CU16" s="9">
        <v>52</v>
      </c>
      <c r="CV16" s="9"/>
      <c r="CW16" s="9"/>
      <c r="CX16" s="9"/>
      <c r="CY16" s="9"/>
      <c r="CZ16" s="9"/>
      <c r="DA16" s="11" t="s">
        <v>472</v>
      </c>
      <c r="DB16" s="19">
        <f t="shared" si="1"/>
        <v>115</v>
      </c>
      <c r="DC16" s="11" t="s">
        <v>473</v>
      </c>
    </row>
    <row r="17" spans="1:107" ht="28" x14ac:dyDescent="0.15">
      <c r="A17" s="11" t="s">
        <v>474</v>
      </c>
      <c r="B17" s="11" t="s">
        <v>475</v>
      </c>
      <c r="C17" s="11">
        <v>27.155719999999999</v>
      </c>
      <c r="D17" s="11">
        <v>-82.484570000000005</v>
      </c>
      <c r="E17" s="11">
        <v>27.113379999999999</v>
      </c>
      <c r="F17" s="11">
        <v>-82.468739999999997</v>
      </c>
      <c r="G17" s="11" t="s">
        <v>476</v>
      </c>
      <c r="H17" s="11" t="s">
        <v>477</v>
      </c>
      <c r="J17" s="20">
        <v>41307</v>
      </c>
      <c r="K17" s="21">
        <v>0.45833333333333331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>
        <v>4</v>
      </c>
      <c r="AI17" s="11"/>
      <c r="AJ17" s="11">
        <v>3</v>
      </c>
      <c r="AK17" s="11"/>
      <c r="AL17" s="11"/>
      <c r="AM17" s="11">
        <v>32</v>
      </c>
      <c r="AN17" s="11"/>
      <c r="AO17" s="11">
        <v>35</v>
      </c>
      <c r="AP17" s="11">
        <v>6</v>
      </c>
      <c r="AQ17" s="11"/>
      <c r="AR17" s="11"/>
      <c r="AS17" s="11"/>
      <c r="AT17" s="11"/>
      <c r="AU17" s="11"/>
      <c r="AV17" s="11">
        <v>17</v>
      </c>
      <c r="AW17" s="11"/>
      <c r="AX17" s="11">
        <v>1</v>
      </c>
      <c r="AY17" s="11">
        <v>2</v>
      </c>
      <c r="AZ17" s="11">
        <v>3</v>
      </c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>
        <v>74</v>
      </c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B17" s="19">
        <f t="shared" si="1"/>
        <v>177</v>
      </c>
    </row>
    <row r="18" spans="1:107" ht="28" x14ac:dyDescent="0.15">
      <c r="A18" s="9" t="s">
        <v>478</v>
      </c>
      <c r="B18" s="9" t="s">
        <v>442</v>
      </c>
      <c r="C18" s="9">
        <v>28.03154</v>
      </c>
      <c r="D18" s="9">
        <v>-82.822819999999993</v>
      </c>
      <c r="E18" s="9">
        <v>28.05189</v>
      </c>
      <c r="F18" s="9">
        <v>-82.815910000000002</v>
      </c>
      <c r="G18" s="9" t="s">
        <v>479</v>
      </c>
      <c r="H18" s="9" t="s">
        <v>480</v>
      </c>
      <c r="I18" s="9"/>
      <c r="J18" s="8">
        <v>41314</v>
      </c>
      <c r="K18" s="16" t="s">
        <v>481</v>
      </c>
      <c r="N18" s="11">
        <v>850</v>
      </c>
      <c r="Z18" s="11">
        <v>1</v>
      </c>
      <c r="AC18" s="11">
        <v>1</v>
      </c>
      <c r="AH18" s="9">
        <v>15</v>
      </c>
      <c r="AJ18" s="9">
        <v>35</v>
      </c>
      <c r="AM18" s="9">
        <v>15</v>
      </c>
      <c r="AO18" s="9">
        <v>10</v>
      </c>
      <c r="AP18" s="11">
        <v>2</v>
      </c>
      <c r="AV18" s="11">
        <v>1</v>
      </c>
      <c r="AW18" s="9">
        <v>10</v>
      </c>
      <c r="AX18" s="9">
        <v>15</v>
      </c>
      <c r="AY18" s="9"/>
      <c r="AZ18" s="11">
        <v>35</v>
      </c>
      <c r="BA18" s="11">
        <v>75</v>
      </c>
      <c r="BB18" s="11">
        <v>2</v>
      </c>
      <c r="BC18" s="11">
        <v>50</v>
      </c>
      <c r="BD18" s="11">
        <v>9</v>
      </c>
      <c r="BE18" s="11">
        <v>2</v>
      </c>
      <c r="BG18" s="9">
        <v>4</v>
      </c>
      <c r="BL18" s="9">
        <v>5</v>
      </c>
      <c r="BQ18" s="11">
        <v>25</v>
      </c>
      <c r="BR18" s="11">
        <v>90</v>
      </c>
      <c r="BS18" s="11">
        <v>45</v>
      </c>
      <c r="BU18" s="11">
        <v>5</v>
      </c>
      <c r="BW18" s="11">
        <v>80</v>
      </c>
      <c r="BX18" s="11">
        <v>45</v>
      </c>
      <c r="CB18" s="9">
        <v>20</v>
      </c>
      <c r="CD18" s="11">
        <v>1</v>
      </c>
      <c r="CE18" s="11">
        <v>1</v>
      </c>
      <c r="CM18" s="9">
        <v>2</v>
      </c>
      <c r="CN18" s="11">
        <v>1</v>
      </c>
      <c r="CR18" s="11">
        <v>1</v>
      </c>
      <c r="CS18" s="11">
        <v>5</v>
      </c>
      <c r="CT18" s="11">
        <v>5</v>
      </c>
      <c r="CW18" s="11">
        <v>2</v>
      </c>
      <c r="CX18" s="11">
        <v>10</v>
      </c>
      <c r="CY18" s="9"/>
      <c r="DA18" s="11" t="s">
        <v>482</v>
      </c>
      <c r="DB18" s="19">
        <f t="shared" si="1"/>
        <v>1475</v>
      </c>
    </row>
    <row r="19" spans="1:107" ht="42" x14ac:dyDescent="0.15">
      <c r="A19" s="9" t="s">
        <v>483</v>
      </c>
      <c r="B19" s="9" t="s">
        <v>484</v>
      </c>
      <c r="C19" s="9">
        <v>28.938834</v>
      </c>
      <c r="D19" s="9">
        <v>-80.830493000000004</v>
      </c>
      <c r="E19" s="9">
        <v>28.794108999999999</v>
      </c>
      <c r="F19" s="9">
        <v>-80.735131999999993</v>
      </c>
      <c r="G19" s="9" t="s">
        <v>485</v>
      </c>
      <c r="H19" s="9" t="s">
        <v>486</v>
      </c>
      <c r="I19" s="9"/>
      <c r="J19" s="8">
        <v>41313</v>
      </c>
      <c r="K19" s="18">
        <v>0.33333333333333331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>
        <v>1</v>
      </c>
      <c r="AD19" s="9"/>
      <c r="AE19" s="9"/>
      <c r="AF19" s="9"/>
      <c r="AG19" s="9"/>
      <c r="AH19" s="9">
        <v>23</v>
      </c>
      <c r="AI19" s="9"/>
      <c r="AJ19" s="9">
        <v>20</v>
      </c>
      <c r="AK19" s="9"/>
      <c r="AL19" s="9"/>
      <c r="AM19" s="9">
        <v>25</v>
      </c>
      <c r="AN19" s="9"/>
      <c r="AO19" s="9">
        <v>63</v>
      </c>
      <c r="AP19" s="9">
        <v>7</v>
      </c>
      <c r="AQ19" s="9"/>
      <c r="AR19" s="9"/>
      <c r="AS19" s="9"/>
      <c r="AT19" s="9"/>
      <c r="AU19" s="9"/>
      <c r="AV19" s="9"/>
      <c r="AW19" s="9">
        <v>61</v>
      </c>
      <c r="AX19" s="9"/>
      <c r="AY19" s="9"/>
      <c r="AZ19" s="9"/>
      <c r="BA19" s="9">
        <v>4</v>
      </c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>
        <v>113</v>
      </c>
      <c r="BM19" s="9"/>
      <c r="BN19" s="9"/>
      <c r="BO19" s="9"/>
      <c r="BP19" s="9"/>
      <c r="BQ19" s="9">
        <v>74</v>
      </c>
      <c r="BR19" s="9"/>
      <c r="BS19" s="9">
        <v>167</v>
      </c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>
        <v>1</v>
      </c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>
        <v>1</v>
      </c>
      <c r="CS19" s="9"/>
      <c r="CT19" s="9"/>
      <c r="CU19" s="9"/>
      <c r="CV19" s="9"/>
      <c r="CW19" s="9"/>
      <c r="CX19" s="9"/>
      <c r="CY19" s="9"/>
      <c r="CZ19" s="9"/>
      <c r="DA19" s="9" t="s">
        <v>487</v>
      </c>
      <c r="DB19" s="19">
        <f t="shared" si="1"/>
        <v>560</v>
      </c>
    </row>
    <row r="20" spans="1:107" ht="42" x14ac:dyDescent="0.15">
      <c r="A20" s="9" t="s">
        <v>488</v>
      </c>
      <c r="B20" s="9" t="s">
        <v>489</v>
      </c>
      <c r="C20" s="9">
        <v>28.643885999999998</v>
      </c>
      <c r="D20" s="9">
        <v>-80.623974000000004</v>
      </c>
      <c r="E20" s="9">
        <v>28.794108999999999</v>
      </c>
      <c r="F20" s="9">
        <v>-80.735131999999993</v>
      </c>
      <c r="G20" s="9" t="s">
        <v>490</v>
      </c>
      <c r="H20" s="9" t="s">
        <v>491</v>
      </c>
      <c r="I20" s="9"/>
      <c r="J20" s="8">
        <v>41313</v>
      </c>
      <c r="K20" s="18">
        <v>0.36458333333333331</v>
      </c>
      <c r="Y20" s="9"/>
      <c r="Z20" s="9"/>
      <c r="AE20" s="9"/>
      <c r="AH20" s="9">
        <v>102</v>
      </c>
      <c r="AJ20" s="9">
        <v>17</v>
      </c>
      <c r="AM20" s="9">
        <v>125</v>
      </c>
      <c r="AO20" s="9">
        <v>261</v>
      </c>
      <c r="AP20" s="11">
        <v>22</v>
      </c>
      <c r="AQ20" s="11">
        <v>14</v>
      </c>
      <c r="AW20" s="9">
        <v>583</v>
      </c>
      <c r="AX20" s="9">
        <v>29</v>
      </c>
      <c r="BF20" s="11">
        <v>2</v>
      </c>
      <c r="BL20" s="11">
        <v>34</v>
      </c>
      <c r="BM20" s="9"/>
      <c r="BQ20" s="11">
        <v>41</v>
      </c>
      <c r="BS20" s="9">
        <v>237</v>
      </c>
      <c r="BU20" s="9"/>
      <c r="CB20" s="9">
        <v>2</v>
      </c>
      <c r="CM20" s="11">
        <v>2</v>
      </c>
      <c r="CN20" s="9"/>
      <c r="CO20" s="9"/>
      <c r="CP20" s="9"/>
      <c r="DA20" s="9" t="s">
        <v>492</v>
      </c>
      <c r="DB20" s="19">
        <f t="shared" si="1"/>
        <v>1471</v>
      </c>
      <c r="DC20" s="9"/>
    </row>
    <row r="21" spans="1:107" ht="42" x14ac:dyDescent="0.15">
      <c r="A21" s="9" t="s">
        <v>493</v>
      </c>
      <c r="B21" s="9" t="s">
        <v>494</v>
      </c>
      <c r="C21" s="9">
        <v>26.707623999999999</v>
      </c>
      <c r="D21" s="9">
        <v>-82.250394</v>
      </c>
      <c r="E21" s="9">
        <v>26.684349999999998</v>
      </c>
      <c r="F21" s="9"/>
      <c r="G21" s="9" t="s">
        <v>495</v>
      </c>
      <c r="H21" s="9" t="s">
        <v>496</v>
      </c>
      <c r="I21" s="9"/>
      <c r="J21" s="8">
        <v>41313</v>
      </c>
      <c r="K21" s="18">
        <v>0.35416666666666669</v>
      </c>
      <c r="Z21" s="11">
        <v>5</v>
      </c>
      <c r="AC21" s="11">
        <v>2</v>
      </c>
      <c r="AH21" s="9">
        <v>65</v>
      </c>
      <c r="AJ21" s="11">
        <v>8</v>
      </c>
      <c r="AM21" s="9">
        <v>55</v>
      </c>
      <c r="AO21" s="9">
        <v>3</v>
      </c>
      <c r="AP21" s="11">
        <v>7</v>
      </c>
      <c r="BA21" s="11">
        <v>3</v>
      </c>
      <c r="BL21" s="9"/>
      <c r="BM21" s="9"/>
      <c r="BQ21" s="9"/>
      <c r="BR21" s="11">
        <v>1</v>
      </c>
      <c r="BS21" s="9">
        <v>20</v>
      </c>
      <c r="CB21" s="11">
        <v>4</v>
      </c>
      <c r="CJ21" s="11">
        <v>1</v>
      </c>
      <c r="CM21" s="11">
        <v>1</v>
      </c>
      <c r="CO21" s="9"/>
      <c r="CT21" s="11">
        <v>1</v>
      </c>
      <c r="DA21" s="9" t="s">
        <v>497</v>
      </c>
      <c r="DB21" s="19"/>
      <c r="DC21" s="9" t="s">
        <v>498</v>
      </c>
    </row>
    <row r="22" spans="1:107" ht="1.5" customHeight="1" x14ac:dyDescent="0.15">
      <c r="A22" s="9" t="s">
        <v>499</v>
      </c>
      <c r="B22" s="9" t="s">
        <v>494</v>
      </c>
      <c r="C22" s="9">
        <v>26.684349999999998</v>
      </c>
      <c r="D22" s="9">
        <v>-82.261420000000001</v>
      </c>
      <c r="E22" s="9">
        <v>26.669090000000001</v>
      </c>
      <c r="F22" s="9">
        <v>-82.25515</v>
      </c>
      <c r="G22" s="9" t="s">
        <v>495</v>
      </c>
      <c r="H22" s="9" t="s">
        <v>496</v>
      </c>
      <c r="I22" s="9"/>
      <c r="J22" s="8">
        <v>41313</v>
      </c>
      <c r="K22" s="18">
        <v>0.39583333333333331</v>
      </c>
      <c r="AH22" s="9">
        <v>42</v>
      </c>
      <c r="AJ22" s="11">
        <v>21</v>
      </c>
      <c r="AM22" s="9">
        <v>65</v>
      </c>
      <c r="AO22" s="9">
        <v>308</v>
      </c>
      <c r="AP22" s="11">
        <v>167</v>
      </c>
      <c r="AQ22" s="11">
        <v>1</v>
      </c>
      <c r="AW22" s="11">
        <v>54</v>
      </c>
      <c r="AX22" s="11">
        <v>11</v>
      </c>
      <c r="AY22" s="9">
        <v>3</v>
      </c>
      <c r="AZ22" s="9"/>
      <c r="BA22" s="11">
        <v>44</v>
      </c>
      <c r="BB22" s="11">
        <v>14</v>
      </c>
      <c r="BD22" s="11">
        <v>1</v>
      </c>
      <c r="BE22" s="11">
        <v>2</v>
      </c>
      <c r="BJ22" s="11">
        <v>3</v>
      </c>
      <c r="BL22" s="9">
        <v>10</v>
      </c>
      <c r="BQ22" s="9">
        <v>20</v>
      </c>
      <c r="BS22" s="9">
        <v>140</v>
      </c>
      <c r="BW22" s="9">
        <v>20</v>
      </c>
      <c r="BX22" s="11">
        <v>8</v>
      </c>
      <c r="CB22" s="11">
        <v>3</v>
      </c>
      <c r="CC22" s="11">
        <v>1</v>
      </c>
      <c r="CN22" s="11">
        <v>1</v>
      </c>
      <c r="CO22" s="9"/>
      <c r="CT22" s="11">
        <v>1</v>
      </c>
      <c r="DA22" s="9" t="s">
        <v>500</v>
      </c>
      <c r="DB22" s="19">
        <f>SUM(L22:DA22)</f>
        <v>940</v>
      </c>
      <c r="DC22" s="9" t="s">
        <v>501</v>
      </c>
    </row>
    <row r="23" spans="1:107" ht="42" x14ac:dyDescent="0.15">
      <c r="A23" s="9" t="s">
        <v>502</v>
      </c>
      <c r="B23" s="9" t="s">
        <v>494</v>
      </c>
      <c r="C23" s="9">
        <v>26.669090000000001</v>
      </c>
      <c r="D23" s="9">
        <v>-82.25515</v>
      </c>
      <c r="E23" s="9">
        <v>26.635149999999999</v>
      </c>
      <c r="F23" s="9">
        <v>-82.232470000000006</v>
      </c>
      <c r="G23" s="9" t="s">
        <v>503</v>
      </c>
      <c r="H23" s="9" t="s">
        <v>496</v>
      </c>
      <c r="I23" s="9"/>
      <c r="J23" s="8">
        <v>41313</v>
      </c>
      <c r="K23" s="18">
        <v>0.41666666666666669</v>
      </c>
      <c r="AC23" s="9"/>
      <c r="AH23" s="9">
        <v>5</v>
      </c>
      <c r="AJ23" s="9"/>
      <c r="AM23" s="9">
        <v>8</v>
      </c>
      <c r="AO23" s="9">
        <v>20</v>
      </c>
      <c r="AP23" s="9">
        <v>172</v>
      </c>
      <c r="AW23" s="9"/>
      <c r="AX23" s="9"/>
      <c r="AY23" s="9"/>
      <c r="AZ23" s="9"/>
      <c r="BA23" s="11">
        <v>4</v>
      </c>
      <c r="BH23" s="9"/>
      <c r="BL23" s="9"/>
      <c r="BP23" s="9"/>
      <c r="BQ23" s="9">
        <v>6</v>
      </c>
      <c r="BR23" s="9"/>
      <c r="BS23" s="9">
        <v>42</v>
      </c>
      <c r="CB23" s="9">
        <v>10</v>
      </c>
      <c r="CO23" s="9"/>
      <c r="CY23" s="9"/>
      <c r="DA23" s="9" t="s">
        <v>504</v>
      </c>
      <c r="DB23" s="19">
        <v>327</v>
      </c>
      <c r="DC23" s="9" t="s">
        <v>505</v>
      </c>
    </row>
    <row r="24" spans="1:107" ht="42" x14ac:dyDescent="0.15">
      <c r="A24" s="9" t="s">
        <v>506</v>
      </c>
      <c r="B24" s="9" t="s">
        <v>494</v>
      </c>
      <c r="C24" s="9">
        <v>26.635149999999999</v>
      </c>
      <c r="D24" s="9">
        <v>-82.232470000000006</v>
      </c>
      <c r="E24" s="9">
        <v>26.613287</v>
      </c>
      <c r="F24" s="9">
        <v>-82.222599000000002</v>
      </c>
      <c r="G24" s="9" t="s">
        <v>503</v>
      </c>
      <c r="H24" s="9" t="s">
        <v>496</v>
      </c>
      <c r="I24" s="9"/>
      <c r="J24" s="8">
        <v>41313</v>
      </c>
      <c r="K24" s="18">
        <v>0.35416666666666669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>
        <v>8</v>
      </c>
      <c r="AI24" s="9"/>
      <c r="AJ24" s="9">
        <v>2</v>
      </c>
      <c r="AK24" s="9"/>
      <c r="AL24" s="9"/>
      <c r="AM24" s="9">
        <v>25</v>
      </c>
      <c r="AN24" s="9"/>
      <c r="AO24" s="9">
        <v>201</v>
      </c>
      <c r="AP24" s="9">
        <v>909</v>
      </c>
      <c r="AQ24" s="9"/>
      <c r="AR24" s="9"/>
      <c r="AS24" s="9"/>
      <c r="AT24" s="9"/>
      <c r="AU24" s="9"/>
      <c r="AV24" s="9"/>
      <c r="AW24" s="9">
        <v>1</v>
      </c>
      <c r="AX24" s="9"/>
      <c r="AY24" s="9"/>
      <c r="AZ24" s="9"/>
      <c r="BA24" s="9">
        <v>1</v>
      </c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>
        <v>1</v>
      </c>
      <c r="BR24" s="9"/>
      <c r="BS24" s="9">
        <v>6</v>
      </c>
      <c r="BT24" s="9"/>
      <c r="BU24" s="9"/>
      <c r="BV24" s="9"/>
      <c r="BW24" s="9"/>
      <c r="BX24" s="9"/>
      <c r="BY24" s="9"/>
      <c r="BZ24" s="9"/>
      <c r="CA24" s="9"/>
      <c r="CB24" s="9">
        <v>10</v>
      </c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>
        <v>1</v>
      </c>
      <c r="CO24" s="9"/>
      <c r="CY24" s="9"/>
      <c r="DA24" s="9"/>
      <c r="DB24" s="19">
        <f t="shared" ref="DB24:DB31" si="2">SUM(L24:DA24)</f>
        <v>1165</v>
      </c>
      <c r="DC24" s="9" t="s">
        <v>507</v>
      </c>
    </row>
    <row r="25" spans="1:107" ht="14" x14ac:dyDescent="0.15">
      <c r="A25" s="9" t="s">
        <v>508</v>
      </c>
      <c r="B25" s="9" t="s">
        <v>442</v>
      </c>
      <c r="C25" s="9">
        <v>27.442525</v>
      </c>
      <c r="D25" s="9">
        <v>82.313659999999999</v>
      </c>
      <c r="E25" s="9">
        <v>27.441469999999999</v>
      </c>
      <c r="F25" s="9">
        <v>82.414199999999994</v>
      </c>
      <c r="G25" s="9" t="s">
        <v>509</v>
      </c>
      <c r="H25" s="9" t="s">
        <v>510</v>
      </c>
      <c r="I25" s="9"/>
      <c r="J25" s="8">
        <v>41315</v>
      </c>
      <c r="K25" s="18">
        <v>0.40972222222222221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>
        <v>9</v>
      </c>
      <c r="AI25" s="9"/>
      <c r="AJ25" s="9">
        <v>2</v>
      </c>
      <c r="AK25" s="9"/>
      <c r="AL25" s="9"/>
      <c r="AM25" s="9">
        <v>5</v>
      </c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>
        <v>4</v>
      </c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>
        <v>3</v>
      </c>
      <c r="CN25" s="9">
        <v>2</v>
      </c>
      <c r="CO25" s="9"/>
      <c r="CP25" s="9">
        <v>1</v>
      </c>
      <c r="CQ25" s="9"/>
      <c r="CR25" s="9"/>
      <c r="CS25" s="9"/>
      <c r="CT25" s="9">
        <v>1</v>
      </c>
      <c r="CU25" s="9"/>
      <c r="CV25" s="9">
        <v>1</v>
      </c>
      <c r="CW25" s="9">
        <v>1</v>
      </c>
      <c r="CX25" s="9"/>
      <c r="CY25" s="9">
        <v>12</v>
      </c>
      <c r="CZ25" s="9"/>
      <c r="DA25" s="9" t="s">
        <v>511</v>
      </c>
      <c r="DB25" s="19">
        <f t="shared" si="2"/>
        <v>41</v>
      </c>
      <c r="DC25" s="11" t="s">
        <v>512</v>
      </c>
    </row>
    <row r="26" spans="1:107" ht="28" x14ac:dyDescent="0.15">
      <c r="A26" s="9" t="s">
        <v>513</v>
      </c>
      <c r="B26" s="9" t="s">
        <v>442</v>
      </c>
      <c r="C26" s="9">
        <v>27.960129999999999</v>
      </c>
      <c r="D26" s="9">
        <v>-82.705370000000002</v>
      </c>
      <c r="E26" s="9">
        <v>27.96809</v>
      </c>
      <c r="F26" s="9">
        <v>-82.57347</v>
      </c>
      <c r="G26" s="9" t="s">
        <v>514</v>
      </c>
      <c r="H26" s="9" t="s">
        <v>515</v>
      </c>
      <c r="I26" s="9"/>
      <c r="J26" s="8">
        <v>41315</v>
      </c>
      <c r="K26" s="18">
        <v>0.3</v>
      </c>
      <c r="L26" s="11"/>
      <c r="M26" s="11">
        <v>200</v>
      </c>
      <c r="N26" s="11"/>
      <c r="O26" s="11"/>
      <c r="P26" s="11">
        <v>95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>
        <v>28</v>
      </c>
      <c r="AE26" s="11"/>
      <c r="AF26" s="11"/>
      <c r="AG26" s="11"/>
      <c r="AH26" s="9">
        <v>98</v>
      </c>
      <c r="AI26" s="11"/>
      <c r="AJ26" s="9">
        <v>29</v>
      </c>
      <c r="AK26" s="11"/>
      <c r="AL26" s="11"/>
      <c r="AM26" s="9">
        <v>479</v>
      </c>
      <c r="AN26" s="11">
        <v>163</v>
      </c>
      <c r="AO26" s="9">
        <v>76</v>
      </c>
      <c r="AP26" s="9"/>
      <c r="AQ26" s="11"/>
      <c r="AR26" s="11"/>
      <c r="AS26" s="11"/>
      <c r="AT26" s="11"/>
      <c r="AU26" s="11"/>
      <c r="AV26" s="11"/>
      <c r="AW26" s="11">
        <v>20</v>
      </c>
      <c r="AX26" s="11">
        <v>58</v>
      </c>
      <c r="AY26" s="11"/>
      <c r="AZ26" s="11">
        <v>365</v>
      </c>
      <c r="BA26" s="11">
        <v>6</v>
      </c>
      <c r="BB26" s="11"/>
      <c r="BC26" s="11">
        <v>36</v>
      </c>
      <c r="BD26" s="11"/>
      <c r="BE26" s="11"/>
      <c r="BF26" s="11"/>
      <c r="BG26" s="11">
        <v>4</v>
      </c>
      <c r="BH26" s="11"/>
      <c r="BI26" s="11"/>
      <c r="BJ26" s="11"/>
      <c r="BK26" s="11"/>
      <c r="BL26" s="11">
        <v>8</v>
      </c>
      <c r="BM26" s="11"/>
      <c r="BN26" s="11"/>
      <c r="BO26" s="11"/>
      <c r="BP26" s="11">
        <v>90</v>
      </c>
      <c r="BQ26" s="11">
        <v>30</v>
      </c>
      <c r="BR26" s="11"/>
      <c r="BS26" s="11">
        <v>57</v>
      </c>
      <c r="BT26" s="11"/>
      <c r="BU26" s="11">
        <v>37</v>
      </c>
      <c r="BV26" s="11"/>
      <c r="BW26" s="11">
        <v>6</v>
      </c>
      <c r="BX26" s="11"/>
      <c r="BY26" s="11"/>
      <c r="BZ26" s="11"/>
      <c r="CA26" s="11"/>
      <c r="CB26" s="9">
        <v>4</v>
      </c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>
        <v>3</v>
      </c>
      <c r="CN26" s="11">
        <v>2</v>
      </c>
      <c r="CO26" s="11">
        <v>1</v>
      </c>
      <c r="CP26" s="11">
        <v>4</v>
      </c>
      <c r="CQ26" s="11">
        <v>2</v>
      </c>
      <c r="CR26" s="11">
        <v>1</v>
      </c>
      <c r="CS26" s="11"/>
      <c r="CT26" s="11">
        <v>24</v>
      </c>
      <c r="CU26" s="11"/>
      <c r="CV26" s="11"/>
      <c r="CW26" s="11"/>
      <c r="CX26" s="11"/>
      <c r="CY26" s="11">
        <v>20</v>
      </c>
      <c r="CZ26" s="11">
        <v>42</v>
      </c>
      <c r="DA26" s="11" t="s">
        <v>516</v>
      </c>
      <c r="DB26" s="19">
        <f t="shared" si="2"/>
        <v>1988</v>
      </c>
    </row>
    <row r="27" spans="1:107" ht="14" x14ac:dyDescent="0.15">
      <c r="A27" s="11" t="s">
        <v>517</v>
      </c>
      <c r="B27" s="11" t="s">
        <v>442</v>
      </c>
      <c r="C27" s="11">
        <v>28.051100000000002</v>
      </c>
      <c r="D27" s="11">
        <v>-82.797300000000007</v>
      </c>
      <c r="E27" s="11">
        <v>28.058599999999998</v>
      </c>
      <c r="F27" s="11">
        <v>-82.809799999999996</v>
      </c>
      <c r="G27" s="11" t="s">
        <v>518</v>
      </c>
      <c r="H27" s="11" t="s">
        <v>152</v>
      </c>
      <c r="J27" s="20">
        <v>41315</v>
      </c>
      <c r="K27" s="21">
        <v>0.29166666666666669</v>
      </c>
      <c r="AM27" s="11">
        <v>40</v>
      </c>
      <c r="AW27" s="11">
        <v>36</v>
      </c>
      <c r="AZ27" s="11">
        <v>30</v>
      </c>
      <c r="DB27" s="19">
        <f t="shared" si="2"/>
        <v>106</v>
      </c>
    </row>
    <row r="28" spans="1:107" ht="57" customHeight="1" x14ac:dyDescent="0.15">
      <c r="A28" s="9" t="s">
        <v>519</v>
      </c>
      <c r="B28" s="9" t="s">
        <v>451</v>
      </c>
      <c r="C28" s="9" t="s">
        <v>520</v>
      </c>
      <c r="D28" s="9" t="s">
        <v>521</v>
      </c>
      <c r="E28" s="9" t="s">
        <v>522</v>
      </c>
      <c r="F28" s="9" t="s">
        <v>523</v>
      </c>
      <c r="G28" s="9" t="s">
        <v>524</v>
      </c>
      <c r="H28" s="9" t="s">
        <v>525</v>
      </c>
      <c r="I28" s="9"/>
      <c r="J28" s="8">
        <v>41306</v>
      </c>
      <c r="K28" s="16" t="s">
        <v>526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 t="s">
        <v>527</v>
      </c>
      <c r="AD28" s="9"/>
      <c r="AE28" s="9"/>
      <c r="AF28" s="9">
        <v>543</v>
      </c>
      <c r="AG28" s="9"/>
      <c r="AH28" s="9">
        <v>74</v>
      </c>
      <c r="AI28" s="9"/>
      <c r="AJ28" s="9">
        <v>1</v>
      </c>
      <c r="AK28" s="9"/>
      <c r="AL28" s="9">
        <v>1</v>
      </c>
      <c r="AM28" s="9">
        <v>58</v>
      </c>
      <c r="AN28" s="9"/>
      <c r="AO28" s="9">
        <v>98</v>
      </c>
      <c r="AP28" s="9">
        <v>12</v>
      </c>
      <c r="AQ28" s="9">
        <v>2</v>
      </c>
      <c r="AR28" s="9"/>
      <c r="AS28" s="9"/>
      <c r="AT28" s="9"/>
      <c r="AU28" s="9"/>
      <c r="AV28" s="9">
        <v>1</v>
      </c>
      <c r="AW28" s="9">
        <v>160</v>
      </c>
      <c r="AX28" s="9">
        <v>118</v>
      </c>
      <c r="AY28" s="9">
        <v>42</v>
      </c>
      <c r="AZ28" s="9">
        <v>3</v>
      </c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>
        <v>3</v>
      </c>
      <c r="BM28" s="9"/>
      <c r="BN28" s="9"/>
      <c r="BO28" s="9"/>
      <c r="BP28" s="9"/>
      <c r="BQ28" s="9">
        <v>30</v>
      </c>
      <c r="BR28" s="9"/>
      <c r="BS28" s="9">
        <v>55</v>
      </c>
      <c r="BT28" s="9"/>
      <c r="BU28" s="9"/>
      <c r="BV28" s="9"/>
      <c r="BW28" s="9">
        <v>5</v>
      </c>
      <c r="BX28" s="9"/>
      <c r="BY28" s="9"/>
      <c r="BZ28" s="9"/>
      <c r="CA28" s="9"/>
      <c r="CB28" s="9">
        <v>6</v>
      </c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>
        <v>1</v>
      </c>
      <c r="CW28" s="9"/>
      <c r="CX28" s="9"/>
      <c r="CY28" s="9"/>
      <c r="CZ28" s="9"/>
      <c r="DA28" s="9" t="s">
        <v>528</v>
      </c>
      <c r="DB28" s="19">
        <f t="shared" si="2"/>
        <v>1213</v>
      </c>
    </row>
    <row r="29" spans="1:107" ht="36.75" customHeight="1" x14ac:dyDescent="0.15">
      <c r="A29" s="9" t="s">
        <v>529</v>
      </c>
      <c r="B29" s="9" t="s">
        <v>451</v>
      </c>
      <c r="C29" s="9" t="s">
        <v>520</v>
      </c>
      <c r="D29" s="9" t="s">
        <v>521</v>
      </c>
      <c r="E29" s="9" t="s">
        <v>530</v>
      </c>
      <c r="F29" s="9" t="s">
        <v>531</v>
      </c>
      <c r="G29" s="9" t="s">
        <v>532</v>
      </c>
      <c r="H29" s="9" t="s">
        <v>533</v>
      </c>
      <c r="I29" s="9"/>
      <c r="J29" s="8">
        <v>41306</v>
      </c>
      <c r="K29" s="16" t="s">
        <v>526</v>
      </c>
      <c r="L29" s="9"/>
      <c r="M29" s="9"/>
      <c r="N29" s="9"/>
      <c r="O29" s="9"/>
      <c r="P29" s="9"/>
      <c r="Q29" s="9"/>
      <c r="R29" s="9"/>
      <c r="S29" s="9"/>
      <c r="T29" s="9">
        <v>90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>
        <v>300</v>
      </c>
      <c r="AG29" s="9"/>
      <c r="AH29" s="9">
        <v>25</v>
      </c>
      <c r="AI29" s="9"/>
      <c r="AJ29" s="9">
        <v>14</v>
      </c>
      <c r="AK29" s="9"/>
      <c r="AL29" s="9"/>
      <c r="AM29" s="9">
        <v>67</v>
      </c>
      <c r="AN29" s="9"/>
      <c r="AO29" s="9">
        <v>85</v>
      </c>
      <c r="AP29" s="9">
        <v>4</v>
      </c>
      <c r="AQ29" s="9"/>
      <c r="AR29" s="9">
        <v>2</v>
      </c>
      <c r="AS29" s="9"/>
      <c r="AT29" s="9"/>
      <c r="AU29" s="9"/>
      <c r="AV29" s="9"/>
      <c r="AW29" s="9">
        <v>60</v>
      </c>
      <c r="AX29" s="9">
        <v>52</v>
      </c>
      <c r="AY29" s="9">
        <v>1</v>
      </c>
      <c r="AZ29" s="9">
        <v>3</v>
      </c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>
        <v>11</v>
      </c>
      <c r="BM29" s="9"/>
      <c r="BN29" s="9"/>
      <c r="BO29" s="9"/>
      <c r="BP29" s="9"/>
      <c r="BQ29" s="9">
        <v>24</v>
      </c>
      <c r="BR29" s="9"/>
      <c r="BS29" s="9">
        <v>35</v>
      </c>
      <c r="BT29" s="9"/>
      <c r="BU29" s="9"/>
      <c r="BV29" s="9"/>
      <c r="BW29" s="9"/>
      <c r="BX29" s="9"/>
      <c r="BY29" s="9"/>
      <c r="BZ29" s="9"/>
      <c r="CA29" s="9"/>
      <c r="CB29" s="9">
        <v>2</v>
      </c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 t="s">
        <v>534</v>
      </c>
      <c r="DB29" s="19">
        <f t="shared" si="2"/>
        <v>775</v>
      </c>
    </row>
    <row r="30" spans="1:107" ht="30.75" customHeight="1" x14ac:dyDescent="0.15">
      <c r="A30" s="9" t="s">
        <v>535</v>
      </c>
      <c r="B30" s="9" t="s">
        <v>433</v>
      </c>
      <c r="C30" s="9">
        <v>30.422899999999998</v>
      </c>
      <c r="D30" s="9">
        <v>-81.274029999999996</v>
      </c>
      <c r="E30" s="9">
        <v>30.471699999999998</v>
      </c>
      <c r="F30" s="9">
        <v>81.253209999999996</v>
      </c>
      <c r="G30" s="9" t="s">
        <v>536</v>
      </c>
      <c r="H30" s="9" t="s">
        <v>537</v>
      </c>
      <c r="I30" s="9"/>
      <c r="J30" s="8">
        <v>41310</v>
      </c>
      <c r="K30" s="18">
        <v>0.60416666666666663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>
        <v>7</v>
      </c>
      <c r="AA30" s="9"/>
      <c r="AB30" s="9">
        <v>1</v>
      </c>
      <c r="AC30" s="9"/>
      <c r="AD30" s="9"/>
      <c r="AE30" s="9"/>
      <c r="AF30" s="9">
        <v>350</v>
      </c>
      <c r="AG30" s="9"/>
      <c r="AH30" s="9">
        <v>9</v>
      </c>
      <c r="AI30" s="9"/>
      <c r="AJ30" s="9">
        <v>74</v>
      </c>
      <c r="AK30" s="9"/>
      <c r="AL30" s="9">
        <v>1</v>
      </c>
      <c r="AM30" s="9">
        <v>86</v>
      </c>
      <c r="AN30" s="9">
        <v>2</v>
      </c>
      <c r="AO30" s="9">
        <v>15</v>
      </c>
      <c r="AP30" s="9">
        <v>4</v>
      </c>
      <c r="AQ30" s="9"/>
      <c r="AR30" s="9">
        <v>2</v>
      </c>
      <c r="AS30" s="9"/>
      <c r="AT30" s="9"/>
      <c r="AU30" s="9"/>
      <c r="AV30" s="9"/>
      <c r="AW30" s="9">
        <v>4</v>
      </c>
      <c r="AX30" s="9">
        <v>100</v>
      </c>
      <c r="AY30" s="9"/>
      <c r="AZ30" s="9">
        <v>37</v>
      </c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>
        <v>1</v>
      </c>
      <c r="BM30" s="9"/>
      <c r="BN30" s="9"/>
      <c r="BO30" s="9"/>
      <c r="BP30" s="9"/>
      <c r="BQ30" s="9">
        <v>344</v>
      </c>
      <c r="BR30" s="9"/>
      <c r="BS30" s="9">
        <v>1</v>
      </c>
      <c r="BT30" s="9"/>
      <c r="BU30" s="9"/>
      <c r="BV30" s="9">
        <v>1</v>
      </c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11">
        <v>0</v>
      </c>
      <c r="DB30" s="19">
        <f t="shared" si="2"/>
        <v>1039</v>
      </c>
    </row>
    <row r="31" spans="1:107" ht="28" x14ac:dyDescent="0.15">
      <c r="A31" s="22" t="s">
        <v>538</v>
      </c>
      <c r="B31" s="22" t="s">
        <v>442</v>
      </c>
      <c r="C31" s="22">
        <v>27.631007</v>
      </c>
      <c r="D31" s="22" t="s">
        <v>539</v>
      </c>
      <c r="E31" s="22">
        <v>27.645883000000001</v>
      </c>
      <c r="F31" s="22">
        <v>-82.740690000000001</v>
      </c>
      <c r="G31" s="22" t="s">
        <v>540</v>
      </c>
      <c r="H31" s="22" t="s">
        <v>541</v>
      </c>
      <c r="I31" s="22"/>
      <c r="J31" s="23">
        <v>41315</v>
      </c>
      <c r="K31" s="24">
        <v>0.41666666666666669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>
        <v>5</v>
      </c>
      <c r="AA31" s="22"/>
      <c r="AB31" s="22"/>
      <c r="AC31" s="22"/>
      <c r="AD31" s="22"/>
      <c r="AE31" s="22"/>
      <c r="AF31" s="22"/>
      <c r="AG31" s="22"/>
      <c r="AH31" s="22">
        <v>92</v>
      </c>
      <c r="AI31" s="22">
        <v>16</v>
      </c>
      <c r="AJ31" s="22">
        <v>975</v>
      </c>
      <c r="AK31" s="22"/>
      <c r="AL31" s="22"/>
      <c r="AM31" s="22">
        <v>244</v>
      </c>
      <c r="AN31" s="22">
        <v>1</v>
      </c>
      <c r="AO31" s="22">
        <v>186</v>
      </c>
      <c r="AP31" s="22">
        <v>4</v>
      </c>
      <c r="AQ31" s="22"/>
      <c r="AR31" s="22"/>
      <c r="AS31" s="22"/>
      <c r="AT31" s="22"/>
      <c r="AU31" s="22"/>
      <c r="AV31" s="22"/>
      <c r="AW31" s="22">
        <v>104</v>
      </c>
      <c r="AX31" s="22">
        <v>31</v>
      </c>
      <c r="AY31" s="22">
        <v>8</v>
      </c>
      <c r="AZ31" s="22">
        <v>19</v>
      </c>
      <c r="BA31" s="22">
        <v>57</v>
      </c>
      <c r="BB31" s="22">
        <v>19</v>
      </c>
      <c r="BC31" s="22">
        <v>46</v>
      </c>
      <c r="BD31" s="22">
        <v>1</v>
      </c>
      <c r="BE31" s="22"/>
      <c r="BF31" s="22"/>
      <c r="BG31" s="22">
        <v>4</v>
      </c>
      <c r="BH31" s="22"/>
      <c r="BI31" s="22"/>
      <c r="BJ31" s="22"/>
      <c r="BK31" s="22"/>
      <c r="BL31" s="22">
        <v>99</v>
      </c>
      <c r="BM31" s="22"/>
      <c r="BN31" s="22"/>
      <c r="BO31" s="22"/>
      <c r="BP31" s="22">
        <v>2</v>
      </c>
      <c r="BQ31" s="22">
        <v>13</v>
      </c>
      <c r="BR31" s="22">
        <v>26</v>
      </c>
      <c r="BS31" s="22">
        <v>42</v>
      </c>
      <c r="BT31" s="22">
        <v>16</v>
      </c>
      <c r="BU31" s="22">
        <v>3</v>
      </c>
      <c r="BV31" s="22"/>
      <c r="BW31" s="22">
        <v>69</v>
      </c>
      <c r="BX31" s="22">
        <v>43</v>
      </c>
      <c r="BY31" s="22"/>
      <c r="BZ31" s="22"/>
      <c r="CA31" s="22"/>
      <c r="CB31" s="22">
        <v>4</v>
      </c>
      <c r="CC31" s="22"/>
      <c r="CD31" s="22">
        <v>1</v>
      </c>
      <c r="CE31" s="22"/>
      <c r="CF31" s="22"/>
      <c r="CG31" s="22"/>
      <c r="CH31" s="22"/>
      <c r="CI31" s="22"/>
      <c r="CJ31" s="22"/>
      <c r="CK31" s="22"/>
      <c r="CL31" s="22"/>
      <c r="CM31" s="22">
        <v>1</v>
      </c>
      <c r="CN31" s="22">
        <v>1</v>
      </c>
      <c r="CO31" s="22">
        <v>1</v>
      </c>
      <c r="CP31" s="22">
        <v>1</v>
      </c>
      <c r="CQ31" s="22"/>
      <c r="CR31" s="22">
        <v>1</v>
      </c>
      <c r="CS31" s="22"/>
      <c r="CT31" s="22">
        <v>8</v>
      </c>
      <c r="CU31" s="22"/>
      <c r="CV31" s="22"/>
      <c r="CW31" s="22">
        <v>1</v>
      </c>
      <c r="CX31" s="22">
        <v>2</v>
      </c>
      <c r="CY31" s="22">
        <v>4</v>
      </c>
      <c r="CZ31" s="22"/>
      <c r="DA31" s="22" t="s">
        <v>542</v>
      </c>
      <c r="DB31" s="25">
        <f t="shared" si="2"/>
        <v>2150</v>
      </c>
      <c r="DC31" s="22"/>
    </row>
    <row r="32" spans="1:107" ht="42.75" customHeight="1" x14ac:dyDescent="0.15">
      <c r="A32" s="9" t="s">
        <v>543</v>
      </c>
      <c r="B32" s="9" t="s">
        <v>386</v>
      </c>
      <c r="C32" s="9">
        <v>29.710581000000001</v>
      </c>
      <c r="D32" s="9">
        <v>-81.230438000000007</v>
      </c>
      <c r="E32" s="9">
        <v>29.718069</v>
      </c>
      <c r="F32" s="9">
        <v>-81.229785000000007</v>
      </c>
      <c r="G32" s="9" t="s">
        <v>544</v>
      </c>
      <c r="H32" s="9" t="s">
        <v>168</v>
      </c>
      <c r="I32" s="9"/>
      <c r="J32" s="8">
        <v>41306</v>
      </c>
      <c r="K32" s="18">
        <v>0.4375</v>
      </c>
      <c r="Z32" s="9"/>
      <c r="AD32" s="9"/>
      <c r="AF32" s="11">
        <v>23</v>
      </c>
      <c r="AH32" s="9">
        <v>32</v>
      </c>
      <c r="AI32" s="9">
        <v>8</v>
      </c>
      <c r="AJ32" s="9">
        <v>15</v>
      </c>
      <c r="AM32" s="9">
        <v>4</v>
      </c>
      <c r="AN32" s="11">
        <v>10</v>
      </c>
      <c r="AO32" s="9">
        <v>7</v>
      </c>
      <c r="AP32" s="11">
        <v>3</v>
      </c>
      <c r="AR32" s="11">
        <v>2</v>
      </c>
      <c r="AW32" s="9">
        <v>100</v>
      </c>
      <c r="AX32" s="11">
        <v>30</v>
      </c>
      <c r="AZ32" s="11">
        <v>520</v>
      </c>
      <c r="BA32" s="9">
        <v>7</v>
      </c>
      <c r="BB32" s="11">
        <v>4</v>
      </c>
      <c r="BG32" s="9"/>
      <c r="BL32" s="9">
        <v>3</v>
      </c>
      <c r="BM32" s="9"/>
      <c r="BN32" s="9"/>
      <c r="BQ32" s="9">
        <v>7</v>
      </c>
      <c r="BS32" s="11">
        <v>42</v>
      </c>
      <c r="BT32" s="11">
        <v>1</v>
      </c>
      <c r="BW32" s="9"/>
      <c r="BX32" s="9"/>
      <c r="CB32" s="9">
        <v>5</v>
      </c>
      <c r="CC32" s="11">
        <v>2</v>
      </c>
      <c r="CE32" s="9"/>
      <c r="CM32" s="9"/>
      <c r="CN32" s="9"/>
      <c r="CO32" s="9"/>
      <c r="CP32" s="9"/>
      <c r="CQ32" s="9"/>
      <c r="CV32" s="11">
        <v>2</v>
      </c>
      <c r="CW32" s="9"/>
      <c r="DA32" s="11" t="s">
        <v>545</v>
      </c>
      <c r="DB32" s="19"/>
    </row>
    <row r="33" spans="1:107" ht="42.75" customHeight="1" x14ac:dyDescent="0.15">
      <c r="A33" s="9" t="s">
        <v>546</v>
      </c>
      <c r="B33" s="9" t="s">
        <v>494</v>
      </c>
      <c r="C33" s="9">
        <v>26.4421</v>
      </c>
      <c r="D33" s="9">
        <v>-81.981790000000004</v>
      </c>
      <c r="E33" s="9">
        <v>26.465730000000001</v>
      </c>
      <c r="F33" s="9">
        <v>-81.967579999999998</v>
      </c>
      <c r="G33" s="9" t="s">
        <v>495</v>
      </c>
      <c r="H33" s="9" t="s">
        <v>496</v>
      </c>
      <c r="J33" s="8">
        <v>41306</v>
      </c>
      <c r="K33" s="18">
        <v>0.35416666666666669</v>
      </c>
      <c r="L33" s="9"/>
      <c r="M33" s="9"/>
      <c r="N33" s="9"/>
      <c r="O33" s="9"/>
      <c r="P33" s="9"/>
      <c r="Q33" s="9"/>
      <c r="R33" s="9"/>
      <c r="S33" s="9"/>
      <c r="T33" s="9">
        <v>2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>
        <v>45</v>
      </c>
      <c r="AI33" s="9"/>
      <c r="AJ33" s="9">
        <v>4</v>
      </c>
      <c r="AK33" s="9"/>
      <c r="AL33" s="9"/>
      <c r="AM33" s="9">
        <v>236</v>
      </c>
      <c r="AN33" s="9"/>
      <c r="AO33" s="9">
        <v>55</v>
      </c>
      <c r="AP33" s="9">
        <v>2</v>
      </c>
      <c r="AQ33" s="9"/>
      <c r="AR33" s="9"/>
      <c r="AS33" s="9"/>
      <c r="AT33" s="9"/>
      <c r="AU33" s="9"/>
      <c r="AV33" s="9"/>
      <c r="AW33" s="9">
        <v>20</v>
      </c>
      <c r="AX33" s="9"/>
      <c r="AY33" s="9"/>
      <c r="AZ33" s="9">
        <v>2</v>
      </c>
      <c r="BA33" s="9">
        <v>2</v>
      </c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>
        <v>2</v>
      </c>
      <c r="BM33" s="9"/>
      <c r="BN33" s="9"/>
      <c r="BO33" s="9"/>
      <c r="BP33" s="9"/>
      <c r="BQ33" s="9">
        <v>11</v>
      </c>
      <c r="BR33" s="9">
        <v>14</v>
      </c>
      <c r="BS33" s="9">
        <v>75</v>
      </c>
      <c r="BT33" s="9"/>
      <c r="BU33" s="9"/>
      <c r="BV33" s="9"/>
      <c r="BW33" s="9"/>
      <c r="BX33" s="9"/>
      <c r="BY33" s="9"/>
      <c r="BZ33" s="9"/>
      <c r="CA33" s="9"/>
      <c r="CB33" s="9">
        <v>6</v>
      </c>
      <c r="CC33" s="9"/>
      <c r="CD33" s="9"/>
      <c r="CE33" s="9"/>
      <c r="CF33" s="9"/>
      <c r="CG33" s="9"/>
      <c r="CH33" s="9">
        <v>1</v>
      </c>
      <c r="CI33" s="9"/>
      <c r="CJ33" s="9"/>
      <c r="CK33" s="9"/>
      <c r="CL33" s="9"/>
      <c r="CM33" s="9"/>
      <c r="CN33" s="9"/>
      <c r="CO33" s="9">
        <v>1</v>
      </c>
      <c r="CP33" s="9"/>
      <c r="CQ33" s="9"/>
      <c r="CR33" s="9"/>
      <c r="CS33" s="9"/>
      <c r="CT33" s="9"/>
      <c r="CU33" s="9"/>
      <c r="CV33" s="9"/>
      <c r="CW33" s="9"/>
      <c r="CX33" s="9"/>
      <c r="CY33" s="9">
        <v>85</v>
      </c>
      <c r="CZ33" s="9"/>
      <c r="DA33" s="9" t="s">
        <v>547</v>
      </c>
      <c r="DB33" s="19">
        <f>SUM(L33:DA33)</f>
        <v>563</v>
      </c>
      <c r="DC33" s="11" t="s">
        <v>548</v>
      </c>
    </row>
    <row r="34" spans="1:107" ht="1.5" customHeight="1" x14ac:dyDescent="0.15">
      <c r="A34" s="9" t="s">
        <v>549</v>
      </c>
      <c r="B34" s="9" t="s">
        <v>494</v>
      </c>
      <c r="C34" s="9">
        <v>26.41581</v>
      </c>
      <c r="D34" s="9">
        <v>-81.904870000000003</v>
      </c>
      <c r="E34" s="9">
        <v>26.4421</v>
      </c>
      <c r="F34" s="9">
        <v>-81.931790000000007</v>
      </c>
      <c r="G34" s="9" t="s">
        <v>495</v>
      </c>
      <c r="H34" s="9" t="s">
        <v>496</v>
      </c>
      <c r="I34" s="9"/>
      <c r="J34" s="8">
        <v>41306</v>
      </c>
      <c r="K34" s="18">
        <v>0.2986111111111111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>
        <v>11</v>
      </c>
      <c r="AI34" s="9">
        <v>2</v>
      </c>
      <c r="AJ34" s="9">
        <v>8</v>
      </c>
      <c r="AK34" s="9"/>
      <c r="AL34" s="9"/>
      <c r="AM34" s="9">
        <v>80</v>
      </c>
      <c r="AN34" s="9"/>
      <c r="AO34" s="9">
        <v>41</v>
      </c>
      <c r="AP34" s="9">
        <v>1</v>
      </c>
      <c r="AQ34" s="9"/>
      <c r="AR34" s="9"/>
      <c r="AS34" s="9"/>
      <c r="AT34" s="9"/>
      <c r="AU34" s="9"/>
      <c r="AV34" s="9"/>
      <c r="AW34" s="9">
        <v>12</v>
      </c>
      <c r="AX34" s="9"/>
      <c r="AY34" s="9"/>
      <c r="AZ34" s="9">
        <v>4</v>
      </c>
      <c r="BA34" s="9">
        <v>9</v>
      </c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>
        <v>10</v>
      </c>
      <c r="BM34" s="9"/>
      <c r="BN34" s="9"/>
      <c r="BO34" s="9"/>
      <c r="BP34" s="9"/>
      <c r="BQ34" s="9">
        <v>20</v>
      </c>
      <c r="BR34" s="9"/>
      <c r="BS34" s="9">
        <v>51</v>
      </c>
      <c r="BT34" s="9"/>
      <c r="BU34" s="9"/>
      <c r="BV34" s="9"/>
      <c r="BW34" s="9"/>
      <c r="BX34" s="9"/>
      <c r="BY34" s="9"/>
      <c r="BZ34" s="9"/>
      <c r="CA34" s="9"/>
      <c r="CB34" s="9">
        <v>4</v>
      </c>
      <c r="CC34" s="9"/>
      <c r="CD34" s="9"/>
      <c r="CE34" s="9"/>
      <c r="CF34" s="9"/>
      <c r="CG34" s="9"/>
      <c r="CH34" s="9"/>
      <c r="CI34" s="9"/>
      <c r="CJ34" s="9"/>
      <c r="CK34" s="9"/>
      <c r="CL34" s="9">
        <v>1</v>
      </c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>
        <v>115</v>
      </c>
      <c r="CZ34" s="9"/>
      <c r="DA34" s="9" t="s">
        <v>550</v>
      </c>
      <c r="DB34" s="19">
        <v>500</v>
      </c>
      <c r="DC34" s="9" t="s">
        <v>551</v>
      </c>
    </row>
    <row r="35" spans="1:107" ht="14" x14ac:dyDescent="0.15">
      <c r="A35" s="9" t="s">
        <v>552</v>
      </c>
      <c r="B35" s="9" t="s">
        <v>442</v>
      </c>
      <c r="C35" s="9">
        <v>28.153700000000001</v>
      </c>
      <c r="D35" s="9">
        <v>-82.792370000000005</v>
      </c>
      <c r="E35" s="9">
        <v>28.155560000000001</v>
      </c>
      <c r="F35" s="9">
        <v>-82.805670000000006</v>
      </c>
      <c r="G35" s="9" t="s">
        <v>553</v>
      </c>
      <c r="H35" s="9" t="s">
        <v>554</v>
      </c>
      <c r="I35" s="9"/>
      <c r="J35" s="8">
        <v>41313</v>
      </c>
      <c r="K35" s="18">
        <v>0.3125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>
        <v>3</v>
      </c>
      <c r="Z35" s="9"/>
      <c r="AA35" s="9"/>
      <c r="AB35" s="9"/>
      <c r="AC35" s="9">
        <v>7</v>
      </c>
      <c r="AD35" s="9">
        <v>5</v>
      </c>
      <c r="AE35" s="9"/>
      <c r="AF35" s="9"/>
      <c r="AG35" s="9"/>
      <c r="AH35" s="9">
        <v>9</v>
      </c>
      <c r="AI35" s="9"/>
      <c r="AJ35" s="9">
        <v>70</v>
      </c>
      <c r="AK35" s="9"/>
      <c r="AL35" s="9"/>
      <c r="AM35" s="9">
        <v>79</v>
      </c>
      <c r="AN35" s="9"/>
      <c r="AO35" s="9">
        <v>28</v>
      </c>
      <c r="AP35" s="9">
        <v>3</v>
      </c>
      <c r="AQ35" s="9"/>
      <c r="AR35" s="9"/>
      <c r="AS35" s="9"/>
      <c r="AT35" s="9"/>
      <c r="AU35" s="9"/>
      <c r="AV35" s="9">
        <v>4</v>
      </c>
      <c r="AW35" s="9">
        <v>48</v>
      </c>
      <c r="AX35" s="9"/>
      <c r="AY35" s="9"/>
      <c r="AZ35" s="9">
        <v>240</v>
      </c>
      <c r="BA35" s="9">
        <v>10</v>
      </c>
      <c r="BB35" s="9">
        <v>2</v>
      </c>
      <c r="BC35" s="9">
        <v>24</v>
      </c>
      <c r="BD35" s="9"/>
      <c r="BE35" s="9"/>
      <c r="BF35" s="9"/>
      <c r="BG35" s="9">
        <v>2</v>
      </c>
      <c r="BH35" s="9"/>
      <c r="BI35" s="9"/>
      <c r="BJ35" s="9"/>
      <c r="BK35" s="9"/>
      <c r="BL35" s="9">
        <v>97</v>
      </c>
      <c r="BM35" s="9"/>
      <c r="BN35" s="9"/>
      <c r="BO35" s="9"/>
      <c r="BP35" s="9">
        <v>11</v>
      </c>
      <c r="BQ35" s="9">
        <v>13</v>
      </c>
      <c r="BR35" s="9"/>
      <c r="BS35" s="9">
        <v>6</v>
      </c>
      <c r="BT35" s="9"/>
      <c r="BU35" s="9">
        <v>2</v>
      </c>
      <c r="BV35" s="9"/>
      <c r="BW35" s="9">
        <v>3</v>
      </c>
      <c r="BX35" s="9">
        <v>4</v>
      </c>
      <c r="BY35" s="9"/>
      <c r="BZ35" s="9"/>
      <c r="CA35" s="9"/>
      <c r="CB35" s="9"/>
      <c r="CC35" s="9"/>
      <c r="CD35" s="9"/>
      <c r="CE35" s="9"/>
      <c r="CF35" s="9"/>
      <c r="CH35" s="9"/>
      <c r="CI35" s="9"/>
      <c r="CJ35" s="9"/>
      <c r="CK35" s="9"/>
      <c r="CL35" s="9"/>
      <c r="CM35" s="9">
        <v>3</v>
      </c>
      <c r="CN35" s="9"/>
      <c r="CO35" s="9"/>
      <c r="CP35" s="9"/>
      <c r="CQ35" s="9">
        <v>1</v>
      </c>
      <c r="CR35" s="9"/>
      <c r="CS35" s="9"/>
      <c r="CT35" s="9"/>
      <c r="CU35" s="9"/>
      <c r="CV35" s="9"/>
      <c r="CW35" s="9">
        <v>1</v>
      </c>
      <c r="CX35" s="9"/>
      <c r="CY35" s="9"/>
      <c r="CZ35" s="9"/>
      <c r="DB35" s="19">
        <f t="shared" ref="DB35:DB40" si="3">SUM(L35:DA35)</f>
        <v>675</v>
      </c>
    </row>
    <row r="36" spans="1:107" ht="28" x14ac:dyDescent="0.15">
      <c r="A36" s="9" t="s">
        <v>555</v>
      </c>
      <c r="B36" s="9" t="s">
        <v>556</v>
      </c>
      <c r="C36" s="9">
        <v>27.470656340000001</v>
      </c>
      <c r="D36" s="9">
        <v>-80.290140170000001</v>
      </c>
      <c r="E36" s="9">
        <v>27.458869279999998</v>
      </c>
      <c r="F36" s="9">
        <v>-80.287281019999995</v>
      </c>
      <c r="G36" s="9" t="s">
        <v>557</v>
      </c>
      <c r="H36" s="9" t="s">
        <v>558</v>
      </c>
      <c r="I36" s="9"/>
      <c r="J36" s="8">
        <v>41306</v>
      </c>
      <c r="K36" s="18">
        <v>0.33680555555555558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9"/>
      <c r="AI36" s="11"/>
      <c r="AJ36" s="11"/>
      <c r="AK36" s="11"/>
      <c r="AL36" s="11"/>
      <c r="AM36" s="11"/>
      <c r="AN36" s="11"/>
      <c r="AO36" s="9">
        <v>10</v>
      </c>
      <c r="AP36" s="11">
        <v>1</v>
      </c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9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9"/>
      <c r="BM36" s="11"/>
      <c r="BN36" s="11"/>
      <c r="BO36" s="11"/>
      <c r="BP36" s="11"/>
      <c r="BQ36" s="9">
        <v>6</v>
      </c>
      <c r="BR36" s="11"/>
      <c r="BS36" s="9">
        <v>8</v>
      </c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9"/>
      <c r="CU36" s="11"/>
      <c r="CV36" s="11"/>
      <c r="CW36" s="11"/>
      <c r="CX36" s="11"/>
      <c r="CY36" s="11"/>
      <c r="CZ36" s="11"/>
      <c r="DA36" s="11" t="s">
        <v>559</v>
      </c>
      <c r="DB36" s="19">
        <f t="shared" si="3"/>
        <v>25</v>
      </c>
      <c r="DC36" s="9"/>
    </row>
    <row r="37" spans="1:107" ht="16.5" customHeight="1" x14ac:dyDescent="0.15">
      <c r="A37" s="9" t="s">
        <v>560</v>
      </c>
      <c r="B37" s="9" t="s">
        <v>451</v>
      </c>
      <c r="C37" s="13" t="s">
        <v>522</v>
      </c>
      <c r="D37" s="9" t="s">
        <v>523</v>
      </c>
      <c r="E37" s="13" t="s">
        <v>561</v>
      </c>
      <c r="F37" s="9" t="s">
        <v>562</v>
      </c>
      <c r="G37" s="9" t="s">
        <v>563</v>
      </c>
      <c r="H37" s="9" t="s">
        <v>564</v>
      </c>
      <c r="I37" s="9"/>
      <c r="J37" s="8">
        <v>40940</v>
      </c>
      <c r="K37" s="16" t="s">
        <v>565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>
        <v>1</v>
      </c>
      <c r="AD37" s="9"/>
      <c r="AE37" s="9"/>
      <c r="AF37" s="9">
        <v>90</v>
      </c>
      <c r="AG37" s="9"/>
      <c r="AH37" s="9">
        <v>28</v>
      </c>
      <c r="AI37" s="9"/>
      <c r="AJ37" s="9">
        <v>4</v>
      </c>
      <c r="AK37" s="9"/>
      <c r="AL37" s="9"/>
      <c r="AM37" s="9">
        <v>12</v>
      </c>
      <c r="AN37" s="9">
        <v>2</v>
      </c>
      <c r="AO37" s="9">
        <v>6</v>
      </c>
      <c r="AP37" s="9"/>
      <c r="AQ37" s="9"/>
      <c r="AR37" s="9">
        <v>1</v>
      </c>
      <c r="AS37" s="9"/>
      <c r="AT37" s="9"/>
      <c r="AU37" s="9"/>
      <c r="AV37" s="9"/>
      <c r="AW37" s="9">
        <v>23</v>
      </c>
      <c r="AX37" s="9">
        <v>5</v>
      </c>
      <c r="AY37" s="9">
        <v>8</v>
      </c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>
        <v>4</v>
      </c>
      <c r="BM37" s="9"/>
      <c r="BN37" s="9"/>
      <c r="BO37" s="9"/>
      <c r="BP37" s="9"/>
      <c r="BQ37" s="9"/>
      <c r="BR37" s="9"/>
      <c r="BS37" s="9">
        <v>41</v>
      </c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11" t="s">
        <v>566</v>
      </c>
      <c r="DB37" s="19">
        <f t="shared" si="3"/>
        <v>225</v>
      </c>
      <c r="DC37" s="9"/>
    </row>
    <row r="38" spans="1:107" ht="32.25" customHeight="1" x14ac:dyDescent="0.15">
      <c r="A38" s="9" t="s">
        <v>567</v>
      </c>
      <c r="B38" s="9" t="s">
        <v>451</v>
      </c>
      <c r="C38" s="9" t="s">
        <v>568</v>
      </c>
      <c r="D38" s="9" t="s">
        <v>569</v>
      </c>
      <c r="E38" s="9" t="s">
        <v>570</v>
      </c>
      <c r="F38" s="9" t="s">
        <v>571</v>
      </c>
      <c r="G38" s="9" t="s">
        <v>572</v>
      </c>
      <c r="H38" s="9" t="s">
        <v>457</v>
      </c>
      <c r="I38" s="9"/>
      <c r="J38" s="8">
        <v>40940</v>
      </c>
      <c r="K38" s="16" t="s">
        <v>573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>
        <v>1</v>
      </c>
      <c r="AD38" s="11"/>
      <c r="AE38" s="11">
        <v>1</v>
      </c>
      <c r="AF38" s="11"/>
      <c r="AG38" s="11"/>
      <c r="AH38" s="9">
        <v>3</v>
      </c>
      <c r="AI38" s="11"/>
      <c r="AJ38" s="9">
        <v>1</v>
      </c>
      <c r="AK38" s="11"/>
      <c r="AL38" s="11"/>
      <c r="AM38" s="9"/>
      <c r="AN38" s="9"/>
      <c r="AO38" s="9">
        <v>15</v>
      </c>
      <c r="AP38" s="11"/>
      <c r="AQ38" s="11"/>
      <c r="AR38" s="11"/>
      <c r="AS38" s="11"/>
      <c r="AT38" s="11"/>
      <c r="AU38" s="11"/>
      <c r="AV38" s="11"/>
      <c r="AW38" s="9">
        <v>1</v>
      </c>
      <c r="AX38" s="9"/>
      <c r="AY38" s="9"/>
      <c r="AZ38" s="11"/>
      <c r="BA38" s="11">
        <v>1</v>
      </c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9"/>
      <c r="BM38" s="11"/>
      <c r="BN38" s="11"/>
      <c r="BO38" s="11"/>
      <c r="BP38" s="11"/>
      <c r="BQ38" s="11">
        <v>2</v>
      </c>
      <c r="BR38" s="11"/>
      <c r="BS38" s="9"/>
      <c r="BT38" s="11"/>
      <c r="BU38" s="11"/>
      <c r="BV38" s="11"/>
      <c r="BW38" s="11"/>
      <c r="BX38" s="11"/>
      <c r="BY38" s="11"/>
      <c r="BZ38" s="11"/>
      <c r="CA38" s="11"/>
      <c r="CB38" s="9">
        <v>2</v>
      </c>
      <c r="CC38" s="11"/>
      <c r="CD38" s="11"/>
      <c r="CE38" s="11"/>
      <c r="CF38" s="11"/>
      <c r="CG38" s="11"/>
      <c r="CH38" s="11">
        <v>1</v>
      </c>
      <c r="CI38" s="11"/>
      <c r="CJ38" s="11"/>
      <c r="CK38" s="11"/>
      <c r="CL38" s="11"/>
      <c r="CM38" s="11">
        <v>2</v>
      </c>
      <c r="CN38" s="11">
        <v>3</v>
      </c>
      <c r="CO38" s="9">
        <v>6</v>
      </c>
      <c r="CP38" s="11">
        <v>5</v>
      </c>
      <c r="CQ38" s="11">
        <v>3</v>
      </c>
      <c r="CR38" s="11"/>
      <c r="CS38" s="11"/>
      <c r="CT38" s="11">
        <v>1</v>
      </c>
      <c r="CU38" s="11"/>
      <c r="CV38" s="11">
        <v>2</v>
      </c>
      <c r="CW38" s="11">
        <v>1</v>
      </c>
      <c r="CX38" s="11">
        <v>14</v>
      </c>
      <c r="CY38" s="11"/>
      <c r="CZ38" s="11"/>
      <c r="DA38" s="9" t="s">
        <v>574</v>
      </c>
      <c r="DB38" s="19">
        <f t="shared" si="3"/>
        <v>65</v>
      </c>
      <c r="DC38" s="9"/>
    </row>
    <row r="39" spans="1:107" ht="28" x14ac:dyDescent="0.15">
      <c r="A39" s="9" t="s">
        <v>575</v>
      </c>
      <c r="B39" s="9" t="s">
        <v>576</v>
      </c>
      <c r="C39" s="9">
        <v>27.874666000000001</v>
      </c>
      <c r="D39" s="9">
        <v>-82.597703999999993</v>
      </c>
      <c r="E39" s="9">
        <v>27.877132</v>
      </c>
      <c r="F39" s="9">
        <v>-82.589185000000001</v>
      </c>
      <c r="G39" s="9" t="s">
        <v>577</v>
      </c>
      <c r="H39" s="9" t="s">
        <v>578</v>
      </c>
      <c r="I39" s="9"/>
      <c r="J39" s="8">
        <v>41315</v>
      </c>
      <c r="K39" s="18">
        <v>0.34375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>
        <v>2</v>
      </c>
      <c r="AA39" s="9"/>
      <c r="AB39" s="9"/>
      <c r="AC39" s="9"/>
      <c r="AD39" s="9"/>
      <c r="AE39" s="9"/>
      <c r="AF39" s="9"/>
      <c r="AG39" s="9"/>
      <c r="AH39" s="9">
        <v>8</v>
      </c>
      <c r="AI39" s="9"/>
      <c r="AJ39" s="9">
        <v>2</v>
      </c>
      <c r="AK39" s="9"/>
      <c r="AL39" s="9"/>
      <c r="AM39" s="9">
        <v>62</v>
      </c>
      <c r="AN39" s="9"/>
      <c r="AO39" s="9">
        <v>26</v>
      </c>
      <c r="AP39" s="9"/>
      <c r="AQ39" s="9"/>
      <c r="AR39" s="9"/>
      <c r="AS39" s="9"/>
      <c r="AT39" s="9"/>
      <c r="AU39" s="9"/>
      <c r="AV39" s="9"/>
      <c r="AW39" s="9">
        <v>12</v>
      </c>
      <c r="AX39" s="9">
        <v>2</v>
      </c>
      <c r="AY39" s="9"/>
      <c r="AZ39" s="9">
        <v>16</v>
      </c>
      <c r="BA39" s="9">
        <v>2</v>
      </c>
      <c r="BB39" s="9"/>
      <c r="BC39" s="9">
        <v>1</v>
      </c>
      <c r="BD39" s="9"/>
      <c r="BE39" s="9"/>
      <c r="BF39" s="9"/>
      <c r="BG39" s="9">
        <v>1</v>
      </c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>
        <v>1</v>
      </c>
      <c r="BU39" s="9"/>
      <c r="BV39" s="9"/>
      <c r="BW39" s="9">
        <v>1</v>
      </c>
      <c r="BX39" s="9"/>
      <c r="BY39" s="9"/>
      <c r="BZ39" s="9"/>
      <c r="CA39" s="9"/>
      <c r="CB39" s="9">
        <v>2</v>
      </c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>
        <v>1</v>
      </c>
      <c r="CN39" s="9">
        <v>1</v>
      </c>
      <c r="CO39" s="9"/>
      <c r="CP39" s="9"/>
      <c r="CQ39" s="9">
        <v>1</v>
      </c>
      <c r="CR39" s="9"/>
      <c r="CS39" s="9"/>
      <c r="CT39" s="9"/>
      <c r="CU39" s="9"/>
      <c r="CV39" s="9"/>
      <c r="CW39" s="9"/>
      <c r="CX39" s="9"/>
      <c r="CY39" s="9">
        <v>1</v>
      </c>
      <c r="CZ39" s="9"/>
      <c r="DA39" s="9" t="s">
        <v>579</v>
      </c>
      <c r="DB39" s="19">
        <f t="shared" si="3"/>
        <v>142</v>
      </c>
      <c r="DC39" s="9"/>
    </row>
    <row r="40" spans="1:107" ht="28" x14ac:dyDescent="0.15">
      <c r="A40" s="9" t="s">
        <v>580</v>
      </c>
      <c r="B40" s="9" t="s">
        <v>581</v>
      </c>
      <c r="C40" s="9">
        <v>29.694241000000002</v>
      </c>
      <c r="D40" s="9">
        <v>-84.788467999999995</v>
      </c>
      <c r="E40" s="9">
        <v>29.703693000000001</v>
      </c>
      <c r="F40" s="9">
        <v>-84.802076</v>
      </c>
      <c r="G40" s="9" t="s">
        <v>582</v>
      </c>
      <c r="H40" s="9" t="s">
        <v>583</v>
      </c>
      <c r="I40" s="9"/>
      <c r="J40" s="8">
        <v>41313</v>
      </c>
      <c r="K40" s="18">
        <v>0.52083333333333337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>
        <v>2</v>
      </c>
      <c r="X40" s="9"/>
      <c r="Y40" s="9"/>
      <c r="Z40" s="9">
        <v>2</v>
      </c>
      <c r="AA40" s="9"/>
      <c r="AB40" s="9"/>
      <c r="AC40" s="9">
        <v>1</v>
      </c>
      <c r="AD40" s="9">
        <v>4</v>
      </c>
      <c r="AE40" s="9"/>
      <c r="AF40" s="9"/>
      <c r="AG40" s="9"/>
      <c r="AH40" s="9"/>
      <c r="AI40" s="9"/>
      <c r="AJ40" s="9">
        <v>23</v>
      </c>
      <c r="AK40" s="9"/>
      <c r="AL40" s="9"/>
      <c r="AM40" s="9"/>
      <c r="AN40" s="9"/>
      <c r="AO40" s="9">
        <v>3</v>
      </c>
      <c r="AP40" s="9">
        <v>3</v>
      </c>
      <c r="AQ40" s="9"/>
      <c r="AR40" s="9"/>
      <c r="AS40" s="9"/>
      <c r="AT40" s="9"/>
      <c r="AU40" s="9"/>
      <c r="AV40" s="9"/>
      <c r="AW40" s="9">
        <v>3</v>
      </c>
      <c r="AX40" s="9">
        <v>28</v>
      </c>
      <c r="AY40" s="9"/>
      <c r="AZ40" s="9"/>
      <c r="BA40" s="9"/>
      <c r="BB40" s="9">
        <v>3</v>
      </c>
      <c r="BC40" s="9"/>
      <c r="BD40" s="9"/>
      <c r="BE40" s="9"/>
      <c r="BF40" s="9"/>
      <c r="BG40" s="9">
        <v>17</v>
      </c>
      <c r="BH40" s="9"/>
      <c r="BI40" s="9">
        <v>1</v>
      </c>
      <c r="BJ40" s="9"/>
      <c r="BK40" s="9"/>
      <c r="BL40" s="9">
        <v>15</v>
      </c>
      <c r="BM40" s="9"/>
      <c r="BN40" s="9"/>
      <c r="BO40" s="9"/>
      <c r="BP40" s="9"/>
      <c r="BQ40" s="9">
        <v>31</v>
      </c>
      <c r="BR40" s="9"/>
      <c r="BS40" s="9">
        <v>3</v>
      </c>
      <c r="BT40" s="9"/>
      <c r="BU40" s="9"/>
      <c r="BV40" s="9"/>
      <c r="BW40" s="9">
        <v>91</v>
      </c>
      <c r="BX40" s="9"/>
      <c r="BY40" s="9"/>
      <c r="BZ40" s="9"/>
      <c r="CA40" s="9"/>
      <c r="CB40" s="9"/>
      <c r="CC40" s="9">
        <v>1</v>
      </c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19">
        <f t="shared" si="3"/>
        <v>231</v>
      </c>
      <c r="DC40" s="9"/>
    </row>
    <row r="41" spans="1:107" ht="42" x14ac:dyDescent="0.15">
      <c r="A41" s="11" t="s">
        <v>584</v>
      </c>
      <c r="B41" s="11" t="s">
        <v>585</v>
      </c>
      <c r="C41" s="11">
        <v>29.770320000000002</v>
      </c>
      <c r="D41" s="11">
        <v>-83.578800000000001</v>
      </c>
      <c r="E41" s="11">
        <v>29.770320000000002</v>
      </c>
      <c r="F41" s="11">
        <v>-83.578800000000001</v>
      </c>
      <c r="G41" s="11" t="s">
        <v>586</v>
      </c>
      <c r="H41" s="11" t="s">
        <v>587</v>
      </c>
      <c r="J41" s="20">
        <v>41306</v>
      </c>
      <c r="K41" s="21">
        <v>0.625</v>
      </c>
      <c r="Z41" s="11">
        <v>17</v>
      </c>
      <c r="AP41" s="11">
        <v>4</v>
      </c>
      <c r="AX41" s="11">
        <v>2</v>
      </c>
      <c r="BA41" s="11">
        <v>31</v>
      </c>
      <c r="BC41" s="11">
        <v>43</v>
      </c>
      <c r="BI41" s="11">
        <v>10</v>
      </c>
      <c r="BL41" s="11">
        <v>62</v>
      </c>
      <c r="BP41" s="11">
        <v>15</v>
      </c>
      <c r="BR41" s="11">
        <v>2</v>
      </c>
      <c r="BW41" s="11">
        <v>1000</v>
      </c>
      <c r="BZ41" s="11">
        <v>334</v>
      </c>
      <c r="CC41" s="11">
        <v>1</v>
      </c>
      <c r="CQ41" s="11">
        <v>51</v>
      </c>
      <c r="DA41" s="11" t="s">
        <v>588</v>
      </c>
      <c r="DB41" s="19"/>
    </row>
    <row r="42" spans="1:107" ht="28" x14ac:dyDescent="0.15">
      <c r="A42" s="11" t="s">
        <v>589</v>
      </c>
      <c r="B42" s="11" t="s">
        <v>442</v>
      </c>
      <c r="C42" s="11">
        <v>28.06288</v>
      </c>
      <c r="D42" s="11">
        <v>-82.831500000000005</v>
      </c>
      <c r="E42" s="11">
        <v>28.097899999999999</v>
      </c>
      <c r="F42" s="11">
        <v>-82.835400000000007</v>
      </c>
      <c r="G42" s="11" t="s">
        <v>590</v>
      </c>
      <c r="H42" s="11" t="s">
        <v>144</v>
      </c>
      <c r="J42" s="20">
        <v>41315</v>
      </c>
      <c r="K42" s="21">
        <v>0.41666666666666669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>
        <v>22</v>
      </c>
      <c r="AI42" s="11"/>
      <c r="AJ42" s="11">
        <v>207</v>
      </c>
      <c r="AK42" s="11"/>
      <c r="AL42" s="11"/>
      <c r="AM42" s="11">
        <v>67</v>
      </c>
      <c r="AN42" s="11"/>
      <c r="AO42" s="11">
        <v>12</v>
      </c>
      <c r="AP42" s="11">
        <v>6</v>
      </c>
      <c r="AQ42" s="11"/>
      <c r="AR42" s="11"/>
      <c r="AS42" s="11"/>
      <c r="AT42" s="11"/>
      <c r="AU42" s="11"/>
      <c r="AV42" s="11">
        <v>9</v>
      </c>
      <c r="AW42" s="11">
        <v>68</v>
      </c>
      <c r="AX42" s="11">
        <v>27</v>
      </c>
      <c r="AY42" s="11"/>
      <c r="AZ42" s="11"/>
      <c r="BA42" s="11">
        <v>12</v>
      </c>
      <c r="BB42" s="11">
        <v>3</v>
      </c>
      <c r="BC42" s="11">
        <v>37</v>
      </c>
      <c r="BD42" s="11">
        <v>14</v>
      </c>
      <c r="BE42" s="11"/>
      <c r="BF42" s="11"/>
      <c r="BG42" s="11">
        <v>4</v>
      </c>
      <c r="BH42" s="11"/>
      <c r="BI42" s="11"/>
      <c r="BJ42" s="11"/>
      <c r="BK42" s="11"/>
      <c r="BL42" s="11">
        <v>17</v>
      </c>
      <c r="BM42" s="11"/>
      <c r="BN42" s="11"/>
      <c r="BO42" s="11"/>
      <c r="BP42" s="11"/>
      <c r="BQ42" s="11">
        <v>38</v>
      </c>
      <c r="BR42" s="11">
        <v>32</v>
      </c>
      <c r="BS42" s="11">
        <v>41</v>
      </c>
      <c r="BT42" s="11"/>
      <c r="BU42" s="11">
        <v>16</v>
      </c>
      <c r="BV42" s="11"/>
      <c r="BW42" s="11">
        <v>84</v>
      </c>
      <c r="BX42" s="11">
        <v>6</v>
      </c>
      <c r="BY42" s="11"/>
      <c r="BZ42" s="11"/>
      <c r="CA42" s="11"/>
      <c r="CB42" s="11">
        <v>12</v>
      </c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>
        <v>1</v>
      </c>
      <c r="CN42" s="11"/>
      <c r="CO42" s="11"/>
      <c r="CP42" s="11"/>
      <c r="CQ42" s="11"/>
      <c r="CR42" s="11"/>
      <c r="CS42" s="11"/>
      <c r="CT42" s="11">
        <v>12</v>
      </c>
      <c r="CU42" s="11"/>
      <c r="CV42" s="11"/>
      <c r="CW42" s="11"/>
      <c r="CX42" s="11"/>
      <c r="CY42" s="11"/>
      <c r="CZ42" s="11"/>
      <c r="DB42" s="19">
        <f t="shared" ref="DB42:DB54" si="4">SUM(L42:DA42)</f>
        <v>747</v>
      </c>
    </row>
    <row r="43" spans="1:107" ht="28" x14ac:dyDescent="0.15">
      <c r="A43" s="11" t="s">
        <v>591</v>
      </c>
      <c r="B43" s="11" t="s">
        <v>442</v>
      </c>
      <c r="C43" s="11">
        <v>28.055900000000001</v>
      </c>
      <c r="D43" s="11">
        <v>-82.815899999999999</v>
      </c>
      <c r="E43" s="11">
        <v>28.062799999999999</v>
      </c>
      <c r="F43" s="11">
        <v>-82.831500000000005</v>
      </c>
      <c r="G43" s="11" t="s">
        <v>518</v>
      </c>
      <c r="H43" s="11" t="s">
        <v>152</v>
      </c>
      <c r="J43" s="20">
        <v>41315</v>
      </c>
      <c r="K43" s="21">
        <v>0.33333333333333331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>
        <v>6</v>
      </c>
      <c r="AI43" s="11"/>
      <c r="AJ43" s="11">
        <v>4</v>
      </c>
      <c r="AK43" s="11"/>
      <c r="AL43" s="11"/>
      <c r="AM43" s="11">
        <v>11</v>
      </c>
      <c r="AN43" s="11"/>
      <c r="AO43" s="11">
        <v>16</v>
      </c>
      <c r="AP43" s="11">
        <v>2</v>
      </c>
      <c r="AQ43" s="11"/>
      <c r="AR43" s="11"/>
      <c r="AS43" s="11"/>
      <c r="AT43" s="11"/>
      <c r="AU43" s="11"/>
      <c r="AV43" s="11"/>
      <c r="AW43" s="11">
        <v>24</v>
      </c>
      <c r="AX43" s="11">
        <v>4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>
        <v>4</v>
      </c>
      <c r="BR43" s="11"/>
      <c r="BS43" s="11">
        <v>3</v>
      </c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B43" s="19">
        <f t="shared" si="4"/>
        <v>74</v>
      </c>
    </row>
    <row r="44" spans="1:107" ht="57" customHeight="1" x14ac:dyDescent="0.15">
      <c r="A44" s="9" t="s">
        <v>592</v>
      </c>
      <c r="B44" s="9" t="s">
        <v>593</v>
      </c>
      <c r="C44" s="9">
        <v>30.407041</v>
      </c>
      <c r="D44" s="9">
        <v>-81.411541</v>
      </c>
      <c r="E44" s="9" t="s">
        <v>594</v>
      </c>
      <c r="F44" s="9" t="s">
        <v>595</v>
      </c>
      <c r="G44" s="9" t="s">
        <v>596</v>
      </c>
      <c r="H44" s="9" t="s">
        <v>597</v>
      </c>
      <c r="I44" s="9"/>
      <c r="J44" s="8">
        <v>41307</v>
      </c>
      <c r="K44" s="18">
        <v>0.28819444444444442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>
        <v>55</v>
      </c>
      <c r="AA44" s="9"/>
      <c r="AB44" s="9"/>
      <c r="AC44" s="9">
        <v>3</v>
      </c>
      <c r="AD44" s="9">
        <v>7</v>
      </c>
      <c r="AE44" s="9"/>
      <c r="AF44" s="9">
        <v>144</v>
      </c>
      <c r="AG44" s="9"/>
      <c r="AH44" s="9">
        <v>15</v>
      </c>
      <c r="AI44" s="9"/>
      <c r="AJ44" s="9">
        <v>122</v>
      </c>
      <c r="AK44" s="9"/>
      <c r="AL44" s="9"/>
      <c r="AM44" s="9">
        <v>41</v>
      </c>
      <c r="AN44" s="9">
        <v>95</v>
      </c>
      <c r="AO44" s="9">
        <v>18</v>
      </c>
      <c r="AP44" s="9">
        <v>26</v>
      </c>
      <c r="AQ44" s="9">
        <v>2</v>
      </c>
      <c r="AR44" s="9">
        <v>10</v>
      </c>
      <c r="AS44" s="9"/>
      <c r="AT44" s="9"/>
      <c r="AU44" s="9"/>
      <c r="AV44" s="9"/>
      <c r="AW44" s="9">
        <v>13</v>
      </c>
      <c r="AX44" s="9">
        <v>7</v>
      </c>
      <c r="AY44" s="9"/>
      <c r="AZ44" s="9"/>
      <c r="BA44" s="9">
        <v>41</v>
      </c>
      <c r="BB44" s="9">
        <v>8</v>
      </c>
      <c r="BC44" s="9">
        <v>175</v>
      </c>
      <c r="BD44" s="9">
        <v>6</v>
      </c>
      <c r="BE44" s="9"/>
      <c r="BF44" s="9"/>
      <c r="BG44" s="9"/>
      <c r="BH44" s="9"/>
      <c r="BI44" s="9">
        <v>1</v>
      </c>
      <c r="BJ44" s="9"/>
      <c r="BK44" s="9"/>
      <c r="BL44" s="9">
        <v>2</v>
      </c>
      <c r="BM44" s="9"/>
      <c r="BN44" s="9"/>
      <c r="BO44" s="9"/>
      <c r="BP44" s="9"/>
      <c r="BQ44" s="9">
        <v>10</v>
      </c>
      <c r="BR44" s="9">
        <v>12</v>
      </c>
      <c r="BS44" s="9">
        <v>112</v>
      </c>
      <c r="BT44" s="9">
        <v>131</v>
      </c>
      <c r="BU44" s="9"/>
      <c r="BV44" s="9"/>
      <c r="BW44" s="9">
        <v>176</v>
      </c>
      <c r="BX44" s="9">
        <v>135</v>
      </c>
      <c r="BY44" s="9"/>
      <c r="BZ44" s="9"/>
      <c r="CA44" s="9"/>
      <c r="CB44" s="9">
        <v>4</v>
      </c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>
        <v>3</v>
      </c>
      <c r="CN44" s="9">
        <v>5</v>
      </c>
      <c r="CO44" s="9">
        <v>1</v>
      </c>
      <c r="CP44" s="9"/>
      <c r="CQ44" s="9"/>
      <c r="CR44" s="9"/>
      <c r="CS44" s="9"/>
      <c r="CT44" s="9"/>
      <c r="CU44" s="9"/>
      <c r="CV44" s="9"/>
      <c r="CW44" s="9">
        <v>1</v>
      </c>
      <c r="CX44" s="9"/>
      <c r="CY44" s="9"/>
      <c r="CZ44" s="9"/>
      <c r="DA44" s="11" t="s">
        <v>598</v>
      </c>
      <c r="DB44" s="19">
        <f t="shared" si="4"/>
        <v>1381</v>
      </c>
      <c r="DC44" s="9"/>
    </row>
    <row r="45" spans="1:107" ht="28" x14ac:dyDescent="0.15">
      <c r="A45" s="9" t="s">
        <v>599</v>
      </c>
      <c r="B45" s="9" t="s">
        <v>600</v>
      </c>
      <c r="C45" s="9">
        <v>27.31202</v>
      </c>
      <c r="D45" s="9">
        <v>-80.222390000000004</v>
      </c>
      <c r="E45" s="9">
        <v>27.186669999999999</v>
      </c>
      <c r="F45" s="9">
        <v>-80.160499999999999</v>
      </c>
      <c r="G45" s="9" t="s">
        <v>601</v>
      </c>
      <c r="H45" s="9" t="s">
        <v>602</v>
      </c>
      <c r="I45" s="9"/>
      <c r="J45" s="8">
        <v>41306</v>
      </c>
      <c r="K45" s="18">
        <v>0.33333333333333331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9"/>
      <c r="AA45" s="11"/>
      <c r="AB45" s="11"/>
      <c r="AC45" s="11"/>
      <c r="AD45" s="11"/>
      <c r="AE45" s="11"/>
      <c r="AF45" s="11"/>
      <c r="AG45" s="11"/>
      <c r="AH45" s="9">
        <v>17</v>
      </c>
      <c r="AI45" s="11"/>
      <c r="AJ45" s="9"/>
      <c r="AK45" s="11"/>
      <c r="AL45" s="11"/>
      <c r="AM45" s="9">
        <v>8</v>
      </c>
      <c r="AN45" s="11"/>
      <c r="AO45" s="9">
        <v>119</v>
      </c>
      <c r="AP45" s="11">
        <v>3</v>
      </c>
      <c r="AQ45" s="11"/>
      <c r="AR45" s="11">
        <v>6</v>
      </c>
      <c r="AS45" s="11"/>
      <c r="AT45" s="11"/>
      <c r="AU45" s="11"/>
      <c r="AV45" s="11"/>
      <c r="AW45" s="9">
        <v>8</v>
      </c>
      <c r="AX45" s="11">
        <v>1</v>
      </c>
      <c r="AY45" s="11"/>
      <c r="AZ45" s="11"/>
      <c r="BA45" s="11">
        <v>7</v>
      </c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>
        <v>24</v>
      </c>
      <c r="BM45" s="11"/>
      <c r="BN45" s="11"/>
      <c r="BO45" s="11"/>
      <c r="BP45" s="11"/>
      <c r="BQ45" s="11">
        <v>17</v>
      </c>
      <c r="BR45" s="11"/>
      <c r="BS45" s="11">
        <v>199</v>
      </c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9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 t="s">
        <v>603</v>
      </c>
      <c r="DB45" s="19">
        <f t="shared" si="4"/>
        <v>409</v>
      </c>
      <c r="DC45" s="9" t="s">
        <v>604</v>
      </c>
    </row>
    <row r="46" spans="1:107" ht="70" x14ac:dyDescent="0.15">
      <c r="A46" s="9" t="s">
        <v>605</v>
      </c>
      <c r="B46" s="9" t="s">
        <v>442</v>
      </c>
      <c r="C46" s="9">
        <v>27.909839999999999</v>
      </c>
      <c r="D46" s="9">
        <v>-82.847610000000003</v>
      </c>
      <c r="E46" s="9">
        <v>27.87161</v>
      </c>
      <c r="F46" s="9">
        <v>-82.850769999999997</v>
      </c>
      <c r="G46" s="9" t="s">
        <v>606</v>
      </c>
      <c r="H46" s="9" t="s">
        <v>193</v>
      </c>
      <c r="I46" s="9"/>
      <c r="J46" s="8">
        <v>41315</v>
      </c>
      <c r="K46" s="16" t="s">
        <v>607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>
        <v>3</v>
      </c>
      <c r="AD46" s="9"/>
      <c r="AE46" s="9"/>
      <c r="AF46" s="9">
        <v>1</v>
      </c>
      <c r="AG46" s="9"/>
      <c r="AH46" s="9">
        <v>20</v>
      </c>
      <c r="AI46" s="9"/>
      <c r="AJ46" s="9">
        <v>35</v>
      </c>
      <c r="AK46" s="9"/>
      <c r="AL46" s="9"/>
      <c r="AM46" s="9">
        <v>202</v>
      </c>
      <c r="AN46" s="9"/>
      <c r="AO46" s="9">
        <v>41</v>
      </c>
      <c r="AP46" s="9">
        <v>6</v>
      </c>
      <c r="AQ46" s="9"/>
      <c r="AR46" s="9"/>
      <c r="AS46" s="9"/>
      <c r="AT46" s="9"/>
      <c r="AU46" s="9"/>
      <c r="AV46" s="9"/>
      <c r="AW46" s="9">
        <v>12</v>
      </c>
      <c r="AX46" s="9">
        <v>31</v>
      </c>
      <c r="AY46" s="9">
        <v>8</v>
      </c>
      <c r="AZ46" s="9"/>
      <c r="BA46" s="9">
        <v>3</v>
      </c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>
        <v>2</v>
      </c>
      <c r="BM46" s="9"/>
      <c r="BN46" s="9"/>
      <c r="BO46" s="9"/>
      <c r="BP46" s="9"/>
      <c r="BQ46" s="9">
        <v>5</v>
      </c>
      <c r="BR46" s="9">
        <v>24</v>
      </c>
      <c r="BS46" s="9">
        <v>97</v>
      </c>
      <c r="BT46" s="9"/>
      <c r="BU46" s="9"/>
      <c r="BV46" s="9"/>
      <c r="BW46" s="9"/>
      <c r="BX46" s="9"/>
      <c r="BY46" s="9"/>
      <c r="BZ46" s="9"/>
      <c r="CA46" s="9"/>
      <c r="CB46" s="9">
        <v>2</v>
      </c>
      <c r="CC46" s="9"/>
      <c r="CD46" s="9"/>
      <c r="CE46" s="9"/>
      <c r="CF46" s="9"/>
      <c r="CG46" s="9">
        <v>1</v>
      </c>
      <c r="CH46" s="9"/>
      <c r="CI46" s="9"/>
      <c r="CJ46" s="9"/>
      <c r="CK46" s="9"/>
      <c r="CL46" s="9"/>
      <c r="CM46" s="9">
        <v>1</v>
      </c>
      <c r="CN46" s="9">
        <v>1</v>
      </c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>
        <v>8</v>
      </c>
      <c r="CZ46" s="9"/>
      <c r="DA46" s="9" t="s">
        <v>608</v>
      </c>
      <c r="DB46" s="19">
        <f t="shared" si="4"/>
        <v>503</v>
      </c>
      <c r="DC46" s="9" t="s">
        <v>609</v>
      </c>
    </row>
    <row r="47" spans="1:107" ht="56" x14ac:dyDescent="0.15">
      <c r="A47" s="11" t="s">
        <v>610</v>
      </c>
      <c r="B47" s="11" t="s">
        <v>611</v>
      </c>
      <c r="C47" s="11">
        <v>27.135539999999999</v>
      </c>
      <c r="D47" s="11">
        <v>80.859859999999998</v>
      </c>
      <c r="E47" s="11">
        <v>27.109200000000001</v>
      </c>
      <c r="F47" s="11">
        <v>80.887230000000002</v>
      </c>
      <c r="G47" s="11" t="s">
        <v>612</v>
      </c>
      <c r="H47" s="11" t="s">
        <v>613</v>
      </c>
      <c r="J47" s="20">
        <v>41310</v>
      </c>
      <c r="K47" s="21">
        <v>0.39583333333333331</v>
      </c>
      <c r="L47" s="11">
        <v>8</v>
      </c>
      <c r="N47" s="11">
        <v>659</v>
      </c>
      <c r="AE47" s="11">
        <v>2</v>
      </c>
      <c r="AJ47" s="11">
        <v>3</v>
      </c>
      <c r="AM47" s="11">
        <v>10</v>
      </c>
      <c r="AO47" s="11">
        <v>5</v>
      </c>
      <c r="AX47" s="11">
        <v>5</v>
      </c>
      <c r="BJ47" s="11">
        <v>28</v>
      </c>
      <c r="BU47" s="11">
        <v>3</v>
      </c>
      <c r="CA47" s="11">
        <v>3</v>
      </c>
      <c r="CB47" s="11">
        <v>4</v>
      </c>
      <c r="CE47" s="11">
        <v>3</v>
      </c>
      <c r="CM47" s="11">
        <v>26</v>
      </c>
      <c r="CN47" s="11">
        <v>3</v>
      </c>
      <c r="CO47" s="11">
        <v>103</v>
      </c>
      <c r="CP47" s="11">
        <v>22</v>
      </c>
      <c r="CQ47" s="11">
        <v>38</v>
      </c>
      <c r="DA47" s="11" t="s">
        <v>614</v>
      </c>
      <c r="DB47" s="19">
        <f t="shared" si="4"/>
        <v>925</v>
      </c>
      <c r="DC47" s="11" t="s">
        <v>615</v>
      </c>
    </row>
    <row r="48" spans="1:107" ht="42" x14ac:dyDescent="0.15">
      <c r="A48" s="11" t="s">
        <v>616</v>
      </c>
      <c r="B48" s="11" t="s">
        <v>611</v>
      </c>
      <c r="C48" s="11">
        <v>27.109200000000001</v>
      </c>
      <c r="D48" s="11">
        <v>80.887230000000002</v>
      </c>
      <c r="E48" s="11">
        <v>27.034089000000002</v>
      </c>
      <c r="F48" s="11">
        <v>80.935383000000002</v>
      </c>
      <c r="G48" s="11" t="s">
        <v>612</v>
      </c>
      <c r="H48" s="11" t="s">
        <v>613</v>
      </c>
      <c r="J48" s="20">
        <v>41310</v>
      </c>
      <c r="K48" s="21">
        <v>0.47222222222222221</v>
      </c>
      <c r="L48" s="11">
        <v>282</v>
      </c>
      <c r="N48" s="11">
        <v>470</v>
      </c>
      <c r="AE48" s="11">
        <v>1</v>
      </c>
      <c r="AI48" s="11">
        <v>1</v>
      </c>
      <c r="AJ48" s="11">
        <v>4</v>
      </c>
      <c r="AM48" s="11">
        <v>30</v>
      </c>
      <c r="AO48" s="11">
        <v>1</v>
      </c>
      <c r="AP48" s="11">
        <v>1</v>
      </c>
      <c r="AV48" s="11">
        <v>52</v>
      </c>
      <c r="AX48" s="11">
        <v>35</v>
      </c>
      <c r="BF48" s="11">
        <v>35</v>
      </c>
      <c r="BI48" s="11">
        <v>4</v>
      </c>
      <c r="BJ48" s="11">
        <v>40</v>
      </c>
      <c r="BU48" s="11">
        <v>50</v>
      </c>
      <c r="BW48" s="11">
        <v>2</v>
      </c>
      <c r="BY48" s="11">
        <v>300</v>
      </c>
      <c r="CA48" s="11">
        <v>27</v>
      </c>
      <c r="CB48" s="11">
        <v>2</v>
      </c>
      <c r="CC48" s="11">
        <v>1</v>
      </c>
      <c r="CE48" s="11">
        <v>2</v>
      </c>
      <c r="CH48" s="11">
        <v>1</v>
      </c>
      <c r="CI48" s="11">
        <v>1</v>
      </c>
      <c r="CM48" s="11">
        <v>32</v>
      </c>
      <c r="CN48" s="11">
        <v>48</v>
      </c>
      <c r="CO48" s="11">
        <v>24</v>
      </c>
      <c r="CP48" s="11">
        <v>30</v>
      </c>
      <c r="CQ48" s="11">
        <v>46</v>
      </c>
      <c r="CT48" s="11">
        <v>350</v>
      </c>
      <c r="DA48" s="11" t="s">
        <v>617</v>
      </c>
      <c r="DB48" s="19">
        <f t="shared" si="4"/>
        <v>1872</v>
      </c>
      <c r="DC48" s="11" t="s">
        <v>618</v>
      </c>
    </row>
    <row r="49" spans="1:107" ht="42" x14ac:dyDescent="0.15">
      <c r="A49" s="9" t="s">
        <v>619</v>
      </c>
      <c r="B49" s="9" t="s">
        <v>442</v>
      </c>
      <c r="C49" s="9">
        <v>27.748753000000001</v>
      </c>
      <c r="D49" s="9">
        <v>-82.629333000000003</v>
      </c>
      <c r="E49" s="9">
        <v>27.755648000000001</v>
      </c>
      <c r="F49" s="9">
        <v>-82.629294999999999</v>
      </c>
      <c r="G49" s="9" t="s">
        <v>620</v>
      </c>
      <c r="H49" s="9" t="s">
        <v>193</v>
      </c>
      <c r="I49" s="9"/>
      <c r="J49" s="8">
        <v>41314</v>
      </c>
      <c r="K49" s="18">
        <v>0.45833333333333331</v>
      </c>
      <c r="AH49" s="9"/>
      <c r="AI49" s="9">
        <v>1</v>
      </c>
      <c r="AM49" s="11">
        <v>110</v>
      </c>
      <c r="AO49" s="9">
        <v>2</v>
      </c>
      <c r="AP49" s="11">
        <v>1</v>
      </c>
      <c r="BA49" s="11">
        <v>7</v>
      </c>
      <c r="BC49" s="11">
        <v>2</v>
      </c>
      <c r="BL49" s="11">
        <v>13</v>
      </c>
      <c r="BS49" s="11">
        <v>2</v>
      </c>
      <c r="BX49" s="11">
        <v>1</v>
      </c>
      <c r="CB49" s="9">
        <v>1</v>
      </c>
      <c r="CM49" s="11">
        <v>2</v>
      </c>
      <c r="CN49" s="9">
        <v>8</v>
      </c>
      <c r="CO49" s="11">
        <v>6</v>
      </c>
      <c r="CP49" s="9">
        <v>5</v>
      </c>
      <c r="CQ49" s="9">
        <v>1</v>
      </c>
      <c r="CT49" s="11">
        <v>124</v>
      </c>
      <c r="DA49" s="11" t="s">
        <v>621</v>
      </c>
      <c r="DB49" s="19">
        <f t="shared" si="4"/>
        <v>286</v>
      </c>
      <c r="DC49" s="11" t="s">
        <v>622</v>
      </c>
    </row>
    <row r="50" spans="1:107" ht="28.5" customHeight="1" x14ac:dyDescent="0.15">
      <c r="A50" s="9" t="s">
        <v>623</v>
      </c>
      <c r="B50" s="9" t="s">
        <v>464</v>
      </c>
      <c r="C50" s="9" t="s">
        <v>624</v>
      </c>
      <c r="D50" s="9" t="s">
        <v>625</v>
      </c>
      <c r="E50" s="9" t="s">
        <v>626</v>
      </c>
      <c r="F50" s="9" t="s">
        <v>627</v>
      </c>
      <c r="G50" s="9" t="s">
        <v>628</v>
      </c>
      <c r="H50" s="9" t="s">
        <v>203</v>
      </c>
      <c r="I50" s="9"/>
      <c r="J50" s="8">
        <v>41307</v>
      </c>
      <c r="K50" s="26" t="s">
        <v>629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>
        <v>31</v>
      </c>
      <c r="AI50" s="9"/>
      <c r="AJ50" s="9">
        <v>1</v>
      </c>
      <c r="AK50" s="9"/>
      <c r="AL50" s="9"/>
      <c r="AM50" s="9">
        <v>236</v>
      </c>
      <c r="AN50" s="9"/>
      <c r="AO50" s="9">
        <v>15</v>
      </c>
      <c r="AP50" s="9">
        <v>1</v>
      </c>
      <c r="AQ50" s="9"/>
      <c r="AR50" s="9"/>
      <c r="AS50" s="9"/>
      <c r="AT50" s="9"/>
      <c r="AU50" s="9"/>
      <c r="AV50" s="9"/>
      <c r="AW50" s="9">
        <v>18</v>
      </c>
      <c r="AX50" s="9">
        <v>1</v>
      </c>
      <c r="AY50" s="9">
        <v>12</v>
      </c>
      <c r="AZ50" s="9"/>
      <c r="BA50" s="9">
        <v>1</v>
      </c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>
        <v>5</v>
      </c>
      <c r="BM50" s="9"/>
      <c r="BN50" s="9"/>
      <c r="BO50" s="9"/>
      <c r="BP50" s="9"/>
      <c r="BQ50" s="9">
        <v>2</v>
      </c>
      <c r="BR50" s="9">
        <v>11</v>
      </c>
      <c r="BS50" s="9">
        <v>129</v>
      </c>
      <c r="BT50" s="9"/>
      <c r="BU50" s="9"/>
      <c r="BV50" s="9"/>
      <c r="BW50" s="9"/>
      <c r="BX50" s="9"/>
      <c r="BY50" s="9"/>
      <c r="BZ50" s="9"/>
      <c r="CA50" s="9"/>
      <c r="CB50" s="9">
        <v>1</v>
      </c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>
        <v>1</v>
      </c>
      <c r="CS50" s="9"/>
      <c r="CT50" s="9"/>
      <c r="CU50" s="9"/>
      <c r="CV50" s="9"/>
      <c r="CW50" s="9"/>
      <c r="CX50" s="9"/>
      <c r="CY50" s="9"/>
      <c r="CZ50" s="9"/>
      <c r="DA50" s="9" t="s">
        <v>204</v>
      </c>
      <c r="DB50" s="19">
        <f t="shared" si="4"/>
        <v>465</v>
      </c>
      <c r="DC50" s="9"/>
    </row>
    <row r="51" spans="1:107" ht="4.5" customHeight="1" x14ac:dyDescent="0.15">
      <c r="A51" s="9" t="s">
        <v>630</v>
      </c>
      <c r="B51" s="9" t="s">
        <v>475</v>
      </c>
      <c r="C51" s="9">
        <v>27.297809999999998</v>
      </c>
      <c r="D51" s="9">
        <v>-82.566289999999995</v>
      </c>
      <c r="E51" s="9">
        <v>27.325279999999999</v>
      </c>
      <c r="F51" s="9">
        <v>-82.588250000000002</v>
      </c>
      <c r="G51" s="9" t="s">
        <v>210</v>
      </c>
      <c r="H51" s="9" t="s">
        <v>211</v>
      </c>
      <c r="I51" s="9"/>
      <c r="J51" s="8">
        <v>41306</v>
      </c>
      <c r="K51" s="18">
        <v>0.38194444444444442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9"/>
      <c r="Z51" s="11"/>
      <c r="AA51" s="11"/>
      <c r="AB51" s="11"/>
      <c r="AC51" s="11"/>
      <c r="AD51" s="11"/>
      <c r="AE51" s="11"/>
      <c r="AF51" s="11"/>
      <c r="AG51" s="11"/>
      <c r="AH51" s="9"/>
      <c r="AI51" s="9"/>
      <c r="AJ51" s="9">
        <v>1</v>
      </c>
      <c r="AK51" s="11"/>
      <c r="AL51" s="11"/>
      <c r="AM51" s="11">
        <v>59</v>
      </c>
      <c r="AN51" s="11"/>
      <c r="AO51" s="11">
        <v>72</v>
      </c>
      <c r="AP51" s="11"/>
      <c r="AQ51" s="11"/>
      <c r="AR51" s="11"/>
      <c r="AS51" s="11"/>
      <c r="AT51" s="11"/>
      <c r="AU51" s="11"/>
      <c r="AV51" s="11"/>
      <c r="AW51" s="11">
        <v>22</v>
      </c>
      <c r="AX51" s="11"/>
      <c r="AY51" s="11"/>
      <c r="AZ51" s="11"/>
      <c r="BA51" s="9"/>
      <c r="BB51" s="11"/>
      <c r="BC51" s="9"/>
      <c r="BD51" s="11"/>
      <c r="BE51" s="11">
        <v>4</v>
      </c>
      <c r="BF51" s="11"/>
      <c r="BG51" s="11"/>
      <c r="BH51" s="11"/>
      <c r="BI51" s="11"/>
      <c r="BJ51" s="11"/>
      <c r="BK51" s="11"/>
      <c r="BL51" s="11"/>
      <c r="BM51" s="9"/>
      <c r="BN51" s="11"/>
      <c r="BO51" s="11"/>
      <c r="BP51" s="11"/>
      <c r="BQ51" s="9"/>
      <c r="BR51" s="11"/>
      <c r="BS51" s="11"/>
      <c r="BT51" s="9"/>
      <c r="BU51" s="11"/>
      <c r="BV51" s="11"/>
      <c r="BW51" s="9"/>
      <c r="BX51" s="9"/>
      <c r="BY51" s="11"/>
      <c r="BZ51" s="11"/>
      <c r="CA51" s="11"/>
      <c r="CB51" s="9">
        <v>1</v>
      </c>
      <c r="CC51" s="11"/>
      <c r="CD51" s="11"/>
      <c r="CE51" s="11"/>
      <c r="CF51" s="11"/>
      <c r="CG51" s="11"/>
      <c r="CH51" s="11"/>
      <c r="CI51" s="11"/>
      <c r="CJ51" s="11">
        <v>1</v>
      </c>
      <c r="CK51" s="11"/>
      <c r="CL51" s="11"/>
      <c r="CM51" s="11">
        <v>2</v>
      </c>
      <c r="CN51" s="9"/>
      <c r="CO51" s="11"/>
      <c r="CP51" s="11"/>
      <c r="CQ51" s="11"/>
      <c r="CR51" s="11"/>
      <c r="CS51" s="11"/>
      <c r="CT51" s="11"/>
      <c r="CU51" s="11"/>
      <c r="CV51" s="11"/>
      <c r="CW51" s="9"/>
      <c r="CX51" s="11"/>
      <c r="CY51" s="11"/>
      <c r="CZ51" s="11"/>
      <c r="DA51" s="11">
        <v>0</v>
      </c>
      <c r="DB51" s="19">
        <f t="shared" si="4"/>
        <v>162</v>
      </c>
    </row>
    <row r="52" spans="1:107" ht="28.5" customHeight="1" x14ac:dyDescent="0.15">
      <c r="A52" s="9" t="s">
        <v>216</v>
      </c>
      <c r="B52" s="9" t="s">
        <v>464</v>
      </c>
      <c r="C52" s="9">
        <v>27.497060000000001</v>
      </c>
      <c r="D52" s="9">
        <v>-82.713260000000005</v>
      </c>
      <c r="E52" s="9">
        <v>27.46818</v>
      </c>
      <c r="F52" s="13">
        <v>-82.700149999999994</v>
      </c>
      <c r="G52" s="9" t="s">
        <v>217</v>
      </c>
      <c r="H52" s="9" t="s">
        <v>218</v>
      </c>
      <c r="I52" s="9"/>
      <c r="J52" s="8">
        <v>41308</v>
      </c>
      <c r="K52" s="16" t="s">
        <v>631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>
        <v>5</v>
      </c>
      <c r="AD52" s="9"/>
      <c r="AE52" s="9"/>
      <c r="AF52" s="9">
        <v>7</v>
      </c>
      <c r="AG52" s="9"/>
      <c r="AH52" s="9">
        <v>30</v>
      </c>
      <c r="AI52" s="9">
        <v>2</v>
      </c>
      <c r="AJ52" s="9">
        <v>9</v>
      </c>
      <c r="AK52" s="9"/>
      <c r="AL52" s="9"/>
      <c r="AM52" s="9">
        <v>268</v>
      </c>
      <c r="AN52" s="9"/>
      <c r="AO52" s="9">
        <v>67</v>
      </c>
      <c r="AP52" s="9">
        <v>2</v>
      </c>
      <c r="AQ52" s="9"/>
      <c r="AR52" s="9"/>
      <c r="AS52" s="9"/>
      <c r="AT52" s="9"/>
      <c r="AU52" s="9"/>
      <c r="AV52" s="9"/>
      <c r="AW52" s="9">
        <v>2</v>
      </c>
      <c r="AX52" s="9">
        <v>11</v>
      </c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>
        <v>5</v>
      </c>
      <c r="BM52" s="9"/>
      <c r="BN52" s="9"/>
      <c r="BO52" s="9"/>
      <c r="BP52" s="9"/>
      <c r="BQ52" s="9">
        <v>1</v>
      </c>
      <c r="BR52" s="9"/>
      <c r="BS52" s="9">
        <v>52</v>
      </c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>
        <v>1</v>
      </c>
      <c r="CG52" s="9"/>
      <c r="CH52" s="9"/>
      <c r="CI52" s="9"/>
      <c r="CJ52" s="9"/>
      <c r="CK52" s="9"/>
      <c r="CL52" s="9"/>
      <c r="CM52" s="9"/>
      <c r="CN52" s="9">
        <v>1</v>
      </c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>
        <v>104</v>
      </c>
      <c r="CZ52" s="9">
        <v>16</v>
      </c>
      <c r="DA52" s="9" t="s">
        <v>632</v>
      </c>
      <c r="DB52" s="19">
        <f t="shared" si="4"/>
        <v>583</v>
      </c>
    </row>
    <row r="53" spans="1:107" ht="56" x14ac:dyDescent="0.15">
      <c r="A53" s="11" t="s">
        <v>633</v>
      </c>
      <c r="B53" s="11" t="s">
        <v>484</v>
      </c>
      <c r="C53" s="11">
        <v>29.0762</v>
      </c>
      <c r="D53" s="11">
        <v>-80.925421999999998</v>
      </c>
      <c r="E53" s="11">
        <v>29.078075999999999</v>
      </c>
      <c r="F53" s="11">
        <v>-80.91995</v>
      </c>
      <c r="G53" s="11" t="s">
        <v>634</v>
      </c>
      <c r="H53" s="11" t="s">
        <v>354</v>
      </c>
      <c r="J53" s="20">
        <v>41313</v>
      </c>
      <c r="K53" s="11">
        <v>902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>
        <v>21</v>
      </c>
      <c r="AI53" s="11"/>
      <c r="AJ53" s="11"/>
      <c r="AK53" s="11"/>
      <c r="AL53" s="11"/>
      <c r="AM53" s="11">
        <v>18</v>
      </c>
      <c r="AN53" s="11"/>
      <c r="AO53" s="11">
        <v>12</v>
      </c>
      <c r="AP53" s="11"/>
      <c r="AQ53" s="11"/>
      <c r="AR53" s="11"/>
      <c r="AS53" s="11"/>
      <c r="AT53" s="11"/>
      <c r="AU53" s="11"/>
      <c r="AV53" s="11"/>
      <c r="AW53" s="11">
        <v>1</v>
      </c>
      <c r="AX53" s="11">
        <v>15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>
        <v>1</v>
      </c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>
        <v>1</v>
      </c>
      <c r="CR53" s="11"/>
      <c r="CS53" s="11"/>
      <c r="CT53" s="11"/>
      <c r="CU53" s="11"/>
      <c r="CV53" s="11"/>
      <c r="CW53" s="11"/>
      <c r="CX53" s="11"/>
      <c r="CY53" s="11"/>
      <c r="CZ53" s="11"/>
      <c r="DA53" s="11" t="s">
        <v>635</v>
      </c>
      <c r="DB53" s="19">
        <f t="shared" si="4"/>
        <v>69</v>
      </c>
    </row>
    <row r="54" spans="1:107" ht="20.25" customHeight="1" x14ac:dyDescent="0.15">
      <c r="A54" s="9" t="s">
        <v>219</v>
      </c>
      <c r="B54" s="9" t="s">
        <v>593</v>
      </c>
      <c r="C54" s="9">
        <v>30.5236111</v>
      </c>
      <c r="D54" s="9">
        <v>-81.526666700000007</v>
      </c>
      <c r="E54" s="9">
        <v>30.560555600000001</v>
      </c>
      <c r="F54" s="9">
        <v>-81.4544444</v>
      </c>
      <c r="G54" s="9" t="s">
        <v>434</v>
      </c>
      <c r="H54" s="9" t="s">
        <v>435</v>
      </c>
      <c r="I54" s="9"/>
      <c r="J54" s="8">
        <v>41306</v>
      </c>
      <c r="K54" s="18">
        <v>0.3576388888888889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>
        <v>12</v>
      </c>
      <c r="Z54" s="9">
        <v>3</v>
      </c>
      <c r="AA54" s="9"/>
      <c r="AB54" s="9"/>
      <c r="AC54" s="9">
        <v>2</v>
      </c>
      <c r="AD54" s="9">
        <v>25</v>
      </c>
      <c r="AE54" s="9"/>
      <c r="AF54" s="9">
        <v>1</v>
      </c>
      <c r="AG54" s="9"/>
      <c r="AH54" s="9">
        <v>28</v>
      </c>
      <c r="AI54" s="9"/>
      <c r="AJ54" s="9">
        <v>8</v>
      </c>
      <c r="AK54" s="9"/>
      <c r="AL54" s="9"/>
      <c r="AM54" s="9">
        <v>15</v>
      </c>
      <c r="AN54" s="9">
        <v>41</v>
      </c>
      <c r="AO54" s="9">
        <v>40</v>
      </c>
      <c r="AP54" s="9">
        <v>9</v>
      </c>
      <c r="AQ54" s="9"/>
      <c r="AR54" s="9">
        <v>1</v>
      </c>
      <c r="AS54" s="9"/>
      <c r="AT54" s="9"/>
      <c r="AU54" s="9"/>
      <c r="AV54" s="9"/>
      <c r="AW54" s="9">
        <v>6</v>
      </c>
      <c r="AX54" s="9">
        <v>17</v>
      </c>
      <c r="AY54" s="9"/>
      <c r="AZ54" s="9"/>
      <c r="BA54" s="9">
        <v>19</v>
      </c>
      <c r="BB54" s="9"/>
      <c r="BC54" s="9">
        <v>90</v>
      </c>
      <c r="BD54" s="9"/>
      <c r="BE54" s="9"/>
      <c r="BF54" s="9">
        <v>3</v>
      </c>
      <c r="BG54" s="9"/>
      <c r="BH54" s="9"/>
      <c r="BI54" s="9">
        <v>3</v>
      </c>
      <c r="BJ54" s="9"/>
      <c r="BK54" s="9"/>
      <c r="BL54" s="9">
        <v>19</v>
      </c>
      <c r="BM54" s="9"/>
      <c r="BN54" s="9"/>
      <c r="BO54" s="9"/>
      <c r="BP54" s="9"/>
      <c r="BQ54" s="9">
        <v>17</v>
      </c>
      <c r="BR54" s="9"/>
      <c r="BS54" s="9">
        <v>84</v>
      </c>
      <c r="BT54" s="9">
        <v>1</v>
      </c>
      <c r="BU54" s="9"/>
      <c r="BV54" s="9"/>
      <c r="BW54" s="9">
        <v>500</v>
      </c>
      <c r="BX54" s="9">
        <v>31</v>
      </c>
      <c r="BY54" s="9"/>
      <c r="BZ54" s="9"/>
      <c r="CA54" s="9"/>
      <c r="CB54" s="9">
        <v>1</v>
      </c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>
        <v>1</v>
      </c>
      <c r="CO54" s="9">
        <v>3</v>
      </c>
      <c r="CP54" s="9"/>
      <c r="CQ54" s="9">
        <v>1</v>
      </c>
      <c r="CR54" s="9"/>
      <c r="CS54" s="9"/>
      <c r="CT54" s="9"/>
      <c r="CU54" s="9"/>
      <c r="CV54" s="9"/>
      <c r="CW54" s="9"/>
      <c r="CX54" s="9"/>
      <c r="CY54" s="9"/>
      <c r="CZ54" s="9"/>
      <c r="DA54" s="9" t="s">
        <v>636</v>
      </c>
      <c r="DB54" s="19">
        <f t="shared" si="4"/>
        <v>981</v>
      </c>
    </row>
    <row r="55" spans="1:107" ht="28" x14ac:dyDescent="0.15">
      <c r="A55" s="11" t="s">
        <v>637</v>
      </c>
      <c r="B55" s="11" t="s">
        <v>494</v>
      </c>
      <c r="C55" s="11">
        <v>26.40350939</v>
      </c>
      <c r="D55" s="11">
        <v>-81.878128009999998</v>
      </c>
      <c r="E55" s="11">
        <v>26.379613989999999</v>
      </c>
      <c r="F55" s="11">
        <v>-81.867657859999994</v>
      </c>
      <c r="G55" s="11" t="s">
        <v>638</v>
      </c>
      <c r="H55" s="11" t="s">
        <v>228</v>
      </c>
      <c r="J55" s="20">
        <v>41312</v>
      </c>
      <c r="K55" s="21">
        <v>0.39583333333333331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>
        <v>4</v>
      </c>
      <c r="AI55" s="11"/>
      <c r="AJ55" s="11">
        <v>1</v>
      </c>
      <c r="AK55" s="11"/>
      <c r="AL55" s="11"/>
      <c r="AM55" s="11">
        <v>19</v>
      </c>
      <c r="AN55" s="11"/>
      <c r="AO55" s="11">
        <v>72</v>
      </c>
      <c r="AP55" s="11">
        <v>5</v>
      </c>
      <c r="AQ55" s="11"/>
      <c r="AR55" s="11"/>
      <c r="AS55" s="11"/>
      <c r="AT55" s="11"/>
      <c r="AU55" s="11"/>
      <c r="AV55" s="11"/>
      <c r="AW55" s="11">
        <v>1</v>
      </c>
      <c r="AX55" s="11"/>
      <c r="AY55" s="11"/>
      <c r="AZ55" s="11"/>
      <c r="BA55" s="11"/>
      <c r="BB55" s="11">
        <v>1</v>
      </c>
      <c r="BC55" s="11"/>
      <c r="BD55" s="11"/>
      <c r="BE55" s="11"/>
      <c r="BF55" s="11"/>
      <c r="BG55" s="11"/>
      <c r="BH55" s="11"/>
      <c r="BI55" s="11"/>
      <c r="BJ55" s="11"/>
      <c r="BK55" s="11"/>
      <c r="BL55" s="11">
        <v>53</v>
      </c>
      <c r="BM55" s="11">
        <v>2</v>
      </c>
      <c r="BN55" s="11"/>
      <c r="BO55" s="11"/>
      <c r="BP55" s="11"/>
      <c r="BQ55" s="11">
        <v>4</v>
      </c>
      <c r="BR55" s="11">
        <v>2</v>
      </c>
      <c r="BS55" s="11">
        <v>4</v>
      </c>
      <c r="BT55" s="11">
        <v>3</v>
      </c>
      <c r="BU55" s="11">
        <v>1</v>
      </c>
      <c r="BV55" s="11"/>
      <c r="BW55" s="11"/>
      <c r="BX55" s="11"/>
      <c r="BY55" s="11"/>
      <c r="BZ55" s="11"/>
      <c r="CA55" s="11"/>
      <c r="CB55" s="11">
        <v>12</v>
      </c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>
        <v>2</v>
      </c>
      <c r="CN55" s="11"/>
      <c r="CO55" s="11">
        <v>4</v>
      </c>
      <c r="CP55" s="11">
        <v>1</v>
      </c>
      <c r="CQ55" s="11">
        <v>1</v>
      </c>
      <c r="CR55" s="11"/>
      <c r="CS55" s="11"/>
      <c r="CT55" s="11">
        <v>6</v>
      </c>
      <c r="CU55" s="11"/>
      <c r="CV55" s="11"/>
      <c r="CW55" s="11"/>
      <c r="CX55" s="11"/>
      <c r="CY55" s="11"/>
      <c r="CZ55" s="11"/>
      <c r="DA55" s="11" t="s">
        <v>639</v>
      </c>
      <c r="DB55" s="19"/>
    </row>
    <row r="56" spans="1:107" ht="28" x14ac:dyDescent="0.15">
      <c r="A56" s="11" t="s">
        <v>640</v>
      </c>
      <c r="B56" s="11" t="s">
        <v>475</v>
      </c>
      <c r="C56" s="11">
        <v>26.978480000000001</v>
      </c>
      <c r="D56" s="11">
        <v>-82.386110000000002</v>
      </c>
      <c r="E56" s="11">
        <v>26.970510000000001</v>
      </c>
      <c r="F56" s="11">
        <v>-82.390460000000004</v>
      </c>
      <c r="G56" s="11" t="s">
        <v>641</v>
      </c>
      <c r="H56" s="11" t="s">
        <v>642</v>
      </c>
      <c r="J56" s="20">
        <v>41305</v>
      </c>
      <c r="K56" s="21">
        <v>0.3888888888888889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 t="s">
        <v>643</v>
      </c>
      <c r="DB56" s="19">
        <v>0</v>
      </c>
      <c r="DC56" s="11" t="s">
        <v>644</v>
      </c>
    </row>
    <row r="57" spans="1:107" ht="37.5" customHeight="1" x14ac:dyDescent="0.15">
      <c r="A57" s="9" t="s">
        <v>645</v>
      </c>
      <c r="B57" s="11" t="s">
        <v>475</v>
      </c>
      <c r="C57" s="11">
        <v>26.987629999999999</v>
      </c>
      <c r="D57" s="11">
        <v>-82.401129999999995</v>
      </c>
      <c r="E57" s="11">
        <v>26.978649999999998</v>
      </c>
      <c r="F57" s="11">
        <v>-82.39631</v>
      </c>
      <c r="G57" s="9" t="s">
        <v>646</v>
      </c>
      <c r="H57" s="9" t="s">
        <v>647</v>
      </c>
      <c r="I57" s="9"/>
      <c r="J57" s="8">
        <v>41312</v>
      </c>
      <c r="K57" s="18">
        <v>0.375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9"/>
      <c r="AD57" s="11"/>
      <c r="AE57" s="11"/>
      <c r="AF57" s="9"/>
      <c r="AG57" s="11"/>
      <c r="AH57" s="9">
        <v>88</v>
      </c>
      <c r="AI57" s="11"/>
      <c r="AJ57" s="9">
        <v>2</v>
      </c>
      <c r="AK57" s="11"/>
      <c r="AL57" s="11"/>
      <c r="AM57" s="9"/>
      <c r="AN57" s="11"/>
      <c r="AO57" s="9"/>
      <c r="AP57" s="11"/>
      <c r="AQ57" s="11"/>
      <c r="AR57" s="11"/>
      <c r="AS57" s="11"/>
      <c r="AT57" s="11"/>
      <c r="AU57" s="11"/>
      <c r="AV57" s="11"/>
      <c r="AW57" s="9"/>
      <c r="AX57" s="9">
        <v>20</v>
      </c>
      <c r="AY57" s="11"/>
      <c r="AZ57" s="11"/>
      <c r="BA57" s="11"/>
      <c r="BB57" s="11"/>
      <c r="BC57" s="9"/>
      <c r="BD57" s="11"/>
      <c r="BE57" s="11"/>
      <c r="BF57" s="11"/>
      <c r="BG57" s="11"/>
      <c r="BH57" s="11"/>
      <c r="BI57" s="11"/>
      <c r="BJ57" s="11"/>
      <c r="BK57" s="11"/>
      <c r="BL57" s="9">
        <v>2</v>
      </c>
      <c r="BM57" s="11"/>
      <c r="BN57" s="11"/>
      <c r="BO57" s="11"/>
      <c r="BP57" s="11"/>
      <c r="BQ57" s="9"/>
      <c r="BR57" s="11"/>
      <c r="BS57" s="9"/>
      <c r="BT57" s="11"/>
      <c r="BU57" s="11"/>
      <c r="BV57" s="11"/>
      <c r="BW57" s="9"/>
      <c r="BX57" s="11"/>
      <c r="BY57" s="11"/>
      <c r="BZ57" s="11"/>
      <c r="CA57" s="11"/>
      <c r="CB57" s="9">
        <v>1</v>
      </c>
      <c r="CC57" s="11"/>
      <c r="CD57" s="11"/>
      <c r="CE57" s="11"/>
      <c r="CF57" s="11"/>
      <c r="CG57" s="11"/>
      <c r="CH57" s="9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9"/>
      <c r="DA57" s="9">
        <v>0</v>
      </c>
      <c r="DB57" s="19">
        <f t="shared" ref="DB57:DB61" si="5">SUM(L57:DA57)</f>
        <v>113</v>
      </c>
    </row>
    <row r="58" spans="1:107" ht="15" customHeight="1" x14ac:dyDescent="0.15">
      <c r="A58" s="22" t="s">
        <v>648</v>
      </c>
      <c r="B58" s="22" t="s">
        <v>649</v>
      </c>
      <c r="C58" s="22">
        <v>27.010009</v>
      </c>
      <c r="D58" s="22">
        <v>-82.412570000000002</v>
      </c>
      <c r="E58" s="22">
        <v>27.002410000000001</v>
      </c>
      <c r="F58" s="22">
        <v>82.40849</v>
      </c>
      <c r="G58" s="22" t="s">
        <v>650</v>
      </c>
      <c r="H58" s="9"/>
      <c r="J58" s="16"/>
      <c r="K58" s="16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B58" s="19">
        <f t="shared" si="5"/>
        <v>0</v>
      </c>
    </row>
    <row r="59" spans="1:107" ht="28" x14ac:dyDescent="0.15">
      <c r="A59" s="11" t="s">
        <v>231</v>
      </c>
      <c r="B59" s="11" t="s">
        <v>475</v>
      </c>
      <c r="C59" s="11">
        <v>27.010120000000001</v>
      </c>
      <c r="D59" s="11">
        <v>-82.412520000000001</v>
      </c>
      <c r="E59" s="11">
        <v>27.016950000000001</v>
      </c>
      <c r="F59" s="11">
        <v>-82.416650000000004</v>
      </c>
      <c r="G59" s="11" t="s">
        <v>234</v>
      </c>
      <c r="H59" s="11" t="s">
        <v>235</v>
      </c>
      <c r="J59" s="20">
        <v>41311</v>
      </c>
      <c r="K59" s="21">
        <v>0.40277777777777779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>
        <v>21</v>
      </c>
      <c r="AI59" s="11"/>
      <c r="AJ59" s="11">
        <v>1</v>
      </c>
      <c r="AK59" s="11"/>
      <c r="AL59" s="11"/>
      <c r="AM59" s="11">
        <v>87</v>
      </c>
      <c r="AN59" s="11">
        <v>2</v>
      </c>
      <c r="AO59" s="11">
        <v>25</v>
      </c>
      <c r="AP59" s="11">
        <v>3</v>
      </c>
      <c r="AQ59" s="11"/>
      <c r="AR59" s="11"/>
      <c r="AS59" s="11"/>
      <c r="AT59" s="11"/>
      <c r="AU59" s="11"/>
      <c r="AV59" s="11"/>
      <c r="AW59" s="11">
        <v>57</v>
      </c>
      <c r="AX59" s="11">
        <v>181</v>
      </c>
      <c r="AY59" s="11">
        <v>17</v>
      </c>
      <c r="AZ59" s="11"/>
      <c r="BA59" s="11">
        <v>2</v>
      </c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>
        <v>1</v>
      </c>
      <c r="BM59" s="11"/>
      <c r="BN59" s="11"/>
      <c r="BO59" s="11"/>
      <c r="BP59" s="11"/>
      <c r="BQ59" s="11">
        <v>3</v>
      </c>
      <c r="BR59" s="11"/>
      <c r="BS59" s="11">
        <v>2</v>
      </c>
      <c r="BT59" s="11"/>
      <c r="BU59" s="11"/>
      <c r="BV59" s="11"/>
      <c r="BW59" s="11"/>
      <c r="BX59" s="11"/>
      <c r="BY59" s="11"/>
      <c r="BZ59" s="11"/>
      <c r="CA59" s="11"/>
      <c r="CB59" s="11">
        <v>2</v>
      </c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 t="s">
        <v>651</v>
      </c>
      <c r="DB59" s="19">
        <f t="shared" si="5"/>
        <v>404</v>
      </c>
    </row>
    <row r="60" spans="1:107" ht="28.5" customHeight="1" x14ac:dyDescent="0.15">
      <c r="A60" s="9" t="s">
        <v>652</v>
      </c>
      <c r="B60" s="9" t="s">
        <v>653</v>
      </c>
      <c r="C60" s="9">
        <v>27.028089999999999</v>
      </c>
      <c r="D60" s="9">
        <v>82.238699999999994</v>
      </c>
      <c r="E60" s="9">
        <v>27.021750000000001</v>
      </c>
      <c r="F60" s="9">
        <v>82.419880000000006</v>
      </c>
      <c r="G60" s="9" t="s">
        <v>654</v>
      </c>
      <c r="H60" s="9" t="s">
        <v>655</v>
      </c>
      <c r="J60" s="8">
        <v>41312</v>
      </c>
      <c r="K60" s="21">
        <v>0.34375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>
        <v>252</v>
      </c>
      <c r="AI60" s="9"/>
      <c r="AJ60" s="9"/>
      <c r="AK60" s="9"/>
      <c r="AL60" s="9"/>
      <c r="AM60" s="9">
        <v>1</v>
      </c>
      <c r="AN60" s="9"/>
      <c r="AO60" s="9">
        <v>14</v>
      </c>
      <c r="AP60" s="9"/>
      <c r="AQ60" s="9"/>
      <c r="AR60" s="9"/>
      <c r="AS60" s="9"/>
      <c r="AT60" s="9"/>
      <c r="AU60" s="9"/>
      <c r="AV60" s="9"/>
      <c r="AW60" s="9"/>
      <c r="AX60" s="9">
        <v>24</v>
      </c>
      <c r="AY60" s="9"/>
      <c r="AZ60" s="9"/>
      <c r="BA60" s="9">
        <v>2</v>
      </c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B60" s="19">
        <f t="shared" si="5"/>
        <v>293</v>
      </c>
    </row>
    <row r="61" spans="1:107" ht="42" customHeight="1" x14ac:dyDescent="0.15">
      <c r="A61" s="9" t="s">
        <v>656</v>
      </c>
      <c r="B61" s="9" t="s">
        <v>475</v>
      </c>
      <c r="C61" s="9">
        <v>26.99662</v>
      </c>
      <c r="D61" s="9">
        <v>-82.405640000000005</v>
      </c>
      <c r="E61" s="9">
        <v>26.987629999999999</v>
      </c>
      <c r="F61" s="9">
        <v>-82.401129999999995</v>
      </c>
      <c r="G61" s="9" t="s">
        <v>646</v>
      </c>
      <c r="H61" s="9" t="s">
        <v>647</v>
      </c>
      <c r="I61" s="9"/>
      <c r="J61" s="8">
        <v>41312</v>
      </c>
      <c r="K61" s="18">
        <v>0.40625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9"/>
      <c r="AA61" s="11"/>
      <c r="AB61" s="11"/>
      <c r="AC61" s="11"/>
      <c r="AD61" s="11"/>
      <c r="AE61" s="11"/>
      <c r="AF61" s="9"/>
      <c r="AG61" s="11"/>
      <c r="AH61" s="9">
        <v>28</v>
      </c>
      <c r="AI61" s="11"/>
      <c r="AJ61" s="9"/>
      <c r="AK61" s="11"/>
      <c r="AL61" s="11"/>
      <c r="AM61" s="9">
        <v>6</v>
      </c>
      <c r="AN61" s="11"/>
      <c r="AO61" s="9"/>
      <c r="AP61" s="9"/>
      <c r="AQ61" s="11"/>
      <c r="AR61" s="11"/>
      <c r="AS61" s="11"/>
      <c r="AT61" s="11"/>
      <c r="AU61" s="11"/>
      <c r="AV61" s="11"/>
      <c r="AW61" s="9"/>
      <c r="AX61" s="9">
        <v>19</v>
      </c>
      <c r="AY61" s="9"/>
      <c r="AZ61" s="11"/>
      <c r="BA61" s="11"/>
      <c r="BB61" s="11"/>
      <c r="BC61" s="11"/>
      <c r="BD61" s="11"/>
      <c r="BE61" s="11"/>
      <c r="BF61" s="11"/>
      <c r="BG61" s="9"/>
      <c r="BH61" s="11"/>
      <c r="BI61" s="11"/>
      <c r="BJ61" s="11"/>
      <c r="BK61" s="11"/>
      <c r="BL61" s="9">
        <v>1</v>
      </c>
      <c r="BM61" s="11"/>
      <c r="BN61" s="11"/>
      <c r="BO61" s="11"/>
      <c r="BP61" s="11"/>
      <c r="BQ61" s="9"/>
      <c r="BR61" s="11"/>
      <c r="BS61" s="9"/>
      <c r="BT61" s="11"/>
      <c r="BU61" s="11"/>
      <c r="BV61" s="11"/>
      <c r="BW61" s="11"/>
      <c r="BX61" s="11"/>
      <c r="BY61" s="11"/>
      <c r="BZ61" s="11"/>
      <c r="CA61" s="11"/>
      <c r="CB61" s="9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9"/>
      <c r="CN61" s="9"/>
      <c r="CO61" s="9"/>
      <c r="CP61" s="11"/>
      <c r="CQ61" s="11"/>
      <c r="CR61" s="11"/>
      <c r="CS61" s="11"/>
      <c r="CT61" s="11"/>
      <c r="CU61" s="11"/>
      <c r="CV61" s="11"/>
      <c r="CW61" s="11"/>
      <c r="CX61" s="11"/>
      <c r="CY61" s="9"/>
      <c r="CZ61" s="11"/>
      <c r="DA61" s="9">
        <v>5</v>
      </c>
      <c r="DB61" s="19">
        <f t="shared" si="5"/>
        <v>59</v>
      </c>
      <c r="DC61" s="9" t="s">
        <v>657</v>
      </c>
    </row>
    <row r="62" spans="1:107" ht="57" customHeight="1" x14ac:dyDescent="0.15">
      <c r="A62" s="9" t="s">
        <v>658</v>
      </c>
      <c r="B62" s="9" t="s">
        <v>475</v>
      </c>
      <c r="C62" s="9"/>
      <c r="D62" s="9"/>
      <c r="E62" s="9"/>
      <c r="F62" s="9"/>
      <c r="G62" s="9" t="s">
        <v>659</v>
      </c>
      <c r="H62" s="9" t="s">
        <v>660</v>
      </c>
      <c r="I62" s="9"/>
      <c r="J62" s="8">
        <v>41308</v>
      </c>
      <c r="K62" s="18">
        <v>0.64583333333333337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>
        <v>2</v>
      </c>
      <c r="AJ62" s="9"/>
      <c r="AK62" s="9"/>
      <c r="AL62" s="9"/>
      <c r="AM62" s="9"/>
      <c r="AN62" s="9"/>
      <c r="AO62" s="9">
        <v>1</v>
      </c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 t="s">
        <v>661</v>
      </c>
      <c r="DB62" s="19">
        <v>16</v>
      </c>
      <c r="DC62" s="11" t="s">
        <v>662</v>
      </c>
    </row>
    <row r="63" spans="1:107" ht="42" x14ac:dyDescent="0.15">
      <c r="A63" s="9" t="s">
        <v>663</v>
      </c>
      <c r="B63" s="9" t="s">
        <v>475</v>
      </c>
      <c r="C63" s="9">
        <v>27.044809999999998</v>
      </c>
      <c r="D63" s="9">
        <v>-82.434910000000002</v>
      </c>
      <c r="E63" s="9">
        <v>27.036760000000001</v>
      </c>
      <c r="F63" s="9">
        <v>-82.429379999999995</v>
      </c>
      <c r="G63" s="9" t="s">
        <v>664</v>
      </c>
      <c r="H63" s="9" t="s">
        <v>665</v>
      </c>
      <c r="I63" s="9"/>
      <c r="J63" s="8">
        <v>41309</v>
      </c>
      <c r="K63" s="18">
        <v>0.37777777777777777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9"/>
      <c r="Z63" s="11"/>
      <c r="AA63" s="11"/>
      <c r="AB63" s="11"/>
      <c r="AC63" s="11"/>
      <c r="AD63" s="11"/>
      <c r="AE63" s="9"/>
      <c r="AF63" s="11"/>
      <c r="AG63" s="11"/>
      <c r="AH63" s="9">
        <v>51</v>
      </c>
      <c r="AI63" s="11"/>
      <c r="AJ63" s="9"/>
      <c r="AK63" s="11"/>
      <c r="AL63" s="11"/>
      <c r="AM63" s="9"/>
      <c r="AN63" s="11"/>
      <c r="AO63" s="9">
        <v>1</v>
      </c>
      <c r="AP63" s="11"/>
      <c r="AQ63" s="11"/>
      <c r="AR63" s="11"/>
      <c r="AS63" s="11"/>
      <c r="AT63" s="11"/>
      <c r="AU63" s="11"/>
      <c r="AV63" s="11"/>
      <c r="AW63" s="9"/>
      <c r="AX63" s="9">
        <v>17</v>
      </c>
      <c r="AY63" s="11"/>
      <c r="AZ63" s="11"/>
      <c r="BA63" s="11">
        <v>2</v>
      </c>
      <c r="BB63" s="11"/>
      <c r="BC63" s="11"/>
      <c r="BD63" s="11"/>
      <c r="BE63" s="11"/>
      <c r="BF63" s="11"/>
      <c r="BG63" s="11"/>
      <c r="BH63" s="11"/>
      <c r="BI63" s="9"/>
      <c r="BJ63" s="11"/>
      <c r="BK63" s="11"/>
      <c r="BL63" s="11">
        <v>2</v>
      </c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9">
        <v>1</v>
      </c>
      <c r="CC63" s="9"/>
      <c r="CD63" s="9"/>
      <c r="CE63" s="9"/>
      <c r="CF63" s="11"/>
      <c r="CG63" s="11"/>
      <c r="CH63" s="11"/>
      <c r="CI63" s="11"/>
      <c r="CJ63" s="11"/>
      <c r="CK63" s="11"/>
      <c r="CL63" s="11"/>
      <c r="CM63" s="11"/>
      <c r="CN63" s="9"/>
      <c r="CO63" s="9"/>
      <c r="CP63" s="11"/>
      <c r="CQ63" s="11"/>
      <c r="CR63" s="11"/>
      <c r="CS63" s="11"/>
      <c r="CT63" s="11"/>
      <c r="CU63" s="11"/>
      <c r="CV63" s="9"/>
      <c r="CW63" s="9"/>
      <c r="CX63" s="11"/>
      <c r="CY63" s="11"/>
      <c r="CZ63" s="11"/>
      <c r="DA63" s="9" t="s">
        <v>666</v>
      </c>
      <c r="DB63" s="19">
        <f t="shared" ref="DB63:DB95" si="6">SUM(L63:DA63)</f>
        <v>74</v>
      </c>
      <c r="DC63" s="9" t="s">
        <v>667</v>
      </c>
    </row>
    <row r="64" spans="1:107" ht="28" x14ac:dyDescent="0.15">
      <c r="A64" s="9" t="s">
        <v>668</v>
      </c>
      <c r="B64" s="9" t="s">
        <v>475</v>
      </c>
      <c r="C64" s="15" t="s">
        <v>669</v>
      </c>
      <c r="D64" s="15" t="s">
        <v>670</v>
      </c>
      <c r="E64" s="9">
        <v>27.044809999999998</v>
      </c>
      <c r="F64" s="9">
        <v>-82.434910000000002</v>
      </c>
      <c r="G64" s="9" t="s">
        <v>671</v>
      </c>
      <c r="H64" s="9" t="s">
        <v>672</v>
      </c>
      <c r="I64" s="9"/>
      <c r="J64" s="8">
        <v>41314</v>
      </c>
      <c r="K64" s="18">
        <v>0.375</v>
      </c>
      <c r="AH64" s="11">
        <v>54</v>
      </c>
      <c r="AJ64" s="11">
        <v>1</v>
      </c>
      <c r="AM64" s="11">
        <v>7</v>
      </c>
      <c r="AO64" s="11">
        <v>7</v>
      </c>
      <c r="AX64" s="11">
        <v>16</v>
      </c>
      <c r="BQ64" s="9"/>
      <c r="BS64" s="11">
        <v>10</v>
      </c>
      <c r="CB64" s="11">
        <v>1</v>
      </c>
      <c r="CJ64" s="9"/>
      <c r="CO64" s="11">
        <v>2</v>
      </c>
      <c r="DA64" s="9" t="s">
        <v>673</v>
      </c>
      <c r="DB64" s="19">
        <f t="shared" si="6"/>
        <v>98</v>
      </c>
      <c r="DC64" s="9"/>
    </row>
    <row r="65" spans="1:107" ht="28" x14ac:dyDescent="0.15">
      <c r="A65" s="9" t="s">
        <v>674</v>
      </c>
      <c r="B65" s="9" t="s">
        <v>475</v>
      </c>
      <c r="C65" s="9">
        <v>27.036760000000001</v>
      </c>
      <c r="D65" s="9">
        <v>-82.429379999999995</v>
      </c>
      <c r="E65" s="9">
        <v>27.028099999999998</v>
      </c>
      <c r="F65" s="9">
        <v>-82.423820000000006</v>
      </c>
      <c r="G65" s="9" t="s">
        <v>664</v>
      </c>
      <c r="H65" s="9" t="s">
        <v>665</v>
      </c>
      <c r="I65" s="9"/>
      <c r="J65" s="8">
        <v>41309</v>
      </c>
      <c r="K65" s="18">
        <v>0.40138888888888891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9">
        <v>23</v>
      </c>
      <c r="AI65" s="11"/>
      <c r="AJ65" s="9"/>
      <c r="AK65" s="11"/>
      <c r="AL65" s="11"/>
      <c r="AM65" s="9"/>
      <c r="AN65" s="11">
        <v>1</v>
      </c>
      <c r="AO65" s="9">
        <v>9</v>
      </c>
      <c r="AP65" s="11"/>
      <c r="AQ65" s="11"/>
      <c r="AR65" s="11"/>
      <c r="AS65" s="11"/>
      <c r="AT65" s="11"/>
      <c r="AU65" s="11"/>
      <c r="AV65" s="11"/>
      <c r="AW65" s="11"/>
      <c r="AX65" s="9">
        <v>6</v>
      </c>
      <c r="AY65" s="11"/>
      <c r="AZ65" s="11"/>
      <c r="BA65" s="11">
        <v>1</v>
      </c>
      <c r="BB65" s="11"/>
      <c r="BC65" s="9"/>
      <c r="BD65" s="11"/>
      <c r="BE65" s="11"/>
      <c r="BF65" s="9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>
        <v>1</v>
      </c>
      <c r="CC65" s="11"/>
      <c r="CD65" s="11"/>
      <c r="CE65" s="11"/>
      <c r="CF65" s="9"/>
      <c r="CG65" s="11"/>
      <c r="CH65" s="11"/>
      <c r="CI65" s="11"/>
      <c r="CJ65" s="11"/>
      <c r="CK65" s="11"/>
      <c r="CL65" s="11"/>
      <c r="CM65" s="11"/>
      <c r="CN65" s="11"/>
      <c r="CO65" s="9"/>
      <c r="CP65" s="11"/>
      <c r="CQ65" s="11"/>
      <c r="CR65" s="11"/>
      <c r="CS65" s="11"/>
      <c r="CT65" s="11"/>
      <c r="CU65" s="11"/>
      <c r="CV65" s="11"/>
      <c r="CW65" s="9"/>
      <c r="CX65" s="11"/>
      <c r="CY65" s="11"/>
      <c r="CZ65" s="11"/>
      <c r="DA65" s="9" t="s">
        <v>675</v>
      </c>
      <c r="DB65" s="19">
        <f t="shared" si="6"/>
        <v>41</v>
      </c>
      <c r="DC65" s="9" t="s">
        <v>676</v>
      </c>
    </row>
    <row r="66" spans="1:107" ht="42.75" customHeight="1" x14ac:dyDescent="0.15">
      <c r="A66" s="9" t="s">
        <v>677</v>
      </c>
      <c r="B66" s="9" t="s">
        <v>475</v>
      </c>
      <c r="C66" s="9">
        <v>27.021750000000001</v>
      </c>
      <c r="D66" s="9">
        <v>82.419880000000006</v>
      </c>
      <c r="E66" s="9">
        <v>27.016480000000001</v>
      </c>
      <c r="F66" s="9">
        <v>82.416550000000001</v>
      </c>
      <c r="G66" s="9" t="s">
        <v>654</v>
      </c>
      <c r="H66" s="9" t="s">
        <v>655</v>
      </c>
      <c r="I66" s="9"/>
      <c r="J66" s="8">
        <v>41312</v>
      </c>
      <c r="K66" s="18">
        <v>0.375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>
        <v>17</v>
      </c>
      <c r="AI66" s="9"/>
      <c r="AJ66" s="9">
        <v>1</v>
      </c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>
        <v>12</v>
      </c>
      <c r="AY66" s="9"/>
      <c r="AZ66" s="9"/>
      <c r="BA66" s="9">
        <v>1</v>
      </c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B66" s="19">
        <f t="shared" si="6"/>
        <v>31</v>
      </c>
    </row>
    <row r="67" spans="1:107" ht="84" x14ac:dyDescent="0.15">
      <c r="A67" s="9" t="s">
        <v>678</v>
      </c>
      <c r="B67" s="11" t="s">
        <v>593</v>
      </c>
      <c r="C67" s="9">
        <v>30.4054</v>
      </c>
      <c r="D67" s="9">
        <v>-81.505700000000004</v>
      </c>
      <c r="E67" s="11">
        <v>30.404699999999998</v>
      </c>
      <c r="F67" s="11">
        <v>-81.505600000000001</v>
      </c>
      <c r="G67" s="9" t="s">
        <v>679</v>
      </c>
      <c r="H67" s="9" t="s">
        <v>680</v>
      </c>
      <c r="J67" s="8">
        <v>41313</v>
      </c>
      <c r="K67" s="21">
        <v>0.3611111111111111</v>
      </c>
      <c r="BA67" s="11">
        <v>5</v>
      </c>
      <c r="BC67" s="11">
        <v>71</v>
      </c>
      <c r="BF67" s="11">
        <v>10</v>
      </c>
      <c r="BH67" s="11">
        <v>146</v>
      </c>
      <c r="BI67" s="11">
        <v>63</v>
      </c>
      <c r="BJ67" s="11">
        <v>7</v>
      </c>
      <c r="BQ67" s="11">
        <v>33</v>
      </c>
      <c r="BT67" s="11">
        <v>30</v>
      </c>
      <c r="BU67" s="11">
        <v>25</v>
      </c>
      <c r="BW67" s="11">
        <v>1500</v>
      </c>
      <c r="BY67" s="11">
        <v>50</v>
      </c>
      <c r="BZ67" s="11">
        <v>175</v>
      </c>
      <c r="CB67" s="11">
        <v>2</v>
      </c>
      <c r="CE67" s="11">
        <v>1</v>
      </c>
      <c r="CI67" s="11">
        <v>1</v>
      </c>
      <c r="CU67" s="11">
        <v>3</v>
      </c>
      <c r="CV67" s="11">
        <v>4</v>
      </c>
      <c r="CW67" s="11">
        <v>1</v>
      </c>
      <c r="DA67" s="11" t="s">
        <v>681</v>
      </c>
      <c r="DB67" s="19">
        <f t="shared" si="6"/>
        <v>2127</v>
      </c>
    </row>
    <row r="68" spans="1:107" ht="70" x14ac:dyDescent="0.15">
      <c r="A68" s="9" t="s">
        <v>682</v>
      </c>
      <c r="B68" s="11" t="s">
        <v>593</v>
      </c>
      <c r="C68" s="11">
        <v>30.4054</v>
      </c>
      <c r="D68" s="11">
        <v>-81.505700000000004</v>
      </c>
      <c r="E68" s="11">
        <v>30.3992</v>
      </c>
      <c r="F68" s="11">
        <v>-81.493600000000001</v>
      </c>
      <c r="G68" s="9" t="s">
        <v>679</v>
      </c>
      <c r="H68" s="9" t="s">
        <v>680</v>
      </c>
      <c r="J68" s="8">
        <v>41313</v>
      </c>
      <c r="K68" s="21">
        <v>0.3611111111111111</v>
      </c>
      <c r="AH68" s="11">
        <v>21</v>
      </c>
      <c r="AJ68" s="11">
        <v>1</v>
      </c>
      <c r="AO68" s="11">
        <v>1</v>
      </c>
      <c r="CN68" s="11">
        <v>3</v>
      </c>
      <c r="DA68" s="11" t="s">
        <v>683</v>
      </c>
      <c r="DB68" s="19">
        <f t="shared" si="6"/>
        <v>26</v>
      </c>
    </row>
    <row r="69" spans="1:107" ht="56" x14ac:dyDescent="0.15">
      <c r="A69" s="9" t="s">
        <v>684</v>
      </c>
      <c r="B69" s="11" t="s">
        <v>593</v>
      </c>
      <c r="C69" s="11">
        <v>30.3977</v>
      </c>
      <c r="D69" s="11">
        <v>-81.517099999999999</v>
      </c>
      <c r="E69" s="11">
        <v>30.407599999999999</v>
      </c>
      <c r="F69" s="11">
        <v>-81.521699999999996</v>
      </c>
      <c r="G69" s="9" t="s">
        <v>679</v>
      </c>
      <c r="H69" s="9" t="s">
        <v>680</v>
      </c>
      <c r="J69" s="8">
        <v>41313</v>
      </c>
      <c r="K69" s="21">
        <v>0.51388888888888884</v>
      </c>
      <c r="AH69" s="11">
        <v>5</v>
      </c>
      <c r="AJ69" s="11">
        <v>51</v>
      </c>
      <c r="AM69" s="11">
        <v>3</v>
      </c>
      <c r="AO69" s="11">
        <v>132</v>
      </c>
      <c r="AW69" s="11">
        <v>2</v>
      </c>
      <c r="AX69" s="11">
        <v>5</v>
      </c>
      <c r="BM69" s="11">
        <v>1</v>
      </c>
      <c r="CB69" s="11">
        <v>2</v>
      </c>
      <c r="CM69" s="11">
        <v>3</v>
      </c>
      <c r="CN69" s="11">
        <v>2</v>
      </c>
      <c r="CO69" s="11">
        <v>1</v>
      </c>
      <c r="CP69" s="11">
        <v>1</v>
      </c>
      <c r="CW69" s="11">
        <v>2</v>
      </c>
      <c r="DA69" s="11" t="s">
        <v>685</v>
      </c>
      <c r="DB69" s="19">
        <f t="shared" si="6"/>
        <v>210</v>
      </c>
    </row>
    <row r="70" spans="1:107" ht="70" x14ac:dyDescent="0.15">
      <c r="A70" s="9" t="s">
        <v>686</v>
      </c>
      <c r="B70" s="9" t="s">
        <v>593</v>
      </c>
      <c r="C70" s="9">
        <v>30.4071</v>
      </c>
      <c r="D70" s="9">
        <v>-81.527000000000001</v>
      </c>
      <c r="E70" s="9">
        <v>30.413699999999999</v>
      </c>
      <c r="F70" s="9">
        <v>-81.531999999999996</v>
      </c>
      <c r="G70" s="9" t="s">
        <v>679</v>
      </c>
      <c r="H70" s="9" t="s">
        <v>680</v>
      </c>
      <c r="J70" s="8">
        <v>41313</v>
      </c>
      <c r="K70" s="18">
        <v>0.64583333333333337</v>
      </c>
      <c r="P70" s="11">
        <v>11</v>
      </c>
      <c r="Y70" s="11">
        <v>1</v>
      </c>
      <c r="AH70" s="9">
        <v>1</v>
      </c>
      <c r="AJ70" s="9"/>
      <c r="AM70" s="9"/>
      <c r="AO70" s="9"/>
      <c r="AW70" s="9"/>
      <c r="BF70" s="11">
        <v>2</v>
      </c>
      <c r="BI70" s="11">
        <v>22</v>
      </c>
      <c r="BL70" s="9"/>
      <c r="BQ70" s="9"/>
      <c r="BS70" s="9"/>
      <c r="CA70" s="11">
        <v>1</v>
      </c>
      <c r="CB70" s="9"/>
      <c r="CM70" s="9"/>
      <c r="CN70" s="11">
        <v>1</v>
      </c>
      <c r="CT70" s="11">
        <v>7</v>
      </c>
      <c r="DA70" s="11" t="s">
        <v>687</v>
      </c>
      <c r="DB70" s="19">
        <f t="shared" si="6"/>
        <v>46</v>
      </c>
      <c r="DC70" s="9"/>
    </row>
    <row r="71" spans="1:107" ht="56" x14ac:dyDescent="0.15">
      <c r="A71" s="9" t="s">
        <v>688</v>
      </c>
      <c r="B71" s="9" t="s">
        <v>593</v>
      </c>
      <c r="C71" s="9">
        <v>30.409800000000001</v>
      </c>
      <c r="D71" s="9">
        <v>-81.532300000000006</v>
      </c>
      <c r="E71" s="9">
        <v>30.408200000000001</v>
      </c>
      <c r="F71" s="9">
        <v>-81.527699999999996</v>
      </c>
      <c r="G71" s="9" t="s">
        <v>679</v>
      </c>
      <c r="H71" s="9" t="s">
        <v>680</v>
      </c>
      <c r="J71" s="8">
        <v>41313</v>
      </c>
      <c r="K71" s="18">
        <v>0.66666666666666663</v>
      </c>
      <c r="P71" s="11">
        <v>4</v>
      </c>
      <c r="Y71" s="11">
        <v>10</v>
      </c>
      <c r="Z71" s="9"/>
      <c r="AH71" s="9"/>
      <c r="AM71" s="9"/>
      <c r="AO71" s="9"/>
      <c r="AX71" s="9"/>
      <c r="BL71" s="9"/>
      <c r="CA71" s="11">
        <v>4</v>
      </c>
      <c r="CM71" s="11">
        <v>1</v>
      </c>
      <c r="CN71" s="11">
        <v>2</v>
      </c>
      <c r="CO71" s="9">
        <v>1</v>
      </c>
      <c r="CT71" s="11">
        <v>1</v>
      </c>
      <c r="DA71" s="9" t="s">
        <v>689</v>
      </c>
      <c r="DB71" s="19">
        <f t="shared" si="6"/>
        <v>23</v>
      </c>
      <c r="DC71" s="9"/>
    </row>
    <row r="72" spans="1:107" ht="56" x14ac:dyDescent="0.15">
      <c r="A72" s="9" t="s">
        <v>690</v>
      </c>
      <c r="B72" s="11" t="s">
        <v>593</v>
      </c>
      <c r="C72" s="9">
        <v>30.399000000000001</v>
      </c>
      <c r="D72" s="9">
        <v>-81.5167</v>
      </c>
      <c r="E72" s="9">
        <v>30.401399999999999</v>
      </c>
      <c r="F72" s="9">
        <v>-81.515900000000002</v>
      </c>
      <c r="G72" s="9" t="s">
        <v>679</v>
      </c>
      <c r="H72" s="9" t="s">
        <v>680</v>
      </c>
      <c r="J72" s="8">
        <v>41313</v>
      </c>
      <c r="K72" s="21">
        <v>0.58680555555555558</v>
      </c>
      <c r="P72" s="11">
        <v>12</v>
      </c>
      <c r="AJ72" s="11">
        <v>4</v>
      </c>
      <c r="CA72" s="11">
        <v>1</v>
      </c>
      <c r="CM72" s="11">
        <v>1</v>
      </c>
      <c r="CN72" s="11">
        <v>13</v>
      </c>
      <c r="CP72" s="11">
        <v>1</v>
      </c>
      <c r="DA72" s="11" t="s">
        <v>691</v>
      </c>
      <c r="DB72" s="19">
        <f t="shared" si="6"/>
        <v>32</v>
      </c>
    </row>
    <row r="73" spans="1:107" ht="56" x14ac:dyDescent="0.15">
      <c r="A73" s="9" t="s">
        <v>692</v>
      </c>
      <c r="B73" s="9" t="s">
        <v>593</v>
      </c>
      <c r="C73" s="9">
        <v>30.3918</v>
      </c>
      <c r="D73" s="9">
        <v>-81.524900000000002</v>
      </c>
      <c r="E73" s="9">
        <v>30.392900000000001</v>
      </c>
      <c r="F73" s="9">
        <v>-81.517700000000005</v>
      </c>
      <c r="G73" s="9" t="s">
        <v>679</v>
      </c>
      <c r="H73" s="9" t="s">
        <v>680</v>
      </c>
      <c r="J73" s="8">
        <v>41313</v>
      </c>
      <c r="K73" s="18">
        <v>0.625</v>
      </c>
      <c r="Z73" s="9"/>
      <c r="AF73" s="9"/>
      <c r="AH73" s="9"/>
      <c r="AI73" s="9"/>
      <c r="AJ73" s="9">
        <v>4</v>
      </c>
      <c r="AM73" s="9"/>
      <c r="AO73" s="9">
        <v>4</v>
      </c>
      <c r="AP73" s="9"/>
      <c r="AR73" s="9"/>
      <c r="AW73" s="9"/>
      <c r="AY73" s="9"/>
      <c r="AZ73" s="9"/>
      <c r="BL73" s="9"/>
      <c r="BQ73" s="9"/>
      <c r="BS73" s="9"/>
      <c r="CB73" s="9">
        <v>1</v>
      </c>
      <c r="CJ73" s="11">
        <v>1</v>
      </c>
      <c r="CK73" s="9"/>
      <c r="CM73" s="9">
        <v>1</v>
      </c>
      <c r="CN73" s="9"/>
      <c r="CO73" s="9"/>
      <c r="CP73" s="9">
        <v>1</v>
      </c>
      <c r="CT73" s="9"/>
      <c r="CV73" s="9"/>
      <c r="CW73" s="11">
        <v>1</v>
      </c>
      <c r="DA73" s="9" t="s">
        <v>693</v>
      </c>
      <c r="DB73" s="19">
        <f t="shared" si="6"/>
        <v>13</v>
      </c>
      <c r="DC73" s="9"/>
    </row>
    <row r="74" spans="1:107" ht="71.25" customHeight="1" x14ac:dyDescent="0.15">
      <c r="A74" s="9" t="s">
        <v>694</v>
      </c>
      <c r="B74" s="9" t="s">
        <v>451</v>
      </c>
      <c r="C74" s="9" t="s">
        <v>695</v>
      </c>
      <c r="D74" s="9" t="s">
        <v>696</v>
      </c>
      <c r="E74" s="9" t="s">
        <v>697</v>
      </c>
      <c r="F74" s="9" t="s">
        <v>698</v>
      </c>
      <c r="G74" s="9" t="s">
        <v>699</v>
      </c>
      <c r="H74" s="9" t="s">
        <v>700</v>
      </c>
      <c r="I74" s="9"/>
      <c r="J74" s="8">
        <v>41306</v>
      </c>
      <c r="K74" s="16" t="s">
        <v>701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>
        <v>3</v>
      </c>
      <c r="AD74" s="9"/>
      <c r="AE74" s="9"/>
      <c r="AF74" s="9"/>
      <c r="AG74" s="9"/>
      <c r="AH74" s="9"/>
      <c r="AI74" s="9"/>
      <c r="AJ74" s="9">
        <v>20</v>
      </c>
      <c r="AK74" s="9"/>
      <c r="AL74" s="9"/>
      <c r="AM74" s="9"/>
      <c r="AN74" s="9"/>
      <c r="AO74" s="9">
        <v>3</v>
      </c>
      <c r="AP74" s="9"/>
      <c r="AQ74" s="9"/>
      <c r="AR74" s="9"/>
      <c r="AS74" s="9"/>
      <c r="AT74" s="9"/>
      <c r="AU74" s="9"/>
      <c r="AV74" s="9"/>
      <c r="AW74" s="9">
        <v>1</v>
      </c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>
        <v>10</v>
      </c>
      <c r="BM74" s="9">
        <v>1</v>
      </c>
      <c r="BN74" s="9"/>
      <c r="BO74" s="9"/>
      <c r="BP74" s="9"/>
      <c r="BQ74" s="9"/>
      <c r="BR74" s="9"/>
      <c r="BS74" s="9"/>
      <c r="BT74" s="9"/>
      <c r="BU74" s="9"/>
      <c r="BV74" s="9"/>
      <c r="BW74" s="9">
        <v>12</v>
      </c>
      <c r="BX74" s="9"/>
      <c r="BY74" s="9"/>
      <c r="BZ74" s="9"/>
      <c r="CA74" s="9"/>
      <c r="CB74" s="9">
        <v>2</v>
      </c>
      <c r="CC74" s="9">
        <v>2</v>
      </c>
      <c r="CD74" s="9">
        <v>1</v>
      </c>
      <c r="CE74" s="9"/>
      <c r="CF74" s="9"/>
      <c r="CG74" s="9"/>
      <c r="CH74" s="9">
        <v>1</v>
      </c>
      <c r="CI74" s="9"/>
      <c r="CJ74" s="9">
        <v>1</v>
      </c>
      <c r="CK74" s="9"/>
      <c r="CL74" s="9"/>
      <c r="CM74" s="9">
        <v>4</v>
      </c>
      <c r="CN74" s="9">
        <v>3</v>
      </c>
      <c r="CO74" s="9"/>
      <c r="CP74" s="9">
        <v>1</v>
      </c>
      <c r="CQ74" s="9">
        <v>1</v>
      </c>
      <c r="CR74" s="9"/>
      <c r="CS74" s="9"/>
      <c r="CT74" s="9"/>
      <c r="CU74" s="9"/>
      <c r="CV74" s="9"/>
      <c r="CW74" s="9">
        <v>2</v>
      </c>
      <c r="CX74" s="9"/>
      <c r="CY74" s="9">
        <v>1</v>
      </c>
      <c r="CZ74" s="9"/>
      <c r="DA74" s="9" t="s">
        <v>702</v>
      </c>
      <c r="DB74" s="19">
        <f t="shared" si="6"/>
        <v>69</v>
      </c>
      <c r="DC74" s="9"/>
    </row>
    <row r="75" spans="1:107" ht="42.75" customHeight="1" x14ac:dyDescent="0.15">
      <c r="A75" s="9" t="s">
        <v>703</v>
      </c>
      <c r="B75" s="9" t="s">
        <v>386</v>
      </c>
      <c r="C75" s="9">
        <v>29.703849000000002</v>
      </c>
      <c r="D75" s="9">
        <v>-81.224759000000006</v>
      </c>
      <c r="E75" s="9">
        <v>29.670947999999999</v>
      </c>
      <c r="F75" s="9">
        <v>-81.212562000000005</v>
      </c>
      <c r="G75" s="9" t="s">
        <v>704</v>
      </c>
      <c r="H75" s="9" t="s">
        <v>705</v>
      </c>
      <c r="I75" s="9"/>
      <c r="J75" s="8">
        <v>41306</v>
      </c>
      <c r="K75" s="18">
        <v>1030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>
        <v>1</v>
      </c>
      <c r="AA75" s="9"/>
      <c r="AB75" s="9"/>
      <c r="AC75" s="9">
        <v>2</v>
      </c>
      <c r="AD75" s="9"/>
      <c r="AE75" s="9"/>
      <c r="AF75" s="9">
        <v>135</v>
      </c>
      <c r="AG75" s="9"/>
      <c r="AH75" s="9">
        <v>40</v>
      </c>
      <c r="AI75" s="9"/>
      <c r="AJ75" s="9">
        <v>5</v>
      </c>
      <c r="AK75" s="9"/>
      <c r="AL75" s="9">
        <v>1</v>
      </c>
      <c r="AM75" s="9">
        <v>43</v>
      </c>
      <c r="AN75" s="9">
        <v>1</v>
      </c>
      <c r="AO75" s="9">
        <v>9</v>
      </c>
      <c r="AP75" s="9">
        <v>1</v>
      </c>
      <c r="AQ75" s="9"/>
      <c r="AR75" s="9"/>
      <c r="AS75" s="9"/>
      <c r="AT75" s="9"/>
      <c r="AU75" s="9"/>
      <c r="AV75" s="9"/>
      <c r="AW75" s="9">
        <v>32</v>
      </c>
      <c r="AX75" s="9">
        <v>64</v>
      </c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>
        <v>7</v>
      </c>
      <c r="BM75" s="9"/>
      <c r="BN75" s="9"/>
      <c r="BO75" s="9"/>
      <c r="BP75" s="9"/>
      <c r="BQ75" s="9">
        <v>3</v>
      </c>
      <c r="BR75" s="9"/>
      <c r="BS75" s="9">
        <v>10</v>
      </c>
      <c r="BT75" s="9"/>
      <c r="BU75" s="9"/>
      <c r="BV75" s="9"/>
      <c r="BW75" s="9"/>
      <c r="BX75" s="9"/>
      <c r="BY75" s="9"/>
      <c r="BZ75" s="9"/>
      <c r="CA75" s="9"/>
      <c r="CB75" s="9">
        <v>14</v>
      </c>
      <c r="CC75" s="9">
        <v>2</v>
      </c>
      <c r="CD75" s="9">
        <v>2</v>
      </c>
      <c r="CE75" s="9"/>
      <c r="CF75" s="9"/>
      <c r="CG75" s="9"/>
      <c r="CH75" s="9">
        <v>1</v>
      </c>
      <c r="CI75" s="9"/>
      <c r="CJ75" s="9"/>
      <c r="CK75" s="9"/>
      <c r="CL75" s="9"/>
      <c r="CM75" s="9">
        <v>1</v>
      </c>
      <c r="CN75" s="9">
        <v>5</v>
      </c>
      <c r="CO75" s="9">
        <v>4</v>
      </c>
      <c r="CP75" s="9">
        <v>1</v>
      </c>
      <c r="CQ75" s="9"/>
      <c r="CR75" s="9"/>
      <c r="CS75" s="9"/>
      <c r="CT75" s="9"/>
      <c r="CU75" s="9"/>
      <c r="CV75" s="9"/>
      <c r="CW75" s="9">
        <v>1</v>
      </c>
      <c r="CX75" s="9"/>
      <c r="CY75" s="9"/>
      <c r="CZ75" s="9"/>
      <c r="DA75" s="11" t="s">
        <v>706</v>
      </c>
      <c r="DB75" s="19">
        <f t="shared" si="6"/>
        <v>385</v>
      </c>
    </row>
    <row r="76" spans="1:107" ht="28.5" customHeight="1" x14ac:dyDescent="0.15">
      <c r="A76" s="9" t="s">
        <v>707</v>
      </c>
      <c r="B76" s="9" t="s">
        <v>442</v>
      </c>
      <c r="C76" s="9">
        <v>27.78886</v>
      </c>
      <c r="D76" s="9">
        <v>82.636420000000001</v>
      </c>
      <c r="E76" s="9">
        <v>27.632809999999999</v>
      </c>
      <c r="F76" s="9">
        <v>82.740859999999998</v>
      </c>
      <c r="G76" s="9" t="s">
        <v>262</v>
      </c>
      <c r="H76" s="9" t="s">
        <v>238</v>
      </c>
      <c r="I76" s="9"/>
      <c r="J76" s="8">
        <v>41311</v>
      </c>
      <c r="K76" s="18">
        <v>0.35625000000000001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>
        <v>13</v>
      </c>
      <c r="AI76" s="9"/>
      <c r="AJ76" s="9">
        <v>32</v>
      </c>
      <c r="AK76" s="9"/>
      <c r="AL76" s="9"/>
      <c r="AM76" s="9">
        <v>130</v>
      </c>
      <c r="AN76" s="9"/>
      <c r="AO76" s="9">
        <v>23</v>
      </c>
      <c r="AP76" s="9">
        <v>2</v>
      </c>
      <c r="AQ76" s="9"/>
      <c r="AR76" s="9"/>
      <c r="AS76" s="9"/>
      <c r="AT76" s="9"/>
      <c r="AU76" s="9"/>
      <c r="AV76" s="9"/>
      <c r="AW76" s="9">
        <v>18</v>
      </c>
      <c r="AX76" s="9">
        <v>10</v>
      </c>
      <c r="AY76" s="9">
        <v>3</v>
      </c>
      <c r="AZ76" s="9"/>
      <c r="BA76" s="9">
        <v>7</v>
      </c>
      <c r="BB76" s="9"/>
      <c r="BC76" s="9">
        <v>1</v>
      </c>
      <c r="BD76" s="9">
        <v>1</v>
      </c>
      <c r="BE76" s="9">
        <v>3</v>
      </c>
      <c r="BF76" s="9"/>
      <c r="BG76" s="9">
        <v>2</v>
      </c>
      <c r="BH76" s="9"/>
      <c r="BI76" s="9"/>
      <c r="BJ76" s="9"/>
      <c r="BK76" s="9"/>
      <c r="BL76" s="9">
        <v>6</v>
      </c>
      <c r="BM76" s="9"/>
      <c r="BN76" s="9"/>
      <c r="BO76" s="9"/>
      <c r="BP76" s="9"/>
      <c r="BQ76" s="9">
        <v>15</v>
      </c>
      <c r="BR76" s="9">
        <v>55</v>
      </c>
      <c r="BS76" s="9">
        <v>27</v>
      </c>
      <c r="BT76" s="9"/>
      <c r="BU76" s="9"/>
      <c r="BV76" s="9"/>
      <c r="BW76" s="9"/>
      <c r="BX76" s="9"/>
      <c r="BY76" s="9"/>
      <c r="BZ76" s="9"/>
      <c r="CA76" s="9"/>
      <c r="CB76" s="9">
        <v>1</v>
      </c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>
        <v>2</v>
      </c>
      <c r="CO76" s="9">
        <v>8</v>
      </c>
      <c r="CP76" s="9"/>
      <c r="CQ76" s="9"/>
      <c r="CR76" s="9"/>
      <c r="CS76" s="9"/>
      <c r="CT76" s="9"/>
      <c r="CU76" s="9"/>
      <c r="CV76" s="9"/>
      <c r="CW76" s="9"/>
      <c r="CX76" s="9"/>
      <c r="CY76" s="9">
        <v>17</v>
      </c>
      <c r="CZ76" s="9"/>
      <c r="DA76" s="9" t="s">
        <v>708</v>
      </c>
      <c r="DB76" s="19">
        <f t="shared" si="6"/>
        <v>376</v>
      </c>
    </row>
    <row r="77" spans="1:107" ht="28.5" customHeight="1" x14ac:dyDescent="0.15">
      <c r="A77" s="9" t="s">
        <v>709</v>
      </c>
      <c r="B77" s="9" t="s">
        <v>442</v>
      </c>
      <c r="C77" s="9">
        <v>27.632809999999999</v>
      </c>
      <c r="D77" s="9">
        <v>82.740859999999998</v>
      </c>
      <c r="E77" s="9">
        <v>27.633050000000001</v>
      </c>
      <c r="F77" s="9">
        <v>82.740989999999996</v>
      </c>
      <c r="G77" s="9" t="s">
        <v>262</v>
      </c>
      <c r="H77" s="9" t="s">
        <v>238</v>
      </c>
      <c r="I77" s="9"/>
      <c r="J77" s="20">
        <v>41311</v>
      </c>
      <c r="K77" s="18">
        <v>0.46180555555555558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>
        <v>1</v>
      </c>
      <c r="AD77" s="9"/>
      <c r="AE77" s="9"/>
      <c r="AF77" s="9"/>
      <c r="AG77" s="9"/>
      <c r="AH77" s="9">
        <v>4</v>
      </c>
      <c r="AI77" s="9"/>
      <c r="AJ77" s="9">
        <v>9</v>
      </c>
      <c r="AK77" s="9"/>
      <c r="AL77" s="9"/>
      <c r="AM77" s="9">
        <v>18</v>
      </c>
      <c r="AN77" s="9"/>
      <c r="AO77" s="9">
        <v>1</v>
      </c>
      <c r="AP77" s="9"/>
      <c r="AQ77" s="9"/>
      <c r="AR77" s="9"/>
      <c r="AS77" s="9"/>
      <c r="AT77" s="9"/>
      <c r="AU77" s="9"/>
      <c r="AV77" s="9"/>
      <c r="AW77" s="9">
        <v>2</v>
      </c>
      <c r="AX77" s="9">
        <v>3</v>
      </c>
      <c r="AY77" s="9"/>
      <c r="AZ77" s="9"/>
      <c r="BA77" s="9">
        <v>2</v>
      </c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>
        <v>11</v>
      </c>
      <c r="BM77" s="9"/>
      <c r="BN77" s="9"/>
      <c r="BO77" s="9"/>
      <c r="BP77" s="9"/>
      <c r="BQ77" s="9">
        <v>6</v>
      </c>
      <c r="BR77" s="9">
        <v>5</v>
      </c>
      <c r="BS77" s="9">
        <v>26</v>
      </c>
      <c r="BT77" s="9"/>
      <c r="BU77" s="9"/>
      <c r="BV77" s="9"/>
      <c r="BW77" s="9"/>
      <c r="BX77" s="9"/>
      <c r="BY77" s="9"/>
      <c r="BZ77" s="9"/>
      <c r="CA77" s="9"/>
      <c r="CB77" s="9">
        <v>3</v>
      </c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 t="s">
        <v>710</v>
      </c>
      <c r="DB77" s="19">
        <f t="shared" si="6"/>
        <v>91</v>
      </c>
    </row>
    <row r="78" spans="1:107" ht="28" x14ac:dyDescent="0.15">
      <c r="A78" s="9" t="s">
        <v>711</v>
      </c>
      <c r="B78" s="9" t="s">
        <v>475</v>
      </c>
      <c r="C78" s="9">
        <v>27.19502</v>
      </c>
      <c r="D78" s="9">
        <v>-82.505250000000004</v>
      </c>
      <c r="E78" s="9">
        <v>27.155619999999999</v>
      </c>
      <c r="F78" s="9">
        <v>-82.484960000000001</v>
      </c>
      <c r="G78" s="9" t="s">
        <v>712</v>
      </c>
      <c r="H78" s="9" t="s">
        <v>122</v>
      </c>
      <c r="I78" s="9"/>
      <c r="J78" s="16" t="s">
        <v>713</v>
      </c>
      <c r="K78" s="18">
        <v>0.37847222222222221</v>
      </c>
      <c r="P78" s="9"/>
      <c r="Y78" s="9"/>
      <c r="AE78" s="9"/>
      <c r="AH78" s="9">
        <v>5</v>
      </c>
      <c r="AJ78" s="9">
        <v>3</v>
      </c>
      <c r="AO78" s="9"/>
      <c r="AX78" s="9">
        <v>3</v>
      </c>
      <c r="BA78" s="11">
        <v>3</v>
      </c>
      <c r="BI78" s="9"/>
      <c r="BJ78" s="9"/>
      <c r="BS78" s="11">
        <v>107</v>
      </c>
      <c r="CM78" s="9"/>
      <c r="CN78" s="9"/>
      <c r="CO78" s="9"/>
      <c r="CT78" s="9"/>
      <c r="CU78" s="9"/>
      <c r="CW78" s="9"/>
      <c r="DA78" s="9" t="s">
        <v>714</v>
      </c>
      <c r="DB78" s="19">
        <f t="shared" si="6"/>
        <v>121</v>
      </c>
      <c r="DC78" s="9" t="s">
        <v>715</v>
      </c>
    </row>
    <row r="79" spans="1:107" ht="57" customHeight="1" x14ac:dyDescent="0.15">
      <c r="A79" s="9" t="s">
        <v>716</v>
      </c>
      <c r="B79" s="9" t="s">
        <v>442</v>
      </c>
      <c r="C79" s="9">
        <v>27.997982</v>
      </c>
      <c r="D79" s="9">
        <v>-82.828417000000002</v>
      </c>
      <c r="E79" s="17">
        <v>28.020498</v>
      </c>
      <c r="F79" s="9">
        <v>-82.826796999999999</v>
      </c>
      <c r="G79" s="9" t="s">
        <v>717</v>
      </c>
      <c r="H79" s="9" t="s">
        <v>718</v>
      </c>
      <c r="I79" s="9"/>
      <c r="J79" s="8">
        <v>41314</v>
      </c>
      <c r="K79" s="18">
        <v>0.52083333333333337</v>
      </c>
      <c r="Y79" s="9"/>
      <c r="AH79" s="11">
        <v>5</v>
      </c>
      <c r="AJ79" s="9">
        <v>21</v>
      </c>
      <c r="AM79" s="11">
        <v>4</v>
      </c>
      <c r="AO79" s="9">
        <v>7</v>
      </c>
      <c r="AP79" s="9"/>
      <c r="AW79" s="9">
        <v>2</v>
      </c>
      <c r="AX79" s="9">
        <v>7</v>
      </c>
      <c r="BA79" s="9"/>
      <c r="BL79" s="9">
        <v>3</v>
      </c>
      <c r="BQ79" s="11">
        <v>6</v>
      </c>
      <c r="BR79" s="11">
        <v>9</v>
      </c>
      <c r="BS79" s="11">
        <v>23</v>
      </c>
      <c r="CM79" s="9">
        <v>1</v>
      </c>
      <c r="CN79" s="9">
        <v>1</v>
      </c>
      <c r="CO79" s="9"/>
      <c r="CQ79" s="9"/>
      <c r="CW79" s="9"/>
      <c r="CY79" s="11">
        <v>2</v>
      </c>
      <c r="DA79" s="11" t="s">
        <v>719</v>
      </c>
      <c r="DB79" s="19">
        <f t="shared" si="6"/>
        <v>91</v>
      </c>
    </row>
    <row r="80" spans="1:107" ht="42.75" customHeight="1" x14ac:dyDescent="0.15">
      <c r="A80" s="9" t="s">
        <v>720</v>
      </c>
      <c r="B80" s="9" t="s">
        <v>484</v>
      </c>
      <c r="C80" s="9" t="s">
        <v>721</v>
      </c>
      <c r="D80" s="9" t="s">
        <v>722</v>
      </c>
      <c r="E80" s="9" t="s">
        <v>723</v>
      </c>
      <c r="F80" s="9" t="s">
        <v>724</v>
      </c>
      <c r="G80" s="9" t="s">
        <v>725</v>
      </c>
      <c r="H80" s="9" t="s">
        <v>457</v>
      </c>
      <c r="I80" s="9"/>
      <c r="J80" s="8">
        <v>41306</v>
      </c>
      <c r="K80" s="16" t="s">
        <v>726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>
        <v>6</v>
      </c>
      <c r="AJ80" s="9"/>
      <c r="AK80" s="9"/>
      <c r="AL80" s="9"/>
      <c r="AM80" s="9"/>
      <c r="AN80" s="9"/>
      <c r="AO80" s="9">
        <v>1</v>
      </c>
      <c r="AP80" s="9"/>
      <c r="AQ80" s="9"/>
      <c r="AR80" s="9"/>
      <c r="AS80" s="9"/>
      <c r="AT80" s="9"/>
      <c r="AU80" s="9"/>
      <c r="AV80" s="9"/>
      <c r="AW80" s="9">
        <v>1</v>
      </c>
      <c r="AX80" s="9"/>
      <c r="AY80" s="9"/>
      <c r="AZ80" s="9"/>
      <c r="BA80" s="9"/>
      <c r="BB80" s="9"/>
      <c r="BC80" s="9"/>
      <c r="BD80" s="9"/>
      <c r="BE80" s="9"/>
      <c r="BF80" s="9">
        <v>1</v>
      </c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>
        <v>1</v>
      </c>
      <c r="CN80" s="9">
        <v>1</v>
      </c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 t="s">
        <v>727</v>
      </c>
      <c r="DB80" s="19">
        <f t="shared" si="6"/>
        <v>11</v>
      </c>
      <c r="DC80" s="9"/>
    </row>
    <row r="81" spans="1:107" ht="28.5" customHeight="1" x14ac:dyDescent="0.15">
      <c r="A81" s="9" t="s">
        <v>728</v>
      </c>
      <c r="B81" s="9" t="s">
        <v>484</v>
      </c>
      <c r="C81" s="9" t="s">
        <v>729</v>
      </c>
      <c r="D81" s="9" t="s">
        <v>730</v>
      </c>
      <c r="E81" s="9" t="s">
        <v>731</v>
      </c>
      <c r="F81" s="9" t="s">
        <v>732</v>
      </c>
      <c r="G81" s="9" t="s">
        <v>733</v>
      </c>
      <c r="H81" s="9" t="s">
        <v>457</v>
      </c>
      <c r="I81" s="9"/>
      <c r="J81" s="8">
        <v>41306</v>
      </c>
      <c r="K81" s="16" t="s">
        <v>734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>
        <v>1</v>
      </c>
      <c r="AD81" s="9"/>
      <c r="AE81" s="9"/>
      <c r="AF81" s="9"/>
      <c r="AG81" s="9"/>
      <c r="AH81" s="9">
        <v>1</v>
      </c>
      <c r="AI81" s="9"/>
      <c r="AJ81" s="9">
        <v>5</v>
      </c>
      <c r="AK81" s="9"/>
      <c r="AL81" s="9"/>
      <c r="AM81" s="9"/>
      <c r="AN81" s="9"/>
      <c r="AO81" s="9">
        <v>5</v>
      </c>
      <c r="AP81" s="9"/>
      <c r="AQ81" s="9"/>
      <c r="AR81" s="9"/>
      <c r="AS81" s="9"/>
      <c r="AT81" s="9"/>
      <c r="AU81" s="9"/>
      <c r="AV81" s="9"/>
      <c r="AW81" s="9">
        <v>4</v>
      </c>
      <c r="AX81" s="9"/>
      <c r="AY81" s="9"/>
      <c r="AZ81" s="9"/>
      <c r="BA81" s="9"/>
      <c r="BB81" s="9"/>
      <c r="BC81" s="9"/>
      <c r="BD81" s="9"/>
      <c r="BE81" s="9"/>
      <c r="BF81" s="9">
        <v>4</v>
      </c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>
        <v>27</v>
      </c>
      <c r="BV81" s="9"/>
      <c r="BW81" s="9"/>
      <c r="BX81" s="9"/>
      <c r="BY81" s="9"/>
      <c r="BZ81" s="9"/>
      <c r="CA81" s="9"/>
      <c r="CB81" s="9">
        <v>1</v>
      </c>
      <c r="CC81" s="9">
        <v>1</v>
      </c>
      <c r="CD81" s="9"/>
      <c r="CE81" s="9"/>
      <c r="CF81" s="9"/>
      <c r="CG81" s="9"/>
      <c r="CH81" s="9"/>
      <c r="CI81" s="9"/>
      <c r="CJ81" s="9"/>
      <c r="CK81" s="9"/>
      <c r="CL81" s="9"/>
      <c r="CM81" s="9">
        <v>3</v>
      </c>
      <c r="CN81" s="9">
        <v>3</v>
      </c>
      <c r="CO81" s="9">
        <v>1</v>
      </c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 t="s">
        <v>735</v>
      </c>
      <c r="DB81" s="19">
        <f t="shared" si="6"/>
        <v>56</v>
      </c>
    </row>
    <row r="82" spans="1:107" ht="42" x14ac:dyDescent="0.15">
      <c r="A82" s="9" t="s">
        <v>736</v>
      </c>
      <c r="B82" s="9" t="s">
        <v>442</v>
      </c>
      <c r="C82" s="15" t="s">
        <v>737</v>
      </c>
      <c r="D82" s="15" t="s">
        <v>738</v>
      </c>
      <c r="E82" s="15" t="s">
        <v>739</v>
      </c>
      <c r="F82" s="15" t="s">
        <v>740</v>
      </c>
      <c r="G82" s="9" t="s">
        <v>284</v>
      </c>
      <c r="H82" s="9" t="s">
        <v>741</v>
      </c>
      <c r="I82" s="9"/>
      <c r="J82" s="8">
        <v>41315</v>
      </c>
      <c r="K82" s="18">
        <v>0.33333333333333331</v>
      </c>
      <c r="L82" s="9"/>
      <c r="M82" s="11"/>
      <c r="N82" s="11"/>
      <c r="O82" s="9"/>
      <c r="P82" s="11"/>
      <c r="Q82" s="11"/>
      <c r="R82" s="11"/>
      <c r="S82" s="11"/>
      <c r="T82" s="11"/>
      <c r="U82" s="11"/>
      <c r="V82" s="11"/>
      <c r="W82" s="11"/>
      <c r="X82" s="11"/>
      <c r="Y82" s="9"/>
      <c r="Z82" s="11"/>
      <c r="AA82" s="11"/>
      <c r="AB82" s="11"/>
      <c r="AC82" s="11"/>
      <c r="AD82" s="11"/>
      <c r="AE82" s="9"/>
      <c r="AF82" s="11">
        <v>8</v>
      </c>
      <c r="AG82" s="11"/>
      <c r="AH82" s="11">
        <v>31</v>
      </c>
      <c r="AI82" s="11"/>
      <c r="AJ82" s="9">
        <v>78</v>
      </c>
      <c r="AK82" s="11"/>
      <c r="AL82" s="11"/>
      <c r="AM82" s="11">
        <v>645</v>
      </c>
      <c r="AN82" s="11">
        <v>1</v>
      </c>
      <c r="AO82" s="11">
        <v>94</v>
      </c>
      <c r="AP82" s="11">
        <v>2</v>
      </c>
      <c r="AQ82" s="11">
        <v>4</v>
      </c>
      <c r="AR82" s="11"/>
      <c r="AS82" s="11"/>
      <c r="AT82" s="11"/>
      <c r="AU82" s="11"/>
      <c r="AV82" s="11"/>
      <c r="AW82" s="11">
        <v>94</v>
      </c>
      <c r="AX82" s="9">
        <v>24</v>
      </c>
      <c r="AY82" s="11">
        <v>2</v>
      </c>
      <c r="AZ82" s="11">
        <v>173</v>
      </c>
      <c r="BA82" s="11"/>
      <c r="BB82" s="11"/>
      <c r="BC82" s="11"/>
      <c r="BD82" s="11"/>
      <c r="BE82" s="11"/>
      <c r="BF82" s="11"/>
      <c r="BG82" s="11">
        <v>2</v>
      </c>
      <c r="BH82" s="11"/>
      <c r="BI82" s="11"/>
      <c r="BJ82" s="11"/>
      <c r="BK82" s="11"/>
      <c r="BL82" s="11">
        <v>1</v>
      </c>
      <c r="BM82" s="11"/>
      <c r="BN82" s="11"/>
      <c r="BO82" s="11"/>
      <c r="BP82" s="11"/>
      <c r="BQ82" s="11">
        <v>3</v>
      </c>
      <c r="BR82" s="11"/>
      <c r="BS82" s="11">
        <v>74</v>
      </c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9">
        <v>3</v>
      </c>
      <c r="CN82" s="9">
        <v>3</v>
      </c>
      <c r="CO82" s="11">
        <v>6</v>
      </c>
      <c r="CP82" s="9"/>
      <c r="CQ82" s="9"/>
      <c r="CR82" s="11"/>
      <c r="CS82" s="11"/>
      <c r="CT82" s="11"/>
      <c r="CU82" s="11"/>
      <c r="CV82" s="9"/>
      <c r="CW82" s="9"/>
      <c r="CX82" s="11"/>
      <c r="CY82" s="11">
        <v>13</v>
      </c>
      <c r="CZ82" s="11">
        <v>19</v>
      </c>
      <c r="DA82" s="9" t="s">
        <v>742</v>
      </c>
      <c r="DB82" s="19">
        <f t="shared" si="6"/>
        <v>1280</v>
      </c>
      <c r="DC82" s="9" t="s">
        <v>743</v>
      </c>
    </row>
    <row r="83" spans="1:107" ht="42" x14ac:dyDescent="0.15">
      <c r="A83" s="11" t="s">
        <v>744</v>
      </c>
      <c r="B83" s="11" t="s">
        <v>484</v>
      </c>
      <c r="C83" s="11">
        <v>29.066860999999999</v>
      </c>
      <c r="D83" s="11">
        <v>-80.926130000000001</v>
      </c>
      <c r="E83" s="11">
        <v>29.075074999999998</v>
      </c>
      <c r="F83" s="11">
        <v>-80.932095000000004</v>
      </c>
      <c r="G83" s="11" t="s">
        <v>295</v>
      </c>
      <c r="H83" s="11" t="s">
        <v>296</v>
      </c>
      <c r="J83" s="20">
        <v>41313</v>
      </c>
      <c r="K83" s="11">
        <v>945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>
        <v>1</v>
      </c>
      <c r="AA83" s="11"/>
      <c r="AB83" s="11"/>
      <c r="AC83" s="11"/>
      <c r="AD83" s="11"/>
      <c r="AE83" s="11"/>
      <c r="AF83" s="11"/>
      <c r="AG83" s="11"/>
      <c r="AH83" s="11">
        <v>149</v>
      </c>
      <c r="AI83" s="11"/>
      <c r="AJ83" s="11">
        <v>7</v>
      </c>
      <c r="AK83" s="11"/>
      <c r="AL83" s="11"/>
      <c r="AM83" s="11">
        <v>159</v>
      </c>
      <c r="AN83" s="11"/>
      <c r="AO83" s="11">
        <v>31</v>
      </c>
      <c r="AP83" s="11">
        <v>78</v>
      </c>
      <c r="AQ83" s="11"/>
      <c r="AR83" s="11"/>
      <c r="AS83" s="11"/>
      <c r="AT83" s="11"/>
      <c r="AU83" s="11"/>
      <c r="AV83" s="11">
        <v>2</v>
      </c>
      <c r="AW83" s="11">
        <v>2</v>
      </c>
      <c r="AX83" s="11">
        <v>9</v>
      </c>
      <c r="AY83" s="11"/>
      <c r="AZ83" s="11"/>
      <c r="BA83" s="11">
        <v>46</v>
      </c>
      <c r="BB83" s="11">
        <v>1</v>
      </c>
      <c r="BC83" s="11">
        <v>43</v>
      </c>
      <c r="BD83" s="11">
        <v>10</v>
      </c>
      <c r="BE83" s="11"/>
      <c r="BF83" s="11"/>
      <c r="BG83" s="11"/>
      <c r="BH83" s="11"/>
      <c r="BI83" s="11">
        <v>9</v>
      </c>
      <c r="BJ83" s="11"/>
      <c r="BK83" s="11"/>
      <c r="BL83" s="11"/>
      <c r="BM83" s="11"/>
      <c r="BN83" s="11"/>
      <c r="BO83" s="11"/>
      <c r="BP83" s="11"/>
      <c r="BQ83" s="11"/>
      <c r="BR83" s="11"/>
      <c r="BS83" s="11">
        <v>87</v>
      </c>
      <c r="BT83" s="11"/>
      <c r="BU83" s="11">
        <v>58</v>
      </c>
      <c r="BV83" s="11"/>
      <c r="BW83" s="11">
        <v>65</v>
      </c>
      <c r="BX83" s="11">
        <v>7</v>
      </c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>
        <v>1</v>
      </c>
      <c r="CO83" s="11">
        <v>3</v>
      </c>
      <c r="CP83" s="11"/>
      <c r="CQ83" s="11"/>
      <c r="CR83" s="11"/>
      <c r="CS83" s="11"/>
      <c r="CT83" s="11">
        <v>6</v>
      </c>
      <c r="CU83" s="11"/>
      <c r="CV83" s="11"/>
      <c r="CW83" s="11"/>
      <c r="CX83" s="11">
        <v>8</v>
      </c>
      <c r="CY83" s="11"/>
      <c r="CZ83" s="11"/>
      <c r="DA83" s="11" t="s">
        <v>745</v>
      </c>
      <c r="DB83" s="19">
        <f t="shared" si="6"/>
        <v>782</v>
      </c>
    </row>
    <row r="84" spans="1:107" ht="42.75" customHeight="1" x14ac:dyDescent="0.15">
      <c r="A84" s="9" t="s">
        <v>746</v>
      </c>
      <c r="B84" s="9" t="s">
        <v>444</v>
      </c>
      <c r="C84" s="9">
        <v>27.468070000000001</v>
      </c>
      <c r="D84" s="9">
        <v>-82.699969999999993</v>
      </c>
      <c r="E84" s="9">
        <v>27.444330000000001</v>
      </c>
      <c r="F84" s="9">
        <v>82.690780000000004</v>
      </c>
      <c r="G84" s="9" t="s">
        <v>747</v>
      </c>
      <c r="H84" s="9" t="s">
        <v>748</v>
      </c>
      <c r="I84" s="9"/>
      <c r="J84" s="8">
        <v>41308</v>
      </c>
      <c r="K84" s="18">
        <v>0.3125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>
        <v>20</v>
      </c>
      <c r="AI84" s="9"/>
      <c r="AJ84" s="9"/>
      <c r="AK84" s="9"/>
      <c r="AL84" s="9"/>
      <c r="AM84" s="9">
        <v>49</v>
      </c>
      <c r="AN84" s="9"/>
      <c r="AO84" s="9">
        <v>3</v>
      </c>
      <c r="AP84" s="9">
        <v>1</v>
      </c>
      <c r="AQ84" s="9"/>
      <c r="AR84" s="9"/>
      <c r="AS84" s="9"/>
      <c r="AT84" s="9"/>
      <c r="AU84" s="9"/>
      <c r="AV84" s="9"/>
      <c r="AW84" s="9">
        <v>24</v>
      </c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>
        <v>2</v>
      </c>
      <c r="BM84" s="9"/>
      <c r="BN84" s="9"/>
      <c r="BO84" s="9"/>
      <c r="BP84" s="9">
        <v>65</v>
      </c>
      <c r="BQ84" s="9"/>
      <c r="BR84" s="9">
        <v>9</v>
      </c>
      <c r="BS84" s="9"/>
      <c r="BT84" s="9"/>
      <c r="BU84" s="9">
        <v>153</v>
      </c>
      <c r="BV84" s="9"/>
      <c r="BW84" s="9">
        <v>7</v>
      </c>
      <c r="BX84" s="9">
        <v>3</v>
      </c>
      <c r="BY84" s="9"/>
      <c r="BZ84" s="9"/>
      <c r="CA84" s="9"/>
      <c r="CB84" s="9">
        <v>35</v>
      </c>
      <c r="CC84" s="9">
        <v>3</v>
      </c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>
        <v>16</v>
      </c>
      <c r="CS84" s="9"/>
      <c r="CT84" s="9"/>
      <c r="CU84" s="9"/>
      <c r="CV84" s="9"/>
      <c r="CW84" s="9"/>
      <c r="CX84" s="9"/>
      <c r="CY84" s="9"/>
      <c r="CZ84" s="9"/>
      <c r="DA84" s="9" t="s">
        <v>749</v>
      </c>
      <c r="DB84" s="19">
        <f t="shared" si="6"/>
        <v>390</v>
      </c>
    </row>
    <row r="85" spans="1:107" ht="57" customHeight="1" x14ac:dyDescent="0.15">
      <c r="A85" s="9" t="s">
        <v>750</v>
      </c>
      <c r="B85" s="9" t="s">
        <v>475</v>
      </c>
      <c r="C85" s="9" t="s">
        <v>751</v>
      </c>
      <c r="D85" s="9" t="s">
        <v>752</v>
      </c>
      <c r="E85" s="9" t="s">
        <v>753</v>
      </c>
      <c r="F85" s="9" t="s">
        <v>754</v>
      </c>
      <c r="G85" s="9" t="s">
        <v>328</v>
      </c>
      <c r="H85" s="9" t="s">
        <v>312</v>
      </c>
      <c r="I85" s="9"/>
      <c r="J85" s="8">
        <v>41307</v>
      </c>
      <c r="K85" s="16" t="s">
        <v>755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>
        <v>5</v>
      </c>
      <c r="AI85" s="9"/>
      <c r="AJ85" s="9">
        <v>3</v>
      </c>
      <c r="AK85" s="9"/>
      <c r="AL85" s="9"/>
      <c r="AM85" s="9"/>
      <c r="AN85" s="9"/>
      <c r="AO85" s="9">
        <v>194</v>
      </c>
      <c r="AP85" s="9">
        <v>61</v>
      </c>
      <c r="AQ85" s="9"/>
      <c r="AR85" s="9"/>
      <c r="AS85" s="9"/>
      <c r="AT85" s="9"/>
      <c r="AU85" s="9"/>
      <c r="AV85" s="9"/>
      <c r="AW85" s="9">
        <v>35</v>
      </c>
      <c r="AX85" s="9"/>
      <c r="AY85" s="9"/>
      <c r="AZ85" s="9">
        <v>24</v>
      </c>
      <c r="BA85" s="9"/>
      <c r="BB85" s="9"/>
      <c r="BC85" s="9"/>
      <c r="BD85" s="9"/>
      <c r="BE85" s="9">
        <v>22</v>
      </c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>
        <v>4</v>
      </c>
      <c r="BT85" s="9">
        <v>12</v>
      </c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>
        <v>1</v>
      </c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 t="s">
        <v>204</v>
      </c>
      <c r="DB85" s="19">
        <f t="shared" si="6"/>
        <v>361</v>
      </c>
      <c r="DC85" s="9" t="s">
        <v>756</v>
      </c>
    </row>
    <row r="86" spans="1:107" ht="36.75" customHeight="1" x14ac:dyDescent="0.15">
      <c r="A86" s="9" t="s">
        <v>757</v>
      </c>
      <c r="B86" s="9" t="s">
        <v>464</v>
      </c>
      <c r="C86" s="9">
        <v>27.389379999999999</v>
      </c>
      <c r="D86" s="9">
        <v>-82.642570000000006</v>
      </c>
      <c r="E86" s="9">
        <v>27.442</v>
      </c>
      <c r="F86" s="9">
        <v>-82.688890000000001</v>
      </c>
      <c r="G86" s="9" t="s">
        <v>332</v>
      </c>
      <c r="H86" s="9" t="s">
        <v>333</v>
      </c>
      <c r="I86" s="9"/>
      <c r="J86" s="16" t="s">
        <v>330</v>
      </c>
      <c r="K86" s="18">
        <v>0.29166666666666669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>
        <v>1</v>
      </c>
      <c r="AA86" s="9"/>
      <c r="AB86" s="9"/>
      <c r="AC86" s="9">
        <v>2</v>
      </c>
      <c r="AD86" s="9"/>
      <c r="AE86" s="9"/>
      <c r="AF86" s="9"/>
      <c r="AG86" s="9"/>
      <c r="AH86" s="9">
        <v>55</v>
      </c>
      <c r="AI86" s="9"/>
      <c r="AJ86" s="9">
        <v>60</v>
      </c>
      <c r="AK86" s="9"/>
      <c r="AL86" s="9"/>
      <c r="AM86" s="9">
        <v>118</v>
      </c>
      <c r="AN86" s="9"/>
      <c r="AO86" s="9">
        <v>75</v>
      </c>
      <c r="AP86" s="9">
        <v>6</v>
      </c>
      <c r="AQ86" s="9"/>
      <c r="AR86" s="9"/>
      <c r="AS86" s="9"/>
      <c r="AT86" s="9"/>
      <c r="AU86" s="9"/>
      <c r="AV86" s="9"/>
      <c r="AW86" s="9">
        <v>125</v>
      </c>
      <c r="AX86" s="9">
        <v>25</v>
      </c>
      <c r="AY86" s="9">
        <v>4</v>
      </c>
      <c r="AZ86" s="9">
        <v>290</v>
      </c>
      <c r="BA86" s="9">
        <v>36</v>
      </c>
      <c r="BB86" s="9"/>
      <c r="BC86" s="9">
        <v>9</v>
      </c>
      <c r="BD86" s="9"/>
      <c r="BE86" s="9">
        <v>1</v>
      </c>
      <c r="BF86" s="9"/>
      <c r="BG86" s="9"/>
      <c r="BH86" s="9"/>
      <c r="BI86" s="9"/>
      <c r="BJ86" s="9"/>
      <c r="BK86" s="9"/>
      <c r="BL86" s="9">
        <v>105</v>
      </c>
      <c r="BM86" s="9">
        <v>1</v>
      </c>
      <c r="BN86" s="9"/>
      <c r="BO86" s="9"/>
      <c r="BP86" s="9"/>
      <c r="BQ86" s="9">
        <v>35</v>
      </c>
      <c r="BR86" s="9">
        <v>12</v>
      </c>
      <c r="BS86" s="9">
        <v>277</v>
      </c>
      <c r="BT86" s="9">
        <v>1</v>
      </c>
      <c r="BU86" s="9"/>
      <c r="BV86" s="9"/>
      <c r="BW86" s="9">
        <v>86</v>
      </c>
      <c r="BX86" s="9">
        <v>7</v>
      </c>
      <c r="BY86" s="9"/>
      <c r="BZ86" s="9"/>
      <c r="CA86" s="9"/>
      <c r="CB86" s="9">
        <v>4</v>
      </c>
      <c r="CC86" s="9"/>
      <c r="CD86" s="9"/>
      <c r="CE86" s="9"/>
      <c r="CF86" s="9"/>
      <c r="CG86" s="9"/>
      <c r="CH86" s="9">
        <v>1</v>
      </c>
      <c r="CI86" s="9"/>
      <c r="CJ86" s="9">
        <v>2</v>
      </c>
      <c r="CK86" s="9"/>
      <c r="CL86" s="9"/>
      <c r="CM86" s="9">
        <v>2</v>
      </c>
      <c r="CN86" s="9"/>
      <c r="CO86" s="9">
        <v>2</v>
      </c>
      <c r="CP86" s="9"/>
      <c r="CQ86" s="9"/>
      <c r="CR86" s="9"/>
      <c r="CS86" s="9"/>
      <c r="CT86" s="9">
        <v>5</v>
      </c>
      <c r="CU86" s="9"/>
      <c r="CV86" s="9"/>
      <c r="CW86" s="9">
        <v>1</v>
      </c>
      <c r="CX86" s="9"/>
      <c r="CY86" s="9">
        <v>19</v>
      </c>
      <c r="CZ86" s="9"/>
      <c r="DA86" s="9" t="s">
        <v>758</v>
      </c>
      <c r="DB86" s="19">
        <f t="shared" si="6"/>
        <v>1367</v>
      </c>
    </row>
    <row r="87" spans="1:107" ht="56" x14ac:dyDescent="0.15">
      <c r="A87" s="9" t="s">
        <v>759</v>
      </c>
      <c r="B87" s="9" t="s">
        <v>442</v>
      </c>
      <c r="C87" s="9">
        <v>27.780389</v>
      </c>
      <c r="D87" s="9">
        <v>-82.625009000000006</v>
      </c>
      <c r="E87" s="9">
        <v>27.789104999999999</v>
      </c>
      <c r="F87" s="9">
        <v>-82.622309000000001</v>
      </c>
      <c r="G87" s="9" t="s">
        <v>620</v>
      </c>
      <c r="H87" s="9" t="s">
        <v>193</v>
      </c>
      <c r="I87" s="9"/>
      <c r="J87" s="8">
        <v>41314</v>
      </c>
      <c r="K87" s="18">
        <v>0.36458333333333331</v>
      </c>
      <c r="N87" s="11">
        <v>44</v>
      </c>
      <c r="O87" s="9"/>
      <c r="AH87" s="9">
        <v>10</v>
      </c>
      <c r="AI87" s="11">
        <v>3</v>
      </c>
      <c r="AJ87" s="11">
        <v>3</v>
      </c>
      <c r="AM87" s="9">
        <v>89</v>
      </c>
      <c r="AN87" s="11">
        <v>52</v>
      </c>
      <c r="AO87" s="9">
        <v>33</v>
      </c>
      <c r="AP87" s="9"/>
      <c r="AW87" s="9">
        <v>9</v>
      </c>
      <c r="AX87" s="9">
        <v>15</v>
      </c>
      <c r="AY87" s="9"/>
      <c r="AZ87" s="9">
        <v>360</v>
      </c>
      <c r="BA87" s="9">
        <v>9</v>
      </c>
      <c r="BC87" s="11">
        <v>1</v>
      </c>
      <c r="BL87" s="9"/>
      <c r="BP87" s="9">
        <v>2</v>
      </c>
      <c r="BQ87" s="9"/>
      <c r="BX87" s="9">
        <v>2</v>
      </c>
      <c r="CB87" s="11">
        <v>1</v>
      </c>
      <c r="CM87" s="9">
        <v>1</v>
      </c>
      <c r="CN87" s="11">
        <v>1</v>
      </c>
      <c r="CO87" s="9">
        <v>5</v>
      </c>
      <c r="CP87" s="9">
        <v>3</v>
      </c>
      <c r="CQ87" s="9"/>
      <c r="CR87" s="9">
        <v>1</v>
      </c>
      <c r="CS87" s="9"/>
      <c r="CT87" s="11">
        <v>46</v>
      </c>
      <c r="DA87" s="11" t="s">
        <v>760</v>
      </c>
      <c r="DB87" s="19">
        <f t="shared" si="6"/>
        <v>690</v>
      </c>
      <c r="DC87" s="9" t="s">
        <v>761</v>
      </c>
    </row>
    <row r="88" spans="1:107" ht="28" x14ac:dyDescent="0.15">
      <c r="A88" s="9" t="s">
        <v>762</v>
      </c>
      <c r="B88" s="9" t="s">
        <v>441</v>
      </c>
      <c r="C88" s="9">
        <v>28.2348</v>
      </c>
      <c r="D88" s="9">
        <v>-82.836699999999993</v>
      </c>
      <c r="E88" s="9">
        <v>28.225300000000001</v>
      </c>
      <c r="F88" s="9">
        <v>-82.840800000000002</v>
      </c>
      <c r="G88" s="9" t="s">
        <v>763</v>
      </c>
      <c r="H88" s="9" t="s">
        <v>269</v>
      </c>
      <c r="I88" s="9"/>
      <c r="J88" s="8">
        <v>41313</v>
      </c>
      <c r="K88" s="18">
        <v>0.34027777777777779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>
        <v>2</v>
      </c>
      <c r="X88" s="11"/>
      <c r="Y88" s="11"/>
      <c r="Z88" s="11">
        <v>42</v>
      </c>
      <c r="AA88" s="11"/>
      <c r="AB88" s="11"/>
      <c r="AC88" s="11">
        <v>28</v>
      </c>
      <c r="AD88" s="11">
        <v>3</v>
      </c>
      <c r="AE88" s="11"/>
      <c r="AF88" s="11">
        <v>30</v>
      </c>
      <c r="AG88" s="11"/>
      <c r="AH88" s="9">
        <v>8</v>
      </c>
      <c r="AI88" s="11"/>
      <c r="AJ88" s="9">
        <v>384</v>
      </c>
      <c r="AK88" s="11"/>
      <c r="AL88" s="11">
        <v>1</v>
      </c>
      <c r="AM88" s="9">
        <v>16</v>
      </c>
      <c r="AN88" s="11"/>
      <c r="AO88" s="9">
        <v>27</v>
      </c>
      <c r="AP88" s="11">
        <v>244</v>
      </c>
      <c r="AQ88" s="11">
        <v>1</v>
      </c>
      <c r="AR88" s="11"/>
      <c r="AS88" s="11"/>
      <c r="AT88" s="11"/>
      <c r="AU88" s="11"/>
      <c r="AV88" s="11">
        <v>1</v>
      </c>
      <c r="AW88" s="9">
        <v>44</v>
      </c>
      <c r="AX88" s="11">
        <v>3</v>
      </c>
      <c r="AY88" s="9"/>
      <c r="AZ88" s="9"/>
      <c r="BA88" s="11">
        <v>85</v>
      </c>
      <c r="BB88" s="11">
        <v>8</v>
      </c>
      <c r="BC88" s="11">
        <v>135</v>
      </c>
      <c r="BD88" s="11">
        <v>16</v>
      </c>
      <c r="BE88" s="11">
        <v>10</v>
      </c>
      <c r="BF88" s="11"/>
      <c r="BG88" s="9">
        <v>3</v>
      </c>
      <c r="BH88" s="11"/>
      <c r="BI88" s="11">
        <v>2</v>
      </c>
      <c r="BJ88" s="11"/>
      <c r="BK88" s="11"/>
      <c r="BL88" s="9">
        <v>1</v>
      </c>
      <c r="BM88" s="11"/>
      <c r="BN88" s="11"/>
      <c r="BO88" s="11"/>
      <c r="BP88" s="11"/>
      <c r="BQ88" s="9">
        <v>150</v>
      </c>
      <c r="BR88" s="11">
        <v>2</v>
      </c>
      <c r="BS88" s="11">
        <v>240</v>
      </c>
      <c r="BT88" s="11">
        <v>375</v>
      </c>
      <c r="BU88" s="11">
        <v>225</v>
      </c>
      <c r="BV88" s="11"/>
      <c r="BW88" s="11">
        <v>575</v>
      </c>
      <c r="BX88" s="11">
        <v>90</v>
      </c>
      <c r="BY88" s="11"/>
      <c r="BZ88" s="11"/>
      <c r="CA88" s="11"/>
      <c r="CB88" s="11">
        <v>1</v>
      </c>
      <c r="CC88" s="11"/>
      <c r="CD88" s="11"/>
      <c r="CE88" s="11"/>
      <c r="CF88" s="11"/>
      <c r="CG88" s="11"/>
      <c r="CH88" s="11"/>
      <c r="CI88" s="11"/>
      <c r="CJ88" s="11"/>
      <c r="CK88" s="11"/>
      <c r="CL88" s="11">
        <v>1</v>
      </c>
      <c r="CM88" s="9">
        <v>1</v>
      </c>
      <c r="CN88" s="9">
        <v>1</v>
      </c>
      <c r="CO88" s="9"/>
      <c r="CP88" s="11"/>
      <c r="CQ88" s="11"/>
      <c r="CR88" s="11"/>
      <c r="CS88" s="11"/>
      <c r="CT88" s="9"/>
      <c r="CU88" s="11"/>
      <c r="CV88" s="11"/>
      <c r="CW88" s="11"/>
      <c r="CX88" s="11"/>
      <c r="CY88" s="11"/>
      <c r="CZ88" s="11"/>
      <c r="DA88" s="9" t="s">
        <v>764</v>
      </c>
      <c r="DB88" s="19">
        <f t="shared" si="6"/>
        <v>2755</v>
      </c>
      <c r="DC88" s="9"/>
    </row>
    <row r="89" spans="1:107" ht="114" customHeight="1" x14ac:dyDescent="0.15">
      <c r="A89" s="9" t="s">
        <v>765</v>
      </c>
      <c r="B89" s="9" t="s">
        <v>464</v>
      </c>
      <c r="C89" s="11">
        <v>27.496220000000001</v>
      </c>
      <c r="D89" s="11">
        <v>-82.659890000000004</v>
      </c>
      <c r="E89" s="11">
        <v>27.496200000000002</v>
      </c>
      <c r="F89" s="11">
        <v>-82.645399999999995</v>
      </c>
      <c r="G89" s="9" t="s">
        <v>766</v>
      </c>
      <c r="H89" s="9" t="s">
        <v>767</v>
      </c>
      <c r="I89" s="9"/>
      <c r="J89" s="8">
        <v>41308</v>
      </c>
      <c r="K89" s="18">
        <v>0.33333333333333331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>
        <v>2</v>
      </c>
      <c r="AI89" s="9">
        <v>1</v>
      </c>
      <c r="AJ89" s="9">
        <v>4</v>
      </c>
      <c r="AK89" s="9"/>
      <c r="AL89" s="9"/>
      <c r="AM89" s="9">
        <v>27</v>
      </c>
      <c r="AN89" s="9"/>
      <c r="AO89" s="9">
        <v>135</v>
      </c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>
        <v>3</v>
      </c>
      <c r="BC89" s="9"/>
      <c r="BD89" s="9"/>
      <c r="BE89" s="9">
        <v>2</v>
      </c>
      <c r="BF89" s="9"/>
      <c r="BG89" s="9"/>
      <c r="BH89" s="9"/>
      <c r="BI89" s="9"/>
      <c r="BJ89" s="9"/>
      <c r="BK89" s="9"/>
      <c r="BL89" s="9">
        <v>4</v>
      </c>
      <c r="BM89" s="9"/>
      <c r="BN89" s="9"/>
      <c r="BO89" s="9"/>
      <c r="BP89" s="9"/>
      <c r="BQ89" s="9"/>
      <c r="BR89" s="9"/>
      <c r="BS89" s="9">
        <v>25</v>
      </c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>
        <v>1</v>
      </c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 t="s">
        <v>768</v>
      </c>
      <c r="DB89" s="19">
        <f t="shared" si="6"/>
        <v>204</v>
      </c>
    </row>
    <row r="90" spans="1:107" ht="57" customHeight="1" x14ac:dyDescent="0.15">
      <c r="A90" s="9" t="s">
        <v>769</v>
      </c>
      <c r="B90" s="9" t="s">
        <v>437</v>
      </c>
      <c r="C90" s="9">
        <v>29.79081</v>
      </c>
      <c r="D90" s="9">
        <v>-81.269141399999995</v>
      </c>
      <c r="E90" s="9">
        <v>29.79081</v>
      </c>
      <c r="F90" s="9">
        <v>-81.269141399999995</v>
      </c>
      <c r="G90" s="9" t="s">
        <v>344</v>
      </c>
      <c r="H90" s="9" t="s">
        <v>345</v>
      </c>
      <c r="I90" s="9"/>
      <c r="J90" s="8">
        <v>41306</v>
      </c>
      <c r="K90" s="18">
        <v>4.1666666666666664E-2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>
        <v>16</v>
      </c>
      <c r="AI90" s="9"/>
      <c r="AJ90" s="9">
        <v>3</v>
      </c>
      <c r="AK90" s="9"/>
      <c r="AL90" s="9"/>
      <c r="AM90" s="9"/>
      <c r="AN90" s="9"/>
      <c r="AO90" s="9">
        <v>6</v>
      </c>
      <c r="AP90" s="9"/>
      <c r="AQ90" s="9"/>
      <c r="AR90" s="9"/>
      <c r="AS90" s="9"/>
      <c r="AT90" s="9"/>
      <c r="AU90" s="9"/>
      <c r="AV90" s="9"/>
      <c r="AW90" s="9">
        <v>4</v>
      </c>
      <c r="AX90" s="9"/>
      <c r="AY90" s="9"/>
      <c r="AZ90" s="9"/>
      <c r="BA90" s="9">
        <v>49</v>
      </c>
      <c r="BB90" s="9"/>
      <c r="BC90" s="9"/>
      <c r="BD90" s="9"/>
      <c r="BE90" s="9"/>
      <c r="BF90" s="9"/>
      <c r="BG90" s="9">
        <v>32</v>
      </c>
      <c r="BH90" s="9"/>
      <c r="BI90" s="9">
        <v>4</v>
      </c>
      <c r="BJ90" s="9">
        <v>1</v>
      </c>
      <c r="BK90" s="9"/>
      <c r="BL90" s="9">
        <v>69</v>
      </c>
      <c r="BM90" s="9">
        <v>1</v>
      </c>
      <c r="BN90" s="9">
        <v>12</v>
      </c>
      <c r="BO90" s="9"/>
      <c r="BP90" s="9"/>
      <c r="BQ90" s="9">
        <v>13</v>
      </c>
      <c r="BR90" s="9">
        <v>1</v>
      </c>
      <c r="BS90" s="9"/>
      <c r="BT90" s="9">
        <v>25</v>
      </c>
      <c r="BU90" s="9"/>
      <c r="BV90" s="9"/>
      <c r="BW90" s="9">
        <v>104</v>
      </c>
      <c r="BX90" s="9">
        <v>230</v>
      </c>
      <c r="BY90" s="9"/>
      <c r="BZ90" s="9"/>
      <c r="CA90" s="9"/>
      <c r="CB90" s="9">
        <v>1</v>
      </c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>
        <v>1</v>
      </c>
      <c r="CN90" s="9"/>
      <c r="CO90" s="9"/>
      <c r="CP90" s="9">
        <v>1</v>
      </c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19">
        <f t="shared" si="6"/>
        <v>573</v>
      </c>
      <c r="DC90" s="11" t="s">
        <v>770</v>
      </c>
    </row>
    <row r="91" spans="1:107" ht="28" x14ac:dyDescent="0.15">
      <c r="A91" s="9" t="s">
        <v>771</v>
      </c>
      <c r="B91" s="9" t="s">
        <v>442</v>
      </c>
      <c r="C91" s="9">
        <v>27.683893000000001</v>
      </c>
      <c r="D91" s="9">
        <v>-82.738228000000007</v>
      </c>
      <c r="E91" s="9">
        <v>27.745629999999998</v>
      </c>
      <c r="F91" s="9">
        <v>-82.756338</v>
      </c>
      <c r="G91" s="9" t="s">
        <v>772</v>
      </c>
      <c r="H91" s="9" t="s">
        <v>773</v>
      </c>
      <c r="I91" s="9"/>
      <c r="J91" s="8" t="s">
        <v>774</v>
      </c>
      <c r="K91" s="18">
        <v>0.33333333333333331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9"/>
      <c r="AG91" s="11"/>
      <c r="AH91" s="9">
        <v>8</v>
      </c>
      <c r="AI91" s="11"/>
      <c r="AJ91" s="9">
        <v>3</v>
      </c>
      <c r="AK91" s="11"/>
      <c r="AL91" s="11"/>
      <c r="AM91" s="9">
        <v>206</v>
      </c>
      <c r="AN91" s="11"/>
      <c r="AO91" s="9">
        <v>64</v>
      </c>
      <c r="AP91" s="11">
        <v>10</v>
      </c>
      <c r="AQ91" s="11"/>
      <c r="AR91" s="11"/>
      <c r="AS91" s="11"/>
      <c r="AT91" s="11"/>
      <c r="AU91" s="11"/>
      <c r="AV91" s="11"/>
      <c r="AW91" s="9">
        <v>27</v>
      </c>
      <c r="AX91" s="9">
        <v>13</v>
      </c>
      <c r="AY91" s="9">
        <v>21</v>
      </c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>
        <v>12</v>
      </c>
      <c r="BM91" s="11"/>
      <c r="BN91" s="11"/>
      <c r="BO91" s="11"/>
      <c r="BP91" s="11"/>
      <c r="BQ91" s="11"/>
      <c r="BR91" s="11"/>
      <c r="BS91" s="11">
        <v>2</v>
      </c>
      <c r="BT91" s="11"/>
      <c r="BU91" s="11"/>
      <c r="BV91" s="11"/>
      <c r="BW91" s="11"/>
      <c r="BX91" s="11"/>
      <c r="BY91" s="11"/>
      <c r="BZ91" s="11"/>
      <c r="CA91" s="11"/>
      <c r="CB91" s="11">
        <v>1</v>
      </c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>
        <v>2</v>
      </c>
      <c r="DB91" s="19">
        <f t="shared" si="6"/>
        <v>369</v>
      </c>
    </row>
    <row r="92" spans="1:107" ht="42" x14ac:dyDescent="0.15">
      <c r="A92" s="9" t="s">
        <v>346</v>
      </c>
      <c r="B92" s="9" t="s">
        <v>775</v>
      </c>
      <c r="C92" s="9">
        <v>30.297999999999998</v>
      </c>
      <c r="D92" s="9">
        <v>-87.418999999999997</v>
      </c>
      <c r="E92" s="9">
        <v>30.327999999999999</v>
      </c>
      <c r="F92" s="9">
        <v>-87.313000000000002</v>
      </c>
      <c r="G92" s="9" t="s">
        <v>776</v>
      </c>
      <c r="H92" s="9" t="s">
        <v>777</v>
      </c>
      <c r="I92" s="9"/>
      <c r="J92" s="8">
        <v>41312</v>
      </c>
      <c r="K92" s="18">
        <v>0.49305555555555558</v>
      </c>
      <c r="Z92" s="9"/>
      <c r="AC92" s="9"/>
      <c r="AF92" s="11">
        <v>3</v>
      </c>
      <c r="AH92" s="9">
        <v>143</v>
      </c>
      <c r="AJ92" s="9">
        <v>139</v>
      </c>
      <c r="AM92" s="9">
        <v>7</v>
      </c>
      <c r="AO92" s="9"/>
      <c r="AP92" s="9"/>
      <c r="AW92" s="9">
        <v>1</v>
      </c>
      <c r="AX92" s="11">
        <v>6</v>
      </c>
      <c r="AY92" s="9"/>
      <c r="BA92" s="9">
        <v>1</v>
      </c>
      <c r="BE92" s="9">
        <v>5</v>
      </c>
      <c r="BG92" s="9"/>
      <c r="BL92" s="9">
        <v>8</v>
      </c>
      <c r="BQ92" s="11">
        <v>4</v>
      </c>
      <c r="BS92" s="9">
        <v>84</v>
      </c>
      <c r="CB92" s="9"/>
      <c r="CY92" s="9"/>
      <c r="DB92" s="19">
        <f t="shared" si="6"/>
        <v>401</v>
      </c>
      <c r="DC92" s="9"/>
    </row>
    <row r="93" spans="1:107" ht="42" x14ac:dyDescent="0.15">
      <c r="A93" s="11" t="s">
        <v>778</v>
      </c>
      <c r="B93" s="11" t="s">
        <v>484</v>
      </c>
      <c r="C93" s="11">
        <v>29.07695</v>
      </c>
      <c r="D93" s="11">
        <v>-80.927761000000004</v>
      </c>
      <c r="E93" s="11">
        <v>29.076107</v>
      </c>
      <c r="F93" s="11">
        <v>-80.927417000000005</v>
      </c>
      <c r="G93" s="11" t="s">
        <v>634</v>
      </c>
      <c r="H93" s="11" t="s">
        <v>354</v>
      </c>
      <c r="J93" s="20">
        <v>41313</v>
      </c>
      <c r="K93" s="11">
        <v>845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>
        <v>42</v>
      </c>
      <c r="AI93" s="11"/>
      <c r="AJ93" s="11">
        <v>13</v>
      </c>
      <c r="AK93" s="11"/>
      <c r="AL93" s="11"/>
      <c r="AM93" s="11">
        <v>320</v>
      </c>
      <c r="AN93" s="11"/>
      <c r="AO93" s="11">
        <v>20</v>
      </c>
      <c r="AP93" s="11">
        <v>34</v>
      </c>
      <c r="AQ93" s="11"/>
      <c r="AR93" s="11"/>
      <c r="AS93" s="11"/>
      <c r="AT93" s="11"/>
      <c r="AU93" s="11"/>
      <c r="AV93" s="11">
        <v>1</v>
      </c>
      <c r="AW93" s="11">
        <v>5</v>
      </c>
      <c r="AX93" s="11">
        <v>3</v>
      </c>
      <c r="AY93" s="11">
        <v>13</v>
      </c>
      <c r="AZ93" s="11">
        <v>1</v>
      </c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>
        <v>1</v>
      </c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>
        <v>1</v>
      </c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B93" s="19">
        <f t="shared" si="6"/>
        <v>454</v>
      </c>
    </row>
    <row r="94" spans="1:107" ht="32.25" customHeight="1" x14ac:dyDescent="0.15">
      <c r="A94" s="9" t="s">
        <v>779</v>
      </c>
      <c r="B94" s="9" t="s">
        <v>386</v>
      </c>
      <c r="C94" s="11">
        <v>30.162125</v>
      </c>
      <c r="D94" s="11">
        <v>-81.355709000000004</v>
      </c>
      <c r="E94" s="11">
        <v>30.127255999999999</v>
      </c>
      <c r="F94" s="11">
        <v>-81.347172</v>
      </c>
      <c r="G94" s="9" t="s">
        <v>274</v>
      </c>
      <c r="H94" s="9" t="s">
        <v>275</v>
      </c>
      <c r="I94" s="9"/>
      <c r="J94" s="8">
        <v>41306</v>
      </c>
      <c r="K94" s="18">
        <v>0.375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>
        <v>9</v>
      </c>
      <c r="AG94" s="9"/>
      <c r="AH94" s="9">
        <v>17</v>
      </c>
      <c r="AI94" s="9"/>
      <c r="AJ94" s="9">
        <v>22</v>
      </c>
      <c r="AK94" s="9"/>
      <c r="AL94" s="9"/>
      <c r="AM94" s="9">
        <v>142</v>
      </c>
      <c r="AN94" s="9"/>
      <c r="AO94" s="9">
        <v>89</v>
      </c>
      <c r="AP94" s="9"/>
      <c r="AQ94" s="9"/>
      <c r="AR94" s="9"/>
      <c r="AS94" s="9"/>
      <c r="AT94" s="9"/>
      <c r="AU94" s="9"/>
      <c r="AV94" s="9"/>
      <c r="AW94" s="9">
        <v>6</v>
      </c>
      <c r="AX94" s="9">
        <v>192</v>
      </c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>
        <v>15</v>
      </c>
      <c r="BT94" s="9"/>
      <c r="BU94" s="9"/>
      <c r="BV94" s="9"/>
      <c r="BW94" s="9">
        <v>26</v>
      </c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>
        <v>1</v>
      </c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19">
        <f t="shared" si="6"/>
        <v>519</v>
      </c>
    </row>
    <row r="95" spans="1:107" ht="99.75" customHeight="1" x14ac:dyDescent="0.15">
      <c r="A95" s="9" t="s">
        <v>780</v>
      </c>
      <c r="B95" s="9" t="s">
        <v>386</v>
      </c>
      <c r="C95" s="9">
        <v>30.162125</v>
      </c>
      <c r="D95" s="9">
        <v>-81.355709000000004</v>
      </c>
      <c r="E95" s="9">
        <v>30.127255999999999</v>
      </c>
      <c r="F95" s="9">
        <v>-81.347172</v>
      </c>
      <c r="G95" s="9" t="s">
        <v>274</v>
      </c>
      <c r="H95" s="9" t="s">
        <v>275</v>
      </c>
      <c r="I95" s="9"/>
      <c r="J95" s="8">
        <v>41306</v>
      </c>
      <c r="K95" s="18">
        <v>0.31597222222222221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9"/>
      <c r="AA95" s="11"/>
      <c r="AB95" s="11"/>
      <c r="AC95" s="11"/>
      <c r="AD95" s="9"/>
      <c r="AE95" s="11"/>
      <c r="AF95" s="11">
        <v>7</v>
      </c>
      <c r="AG95" s="11"/>
      <c r="AH95" s="9">
        <v>22</v>
      </c>
      <c r="AI95" s="9"/>
      <c r="AJ95" s="9"/>
      <c r="AK95" s="11"/>
      <c r="AL95" s="11"/>
      <c r="AM95" s="9"/>
      <c r="AN95" s="11"/>
      <c r="AO95" s="9">
        <v>7</v>
      </c>
      <c r="AP95" s="11"/>
      <c r="AQ95" s="11"/>
      <c r="AR95" s="11"/>
      <c r="AS95" s="11"/>
      <c r="AT95" s="11"/>
      <c r="AU95" s="11"/>
      <c r="AV95" s="11"/>
      <c r="AW95" s="9"/>
      <c r="AX95" s="11">
        <v>13</v>
      </c>
      <c r="AY95" s="11"/>
      <c r="AZ95" s="11"/>
      <c r="BA95" s="9"/>
      <c r="BB95" s="11"/>
      <c r="BC95" s="11"/>
      <c r="BD95" s="11"/>
      <c r="BE95" s="11"/>
      <c r="BF95" s="11"/>
      <c r="BG95" s="9"/>
      <c r="BH95" s="11"/>
      <c r="BI95" s="11"/>
      <c r="BJ95" s="11"/>
      <c r="BK95" s="11"/>
      <c r="BL95" s="9"/>
      <c r="BM95" s="9"/>
      <c r="BN95" s="9"/>
      <c r="BO95" s="11"/>
      <c r="BP95" s="11"/>
      <c r="BQ95" s="9"/>
      <c r="BR95" s="11"/>
      <c r="BS95" s="11">
        <v>57</v>
      </c>
      <c r="BT95" s="11"/>
      <c r="BU95" s="11"/>
      <c r="BV95" s="11"/>
      <c r="BW95" s="9">
        <v>5</v>
      </c>
      <c r="BX95" s="9"/>
      <c r="BY95" s="11"/>
      <c r="BZ95" s="11"/>
      <c r="CA95" s="11"/>
      <c r="CB95" s="9">
        <v>1</v>
      </c>
      <c r="CC95" s="11"/>
      <c r="CD95" s="11"/>
      <c r="CE95" s="9"/>
      <c r="CF95" s="11"/>
      <c r="CG95" s="11"/>
      <c r="CH95" s="11"/>
      <c r="CI95" s="11"/>
      <c r="CJ95" s="11"/>
      <c r="CK95" s="11"/>
      <c r="CL95" s="11"/>
      <c r="CM95" s="9"/>
      <c r="CN95" s="9"/>
      <c r="CO95" s="9"/>
      <c r="CP95" s="9"/>
      <c r="CQ95" s="9"/>
      <c r="CR95" s="11"/>
      <c r="CS95" s="11"/>
      <c r="CT95" s="11"/>
      <c r="CU95" s="11"/>
      <c r="CV95" s="11"/>
      <c r="CW95" s="9"/>
      <c r="CX95" s="11"/>
      <c r="CY95" s="11"/>
      <c r="CZ95" s="11"/>
      <c r="DA95" s="11" t="s">
        <v>781</v>
      </c>
      <c r="DB95" s="19">
        <f t="shared" si="6"/>
        <v>112</v>
      </c>
      <c r="DC95" s="9"/>
    </row>
    <row r="96" spans="1:107" ht="52.5" customHeight="1" x14ac:dyDescent="0.15">
      <c r="A96" s="9" t="s">
        <v>782</v>
      </c>
      <c r="B96" s="9" t="s">
        <v>386</v>
      </c>
      <c r="C96" s="9">
        <v>29.92407</v>
      </c>
      <c r="D96" s="9">
        <v>-81.293465999999995</v>
      </c>
      <c r="E96" s="9">
        <v>29.91057</v>
      </c>
      <c r="F96" s="9">
        <v>-81.294426000000001</v>
      </c>
      <c r="G96" s="9" t="s">
        <v>783</v>
      </c>
      <c r="H96" s="9" t="s">
        <v>784</v>
      </c>
      <c r="I96" s="9"/>
      <c r="J96" s="8">
        <v>41306</v>
      </c>
      <c r="K96" s="9">
        <v>10.15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>
        <v>12</v>
      </c>
      <c r="AG96" s="9"/>
      <c r="AH96" s="9">
        <v>28</v>
      </c>
      <c r="AI96" s="9"/>
      <c r="AJ96" s="9">
        <v>2</v>
      </c>
      <c r="AK96" s="9"/>
      <c r="AL96" s="9"/>
      <c r="AM96" s="9">
        <v>23</v>
      </c>
      <c r="AN96" s="9">
        <v>21</v>
      </c>
      <c r="AO96" s="9">
        <v>26</v>
      </c>
      <c r="AP96" s="9"/>
      <c r="AQ96" s="9"/>
      <c r="AR96" s="9"/>
      <c r="AS96" s="9"/>
      <c r="AT96" s="9"/>
      <c r="AU96" s="9"/>
      <c r="AV96" s="9"/>
      <c r="AW96" s="9">
        <v>21</v>
      </c>
      <c r="AX96" s="9">
        <v>48</v>
      </c>
      <c r="AY96" s="9"/>
      <c r="AZ96" s="9">
        <v>500</v>
      </c>
      <c r="BA96" s="9">
        <v>1</v>
      </c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>
        <v>13</v>
      </c>
      <c r="BM96" s="9"/>
      <c r="BN96" s="9"/>
      <c r="BO96" s="9"/>
      <c r="BP96" s="9"/>
      <c r="BQ96" s="9">
        <v>9</v>
      </c>
      <c r="BR96" s="9"/>
      <c r="BS96" s="9">
        <v>18</v>
      </c>
      <c r="BT96" s="9"/>
      <c r="BU96" s="9"/>
      <c r="BV96" s="9"/>
      <c r="BW96" s="9"/>
      <c r="BX96" s="9"/>
      <c r="BY96" s="9"/>
      <c r="BZ96" s="9"/>
      <c r="CB96" s="9">
        <v>3</v>
      </c>
      <c r="CC96" s="9">
        <v>1</v>
      </c>
      <c r="CD96" s="9">
        <v>1</v>
      </c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 t="s">
        <v>785</v>
      </c>
      <c r="DB96" s="19"/>
    </row>
    <row r="97" spans="1:107" ht="27.75" customHeight="1" x14ac:dyDescent="0.15">
      <c r="A97" s="9" t="s">
        <v>786</v>
      </c>
      <c r="B97" s="9" t="s">
        <v>442</v>
      </c>
      <c r="C97" s="9">
        <v>27.964510000000001</v>
      </c>
      <c r="D97" s="9">
        <v>-82.831569999999999</v>
      </c>
      <c r="E97" s="9">
        <v>27.93656</v>
      </c>
      <c r="F97" s="9">
        <v>-82.840689999999995</v>
      </c>
      <c r="G97" s="9" t="s">
        <v>470</v>
      </c>
      <c r="H97" s="9" t="s">
        <v>471</v>
      </c>
      <c r="I97" s="9"/>
      <c r="J97" s="8">
        <v>41315</v>
      </c>
      <c r="K97" s="18">
        <v>0.39583333333333331</v>
      </c>
      <c r="AH97" s="9">
        <v>5</v>
      </c>
      <c r="AJ97" s="9">
        <v>3</v>
      </c>
      <c r="AM97" s="9">
        <v>63</v>
      </c>
      <c r="AO97" s="9">
        <v>155</v>
      </c>
      <c r="AP97" s="9">
        <v>7</v>
      </c>
      <c r="AW97" s="9">
        <v>83</v>
      </c>
      <c r="AX97" s="9">
        <v>7</v>
      </c>
      <c r="AY97" s="9"/>
      <c r="BA97" s="9"/>
      <c r="BG97" s="11">
        <v>1</v>
      </c>
      <c r="BL97" s="9">
        <v>2</v>
      </c>
      <c r="BQ97" s="9">
        <v>3</v>
      </c>
      <c r="BR97" s="9"/>
      <c r="BS97" s="9">
        <v>36</v>
      </c>
      <c r="CM97" s="9"/>
      <c r="CN97" s="9"/>
      <c r="CO97" s="9"/>
      <c r="DB97" s="19">
        <f t="shared" ref="DB97:DB112" si="7">SUM(L97:DA97)</f>
        <v>365</v>
      </c>
      <c r="DC97" s="9"/>
    </row>
    <row r="98" spans="1:107" ht="14" x14ac:dyDescent="0.15">
      <c r="A98" s="11" t="s">
        <v>787</v>
      </c>
      <c r="B98" s="11" t="s">
        <v>788</v>
      </c>
      <c r="C98" s="11">
        <v>27.281192999999998</v>
      </c>
      <c r="D98" s="11">
        <v>81.162083999999993</v>
      </c>
      <c r="E98" s="11">
        <v>27.284419</v>
      </c>
      <c r="F98" s="11">
        <v>81.162083999999993</v>
      </c>
      <c r="G98" s="11" t="s">
        <v>789</v>
      </c>
      <c r="H98" s="11" t="s">
        <v>613</v>
      </c>
      <c r="J98" s="20">
        <v>41315</v>
      </c>
      <c r="K98" s="21">
        <v>0.4201388888888889</v>
      </c>
      <c r="AE98" s="11">
        <v>1</v>
      </c>
      <c r="AI98" s="11">
        <v>13</v>
      </c>
      <c r="BI98" s="11">
        <v>5</v>
      </c>
      <c r="BJ98" s="11">
        <v>6</v>
      </c>
      <c r="BU98" s="11">
        <v>20</v>
      </c>
      <c r="CH98" s="11">
        <v>1</v>
      </c>
      <c r="CM98" s="11">
        <v>2</v>
      </c>
      <c r="CN98" s="11">
        <v>2</v>
      </c>
      <c r="CO98" s="11">
        <v>11</v>
      </c>
      <c r="CP98" s="11">
        <v>1</v>
      </c>
      <c r="CQ98" s="11">
        <v>1</v>
      </c>
      <c r="DA98" s="11" t="s">
        <v>790</v>
      </c>
      <c r="DB98" s="19">
        <f t="shared" si="7"/>
        <v>63</v>
      </c>
      <c r="DC98" s="11" t="s">
        <v>791</v>
      </c>
    </row>
    <row r="99" spans="1:107" ht="42" x14ac:dyDescent="0.15">
      <c r="A99" s="9" t="s">
        <v>792</v>
      </c>
      <c r="B99" s="9" t="s">
        <v>442</v>
      </c>
      <c r="C99" s="15">
        <v>27.674976999999998</v>
      </c>
      <c r="D99" s="15">
        <v>-82.732201000000003</v>
      </c>
      <c r="E99" s="15">
        <v>27.664373000000001</v>
      </c>
      <c r="F99" s="15">
        <v>-82.744817999999995</v>
      </c>
      <c r="G99" s="9" t="s">
        <v>793</v>
      </c>
      <c r="H99" s="9" t="s">
        <v>794</v>
      </c>
      <c r="I99" s="9"/>
      <c r="J99" s="8">
        <v>41308</v>
      </c>
      <c r="K99" s="18">
        <v>0.375</v>
      </c>
      <c r="L99" s="9"/>
      <c r="M99" s="9">
        <v>10000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>
        <v>15</v>
      </c>
      <c r="AA99" s="9"/>
      <c r="AB99" s="9"/>
      <c r="AC99" s="9">
        <v>5</v>
      </c>
      <c r="AD99" s="9"/>
      <c r="AE99" s="9"/>
      <c r="AF99" s="9">
        <v>4</v>
      </c>
      <c r="AG99" s="9"/>
      <c r="AH99" s="9">
        <v>16</v>
      </c>
      <c r="AI99" s="9">
        <v>23</v>
      </c>
      <c r="AJ99" s="9">
        <v>40</v>
      </c>
      <c r="AK99" s="9"/>
      <c r="AL99" s="9"/>
      <c r="AM99" s="9">
        <v>25</v>
      </c>
      <c r="AN99" s="9"/>
      <c r="AO99" s="9">
        <v>70</v>
      </c>
      <c r="AP99" s="9">
        <v>2</v>
      </c>
      <c r="AQ99" s="9"/>
      <c r="AR99" s="9"/>
      <c r="AS99" s="9"/>
      <c r="AT99" s="9"/>
      <c r="AU99" s="9"/>
      <c r="AV99" s="9">
        <v>1</v>
      </c>
      <c r="AW99" s="9">
        <v>5</v>
      </c>
      <c r="AX99" s="9">
        <v>1</v>
      </c>
      <c r="AY99" s="9"/>
      <c r="AZ99" s="9"/>
      <c r="BA99" s="9">
        <v>61</v>
      </c>
      <c r="BB99" s="9">
        <v>2</v>
      </c>
      <c r="BC99" s="9">
        <v>330</v>
      </c>
      <c r="BD99" s="9">
        <v>23</v>
      </c>
      <c r="BE99" s="9"/>
      <c r="BF99" s="9"/>
      <c r="BG99" s="9">
        <v>3</v>
      </c>
      <c r="BH99" s="9"/>
      <c r="BI99" s="9"/>
      <c r="BJ99" s="9"/>
      <c r="BK99" s="9"/>
      <c r="BL99" s="9">
        <v>230</v>
      </c>
      <c r="BM99" s="9"/>
      <c r="BN99" s="9"/>
      <c r="BO99" s="9"/>
      <c r="BP99" s="9">
        <v>13</v>
      </c>
      <c r="BQ99" s="9">
        <v>11</v>
      </c>
      <c r="BR99" s="9">
        <v>278</v>
      </c>
      <c r="BS99" s="9">
        <v>155</v>
      </c>
      <c r="BT99" s="9">
        <v>310</v>
      </c>
      <c r="BU99" s="9">
        <v>170</v>
      </c>
      <c r="BV99" s="9"/>
      <c r="BW99" s="9">
        <v>2200</v>
      </c>
      <c r="BX99" s="9">
        <v>78</v>
      </c>
      <c r="BY99" s="9"/>
      <c r="BZ99" s="9"/>
      <c r="CA99" s="9"/>
      <c r="CB99" s="9">
        <v>4</v>
      </c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>
        <v>1</v>
      </c>
      <c r="CN99" s="9">
        <v>1</v>
      </c>
      <c r="CO99" s="9">
        <v>9</v>
      </c>
      <c r="CP99" s="9">
        <v>13</v>
      </c>
      <c r="CQ99" s="9"/>
      <c r="CR99" s="9"/>
      <c r="CS99" s="9"/>
      <c r="CT99" s="9">
        <v>6</v>
      </c>
      <c r="CU99" s="9">
        <v>3</v>
      </c>
      <c r="CV99" s="9">
        <v>4</v>
      </c>
      <c r="CW99" s="9"/>
      <c r="CX99" s="9"/>
      <c r="CY99" s="9"/>
      <c r="CZ99" s="9"/>
      <c r="DA99" s="9" t="s">
        <v>795</v>
      </c>
      <c r="DB99" s="19">
        <f t="shared" si="7"/>
        <v>14112</v>
      </c>
      <c r="DC99" s="9" t="s">
        <v>796</v>
      </c>
    </row>
    <row r="100" spans="1:107" ht="98" x14ac:dyDescent="0.15">
      <c r="A100" s="11" t="s">
        <v>797</v>
      </c>
      <c r="B100" s="11" t="s">
        <v>484</v>
      </c>
      <c r="C100" s="11">
        <v>29.064235</v>
      </c>
      <c r="D100" s="11">
        <v>-80.907482999999999</v>
      </c>
      <c r="E100" s="11">
        <v>29.064665999999999</v>
      </c>
      <c r="F100" s="11">
        <v>-80.916151999999997</v>
      </c>
      <c r="G100" s="11" t="s">
        <v>370</v>
      </c>
      <c r="H100" s="11" t="s">
        <v>354</v>
      </c>
      <c r="J100" s="20">
        <v>41313</v>
      </c>
      <c r="K100" s="21">
        <v>0.34513888888888888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>
        <v>1</v>
      </c>
      <c r="AA100" s="11"/>
      <c r="AB100" s="11"/>
      <c r="AC100" s="11"/>
      <c r="AD100" s="11"/>
      <c r="AE100" s="11"/>
      <c r="AF100" s="11"/>
      <c r="AG100" s="11"/>
      <c r="AH100" s="11">
        <v>79</v>
      </c>
      <c r="AI100" s="11"/>
      <c r="AJ100" s="11"/>
      <c r="AK100" s="11"/>
      <c r="AL100" s="11"/>
      <c r="AM100" s="11">
        <v>113</v>
      </c>
      <c r="AN100" s="11">
        <v>3</v>
      </c>
      <c r="AO100" s="11">
        <v>39</v>
      </c>
      <c r="AP100" s="11">
        <v>18</v>
      </c>
      <c r="AQ100" s="11">
        <v>1</v>
      </c>
      <c r="AR100" s="11"/>
      <c r="AS100" s="11"/>
      <c r="AT100" s="11"/>
      <c r="AU100" s="11"/>
      <c r="AV100" s="11"/>
      <c r="AW100" s="11">
        <v>36</v>
      </c>
      <c r="AX100" s="11">
        <v>10</v>
      </c>
      <c r="AY100" s="11">
        <v>46</v>
      </c>
      <c r="AZ100" s="11">
        <v>1</v>
      </c>
      <c r="BA100" s="11">
        <v>1</v>
      </c>
      <c r="BB100" s="11"/>
      <c r="BC100" s="11"/>
      <c r="BD100" s="11"/>
      <c r="BE100" s="11"/>
      <c r="BF100" s="11"/>
      <c r="BG100" s="11"/>
      <c r="BH100" s="11"/>
      <c r="BI100" s="11">
        <v>1</v>
      </c>
      <c r="BJ100" s="11"/>
      <c r="BK100" s="11"/>
      <c r="BL100" s="11">
        <v>5</v>
      </c>
      <c r="BM100" s="11"/>
      <c r="BN100" s="11"/>
      <c r="BO100" s="11"/>
      <c r="BP100" s="11"/>
      <c r="BQ100" s="11">
        <v>23</v>
      </c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>
        <v>2</v>
      </c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>
        <v>28</v>
      </c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B100" s="19">
        <f t="shared" si="7"/>
        <v>407</v>
      </c>
    </row>
    <row r="101" spans="1:107" ht="27.75" customHeight="1" x14ac:dyDescent="0.15">
      <c r="A101" s="9" t="s">
        <v>798</v>
      </c>
      <c r="B101" s="9" t="s">
        <v>442</v>
      </c>
      <c r="C101" s="9">
        <v>27.996599</v>
      </c>
      <c r="D101" s="9">
        <v>-82.828115999999994</v>
      </c>
      <c r="E101" s="9">
        <v>27.965067000000001</v>
      </c>
      <c r="F101" s="9">
        <v>-82.819575999999998</v>
      </c>
      <c r="G101" s="9" t="s">
        <v>470</v>
      </c>
      <c r="H101" s="9" t="s">
        <v>471</v>
      </c>
      <c r="I101" s="9"/>
      <c r="J101" s="8">
        <v>41315</v>
      </c>
      <c r="K101" s="18">
        <v>0.33333333333333331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>
        <v>8</v>
      </c>
      <c r="AI101" s="9"/>
      <c r="AJ101" s="9">
        <v>8</v>
      </c>
      <c r="AK101" s="9"/>
      <c r="AL101" s="9"/>
      <c r="AM101" s="9">
        <v>254</v>
      </c>
      <c r="AN101" s="9"/>
      <c r="AO101" s="9">
        <v>31</v>
      </c>
      <c r="AP101" s="9"/>
      <c r="AQ101" s="9"/>
      <c r="AR101" s="9"/>
      <c r="AS101" s="9"/>
      <c r="AT101" s="9"/>
      <c r="AU101" s="9"/>
      <c r="AV101" s="9"/>
      <c r="AW101" s="9">
        <v>30</v>
      </c>
      <c r="AX101" s="9">
        <v>15</v>
      </c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19">
        <f t="shared" si="7"/>
        <v>346</v>
      </c>
    </row>
    <row r="102" spans="1:107" ht="28.5" customHeight="1" x14ac:dyDescent="0.15">
      <c r="A102" s="9" t="s">
        <v>360</v>
      </c>
      <c r="B102" s="9" t="s">
        <v>475</v>
      </c>
      <c r="C102" s="9">
        <v>27.328330000000001</v>
      </c>
      <c r="D102" s="9">
        <v>-82.58905</v>
      </c>
      <c r="E102" s="9">
        <v>27.389299999999999</v>
      </c>
      <c r="F102" s="9">
        <v>-82.642570000000006</v>
      </c>
      <c r="G102" s="9" t="s">
        <v>799</v>
      </c>
      <c r="H102" s="9" t="s">
        <v>211</v>
      </c>
      <c r="I102" s="9"/>
      <c r="J102" s="8">
        <v>41309</v>
      </c>
      <c r="K102" s="18">
        <v>0.30208333333333331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>
        <v>19</v>
      </c>
      <c r="AI102" s="9"/>
      <c r="AJ102" s="9">
        <v>24</v>
      </c>
      <c r="AK102" s="9"/>
      <c r="AL102" s="9"/>
      <c r="AM102" s="9">
        <v>179</v>
      </c>
      <c r="AN102" s="9"/>
      <c r="AO102" s="9">
        <v>101</v>
      </c>
      <c r="AP102" s="9">
        <v>9</v>
      </c>
      <c r="AQ102" s="9">
        <v>3</v>
      </c>
      <c r="AR102" s="9"/>
      <c r="AS102" s="9"/>
      <c r="AT102" s="9"/>
      <c r="AU102" s="9"/>
      <c r="AV102" s="9"/>
      <c r="AW102" s="9">
        <v>56</v>
      </c>
      <c r="AX102" s="9">
        <v>10</v>
      </c>
      <c r="AY102" s="9">
        <v>6</v>
      </c>
      <c r="AZ102" s="9"/>
      <c r="BA102" s="9">
        <v>71</v>
      </c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>
        <v>37</v>
      </c>
      <c r="BM102" s="9"/>
      <c r="BN102" s="9"/>
      <c r="BO102" s="9"/>
      <c r="BP102" s="9"/>
      <c r="BQ102" s="9">
        <v>26</v>
      </c>
      <c r="BR102" s="9">
        <v>4</v>
      </c>
      <c r="BS102" s="9">
        <v>346</v>
      </c>
      <c r="BT102" s="9"/>
      <c r="BU102" s="9"/>
      <c r="BV102" s="9"/>
      <c r="BW102" s="9"/>
      <c r="BX102" s="9">
        <v>1</v>
      </c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>
        <v>1</v>
      </c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>
        <v>1</v>
      </c>
      <c r="CZ102" s="9"/>
      <c r="DA102" s="9">
        <v>0</v>
      </c>
      <c r="DB102" s="19">
        <f t="shared" si="7"/>
        <v>894</v>
      </c>
      <c r="DC102" s="9"/>
    </row>
    <row r="103" spans="1:107" ht="42" x14ac:dyDescent="0.15">
      <c r="A103" s="11" t="s">
        <v>368</v>
      </c>
      <c r="B103" s="11" t="s">
        <v>484</v>
      </c>
      <c r="C103" s="11">
        <v>29.063034999999999</v>
      </c>
      <c r="D103" s="11">
        <v>-80.922224999999997</v>
      </c>
      <c r="E103" s="11">
        <v>29.066317000000002</v>
      </c>
      <c r="F103" s="11">
        <v>-80.92201</v>
      </c>
      <c r="G103" s="11" t="s">
        <v>370</v>
      </c>
      <c r="H103" s="11" t="s">
        <v>354</v>
      </c>
      <c r="J103" s="20">
        <v>41313</v>
      </c>
      <c r="K103" s="11">
        <v>945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>
        <v>1</v>
      </c>
      <c r="AD103" s="11"/>
      <c r="AE103" s="11"/>
      <c r="AF103" s="11"/>
      <c r="AG103" s="11"/>
      <c r="AH103" s="11">
        <v>5</v>
      </c>
      <c r="AI103" s="11"/>
      <c r="AJ103" s="11">
        <v>15</v>
      </c>
      <c r="AK103" s="11"/>
      <c r="AL103" s="11"/>
      <c r="AM103" s="11">
        <v>122</v>
      </c>
      <c r="AN103" s="11"/>
      <c r="AO103" s="11">
        <v>16</v>
      </c>
      <c r="AP103" s="11"/>
      <c r="AQ103" s="11"/>
      <c r="AR103" s="11"/>
      <c r="AS103" s="11"/>
      <c r="AT103" s="11"/>
      <c r="AU103" s="11"/>
      <c r="AV103" s="11">
        <v>4</v>
      </c>
      <c r="AW103" s="11">
        <v>2</v>
      </c>
      <c r="AX103" s="11">
        <v>14</v>
      </c>
      <c r="AY103" s="11">
        <v>38</v>
      </c>
      <c r="AZ103" s="11"/>
      <c r="BA103" s="11">
        <v>13</v>
      </c>
      <c r="BB103" s="11">
        <v>1</v>
      </c>
      <c r="BC103" s="11">
        <v>2</v>
      </c>
      <c r="BD103" s="11"/>
      <c r="BE103" s="11"/>
      <c r="BF103" s="11"/>
      <c r="BG103" s="11"/>
      <c r="BH103" s="11"/>
      <c r="BI103" s="11">
        <v>2</v>
      </c>
      <c r="BJ103" s="11"/>
      <c r="BK103" s="11"/>
      <c r="BL103" s="11"/>
      <c r="BM103" s="11"/>
      <c r="BN103" s="11"/>
      <c r="BO103" s="11"/>
      <c r="BP103" s="11"/>
      <c r="BQ103" s="11"/>
      <c r="BR103" s="11"/>
      <c r="BS103" s="11">
        <v>12</v>
      </c>
      <c r="BT103" s="11"/>
      <c r="BU103" s="11"/>
      <c r="BV103" s="11"/>
      <c r="BW103" s="11">
        <v>28</v>
      </c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>
        <v>1</v>
      </c>
      <c r="CO103" s="11">
        <v>6</v>
      </c>
      <c r="CP103" s="11">
        <v>1</v>
      </c>
      <c r="CQ103" s="11">
        <v>1</v>
      </c>
      <c r="CR103" s="11"/>
      <c r="CS103" s="11"/>
      <c r="CT103" s="11">
        <v>6</v>
      </c>
      <c r="CU103" s="11"/>
      <c r="CV103" s="11"/>
      <c r="CW103" s="11"/>
      <c r="CX103" s="11"/>
      <c r="CY103" s="11"/>
      <c r="CZ103" s="11"/>
      <c r="DB103" s="19">
        <f t="shared" si="7"/>
        <v>290</v>
      </c>
    </row>
    <row r="104" spans="1:107" ht="70" x14ac:dyDescent="0.15">
      <c r="A104" s="9" t="s">
        <v>800</v>
      </c>
      <c r="B104" s="9" t="s">
        <v>484</v>
      </c>
      <c r="C104" s="9">
        <v>29.063452999999999</v>
      </c>
      <c r="D104" s="9">
        <v>-80.907167000000001</v>
      </c>
      <c r="E104" s="9">
        <v>28.938022</v>
      </c>
      <c r="F104" s="9">
        <v>-80.829804999999993</v>
      </c>
      <c r="G104" s="9" t="s">
        <v>801</v>
      </c>
      <c r="H104" s="9" t="s">
        <v>375</v>
      </c>
      <c r="I104" s="9"/>
      <c r="J104" s="8">
        <v>41313</v>
      </c>
      <c r="K104" s="18">
        <v>0.35416666666666669</v>
      </c>
      <c r="AE104" s="9"/>
      <c r="AF104" s="11">
        <v>3</v>
      </c>
      <c r="AH104" s="11">
        <v>74</v>
      </c>
      <c r="AJ104" s="9">
        <v>2</v>
      </c>
      <c r="AM104" s="9">
        <v>797</v>
      </c>
      <c r="AO104" s="9">
        <v>205</v>
      </c>
      <c r="AP104" s="11">
        <v>10</v>
      </c>
      <c r="AR104" s="11">
        <v>5</v>
      </c>
      <c r="AW104" s="11">
        <v>847</v>
      </c>
      <c r="AX104" s="11">
        <v>9</v>
      </c>
      <c r="AY104" s="11">
        <v>67</v>
      </c>
      <c r="AZ104" s="11">
        <v>2</v>
      </c>
      <c r="BA104" s="11">
        <v>23</v>
      </c>
      <c r="BC104" s="11">
        <v>31</v>
      </c>
      <c r="BF104" s="9"/>
      <c r="BL104" s="11">
        <v>47</v>
      </c>
      <c r="BQ104" s="11">
        <v>150</v>
      </c>
      <c r="BS104" s="11">
        <v>66</v>
      </c>
      <c r="CB104" s="11">
        <v>22</v>
      </c>
      <c r="CC104" s="11">
        <v>2</v>
      </c>
      <c r="CO104" s="11">
        <v>12</v>
      </c>
      <c r="CP104" s="9"/>
      <c r="DA104" s="9" t="s">
        <v>802</v>
      </c>
      <c r="DB104" s="19">
        <f t="shared" si="7"/>
        <v>2374</v>
      </c>
      <c r="DC104" s="9"/>
    </row>
    <row r="105" spans="1:107" ht="56" x14ac:dyDescent="0.15">
      <c r="A105" s="9" t="s">
        <v>803</v>
      </c>
      <c r="B105" s="9" t="s">
        <v>484</v>
      </c>
      <c r="C105" s="9">
        <v>29.102564999999998</v>
      </c>
      <c r="D105" s="9">
        <v>-80.971643999999998</v>
      </c>
      <c r="E105" s="9">
        <v>28.800916999999998</v>
      </c>
      <c r="F105" s="9">
        <v>-80.847132999999999</v>
      </c>
      <c r="G105" s="9" t="s">
        <v>804</v>
      </c>
      <c r="H105" s="9" t="s">
        <v>375</v>
      </c>
      <c r="I105" s="9"/>
      <c r="J105" s="8">
        <v>41313</v>
      </c>
      <c r="K105" s="18">
        <v>0.33333333333333331</v>
      </c>
      <c r="L105" s="11">
        <v>15</v>
      </c>
      <c r="P105" s="11">
        <v>32</v>
      </c>
      <c r="Y105" s="11">
        <v>6</v>
      </c>
      <c r="Z105" s="9">
        <v>14</v>
      </c>
      <c r="AE105" s="11">
        <v>1</v>
      </c>
      <c r="AH105" s="9">
        <v>19</v>
      </c>
      <c r="AI105" s="11">
        <v>14</v>
      </c>
      <c r="AJ105" s="11">
        <v>44</v>
      </c>
      <c r="AM105" s="9">
        <v>85</v>
      </c>
      <c r="AN105" s="11">
        <v>2</v>
      </c>
      <c r="AO105" s="11">
        <v>58</v>
      </c>
      <c r="AW105" s="11">
        <v>42</v>
      </c>
      <c r="AX105" s="9">
        <v>3</v>
      </c>
      <c r="AY105" s="9"/>
      <c r="BA105" s="9"/>
      <c r="BC105" s="9"/>
      <c r="BF105" s="11">
        <v>5</v>
      </c>
      <c r="BL105" s="9">
        <v>39</v>
      </c>
      <c r="BM105" s="11">
        <v>1</v>
      </c>
      <c r="BQ105" s="9">
        <v>10</v>
      </c>
      <c r="BS105" s="9"/>
      <c r="CB105" s="11">
        <v>13</v>
      </c>
      <c r="CC105" s="11">
        <v>1</v>
      </c>
      <c r="CH105" s="11">
        <v>2</v>
      </c>
      <c r="CI105" s="11">
        <v>1</v>
      </c>
      <c r="CJ105" s="11">
        <v>2</v>
      </c>
      <c r="CK105" s="11">
        <v>1</v>
      </c>
      <c r="CM105" s="9">
        <v>15</v>
      </c>
      <c r="CN105" s="11">
        <v>27</v>
      </c>
      <c r="CO105" s="9">
        <v>10</v>
      </c>
      <c r="CP105" s="11">
        <v>5</v>
      </c>
      <c r="CQ105" s="11">
        <v>6</v>
      </c>
      <c r="CR105" s="11">
        <v>3</v>
      </c>
      <c r="CT105" s="11">
        <v>66</v>
      </c>
      <c r="CV105" s="11">
        <v>9</v>
      </c>
      <c r="CW105" s="11">
        <v>6</v>
      </c>
      <c r="DA105" s="11" t="s">
        <v>805</v>
      </c>
      <c r="DB105" s="19">
        <f t="shared" si="7"/>
        <v>557</v>
      </c>
      <c r="DC105" s="9"/>
    </row>
    <row r="106" spans="1:107" ht="168" x14ac:dyDescent="0.15">
      <c r="A106" s="9" t="s">
        <v>806</v>
      </c>
      <c r="B106" s="9" t="s">
        <v>484</v>
      </c>
      <c r="C106" s="9">
        <v>29.093895</v>
      </c>
      <c r="D106" s="9">
        <v>-80949496</v>
      </c>
      <c r="E106" s="9">
        <v>28.921737</v>
      </c>
      <c r="F106" s="9">
        <v>-80.825289999999995</v>
      </c>
      <c r="G106" s="9" t="s">
        <v>807</v>
      </c>
      <c r="H106" s="9" t="s">
        <v>375</v>
      </c>
      <c r="I106" s="9"/>
      <c r="J106" s="8">
        <v>41313</v>
      </c>
      <c r="K106" s="18">
        <v>0.33333333333333331</v>
      </c>
      <c r="N106" s="11">
        <v>1</v>
      </c>
      <c r="O106" s="11">
        <v>5</v>
      </c>
      <c r="Q106" s="11">
        <v>1</v>
      </c>
      <c r="Y106" s="11">
        <v>27</v>
      </c>
      <c r="Z106" s="11">
        <v>89</v>
      </c>
      <c r="AC106" s="11">
        <v>22</v>
      </c>
      <c r="AD106" s="11">
        <v>2</v>
      </c>
      <c r="AH106" s="9">
        <v>700</v>
      </c>
      <c r="AI106" s="11">
        <v>19</v>
      </c>
      <c r="AJ106" s="9">
        <v>235</v>
      </c>
      <c r="AM106" s="9">
        <v>773</v>
      </c>
      <c r="AN106" s="11">
        <v>1</v>
      </c>
      <c r="AO106" s="9">
        <v>611</v>
      </c>
      <c r="AP106" s="9">
        <v>32</v>
      </c>
      <c r="AR106" s="11">
        <v>2</v>
      </c>
      <c r="AV106" s="11">
        <v>6</v>
      </c>
      <c r="AW106" s="9">
        <v>354</v>
      </c>
      <c r="AX106" s="9">
        <v>244</v>
      </c>
      <c r="AY106" s="11">
        <v>2</v>
      </c>
      <c r="AZ106" s="11">
        <v>14</v>
      </c>
      <c r="BA106" s="11">
        <v>38</v>
      </c>
      <c r="BB106" s="11">
        <v>1</v>
      </c>
      <c r="BC106" s="11">
        <v>45</v>
      </c>
      <c r="BD106" s="11">
        <v>15</v>
      </c>
      <c r="BG106" s="11">
        <v>8</v>
      </c>
      <c r="BI106" s="11">
        <v>16</v>
      </c>
      <c r="BJ106" s="11">
        <v>2</v>
      </c>
      <c r="BL106" s="9">
        <v>80</v>
      </c>
      <c r="BM106" s="11">
        <v>3</v>
      </c>
      <c r="BP106" s="11">
        <v>1</v>
      </c>
      <c r="BQ106" s="11">
        <v>22</v>
      </c>
      <c r="BR106" s="11">
        <v>3</v>
      </c>
      <c r="BS106" s="9">
        <v>7</v>
      </c>
      <c r="BT106" s="11">
        <v>95</v>
      </c>
      <c r="BU106" s="11">
        <v>26</v>
      </c>
      <c r="BW106" s="11">
        <v>228</v>
      </c>
      <c r="BX106" s="11">
        <v>4</v>
      </c>
      <c r="CB106" s="11">
        <v>79</v>
      </c>
      <c r="CC106" s="11">
        <v>5</v>
      </c>
      <c r="CD106" s="11">
        <v>2</v>
      </c>
      <c r="CE106" s="11">
        <v>2</v>
      </c>
      <c r="CH106" s="11">
        <v>2</v>
      </c>
      <c r="CM106" s="11">
        <v>85</v>
      </c>
      <c r="CN106" s="11">
        <v>108</v>
      </c>
      <c r="CO106" s="11">
        <v>78</v>
      </c>
      <c r="CP106" s="11">
        <v>32</v>
      </c>
      <c r="CQ106" s="11">
        <v>12</v>
      </c>
      <c r="CR106" s="11">
        <v>3</v>
      </c>
      <c r="CS106" s="11">
        <v>4</v>
      </c>
      <c r="CT106" s="11">
        <v>183</v>
      </c>
      <c r="CW106" s="11">
        <v>41</v>
      </c>
      <c r="DA106" s="9" t="s">
        <v>808</v>
      </c>
      <c r="DB106" s="19">
        <f t="shared" si="7"/>
        <v>4370</v>
      </c>
    </row>
    <row r="107" spans="1:107" ht="52.5" customHeight="1" x14ac:dyDescent="0.15">
      <c r="A107" s="9" t="s">
        <v>809</v>
      </c>
      <c r="B107" s="9" t="s">
        <v>437</v>
      </c>
      <c r="C107" s="9">
        <v>29.718136000000001</v>
      </c>
      <c r="D107" s="9">
        <v>-81.230413999999996</v>
      </c>
      <c r="E107" s="9">
        <v>29.84451</v>
      </c>
      <c r="F107" s="9">
        <v>-81.264548000000005</v>
      </c>
      <c r="G107" s="9" t="s">
        <v>810</v>
      </c>
      <c r="H107" s="9" t="s">
        <v>345</v>
      </c>
      <c r="I107" s="9"/>
      <c r="J107" s="8">
        <v>41306</v>
      </c>
      <c r="K107" s="18">
        <v>0.3298611111111111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>
        <v>500</v>
      </c>
      <c r="AG107" s="9"/>
      <c r="AH107" s="9">
        <v>115</v>
      </c>
      <c r="AI107" s="9"/>
      <c r="AJ107" s="9">
        <v>3</v>
      </c>
      <c r="AK107" s="9"/>
      <c r="AL107" s="9"/>
      <c r="AM107" s="9">
        <v>169</v>
      </c>
      <c r="AN107" s="9">
        <v>5</v>
      </c>
      <c r="AO107" s="9">
        <v>470</v>
      </c>
      <c r="AP107" s="9">
        <v>1</v>
      </c>
      <c r="AQ107" s="9"/>
      <c r="AR107" s="9">
        <v>6</v>
      </c>
      <c r="AS107" s="9"/>
      <c r="AT107" s="9"/>
      <c r="AU107" s="9"/>
      <c r="AV107" s="9"/>
      <c r="AW107" s="9">
        <v>51</v>
      </c>
      <c r="AX107" s="9">
        <v>152</v>
      </c>
      <c r="AY107" s="9"/>
      <c r="AZ107" s="9">
        <v>6</v>
      </c>
      <c r="BA107" s="9">
        <v>1</v>
      </c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>
        <v>7</v>
      </c>
      <c r="BM107" s="9"/>
      <c r="BN107" s="9"/>
      <c r="BO107" s="9"/>
      <c r="BP107" s="9"/>
      <c r="BQ107" s="9">
        <v>108</v>
      </c>
      <c r="BR107" s="9">
        <v>8</v>
      </c>
      <c r="BS107" s="9">
        <v>254</v>
      </c>
      <c r="BT107" s="9">
        <v>1</v>
      </c>
      <c r="BU107" s="9"/>
      <c r="BV107" s="9"/>
      <c r="BW107" s="9">
        <v>15</v>
      </c>
      <c r="BX107" s="9"/>
      <c r="BY107" s="9"/>
      <c r="BZ107" s="9"/>
      <c r="CA107" s="11"/>
      <c r="CB107" s="9">
        <v>3</v>
      </c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>
        <v>20</v>
      </c>
      <c r="DA107" s="9"/>
      <c r="DB107" s="19">
        <f t="shared" si="7"/>
        <v>1895</v>
      </c>
      <c r="DC107" s="11" t="s">
        <v>811</v>
      </c>
    </row>
    <row r="108" spans="1:107" ht="14" x14ac:dyDescent="0.15">
      <c r="A108" s="9" t="s">
        <v>812</v>
      </c>
      <c r="B108" s="9" t="s">
        <v>442</v>
      </c>
      <c r="C108" s="9">
        <v>28.144459999999999</v>
      </c>
      <c r="D108" s="9">
        <v>-82.790310000000005</v>
      </c>
      <c r="E108" s="9">
        <v>28.144459999999999</v>
      </c>
      <c r="F108" s="9">
        <v>-82.790310000000005</v>
      </c>
      <c r="G108" s="9" t="s">
        <v>553</v>
      </c>
      <c r="H108" s="9" t="s">
        <v>554</v>
      </c>
      <c r="I108" s="9"/>
      <c r="J108" s="8">
        <v>41313</v>
      </c>
      <c r="K108" s="16"/>
      <c r="Z108" s="9"/>
      <c r="AC108" s="11">
        <v>1</v>
      </c>
      <c r="AH108" s="9"/>
      <c r="AJ108" s="9"/>
      <c r="AM108" s="9">
        <v>10</v>
      </c>
      <c r="AN108" s="9"/>
      <c r="AO108" s="9">
        <v>10</v>
      </c>
      <c r="AP108" s="9"/>
      <c r="AW108" s="9"/>
      <c r="AX108" s="9"/>
      <c r="AZ108" s="9"/>
      <c r="BA108" s="9"/>
      <c r="BB108" s="9"/>
      <c r="BC108" s="9">
        <v>3</v>
      </c>
      <c r="BD108" s="9"/>
      <c r="BG108" s="9"/>
      <c r="BI108" s="9"/>
      <c r="BL108" s="9">
        <v>3</v>
      </c>
      <c r="BQ108" s="9">
        <v>7</v>
      </c>
      <c r="BR108" s="9"/>
      <c r="BS108" s="9"/>
      <c r="BT108" s="9"/>
      <c r="BW108" s="9"/>
      <c r="BX108" s="9"/>
      <c r="CB108" s="9"/>
      <c r="CP108" s="11">
        <v>1</v>
      </c>
      <c r="DA108" s="9"/>
      <c r="DB108" s="19">
        <f t="shared" si="7"/>
        <v>35</v>
      </c>
    </row>
    <row r="109" spans="1:107" ht="16.5" customHeight="1" x14ac:dyDescent="0.15">
      <c r="A109" s="9" t="s">
        <v>403</v>
      </c>
      <c r="B109" s="9" t="s">
        <v>460</v>
      </c>
      <c r="C109" s="9">
        <v>25.920587999999999</v>
      </c>
      <c r="D109" s="9">
        <v>-81.650974000000005</v>
      </c>
      <c r="E109" s="9">
        <v>25.845184</v>
      </c>
      <c r="F109" s="9">
        <v>-81.527394000000001</v>
      </c>
      <c r="G109" s="9" t="s">
        <v>406</v>
      </c>
      <c r="H109" s="9" t="s">
        <v>407</v>
      </c>
      <c r="I109" s="9"/>
      <c r="J109" s="8">
        <v>41306</v>
      </c>
      <c r="K109" s="18">
        <v>0.43055555555555558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>
        <v>7</v>
      </c>
      <c r="AA109" s="9"/>
      <c r="AB109" s="9"/>
      <c r="AC109" s="9">
        <v>1</v>
      </c>
      <c r="AD109" s="9">
        <v>3</v>
      </c>
      <c r="AE109" s="9"/>
      <c r="AF109" s="9"/>
      <c r="AG109" s="9"/>
      <c r="AH109" s="9">
        <v>37</v>
      </c>
      <c r="AI109" s="9">
        <v>254</v>
      </c>
      <c r="AJ109" s="9">
        <v>69</v>
      </c>
      <c r="AK109" s="9"/>
      <c r="AL109" s="9"/>
      <c r="AM109" s="9">
        <v>4</v>
      </c>
      <c r="AN109" s="9"/>
      <c r="AO109" s="9">
        <v>14</v>
      </c>
      <c r="AP109" s="9"/>
      <c r="AQ109" s="9"/>
      <c r="AR109" s="9"/>
      <c r="AS109" s="9"/>
      <c r="AT109" s="9"/>
      <c r="AU109" s="9"/>
      <c r="AV109" s="9"/>
      <c r="AW109" s="9">
        <v>44</v>
      </c>
      <c r="AX109" s="9">
        <v>3</v>
      </c>
      <c r="AY109" s="9"/>
      <c r="AZ109" s="9"/>
      <c r="BA109" s="9"/>
      <c r="BB109" s="9">
        <v>4</v>
      </c>
      <c r="BC109" s="9"/>
      <c r="BD109" s="9"/>
      <c r="BE109" s="9"/>
      <c r="BF109" s="9"/>
      <c r="BG109" s="9">
        <v>10</v>
      </c>
      <c r="BH109" s="9"/>
      <c r="BI109" s="9"/>
      <c r="BJ109" s="9"/>
      <c r="BK109" s="9"/>
      <c r="BL109" s="9"/>
      <c r="BM109" s="9">
        <v>2</v>
      </c>
      <c r="BN109" s="9"/>
      <c r="BO109" s="9"/>
      <c r="BP109" s="9"/>
      <c r="BQ109" s="9">
        <v>14</v>
      </c>
      <c r="BR109" s="9"/>
      <c r="BS109" s="9">
        <v>1</v>
      </c>
      <c r="BT109" s="9">
        <v>28</v>
      </c>
      <c r="BU109" s="9"/>
      <c r="BV109" s="9"/>
      <c r="BW109" s="9">
        <v>14</v>
      </c>
      <c r="BX109" s="9"/>
      <c r="BY109" s="9"/>
      <c r="BZ109" s="9"/>
      <c r="CA109" s="9"/>
      <c r="CB109" s="9">
        <v>7</v>
      </c>
      <c r="CC109" s="9">
        <v>2</v>
      </c>
      <c r="CD109" s="9">
        <v>1</v>
      </c>
      <c r="CE109" s="9"/>
      <c r="CF109" s="9"/>
      <c r="CG109" s="9"/>
      <c r="CH109" s="9"/>
      <c r="CI109" s="9"/>
      <c r="CJ109" s="9"/>
      <c r="CK109" s="9"/>
      <c r="CL109" s="9"/>
      <c r="CM109" s="9">
        <v>3</v>
      </c>
      <c r="CN109" s="9">
        <v>2</v>
      </c>
      <c r="CO109" s="9"/>
      <c r="CP109" s="9">
        <v>2</v>
      </c>
      <c r="CQ109" s="9"/>
      <c r="CR109" s="9">
        <v>2</v>
      </c>
      <c r="CS109" s="9"/>
      <c r="CT109" s="9">
        <v>8</v>
      </c>
      <c r="CU109" s="9"/>
      <c r="CV109" s="9"/>
      <c r="CW109" s="9">
        <v>2</v>
      </c>
      <c r="CX109" s="9"/>
      <c r="CY109" s="9"/>
      <c r="CZ109" s="9"/>
      <c r="DA109" s="11" t="s">
        <v>813</v>
      </c>
      <c r="DB109" s="19">
        <f t="shared" si="7"/>
        <v>538</v>
      </c>
    </row>
    <row r="110" spans="1:107" ht="42" x14ac:dyDescent="0.15">
      <c r="A110" s="9" t="s">
        <v>814</v>
      </c>
      <c r="B110" s="9" t="s">
        <v>442</v>
      </c>
      <c r="C110" s="9"/>
      <c r="D110" s="9" t="s">
        <v>0</v>
      </c>
      <c r="E110" s="9" t="s">
        <v>0</v>
      </c>
      <c r="F110" s="9"/>
      <c r="G110" s="9" t="s">
        <v>815</v>
      </c>
      <c r="H110" s="9" t="s">
        <v>816</v>
      </c>
      <c r="I110" s="9"/>
      <c r="J110" s="8">
        <v>41313</v>
      </c>
      <c r="K110" s="18">
        <v>0.39583333333333331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9"/>
      <c r="AA110" s="11"/>
      <c r="AB110" s="11"/>
      <c r="AC110" s="9">
        <v>10</v>
      </c>
      <c r="AD110" s="11">
        <v>1</v>
      </c>
      <c r="AE110" s="11"/>
      <c r="AF110" s="11"/>
      <c r="AG110" s="11"/>
      <c r="AH110" s="9">
        <v>3</v>
      </c>
      <c r="AI110" s="11"/>
      <c r="AJ110" s="9">
        <v>5</v>
      </c>
      <c r="AK110" s="11"/>
      <c r="AL110" s="11"/>
      <c r="AM110" s="9"/>
      <c r="AN110" s="11"/>
      <c r="AO110" s="9"/>
      <c r="AP110" s="9"/>
      <c r="AQ110" s="9"/>
      <c r="AR110" s="11"/>
      <c r="AS110" s="11"/>
      <c r="AT110" s="11"/>
      <c r="AU110" s="11"/>
      <c r="AV110" s="11"/>
      <c r="AW110" s="9">
        <v>1</v>
      </c>
      <c r="AX110" s="9">
        <v>4</v>
      </c>
      <c r="AY110" s="9"/>
      <c r="AZ110" s="9"/>
      <c r="BA110" s="9">
        <v>1</v>
      </c>
      <c r="BB110" s="11">
        <v>3</v>
      </c>
      <c r="BC110" s="11"/>
      <c r="BD110" s="11"/>
      <c r="BE110" s="11"/>
      <c r="BF110" s="11"/>
      <c r="BG110" s="11">
        <v>3</v>
      </c>
      <c r="BH110" s="11"/>
      <c r="BI110" s="11"/>
      <c r="BJ110" s="11"/>
      <c r="BK110" s="11"/>
      <c r="BL110" s="9">
        <v>1</v>
      </c>
      <c r="BM110" s="9"/>
      <c r="BN110" s="11"/>
      <c r="BO110" s="11"/>
      <c r="BP110" s="11"/>
      <c r="BQ110" s="9">
        <v>2</v>
      </c>
      <c r="BR110" s="9"/>
      <c r="BS110" s="9">
        <v>32</v>
      </c>
      <c r="BT110" s="11">
        <v>1</v>
      </c>
      <c r="BU110" s="11">
        <v>20</v>
      </c>
      <c r="BV110" s="11"/>
      <c r="BW110" s="11">
        <v>7</v>
      </c>
      <c r="BX110" s="11"/>
      <c r="BY110" s="11"/>
      <c r="BZ110" s="11"/>
      <c r="CA110" s="11"/>
      <c r="CB110" s="9">
        <v>3</v>
      </c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9"/>
      <c r="CN110" s="9">
        <v>1</v>
      </c>
      <c r="CO110" s="9"/>
      <c r="CP110" s="9"/>
      <c r="CQ110" s="9"/>
      <c r="CR110" s="11"/>
      <c r="CS110" s="9"/>
      <c r="CT110" s="9">
        <v>20</v>
      </c>
      <c r="CU110" s="11"/>
      <c r="CV110" s="11"/>
      <c r="CW110" s="9"/>
      <c r="CX110" s="9">
        <v>2</v>
      </c>
      <c r="CY110" s="9"/>
      <c r="CZ110" s="11"/>
      <c r="DA110" s="9" t="s">
        <v>566</v>
      </c>
      <c r="DB110" s="19">
        <f t="shared" si="7"/>
        <v>120</v>
      </c>
    </row>
    <row r="111" spans="1:107" ht="28" x14ac:dyDescent="0.15">
      <c r="A111" s="9" t="s">
        <v>817</v>
      </c>
      <c r="B111" s="9" t="s">
        <v>442</v>
      </c>
      <c r="C111" s="9">
        <v>28.109649999999998</v>
      </c>
      <c r="D111" s="9">
        <v>-82.834959999999995</v>
      </c>
      <c r="E111" s="9">
        <v>28.112279999999998</v>
      </c>
      <c r="F111" s="9">
        <v>-82.839010000000002</v>
      </c>
      <c r="G111" s="9" t="s">
        <v>818</v>
      </c>
      <c r="H111" s="9" t="s">
        <v>480</v>
      </c>
      <c r="I111" s="9"/>
      <c r="J111" s="8">
        <v>41313</v>
      </c>
      <c r="K111" s="16" t="s">
        <v>819</v>
      </c>
      <c r="L111" s="11" t="s">
        <v>820</v>
      </c>
      <c r="AH111" s="11">
        <v>10</v>
      </c>
      <c r="AI111" s="9"/>
      <c r="AJ111" s="9">
        <v>25</v>
      </c>
      <c r="AM111" s="9">
        <v>10</v>
      </c>
      <c r="AO111" s="9">
        <v>6</v>
      </c>
      <c r="AW111" s="9">
        <v>5</v>
      </c>
      <c r="AY111" s="9">
        <v>1</v>
      </c>
      <c r="BD111" s="11">
        <v>1</v>
      </c>
      <c r="BG111" s="9">
        <v>3</v>
      </c>
      <c r="BL111" s="9"/>
      <c r="BS111" s="11">
        <v>10</v>
      </c>
      <c r="BU111" s="11">
        <v>30</v>
      </c>
      <c r="BW111" s="11">
        <v>20</v>
      </c>
      <c r="CB111" s="11">
        <v>2</v>
      </c>
      <c r="CM111" s="9">
        <v>2</v>
      </c>
      <c r="CN111" s="11">
        <v>3</v>
      </c>
      <c r="CR111" s="11">
        <v>7</v>
      </c>
      <c r="CT111" s="11">
        <v>10</v>
      </c>
      <c r="CX111" s="11">
        <v>10</v>
      </c>
      <c r="DA111" s="9" t="s">
        <v>821</v>
      </c>
      <c r="DB111" s="19">
        <f t="shared" si="7"/>
        <v>155</v>
      </c>
      <c r="DC111" s="11" t="s">
        <v>822</v>
      </c>
    </row>
    <row r="112" spans="1:107" ht="57" customHeight="1" x14ac:dyDescent="0.15">
      <c r="A112" s="9" t="s">
        <v>823</v>
      </c>
      <c r="B112" s="9" t="s">
        <v>442</v>
      </c>
      <c r="C112" s="9">
        <v>28.652999999999999</v>
      </c>
      <c r="D112" s="9">
        <v>-82.494500000000002</v>
      </c>
      <c r="E112" s="9">
        <v>28.74</v>
      </c>
      <c r="F112" s="9">
        <v>-82.507999999999996</v>
      </c>
      <c r="G112" s="9" t="s">
        <v>824</v>
      </c>
      <c r="H112" s="9" t="s">
        <v>825</v>
      </c>
      <c r="I112" s="9"/>
      <c r="J112" s="8">
        <v>41313</v>
      </c>
      <c r="K112" s="18">
        <v>0.39583333333333331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9"/>
      <c r="AA112" s="11"/>
      <c r="AB112" s="11"/>
      <c r="AC112" s="11">
        <v>3</v>
      </c>
      <c r="AD112" s="11"/>
      <c r="AE112" s="11"/>
      <c r="AF112" s="9"/>
      <c r="AG112" s="11"/>
      <c r="AH112" s="9">
        <v>1</v>
      </c>
      <c r="AI112" s="11"/>
      <c r="AJ112" s="9">
        <v>1</v>
      </c>
      <c r="AK112" s="11"/>
      <c r="AL112" s="11"/>
      <c r="AM112" s="11"/>
      <c r="AN112" s="11"/>
      <c r="AO112" s="9">
        <v>1</v>
      </c>
      <c r="AP112" s="9"/>
      <c r="AQ112" s="11"/>
      <c r="AR112" s="11"/>
      <c r="AS112" s="11"/>
      <c r="AT112" s="11"/>
      <c r="AU112" s="11"/>
      <c r="AV112" s="11">
        <v>3</v>
      </c>
      <c r="AW112" s="11"/>
      <c r="AX112" s="11"/>
      <c r="AY112" s="11"/>
      <c r="AZ112" s="11"/>
      <c r="BA112" s="11">
        <v>9</v>
      </c>
      <c r="BB112" s="11">
        <v>1</v>
      </c>
      <c r="BC112" s="11">
        <v>120</v>
      </c>
      <c r="BD112" s="11">
        <v>75</v>
      </c>
      <c r="BE112" s="11">
        <v>7</v>
      </c>
      <c r="BF112" s="11"/>
      <c r="BG112" s="11">
        <v>1</v>
      </c>
      <c r="BH112" s="11"/>
      <c r="BI112" s="11"/>
      <c r="BJ112" s="11"/>
      <c r="BK112" s="11"/>
      <c r="BL112" s="9">
        <v>1</v>
      </c>
      <c r="BM112" s="11"/>
      <c r="BN112" s="11"/>
      <c r="BO112" s="11"/>
      <c r="BP112" s="11"/>
      <c r="BQ112" s="11">
        <v>34</v>
      </c>
      <c r="BR112" s="11">
        <v>557</v>
      </c>
      <c r="BS112" s="11">
        <v>55</v>
      </c>
      <c r="BT112" s="11"/>
      <c r="BU112" s="11">
        <v>43</v>
      </c>
      <c r="BV112" s="11"/>
      <c r="BW112" s="11"/>
      <c r="BX112" s="11"/>
      <c r="BY112" s="11"/>
      <c r="BZ112" s="11"/>
      <c r="CA112" s="11"/>
      <c r="CB112" s="11">
        <v>1</v>
      </c>
      <c r="CC112" s="11"/>
      <c r="CD112" s="11"/>
      <c r="CE112" s="11"/>
      <c r="CF112" s="11"/>
      <c r="CG112" s="11"/>
      <c r="CH112" s="11"/>
      <c r="CI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 t="s">
        <v>826</v>
      </c>
      <c r="DB112" s="19">
        <f t="shared" si="7"/>
        <v>913</v>
      </c>
    </row>
    <row r="113" spans="1:107" ht="28" x14ac:dyDescent="0.15">
      <c r="A113" s="9" t="s">
        <v>823</v>
      </c>
      <c r="B113" s="9" t="s">
        <v>442</v>
      </c>
      <c r="C113" s="9">
        <v>28.652999999999999</v>
      </c>
      <c r="D113" s="9">
        <v>-82.494500000000002</v>
      </c>
      <c r="E113" s="9">
        <v>28.74</v>
      </c>
      <c r="F113" s="9">
        <v>-82.507999999999996</v>
      </c>
      <c r="G113" s="9" t="s">
        <v>827</v>
      </c>
      <c r="H113" s="9" t="s">
        <v>828</v>
      </c>
      <c r="I113" s="9"/>
      <c r="J113" s="8">
        <v>41317</v>
      </c>
      <c r="K113" s="18">
        <v>0.5</v>
      </c>
      <c r="Z113" s="9"/>
      <c r="AF113" s="9"/>
      <c r="AH113" s="9"/>
      <c r="AJ113" s="9"/>
      <c r="AO113" s="9"/>
      <c r="AP113" s="9"/>
      <c r="BB113" s="11">
        <v>4</v>
      </c>
      <c r="BD113" s="11">
        <v>29</v>
      </c>
      <c r="BE113" s="11">
        <v>1</v>
      </c>
      <c r="BF113" s="11"/>
      <c r="BG113" s="11">
        <v>2</v>
      </c>
      <c r="BI113" s="11">
        <v>1</v>
      </c>
      <c r="BL113" s="9">
        <v>1</v>
      </c>
      <c r="BR113" s="11"/>
      <c r="BS113" s="11" t="s">
        <v>0</v>
      </c>
      <c r="BW113" s="11">
        <v>540</v>
      </c>
      <c r="BX113" s="11">
        <v>4</v>
      </c>
      <c r="DB113" s="19"/>
    </row>
    <row r="114" spans="1:107" ht="56" x14ac:dyDescent="0.15">
      <c r="A114" s="9" t="s">
        <v>829</v>
      </c>
      <c r="B114" s="9" t="s">
        <v>442</v>
      </c>
      <c r="C114" s="9">
        <v>28.128039999999999</v>
      </c>
      <c r="D114" s="9">
        <v>-82.834010000000006</v>
      </c>
      <c r="E114" s="9">
        <v>28.12988</v>
      </c>
      <c r="F114" s="9">
        <v>-82.831990000000005</v>
      </c>
      <c r="G114" s="9" t="s">
        <v>830</v>
      </c>
      <c r="H114" s="9" t="s">
        <v>831</v>
      </c>
      <c r="I114" s="9"/>
      <c r="J114" s="8">
        <v>41313</v>
      </c>
      <c r="K114" s="18">
        <v>0.39930555555555558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>
        <v>4</v>
      </c>
      <c r="AI114" s="9"/>
      <c r="AJ114" s="9">
        <v>80</v>
      </c>
      <c r="AK114" s="9"/>
      <c r="AL114" s="9"/>
      <c r="AM114" s="9"/>
      <c r="AN114" s="9"/>
      <c r="AO114" s="9">
        <v>5</v>
      </c>
      <c r="AP114" s="9">
        <v>17</v>
      </c>
      <c r="AQ114" s="9"/>
      <c r="AR114" s="9"/>
      <c r="AS114" s="9"/>
      <c r="AT114" s="9"/>
      <c r="AU114" s="9"/>
      <c r="AV114" s="9"/>
      <c r="AW114" s="9">
        <v>1</v>
      </c>
      <c r="AX114" s="9"/>
      <c r="AY114" s="9"/>
      <c r="AZ114" s="9"/>
      <c r="BA114" s="9">
        <v>1</v>
      </c>
      <c r="BB114" s="9"/>
      <c r="BC114" s="9"/>
      <c r="BD114" s="9">
        <v>4</v>
      </c>
      <c r="BE114" s="9"/>
      <c r="BF114" s="9"/>
      <c r="BG114" s="9"/>
      <c r="BH114" s="9"/>
      <c r="BI114" s="9"/>
      <c r="BJ114" s="9"/>
      <c r="BK114" s="9"/>
      <c r="BL114" s="9">
        <v>1</v>
      </c>
      <c r="BM114" s="9"/>
      <c r="BN114" s="9"/>
      <c r="BO114" s="9"/>
      <c r="BP114" s="9"/>
      <c r="BQ114" s="9">
        <v>9</v>
      </c>
      <c r="BR114" s="9"/>
      <c r="BS114" s="9">
        <v>35</v>
      </c>
      <c r="BT114" s="9"/>
      <c r="BU114" s="9">
        <v>4</v>
      </c>
      <c r="BV114" s="9"/>
      <c r="BW114" s="9">
        <v>40</v>
      </c>
      <c r="BX114" s="9"/>
      <c r="BY114" s="9"/>
      <c r="BZ114" s="9"/>
      <c r="CA114" s="9"/>
      <c r="CB114" s="9">
        <v>1</v>
      </c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>
        <v>1</v>
      </c>
      <c r="CN114" s="9"/>
      <c r="CO114" s="9"/>
      <c r="CP114" s="9"/>
      <c r="CQ114" s="9"/>
      <c r="CR114" s="9">
        <v>1</v>
      </c>
      <c r="CS114" s="9"/>
      <c r="CT114" s="9"/>
      <c r="CU114" s="9"/>
      <c r="CV114" s="9"/>
      <c r="CW114" s="9"/>
      <c r="CX114" s="9"/>
      <c r="CY114" s="9"/>
      <c r="CZ114" s="9"/>
      <c r="DA114" s="9" t="s">
        <v>832</v>
      </c>
      <c r="DB114" s="19">
        <f t="shared" ref="DB114:DB115" si="8">SUM(L114:DA114)</f>
        <v>204</v>
      </c>
      <c r="DC114" s="9" t="s">
        <v>833</v>
      </c>
    </row>
    <row r="115" spans="1:107" ht="28" x14ac:dyDescent="0.15">
      <c r="A115" s="9" t="s">
        <v>834</v>
      </c>
      <c r="B115" s="9" t="s">
        <v>442</v>
      </c>
      <c r="C115" s="9" t="s">
        <v>835</v>
      </c>
      <c r="D115" s="9" t="s">
        <v>836</v>
      </c>
      <c r="E115" s="9" t="s">
        <v>837</v>
      </c>
      <c r="F115" s="9" t="s">
        <v>838</v>
      </c>
      <c r="G115" s="9" t="s">
        <v>540</v>
      </c>
      <c r="H115" s="9" t="s">
        <v>839</v>
      </c>
      <c r="I115" s="9"/>
      <c r="J115" s="8">
        <v>41315</v>
      </c>
      <c r="K115" s="18">
        <v>0.40625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E115" s="9"/>
      <c r="AF115" s="9"/>
      <c r="AG115" s="9"/>
      <c r="AH115" s="9">
        <v>13</v>
      </c>
      <c r="AI115" s="9"/>
      <c r="AJ115" s="9">
        <v>11</v>
      </c>
      <c r="AK115" s="9"/>
      <c r="AL115" s="9"/>
      <c r="AM115" s="9">
        <v>14</v>
      </c>
      <c r="AN115" s="9"/>
      <c r="AO115" s="9">
        <v>1</v>
      </c>
      <c r="AP115" s="9"/>
      <c r="AQ115" s="9"/>
      <c r="AR115" s="9"/>
      <c r="AS115" s="9"/>
      <c r="AT115" s="9"/>
      <c r="AU115" s="9"/>
      <c r="AV115" s="9">
        <v>1</v>
      </c>
      <c r="AW115" s="9">
        <v>6</v>
      </c>
      <c r="AX115" s="9">
        <v>2</v>
      </c>
      <c r="AY115" s="9">
        <v>1</v>
      </c>
      <c r="AZ115" s="9"/>
      <c r="BA115" s="9">
        <v>1</v>
      </c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>
        <v>1</v>
      </c>
      <c r="BM115" s="9"/>
      <c r="BN115" s="9"/>
      <c r="BO115" s="9"/>
      <c r="BP115" s="9"/>
      <c r="BQ115" s="9">
        <v>4</v>
      </c>
      <c r="BR115" s="9"/>
      <c r="BS115" s="9">
        <v>1</v>
      </c>
      <c r="BT115" s="9"/>
      <c r="BU115" s="9"/>
      <c r="BV115" s="9"/>
      <c r="BW115" s="9"/>
      <c r="BX115" s="9"/>
      <c r="BY115" s="9"/>
      <c r="BZ115" s="9"/>
      <c r="CA115" s="9"/>
      <c r="CB115" s="9">
        <v>1</v>
      </c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>
        <v>1</v>
      </c>
      <c r="CO115" s="9">
        <v>1</v>
      </c>
      <c r="CP115" s="9"/>
      <c r="CQ115" s="9"/>
      <c r="CR115" s="9"/>
      <c r="CS115" s="9" t="s">
        <v>840</v>
      </c>
      <c r="CT115" s="9"/>
      <c r="CU115" s="9"/>
      <c r="CV115" s="9"/>
      <c r="CW115" s="9"/>
      <c r="CX115" s="9"/>
      <c r="CY115" s="9">
        <v>2</v>
      </c>
      <c r="CZ115" s="9"/>
      <c r="DA115" s="9"/>
      <c r="DB115" s="19">
        <f t="shared" si="8"/>
        <v>61</v>
      </c>
      <c r="DC115" s="9"/>
    </row>
    <row r="116" spans="1:107" ht="42" x14ac:dyDescent="0.15">
      <c r="A116" s="9" t="s">
        <v>841</v>
      </c>
      <c r="B116" s="9" t="s">
        <v>475</v>
      </c>
      <c r="C116" s="9">
        <v>27.218599999999999</v>
      </c>
      <c r="D116" s="9">
        <v>-82.517499999999998</v>
      </c>
      <c r="E116" s="9">
        <v>27.196200000000001</v>
      </c>
      <c r="F116" s="9">
        <v>-82.505600000000001</v>
      </c>
      <c r="G116" s="9" t="s">
        <v>842</v>
      </c>
      <c r="H116" s="9" t="s">
        <v>843</v>
      </c>
      <c r="I116" s="9"/>
      <c r="J116" s="8">
        <v>41308</v>
      </c>
      <c r="K116" s="18">
        <v>0.4375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9">
        <v>12</v>
      </c>
      <c r="AI116" s="11"/>
      <c r="AJ116" s="9"/>
      <c r="AK116" s="11"/>
      <c r="AL116" s="11"/>
      <c r="AM116" s="9">
        <v>9</v>
      </c>
      <c r="AN116" s="11"/>
      <c r="AO116" s="9">
        <v>46</v>
      </c>
      <c r="AP116" s="9">
        <v>10</v>
      </c>
      <c r="AQ116" s="11"/>
      <c r="AR116" s="9"/>
      <c r="AS116" s="11"/>
      <c r="AT116" s="11"/>
      <c r="AU116" s="11"/>
      <c r="AV116" s="11"/>
      <c r="AW116" s="9"/>
      <c r="AX116" s="11"/>
      <c r="AY116" s="11"/>
      <c r="AZ116" s="9"/>
      <c r="BA116" s="11">
        <v>2</v>
      </c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9"/>
      <c r="BM116" s="11"/>
      <c r="BN116" s="11"/>
      <c r="BO116" s="11"/>
      <c r="BP116" s="11"/>
      <c r="BQ116" s="9"/>
      <c r="BR116" s="11"/>
      <c r="BS116" s="9">
        <v>50</v>
      </c>
      <c r="BT116" s="9"/>
      <c r="BU116" s="9"/>
      <c r="BV116" s="11"/>
      <c r="BW116" s="11"/>
      <c r="BX116" s="11"/>
      <c r="BY116" s="11"/>
      <c r="BZ116" s="11"/>
      <c r="CA116" s="11"/>
      <c r="CB116" s="9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9">
        <v>1</v>
      </c>
      <c r="CN116" s="9"/>
      <c r="CO116" s="9"/>
      <c r="CP116" s="11"/>
      <c r="CQ116" s="11"/>
      <c r="CR116" s="11"/>
      <c r="CS116" s="11"/>
      <c r="CT116" s="9"/>
      <c r="CU116" s="9"/>
      <c r="CV116" s="11"/>
      <c r="CW116" s="11"/>
      <c r="CX116" s="11"/>
      <c r="CY116" s="11"/>
      <c r="CZ116" s="11"/>
      <c r="DA116" s="11" t="s">
        <v>844</v>
      </c>
      <c r="DB116" s="19"/>
      <c r="DC116" s="9"/>
    </row>
    <row r="117" spans="1:107" ht="15" customHeight="1" x14ac:dyDescent="0.15">
      <c r="A117" s="9" t="s">
        <v>845</v>
      </c>
      <c r="B117" s="9" t="s">
        <v>451</v>
      </c>
      <c r="C117" s="9" t="s">
        <v>530</v>
      </c>
      <c r="D117" s="9" t="s">
        <v>531</v>
      </c>
      <c r="E117" s="9" t="s">
        <v>846</v>
      </c>
      <c r="F117" s="9" t="s">
        <v>847</v>
      </c>
      <c r="G117" s="9" t="s">
        <v>848</v>
      </c>
      <c r="H117" s="9" t="s">
        <v>849</v>
      </c>
      <c r="I117" s="9"/>
      <c r="J117" s="8">
        <v>41306</v>
      </c>
      <c r="K117" s="16" t="s">
        <v>850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>
        <v>2</v>
      </c>
      <c r="Z117" s="9">
        <v>1</v>
      </c>
      <c r="AA117" s="9"/>
      <c r="AB117" s="9"/>
      <c r="AC117" s="9">
        <v>1</v>
      </c>
      <c r="AD117" s="9"/>
      <c r="AE117" s="9"/>
      <c r="AF117" s="9">
        <v>219</v>
      </c>
      <c r="AG117" s="9"/>
      <c r="AH117" s="9">
        <v>26</v>
      </c>
      <c r="AI117" s="9"/>
      <c r="AJ117" s="9">
        <v>5</v>
      </c>
      <c r="AK117" s="9"/>
      <c r="AL117" s="9"/>
      <c r="AM117" s="9">
        <v>8</v>
      </c>
      <c r="AN117" s="9"/>
      <c r="AO117" s="9">
        <v>19</v>
      </c>
      <c r="AP117" s="9">
        <v>3</v>
      </c>
      <c r="AQ117" s="9"/>
      <c r="AR117" s="9"/>
      <c r="AS117" s="9"/>
      <c r="AT117" s="9"/>
      <c r="AU117" s="9"/>
      <c r="AV117" s="9"/>
      <c r="AW117" s="9">
        <v>3</v>
      </c>
      <c r="AX117" s="9">
        <v>5</v>
      </c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>
        <v>8</v>
      </c>
      <c r="BM117" s="9"/>
      <c r="BN117" s="9"/>
      <c r="BO117" s="9"/>
      <c r="BP117" s="9"/>
      <c r="BQ117" s="9">
        <v>8</v>
      </c>
      <c r="BR117" s="9"/>
      <c r="BS117" s="9">
        <v>126</v>
      </c>
      <c r="BT117" s="9"/>
      <c r="BU117" s="9"/>
      <c r="BV117" s="9"/>
      <c r="BW117" s="9"/>
      <c r="BX117" s="9"/>
      <c r="BY117" s="9"/>
      <c r="BZ117" s="9"/>
      <c r="CA117" s="9"/>
      <c r="CB117" s="9">
        <v>7</v>
      </c>
      <c r="CC117" s="9">
        <v>1</v>
      </c>
      <c r="CD117" s="9">
        <v>1</v>
      </c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11" t="s">
        <v>851</v>
      </c>
      <c r="DB117" s="19">
        <f t="shared" ref="DB117:DB123" si="9">SUM(L117:DA117)</f>
        <v>443</v>
      </c>
    </row>
    <row r="118" spans="1:107" ht="42" x14ac:dyDescent="0.15">
      <c r="A118" s="9" t="s">
        <v>852</v>
      </c>
      <c r="B118" s="9" t="s">
        <v>475</v>
      </c>
      <c r="C118" s="9">
        <v>27.11092</v>
      </c>
      <c r="D118" s="9">
        <v>-82.465469999999996</v>
      </c>
      <c r="E118" s="9">
        <v>27.07321</v>
      </c>
      <c r="F118" s="9">
        <v>-82.450900000000004</v>
      </c>
      <c r="G118" s="9" t="s">
        <v>853</v>
      </c>
      <c r="H118" s="9" t="s">
        <v>417</v>
      </c>
      <c r="I118" s="9"/>
      <c r="J118" s="8">
        <v>41308</v>
      </c>
      <c r="K118" s="18">
        <v>0.3611111111111111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9"/>
      <c r="AI118" s="11"/>
      <c r="AJ118" s="9"/>
      <c r="AK118" s="11"/>
      <c r="AL118" s="11"/>
      <c r="AM118" s="9">
        <v>93</v>
      </c>
      <c r="AN118" s="11"/>
      <c r="AO118" s="9">
        <v>86</v>
      </c>
      <c r="AP118" s="9"/>
      <c r="AQ118" s="11"/>
      <c r="AR118" s="9"/>
      <c r="AS118" s="11"/>
      <c r="AT118" s="11"/>
      <c r="AU118" s="11"/>
      <c r="AV118" s="11"/>
      <c r="AW118" s="9">
        <v>8</v>
      </c>
      <c r="AX118" s="11">
        <v>8</v>
      </c>
      <c r="AY118" s="11"/>
      <c r="AZ118" s="9"/>
      <c r="BA118" s="11">
        <v>9</v>
      </c>
      <c r="BB118" s="11"/>
      <c r="BC118" s="11"/>
      <c r="BD118" s="11"/>
      <c r="BE118" s="11"/>
      <c r="BF118" s="11">
        <v>1</v>
      </c>
      <c r="BG118" s="11"/>
      <c r="BH118" s="11"/>
      <c r="BI118" s="11"/>
      <c r="BJ118" s="11"/>
      <c r="BK118" s="11"/>
      <c r="BL118" s="9"/>
      <c r="BM118" s="11"/>
      <c r="BN118" s="11"/>
      <c r="BO118" s="11"/>
      <c r="BP118" s="11"/>
      <c r="BQ118" s="9">
        <v>24</v>
      </c>
      <c r="BR118" s="11"/>
      <c r="BS118" s="9">
        <v>47</v>
      </c>
      <c r="BT118" s="9"/>
      <c r="BU118" s="9"/>
      <c r="BV118" s="11"/>
      <c r="BW118" s="11"/>
      <c r="BX118" s="11"/>
      <c r="BY118" s="11"/>
      <c r="BZ118" s="11"/>
      <c r="CA118" s="11"/>
      <c r="CB118" s="9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9"/>
      <c r="CN118" s="9"/>
      <c r="CO118" s="9">
        <v>1</v>
      </c>
      <c r="CP118" s="11"/>
      <c r="CQ118" s="11"/>
      <c r="CR118" s="11"/>
      <c r="CS118" s="11"/>
      <c r="CT118" s="9"/>
      <c r="CU118" s="9"/>
      <c r="CV118" s="11"/>
      <c r="CW118" s="11"/>
      <c r="CX118" s="11"/>
      <c r="CY118" s="11">
        <v>24</v>
      </c>
      <c r="CZ118" s="11"/>
      <c r="DB118" s="19">
        <f t="shared" si="9"/>
        <v>301</v>
      </c>
      <c r="DC118" s="9"/>
    </row>
    <row r="119" spans="1:107" ht="43.5" customHeight="1" x14ac:dyDescent="0.15">
      <c r="A119" s="9" t="s">
        <v>854</v>
      </c>
      <c r="B119" s="9" t="s">
        <v>451</v>
      </c>
      <c r="C119" s="9" t="s">
        <v>846</v>
      </c>
      <c r="D119" s="9" t="s">
        <v>847</v>
      </c>
      <c r="E119" s="9" t="s">
        <v>855</v>
      </c>
      <c r="F119" s="9" t="s">
        <v>856</v>
      </c>
      <c r="G119" s="9" t="s">
        <v>699</v>
      </c>
      <c r="H119" s="9" t="s">
        <v>700</v>
      </c>
      <c r="I119" s="9"/>
      <c r="J119" s="8">
        <v>41306</v>
      </c>
      <c r="K119" s="16" t="s">
        <v>629</v>
      </c>
      <c r="L119" s="9"/>
      <c r="M119" s="9"/>
      <c r="N119" s="9"/>
      <c r="O119" s="9"/>
      <c r="P119" s="9">
        <v>1</v>
      </c>
      <c r="Q119" s="9"/>
      <c r="R119" s="9"/>
      <c r="S119" s="9"/>
      <c r="T119" s="9">
        <v>5</v>
      </c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>
        <v>300</v>
      </c>
      <c r="AG119" s="9"/>
      <c r="AH119" s="9">
        <v>48</v>
      </c>
      <c r="AI119" s="9"/>
      <c r="AJ119" s="9">
        <v>14</v>
      </c>
      <c r="AK119" s="9"/>
      <c r="AL119" s="9"/>
      <c r="AM119" s="9">
        <v>7</v>
      </c>
      <c r="AN119" s="9">
        <v>13</v>
      </c>
      <c r="AO119" s="9">
        <v>5</v>
      </c>
      <c r="AP119" s="9">
        <v>6</v>
      </c>
      <c r="AQ119" s="9"/>
      <c r="AR119" s="9">
        <v>1</v>
      </c>
      <c r="AS119" s="9"/>
      <c r="AT119" s="9">
        <v>1</v>
      </c>
      <c r="AU119" s="9"/>
      <c r="AV119" s="9"/>
      <c r="AW119" s="9">
        <v>12</v>
      </c>
      <c r="AX119" s="9">
        <v>34</v>
      </c>
      <c r="AY119" s="9">
        <v>1</v>
      </c>
      <c r="AZ119" s="9">
        <v>2</v>
      </c>
      <c r="BA119" s="9"/>
      <c r="BB119" s="9"/>
      <c r="BC119" s="9"/>
      <c r="BD119" s="9"/>
      <c r="BE119" s="9"/>
      <c r="BF119" s="9">
        <v>5</v>
      </c>
      <c r="BG119" s="9"/>
      <c r="BH119" s="9"/>
      <c r="BI119" s="9"/>
      <c r="BJ119" s="9"/>
      <c r="BK119" s="9"/>
      <c r="BL119" s="9">
        <v>1</v>
      </c>
      <c r="BM119" s="9"/>
      <c r="BN119" s="9"/>
      <c r="BO119" s="9"/>
      <c r="BP119" s="9"/>
      <c r="BQ119" s="9">
        <v>1</v>
      </c>
      <c r="BR119" s="9"/>
      <c r="BS119" s="9">
        <v>66</v>
      </c>
      <c r="BT119" s="9"/>
      <c r="BU119" s="9"/>
      <c r="BV119" s="9"/>
      <c r="BW119" s="9">
        <v>15</v>
      </c>
      <c r="BX119" s="9"/>
      <c r="BY119" s="9"/>
      <c r="BZ119" s="9"/>
      <c r="CA119" s="9"/>
      <c r="CB119" s="9">
        <v>6</v>
      </c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19">
        <f t="shared" si="9"/>
        <v>544</v>
      </c>
      <c r="DC119" s="9"/>
    </row>
    <row r="120" spans="1:107" ht="24" customHeight="1" x14ac:dyDescent="0.15">
      <c r="A120" s="9" t="s">
        <v>857</v>
      </c>
      <c r="B120" s="9" t="s">
        <v>437</v>
      </c>
      <c r="C120" s="9">
        <v>29.7975277</v>
      </c>
      <c r="D120" s="9">
        <v>-81.271630500000001</v>
      </c>
      <c r="E120" s="9">
        <v>29.7975277</v>
      </c>
      <c r="F120" s="9">
        <v>-81.271630500000001</v>
      </c>
      <c r="G120" s="9" t="s">
        <v>344</v>
      </c>
      <c r="H120" s="9" t="s">
        <v>345</v>
      </c>
      <c r="I120" s="9"/>
      <c r="J120" s="8">
        <v>41306</v>
      </c>
      <c r="K120" s="18">
        <v>0.51388888888888884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>
        <v>2</v>
      </c>
      <c r="Z120" s="9">
        <v>2</v>
      </c>
      <c r="AA120" s="9"/>
      <c r="AB120" s="9"/>
      <c r="AC120" s="9"/>
      <c r="AD120" s="9"/>
      <c r="AE120" s="9"/>
      <c r="AF120" s="9"/>
      <c r="AG120" s="9"/>
      <c r="AH120" s="9">
        <v>3</v>
      </c>
      <c r="AI120" s="9"/>
      <c r="AJ120" s="9">
        <v>8</v>
      </c>
      <c r="AK120" s="9"/>
      <c r="AL120" s="9"/>
      <c r="AM120" s="9">
        <v>2</v>
      </c>
      <c r="AN120" s="9"/>
      <c r="AO120" s="9">
        <v>1</v>
      </c>
      <c r="AP120" s="9"/>
      <c r="AQ120" s="9"/>
      <c r="AR120" s="9"/>
      <c r="AS120" s="9"/>
      <c r="AT120" s="9"/>
      <c r="AU120" s="11"/>
      <c r="AV120" s="9"/>
      <c r="AW120" s="9"/>
      <c r="AX120" s="9"/>
      <c r="AY120" s="9"/>
      <c r="AZ120" s="9"/>
      <c r="BA120" s="9">
        <v>45</v>
      </c>
      <c r="BB120" s="9"/>
      <c r="BC120" s="9">
        <v>93</v>
      </c>
      <c r="BD120" s="9"/>
      <c r="BE120" s="9"/>
      <c r="BF120" s="9"/>
      <c r="BG120" s="9">
        <v>11</v>
      </c>
      <c r="BH120" s="9"/>
      <c r="BI120" s="9"/>
      <c r="BJ120" s="9"/>
      <c r="BK120" s="9"/>
      <c r="BL120" s="9"/>
      <c r="BM120" s="9"/>
      <c r="BN120" s="9"/>
      <c r="BO120" s="9"/>
      <c r="BP120" s="9"/>
      <c r="BQ120" s="9">
        <v>9</v>
      </c>
      <c r="BR120" s="9">
        <v>2</v>
      </c>
      <c r="BS120" s="9"/>
      <c r="BT120" s="9">
        <v>85</v>
      </c>
      <c r="BU120" s="9"/>
      <c r="BV120" s="9"/>
      <c r="BW120" s="9">
        <v>23</v>
      </c>
      <c r="BX120" s="9">
        <v>3</v>
      </c>
      <c r="BY120" s="9"/>
      <c r="BZ120" s="9"/>
      <c r="CA120" s="9"/>
      <c r="CB120" s="9">
        <v>1</v>
      </c>
      <c r="CC120" s="9"/>
      <c r="CD120" s="9"/>
      <c r="CE120" s="9">
        <v>1</v>
      </c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>
        <v>1</v>
      </c>
      <c r="CU120" s="9"/>
      <c r="CV120" s="9"/>
      <c r="CW120" s="9"/>
      <c r="CX120" s="9"/>
      <c r="CY120" s="9"/>
      <c r="CZ120" s="9"/>
      <c r="DA120" s="9"/>
      <c r="DB120" s="19">
        <f t="shared" si="9"/>
        <v>292</v>
      </c>
      <c r="DC120" s="11" t="s">
        <v>858</v>
      </c>
    </row>
    <row r="121" spans="1:107" ht="24" customHeight="1" x14ac:dyDescent="0.15">
      <c r="A121" s="9" t="s">
        <v>859</v>
      </c>
      <c r="B121" s="9" t="s">
        <v>475</v>
      </c>
      <c r="C121" s="9"/>
      <c r="D121" s="9"/>
      <c r="E121" s="9"/>
      <c r="F121" s="9"/>
      <c r="G121" s="9" t="s">
        <v>860</v>
      </c>
      <c r="H121" s="9" t="s">
        <v>660</v>
      </c>
      <c r="J121" s="8">
        <v>41307</v>
      </c>
      <c r="K121" s="18">
        <v>0.55208333333333337</v>
      </c>
      <c r="L121" s="9"/>
      <c r="P121" s="9"/>
      <c r="Z121" s="9"/>
      <c r="AC121" s="9"/>
      <c r="AF121" s="9"/>
      <c r="AH121" s="9"/>
      <c r="AJ121" s="9"/>
      <c r="AM121" s="9"/>
      <c r="AO121" s="9"/>
      <c r="AP121" s="9"/>
      <c r="AW121" s="9"/>
      <c r="AX121" s="9"/>
      <c r="BA121" s="9"/>
      <c r="BB121" s="9"/>
      <c r="BC121" s="9"/>
      <c r="BD121" s="9"/>
      <c r="BE121" s="9"/>
      <c r="BG121" s="9"/>
      <c r="BL121" s="9"/>
      <c r="BN121" s="9"/>
      <c r="BP121" s="9"/>
      <c r="BQ121" s="9"/>
      <c r="BR121" s="9"/>
      <c r="BS121" s="9">
        <v>13</v>
      </c>
      <c r="BT121" s="9"/>
      <c r="BU121" s="9"/>
      <c r="BW121" s="9"/>
      <c r="BX121" s="9"/>
      <c r="CB121" s="9"/>
      <c r="CD121" s="9"/>
      <c r="CE121" s="9"/>
      <c r="CM121" s="9"/>
      <c r="CN121" s="9"/>
      <c r="CO121" s="9"/>
      <c r="CP121" s="9"/>
      <c r="CQ121" s="9"/>
      <c r="CR121" s="9"/>
      <c r="CT121" s="9"/>
      <c r="CU121" s="9"/>
      <c r="CX121" s="9"/>
      <c r="DA121" s="9" t="s">
        <v>861</v>
      </c>
      <c r="DB121" s="19">
        <f t="shared" si="9"/>
        <v>13</v>
      </c>
      <c r="DC121" s="9"/>
    </row>
    <row r="122" spans="1:107" ht="28" x14ac:dyDescent="0.15">
      <c r="A122" s="11" t="s">
        <v>862</v>
      </c>
      <c r="B122" s="11" t="s">
        <v>475</v>
      </c>
      <c r="G122" s="11" t="s">
        <v>863</v>
      </c>
      <c r="H122" s="11" t="s">
        <v>864</v>
      </c>
      <c r="J122" s="20">
        <v>41351</v>
      </c>
      <c r="K122" s="11" t="s">
        <v>865</v>
      </c>
      <c r="AH122" s="11">
        <v>30</v>
      </c>
      <c r="AJ122" s="11">
        <v>2</v>
      </c>
      <c r="BA122" s="11">
        <v>1</v>
      </c>
      <c r="BL122" s="11">
        <v>3</v>
      </c>
      <c r="BQ122" s="11">
        <v>1</v>
      </c>
      <c r="BS122" s="11">
        <v>13</v>
      </c>
      <c r="CS122" s="11">
        <v>1</v>
      </c>
      <c r="DB122" s="19">
        <f t="shared" si="9"/>
        <v>51</v>
      </c>
    </row>
    <row r="123" spans="1:107" ht="16.5" customHeight="1" x14ac:dyDescent="0.15">
      <c r="A123" s="11" t="s">
        <v>866</v>
      </c>
      <c r="B123" s="11" t="s">
        <v>475</v>
      </c>
      <c r="G123" s="11" t="s">
        <v>863</v>
      </c>
      <c r="H123" s="11" t="s">
        <v>864</v>
      </c>
      <c r="J123" s="20">
        <v>41351</v>
      </c>
      <c r="K123" s="11" t="s">
        <v>867</v>
      </c>
      <c r="L123" s="11" t="s">
        <v>0</v>
      </c>
      <c r="AH123" s="11">
        <v>30</v>
      </c>
      <c r="AM123" s="11">
        <v>5</v>
      </c>
      <c r="AO123" s="11">
        <v>2</v>
      </c>
      <c r="AQ123" s="11">
        <v>1</v>
      </c>
      <c r="AW123" s="11">
        <v>34</v>
      </c>
      <c r="AX123" s="11">
        <v>7</v>
      </c>
      <c r="AY123" s="11">
        <v>3</v>
      </c>
      <c r="BA123" s="11">
        <v>1</v>
      </c>
      <c r="BL123" s="11">
        <v>2</v>
      </c>
      <c r="BQ123" s="11">
        <v>8</v>
      </c>
      <c r="BS123" s="11">
        <v>10</v>
      </c>
      <c r="CQ123" s="11">
        <v>1</v>
      </c>
      <c r="DB123" s="19">
        <f t="shared" si="9"/>
        <v>104</v>
      </c>
    </row>
    <row r="124" spans="1:107" ht="28" x14ac:dyDescent="0.15">
      <c r="A124" s="11" t="s">
        <v>257</v>
      </c>
      <c r="B124" s="11" t="s">
        <v>442</v>
      </c>
      <c r="C124" s="11">
        <v>27.61177</v>
      </c>
      <c r="D124" s="11">
        <v>82.736170000000001</v>
      </c>
      <c r="E124" s="11">
        <v>27.632809999999999</v>
      </c>
      <c r="F124" s="11">
        <v>82.736170000000001</v>
      </c>
      <c r="G124" s="11" t="s">
        <v>262</v>
      </c>
      <c r="H124" s="11" t="s">
        <v>238</v>
      </c>
      <c r="J124" s="20">
        <v>41355</v>
      </c>
      <c r="K124" s="21">
        <v>0.3611111111111111</v>
      </c>
      <c r="AC124" s="11">
        <v>2</v>
      </c>
      <c r="AF124" s="11">
        <v>1</v>
      </c>
      <c r="AH124" s="11">
        <v>7</v>
      </c>
      <c r="AJ124" s="11">
        <v>32</v>
      </c>
      <c r="AM124" s="11">
        <v>20</v>
      </c>
      <c r="AO124" s="11">
        <v>7</v>
      </c>
      <c r="AP124" s="11">
        <v>1</v>
      </c>
      <c r="AW124" s="11">
        <v>8</v>
      </c>
      <c r="AX124" s="11">
        <v>4</v>
      </c>
      <c r="AY124" s="11">
        <v>1</v>
      </c>
      <c r="BA124" s="11">
        <v>2</v>
      </c>
      <c r="BE124" s="11">
        <v>1</v>
      </c>
      <c r="BL124" s="11">
        <v>44</v>
      </c>
      <c r="BQ124" s="11">
        <v>6</v>
      </c>
      <c r="BS124" s="11">
        <v>51</v>
      </c>
      <c r="CB124" s="11">
        <v>3</v>
      </c>
      <c r="CM124" s="11">
        <v>3</v>
      </c>
      <c r="CN124" s="11">
        <v>1</v>
      </c>
      <c r="CO124" s="11">
        <v>1</v>
      </c>
      <c r="CR124" s="11">
        <v>1</v>
      </c>
      <c r="CT124" s="11">
        <v>355</v>
      </c>
      <c r="CY124" s="11">
        <v>1</v>
      </c>
      <c r="DA124" s="11" t="s">
        <v>868</v>
      </c>
      <c r="DB124" s="19">
        <v>556</v>
      </c>
      <c r="DC124" s="11" t="s">
        <v>869</v>
      </c>
    </row>
    <row r="125" spans="1:107" ht="42" x14ac:dyDescent="0.15">
      <c r="A125" s="11" t="s">
        <v>870</v>
      </c>
      <c r="B125" s="11" t="s">
        <v>442</v>
      </c>
      <c r="C125" s="11">
        <v>27.61177</v>
      </c>
      <c r="D125" s="11">
        <v>82.736170000000001</v>
      </c>
      <c r="E125" s="11">
        <v>27.632809999999999</v>
      </c>
      <c r="F125" s="11">
        <v>82.740859999999998</v>
      </c>
      <c r="G125" s="11" t="s">
        <v>262</v>
      </c>
      <c r="H125" s="11" t="s">
        <v>238</v>
      </c>
      <c r="J125" s="20">
        <v>41355</v>
      </c>
      <c r="K125" s="21">
        <v>0.47569444444444442</v>
      </c>
      <c r="AC125" s="11">
        <v>46</v>
      </c>
      <c r="AH125" s="11">
        <v>11</v>
      </c>
      <c r="AJ125" s="11">
        <v>12</v>
      </c>
      <c r="AM125" s="11">
        <v>76</v>
      </c>
      <c r="AO125" s="11">
        <v>1</v>
      </c>
      <c r="AP125" s="11">
        <v>1</v>
      </c>
      <c r="AW125" s="11">
        <v>1</v>
      </c>
      <c r="BL125" s="11">
        <v>6</v>
      </c>
      <c r="BQ125" s="11">
        <v>4</v>
      </c>
      <c r="BS125" s="11">
        <v>2</v>
      </c>
      <c r="CB125" s="11">
        <v>2</v>
      </c>
      <c r="CN125" s="11">
        <v>1</v>
      </c>
      <c r="CT125" s="11">
        <v>6</v>
      </c>
      <c r="CY125" s="11">
        <v>8</v>
      </c>
      <c r="DA125" s="11" t="s">
        <v>871</v>
      </c>
      <c r="DB125" s="19">
        <v>202</v>
      </c>
      <c r="DC125" s="11" t="s">
        <v>872</v>
      </c>
    </row>
    <row r="126" spans="1:107" ht="28" x14ac:dyDescent="0.15">
      <c r="A126" s="11" t="s">
        <v>873</v>
      </c>
      <c r="B126" s="11" t="s">
        <v>475</v>
      </c>
      <c r="C126" s="11">
        <v>26.95393</v>
      </c>
      <c r="D126" s="11">
        <v>82.379090000000005</v>
      </c>
      <c r="E126" s="11">
        <v>26.94624</v>
      </c>
      <c r="F126" s="11">
        <v>82.374340000000004</v>
      </c>
      <c r="G126" s="11" t="s">
        <v>860</v>
      </c>
      <c r="H126" s="11" t="s">
        <v>660</v>
      </c>
      <c r="J126" s="20">
        <v>41357</v>
      </c>
      <c r="K126" s="21">
        <v>0.33333333333333331</v>
      </c>
      <c r="AH126" s="11">
        <v>3</v>
      </c>
      <c r="BS126" s="11">
        <v>3</v>
      </c>
      <c r="DB126" s="19"/>
    </row>
    <row r="127" spans="1:107" ht="28" x14ac:dyDescent="0.15">
      <c r="A127" s="11" t="s">
        <v>873</v>
      </c>
      <c r="B127" s="11" t="s">
        <v>475</v>
      </c>
      <c r="C127" s="11">
        <v>26.95393</v>
      </c>
      <c r="D127" s="11">
        <v>82.379090000000005</v>
      </c>
      <c r="E127" s="11">
        <v>26.94624</v>
      </c>
      <c r="F127" s="11">
        <v>82.374340000000004</v>
      </c>
      <c r="G127" s="11" t="s">
        <v>860</v>
      </c>
      <c r="H127" s="11" t="s">
        <v>660</v>
      </c>
      <c r="J127" s="20">
        <v>41385</v>
      </c>
      <c r="K127" s="21">
        <v>0.32291666666666669</v>
      </c>
      <c r="BL127" s="11">
        <v>2</v>
      </c>
      <c r="DB127" s="19"/>
    </row>
    <row r="128" spans="1:107" ht="28" x14ac:dyDescent="0.15">
      <c r="A128" s="11" t="s">
        <v>873</v>
      </c>
      <c r="B128" s="11" t="s">
        <v>475</v>
      </c>
      <c r="C128" s="11">
        <v>26.95393</v>
      </c>
      <c r="D128" s="11">
        <v>82.379090000000005</v>
      </c>
      <c r="E128" s="11">
        <v>26.94624</v>
      </c>
      <c r="F128" s="11">
        <v>82.374340000000004</v>
      </c>
      <c r="G128" s="11" t="s">
        <v>860</v>
      </c>
      <c r="H128" s="11" t="s">
        <v>660</v>
      </c>
      <c r="J128" s="20">
        <v>41440</v>
      </c>
      <c r="K128" s="21">
        <v>0.29166666666666669</v>
      </c>
      <c r="DA128" s="11" t="s">
        <v>874</v>
      </c>
      <c r="DB128" s="19"/>
    </row>
    <row r="129" spans="106:106" ht="14" x14ac:dyDescent="0.15">
      <c r="DB129" s="19"/>
    </row>
    <row r="130" spans="106:106" ht="14" x14ac:dyDescent="0.15">
      <c r="DB130" s="19"/>
    </row>
    <row r="131" spans="106:106" ht="14" x14ac:dyDescent="0.15">
      <c r="DB131" s="19"/>
    </row>
    <row r="132" spans="106:106" ht="14" x14ac:dyDescent="0.15">
      <c r="DB132" s="19"/>
    </row>
    <row r="133" spans="106:106" ht="14" x14ac:dyDescent="0.15">
      <c r="DB133" s="19"/>
    </row>
    <row r="134" spans="106:106" ht="14" x14ac:dyDescent="0.15">
      <c r="DB134" s="19"/>
    </row>
    <row r="135" spans="106:106" ht="14" x14ac:dyDescent="0.15">
      <c r="DB135" s="19"/>
    </row>
    <row r="136" spans="106:106" ht="14" x14ac:dyDescent="0.15">
      <c r="DB136" s="19"/>
    </row>
    <row r="137" spans="106:106" ht="14" x14ac:dyDescent="0.15">
      <c r="DB137" s="19"/>
    </row>
    <row r="138" spans="106:106" ht="14" x14ac:dyDescent="0.15">
      <c r="DB138" s="19"/>
    </row>
    <row r="139" spans="106:106" ht="14" x14ac:dyDescent="0.15">
      <c r="DB139" s="19"/>
    </row>
    <row r="140" spans="106:106" ht="14" x14ac:dyDescent="0.15">
      <c r="DB140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F312-E967-0F42-A8BD-91EB4D8391FC}">
  <dimension ref="A1:DC140"/>
  <sheetViews>
    <sheetView tabSelected="1" workbookViewId="0">
      <selection activeCell="E10" sqref="E10"/>
    </sheetView>
  </sheetViews>
  <sheetFormatPr baseColWidth="10" defaultColWidth="14.5" defaultRowHeight="13" x14ac:dyDescent="0.15"/>
  <cols>
    <col min="1" max="1" width="17.33203125" style="27" customWidth="1"/>
    <col min="2" max="2" width="17" style="27" customWidth="1"/>
    <col min="3" max="3" width="15" style="27" customWidth="1"/>
    <col min="4" max="4" width="15.6640625" style="27" customWidth="1"/>
    <col min="5" max="5" width="14.1640625" style="27" customWidth="1"/>
    <col min="6" max="6" width="15.1640625" style="27" customWidth="1"/>
    <col min="7" max="7" width="20.6640625" style="27" customWidth="1"/>
    <col min="8" max="8" width="27" style="27" customWidth="1"/>
    <col min="9" max="9" width="17.6640625" style="27" customWidth="1"/>
    <col min="10" max="10" width="10.33203125" style="27" customWidth="1"/>
    <col min="11" max="99" width="17.33203125" style="27" customWidth="1"/>
    <col min="100" max="100" width="17.6640625" style="27" customWidth="1"/>
    <col min="101" max="104" width="17.33203125" style="27" customWidth="1"/>
    <col min="105" max="105" width="36.5" style="27" customWidth="1"/>
    <col min="106" max="106" width="17.33203125" style="27" customWidth="1"/>
    <col min="107" max="107" width="42.6640625" style="27" customWidth="1"/>
  </cols>
  <sheetData>
    <row r="1" spans="1:14" x14ac:dyDescent="0.15">
      <c r="C1" s="17" t="s">
        <v>881</v>
      </c>
      <c r="D1" s="17" t="s">
        <v>881</v>
      </c>
    </row>
    <row r="2" spans="1:14" ht="30.75" customHeight="1" x14ac:dyDescent="0.15">
      <c r="A2" s="4" t="s">
        <v>3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/>
      <c r="J2" s="4" t="s">
        <v>2</v>
      </c>
      <c r="K2" s="4" t="s">
        <v>16</v>
      </c>
      <c r="L2" s="4" t="s">
        <v>70</v>
      </c>
      <c r="M2" s="10" t="s">
        <v>125</v>
      </c>
      <c r="N2" s="7" t="s">
        <v>44</v>
      </c>
    </row>
    <row r="3" spans="1:14" ht="15" customHeight="1" x14ac:dyDescent="0.15">
      <c r="A3" s="11" t="s">
        <v>139</v>
      </c>
      <c r="B3" s="11" t="s">
        <v>441</v>
      </c>
      <c r="C3" s="11">
        <v>28.213999999999999</v>
      </c>
      <c r="D3" s="11">
        <v>-82.846999999999994</v>
      </c>
      <c r="E3" s="11">
        <v>28.187999999999999</v>
      </c>
      <c r="F3" s="11">
        <v>-82.850999999999999</v>
      </c>
      <c r="G3" s="11" t="s">
        <v>143</v>
      </c>
      <c r="H3" s="11" t="s">
        <v>144</v>
      </c>
      <c r="J3" s="20">
        <v>41313</v>
      </c>
      <c r="K3" s="21">
        <v>0.41666666666666669</v>
      </c>
      <c r="L3" s="11">
        <v>8</v>
      </c>
      <c r="M3" s="19">
        <f>SUM(L9:DA9)</f>
        <v>14</v>
      </c>
    </row>
    <row r="4" spans="1:14" ht="15" customHeight="1" x14ac:dyDescent="0.15">
      <c r="A4" s="9" t="s">
        <v>149</v>
      </c>
      <c r="B4" s="9" t="s">
        <v>442</v>
      </c>
      <c r="C4" s="9">
        <v>28.156400000000001</v>
      </c>
      <c r="D4" s="9">
        <v>-82.8369</v>
      </c>
      <c r="E4" s="9">
        <v>28.187999999999999</v>
      </c>
      <c r="F4" s="9">
        <v>-82.850999999999999</v>
      </c>
      <c r="G4" s="9" t="s">
        <v>151</v>
      </c>
      <c r="H4" s="9" t="s">
        <v>152</v>
      </c>
      <c r="I4" s="9"/>
      <c r="J4" s="8">
        <v>41313</v>
      </c>
      <c r="K4" s="18">
        <v>0.3888888888888889</v>
      </c>
      <c r="L4" s="11">
        <v>46</v>
      </c>
      <c r="M4" s="19">
        <f>SUM(L10:DA10)</f>
        <v>6</v>
      </c>
      <c r="N4" s="9"/>
    </row>
    <row r="5" spans="1:14" ht="15" customHeight="1" x14ac:dyDescent="0.15">
      <c r="A5" s="11" t="s">
        <v>153</v>
      </c>
      <c r="B5" s="11" t="s">
        <v>460</v>
      </c>
      <c r="C5" s="11">
        <v>25.9481</v>
      </c>
      <c r="D5" s="11">
        <v>-81.743819999999999</v>
      </c>
      <c r="E5" s="11">
        <v>25.966975000000001</v>
      </c>
      <c r="F5" s="11">
        <v>-81.744856999999996</v>
      </c>
      <c r="G5" s="11" t="s">
        <v>461</v>
      </c>
      <c r="H5" s="11" t="s">
        <v>462</v>
      </c>
      <c r="J5" s="20">
        <v>41306</v>
      </c>
      <c r="K5" s="21">
        <v>0.44791666666666669</v>
      </c>
      <c r="L5" s="11">
        <v>5</v>
      </c>
      <c r="M5" s="19">
        <f>SUM(L14:DA14)</f>
        <v>23</v>
      </c>
    </row>
    <row r="6" spans="1:14" ht="28.5" customHeight="1" x14ac:dyDescent="0.15">
      <c r="A6" s="9" t="s">
        <v>478</v>
      </c>
      <c r="B6" s="9" t="s">
        <v>442</v>
      </c>
      <c r="C6" s="9">
        <v>28.03154</v>
      </c>
      <c r="D6" s="9">
        <v>-82.822819999999993</v>
      </c>
      <c r="E6" s="9">
        <v>28.05189</v>
      </c>
      <c r="F6" s="9">
        <v>-82.815910000000002</v>
      </c>
      <c r="G6" s="9" t="s">
        <v>479</v>
      </c>
      <c r="H6" s="9" t="s">
        <v>480</v>
      </c>
      <c r="I6" s="9"/>
      <c r="J6" s="8">
        <v>41314</v>
      </c>
      <c r="K6" s="16" t="s">
        <v>481</v>
      </c>
      <c r="L6" s="11">
        <v>9</v>
      </c>
      <c r="M6" s="19">
        <f>SUM(L18:DA18)</f>
        <v>29</v>
      </c>
    </row>
    <row r="7" spans="1:14" ht="42.75" customHeight="1" x14ac:dyDescent="0.15">
      <c r="A7" s="9" t="s">
        <v>499</v>
      </c>
      <c r="B7" s="9" t="s">
        <v>494</v>
      </c>
      <c r="C7" s="9">
        <v>26.684349999999998</v>
      </c>
      <c r="D7" s="9">
        <v>-82.261420000000001</v>
      </c>
      <c r="E7" s="9">
        <v>26.669090000000001</v>
      </c>
      <c r="F7" s="9">
        <v>-82.25515</v>
      </c>
      <c r="G7" s="9" t="s">
        <v>495</v>
      </c>
      <c r="H7" s="9" t="s">
        <v>496</v>
      </c>
      <c r="I7" s="9"/>
      <c r="J7" s="8">
        <v>41313</v>
      </c>
      <c r="K7" s="18">
        <v>0.39583333333333331</v>
      </c>
      <c r="L7" s="11">
        <v>1</v>
      </c>
      <c r="M7" s="19">
        <f>SUM(L22:DA22)</f>
        <v>0</v>
      </c>
      <c r="N7" s="9" t="s">
        <v>501</v>
      </c>
    </row>
    <row r="8" spans="1:14" ht="60" customHeight="1" x14ac:dyDescent="0.15">
      <c r="A8" s="22" t="s">
        <v>538</v>
      </c>
      <c r="B8" s="22" t="s">
        <v>442</v>
      </c>
      <c r="C8" s="22">
        <v>27.631007</v>
      </c>
      <c r="D8" s="22" t="s">
        <v>539</v>
      </c>
      <c r="E8" s="22">
        <v>27.645883000000001</v>
      </c>
      <c r="F8" s="22">
        <v>-82.740690000000001</v>
      </c>
      <c r="G8" s="22" t="s">
        <v>540</v>
      </c>
      <c r="H8" s="22" t="s">
        <v>541</v>
      </c>
      <c r="I8" s="22"/>
      <c r="J8" s="23">
        <v>41315</v>
      </c>
      <c r="K8" s="24">
        <v>0.41666666666666669</v>
      </c>
      <c r="L8" s="22">
        <v>1</v>
      </c>
      <c r="M8" s="25">
        <f>SUM(L31:DA31)</f>
        <v>0</v>
      </c>
      <c r="N8" s="22"/>
    </row>
    <row r="9" spans="1:14" ht="28" customHeight="1" x14ac:dyDescent="0.15">
      <c r="A9" s="11" t="s">
        <v>589</v>
      </c>
      <c r="B9" s="11" t="s">
        <v>442</v>
      </c>
      <c r="C9" s="11">
        <v>28.06288</v>
      </c>
      <c r="D9" s="11">
        <v>-82.831500000000005</v>
      </c>
      <c r="E9" s="11">
        <v>28.097899999999999</v>
      </c>
      <c r="F9" s="11">
        <v>-82.835400000000007</v>
      </c>
      <c r="G9" s="11" t="s">
        <v>590</v>
      </c>
      <c r="H9" s="11" t="s">
        <v>144</v>
      </c>
      <c r="J9" s="20">
        <v>41315</v>
      </c>
      <c r="K9" s="21">
        <v>0.41666666666666669</v>
      </c>
      <c r="L9" s="11">
        <v>14</v>
      </c>
      <c r="M9" s="19">
        <f>SUM(L42:DA42)</f>
        <v>0</v>
      </c>
    </row>
    <row r="10" spans="1:14" ht="28" customHeight="1" x14ac:dyDescent="0.15">
      <c r="A10" s="9" t="s">
        <v>592</v>
      </c>
      <c r="B10" s="9" t="s">
        <v>593</v>
      </c>
      <c r="C10" s="9">
        <v>30.407041</v>
      </c>
      <c r="D10" s="9">
        <v>-81.411541</v>
      </c>
      <c r="E10" s="11">
        <v>28.097899999999999</v>
      </c>
      <c r="F10" s="9" t="s">
        <v>595</v>
      </c>
      <c r="G10" s="9" t="s">
        <v>596</v>
      </c>
      <c r="H10" s="9" t="s">
        <v>597</v>
      </c>
      <c r="I10" s="9"/>
      <c r="J10" s="8">
        <v>41307</v>
      </c>
      <c r="K10" s="18">
        <v>0.28819444444444442</v>
      </c>
      <c r="L10" s="9">
        <v>6</v>
      </c>
      <c r="M10" s="19">
        <f>SUM(L44:DA44)</f>
        <v>0</v>
      </c>
      <c r="N10" s="9"/>
    </row>
    <row r="11" spans="1:14" ht="28.5" customHeight="1" x14ac:dyDescent="0.15">
      <c r="A11" s="9" t="s">
        <v>707</v>
      </c>
      <c r="B11" s="9" t="s">
        <v>442</v>
      </c>
      <c r="C11" s="9">
        <v>27.78886</v>
      </c>
      <c r="D11" s="9">
        <v>82.636420000000001</v>
      </c>
      <c r="E11" s="9">
        <v>27.632809999999999</v>
      </c>
      <c r="F11" s="9">
        <v>82.740859999999998</v>
      </c>
      <c r="G11" s="9" t="s">
        <v>262</v>
      </c>
      <c r="H11" s="9" t="s">
        <v>238</v>
      </c>
      <c r="I11" s="9"/>
      <c r="J11" s="8">
        <v>41311</v>
      </c>
      <c r="K11" s="18">
        <v>0.35625000000000001</v>
      </c>
      <c r="L11" s="9">
        <v>1</v>
      </c>
      <c r="M11" s="19">
        <f>SUM(L76:DA76)</f>
        <v>0</v>
      </c>
    </row>
    <row r="12" spans="1:14" ht="26.25" customHeight="1" x14ac:dyDescent="0.15">
      <c r="A12" s="11" t="s">
        <v>744</v>
      </c>
      <c r="B12" s="11" t="s">
        <v>484</v>
      </c>
      <c r="C12" s="11">
        <v>29.066860999999999</v>
      </c>
      <c r="D12" s="11">
        <v>-80.926130000000001</v>
      </c>
      <c r="E12" s="11">
        <v>29.075074999999998</v>
      </c>
      <c r="F12" s="11">
        <v>-80.932095000000004</v>
      </c>
      <c r="G12" s="11" t="s">
        <v>295</v>
      </c>
      <c r="H12" s="11" t="s">
        <v>296</v>
      </c>
      <c r="J12" s="20">
        <v>41313</v>
      </c>
      <c r="K12" s="11">
        <v>945</v>
      </c>
      <c r="L12" s="11">
        <v>10</v>
      </c>
      <c r="M12" s="19">
        <f>SUM(L83:DA83)</f>
        <v>0</v>
      </c>
    </row>
    <row r="13" spans="1:14" ht="42.75" customHeight="1" x14ac:dyDescent="0.15">
      <c r="A13" s="9" t="s">
        <v>762</v>
      </c>
      <c r="B13" s="9" t="s">
        <v>441</v>
      </c>
      <c r="C13" s="9">
        <v>28.2348</v>
      </c>
      <c r="D13" s="9">
        <v>-82.836699999999993</v>
      </c>
      <c r="E13" s="9">
        <v>28.225300000000001</v>
      </c>
      <c r="F13" s="9">
        <v>-82.840800000000002</v>
      </c>
      <c r="G13" s="9" t="s">
        <v>763</v>
      </c>
      <c r="H13" s="9" t="s">
        <v>269</v>
      </c>
      <c r="I13" s="9"/>
      <c r="J13" s="8">
        <v>41313</v>
      </c>
      <c r="K13" s="18">
        <v>0.34027777777777779</v>
      </c>
      <c r="L13" s="11">
        <v>16</v>
      </c>
      <c r="M13" s="19">
        <f>SUM(L88:DA88)</f>
        <v>0</v>
      </c>
      <c r="N13" s="9"/>
    </row>
    <row r="14" spans="1:14" ht="28" customHeight="1" x14ac:dyDescent="0.15">
      <c r="A14" s="9" t="s">
        <v>792</v>
      </c>
      <c r="B14" s="9" t="s">
        <v>442</v>
      </c>
      <c r="C14" s="15">
        <v>27.674976999999998</v>
      </c>
      <c r="D14" s="15">
        <v>-82.732201000000003</v>
      </c>
      <c r="E14" s="15">
        <v>27.664373000000001</v>
      </c>
      <c r="F14" s="15">
        <v>-82.744817999999995</v>
      </c>
      <c r="G14" s="9" t="s">
        <v>793</v>
      </c>
      <c r="H14" s="9" t="s">
        <v>794</v>
      </c>
      <c r="I14" s="9"/>
      <c r="J14" s="8">
        <v>41308</v>
      </c>
      <c r="K14" s="18">
        <v>0.375</v>
      </c>
      <c r="L14" s="9">
        <v>23</v>
      </c>
      <c r="M14" s="19">
        <f>SUM(L99:DA99)</f>
        <v>0</v>
      </c>
      <c r="N14" s="9" t="s">
        <v>796</v>
      </c>
    </row>
    <row r="15" spans="1:14" ht="42.75" customHeight="1" x14ac:dyDescent="0.15">
      <c r="A15" s="9" t="s">
        <v>806</v>
      </c>
      <c r="B15" s="9" t="s">
        <v>484</v>
      </c>
      <c r="C15" s="9">
        <v>29.093895</v>
      </c>
      <c r="D15" s="9">
        <v>-80949496</v>
      </c>
      <c r="E15" s="9">
        <v>28.921737</v>
      </c>
      <c r="F15" s="9">
        <v>-80.825289999999995</v>
      </c>
      <c r="G15" s="9" t="s">
        <v>807</v>
      </c>
      <c r="H15" s="9" t="s">
        <v>375</v>
      </c>
      <c r="I15" s="9"/>
      <c r="J15" s="8">
        <v>41313</v>
      </c>
      <c r="K15" s="18">
        <v>0.33333333333333331</v>
      </c>
      <c r="L15" s="11">
        <v>15</v>
      </c>
      <c r="M15" s="19">
        <f>SUM(L106:DA106)</f>
        <v>0</v>
      </c>
    </row>
    <row r="16" spans="1:14" ht="27.75" customHeight="1" x14ac:dyDescent="0.15">
      <c r="A16" s="9" t="s">
        <v>817</v>
      </c>
      <c r="B16" s="9" t="s">
        <v>442</v>
      </c>
      <c r="C16" s="9">
        <v>28.109649999999998</v>
      </c>
      <c r="D16" s="9">
        <v>-82.834959999999995</v>
      </c>
      <c r="E16" s="9">
        <v>28.112279999999998</v>
      </c>
      <c r="F16" s="9">
        <v>-82.839010000000002</v>
      </c>
      <c r="G16" s="9" t="s">
        <v>818</v>
      </c>
      <c r="H16" s="9" t="s">
        <v>480</v>
      </c>
      <c r="I16" s="9"/>
      <c r="J16" s="8">
        <v>41313</v>
      </c>
      <c r="K16" s="16" t="s">
        <v>819</v>
      </c>
      <c r="L16" s="11">
        <v>1</v>
      </c>
      <c r="M16" s="19">
        <f>SUM(L111:DA111)</f>
        <v>0</v>
      </c>
      <c r="N16" s="11" t="s">
        <v>822</v>
      </c>
    </row>
    <row r="17" spans="1:14" ht="28" customHeight="1" x14ac:dyDescent="0.15">
      <c r="A17" s="9" t="s">
        <v>823</v>
      </c>
      <c r="B17" s="9" t="s">
        <v>442</v>
      </c>
      <c r="C17" s="9">
        <v>28.652999999999999</v>
      </c>
      <c r="D17" s="9">
        <v>-82.494500000000002</v>
      </c>
      <c r="E17" s="9">
        <v>28.74</v>
      </c>
      <c r="F17" s="9">
        <v>-82.507999999999996</v>
      </c>
      <c r="G17" s="9" t="s">
        <v>824</v>
      </c>
      <c r="H17" s="9" t="s">
        <v>825</v>
      </c>
      <c r="I17" s="9"/>
      <c r="J17" s="8">
        <v>41313</v>
      </c>
      <c r="K17" s="18">
        <v>0.39583333333333331</v>
      </c>
      <c r="L17" s="11">
        <v>75</v>
      </c>
      <c r="M17" s="19">
        <f>SUM(L112:DA112)</f>
        <v>0</v>
      </c>
    </row>
    <row r="18" spans="1:14" ht="28" customHeight="1" x14ac:dyDescent="0.15">
      <c r="A18" s="9" t="s">
        <v>823</v>
      </c>
      <c r="B18" s="9" t="s">
        <v>442</v>
      </c>
      <c r="C18" s="9">
        <v>28.652999999999999</v>
      </c>
      <c r="D18" s="9">
        <v>-82.494500000000002</v>
      </c>
      <c r="E18" s="9">
        <v>28.74</v>
      </c>
      <c r="F18" s="9">
        <v>-82.507999999999996</v>
      </c>
      <c r="G18" s="9" t="s">
        <v>827</v>
      </c>
      <c r="H18" s="9" t="s">
        <v>828</v>
      </c>
      <c r="I18" s="9"/>
      <c r="J18" s="8">
        <v>41317</v>
      </c>
      <c r="K18" s="18">
        <v>0.5</v>
      </c>
      <c r="L18" s="11">
        <v>29</v>
      </c>
      <c r="M18" s="19"/>
    </row>
    <row r="19" spans="1:14" ht="42" customHeight="1" x14ac:dyDescent="0.15">
      <c r="A19" s="9" t="s">
        <v>829</v>
      </c>
      <c r="B19" s="9" t="s">
        <v>442</v>
      </c>
      <c r="C19" s="9">
        <v>28.128039999999999</v>
      </c>
      <c r="D19" s="9">
        <v>-82.834010000000006</v>
      </c>
      <c r="E19" s="9">
        <v>28.12988</v>
      </c>
      <c r="F19" s="9">
        <v>-82.831990000000005</v>
      </c>
      <c r="G19" s="9" t="s">
        <v>830</v>
      </c>
      <c r="H19" s="9" t="s">
        <v>831</v>
      </c>
      <c r="I19" s="9"/>
      <c r="J19" s="8">
        <v>41313</v>
      </c>
      <c r="K19" s="18">
        <v>0.39930555555555558</v>
      </c>
      <c r="L19" s="9">
        <v>4</v>
      </c>
      <c r="M19" s="19">
        <f>SUM(L114:DA114)</f>
        <v>0</v>
      </c>
      <c r="N19" s="9" t="s">
        <v>833</v>
      </c>
    </row>
    <row r="20" spans="1:14" ht="42" customHeight="1" x14ac:dyDescent="0.15"/>
    <row r="21" spans="1:14" ht="42" customHeight="1" x14ac:dyDescent="0.15"/>
    <row r="22" spans="1:14" ht="1.5" customHeight="1" x14ac:dyDescent="0.15"/>
    <row r="23" spans="1:14" ht="42" customHeight="1" x14ac:dyDescent="0.15"/>
    <row r="24" spans="1:14" ht="42" customHeight="1" x14ac:dyDescent="0.15"/>
    <row r="25" spans="1:14" ht="14" customHeight="1" x14ac:dyDescent="0.15"/>
    <row r="26" spans="1:14" ht="28" customHeight="1" x14ac:dyDescent="0.15"/>
    <row r="27" spans="1:14" ht="14" customHeight="1" x14ac:dyDescent="0.15"/>
    <row r="28" spans="1:14" ht="57" customHeight="1" x14ac:dyDescent="0.15"/>
    <row r="29" spans="1:14" ht="36.75" customHeight="1" x14ac:dyDescent="0.15"/>
    <row r="30" spans="1:14" ht="30.75" customHeight="1" x14ac:dyDescent="0.15"/>
    <row r="31" spans="1:14" ht="28" customHeight="1" x14ac:dyDescent="0.15"/>
    <row r="32" spans="1:14" ht="42.75" customHeight="1" x14ac:dyDescent="0.15"/>
    <row r="33" ht="42.75" customHeight="1" x14ac:dyDescent="0.15"/>
    <row r="34" ht="1.5" customHeight="1" x14ac:dyDescent="0.15"/>
    <row r="35" ht="14" customHeight="1" x14ac:dyDescent="0.15"/>
    <row r="36" ht="28" customHeight="1" x14ac:dyDescent="0.15"/>
    <row r="37" ht="16.5" customHeight="1" x14ac:dyDescent="0.15"/>
    <row r="38" ht="32.25" customHeight="1" x14ac:dyDescent="0.15"/>
    <row r="39" ht="28" customHeight="1" x14ac:dyDescent="0.15"/>
    <row r="40" ht="28" customHeight="1" x14ac:dyDescent="0.15"/>
    <row r="41" ht="42" customHeight="1" x14ac:dyDescent="0.15"/>
    <row r="42" ht="28" customHeight="1" x14ac:dyDescent="0.15"/>
    <row r="43" ht="28" customHeight="1" x14ac:dyDescent="0.15"/>
    <row r="44" ht="57" customHeight="1" x14ac:dyDescent="0.15"/>
    <row r="45" ht="28" customHeight="1" x14ac:dyDescent="0.15"/>
    <row r="46" ht="70" customHeight="1" x14ac:dyDescent="0.15"/>
    <row r="47" ht="56" customHeight="1" x14ac:dyDescent="0.15"/>
    <row r="48" ht="42" customHeight="1" x14ac:dyDescent="0.15"/>
    <row r="49" ht="42" customHeight="1" x14ac:dyDescent="0.15"/>
    <row r="50" ht="28.5" customHeight="1" x14ac:dyDescent="0.15"/>
    <row r="51" ht="4.5" customHeight="1" x14ac:dyDescent="0.15"/>
    <row r="52" ht="28.5" customHeight="1" x14ac:dyDescent="0.15"/>
    <row r="53" ht="56" customHeight="1" x14ac:dyDescent="0.15"/>
    <row r="54" ht="20.25" customHeight="1" x14ac:dyDescent="0.15"/>
    <row r="55" ht="28" customHeight="1" x14ac:dyDescent="0.15"/>
    <row r="56" ht="28" customHeight="1" x14ac:dyDescent="0.15"/>
    <row r="57" ht="37.5" customHeight="1" x14ac:dyDescent="0.15"/>
    <row r="58" ht="15" customHeight="1" x14ac:dyDescent="0.15"/>
    <row r="59" ht="28" customHeight="1" x14ac:dyDescent="0.15"/>
    <row r="60" ht="28.5" customHeight="1" x14ac:dyDescent="0.15"/>
    <row r="61" ht="42" customHeight="1" x14ac:dyDescent="0.15"/>
    <row r="62" ht="57" customHeight="1" x14ac:dyDescent="0.15"/>
    <row r="63" ht="42" customHeight="1" x14ac:dyDescent="0.15"/>
    <row r="64" ht="28" customHeight="1" x14ac:dyDescent="0.15"/>
    <row r="65" ht="28" customHeight="1" x14ac:dyDescent="0.15"/>
    <row r="66" ht="42.75" customHeight="1" x14ac:dyDescent="0.15"/>
    <row r="67" ht="84" customHeight="1" x14ac:dyDescent="0.15"/>
    <row r="68" ht="70" customHeight="1" x14ac:dyDescent="0.15"/>
    <row r="69" ht="56" customHeight="1" x14ac:dyDescent="0.15"/>
    <row r="70" ht="70" customHeight="1" x14ac:dyDescent="0.15"/>
    <row r="71" ht="56" customHeight="1" x14ac:dyDescent="0.15"/>
    <row r="72" ht="56" customHeight="1" x14ac:dyDescent="0.15"/>
    <row r="73" ht="56" customHeight="1" x14ac:dyDescent="0.15"/>
    <row r="74" ht="71.25" customHeight="1" x14ac:dyDescent="0.15"/>
    <row r="75" ht="42.75" customHeight="1" x14ac:dyDescent="0.15"/>
    <row r="76" ht="28.5" customHeight="1" x14ac:dyDescent="0.15"/>
    <row r="77" ht="28.5" customHeight="1" x14ac:dyDescent="0.15"/>
    <row r="78" ht="28" customHeight="1" x14ac:dyDescent="0.15"/>
    <row r="79" ht="57" customHeight="1" x14ac:dyDescent="0.15"/>
    <row r="80" ht="42.75" customHeight="1" x14ac:dyDescent="0.15"/>
    <row r="81" ht="28.5" customHeight="1" x14ac:dyDescent="0.15"/>
    <row r="82" ht="42" customHeight="1" x14ac:dyDescent="0.15"/>
    <row r="83" ht="42" customHeight="1" x14ac:dyDescent="0.15"/>
    <row r="84" ht="42.75" customHeight="1" x14ac:dyDescent="0.15"/>
    <row r="85" ht="57" customHeight="1" x14ac:dyDescent="0.15"/>
    <row r="86" ht="36.75" customHeight="1" x14ac:dyDescent="0.15"/>
    <row r="87" ht="56" customHeight="1" x14ac:dyDescent="0.15"/>
    <row r="88" ht="28" customHeight="1" x14ac:dyDescent="0.15"/>
    <row r="89" ht="114" customHeight="1" x14ac:dyDescent="0.15"/>
    <row r="90" ht="57" customHeight="1" x14ac:dyDescent="0.15"/>
    <row r="91" ht="28" customHeight="1" x14ac:dyDescent="0.15"/>
    <row r="92" ht="42" customHeight="1" x14ac:dyDescent="0.15"/>
    <row r="93" ht="42" customHeight="1" x14ac:dyDescent="0.15"/>
    <row r="94" ht="32.25" customHeight="1" x14ac:dyDescent="0.15"/>
    <row r="95" ht="99.75" customHeight="1" x14ac:dyDescent="0.15"/>
    <row r="96" ht="52.5" customHeight="1" x14ac:dyDescent="0.15"/>
    <row r="97" ht="27.75" customHeight="1" x14ac:dyDescent="0.15"/>
    <row r="98" ht="14" customHeight="1" x14ac:dyDescent="0.15"/>
    <row r="99" ht="42" customHeight="1" x14ac:dyDescent="0.15"/>
    <row r="100" ht="98" customHeight="1" x14ac:dyDescent="0.15"/>
    <row r="101" ht="27.75" customHeight="1" x14ac:dyDescent="0.15"/>
    <row r="102" ht="28.5" customHeight="1" x14ac:dyDescent="0.15"/>
    <row r="103" ht="42" customHeight="1" x14ac:dyDescent="0.15"/>
    <row r="104" ht="70" customHeight="1" x14ac:dyDescent="0.15"/>
    <row r="105" ht="56" customHeight="1" x14ac:dyDescent="0.15"/>
    <row r="106" ht="168" customHeight="1" x14ac:dyDescent="0.15"/>
    <row r="107" ht="52.5" customHeight="1" x14ac:dyDescent="0.15"/>
    <row r="108" ht="14" customHeight="1" x14ac:dyDescent="0.15"/>
    <row r="109" ht="16.5" customHeight="1" x14ac:dyDescent="0.15"/>
    <row r="110" ht="42" customHeight="1" x14ac:dyDescent="0.15"/>
    <row r="111" ht="28" customHeight="1" x14ac:dyDescent="0.15"/>
    <row r="112" ht="57" customHeight="1" x14ac:dyDescent="0.15"/>
    <row r="113" ht="28" customHeight="1" x14ac:dyDescent="0.15"/>
    <row r="114" ht="56" customHeight="1" x14ac:dyDescent="0.15"/>
    <row r="115" ht="28" customHeight="1" x14ac:dyDescent="0.15"/>
    <row r="116" ht="42" customHeight="1" x14ac:dyDescent="0.15"/>
    <row r="117" ht="15" customHeight="1" x14ac:dyDescent="0.15"/>
    <row r="118" ht="42" customHeight="1" x14ac:dyDescent="0.15"/>
    <row r="119" ht="43.5" customHeight="1" x14ac:dyDescent="0.15"/>
    <row r="120" ht="24" customHeight="1" x14ac:dyDescent="0.15"/>
    <row r="121" ht="24" customHeight="1" x14ac:dyDescent="0.15"/>
    <row r="122" ht="28" customHeight="1" x14ac:dyDescent="0.15"/>
    <row r="123" ht="16.5" customHeight="1" x14ac:dyDescent="0.15"/>
    <row r="124" ht="28" customHeight="1" x14ac:dyDescent="0.15"/>
    <row r="125" ht="42" customHeight="1" x14ac:dyDescent="0.15"/>
    <row r="126" ht="28" customHeight="1" x14ac:dyDescent="0.15"/>
    <row r="127" ht="28" customHeight="1" x14ac:dyDescent="0.15"/>
    <row r="128" ht="28" customHeight="1" x14ac:dyDescent="0.15"/>
    <row r="129" ht="14" customHeight="1" x14ac:dyDescent="0.15"/>
    <row r="130" ht="14" customHeight="1" x14ac:dyDescent="0.15"/>
    <row r="131" ht="14" customHeight="1" x14ac:dyDescent="0.15"/>
    <row r="132" ht="14" customHeight="1" x14ac:dyDescent="0.15"/>
    <row r="133" ht="14" customHeight="1" x14ac:dyDescent="0.15"/>
    <row r="134" ht="14" customHeight="1" x14ac:dyDescent="0.15"/>
    <row r="135" ht="14" customHeight="1" x14ac:dyDescent="0.15"/>
    <row r="136" ht="14" customHeight="1" x14ac:dyDescent="0.15"/>
    <row r="137" ht="14" customHeight="1" x14ac:dyDescent="0.15"/>
    <row r="138" ht="14" customHeight="1" x14ac:dyDescent="0.15"/>
    <row r="139" ht="14" customHeight="1" x14ac:dyDescent="0.15"/>
    <row r="140" ht="14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Species GPS</vt:lpstr>
      <vt:lpstr>counts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Poudel</cp:lastModifiedBy>
  <dcterms:modified xsi:type="dcterms:W3CDTF">2026-03-03T19:28:50Z</dcterms:modified>
</cp:coreProperties>
</file>