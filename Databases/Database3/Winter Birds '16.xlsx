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3"/>
    <sheet state="visible" name="DATA SHEET 1" sheetId="2" r:id="rId4"/>
    <sheet state="visible" name="DATA SHEET 2" sheetId="3" r:id="rId5"/>
    <sheet state="visible" name="DATA SHEET 3" sheetId="4" r:id="rId6"/>
  </sheets>
  <definedNames/>
  <calcPr/>
</workbook>
</file>

<file path=xl/sharedStrings.xml><?xml version="1.0" encoding="utf-8"?>
<sst xmlns="http://schemas.openxmlformats.org/spreadsheetml/2006/main" count="10005" uniqueCount="2712">
  <si>
    <t>This is the database for the 2016 Florida Winter Shorebird Survey. Please read the following instructions carefully before entering data.</t>
  </si>
  <si>
    <t>1. Before you begin entering data, you must read the protocol  at:</t>
  </si>
  <si>
    <t>http://flshorebirdalliance.org/media/44013/2016_winter_shorebird_survey.pdf</t>
  </si>
  <si>
    <t>2. Click on the ʺtabsʺ shown on the bottom of the screen:</t>
  </si>
  <si>
    <t>    - Click on the "DATA SHEET 1" tab to report GPS locations for your route start and stop and GPS locations for flocks, focal species, and banded birds.</t>
  </si>
  <si>
    <t>    - Click on the "DATA SHEET 2" tab to enter species totals.</t>
  </si>
  <si>
    <t>    - Click on the "DATA SHEET 3" tab to report information on banded birds.</t>
  </si>
  <si>
    <t>:</t>
  </si>
  <si>
    <t>* If more than one person is entering data at the same time, move down a few rows and enter your data. You can tell if someone else is entering data if other viewers are listed on the top right of the screen.</t>
  </si>
  <si>
    <t>4. That's it! Google will automatically save what you type.</t>
  </si>
  <si>
    <t>QUESTIONS OR PROBLEMS? Please email billy_brooks@fws.gov.</t>
  </si>
  <si>
    <t>INSTRUCTIONS: On this tab, please report a GPS location for each group of 50 or more birds, banded birds, and focal species (Snowy Plover SNPL, Piping Plover PIPL, Wilson's Plover WIPL, Red Knot REKN, and American Oystercatcher AMOY). Please read column headings carefully. 
Put your totals for the entire survey route on the "DATA SHEET 2" tab and details about banded birds on "DATA SHEET 3."</t>
  </si>
  <si>
    <t>Date</t>
  </si>
  <si>
    <t>Observer(s)</t>
  </si>
  <si>
    <t>Lead Observer's phone &amp; email</t>
  </si>
  <si>
    <t>Route Name/ Description</t>
  </si>
  <si>
    <t>County</t>
  </si>
  <si>
    <t>Route Start (Latitude)</t>
  </si>
  <si>
    <t>Route Start (Longitude)</t>
  </si>
  <si>
    <t>Route End (Latitude)</t>
  </si>
  <si>
    <t>Route End (Longitude)</t>
  </si>
  <si>
    <t>Route Start &amp; End Times</t>
  </si>
  <si>
    <t>Weather Condition</t>
  </si>
  <si>
    <t>Group or Point #</t>
  </si>
  <si>
    <t>Group/Point Latitude</t>
  </si>
  <si>
    <t>Group/Point Longitude</t>
  </si>
  <si>
    <t>Species and number of individuals</t>
  </si>
  <si>
    <t>Comments</t>
  </si>
  <si>
    <t>Michael Cooper, John Stiner</t>
  </si>
  <si>
    <t>321.267.1110 michael_cooper@nps.gov</t>
  </si>
  <si>
    <t>Playalinda</t>
  </si>
  <si>
    <t>Brevard</t>
  </si>
  <si>
    <t>0730-1330</t>
  </si>
  <si>
    <t>Sunny</t>
  </si>
  <si>
    <t>28 39.634</t>
  </si>
  <si>
    <t>80 38.118</t>
  </si>
  <si>
    <t>Ringbilled Gull 4</t>
  </si>
  <si>
    <t>1 Banded</t>
  </si>
  <si>
    <t>28 40.134</t>
  </si>
  <si>
    <t>80 38.475</t>
  </si>
  <si>
    <t>Royal Tern 8</t>
  </si>
  <si>
    <t>Sandwich Tern 3</t>
  </si>
  <si>
    <t>3 Banded</t>
  </si>
  <si>
    <t>28 41.037</t>
  </si>
  <si>
    <t xml:space="preserve">80 39.164 </t>
  </si>
  <si>
    <t>Black Skimmer 5</t>
  </si>
  <si>
    <t>None Banded</t>
  </si>
  <si>
    <t>Sandwich Tern 6</t>
  </si>
  <si>
    <t>Royal Tern 45</t>
  </si>
  <si>
    <t>Ringbilled Gull 11</t>
  </si>
  <si>
    <t>Forsters Tern 4</t>
  </si>
  <si>
    <t>Laughing Gull 4</t>
  </si>
  <si>
    <t>Willet 1</t>
  </si>
  <si>
    <t>28 42.462</t>
  </si>
  <si>
    <t>80 40.282</t>
  </si>
  <si>
    <t>Ringbilled Gull 22</t>
  </si>
  <si>
    <t>Black Skimmer 4</t>
  </si>
  <si>
    <t>Royal Tern 120</t>
  </si>
  <si>
    <t> 08 31</t>
  </si>
  <si>
    <t>Forsters Tern 1</t>
  </si>
  <si>
    <t>28 42.715</t>
  </si>
  <si>
    <t>80 40.457</t>
  </si>
  <si>
    <t>Herring Gull 3</t>
  </si>
  <si>
    <t>Brown Pelican 6</t>
  </si>
  <si>
    <t>Royal Tern 60</t>
  </si>
  <si>
    <t xml:space="preserve"> </t>
  </si>
  <si>
    <t>Ringbilled Gull 8</t>
  </si>
  <si>
    <t>Ruddy turnstone 1</t>
  </si>
  <si>
    <t>Carol Rizkalla</t>
  </si>
  <si>
    <t>561-882-5712  carol.rizkalla@myfwc.com</t>
  </si>
  <si>
    <t>Big Marco Pass CWA</t>
  </si>
  <si>
    <t>Collier</t>
  </si>
  <si>
    <t>Laughing Gull 1</t>
  </si>
  <si>
    <t>28 43.025</t>
  </si>
  <si>
    <t>80 40.762</t>
  </si>
  <si>
    <t>Royal Tern 57</t>
  </si>
  <si>
    <t>Species</t>
  </si>
  <si>
    <t>Band/Flag Code</t>
  </si>
  <si>
    <t>Band/Flag Color</t>
  </si>
  <si>
    <t>Code Orientation</t>
  </si>
  <si>
    <t>Upper Left</t>
  </si>
  <si>
    <t>Lower Left</t>
  </si>
  <si>
    <t>Upper Right</t>
  </si>
  <si>
    <t>Lower Right</t>
  </si>
  <si>
    <t>Confirmed</t>
  </si>
  <si>
    <t>Ringbilled Gull 14</t>
  </si>
  <si>
    <t>Sanderling 1</t>
  </si>
  <si>
    <t>Ringbilled Gull</t>
  </si>
  <si>
    <t>S</t>
  </si>
  <si>
    <t>B</t>
  </si>
  <si>
    <t>Y</t>
  </si>
  <si>
    <t>Royal Tern</t>
  </si>
  <si>
    <t>Sandwich Tern</t>
  </si>
  <si>
    <t>Willet 6</t>
  </si>
  <si>
    <t>28 44.029</t>
  </si>
  <si>
    <t>80 41.553</t>
  </si>
  <si>
    <t>Wilsons Plover 1</t>
  </si>
  <si>
    <t>American Oystercatcher</t>
  </si>
  <si>
    <t>American Avocet</t>
  </si>
  <si>
    <t>Black-bellied Plover</t>
  </si>
  <si>
    <t>Dunlin</t>
  </si>
  <si>
    <t>28 44.275</t>
  </si>
  <si>
    <t>Greater Yellowlegs</t>
  </si>
  <si>
    <t>80 41.743</t>
  </si>
  <si>
    <t>Killdeer</t>
  </si>
  <si>
    <t>Least Sandpiper</t>
  </si>
  <si>
    <t>Lorraine Margeson</t>
  </si>
  <si>
    <t>Lesser Yellowlegs</t>
  </si>
  <si>
    <t>Long-billed Curlew</t>
  </si>
  <si>
    <t>727 415 4804 donlocomm@aol.com</t>
  </si>
  <si>
    <t>Long-billed Dowitcher</t>
  </si>
  <si>
    <t>Outback Key</t>
  </si>
  <si>
    <t>Marbled Godwit</t>
  </si>
  <si>
    <t>Pinellas</t>
  </si>
  <si>
    <t>Piping Plover</t>
  </si>
  <si>
    <t>PIPL</t>
  </si>
  <si>
    <t>Orange Flag</t>
  </si>
  <si>
    <t>Red Knot</t>
  </si>
  <si>
    <t>Ruddy Turnstone</t>
  </si>
  <si>
    <t>Sanderling</t>
  </si>
  <si>
    <t>Semi-palmated Plover</t>
  </si>
  <si>
    <t>Semi-palmated Sandpiper</t>
  </si>
  <si>
    <t>Short-billed Dowitcher</t>
  </si>
  <si>
    <t>Snowy Plover</t>
  </si>
  <si>
    <t>Spotted Sandpiper</t>
  </si>
  <si>
    <t>Western Sandpiper</t>
  </si>
  <si>
    <t>Whimbrel</t>
  </si>
  <si>
    <t>Willet</t>
  </si>
  <si>
    <t>Wilson's Plover</t>
  </si>
  <si>
    <t>Wilson's Snipe</t>
  </si>
  <si>
    <t>Black Skimmer</t>
  </si>
  <si>
    <t>Bonaparte's Gull</t>
  </si>
  <si>
    <t>Brown Booby</t>
  </si>
  <si>
    <t>Brown Pelican</t>
  </si>
  <si>
    <t>Caspian Tern</t>
  </si>
  <si>
    <t>Common Tern</t>
  </si>
  <si>
    <t>Double-crested Cormorant</t>
  </si>
  <si>
    <t>Forster's Tern</t>
  </si>
  <si>
    <t>Franklin's Gull</t>
  </si>
  <si>
    <t>Glaucous Gull</t>
  </si>
  <si>
    <t>Great Black-backed Gull</t>
  </si>
  <si>
    <t>Herring Gull</t>
  </si>
  <si>
    <t>Blue flag</t>
  </si>
  <si>
    <t>Laughing Gull</t>
  </si>
  <si>
    <t>Lesser Black-backed Gull</t>
  </si>
  <si>
    <t>Ring Billed Gull</t>
  </si>
  <si>
    <t>Vega Gull</t>
  </si>
  <si>
    <t>White Pelican</t>
  </si>
  <si>
    <t>Dowitcher sp (unknown)</t>
  </si>
  <si>
    <t>Dan Larremore</t>
  </si>
  <si>
    <t>Sandpiper sp (unknown)</t>
  </si>
  <si>
    <t>727 468-4205 daniel.larremore@dep.state.fl.us</t>
  </si>
  <si>
    <t>Yellowlegs sp. (unknown)</t>
  </si>
  <si>
    <t>Caladesi Island State Park</t>
  </si>
  <si>
    <t>Gull sp. (unknown)</t>
  </si>
  <si>
    <t>GRAND TOTAL</t>
  </si>
  <si>
    <t>Comments on survey (tide, etc.). (FYI: We are not collecting data on other species.  Feel free to enter your data into eBird)</t>
  </si>
  <si>
    <t>REKN</t>
  </si>
  <si>
    <t>unreadable</t>
  </si>
  <si>
    <t>FLg</t>
  </si>
  <si>
    <t>Photo available</t>
  </si>
  <si>
    <t>Barbara Eells</t>
  </si>
  <si>
    <t>647-8238 pelican@fairpoint.net</t>
  </si>
  <si>
    <t>Bonfire Beach</t>
  </si>
  <si>
    <t>Bay</t>
  </si>
  <si>
    <t>727 469-4205 daniel.larremore@dep.state.fl.us</t>
  </si>
  <si>
    <t>Anclote Key Preserve State Park, south route</t>
  </si>
  <si>
    <t>O</t>
  </si>
  <si>
    <t>9:00AM-10:00AM</t>
  </si>
  <si>
    <t>W</t>
  </si>
  <si>
    <t>Sun/low tide/rising/44F</t>
  </si>
  <si>
    <t>R</t>
  </si>
  <si>
    <t>28 44.766</t>
  </si>
  <si>
    <t>80 42.133</t>
  </si>
  <si>
    <t>Willet 7</t>
  </si>
  <si>
    <t>FLb</t>
  </si>
  <si>
    <t>Y/K</t>
  </si>
  <si>
    <t>Mexico Beach</t>
  </si>
  <si>
    <t>A/Y</t>
  </si>
  <si>
    <t>10:00AM-10:45AM</t>
  </si>
  <si>
    <t>Sun/low tide/44 F/ rising</t>
  </si>
  <si>
    <t>Janice Duquesnel</t>
  </si>
  <si>
    <t>305-684-0783 Janice.Duquesnel@dep.state.fl.us</t>
  </si>
  <si>
    <t>Bahia Honda State Park Oceanside</t>
  </si>
  <si>
    <t>Monroe</t>
  </si>
  <si>
    <t>two green and one yellow on left leg of one individual</t>
  </si>
  <si>
    <t>two green on upper left</t>
  </si>
  <si>
    <t>one yellow on lower left</t>
  </si>
  <si>
    <t>Joseph Scarola and Samantha Pessolano</t>
  </si>
  <si>
    <t>Kevin Christman</t>
  </si>
  <si>
    <t>Ringbilled Gull 34</t>
  </si>
  <si>
    <t>727-657-9739 Kevin.Christman@MyFWC.com</t>
  </si>
  <si>
    <r>
      <t xml:space="preserve">772)334-3729 </t>
    </r>
    <r>
      <rPr>
        <color rgb="FF1155CC"/>
      </rPr>
      <t>Joe@ecological-associates.com</t>
    </r>
  </si>
  <si>
    <t>S. Hutchinson Island Zones YM - JJ (County Line through Inlet)</t>
  </si>
  <si>
    <t>Crooked Island West/Tyndall Air Force Base NCO boardwalk east to end of peninsula</t>
  </si>
  <si>
    <t>Martin</t>
  </si>
  <si>
    <t>(UL: Metal Band, LL: Red Band: UR: Orange Band)</t>
  </si>
  <si>
    <t>(UL, LL:UR, LR) X,R:O,-</t>
  </si>
  <si>
    <t>X: Metal Band</t>
  </si>
  <si>
    <t>R: Red Band</t>
  </si>
  <si>
    <t>8:55am-13:00pm</t>
  </si>
  <si>
    <t>O: Orange Band</t>
  </si>
  <si>
    <t>Sunny with 0%CC, no precip., Low tide rising (Low -0.7ft High at 1.4ft, start of survey -0.6ft), Surf calm, wind 8-12mph</t>
  </si>
  <si>
    <t>-: No Band</t>
  </si>
  <si>
    <t>Greater Black Back Gull 1</t>
  </si>
  <si>
    <t>Photo Available</t>
  </si>
  <si>
    <t>Dan Larremore, Wilf Yusek</t>
  </si>
  <si>
    <t>Honeymoon Island State Park</t>
  </si>
  <si>
    <t>FO</t>
  </si>
  <si>
    <t>Lb/R</t>
  </si>
  <si>
    <t>Royal Tern 102</t>
  </si>
  <si>
    <t>Sunny with 0%CC, no precip., Low tide rising (Low -0.7ft High at 1.4ft, start of survey -0.6ft), Surf calm, wind 8-12mph. Route: BAEA 2, MERL 1, ATV 3, 9 people. Coyote track 3, opossum 1. Very low tide made for poor survey numbers. Very low numbers for all species.</t>
  </si>
  <si>
    <t>Wild Goose Lagoon / Tyndall Air Force Base</t>
  </si>
  <si>
    <t>Forsters Tern 2</t>
  </si>
  <si>
    <t>9:15am-12:50pm</t>
  </si>
  <si>
    <t>No precip. 0% CC, surf calm, wind 8-12mph, Tide Low rising (low at -0.7ft, high at 1.4ft, start at -0.6ft)</t>
  </si>
  <si>
    <t>Adrienne McCracken &amp; Rick Newman</t>
  </si>
  <si>
    <t>561-627-8280 amccracken@marinelife.org</t>
  </si>
  <si>
    <t>Juno Beach Pier to northern boundary of John D. MacArthur Beach State Park</t>
  </si>
  <si>
    <t>Sandwich Tern 1</t>
  </si>
  <si>
    <t>Palm Beach</t>
  </si>
  <si>
    <t>ROYT</t>
  </si>
  <si>
    <t>No precip. 0% CC, surf calm, wind 8-12mph, Tide Low rising (low at -0.7ft, high at 1.4ft, start at -0.6ft). Route: BAEA 1 (immature), raccoon tracks 4, People 4, boats 3.</t>
  </si>
  <si>
    <t>Kevin Christman, Nicole Kirkos</t>
  </si>
  <si>
    <t>Crooked Island East / Tyndall Air Force Base. Bonfire boundry to end of peninsula</t>
  </si>
  <si>
    <t>10:03am - 16:15pm</t>
  </si>
  <si>
    <t>Laughing Gull 2</t>
  </si>
  <si>
    <t>No precip. 45% CC, wind 4-7mph, surf calm, Low tide rising (Low at -0.8ft high at 1.4ft, start at -0.5ft)</t>
  </si>
  <si>
    <t>No precip. 45% CC, wind 4-7mph, surf calm, Low tide rising (Low at -0.8ft high at 1.4ft, start at -0.5ft). People 29, Dogs leashed 1, dog tracks 4, coyote tracks 3, COHA 1. Counts for focal species on the lower end of the average for this site - missing multiple banded regulars seen here on normal surveys.</t>
  </si>
  <si>
    <t>Janna Rinehart, Barbara Eells</t>
  </si>
  <si>
    <t>850-227-8224, rinehartjanna@gmail.com</t>
  </si>
  <si>
    <t>Indian Pass to Eglin AFB gate</t>
  </si>
  <si>
    <t>Gulf</t>
  </si>
  <si>
    <t>none</t>
  </si>
  <si>
    <t>no bands seen</t>
  </si>
  <si>
    <t>BRENDA BOSSMAN</t>
  </si>
  <si>
    <t>941-270-2961  brendab.consultant@gmail.com</t>
  </si>
  <si>
    <t>VEN BEACH NOURISHMENT</t>
  </si>
  <si>
    <t>Nicole Kirkos</t>
  </si>
  <si>
    <t>SARASOTA</t>
  </si>
  <si>
    <t>NONE</t>
  </si>
  <si>
    <t>Fort De Soto Park Bird Sanctuary</t>
  </si>
  <si>
    <t>27. 381403N</t>
  </si>
  <si>
    <t>973-222-0730, nkirkos@audubon.org</t>
  </si>
  <si>
    <t>Tyndall-Shell</t>
  </si>
  <si>
    <t>David Hopkins, Paul Ingham</t>
  </si>
  <si>
    <t>727-517-2423 dhop166@msn.com</t>
  </si>
  <si>
    <t>Sand Key Clearwater</t>
  </si>
  <si>
    <t>F B</t>
  </si>
  <si>
    <t>-</t>
  </si>
  <si>
    <t>F Lg</t>
  </si>
  <si>
    <t>y</t>
  </si>
  <si>
    <t>flags appear  faded. could not see code if present.</t>
  </si>
  <si>
    <t>Brenda Bossman</t>
  </si>
  <si>
    <t>941-270-2961 brendab.consultant@gmail.com</t>
  </si>
  <si>
    <t>Casperson Beach</t>
  </si>
  <si>
    <t>None</t>
  </si>
  <si>
    <t>9:01 - 4:25</t>
  </si>
  <si>
    <t>Knight Island</t>
  </si>
  <si>
    <t>Charlotte</t>
  </si>
  <si>
    <t>Bonnie Jenks    Wendy Meehan</t>
  </si>
  <si>
    <t>727-595-9284     sbjenks@hotmail.com</t>
  </si>
  <si>
    <t>Indian Shores</t>
  </si>
  <si>
    <t>50F, 12mphN, Sunny</t>
  </si>
  <si>
    <t>Stephen Mann, Jane Mann, Denise Lane, Robert Lane</t>
  </si>
  <si>
    <t>727-669-1641 stephenmann@tampabay.rr.com</t>
  </si>
  <si>
    <t>Courtney Campbell Causeway</t>
  </si>
  <si>
    <t>Pinellas and Hillsborough</t>
  </si>
  <si>
    <t>AMOY</t>
  </si>
  <si>
    <t>YAC</t>
  </si>
  <si>
    <t>T</t>
  </si>
  <si>
    <t>Y "YAC"</t>
  </si>
  <si>
    <t>two bands, black coded</t>
  </si>
  <si>
    <t>K</t>
  </si>
  <si>
    <t>V</t>
  </si>
  <si>
    <t>K "P4"</t>
  </si>
  <si>
    <t>K "K6"</t>
  </si>
  <si>
    <t>Photos show banded on both legs, left black band "P4" over silver, right black band "K6".</t>
  </si>
  <si>
    <t>Paula Muellner, Morgan Parks</t>
  </si>
  <si>
    <t>541-410-4493 pmuellner@audubon.org</t>
  </si>
  <si>
    <t>Deer Lake State Park</t>
  </si>
  <si>
    <t>Walton</t>
  </si>
  <si>
    <t>SNPL</t>
  </si>
  <si>
    <t>WR</t>
  </si>
  <si>
    <t xml:space="preserve">Female, Faded red bands on both legs. </t>
  </si>
  <si>
    <t>Grayton Beach State Park</t>
  </si>
  <si>
    <t>RK</t>
  </si>
  <si>
    <t>Female, resting inside the posted area near Western Lake Outfall</t>
  </si>
  <si>
    <t>GB</t>
  </si>
  <si>
    <t>Male, resting inside the posted area near Western Lake Outfall</t>
  </si>
  <si>
    <t>Perdido Key</t>
  </si>
  <si>
    <t>Escambia</t>
  </si>
  <si>
    <t>GG</t>
  </si>
  <si>
    <t>Kb</t>
  </si>
  <si>
    <t>Resting at the toe of the dune</t>
  </si>
  <si>
    <t>82.442710W</t>
  </si>
  <si>
    <t>27 380636N</t>
  </si>
  <si>
    <t>OO</t>
  </si>
  <si>
    <t>bO</t>
  </si>
  <si>
    <t>82.442282W</t>
  </si>
  <si>
    <t>10:00-11:00</t>
  </si>
  <si>
    <t>Heavy Fog</t>
  </si>
  <si>
    <t>RG</t>
  </si>
  <si>
    <t>27.381379N</t>
  </si>
  <si>
    <t>82.442629W</t>
  </si>
  <si>
    <t>AMOY2</t>
  </si>
  <si>
    <t>Female banded TO</t>
  </si>
  <si>
    <t>G</t>
  </si>
  <si>
    <t>GF</t>
  </si>
  <si>
    <t>photo available</t>
  </si>
  <si>
    <t>27.381465N</t>
  </si>
  <si>
    <t>H</t>
  </si>
  <si>
    <t>82.442700W</t>
  </si>
  <si>
    <t>YF</t>
  </si>
  <si>
    <t>ROYT 81</t>
  </si>
  <si>
    <t>RO</t>
  </si>
  <si>
    <t>WLB</t>
  </si>
  <si>
    <t>Elizabeth Golden, Scott Tedford, Miranda Cunningham</t>
  </si>
  <si>
    <t>305-361-8779 Elizabeth.Golden@dep.state.fl.us</t>
  </si>
  <si>
    <t>Bill Baggs Cape Florida State Park</t>
  </si>
  <si>
    <t>Miami-Dade</t>
  </si>
  <si>
    <t>BLSK 153</t>
  </si>
  <si>
    <t>Village of Key Biscayne</t>
  </si>
  <si>
    <t>Fort De Soto Bird Sanctuary</t>
  </si>
  <si>
    <t>Nicole Kirkos, Tyler Tomassone</t>
  </si>
  <si>
    <t>27.381101N</t>
  </si>
  <si>
    <t>82.442607W</t>
  </si>
  <si>
    <t>WIPL 10</t>
  </si>
  <si>
    <t>WG</t>
  </si>
  <si>
    <t>yes</t>
  </si>
  <si>
    <t>male</t>
  </si>
  <si>
    <t>Fort De Soto Park bird Sanctuary</t>
  </si>
  <si>
    <t>PIPL 2</t>
  </si>
  <si>
    <t>GR</t>
  </si>
  <si>
    <t>BK</t>
  </si>
  <si>
    <t>27.380732N</t>
  </si>
  <si>
    <t>Female</t>
  </si>
  <si>
    <t>82.442305W</t>
  </si>
  <si>
    <t>Low falling tide at survey start, calm surf with moderate winds; 2 sets of Coyote tracks and one person on an ATV</t>
  </si>
  <si>
    <t>DUNL 50</t>
  </si>
  <si>
    <t>Paula Muellner, Jennifer Manis, Morgan Parks</t>
  </si>
  <si>
    <t>Shell Island (St. Andrews State Park)</t>
  </si>
  <si>
    <t>Fort De Soto Park North Beach Lagoon</t>
  </si>
  <si>
    <t>K/W</t>
  </si>
  <si>
    <t>27.384290N</t>
  </si>
  <si>
    <t>0903-1503</t>
  </si>
  <si>
    <t>82.443058W</t>
  </si>
  <si>
    <t>44F, 0% clouds, no precip, low to moderate winds around 7mph N</t>
  </si>
  <si>
    <t>UpperLeft: BLACK OVER WHITE SPLIT BAND; Faded Orange or Yellow</t>
  </si>
  <si>
    <t>11:00-11:45</t>
  </si>
  <si>
    <t>WILL 95</t>
  </si>
  <si>
    <t>same</t>
  </si>
  <si>
    <t>MAGO 52</t>
  </si>
  <si>
    <t xml:space="preserve">Low tide, rising. Calm surf. 3 people observed on beach. </t>
  </si>
  <si>
    <t>OW</t>
  </si>
  <si>
    <t>Henderson State Park</t>
  </si>
  <si>
    <t>27.384544N</t>
  </si>
  <si>
    <t>82.445385W</t>
  </si>
  <si>
    <t>27.390427N</t>
  </si>
  <si>
    <t>0930-1130</t>
  </si>
  <si>
    <t>82.445852W</t>
  </si>
  <si>
    <t>50F, 15% clouds,no precip, Moderate winds ~12 mph(WNW) with gusts up to 18mph</t>
  </si>
  <si>
    <t>12:15-14:00</t>
  </si>
  <si>
    <t>27.390342N</t>
  </si>
  <si>
    <t>82.451027W</t>
  </si>
  <si>
    <t>OY</t>
  </si>
  <si>
    <t>BBPL 59</t>
  </si>
  <si>
    <t xml:space="preserve">Low tide rising, High surf. 37 people on beach. </t>
  </si>
  <si>
    <t>8L0</t>
  </si>
  <si>
    <t>Yellow</t>
  </si>
  <si>
    <t>Camp Helen State Park</t>
  </si>
  <si>
    <t>WK</t>
  </si>
  <si>
    <t>Yf</t>
  </si>
  <si>
    <t>PIPL 22</t>
  </si>
  <si>
    <t>1025-1230</t>
  </si>
  <si>
    <t>50F, 0% clouds, no precip, Low wind 6mph</t>
  </si>
  <si>
    <t>H67</t>
  </si>
  <si>
    <t>KY</t>
  </si>
  <si>
    <t>DUNL 72</t>
  </si>
  <si>
    <t>Mid tide rising, moderate surf. 21 People on the beach. 5 Racoon Tracks, 1 Opossum track, 3 Dog tracks.</t>
  </si>
  <si>
    <t>Green</t>
  </si>
  <si>
    <t>St. Andrews State Park</t>
  </si>
  <si>
    <t>Gf</t>
  </si>
  <si>
    <t>BO</t>
  </si>
  <si>
    <t>WB</t>
  </si>
  <si>
    <t>1300-1450</t>
  </si>
  <si>
    <t>58F, 0% clouds, no precip, low winds ~5mph</t>
  </si>
  <si>
    <t>WIPL 5</t>
  </si>
  <si>
    <t>Tom and Lindsay Bell</t>
  </si>
  <si>
    <t>727-871-1082 tandl1621@gmail.com</t>
  </si>
  <si>
    <t>Ft Desoto Park- east beach turnaround to Bay Pier</t>
  </si>
  <si>
    <t>8:00-9:30 AM</t>
  </si>
  <si>
    <t>Sunny/blustery</t>
  </si>
  <si>
    <t xml:space="preserve">High tide rising, moderate surf. 96 people observed on beach. 1 UTV on beach. 1 Raccoon track. </t>
  </si>
  <si>
    <t>Semi-palmated Plover 150;  Short-billed Dowitcher 40;  Black-bellied Plover 1; Ring-billed Gull 1</t>
  </si>
  <si>
    <t>Doug Sutherland</t>
  </si>
  <si>
    <t>302-249-4053, djaygator12@yahoo.com</t>
  </si>
  <si>
    <t>ACNWR BIC to SISP</t>
  </si>
  <si>
    <t>27 54.084</t>
  </si>
  <si>
    <t>80 28.200</t>
  </si>
  <si>
    <t>27 51.736</t>
  </si>
  <si>
    <t>80 26.843</t>
  </si>
  <si>
    <t>0748-0925</t>
  </si>
  <si>
    <t xml:space="preserve">Mostly cloudy w/occassional sun. Cool and very windy - approaching Gale force at times. </t>
  </si>
  <si>
    <t>Midtide, going out. Rough surf. Passed a total of 5 fishermen on beach. One unleashed dog. Lots of seabird activity but too far offshore to properly id. No 50+ concentrations of birds anywhere - just all along beach in smaller groups.</t>
  </si>
  <si>
    <t>b</t>
  </si>
  <si>
    <t>Missing "b" on lower right; faded "b"</t>
  </si>
  <si>
    <t>Ring-billed Gull 40; Laughing Gull 30</t>
  </si>
  <si>
    <t>Orange</t>
  </si>
  <si>
    <t>Of</t>
  </si>
  <si>
    <t>BB</t>
  </si>
  <si>
    <t>Richard Brust</t>
  </si>
  <si>
    <t>772-913-2900  richard.brust.ctr@us.af.mil</t>
  </si>
  <si>
    <t>Patrick Air Force Base</t>
  </si>
  <si>
    <t>0940-1022</t>
  </si>
  <si>
    <t>53F, WNW 17mph, clear</t>
  </si>
  <si>
    <t>Light Blue</t>
  </si>
  <si>
    <t>bf</t>
  </si>
  <si>
    <t>GY</t>
  </si>
  <si>
    <t>Faded Red band</t>
  </si>
  <si>
    <t>Richard Brust, Martha Carson, Rachel Mandel</t>
  </si>
  <si>
    <t>Cape Canaveral Air Force Station</t>
  </si>
  <si>
    <t>female</t>
  </si>
  <si>
    <t>1132-1439</t>
  </si>
  <si>
    <t>52F, WNW 13mph, clear</t>
  </si>
  <si>
    <t>Claire Herzog</t>
  </si>
  <si>
    <t>941-780-0545, ceherzog@gmail.com</t>
  </si>
  <si>
    <t>Siesta Beach, public beach to Point of Rocks</t>
  </si>
  <si>
    <t>Sarasota</t>
  </si>
  <si>
    <t>8:06 AM-9:24AM</t>
  </si>
  <si>
    <t>Cold, windy, sunny</t>
  </si>
  <si>
    <t>LAGU 55,HEGU 1, RBGU 4</t>
  </si>
  <si>
    <t>KB</t>
  </si>
  <si>
    <t xml:space="preserve">Jesse Frazier </t>
  </si>
  <si>
    <t>321-723-3556 nichole.perna@brevardcounty.us</t>
  </si>
  <si>
    <t>Archie Carr 3</t>
  </si>
  <si>
    <t xml:space="preserve">Brevard </t>
  </si>
  <si>
    <t>27 56 07.52</t>
  </si>
  <si>
    <t>80 29 22.12</t>
  </si>
  <si>
    <t>27 54 03.41</t>
  </si>
  <si>
    <t xml:space="preserve">80 28 11.20 </t>
  </si>
  <si>
    <t>2:00-4:00</t>
  </si>
  <si>
    <t>mild, sunny 65 degrees, 10 east, low tide</t>
  </si>
  <si>
    <t>GO</t>
  </si>
  <si>
    <t>HEGU 151, ROYT 31, RBGU 38, BLSK 3, LBBG 1, LAGU 86, FOTE 1, SATE1</t>
  </si>
  <si>
    <t>YG</t>
  </si>
  <si>
    <t>Holley Short</t>
  </si>
  <si>
    <t>352-455-8993, hshort@audubon.org</t>
  </si>
  <si>
    <t>Siesta Beach, public beach to north end</t>
  </si>
  <si>
    <t>WIPL</t>
  </si>
  <si>
    <t>YW</t>
  </si>
  <si>
    <t>8:40 - 9:15</t>
  </si>
  <si>
    <t>Mike Lee</t>
  </si>
  <si>
    <t>Archie Carr 2</t>
  </si>
  <si>
    <t>SNPL 1</t>
  </si>
  <si>
    <t>27 59 00.63</t>
  </si>
  <si>
    <t>80 30 56.63</t>
  </si>
  <si>
    <t>OG</t>
  </si>
  <si>
    <t>SNPL 2</t>
  </si>
  <si>
    <t>Meg Rousher</t>
  </si>
  <si>
    <t xml:space="preserve">Nichole Perna </t>
  </si>
  <si>
    <t>239-936-3350      megrousher@gmail.comA</t>
  </si>
  <si>
    <t xml:space="preserve">Archie Carr 1 </t>
  </si>
  <si>
    <t>Bunche Beach Preserve</t>
  </si>
  <si>
    <t>Lee</t>
  </si>
  <si>
    <t>28 02 17.23</t>
  </si>
  <si>
    <t>1 PIPL</t>
  </si>
  <si>
    <t>80 32 36.18</t>
  </si>
  <si>
    <t>Light Blue Flag</t>
  </si>
  <si>
    <t>Light blue flag</t>
  </si>
  <si>
    <t>bands = black over yellow</t>
  </si>
  <si>
    <t>metal band</t>
  </si>
  <si>
    <t>bands = yellow over gray</t>
  </si>
  <si>
    <t>352-455-8993 hshort@audubon.org</t>
  </si>
  <si>
    <t>SNPL 8, HERG 8, RUTU 3, RBGU 7, SAND 25, DUNL 1</t>
  </si>
  <si>
    <t>Shell Key Preserve</t>
  </si>
  <si>
    <t>KV4</t>
  </si>
  <si>
    <t>Light green</t>
  </si>
  <si>
    <t>Horizontal</t>
  </si>
  <si>
    <t>Blue band</t>
  </si>
  <si>
    <t>Light green flag (KV4)</t>
  </si>
  <si>
    <t>J. G. Frosbutter</t>
  </si>
  <si>
    <t>772-546-0900  scott.tedford@dep.state.fl.us</t>
  </si>
  <si>
    <t>Lloyd Beach State Park</t>
  </si>
  <si>
    <t>Broward</t>
  </si>
  <si>
    <t>8:40 - 9:18</t>
  </si>
  <si>
    <t> 26.082781</t>
  </si>
  <si>
    <t>8:30 am-10-30 am</t>
  </si>
  <si>
    <t>Cool, clear, breezy</t>
  </si>
  <si>
    <t>QE6</t>
  </si>
  <si>
    <t>Light green flag (QE6)</t>
  </si>
  <si>
    <t>no</t>
  </si>
  <si>
    <t>Q=unknown code, photo available</t>
  </si>
  <si>
    <t xml:space="preserve"> SNPL 3, LAGU 1</t>
  </si>
  <si>
    <t>Theresa Alderman, Jennifer Schanke</t>
  </si>
  <si>
    <t>954-805-0321  theresasmail@comcast.net</t>
  </si>
  <si>
    <t>Hillsboro Inlet to Deerfield Pier</t>
  </si>
  <si>
    <t>Green flag (97)</t>
  </si>
  <si>
    <t>Orange band</t>
  </si>
  <si>
    <t>SNPL 1, LAGU 1, RBGU 3</t>
  </si>
  <si>
    <t>green dot</t>
  </si>
  <si>
    <t>Orange band (green dot)</t>
  </si>
  <si>
    <t>Light blue band</t>
  </si>
  <si>
    <t>Metal band</t>
  </si>
  <si>
    <t>photo available, Orange band has hand-painted green dot</t>
  </si>
  <si>
    <t>9:45-12:15</t>
  </si>
  <si>
    <t>Sunny 58</t>
  </si>
  <si>
    <t>Okaloosa</t>
  </si>
  <si>
    <t>YY</t>
  </si>
  <si>
    <t>Yes</t>
  </si>
  <si>
    <t>Photo available. Banded on this day. Juvenile (Fledgling from Deer Lake in 2015)</t>
  </si>
  <si>
    <t>High tide receding, cold snap this week. Low number of birds seen on this hike. No banded birds were seen.</t>
  </si>
  <si>
    <t>941-270-2961  brendab.consultant@gmail.com</t>
  </si>
  <si>
    <t>N26.88499</t>
  </si>
  <si>
    <t>W82.33541</t>
  </si>
  <si>
    <t>N26.87164</t>
  </si>
  <si>
    <t>W82.32199</t>
  </si>
  <si>
    <t>1615-1730</t>
  </si>
  <si>
    <t>YO</t>
  </si>
  <si>
    <t>Partly Cloudy - Winds NW @15mph. Sand Blowing</t>
  </si>
  <si>
    <t xml:space="preserve">Photo available. Banded on this day. </t>
  </si>
  <si>
    <t>Foraging at Camp Powel Lake Outfall</t>
  </si>
  <si>
    <t>SNPL 1, BRPE 3</t>
  </si>
  <si>
    <t>OR</t>
  </si>
  <si>
    <t>Karen Schanzle</t>
  </si>
  <si>
    <t>Male, foraging at Camp Powell Lake Outfall</t>
  </si>
  <si>
    <t>941-882-7205 Karen.Schanzle@dep.state.fl.us</t>
  </si>
  <si>
    <t xml:space="preserve">Stump Pass Beach State Park </t>
  </si>
  <si>
    <t>8:40 am - 9:50 am</t>
  </si>
  <si>
    <t>SNPL 1, HERG 1, BRPE 3, HOGR 1</t>
  </si>
  <si>
    <t>54F, 5 - 8 mph NE winds, sunny, 1-2ft seas</t>
  </si>
  <si>
    <t>YB</t>
  </si>
  <si>
    <t>SNPL 1, HERG 1, BRPE 1</t>
  </si>
  <si>
    <t>WO</t>
  </si>
  <si>
    <t>Male</t>
  </si>
  <si>
    <t>PIPL 6</t>
  </si>
  <si>
    <t>Richard Moreau &amp; Linda Moreau</t>
  </si>
  <si>
    <t>941-764-7236       moreau66@comcast.net</t>
  </si>
  <si>
    <t>Manasota Key CWC zone 17 &amp; 18</t>
  </si>
  <si>
    <t>10:20AM-11:30AM</t>
  </si>
  <si>
    <t>Pt. cloudy, 62F, 5mph SW, mod. red tide</t>
  </si>
  <si>
    <t>SAND 4, BBPL 2, DUNL 10, SNPL 3</t>
  </si>
  <si>
    <t>GK</t>
  </si>
  <si>
    <t>rising mid-tide; many dead fish from red tide; approx 60 people on beach in area surveyed.</t>
  </si>
  <si>
    <t>Ann Paul, Mark Rachal, Adele Mills, Brenda Herring, Katie Nesmith</t>
  </si>
  <si>
    <t>813-623-6826 apaul@audubon.org</t>
  </si>
  <si>
    <t>Barge Canal Spoil Islands</t>
  </si>
  <si>
    <t>Citrus</t>
  </si>
  <si>
    <t>1000-1400</t>
  </si>
  <si>
    <t>Cold, slight wind N, very low tide, cloudless</t>
  </si>
  <si>
    <t>RW</t>
  </si>
  <si>
    <t>WILL 12, SEPL 4, LESA 1, BBPL 7, DUNL 142, SAND 48, WIPL 1, PIPL 2</t>
  </si>
  <si>
    <t>Caladesi Island</t>
  </si>
  <si>
    <t>very low tide</t>
  </si>
  <si>
    <t>9:05 - 10:40</t>
  </si>
  <si>
    <t>Beverly Anderson, SJ Kwiatkowski</t>
  </si>
  <si>
    <t>50F, 10mphN, overcast</t>
  </si>
  <si>
    <t>239-417-6310  beverly.anderson@dep.state.fl.us</t>
  </si>
  <si>
    <t>Second Chance CWA</t>
  </si>
  <si>
    <t>SBDO 170, CATE 3, DCCO 400, BBPL 40, WILL 30, REKN 25, BRPE 9, GBHE 2, RBGU 28, HEGU 9, SP sp 200+</t>
  </si>
  <si>
    <t>scanning exposed mudflats from the shoreline. 1 banded REKN observed</t>
  </si>
  <si>
    <t>KW</t>
  </si>
  <si>
    <t>1155-1317</t>
  </si>
  <si>
    <t>high clouds (30% cloud cover); 70 degrees F; Wind NE 10-15 mph with gusts; no rain.</t>
  </si>
  <si>
    <t>Beth Forys</t>
  </si>
  <si>
    <t>727-254-6400, forysea@eckerd.edu</t>
  </si>
  <si>
    <t>Gandy Beach (south and north)</t>
  </si>
  <si>
    <t>KR</t>
  </si>
  <si>
    <t>Tide high/slack.  2 AMWP with unreadable metal bands.2 banded PIPL that have been seen here for the past 5 monhts were not seen on survey.</t>
  </si>
  <si>
    <t>Kice Island</t>
  </si>
  <si>
    <t>1007-1050</t>
  </si>
  <si>
    <t>partly-cloudy (50% cloud cover); 63 degrees F; Wind E 8 mph; no rain.</t>
  </si>
  <si>
    <t>8:30-9:45am</t>
  </si>
  <si>
    <t>55F, 15 mph, overcast</t>
  </si>
  <si>
    <t>OK</t>
  </si>
  <si>
    <t>Tide high-rising. No boats, people or dogs.</t>
  </si>
  <si>
    <t>Morgan Bay/Cape Romano</t>
  </si>
  <si>
    <t>LAGU 205, RBGU 25, HERG 1, CATE 1, FOTE 3, ROYT 21, SATE 2, BLSK 45</t>
  </si>
  <si>
    <t>No Bands</t>
  </si>
  <si>
    <t>1110-1148</t>
  </si>
  <si>
    <t>RB</t>
  </si>
  <si>
    <t>AMOY 5</t>
  </si>
  <si>
    <t>2 AMOY</t>
  </si>
  <si>
    <t>Marvin Friel</t>
  </si>
  <si>
    <t>352-214-3263 mfriel@audubon.org</t>
  </si>
  <si>
    <t>Goose Island-St. George State Park</t>
  </si>
  <si>
    <t>Franklin</t>
  </si>
  <si>
    <t>Tide high/rising. Could not get close enough to ID species at Morgan Beach due to heavy seas</t>
  </si>
  <si>
    <t>Red/White</t>
  </si>
  <si>
    <t>Anclote Key Preserve state Park, south route</t>
  </si>
  <si>
    <t>Vertical</t>
  </si>
  <si>
    <t>10:09 - 12:10</t>
  </si>
  <si>
    <t>50F, 18mphN, clear</t>
  </si>
  <si>
    <t>2 AMOY, 6 RBGU, 2 HEGU</t>
  </si>
  <si>
    <t>Caxambas CWA</t>
  </si>
  <si>
    <t>0948-1000</t>
  </si>
  <si>
    <t>3 PIPL, 1 SNPL, 6 RUTU, 3 BBPL, 14 SAND, 6 HEGU, 5 RBGU</t>
  </si>
  <si>
    <t>1 banded PIPL</t>
  </si>
  <si>
    <t>5 PIPL, 4 SNPL, 5 REKN, 14 SAND, 5 BBPL</t>
  </si>
  <si>
    <t>1 banded PIPL, 1 banded REKN</t>
  </si>
  <si>
    <t>AY</t>
  </si>
  <si>
    <t>Beverly Anderson, SJ Kwiatkowski, Jean Hall</t>
  </si>
  <si>
    <t>Bonnie Jenks   Wendy Meehan</t>
  </si>
  <si>
    <t>727-595-9284    sbjenks@hotmail.com</t>
  </si>
  <si>
    <t>North Redington Beach &amp; Redington Shores</t>
  </si>
  <si>
    <t>Keewaydin Island</t>
  </si>
  <si>
    <t>3 PIPL, 1 SNPL, 2 REKN, 30 SAND, 4 BBPL, 2 RBGU</t>
  </si>
  <si>
    <t>1045-1132</t>
  </si>
  <si>
    <t>clear; cloud cover 10%; wind SW 7-10; no precip. Tide mid/rising. Surf high.</t>
  </si>
  <si>
    <t>Geo/Y</t>
  </si>
  <si>
    <t>Geolocator on upper left; pale yellow in color.  No numbers visable.</t>
  </si>
  <si>
    <t>2 PIPL, 5 SNPL, 13 REKN, 2 MAGO, 9 SAND, 4 WESP, 27 SBDO, 7 SPPL, 3 BBPL</t>
  </si>
  <si>
    <t>Lg</t>
  </si>
  <si>
    <t xml:space="preserve"> 9 PIPL, 7 WIPL, 12 REKN, 36 SPPL, 42 SBDO, 16 DUNL, 1 LEYL, 41 RUTU, 9 WESP, 14 BBPL, 6 HEGU, 3 RBGU, 22 WILL,  80 SP sp.</t>
  </si>
  <si>
    <t>scanning exposed mudflat from the shoreline, no bands observed</t>
  </si>
  <si>
    <t>Unable to complete route due to very high surf along Gulf.</t>
  </si>
  <si>
    <t>E4K</t>
  </si>
  <si>
    <t>11:20-1:30</t>
  </si>
  <si>
    <t>Sunny, 63 degrees, calm</t>
  </si>
  <si>
    <t>100 ROTE, 160 RBGU, 26 FOTE, 1 BRPE, 12 REKN, 2 PIPL, 16 SPPL, 36 LAGU, 2 CATE, 9 HEGU, 20 SBDO, 36 SAND, 19 DUNL</t>
  </si>
  <si>
    <t>scanning exposed sandbar from boardwalk. no bands observed</t>
  </si>
  <si>
    <t>Delnor-Wiggins Pass State Park</t>
  </si>
  <si>
    <t>100 DCCO, 16 HEGU</t>
  </si>
  <si>
    <t>10:15 am- 10:53 am</t>
  </si>
  <si>
    <t>63F, 10-15 mph NE winds, partially sunny, low tide, 2-4ft surf</t>
  </si>
  <si>
    <t>27E</t>
  </si>
  <si>
    <t>Allison Conboy, Joan Becker, Richard Becker, Alicia Bishop</t>
  </si>
  <si>
    <t>904-251-2811, allison.conboy@dep.state.fl.us</t>
  </si>
  <si>
    <t>Little Talbot Island State Park</t>
  </si>
  <si>
    <t>Duval</t>
  </si>
  <si>
    <t>1332-1527</t>
  </si>
  <si>
    <t>Bev Hansen</t>
  </si>
  <si>
    <t>Cold and windy, 53 F, winds 20 mph WSW, gusts up to 40 mph, sunny</t>
  </si>
  <si>
    <t>352-686-0460, bevalhansen@earthlink.net</t>
  </si>
  <si>
    <t>Flamingo Blvd.</t>
  </si>
  <si>
    <t>Hernando</t>
  </si>
  <si>
    <t>S//YY:X female</t>
  </si>
  <si>
    <t>9:30 - 10:30</t>
  </si>
  <si>
    <t>45F, 15mphN, sunny and clear</t>
  </si>
  <si>
    <t>Cold and very windy</t>
  </si>
  <si>
    <t>GK:S//K male</t>
  </si>
  <si>
    <t>90 LAGU</t>
  </si>
  <si>
    <r>
      <t xml:space="preserve">904-251-2811, </t>
    </r>
    <r>
      <rPr>
        <color rgb="FF1155CC"/>
      </rPr>
      <t>allison.conboy@dep.state.fl.us</t>
    </r>
  </si>
  <si>
    <t>Alfred McKethan Park (Pine Island)</t>
  </si>
  <si>
    <t>Big Talbot Island State Park - North Beach</t>
  </si>
  <si>
    <t>RY</t>
  </si>
  <si>
    <t>S//K:RY male</t>
  </si>
  <si>
    <t>1200-1219</t>
  </si>
  <si>
    <t>12:30 - 1:10</t>
  </si>
  <si>
    <t>Cold and windy, 50 F, winds 20 mph WSW, gusts up to 40 mph, sunny</t>
  </si>
  <si>
    <t>50F, 15mphN, sunny and clear</t>
  </si>
  <si>
    <t>109 DUNL, 295 LAGU</t>
  </si>
  <si>
    <t>S(G)</t>
  </si>
  <si>
    <t>Rick Schofield</t>
  </si>
  <si>
    <t>ase@rschofield.net</t>
  </si>
  <si>
    <t>Stormwater Treatment Area-1E</t>
  </si>
  <si>
    <t>S(G)//:YB female? Fledgling from 2015</t>
  </si>
  <si>
    <t>8:00 - 11:30</t>
  </si>
  <si>
    <t>Seasonly Warm, Sunny</t>
  </si>
  <si>
    <t>200 BLSK</t>
  </si>
  <si>
    <t>loop route, inland treatment wetland</t>
  </si>
  <si>
    <t>Peter Plage</t>
  </si>
  <si>
    <t>727-385-4458</t>
  </si>
  <si>
    <t>Pinellas Point</t>
  </si>
  <si>
    <t>3:30 - 4:20</t>
  </si>
  <si>
    <t>Jesse Brown, John Martin, Shari Kennedy</t>
  </si>
  <si>
    <t>clear, cool, brisk NE wind</t>
  </si>
  <si>
    <t>352-384-7122 - John Martin john.martin@ch2m.</t>
  </si>
  <si>
    <t>Dayson Basin - Dredge Disposal Area</t>
  </si>
  <si>
    <t>1 REKN</t>
  </si>
  <si>
    <t>OY:S//W female</t>
  </si>
  <si>
    <t>9:00am-12:30pm</t>
  </si>
  <si>
    <t>33-40 deg f; 10-15 mph</t>
  </si>
  <si>
    <t>-82. 6514</t>
  </si>
  <si>
    <t>GK:S//W mae</t>
  </si>
  <si>
    <t>29 MAGO, 32 SBDO, 130 WILL, 17 LAGU, 1 RYTE</t>
  </si>
  <si>
    <t>clewar, cool, brisk NE wind</t>
  </si>
  <si>
    <t>O//W:S// female</t>
  </si>
  <si>
    <t>95 LESA</t>
  </si>
  <si>
    <t>Dayson Basin - Marsh Transect</t>
  </si>
  <si>
    <t>33-40 deg f, 10-15 mph</t>
  </si>
  <si>
    <t>RB:S//W male</t>
  </si>
  <si>
    <t>9:25 - 11:43</t>
  </si>
  <si>
    <t>Sunny and windy. 66°</t>
  </si>
  <si>
    <t>3 PIPL</t>
  </si>
  <si>
    <t>One of the PIPL had two green and one yellow band on the left leg. Unable to observe additioinal information about the banding</t>
  </si>
  <si>
    <t>Diana Gu, Christine Trammell</t>
  </si>
  <si>
    <t>(772)-546-6141 x206, dianaaa.gu@gmail.com</t>
  </si>
  <si>
    <t>Hobe Sound NWR</t>
  </si>
  <si>
    <t>S//:KW male</t>
  </si>
  <si>
    <t>1:00-1:37pm</t>
  </si>
  <si>
    <t>Sunny, light breeze, 66 F</t>
  </si>
  <si>
    <t>35 RBGU, 11 SAND</t>
  </si>
  <si>
    <t>none banded</t>
  </si>
  <si>
    <t>WK:S// male</t>
  </si>
  <si>
    <t>Pond A Transect</t>
  </si>
  <si>
    <t>1:10-1:35pm</t>
  </si>
  <si>
    <t>55 deg f, windy</t>
  </si>
  <si>
    <t>B:S//GG female</t>
  </si>
  <si>
    <t>S//K:RB male</t>
  </si>
  <si>
    <t>S//K:GO female</t>
  </si>
  <si>
    <t>Lake Tomroy, Pond A-A, Pond C Transect</t>
  </si>
  <si>
    <t>1 BRPE, 130 RBGU, 2 SAND, 1 BOGU, 1 WILL</t>
  </si>
  <si>
    <t>1:55-2:45PM</t>
  </si>
  <si>
    <t>GW</t>
  </si>
  <si>
    <t>GW:S//W female</t>
  </si>
  <si>
    <t>WY</t>
  </si>
  <si>
    <t>WY:S//W male</t>
  </si>
  <si>
    <t>36 RBGU, 6 SAND, 1 RUTU, 2 WILL</t>
  </si>
  <si>
    <t>South Shore Transect</t>
  </si>
  <si>
    <t>3:00-3:20pm</t>
  </si>
  <si>
    <t>Joseph Scarola &amp; Samantha Pessolano</t>
  </si>
  <si>
    <t>RO:S//K male</t>
  </si>
  <si>
    <r>
      <t xml:space="preserve">(772)334-3729  </t>
    </r>
    <r>
      <rPr>
        <color rgb="FF1155CC"/>
      </rPr>
      <t>Joe@ecological-associates.com</t>
    </r>
  </si>
  <si>
    <t>S. Hutchinson Island Zones T - Y (Normandy Beach Access through County Line)</t>
  </si>
  <si>
    <t>St. Lucie</t>
  </si>
  <si>
    <t>09:45 AM - 10:46 AM</t>
  </si>
  <si>
    <t>KO</t>
  </si>
  <si>
    <t xml:space="preserve">Sunny, Winds 5-10 mph WSW, 53°F </t>
  </si>
  <si>
    <t>KO:S//W male</t>
  </si>
  <si>
    <t>52 SAND, 7 LAGU, 20 RUTU, 2 RBGU</t>
  </si>
  <si>
    <r>
      <t xml:space="preserve">(772)334-3729  </t>
    </r>
    <r>
      <rPr>
        <color rgb="FF1155CC"/>
      </rPr>
      <t>Joe@ecological-associates.com</t>
    </r>
  </si>
  <si>
    <t>East Point Shoreline</t>
  </si>
  <si>
    <t>WW</t>
  </si>
  <si>
    <t>S//:WW female</t>
  </si>
  <si>
    <t>3:30-4:30pm</t>
  </si>
  <si>
    <t>None banded</t>
  </si>
  <si>
    <t>KB:S//W male</t>
  </si>
  <si>
    <r>
      <t xml:space="preserve">(772)334-3729  </t>
    </r>
    <r>
      <rPr>
        <color rgb="FF1155CC"/>
      </rPr>
      <t>Joe@ecological-associates.com</t>
    </r>
  </si>
  <si>
    <t>bb</t>
  </si>
  <si>
    <t>bb//:GG// male</t>
  </si>
  <si>
    <t>Pond B Transect</t>
  </si>
  <si>
    <t>Banded</t>
  </si>
  <si>
    <t>4:30-4:45</t>
  </si>
  <si>
    <t>60 deg f, sunny</t>
  </si>
  <si>
    <t>JohnHood</t>
  </si>
  <si>
    <t>727-461-462 jhood2@tampabay.rrcom</t>
  </si>
  <si>
    <t>South Clearwater Beach</t>
  </si>
  <si>
    <t>Pinelas</t>
  </si>
  <si>
    <t>27.57.58.79</t>
  </si>
  <si>
    <t>82.49.04.73</t>
  </si>
  <si>
    <t>27.59.50.4</t>
  </si>
  <si>
    <t>B:S//GW female</t>
  </si>
  <si>
    <t>82.49.44.00</t>
  </si>
  <si>
    <t>0830-1130</t>
  </si>
  <si>
    <t>sunny, wind 5mph south, 65degrees</t>
  </si>
  <si>
    <t>BG</t>
  </si>
  <si>
    <t>BG:S//K male</t>
  </si>
  <si>
    <t>Yb</t>
  </si>
  <si>
    <t>Robert Hardy, Stacie Koslovsky</t>
  </si>
  <si>
    <t>727-490-9384, rfhardy@gmail.com</t>
  </si>
  <si>
    <t>Yb//:YY// female</t>
  </si>
  <si>
    <t>Pass-a-Grille Beach</t>
  </si>
  <si>
    <t>08:30-09:30</t>
  </si>
  <si>
    <t>sunny, north wind 12 mph, 52 deg F</t>
  </si>
  <si>
    <t>Lesley Royce</t>
  </si>
  <si>
    <t>904-945-1939 lesley_royce@me.com</t>
  </si>
  <si>
    <t>13 RBGU, 2 HEGU</t>
  </si>
  <si>
    <t>Mayport to St. Johns / Duval county line</t>
  </si>
  <si>
    <t>KG</t>
  </si>
  <si>
    <t>KG:S//Y male</t>
  </si>
  <si>
    <t>9:35 am-1:50 pm</t>
  </si>
  <si>
    <t>Brandon Volbrecht, Allison Conboy, Alicia, Bishop, Donna Bear</t>
  </si>
  <si>
    <t>44F, wind 10 mph, clear skies</t>
  </si>
  <si>
    <t>904-277-7226 brandon.volbrecht@dep.state.fl.us</t>
  </si>
  <si>
    <t>Fort Clinch State Park</t>
  </si>
  <si>
    <t>Nassau</t>
  </si>
  <si>
    <t>11:45 AM-1:25 PM</t>
  </si>
  <si>
    <t>51°F, Sunny, wind N at 16mph</t>
  </si>
  <si>
    <t>Monica Hardin</t>
  </si>
  <si>
    <t>BO:S//Y male</t>
  </si>
  <si>
    <t>850-916-5636 monica_hardin@nps.gov</t>
  </si>
  <si>
    <t>62 RBGU</t>
  </si>
  <si>
    <t>Fort Pickens Area Gulf Islands National Seashore South shore</t>
  </si>
  <si>
    <t>0842-1205</t>
  </si>
  <si>
    <t>Dan Larremore Wilf Yusek</t>
  </si>
  <si>
    <t>clear, 53 F, north @ 10mph</t>
  </si>
  <si>
    <t>10:15a- 1:45p</t>
  </si>
  <si>
    <t>clear, 12mph SW, 50F</t>
  </si>
  <si>
    <t>B:S//GY male</t>
  </si>
  <si>
    <t>17 DUNL, 9 SPPL, 1 PIPL, 7 WIPL</t>
  </si>
  <si>
    <t>no bands</t>
  </si>
  <si>
    <t>GK:S//W male</t>
  </si>
  <si>
    <t>3 HEGU, 28 PIPL, 7 SPPL, 3 RUTU, 2 SNPL, 6 WIPL, 5 BLSK, 11 DUNL, 22 SAND, 2 WESP, 1 CATE</t>
  </si>
  <si>
    <t>1 PIPL, band partially seen, unable to record</t>
  </si>
  <si>
    <t>R:S//O female</t>
  </si>
  <si>
    <t>Fort Pickens Area Gulf Islands National Seashore North shore</t>
  </si>
  <si>
    <t>0950-1108</t>
  </si>
  <si>
    <t>9 PIPL, 5 SAND, 3 SPPL</t>
  </si>
  <si>
    <t>I banded PIPL recorded</t>
  </si>
  <si>
    <t>P</t>
  </si>
  <si>
    <t>AA</t>
  </si>
  <si>
    <t>S//P:AA male missing pink, seen as S//:AA male - from Eglin AFB</t>
  </si>
  <si>
    <t>3 AMOY</t>
  </si>
  <si>
    <t>Y dot</t>
  </si>
  <si>
    <t>unbanded</t>
  </si>
  <si>
    <t>O//Y:S// PIPL orange band with yellow dot, yellow band with 084 on it. Confirmed with photos</t>
  </si>
  <si>
    <t>Santa Rosa Area of Gulf Islands National Seashore South shore</t>
  </si>
  <si>
    <t>2 AMOY, 14 REKN, 2 SBDO, 1 DUNL, 11 BBPL, 2 RUTU, 3 SAND, 3 WESP, 1 WIPL, 1 SNPL, 1 GREG</t>
  </si>
  <si>
    <t>no bands observed</t>
  </si>
  <si>
    <t>1302-1420</t>
  </si>
  <si>
    <t>clear, 59 F, northwest @ 11mph</t>
  </si>
  <si>
    <t>WW:S//W male</t>
  </si>
  <si>
    <t>25 ROTE, 4 CATE, 1 GBHE, 10 DCCO, 2 AMOY, 6 MAGO, 2 SATE, 1 RBGU, 1 WILL, 1 FOTE</t>
  </si>
  <si>
    <t>WB:S//Y female</t>
  </si>
  <si>
    <t>Curt Lundeen, Pam Lundeen</t>
  </si>
  <si>
    <t>941-625-1096; flalundeens@gmail.com</t>
  </si>
  <si>
    <t>Manasota Key CWC Zone 6</t>
  </si>
  <si>
    <t>Kirt Rusenko</t>
  </si>
  <si>
    <t>11:00AM - 11:36AM</t>
  </si>
  <si>
    <t>561-544-8613, krusenko@myboca.us</t>
  </si>
  <si>
    <t>Boca Raton North Beach, From Highland Beach border to the north to the north end of South Beach Park</t>
  </si>
  <si>
    <t>No tags</t>
  </si>
  <si>
    <t>20 LAGU, 65 RBGU, 12 ROTE, 1 HEGU, 1 FOTE</t>
  </si>
  <si>
    <t>Santa Rosa Area of Gulf Islands National Seashore North shore</t>
  </si>
  <si>
    <t>Boca Raton Central Beach, from North South Beach Park to Boca Raton Inlet</t>
  </si>
  <si>
    <t>1423-1550</t>
  </si>
  <si>
    <t>No tags.</t>
  </si>
  <si>
    <t>clear, 56 F, northwest @ 10mph</t>
  </si>
  <si>
    <t>Boca Raton South Beach, from Boca Raton Inlet to Broward County border</t>
  </si>
  <si>
    <t>27 LAGU; 20 RBGU; 5 ROTE</t>
  </si>
  <si>
    <t>Highland Beach, South of Delray Beach to Boca Raton</t>
  </si>
  <si>
    <t>850-647-8238 pelican@fairpoint.net</t>
  </si>
  <si>
    <t>Bonfire Beach east Tyndall boundary to Mexico Beach canal</t>
  </si>
  <si>
    <t>25 LAGU; 28 RBGU; 21 ROTE</t>
  </si>
  <si>
    <t>SR</t>
  </si>
  <si>
    <t>14:11-14:45</t>
  </si>
  <si>
    <t>Perdido Key Area of Gulf Islands National Seashore North shore</t>
  </si>
  <si>
    <t>Sunny, 70F, wind 15mph N/NW</t>
  </si>
  <si>
    <t>3 ROYT</t>
  </si>
  <si>
    <t xml:space="preserve">Banded </t>
  </si>
  <si>
    <t>1013-1200</t>
  </si>
  <si>
    <t>clear, 50 F, WNW @ 6mph</t>
  </si>
  <si>
    <t>male with 2 non-banded</t>
  </si>
  <si>
    <t>58 SAND</t>
  </si>
  <si>
    <t>850-647-8238</t>
  </si>
  <si>
    <t>941-764-7236                   moreau66@comcast.net</t>
  </si>
  <si>
    <t>Mexico Beach west boundary MB canal to Gulf County line</t>
  </si>
  <si>
    <t>No Pts</t>
  </si>
  <si>
    <t>Bay/Gulf line to Windmark Beach west boundary</t>
  </si>
  <si>
    <t>85 ROTE, 36 LAGU, 12 RBGU, 1 BLSK, 1 HEGU</t>
  </si>
  <si>
    <t>Perdido Key Area of Gulf Islands National Seashore South shore</t>
  </si>
  <si>
    <t>Gwen Ketner &amp;  Jill Auman   </t>
  </si>
  <si>
    <t>941-697-8598  ketnerg@yahoo.com</t>
  </si>
  <si>
    <t>Gasparilla Island North Zones 1,2 &amp;3</t>
  </si>
  <si>
    <t>0930-1108</t>
  </si>
  <si>
    <t>Windmark west boundary to Highland View east boundary just west of Intercoastal canal</t>
  </si>
  <si>
    <t>clear, 52 F. WSW @ 10mph</t>
  </si>
  <si>
    <t>8:15 -9:30 AM</t>
  </si>
  <si>
    <t>Pt cloudy, wind 11 mph, 53F, red tide</t>
  </si>
  <si>
    <t>SK</t>
  </si>
  <si>
    <t>302-249-4053; djaygator12@yahoo.com</t>
  </si>
  <si>
    <t>ACNWR - SISP south to Ambersands Beach Park</t>
  </si>
  <si>
    <t>Indian River</t>
  </si>
  <si>
    <t>Windmark Beach</t>
  </si>
  <si>
    <t>27 51.588</t>
  </si>
  <si>
    <t>-80 26.839</t>
  </si>
  <si>
    <t>SNPl</t>
  </si>
  <si>
    <t>27 49.349</t>
  </si>
  <si>
    <t>-80 25.661</t>
  </si>
  <si>
    <t>10:35-12:06</t>
  </si>
  <si>
    <t>Ptly cloudy with some sun. 50 degrees and light NW wind. Midtide, falling.</t>
  </si>
  <si>
    <t>27 51.235</t>
  </si>
  <si>
    <t>-80 26.641</t>
  </si>
  <si>
    <t>ROYT 50; RUTU 2; WILL 1; FOTE 1; WESA - 150; SAND 5; RBGU 4</t>
  </si>
  <si>
    <t>Unable to properly observe for any bands on WESA. Group within 50 yards of fishermen on beach and beachgoers.</t>
  </si>
  <si>
    <t>Brian Garrett</t>
  </si>
  <si>
    <t>561-596-9492, bgarret@sfwmd.gov</t>
  </si>
  <si>
    <t>Stormwater Treatment Area-3/4</t>
  </si>
  <si>
    <t>26 20' 8"</t>
  </si>
  <si>
    <t>80 33' 23"</t>
  </si>
  <si>
    <t>10:15 - 14:05</t>
  </si>
  <si>
    <t>56 degrees, partly cloudy</t>
  </si>
  <si>
    <t>26 23' 54"</t>
  </si>
  <si>
    <t>80 35' 28"</t>
  </si>
  <si>
    <t>BLSK 55</t>
  </si>
  <si>
    <t>1100-1140</t>
  </si>
  <si>
    <t>--</t>
  </si>
  <si>
    <t>55F, 0% clouds, no precip, low winds ~5mph (WNW)</t>
  </si>
  <si>
    <t>Janna RInehart &amp; Barbara Eells</t>
  </si>
  <si>
    <t>0900 to 1045</t>
  </si>
  <si>
    <t xml:space="preserve">Mid tide rising, calm surf. 12 people on beach. 1 dog track, 1 coyote track. </t>
  </si>
  <si>
    <t xml:space="preserve">cold front, 40 degrees,clear sky, 15mph wind, mod. seas. mid tide </t>
  </si>
  <si>
    <t>Carmella &amp; Rodney Fowkes, Sherry Tomlinson, Diane Reed</t>
  </si>
  <si>
    <t>386-447-1874  derbygirl62@hotmail.com</t>
  </si>
  <si>
    <t>60 Tree Swallows</t>
  </si>
  <si>
    <t>Flagler Pier North to Varn Park</t>
  </si>
  <si>
    <t>roosting on beach at vegetation line</t>
  </si>
  <si>
    <t>Flager</t>
  </si>
  <si>
    <t>0830 - 1130</t>
  </si>
  <si>
    <t>Partly Cloudy, 60 - 70 deg F, Wind N - E 2 - 4 mph</t>
  </si>
  <si>
    <t>0900-1045</t>
  </si>
  <si>
    <t>3 REKN</t>
  </si>
  <si>
    <t>foraging</t>
  </si>
  <si>
    <t>Amelia Island State Park</t>
  </si>
  <si>
    <t>1105-1146</t>
  </si>
  <si>
    <t>Cold and windy, 49 degrees F, winds 22 mph WSW, gusts up to 40mph, Sunny</t>
  </si>
  <si>
    <t>1 WIPL</t>
  </si>
  <si>
    <t>by waters edge at edge of Nassau Sound, mixed plover flock flying inland up sound; majority did not land</t>
  </si>
  <si>
    <t>Low tide rising</t>
  </si>
  <si>
    <t>Bob North, Marge Rooyaka</t>
  </si>
  <si>
    <t xml:space="preserve">352-302-3510  Knorth8@cfl.rr.com </t>
  </si>
  <si>
    <t>30 WIPL</t>
  </si>
  <si>
    <t>Varn Park to Washington Oaks Gardens State Park</t>
  </si>
  <si>
    <t>Flagler</t>
  </si>
  <si>
    <t>0730 - 1100</t>
  </si>
  <si>
    <t>Roosting with SEPL flock on beach in front of fore dune and behind wrack line just north of groin road access to Atlantic beach</t>
  </si>
  <si>
    <t>RS</t>
  </si>
  <si>
    <t>red may have plastic coating</t>
  </si>
  <si>
    <t>125 SEPL</t>
  </si>
  <si>
    <t>Roosting with WIPL flock on beach in front of fore dune and behind wrack line just north of groin road access to Atlantic beachfront</t>
  </si>
  <si>
    <t>Low to mid tide, rising</t>
  </si>
  <si>
    <t>Frank Quinn, Randon Eddy</t>
  </si>
  <si>
    <t>386-316-7968  FJQuinn@aol.com</t>
  </si>
  <si>
    <t>Flagler Pier to N Boundary of Gamble Rogers MSRA</t>
  </si>
  <si>
    <t>Big Talbot Island State Park - North Beach</t>
  </si>
  <si>
    <t>BR</t>
  </si>
  <si>
    <t>0817 - 1000</t>
  </si>
  <si>
    <t xml:space="preserve">Partly Cloudy, 64 deg F, Wind Easterly 2 - 5 mph  </t>
  </si>
  <si>
    <t>Cold and windy, 49 degrees F, winds 20 mph WSW, gusts up to 40mph, Sunny</t>
  </si>
  <si>
    <t>No flocks over 50 observed</t>
  </si>
  <si>
    <t>Cold and windy, 53 degrees F, winds 20 mph WSW, gusts up to 40mph, Sunny</t>
  </si>
  <si>
    <t>roosting at south end of island near water's edge</t>
  </si>
  <si>
    <t>Joe &amp; Judie Dziak, Karen Brown, Barbara Salter</t>
  </si>
  <si>
    <t>904-540-2433  jjdziak@att.net</t>
  </si>
  <si>
    <t>Washington Oaks Gardens State Park North to Flagler County Line (oceanside)</t>
  </si>
  <si>
    <t>4 RBGU</t>
  </si>
  <si>
    <t>0830 - 1015</t>
  </si>
  <si>
    <t>Partly Cloudy, 59 - 65 deg F, Wind Light and Variable (less than 3 mph)</t>
  </si>
  <si>
    <t>?</t>
  </si>
  <si>
    <t>N/Y</t>
  </si>
  <si>
    <t>could never see leg</t>
  </si>
  <si>
    <t>55 HERG</t>
  </si>
  <si>
    <t>1 LBBG</t>
  </si>
  <si>
    <t>904-540-2433 jjdziak@att.net</t>
  </si>
  <si>
    <t>Flagler County Line South to Washington Oaks Gardens State Park (ICW)</t>
  </si>
  <si>
    <t>1030 - 1300</t>
  </si>
  <si>
    <t>Partly Cloudy, 69 deg F, Wind Easterly 2 - 5 mph</t>
  </si>
  <si>
    <t>Highland View on west side of Intercoastal canal</t>
  </si>
  <si>
    <t>4 BRPE</t>
  </si>
  <si>
    <t>0 Pts</t>
  </si>
  <si>
    <t>St Joseph Peninsula between St Joseph State Park east boundary and Eglin west boundary</t>
  </si>
  <si>
    <t>Could not read /humans walking</t>
  </si>
  <si>
    <t>FG</t>
  </si>
  <si>
    <t>1 FOTE</t>
  </si>
  <si>
    <t>Dan Larremore Lillian Kenney</t>
  </si>
  <si>
    <t>Mid tide rising</t>
  </si>
  <si>
    <t>Three Rooker Bar, south island, Anclote Key Preserve State Park</t>
  </si>
  <si>
    <t>John Demkar, Sandi Cipolloni</t>
  </si>
  <si>
    <t>386-338-2075 jdemkar17@hotmail.com</t>
  </si>
  <si>
    <t>Gamble Rogers MSRA South to Flagler County Line</t>
  </si>
  <si>
    <t>Brown spot</t>
  </si>
  <si>
    <t>0845 - 1015</t>
  </si>
  <si>
    <t>Partly Cloudy, 58 - 62 deg F, Wind Easterly 2 - 5 mph</t>
  </si>
  <si>
    <t>Y/O/Y</t>
  </si>
  <si>
    <t>photo available- UL orange band has a brown paint spot, LR band is a yellow, orange, yellow</t>
  </si>
  <si>
    <t>foraging in mid beach pocket near south end of island</t>
  </si>
  <si>
    <t>Three Rooker Bar, north island, Anclote Key Preserve State Park</t>
  </si>
  <si>
    <t>G/R</t>
  </si>
  <si>
    <t>7 WIPL</t>
  </si>
  <si>
    <t>roosting in wrack at north end of island</t>
  </si>
  <si>
    <t>Venice Beach Nourishmant Area</t>
  </si>
  <si>
    <t>N27.06585</t>
  </si>
  <si>
    <t>W82.44807</t>
  </si>
  <si>
    <t>N27.11122</t>
  </si>
  <si>
    <t xml:space="preserve">W82.46551 </t>
  </si>
  <si>
    <t>Laura G. Ostapko</t>
  </si>
  <si>
    <t>10:45 AM   2:10 PM</t>
  </si>
  <si>
    <t>N</t>
  </si>
  <si>
    <t>386-445-8653 lauragostap@yahoo.com</t>
  </si>
  <si>
    <t>59, Pt Cl, Wind S@10</t>
  </si>
  <si>
    <t>Gamble Rogers MSRA</t>
  </si>
  <si>
    <t>ROTE:21</t>
  </si>
  <si>
    <t>Caity Reiland-Smith</t>
  </si>
  <si>
    <t>RED TIDE - MANY DEAD FISH</t>
  </si>
  <si>
    <t>605-553-1804 creilandsmith@audubon.org</t>
  </si>
  <si>
    <t>1630 - 1740</t>
  </si>
  <si>
    <t>St. Joseph State Park</t>
  </si>
  <si>
    <t>Partly to mostly cloudy, 69 deg F, Wind Easterly 2 - 5 mph</t>
  </si>
  <si>
    <t>O/R</t>
  </si>
  <si>
    <t>LAGU:30</t>
  </si>
  <si>
    <t>G/B</t>
  </si>
  <si>
    <t>HERG:20</t>
  </si>
  <si>
    <t>Y/R</t>
  </si>
  <si>
    <t>Laura G. Ostapko, Jo Anne Polan, John Demkar, Randon Eddy</t>
  </si>
  <si>
    <t>Betty Steflik Preserve - ICW</t>
  </si>
  <si>
    <t>O/Y</t>
  </si>
  <si>
    <t>0705 - 0805</t>
  </si>
  <si>
    <t>Mostly Cloudy, 58 deg F, Wind Light and Variable</t>
  </si>
  <si>
    <t>REKN:2</t>
  </si>
  <si>
    <t>BBPL:11</t>
  </si>
  <si>
    <t>High Tide.  27 White Pelicans flyover.</t>
  </si>
  <si>
    <t>Jennifer Manis</t>
  </si>
  <si>
    <t>SAND:6</t>
  </si>
  <si>
    <t>RUTU:10</t>
  </si>
  <si>
    <t>O/W</t>
  </si>
  <si>
    <t>Jennifer.Manis@dep.state.fl.us</t>
  </si>
  <si>
    <t>Blue Mountain Beach</t>
  </si>
  <si>
    <t>SAND:7</t>
  </si>
  <si>
    <t>Fort Walton</t>
  </si>
  <si>
    <t>11:53-12:16</t>
  </si>
  <si>
    <t>Mid tide rising, 5% CC, no precip., surf rough, Winds 13-18mph</t>
  </si>
  <si>
    <t>RBGU:49</t>
  </si>
  <si>
    <t>W/B</t>
  </si>
  <si>
    <t>No focal species seen. 2 people on survey</t>
  </si>
  <si>
    <t>Watersound/Aly's Beach</t>
  </si>
  <si>
    <t>13:19-14:02</t>
  </si>
  <si>
    <t>HERG:1</t>
  </si>
  <si>
    <t>K/K</t>
  </si>
  <si>
    <t>On route: 1 truck, 5 people, 4 dogs, 10 dog tracks</t>
  </si>
  <si>
    <t>Jennifer Manis, Paula Muellner, Morgan Parks</t>
  </si>
  <si>
    <t>W/R</t>
  </si>
  <si>
    <t>LAGU:33</t>
  </si>
  <si>
    <t>K/G</t>
  </si>
  <si>
    <t>Watercolor/Seaside</t>
  </si>
  <si>
    <t>S(KW)</t>
  </si>
  <si>
    <t>ROTE:14</t>
  </si>
  <si>
    <t>R/G</t>
  </si>
  <si>
    <t>09:26-10:09</t>
  </si>
  <si>
    <t>Low tide rising, 10% CC, no precip., surf rough, Winds 13-18mph</t>
  </si>
  <si>
    <t>O/O</t>
  </si>
  <si>
    <t>BBPL:1</t>
  </si>
  <si>
    <t>On route: 16 people, 2 trucks, 2 dog tracks, 1 kitesurfer</t>
  </si>
  <si>
    <t>Beth Wright</t>
  </si>
  <si>
    <t>850-567-7576 paintedbunting@earthlink.net</t>
  </si>
  <si>
    <t>SGI developed beach: E. 7th St. to State Park boundary</t>
  </si>
  <si>
    <t>1320-1617</t>
  </si>
  <si>
    <t>sunny, 46 F, SW wind 3 mph</t>
  </si>
  <si>
    <t>RUTU:2</t>
  </si>
  <si>
    <t xml:space="preserve">Low tide rising to near high.  Flyovers:  WILL 1, BRPE 3, DCCO 1, FOTE 11, RBGU 8 
</t>
  </si>
  <si>
    <t>Two-Mile spoil islands, Apalachicola</t>
  </si>
  <si>
    <t>RBGU:56</t>
  </si>
  <si>
    <t>1530-1627</t>
  </si>
  <si>
    <t>sunny, 64 F, SW wind 14 mph</t>
  </si>
  <si>
    <t>mid tide, rising</t>
  </si>
  <si>
    <t>ANERR Center (Bay beach) Eastpoint</t>
  </si>
  <si>
    <t>HERG:15</t>
  </si>
  <si>
    <t>1810-1832</t>
  </si>
  <si>
    <t>cloudy, 64 F, SW wind 13 mph</t>
  </si>
  <si>
    <t>LAGU:31</t>
  </si>
  <si>
    <t>Caity Reiland-Smith, Tyler Tomassone, Marvin Friel</t>
  </si>
  <si>
    <t>St. George State Park</t>
  </si>
  <si>
    <t>1025-1615</t>
  </si>
  <si>
    <t>No precip. 0% CC. Surf Calm. Wind 0-3mph. Low Falling</t>
  </si>
  <si>
    <t>K/R</t>
  </si>
  <si>
    <t>ROTE:6</t>
  </si>
  <si>
    <t>B/K</t>
  </si>
  <si>
    <t>G/Y</t>
  </si>
  <si>
    <t>BLSK:99</t>
  </si>
  <si>
    <t>Low falling</t>
  </si>
  <si>
    <t>W/G</t>
  </si>
  <si>
    <t>Indain Lagoon West</t>
  </si>
  <si>
    <t>9:18am-13:30pm</t>
  </si>
  <si>
    <t>ROTE:13</t>
  </si>
  <si>
    <t>No precip. 0% CC, wind 4-7mph, surf calm, low tide falling (start at 0.0ft, low -0.1ft, high 1.1ft)</t>
  </si>
  <si>
    <t>B/O</t>
  </si>
  <si>
    <t>WILL:1</t>
  </si>
  <si>
    <t>Y/W</t>
  </si>
  <si>
    <t>No precip. 0% CC, wind 4-7mph, surf calm, low tide falling (start at 0.0ft, low -0.1ft, high 1.1ft). People 14, boats 5, dogs 2, dog tracks 4, raccoon tracks 4, BAEA 2. Could not complete Lagoon on this day; entire eastern half of Lagoon missed on count window (Indian Lagoon East). Extensive mud flats and exposed oysterbars on route. Lowest number of BLSK on route so far this winter. Indian Lagoon West route extends into Gulf County and Franklin County at points, most of route lies within Franklin Co.</t>
  </si>
  <si>
    <t>LAGU:15</t>
  </si>
  <si>
    <t>Originally LS:BL - missing lime bands</t>
  </si>
  <si>
    <t>10:37am-13:30pm</t>
  </si>
  <si>
    <t>Sunny, Wind 0-3, Calm surf, 0% CC, precip none</t>
  </si>
  <si>
    <t>B/B</t>
  </si>
  <si>
    <t>BAEA 2, HOGR 1, RBME 14, GHOW 1, COLO 1, BUFF 37, BOGU 4, GBHE 4</t>
  </si>
  <si>
    <t>Raya Pruner, Marvin Friel &amp; Aaron Pruner</t>
  </si>
  <si>
    <t>352-214-3262 raya.pruner@dep.state.fl.us</t>
  </si>
  <si>
    <t>RBGU:62</t>
  </si>
  <si>
    <t>Alligator Harbor</t>
  </si>
  <si>
    <t>G/O</t>
  </si>
  <si>
    <t>11:15 to 13:51</t>
  </si>
  <si>
    <t>Drizzly all day, tide high/falling, 100% cloud cover, moderate surf, winds 4-7 mph</t>
  </si>
  <si>
    <t>B/R</t>
  </si>
  <si>
    <t>LAGU:106</t>
  </si>
  <si>
    <t>unable to resurvey during Winter Survey window due to weather &amp; availability</t>
  </si>
  <si>
    <t>Horseshoe Island</t>
  </si>
  <si>
    <t>1452 to 1538</t>
  </si>
  <si>
    <t>no precipitation, 100% cloud cover, winds 4-7 mph, moderate surf, high tide/falling</t>
  </si>
  <si>
    <t>RBGU:4</t>
  </si>
  <si>
    <t>R/K</t>
  </si>
  <si>
    <t>ROTE:9</t>
  </si>
  <si>
    <t>Paul Gray</t>
  </si>
  <si>
    <t>863-655-1831 PGray@Audubon.org</t>
  </si>
  <si>
    <t>Indian Prairie, Lake Okeechobee</t>
  </si>
  <si>
    <t>Glades</t>
  </si>
  <si>
    <t>27 06 20</t>
  </si>
  <si>
    <t>80 52 59</t>
  </si>
  <si>
    <t>27 03 39</t>
  </si>
  <si>
    <t>80 50 40</t>
  </si>
  <si>
    <t>R/W</t>
  </si>
  <si>
    <t>12:20-1:30 PM</t>
  </si>
  <si>
    <t>sunny, 60 degrees, wind &lt;5</t>
  </si>
  <si>
    <t>BLSK:5</t>
  </si>
  <si>
    <t>Lake O at 16.3 feet, no mudflats, from airboat</t>
  </si>
  <si>
    <t>Buckhead Ridge Marsh, Lake Okeechobee</t>
  </si>
  <si>
    <t>Glades/Okeechobee</t>
  </si>
  <si>
    <t>27 05 32</t>
  </si>
  <si>
    <t>-80 51 31</t>
  </si>
  <si>
    <t>27 08 12</t>
  </si>
  <si>
    <t>-80 52 31</t>
  </si>
  <si>
    <t>1:30-2:30 PM</t>
  </si>
  <si>
    <t>SATE:1</t>
  </si>
  <si>
    <t>St Joe Beach</t>
  </si>
  <si>
    <t>10:45AM-11:15AM</t>
  </si>
  <si>
    <t>Sun/45/low tide rising</t>
  </si>
  <si>
    <t>RUTU:4</t>
  </si>
  <si>
    <t>R/R</t>
  </si>
  <si>
    <t>LAGU:29</t>
  </si>
  <si>
    <t>R/B</t>
  </si>
  <si>
    <t>8:30AM-10:30AM</t>
  </si>
  <si>
    <t>Sun/42F/med tide/rising</t>
  </si>
  <si>
    <t>G/G</t>
  </si>
  <si>
    <t>David Hartgrove, Dennise Hartgrove</t>
  </si>
  <si>
    <t>RBGU:25</t>
  </si>
  <si>
    <t>386-235-1249, birdman9@earthlink.net</t>
  </si>
  <si>
    <t>Atlantic coast, SR 40 north to Flagler County line.</t>
  </si>
  <si>
    <t>Volusia</t>
  </si>
  <si>
    <t>J58</t>
  </si>
  <si>
    <t>Lt.Green</t>
  </si>
  <si>
    <t>Hor.</t>
  </si>
  <si>
    <t>silver</t>
  </si>
  <si>
    <t>Highland View</t>
  </si>
  <si>
    <t>Flag</t>
  </si>
  <si>
    <t>No Photo</t>
  </si>
  <si>
    <t>11:00AM-11:30AM</t>
  </si>
  <si>
    <t>Sun/58F/calmrising</t>
  </si>
  <si>
    <t>ROTE:5</t>
  </si>
  <si>
    <t>Atlantic coast, SR 40 south to the N/S Ponce Inlet.</t>
  </si>
  <si>
    <t>O38</t>
  </si>
  <si>
    <t>Y?</t>
  </si>
  <si>
    <t>"O" was very faded and it's my best guess.</t>
  </si>
  <si>
    <t>St Jospeh Peninsula</t>
  </si>
  <si>
    <t>9:00AM-10:45AM</t>
  </si>
  <si>
    <t>Sun/50F/high seas/rising on low tide</t>
  </si>
  <si>
    <t>10 WIPL</t>
  </si>
  <si>
    <t>roosting behind rack and drift wood at north point of island</t>
  </si>
  <si>
    <t>ECP</t>
  </si>
  <si>
    <t>T21</t>
  </si>
  <si>
    <t>0910-1650</t>
  </si>
  <si>
    <t>88 DUNL</t>
  </si>
  <si>
    <t>No precip. 25% CC. Surf Calm. Wind 8-12mph. Low Rising</t>
  </si>
  <si>
    <t>foraging on mudflat at north end of island</t>
  </si>
  <si>
    <t>AL</t>
  </si>
  <si>
    <t>2 BBPL</t>
  </si>
  <si>
    <t>O/B</t>
  </si>
  <si>
    <t>Low rising</t>
  </si>
  <si>
    <t>0900 to 0145</t>
  </si>
  <si>
    <t>Cold front and 40 degrees. Clear sky,, moderate seas, 15 mph winds, mid tide</t>
  </si>
  <si>
    <t>Y/O</t>
  </si>
  <si>
    <t>W/Y</t>
  </si>
  <si>
    <t>22 people with 5 on leash and 5 running freely</t>
  </si>
  <si>
    <t>Ken Tracey, Joe Colontonio</t>
  </si>
  <si>
    <t>St. Joseph Bay - SE</t>
  </si>
  <si>
    <t>727-271-0439,  kftracey@verizon.net</t>
  </si>
  <si>
    <t>Anclote Gulf Park</t>
  </si>
  <si>
    <t>Pasco</t>
  </si>
  <si>
    <t>14:20-19:00</t>
  </si>
  <si>
    <t xml:space="preserve">No precip. 0% CC, wind 4-7mph, surf calm, mid tide rising (low at 0.0ft, high 0.2ft, started at 0.1ft rising). </t>
  </si>
  <si>
    <t>8:00am - 8:30am</t>
  </si>
  <si>
    <t>Sunny &amp; clear, no wind</t>
  </si>
  <si>
    <t>50 Double-crested Cormorants</t>
  </si>
  <si>
    <t>Resting on floats</t>
  </si>
  <si>
    <t>W/O</t>
  </si>
  <si>
    <t>727-271-0439, kftracey@verizon.net</t>
  </si>
  <si>
    <t>Sand Bay</t>
  </si>
  <si>
    <t>7:30am - 7:50am</t>
  </si>
  <si>
    <t xml:space="preserve">No precip. 0% CC, wind 4-7mph, surf calm, mid tide rising (low at 0.0ft, high 0.2ft, started at 0.1ft rising). People 0, boats 0, BAEA 1, NOHA 1. </t>
  </si>
  <si>
    <t>70 Dunlin, 185 Laughing Gull, 60 Ring-billed Gull</t>
  </si>
  <si>
    <t>Kim Willis, Wes Biggs</t>
  </si>
  <si>
    <t>Feeding on mud flats</t>
  </si>
  <si>
    <t>kimwillis@centurylink.net</t>
  </si>
  <si>
    <t>Stormwater Treatment Area-5/6</t>
  </si>
  <si>
    <t>Hendry</t>
  </si>
  <si>
    <t>26 21' 3"</t>
  </si>
  <si>
    <t>80 54' 47"</t>
  </si>
  <si>
    <t xml:space="preserve">Ken Tracey </t>
  </si>
  <si>
    <t>26 24' 41"</t>
  </si>
  <si>
    <t>80 53' 31"</t>
  </si>
  <si>
    <t>Green Key</t>
  </si>
  <si>
    <t>8:45 - 11:35</t>
  </si>
  <si>
    <t>52 degrees, windy, clear</t>
  </si>
  <si>
    <t>8:am -9:am</t>
  </si>
  <si>
    <t>Cloudy, 55 degrees, 20 mph winds</t>
  </si>
  <si>
    <t>50 Dunlin, 260 Double-crested Cormorants, 475 Laughing Gull, 112 Ring-billed Gulls</t>
  </si>
  <si>
    <t>Feeding and resting on mud flats</t>
  </si>
  <si>
    <t>Ken Tracey</t>
  </si>
  <si>
    <t>O/K</t>
  </si>
  <si>
    <t>South end of state park (W-BSSSP)</t>
  </si>
  <si>
    <t>11:45am - 12:15pm</t>
  </si>
  <si>
    <t>loop route; inland treatment wetland</t>
  </si>
  <si>
    <t>Cloudy, 50 degrees, 15 mph winds</t>
  </si>
  <si>
    <t>FK</t>
  </si>
  <si>
    <t>2 American Oystercatcher, 90 Laughing Gull, 70 Ring-billed Gull</t>
  </si>
  <si>
    <t>Flying by</t>
  </si>
  <si>
    <t>SunWest Park</t>
  </si>
  <si>
    <t>1:00pm - 1:30pm</t>
  </si>
  <si>
    <t>Sunny &amp; clear, 15 mph winds, 50 degrees</t>
  </si>
  <si>
    <t>Pine Island Drive</t>
  </si>
  <si>
    <t>11 Wilson's Plover, 326 Dunlin, 55 Willet</t>
  </si>
  <si>
    <t>8:15 - 8:30</t>
  </si>
  <si>
    <t>45F, 10mphN, clear and sunny</t>
  </si>
  <si>
    <t>Resting on man made beach by quarry lake</t>
  </si>
  <si>
    <t>Y/G</t>
  </si>
  <si>
    <t>south of Hudson Beach</t>
  </si>
  <si>
    <t>8:00am - 9:00am</t>
  </si>
  <si>
    <t>Sunny &amp; clear, 55 degrees, 10 mph winds</t>
  </si>
  <si>
    <t>78 Willet, 195 Laughing Gull</t>
  </si>
  <si>
    <t>Bayport Park</t>
  </si>
  <si>
    <t>Joan &amp; Richard Becker</t>
  </si>
  <si>
    <t>904-527-1536 j-r@songstar.org</t>
  </si>
  <si>
    <t>1:30 - 1:55</t>
  </si>
  <si>
    <t>Ft. George Inlet/Alamacani</t>
  </si>
  <si>
    <t>3:45pm - 4:00pm</t>
  </si>
  <si>
    <t xml:space="preserve">Clear, 50 degrees, WSW 25 mph, higher gusts </t>
  </si>
  <si>
    <t>No birds at this location, possibly due to wind. Birds seen flying up into protected salt marsh.</t>
  </si>
  <si>
    <t>Scrub Pens Road</t>
  </si>
  <si>
    <t>Highlands</t>
  </si>
  <si>
    <t>27 28 12</t>
  </si>
  <si>
    <t>-81 16 21</t>
  </si>
  <si>
    <t>27 30 27</t>
  </si>
  <si>
    <t>-81 16 18</t>
  </si>
  <si>
    <t>11:00-11:45 AM</t>
  </si>
  <si>
    <t>0830a-1000a</t>
  </si>
  <si>
    <t>clear lt breeze 50deg</t>
  </si>
  <si>
    <t>27 ROTE,  37 RBGU, 1 HERG, 3 LAGU, 2 SATE</t>
  </si>
  <si>
    <t>feeding/resting on shoreline</t>
  </si>
  <si>
    <t>survey from car</t>
  </si>
  <si>
    <t>Ann Paul, Mark Rachal, Carol Cassels</t>
  </si>
  <si>
    <t>Hillsborough Bay</t>
  </si>
  <si>
    <t>Hillsborough</t>
  </si>
  <si>
    <t>1000-1630</t>
  </si>
  <si>
    <t>Michael Simmons, Jennifer Winters, Michael Brothers, Brandon Noel</t>
  </si>
  <si>
    <t>COLD, 52 degrees, N wind 15+</t>
  </si>
  <si>
    <t>386-238-4716, msimmons@volusia.org</t>
  </si>
  <si>
    <t>North Rockhouse Creek Shoals (Disappearing Island)</t>
  </si>
  <si>
    <t>27 REKN</t>
  </si>
  <si>
    <t>feeding/resting on shoreline 1 banded</t>
  </si>
  <si>
    <t>LH</t>
  </si>
  <si>
    <t>Belleair bch / Belleair Shore</t>
  </si>
  <si>
    <t>1000 -1130</t>
  </si>
  <si>
    <t>Very low tide; 13 Black-necked stilts also seen</t>
  </si>
  <si>
    <t>14 REKN</t>
  </si>
  <si>
    <t>Billi Wagner</t>
  </si>
  <si>
    <t>cassowary@bellsouth.net</t>
  </si>
  <si>
    <t>Lower left - split band</t>
  </si>
  <si>
    <t>St. Sebastian River Preserve State Park, southeast</t>
  </si>
  <si>
    <t>941-270-2961  brendab.consultant@gmal.com</t>
  </si>
  <si>
    <t>0630-0800</t>
  </si>
  <si>
    <t>windy and cloudy</t>
  </si>
  <si>
    <t>N27.03302</t>
  </si>
  <si>
    <t>W82.26505</t>
  </si>
  <si>
    <t>1D2</t>
  </si>
  <si>
    <t>1345A-1445P</t>
  </si>
  <si>
    <t>FY</t>
  </si>
  <si>
    <t>mostly cloudy 63 - Wind WNW @23mph</t>
  </si>
  <si>
    <t>Lb/K</t>
  </si>
  <si>
    <t>Lb/B</t>
  </si>
  <si>
    <t>2 American Woodcock (they are shorebirds too).</t>
  </si>
  <si>
    <t>no groups or focal species</t>
  </si>
  <si>
    <t>Crestlawn Cemetery</t>
  </si>
  <si>
    <t xml:space="preserve">Charlotte </t>
  </si>
  <si>
    <t>09?</t>
  </si>
  <si>
    <t>W82.33.541</t>
  </si>
  <si>
    <t>W82.32109</t>
  </si>
  <si>
    <t>K/O/K</t>
  </si>
  <si>
    <t>Partly Cloudy - 57 - Winds NW @ 15mph. Sand Blowing</t>
  </si>
  <si>
    <t>1530-1600</t>
  </si>
  <si>
    <t>Lower left -  triple split, Upper right- orange band w/green dot, Lower right- partial code</t>
  </si>
  <si>
    <t>Rebecca Ruthberg</t>
  </si>
  <si>
    <t>727-698-4403</t>
  </si>
  <si>
    <t>22nd Ave south to Whitehurst Ave, Indian Rocks Beach</t>
  </si>
  <si>
    <t>302-249-4053</t>
  </si>
  <si>
    <t>N27 54'15.29''</t>
  </si>
  <si>
    <t>W82 50'53.12''</t>
  </si>
  <si>
    <t>ACNWR SISP south to Ambersands Park</t>
  </si>
  <si>
    <t>N27 52'17.96''</t>
  </si>
  <si>
    <t>W82 51'03.05''</t>
  </si>
  <si>
    <t>9:45-10:36 AM</t>
  </si>
  <si>
    <t>Sunny, clear skies. Wind from the NE/W AT 5-10 knts.</t>
  </si>
  <si>
    <t>NA</t>
  </si>
  <si>
    <t>10:35am-12:06pm</t>
  </si>
  <si>
    <t>Ptly cloudy, some sun, 50 degrees, light NW wind. Midtide, going out</t>
  </si>
  <si>
    <t>No large groups or focal species but a dead dolphin was found at 5th avenue and the city police as well as marine rescue were investigating.</t>
  </si>
  <si>
    <t>resight</t>
  </si>
  <si>
    <t>Saskia Janes</t>
  </si>
  <si>
    <t>727-231-5520</t>
  </si>
  <si>
    <t>Treasure Island-Sunshine to Sunset Beaches</t>
  </si>
  <si>
    <t>Jessica McIntosh</t>
  </si>
  <si>
    <t xml:space="preserve">27.73854N
</t>
  </si>
  <si>
    <t>832-283-8142 jessica.mcintosh@dep.state.fl.us</t>
  </si>
  <si>
    <t>-82.78316 W</t>
  </si>
  <si>
    <t>Long Key State Park</t>
  </si>
  <si>
    <t xml:space="preserve">In approx 2.8 miles of beach passed 6 different fishermen and 1 unleashed dog (dog never left the blanket it was laying on). </t>
  </si>
  <si>
    <t>27.73854N</t>
  </si>
  <si>
    <t>-82.75664 W</t>
  </si>
  <si>
    <t>9:00am-1:00pm</t>
  </si>
  <si>
    <t>Partly Cloudy - 56F Wind: NNW 15-20mph</t>
  </si>
  <si>
    <t>ACNWR Amdersands to Golden Sands Beach Park</t>
  </si>
  <si>
    <t>green</t>
  </si>
  <si>
    <t>27.7436N</t>
  </si>
  <si>
    <t>fg</t>
  </si>
  <si>
    <t>N27 49.349</t>
  </si>
  <si>
    <t>W-080 25.661</t>
  </si>
  <si>
    <t>bird flushed</t>
  </si>
  <si>
    <t>N27 46.795</t>
  </si>
  <si>
    <t>-82.75952W</t>
  </si>
  <si>
    <t>W-080 24.307</t>
  </si>
  <si>
    <t>AMOY 1</t>
  </si>
  <si>
    <t>10:50am-12:45pm</t>
  </si>
  <si>
    <t>Clear, 54 degrees and a bit higher, moderate NNE wind. Mid tide, going out.</t>
  </si>
  <si>
    <t>727-595-9284       sbjenks@hotmail.com</t>
  </si>
  <si>
    <t>27 53.053</t>
  </si>
  <si>
    <t>82 51.100</t>
  </si>
  <si>
    <t>27 50.594</t>
  </si>
  <si>
    <t>82 50.495</t>
  </si>
  <si>
    <t>8:20am - 9:45am</t>
  </si>
  <si>
    <t>Sunny, 47 degrees; Wind 5 mph NE</t>
  </si>
  <si>
    <t>No large groups or focal species, but did see 2 dead Common Loons and a Puffer fish on the beach.</t>
  </si>
  <si>
    <t>LO</t>
  </si>
  <si>
    <t>302-249-4053: djaygator12@yahoo.com</t>
  </si>
  <si>
    <t>ACNWR Ambersands to Golden Sands Beach Park</t>
  </si>
  <si>
    <t xml:space="preserve">N27 49.349' </t>
  </si>
  <si>
    <t>W-080 25.661'</t>
  </si>
  <si>
    <t>N27 46.795'</t>
  </si>
  <si>
    <t>W-080 24.307'</t>
  </si>
  <si>
    <t>Amber Stevenson, Laura Albert</t>
  </si>
  <si>
    <t>Clear, 54 degrees and rising slightly, moderate NNE wind. Midtide, going out</t>
  </si>
  <si>
    <t>386-290-0737, amber@ecological-associates.com</t>
  </si>
  <si>
    <t>N27 49.029'</t>
  </si>
  <si>
    <t>Location of WIPL: N27 49.029'  W-080 25.500'</t>
  </si>
  <si>
    <t>Smyrna Dunes Park shoreline</t>
  </si>
  <si>
    <t>W-080 25.500'</t>
  </si>
  <si>
    <t>WIPL - 1</t>
  </si>
  <si>
    <t>Chris Lechowicz</t>
  </si>
  <si>
    <t>Bird was with a single SAND. Both were hiding behind clump of dune grass at extreme ocean edge of dune. Almost stepped on bird before it ran out from behind the grass. Both birds were sitting to leeward of the grass, in the sun but out of the wind. Have photos. No bands noted.</t>
  </si>
  <si>
    <t>239-470-3313, clechowiczAsccf.org</t>
  </si>
  <si>
    <t>Sanibel, Bowmans to Blind Pass</t>
  </si>
  <si>
    <t>Y (geo)</t>
  </si>
  <si>
    <t>yellow geo-locator on upper right</t>
  </si>
  <si>
    <t>8:33-10-12</t>
  </si>
  <si>
    <t xml:space="preserve"> 727-669-1641 stephenmann@tampabay.rr.com</t>
  </si>
  <si>
    <t>Partly Cloudy, windy, 50s F</t>
  </si>
  <si>
    <t>Shea Armstrong, Whitney Haskell, Joe Marchionno</t>
  </si>
  <si>
    <t>352-334-4203 Katharine.malachowski@myfwc.com</t>
  </si>
  <si>
    <t>Tolomato River</t>
  </si>
  <si>
    <t>7:20Am-5:15PM</t>
  </si>
  <si>
    <t>St. John's</t>
  </si>
  <si>
    <t>SEPL-16, BBPL-6, LESA-26, SPSA-1, DUNL-16, REEG-1, GREG-1, LAGU-152, BLSK-51, RBGU-25, ROTE-24, BOGU-12, FOTE-14, LBBG-1, BRPE-2, SAND-5</t>
  </si>
  <si>
    <t>Along waterline in beach area.</t>
  </si>
  <si>
    <t>Karen Schanzle and Robert Longo</t>
  </si>
  <si>
    <t xml:space="preserve">Gasparilla Island State Park </t>
  </si>
  <si>
    <t>9:42 am - 10:24 am</t>
  </si>
  <si>
    <t>55F, 5 mph ENE winds, sunny, partially cloudy</t>
  </si>
  <si>
    <t>AMOY-2, GREG-2, LESC-800, GBHE-3, KILL-11, LAGU-100, EUST-4, SPSA-4, BEKI-1, WHIB-12, REEG-2, SEPL-14, FICR-5, SAND-1, BTGR-3, BRPE-3, BBPL-15, HOGR-50, COLO-11, LESA-40, FOTE-9</t>
  </si>
  <si>
    <t>Sky Harbor area, HOGR, COLO, LESC in bay.</t>
  </si>
  <si>
    <t>katrohrer@centurylink.net</t>
  </si>
  <si>
    <t>South Gasparilla Island</t>
  </si>
  <si>
    <t>DR</t>
  </si>
  <si>
    <t>Partly cloudy, 55 F, NE 10-15, red tide</t>
  </si>
  <si>
    <t>AMOY-2, REDH-30, LBHE-8, LAGU-100, RBGU-50, BTGR-30, ROPI-2, SNEG-6, MAGO-2, BLSK-178, ROTE-14, FOTE-2, COLO-1, HOGR-1, BRPT-2, OSPR-1</t>
  </si>
  <si>
    <t>Ben T. Davis beach area.</t>
  </si>
  <si>
    <t>Gulfport Beach</t>
  </si>
  <si>
    <t>HE</t>
  </si>
  <si>
    <t>10:00-10:20</t>
  </si>
  <si>
    <t>55F, 11mph wind, 100% cloud cover</t>
  </si>
  <si>
    <t>AMOY 1, LAGU 108, RBGU 13, BLSK 229, WILL 14, ROYT 5, HERG 1, MAGO 1</t>
  </si>
  <si>
    <t>Dunedin Causeway</t>
  </si>
  <si>
    <t>Kelly Sloan</t>
  </si>
  <si>
    <t>11:15 - 11:45</t>
  </si>
  <si>
    <t>cool, sunny, moderate breeze</t>
  </si>
  <si>
    <t>REKN 5</t>
  </si>
  <si>
    <r>
      <t xml:space="preserve">239-472-3984, </t>
    </r>
    <r>
      <rPr>
        <color rgb="FF1155CC"/>
      </rPr>
      <t>ksloan@sccf.org</t>
    </r>
  </si>
  <si>
    <t>none banded, foraging on rocky edge of beach</t>
  </si>
  <si>
    <t>Captiva, Redfish Pass to Blind Pass</t>
  </si>
  <si>
    <t>8:44-11:20</t>
  </si>
  <si>
    <t>Partly coudy, 45-55F</t>
  </si>
  <si>
    <t>AMOY-2, ROTE-3, RBGU-20, LAGU-10, PAWA-1, HOFI-2, SPSA-2, AMRO-2, RBME-12, OSPR-2, MODO-1, COGR-1</t>
  </si>
  <si>
    <t>Rocky Point area.</t>
  </si>
  <si>
    <t>2H</t>
  </si>
  <si>
    <t>09:30 - 11:30</t>
  </si>
  <si>
    <t>Mostly cloudy 60° - 65° winds 10 to 15 mph gusting to 25</t>
  </si>
  <si>
    <t>REKN-14, DUNL-90, WESA-20, SAND-4</t>
  </si>
  <si>
    <t>East end of Clearwater's beach near trail.</t>
  </si>
  <si>
    <t>REKN-520, SEPL-122, WIPL-10, DUNL-500</t>
  </si>
  <si>
    <t>On trail, just past first bridge/channel east of Clearwater's beach.</t>
  </si>
  <si>
    <t>Patrick Fuller, Jeremy Conrad, Lindsay Partmiller</t>
  </si>
  <si>
    <t>717-858-1592, lpartmiller@gmail.com</t>
  </si>
  <si>
    <t xml:space="preserve">Sanibel Lighthouse to Tarpon Bay Rd. </t>
  </si>
  <si>
    <t>8:20-11:51</t>
  </si>
  <si>
    <t>sunny to PC</t>
  </si>
  <si>
    <t>SBDO-415, RUTU-2, WESA-140, BBPL-50</t>
  </si>
  <si>
    <t>Penny Jarrett</t>
  </si>
  <si>
    <t>239-634-7602  pjarrett32@yahoo.com</t>
  </si>
  <si>
    <t>FMB Beach Access 21 to Wyndham, N boundary LECWA</t>
  </si>
  <si>
    <t>1545-1700</t>
  </si>
  <si>
    <t>59 deg. partly cloudy, windy, Gulf waters amurky, foamy brown.</t>
  </si>
  <si>
    <t>RUTU-30, SPSA-2, WILL-5, BBPL-50, LESA-40</t>
  </si>
  <si>
    <t>On trail, two miles east of end of Clearwater's beach.</t>
  </si>
  <si>
    <t>red tide, several dead fish, Gulf water a thick brown</t>
  </si>
  <si>
    <t>R5</t>
  </si>
  <si>
    <t>REKN-2, BBPL-32, RBME-1, WILL-12, DUNL-42, WESA-40, LESA-40</t>
  </si>
  <si>
    <t>On trail, 2.2 miles east of end of Clearwater's beach</t>
  </si>
  <si>
    <t>Browad</t>
  </si>
  <si>
    <t>No bands/flags</t>
  </si>
  <si>
    <t>AMOY-11</t>
  </si>
  <si>
    <t>On trail, 2.8 miles east of end of Clearwater's beach. One banded AMOY.</t>
  </si>
  <si>
    <t>R(74)</t>
  </si>
  <si>
    <t>Kate Watts &amp; Trevor Watts</t>
  </si>
  <si>
    <t>305-395-1573 katherine_watts@fws.gov</t>
  </si>
  <si>
    <t>Boca Grande Key, Florida Keys National Wildlife Refuge Complex</t>
  </si>
  <si>
    <t>RUTU-10, WILL-8, DUNL-40, LESA-30, WESA-30</t>
  </si>
  <si>
    <t>On trail, 3.25 miles east of end of Clearwater's beach.</t>
  </si>
  <si>
    <t>KK</t>
  </si>
  <si>
    <t>photo available, unable to read flag code</t>
  </si>
  <si>
    <t>AMOY-40, WILL-5</t>
  </si>
  <si>
    <t>On trail, 3.4 miles east of end of Clearwater's beach. 2 banded AMOY.</t>
  </si>
  <si>
    <t>Guf</t>
  </si>
  <si>
    <t>Lime</t>
  </si>
  <si>
    <t>horizontal</t>
  </si>
  <si>
    <t>Lf</t>
  </si>
  <si>
    <t>No</t>
  </si>
  <si>
    <t>Too faded to read. One of three banded REKN in group of 19. Lf//:S</t>
  </si>
  <si>
    <t>LESA-10, WILL-62</t>
  </si>
  <si>
    <t>On trail, 3.75 miles east of end of Clearwater's beach.</t>
  </si>
  <si>
    <t>Too faded to read. Second of three banded REKN in group of 19. Lf//:S</t>
  </si>
  <si>
    <t>LAGU 46, WILL 112, SAND 1, BLSK 62, ROYT 12, RBGU 1</t>
  </si>
  <si>
    <t>EAJ</t>
  </si>
  <si>
    <t>near stand where paddleboards, kayaks are rented out</t>
  </si>
  <si>
    <t>Paula Muellner</t>
  </si>
  <si>
    <t>Draper Lake Outfall</t>
  </si>
  <si>
    <t>Code white on normal green flag. Photos taken. Resight submitted online to bandedbirds.org. Gf//:S</t>
  </si>
  <si>
    <t>1330-1350</t>
  </si>
  <si>
    <t>55F, 25% clouds,no precip, High winds ~20mph (WNW) with gusts up to 30mph</t>
  </si>
  <si>
    <t xml:space="preserve">No groups or focal species observed at site. </t>
  </si>
  <si>
    <t>YG:S//RG male WIPL</t>
  </si>
  <si>
    <t>1010-1040</t>
  </si>
  <si>
    <t>47F, 10% Clouds, no precip, High winds ~15mph WNW with gusts up to ~20mph</t>
  </si>
  <si>
    <t xml:space="preserve">2 SNPL's observed resting inside a posted area near the Lake Outfall.  One SNPL was banded, one SNPL not banded. </t>
  </si>
  <si>
    <t>V45</t>
  </si>
  <si>
    <t>S//GY:Yf//WY (code v45) PIPL. Normal PIPL in this area, often seen on multiple sites in area.</t>
  </si>
  <si>
    <t>0900-1215</t>
  </si>
  <si>
    <t>47F, 10% clouds, no precip, High winds ~15mph WNW with gusts up to ~20mph</t>
  </si>
  <si>
    <t xml:space="preserve">SNPL 3 </t>
  </si>
  <si>
    <t>Robin Diaz, Miriam Avello</t>
  </si>
  <si>
    <t xml:space="preserve">3 SNPL's observed at Western Lake Outfall, resting.  2 SNPL's banded, one SNPL unbanded. </t>
  </si>
  <si>
    <t>305-215-9000, rd4birds@bellsouth.net</t>
  </si>
  <si>
    <t>Crandon Park Beach; lifeguard stand 1&lt;-&gt;13</t>
  </si>
  <si>
    <t>T74</t>
  </si>
  <si>
    <t>bR</t>
  </si>
  <si>
    <t>FY (T74)</t>
  </si>
  <si>
    <t>X,bR:ANF(T74),YG  Banded as adult 6/7/14 Lake Oahe, SD. 2nd winter on Crandon</t>
  </si>
  <si>
    <t>3 SNPL's observed at the toe of the dune, resting. 3 SNPL's banded</t>
  </si>
  <si>
    <t>N73</t>
  </si>
  <si>
    <t>FY (N73)</t>
  </si>
  <si>
    <t>David Carson</t>
  </si>
  <si>
    <t>561-233-2442 dcarson@co.palm-beach.fl.us</t>
  </si>
  <si>
    <t>ANF(N73),RY:-,KY  Inquiry sent. 1st winter on Crandon</t>
  </si>
  <si>
    <t xml:space="preserve">Central Lake Worth Lagoon </t>
  </si>
  <si>
    <t>12:22-1:35</t>
  </si>
  <si>
    <t>Sunny, calm, 62 degrees</t>
  </si>
  <si>
    <t>AMOY 4</t>
  </si>
  <si>
    <t>On rocks waiting for tide to drop. Tide higher than optimal for survey. 12:44</t>
  </si>
  <si>
    <t>Of,OR:X,Y  Female banded 2009 at Cross Village, MI; her 7th winter on Crandon</t>
  </si>
  <si>
    <t>Feeding on rocks Tide higher than optimal for survey.12:50</t>
  </si>
  <si>
    <t>light blue (missing)</t>
  </si>
  <si>
    <t>AMOY 2</t>
  </si>
  <si>
    <t>Feeding on rocks. Tide higher than optimal for survey. 12:50</t>
  </si>
  <si>
    <t>On nesting island, South Grassy Flats.Tide higher than optimal for survey.  1:00</t>
  </si>
  <si>
    <t>AMOY 3</t>
  </si>
  <si>
    <t>Foraging on flat next to Bryant nesting island. Includes 1 chick from last year that never left. Failure to launch!  Tide higher than optimal for survey.1:30</t>
  </si>
  <si>
    <t>Carol Rizkalla, Ricardo Zambrano, Mike Yustin</t>
  </si>
  <si>
    <t>561-882-5719 ricardo.zambrano@myfwc.com</t>
  </si>
  <si>
    <t>Indian River Lagoon</t>
  </si>
  <si>
    <t>9:40-11:25</t>
  </si>
  <si>
    <t>Cool, 50 degrees, windy</t>
  </si>
  <si>
    <t>147 BRPE, 19 DCCO</t>
  </si>
  <si>
    <t>Bird Island CWA</t>
  </si>
  <si>
    <t>561-882-5712  carol.rizkalla@myfwc.com</t>
  </si>
  <si>
    <t>7 WIPL, 5 REKN, 1 SAND, 3 WILL, 3 WESA, 130 DUNL, 11 SEPL, 4 BBPL, 5 SBDO</t>
  </si>
  <si>
    <t>1 banded REKN</t>
  </si>
  <si>
    <t>FLb (missing)</t>
  </si>
  <si>
    <t>3 PIPL, 3 REKN</t>
  </si>
  <si>
    <t>X,YG:bf,GK  Banded as adult 6/5/13 near Fremont, NE. Light blue flag photographed 8/10/15 but missing as of 1/11/16. 3rd winter on Crandon</t>
  </si>
  <si>
    <t>5TH</t>
  </si>
  <si>
    <t>FG (5TH)</t>
  </si>
  <si>
    <t>---</t>
  </si>
  <si>
    <t>6 PIPL, 2 WIPL</t>
  </si>
  <si>
    <t>ANF(5TH),-:O,-  Banded as adult 6/2015 Fire Island National Seashore, NY. 1st winter on Crandon</t>
  </si>
  <si>
    <t>3 WIPL</t>
  </si>
  <si>
    <t>Of,GG:X,Y  Female hatched Ludington Beach State Park, MI; banded 2012 Sleeping Bear Dunes National Lakeshore, MI. 4th winter on Crandon</t>
  </si>
  <si>
    <t>CC2</t>
  </si>
  <si>
    <t>8 WIPL</t>
  </si>
  <si>
    <t>FG (CC2)</t>
  </si>
  <si>
    <t>O (840)</t>
  </si>
  <si>
    <t>ANF(CC2),-:O(840),-  Banded as chick 6/2014 Fire Island National Seashore, NY. 2nd winter on Crandon</t>
  </si>
  <si>
    <t>8 SNPL</t>
  </si>
  <si>
    <t>O (green dot)</t>
  </si>
  <si>
    <t>O/Y (split band)</t>
  </si>
  <si>
    <t>O(green dot),O/Y:X,-  Banded as chick 6/2015 Sleeping Bear Dunes National Lakeshore, MI. 1st winter on Crandon </t>
  </si>
  <si>
    <t>2 WIPL</t>
  </si>
  <si>
    <t>813-623-6826, apaul@audubon.org</t>
  </si>
  <si>
    <t>Barge Canal spoil islands</t>
  </si>
  <si>
    <t>R27</t>
  </si>
  <si>
    <t>1 REKN, 3 WIPL</t>
  </si>
  <si>
    <t>BRPE</t>
  </si>
  <si>
    <t>R63</t>
  </si>
  <si>
    <t>20 WIPL, 4 SNPL, 4 REKN, 1 PIPL</t>
  </si>
  <si>
    <t>P29</t>
  </si>
  <si>
    <t>W P29</t>
  </si>
  <si>
    <t>black lettering</t>
  </si>
  <si>
    <t>1 PIPL, 5 WIPL, 39 DUNL, 25 BBPL, 28 SBDO, 3 RUTU, 1 REKN</t>
  </si>
  <si>
    <t>R41</t>
  </si>
  <si>
    <t>17, 18</t>
  </si>
  <si>
    <t>2 REKN</t>
  </si>
  <si>
    <t>06</t>
  </si>
  <si>
    <t>Jaycee Park, Lake Okeechobee</t>
  </si>
  <si>
    <t>Okeechobee</t>
  </si>
  <si>
    <t>sunny, 65 degrees</t>
  </si>
  <si>
    <t>27 11 43</t>
  </si>
  <si>
    <t>-80 49 53</t>
  </si>
  <si>
    <t>175 BLSK, 145 RBGU, 90 LAGU</t>
  </si>
  <si>
    <t>using parking lot</t>
  </si>
  <si>
    <t>Stormwater Treatment Area-1W</t>
  </si>
  <si>
    <t>26 40' 36.6"</t>
  </si>
  <si>
    <t>Penny Jarrett, Jeff Mosele</t>
  </si>
  <si>
    <t>80 22' 50.8"</t>
  </si>
  <si>
    <t>FMB Beach Access 21 to Bowditch</t>
  </si>
  <si>
    <t>8:45 - 11:00</t>
  </si>
  <si>
    <t>57 degrees, overcaset</t>
  </si>
  <si>
    <t>R06</t>
  </si>
  <si>
    <t>118 AWPE</t>
  </si>
  <si>
    <t>1115-1345</t>
  </si>
  <si>
    <t>59 deg, partly cloudy, windy, Gulf waters a murky brown.</t>
  </si>
  <si>
    <t>904-527-1536
 j-r@songstar.org</t>
  </si>
  <si>
    <t>Vilano Beach from Fire Station south to Reef Restaurant</t>
  </si>
  <si>
    <t>St. Johns</t>
  </si>
  <si>
    <t>12:29 - 1:24</t>
  </si>
  <si>
    <t>red tide, a dead fish, Gulf water brown and foamy at water's edge</t>
  </si>
  <si>
    <t>Clear, 60 degrees, winds SSE 10 mph</t>
  </si>
  <si>
    <t>Steven Sauers</t>
  </si>
  <si>
    <t>941 957-3324 ssembirds@aol.com</t>
  </si>
  <si>
    <t>No groups on this section of beach</t>
  </si>
  <si>
    <t>Longboat Key Zones 0 &amp; 1</t>
  </si>
  <si>
    <t>Manatee</t>
  </si>
  <si>
    <t>08:34 - 11:36</t>
  </si>
  <si>
    <t>Partly Cloudy 54 degrees - Winds NE 2-4 mph</t>
  </si>
  <si>
    <t>GTM NERR</t>
  </si>
  <si>
    <t>1:58 - 3:33</t>
  </si>
  <si>
    <t>Clear, 65 degrees, winds SSE 10-15 mph</t>
  </si>
  <si>
    <t>37 DUNL; 20 LAGU; 34 FOTE; 13 RBGU; 5 ROYT; 3 SAND</t>
  </si>
  <si>
    <t>Low, Rising tide; red tide odor, fish kills widely scattered; bayside mudflats exposed</t>
  </si>
  <si>
    <t>Longboat Key Zone 2</t>
  </si>
  <si>
    <t>Manatee/Sarasota</t>
  </si>
  <si>
    <t>08:38 - 10:07</t>
  </si>
  <si>
    <t>Mostly Cloudy 56 degrees - Winds NW 15-20 mph</t>
  </si>
  <si>
    <t>One non-group (&lt;50 birds) along route</t>
  </si>
  <si>
    <t>Lakeside Ranch STA</t>
  </si>
  <si>
    <t>27 09' 24.6"</t>
  </si>
  <si>
    <t>80 40' 37.6"</t>
  </si>
  <si>
    <t>10:30 - 12:30</t>
  </si>
  <si>
    <t>60 degrees, sunny</t>
  </si>
  <si>
    <t>16 LAGU, 79 RBGU, 7 HERG, 1 LBBG, 23 ROYT, 1 FOTE, 3 SATE, 12 BLSK, 2 BRPE</t>
  </si>
  <si>
    <t>Longboat Key Zone 3</t>
  </si>
  <si>
    <t>08:52 - 10:12</t>
  </si>
  <si>
    <t>Sunny 52 degrees - Winds NE 5-7 mph</t>
  </si>
  <si>
    <t>2 LAGU, 7 RBGU, 12 ROYT, 3 SATE, 30 BLSK, 2 BOGU</t>
  </si>
  <si>
    <t>loop route, inland treatment wetand</t>
  </si>
  <si>
    <t>R60</t>
  </si>
  <si>
    <t xml:space="preserve">SNPL 2 </t>
  </si>
  <si>
    <t xml:space="preserve">2 SNPL's banded, resting at the toe of the dune. Both birds were banded on this day. </t>
  </si>
  <si>
    <t>Topsail Hill Preserve State Park</t>
  </si>
  <si>
    <t>1205-1315</t>
  </si>
  <si>
    <t>50F, 25% clouds,no precip, High winds ~15 mph(WNW) with gusts up to 20 mph</t>
  </si>
  <si>
    <t>0?</t>
  </si>
  <si>
    <t>Y0?</t>
  </si>
  <si>
    <t>SNPL 2, SAND 6, RBGU 1, BOGU 1</t>
  </si>
  <si>
    <t>2 SNPL's banded, foraging along Camp Powell Lake Outfall. No other birds were banded and they were resting</t>
  </si>
  <si>
    <r>
      <t xml:space="preserve">(772)334-3729 </t>
    </r>
    <r>
      <rPr>
        <color rgb="FF1155CC"/>
      </rPr>
      <t>Joe@ecological-associates.com</t>
    </r>
  </si>
  <si>
    <t>10:46 AM - 01:01 PM</t>
  </si>
  <si>
    <t>Sunny, Winds 10-15 WSW, 57 °F</t>
  </si>
  <si>
    <t>321-723-3556 Nichole Perna nichole.perna@brevardcounty.us</t>
  </si>
  <si>
    <t>SNPL 2, SAND 6</t>
  </si>
  <si>
    <t>One SNPL banded, One SNPL not banded, resting with SAND's on upper beach near Camp Powell Lake Outfall</t>
  </si>
  <si>
    <t>CX</t>
  </si>
  <si>
    <t>BL</t>
  </si>
  <si>
    <t>White lettering on blk, A66</t>
  </si>
  <si>
    <t xml:space="preserve">Watersound </t>
  </si>
  <si>
    <t>1039-1058</t>
  </si>
  <si>
    <t>FOTE 11, RUTU 2, ROYT 8, WILL 3, HERG 5, BOGU 5, DCCO 16, RBGU 1, LAGU 3</t>
  </si>
  <si>
    <t>No bands. All resting on an artificial rock structure on the bay side</t>
  </si>
  <si>
    <t>Tides: High Tide was at 7:23 AM, Low Tide was at 1:25 PM</t>
  </si>
  <si>
    <t>ROTE</t>
  </si>
  <si>
    <t>Kelly Martin, Sandra Wallace</t>
  </si>
  <si>
    <t>561-318-3550 kelly@floridaleatherbacks.com</t>
  </si>
  <si>
    <t>Jupiter Island Beaches</t>
  </si>
  <si>
    <t xml:space="preserve">No </t>
  </si>
  <si>
    <t xml:space="preserve">SNPL 1 </t>
  </si>
  <si>
    <t>One SNPL Banded, foraging along Gulf Side</t>
  </si>
  <si>
    <t>11:37-13:58</t>
  </si>
  <si>
    <t>Sunny, 65 deg, wind 12 NW</t>
  </si>
  <si>
    <t>BRPE 7, FOTE 5, RBGU 1, BOGU 21, LAGU 1, SNPL 4</t>
  </si>
  <si>
    <t>4 SNPL's all banded (see notes). All other birds in the group were resting along the Gulf Shore</t>
  </si>
  <si>
    <t>Also found 1 Black-legged kittiwake on the beach. Seawalls and one beach nourishment project blocked some small stretches of the survey.</t>
  </si>
  <si>
    <t>Martin County Line through Blowing Rocks Preserve</t>
  </si>
  <si>
    <t>13:05-13:19</t>
  </si>
  <si>
    <t>SNPL 3</t>
  </si>
  <si>
    <t>3 SNPL's observed resting at the toe of the dune. All unbanded</t>
  </si>
  <si>
    <t>Carol Rizkalla, Laura Eldridge</t>
  </si>
  <si>
    <t>561-882-5712 carol.rizkalla@myfwc.com</t>
  </si>
  <si>
    <t>Carol and Jeff Rice</t>
  </si>
  <si>
    <t>Biscayne Bay</t>
  </si>
  <si>
    <t>941-475-1017 cjlemonbay@comcast,net</t>
  </si>
  <si>
    <t>Coastal Wildlife Club, Zone 2, Manasota Key</t>
  </si>
  <si>
    <t>10:00-12:45</t>
  </si>
  <si>
    <t>Sunny, cool, calm</t>
  </si>
  <si>
    <t>One SNPL observed, unbanded</t>
  </si>
  <si>
    <t>SNPL 8, BRPE 31, RBGU 2</t>
  </si>
  <si>
    <t>08:45 - 09:15</t>
  </si>
  <si>
    <t>7 SNPL's banded (see notes), 1 SNPL unbanded</t>
  </si>
  <si>
    <t>Overcast, 60-61 degrees, winds 7-8 mph NNW</t>
  </si>
  <si>
    <t>352-384-7122 - John Martin</t>
  </si>
  <si>
    <t>352-384-7122 - John Martin john.martin@ch2m.com</t>
  </si>
  <si>
    <t>3 SNPL's banded, foraging on the Gulf Shore</t>
  </si>
  <si>
    <t>08:05 - 08:45</t>
  </si>
  <si>
    <t>Overcast, 60 degrees, winds 8 mph NNW</t>
  </si>
  <si>
    <t>FOTE 9, BOGU 4, BRPE 74, LAGU 4, DCCO 1, HERG 1</t>
  </si>
  <si>
    <t xml:space="preserve">Resting on jetty on Gulf Shore. None banded. </t>
  </si>
  <si>
    <t>8:40-11:10</t>
  </si>
  <si>
    <t>clear, 56-61 F, wind NNW 8 mph</t>
  </si>
  <si>
    <t>Pond A-A; Lake Tomroy, Pond C Transect</t>
  </si>
  <si>
    <t>Falling tide; missing today: 6 PIPL normally seen in flock of 39; wintering SNPL; wintering REKN. Large BBPL flock with small SBDO flock missing from the beach and roosting on the Government Cut jetty and/or Fisher Island</t>
  </si>
  <si>
    <t>Bob Showler</t>
  </si>
  <si>
    <t>239-695-3990 Bob_Showlier@nps.gov</t>
  </si>
  <si>
    <t>Not banded</t>
  </si>
  <si>
    <t>7:10-8:30</t>
  </si>
  <si>
    <t>Partly Ccloudy, N 5 mph</t>
  </si>
  <si>
    <t>Fort Pickens Area of Gulf Islands National Seashore South shore</t>
  </si>
  <si>
    <t>OL</t>
  </si>
  <si>
    <t>L = Black; O = Orange</t>
  </si>
  <si>
    <t>26 26' 15.91"</t>
  </si>
  <si>
    <t>80 53' 53.30"</t>
  </si>
  <si>
    <t>LBDO 80</t>
  </si>
  <si>
    <t>Y = Yellow; b = light blue</t>
  </si>
  <si>
    <t>loop route, inland treatment wetland, no bands observed</t>
  </si>
  <si>
    <t>LG</t>
  </si>
  <si>
    <t>26 24' 55"</t>
  </si>
  <si>
    <t>80 53' 40"</t>
  </si>
  <si>
    <t>G = Green</t>
  </si>
  <si>
    <t>BLSK 200</t>
  </si>
  <si>
    <t>11:00 am - 12:45 pm</t>
  </si>
  <si>
    <t>Cloudy, High wind N</t>
  </si>
  <si>
    <t>Lb</t>
  </si>
  <si>
    <t>Ob</t>
  </si>
  <si>
    <t>239-936-3350          megrousher@gmail.com</t>
  </si>
  <si>
    <t>305-395-1573 Katherine_watts@fws.gov</t>
  </si>
  <si>
    <t>Ohio Key, Florida Keys National Wildlife Refuge Complex</t>
  </si>
  <si>
    <t>YL</t>
  </si>
  <si>
    <t>1528 to 1637</t>
  </si>
  <si>
    <t>Tide low/falling, 5% cloud cover, precipitation none, calm surf, winds 4-7 mph</t>
  </si>
  <si>
    <t>239-936-3350      megrousher@gmail.com</t>
  </si>
  <si>
    <t>Long Beach, Big Pine Key, Florida Keys National Wildlife Refuge Complex</t>
  </si>
  <si>
    <t>1650 to 1825</t>
  </si>
  <si>
    <t>Mid-tide/rising, no precipitation, 0% cloud cover, calm surf, winds10-15 mph</t>
  </si>
  <si>
    <t>Not Banded</t>
  </si>
  <si>
    <t>bL</t>
  </si>
  <si>
    <t>LY</t>
  </si>
  <si>
    <t>0900 to 1040</t>
  </si>
  <si>
    <t>Low tide/rising, no precipitation, 0% cloud cover, calm surf, winds10-15 mph</t>
  </si>
  <si>
    <t>Not bended</t>
  </si>
  <si>
    <t>10:00 - 12:00</t>
  </si>
  <si>
    <t>63F, 8mph winds, 0% cloud cover</t>
  </si>
  <si>
    <t>PIPL 5, AMOY 2, WIPL 2, REKN 8, BBPL 7, SEPL 54, RUTU 2, DUNL 3, DCCO 1, HERG 3, SAND 21, RBGU 10, LAGU 12, ROYT 2, SATE 1, WILL 4, SBDO 17, LESA 10</t>
  </si>
  <si>
    <t>low tide, rising, sand flat</t>
  </si>
  <si>
    <t>Kevin Bowes</t>
  </si>
  <si>
    <t>Ft Zachary Taylor State Park</t>
  </si>
  <si>
    <t>        24.549659</t>
  </si>
  <si>
    <t>2:00 pm-2:30 pm</t>
  </si>
  <si>
    <t>Partly cloudy, 72 F, Wind NE 5 mph</t>
  </si>
  <si>
    <t>-82. 73316</t>
  </si>
  <si>
    <t>REKN 75, MAGO 1, WILL 1, SBDO 50, unk Sandpiper spp 200</t>
  </si>
  <si>
    <t>low tide, rising, sand flats unaccessible by walking</t>
  </si>
  <si>
    <t>904-945-1939  lesley_royce@me.com</t>
  </si>
  <si>
    <t>44F, 10mph winds 0% cloud cover</t>
  </si>
  <si>
    <t>Mayport</t>
  </si>
  <si>
    <t>DCCO 117, BRPE 104, Gull sp. 50, BLSK 180</t>
  </si>
  <si>
    <t>All on jetties except BLSK were on beach</t>
  </si>
  <si>
    <t>bY</t>
  </si>
  <si>
    <t>Neptune Beach</t>
  </si>
  <si>
    <t>FOTE 62, ROYT 6, SAND 6</t>
  </si>
  <si>
    <t>Scott Tedford</t>
  </si>
  <si>
    <t>Ft Pierce Inlet State Park</t>
  </si>
  <si>
    <t>St Lucie</t>
  </si>
  <si>
    <t> 27.473310</t>
  </si>
  <si>
    <t>9:00 am-10:00 am</t>
  </si>
  <si>
    <t>Sunny, 70 F, Calm</t>
  </si>
  <si>
    <t>Michael Romance</t>
  </si>
  <si>
    <t>               27 28' 25</t>
  </si>
  <si>
    <t>80 17' 24</t>
  </si>
  <si>
    <t>Curry Hammock State Park</t>
  </si>
  <si>
    <t>LAGU 36, RUTU 3, ROYT 7, SAND 3, WILL 3, BLSK 2</t>
  </si>
  <si>
    <t>8:00 am-8:30 am</t>
  </si>
  <si>
    <t xml:space="preserve">Mostly cloudy 60° - 65° winds 10 to 15 mph </t>
  </si>
  <si>
    <t> 27.473311</t>
  </si>
  <si>
    <t>No birds were seen during this survey</t>
  </si>
  <si>
    <t>               28 28' 24</t>
  </si>
  <si>
    <t>81 17' 24</t>
  </si>
  <si>
    <t>BLSK 37, ROYT 23, RBGU 2, FOTE 1, BOGU 2</t>
  </si>
  <si>
    <t>Cold and windy, 49 F, winds 22 mph WSW, gusts up to 40 mph, sunny</t>
  </si>
  <si>
    <t>Fort Zachary Taylor State Park</t>
  </si>
  <si>
    <t>2:00 pm-2:45 pm</t>
  </si>
  <si>
    <t>sunny, 70 F, Calm</t>
  </si>
  <si>
    <t>LAGU 135</t>
  </si>
  <si>
    <t>727-595-9284      sbjenks@hotmail.com</t>
  </si>
  <si>
    <t>27 50.588</t>
  </si>
  <si>
    <t>82 50.493</t>
  </si>
  <si>
    <t>27 48.712</t>
  </si>
  <si>
    <t>82 49.058</t>
  </si>
  <si>
    <t>3:45pm - 5:40pm</t>
  </si>
  <si>
    <t>Sunny, 57 degrees; Wind NE 10-15 mph</t>
  </si>
  <si>
    <t>27 50.430</t>
  </si>
  <si>
    <t>82 50.415</t>
  </si>
  <si>
    <t>LAGU 60, RBGU 8, ROTE 11, FOTE 6, RUTU 6, BBPL 7, WILL 10, REKN 26</t>
  </si>
  <si>
    <t>No bands seen on REKN since they were all sleeping among the WILL.</t>
  </si>
  <si>
    <t>Brandon Volbrecht, Allison Conboy, Alicia Bishop, Donna Bear</t>
  </si>
  <si>
    <t>27 49.461</t>
  </si>
  <si>
    <t>82 49.822</t>
  </si>
  <si>
    <t>BBPL 5, REKN 67, WILL 1, RBGU 1</t>
  </si>
  <si>
    <t>One REKN banded w/geolocator (see Datasheet 3)</t>
  </si>
  <si>
    <t>Taylor Creek STA</t>
  </si>
  <si>
    <t>27 49.399</t>
  </si>
  <si>
    <t>27 18' 17.6"</t>
  </si>
  <si>
    <t>82 49.751</t>
  </si>
  <si>
    <t>80 49' 35.8"</t>
  </si>
  <si>
    <t>REKN 17, DUNL 1, SAND 9, BBPL 1</t>
  </si>
  <si>
    <t>Two REKN banded (see Datasheet 3)</t>
  </si>
  <si>
    <t>13:20 - 14:05</t>
  </si>
  <si>
    <t>68 degrees, partly cloudy</t>
  </si>
  <si>
    <t>27 49.302</t>
  </si>
  <si>
    <t>82 49.692</t>
  </si>
  <si>
    <t>BLSK 118, ROTE 33, RBGU 30, LAGU 12, FOTE 7, SAND 3</t>
  </si>
  <si>
    <t>27 49.344</t>
  </si>
  <si>
    <t>82 49.500</t>
  </si>
  <si>
    <t>Nubbin Slough STA</t>
  </si>
  <si>
    <t>REKN 12, SAND 1</t>
  </si>
  <si>
    <t>27 12' 20.8"</t>
  </si>
  <si>
    <t>80 44' 19.2"</t>
  </si>
  <si>
    <t>14:29 - 15:22</t>
  </si>
  <si>
    <t>64 degrees, partly cloudy</t>
  </si>
  <si>
    <t>Peg Magee, Eileen Teel</t>
  </si>
  <si>
    <t>941-488-2640</t>
  </si>
  <si>
    <t>no bands, oysterbar</t>
  </si>
  <si>
    <t>CWC Turtle Patrol Zone #1</t>
  </si>
  <si>
    <t>863-655-1831 PGray@audubon.org</t>
  </si>
  <si>
    <t>27 11 46</t>
  </si>
  <si>
    <t>-80 49 48</t>
  </si>
  <si>
    <t xml:space="preserve">27 11 49 </t>
  </si>
  <si>
    <t>AMOY 3, DUNL 2, BBPL 1</t>
  </si>
  <si>
    <t>-80 50 16</t>
  </si>
  <si>
    <t>6-6:30 PM</t>
  </si>
  <si>
    <t>sunny, 70 degrees</t>
  </si>
  <si>
    <t>King's Bar, Lake Okeechobee</t>
  </si>
  <si>
    <t>27 05 12</t>
  </si>
  <si>
    <t>-80 50 04</t>
  </si>
  <si>
    <t>27 07 41</t>
  </si>
  <si>
    <t>-80 50 34</t>
  </si>
  <si>
    <t>2:30-3:30</t>
  </si>
  <si>
    <t>Paul Gray, 863-655-1831</t>
  </si>
  <si>
    <t>Lock 7, Lake Okeechobee</t>
  </si>
  <si>
    <t>BKSK</t>
  </si>
  <si>
    <t>844-76018, seen 4 times in March April and May of 2016</t>
  </si>
  <si>
    <t>LAGU 2, FOTE 36, ROYT 9, RBGU 4, RBME 10, BOGU 4</t>
  </si>
  <si>
    <t>no bands, sandbar</t>
  </si>
  <si>
    <t>AMOY 1, WILL 1</t>
  </si>
  <si>
    <t>Martin County Line to Jupiter Inlet</t>
  </si>
  <si>
    <t>15:39-15:53</t>
  </si>
  <si>
    <t>AMOY 2, BBPL 1, FOTE 1, RBGU 1, DUNL 11, PEEP-1</t>
  </si>
  <si>
    <t>Amber Collins, Chris Carstens</t>
  </si>
  <si>
    <t>561-233-2509 kmartin@pbcgov.org</t>
  </si>
  <si>
    <t>Atlantic Dunes Park to Briny Breezes</t>
  </si>
  <si>
    <t>1 banded, 1 not banded</t>
  </si>
  <si>
    <t>9:38-11:51</t>
  </si>
  <si>
    <t>Sunny, 62, very large swell</t>
  </si>
  <si>
    <t>AMOY 6, HERG 1, GBHE 1, BUFF 6</t>
  </si>
  <si>
    <t>1 AMOY banded and 5 not banded, oysterbar</t>
  </si>
  <si>
    <t>brian Garrett</t>
  </si>
  <si>
    <t>AMOY 2, DUNL 7, RUTU, 1, SAND 1</t>
  </si>
  <si>
    <t>1 AMOY banded and 1 not banded, oysterbar</t>
  </si>
  <si>
    <t>Sunny with 0%CC, no precip., Low tide rising (Low -0.7ft High at 1.4ft, start of survey -0.6ft), Surf calm, wind 8-12mph</t>
  </si>
  <si>
    <t>SNPL 4</t>
  </si>
  <si>
    <t>Group 1: 9:24am gulf shore SNPL 3 banded 1 unbanded</t>
  </si>
  <si>
    <t>SNPL 15, RBGU 1, SAND 13</t>
  </si>
  <si>
    <t>Group 2: 9:44am gulf shore SNPL 7 banded 8 unbanded</t>
  </si>
  <si>
    <t>BOGU 108, RBGU 8, ROYT 2, HERG 1</t>
  </si>
  <si>
    <t>Group 3: 955am bay shore</t>
  </si>
  <si>
    <t>inland treatment wetland</t>
  </si>
  <si>
    <t>Camille Carroll</t>
  </si>
  <si>
    <t>561-233-2452, ccarroll@pbcgov.org</t>
  </si>
  <si>
    <t>Juno Dunes Natural Area</t>
  </si>
  <si>
    <t>SNPL 5</t>
  </si>
  <si>
    <t>1515-1615</t>
  </si>
  <si>
    <t>mostly sunny, cool, breezy</t>
  </si>
  <si>
    <t>Group 4: 12:13pm gulf shore SNPL 2 banded 3 unbanded</t>
  </si>
  <si>
    <t>SNPL 7</t>
  </si>
  <si>
    <t>Group 5:12:25pm tidal flat SNPL 4 banded 3 unbanded</t>
  </si>
  <si>
    <t>little blue heron, great blue heron foraging in boat basin mud flat area</t>
  </si>
  <si>
    <t>Jupiter Ridge Natural Area</t>
  </si>
  <si>
    <t>1630-1760</t>
  </si>
  <si>
    <t>SNPL 7, BRPE 2, SAND 27</t>
  </si>
  <si>
    <t>gulf shore 10:08am SNPL 6 banded 1 unbanded</t>
  </si>
  <si>
    <t>Gulf shore 10:27am SNPL 2 unbanded (male and female)</t>
  </si>
  <si>
    <t>1 gull sp. flew over during survey</t>
  </si>
  <si>
    <t>SNPL 3, BRPE 11, RBGU 1, FOTE 19, BOGU 2, LAGU 1, SAND 44</t>
  </si>
  <si>
    <t>Sand bar, 11:00am, SNPL 2 banded 1 unbanded</t>
  </si>
  <si>
    <t>SNPL 4, FOTE 11, BRPE 11, RBGU 4, BOGU 10</t>
  </si>
  <si>
    <t>High tide at 9:55 a.m. Survey 12:22-1:35. Tide higher than optimal for survey. Some flats/rocks still under water.</t>
  </si>
  <si>
    <t>Gulf shore, 11:38am, SNPL 3 banded 1 unbanded</t>
  </si>
  <si>
    <t>Juno Beach Pier to Jupiter Inlet</t>
  </si>
  <si>
    <t>15:15-15:56</t>
  </si>
  <si>
    <t>Gulf shore, 11:49am, SNPL 1 banded</t>
  </si>
  <si>
    <t>11:40AM-12:30PM</t>
  </si>
  <si>
    <t>62, overcast</t>
  </si>
  <si>
    <t>Gulf shore, 12:13pm, SNPL 1 banded 1 unbanded</t>
  </si>
  <si>
    <t>RBGU 10, HERG 1, ROYT 3, FOTE 2, SAND 71, DUNL 10</t>
  </si>
  <si>
    <t>Gulf shore, 12:36pm</t>
  </si>
  <si>
    <t>No bands sighted.</t>
  </si>
  <si>
    <t>SAND 42, DUNL 12, WILL 1, BBPL 3, HERG 12, RBGU 11, LAGU 1, BOGU 1</t>
  </si>
  <si>
    <t>Bay shore, 12:22pm</t>
  </si>
  <si>
    <t>1:00PM-2:30PM</t>
  </si>
  <si>
    <t>64 F, Sunny</t>
  </si>
  <si>
    <t>SNPL 5, PIPL 2, SAND 2</t>
  </si>
  <si>
    <t>Gulf shore, 12:40pm, SNPL 2 banded 1 unbanded, PIPL 1 banded 1 unbanded</t>
  </si>
  <si>
    <t>Gulf shore, 13:04, SNPL 1 unbanded</t>
  </si>
  <si>
    <t>BOGU 5, RBGU 4, HERG 2, SAND 85</t>
  </si>
  <si>
    <t>Gulf Shore, 13:09</t>
  </si>
  <si>
    <t>11:45 AM-12:15AM</t>
  </si>
  <si>
    <t>BRPE 60, HERG 5, BBPL 3, RBGU 10, ROYT 4, RUTU 4, BOGU 4, SAND 27, FICR 2, LAGU 5, DCCO 1</t>
  </si>
  <si>
    <t>Sand Spit, 13:22 at very tip</t>
  </si>
  <si>
    <t>Patrick Leary</t>
  </si>
  <si>
    <t>904-206-6861</t>
  </si>
  <si>
    <t xml:space="preserve">Nassau County marshes Amelia River </t>
  </si>
  <si>
    <t xml:space="preserve">Nassau </t>
  </si>
  <si>
    <t>0900 - 1145</t>
  </si>
  <si>
    <t xml:space="preserve">Clear, W-SW&lt;10 60s High 1113 (6.15 ft.) Amelia City </t>
  </si>
  <si>
    <t>30 RUTU, 175 DUNL, 20 WESA, 1 REKN 14 BRPE, 4 LAGU, 1 HEGU, 8 RBGU, 6 DCCO</t>
  </si>
  <si>
    <t xml:space="preserve">City Marina south dock roost </t>
  </si>
  <si>
    <t xml:space="preserve">&lt; 10 shorebirds on flat, 1 GBHE, 2 HOGB, 6 RBME in adjoining waters </t>
  </si>
  <si>
    <t>spoil island flats essentially vacant and no waders roosting in snags</t>
  </si>
  <si>
    <t>10:30AM-11:15 AM</t>
  </si>
  <si>
    <t xml:space="preserve">30 Scaup species, 1 RTLO </t>
  </si>
  <si>
    <t>marsh waters between No. 2 and 4</t>
  </si>
  <si>
    <t>Melissa Ochoa</t>
  </si>
  <si>
    <t>702-358-2743 melissaochoa77@gmail.com</t>
  </si>
  <si>
    <t>46 WILL on marsh edge</t>
  </si>
  <si>
    <t>Sloan's Curve-Lake Worth Pier</t>
  </si>
  <si>
    <t>1545-1725</t>
  </si>
  <si>
    <t>Sunny, 63 deg, wind NW 15</t>
  </si>
  <si>
    <t>11 TRHE, 57 SNEG, 2 GREG</t>
  </si>
  <si>
    <t>all roosting in snag over water</t>
  </si>
  <si>
    <t xml:space="preserve">Active beach nourishment dredging project on northern half of this site which affected survey.  Dredging discharge attracts birds but heavy equipment is disruptive. No banded birds. </t>
  </si>
  <si>
    <t>Paul Davis</t>
  </si>
  <si>
    <t>561-267-0397 pwdavis9@gmail.com</t>
  </si>
  <si>
    <t>Lakeworth Pier- Lantana Beach</t>
  </si>
  <si>
    <t>26 36' 46"</t>
  </si>
  <si>
    <t>-80 02' 11'</t>
  </si>
  <si>
    <t>26 35' 02"</t>
  </si>
  <si>
    <t>-80 02' 15"</t>
  </si>
  <si>
    <t>1530-1630</t>
  </si>
  <si>
    <t>Partly Sunny, 68 deg, wind WNW 10-15</t>
  </si>
  <si>
    <t xml:space="preserve">no shorebirds on shore or back beach flats - 1 BUFL, 2 RTLO, 1 COLO, 1 WOST, 1 TRHE, 6 SNEG, 2 GREG, </t>
  </si>
  <si>
    <t>roosting in marsh edge or on sound waters fronting island</t>
  </si>
  <si>
    <t>~15 people on the beach. No dogs or vehicles during survey.  Much of the survey is seawalled and raked by tractors.No banded birds.</t>
  </si>
  <si>
    <t>Ricardo Zambrano</t>
  </si>
  <si>
    <t>561-882-5719</t>
  </si>
  <si>
    <t>Ocean Reef to McArthur State Park</t>
  </si>
  <si>
    <t>24 BLSK, 100 BRPE, 1 GBHE, 35 SNEG, 4 TRHE, 1 GREG, 30 RBGU and 25LAGU</t>
  </si>
  <si>
    <t>All crowded on bank in lee of wind</t>
  </si>
  <si>
    <t>3:25-3:55</t>
  </si>
  <si>
    <t>clear, 69 degrees F, wind W 15 mph</t>
  </si>
  <si>
    <t xml:space="preserve">16 GRYE, 40 WILL, 1 TRHE, 2 RBME </t>
  </si>
  <si>
    <t>1 northern gannet offshore</t>
  </si>
  <si>
    <t>roosting on low rake on edge of marsh west bank of river</t>
  </si>
  <si>
    <t>Rick Schofield, Chuck Weber</t>
  </si>
  <si>
    <t>Stormwater Treatment Area -1E</t>
  </si>
  <si>
    <t xml:space="preserve">15 WILL, 2 GRYE, 1 TRHE, 4 SNEG, 100 AWPE, 40 DCCO, </t>
  </si>
  <si>
    <t>large shell rake opposite Rayonier treatment ponds</t>
  </si>
  <si>
    <t>2 SPSA</t>
  </si>
  <si>
    <t>SPSA on bridge bumper railings</t>
  </si>
  <si>
    <t>Rick Schofield, Susan McKemy</t>
  </si>
  <si>
    <t>Stormwater Treatment Area-2</t>
  </si>
  <si>
    <t>120 AMOY, 16 BBPL, 55 WILL, 500 (est) intergrated small shorebirds including: SBDO, DUNL, WESA, RUTU - 4 ROYT, 45 RBGU, ? FOTE, 24 DCCO</t>
  </si>
  <si>
    <t>7:30 - 12:00</t>
  </si>
  <si>
    <t>AMOY bands present but collected and reported on other surveys</t>
  </si>
  <si>
    <t>Cold, Overcast becoming sunny</t>
  </si>
  <si>
    <t xml:space="preserve">37 AMOY, 12 WILL, 950 (est) integrated small shorebirds including: BBPL. SBDO, RUTU, DUNL, WESA - 1 BRPE, 5 DCCO </t>
  </si>
  <si>
    <t>est derived via counting nos.in one segment of dock and extrapolating total dock occupation</t>
  </si>
  <si>
    <t>175 AWPE, 30 BRPE, 16 BUFL in water</t>
  </si>
  <si>
    <t>Sarah Waddell</t>
  </si>
  <si>
    <r>
      <rPr>
        <color rgb="FF1155CC"/>
      </rPr>
      <t>sarah.waddell@dep.state.fl.us</t>
    </r>
    <r>
      <t xml:space="preserve"> 561-624-6950</t>
    </r>
  </si>
  <si>
    <t>John D MacArthur Beach State Park</t>
  </si>
  <si>
    <t>26 50' 11.17</t>
  </si>
  <si>
    <t>80 2'28.69</t>
  </si>
  <si>
    <t>26 48'51.76</t>
  </si>
  <si>
    <t>80 2'7.97</t>
  </si>
  <si>
    <t>1 pm - 2 pm</t>
  </si>
  <si>
    <t>Sunny, wind 10 mph N</t>
  </si>
  <si>
    <t xml:space="preserve">13 AMOY, 125 WILL, 14 GRYE and est 800 integrated small shorebirds including: BBPL, SBDO, RUTU, DUNL, WESA - 32 RBGU, 2 ROYT, 60 DCCO, 1 GBHE </t>
  </si>
  <si>
    <t>shorebirds densely massed along narrow dock problematic to count by species</t>
  </si>
  <si>
    <t>Amber Collins, Simoni Castro, Chris Carstens, Lucas Coffield</t>
  </si>
  <si>
    <t>Southern Blvd to Lake Worth Inlet (Palm Beach)</t>
  </si>
  <si>
    <t xml:space="preserve">Palm Beach </t>
  </si>
  <si>
    <t>14:43-16:42</t>
  </si>
  <si>
    <t>Sunny, 62</t>
  </si>
  <si>
    <t xml:space="preserve">62 SNEG roosing in front of bulkhear in lee of wind </t>
  </si>
  <si>
    <t>Philip Schaeffer, Margaret Schaeffer</t>
  </si>
  <si>
    <t>727-346-8375 kenwoodphil@gmail.com</t>
  </si>
  <si>
    <t>North Shore Park, St Petersburg</t>
  </si>
  <si>
    <t>Kelly Martin, Simoni Castro</t>
  </si>
  <si>
    <t>South Lake Worth Inlet to Briny Breezes</t>
  </si>
  <si>
    <t>8:55am - 9:40am</t>
  </si>
  <si>
    <t>Sunny, light wind (0-3), 56 degrees, low tide</t>
  </si>
  <si>
    <t>10:00-11:23</t>
  </si>
  <si>
    <t>75 BLSK</t>
  </si>
  <si>
    <t>Atlantic Coast from SR 40 north to Flagler County line.</t>
  </si>
  <si>
    <t>0845 - 1245</t>
  </si>
  <si>
    <t>56 degrees, winds west, 18 to 25 knots</t>
  </si>
  <si>
    <t>Anclote Key Preserve State Park, north route</t>
  </si>
  <si>
    <t>RBGU, 39; HEGU, 2; LAGU, 14; ROTE, 8; RUTU, 1; REKN, 12</t>
  </si>
  <si>
    <t>Mixed flock on the beach loafing. REKN feeding at water's edge.</t>
  </si>
  <si>
    <t>9:20 - 10:09</t>
  </si>
  <si>
    <t>56 degrees, winds west , 18 to 25 knots</t>
  </si>
  <si>
    <t xml:space="preserve">RBGU, 20; LAGU, 50; HEGU, 2; ROTE, 6, RUTU, 3; </t>
  </si>
  <si>
    <t>Mixed flock on the beach loafing.</t>
  </si>
  <si>
    <t>Atlantic Coast from SR 40 to Flagler County line.</t>
  </si>
  <si>
    <t>56 degrees, winds west, 18 to 25 knots.</t>
  </si>
  <si>
    <t>RBGU, 34; LAGU, 300; HEGU, 6; BLSK, 56; ROTE, 10; REKN, 14; RUTU, 3; SAND, 1</t>
  </si>
  <si>
    <t xml:space="preserve">strong north wind </t>
  </si>
  <si>
    <t>State Park (W-BSSSP)</t>
  </si>
  <si>
    <t>Sunny &amp; clear, 50 degrees, 15 mph</t>
  </si>
  <si>
    <t>LAGU, 73; BLSK, 69; ROTE, 18; FOTE, 3; SAND, 8</t>
  </si>
  <si>
    <t xml:space="preserve">RBGU, 7; LAGU, 145; BLSK, 190; ROTE, 31; FOTE, 3; </t>
  </si>
  <si>
    <t>RBGU, 9; LAGU, 3; BLSK, 17; ROTE, 9; REKN, 47</t>
  </si>
  <si>
    <t>Atlantic Coast from SR 40 south to the north side of Ponce Inlet</t>
  </si>
  <si>
    <t>1400 - 1830</t>
  </si>
  <si>
    <t>RBGU, 55; LAGU, 170; ROTE, 18; FOTE, 3</t>
  </si>
  <si>
    <t>South side Hudson Beach</t>
  </si>
  <si>
    <t>RBGU, 8; LAGU, 110; HEGU, 19; BLSK, 10; RUTU, 4; SAND, 6; BRPE, 4</t>
  </si>
  <si>
    <t>8:00am -9:00am</t>
  </si>
  <si>
    <t>Sunny &amp; clear, 60 degrees, 10 mph winds</t>
  </si>
  <si>
    <t>727 469-4205</t>
  </si>
  <si>
    <t>900-1000</t>
  </si>
  <si>
    <t>60f, 8mph SW, low tide, clear</t>
  </si>
  <si>
    <t>DCCO 250, BRPE 2, RBGU, HEGU, GBHE, PEFA, SAND 2,</t>
  </si>
  <si>
    <t>Atlantic Coast from SR 40 south to the north side of Ponce Inlet.</t>
  </si>
  <si>
    <t>HEGU, 9; LAGU, 71; SAND, 6; RUTU, 4</t>
  </si>
  <si>
    <t>Mixflock on the beach loafing.</t>
  </si>
  <si>
    <t>Cloudy, 50 degrees, 20 mph winds</t>
  </si>
  <si>
    <t>SAND 11, REEG 3 (2 white morph), GREG 1</t>
  </si>
  <si>
    <t>Peregrine moving ahead of us</t>
  </si>
  <si>
    <t>Atlantic coast from SR 40 south to the north side of Ponce Inlet.</t>
  </si>
  <si>
    <t>LAGU, 36; RBGU, 21; ROPI, 19; SAND, 4; RUTU, 1</t>
  </si>
  <si>
    <t>Mixed flock on the beach loafing. Rock Pigeons feeding.</t>
  </si>
  <si>
    <t>Sunny &amp; clear, 60 degrees, no wind</t>
  </si>
  <si>
    <t>DCCO 14, AMOY 2</t>
  </si>
  <si>
    <t>DUNL 45, SAND 6, PIPL 8, BBPL 2, SPPL 2</t>
  </si>
  <si>
    <t>RUTU 2, SAND 18, DUNL 14, PIPL 2</t>
  </si>
  <si>
    <t>RBGU, 11; LAGU, 67; HEGU, 26; ROTE, 7; FOTE, 4; SAND, 5; BBPL, 1</t>
  </si>
  <si>
    <t xml:space="preserve"> Wanda Dean, Judy Trehy</t>
  </si>
  <si>
    <t>727-321-3995 wdeanfl@gmail.com</t>
  </si>
  <si>
    <t>Blind Pass, Upham Bch., to Don Cesar, St. Pete. Beach</t>
  </si>
  <si>
    <t>Atlantic coast from SR 40 south to the north side of Ponce Inlet</t>
  </si>
  <si>
    <t>8:00 am - 11:17 am</t>
  </si>
  <si>
    <t>Sunny, cloudless, 49 deg., no wind, mid tide level</t>
  </si>
  <si>
    <t>56 dgress, winds west, 18 to 25 knots.</t>
  </si>
  <si>
    <t>RBGU, 34; HEGU, 60; LAGU, 80; GBBG, 3; ROTE, 17; FOTE, 4; SAND, 10; RUTU, 6</t>
  </si>
  <si>
    <t>1015-1200</t>
  </si>
  <si>
    <t>60f, 15mph SW, incoming tide, clear</t>
  </si>
  <si>
    <t>ROTE 21, DCCO 20, LAGU 300, HEGU 28, CATE 1, AMOY 2, RUTU 2, SAND 3, BBPL 3, RBGU 1</t>
  </si>
  <si>
    <t>Least # of birds personally surveyed on this route for years.  The # of people were the fewest despite beautiful conditions and constant warming from 49 degrees to the 60's by the end of survey.  However, two rake tractors, two large trucks, one turtle rescue truck movement and the ongoing cleanup of the beach from the previous windy days and high waves washing tires, rugs, etc., ashore greatly contributed to lack of count.</t>
  </si>
  <si>
    <t>DUNL 50, PIPL 13, WIPL 1, SPPL 3</t>
  </si>
  <si>
    <t>2 banded PIPL</t>
  </si>
  <si>
    <t xml:space="preserve">DUNL 38, SAND 12, LESP 16, RUTU 2, WESP 9, PIPL 13, SPPL 10, BBPL 3, </t>
  </si>
  <si>
    <t xml:space="preserve">1 banded PIPL </t>
  </si>
  <si>
    <t>SNPL 3, BBPL 6, SAND 5, RUTU 2, WIPL 1, LEYL 1, DUNL 1, FOTE 1</t>
  </si>
  <si>
    <t>DCCO 350, BRPE 4, RBGU 12, ROTE 1, HEGU 3, LAGU 70, SAND 3, RUTU 1,</t>
  </si>
  <si>
    <t>LAGUs have black heads</t>
  </si>
  <si>
    <t>LAGU, 45; HEGU, 1; ROTE, 11; BLSK, 2; SAND, 9</t>
  </si>
  <si>
    <t>Mixed flock on the beach loafing. SAND feeding at water's edge.</t>
  </si>
  <si>
    <t>very low tide, 25 trucks/cars, 8 boats near shore.</t>
  </si>
  <si>
    <t>Bonnie Jenks     Wendy Meehan</t>
  </si>
  <si>
    <t>LAGU, 320; RBGU, 35; ROTE, 4; FOTE, 1; SAND, 9</t>
  </si>
  <si>
    <t>Sunny, 47 degrees.  Wind NE @5mph.</t>
  </si>
  <si>
    <t>LAGU, 350; HEGU, 85; GBBG, 4; LBBG, 1; ROTE, 4; SAND, 12</t>
  </si>
  <si>
    <t>Low tide; both wrack line and shoreline heavy with sea grasses, sometimes in thick mounds like straw.  Saw 2 dead common loons and a puffer fish along the route.</t>
  </si>
  <si>
    <t>Sunny, 57 degrees; Wind NE @10-15 mph</t>
  </si>
  <si>
    <t>HEGU, 325; LAGU, 40; GBBG, 2; SAND, 17</t>
  </si>
  <si>
    <t>High tide falling.  High surf.  Only encountered a couple dozen people along beach.  Blustery.</t>
  </si>
  <si>
    <t>HEGU, 92; LAGU, 500; RBGU, 70; FOTE, 3, SAND, 8</t>
  </si>
  <si>
    <t>HEGU, 70; RBGU, 10; LAGU, 30; FOTE, 5; SAND, 20</t>
  </si>
  <si>
    <t>HEGU, 185; LAGU, 400; RBGU, 120; GBBG, 4; LBBG, 2; SAND, 20</t>
  </si>
  <si>
    <t>HEGU, 52; LAGU, 400; RBGU,100; SAND, 20</t>
  </si>
  <si>
    <t>RBGU, 120; LAGU, 560; HEGU, 60; SAND, 40</t>
  </si>
  <si>
    <t>Low incoming tide. No walkers</t>
  </si>
  <si>
    <t>56 degrees, wind west, 18 to 25 knots.</t>
  </si>
  <si>
    <t>LAGU, 370; RBGU, 80; HEGU, 20; SAND, 12</t>
  </si>
  <si>
    <t xml:space="preserve">Atlantic coast from SR 40 south to the north side of Ponce Inlet. </t>
  </si>
  <si>
    <t>56 degrees, wins west, 18 to 25 knots.</t>
  </si>
  <si>
    <t>LAGU, 160; RBGU, 110; SAND, 40</t>
  </si>
  <si>
    <t>LAGU, 400; RBGU, 160; HEGU, 10; SAND, 20</t>
  </si>
  <si>
    <t>HEGU, 30; RBGU, 30; LAGU, 110; ROTE, 15; FOTE, 9; SAND, 8</t>
  </si>
  <si>
    <t>peregrine falcon moving ahead of observers</t>
  </si>
  <si>
    <t>HEGU, 38; RBGU, 200; LAGU, 300; ROTE, 6; FOTE, 4; SAND, 40</t>
  </si>
  <si>
    <t>RBGU, 38; HEGU, 75; LAGU, 120; ROTE, 3; FOTE, 2; BLSK, 1; WILL, 1; SAND, 2</t>
  </si>
  <si>
    <t>Mixed flock on the beach loafing. SAND and WILL feeding at water's edge.</t>
  </si>
  <si>
    <t>RBGU, 40; LAGU, 30; HEGU, 17; GBBG, 4; LBBG, 1; FOTE, 7; WILL, 4; SAND, 12</t>
  </si>
  <si>
    <t>Mixed flock on the beach. SAND &amp; WILL feeding at water's edge.</t>
  </si>
  <si>
    <t>0830 -1000</t>
  </si>
  <si>
    <t>50 deg lt breeze clear rising low tide</t>
  </si>
  <si>
    <t>Boca Raton North Beach Highland Beach Border south to North Border of South Beach Park</t>
  </si>
  <si>
    <t>11:40AM - 12:30PM</t>
  </si>
  <si>
    <t>62 F, overcast</t>
  </si>
  <si>
    <t>RBGU 19; Royal Tern 17; sanderling 2</t>
  </si>
  <si>
    <t>No bands, Largest flock found on the beach that day.</t>
  </si>
  <si>
    <t>rising lo tide, heavy wrack</t>
  </si>
  <si>
    <t>561-544-8613, Krusenko@myboca.us</t>
  </si>
  <si>
    <t>10:30AM-11:15AM</t>
  </si>
  <si>
    <t>64 F, sunny</t>
  </si>
  <si>
    <t>Royal Tern 4; RBGU 24; Sanderling 24</t>
  </si>
  <si>
    <t>No bands Largest flock found that day.</t>
  </si>
  <si>
    <r>
      <rPr>
        <color rgb="FF1155CC"/>
      </rPr>
      <t>352-455-8993</t>
    </r>
    <r>
      <t xml:space="preserve"> hshort@audubon.org</t>
    </r>
  </si>
  <si>
    <t>10:00 - 10:20</t>
  </si>
  <si>
    <t>55F, 11mph winds, 100% cloud cover</t>
  </si>
  <si>
    <t>SEPL 3, WILL 1, BBPL 3, DCCO 33, HERG 2, RBGU 9, AWPE 29, BRPE 3</t>
  </si>
  <si>
    <t>9:35am, bay flat</t>
  </si>
  <si>
    <t>mid-tide</t>
  </si>
  <si>
    <t>SEPL 12, WIPL 1, LESA 7, WILL 10, BBPL 4, GRYE 1, DUNL 3, LAGU 2</t>
  </si>
  <si>
    <t>10:39am, bay flat, WIPL 1 unbanded</t>
  </si>
  <si>
    <t>BBPL 9, DUNL 37, WILL 3, RBGU 2, SAND 3, FOTE 1, GRYE 7</t>
  </si>
  <si>
    <t>11:25am, bay flat</t>
  </si>
  <si>
    <t>mid-tide, about 15 people walking along the beach, 29 cars parked or driving along beach</t>
  </si>
  <si>
    <t>850-647-8238 pelican@fairpoint.net</t>
  </si>
  <si>
    <t>Sun/ 44F/low tide/rising/</t>
  </si>
  <si>
    <t>SNPL  1</t>
  </si>
  <si>
    <t>banded male</t>
  </si>
  <si>
    <t>Bonfire Beah</t>
  </si>
  <si>
    <t>Sun/44F/low tide/rising</t>
  </si>
  <si>
    <t>SNPL  3</t>
  </si>
  <si>
    <t>1 banded m + 1 f +1 m no bds.</t>
  </si>
  <si>
    <t>low tide, rising. 27 people walking shoreline, none on flats.</t>
  </si>
  <si>
    <t>2/816</t>
  </si>
  <si>
    <t>John Hood</t>
  </si>
  <si>
    <t>727-461-4762 jhood2@tampabay.rr.com</t>
  </si>
  <si>
    <t>south Clearwater bech</t>
  </si>
  <si>
    <t>27.5,50.94</t>
  </si>
  <si>
    <t>0830-1100</t>
  </si>
  <si>
    <t>sunny, wind 5mph south, 65degree</t>
  </si>
  <si>
    <t>SAND 61,BOPG 12, HEGU 2,RBGU 4, LAGU 2,FOTE 2,ROYT 2, RUTU 2</t>
  </si>
  <si>
    <t>850-647-8238  pelican@fairpoint.net</t>
  </si>
  <si>
    <t>tide mid and rising</t>
  </si>
  <si>
    <t>Sun/45F/low tide/rising</t>
  </si>
  <si>
    <t>LAGU 38,SAND 2, RBGU 10, HEGU 2</t>
  </si>
  <si>
    <t>Fort De soto Park Bird Sanctuary</t>
  </si>
  <si>
    <t>Fort De soto Park North Beach Lagoon</t>
  </si>
  <si>
    <t>SNPL 19</t>
  </si>
  <si>
    <t>15 banded  4 no bds</t>
  </si>
  <si>
    <t>850-647-8238 pelican@fairppoint.net</t>
  </si>
  <si>
    <t>Sun/58F/calm /low tide/rising</t>
  </si>
  <si>
    <t>727-385-4458-</t>
  </si>
  <si>
    <t>Sun/50F/high seas/slight breeze/rising</t>
  </si>
  <si>
    <t>REKN 6, BBPL 2</t>
  </si>
  <si>
    <t>1 REKN banded/feeding</t>
  </si>
  <si>
    <t>3:30 - $;20</t>
  </si>
  <si>
    <t>BRPE 7, RBGU 28, HERG 9, LAGU 16, SAND 6, ROYT 9, FOTE 13</t>
  </si>
  <si>
    <t>727-385--4458 peter_plage@fws.gov</t>
  </si>
  <si>
    <t>Treasure Island Beach</t>
  </si>
  <si>
    <t xml:space="preserve">7:35 - 8:35 </t>
  </si>
  <si>
    <t>Partly Cloudy, NE-10, Cool</t>
  </si>
  <si>
    <t>Low, incoming tide. Beach walkers seemed to have little inpact.</t>
  </si>
  <si>
    <t>banded</t>
  </si>
  <si>
    <t>Lassing Park, St Petersburg</t>
  </si>
  <si>
    <t>10:35am - 11:35am</t>
  </si>
  <si>
    <t>Sunny, light wind (5-7), 61 degrees, low tide</t>
  </si>
  <si>
    <t>o</t>
  </si>
  <si>
    <t>SNPL 1, BBPL 1</t>
  </si>
  <si>
    <t>Sunny, clear skies. Winds from the NE/W at 5-10 knts.</t>
  </si>
  <si>
    <t>low tide, wrack heavy with seagrass, sargassum, and abalone shells. A dead dolphin was washed ashore near 5th avenue and the police along with marine rescue were investigating. The carcass attracted a lesser black backed gull as well as several ring-billeds and laughing gulls. It appeared to have been deceased for several weeks.</t>
  </si>
  <si>
    <t>SNPL 10, SAND 4</t>
  </si>
  <si>
    <t>6 Banded</t>
  </si>
  <si>
    <t>Treasure Island</t>
  </si>
  <si>
    <t>27.7806N</t>
  </si>
  <si>
    <t>-82.78316W</t>
  </si>
  <si>
    <t>27.7385N</t>
  </si>
  <si>
    <t>-82.75664W</t>
  </si>
  <si>
    <t>partly cloudy 56 Wind NNW 15-20mph</t>
  </si>
  <si>
    <t>SNPL 4, PIPL 4, SAND 18</t>
  </si>
  <si>
    <t>3 Banded, 1 Banded</t>
  </si>
  <si>
    <t>SNPL 15, RUTU 2, WILL 1, SAND 19</t>
  </si>
  <si>
    <t>13 Banded</t>
  </si>
  <si>
    <t>Tide mid &amp; rising</t>
  </si>
  <si>
    <t xml:space="preserve">Pinellas </t>
  </si>
  <si>
    <t>SNPL 2, SAND 12, WILL 19, RUTU 2</t>
  </si>
  <si>
    <t>2 Banded</t>
  </si>
  <si>
    <t>727-871-1082  tandl1621@gmail.com</t>
  </si>
  <si>
    <t>Ft Desoto Park east beach turnaround to Bay Pier</t>
  </si>
  <si>
    <t>Sunny/ Blustery</t>
  </si>
  <si>
    <t>RUTU 12, WILL 3, BBPL 2, FOTE 8, HERG 39, SAND 8, RBGU 7, BRPE 3</t>
  </si>
  <si>
    <t>PIPL 2, BBPL 3, WILL 17, SAND 41, DUNL 2, LESA 1, SEPL 10, BOGU 1, RUTU 1</t>
  </si>
  <si>
    <t xml:space="preserve">All flushed by banded PEFA </t>
  </si>
  <si>
    <t>HERG 3, FOTE 2, WILL 23, SAND 71, RBGU 4, RUTU 1, BBPL 1</t>
  </si>
  <si>
    <t>Two sessions, morning by car at low tide, afternoon by bike on trail at high tide. At high tide clusters of shorebirds were found where trail had grassy areas between trail and rocks at edge of bay, also along Clearwater's beach. Bob and Denise surveyed by car the route east of the main bridge up to Rocky Point and did not find additions to the morning survey.</t>
  </si>
  <si>
    <t>Escribano Point WMA</t>
  </si>
  <si>
    <t>Santa Rosa</t>
  </si>
  <si>
    <t>9:05am-14:55pm</t>
  </si>
  <si>
    <t>AMOY 2, BOGU 3</t>
  </si>
  <si>
    <t>No precip. 0% CC, wind 8-12mph, surf moderate chop, tide low falling (start at -0.3ft, low at -0.3ft, high 1.1ft).</t>
  </si>
  <si>
    <t xml:space="preserve">No precip. 0% CC, wind 8-12mph, surf moderate chop, tide low falling (start at -0.3ft, low at -0.3ft, high 1.1ft). No people, no boats. BAEA 2, NOHA 1. Raccoon tracks 1. </t>
  </si>
  <si>
    <t>Beth and Fred Locke</t>
  </si>
  <si>
    <t>Manasota Beach Zone 7</t>
  </si>
  <si>
    <t>9:00 -10:15 AM</t>
  </si>
  <si>
    <t>partly sunny;wind 17 mph from North 55 degree</t>
  </si>
  <si>
    <t xml:space="preserve">AMOY 2 </t>
  </si>
  <si>
    <t>Flushed multiple times by 3 bikers</t>
  </si>
  <si>
    <t>Venice Beach Nourishment Project</t>
  </si>
  <si>
    <t>10:45AM - 2:10PM</t>
  </si>
  <si>
    <t>59 degrees F, Partly Cloudy, Winds South @ 10mph</t>
  </si>
  <si>
    <t>SAND 16, BBPL 1, BOGU 206, LAGU 1, ROYT 1, FOTE 5</t>
  </si>
  <si>
    <t>PIPL 2, SAND 30, WILL 1, FOTE 2</t>
  </si>
  <si>
    <t>1 Banded PIPL</t>
  </si>
  <si>
    <t xml:space="preserve">RED TIDE EVENT WITH LARGE NUMBER OF DEAD FISH ON BEACH.  </t>
  </si>
  <si>
    <r>
      <t xml:space="preserve">Brenda </t>
    </r>
    <r>
      <rPr>
        <b/>
      </rPr>
      <t>Bossman</t>
    </r>
  </si>
  <si>
    <t>1345-1445</t>
  </si>
  <si>
    <t>Mostly Cloudy 63 - Winds WNW @23 MPH</t>
  </si>
  <si>
    <t>941-475-1017 cjlemonbay@comcast.net</t>
  </si>
  <si>
    <t xml:space="preserve">SNPL 4 </t>
  </si>
  <si>
    <t>All banded</t>
  </si>
  <si>
    <t>0930-1015</t>
  </si>
  <si>
    <t>partly sunny, 58 deg, W winds, mild red tide, med surf</t>
  </si>
  <si>
    <t>SNPL 3, RUTU 4, PIPL 1</t>
  </si>
  <si>
    <t>1 SNPL banded, PIPL banded</t>
  </si>
  <si>
    <t>incoming tide, mild red tide...several species of dead fish on the beach.</t>
  </si>
  <si>
    <t>3 banded</t>
  </si>
  <si>
    <t>Siesta Public Beach to Point of Rocks</t>
  </si>
  <si>
    <t>8:06-9:24 AM</t>
  </si>
  <si>
    <t>Dead fish on shore, red tide</t>
  </si>
  <si>
    <t>Pt. cloudy, 62F, 5mph SW. mod. red tide</t>
  </si>
  <si>
    <t>352-334-4203 katharine.malachowski@myfwc.com</t>
  </si>
  <si>
    <t>rising mid-tide, many dead fish and throat irritation from red tide, some birds eating dead fish (SAND, RUTU, RBGU)</t>
  </si>
  <si>
    <t>1030-1430</t>
  </si>
  <si>
    <t>Clear. Sunny. 0% CC.Wind 0-10mph</t>
  </si>
  <si>
    <t>Manasota Key CWC Zone 5</t>
  </si>
  <si>
    <t>AMOY 2, WILL 4</t>
  </si>
  <si>
    <t>Unbanded</t>
  </si>
  <si>
    <t>11:36AM - 11:46AM</t>
  </si>
  <si>
    <t>AMOY 2, WILL 14, CATE 1, RBGU 3, DUNL 120, FOTE 2</t>
  </si>
  <si>
    <t>1 Banded AMOY</t>
  </si>
  <si>
    <t>No birds observed. Rising mid-tide, many dead fish and throat irritation from red tide.</t>
  </si>
  <si>
    <t>AMOY 4, WESA 180, DUNL 140, REKN 1, Dowitcher sp. 12, RUTU 8, BBPL 68</t>
  </si>
  <si>
    <t>2 Banded AMOY</t>
  </si>
  <si>
    <t>Midtide rising. About 50 people walking the beach. Wind 14 mph, 50F. Many dead fish, various sealife scattered along beach.</t>
  </si>
  <si>
    <t>JOHN LEON</t>
  </si>
  <si>
    <t>jozn57@gmail.com</t>
  </si>
  <si>
    <t>Coastal Wildlife
Club Zone 3&amp;4</t>
  </si>
  <si>
    <t>0800-10:00</t>
  </si>
  <si>
    <t>windy,cool,red tide heavy 57f</t>
  </si>
  <si>
    <t>AMOY 2, Dowitcher sp. 38, BBPL 15</t>
  </si>
  <si>
    <t>low tide falling red tide pretty bad lots of dead fish</t>
  </si>
  <si>
    <t>Mike Shlasko
Andrea Shlasko</t>
  </si>
  <si>
    <t>941-493-3504
mike@shlasko.com</t>
  </si>
  <si>
    <t>Coastal Wildlife
Club Zone 8-9</t>
  </si>
  <si>
    <t>11:00-12:00</t>
  </si>
  <si>
    <t>Sunny, Windy, 65, Red Tide</t>
  </si>
  <si>
    <t>941-488-6240</t>
  </si>
  <si>
    <t>0840-0945</t>
  </si>
  <si>
    <t>sunny, 51 F, E 7mph</t>
  </si>
  <si>
    <t>AMOY 5, DUNL 107, WESA 3, Dowitcher sp. 83</t>
  </si>
  <si>
    <t>5 Banded AMOY</t>
  </si>
  <si>
    <t>SEPL 45, BBPL 28, DUNL 40, SAND 13</t>
  </si>
  <si>
    <t>AWPE 31, BLSK 29</t>
  </si>
  <si>
    <t>Susan Killeen, Jason DePue</t>
  </si>
  <si>
    <t>610-888-6950 mypuffins@gmail.com</t>
  </si>
  <si>
    <t xml:space="preserve">Anastasia State Park </t>
  </si>
  <si>
    <t>St Johns</t>
  </si>
  <si>
    <t>1157-1329</t>
  </si>
  <si>
    <t>Sunny, windy  15-25 mph, 62F</t>
  </si>
  <si>
    <t>AMOY 12, AWPE 58, BRPE 36, DUNL 70</t>
  </si>
  <si>
    <t>DUNL 43, BBPL 160, Sandpiper sp. 180, Yellowleg sp. 4</t>
  </si>
  <si>
    <t xml:space="preserve">Tide Low: Area includes mostly beach with open ocean, inlet and bay area.   most birds resting. No banded birds were observed.  </t>
  </si>
  <si>
    <t>Susan Killeen, Joanne Samuelson</t>
  </si>
  <si>
    <t>AMOY 2, RBGU 28, DCCO 22, BBPL 14, Sandipiper sp. 20</t>
  </si>
  <si>
    <t>Porpoise Point</t>
  </si>
  <si>
    <t>1405-1510</t>
  </si>
  <si>
    <t>Clear, west wind 10-20 mph, 55F</t>
  </si>
  <si>
    <t>AMOY 2, BRPE 18, SEPL 17, SAND 25</t>
  </si>
  <si>
    <t>SAND 5, WILL 36, Dowitcher sp. 10, Yellowleg sp. 28</t>
  </si>
  <si>
    <t>Tide Low: Area includes beach with open ocean and inlet.   most birds resting. No banded birds were observed.  Driving allowed on beach and several vehicles were present.  2 dogs on leash observed; significant beach errosion noted.</t>
  </si>
  <si>
    <t>Avalon State Park</t>
  </si>
  <si>
    <t>10:15am-11:30 am</t>
  </si>
  <si>
    <t>AMOY 2, DCCO, 14, BBPL 7, WILL 17, SAND 11, RUTU 8, Dowitcher sp. 30, Yellowleg sp. 4</t>
  </si>
  <si>
    <t>sunny, 65 F, windy</t>
  </si>
  <si>
    <t>SEPL 16, FOTE 8, Dowitcher sp. 27</t>
  </si>
  <si>
    <t> Sunny, 57 F, windy</t>
  </si>
  <si>
    <t>AMOY 2, BBPL 38, DCCO 13, DUNL 20</t>
  </si>
  <si>
    <t>Scott Tedford, Andy Flanner</t>
  </si>
  <si>
    <t>St Lucie Inlet State Park</t>
  </si>
  <si>
    <t>9:30 am-11:30 am</t>
  </si>
  <si>
    <t>Sunny 70 degrees - Winds NE 5-7 mph</t>
  </si>
  <si>
    <t>RBGU 17, AWPE 71, AMOY 2, DCCO 3, SEPL 6, RUTU 11, FOTE 2, Sandpiper sp. 70</t>
  </si>
  <si>
    <t>904-527-1536
j-r@songstar.org</t>
  </si>
  <si>
    <t>Clear, 60 degrees, Winds SSE 10 mph</t>
  </si>
  <si>
    <t>BBPL 15, SAND 29, SEPL 4, LAGU 13, Sandpiper sp. 50</t>
  </si>
  <si>
    <t>St. Lucie Village docks</t>
  </si>
  <si>
    <t>1545-1600</t>
  </si>
  <si>
    <t>calm and cloudy</t>
  </si>
  <si>
    <t>Clear, 65 degrees, Winds SSE 10-15 mph</t>
  </si>
  <si>
    <t>DCCO 56</t>
  </si>
  <si>
    <t>each on a dock post</t>
  </si>
  <si>
    <t>amber@ecological-associates.com</t>
  </si>
  <si>
    <t>Shea Armstrong, Whitney Haskell, Joe Marichionno</t>
  </si>
  <si>
    <t>352-334-4203</t>
  </si>
  <si>
    <t>katharine.malachowski@myfwc.com</t>
  </si>
  <si>
    <t>10:26-11:52</t>
  </si>
  <si>
    <t>Sunny, 48F, winds NW @ 10-15 mph w/ gusts of 25-30+ mph</t>
  </si>
  <si>
    <t>Clear. Sunny. Wind 0-10mph, 0% CC</t>
  </si>
  <si>
    <t>REKN 51</t>
  </si>
  <si>
    <t>none banded, foraging</t>
  </si>
  <si>
    <t>REKN 7</t>
  </si>
  <si>
    <t>1 banded (see sheet #3)</t>
  </si>
  <si>
    <t>High tide survey; minimal boating/human activity on the river</t>
  </si>
  <si>
    <t>msimmons@volusia.org</t>
  </si>
  <si>
    <t>Harbor Pointe pond</t>
  </si>
  <si>
    <t>1530-1540</t>
  </si>
  <si>
    <t>10:56-12:41</t>
  </si>
  <si>
    <t>HT: 9:30am, sunny, 52F, NW to WNW wind 10-15mph increasing to 15-20 w/ gusts 25-30+</t>
  </si>
  <si>
    <t>SEPL 36, RUTU 3, DUNL 2, LESA 6, SAND 28, WESA 25</t>
  </si>
  <si>
    <t>WIPL 7</t>
  </si>
  <si>
    <t>SL3 island</t>
  </si>
  <si>
    <t>1615-1630</t>
  </si>
  <si>
    <t>PIPL 1</t>
  </si>
  <si>
    <t>banded (see sheet #3)</t>
  </si>
  <si>
    <t>SL4 island sandbar</t>
  </si>
  <si>
    <t>1630-1645</t>
  </si>
  <si>
    <t>FAU/Harbpr Branch campus</t>
  </si>
  <si>
    <t>PIPL 5</t>
  </si>
  <si>
    <t>1645-1715</t>
  </si>
  <si>
    <t>3 banded (see sheet #3); 1 resight</t>
  </si>
  <si>
    <t>GBBG 1, HERG 46, LAGU 258, RBGU 3, FOTE 19, ROYT 14, SATE 1, WESA 2, BLSK 11, BRPE 1</t>
  </si>
  <si>
    <r>
      <t xml:space="preserve">(772)334-3729 </t>
    </r>
    <r>
      <rPr>
        <color rgb="FF1155CC"/>
      </rPr>
      <t>Joe@ecological-associates.com</t>
    </r>
  </si>
  <si>
    <t>S. Hutchinson Island Zones T - YS (Normandy Beach Access through County Line)</t>
  </si>
  <si>
    <t>09:45 AM - 10:46 AM</t>
  </si>
  <si>
    <t>Sunny, Winds 5-10 WSW, 53 °F</t>
  </si>
  <si>
    <t>HERG 11, LAGU 94, RBGU 10, CATE 4, FOTE 12, SATE 1, BLSK 1</t>
  </si>
  <si>
    <t>11:00-12:45</t>
  </si>
  <si>
    <t>Cloudy, high wind</t>
  </si>
  <si>
    <t>not banded</t>
  </si>
  <si>
    <t>Ryan Welsh</t>
  </si>
  <si>
    <t>7722165096, rwelsh@inwater.org</t>
  </si>
  <si>
    <t>S. Hutchinson Island Zones A-S</t>
  </si>
  <si>
    <t>0745-0930</t>
  </si>
  <si>
    <t>Windy, Overcast</t>
  </si>
  <si>
    <t>PIPL 3</t>
  </si>
  <si>
    <t>48F, sunny, NW winds 10-15 mph w/ gusts 25-30+</t>
  </si>
  <si>
    <t>HT: 9:30am; very windy, strong gusts, Human related activity: 1 moving vehicle, 18 pedestrians, 1 bicyclist, 2 dogs on leash</t>
  </si>
  <si>
    <t>Atlantic coast, SR 40 south to N/S Ponce Inlet</t>
  </si>
  <si>
    <t>56 degrees, 10% clouds, wind west, 18 to 25 knots</t>
  </si>
  <si>
    <t>Tide was an hour from low when we drove onto the beach. There are 2 sections not open to driving and they're easily covered by walking and use of scope. I have permission to drive the 4 mile conservation zone S/O SR 421 that extends almost to Ponce Inlet.</t>
  </si>
  <si>
    <t>ROYT 75, LAGU 66, WILL 7, HEGU 1, LBBG 1, GBBG 1</t>
  </si>
  <si>
    <t>LBBG 118, RGGB 34, SAND 33, BLSK 1</t>
  </si>
  <si>
    <t>Tide was high and receding when we began this portion of the survey. Unable to drive the beach north of SR 40, we were limited to what we could see from beach access points. A scope was handy for much of this.</t>
  </si>
  <si>
    <t>Laura G. Ostapko, Jo Anne Polan</t>
  </si>
  <si>
    <t>North Peninsula State Park Marsh Restoration Area 2 - ICW</t>
  </si>
  <si>
    <t>1508 - 1605</t>
  </si>
  <si>
    <t>Partly cloudy, 72 deg F, Wind easterly 3 - 5 mph</t>
  </si>
  <si>
    <t>RBGU 14, LAGU 36, LBBG 8</t>
  </si>
  <si>
    <t>LAGU 73, ROYT 9, SAND 62, RBGU 41, SATE 9, LBBG 3</t>
  </si>
  <si>
    <t>Laura G. Ostapko, Jo Anne Polan, John Demkar, Sandi Cipolloni</t>
  </si>
  <si>
    <t>D. Rohrer, R. Rohrer, M Lundeberg</t>
  </si>
  <si>
    <t>North Peninsula State Park Marsh Restoration Area 1 - ICW</t>
  </si>
  <si>
    <t>0900 - 1215</t>
  </si>
  <si>
    <t>Partly to mostly cloudy, 62 - 68 deg F, Winds Easterly less than 4 mph</t>
  </si>
  <si>
    <t>Gasparilla Island South</t>
  </si>
  <si>
    <t>Mid tide falling.  7 White Pelican flyover.</t>
  </si>
  <si>
    <t>Michael Cooper, Neil Folsom</t>
  </si>
  <si>
    <t>8:15-11:20</t>
  </si>
  <si>
    <t>Apollo</t>
  </si>
  <si>
    <t>1200-1600</t>
  </si>
  <si>
    <t>LAGU 39, RBGU 14, ROYT 2</t>
  </si>
  <si>
    <t>Overcast</t>
  </si>
  <si>
    <t>100 ROYT, 100 LEGU, 100 RBGU, 12 HERG, 50 SAND, 10 RUTU, 10 BBPL</t>
  </si>
  <si>
    <t>52F, sunny, NW to WNW wind 10-15 increasing to 15-20mph w/gusts 25-30+</t>
  </si>
  <si>
    <t>16 BRPE, 26 DCCO, 50ROYT, 25 LAGU, 10 RBGU</t>
  </si>
  <si>
    <t>HT: 9:30am, very windy, strong gusts, No human related activity</t>
  </si>
  <si>
    <t>Ponce Inlet North Jetty Beach</t>
  </si>
  <si>
    <t>BBPL 50</t>
  </si>
  <si>
    <t>10:20-10:24</t>
  </si>
  <si>
    <t>South Rockhouse Creek Shoals</t>
  </si>
  <si>
    <t>SAND 79</t>
  </si>
  <si>
    <t>10:35-10:52</t>
  </si>
  <si>
    <t>50F, sunny, NW wind 10-15 mph w/gusts 25-30+</t>
  </si>
  <si>
    <t>HT: 9:30am, very windy, strong gusts, No human related activity, presence of 1 NOHA and 2 BAEA may have influenced the lack of presence of smaller shorebirds</t>
  </si>
  <si>
    <t>SAND 70</t>
  </si>
  <si>
    <t>Kevin Christman &amp; Ezra Thompson</t>
  </si>
  <si>
    <t>St. Marks National Wildlife Refuge- Piney Island</t>
  </si>
  <si>
    <t>Wakulla</t>
  </si>
  <si>
    <t>730 to 1130</t>
  </si>
  <si>
    <t>LAGU 55, SAND 14, ROYT 20, BLSK 1, SATE1</t>
  </si>
  <si>
    <t>SAND 7, LAGU 180, LBBG 5, RBGU 20</t>
  </si>
  <si>
    <t>954-805-0321 theresasmail@comcast.net</t>
  </si>
  <si>
    <t>Raya Pruner, Marvin Friel &amp; Joe Reinman</t>
  </si>
  <si>
    <t xml:space="preserve">Sunny, 58, </t>
  </si>
  <si>
    <t>St. Marks National Wildlife Refuge- Western Section: Porter Island to the lighthouse</t>
  </si>
  <si>
    <t>26 Sanderling, 32 Black bellied Plover</t>
  </si>
  <si>
    <t>730 to 1244</t>
  </si>
  <si>
    <t>Low tide/rising, no precipitation, 0% cloud cover, moderate surf, winds 4-7 mph</t>
  </si>
  <si>
    <t>RBGU 84, BOGU 1, BRPE 5, KILL 1, SAND 1</t>
  </si>
  <si>
    <t xml:space="preserve">Lake outfall, sand spit. </t>
  </si>
  <si>
    <t>HERG 27, RBGU 119, BOGU 10, FOTE 2, ROYT 2, BRPE 1, SAND 1</t>
  </si>
  <si>
    <t xml:space="preserve">Sand spit. </t>
  </si>
  <si>
    <t>55F, 25% clouds, High winds ~20mph with gusts up to 30mph</t>
  </si>
  <si>
    <t xml:space="preserve">Mid tide rising, high surf. Draper Lake Outfall open to the Gulf. 5 people observed on the beach. </t>
  </si>
  <si>
    <t>AMOY 2, WILL 1, SAND 1</t>
  </si>
  <si>
    <t>Oysterbar, AMOY 2, both unbanded</t>
  </si>
  <si>
    <t>AMOY 2, RUTU 1, WILL 1</t>
  </si>
  <si>
    <t>Mid tide rising, High surf. Morris Lake Outfall open to the Gulf. Stalworth Lake Outfall closed. 2 People observed on the beach.</t>
  </si>
  <si>
    <t>AMOY 1, RUTU 1</t>
  </si>
  <si>
    <t>Oysterbar, AMOY 1 unbanded</t>
  </si>
  <si>
    <t xml:space="preserve">Low tide rising, high surf. Deer Lake Outfall open to the Gulf but passable if in a vehicle. 5 people observed on the beach and one dog. </t>
  </si>
  <si>
    <t>AMOY 4, WILL 4, BBPL 1, FOTE 6, BOGU 1, LAGU 6, RBGU 2. BLSK 22, ROYT 1, HERG 1</t>
  </si>
  <si>
    <t>Oysterbars, AMOY 4 all unbanded</t>
  </si>
  <si>
    <t>Low tide rising, high surf. Western Lake Outfall open to the Gulf and not passable by vehicle.  Alligator Lake Outfall open to the Gulf. 1 person on the beach</t>
  </si>
  <si>
    <t>HERG 3, BRPE 38. AWPE 37, RBGU 1, RUTU 2, AMOY 2, WILL 1, LAGU 1, DUNL 20, SBDO 5</t>
  </si>
  <si>
    <t xml:space="preserve">Oysterbars/sand bar. AMOY 2 both unbanded - birds are territorial pair. </t>
  </si>
  <si>
    <t>AMOY 2, RUTU 1, BBPL 1, SEPL 1</t>
  </si>
  <si>
    <t xml:space="preserve">Mid tide rising, high surf. Camp Creek Lake Outfall open and not passable by vehicle. </t>
  </si>
  <si>
    <t>DUNL 1, AMAV 7, FOTE 4. REKN 6, BOGU 3, WILL 3, GRYE 4, BBPL 2, LAGU 7, RBGU 6, RUTU 2, AMOY 1</t>
  </si>
  <si>
    <t>Bay flats, AMOY 1 unbanded, REKN 6 unbanded</t>
  </si>
  <si>
    <t>Victor Young</t>
  </si>
  <si>
    <t>239-472-3984</t>
  </si>
  <si>
    <t>Sanibel, Tarpon Bay Rd. to Bowmans</t>
  </si>
  <si>
    <t>941-882-7205  karen.schanzle@dep.state.fl.us</t>
  </si>
  <si>
    <t>8:00-10:08</t>
  </si>
  <si>
    <t>Partly cloudy</t>
  </si>
  <si>
    <t>10:15 am -10:53 am</t>
  </si>
  <si>
    <t>No groups or focal species observed</t>
  </si>
  <si>
    <t>941-882-7205 karen.schanzle@dep.state.fl.us</t>
  </si>
  <si>
    <t>Gasparilla Island State Park</t>
  </si>
  <si>
    <t>ROYT 20, LAGU 16, DCCO 9, BRPE 9, HERG 3, OSPR 2</t>
  </si>
  <si>
    <t>All birds resting on pilings.  Ospreys have built a nest on the western-most piling.  Red tide present during survey.</t>
  </si>
  <si>
    <t>Stump Pass Beach State Park</t>
  </si>
  <si>
    <t>WIPL 2, SNPL 1, BBPL 1, SEPL 3, ROYT 5, RBGU 7, SAND 19</t>
  </si>
  <si>
    <t>All birds resting and foraging in the exposed mud flats.  No banded birds present.</t>
  </si>
  <si>
    <t>WILL 36, RUTU 80, SBDO 3, BBPL 4, HERG 2, RBGU 18, FOTE 2, REKN 1</t>
  </si>
  <si>
    <t>Paul Gray, Brent Bachelder</t>
  </si>
  <si>
    <t>Paul Gray, 863-655-1831, pgray@audubon.org</t>
  </si>
  <si>
    <t>AMOY 20, WILL 6, BBPL 2, RUTU 12, DUNL 3, RBGU 5</t>
  </si>
  <si>
    <t>Buckhead Ridge Marsh Lake Okeechobee</t>
  </si>
  <si>
    <t>Okeechobee and Glades</t>
  </si>
  <si>
    <t>28 08 31</t>
  </si>
  <si>
    <t>80 51 27</t>
  </si>
  <si>
    <t>27 06 33</t>
  </si>
  <si>
    <t>80 53 14</t>
  </si>
  <si>
    <t>10:15-10:40</t>
  </si>
  <si>
    <t>Partly cloudy, wind 5-10, temp 70s</t>
  </si>
  <si>
    <t>WILL 30, GRYE 2, RBGU 8, AMOY 2, BBPL 3, RUTU 15, DUNL 2</t>
  </si>
  <si>
    <t>Lake at 13.79 feet</t>
  </si>
  <si>
    <t>27 01 57</t>
  </si>
  <si>
    <t>80 56 05</t>
  </si>
  <si>
    <t>10:45-13:40</t>
  </si>
  <si>
    <t>partly cloudy, wind 10-15, temp low 80s</t>
  </si>
  <si>
    <t>Stilt Sandpiper 3, Lake at 13.79 feet</t>
  </si>
  <si>
    <t>AMOY 2, RBGU 110, LAGU 1, WILL 1, HERG 1</t>
  </si>
  <si>
    <t>OkeeTantie Marsh, Lake Okeechobee</t>
  </si>
  <si>
    <t>27 08 35</t>
  </si>
  <si>
    <t>80 51 20</t>
  </si>
  <si>
    <t>27 09 00</t>
  </si>
  <si>
    <t>80 51 50</t>
  </si>
  <si>
    <t>13:50-14:10</t>
  </si>
  <si>
    <t xml:space="preserve">Paul Gray </t>
  </si>
  <si>
    <t xml:space="preserve">81 16 21 </t>
  </si>
  <si>
    <t>27 03 26</t>
  </si>
  <si>
    <t>81 16 21</t>
  </si>
  <si>
    <t>11:35-12:25</t>
  </si>
  <si>
    <t>temp low 80s, calm sunny</t>
  </si>
  <si>
    <t>roadside wetlands dry except for dugout ponds</t>
  </si>
  <si>
    <t>WILL 272, DUNL 696, BBPL 16, LEYE 12, RBGU 13, SBDO 128, WESA 35, GRYE 1</t>
  </si>
  <si>
    <t>Lock 7 Lake Okeechobee</t>
  </si>
  <si>
    <t>27 11 44</t>
  </si>
  <si>
    <t>80 49 52</t>
  </si>
  <si>
    <t>27 11 18</t>
  </si>
  <si>
    <t>80 50 18</t>
  </si>
  <si>
    <t>14:52-15:09</t>
  </si>
  <si>
    <t>sunny, low 80s, wind 10-15</t>
  </si>
  <si>
    <t>AMOY 8</t>
  </si>
  <si>
    <t>in parking lot</t>
  </si>
  <si>
    <t>772-546-0900, scott.tedford@dep.state.fl.us</t>
  </si>
  <si>
    <t>AMOY 8, RBGU 190, WILL 3, HERG 4</t>
  </si>
  <si>
    <t>AMOY 4, RUTU 71, WILL 80, DUNL 67, BBPL 11</t>
  </si>
  <si>
    <t>Bahia Honda State Park</t>
  </si>
  <si>
    <t>AMOY 11, RUTU 35, WILL 50, BBPL 9</t>
  </si>
  <si>
    <t>AMOY 20, WILL 44, BBPL 5, SAND 9, MAGO 42, RUTU 15, WHIM 1</t>
  </si>
  <si>
    <t>Fort Zachary Taylor Historic State Park</t>
  </si>
  <si>
    <t>AMOY 37, RUTU 54, WILL 60, FOTE 2, HERG 3</t>
  </si>
  <si>
    <t>SBDO 55, WILL 101</t>
  </si>
  <si>
    <t>BRPE 6, DUNL 4, SEPL 9, RBGU 150, FOTE 21, HERG 1</t>
  </si>
  <si>
    <t>Chris Leon</t>
  </si>
  <si>
    <t>Mizell-Johnson State Park</t>
  </si>
  <si>
    <t>DUNL 97, SBDO 7</t>
  </si>
  <si>
    <t>Kate Watts</t>
  </si>
  <si>
    <t>305-395-1573  Katherine_watts@fws.gov</t>
  </si>
  <si>
    <t xml:space="preserve">BBPL 3, SEPL 6, RUTU 55, DUNL 53, LESA 7, WESA 1, LAGU 3, ROTE 1, </t>
  </si>
  <si>
    <t>BBPL 3, SEPL 45, PIPL 6, WILL 1, SAND 3, LESA 1, SBDO 2</t>
  </si>
  <si>
    <t>SEPL 14, RUTU 7, DUNL 12, LESA 7</t>
  </si>
  <si>
    <t>GRYE 3, REEG 1, SBDO 5, BBPL 3, WILL 3, MAGO 2, DUNL 50</t>
  </si>
  <si>
    <t>Bay flat, feeding, dense wrack.</t>
  </si>
  <si>
    <t>BBPL 2, SBDO 24, DUNL 53, LESA 1, REKN 19</t>
  </si>
  <si>
    <t>Bay flat, feeding, dense wrack. 19 REKN, 3 banded, one Gf//:S (EAJ - white), other two Lf//:S codes too faded to read.</t>
  </si>
  <si>
    <t>BBPL 3, WILL 3, HERG 2, DUNL 26, SAND 2, RBGU 1, RUTU 18, WIPL 1, LESA 16, SBDO 8</t>
  </si>
  <si>
    <t>Bay flat, feeding, dense wrack. 1 WIPL banded</t>
  </si>
  <si>
    <t>PIPL 1, SEPL 1</t>
  </si>
  <si>
    <t>Bay flat, feeding, dense wrack. 1 PIPL banded</t>
  </si>
  <si>
    <t>Bob Showlier</t>
  </si>
  <si>
    <t>239-695-3990 bob_showlier@nps.gov</t>
  </si>
  <si>
    <t>Snake Bight</t>
  </si>
  <si>
    <t>Partly Coudy, N at 5mph</t>
  </si>
  <si>
    <t>REKN 3</t>
  </si>
  <si>
    <t>REKN 3, WIPL 3</t>
  </si>
  <si>
    <t>239-695-3390 bob_shwlier@nps.gov</t>
  </si>
  <si>
    <t>Partly Cloudy, N at 5mph</t>
  </si>
  <si>
    <t>REKN 3, WHPE 280</t>
  </si>
  <si>
    <t>Also reported WESA, estimated 1355 widely scattered throughout survey area.</t>
  </si>
  <si>
    <t>239-472-3984, ksloan@sccf.org</t>
  </si>
  <si>
    <t>Partly cloudy, 45-55F</t>
  </si>
  <si>
    <t>54 ROYT</t>
  </si>
  <si>
    <t>239-472-3984 ksloan@sccf.org</t>
  </si>
  <si>
    <t>239-470-3313, clechowicz@sccf.org</t>
  </si>
  <si>
    <t>8:33-10:12</t>
  </si>
  <si>
    <t>Partly cloudy, windy 50s F</t>
  </si>
  <si>
    <t>239-470-3313, clechowicz@sccf.oirg</t>
  </si>
  <si>
    <t>Partly cloudy, windy, 50s F</t>
  </si>
  <si>
    <t>96 ROYT, 56 RBGU, 52 HERG</t>
  </si>
  <si>
    <t xml:space="preserve">Sanibel, Bowmans to Blind Pass  </t>
  </si>
  <si>
    <t>WIPL 1</t>
  </si>
  <si>
    <r>
      <t xml:space="preserve">239-470-3313, </t>
    </r>
    <r>
      <rPr>
        <color rgb="FF1155CC"/>
      </rPr>
      <t>clechowicz@sccf.org</t>
    </r>
  </si>
  <si>
    <t>WIPL 2</t>
  </si>
  <si>
    <t>Patrick Fuller, Jeremy Conrad, Lindsay Partymiller</t>
  </si>
  <si>
    <t>717-858-1592, l.partymiller@gmail.com</t>
  </si>
  <si>
    <t>Sanibel, Lighthouse to Tarpon Bay Rd.</t>
  </si>
  <si>
    <t>sunny to partly cloudy</t>
  </si>
  <si>
    <t>717-858-1592, lpartymiller@gmail.com</t>
  </si>
  <si>
    <t>Sanibel Lighthouse to Tarpn Bay Rd.</t>
  </si>
  <si>
    <t>717-858-1592, lpartymiller@gmail.co</t>
  </si>
  <si>
    <t>717-8587-1592, lpartymiller@gmail,com</t>
  </si>
  <si>
    <t>BBPL 2, LAGU11, SAND 129, HERG 1, Will 2, RBGU12, RUTU 1, ROYT 5</t>
  </si>
  <si>
    <t>Partrick Fuller, Jeremy Conrad, Lindsay Partmiller</t>
  </si>
  <si>
    <r>
      <t xml:space="preserve">717-858-1592, </t>
    </r>
    <r>
      <rPr>
        <color rgb="FF1155CC"/>
      </rPr>
      <t>lpartymiller@gmail.com</t>
    </r>
  </si>
  <si>
    <t>SAND 120</t>
  </si>
  <si>
    <t>Partrick Fuller , Jeremy Conrad, Lindsay Partymiller</t>
  </si>
  <si>
    <t>RBGU 77, HERG 8, LAGU 81, ROYT 5, LBBG 2</t>
  </si>
  <si>
    <t>8:20-11:52</t>
  </si>
  <si>
    <t>BRPE 56, WILL 4, LAGU 25, RBGU 19, SAND 7</t>
  </si>
  <si>
    <t>LEGU 189, HERG 8, RBGU 36, RUTU 78, LBBG 4, BRPE 1</t>
  </si>
  <si>
    <t>RBGU 38, LAGU 206, BRPE 61, WILL 9, HERG 5</t>
  </si>
  <si>
    <t>ROYT 7, LAGU 164, RBGU36, BRPE 6, HERG 4</t>
  </si>
  <si>
    <t>SAND 48, RUTU 1, LAGU 6, RBGU 6, LBBG 1 HERG 1, ROYT 4</t>
  </si>
  <si>
    <t>239-472-3984, vyoung@sccf.org</t>
  </si>
  <si>
    <t>Crandon Park Beach, ~lifeguard stand 1&lt;-&gt;13</t>
  </si>
  <si>
    <t>clear, 56-61 degrees F, wind NNW 8 mph</t>
  </si>
  <si>
    <t>WIPL 4</t>
  </si>
  <si>
    <t>PIPL 21</t>
  </si>
  <si>
    <t>4 banded; history known on all but 1 bird; inquiry sent; winter flock for 2015-16 is 39 birds; 6 missing today</t>
  </si>
  <si>
    <t>SEPL 95</t>
  </si>
  <si>
    <t>SAND 150</t>
  </si>
  <si>
    <t>ROYT 144</t>
  </si>
  <si>
    <t>1 banded; unable to read band</t>
  </si>
  <si>
    <t>PIPL 12</t>
  </si>
  <si>
    <t>4 banded; history of all birds known</t>
  </si>
  <si>
    <t>SAND 113</t>
  </si>
  <si>
    <t>561-882-5719 ricardo.zambrano@Myfwc.com</t>
  </si>
  <si>
    <t>Ocean Reef Park to McArthur Sttate Park</t>
  </si>
  <si>
    <t>3:25-3:55[,</t>
  </si>
  <si>
    <t>partly-cloudy (50% cloud cover); 63 degrees F; Wind E 8 mph; no precip. Tide high/rising</t>
  </si>
  <si>
    <t>WILL 4; SAND 10; WESA 10; DUNL 40</t>
  </si>
  <si>
    <t>resting; Gulf shore</t>
  </si>
  <si>
    <t>SEPL 2; WESA 46; BBPL 11; SAND 12; WILL 34; SBDO 5; DUNL 15; RUTU 4; REKN 1</t>
  </si>
  <si>
    <t>high clouds (30% cloud cover); 70 degrees F; Wind NE 10-15 mph with gusts; no precip. Tide high/rising.</t>
  </si>
  <si>
    <t>AWPE 350</t>
  </si>
  <si>
    <t>resting; bay</t>
  </si>
  <si>
    <t>WILL 100; shorebird sp. 100</t>
  </si>
  <si>
    <t>resting;Gulf shore; could not get close enough to ID species due to heavy seas</t>
  </si>
  <si>
    <t>BRPE 1; DCCO 118; RBGU 1; ROYT 6</t>
  </si>
  <si>
    <t>resting</t>
  </si>
  <si>
    <t>high clouds (30% cloud cover); 70 degrees F; Wind NE 10-15 mph with gusts; no precip.</t>
  </si>
  <si>
    <t>SAND 31; BLSK 14; ROYT 452; CATE 1; RUTU 7</t>
  </si>
  <si>
    <t>resting; 1 ROYT was leucistic (photo)</t>
  </si>
  <si>
    <t>high clouds (30% cloud cover); 70 degrees F; Wind NE 10-15 mph with gusts; no precip. Tide high/slack.</t>
  </si>
  <si>
    <t>RUTU 54; BBPL 6; SAND 37; WIPL 1; REKN 1</t>
  </si>
  <si>
    <t>SEPL 30; BBPL 156; SBDO 400; DUNL 600; GRYE 1; SAND 100; RUTU 80; WESA 200; PIPL 8; WIPL 25; REKN 33</t>
  </si>
  <si>
    <t>resting. flock was flushed by people as we were leaving.</t>
  </si>
  <si>
    <t>AWPE 400; DCCO 14</t>
  </si>
  <si>
    <t>BBPL 9; RUTU 15; SAND 4; WILL 2; SBDO 1 WIPL 4</t>
  </si>
  <si>
    <t>resting/feeding</t>
  </si>
  <si>
    <t>1405-1509</t>
  </si>
  <si>
    <t>Clear, west wind 10-20 mph, 55F: Tide Low</t>
  </si>
  <si>
    <t>BOGU 8, FOTE 13, LAGU 28, RUTU 1, WILL 1</t>
  </si>
  <si>
    <t xml:space="preserve">HEGU 1, LAGU 106, RBGU 17, ROTE 6, FOTE 13, SAND 1, BLSK 28, RBGU 28, LAGU 51, </t>
  </si>
  <si>
    <t>FOTE 1, WIPL 1, WESA 5, SEPL, 11, RUTU 9, SAND 7, BBPL 1</t>
  </si>
  <si>
    <t>DUNL 247, WILL 1, RUTU 3, BBPL 2 SAND 11</t>
  </si>
  <si>
    <t xml:space="preserve"> Cold, slight wind N, very low tide, cloudless</t>
  </si>
  <si>
    <t>DCCO 145, RBGU 25, BREP 5, BOGU 9, LAGU 1</t>
  </si>
  <si>
    <t>roosting</t>
  </si>
  <si>
    <t>Cold, slight wind N,very low tide, cloudless</t>
  </si>
  <si>
    <t xml:space="preserve">DCCO 29, RBGU 29, ROTE 3, LAGU 1  </t>
  </si>
  <si>
    <t>DCCO 175, RBGU 75, BRPE 4</t>
  </si>
  <si>
    <t>AMOY 73</t>
  </si>
  <si>
    <t>AMOY 8, AMOY 1</t>
  </si>
  <si>
    <t>AMOY 8 = E ~1000 yds; AMOY 1 = foraging 3 yds w of Point #5</t>
  </si>
  <si>
    <t>AMOY 2, RBGU 160, FOTE 2</t>
  </si>
  <si>
    <t>AMOY 9, WILL 7, ROTE 3, RBGU 15</t>
  </si>
  <si>
    <t>AMOY 6, WILL 25, BBPL 2, DCCO 20, RBGU 27, BLSK 2, RUTE 6, SAND 1, LAGU 4, LESA 1</t>
  </si>
  <si>
    <t xml:space="preserve">AMOY 2, WILL 3, RBGU 9, </t>
  </si>
  <si>
    <t>AMOY 7, BBPL 5</t>
  </si>
  <si>
    <t>AMOY 2, BBPL 40, RUTE 137, SAND 30, SEPL 5, DUNL 5</t>
  </si>
  <si>
    <t>813-623-6826 apaul@audubon.0rg</t>
  </si>
  <si>
    <t>BRPE 12, WHPE 2, DCCO 25, AMOY 2, HEGU 3, BBPL 1, RBGU 25, SAND 5</t>
  </si>
  <si>
    <t>AMOY 4, SAND 5, RUTU 8, BBPL 5</t>
  </si>
  <si>
    <t>AMOY 2, BRPE 17, HEGU 2</t>
  </si>
  <si>
    <t>AMOY 8, SMPL 31, SAND 10, BBPL 2, DUNL 5</t>
  </si>
  <si>
    <t>AMOY 2, DCCO 18, BRPE 4, RBGU 20, BLSK 2</t>
  </si>
  <si>
    <t>AMOY 2, CATE 1, BLSK 2, LAGU 1</t>
  </si>
  <si>
    <t>COLD, 52 degrees, N wind 15+, very low tide</t>
  </si>
  <si>
    <t>foraging on mud flat expanse</t>
  </si>
  <si>
    <t>AMOY 1, WHPE 261, RBGU 114, BRPE 3, LAGU 55, FOTE 50</t>
  </si>
  <si>
    <t>AMOY foraging on mud flat expanse; WHPE feeding in open water between exposed flats; RBGU foraging on mud flats; BRPE feeding in open water between exposed flats; LAGU foraging; FOTE roosting</t>
  </si>
  <si>
    <t>RBGU 95</t>
  </si>
  <si>
    <t>foraging/roosting</t>
  </si>
  <si>
    <t>RBGU 47, ROTE 3, SPPL 26, SATE 1, DUNL 1, HEGU 1, LESA 2, LAGU 5</t>
  </si>
  <si>
    <t>RBGU foraging/roosting; ROTE roosting; SATE roosting; HEGU foraging; LAGU roosting</t>
  </si>
  <si>
    <t>LAGU 225, RBGU 88, ROTE 2, FOTE 2</t>
  </si>
  <si>
    <t>LAGU and RBGU foraging; ROTE and FOTE roosting</t>
  </si>
  <si>
    <t>BRPE 193, DCCO 23</t>
  </si>
  <si>
    <t>BRPE roosting; DCCO nesting</t>
  </si>
  <si>
    <t>DCCO 90, BRPE 4, LAGU 30, RBGU 15, HEGU 4, ROTE 1</t>
  </si>
  <si>
    <t>all roosting</t>
  </si>
  <si>
    <t>Sandpiper sp. 1200, BBPL 100, AMAV 50, DUNL 25</t>
  </si>
  <si>
    <t>Spoil Island 2D all roosting</t>
  </si>
  <si>
    <t>Thousands of shorebirds on exposed mudflats; out of reach for identification or numbers due to shallow water and limited boat access</t>
  </si>
  <si>
    <t>27 52 9.48</t>
  </si>
  <si>
    <t>80 30 3.87</t>
  </si>
  <si>
    <t>2 BRPE, both lower right silver, one lower left blk A66</t>
  </si>
  <si>
    <t>27 56 5.550</t>
  </si>
  <si>
    <t>80 29 6.16</t>
  </si>
  <si>
    <t xml:space="preserve">2 ROTE, lower right silver </t>
  </si>
  <si>
    <t>Flagler Pier to N boundary of Gamble Rogers MSRA</t>
  </si>
  <si>
    <t>Partly Cloudy, 64deg F, Wind Easterly 2 - 5 mph</t>
  </si>
  <si>
    <t>75 LAGU, 2 SAND, 20 RBGU, 10 ROTE, 15 FOTE, 2 BLSK</t>
  </si>
  <si>
    <t>125 LAGU, 2 SAND, 25 RBGU, 20 ROTE, 50 FOTE, 25 BLSK</t>
  </si>
  <si>
    <t>Partly Cloudy, 60 - 70 deg F, Wind N-E 2 - 4 mph</t>
  </si>
  <si>
    <t>25 LAGU, 38 RBGU, 3 HERG, 8 ROYT, 4 FOTE</t>
  </si>
  <si>
    <t>82 LAGU, 29 RBGU, 8 ROYT, 1 LBBG</t>
  </si>
  <si>
    <t>352-302-3510  Knorth8@cfl.rr.com</t>
  </si>
  <si>
    <t>Partly Cloudy, 67 deg F (avg), Wind calm to light and variable</t>
  </si>
  <si>
    <t>67 LAGU, 7 RBGU, 36 HERG, 1 BOGU, 2 ROYT, 6 FOTE, 10 BLSK</t>
  </si>
  <si>
    <t>39 LAGU, 4 RBGU, 9 HERG, 1 BOGU, 1 GBBG, 4ROYT, 21 FOTE</t>
  </si>
  <si>
    <t xml:space="preserve">2 WILL, 5 SAND, 13 LAGU, 18 RBGU, 9 HERG, 3 ROYT, 42 FOTE </t>
  </si>
  <si>
    <t xml:space="preserve">25 LBBG, 29 LAGU, 2 FOTE </t>
  </si>
  <si>
    <t>2 BRPE, 2 LBBG, 55 LAGU, 8 RBGU, 34 HERG, 4 ROYT, 16 FOTE, 5 SATE, 8 BLSK</t>
  </si>
  <si>
    <t xml:space="preserve">0845 - 1015 </t>
  </si>
  <si>
    <t>100 LAGU, 11 RBGU, 30 HERG, 7 ROYT, 50 FOTE, 3 BLSK 1 SAND</t>
  </si>
  <si>
    <t>15 LAGU, 11 RBGU, 15 ROYT, 40 FOTE, 2 BLSK, 2 WILL, 1 RUTU, 4 SAND</t>
  </si>
  <si>
    <t>North Peninsula State Park Marsh Restorations Area 1 - ICW</t>
  </si>
  <si>
    <t>187 LAGU, 13 RBGU, 2 HERG, 1 BOGU, 1 GRYE</t>
  </si>
  <si>
    <t>Resting, foraging flock in area undergoing marsh restoration along ICW</t>
  </si>
  <si>
    <t>941-475-1017  cjlemonbay@comcast.net</t>
  </si>
  <si>
    <t>Coastal Wildlife Club Zone 2, Manasota Key</t>
  </si>
  <si>
    <t>John Martin, Jesse Brown, Shari Kennedy</t>
  </si>
  <si>
    <t>352-384-7122 - John.martin@ch2m.com</t>
  </si>
  <si>
    <t>9:00-12:30</t>
  </si>
  <si>
    <t>10-15 mph winds, 33-40 deg</t>
  </si>
  <si>
    <t>1400 DUNL, 960 SEPL, 780 WESA, 10 BBPL, AMAV 90, AMWP 17</t>
  </si>
  <si>
    <t>9:00-12:31</t>
  </si>
  <si>
    <t>4 BBPL, 4 GRYE, 100 DOWI sp., 5 SEPL, 45 DUNL, 12 WESP, 25 LEYE, 14 LESA, 11 RUTU, 1 WISN</t>
  </si>
  <si>
    <t>9:00-12:32</t>
  </si>
  <si>
    <t>50 SEPL, 1 KILL, 7 DOWI sp., 40 DUNL, 15 LESA, 15 WESA</t>
  </si>
  <si>
    <t>Penny Jarrett, John Mosele</t>
  </si>
  <si>
    <t>239-634-7602  pjarrett32@yahoo.com</t>
  </si>
  <si>
    <t>FMB, Beach Access 21 to Bowditch Pt.</t>
  </si>
  <si>
    <t>60 deg, partly cloudy, Gulf water brown from Lake O releases.</t>
  </si>
  <si>
    <t>1115-1346</t>
  </si>
  <si>
    <t>61 deg, partly cloudy, Gulf water brown from Lake O releases.</t>
  </si>
  <si>
    <t>7 LAGU, 41 SAND, 8 RUTU, 2 RBGU</t>
  </si>
  <si>
    <t>1115-1347</t>
  </si>
  <si>
    <t>62 deg, partly cloudy, Gulf water brown from Lake O releases.</t>
  </si>
  <si>
    <t>7 PIPL</t>
  </si>
  <si>
    <t>1115-1348</t>
  </si>
  <si>
    <t>63 deg, partly cloudy, Gulf water brown from Lake O releases.</t>
  </si>
  <si>
    <t>3 SNPL</t>
  </si>
  <si>
    <t>9:30am - 12:30pm</t>
  </si>
  <si>
    <t>10-15mph winds; 33-40 deg</t>
  </si>
  <si>
    <t>1:10-1:35 pm</t>
  </si>
  <si>
    <t>Windy; 55 deg f</t>
  </si>
  <si>
    <t>Lake Tomroy; Pond A-A, Pond C Transect</t>
  </si>
  <si>
    <t>1:55-2:45 pm</t>
  </si>
  <si>
    <t>3:00-3:20 pm</t>
  </si>
  <si>
    <t>East Point Shoreline Transect</t>
  </si>
  <si>
    <t>44 DCCO, 12 KILL, 4 RBGU, 1 BRPE</t>
  </si>
  <si>
    <t>4:30-4:45pm</t>
  </si>
  <si>
    <t>Sunny; 60 deg f</t>
  </si>
  <si>
    <t>FMB Beach Access 21 to Wyndham Hotel, LECWA N Boundary</t>
  </si>
  <si>
    <t>1545 - 1700</t>
  </si>
  <si>
    <t>58 deg, windy, Gulf a murky brown water</t>
  </si>
  <si>
    <t>1546 - 1700</t>
  </si>
  <si>
    <t>59 deg, windy, Gulf a murky brown water</t>
  </si>
  <si>
    <t>22 ROYT, 47 LAGU, 2 RBGU, 1 WILL</t>
  </si>
  <si>
    <t>7 SNPL</t>
  </si>
  <si>
    <t>3 banded (see data sheet #3)</t>
  </si>
  <si>
    <t>1 SNPL</t>
  </si>
  <si>
    <t>banded (see data Sheet #3)</t>
  </si>
  <si>
    <t>2 banded (see data sheet #3)</t>
  </si>
  <si>
    <t>6 SNPL</t>
  </si>
  <si>
    <t>5 banded (see data sheet #3)</t>
  </si>
  <si>
    <t>4 banded (see data sheet #3)</t>
  </si>
  <si>
    <t>97 RBME, 122, BOGU, 20 LAGU, 2 COLO, 2 HOGR, 11 RBGU, 1 HERG</t>
  </si>
  <si>
    <t>no large groups or focal speices observed</t>
  </si>
  <si>
    <t>7 LAGU, 7 SAND, 104 RBGU, 4 HERG</t>
  </si>
  <si>
    <t>7 SAND, 55 RBGU, 43 RBME</t>
  </si>
  <si>
    <t>2 SNPL, 43 RBGU, 30 LAGU, 3 HERG</t>
  </si>
  <si>
    <t>1 banded SNPL (see data sheet #3)</t>
  </si>
  <si>
    <t>Banded (see data sheet #3)</t>
  </si>
  <si>
    <t>30 HERG, 135 RBGU, 10 BOGU</t>
  </si>
  <si>
    <t>2 SNPL</t>
  </si>
  <si>
    <t>23 BRPE, 38 DCCO</t>
  </si>
  <si>
    <t>2 BRPE, 217 BOGU, 75 RBME, 1 HOGR, 1 RBGU</t>
  </si>
  <si>
    <t>4 SNPL</t>
  </si>
  <si>
    <t>2 Banded (see data sheet #3)</t>
  </si>
  <si>
    <t>Matthew R. Anderson</t>
  </si>
  <si>
    <t>772-429-2995 Matthew.R Anderson@dep.state.fl.us</t>
  </si>
  <si>
    <t>IR Lagoon Spoil Islands Route #1</t>
  </si>
  <si>
    <t>St Lucie and Indian River</t>
  </si>
  <si>
    <t>1100-1300</t>
  </si>
  <si>
    <t>windy cold and clear. winds +22 mph</t>
  </si>
  <si>
    <t>Large Group 54 BRPE, 24 AWPE, 27 RBGU, 47 DCCO</t>
  </si>
  <si>
    <t>IR Lagoon Spoil Islands Route #2</t>
  </si>
  <si>
    <t>1330-1515</t>
  </si>
  <si>
    <t>1 AMOY</t>
  </si>
  <si>
    <t>941-488-6240  z4539pr@msn.com</t>
  </si>
  <si>
    <t>CWC Turtle Patrol Zone 1</t>
  </si>
  <si>
    <t>27.03.18.41</t>
  </si>
  <si>
    <t>-82.26.31.44</t>
  </si>
  <si>
    <t>27.03.18.58</t>
  </si>
  <si>
    <t>82.26.31.47</t>
  </si>
  <si>
    <t>Sunny, 51 F, 7mph E wind</t>
  </si>
  <si>
    <t>No bands</t>
  </si>
  <si>
    <t>44F, wind 10mph clear</t>
  </si>
  <si>
    <t>Jacksonville Beach</t>
  </si>
  <si>
    <t>BOGU 99, BLSK 400, FOTE 114, RBGU 153, LAGU 11, SAND 25</t>
  </si>
  <si>
    <t>BOGU foraging in surf near shore; BLSK roosting on upper beach; FOTE, RBGU, LAGU, SAND in large flock on beach</t>
  </si>
  <si>
    <t>No birds of any species observed. Not worth surveying again. Narrow, short stretch of beach covered with vehicle, dog, &amp; human tracks. Also visually surveyed ~0.25 mi. to west of route with scope; no birds observed. Surveyed during Int'l PIPL Census.</t>
  </si>
  <si>
    <t>Surprisingly few birds even for a developed site. 45 people, 2 off-leash dogs, 2 on-leash.  Surveyed during Int'l PIPL Census.</t>
  </si>
  <si>
    <t>Site has a lot of boat disturbance, though none during survey.  Dog, human, &amp; possibly bobcat tracks.  Surveyed during Int'l PIPL Census.</t>
  </si>
  <si>
    <t>ROYT 11, HEGU 50, RBGU 10, SAND 10, BRPE 13, DCCO 2, SATE 1</t>
  </si>
  <si>
    <t>Group of 50+ birds, no banded birds noted, no focals</t>
  </si>
  <si>
    <t>BRPE 50, BOGU 6, SAND 25, ROYT 20, RBGU 144, HEGU 156, LAGU 30</t>
  </si>
  <si>
    <t>REKN 52</t>
  </si>
  <si>
    <t>REKN - no banded birds</t>
  </si>
  <si>
    <t>WIPL - not banded</t>
  </si>
  <si>
    <t>HEGU 14, LAGU 21, RBGU 5, ROYT 43</t>
  </si>
  <si>
    <t>BBPL 51, SAND 16</t>
  </si>
  <si>
    <t>G. Ketner, J Aumon</t>
  </si>
  <si>
    <t>941-697-8598, ketnerg@yahoo.com</t>
  </si>
  <si>
    <t>Gasparilla Is. North</t>
  </si>
  <si>
    <t>8:00-10:00</t>
  </si>
  <si>
    <t>55F, NE 10-15, red tide</t>
  </si>
  <si>
    <t>Red tride bloom. No Groups reported. No running total of birds</t>
  </si>
  <si>
    <t>ptly cloudy, wind 10-15, temperature low 80s</t>
  </si>
  <si>
    <t>27 02 07</t>
  </si>
  <si>
    <t>80 56 12</t>
  </si>
  <si>
    <t>60 Greater Yellowlegs</t>
  </si>
  <si>
    <t>27 02 25</t>
  </si>
  <si>
    <t>80 56 28</t>
  </si>
  <si>
    <t>160 Long-billed Dowitcher</t>
  </si>
  <si>
    <t>110 Laughing Gull</t>
  </si>
  <si>
    <t xml:space="preserve">Paul Gray  </t>
  </si>
  <si>
    <t>abandoned dairy pond</t>
  </si>
  <si>
    <t>27 16 53</t>
  </si>
  <si>
    <t>80 52 33</t>
  </si>
  <si>
    <t>9:00-9:05</t>
  </si>
  <si>
    <t>ptly cloudy, wind 5-10, temperature low 80s</t>
  </si>
  <si>
    <t>300 White Pelican</t>
  </si>
  <si>
    <t>no route, just a roadside observation</t>
  </si>
  <si>
    <t>sunny, wind 10-15, low 80s</t>
  </si>
  <si>
    <t>27 11 39</t>
  </si>
  <si>
    <t>80 49 58</t>
  </si>
  <si>
    <t>130 Black Skimmer, 125 Laughing Gull, 65 Ring-billed Gulls in mixed flock</t>
  </si>
  <si>
    <t>Okeechobee Walmart store (roof)</t>
  </si>
  <si>
    <t>27 13 18</t>
  </si>
  <si>
    <t>80 49 30</t>
  </si>
  <si>
    <t>80 49 39</t>
  </si>
  <si>
    <t>16:16-16:30</t>
  </si>
  <si>
    <t>180 BLSK</t>
  </si>
  <si>
    <t>Walmart rooftop, count estimated during a flush</t>
  </si>
  <si>
    <t>Scott Tedford, Jeff Bach</t>
  </si>
  <si>
    <t>Scott.tedford@dep.state.fl.us</t>
  </si>
  <si>
    <t>13:30-13:47</t>
  </si>
  <si>
    <t>clear, sunny</t>
  </si>
  <si>
    <t>No birds present on beach during survey</t>
  </si>
  <si>
    <t>22 SEPL, 11 BBPL, 3 WILL, 19 DBDO</t>
  </si>
  <si>
    <t>3 PIPL, 19 ROYT, 4 LAGU, SEPL 21, RUTU 3, 7 SESA, 23 SAND, 4 SBDO, 1 HEGU</t>
  </si>
  <si>
    <t>67 SAND, 33 RUTU, 1 SESA</t>
  </si>
  <si>
    <t xml:space="preserve">Foraging in wrack line </t>
  </si>
  <si>
    <t>Scott Tedford,Janice Duquesnel</t>
  </si>
  <si>
    <t>Ft Zachary Taylor Historic State Park</t>
  </si>
  <si>
    <t xml:space="preserve">7 SAND, 35 LBBG, 77 RIGU, 1 HEGU, </t>
  </si>
  <si>
    <t>12 RUTU, 48 SAND, 1 ROYT, 1RIGU</t>
  </si>
  <si>
    <t>2 PIPL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</si>
</sst>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0000"/>
    <numFmt numFmtId="166" formatCode="M/d/yyyy"/>
    <numFmt numFmtId="167" formatCode="m/d/yy"/>
    <numFmt numFmtId="168" formatCode="m/d/yyyy"/>
    <numFmt numFmtId="169" formatCode="0.00000"/>
    <numFmt numFmtId="170" formatCode="m/d"/>
  </numFmts>
  <fonts count="15">
    <font>
      <sz val="10.0"/>
      <color rgb="FF000000"/>
      <name val="Arial"/>
    </font>
    <font>
      <sz val="12.0"/>
    </font>
    <font>
      <b/>
      <sz val="12.0"/>
      <color rgb="FF000000"/>
    </font>
    <font>
      <sz val="12.0"/>
      <color rgb="FF000000"/>
    </font>
    <font>
      <u/>
      <sz val="12.0"/>
      <color rgb="FF0000FF"/>
    </font>
    <font>
      <i/>
      <sz val="12.0"/>
      <color rgb="FFFF0000"/>
    </font>
    <font/>
    <font>
      <b/>
      <sz val="11.0"/>
      <color rgb="FF000000"/>
    </font>
    <font>
      <b/>
      <sz val="11.0"/>
    </font>
    <font>
      <b/>
      <sz val="10.0"/>
    </font>
    <font>
      <color rgb="FF000000"/>
      <name val="Arial"/>
    </font>
    <font>
      <sz val="10.0"/>
      <color rgb="FF000000"/>
    </font>
    <font>
      <name val="Arial"/>
    </font>
    <font>
      <color rgb="FF000000"/>
    </font>
    <font>
      <sz val="10.0"/>
      <color rgb="FF1155CC"/>
    </font>
  </fonts>
  <fills count="9">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F3F3F3"/>
        <bgColor rgb="FFF3F3F3"/>
      </patternFill>
    </fill>
    <fill>
      <patternFill patternType="solid">
        <fgColor rgb="FFFFFF99"/>
        <bgColor rgb="FFFFFF99"/>
      </patternFill>
    </fill>
    <fill>
      <patternFill patternType="solid">
        <fgColor rgb="FFD9D9D9"/>
        <bgColor rgb="FFD9D9D9"/>
      </patternFill>
    </fill>
    <fill>
      <patternFill patternType="solid">
        <fgColor rgb="FFCCCCCC"/>
        <bgColor rgb="FFCCCCCC"/>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1"/>
    </xf>
    <xf borderId="0" fillId="0" fontId="1" numFmtId="0" xfId="0" applyAlignment="1" applyFont="1">
      <alignment readingOrder="0" shrinkToFit="0" wrapText="1"/>
    </xf>
    <xf borderId="0" fillId="2" fontId="2" numFmtId="0" xfId="0" applyAlignment="1" applyFill="1" applyFont="1">
      <alignment readingOrder="0" shrinkToFit="0" wrapText="1"/>
    </xf>
    <xf borderId="0" fillId="3" fontId="3" numFmtId="0" xfId="0" applyAlignment="1" applyFill="1" applyFont="1">
      <alignment shrinkToFit="0" wrapText="1"/>
    </xf>
    <xf borderId="0" fillId="0" fontId="1" numFmtId="0" xfId="0" applyAlignment="1" applyFont="1">
      <alignment shrinkToFit="0" wrapText="1"/>
    </xf>
    <xf borderId="0" fillId="4" fontId="3" numFmtId="0" xfId="0" applyAlignment="1" applyFill="1" applyFont="1">
      <alignment readingOrder="0" shrinkToFit="0" wrapText="1"/>
    </xf>
    <xf borderId="0" fillId="0" fontId="4" numFmtId="0" xfId="0" applyAlignment="1" applyFont="1">
      <alignment readingOrder="0" shrinkToFit="0" wrapText="1"/>
    </xf>
    <xf borderId="0" fillId="4" fontId="2" numFmtId="0" xfId="0" applyAlignment="1" applyFont="1">
      <alignment readingOrder="0" shrinkToFit="0" wrapText="1"/>
    </xf>
    <xf borderId="0" fillId="5" fontId="3" numFmtId="164" xfId="0" applyAlignment="1" applyFill="1" applyFont="1" applyNumberFormat="1">
      <alignment horizontal="left" readingOrder="0" shrinkToFit="0" wrapText="1"/>
    </xf>
    <xf borderId="0" fillId="0" fontId="3" numFmtId="0" xfId="0" applyAlignment="1" applyFont="1">
      <alignment horizontal="left" readingOrder="0" shrinkToFit="0" wrapText="1"/>
    </xf>
    <xf borderId="0" fillId="0" fontId="5" numFmtId="0" xfId="0" applyAlignment="1" applyFont="1">
      <alignment readingOrder="0" shrinkToFit="0" wrapText="1"/>
    </xf>
    <xf borderId="0" fillId="0" fontId="2" numFmtId="0" xfId="0" applyAlignment="1" applyFont="1">
      <alignment readingOrder="0" shrinkToFit="0" wrapText="1"/>
    </xf>
    <xf borderId="0" fillId="6" fontId="6" numFmtId="0" xfId="0" applyAlignment="1" applyFill="1" applyFont="1">
      <alignment readingOrder="0" shrinkToFit="0" wrapText="1"/>
    </xf>
    <xf borderId="0" fillId="6" fontId="6" numFmtId="0" xfId="0" applyAlignment="1" applyFont="1">
      <alignment shrinkToFit="0" wrapText="1"/>
    </xf>
    <xf borderId="0" fillId="6" fontId="6" numFmtId="165" xfId="0" applyAlignment="1" applyFont="1" applyNumberFormat="1">
      <alignment shrinkToFit="0" wrapText="1"/>
    </xf>
    <xf borderId="0" fillId="7" fontId="7" numFmtId="0" xfId="0" applyAlignment="1" applyFill="1" applyFont="1">
      <alignment readingOrder="0" shrinkToFit="0" wrapText="1"/>
    </xf>
    <xf borderId="0" fillId="7" fontId="7" numFmtId="165" xfId="0" applyAlignment="1" applyFont="1" applyNumberFormat="1">
      <alignment readingOrder="0" shrinkToFit="0" wrapText="1"/>
    </xf>
    <xf borderId="0" fillId="7" fontId="8" numFmtId="165" xfId="0" applyAlignment="1" applyFont="1" applyNumberFormat="1">
      <alignment readingOrder="0" shrinkToFit="0" wrapText="1"/>
    </xf>
    <xf borderId="0" fillId="7" fontId="9" numFmtId="0" xfId="0" applyAlignment="1" applyFont="1">
      <alignment readingOrder="0" shrinkToFit="0" wrapText="1"/>
    </xf>
    <xf borderId="0" fillId="7" fontId="9" numFmtId="165" xfId="0" applyAlignment="1" applyFont="1" applyNumberFormat="1">
      <alignment readingOrder="0" shrinkToFit="0" wrapText="1"/>
    </xf>
    <xf borderId="0" fillId="0" fontId="6" numFmtId="14" xfId="0" applyAlignment="1" applyFont="1" applyNumberFormat="1">
      <alignment readingOrder="0" shrinkToFit="0" wrapText="1"/>
    </xf>
    <xf borderId="0" fillId="0" fontId="6" numFmtId="0" xfId="0" applyAlignment="1" applyFont="1">
      <alignment readingOrder="0" shrinkToFit="0" wrapText="1"/>
    </xf>
    <xf borderId="0" fillId="0" fontId="6" numFmtId="165" xfId="0" applyAlignment="1" applyFont="1" applyNumberFormat="1">
      <alignment readingOrder="0" shrinkToFit="0" wrapText="1"/>
    </xf>
    <xf borderId="0" fillId="4" fontId="10" numFmtId="0" xfId="0" applyAlignment="1" applyFont="1">
      <alignment horizontal="left" readingOrder="0" shrinkToFit="0" wrapText="1"/>
    </xf>
    <xf borderId="0" fillId="2" fontId="6" numFmtId="0" xfId="0" applyAlignment="1" applyFont="1">
      <alignment readingOrder="0" shrinkToFit="0" wrapText="1"/>
    </xf>
    <xf borderId="0" fillId="0" fontId="11" numFmtId="0" xfId="0" applyAlignment="1" applyFont="1">
      <alignment readingOrder="0" shrinkToFit="0" wrapText="1"/>
    </xf>
    <xf borderId="0" fillId="0" fontId="6" numFmtId="0" xfId="0" applyAlignment="1" applyFont="1">
      <alignment shrinkToFit="0" wrapText="1"/>
    </xf>
    <xf borderId="0" fillId="8" fontId="9" numFmtId="0" xfId="0" applyAlignment="1" applyFill="1" applyFont="1">
      <alignment readingOrder="0" shrinkToFit="0" wrapText="1"/>
    </xf>
    <xf borderId="0" fillId="0" fontId="9" numFmtId="0" xfId="0" applyAlignment="1" applyFont="1">
      <alignment shrinkToFit="0" wrapText="1"/>
    </xf>
    <xf borderId="0" fillId="0" fontId="11" numFmtId="14" xfId="0" applyAlignment="1" applyFont="1" applyNumberFormat="1">
      <alignment readingOrder="0" shrinkToFit="0" wrapText="1"/>
    </xf>
    <xf borderId="0" fillId="0" fontId="11" numFmtId="166" xfId="0" applyAlignment="1" applyFont="1" applyNumberFormat="1">
      <alignment readingOrder="0" shrinkToFit="0" wrapText="1"/>
    </xf>
    <xf borderId="0" fillId="0" fontId="11" numFmtId="0" xfId="0" applyAlignment="1" applyFont="1">
      <alignment shrinkToFit="0" wrapText="1"/>
    </xf>
    <xf borderId="0" fillId="0" fontId="10" numFmtId="14" xfId="0" applyAlignment="1" applyFont="1" applyNumberFormat="1">
      <alignment horizontal="right" shrinkToFit="0" vertical="bottom" wrapText="1"/>
    </xf>
    <xf borderId="0" fillId="0" fontId="10" numFmtId="0" xfId="0" applyAlignment="1" applyFont="1">
      <alignment shrinkToFit="0" vertical="bottom" wrapText="1"/>
    </xf>
    <xf borderId="0" fillId="0" fontId="10" numFmtId="165" xfId="0" applyAlignment="1" applyFont="1" applyNumberFormat="1">
      <alignment horizontal="right" shrinkToFit="0" vertical="bottom" wrapText="1"/>
    </xf>
    <xf borderId="0" fillId="0" fontId="6" numFmtId="0" xfId="0" applyAlignment="1" applyFont="1">
      <alignment readingOrder="0" shrinkToFit="0" vertical="bottom" wrapText="1"/>
    </xf>
    <xf borderId="0" fillId="0" fontId="12" numFmtId="165" xfId="0" applyAlignment="1" applyFont="1" applyNumberFormat="1">
      <alignment horizontal="right" shrinkToFit="0" vertical="bottom" wrapText="1"/>
    </xf>
    <xf borderId="0" fillId="0" fontId="12" numFmtId="0" xfId="0" applyAlignment="1" applyFont="1">
      <alignment shrinkToFit="0" vertical="bottom" wrapText="1"/>
    </xf>
    <xf borderId="0" fillId="0" fontId="12" numFmtId="0" xfId="0" applyAlignment="1" applyFont="1">
      <alignment horizontal="right" readingOrder="0" shrinkToFit="0" vertical="bottom" wrapText="1"/>
    </xf>
    <xf borderId="0" fillId="0" fontId="12" numFmtId="165" xfId="0" applyAlignment="1" applyFont="1" applyNumberFormat="1">
      <alignment readingOrder="0" shrinkToFit="0" vertical="bottom" wrapText="1"/>
    </xf>
    <xf borderId="0" fillId="0" fontId="12" numFmtId="0" xfId="0" applyAlignment="1" applyFont="1">
      <alignment readingOrder="0" shrinkToFit="0" vertical="bottom" wrapText="1"/>
    </xf>
    <xf borderId="0" fillId="0" fontId="11" numFmtId="165" xfId="0" applyAlignment="1" applyFont="1" applyNumberFormat="1">
      <alignment readingOrder="0" shrinkToFit="0" wrapText="1"/>
    </xf>
    <xf borderId="0" fillId="0" fontId="12" numFmtId="0" xfId="0" applyAlignment="1" applyFont="1">
      <alignment shrinkToFit="0" vertical="bottom" wrapText="1"/>
    </xf>
    <xf borderId="0" fillId="0" fontId="6" numFmtId="0" xfId="0" applyAlignment="1" applyFont="1">
      <alignment readingOrder="0" shrinkToFit="0" wrapText="1"/>
    </xf>
    <xf borderId="0" fillId="0" fontId="11"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0" fillId="0" fontId="6" numFmtId="3" xfId="0" applyAlignment="1" applyFont="1" applyNumberFormat="1">
      <alignment readingOrder="0" shrinkToFit="0" wrapText="1"/>
    </xf>
    <xf borderId="0" fillId="4" fontId="10" numFmtId="165" xfId="0" applyAlignment="1" applyFont="1" applyNumberFormat="1">
      <alignment readingOrder="0" shrinkToFit="0" wrapText="1"/>
    </xf>
    <xf borderId="0" fillId="0" fontId="10" numFmtId="165" xfId="0" applyAlignment="1" applyFont="1" applyNumberFormat="1">
      <alignment horizontal="right" readingOrder="0" shrinkToFit="0" vertical="bottom" wrapText="1"/>
    </xf>
    <xf borderId="0" fillId="4" fontId="10" numFmtId="0" xfId="0" applyAlignment="1" applyFont="1">
      <alignment readingOrder="0" shrinkToFit="0" wrapText="1"/>
    </xf>
    <xf borderId="0" fillId="4" fontId="10" numFmtId="14" xfId="0" applyAlignment="1" applyFont="1" applyNumberFormat="1">
      <alignment horizontal="left" readingOrder="0" shrinkToFit="0" wrapText="1"/>
    </xf>
    <xf borderId="0" fillId="4" fontId="10" numFmtId="165" xfId="0" applyAlignment="1" applyFont="1" applyNumberFormat="1">
      <alignment horizontal="left" readingOrder="0" shrinkToFit="0" wrapText="1"/>
    </xf>
    <xf borderId="0" fillId="0" fontId="6" numFmtId="165" xfId="0" applyAlignment="1" applyFont="1" applyNumberFormat="1">
      <alignment shrinkToFit="0"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6" numFmtId="49" xfId="0" applyAlignment="1" applyFont="1" applyNumberFormat="1">
      <alignment horizontal="right" readingOrder="0" shrinkToFit="0" wrapText="1"/>
    </xf>
    <xf borderId="0" fillId="0" fontId="12" numFmtId="0" xfId="0" applyAlignment="1" applyFont="1">
      <alignment horizontal="right" shrinkToFit="0" vertical="bottom" wrapText="1"/>
    </xf>
    <xf borderId="0" fillId="4" fontId="10" numFmtId="0" xfId="0" applyAlignment="1" applyFont="1">
      <alignment horizontal="right" readingOrder="0" shrinkToFit="0" wrapText="1"/>
    </xf>
    <xf borderId="0" fillId="0" fontId="11" numFmtId="167" xfId="0" applyAlignment="1" applyFont="1" applyNumberFormat="1">
      <alignment readingOrder="0" shrinkToFit="0" wrapText="1"/>
    </xf>
    <xf borderId="0" fillId="0" fontId="11" numFmtId="3" xfId="0" applyAlignment="1" applyFont="1" applyNumberFormat="1">
      <alignment readingOrder="0" shrinkToFit="0" wrapText="1"/>
    </xf>
    <xf borderId="0" fillId="0" fontId="14" numFmtId="0" xfId="0" applyAlignment="1" applyFont="1">
      <alignment readingOrder="0" shrinkToFit="0" wrapText="1"/>
    </xf>
    <xf borderId="0" fillId="0" fontId="6" numFmtId="167" xfId="0" applyAlignment="1" applyFont="1" applyNumberFormat="1">
      <alignment readingOrder="0" shrinkToFit="0" wrapText="1"/>
    </xf>
    <xf borderId="0" fillId="0" fontId="6" numFmtId="20" xfId="0" applyAlignment="1" applyFont="1" applyNumberFormat="1">
      <alignment readingOrder="0" shrinkToFit="0" wrapText="1"/>
    </xf>
    <xf borderId="0" fillId="0" fontId="6" numFmtId="168" xfId="0" applyAlignment="1" applyFont="1" applyNumberFormat="1">
      <alignment readingOrder="0" shrinkToFit="0" wrapText="1"/>
    </xf>
    <xf borderId="0" fillId="0" fontId="6" numFmtId="169" xfId="0" applyAlignment="1" applyFont="1" applyNumberFormat="1">
      <alignment readingOrder="0" shrinkToFit="0" wrapText="1"/>
    </xf>
    <xf borderId="0" fillId="0" fontId="10" numFmtId="0" xfId="0" applyAlignment="1" applyFont="1">
      <alignment horizontal="right" shrinkToFit="0" vertical="bottom" wrapText="1"/>
    </xf>
    <xf borderId="0" fillId="0" fontId="12" numFmtId="0" xfId="0" applyAlignment="1" applyFont="1">
      <alignment horizontal="right" shrinkToFit="0" vertical="bottom" wrapText="1"/>
    </xf>
    <xf borderId="0" fillId="0" fontId="12" numFmtId="165" xfId="0" applyAlignment="1" applyFont="1" applyNumberFormat="1">
      <alignment shrinkToFit="0" vertical="bottom" wrapText="1"/>
    </xf>
    <xf borderId="0" fillId="0" fontId="11" numFmtId="168" xfId="0" applyAlignment="1" applyFont="1" applyNumberFormat="1">
      <alignment readingOrder="0" shrinkToFit="0" wrapText="1"/>
    </xf>
    <xf borderId="0" fillId="0" fontId="11" numFmtId="170" xfId="0" applyAlignment="1" applyFont="1" applyNumberForma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flshorebirdalliance.org/media/44013/2016_winter_shorebird_survey.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4.43" defaultRowHeight="12.75"/>
  <cols>
    <col customWidth="1" min="1" max="1" width="177.71"/>
    <col customWidth="1" min="2" max="2" width="17.71"/>
    <col customWidth="1" min="3" max="3" width="17.0"/>
    <col customWidth="1" min="4" max="20" width="17.29"/>
  </cols>
  <sheetData>
    <row r="1">
      <c r="A1" s="1"/>
    </row>
    <row r="2">
      <c r="A2" s="2" t="s">
        <v>0</v>
      </c>
    </row>
    <row r="3">
      <c r="A3" s="3"/>
    </row>
    <row r="4" ht="18.0" customHeight="1">
      <c r="A4" s="4"/>
    </row>
    <row r="5" ht="18.0" customHeight="1">
      <c r="A5" s="5" t="s">
        <v>1</v>
      </c>
    </row>
    <row r="7">
      <c r="A7" s="6" t="s">
        <v>2</v>
      </c>
    </row>
    <row r="8">
      <c r="A8" s="7" t="s">
        <v>3</v>
      </c>
    </row>
    <row r="9">
      <c r="A9" s="8" t="s">
        <v>4</v>
      </c>
    </row>
    <row r="10">
      <c r="A10" s="9" t="s">
        <v>5</v>
      </c>
    </row>
    <row r="11">
      <c r="A11" s="9" t="s">
        <v>6</v>
      </c>
    </row>
    <row r="12">
      <c r="A12" s="4"/>
    </row>
    <row r="13">
      <c r="A13" s="1" t="s">
        <v>7</v>
      </c>
    </row>
    <row r="14">
      <c r="A14" s="10" t="s">
        <v>8</v>
      </c>
    </row>
    <row r="15">
      <c r="A15" s="4"/>
    </row>
    <row r="16">
      <c r="A16" s="11" t="s">
        <v>9</v>
      </c>
    </row>
    <row r="17">
      <c r="A17" s="4"/>
    </row>
    <row r="19">
      <c r="A19" s="1" t="s">
        <v>10</v>
      </c>
    </row>
  </sheetData>
  <hyperlinks>
    <hyperlink r:id="rId1" ref="A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1" width="15.0"/>
    <col customWidth="1" min="2" max="2" width="17.29"/>
    <col customWidth="1" min="3" max="3" width="32.86"/>
    <col customWidth="1" min="4" max="4" width="19.43"/>
    <col customWidth="1" min="5" max="5" width="11.71"/>
    <col customWidth="1" min="6" max="6" width="12.0"/>
    <col customWidth="1" min="7" max="7" width="13.0"/>
    <col customWidth="1" min="8" max="8" width="12.14"/>
    <col customWidth="1" min="9" max="9" width="12.71"/>
    <col customWidth="1" min="10" max="14" width="17.29"/>
    <col customWidth="1" min="15" max="15" width="52.0"/>
    <col customWidth="1" min="16" max="16" width="34.29"/>
    <col customWidth="1" min="17" max="61" width="17.29"/>
  </cols>
  <sheetData>
    <row r="1" ht="63.0" customHeight="1">
      <c r="A1" s="12" t="s">
        <v>11</v>
      </c>
      <c r="L1" s="13"/>
      <c r="M1" s="14"/>
      <c r="N1" s="14"/>
      <c r="O1" s="13"/>
      <c r="P1" s="13"/>
    </row>
    <row r="2" ht="72.0" customHeight="1">
      <c r="A2" s="15" t="s">
        <v>12</v>
      </c>
      <c r="B2" s="15" t="s">
        <v>13</v>
      </c>
      <c r="C2" s="15" t="s">
        <v>14</v>
      </c>
      <c r="D2" s="15" t="s">
        <v>15</v>
      </c>
      <c r="E2" s="15" t="s">
        <v>16</v>
      </c>
      <c r="F2" s="16" t="s">
        <v>17</v>
      </c>
      <c r="G2" s="16" t="s">
        <v>18</v>
      </c>
      <c r="H2" s="17" t="s">
        <v>19</v>
      </c>
      <c r="I2" s="17" t="s">
        <v>20</v>
      </c>
      <c r="J2" s="18" t="s">
        <v>21</v>
      </c>
      <c r="K2" s="18" t="s">
        <v>22</v>
      </c>
      <c r="L2" s="18" t="s">
        <v>23</v>
      </c>
      <c r="M2" s="19" t="s">
        <v>24</v>
      </c>
      <c r="N2" s="19" t="s">
        <v>25</v>
      </c>
      <c r="O2" s="18" t="s">
        <v>26</v>
      </c>
      <c r="P2" s="18" t="s">
        <v>27</v>
      </c>
    </row>
    <row r="3" ht="33.75" customHeight="1">
      <c r="A3" s="20">
        <v>42399.0</v>
      </c>
      <c r="B3" s="21" t="s">
        <v>28</v>
      </c>
      <c r="C3" s="21" t="s">
        <v>29</v>
      </c>
      <c r="D3" s="21" t="s">
        <v>30</v>
      </c>
      <c r="E3" s="21" t="s">
        <v>31</v>
      </c>
      <c r="F3" s="21">
        <v>28.794085705</v>
      </c>
      <c r="G3" s="21">
        <v>-80.73511061</v>
      </c>
      <c r="H3" s="21">
        <v>28.643680693</v>
      </c>
      <c r="I3" s="22">
        <v>-80.623842105</v>
      </c>
      <c r="J3" s="21" t="s">
        <v>32</v>
      </c>
      <c r="K3" s="21" t="s">
        <v>33</v>
      </c>
      <c r="L3" s="21">
        <v>1.0</v>
      </c>
      <c r="M3" s="22" t="s">
        <v>34</v>
      </c>
      <c r="N3" s="22" t="s">
        <v>35</v>
      </c>
      <c r="O3" s="23" t="s">
        <v>36</v>
      </c>
      <c r="P3" s="21" t="s">
        <v>37</v>
      </c>
    </row>
    <row r="4" ht="33.75" customHeight="1">
      <c r="A4" s="20">
        <v>42399.0</v>
      </c>
      <c r="B4" s="21" t="s">
        <v>28</v>
      </c>
      <c r="C4" s="21" t="s">
        <v>29</v>
      </c>
      <c r="D4" s="21" t="s">
        <v>30</v>
      </c>
      <c r="E4" s="21" t="s">
        <v>31</v>
      </c>
      <c r="F4" s="21">
        <v>28.794085705</v>
      </c>
      <c r="G4" s="21">
        <v>-80.73511061</v>
      </c>
      <c r="H4" s="21">
        <v>28.643680693</v>
      </c>
      <c r="I4" s="22">
        <v>-80.623842105</v>
      </c>
      <c r="J4" s="21" t="s">
        <v>32</v>
      </c>
      <c r="K4" s="21" t="s">
        <v>33</v>
      </c>
      <c r="L4" s="21">
        <v>2.0</v>
      </c>
      <c r="M4" s="22" t="s">
        <v>38</v>
      </c>
      <c r="N4" s="22" t="s">
        <v>39</v>
      </c>
      <c r="O4" s="21" t="s">
        <v>40</v>
      </c>
      <c r="P4" s="21" t="s">
        <v>37</v>
      </c>
    </row>
    <row r="5" ht="33.75" customHeight="1">
      <c r="A5" s="20">
        <v>42399.0</v>
      </c>
      <c r="B5" s="21" t="s">
        <v>28</v>
      </c>
      <c r="C5" s="21" t="s">
        <v>29</v>
      </c>
      <c r="D5" s="21" t="s">
        <v>30</v>
      </c>
      <c r="E5" s="21" t="s">
        <v>31</v>
      </c>
      <c r="F5" s="21">
        <v>28.794085705</v>
      </c>
      <c r="G5" s="21">
        <v>-80.73511061</v>
      </c>
      <c r="H5" s="21">
        <v>28.643680693</v>
      </c>
      <c r="I5" s="22">
        <v>-80.623842105</v>
      </c>
      <c r="J5" s="21" t="s">
        <v>32</v>
      </c>
      <c r="K5" s="21" t="s">
        <v>33</v>
      </c>
      <c r="L5" s="21">
        <v>2.0</v>
      </c>
      <c r="M5" s="22" t="s">
        <v>38</v>
      </c>
      <c r="N5" s="22" t="s">
        <v>39</v>
      </c>
      <c r="O5" s="21" t="s">
        <v>41</v>
      </c>
      <c r="P5" s="21" t="s">
        <v>42</v>
      </c>
    </row>
    <row r="6" ht="33.75" customHeight="1">
      <c r="A6" s="20">
        <v>42399.0</v>
      </c>
      <c r="B6" s="21" t="s">
        <v>28</v>
      </c>
      <c r="C6" s="21" t="s">
        <v>29</v>
      </c>
      <c r="D6" s="21" t="s">
        <v>30</v>
      </c>
      <c r="E6" s="21" t="s">
        <v>31</v>
      </c>
      <c r="F6" s="21">
        <v>28.794085705</v>
      </c>
      <c r="G6" s="21">
        <v>-80.73511061</v>
      </c>
      <c r="H6" s="21">
        <v>28.643680693</v>
      </c>
      <c r="I6" s="22">
        <v>-80.623842105</v>
      </c>
      <c r="J6" s="21" t="s">
        <v>32</v>
      </c>
      <c r="K6" s="21" t="s">
        <v>33</v>
      </c>
      <c r="L6" s="21">
        <v>3.0</v>
      </c>
      <c r="M6" s="22" t="s">
        <v>43</v>
      </c>
      <c r="N6" s="22" t="s">
        <v>44</v>
      </c>
      <c r="O6" s="21" t="s">
        <v>45</v>
      </c>
      <c r="P6" s="21" t="s">
        <v>46</v>
      </c>
    </row>
    <row r="7" ht="33.75" customHeight="1">
      <c r="A7" s="20">
        <v>42399.0</v>
      </c>
      <c r="B7" s="21" t="s">
        <v>28</v>
      </c>
      <c r="C7" s="21" t="s">
        <v>29</v>
      </c>
      <c r="D7" s="21" t="s">
        <v>30</v>
      </c>
      <c r="E7" s="21" t="s">
        <v>31</v>
      </c>
      <c r="F7" s="21">
        <v>28.794085705</v>
      </c>
      <c r="G7" s="21">
        <v>-80.73511061</v>
      </c>
      <c r="H7" s="21">
        <v>28.643680693</v>
      </c>
      <c r="I7" s="22">
        <v>-80.623842105</v>
      </c>
      <c r="J7" s="21" t="s">
        <v>32</v>
      </c>
      <c r="K7" s="21" t="s">
        <v>33</v>
      </c>
      <c r="L7" s="21">
        <v>3.0</v>
      </c>
      <c r="M7" s="22" t="s">
        <v>43</v>
      </c>
      <c r="N7" s="22" t="s">
        <v>44</v>
      </c>
      <c r="O7" s="21" t="s">
        <v>47</v>
      </c>
      <c r="P7" s="21" t="s">
        <v>46</v>
      </c>
    </row>
    <row r="8" ht="33.75" customHeight="1">
      <c r="A8" s="20">
        <v>42399.0</v>
      </c>
      <c r="B8" s="21" t="s">
        <v>28</v>
      </c>
      <c r="C8" s="21" t="s">
        <v>29</v>
      </c>
      <c r="D8" s="21" t="s">
        <v>30</v>
      </c>
      <c r="E8" s="21" t="s">
        <v>31</v>
      </c>
      <c r="F8" s="21">
        <v>28.794085705</v>
      </c>
      <c r="G8" s="21">
        <v>-80.73511061</v>
      </c>
      <c r="H8" s="21">
        <v>28.643680693</v>
      </c>
      <c r="I8" s="22">
        <v>-80.623842105</v>
      </c>
      <c r="J8" s="21" t="s">
        <v>32</v>
      </c>
      <c r="K8" s="21" t="s">
        <v>33</v>
      </c>
      <c r="L8" s="21">
        <v>3.0</v>
      </c>
      <c r="M8" s="22" t="s">
        <v>43</v>
      </c>
      <c r="N8" s="22" t="s">
        <v>44</v>
      </c>
      <c r="O8" s="21" t="s">
        <v>48</v>
      </c>
      <c r="P8" s="21" t="s">
        <v>46</v>
      </c>
    </row>
    <row r="9" ht="33.75" customHeight="1">
      <c r="A9" s="20">
        <v>42399.0</v>
      </c>
      <c r="B9" s="21" t="s">
        <v>28</v>
      </c>
      <c r="C9" s="21" t="s">
        <v>29</v>
      </c>
      <c r="D9" s="21" t="s">
        <v>30</v>
      </c>
      <c r="E9" s="21" t="s">
        <v>31</v>
      </c>
      <c r="F9" s="21">
        <v>28.794085705</v>
      </c>
      <c r="G9" s="21">
        <v>-80.73511061</v>
      </c>
      <c r="H9" s="21">
        <v>28.643680693</v>
      </c>
      <c r="I9" s="22">
        <v>-80.623842105</v>
      </c>
      <c r="J9" s="21" t="s">
        <v>32</v>
      </c>
      <c r="K9" s="21" t="s">
        <v>33</v>
      </c>
      <c r="L9" s="21">
        <v>3.0</v>
      </c>
      <c r="M9" s="22" t="s">
        <v>43</v>
      </c>
      <c r="N9" s="22" t="s">
        <v>44</v>
      </c>
      <c r="O9" s="21" t="s">
        <v>49</v>
      </c>
      <c r="P9" s="21" t="s">
        <v>46</v>
      </c>
    </row>
    <row r="10" ht="33.75" customHeight="1">
      <c r="A10" s="20">
        <v>42399.0</v>
      </c>
      <c r="B10" s="21" t="s">
        <v>28</v>
      </c>
      <c r="C10" s="21" t="s">
        <v>29</v>
      </c>
      <c r="D10" s="21" t="s">
        <v>30</v>
      </c>
      <c r="E10" s="21" t="s">
        <v>31</v>
      </c>
      <c r="F10" s="21">
        <v>28.794085705</v>
      </c>
      <c r="G10" s="21">
        <v>-80.73511061</v>
      </c>
      <c r="H10" s="21">
        <v>28.643680693</v>
      </c>
      <c r="I10" s="22">
        <v>-80.623842105</v>
      </c>
      <c r="J10" s="21" t="s">
        <v>32</v>
      </c>
      <c r="K10" s="21" t="s">
        <v>33</v>
      </c>
      <c r="L10" s="21">
        <v>3.0</v>
      </c>
      <c r="M10" s="22" t="s">
        <v>43</v>
      </c>
      <c r="N10" s="22" t="s">
        <v>44</v>
      </c>
      <c r="O10" s="21" t="s">
        <v>50</v>
      </c>
      <c r="P10" s="21" t="s">
        <v>46</v>
      </c>
    </row>
    <row r="11" ht="33.75" customHeight="1">
      <c r="A11" s="20">
        <v>42399.0</v>
      </c>
      <c r="B11" s="21" t="s">
        <v>28</v>
      </c>
      <c r="C11" s="21" t="s">
        <v>29</v>
      </c>
      <c r="D11" s="21" t="s">
        <v>30</v>
      </c>
      <c r="E11" s="21" t="s">
        <v>31</v>
      </c>
      <c r="F11" s="21">
        <v>28.794085705</v>
      </c>
      <c r="G11" s="21">
        <v>-80.73511061</v>
      </c>
      <c r="H11" s="21">
        <v>28.643680693</v>
      </c>
      <c r="I11" s="22">
        <v>-80.623842105</v>
      </c>
      <c r="J11" s="21" t="s">
        <v>32</v>
      </c>
      <c r="K11" s="21" t="s">
        <v>33</v>
      </c>
      <c r="L11" s="21">
        <v>3.0</v>
      </c>
      <c r="M11" s="22" t="s">
        <v>43</v>
      </c>
      <c r="N11" s="22" t="s">
        <v>44</v>
      </c>
      <c r="O11" s="21" t="s">
        <v>51</v>
      </c>
      <c r="P11" s="21" t="s">
        <v>46</v>
      </c>
    </row>
    <row r="12" ht="33.75" customHeight="1">
      <c r="A12" s="20">
        <v>42399.0</v>
      </c>
      <c r="B12" s="21" t="s">
        <v>28</v>
      </c>
      <c r="C12" s="21" t="s">
        <v>29</v>
      </c>
      <c r="D12" s="21" t="s">
        <v>30</v>
      </c>
      <c r="E12" s="21" t="s">
        <v>31</v>
      </c>
      <c r="F12" s="21">
        <v>28.794085705</v>
      </c>
      <c r="G12" s="21">
        <v>-80.73511061</v>
      </c>
      <c r="H12" s="21">
        <v>28.643680693</v>
      </c>
      <c r="I12" s="22">
        <v>-80.623842105</v>
      </c>
      <c r="J12" s="21" t="s">
        <v>32</v>
      </c>
      <c r="K12" s="21" t="s">
        <v>33</v>
      </c>
      <c r="L12" s="21">
        <v>3.0</v>
      </c>
      <c r="M12" s="22" t="s">
        <v>43</v>
      </c>
      <c r="N12" s="22" t="s">
        <v>44</v>
      </c>
      <c r="O12" s="21" t="s">
        <v>52</v>
      </c>
      <c r="P12" s="21" t="s">
        <v>46</v>
      </c>
    </row>
    <row r="13" ht="33.75" customHeight="1">
      <c r="A13" s="20">
        <v>42399.0</v>
      </c>
      <c r="B13" s="21" t="s">
        <v>28</v>
      </c>
      <c r="C13" s="21" t="s">
        <v>29</v>
      </c>
      <c r="D13" s="21" t="s">
        <v>30</v>
      </c>
      <c r="E13" s="21" t="s">
        <v>31</v>
      </c>
      <c r="F13" s="21">
        <v>28.794085705</v>
      </c>
      <c r="G13" s="21">
        <v>-80.73511061</v>
      </c>
      <c r="H13" s="21">
        <v>28.643680693</v>
      </c>
      <c r="I13" s="22">
        <v>-80.623842105</v>
      </c>
      <c r="J13" s="21" t="s">
        <v>32</v>
      </c>
      <c r="K13" s="21" t="s">
        <v>33</v>
      </c>
      <c r="L13" s="21">
        <v>4.0</v>
      </c>
      <c r="M13" s="22" t="s">
        <v>53</v>
      </c>
      <c r="N13" s="22" t="s">
        <v>54</v>
      </c>
      <c r="O13" s="21" t="s">
        <v>55</v>
      </c>
      <c r="P13" s="21" t="s">
        <v>46</v>
      </c>
    </row>
    <row r="14" ht="33.75" customHeight="1">
      <c r="A14" s="20">
        <v>42399.0</v>
      </c>
      <c r="B14" s="21" t="s">
        <v>28</v>
      </c>
      <c r="C14" s="21" t="s">
        <v>29</v>
      </c>
      <c r="D14" s="21" t="s">
        <v>30</v>
      </c>
      <c r="E14" s="21" t="s">
        <v>31</v>
      </c>
      <c r="F14" s="21">
        <v>28.794085705</v>
      </c>
      <c r="G14" s="21">
        <v>-80.73511061</v>
      </c>
      <c r="H14" s="21">
        <v>28.643680693</v>
      </c>
      <c r="I14" s="22">
        <v>-80.623842105</v>
      </c>
      <c r="J14" s="21" t="s">
        <v>32</v>
      </c>
      <c r="K14" s="21" t="s">
        <v>33</v>
      </c>
      <c r="L14" s="21">
        <v>4.0</v>
      </c>
      <c r="M14" s="22" t="s">
        <v>53</v>
      </c>
      <c r="N14" s="22" t="s">
        <v>54</v>
      </c>
      <c r="O14" s="21" t="s">
        <v>56</v>
      </c>
      <c r="P14" s="21" t="s">
        <v>46</v>
      </c>
    </row>
    <row r="15" ht="33.75" customHeight="1">
      <c r="A15" s="20">
        <v>42399.0</v>
      </c>
      <c r="B15" s="21" t="s">
        <v>28</v>
      </c>
      <c r="C15" s="21" t="s">
        <v>29</v>
      </c>
      <c r="D15" s="21" t="s">
        <v>30</v>
      </c>
      <c r="E15" s="21" t="s">
        <v>31</v>
      </c>
      <c r="F15" s="21">
        <v>28.794085705</v>
      </c>
      <c r="G15" s="21">
        <v>-80.73511061</v>
      </c>
      <c r="H15" s="21">
        <v>28.643680693</v>
      </c>
      <c r="I15" s="22">
        <v>-80.623842105</v>
      </c>
      <c r="J15" s="21" t="s">
        <v>32</v>
      </c>
      <c r="K15" s="21" t="s">
        <v>33</v>
      </c>
      <c r="L15" s="21">
        <v>4.0</v>
      </c>
      <c r="M15" s="22" t="s">
        <v>53</v>
      </c>
      <c r="N15" s="22" t="s">
        <v>54</v>
      </c>
      <c r="O15" s="21" t="s">
        <v>57</v>
      </c>
      <c r="P15" s="21" t="s">
        <v>46</v>
      </c>
    </row>
    <row r="16" ht="33.75" customHeight="1">
      <c r="A16" s="20">
        <v>42399.0</v>
      </c>
      <c r="B16" s="21" t="s">
        <v>28</v>
      </c>
      <c r="C16" s="21" t="s">
        <v>29</v>
      </c>
      <c r="D16" s="21" t="s">
        <v>30</v>
      </c>
      <c r="E16" s="21" t="s">
        <v>31</v>
      </c>
      <c r="F16" s="21">
        <v>28.794085705</v>
      </c>
      <c r="G16" s="21">
        <v>-80.73511061</v>
      </c>
      <c r="H16" s="21">
        <v>28.643680693</v>
      </c>
      <c r="I16" s="22">
        <v>-80.623842105</v>
      </c>
      <c r="J16" s="21" t="s">
        <v>32</v>
      </c>
      <c r="K16" s="21" t="s">
        <v>33</v>
      </c>
      <c r="L16" s="21">
        <v>4.0</v>
      </c>
      <c r="M16" s="22" t="s">
        <v>53</v>
      </c>
      <c r="N16" s="22" t="s">
        <v>54</v>
      </c>
      <c r="O16" s="21" t="s">
        <v>59</v>
      </c>
      <c r="P16" s="21" t="s">
        <v>46</v>
      </c>
    </row>
    <row r="17" ht="33.75" customHeight="1">
      <c r="A17" s="20">
        <v>42399.0</v>
      </c>
      <c r="B17" s="21" t="s">
        <v>28</v>
      </c>
      <c r="C17" s="21" t="s">
        <v>29</v>
      </c>
      <c r="D17" s="21" t="s">
        <v>30</v>
      </c>
      <c r="E17" s="21" t="s">
        <v>31</v>
      </c>
      <c r="F17" s="21">
        <v>28.794085705</v>
      </c>
      <c r="G17" s="21">
        <v>-80.73511061</v>
      </c>
      <c r="H17" s="21">
        <v>28.643680693</v>
      </c>
      <c r="I17" s="22">
        <v>-80.623842105</v>
      </c>
      <c r="J17" s="21" t="s">
        <v>32</v>
      </c>
      <c r="K17" s="21" t="s">
        <v>33</v>
      </c>
      <c r="L17" s="21">
        <v>5.0</v>
      </c>
      <c r="M17" s="22" t="s">
        <v>60</v>
      </c>
      <c r="N17" s="22" t="s">
        <v>61</v>
      </c>
      <c r="O17" s="21" t="s">
        <v>62</v>
      </c>
      <c r="P17" s="21" t="s">
        <v>46</v>
      </c>
    </row>
    <row r="18" ht="33.75" customHeight="1">
      <c r="A18" s="20">
        <v>42399.0</v>
      </c>
      <c r="B18" s="21" t="s">
        <v>28</v>
      </c>
      <c r="C18" s="21" t="s">
        <v>29</v>
      </c>
      <c r="D18" s="21" t="s">
        <v>30</v>
      </c>
      <c r="E18" s="21" t="s">
        <v>31</v>
      </c>
      <c r="F18" s="21">
        <v>28.794085705</v>
      </c>
      <c r="G18" s="21">
        <v>-80.73511061</v>
      </c>
      <c r="H18" s="21">
        <v>28.643680693</v>
      </c>
      <c r="I18" s="22">
        <v>-80.623842105</v>
      </c>
      <c r="J18" s="21" t="s">
        <v>32</v>
      </c>
      <c r="K18" s="21" t="s">
        <v>33</v>
      </c>
      <c r="L18" s="21">
        <v>5.0</v>
      </c>
      <c r="M18" s="22" t="s">
        <v>60</v>
      </c>
      <c r="N18" s="22" t="s">
        <v>61</v>
      </c>
      <c r="O18" s="21" t="s">
        <v>63</v>
      </c>
      <c r="P18" s="21" t="s">
        <v>46</v>
      </c>
    </row>
    <row r="19" ht="33.75" customHeight="1">
      <c r="A19" s="20">
        <v>42399.0</v>
      </c>
      <c r="B19" s="21" t="s">
        <v>28</v>
      </c>
      <c r="C19" s="21" t="s">
        <v>29</v>
      </c>
      <c r="D19" s="21" t="s">
        <v>30</v>
      </c>
      <c r="E19" s="21" t="s">
        <v>31</v>
      </c>
      <c r="F19" s="21">
        <v>28.794085705</v>
      </c>
      <c r="G19" s="21">
        <v>-80.73511061</v>
      </c>
      <c r="H19" s="21">
        <v>28.643680693</v>
      </c>
      <c r="I19" s="22">
        <v>-80.623842105</v>
      </c>
      <c r="J19" s="21" t="s">
        <v>32</v>
      </c>
      <c r="K19" s="21" t="s">
        <v>33</v>
      </c>
      <c r="L19" s="21">
        <v>5.0</v>
      </c>
      <c r="M19" s="22" t="s">
        <v>60</v>
      </c>
      <c r="N19" s="22" t="s">
        <v>61</v>
      </c>
      <c r="O19" s="21" t="s">
        <v>64</v>
      </c>
      <c r="P19" s="21" t="s">
        <v>46</v>
      </c>
    </row>
    <row r="20" ht="33.75" customHeight="1">
      <c r="A20" s="20">
        <v>42399.0</v>
      </c>
      <c r="B20" s="21" t="s">
        <v>28</v>
      </c>
      <c r="C20" s="21" t="s">
        <v>29</v>
      </c>
      <c r="D20" s="21" t="s">
        <v>30</v>
      </c>
      <c r="E20" s="21" t="s">
        <v>31</v>
      </c>
      <c r="F20" s="21">
        <v>28.794085705</v>
      </c>
      <c r="G20" s="21">
        <v>-80.73511061</v>
      </c>
      <c r="H20" s="21">
        <v>28.643680693</v>
      </c>
      <c r="I20" s="22">
        <v>-80.623842105</v>
      </c>
      <c r="J20" s="21" t="s">
        <v>32</v>
      </c>
      <c r="K20" s="21" t="s">
        <v>33</v>
      </c>
      <c r="L20" s="21">
        <v>5.0</v>
      </c>
      <c r="M20" s="22" t="s">
        <v>60</v>
      </c>
      <c r="N20" s="22" t="s">
        <v>61</v>
      </c>
      <c r="O20" s="21" t="s">
        <v>66</v>
      </c>
      <c r="P20" s="21" t="s">
        <v>46</v>
      </c>
    </row>
    <row r="21" ht="33.75" customHeight="1">
      <c r="A21" s="20">
        <v>42399.0</v>
      </c>
      <c r="B21" s="21" t="s">
        <v>28</v>
      </c>
      <c r="C21" s="21" t="s">
        <v>29</v>
      </c>
      <c r="D21" s="21" t="s">
        <v>30</v>
      </c>
      <c r="E21" s="21" t="s">
        <v>31</v>
      </c>
      <c r="F21" s="21">
        <v>28.794085705</v>
      </c>
      <c r="G21" s="21">
        <v>-80.73511061</v>
      </c>
      <c r="H21" s="21">
        <v>28.643680693</v>
      </c>
      <c r="I21" s="22">
        <v>-80.623842105</v>
      </c>
      <c r="J21" s="21" t="s">
        <v>32</v>
      </c>
      <c r="K21" s="21" t="s">
        <v>33</v>
      </c>
      <c r="L21" s="21">
        <v>5.0</v>
      </c>
      <c r="M21" s="22" t="s">
        <v>60</v>
      </c>
      <c r="N21" s="22" t="s">
        <v>61</v>
      </c>
      <c r="O21" s="21" t="s">
        <v>67</v>
      </c>
      <c r="P21" s="21" t="s">
        <v>46</v>
      </c>
    </row>
    <row r="22" ht="33.75" customHeight="1">
      <c r="A22" s="20">
        <v>42399.0</v>
      </c>
      <c r="B22" s="21" t="s">
        <v>28</v>
      </c>
      <c r="C22" s="21" t="s">
        <v>29</v>
      </c>
      <c r="D22" s="21" t="s">
        <v>30</v>
      </c>
      <c r="E22" s="21" t="s">
        <v>31</v>
      </c>
      <c r="F22" s="21">
        <v>28.794085705</v>
      </c>
      <c r="G22" s="21">
        <v>-80.73511061</v>
      </c>
      <c r="H22" s="21">
        <v>28.643680693</v>
      </c>
      <c r="I22" s="22">
        <v>-80.623842105</v>
      </c>
      <c r="J22" s="21" t="s">
        <v>32</v>
      </c>
      <c r="K22" s="21" t="s">
        <v>33</v>
      </c>
      <c r="L22" s="21">
        <v>5.0</v>
      </c>
      <c r="M22" s="22" t="s">
        <v>60</v>
      </c>
      <c r="N22" s="22" t="s">
        <v>61</v>
      </c>
      <c r="O22" s="21" t="s">
        <v>72</v>
      </c>
      <c r="P22" s="21" t="s">
        <v>46</v>
      </c>
    </row>
    <row r="23" ht="33.75" customHeight="1">
      <c r="A23" s="20">
        <v>42399.0</v>
      </c>
      <c r="B23" s="21" t="s">
        <v>28</v>
      </c>
      <c r="C23" s="21" t="s">
        <v>29</v>
      </c>
      <c r="D23" s="21" t="s">
        <v>30</v>
      </c>
      <c r="E23" s="21" t="s">
        <v>31</v>
      </c>
      <c r="F23" s="21">
        <v>28.794085705</v>
      </c>
      <c r="G23" s="21">
        <v>-80.73511061</v>
      </c>
      <c r="H23" s="21">
        <v>28.643680693</v>
      </c>
      <c r="I23" s="22">
        <v>-80.623842105</v>
      </c>
      <c r="J23" s="21" t="s">
        <v>32</v>
      </c>
      <c r="K23" s="21" t="s">
        <v>33</v>
      </c>
      <c r="L23" s="21">
        <v>6.0</v>
      </c>
      <c r="M23" s="22" t="s">
        <v>73</v>
      </c>
      <c r="N23" s="22" t="s">
        <v>74</v>
      </c>
      <c r="O23" s="21" t="s">
        <v>75</v>
      </c>
      <c r="P23" s="21" t="s">
        <v>46</v>
      </c>
    </row>
    <row r="24" ht="33.75" customHeight="1">
      <c r="A24" s="20">
        <v>42399.0</v>
      </c>
      <c r="B24" s="21" t="s">
        <v>28</v>
      </c>
      <c r="C24" s="21" t="s">
        <v>29</v>
      </c>
      <c r="D24" s="21" t="s">
        <v>30</v>
      </c>
      <c r="E24" s="21" t="s">
        <v>31</v>
      </c>
      <c r="F24" s="21">
        <v>28.794085705</v>
      </c>
      <c r="G24" s="21">
        <v>-80.73511061</v>
      </c>
      <c r="H24" s="21">
        <v>28.643680693</v>
      </c>
      <c r="I24" s="22">
        <v>-80.623842105</v>
      </c>
      <c r="J24" s="21" t="s">
        <v>32</v>
      </c>
      <c r="K24" s="21" t="s">
        <v>33</v>
      </c>
      <c r="L24" s="21">
        <v>6.0</v>
      </c>
      <c r="M24" s="22" t="s">
        <v>73</v>
      </c>
      <c r="N24" s="22" t="s">
        <v>74</v>
      </c>
      <c r="O24" s="21" t="s">
        <v>62</v>
      </c>
      <c r="P24" s="21" t="s">
        <v>46</v>
      </c>
    </row>
    <row r="25" ht="33.75" customHeight="1">
      <c r="A25" s="20">
        <v>42399.0</v>
      </c>
      <c r="B25" s="21" t="s">
        <v>28</v>
      </c>
      <c r="C25" s="21" t="s">
        <v>29</v>
      </c>
      <c r="D25" s="21" t="s">
        <v>30</v>
      </c>
      <c r="E25" s="21" t="s">
        <v>31</v>
      </c>
      <c r="F25" s="21">
        <v>28.794085705</v>
      </c>
      <c r="G25" s="21">
        <v>-80.73511061</v>
      </c>
      <c r="H25" s="21">
        <v>28.643680693</v>
      </c>
      <c r="I25" s="22">
        <v>-80.623842105</v>
      </c>
      <c r="J25" s="21" t="s">
        <v>32</v>
      </c>
      <c r="K25" s="21" t="s">
        <v>33</v>
      </c>
      <c r="L25" s="21">
        <v>6.0</v>
      </c>
      <c r="M25" s="22" t="s">
        <v>73</v>
      </c>
      <c r="N25" s="22" t="s">
        <v>74</v>
      </c>
      <c r="O25" s="21" t="s">
        <v>85</v>
      </c>
      <c r="P25" s="21" t="s">
        <v>46</v>
      </c>
    </row>
    <row r="26" ht="33.75" customHeight="1">
      <c r="A26" s="20">
        <v>42399.0</v>
      </c>
      <c r="B26" s="21" t="s">
        <v>28</v>
      </c>
      <c r="C26" s="21" t="s">
        <v>29</v>
      </c>
      <c r="D26" s="21" t="s">
        <v>30</v>
      </c>
      <c r="E26" s="21" t="s">
        <v>31</v>
      </c>
      <c r="F26" s="21">
        <v>28.794085705</v>
      </c>
      <c r="G26" s="21">
        <v>-80.73511061</v>
      </c>
      <c r="H26" s="21">
        <v>28.643680693</v>
      </c>
      <c r="I26" s="22">
        <v>-80.623842105</v>
      </c>
      <c r="J26" s="21" t="s">
        <v>32</v>
      </c>
      <c r="K26" s="21" t="s">
        <v>33</v>
      </c>
      <c r="L26" s="21">
        <v>6.0</v>
      </c>
      <c r="M26" s="22" t="s">
        <v>73</v>
      </c>
      <c r="N26" s="22" t="s">
        <v>74</v>
      </c>
      <c r="O26" s="21" t="s">
        <v>86</v>
      </c>
      <c r="P26" s="21" t="s">
        <v>46</v>
      </c>
    </row>
    <row r="27" ht="33.75" customHeight="1">
      <c r="A27" s="20">
        <v>42399.0</v>
      </c>
      <c r="B27" s="21" t="s">
        <v>28</v>
      </c>
      <c r="C27" s="21" t="s">
        <v>29</v>
      </c>
      <c r="D27" s="21" t="s">
        <v>30</v>
      </c>
      <c r="E27" s="21" t="s">
        <v>31</v>
      </c>
      <c r="F27" s="21">
        <v>28.794085705</v>
      </c>
      <c r="G27" s="21">
        <v>-80.73511061</v>
      </c>
      <c r="H27" s="21">
        <v>28.643680693</v>
      </c>
      <c r="I27" s="22">
        <v>-80.623842105</v>
      </c>
      <c r="J27" s="21" t="s">
        <v>32</v>
      </c>
      <c r="K27" s="21" t="s">
        <v>33</v>
      </c>
      <c r="L27" s="21">
        <v>6.0</v>
      </c>
      <c r="M27" s="22" t="s">
        <v>73</v>
      </c>
      <c r="N27" s="22" t="s">
        <v>74</v>
      </c>
      <c r="O27" s="21" t="s">
        <v>93</v>
      </c>
      <c r="P27" s="21" t="s">
        <v>46</v>
      </c>
    </row>
    <row r="28" ht="33.75" customHeight="1">
      <c r="A28" s="20">
        <v>42399.0</v>
      </c>
      <c r="B28" s="21" t="s">
        <v>28</v>
      </c>
      <c r="C28" s="21" t="s">
        <v>29</v>
      </c>
      <c r="D28" s="21" t="s">
        <v>30</v>
      </c>
      <c r="E28" s="21" t="s">
        <v>31</v>
      </c>
      <c r="F28" s="21">
        <v>28.794085705</v>
      </c>
      <c r="G28" s="21">
        <v>-80.73511061</v>
      </c>
      <c r="H28" s="21">
        <v>28.643680693</v>
      </c>
      <c r="I28" s="22">
        <v>-80.623842105</v>
      </c>
      <c r="J28" s="21" t="s">
        <v>32</v>
      </c>
      <c r="K28" s="21" t="s">
        <v>33</v>
      </c>
      <c r="L28" s="21">
        <v>7.0</v>
      </c>
      <c r="M28" s="22" t="s">
        <v>94</v>
      </c>
      <c r="N28" s="22" t="s">
        <v>95</v>
      </c>
      <c r="O28" s="21" t="s">
        <v>96</v>
      </c>
      <c r="P28" s="21" t="s">
        <v>46</v>
      </c>
    </row>
    <row r="29" ht="33.75" customHeight="1">
      <c r="A29" s="20">
        <v>42399.0</v>
      </c>
      <c r="B29" s="21" t="s">
        <v>28</v>
      </c>
      <c r="C29" s="21" t="s">
        <v>29</v>
      </c>
      <c r="D29" s="21" t="s">
        <v>30</v>
      </c>
      <c r="E29" s="21" t="s">
        <v>31</v>
      </c>
      <c r="F29" s="21">
        <v>28.794085705</v>
      </c>
      <c r="G29" s="21">
        <v>-80.73511061</v>
      </c>
      <c r="H29" s="21">
        <v>28.643680693</v>
      </c>
      <c r="I29" s="22">
        <v>-80.623842105</v>
      </c>
      <c r="J29" s="21" t="s">
        <v>32</v>
      </c>
      <c r="K29" s="21" t="s">
        <v>33</v>
      </c>
      <c r="L29" s="21">
        <v>8.0</v>
      </c>
      <c r="M29" s="22" t="s">
        <v>101</v>
      </c>
      <c r="N29" s="22" t="s">
        <v>103</v>
      </c>
      <c r="O29" s="21" t="s">
        <v>96</v>
      </c>
      <c r="P29" s="21" t="s">
        <v>46</v>
      </c>
    </row>
    <row r="30" ht="33.75" customHeight="1">
      <c r="A30" s="20">
        <v>42399.0</v>
      </c>
      <c r="B30" s="21" t="s">
        <v>28</v>
      </c>
      <c r="C30" s="21" t="s">
        <v>29</v>
      </c>
      <c r="D30" s="21" t="s">
        <v>30</v>
      </c>
      <c r="E30" s="21" t="s">
        <v>31</v>
      </c>
      <c r="F30" s="21">
        <v>28.794085705</v>
      </c>
      <c r="G30" s="21">
        <v>-80.73511061</v>
      </c>
      <c r="H30" s="21">
        <v>28.643680693</v>
      </c>
      <c r="I30" s="22">
        <v>-80.623842105</v>
      </c>
      <c r="J30" s="21" t="s">
        <v>32</v>
      </c>
      <c r="K30" s="21" t="s">
        <v>33</v>
      </c>
      <c r="L30" s="21">
        <v>9.0</v>
      </c>
      <c r="M30" s="21" t="s">
        <v>172</v>
      </c>
      <c r="N30" s="21" t="s">
        <v>173</v>
      </c>
      <c r="O30" s="21" t="s">
        <v>174</v>
      </c>
      <c r="P30" s="21" t="s">
        <v>46</v>
      </c>
    </row>
    <row r="31" ht="33.75" customHeight="1">
      <c r="A31" s="20">
        <v>42399.0</v>
      </c>
      <c r="B31" s="21" t="s">
        <v>28</v>
      </c>
      <c r="C31" s="21" t="s">
        <v>29</v>
      </c>
      <c r="D31" s="21" t="s">
        <v>30</v>
      </c>
      <c r="E31" s="21" t="s">
        <v>31</v>
      </c>
      <c r="F31" s="21">
        <v>28.794085705</v>
      </c>
      <c r="G31" s="21">
        <v>-80.73511061</v>
      </c>
      <c r="H31" s="21">
        <v>28.643680693</v>
      </c>
      <c r="I31" s="22">
        <v>-80.623842105</v>
      </c>
      <c r="J31" s="21" t="s">
        <v>32</v>
      </c>
      <c r="K31" s="21" t="s">
        <v>33</v>
      </c>
      <c r="L31" s="21">
        <v>9.0</v>
      </c>
      <c r="M31" s="21" t="s">
        <v>172</v>
      </c>
      <c r="N31" s="21" t="s">
        <v>173</v>
      </c>
      <c r="O31" s="21" t="s">
        <v>190</v>
      </c>
      <c r="P31" s="21" t="s">
        <v>46</v>
      </c>
    </row>
    <row r="32" ht="33.75" customHeight="1">
      <c r="A32" s="20">
        <v>42399.0</v>
      </c>
      <c r="B32" s="21" t="s">
        <v>28</v>
      </c>
      <c r="C32" s="21" t="s">
        <v>29</v>
      </c>
      <c r="D32" s="21" t="s">
        <v>30</v>
      </c>
      <c r="E32" s="21" t="s">
        <v>31</v>
      </c>
      <c r="F32" s="21">
        <v>28.794085705</v>
      </c>
      <c r="G32" s="21">
        <v>-80.73511061</v>
      </c>
      <c r="H32" s="21">
        <v>28.643680693</v>
      </c>
      <c r="I32" s="22">
        <v>-80.623842105</v>
      </c>
      <c r="J32" s="21" t="s">
        <v>32</v>
      </c>
      <c r="K32" s="21" t="s">
        <v>33</v>
      </c>
      <c r="L32" s="21">
        <v>9.0</v>
      </c>
      <c r="M32" s="21" t="s">
        <v>172</v>
      </c>
      <c r="N32" s="21" t="s">
        <v>173</v>
      </c>
      <c r="O32" s="21" t="s">
        <v>204</v>
      </c>
      <c r="P32" s="21" t="s">
        <v>46</v>
      </c>
    </row>
    <row r="33" ht="33.75" customHeight="1">
      <c r="A33" s="20">
        <v>42399.0</v>
      </c>
      <c r="B33" s="21" t="s">
        <v>28</v>
      </c>
      <c r="C33" s="21" t="s">
        <v>29</v>
      </c>
      <c r="D33" s="21" t="s">
        <v>30</v>
      </c>
      <c r="E33" s="21" t="s">
        <v>31</v>
      </c>
      <c r="F33" s="21">
        <v>28.794085705</v>
      </c>
      <c r="G33" s="21">
        <v>-80.73511061</v>
      </c>
      <c r="H33" s="21">
        <v>28.643680693</v>
      </c>
      <c r="I33" s="22">
        <v>-80.623842105</v>
      </c>
      <c r="J33" s="21" t="s">
        <v>32</v>
      </c>
      <c r="K33" s="21" t="s">
        <v>33</v>
      </c>
      <c r="L33" s="21">
        <v>9.0</v>
      </c>
      <c r="M33" s="21" t="s">
        <v>172</v>
      </c>
      <c r="N33" s="21" t="s">
        <v>173</v>
      </c>
      <c r="O33" s="21" t="s">
        <v>210</v>
      </c>
      <c r="P33" s="21" t="s">
        <v>46</v>
      </c>
    </row>
    <row r="34" ht="33.75" customHeight="1">
      <c r="A34" s="20">
        <v>42399.0</v>
      </c>
      <c r="B34" s="21" t="s">
        <v>28</v>
      </c>
      <c r="C34" s="21" t="s">
        <v>29</v>
      </c>
      <c r="D34" s="21" t="s">
        <v>30</v>
      </c>
      <c r="E34" s="21" t="s">
        <v>31</v>
      </c>
      <c r="F34" s="21">
        <v>28.794085705</v>
      </c>
      <c r="G34" s="21">
        <v>-80.73511061</v>
      </c>
      <c r="H34" s="21">
        <v>28.643680693</v>
      </c>
      <c r="I34" s="22">
        <v>-80.623842105</v>
      </c>
      <c r="J34" s="21" t="s">
        <v>32</v>
      </c>
      <c r="K34" s="21" t="s">
        <v>33</v>
      </c>
      <c r="L34" s="21">
        <v>9.0</v>
      </c>
      <c r="M34" s="21" t="s">
        <v>172</v>
      </c>
      <c r="N34" s="21" t="s">
        <v>173</v>
      </c>
      <c r="O34" s="21" t="s">
        <v>213</v>
      </c>
      <c r="P34" s="21" t="s">
        <v>46</v>
      </c>
    </row>
    <row r="35" ht="33.75" customHeight="1">
      <c r="A35" s="20">
        <v>42399.0</v>
      </c>
      <c r="B35" s="21" t="s">
        <v>28</v>
      </c>
      <c r="C35" s="21" t="s">
        <v>29</v>
      </c>
      <c r="D35" s="21" t="s">
        <v>30</v>
      </c>
      <c r="E35" s="21" t="s">
        <v>31</v>
      </c>
      <c r="F35" s="21">
        <v>28.794085705</v>
      </c>
      <c r="G35" s="21">
        <v>-80.73511061</v>
      </c>
      <c r="H35" s="21">
        <v>28.643680693</v>
      </c>
      <c r="I35" s="22">
        <v>-80.623842105</v>
      </c>
      <c r="J35" s="21" t="s">
        <v>32</v>
      </c>
      <c r="K35" s="21" t="s">
        <v>33</v>
      </c>
      <c r="L35" s="21">
        <v>9.0</v>
      </c>
      <c r="M35" s="21" t="s">
        <v>172</v>
      </c>
      <c r="N35" s="21" t="s">
        <v>173</v>
      </c>
      <c r="O35" s="21" t="s">
        <v>219</v>
      </c>
      <c r="P35" s="21" t="s">
        <v>46</v>
      </c>
    </row>
    <row r="36" ht="33.75" customHeight="1">
      <c r="A36" s="20">
        <v>42399.0</v>
      </c>
      <c r="B36" s="21" t="s">
        <v>28</v>
      </c>
      <c r="C36" s="21" t="s">
        <v>29</v>
      </c>
      <c r="D36" s="21" t="s">
        <v>30</v>
      </c>
      <c r="E36" s="21" t="s">
        <v>31</v>
      </c>
      <c r="F36" s="21">
        <v>28.794085705</v>
      </c>
      <c r="G36" s="21">
        <v>-80.73511061</v>
      </c>
      <c r="H36" s="21">
        <v>28.643680693</v>
      </c>
      <c r="I36" s="22">
        <v>-80.623842105</v>
      </c>
      <c r="J36" s="21" t="s">
        <v>32</v>
      </c>
      <c r="K36" s="21" t="s">
        <v>33</v>
      </c>
      <c r="L36" s="21">
        <v>9.0</v>
      </c>
      <c r="M36" s="21" t="s">
        <v>172</v>
      </c>
      <c r="N36" s="21" t="s">
        <v>173</v>
      </c>
      <c r="O36" s="21" t="s">
        <v>226</v>
      </c>
      <c r="P36" s="21" t="s">
        <v>46</v>
      </c>
    </row>
    <row r="37" ht="33.75" customHeight="1">
      <c r="A37" s="30">
        <v>42402.0</v>
      </c>
      <c r="B37" s="25" t="s">
        <v>106</v>
      </c>
      <c r="C37" s="25" t="s">
        <v>109</v>
      </c>
      <c r="D37" s="25" t="s">
        <v>241</v>
      </c>
      <c r="E37" s="25" t="s">
        <v>113</v>
      </c>
      <c r="F37" s="41" t="s">
        <v>242</v>
      </c>
      <c r="G37" s="41" t="s">
        <v>295</v>
      </c>
      <c r="H37" s="41" t="s">
        <v>296</v>
      </c>
      <c r="I37" s="22" t="s">
        <v>299</v>
      </c>
      <c r="J37" s="21" t="s">
        <v>300</v>
      </c>
      <c r="K37" s="21" t="s">
        <v>301</v>
      </c>
      <c r="L37" s="43"/>
      <c r="M37" s="22" t="s">
        <v>303</v>
      </c>
      <c r="N37" s="22" t="s">
        <v>304</v>
      </c>
      <c r="O37" s="21" t="s">
        <v>305</v>
      </c>
      <c r="P37" s="21" t="s">
        <v>306</v>
      </c>
    </row>
    <row r="38" ht="33.75" customHeight="1">
      <c r="A38" s="29">
        <v>42402.0</v>
      </c>
      <c r="B38" s="25" t="s">
        <v>106</v>
      </c>
      <c r="C38" s="25" t="s">
        <v>109</v>
      </c>
      <c r="D38" s="25" t="s">
        <v>241</v>
      </c>
      <c r="E38" s="25" t="s">
        <v>113</v>
      </c>
      <c r="F38" s="41" t="s">
        <v>242</v>
      </c>
      <c r="G38" s="41" t="s">
        <v>295</v>
      </c>
      <c r="H38" s="41" t="s">
        <v>296</v>
      </c>
      <c r="I38" s="22" t="s">
        <v>299</v>
      </c>
      <c r="J38" s="21" t="s">
        <v>300</v>
      </c>
      <c r="K38" s="21" t="s">
        <v>301</v>
      </c>
      <c r="L38" s="43"/>
      <c r="M38" s="22" t="s">
        <v>310</v>
      </c>
      <c r="N38" s="22" t="s">
        <v>312</v>
      </c>
      <c r="O38" s="21" t="s">
        <v>314</v>
      </c>
      <c r="P38" s="43"/>
    </row>
    <row r="39" ht="33.75" customHeight="1">
      <c r="A39" s="29">
        <v>42402.0</v>
      </c>
      <c r="B39" s="25" t="s">
        <v>106</v>
      </c>
      <c r="C39" s="25" t="s">
        <v>109</v>
      </c>
      <c r="D39" s="25" t="s">
        <v>241</v>
      </c>
      <c r="E39" s="25" t="s">
        <v>113</v>
      </c>
      <c r="F39" s="41" t="s">
        <v>242</v>
      </c>
      <c r="G39" s="41" t="s">
        <v>295</v>
      </c>
      <c r="H39" s="41" t="s">
        <v>296</v>
      </c>
      <c r="I39" s="22" t="s">
        <v>299</v>
      </c>
      <c r="J39" s="21" t="s">
        <v>300</v>
      </c>
      <c r="K39" s="21" t="s">
        <v>301</v>
      </c>
      <c r="L39" s="43"/>
      <c r="M39" s="22" t="s">
        <v>310</v>
      </c>
      <c r="N39" s="22" t="s">
        <v>312</v>
      </c>
      <c r="O39" s="21" t="s">
        <v>321</v>
      </c>
    </row>
    <row r="40" ht="33.75" customHeight="1">
      <c r="A40" s="30">
        <v>42402.0</v>
      </c>
      <c r="B40" s="25" t="s">
        <v>106</v>
      </c>
      <c r="C40" s="25" t="s">
        <v>109</v>
      </c>
      <c r="D40" s="25" t="s">
        <v>323</v>
      </c>
      <c r="E40" s="25" t="s">
        <v>113</v>
      </c>
      <c r="F40" s="41" t="s">
        <v>242</v>
      </c>
      <c r="G40" s="41" t="s">
        <v>295</v>
      </c>
      <c r="H40" s="41" t="s">
        <v>296</v>
      </c>
      <c r="I40" s="22" t="s">
        <v>299</v>
      </c>
      <c r="J40" s="21" t="s">
        <v>300</v>
      </c>
      <c r="K40" s="21" t="s">
        <v>301</v>
      </c>
      <c r="M40" s="22" t="s">
        <v>325</v>
      </c>
      <c r="N40" s="22" t="s">
        <v>326</v>
      </c>
      <c r="O40" s="21" t="s">
        <v>327</v>
      </c>
    </row>
    <row r="41" ht="33.75" customHeight="1">
      <c r="A41" s="30">
        <v>42402.0</v>
      </c>
      <c r="B41" s="25" t="s">
        <v>106</v>
      </c>
      <c r="C41" s="25" t="s">
        <v>109</v>
      </c>
      <c r="D41" s="25" t="s">
        <v>331</v>
      </c>
      <c r="E41" s="25" t="s">
        <v>113</v>
      </c>
      <c r="F41" s="41" t="s">
        <v>242</v>
      </c>
      <c r="G41" s="41" t="s">
        <v>295</v>
      </c>
      <c r="H41" s="41" t="s">
        <v>296</v>
      </c>
      <c r="I41" s="22" t="s">
        <v>299</v>
      </c>
      <c r="J41" s="21" t="s">
        <v>300</v>
      </c>
      <c r="K41" s="21" t="s">
        <v>301</v>
      </c>
      <c r="L41" s="43"/>
      <c r="M41" s="22" t="s">
        <v>325</v>
      </c>
      <c r="N41" s="22" t="s">
        <v>326</v>
      </c>
      <c r="O41" s="21" t="s">
        <v>332</v>
      </c>
      <c r="P41" s="43"/>
    </row>
    <row r="42" ht="33.75" customHeight="1">
      <c r="A42" s="30">
        <v>42402.0</v>
      </c>
      <c r="B42" s="25" t="s">
        <v>106</v>
      </c>
      <c r="C42" s="25" t="s">
        <v>109</v>
      </c>
      <c r="D42" s="25" t="s">
        <v>241</v>
      </c>
      <c r="E42" s="25" t="s">
        <v>113</v>
      </c>
      <c r="F42" s="41" t="s">
        <v>242</v>
      </c>
      <c r="G42" s="41" t="s">
        <v>295</v>
      </c>
      <c r="H42" s="41" t="s">
        <v>296</v>
      </c>
      <c r="I42" s="22" t="s">
        <v>299</v>
      </c>
      <c r="J42" s="21" t="s">
        <v>300</v>
      </c>
      <c r="K42" s="21" t="s">
        <v>301</v>
      </c>
      <c r="L42" s="43"/>
      <c r="M42" s="22" t="s">
        <v>335</v>
      </c>
      <c r="N42" s="22" t="s">
        <v>337</v>
      </c>
      <c r="O42" s="21" t="s">
        <v>339</v>
      </c>
      <c r="P42" s="43"/>
    </row>
    <row r="43" ht="33.75" customHeight="1">
      <c r="A43" s="30">
        <v>42402.0</v>
      </c>
      <c r="B43" s="25" t="s">
        <v>106</v>
      </c>
      <c r="C43" s="25" t="s">
        <v>109</v>
      </c>
      <c r="D43" s="25" t="s">
        <v>342</v>
      </c>
      <c r="E43" s="25" t="s">
        <v>113</v>
      </c>
      <c r="F43" s="41" t="s">
        <v>344</v>
      </c>
      <c r="G43" s="41" t="s">
        <v>346</v>
      </c>
      <c r="H43" s="41" t="s">
        <v>344</v>
      </c>
      <c r="I43" s="22" t="s">
        <v>346</v>
      </c>
      <c r="J43" s="21" t="s">
        <v>349</v>
      </c>
      <c r="K43" s="21" t="s">
        <v>33</v>
      </c>
      <c r="L43" s="43"/>
      <c r="M43" s="22" t="s">
        <v>344</v>
      </c>
      <c r="N43" s="22" t="s">
        <v>346</v>
      </c>
      <c r="O43" s="21" t="s">
        <v>350</v>
      </c>
      <c r="P43" s="43"/>
    </row>
    <row r="44" ht="33.75" customHeight="1">
      <c r="A44" s="30">
        <v>42402.0</v>
      </c>
      <c r="B44" s="25" t="s">
        <v>106</v>
      </c>
      <c r="C44" s="25" t="s">
        <v>109</v>
      </c>
      <c r="D44" s="25" t="s">
        <v>342</v>
      </c>
      <c r="E44" s="25" t="s">
        <v>113</v>
      </c>
      <c r="F44" s="41" t="s">
        <v>351</v>
      </c>
      <c r="G44" s="41" t="s">
        <v>351</v>
      </c>
      <c r="H44" s="41" t="s">
        <v>351</v>
      </c>
      <c r="I44" s="22" t="s">
        <v>351</v>
      </c>
      <c r="J44" s="21" t="s">
        <v>351</v>
      </c>
      <c r="K44" s="21" t="s">
        <v>351</v>
      </c>
      <c r="L44" s="43"/>
      <c r="M44" s="22" t="s">
        <v>351</v>
      </c>
      <c r="N44" s="22" t="s">
        <v>351</v>
      </c>
      <c r="O44" s="21" t="s">
        <v>352</v>
      </c>
      <c r="P44" s="43"/>
    </row>
    <row r="45" ht="33.75" customHeight="1">
      <c r="A45" s="30">
        <v>42402.0</v>
      </c>
      <c r="B45" s="25" t="s">
        <v>106</v>
      </c>
      <c r="C45" s="25" t="s">
        <v>109</v>
      </c>
      <c r="D45" s="25" t="s">
        <v>111</v>
      </c>
      <c r="E45" s="25" t="s">
        <v>113</v>
      </c>
      <c r="F45" s="41" t="s">
        <v>356</v>
      </c>
      <c r="G45" s="41" t="s">
        <v>357</v>
      </c>
      <c r="H45" s="41" t="s">
        <v>358</v>
      </c>
      <c r="I45" s="22" t="s">
        <v>360</v>
      </c>
      <c r="J45" s="21" t="s">
        <v>362</v>
      </c>
      <c r="K45" s="21" t="s">
        <v>33</v>
      </c>
      <c r="L45" s="43"/>
      <c r="M45" s="22" t="s">
        <v>363</v>
      </c>
      <c r="N45" s="22" t="s">
        <v>364</v>
      </c>
      <c r="O45" s="21" t="s">
        <v>366</v>
      </c>
      <c r="P45" s="43"/>
    </row>
    <row r="46" ht="33.75" customHeight="1">
      <c r="A46" s="30">
        <v>42402.0</v>
      </c>
      <c r="B46" s="25" t="s">
        <v>106</v>
      </c>
      <c r="C46" s="25" t="s">
        <v>109</v>
      </c>
      <c r="D46" s="25" t="s">
        <v>111</v>
      </c>
      <c r="E46" s="25" t="s">
        <v>113</v>
      </c>
      <c r="F46" s="41" t="s">
        <v>356</v>
      </c>
      <c r="G46" s="41" t="s">
        <v>357</v>
      </c>
      <c r="H46" s="41" t="s">
        <v>358</v>
      </c>
      <c r="I46" s="22" t="s">
        <v>360</v>
      </c>
      <c r="J46" s="21" t="s">
        <v>362</v>
      </c>
      <c r="K46" s="21" t="s">
        <v>33</v>
      </c>
      <c r="L46" s="43"/>
      <c r="M46" s="22" t="s">
        <v>351</v>
      </c>
      <c r="N46" s="22" t="s">
        <v>351</v>
      </c>
      <c r="O46" s="21" t="s">
        <v>373</v>
      </c>
      <c r="P46" s="43"/>
    </row>
    <row r="47" ht="33.75" customHeight="1">
      <c r="A47" s="30">
        <v>42402.0</v>
      </c>
      <c r="B47" s="25" t="s">
        <v>106</v>
      </c>
      <c r="C47" s="25" t="s">
        <v>109</v>
      </c>
      <c r="D47" s="25" t="s">
        <v>111</v>
      </c>
      <c r="E47" s="25" t="s">
        <v>113</v>
      </c>
      <c r="F47" s="41" t="s">
        <v>356</v>
      </c>
      <c r="G47" s="41" t="s">
        <v>357</v>
      </c>
      <c r="H47" s="41" t="s">
        <v>358</v>
      </c>
      <c r="I47" s="22" t="s">
        <v>360</v>
      </c>
      <c r="J47" s="21" t="s">
        <v>362</v>
      </c>
      <c r="K47" s="21" t="s">
        <v>33</v>
      </c>
      <c r="L47" s="43"/>
      <c r="M47" s="22" t="s">
        <v>351</v>
      </c>
      <c r="N47" s="22" t="s">
        <v>351</v>
      </c>
      <c r="O47" s="21" t="s">
        <v>378</v>
      </c>
      <c r="P47" s="43"/>
    </row>
    <row r="48" ht="33.75" customHeight="1">
      <c r="A48" s="30">
        <v>42402.0</v>
      </c>
      <c r="B48" s="25" t="s">
        <v>106</v>
      </c>
      <c r="C48" s="25" t="s">
        <v>109</v>
      </c>
      <c r="D48" s="25" t="s">
        <v>111</v>
      </c>
      <c r="E48" s="25" t="s">
        <v>113</v>
      </c>
      <c r="F48" s="41" t="s">
        <v>356</v>
      </c>
      <c r="G48" s="41" t="s">
        <v>357</v>
      </c>
      <c r="H48" s="41" t="s">
        <v>358</v>
      </c>
      <c r="I48" s="22" t="s">
        <v>360</v>
      </c>
      <c r="J48" s="21" t="s">
        <v>362</v>
      </c>
      <c r="K48" s="21" t="s">
        <v>33</v>
      </c>
      <c r="L48" s="43"/>
      <c r="M48" s="22" t="s">
        <v>351</v>
      </c>
      <c r="N48" s="22" t="s">
        <v>351</v>
      </c>
      <c r="O48" s="21" t="s">
        <v>387</v>
      </c>
      <c r="P48" s="43"/>
    </row>
    <row r="49" ht="33.75" customHeight="1">
      <c r="A49" s="29">
        <v>42405.0</v>
      </c>
      <c r="B49" s="25" t="s">
        <v>388</v>
      </c>
      <c r="C49" s="25" t="s">
        <v>389</v>
      </c>
      <c r="D49" s="25" t="s">
        <v>390</v>
      </c>
      <c r="E49" s="25" t="s">
        <v>113</v>
      </c>
      <c r="F49" s="41">
        <v>27.63733</v>
      </c>
      <c r="G49" s="41">
        <v>82.69843</v>
      </c>
      <c r="H49" s="41">
        <v>27.61615</v>
      </c>
      <c r="I49" s="41">
        <v>82.72958</v>
      </c>
      <c r="J49" s="25" t="s">
        <v>391</v>
      </c>
      <c r="K49" s="25" t="s">
        <v>392</v>
      </c>
      <c r="L49" s="25">
        <v>1.0</v>
      </c>
      <c r="M49" s="41">
        <v>27.63733</v>
      </c>
      <c r="N49" s="41">
        <v>82.69843</v>
      </c>
      <c r="O49" s="25" t="s">
        <v>394</v>
      </c>
      <c r="P49" s="44"/>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row>
    <row r="50" ht="33.75" customHeight="1">
      <c r="A50" s="29">
        <v>42405.0</v>
      </c>
      <c r="B50" s="25" t="s">
        <v>388</v>
      </c>
      <c r="C50" s="25" t="s">
        <v>389</v>
      </c>
      <c r="D50" s="25" t="s">
        <v>390</v>
      </c>
      <c r="E50" s="25" t="s">
        <v>113</v>
      </c>
      <c r="F50" s="41">
        <v>27.63733</v>
      </c>
      <c r="G50" s="41">
        <v>82.69843</v>
      </c>
      <c r="H50" s="41">
        <v>27.61615</v>
      </c>
      <c r="I50" s="41">
        <v>82.72958</v>
      </c>
      <c r="J50" s="25" t="s">
        <v>391</v>
      </c>
      <c r="K50" s="25" t="s">
        <v>392</v>
      </c>
      <c r="L50" s="45">
        <v>2.0</v>
      </c>
      <c r="M50" s="41">
        <v>27.375</v>
      </c>
      <c r="N50" s="41">
        <v>82.424</v>
      </c>
      <c r="O50" s="45" t="s">
        <v>407</v>
      </c>
      <c r="P50" s="46"/>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ht="33.75" customHeight="1">
      <c r="A51" s="30">
        <v>42405.0</v>
      </c>
      <c r="B51" s="25" t="s">
        <v>425</v>
      </c>
      <c r="C51" s="25" t="s">
        <v>426</v>
      </c>
      <c r="D51" s="25" t="s">
        <v>427</v>
      </c>
      <c r="E51" s="25" t="s">
        <v>428</v>
      </c>
      <c r="F51" s="41">
        <v>27.2475</v>
      </c>
      <c r="G51" s="41">
        <v>82.53611</v>
      </c>
      <c r="H51" s="41">
        <v>27.24972</v>
      </c>
      <c r="I51" s="41">
        <v>82.55472</v>
      </c>
      <c r="J51" s="21" t="s">
        <v>429</v>
      </c>
      <c r="K51" s="21" t="s">
        <v>430</v>
      </c>
      <c r="L51" s="21">
        <v>1.0</v>
      </c>
      <c r="M51" s="41">
        <v>27.24972</v>
      </c>
      <c r="N51" s="41">
        <v>82.53694</v>
      </c>
      <c r="O51" s="21" t="s">
        <v>431</v>
      </c>
      <c r="P51" s="43"/>
    </row>
    <row r="52" ht="33.75" customHeight="1">
      <c r="A52" s="30">
        <v>42405.0</v>
      </c>
      <c r="B52" s="25" t="s">
        <v>425</v>
      </c>
      <c r="C52" s="25" t="s">
        <v>426</v>
      </c>
      <c r="D52" s="25" t="s">
        <v>427</v>
      </c>
      <c r="E52" s="25" t="s">
        <v>428</v>
      </c>
      <c r="F52" s="41">
        <v>27.2475</v>
      </c>
      <c r="G52" s="41">
        <v>82.53611</v>
      </c>
      <c r="H52" s="41">
        <v>27.24972</v>
      </c>
      <c r="I52" s="41">
        <v>82.55472</v>
      </c>
      <c r="J52" s="21" t="s">
        <v>429</v>
      </c>
      <c r="K52" s="21" t="s">
        <v>430</v>
      </c>
      <c r="L52" s="21">
        <v>2.0</v>
      </c>
      <c r="M52" s="41">
        <v>27.26583</v>
      </c>
      <c r="N52" s="41">
        <v>82.55222</v>
      </c>
      <c r="O52" s="21" t="s">
        <v>444</v>
      </c>
      <c r="P52" s="43"/>
    </row>
    <row r="53" ht="33.75" customHeight="1">
      <c r="A53" s="30">
        <v>42405.0</v>
      </c>
      <c r="B53" s="25" t="s">
        <v>446</v>
      </c>
      <c r="C53" s="25" t="s">
        <v>447</v>
      </c>
      <c r="D53" s="25" t="s">
        <v>448</v>
      </c>
      <c r="E53" s="25" t="s">
        <v>428</v>
      </c>
      <c r="F53" s="41">
        <v>27.27564</v>
      </c>
      <c r="G53" s="41">
        <v>-82.56873</v>
      </c>
      <c r="H53" s="41">
        <v>27.26561</v>
      </c>
      <c r="I53" s="22">
        <v>-82.55524</v>
      </c>
      <c r="J53" s="21" t="s">
        <v>451</v>
      </c>
      <c r="K53" s="21" t="s">
        <v>430</v>
      </c>
      <c r="L53" s="21">
        <v>1.0</v>
      </c>
      <c r="M53" s="22">
        <v>27.27018</v>
      </c>
      <c r="N53" s="22">
        <v>-82.56625</v>
      </c>
      <c r="O53" s="21" t="s">
        <v>454</v>
      </c>
      <c r="P53" s="21"/>
    </row>
    <row r="54" ht="33.75" customHeight="1">
      <c r="A54" s="29">
        <v>42405.0</v>
      </c>
      <c r="B54" s="25" t="s">
        <v>446</v>
      </c>
      <c r="C54" s="25" t="s">
        <v>447</v>
      </c>
      <c r="D54" s="25" t="s">
        <v>448</v>
      </c>
      <c r="E54" s="25" t="s">
        <v>428</v>
      </c>
      <c r="F54" s="41">
        <v>27.27564</v>
      </c>
      <c r="G54" s="41">
        <v>-82.56873</v>
      </c>
      <c r="H54" s="41">
        <v>27.26561</v>
      </c>
      <c r="I54" s="22">
        <v>-82.55524</v>
      </c>
      <c r="J54" s="21" t="s">
        <v>451</v>
      </c>
      <c r="K54" s="21" t="s">
        <v>430</v>
      </c>
      <c r="L54" s="21">
        <v>2.0</v>
      </c>
      <c r="M54" s="22">
        <v>27.26974</v>
      </c>
      <c r="N54" s="22">
        <v>-82.56541</v>
      </c>
      <c r="O54" s="21" t="s">
        <v>458</v>
      </c>
      <c r="P54" s="43"/>
    </row>
    <row r="55" ht="33.75" customHeight="1">
      <c r="A55" s="29">
        <v>42405.0</v>
      </c>
      <c r="B55" s="25" t="s">
        <v>446</v>
      </c>
      <c r="C55" s="25" t="s">
        <v>447</v>
      </c>
      <c r="D55" s="25" t="s">
        <v>448</v>
      </c>
      <c r="E55" s="25" t="s">
        <v>428</v>
      </c>
      <c r="F55" s="41">
        <v>27.27564</v>
      </c>
      <c r="G55" s="41">
        <v>-82.56873</v>
      </c>
      <c r="H55" s="41">
        <v>27.26561</v>
      </c>
      <c r="I55" s="22">
        <v>-82.55524</v>
      </c>
      <c r="J55" s="21" t="s">
        <v>451</v>
      </c>
      <c r="K55" s="21" t="s">
        <v>430</v>
      </c>
      <c r="L55" s="21">
        <v>3.0</v>
      </c>
      <c r="M55" s="22">
        <v>27.26957</v>
      </c>
      <c r="N55" s="22">
        <v>-82.56495</v>
      </c>
      <c r="O55" s="21" t="s">
        <v>474</v>
      </c>
      <c r="P55" s="43"/>
    </row>
    <row r="56" ht="33.75" customHeight="1">
      <c r="A56" s="29">
        <v>42405.0</v>
      </c>
      <c r="B56" s="25" t="s">
        <v>446</v>
      </c>
      <c r="C56" s="25" t="s">
        <v>447</v>
      </c>
      <c r="D56" s="25" t="s">
        <v>448</v>
      </c>
      <c r="E56" s="25" t="s">
        <v>428</v>
      </c>
      <c r="F56" s="41">
        <v>27.27564</v>
      </c>
      <c r="G56" s="41">
        <v>-82.56873</v>
      </c>
      <c r="H56" s="41">
        <v>27.26561</v>
      </c>
      <c r="I56" s="22">
        <v>-82.55524</v>
      </c>
      <c r="J56" s="21" t="s">
        <v>485</v>
      </c>
      <c r="K56" s="21" t="s">
        <v>430</v>
      </c>
      <c r="L56" s="21">
        <v>4.0</v>
      </c>
      <c r="M56" s="22">
        <v>27.26708</v>
      </c>
      <c r="N56" s="22">
        <v>-82.55795</v>
      </c>
      <c r="O56" s="21" t="s">
        <v>454</v>
      </c>
      <c r="P56" s="43"/>
    </row>
    <row r="57" ht="33.75" customHeight="1">
      <c r="A57" s="29">
        <v>42405.0</v>
      </c>
      <c r="B57" s="25" t="s">
        <v>238</v>
      </c>
      <c r="C57" s="25" t="s">
        <v>243</v>
      </c>
      <c r="D57" s="25" t="s">
        <v>244</v>
      </c>
      <c r="E57" s="25" t="s">
        <v>164</v>
      </c>
      <c r="F57" s="41">
        <v>30.05972</v>
      </c>
      <c r="G57" s="41">
        <v>-85.61329</v>
      </c>
      <c r="H57" s="41">
        <v>30.08719</v>
      </c>
      <c r="I57" s="22">
        <v>-85.67446</v>
      </c>
      <c r="J57" s="21" t="s">
        <v>257</v>
      </c>
      <c r="K57" s="21" t="s">
        <v>263</v>
      </c>
      <c r="L57" s="21">
        <v>1.0</v>
      </c>
      <c r="M57" s="22">
        <v>30.05972</v>
      </c>
      <c r="N57" s="22">
        <v>-85.61329</v>
      </c>
      <c r="O57" s="21" t="s">
        <v>493</v>
      </c>
      <c r="P57" s="43"/>
    </row>
    <row r="58" ht="33.75" customHeight="1">
      <c r="A58" s="29">
        <v>42405.0</v>
      </c>
      <c r="B58" s="25" t="s">
        <v>238</v>
      </c>
      <c r="C58" s="25" t="s">
        <v>243</v>
      </c>
      <c r="D58" s="25" t="s">
        <v>244</v>
      </c>
      <c r="E58" s="25" t="s">
        <v>164</v>
      </c>
      <c r="F58" s="41">
        <v>30.05972</v>
      </c>
      <c r="G58" s="41">
        <v>-85.61329</v>
      </c>
      <c r="H58" s="41">
        <v>30.08719</v>
      </c>
      <c r="I58" s="22">
        <v>-85.67446</v>
      </c>
      <c r="J58" s="21" t="s">
        <v>257</v>
      </c>
      <c r="K58" s="21" t="s">
        <v>263</v>
      </c>
      <c r="L58" s="21">
        <v>2.0</v>
      </c>
      <c r="M58" s="22">
        <v>30.06302</v>
      </c>
      <c r="N58" s="22">
        <v>-85.62008</v>
      </c>
      <c r="O58" s="21" t="s">
        <v>499</v>
      </c>
      <c r="P58" s="43"/>
    </row>
    <row r="59" ht="33.75" customHeight="1">
      <c r="A59" s="29">
        <v>42405.0</v>
      </c>
      <c r="B59" s="25" t="s">
        <v>238</v>
      </c>
      <c r="C59" s="25" t="s">
        <v>243</v>
      </c>
      <c r="D59" s="25" t="s">
        <v>244</v>
      </c>
      <c r="E59" s="25" t="s">
        <v>164</v>
      </c>
      <c r="F59" s="41">
        <v>30.05972</v>
      </c>
      <c r="G59" s="41">
        <v>-85.61329</v>
      </c>
      <c r="H59" s="41">
        <v>30.08719</v>
      </c>
      <c r="I59" s="22">
        <v>-85.67446</v>
      </c>
      <c r="J59" s="21" t="s">
        <v>257</v>
      </c>
      <c r="K59" s="21" t="s">
        <v>263</v>
      </c>
      <c r="L59" s="21">
        <v>3.0</v>
      </c>
      <c r="M59" s="22">
        <v>30.06939</v>
      </c>
      <c r="N59" s="22">
        <v>-85.6334</v>
      </c>
      <c r="O59" s="21" t="s">
        <v>454</v>
      </c>
      <c r="P59" s="43"/>
    </row>
    <row r="60" ht="33.75" customHeight="1">
      <c r="A60" s="29">
        <v>42405.0</v>
      </c>
      <c r="B60" s="25" t="s">
        <v>238</v>
      </c>
      <c r="C60" s="25" t="s">
        <v>243</v>
      </c>
      <c r="D60" s="25" t="s">
        <v>244</v>
      </c>
      <c r="E60" s="25" t="s">
        <v>164</v>
      </c>
      <c r="F60" s="41">
        <v>30.05972</v>
      </c>
      <c r="G60" s="41">
        <v>-85.61329</v>
      </c>
      <c r="H60" s="41">
        <v>30.08719</v>
      </c>
      <c r="I60" s="22">
        <v>-85.67446</v>
      </c>
      <c r="J60" s="21" t="s">
        <v>257</v>
      </c>
      <c r="K60" s="21" t="s">
        <v>263</v>
      </c>
      <c r="L60" s="21">
        <v>4.0</v>
      </c>
      <c r="M60" s="22">
        <v>30.07855</v>
      </c>
      <c r="N60" s="22">
        <v>-85.65401</v>
      </c>
      <c r="O60" s="21" t="s">
        <v>458</v>
      </c>
      <c r="P60" s="43"/>
    </row>
    <row r="61" ht="33.75" customHeight="1">
      <c r="A61" s="29">
        <v>42405.0</v>
      </c>
      <c r="B61" s="25" t="s">
        <v>238</v>
      </c>
      <c r="C61" s="25" t="s">
        <v>243</v>
      </c>
      <c r="D61" s="25" t="s">
        <v>244</v>
      </c>
      <c r="E61" s="25" t="s">
        <v>164</v>
      </c>
      <c r="F61" s="41">
        <v>30.05972</v>
      </c>
      <c r="G61" s="41">
        <v>-85.61329</v>
      </c>
      <c r="H61" s="41">
        <v>30.08719</v>
      </c>
      <c r="I61" s="22">
        <v>-85.67446</v>
      </c>
      <c r="J61" s="21" t="s">
        <v>257</v>
      </c>
      <c r="K61" s="21" t="s">
        <v>263</v>
      </c>
      <c r="L61" s="21">
        <v>5.0</v>
      </c>
      <c r="M61" s="22">
        <v>30.08017</v>
      </c>
      <c r="N61" s="22">
        <v>-85.65784</v>
      </c>
      <c r="O61" s="21" t="s">
        <v>522</v>
      </c>
      <c r="P61" s="43"/>
    </row>
    <row r="62" ht="33.75" customHeight="1">
      <c r="A62" s="29">
        <v>42405.0</v>
      </c>
      <c r="B62" s="25" t="s">
        <v>238</v>
      </c>
      <c r="C62" s="25" t="s">
        <v>243</v>
      </c>
      <c r="D62" s="25" t="s">
        <v>244</v>
      </c>
      <c r="E62" s="25" t="s">
        <v>164</v>
      </c>
      <c r="F62" s="41">
        <v>30.05972</v>
      </c>
      <c r="G62" s="41">
        <v>-85.61329</v>
      </c>
      <c r="H62" s="41">
        <v>30.08719</v>
      </c>
      <c r="I62" s="22">
        <v>-85.67446</v>
      </c>
      <c r="J62" s="21" t="s">
        <v>257</v>
      </c>
      <c r="K62" s="21" t="s">
        <v>263</v>
      </c>
      <c r="L62" s="21">
        <v>6.0</v>
      </c>
      <c r="M62" s="22">
        <v>30.08327</v>
      </c>
      <c r="N62" s="22">
        <v>-85.66473</v>
      </c>
      <c r="O62" s="21" t="s">
        <v>529</v>
      </c>
      <c r="P62" s="43"/>
    </row>
    <row r="63" ht="33.75" customHeight="1">
      <c r="A63" s="29">
        <v>42405.0</v>
      </c>
      <c r="B63" s="25" t="s">
        <v>238</v>
      </c>
      <c r="C63" s="25" t="s">
        <v>243</v>
      </c>
      <c r="D63" s="25" t="s">
        <v>244</v>
      </c>
      <c r="E63" s="25" t="s">
        <v>164</v>
      </c>
      <c r="F63" s="41">
        <v>30.05972</v>
      </c>
      <c r="G63" s="41">
        <v>-85.61329</v>
      </c>
      <c r="H63" s="41">
        <v>30.08719</v>
      </c>
      <c r="I63" s="22">
        <v>-85.67446</v>
      </c>
      <c r="J63" s="21" t="s">
        <v>257</v>
      </c>
      <c r="K63" s="21" t="s">
        <v>263</v>
      </c>
      <c r="L63" s="21">
        <v>7.0</v>
      </c>
      <c r="M63" s="22">
        <v>30.08719</v>
      </c>
      <c r="N63" s="22">
        <v>-85.6744</v>
      </c>
      <c r="O63" s="21" t="s">
        <v>532</v>
      </c>
      <c r="P63" s="43"/>
    </row>
    <row r="64" ht="33.75" customHeight="1">
      <c r="A64" s="29">
        <v>42405.0</v>
      </c>
      <c r="B64" s="25" t="s">
        <v>238</v>
      </c>
      <c r="C64" s="25" t="s">
        <v>243</v>
      </c>
      <c r="D64" s="25" t="s">
        <v>244</v>
      </c>
      <c r="E64" s="25" t="s">
        <v>164</v>
      </c>
      <c r="F64" s="41">
        <v>30.05972</v>
      </c>
      <c r="G64" s="41">
        <v>-85.61329</v>
      </c>
      <c r="H64" s="41">
        <v>30.08719</v>
      </c>
      <c r="I64" s="22">
        <v>-85.67446</v>
      </c>
      <c r="J64" s="21" t="s">
        <v>257</v>
      </c>
      <c r="K64" s="21" t="s">
        <v>263</v>
      </c>
      <c r="L64" s="21">
        <v>8.0</v>
      </c>
      <c r="M64" s="22">
        <v>30.06555</v>
      </c>
      <c r="N64" s="22">
        <v>-85.61773</v>
      </c>
      <c r="O64" s="21" t="s">
        <v>535</v>
      </c>
      <c r="P64" s="43"/>
    </row>
    <row r="65" ht="33.75" customHeight="1">
      <c r="A65" s="29">
        <v>42405.0</v>
      </c>
      <c r="B65" s="25" t="s">
        <v>238</v>
      </c>
      <c r="C65" s="25" t="s">
        <v>243</v>
      </c>
      <c r="D65" s="25" t="s">
        <v>244</v>
      </c>
      <c r="E65" s="25" t="s">
        <v>164</v>
      </c>
      <c r="F65" s="41">
        <v>30.05972</v>
      </c>
      <c r="G65" s="41">
        <v>-85.61329</v>
      </c>
      <c r="H65" s="41">
        <v>30.08719</v>
      </c>
      <c r="I65" s="22">
        <v>-85.67446</v>
      </c>
      <c r="J65" s="21" t="s">
        <v>257</v>
      </c>
      <c r="K65" s="21" t="s">
        <v>263</v>
      </c>
      <c r="L65" s="21">
        <v>9.0</v>
      </c>
      <c r="M65" s="22">
        <v>30.06627</v>
      </c>
      <c r="N65" s="22">
        <v>-85.61707</v>
      </c>
      <c r="O65" s="21" t="s">
        <v>541</v>
      </c>
      <c r="P65" s="43"/>
    </row>
    <row r="66" ht="33.75" customHeight="1">
      <c r="A66" s="29">
        <v>42405.0</v>
      </c>
      <c r="B66" s="25" t="s">
        <v>238</v>
      </c>
      <c r="C66" s="25" t="s">
        <v>243</v>
      </c>
      <c r="D66" s="25" t="s">
        <v>244</v>
      </c>
      <c r="E66" s="25" t="s">
        <v>164</v>
      </c>
      <c r="F66" s="41">
        <v>30.05972</v>
      </c>
      <c r="G66" s="41">
        <v>-85.61329</v>
      </c>
      <c r="H66" s="41">
        <v>30.08719</v>
      </c>
      <c r="I66" s="22">
        <v>-85.67446</v>
      </c>
      <c r="J66" s="21" t="s">
        <v>257</v>
      </c>
      <c r="K66" s="21" t="s">
        <v>263</v>
      </c>
      <c r="L66" s="21">
        <v>10.0</v>
      </c>
      <c r="M66" s="22">
        <v>30.08046</v>
      </c>
      <c r="N66" s="22">
        <v>-85.65866</v>
      </c>
      <c r="O66" s="21" t="s">
        <v>458</v>
      </c>
      <c r="P66" s="43"/>
    </row>
    <row r="67" ht="33.75" customHeight="1">
      <c r="A67" s="29">
        <v>42405.0</v>
      </c>
      <c r="B67" s="25" t="s">
        <v>238</v>
      </c>
      <c r="C67" s="25" t="s">
        <v>243</v>
      </c>
      <c r="D67" s="25" t="s">
        <v>244</v>
      </c>
      <c r="E67" s="25" t="s">
        <v>164</v>
      </c>
      <c r="F67" s="41">
        <v>30.05972</v>
      </c>
      <c r="G67" s="41">
        <v>-85.61329</v>
      </c>
      <c r="H67" s="41">
        <v>30.08719</v>
      </c>
      <c r="I67" s="22">
        <v>-85.67446</v>
      </c>
      <c r="J67" s="21" t="s">
        <v>257</v>
      </c>
      <c r="K67" s="21" t="s">
        <v>263</v>
      </c>
      <c r="L67" s="21">
        <v>11.0</v>
      </c>
      <c r="M67" s="22">
        <v>30.08679</v>
      </c>
      <c r="N67" s="22">
        <v>-85.664995</v>
      </c>
      <c r="O67" s="21" t="s">
        <v>551</v>
      </c>
      <c r="P67" s="43"/>
    </row>
    <row r="68" ht="33.75" customHeight="1">
      <c r="A68" s="20">
        <v>42406.0</v>
      </c>
      <c r="B68" s="21" t="s">
        <v>149</v>
      </c>
      <c r="C68" s="21" t="s">
        <v>165</v>
      </c>
      <c r="D68" s="21" t="s">
        <v>552</v>
      </c>
      <c r="E68" s="21" t="s">
        <v>113</v>
      </c>
      <c r="F68" s="21">
        <v>28.0478</v>
      </c>
      <c r="G68" s="21">
        <v>-82.8169</v>
      </c>
      <c r="H68" s="21">
        <v>28.0194</v>
      </c>
      <c r="I68" s="21">
        <v>-82.8269</v>
      </c>
      <c r="J68" s="21" t="s">
        <v>554</v>
      </c>
      <c r="K68" s="21" t="s">
        <v>556</v>
      </c>
      <c r="L68" s="21">
        <v>1.0</v>
      </c>
      <c r="M68" s="22">
        <v>28.0499</v>
      </c>
      <c r="N68" s="22">
        <v>-82.8155</v>
      </c>
      <c r="O68" s="21" t="s">
        <v>559</v>
      </c>
      <c r="P68" s="21" t="s">
        <v>560</v>
      </c>
    </row>
    <row r="69" ht="33.75" customHeight="1">
      <c r="A69" s="29">
        <v>42406.0</v>
      </c>
      <c r="B69" s="25" t="s">
        <v>564</v>
      </c>
      <c r="C69" s="25" t="s">
        <v>565</v>
      </c>
      <c r="D69" s="25" t="s">
        <v>566</v>
      </c>
      <c r="E69" s="25" t="s">
        <v>113</v>
      </c>
      <c r="F69" s="49">
        <v>27.871309</v>
      </c>
      <c r="G69" s="49">
        <v>-82.60927</v>
      </c>
      <c r="H69" s="50">
        <v>27.876714</v>
      </c>
      <c r="I69" s="49">
        <v>-82.589613</v>
      </c>
      <c r="J69" s="21" t="s">
        <v>572</v>
      </c>
      <c r="K69" s="21" t="s">
        <v>573</v>
      </c>
      <c r="L69" s="21">
        <v>1.0</v>
      </c>
      <c r="M69" s="21">
        <v>27.876421</v>
      </c>
      <c r="N69" s="51">
        <v>-82.590702</v>
      </c>
      <c r="O69" s="21" t="s">
        <v>577</v>
      </c>
      <c r="P69" s="22" t="s">
        <v>578</v>
      </c>
    </row>
    <row r="70" ht="33.75" customHeight="1">
      <c r="A70" s="29">
        <v>42406.0</v>
      </c>
      <c r="B70" s="25" t="s">
        <v>564</v>
      </c>
      <c r="C70" s="25" t="s">
        <v>565</v>
      </c>
      <c r="D70" s="25" t="s">
        <v>566</v>
      </c>
      <c r="E70" s="25" t="s">
        <v>113</v>
      </c>
      <c r="F70" s="49">
        <v>27.871309</v>
      </c>
      <c r="G70" s="49">
        <v>-82.60927</v>
      </c>
      <c r="H70" s="50">
        <v>27.876714</v>
      </c>
      <c r="I70" s="49">
        <v>-82.589613</v>
      </c>
      <c r="J70" s="21" t="s">
        <v>572</v>
      </c>
      <c r="K70" s="21" t="s">
        <v>573</v>
      </c>
      <c r="L70" s="21">
        <v>2.0</v>
      </c>
      <c r="M70" s="21">
        <v>27.877176</v>
      </c>
      <c r="N70" s="51">
        <v>-82.593774</v>
      </c>
      <c r="O70" s="21" t="s">
        <v>581</v>
      </c>
      <c r="P70" s="22" t="s">
        <v>578</v>
      </c>
    </row>
    <row r="71" ht="33.75" customHeight="1">
      <c r="A71" s="20">
        <v>42406.0</v>
      </c>
      <c r="B71" s="21" t="s">
        <v>149</v>
      </c>
      <c r="C71" s="21" t="s">
        <v>165</v>
      </c>
      <c r="D71" s="21" t="s">
        <v>153</v>
      </c>
      <c r="E71" s="21" t="s">
        <v>113</v>
      </c>
      <c r="F71" s="21">
        <v>28.0478</v>
      </c>
      <c r="G71" s="21">
        <v>-82.8169</v>
      </c>
      <c r="H71" s="21">
        <v>28.0194</v>
      </c>
      <c r="I71" s="21">
        <v>-82.8269</v>
      </c>
      <c r="J71" s="21" t="s">
        <v>554</v>
      </c>
      <c r="K71" s="21" t="s">
        <v>556</v>
      </c>
      <c r="L71" s="21">
        <v>2.0</v>
      </c>
      <c r="M71" s="21">
        <v>28.0514</v>
      </c>
      <c r="N71" s="21">
        <v>-82.8186</v>
      </c>
      <c r="O71" s="21" t="s">
        <v>582</v>
      </c>
      <c r="P71" s="22" t="s">
        <v>578</v>
      </c>
    </row>
    <row r="72" ht="33.75" customHeight="1">
      <c r="A72" s="20">
        <v>42405.0</v>
      </c>
      <c r="B72" s="21" t="s">
        <v>149</v>
      </c>
      <c r="C72" s="21" t="s">
        <v>165</v>
      </c>
      <c r="D72" s="21" t="s">
        <v>589</v>
      </c>
      <c r="E72" s="21" t="s">
        <v>113</v>
      </c>
      <c r="F72" s="21">
        <v>28.1761</v>
      </c>
      <c r="G72" s="21">
        <v>-82.8503</v>
      </c>
      <c r="H72" s="21">
        <v>28.1659</v>
      </c>
      <c r="I72" s="21">
        <v>-82.8407</v>
      </c>
      <c r="J72" s="21" t="s">
        <v>591</v>
      </c>
      <c r="K72" s="21" t="s">
        <v>592</v>
      </c>
      <c r="L72" s="21">
        <v>1.0</v>
      </c>
      <c r="M72" s="21">
        <v>28.162429</v>
      </c>
      <c r="N72" s="21">
        <v>-82.8472</v>
      </c>
      <c r="O72" s="21" t="s">
        <v>593</v>
      </c>
      <c r="P72" s="22" t="s">
        <v>578</v>
      </c>
    </row>
    <row r="73" ht="33.75" customHeight="1">
      <c r="A73" s="20">
        <v>42405.0</v>
      </c>
      <c r="B73" s="21" t="s">
        <v>149</v>
      </c>
      <c r="C73" s="21" t="s">
        <v>165</v>
      </c>
      <c r="D73" s="21" t="s">
        <v>589</v>
      </c>
      <c r="E73" s="21" t="s">
        <v>113</v>
      </c>
      <c r="F73" s="21">
        <v>28.1761</v>
      </c>
      <c r="G73" s="21">
        <v>-82.8503</v>
      </c>
      <c r="H73" s="21">
        <v>28.1659</v>
      </c>
      <c r="I73" s="21">
        <v>-82.8407</v>
      </c>
      <c r="J73" s="21" t="s">
        <v>591</v>
      </c>
      <c r="K73" s="21" t="s">
        <v>592</v>
      </c>
      <c r="L73" s="21">
        <v>3.0</v>
      </c>
      <c r="M73" s="21">
        <v>28.15666</v>
      </c>
      <c r="N73" s="21">
        <v>-82.8388</v>
      </c>
      <c r="O73" s="21" t="s">
        <v>596</v>
      </c>
      <c r="P73" s="22" t="s">
        <v>597</v>
      </c>
    </row>
    <row r="74" ht="33.75" customHeight="1">
      <c r="A74" s="20">
        <v>42405.0</v>
      </c>
      <c r="B74" s="21" t="s">
        <v>149</v>
      </c>
      <c r="C74" s="21" t="s">
        <v>165</v>
      </c>
      <c r="D74" s="21" t="s">
        <v>589</v>
      </c>
      <c r="E74" s="21" t="s">
        <v>113</v>
      </c>
      <c r="F74" s="21">
        <v>28.1761</v>
      </c>
      <c r="G74" s="21">
        <v>-82.8503</v>
      </c>
      <c r="H74" s="21">
        <v>28.1659</v>
      </c>
      <c r="I74" s="21">
        <v>-82.8407</v>
      </c>
      <c r="J74" s="21" t="s">
        <v>591</v>
      </c>
      <c r="K74" s="21" t="s">
        <v>592</v>
      </c>
      <c r="L74" s="21">
        <v>4.0</v>
      </c>
      <c r="M74" s="21">
        <v>28.15929</v>
      </c>
      <c r="N74" s="21">
        <v>-82.8399</v>
      </c>
      <c r="O74" s="21" t="s">
        <v>598</v>
      </c>
      <c r="P74" s="22" t="s">
        <v>599</v>
      </c>
    </row>
    <row r="75" ht="33.75" customHeight="1">
      <c r="A75" s="20">
        <v>42405.0</v>
      </c>
      <c r="B75" s="21" t="s">
        <v>149</v>
      </c>
      <c r="C75" s="21" t="s">
        <v>165</v>
      </c>
      <c r="D75" s="21" t="s">
        <v>589</v>
      </c>
      <c r="E75" s="21" t="s">
        <v>113</v>
      </c>
      <c r="F75" s="21">
        <v>28.1761</v>
      </c>
      <c r="G75" s="21">
        <v>-82.8503</v>
      </c>
      <c r="H75" s="21">
        <v>28.1659</v>
      </c>
      <c r="I75" s="21">
        <v>-82.8407</v>
      </c>
      <c r="J75" s="21" t="s">
        <v>591</v>
      </c>
      <c r="K75" s="21" t="s">
        <v>592</v>
      </c>
      <c r="L75" s="21">
        <v>5.0</v>
      </c>
      <c r="M75" s="21">
        <v>28.1603</v>
      </c>
      <c r="N75" s="21">
        <v>-82.8436</v>
      </c>
      <c r="O75" s="21" t="s">
        <v>606</v>
      </c>
      <c r="P75" s="22" t="s">
        <v>578</v>
      </c>
    </row>
    <row r="76" ht="33.75" customHeight="1">
      <c r="A76" s="20">
        <v>42405.0</v>
      </c>
      <c r="B76" s="21" t="s">
        <v>149</v>
      </c>
      <c r="C76" s="21" t="s">
        <v>165</v>
      </c>
      <c r="D76" s="21" t="s">
        <v>589</v>
      </c>
      <c r="E76" s="21" t="s">
        <v>113</v>
      </c>
      <c r="F76" s="21">
        <v>28.1761</v>
      </c>
      <c r="G76" s="21">
        <v>-82.8503</v>
      </c>
      <c r="H76" s="21">
        <v>28.1659</v>
      </c>
      <c r="I76" s="21">
        <v>-82.8407</v>
      </c>
      <c r="J76" s="21" t="s">
        <v>591</v>
      </c>
      <c r="K76" s="21" t="s">
        <v>592</v>
      </c>
      <c r="L76" s="21">
        <v>6.0</v>
      </c>
      <c r="M76" s="22">
        <v>28.16161</v>
      </c>
      <c r="N76" s="22">
        <v>-82.8448</v>
      </c>
      <c r="O76" s="21" t="s">
        <v>611</v>
      </c>
      <c r="P76" s="21" t="s">
        <v>578</v>
      </c>
    </row>
    <row r="77" ht="33.75" customHeight="1">
      <c r="A77" s="20">
        <v>42405.0</v>
      </c>
      <c r="B77" s="21" t="s">
        <v>149</v>
      </c>
      <c r="C77" s="21" t="s">
        <v>165</v>
      </c>
      <c r="D77" s="21" t="s">
        <v>589</v>
      </c>
      <c r="E77" s="21" t="s">
        <v>113</v>
      </c>
      <c r="F77" s="21">
        <v>28.1761</v>
      </c>
      <c r="G77" s="21">
        <v>-82.8503</v>
      </c>
      <c r="H77" s="21">
        <v>28.1659</v>
      </c>
      <c r="I77" s="21">
        <v>-82.8407</v>
      </c>
      <c r="J77" s="21" t="s">
        <v>591</v>
      </c>
      <c r="K77" s="21" t="s">
        <v>592</v>
      </c>
      <c r="L77" s="21">
        <v>7.0</v>
      </c>
      <c r="M77" s="22">
        <v>28.16281</v>
      </c>
      <c r="N77" s="22">
        <v>-82.8449</v>
      </c>
      <c r="O77" s="21" t="s">
        <v>613</v>
      </c>
      <c r="P77" s="21" t="s">
        <v>614</v>
      </c>
    </row>
    <row r="78" ht="33.75" customHeight="1">
      <c r="A78" s="20">
        <v>42405.0</v>
      </c>
      <c r="B78" s="21" t="s">
        <v>149</v>
      </c>
      <c r="C78" s="21" t="s">
        <v>165</v>
      </c>
      <c r="D78" s="21" t="s">
        <v>589</v>
      </c>
      <c r="E78" s="21" t="s">
        <v>113</v>
      </c>
      <c r="F78" s="21">
        <v>28.1761</v>
      </c>
      <c r="G78" s="21">
        <v>-82.8503</v>
      </c>
      <c r="H78" s="21">
        <v>28.1659</v>
      </c>
      <c r="I78" s="21">
        <v>-82.8407</v>
      </c>
      <c r="J78" s="21" t="s">
        <v>591</v>
      </c>
      <c r="K78" s="21" t="s">
        <v>592</v>
      </c>
      <c r="L78" s="21">
        <v>8.0</v>
      </c>
      <c r="M78" s="22">
        <v>28.16472</v>
      </c>
      <c r="N78" s="22">
        <v>-82.8428</v>
      </c>
      <c r="O78" s="21" t="s">
        <v>619</v>
      </c>
      <c r="P78" s="21" t="s">
        <v>620</v>
      </c>
    </row>
    <row r="79" ht="33.75" customHeight="1">
      <c r="A79" s="20">
        <v>42405.0</v>
      </c>
      <c r="B79" s="21" t="s">
        <v>149</v>
      </c>
      <c r="C79" s="21" t="s">
        <v>165</v>
      </c>
      <c r="D79" s="21" t="s">
        <v>589</v>
      </c>
      <c r="E79" s="21" t="s">
        <v>113</v>
      </c>
      <c r="F79" s="21">
        <v>28.1761</v>
      </c>
      <c r="G79" s="21">
        <v>-82.8503</v>
      </c>
      <c r="H79" s="21">
        <v>28.1659</v>
      </c>
      <c r="I79" s="21">
        <v>-82.8407</v>
      </c>
      <c r="J79" s="21" t="s">
        <v>591</v>
      </c>
      <c r="K79" s="21" t="s">
        <v>592</v>
      </c>
      <c r="L79" s="21">
        <v>9.0</v>
      </c>
      <c r="M79" s="22">
        <v>28.16568</v>
      </c>
      <c r="N79" s="22">
        <v>-82.8408</v>
      </c>
      <c r="O79" s="21" t="s">
        <v>622</v>
      </c>
      <c r="P79" s="43"/>
    </row>
    <row r="80" ht="33.75" customHeight="1">
      <c r="A80" s="52">
        <v>42405.0</v>
      </c>
      <c r="B80" s="25" t="s">
        <v>631</v>
      </c>
      <c r="C80" s="25" t="s">
        <v>633</v>
      </c>
      <c r="D80" s="25" t="s">
        <v>634</v>
      </c>
      <c r="E80" s="25" t="s">
        <v>635</v>
      </c>
      <c r="F80" s="41">
        <v>28.496423</v>
      </c>
      <c r="G80" s="41">
        <v>-82.665813</v>
      </c>
      <c r="H80" s="53">
        <v>28.49642</v>
      </c>
      <c r="I80" s="22">
        <v>-82.665813</v>
      </c>
      <c r="J80" s="21" t="s">
        <v>637</v>
      </c>
      <c r="K80" s="21" t="s">
        <v>638</v>
      </c>
      <c r="L80" s="21">
        <v>1.0</v>
      </c>
      <c r="M80" s="22">
        <v>28.49642</v>
      </c>
      <c r="N80" s="22">
        <v>-82.665813</v>
      </c>
      <c r="O80" s="21" t="s">
        <v>641</v>
      </c>
      <c r="P80" s="43"/>
    </row>
    <row r="81" ht="33.75" customHeight="1">
      <c r="A81" s="30">
        <v>42405.0</v>
      </c>
      <c r="B81" s="25" t="s">
        <v>631</v>
      </c>
      <c r="C81" s="25" t="s">
        <v>633</v>
      </c>
      <c r="D81" s="25" t="s">
        <v>643</v>
      </c>
      <c r="E81" s="25" t="s">
        <v>635</v>
      </c>
      <c r="F81" s="41">
        <v>28.569062</v>
      </c>
      <c r="G81" s="41">
        <v>-82.65641</v>
      </c>
      <c r="H81" s="41">
        <v>28.658543</v>
      </c>
      <c r="I81" s="22">
        <v>-82.655072</v>
      </c>
      <c r="J81" s="21" t="s">
        <v>648</v>
      </c>
      <c r="K81" s="21" t="s">
        <v>650</v>
      </c>
      <c r="L81" s="21">
        <v>1.0</v>
      </c>
      <c r="M81" s="22">
        <v>28.568543</v>
      </c>
      <c r="N81" s="22">
        <v>-82.655072</v>
      </c>
      <c r="O81" s="21" t="s">
        <v>651</v>
      </c>
      <c r="P81" s="43"/>
    </row>
    <row r="82" ht="33.75" customHeight="1">
      <c r="A82" s="30">
        <v>42406.0</v>
      </c>
      <c r="B82" s="25" t="s">
        <v>653</v>
      </c>
      <c r="C82" s="25" t="s">
        <v>654</v>
      </c>
      <c r="D82" s="25" t="s">
        <v>655</v>
      </c>
      <c r="E82" s="25" t="s">
        <v>220</v>
      </c>
      <c r="F82" s="21">
        <v>26.682391</v>
      </c>
      <c r="G82" s="21">
        <v>-80.298952</v>
      </c>
      <c r="H82" s="21">
        <v>26.682391</v>
      </c>
      <c r="I82" s="21">
        <v>-80.298952</v>
      </c>
      <c r="J82" s="21" t="s">
        <v>657</v>
      </c>
      <c r="K82" s="21" t="s">
        <v>658</v>
      </c>
      <c r="L82" s="21">
        <v>1.0</v>
      </c>
      <c r="M82" s="21">
        <v>26.682391</v>
      </c>
      <c r="N82" s="21">
        <v>-80.298952</v>
      </c>
      <c r="O82" s="21" t="s">
        <v>659</v>
      </c>
      <c r="P82" s="21" t="s">
        <v>660</v>
      </c>
    </row>
    <row r="83" ht="33.75" customHeight="1">
      <c r="A83" s="30">
        <v>42406.0</v>
      </c>
      <c r="B83" s="25" t="s">
        <v>661</v>
      </c>
      <c r="C83" s="25" t="s">
        <v>662</v>
      </c>
      <c r="D83" s="25" t="s">
        <v>663</v>
      </c>
      <c r="E83" s="25" t="s">
        <v>113</v>
      </c>
      <c r="F83" s="41">
        <v>27.7018</v>
      </c>
      <c r="G83" s="41">
        <v>-82.6627</v>
      </c>
      <c r="H83" s="41">
        <v>27.6999</v>
      </c>
      <c r="I83" s="22">
        <v>-82.6518</v>
      </c>
      <c r="J83" s="21" t="s">
        <v>664</v>
      </c>
      <c r="K83" s="21" t="s">
        <v>666</v>
      </c>
      <c r="L83" s="21">
        <v>1.0</v>
      </c>
      <c r="M83" s="22">
        <v>27.7012</v>
      </c>
      <c r="N83" s="22">
        <v>-82.661</v>
      </c>
      <c r="O83" s="21" t="s">
        <v>669</v>
      </c>
      <c r="P83" s="43"/>
    </row>
    <row r="84" ht="33.75" customHeight="1">
      <c r="A84" s="30">
        <v>42406.0</v>
      </c>
      <c r="B84" s="25" t="s">
        <v>661</v>
      </c>
      <c r="C84" s="25" t="s">
        <v>662</v>
      </c>
      <c r="D84" s="25" t="s">
        <v>663</v>
      </c>
      <c r="E84" s="25" t="s">
        <v>113</v>
      </c>
      <c r="F84" s="41">
        <v>27.7018</v>
      </c>
      <c r="G84" s="41">
        <v>-82.6627</v>
      </c>
      <c r="H84" s="41">
        <v>27.6999</v>
      </c>
      <c r="I84" s="22">
        <v>-82.6518</v>
      </c>
      <c r="J84" s="21" t="s">
        <v>664</v>
      </c>
      <c r="K84" s="21" t="s">
        <v>666</v>
      </c>
      <c r="L84" s="21">
        <v>2.0</v>
      </c>
      <c r="M84" s="22">
        <v>27.6993</v>
      </c>
      <c r="N84" s="22" t="s">
        <v>673</v>
      </c>
      <c r="O84" s="21" t="s">
        <v>675</v>
      </c>
      <c r="P84" s="43"/>
    </row>
    <row r="85" ht="33.75" customHeight="1">
      <c r="A85" s="30">
        <v>42406.0</v>
      </c>
      <c r="B85" s="25" t="s">
        <v>661</v>
      </c>
      <c r="C85" s="25" t="s">
        <v>662</v>
      </c>
      <c r="D85" s="25" t="s">
        <v>663</v>
      </c>
      <c r="E85" s="25" t="s">
        <v>113</v>
      </c>
      <c r="F85" s="41">
        <v>27.7018</v>
      </c>
      <c r="G85" s="41">
        <v>-82.6627</v>
      </c>
      <c r="H85" s="41">
        <v>27.6999</v>
      </c>
      <c r="I85" s="22">
        <v>-82.6518</v>
      </c>
      <c r="J85" s="21" t="s">
        <v>664</v>
      </c>
      <c r="K85" s="21" t="s">
        <v>676</v>
      </c>
      <c r="L85" s="21">
        <v>3.0</v>
      </c>
      <c r="M85" s="22">
        <v>27.7021</v>
      </c>
      <c r="N85" s="22">
        <v>-82.6624</v>
      </c>
      <c r="O85" s="21" t="s">
        <v>678</v>
      </c>
      <c r="P85" s="43"/>
    </row>
    <row r="86" ht="33.75" customHeight="1">
      <c r="A86" s="30">
        <v>42405.0</v>
      </c>
      <c r="B86" s="25" t="s">
        <v>181</v>
      </c>
      <c r="C86" s="25" t="s">
        <v>182</v>
      </c>
      <c r="D86" s="25" t="s">
        <v>183</v>
      </c>
      <c r="E86" s="25" t="s">
        <v>184</v>
      </c>
      <c r="F86" s="41">
        <v>24.66839</v>
      </c>
      <c r="G86" s="41">
        <v>-81.24981</v>
      </c>
      <c r="H86" s="41">
        <v>24.65419</v>
      </c>
      <c r="I86" s="22">
        <v>-81.28047</v>
      </c>
      <c r="J86" s="21" t="s">
        <v>682</v>
      </c>
      <c r="K86" s="21" t="s">
        <v>683</v>
      </c>
      <c r="L86" s="21">
        <v>1.0</v>
      </c>
      <c r="M86" s="22">
        <v>24.66112</v>
      </c>
      <c r="N86" s="22">
        <v>-81.2683</v>
      </c>
      <c r="O86" s="21" t="s">
        <v>684</v>
      </c>
      <c r="P86" s="21" t="s">
        <v>685</v>
      </c>
    </row>
    <row r="87" ht="33.75" customHeight="1">
      <c r="A87" s="20">
        <v>42408.0</v>
      </c>
      <c r="B87" s="21" t="s">
        <v>686</v>
      </c>
      <c r="C87" s="21" t="s">
        <v>687</v>
      </c>
      <c r="D87" s="21" t="s">
        <v>688</v>
      </c>
      <c r="E87" s="21" t="s">
        <v>195</v>
      </c>
      <c r="F87" s="21">
        <v>27.178888</v>
      </c>
      <c r="G87" s="21">
        <v>-80.27778</v>
      </c>
      <c r="H87" s="21">
        <v>27.3575</v>
      </c>
      <c r="I87" s="22">
        <v>-80.3325</v>
      </c>
      <c r="J87" s="21" t="s">
        <v>690</v>
      </c>
      <c r="K87" s="21" t="s">
        <v>691</v>
      </c>
      <c r="L87" s="21">
        <v>1.0</v>
      </c>
      <c r="M87" s="21">
        <v>27.2205</v>
      </c>
      <c r="N87" s="21">
        <v>80.306</v>
      </c>
      <c r="O87" s="21" t="s">
        <v>692</v>
      </c>
      <c r="P87" s="21" t="s">
        <v>693</v>
      </c>
      <c r="Z87" s="21"/>
      <c r="AY87" s="21"/>
      <c r="BH87">
        <f t="shared" ref="BH87:BH89" si="1">sum(L87:BG87)</f>
        <v>108.5265</v>
      </c>
      <c r="BI87" s="21" t="s">
        <v>693</v>
      </c>
    </row>
    <row r="88" ht="33.75" customHeight="1">
      <c r="A88" s="20">
        <v>42408.0</v>
      </c>
      <c r="B88" s="21" t="s">
        <v>686</v>
      </c>
      <c r="C88" s="21" t="s">
        <v>687</v>
      </c>
      <c r="D88" s="21" t="s">
        <v>688</v>
      </c>
      <c r="E88" s="21" t="s">
        <v>195</v>
      </c>
      <c r="F88" s="21">
        <v>27.178888</v>
      </c>
      <c r="G88" s="21">
        <v>-80.27778</v>
      </c>
      <c r="H88" s="21">
        <v>27.3575</v>
      </c>
      <c r="I88" s="22">
        <v>-80.3325</v>
      </c>
      <c r="J88" s="21" t="s">
        <v>690</v>
      </c>
      <c r="K88" s="21" t="s">
        <v>691</v>
      </c>
      <c r="L88" s="21">
        <v>2.0</v>
      </c>
      <c r="M88" s="21">
        <v>27.2978</v>
      </c>
      <c r="N88" s="21">
        <v>80.2283</v>
      </c>
      <c r="O88" s="21" t="s">
        <v>702</v>
      </c>
      <c r="P88" s="21" t="s">
        <v>693</v>
      </c>
      <c r="Z88" s="21"/>
      <c r="AH88" s="21"/>
      <c r="AL88" s="21"/>
      <c r="AN88" s="21"/>
      <c r="AY88" s="21"/>
      <c r="BH88">
        <f t="shared" si="1"/>
        <v>109.5261</v>
      </c>
      <c r="BI88" s="21" t="s">
        <v>693</v>
      </c>
    </row>
    <row r="89" ht="33.75" customHeight="1">
      <c r="A89" s="20">
        <v>42408.0</v>
      </c>
      <c r="B89" s="21" t="s">
        <v>686</v>
      </c>
      <c r="C89" s="21" t="s">
        <v>687</v>
      </c>
      <c r="D89" s="21" t="s">
        <v>688</v>
      </c>
      <c r="E89" s="21" t="s">
        <v>195</v>
      </c>
      <c r="F89" s="21">
        <v>27.178888</v>
      </c>
      <c r="G89" s="21">
        <v>-80.27778</v>
      </c>
      <c r="H89" s="21">
        <v>27.3575</v>
      </c>
      <c r="I89" s="22">
        <v>-80.3325</v>
      </c>
      <c r="J89" s="21" t="s">
        <v>690</v>
      </c>
      <c r="K89" s="21" t="s">
        <v>691</v>
      </c>
      <c r="L89" s="21">
        <v>3.0</v>
      </c>
      <c r="M89" s="21">
        <v>27.3189</v>
      </c>
      <c r="N89" s="21">
        <v>80.2369</v>
      </c>
      <c r="O89" s="21" t="s">
        <v>708</v>
      </c>
      <c r="P89" s="21" t="s">
        <v>693</v>
      </c>
      <c r="Y89" s="21"/>
      <c r="Z89" s="21"/>
      <c r="AH89" s="21"/>
      <c r="AY89" s="21"/>
      <c r="BH89">
        <f t="shared" si="1"/>
        <v>110.5558</v>
      </c>
      <c r="BI89" s="21" t="s">
        <v>693</v>
      </c>
    </row>
    <row r="90" ht="33.75" customHeight="1">
      <c r="A90" s="30">
        <v>42408.0</v>
      </c>
      <c r="B90" s="25" t="s">
        <v>711</v>
      </c>
      <c r="C90" s="25" t="s">
        <v>713</v>
      </c>
      <c r="D90" s="25" t="s">
        <v>714</v>
      </c>
      <c r="E90" s="25" t="s">
        <v>715</v>
      </c>
      <c r="F90" s="41">
        <v>27.30902567</v>
      </c>
      <c r="G90" s="41">
        <v>-80.22098679</v>
      </c>
      <c r="H90" s="41">
        <v>27.26302695</v>
      </c>
      <c r="I90" s="22">
        <v>-80.1997763</v>
      </c>
      <c r="J90" s="21" t="s">
        <v>716</v>
      </c>
      <c r="K90" s="21" t="s">
        <v>718</v>
      </c>
      <c r="L90" s="21">
        <v>1.0</v>
      </c>
      <c r="M90" s="22">
        <v>27.26495295</v>
      </c>
      <c r="N90" s="22">
        <v>-80.20069328</v>
      </c>
      <c r="O90" s="21" t="s">
        <v>720</v>
      </c>
      <c r="P90" s="21" t="s">
        <v>693</v>
      </c>
    </row>
    <row r="91" ht="33.75" customHeight="1">
      <c r="A91" s="30">
        <v>42408.0</v>
      </c>
      <c r="B91" s="25" t="s">
        <v>711</v>
      </c>
      <c r="C91" s="25" t="s">
        <v>721</v>
      </c>
      <c r="D91" s="25" t="s">
        <v>714</v>
      </c>
      <c r="E91" s="25" t="s">
        <v>715</v>
      </c>
      <c r="F91" s="41">
        <v>27.30902567</v>
      </c>
      <c r="G91" s="41">
        <v>-80.22098679</v>
      </c>
      <c r="H91" s="41">
        <v>27.26302695</v>
      </c>
      <c r="I91" s="22">
        <v>-80.1997763</v>
      </c>
      <c r="J91" s="21" t="s">
        <v>716</v>
      </c>
      <c r="K91" s="21" t="s">
        <v>718</v>
      </c>
      <c r="L91" s="21">
        <v>2.0</v>
      </c>
      <c r="M91" s="22">
        <v>27.16898628</v>
      </c>
      <c r="N91" s="22">
        <v>-80.15545866</v>
      </c>
      <c r="O91" s="21" t="s">
        <v>466</v>
      </c>
      <c r="P91" s="21" t="s">
        <v>726</v>
      </c>
    </row>
    <row r="92" ht="33.75" customHeight="1">
      <c r="A92" s="30">
        <v>42408.0</v>
      </c>
      <c r="B92" s="25" t="s">
        <v>711</v>
      </c>
      <c r="C92" s="25" t="s">
        <v>728</v>
      </c>
      <c r="D92" s="25" t="s">
        <v>714</v>
      </c>
      <c r="E92" s="25" t="s">
        <v>715</v>
      </c>
      <c r="F92" s="41">
        <v>27.30902567</v>
      </c>
      <c r="G92" s="41">
        <v>-80.22098679</v>
      </c>
      <c r="H92" s="41">
        <v>27.26302695</v>
      </c>
      <c r="I92" s="22">
        <v>-80.1997763</v>
      </c>
      <c r="J92" s="21" t="s">
        <v>716</v>
      </c>
      <c r="K92" s="21" t="s">
        <v>718</v>
      </c>
      <c r="L92" s="21">
        <v>3.0</v>
      </c>
      <c r="M92" s="22">
        <v>27.16871294</v>
      </c>
      <c r="N92" s="22">
        <v>-80.15636332</v>
      </c>
      <c r="O92" s="21" t="s">
        <v>466</v>
      </c>
      <c r="P92" s="21" t="s">
        <v>732</v>
      </c>
    </row>
    <row r="93" ht="33.75" customHeight="1">
      <c r="A93" s="30">
        <v>42408.0</v>
      </c>
      <c r="B93" s="21" t="s">
        <v>735</v>
      </c>
      <c r="C93" s="25" t="s">
        <v>736</v>
      </c>
      <c r="D93" s="25" t="s">
        <v>737</v>
      </c>
      <c r="E93" s="25" t="s">
        <v>738</v>
      </c>
      <c r="F93" s="41" t="s">
        <v>739</v>
      </c>
      <c r="G93" s="41" t="s">
        <v>740</v>
      </c>
      <c r="H93" s="41" t="s">
        <v>741</v>
      </c>
      <c r="I93" s="22" t="s">
        <v>743</v>
      </c>
      <c r="J93" s="21" t="s">
        <v>744</v>
      </c>
      <c r="K93" s="21" t="s">
        <v>745</v>
      </c>
      <c r="L93" s="43"/>
      <c r="M93" s="54"/>
      <c r="N93" s="54"/>
      <c r="P93" s="43"/>
    </row>
    <row r="94" ht="33.75" customHeight="1">
      <c r="A94" s="30">
        <v>42406.0</v>
      </c>
      <c r="B94" s="21" t="s">
        <v>749</v>
      </c>
      <c r="C94" s="25" t="s">
        <v>750</v>
      </c>
      <c r="D94" s="25" t="s">
        <v>752</v>
      </c>
      <c r="E94" s="21" t="s">
        <v>113</v>
      </c>
      <c r="F94" s="22">
        <v>27.68272</v>
      </c>
      <c r="G94" s="41">
        <v>-82.7384</v>
      </c>
      <c r="H94" s="41">
        <v>27.70837</v>
      </c>
      <c r="I94" s="22">
        <v>-82.73859</v>
      </c>
      <c r="J94" s="21" t="s">
        <v>753</v>
      </c>
      <c r="K94" s="21" t="s">
        <v>754</v>
      </c>
      <c r="L94" s="43"/>
      <c r="M94" s="22"/>
      <c r="N94" s="22"/>
      <c r="O94" s="21" t="s">
        <v>757</v>
      </c>
      <c r="P94" s="43"/>
    </row>
    <row r="95" ht="33.75" customHeight="1">
      <c r="A95" s="30">
        <v>42405.0</v>
      </c>
      <c r="B95" s="21" t="s">
        <v>762</v>
      </c>
      <c r="C95" s="25" t="s">
        <v>764</v>
      </c>
      <c r="D95" s="25" t="s">
        <v>765</v>
      </c>
      <c r="E95" s="25" t="s">
        <v>766</v>
      </c>
      <c r="F95" s="41">
        <v>30.7030278</v>
      </c>
      <c r="G95" s="41">
        <v>-81.43222</v>
      </c>
      <c r="H95" s="41">
        <v>30.70061</v>
      </c>
      <c r="I95" s="22">
        <v>-81.42555</v>
      </c>
      <c r="J95" s="21" t="s">
        <v>767</v>
      </c>
      <c r="K95" s="21" t="s">
        <v>768</v>
      </c>
      <c r="L95" s="21">
        <v>1.0</v>
      </c>
      <c r="M95" s="22">
        <v>30.701</v>
      </c>
      <c r="N95" s="22">
        <v>-81.4256388888889</v>
      </c>
      <c r="O95" s="21" t="s">
        <v>772</v>
      </c>
      <c r="P95" s="21" t="s">
        <v>726</v>
      </c>
    </row>
    <row r="96" ht="33.75" customHeight="1">
      <c r="A96" s="20">
        <v>42408.0</v>
      </c>
      <c r="B96" s="21" t="s">
        <v>775</v>
      </c>
      <c r="C96" s="21" t="s">
        <v>165</v>
      </c>
      <c r="D96" s="21" t="s">
        <v>207</v>
      </c>
      <c r="E96" s="21" t="s">
        <v>113</v>
      </c>
      <c r="F96" s="21">
        <v>28.0559</v>
      </c>
      <c r="G96" s="21">
        <v>-82.8162</v>
      </c>
      <c r="H96" s="21">
        <v>28.0941</v>
      </c>
      <c r="I96" s="22">
        <v>-82.8337</v>
      </c>
      <c r="J96" s="21" t="s">
        <v>777</v>
      </c>
      <c r="K96" s="21" t="s">
        <v>778</v>
      </c>
      <c r="L96" s="21">
        <v>1.0</v>
      </c>
      <c r="M96" s="22">
        <v>28.0548</v>
      </c>
      <c r="N96" s="22">
        <v>-82.8188</v>
      </c>
      <c r="O96" s="21" t="s">
        <v>780</v>
      </c>
      <c r="P96" s="21" t="s">
        <v>781</v>
      </c>
    </row>
    <row r="97" ht="33.75" customHeight="1">
      <c r="A97" s="20">
        <v>42408.0</v>
      </c>
      <c r="B97" s="21" t="s">
        <v>775</v>
      </c>
      <c r="C97" s="21" t="s">
        <v>165</v>
      </c>
      <c r="D97" s="21" t="s">
        <v>207</v>
      </c>
      <c r="E97" s="21" t="s">
        <v>113</v>
      </c>
      <c r="F97" s="21">
        <v>28.0559</v>
      </c>
      <c r="G97" s="21">
        <v>-82.8162</v>
      </c>
      <c r="H97" s="21">
        <v>28.0941</v>
      </c>
      <c r="I97" s="22">
        <v>-82.8337</v>
      </c>
      <c r="J97" s="21" t="s">
        <v>777</v>
      </c>
      <c r="K97" s="21" t="s">
        <v>778</v>
      </c>
      <c r="L97" s="21">
        <v>2.0</v>
      </c>
      <c r="M97" s="22">
        <v>28.0536</v>
      </c>
      <c r="N97" s="22">
        <v>-82.818</v>
      </c>
      <c r="O97" s="21" t="s">
        <v>783</v>
      </c>
      <c r="P97" s="21" t="s">
        <v>784</v>
      </c>
    </row>
    <row r="98" ht="33.75" customHeight="1">
      <c r="A98" s="20">
        <v>42408.0</v>
      </c>
      <c r="B98" s="21" t="s">
        <v>775</v>
      </c>
      <c r="C98" s="21" t="s">
        <v>165</v>
      </c>
      <c r="D98" s="21" t="s">
        <v>207</v>
      </c>
      <c r="E98" s="21" t="s">
        <v>113</v>
      </c>
      <c r="F98" s="21">
        <v>28.0559</v>
      </c>
      <c r="G98" s="21">
        <v>-82.8162</v>
      </c>
      <c r="H98" s="21">
        <v>28.0941</v>
      </c>
      <c r="I98" s="22">
        <v>-82.8337</v>
      </c>
      <c r="J98" s="21" t="s">
        <v>777</v>
      </c>
      <c r="K98" s="21" t="s">
        <v>778</v>
      </c>
      <c r="L98" s="21">
        <v>3.0</v>
      </c>
      <c r="M98" s="22">
        <v>28.0942</v>
      </c>
      <c r="N98" s="22">
        <v>-82.8359</v>
      </c>
      <c r="O98" s="21" t="s">
        <v>788</v>
      </c>
      <c r="P98" s="21" t="s">
        <v>789</v>
      </c>
    </row>
    <row r="99" ht="33.75" customHeight="1">
      <c r="A99" s="20">
        <v>42408.0</v>
      </c>
      <c r="B99" s="21" t="s">
        <v>775</v>
      </c>
      <c r="C99" s="21" t="s">
        <v>165</v>
      </c>
      <c r="D99" s="21" t="s">
        <v>207</v>
      </c>
      <c r="E99" s="21" t="s">
        <v>113</v>
      </c>
      <c r="F99" s="21">
        <v>28.0559</v>
      </c>
      <c r="G99" s="21">
        <v>-82.8162</v>
      </c>
      <c r="H99" s="21">
        <v>28.0941</v>
      </c>
      <c r="I99" s="22">
        <v>-82.8337</v>
      </c>
      <c r="J99" s="21" t="s">
        <v>777</v>
      </c>
      <c r="K99" s="21" t="s">
        <v>778</v>
      </c>
      <c r="L99" s="21">
        <v>0.0</v>
      </c>
      <c r="M99" s="22">
        <v>28.0668</v>
      </c>
      <c r="N99" s="22">
        <v>-82.8338</v>
      </c>
      <c r="O99" s="21" t="s">
        <v>793</v>
      </c>
      <c r="P99" s="21" t="s">
        <v>795</v>
      </c>
    </row>
    <row r="100" ht="33.75" customHeight="1">
      <c r="A100" s="20">
        <v>42408.0</v>
      </c>
      <c r="B100" s="21" t="s">
        <v>775</v>
      </c>
      <c r="C100" s="21" t="s">
        <v>165</v>
      </c>
      <c r="D100" s="21" t="s">
        <v>207</v>
      </c>
      <c r="E100" s="21" t="s">
        <v>113</v>
      </c>
      <c r="F100" s="21">
        <v>28.0559</v>
      </c>
      <c r="G100" s="21">
        <v>-82.8162</v>
      </c>
      <c r="H100" s="21">
        <v>28.0941</v>
      </c>
      <c r="I100" s="22">
        <v>-82.8337</v>
      </c>
      <c r="J100" s="21" t="s">
        <v>777</v>
      </c>
      <c r="K100" s="21" t="s">
        <v>778</v>
      </c>
      <c r="L100" s="21">
        <v>4.0</v>
      </c>
      <c r="M100" s="22">
        <v>28.0977</v>
      </c>
      <c r="N100" s="22">
        <v>-82.8354</v>
      </c>
      <c r="O100" s="21" t="s">
        <v>798</v>
      </c>
      <c r="P100" s="21" t="s">
        <v>799</v>
      </c>
    </row>
    <row r="101" ht="33.75" customHeight="1">
      <c r="A101" s="20">
        <v>42408.0</v>
      </c>
      <c r="B101" s="21" t="s">
        <v>775</v>
      </c>
      <c r="C101" s="21" t="s">
        <v>165</v>
      </c>
      <c r="D101" s="21" t="s">
        <v>207</v>
      </c>
      <c r="E101" s="21" t="s">
        <v>113</v>
      </c>
      <c r="F101" s="21">
        <v>28.0559</v>
      </c>
      <c r="G101" s="21">
        <v>-82.8162</v>
      </c>
      <c r="H101" s="21">
        <v>28.0941</v>
      </c>
      <c r="I101" s="22">
        <v>-82.8337</v>
      </c>
      <c r="J101" s="21" t="s">
        <v>777</v>
      </c>
      <c r="K101" s="21" t="s">
        <v>778</v>
      </c>
      <c r="L101" s="21">
        <v>5.0</v>
      </c>
      <c r="M101" s="22">
        <v>28.094</v>
      </c>
      <c r="N101" s="22">
        <v>-82.8337</v>
      </c>
      <c r="O101" s="21" t="s">
        <v>803</v>
      </c>
      <c r="P101" s="21" t="s">
        <v>799</v>
      </c>
    </row>
    <row r="102" ht="33.75" customHeight="1">
      <c r="A102" s="30">
        <v>42408.0</v>
      </c>
      <c r="B102" s="25" t="s">
        <v>805</v>
      </c>
      <c r="C102" s="25" t="s">
        <v>806</v>
      </c>
      <c r="D102" s="25" t="s">
        <v>807</v>
      </c>
      <c r="E102" s="25" t="s">
        <v>428</v>
      </c>
      <c r="F102" s="41">
        <v>27.01011</v>
      </c>
      <c r="G102" s="41">
        <v>-82.41256</v>
      </c>
      <c r="H102" s="41">
        <v>27.01687</v>
      </c>
      <c r="I102" s="22">
        <v>-82.41664</v>
      </c>
      <c r="J102" s="21" t="s">
        <v>809</v>
      </c>
      <c r="K102" s="21" t="s">
        <v>540</v>
      </c>
      <c r="L102" s="21">
        <v>1.0</v>
      </c>
      <c r="M102" s="22">
        <v>27.01011</v>
      </c>
      <c r="N102" s="22">
        <v>-82.41256</v>
      </c>
      <c r="O102" s="21" t="s">
        <v>813</v>
      </c>
      <c r="P102" s="21" t="s">
        <v>799</v>
      </c>
    </row>
    <row r="103" ht="33.75" customHeight="1">
      <c r="A103" s="30">
        <v>42408.0</v>
      </c>
      <c r="B103" s="25" t="s">
        <v>805</v>
      </c>
      <c r="C103" s="25" t="s">
        <v>806</v>
      </c>
      <c r="D103" s="25" t="s">
        <v>807</v>
      </c>
      <c r="E103" s="25" t="s">
        <v>428</v>
      </c>
      <c r="F103" s="41">
        <v>27.01011</v>
      </c>
      <c r="G103" s="41">
        <v>-82.41256</v>
      </c>
      <c r="H103" s="41">
        <v>27.01687</v>
      </c>
      <c r="I103" s="22">
        <v>-82.41664</v>
      </c>
      <c r="J103" s="21" t="s">
        <v>809</v>
      </c>
      <c r="K103" s="21" t="s">
        <v>540</v>
      </c>
      <c r="L103" s="21">
        <v>2.0</v>
      </c>
      <c r="M103" s="22">
        <v>27.0106</v>
      </c>
      <c r="N103" s="22">
        <v>-82.41291</v>
      </c>
      <c r="O103" s="21" t="s">
        <v>820</v>
      </c>
      <c r="P103" s="21" t="s">
        <v>799</v>
      </c>
    </row>
    <row r="104" ht="33.75" customHeight="1">
      <c r="A104" s="30">
        <v>42408.0</v>
      </c>
      <c r="B104" s="25" t="s">
        <v>805</v>
      </c>
      <c r="C104" s="25" t="s">
        <v>806</v>
      </c>
      <c r="D104" s="25" t="s">
        <v>807</v>
      </c>
      <c r="E104" s="25" t="s">
        <v>428</v>
      </c>
      <c r="F104" s="41">
        <v>27.01011</v>
      </c>
      <c r="G104" s="41">
        <v>-82.41256</v>
      </c>
      <c r="H104" s="41">
        <v>27.01687</v>
      </c>
      <c r="I104" s="22">
        <v>-81.41664</v>
      </c>
      <c r="J104" s="21" t="s">
        <v>809</v>
      </c>
      <c r="K104" s="21" t="s">
        <v>540</v>
      </c>
      <c r="L104" s="21">
        <v>3.0</v>
      </c>
      <c r="M104" s="22">
        <v>27.01073</v>
      </c>
      <c r="N104" s="22">
        <v>-82.41293</v>
      </c>
      <c r="O104" s="21" t="s">
        <v>824</v>
      </c>
      <c r="P104" s="21" t="s">
        <v>799</v>
      </c>
    </row>
    <row r="105" ht="33.75" customHeight="1">
      <c r="A105" s="30">
        <v>42407.0</v>
      </c>
      <c r="B105" s="25" t="s">
        <v>216</v>
      </c>
      <c r="C105" s="25" t="s">
        <v>217</v>
      </c>
      <c r="D105" s="25" t="s">
        <v>218</v>
      </c>
      <c r="E105" s="25" t="s">
        <v>220</v>
      </c>
      <c r="F105" s="41">
        <v>26.893049</v>
      </c>
      <c r="G105" s="41">
        <v>-80.056768</v>
      </c>
      <c r="H105" s="41">
        <v>26.836519</v>
      </c>
      <c r="I105" s="22">
        <v>-80.041361</v>
      </c>
      <c r="J105" s="21" t="s">
        <v>826</v>
      </c>
      <c r="K105" s="21" t="s">
        <v>828</v>
      </c>
      <c r="L105" s="21">
        <v>1.0</v>
      </c>
      <c r="M105" s="22">
        <v>26.871003053</v>
      </c>
      <c r="N105" s="22">
        <v>-80.049242361</v>
      </c>
      <c r="O105" s="21" t="s">
        <v>829</v>
      </c>
      <c r="P105" s="21" t="s">
        <v>830</v>
      </c>
    </row>
    <row r="106" ht="33.75" customHeight="1">
      <c r="A106" s="30">
        <v>42407.0</v>
      </c>
      <c r="B106" s="25" t="s">
        <v>216</v>
      </c>
      <c r="C106" s="25" t="s">
        <v>217</v>
      </c>
      <c r="D106" s="25" t="s">
        <v>218</v>
      </c>
      <c r="E106" s="25" t="s">
        <v>220</v>
      </c>
      <c r="F106" s="41">
        <v>26.893049</v>
      </c>
      <c r="G106" s="41">
        <v>-80.056768</v>
      </c>
      <c r="H106" s="41">
        <v>26.836519</v>
      </c>
      <c r="I106" s="22">
        <v>-80.041361</v>
      </c>
      <c r="J106" s="21" t="s">
        <v>826</v>
      </c>
      <c r="K106" s="21" t="s">
        <v>828</v>
      </c>
      <c r="L106" s="21">
        <v>2.0</v>
      </c>
      <c r="M106" s="21">
        <v>26.865703104</v>
      </c>
      <c r="N106" s="21">
        <v>-80.047826196</v>
      </c>
      <c r="O106" s="21" t="s">
        <v>834</v>
      </c>
      <c r="P106" s="43"/>
    </row>
    <row r="107" ht="33.75" customHeight="1">
      <c r="A107" s="30">
        <v>42408.0</v>
      </c>
      <c r="B107" s="25" t="s">
        <v>536</v>
      </c>
      <c r="C107" s="25" t="s">
        <v>836</v>
      </c>
      <c r="D107" s="25" t="s">
        <v>538</v>
      </c>
      <c r="E107" s="25" t="s">
        <v>259</v>
      </c>
      <c r="F107" s="41">
        <v>26.92675</v>
      </c>
      <c r="G107" s="41">
        <v>-82.36294</v>
      </c>
      <c r="H107" s="41">
        <v>26.91096</v>
      </c>
      <c r="I107" s="22">
        <v>-82.35324</v>
      </c>
      <c r="J107" s="21" t="s">
        <v>539</v>
      </c>
      <c r="K107" s="21" t="s">
        <v>540</v>
      </c>
      <c r="L107" s="21">
        <v>1.0</v>
      </c>
      <c r="M107" s="22">
        <v>26.92333</v>
      </c>
      <c r="N107" s="22">
        <v>-82.36083</v>
      </c>
      <c r="O107" s="21" t="s">
        <v>840</v>
      </c>
      <c r="P107" s="21" t="s">
        <v>799</v>
      </c>
    </row>
    <row r="108" ht="33.75" customHeight="1">
      <c r="A108" s="30">
        <v>42406.0</v>
      </c>
      <c r="B108" s="25" t="s">
        <v>842</v>
      </c>
      <c r="C108" s="25" t="s">
        <v>843</v>
      </c>
      <c r="D108" s="25" t="s">
        <v>844</v>
      </c>
      <c r="E108" s="25" t="s">
        <v>259</v>
      </c>
      <c r="F108" s="41">
        <v>26.789481</v>
      </c>
      <c r="G108" s="41">
        <v>-82.272273</v>
      </c>
      <c r="H108" s="41">
        <v>26.81059</v>
      </c>
      <c r="I108" s="22">
        <v>-82.28253</v>
      </c>
      <c r="J108" s="21" t="s">
        <v>848</v>
      </c>
      <c r="K108" s="21" t="s">
        <v>849</v>
      </c>
      <c r="L108" s="21">
        <v>0.0</v>
      </c>
      <c r="M108" s="22"/>
      <c r="N108" s="22"/>
      <c r="O108" s="43"/>
    </row>
    <row r="109" ht="33.75" customHeight="1">
      <c r="A109" s="30">
        <v>42410.0</v>
      </c>
      <c r="B109" s="25" t="s">
        <v>395</v>
      </c>
      <c r="C109" s="25" t="s">
        <v>851</v>
      </c>
      <c r="D109" s="25" t="s">
        <v>852</v>
      </c>
      <c r="E109" s="25" t="s">
        <v>853</v>
      </c>
      <c r="F109" s="41" t="s">
        <v>855</v>
      </c>
      <c r="G109" s="41" t="s">
        <v>856</v>
      </c>
      <c r="H109" s="41" t="s">
        <v>858</v>
      </c>
      <c r="I109" s="22" t="s">
        <v>859</v>
      </c>
      <c r="J109" s="21" t="s">
        <v>860</v>
      </c>
      <c r="K109" s="21" t="s">
        <v>861</v>
      </c>
      <c r="L109" s="21">
        <v>1.0</v>
      </c>
      <c r="M109" s="22" t="s">
        <v>862</v>
      </c>
      <c r="N109" s="22" t="s">
        <v>863</v>
      </c>
      <c r="O109" s="21" t="s">
        <v>864</v>
      </c>
      <c r="P109" s="21" t="s">
        <v>865</v>
      </c>
    </row>
    <row r="110" ht="33.75" customHeight="1">
      <c r="A110" s="30">
        <v>42411.0</v>
      </c>
      <c r="B110" s="25" t="s">
        <v>866</v>
      </c>
      <c r="C110" s="25" t="s">
        <v>867</v>
      </c>
      <c r="D110" s="25" t="s">
        <v>868</v>
      </c>
      <c r="E110" s="25" t="s">
        <v>220</v>
      </c>
      <c r="F110" s="21" t="s">
        <v>869</v>
      </c>
      <c r="G110" s="21" t="s">
        <v>870</v>
      </c>
      <c r="H110" s="21" t="s">
        <v>869</v>
      </c>
      <c r="I110" s="21" t="s">
        <v>870</v>
      </c>
      <c r="J110" s="21" t="s">
        <v>871</v>
      </c>
      <c r="K110" s="21" t="s">
        <v>872</v>
      </c>
      <c r="L110" s="21">
        <v>1.0</v>
      </c>
      <c r="M110" s="22" t="s">
        <v>873</v>
      </c>
      <c r="N110" s="22" t="s">
        <v>874</v>
      </c>
      <c r="O110" s="21" t="s">
        <v>875</v>
      </c>
      <c r="P110" s="21" t="s">
        <v>660</v>
      </c>
    </row>
    <row r="111" ht="33.75" customHeight="1">
      <c r="A111" s="30">
        <v>42410.0</v>
      </c>
      <c r="B111" s="25" t="s">
        <v>879</v>
      </c>
      <c r="C111" s="25" t="s">
        <v>230</v>
      </c>
      <c r="D111" s="25" t="s">
        <v>231</v>
      </c>
      <c r="E111" s="25" t="s">
        <v>232</v>
      </c>
      <c r="F111" s="41">
        <v>29.68313</v>
      </c>
      <c r="G111" s="41">
        <v>-85.22232</v>
      </c>
      <c r="H111" s="41">
        <v>29.67594</v>
      </c>
      <c r="I111" s="22">
        <v>-85.3374</v>
      </c>
      <c r="J111" s="21" t="s">
        <v>880</v>
      </c>
      <c r="K111" s="21" t="s">
        <v>882</v>
      </c>
      <c r="L111" s="21">
        <v>1.0</v>
      </c>
      <c r="M111" s="22">
        <v>29.67873</v>
      </c>
      <c r="N111" s="22">
        <v>-85.3267</v>
      </c>
      <c r="O111" s="21" t="s">
        <v>885</v>
      </c>
      <c r="P111" s="21" t="s">
        <v>887</v>
      </c>
    </row>
    <row r="112" ht="33.75" customHeight="1">
      <c r="A112" s="30">
        <v>42410.0</v>
      </c>
      <c r="B112" s="25" t="s">
        <v>879</v>
      </c>
      <c r="C112" s="25" t="s">
        <v>230</v>
      </c>
      <c r="D112" s="25" t="s">
        <v>231</v>
      </c>
      <c r="E112" s="25" t="s">
        <v>232</v>
      </c>
      <c r="F112" s="41">
        <v>29.68313</v>
      </c>
      <c r="G112" s="41">
        <v>-85.22232</v>
      </c>
      <c r="H112" s="41">
        <v>29.67594</v>
      </c>
      <c r="I112" s="22">
        <v>-85.3374</v>
      </c>
      <c r="J112" s="21" t="s">
        <v>891</v>
      </c>
      <c r="K112" s="21" t="s">
        <v>882</v>
      </c>
      <c r="L112" s="21">
        <v>2.0</v>
      </c>
      <c r="M112" s="22">
        <v>29.6837</v>
      </c>
      <c r="N112" s="22">
        <v>-85.28014</v>
      </c>
      <c r="O112" s="21" t="s">
        <v>892</v>
      </c>
      <c r="P112" s="21" t="s">
        <v>893</v>
      </c>
    </row>
    <row r="113" ht="33.75" customHeight="1">
      <c r="A113" s="30">
        <v>42409.0</v>
      </c>
      <c r="B113" s="25" t="s">
        <v>626</v>
      </c>
      <c r="C113" s="25" t="s">
        <v>627</v>
      </c>
      <c r="D113" s="25" t="s">
        <v>894</v>
      </c>
      <c r="E113" s="25" t="s">
        <v>766</v>
      </c>
      <c r="F113" s="41">
        <v>30.52139</v>
      </c>
      <c r="G113" s="41">
        <v>-81.445</v>
      </c>
      <c r="H113" s="41">
        <v>30.52611</v>
      </c>
      <c r="I113" s="22">
        <v>-81.4358</v>
      </c>
      <c r="J113" s="21" t="s">
        <v>895</v>
      </c>
      <c r="K113" s="21" t="s">
        <v>896</v>
      </c>
      <c r="L113" s="21">
        <v>1.0</v>
      </c>
      <c r="M113" s="22">
        <v>30.51472</v>
      </c>
      <c r="N113" s="22">
        <v>-81.43667</v>
      </c>
      <c r="O113" s="21" t="s">
        <v>897</v>
      </c>
      <c r="P113" s="21" t="s">
        <v>898</v>
      </c>
    </row>
    <row r="114" ht="33.75" customHeight="1">
      <c r="A114" s="30">
        <v>42409.0</v>
      </c>
      <c r="B114" s="25" t="s">
        <v>626</v>
      </c>
      <c r="C114" s="25" t="s">
        <v>627</v>
      </c>
      <c r="D114" s="25" t="s">
        <v>894</v>
      </c>
      <c r="E114" s="25" t="s">
        <v>766</v>
      </c>
      <c r="F114" s="41">
        <v>30.52139</v>
      </c>
      <c r="G114" s="41">
        <v>-81.445</v>
      </c>
      <c r="H114" s="41">
        <v>30.52611</v>
      </c>
      <c r="I114" s="22">
        <v>-81.4358</v>
      </c>
      <c r="J114" s="21" t="s">
        <v>895</v>
      </c>
      <c r="K114" s="21" t="s">
        <v>896</v>
      </c>
      <c r="L114" s="21">
        <v>2.0</v>
      </c>
      <c r="M114" s="22">
        <v>30.51694</v>
      </c>
      <c r="N114" s="22">
        <v>-81.135</v>
      </c>
      <c r="O114" s="21" t="s">
        <v>902</v>
      </c>
      <c r="P114" s="21" t="s">
        <v>906</v>
      </c>
    </row>
    <row r="115" ht="33.75" customHeight="1">
      <c r="A115" s="30">
        <v>42409.0</v>
      </c>
      <c r="B115" s="25" t="s">
        <v>626</v>
      </c>
      <c r="C115" s="25" t="s">
        <v>627</v>
      </c>
      <c r="D115" s="25" t="s">
        <v>894</v>
      </c>
      <c r="E115" s="25" t="s">
        <v>766</v>
      </c>
      <c r="F115" s="41">
        <v>30.52139</v>
      </c>
      <c r="G115" s="41">
        <v>-81.445</v>
      </c>
      <c r="H115" s="41">
        <v>30.52611</v>
      </c>
      <c r="I115" s="22">
        <v>-81.4358</v>
      </c>
      <c r="J115" s="21" t="s">
        <v>895</v>
      </c>
      <c r="K115" s="21" t="s">
        <v>896</v>
      </c>
      <c r="L115" s="21">
        <v>2.0</v>
      </c>
      <c r="M115" s="22">
        <v>30.51694</v>
      </c>
      <c r="N115" s="22">
        <v>-81.135</v>
      </c>
      <c r="O115" s="21" t="s">
        <v>909</v>
      </c>
      <c r="P115" s="21" t="s">
        <v>910</v>
      </c>
    </row>
    <row r="116" ht="33.75" customHeight="1">
      <c r="A116" s="30">
        <v>42409.0</v>
      </c>
      <c r="B116" s="25" t="s">
        <v>626</v>
      </c>
      <c r="C116" s="25" t="s">
        <v>627</v>
      </c>
      <c r="D116" s="25" t="s">
        <v>915</v>
      </c>
      <c r="E116" s="25" t="s">
        <v>629</v>
      </c>
      <c r="F116" s="41">
        <v>30.51167</v>
      </c>
      <c r="G116" s="41">
        <v>-81.45722</v>
      </c>
      <c r="H116" s="41">
        <v>30.50722</v>
      </c>
      <c r="I116" s="22">
        <v>-81.45389</v>
      </c>
      <c r="J116" s="21" t="s">
        <v>647</v>
      </c>
      <c r="K116" s="21" t="s">
        <v>919</v>
      </c>
      <c r="L116" s="43"/>
      <c r="M116" s="22"/>
      <c r="N116" s="22"/>
      <c r="O116" s="43"/>
      <c r="P116" s="21" t="s">
        <v>920</v>
      </c>
    </row>
    <row r="117" ht="33.75" customHeight="1">
      <c r="A117" s="30">
        <v>42409.0</v>
      </c>
      <c r="B117" s="25" t="s">
        <v>626</v>
      </c>
      <c r="C117" s="25" t="s">
        <v>627</v>
      </c>
      <c r="D117" s="25" t="s">
        <v>628</v>
      </c>
      <c r="E117" s="25" t="s">
        <v>629</v>
      </c>
      <c r="F117" s="41">
        <v>30.42944</v>
      </c>
      <c r="G117" s="41">
        <v>-81.40972</v>
      </c>
      <c r="H117" s="41">
        <v>30.48583</v>
      </c>
      <c r="I117" s="22">
        <v>-81.42444</v>
      </c>
      <c r="J117" s="21" t="s">
        <v>630</v>
      </c>
      <c r="K117" s="21" t="s">
        <v>921</v>
      </c>
      <c r="L117" s="21">
        <v>1.0</v>
      </c>
      <c r="M117" s="22">
        <v>30.42944</v>
      </c>
      <c r="N117" s="22">
        <v>-81.40972</v>
      </c>
      <c r="O117" s="21" t="s">
        <v>829</v>
      </c>
      <c r="P117" s="21" t="s">
        <v>922</v>
      </c>
    </row>
    <row r="118" ht="33.75" customHeight="1">
      <c r="A118" s="30">
        <v>42409.0</v>
      </c>
      <c r="B118" s="25" t="s">
        <v>626</v>
      </c>
      <c r="C118" s="25" t="s">
        <v>627</v>
      </c>
      <c r="D118" s="25" t="s">
        <v>628</v>
      </c>
      <c r="E118" s="25" t="s">
        <v>629</v>
      </c>
      <c r="F118" s="41">
        <v>30.42944</v>
      </c>
      <c r="G118" s="41">
        <v>-81.40972</v>
      </c>
      <c r="H118" s="41">
        <v>30.48583</v>
      </c>
      <c r="I118" s="22">
        <v>-81.42444</v>
      </c>
      <c r="J118" s="21" t="s">
        <v>630</v>
      </c>
      <c r="K118" s="21" t="s">
        <v>921</v>
      </c>
      <c r="L118" s="21">
        <v>1.0</v>
      </c>
      <c r="M118" s="22">
        <v>30.42944</v>
      </c>
      <c r="N118" s="22">
        <v>-81.40972</v>
      </c>
      <c r="O118" s="21" t="s">
        <v>926</v>
      </c>
      <c r="P118" s="21" t="s">
        <v>922</v>
      </c>
    </row>
    <row r="119" ht="33.75" customHeight="1">
      <c r="A119" s="30">
        <v>42409.0</v>
      </c>
      <c r="B119" s="25" t="s">
        <v>626</v>
      </c>
      <c r="C119" s="25" t="s">
        <v>627</v>
      </c>
      <c r="D119" s="25" t="s">
        <v>628</v>
      </c>
      <c r="E119" s="25" t="s">
        <v>629</v>
      </c>
      <c r="F119" s="41">
        <v>30.42944</v>
      </c>
      <c r="G119" s="41">
        <v>-81.40972</v>
      </c>
      <c r="H119" s="41">
        <v>30.48583</v>
      </c>
      <c r="I119" s="22">
        <v>-81.42444</v>
      </c>
      <c r="J119" s="21" t="s">
        <v>630</v>
      </c>
      <c r="K119" s="21" t="s">
        <v>921</v>
      </c>
      <c r="L119" s="21">
        <v>1.0</v>
      </c>
      <c r="M119" s="22">
        <v>30.42944</v>
      </c>
      <c r="N119" s="22">
        <v>-81.40972</v>
      </c>
      <c r="O119" s="21" t="s">
        <v>932</v>
      </c>
      <c r="P119" s="21" t="s">
        <v>922</v>
      </c>
    </row>
    <row r="120" ht="33.75" customHeight="1">
      <c r="A120" s="30">
        <v>42409.0</v>
      </c>
      <c r="B120" s="25" t="s">
        <v>626</v>
      </c>
      <c r="C120" s="25" t="s">
        <v>627</v>
      </c>
      <c r="D120" s="25" t="s">
        <v>628</v>
      </c>
      <c r="E120" s="25" t="s">
        <v>629</v>
      </c>
      <c r="F120" s="41">
        <v>30.42944</v>
      </c>
      <c r="G120" s="41">
        <v>-81.40972</v>
      </c>
      <c r="H120" s="41">
        <v>30.48583</v>
      </c>
      <c r="I120" s="22">
        <v>-81.42444</v>
      </c>
      <c r="J120" s="21" t="s">
        <v>630</v>
      </c>
      <c r="K120" s="21" t="s">
        <v>921</v>
      </c>
      <c r="L120" s="21">
        <v>1.0</v>
      </c>
      <c r="M120" s="22">
        <v>30.42944</v>
      </c>
      <c r="N120" s="22">
        <v>-81.40972</v>
      </c>
      <c r="O120" s="21" t="s">
        <v>933</v>
      </c>
      <c r="P120" s="21" t="s">
        <v>922</v>
      </c>
    </row>
    <row r="121" ht="33.75" customHeight="1">
      <c r="A121" s="30">
        <v>42409.0</v>
      </c>
      <c r="B121" s="25" t="s">
        <v>626</v>
      </c>
      <c r="C121" s="25" t="s">
        <v>627</v>
      </c>
      <c r="D121" s="25" t="s">
        <v>628</v>
      </c>
      <c r="E121" s="25" t="s">
        <v>629</v>
      </c>
      <c r="F121" s="41">
        <v>30.42944</v>
      </c>
      <c r="G121" s="41">
        <v>-81.40972</v>
      </c>
      <c r="H121" s="41">
        <v>30.48583</v>
      </c>
      <c r="I121" s="22">
        <v>-81.42444</v>
      </c>
      <c r="J121" s="21" t="s">
        <v>630</v>
      </c>
      <c r="K121" s="21" t="s">
        <v>921</v>
      </c>
      <c r="L121" s="21">
        <v>1.0</v>
      </c>
      <c r="M121" s="22">
        <v>30.42944</v>
      </c>
      <c r="N121" s="22">
        <v>-81.40972</v>
      </c>
      <c r="O121" s="21" t="s">
        <v>939</v>
      </c>
      <c r="P121" s="21" t="s">
        <v>922</v>
      </c>
    </row>
    <row r="122" ht="33.75" customHeight="1">
      <c r="A122" s="30">
        <v>42409.0</v>
      </c>
      <c r="B122" s="25" t="s">
        <v>626</v>
      </c>
      <c r="C122" s="25" t="s">
        <v>627</v>
      </c>
      <c r="D122" s="25" t="s">
        <v>628</v>
      </c>
      <c r="E122" s="25" t="s">
        <v>629</v>
      </c>
      <c r="F122" s="41">
        <v>30.424944</v>
      </c>
      <c r="G122" s="41">
        <v>-81.40972</v>
      </c>
      <c r="H122" s="41">
        <v>30.48583</v>
      </c>
      <c r="I122" s="22">
        <v>-81.42444</v>
      </c>
      <c r="J122" s="21" t="s">
        <v>630</v>
      </c>
      <c r="K122" s="21" t="s">
        <v>921</v>
      </c>
      <c r="L122" s="21">
        <v>1.0</v>
      </c>
      <c r="M122" s="22">
        <v>30.42944</v>
      </c>
      <c r="N122" s="22">
        <v>-81.40972</v>
      </c>
      <c r="O122" s="21" t="s">
        <v>944</v>
      </c>
      <c r="P122" s="21" t="s">
        <v>922</v>
      </c>
    </row>
    <row r="123" ht="33.75" customHeight="1">
      <c r="A123" s="30">
        <v>42409.0</v>
      </c>
      <c r="B123" s="25" t="s">
        <v>626</v>
      </c>
      <c r="C123" s="25" t="s">
        <v>627</v>
      </c>
      <c r="D123" s="25" t="s">
        <v>628</v>
      </c>
      <c r="E123" s="25" t="s">
        <v>629</v>
      </c>
      <c r="F123" s="41">
        <v>30.42494</v>
      </c>
      <c r="G123" s="41">
        <v>-81.40972</v>
      </c>
      <c r="H123" s="41">
        <v>30.48583</v>
      </c>
      <c r="I123" s="22">
        <v>-81.42444</v>
      </c>
      <c r="J123" s="21" t="s">
        <v>630</v>
      </c>
      <c r="K123" s="21" t="s">
        <v>921</v>
      </c>
      <c r="L123" s="21">
        <v>2.0</v>
      </c>
      <c r="M123" s="22">
        <v>30.43639</v>
      </c>
      <c r="N123" s="22">
        <v>-81.40667</v>
      </c>
      <c r="O123" s="21" t="s">
        <v>684</v>
      </c>
      <c r="P123" s="21" t="s">
        <v>956</v>
      </c>
    </row>
    <row r="124" ht="33.75" customHeight="1">
      <c r="A124" s="30">
        <v>42409.0</v>
      </c>
      <c r="B124" s="25" t="s">
        <v>626</v>
      </c>
      <c r="C124" s="25" t="s">
        <v>627</v>
      </c>
      <c r="D124" s="25" t="s">
        <v>628</v>
      </c>
      <c r="E124" s="25" t="s">
        <v>629</v>
      </c>
      <c r="F124" s="41">
        <v>30.42494</v>
      </c>
      <c r="G124" s="41">
        <v>-81.40972</v>
      </c>
      <c r="H124" s="41">
        <v>30.48583</v>
      </c>
      <c r="I124" s="22">
        <v>-81.42444</v>
      </c>
      <c r="J124" s="21" t="s">
        <v>630</v>
      </c>
      <c r="K124" s="21" t="s">
        <v>921</v>
      </c>
      <c r="L124" s="21">
        <v>3.0</v>
      </c>
      <c r="M124" s="22">
        <v>30.4875</v>
      </c>
      <c r="N124" s="22">
        <v>-81.41667</v>
      </c>
      <c r="O124" s="21" t="s">
        <v>959</v>
      </c>
      <c r="P124" s="21" t="s">
        <v>960</v>
      </c>
    </row>
    <row r="125" ht="33.75" customHeight="1">
      <c r="A125" s="30">
        <v>42408.0</v>
      </c>
      <c r="B125" s="25" t="s">
        <v>253</v>
      </c>
      <c r="C125" s="25" t="s">
        <v>254</v>
      </c>
      <c r="D125" s="25" t="s">
        <v>961</v>
      </c>
      <c r="E125" s="25" t="s">
        <v>428</v>
      </c>
      <c r="F125" s="41" t="s">
        <v>962</v>
      </c>
      <c r="G125" s="41" t="s">
        <v>963</v>
      </c>
      <c r="H125" s="41" t="s">
        <v>964</v>
      </c>
      <c r="I125" s="22" t="s">
        <v>965</v>
      </c>
      <c r="J125" s="21" t="s">
        <v>967</v>
      </c>
      <c r="K125" s="21" t="s">
        <v>970</v>
      </c>
      <c r="L125" s="21">
        <v>1.0</v>
      </c>
      <c r="M125" s="22">
        <v>27.04466</v>
      </c>
      <c r="N125" s="22">
        <v>82.27076</v>
      </c>
      <c r="O125" s="21" t="s">
        <v>972</v>
      </c>
      <c r="P125" s="21" t="s">
        <v>974</v>
      </c>
    </row>
    <row r="126" ht="33.75" customHeight="1">
      <c r="A126" s="30">
        <v>42408.0</v>
      </c>
      <c r="B126" s="25" t="s">
        <v>253</v>
      </c>
      <c r="C126" s="25" t="s">
        <v>254</v>
      </c>
      <c r="D126" s="25" t="s">
        <v>961</v>
      </c>
      <c r="E126" s="25" t="s">
        <v>428</v>
      </c>
      <c r="F126" s="41" t="s">
        <v>962</v>
      </c>
      <c r="G126" s="41" t="s">
        <v>963</v>
      </c>
      <c r="H126" s="41" t="s">
        <v>964</v>
      </c>
      <c r="I126" s="22" t="s">
        <v>965</v>
      </c>
      <c r="J126" s="21" t="s">
        <v>967</v>
      </c>
      <c r="K126" s="21" t="s">
        <v>970</v>
      </c>
      <c r="L126" s="21">
        <v>1.0</v>
      </c>
      <c r="M126" s="54"/>
      <c r="N126" s="54"/>
      <c r="O126" s="21" t="s">
        <v>980</v>
      </c>
    </row>
    <row r="127" ht="33.75" customHeight="1">
      <c r="A127" s="30">
        <v>42408.0</v>
      </c>
      <c r="B127" s="25" t="s">
        <v>253</v>
      </c>
      <c r="C127" s="25" t="s">
        <v>254</v>
      </c>
      <c r="D127" s="25" t="s">
        <v>961</v>
      </c>
      <c r="E127" s="25" t="s">
        <v>428</v>
      </c>
      <c r="F127" s="41" t="s">
        <v>962</v>
      </c>
      <c r="G127" s="41" t="s">
        <v>963</v>
      </c>
      <c r="H127" s="41" t="s">
        <v>964</v>
      </c>
      <c r="I127" s="22" t="s">
        <v>965</v>
      </c>
      <c r="J127" s="21" t="s">
        <v>967</v>
      </c>
      <c r="K127" s="21" t="s">
        <v>970</v>
      </c>
      <c r="L127" s="21">
        <v>1.0</v>
      </c>
      <c r="M127" s="22"/>
      <c r="N127" s="22"/>
      <c r="O127" s="21" t="s">
        <v>982</v>
      </c>
      <c r="P127" s="43"/>
    </row>
    <row r="128" ht="33.75" customHeight="1">
      <c r="A128" s="30">
        <v>42408.0</v>
      </c>
      <c r="B128" s="25" t="s">
        <v>253</v>
      </c>
      <c r="C128" s="25" t="s">
        <v>254</v>
      </c>
      <c r="D128" s="25" t="s">
        <v>961</v>
      </c>
      <c r="E128" s="25" t="s">
        <v>428</v>
      </c>
      <c r="F128" s="41" t="s">
        <v>962</v>
      </c>
      <c r="G128" s="41" t="s">
        <v>963</v>
      </c>
      <c r="H128" s="41" t="s">
        <v>964</v>
      </c>
      <c r="I128" s="22" t="s">
        <v>965</v>
      </c>
      <c r="J128" s="21" t="s">
        <v>967</v>
      </c>
      <c r="K128" s="21" t="s">
        <v>970</v>
      </c>
      <c r="L128" s="21">
        <v>2.0</v>
      </c>
      <c r="M128" s="22">
        <v>27.04607</v>
      </c>
      <c r="N128" s="22">
        <v>82.27134</v>
      </c>
      <c r="O128" s="21" t="s">
        <v>989</v>
      </c>
      <c r="P128" s="43"/>
    </row>
    <row r="129" ht="33.75" customHeight="1">
      <c r="A129" s="30">
        <v>42408.0</v>
      </c>
      <c r="B129" s="25" t="s">
        <v>253</v>
      </c>
      <c r="C129" s="25" t="s">
        <v>254</v>
      </c>
      <c r="D129" s="25" t="s">
        <v>961</v>
      </c>
      <c r="E129" s="25" t="s">
        <v>428</v>
      </c>
      <c r="F129" s="41" t="s">
        <v>962</v>
      </c>
      <c r="G129" s="41" t="s">
        <v>963</v>
      </c>
      <c r="H129" s="41" t="s">
        <v>964</v>
      </c>
      <c r="I129" s="22" t="s">
        <v>965</v>
      </c>
      <c r="J129" s="21" t="s">
        <v>967</v>
      </c>
      <c r="K129" s="21" t="s">
        <v>970</v>
      </c>
      <c r="L129" s="21">
        <v>2.0</v>
      </c>
      <c r="M129" s="22"/>
      <c r="N129" s="22"/>
      <c r="O129" s="21" t="s">
        <v>990</v>
      </c>
      <c r="P129" s="43"/>
    </row>
    <row r="130" ht="33.75" customHeight="1">
      <c r="A130" s="30">
        <v>42408.0</v>
      </c>
      <c r="B130" s="25" t="s">
        <v>253</v>
      </c>
      <c r="C130" s="25" t="s">
        <v>254</v>
      </c>
      <c r="D130" s="25" t="s">
        <v>961</v>
      </c>
      <c r="E130" s="25" t="s">
        <v>428</v>
      </c>
      <c r="F130" s="41" t="s">
        <v>962</v>
      </c>
      <c r="G130" s="41" t="s">
        <v>963</v>
      </c>
      <c r="H130" s="41" t="s">
        <v>964</v>
      </c>
      <c r="I130" s="22" t="s">
        <v>965</v>
      </c>
      <c r="J130" s="21" t="s">
        <v>967</v>
      </c>
      <c r="K130" s="21" t="s">
        <v>970</v>
      </c>
      <c r="L130" s="21">
        <v>2.0</v>
      </c>
      <c r="M130" s="22"/>
      <c r="N130" s="22"/>
      <c r="O130" s="21" t="s">
        <v>993</v>
      </c>
      <c r="P130" s="43"/>
    </row>
    <row r="131" ht="33.75" customHeight="1">
      <c r="A131" s="29">
        <v>42408.0</v>
      </c>
      <c r="B131" s="25" t="s">
        <v>253</v>
      </c>
      <c r="C131" s="25" t="s">
        <v>254</v>
      </c>
      <c r="D131" s="25" t="s">
        <v>961</v>
      </c>
      <c r="E131" s="25" t="s">
        <v>428</v>
      </c>
      <c r="F131" s="25" t="s">
        <v>962</v>
      </c>
      <c r="G131" s="25" t="s">
        <v>963</v>
      </c>
      <c r="H131" s="25" t="s">
        <v>964</v>
      </c>
      <c r="I131" s="41" t="s">
        <v>965</v>
      </c>
      <c r="J131" s="25" t="s">
        <v>967</v>
      </c>
      <c r="K131" s="21" t="s">
        <v>970</v>
      </c>
      <c r="L131" s="21">
        <v>3.0</v>
      </c>
      <c r="M131" s="22">
        <v>27.04871</v>
      </c>
      <c r="N131" s="22">
        <v>82.27249</v>
      </c>
      <c r="O131" s="21" t="s">
        <v>994</v>
      </c>
      <c r="P131" s="43"/>
    </row>
    <row r="132" ht="33.75" customHeight="1">
      <c r="A132" s="20">
        <v>42408.0</v>
      </c>
      <c r="B132" s="25" t="s">
        <v>253</v>
      </c>
      <c r="C132" s="25" t="s">
        <v>254</v>
      </c>
      <c r="D132" s="21" t="s">
        <v>961</v>
      </c>
      <c r="E132" s="21" t="s">
        <v>428</v>
      </c>
      <c r="F132" s="21" t="s">
        <v>962</v>
      </c>
      <c r="G132" s="21" t="s">
        <v>963</v>
      </c>
      <c r="H132" s="21" t="s">
        <v>964</v>
      </c>
      <c r="I132" s="22" t="s">
        <v>965</v>
      </c>
      <c r="J132" s="21" t="s">
        <v>967</v>
      </c>
      <c r="K132" s="21" t="s">
        <v>970</v>
      </c>
      <c r="L132" s="21">
        <v>3.0</v>
      </c>
      <c r="M132" s="22"/>
      <c r="N132" s="22"/>
      <c r="O132" s="21" t="s">
        <v>998</v>
      </c>
      <c r="P132" s="43"/>
    </row>
    <row r="133" ht="33.75" customHeight="1">
      <c r="A133" s="20">
        <v>42408.0</v>
      </c>
      <c r="B133" s="25" t="s">
        <v>253</v>
      </c>
      <c r="C133" s="25" t="s">
        <v>254</v>
      </c>
      <c r="D133" s="21" t="s">
        <v>961</v>
      </c>
      <c r="E133" s="21" t="s">
        <v>428</v>
      </c>
      <c r="F133" s="21" t="s">
        <v>962</v>
      </c>
      <c r="G133" s="21" t="s">
        <v>963</v>
      </c>
      <c r="H133" s="21" t="s">
        <v>964</v>
      </c>
      <c r="I133" s="22" t="s">
        <v>965</v>
      </c>
      <c r="J133" s="21" t="s">
        <v>967</v>
      </c>
      <c r="K133" s="21" t="s">
        <v>970</v>
      </c>
      <c r="L133" s="21">
        <v>3.0</v>
      </c>
      <c r="M133" s="22"/>
      <c r="N133" s="22"/>
      <c r="O133" s="21" t="s">
        <v>1002</v>
      </c>
      <c r="P133" s="43"/>
    </row>
    <row r="134" ht="33.75" customHeight="1">
      <c r="A134" s="20">
        <v>42408.0</v>
      </c>
      <c r="B134" s="25" t="s">
        <v>253</v>
      </c>
      <c r="C134" s="25" t="s">
        <v>254</v>
      </c>
      <c r="D134" s="21" t="s">
        <v>961</v>
      </c>
      <c r="E134" s="21" t="s">
        <v>428</v>
      </c>
      <c r="F134" s="21" t="s">
        <v>962</v>
      </c>
      <c r="G134" s="21" t="s">
        <v>963</v>
      </c>
      <c r="H134" s="21" t="s">
        <v>964</v>
      </c>
      <c r="I134" s="22" t="s">
        <v>965</v>
      </c>
      <c r="J134" s="21" t="s">
        <v>967</v>
      </c>
      <c r="K134" s="21" t="s">
        <v>970</v>
      </c>
      <c r="L134" s="21">
        <v>3.0</v>
      </c>
      <c r="M134" s="22"/>
      <c r="N134" s="22"/>
      <c r="O134" s="21" t="s">
        <v>1007</v>
      </c>
      <c r="P134" s="43"/>
    </row>
    <row r="135" ht="33.75" customHeight="1">
      <c r="A135" s="29">
        <v>42408.0</v>
      </c>
      <c r="B135" s="25" t="s">
        <v>253</v>
      </c>
      <c r="C135" s="25" t="s">
        <v>254</v>
      </c>
      <c r="D135" s="25" t="s">
        <v>961</v>
      </c>
      <c r="E135" s="25" t="s">
        <v>428</v>
      </c>
      <c r="F135" s="25" t="s">
        <v>962</v>
      </c>
      <c r="G135" s="25" t="s">
        <v>963</v>
      </c>
      <c r="H135" s="25" t="s">
        <v>964</v>
      </c>
      <c r="I135" s="41" t="s">
        <v>965</v>
      </c>
      <c r="J135" s="25" t="s">
        <v>967</v>
      </c>
      <c r="K135" s="25" t="s">
        <v>970</v>
      </c>
      <c r="L135" s="21">
        <v>3.0</v>
      </c>
      <c r="M135" s="22"/>
      <c r="N135" s="22"/>
      <c r="O135" s="21" t="s">
        <v>1012</v>
      </c>
    </row>
    <row r="136" ht="33.75" customHeight="1">
      <c r="A136" s="20">
        <v>42408.0</v>
      </c>
      <c r="B136" s="21" t="s">
        <v>253</v>
      </c>
      <c r="C136" s="21" t="s">
        <v>254</v>
      </c>
      <c r="D136" s="21" t="s">
        <v>961</v>
      </c>
      <c r="E136" s="21" t="s">
        <v>428</v>
      </c>
      <c r="F136" s="21" t="s">
        <v>962</v>
      </c>
      <c r="G136" s="21" t="s">
        <v>963</v>
      </c>
      <c r="H136" s="21" t="s">
        <v>964</v>
      </c>
      <c r="I136" s="22" t="s">
        <v>965</v>
      </c>
      <c r="J136" s="21" t="s">
        <v>967</v>
      </c>
      <c r="K136" s="21" t="s">
        <v>970</v>
      </c>
      <c r="L136" s="21">
        <v>3.0</v>
      </c>
      <c r="M136" s="43"/>
      <c r="N136" s="43"/>
      <c r="O136" s="21" t="s">
        <v>1016</v>
      </c>
    </row>
    <row r="137" ht="33.75" customHeight="1">
      <c r="A137" s="20">
        <v>42408.0</v>
      </c>
      <c r="B137" s="21" t="s">
        <v>253</v>
      </c>
      <c r="C137" s="21" t="s">
        <v>254</v>
      </c>
      <c r="D137" s="21" t="s">
        <v>961</v>
      </c>
      <c r="E137" s="21" t="s">
        <v>428</v>
      </c>
      <c r="F137" s="21" t="s">
        <v>962</v>
      </c>
      <c r="G137" s="21" t="s">
        <v>963</v>
      </c>
      <c r="H137" s="21" t="s">
        <v>964</v>
      </c>
      <c r="I137" s="22" t="s">
        <v>965</v>
      </c>
      <c r="J137" s="21" t="s">
        <v>967</v>
      </c>
      <c r="K137" s="21" t="s">
        <v>970</v>
      </c>
      <c r="L137" s="21">
        <v>4.0</v>
      </c>
      <c r="M137" s="21">
        <v>27.05108</v>
      </c>
      <c r="N137" s="21">
        <v>82.27347</v>
      </c>
      <c r="O137" s="21" t="s">
        <v>1021</v>
      </c>
      <c r="P137" s="54"/>
    </row>
    <row r="138" ht="33.75" customHeight="1">
      <c r="A138" s="20">
        <v>42408.0</v>
      </c>
      <c r="B138" s="21" t="s">
        <v>253</v>
      </c>
      <c r="C138" s="21" t="s">
        <v>254</v>
      </c>
      <c r="D138" s="21" t="s">
        <v>961</v>
      </c>
      <c r="E138" s="21" t="s">
        <v>428</v>
      </c>
      <c r="F138" s="21" t="s">
        <v>962</v>
      </c>
      <c r="G138" s="21" t="s">
        <v>963</v>
      </c>
      <c r="H138" s="21" t="s">
        <v>964</v>
      </c>
      <c r="I138" s="22" t="s">
        <v>965</v>
      </c>
      <c r="J138" s="21" t="s">
        <v>967</v>
      </c>
      <c r="K138" s="21" t="s">
        <v>970</v>
      </c>
      <c r="L138" s="21">
        <v>4.0</v>
      </c>
      <c r="M138" s="43"/>
      <c r="N138" s="43"/>
      <c r="O138" s="21" t="s">
        <v>1028</v>
      </c>
      <c r="P138" s="54"/>
    </row>
    <row r="139" ht="33.75" customHeight="1">
      <c r="A139" s="20">
        <v>42408.0</v>
      </c>
      <c r="B139" s="21" t="s">
        <v>253</v>
      </c>
      <c r="C139" s="21" t="s">
        <v>254</v>
      </c>
      <c r="D139" s="21" t="s">
        <v>961</v>
      </c>
      <c r="E139" s="21" t="s">
        <v>428</v>
      </c>
      <c r="F139" s="21" t="s">
        <v>962</v>
      </c>
      <c r="G139" s="21" t="s">
        <v>963</v>
      </c>
      <c r="H139" s="21" t="s">
        <v>964</v>
      </c>
      <c r="I139" s="22" t="s">
        <v>965</v>
      </c>
      <c r="J139" s="21" t="s">
        <v>967</v>
      </c>
      <c r="K139" s="21" t="s">
        <v>970</v>
      </c>
      <c r="L139" s="21">
        <v>4.0</v>
      </c>
      <c r="M139" s="43"/>
      <c r="N139" s="43"/>
      <c r="O139" s="21" t="s">
        <v>1031</v>
      </c>
      <c r="P139" s="54"/>
    </row>
    <row r="140" ht="33.75" customHeight="1">
      <c r="A140" s="20">
        <v>42408.0</v>
      </c>
      <c r="B140" s="21" t="s">
        <v>253</v>
      </c>
      <c r="C140" s="21" t="s">
        <v>254</v>
      </c>
      <c r="D140" s="21" t="s">
        <v>961</v>
      </c>
      <c r="E140" s="21" t="s">
        <v>428</v>
      </c>
      <c r="F140" s="21" t="s">
        <v>962</v>
      </c>
      <c r="G140" s="21" t="s">
        <v>963</v>
      </c>
      <c r="H140" s="21" t="s">
        <v>964</v>
      </c>
      <c r="I140" s="22" t="s">
        <v>965</v>
      </c>
      <c r="J140" s="21" t="s">
        <v>967</v>
      </c>
      <c r="K140" s="21" t="s">
        <v>970</v>
      </c>
      <c r="L140" s="21">
        <v>4.0</v>
      </c>
      <c r="M140" s="43"/>
      <c r="N140" s="43"/>
      <c r="O140" s="21" t="s">
        <v>1036</v>
      </c>
      <c r="P140" s="54"/>
    </row>
    <row r="141" ht="33.75" customHeight="1">
      <c r="A141" s="20">
        <v>42408.0</v>
      </c>
      <c r="B141" s="21" t="s">
        <v>253</v>
      </c>
      <c r="C141" s="21" t="s">
        <v>254</v>
      </c>
      <c r="D141" s="21" t="s">
        <v>961</v>
      </c>
      <c r="E141" s="21" t="s">
        <v>428</v>
      </c>
      <c r="F141" s="21" t="s">
        <v>962</v>
      </c>
      <c r="G141" s="21" t="s">
        <v>963</v>
      </c>
      <c r="H141" s="21" t="s">
        <v>964</v>
      </c>
      <c r="I141" s="22" t="s">
        <v>965</v>
      </c>
      <c r="J141" s="21" t="s">
        <v>967</v>
      </c>
      <c r="K141" s="21" t="s">
        <v>970</v>
      </c>
      <c r="L141" s="21">
        <v>4.0</v>
      </c>
      <c r="M141" s="43"/>
      <c r="N141" s="43"/>
      <c r="O141" s="21" t="s">
        <v>1039</v>
      </c>
      <c r="P141" s="54"/>
    </row>
    <row r="142" ht="33.75" customHeight="1">
      <c r="A142" s="29">
        <v>42408.0</v>
      </c>
      <c r="B142" s="25" t="s">
        <v>253</v>
      </c>
      <c r="C142" s="25" t="s">
        <v>254</v>
      </c>
      <c r="D142" s="25" t="s">
        <v>961</v>
      </c>
      <c r="E142" s="25" t="s">
        <v>428</v>
      </c>
      <c r="F142" s="25" t="s">
        <v>962</v>
      </c>
      <c r="G142" s="25" t="s">
        <v>963</v>
      </c>
      <c r="H142" s="21" t="s">
        <v>964</v>
      </c>
      <c r="I142" s="21" t="s">
        <v>965</v>
      </c>
      <c r="J142" s="21" t="s">
        <v>967</v>
      </c>
      <c r="K142" s="21" t="s">
        <v>970</v>
      </c>
      <c r="L142" s="21">
        <v>4.0</v>
      </c>
      <c r="M142" s="43"/>
      <c r="N142" s="43"/>
      <c r="O142" s="21" t="s">
        <v>1045</v>
      </c>
      <c r="P142" s="54"/>
    </row>
    <row r="143" ht="33.75" customHeight="1">
      <c r="A143" s="20">
        <v>42408.0</v>
      </c>
      <c r="B143" s="21" t="s">
        <v>253</v>
      </c>
      <c r="C143" s="25" t="s">
        <v>254</v>
      </c>
      <c r="D143" s="21" t="s">
        <v>961</v>
      </c>
      <c r="E143" s="21" t="s">
        <v>428</v>
      </c>
      <c r="F143" s="21" t="s">
        <v>962</v>
      </c>
      <c r="G143" s="21" t="s">
        <v>963</v>
      </c>
      <c r="H143" s="21" t="s">
        <v>964</v>
      </c>
      <c r="I143" s="21" t="s">
        <v>965</v>
      </c>
      <c r="J143" s="21" t="s">
        <v>967</v>
      </c>
      <c r="K143" s="21" t="s">
        <v>970</v>
      </c>
      <c r="L143" s="21">
        <v>5.0</v>
      </c>
      <c r="M143" s="21">
        <v>27.05906</v>
      </c>
      <c r="N143" s="21">
        <v>82.27616</v>
      </c>
      <c r="O143" s="21" t="s">
        <v>1048</v>
      </c>
    </row>
    <row r="144" ht="33.75" customHeight="1">
      <c r="A144" s="20">
        <v>42408.0</v>
      </c>
      <c r="B144" s="21" t="s">
        <v>253</v>
      </c>
      <c r="C144" s="25" t="s">
        <v>254</v>
      </c>
      <c r="D144" s="21" t="s">
        <v>961</v>
      </c>
      <c r="E144" s="21" t="s">
        <v>428</v>
      </c>
      <c r="F144" s="21" t="s">
        <v>962</v>
      </c>
      <c r="G144" s="21" t="s">
        <v>963</v>
      </c>
      <c r="H144" s="21" t="s">
        <v>964</v>
      </c>
      <c r="I144" s="21" t="s">
        <v>965</v>
      </c>
      <c r="J144" s="21" t="s">
        <v>967</v>
      </c>
      <c r="K144" s="21" t="s">
        <v>970</v>
      </c>
      <c r="L144" s="21">
        <v>5.0</v>
      </c>
      <c r="M144" s="21"/>
      <c r="N144" s="21"/>
      <c r="O144" s="21" t="s">
        <v>1053</v>
      </c>
    </row>
    <row r="145" ht="33.75" customHeight="1">
      <c r="A145" s="29">
        <v>42408.0</v>
      </c>
      <c r="B145" s="25" t="s">
        <v>253</v>
      </c>
      <c r="C145" s="25" t="s">
        <v>254</v>
      </c>
      <c r="D145" s="25" t="s">
        <v>961</v>
      </c>
      <c r="E145" s="25" t="s">
        <v>428</v>
      </c>
      <c r="F145" s="25" t="s">
        <v>962</v>
      </c>
      <c r="G145" s="25" t="s">
        <v>963</v>
      </c>
      <c r="H145" s="21" t="s">
        <v>964</v>
      </c>
      <c r="I145" s="21" t="s">
        <v>965</v>
      </c>
      <c r="J145" s="21" t="s">
        <v>967</v>
      </c>
      <c r="K145" s="21" t="s">
        <v>970</v>
      </c>
      <c r="L145" s="21">
        <v>5.0</v>
      </c>
      <c r="O145" s="21" t="s">
        <v>1056</v>
      </c>
      <c r="P145" s="54"/>
    </row>
    <row r="146" ht="33.75" customHeight="1">
      <c r="A146" s="29">
        <v>42408.0</v>
      </c>
      <c r="B146" s="25" t="s">
        <v>253</v>
      </c>
      <c r="C146" s="25" t="s">
        <v>254</v>
      </c>
      <c r="D146" s="25" t="s">
        <v>961</v>
      </c>
      <c r="E146" s="25" t="s">
        <v>428</v>
      </c>
      <c r="F146" s="25" t="s">
        <v>962</v>
      </c>
      <c r="G146" s="25" t="s">
        <v>963</v>
      </c>
      <c r="H146" s="21" t="s">
        <v>964</v>
      </c>
      <c r="I146" s="21" t="s">
        <v>965</v>
      </c>
      <c r="J146" s="21" t="s">
        <v>967</v>
      </c>
      <c r="K146" s="21" t="s">
        <v>970</v>
      </c>
      <c r="L146" s="21">
        <v>5.0</v>
      </c>
      <c r="O146" s="21" t="s">
        <v>1059</v>
      </c>
      <c r="P146" s="54"/>
    </row>
    <row r="147" ht="33.75" customHeight="1">
      <c r="A147" s="29">
        <v>42408.0</v>
      </c>
      <c r="B147" s="25" t="s">
        <v>253</v>
      </c>
      <c r="C147" s="25" t="s">
        <v>254</v>
      </c>
      <c r="D147" s="25" t="s">
        <v>961</v>
      </c>
      <c r="E147" s="25" t="s">
        <v>428</v>
      </c>
      <c r="F147" s="25" t="s">
        <v>962</v>
      </c>
      <c r="G147" s="25" t="s">
        <v>963</v>
      </c>
      <c r="H147" s="21" t="s">
        <v>964</v>
      </c>
      <c r="I147" s="21" t="s">
        <v>965</v>
      </c>
      <c r="J147" s="21" t="s">
        <v>967</v>
      </c>
      <c r="K147" s="21" t="s">
        <v>970</v>
      </c>
      <c r="L147" s="21">
        <v>5.0</v>
      </c>
      <c r="O147" s="21" t="s">
        <v>1067</v>
      </c>
      <c r="P147" s="54"/>
    </row>
    <row r="148" ht="33.75" customHeight="1">
      <c r="A148" s="29">
        <v>42408.0</v>
      </c>
      <c r="B148" s="25" t="s">
        <v>253</v>
      </c>
      <c r="C148" s="25" t="s">
        <v>254</v>
      </c>
      <c r="D148" s="25" t="s">
        <v>961</v>
      </c>
      <c r="E148" s="25" t="s">
        <v>428</v>
      </c>
      <c r="F148" s="25" t="s">
        <v>962</v>
      </c>
      <c r="G148" s="25" t="s">
        <v>963</v>
      </c>
      <c r="H148" s="21" t="s">
        <v>964</v>
      </c>
      <c r="I148" s="21" t="s">
        <v>965</v>
      </c>
      <c r="J148" s="21" t="s">
        <v>967</v>
      </c>
      <c r="K148" s="21" t="s">
        <v>970</v>
      </c>
      <c r="L148" s="21">
        <v>6.0</v>
      </c>
      <c r="M148" s="21">
        <v>27.05962</v>
      </c>
      <c r="N148" s="21">
        <v>82.27632</v>
      </c>
      <c r="O148" s="21" t="s">
        <v>1073</v>
      </c>
      <c r="P148" s="54"/>
    </row>
    <row r="149" ht="33.75" customHeight="1">
      <c r="A149" s="29">
        <v>42408.0</v>
      </c>
      <c r="B149" s="25" t="s">
        <v>253</v>
      </c>
      <c r="C149" s="25" t="s">
        <v>254</v>
      </c>
      <c r="D149" s="25" t="s">
        <v>961</v>
      </c>
      <c r="E149" s="25" t="s">
        <v>428</v>
      </c>
      <c r="F149" s="25" t="s">
        <v>962</v>
      </c>
      <c r="G149" s="25" t="s">
        <v>963</v>
      </c>
      <c r="H149" s="21" t="s">
        <v>964</v>
      </c>
      <c r="I149" s="21" t="s">
        <v>965</v>
      </c>
      <c r="J149" s="21" t="s">
        <v>967</v>
      </c>
      <c r="K149" s="21" t="s">
        <v>970</v>
      </c>
      <c r="L149" s="21">
        <v>6.0</v>
      </c>
      <c r="O149" s="21" t="s">
        <v>1078</v>
      </c>
      <c r="P149" s="54"/>
    </row>
    <row r="150" ht="33.75" customHeight="1">
      <c r="A150" s="29">
        <v>42408.0</v>
      </c>
      <c r="B150" s="25" t="s">
        <v>253</v>
      </c>
      <c r="C150" s="25" t="s">
        <v>254</v>
      </c>
      <c r="D150" s="25" t="s">
        <v>961</v>
      </c>
      <c r="E150" s="25" t="s">
        <v>428</v>
      </c>
      <c r="F150" s="25" t="s">
        <v>962</v>
      </c>
      <c r="G150" s="25" t="s">
        <v>963</v>
      </c>
      <c r="H150" s="21" t="s">
        <v>964</v>
      </c>
      <c r="I150" s="21" t="s">
        <v>965</v>
      </c>
      <c r="J150" s="21" t="s">
        <v>967</v>
      </c>
      <c r="K150" s="21" t="s">
        <v>970</v>
      </c>
      <c r="L150" s="21">
        <v>6.0</v>
      </c>
      <c r="O150" s="21" t="s">
        <v>1080</v>
      </c>
      <c r="P150" s="54"/>
    </row>
    <row r="151" ht="33.75" customHeight="1">
      <c r="A151" s="29">
        <v>42408.0</v>
      </c>
      <c r="B151" s="25" t="s">
        <v>253</v>
      </c>
      <c r="C151" s="25" t="s">
        <v>254</v>
      </c>
      <c r="D151" s="25" t="s">
        <v>961</v>
      </c>
      <c r="E151" s="25" t="s">
        <v>428</v>
      </c>
      <c r="F151" s="25" t="s">
        <v>962</v>
      </c>
      <c r="G151" s="25" t="s">
        <v>963</v>
      </c>
      <c r="H151" s="21" t="s">
        <v>964</v>
      </c>
      <c r="I151" s="21" t="s">
        <v>965</v>
      </c>
      <c r="J151" s="21" t="s">
        <v>967</v>
      </c>
      <c r="K151" s="21" t="s">
        <v>970</v>
      </c>
      <c r="L151" s="21">
        <v>6.0</v>
      </c>
      <c r="O151" s="21" t="s">
        <v>1028</v>
      </c>
      <c r="P151" s="54"/>
    </row>
    <row r="152" ht="33.75" customHeight="1">
      <c r="A152" s="29">
        <v>42408.0</v>
      </c>
      <c r="B152" s="25" t="s">
        <v>253</v>
      </c>
      <c r="C152" s="25" t="s">
        <v>254</v>
      </c>
      <c r="D152" s="25" t="s">
        <v>961</v>
      </c>
      <c r="E152" s="25" t="s">
        <v>428</v>
      </c>
      <c r="F152" s="25" t="s">
        <v>962</v>
      </c>
      <c r="G152" s="25" t="s">
        <v>963</v>
      </c>
      <c r="H152" s="21" t="s">
        <v>964</v>
      </c>
      <c r="I152" s="21" t="s">
        <v>965</v>
      </c>
      <c r="J152" s="21" t="s">
        <v>967</v>
      </c>
      <c r="K152" s="21" t="s">
        <v>970</v>
      </c>
      <c r="L152" s="21">
        <v>7.0</v>
      </c>
      <c r="M152" s="21">
        <v>27.06004</v>
      </c>
      <c r="N152" s="21">
        <v>82.27643</v>
      </c>
      <c r="O152" s="21" t="s">
        <v>1092</v>
      </c>
      <c r="P152" s="54"/>
    </row>
    <row r="153" ht="33.75" customHeight="1">
      <c r="A153" s="29">
        <v>42408.0</v>
      </c>
      <c r="B153" s="25" t="s">
        <v>253</v>
      </c>
      <c r="C153" s="25" t="s">
        <v>254</v>
      </c>
      <c r="D153" s="25" t="s">
        <v>961</v>
      </c>
      <c r="E153" s="25" t="s">
        <v>428</v>
      </c>
      <c r="F153" s="25" t="s">
        <v>962</v>
      </c>
      <c r="G153" s="25" t="s">
        <v>963</v>
      </c>
      <c r="H153" s="21" t="s">
        <v>964</v>
      </c>
      <c r="I153" s="21" t="s">
        <v>965</v>
      </c>
      <c r="J153" s="21" t="s">
        <v>967</v>
      </c>
      <c r="K153" s="21" t="s">
        <v>970</v>
      </c>
      <c r="L153" s="21">
        <v>7.0</v>
      </c>
      <c r="O153" s="21" t="s">
        <v>1101</v>
      </c>
      <c r="P153" s="54"/>
    </row>
    <row r="154" ht="33.75" customHeight="1">
      <c r="A154" s="29">
        <v>42408.0</v>
      </c>
      <c r="B154" s="25" t="s">
        <v>253</v>
      </c>
      <c r="C154" s="25" t="s">
        <v>254</v>
      </c>
      <c r="D154" s="25" t="s">
        <v>961</v>
      </c>
      <c r="E154" s="25" t="s">
        <v>428</v>
      </c>
      <c r="F154" s="25" t="s">
        <v>962</v>
      </c>
      <c r="G154" s="25" t="s">
        <v>963</v>
      </c>
      <c r="H154" s="21" t="s">
        <v>964</v>
      </c>
      <c r="I154" s="21" t="s">
        <v>965</v>
      </c>
      <c r="J154" s="21" t="s">
        <v>967</v>
      </c>
      <c r="K154" s="21" t="s">
        <v>970</v>
      </c>
      <c r="L154" s="21">
        <v>7.0</v>
      </c>
      <c r="O154" s="21" t="s">
        <v>1105</v>
      </c>
      <c r="P154" s="54"/>
    </row>
    <row r="155" ht="33.75" customHeight="1">
      <c r="A155" s="29">
        <v>42408.0</v>
      </c>
      <c r="B155" s="25" t="s">
        <v>253</v>
      </c>
      <c r="C155" s="25" t="s">
        <v>254</v>
      </c>
      <c r="D155" s="25" t="s">
        <v>961</v>
      </c>
      <c r="E155" s="25" t="s">
        <v>428</v>
      </c>
      <c r="F155" s="25" t="s">
        <v>962</v>
      </c>
      <c r="G155" s="25" t="s">
        <v>963</v>
      </c>
      <c r="H155" s="21" t="s">
        <v>964</v>
      </c>
      <c r="I155" s="21" t="s">
        <v>965</v>
      </c>
      <c r="J155" s="21" t="s">
        <v>967</v>
      </c>
      <c r="K155" s="21" t="s">
        <v>970</v>
      </c>
      <c r="L155" s="21">
        <v>7.0</v>
      </c>
      <c r="O155" s="21" t="s">
        <v>1107</v>
      </c>
      <c r="P155" s="54"/>
    </row>
    <row r="156" ht="33.75" customHeight="1">
      <c r="A156" s="29">
        <v>42408.0</v>
      </c>
      <c r="B156" s="25" t="s">
        <v>253</v>
      </c>
      <c r="C156" s="25" t="s">
        <v>254</v>
      </c>
      <c r="D156" s="25" t="s">
        <v>961</v>
      </c>
      <c r="E156" s="25" t="s">
        <v>428</v>
      </c>
      <c r="F156" s="25" t="s">
        <v>962</v>
      </c>
      <c r="G156" s="25" t="s">
        <v>963</v>
      </c>
      <c r="H156" s="21" t="s">
        <v>964</v>
      </c>
      <c r="I156" s="21" t="s">
        <v>965</v>
      </c>
      <c r="J156" s="21" t="s">
        <v>967</v>
      </c>
      <c r="K156" s="21" t="s">
        <v>970</v>
      </c>
      <c r="L156" s="21">
        <v>7.0</v>
      </c>
      <c r="O156" s="21" t="s">
        <v>1113</v>
      </c>
      <c r="P156" s="54"/>
    </row>
    <row r="157" ht="33.75" customHeight="1">
      <c r="A157" s="29">
        <v>42408.0</v>
      </c>
      <c r="B157" s="25" t="s">
        <v>253</v>
      </c>
      <c r="C157" s="25" t="s">
        <v>254</v>
      </c>
      <c r="D157" s="25" t="s">
        <v>961</v>
      </c>
      <c r="E157" s="25" t="s">
        <v>428</v>
      </c>
      <c r="F157" s="25" t="s">
        <v>962</v>
      </c>
      <c r="G157" s="25" t="s">
        <v>963</v>
      </c>
      <c r="H157" s="21" t="s">
        <v>964</v>
      </c>
      <c r="I157" s="21" t="s">
        <v>965</v>
      </c>
      <c r="J157" s="21" t="s">
        <v>967</v>
      </c>
      <c r="K157" s="21" t="s">
        <v>970</v>
      </c>
      <c r="L157" s="21">
        <v>7.0</v>
      </c>
      <c r="O157" s="21" t="s">
        <v>1126</v>
      </c>
      <c r="P157" s="54"/>
    </row>
    <row r="158" ht="33.75" customHeight="1">
      <c r="A158" s="29">
        <v>42409.0</v>
      </c>
      <c r="B158" s="25" t="s">
        <v>626</v>
      </c>
      <c r="C158" s="25" t="s">
        <v>627</v>
      </c>
      <c r="D158" s="25" t="s">
        <v>628</v>
      </c>
      <c r="E158" s="25" t="s">
        <v>629</v>
      </c>
      <c r="F158" s="25">
        <v>30.42494</v>
      </c>
      <c r="G158" s="25">
        <v>-81.40972</v>
      </c>
      <c r="H158" s="21">
        <v>30.48583</v>
      </c>
      <c r="I158" s="21">
        <v>-81.42444</v>
      </c>
      <c r="J158" s="21" t="s">
        <v>630</v>
      </c>
      <c r="K158" s="21" t="s">
        <v>632</v>
      </c>
      <c r="L158" s="21">
        <v>4.0</v>
      </c>
      <c r="M158" s="21">
        <v>30.48861</v>
      </c>
      <c r="N158" s="21">
        <v>-81.41833</v>
      </c>
      <c r="O158" s="21" t="s">
        <v>1134</v>
      </c>
      <c r="P158" s="22" t="s">
        <v>1135</v>
      </c>
    </row>
    <row r="159" ht="33.75" customHeight="1">
      <c r="A159" s="29">
        <v>42409.0</v>
      </c>
      <c r="B159" s="25" t="s">
        <v>626</v>
      </c>
      <c r="C159" s="25" t="s">
        <v>627</v>
      </c>
      <c r="D159" s="25" t="s">
        <v>628</v>
      </c>
      <c r="E159" s="25" t="s">
        <v>629</v>
      </c>
      <c r="F159" s="25">
        <v>30.42494</v>
      </c>
      <c r="G159" s="25">
        <v>-81.40972</v>
      </c>
      <c r="H159" s="21">
        <v>30.48583</v>
      </c>
      <c r="I159" s="21">
        <v>-81.42444</v>
      </c>
      <c r="J159" s="21" t="s">
        <v>630</v>
      </c>
      <c r="K159" s="21" t="s">
        <v>632</v>
      </c>
      <c r="L159" s="21">
        <v>5.0</v>
      </c>
      <c r="M159" s="21">
        <v>30.48583</v>
      </c>
      <c r="N159" s="21">
        <v>-81.42444</v>
      </c>
      <c r="O159" s="21" t="s">
        <v>1139</v>
      </c>
      <c r="P159" s="22" t="s">
        <v>1141</v>
      </c>
    </row>
    <row r="160" ht="33.75" customHeight="1">
      <c r="A160" s="29">
        <v>42409.0</v>
      </c>
      <c r="B160" s="25" t="s">
        <v>626</v>
      </c>
      <c r="C160" s="25" t="s">
        <v>627</v>
      </c>
      <c r="D160" s="25" t="s">
        <v>628</v>
      </c>
      <c r="E160" s="25" t="s">
        <v>629</v>
      </c>
      <c r="F160" s="25">
        <v>30.42494</v>
      </c>
      <c r="G160" s="25">
        <v>-81.40972</v>
      </c>
      <c r="H160" s="21">
        <v>30.48583</v>
      </c>
      <c r="I160" s="21">
        <v>-81.42444</v>
      </c>
      <c r="J160" s="21" t="s">
        <v>630</v>
      </c>
      <c r="K160" s="21" t="s">
        <v>632</v>
      </c>
      <c r="L160" s="21">
        <v>5.0</v>
      </c>
      <c r="M160" s="21">
        <v>30.48583</v>
      </c>
      <c r="N160" s="21">
        <v>-81.42444</v>
      </c>
      <c r="O160" s="21" t="s">
        <v>1143</v>
      </c>
      <c r="P160" s="22" t="s">
        <v>1141</v>
      </c>
    </row>
    <row r="161" ht="33.75" customHeight="1">
      <c r="A161" s="29">
        <v>42409.0</v>
      </c>
      <c r="B161" s="25" t="s">
        <v>626</v>
      </c>
      <c r="C161" s="25" t="s">
        <v>627</v>
      </c>
      <c r="D161" s="25" t="s">
        <v>628</v>
      </c>
      <c r="E161" s="25" t="s">
        <v>629</v>
      </c>
      <c r="F161" s="25">
        <v>30.42494</v>
      </c>
      <c r="G161" s="25">
        <v>-81.40972</v>
      </c>
      <c r="H161" s="21">
        <v>30.48583</v>
      </c>
      <c r="I161" s="21">
        <v>-81.42444</v>
      </c>
      <c r="J161" s="21" t="s">
        <v>630</v>
      </c>
      <c r="K161" s="21" t="s">
        <v>632</v>
      </c>
      <c r="L161" s="21">
        <v>5.0</v>
      </c>
      <c r="M161" s="21">
        <v>30.48583</v>
      </c>
      <c r="N161" s="21">
        <v>-81.42444</v>
      </c>
      <c r="O161" s="21" t="s">
        <v>944</v>
      </c>
      <c r="P161" s="22" t="s">
        <v>1141</v>
      </c>
    </row>
    <row r="162" ht="33.75" customHeight="1">
      <c r="A162" s="29">
        <v>42409.0</v>
      </c>
      <c r="B162" s="25" t="s">
        <v>626</v>
      </c>
      <c r="C162" s="25" t="s">
        <v>627</v>
      </c>
      <c r="D162" s="25" t="s">
        <v>628</v>
      </c>
      <c r="E162" s="25" t="s">
        <v>629</v>
      </c>
      <c r="F162" s="25">
        <v>30.42494</v>
      </c>
      <c r="G162" s="25">
        <v>-81.40972</v>
      </c>
      <c r="H162" s="21">
        <v>30.48583</v>
      </c>
      <c r="I162" s="21">
        <v>-81.42444</v>
      </c>
      <c r="J162" s="21" t="s">
        <v>630</v>
      </c>
      <c r="K162" s="21" t="s">
        <v>632</v>
      </c>
      <c r="L162" s="21">
        <v>6.0</v>
      </c>
      <c r="M162" s="21">
        <v>30.48583</v>
      </c>
      <c r="N162" s="21">
        <v>-81.42444</v>
      </c>
      <c r="O162" s="21" t="s">
        <v>897</v>
      </c>
      <c r="P162" s="22" t="s">
        <v>1141</v>
      </c>
    </row>
    <row r="163" ht="33.75" customHeight="1">
      <c r="A163" s="29">
        <v>42410.0</v>
      </c>
      <c r="B163" s="25" t="s">
        <v>1151</v>
      </c>
      <c r="C163" s="25" t="s">
        <v>1153</v>
      </c>
      <c r="D163" s="25" t="s">
        <v>1154</v>
      </c>
      <c r="E163" s="25" t="s">
        <v>1155</v>
      </c>
      <c r="F163" s="25">
        <v>28.1935</v>
      </c>
      <c r="G163" s="25">
        <v>-82.7882</v>
      </c>
      <c r="H163" s="21">
        <v>28.1935</v>
      </c>
      <c r="I163" s="21">
        <v>-82.7882</v>
      </c>
      <c r="J163" s="21" t="s">
        <v>1158</v>
      </c>
      <c r="K163" s="21" t="s">
        <v>1159</v>
      </c>
      <c r="L163" s="21">
        <v>1.0</v>
      </c>
      <c r="M163" s="21">
        <v>28.1935</v>
      </c>
      <c r="N163" s="21">
        <v>-82.7882</v>
      </c>
      <c r="O163" s="21" t="s">
        <v>1160</v>
      </c>
      <c r="P163" s="22" t="s">
        <v>1161</v>
      </c>
    </row>
    <row r="164" ht="33.75" customHeight="1">
      <c r="A164" s="29">
        <v>42410.0</v>
      </c>
      <c r="B164" s="25" t="s">
        <v>1151</v>
      </c>
      <c r="C164" s="25" t="s">
        <v>1163</v>
      </c>
      <c r="D164" s="25" t="s">
        <v>1164</v>
      </c>
      <c r="E164" s="25" t="s">
        <v>1155</v>
      </c>
      <c r="F164" s="25">
        <v>28.2154</v>
      </c>
      <c r="G164" s="25">
        <v>-82.7675</v>
      </c>
      <c r="H164" s="21">
        <v>28.2154</v>
      </c>
      <c r="I164" s="21">
        <v>-82.7675</v>
      </c>
      <c r="J164" s="21" t="s">
        <v>1165</v>
      </c>
      <c r="K164" s="21" t="s">
        <v>1159</v>
      </c>
      <c r="L164" s="21">
        <v>1.0</v>
      </c>
      <c r="M164" s="21">
        <v>28.2154</v>
      </c>
      <c r="N164" s="21">
        <v>-82.7675</v>
      </c>
      <c r="O164" s="21" t="s">
        <v>1167</v>
      </c>
      <c r="P164" s="22" t="s">
        <v>1169</v>
      </c>
    </row>
    <row r="165" ht="33.75" customHeight="1">
      <c r="A165" s="29">
        <v>42407.0</v>
      </c>
      <c r="B165" s="25" t="s">
        <v>1175</v>
      </c>
      <c r="C165" s="25" t="s">
        <v>1163</v>
      </c>
      <c r="D165" s="25" t="s">
        <v>1178</v>
      </c>
      <c r="E165" s="25" t="s">
        <v>1155</v>
      </c>
      <c r="F165" s="25">
        <v>28.2541</v>
      </c>
      <c r="G165" s="25">
        <v>-82.7595</v>
      </c>
      <c r="H165" s="21">
        <v>28.2541</v>
      </c>
      <c r="I165" s="21">
        <v>-82.7595</v>
      </c>
      <c r="J165" s="21" t="s">
        <v>1181</v>
      </c>
      <c r="K165" s="21" t="s">
        <v>1182</v>
      </c>
      <c r="L165" s="21">
        <v>1.0</v>
      </c>
      <c r="M165" s="21">
        <v>28.2541</v>
      </c>
      <c r="N165" s="21">
        <v>-82.7595</v>
      </c>
      <c r="O165" s="21" t="s">
        <v>1183</v>
      </c>
      <c r="P165" s="22" t="s">
        <v>1184</v>
      </c>
    </row>
    <row r="166" ht="33.75" customHeight="1">
      <c r="A166" s="29">
        <v>42405.0</v>
      </c>
      <c r="B166" s="25" t="s">
        <v>1185</v>
      </c>
      <c r="C166" s="25" t="s">
        <v>1163</v>
      </c>
      <c r="D166" s="25" t="s">
        <v>1187</v>
      </c>
      <c r="E166" s="25" t="s">
        <v>1155</v>
      </c>
      <c r="F166" s="25">
        <v>28.293</v>
      </c>
      <c r="G166" s="25">
        <v>-82.7358</v>
      </c>
      <c r="H166" s="21">
        <v>28.293</v>
      </c>
      <c r="I166" s="21">
        <v>-82.7358</v>
      </c>
      <c r="J166" s="21" t="s">
        <v>1188</v>
      </c>
      <c r="K166" s="21" t="s">
        <v>1190</v>
      </c>
      <c r="L166" s="21">
        <v>1.0</v>
      </c>
      <c r="M166" s="21">
        <v>28.293</v>
      </c>
      <c r="N166" s="21">
        <v>-82.7358</v>
      </c>
      <c r="O166" s="21" t="s">
        <v>1192</v>
      </c>
      <c r="P166" s="22" t="s">
        <v>1193</v>
      </c>
    </row>
    <row r="167" ht="33.75" customHeight="1">
      <c r="A167" s="29">
        <v>42405.0</v>
      </c>
      <c r="B167" s="25" t="s">
        <v>1185</v>
      </c>
      <c r="C167" s="25" t="s">
        <v>1163</v>
      </c>
      <c r="D167" s="25" t="s">
        <v>1194</v>
      </c>
      <c r="E167" s="25" t="s">
        <v>1155</v>
      </c>
      <c r="F167" s="25">
        <v>28.4066</v>
      </c>
      <c r="G167" s="25">
        <v>-82.6713</v>
      </c>
      <c r="H167" s="21">
        <v>28.4066</v>
      </c>
      <c r="I167" s="21">
        <v>-82.6713</v>
      </c>
      <c r="J167" s="21" t="s">
        <v>1195</v>
      </c>
      <c r="K167" s="21" t="s">
        <v>1196</v>
      </c>
      <c r="L167" s="21">
        <v>1.0</v>
      </c>
      <c r="M167" s="21">
        <v>28.4066</v>
      </c>
      <c r="N167" s="21">
        <v>-82.6713</v>
      </c>
      <c r="O167" s="21" t="s">
        <v>1198</v>
      </c>
      <c r="P167" s="22" t="s">
        <v>1201</v>
      </c>
    </row>
    <row r="168" ht="33.75" customHeight="1">
      <c r="A168" s="29">
        <v>42408.0</v>
      </c>
      <c r="B168" s="25" t="s">
        <v>1185</v>
      </c>
      <c r="C168" s="25" t="s">
        <v>1163</v>
      </c>
      <c r="D168" s="25" t="s">
        <v>1203</v>
      </c>
      <c r="E168" s="25" t="s">
        <v>1155</v>
      </c>
      <c r="F168" s="25">
        <v>28.3526</v>
      </c>
      <c r="G168" s="25">
        <v>-82.713</v>
      </c>
      <c r="H168" s="21">
        <v>28.3526</v>
      </c>
      <c r="I168" s="21">
        <v>-82.713</v>
      </c>
      <c r="J168" s="21" t="s">
        <v>1204</v>
      </c>
      <c r="K168" s="21" t="s">
        <v>1205</v>
      </c>
      <c r="L168" s="21">
        <v>1.0</v>
      </c>
      <c r="M168" s="21">
        <v>28.3526</v>
      </c>
      <c r="N168" s="21">
        <v>-82.713</v>
      </c>
      <c r="O168" s="21" t="s">
        <v>1206</v>
      </c>
      <c r="P168" s="22" t="s">
        <v>1184</v>
      </c>
    </row>
    <row r="169" ht="33.75" customHeight="1">
      <c r="A169" s="29">
        <v>42410.0</v>
      </c>
      <c r="B169" s="25" t="s">
        <v>1208</v>
      </c>
      <c r="C169" s="25" t="s">
        <v>1209</v>
      </c>
      <c r="D169" s="25" t="s">
        <v>1211</v>
      </c>
      <c r="E169" s="25" t="s">
        <v>629</v>
      </c>
      <c r="F169" s="25">
        <v>30.4227778</v>
      </c>
      <c r="G169" s="25">
        <v>-81.415</v>
      </c>
      <c r="H169" s="25">
        <v>30.4227778</v>
      </c>
      <c r="I169" s="25">
        <v>-81.415</v>
      </c>
      <c r="J169" s="21" t="s">
        <v>1212</v>
      </c>
      <c r="K169" s="21" t="s">
        <v>1213</v>
      </c>
      <c r="L169" s="21">
        <v>1.0</v>
      </c>
      <c r="M169" s="25">
        <v>30.4227778</v>
      </c>
      <c r="N169" s="25">
        <v>-81.415</v>
      </c>
      <c r="O169" s="21" t="s">
        <v>1214</v>
      </c>
      <c r="P169" s="54"/>
    </row>
    <row r="170" ht="33.75" customHeight="1">
      <c r="A170" s="29">
        <v>42408.0</v>
      </c>
      <c r="B170" s="25" t="s">
        <v>245</v>
      </c>
      <c r="C170" s="25" t="s">
        <v>246</v>
      </c>
      <c r="D170" s="25" t="s">
        <v>247</v>
      </c>
      <c r="E170" s="25" t="s">
        <v>113</v>
      </c>
      <c r="F170" s="25">
        <v>27.96245</v>
      </c>
      <c r="G170" s="25">
        <v>-82.830992</v>
      </c>
      <c r="H170" s="21">
        <v>27.936962</v>
      </c>
      <c r="I170" s="21">
        <v>-82.84068</v>
      </c>
      <c r="J170" s="21" t="s">
        <v>1222</v>
      </c>
      <c r="K170" s="21" t="s">
        <v>1223</v>
      </c>
      <c r="L170" s="21">
        <v>1.0</v>
      </c>
      <c r="M170" s="21">
        <v>27.96163</v>
      </c>
      <c r="N170" s="21">
        <v>-82.83164</v>
      </c>
      <c r="O170" s="21" t="s">
        <v>1224</v>
      </c>
      <c r="P170" s="22" t="s">
        <v>1225</v>
      </c>
    </row>
    <row r="171" ht="33.75" customHeight="1">
      <c r="A171" s="29">
        <v>42408.0</v>
      </c>
      <c r="B171" s="25" t="s">
        <v>245</v>
      </c>
      <c r="C171" s="25" t="s">
        <v>246</v>
      </c>
      <c r="D171" s="25" t="s">
        <v>247</v>
      </c>
      <c r="E171" s="25" t="s">
        <v>113</v>
      </c>
      <c r="F171" s="25">
        <v>27.96245</v>
      </c>
      <c r="G171" s="25">
        <v>-82.830992</v>
      </c>
      <c r="H171" s="21">
        <v>27.936962</v>
      </c>
      <c r="I171" s="21">
        <v>-82.84068</v>
      </c>
      <c r="J171" s="21" t="s">
        <v>1222</v>
      </c>
      <c r="K171" s="21" t="s">
        <v>1223</v>
      </c>
      <c r="L171" s="21">
        <v>2.0</v>
      </c>
      <c r="M171" s="21">
        <v>27.94811</v>
      </c>
      <c r="N171" s="21">
        <v>-82.83566</v>
      </c>
      <c r="O171" s="21" t="s">
        <v>1235</v>
      </c>
      <c r="P171" s="22" t="s">
        <v>1236</v>
      </c>
    </row>
    <row r="172" ht="33.75" customHeight="1">
      <c r="A172" s="29">
        <v>42408.0</v>
      </c>
      <c r="B172" s="25" t="s">
        <v>245</v>
      </c>
      <c r="C172" s="25" t="s">
        <v>246</v>
      </c>
      <c r="D172" s="25" t="s">
        <v>1238</v>
      </c>
      <c r="E172" s="25" t="s">
        <v>113</v>
      </c>
      <c r="F172" s="25">
        <v>27.936962</v>
      </c>
      <c r="G172" s="25">
        <v>-82.84068</v>
      </c>
      <c r="H172" s="21">
        <v>27.91121</v>
      </c>
      <c r="I172" s="21">
        <v>-82.847267</v>
      </c>
      <c r="J172" s="21" t="s">
        <v>1239</v>
      </c>
      <c r="K172" s="21" t="s">
        <v>1223</v>
      </c>
      <c r="L172" s="21">
        <v>1.0</v>
      </c>
      <c r="M172" s="21">
        <v>27.922668</v>
      </c>
      <c r="N172" s="21">
        <v>-82.844564</v>
      </c>
      <c r="O172" s="21" t="s">
        <v>1241</v>
      </c>
      <c r="P172" s="22" t="s">
        <v>1225</v>
      </c>
    </row>
    <row r="173" ht="33.75" customHeight="1">
      <c r="A173" s="29">
        <v>42409.0</v>
      </c>
      <c r="B173" s="25" t="s">
        <v>253</v>
      </c>
      <c r="C173" s="25" t="s">
        <v>1246</v>
      </c>
      <c r="D173" s="25" t="s">
        <v>255</v>
      </c>
      <c r="E173" s="25" t="s">
        <v>428</v>
      </c>
      <c r="F173" s="25" t="s">
        <v>1249</v>
      </c>
      <c r="G173" s="25" t="s">
        <v>1250</v>
      </c>
      <c r="H173" s="21" t="s">
        <v>962</v>
      </c>
      <c r="I173" s="21" t="s">
        <v>963</v>
      </c>
      <c r="J173" s="21" t="s">
        <v>1252</v>
      </c>
      <c r="K173" s="21" t="s">
        <v>1254</v>
      </c>
      <c r="L173" s="21" t="s">
        <v>233</v>
      </c>
      <c r="M173" s="21" t="s">
        <v>233</v>
      </c>
      <c r="N173" s="21" t="s">
        <v>233</v>
      </c>
      <c r="O173" s="21" t="s">
        <v>233</v>
      </c>
      <c r="P173" s="22" t="s">
        <v>1258</v>
      </c>
    </row>
    <row r="174" ht="33.75" customHeight="1">
      <c r="A174" s="29">
        <v>42410.0</v>
      </c>
      <c r="B174" s="25" t="s">
        <v>253</v>
      </c>
      <c r="C174" s="25" t="s">
        <v>512</v>
      </c>
      <c r="D174" s="25" t="s">
        <v>258</v>
      </c>
      <c r="E174" s="25" t="s">
        <v>1260</v>
      </c>
      <c r="F174" s="25" t="s">
        <v>513</v>
      </c>
      <c r="G174" s="25" t="s">
        <v>1262</v>
      </c>
      <c r="H174" s="21" t="s">
        <v>515</v>
      </c>
      <c r="I174" s="21" t="s">
        <v>1263</v>
      </c>
      <c r="J174" s="21" t="s">
        <v>517</v>
      </c>
      <c r="K174" s="21" t="s">
        <v>1265</v>
      </c>
      <c r="L174" s="21" t="s">
        <v>233</v>
      </c>
      <c r="P174" s="22" t="s">
        <v>1258</v>
      </c>
    </row>
    <row r="175" ht="33.75" customHeight="1">
      <c r="A175" s="29">
        <v>42411.0</v>
      </c>
      <c r="B175" s="25" t="s">
        <v>1268</v>
      </c>
      <c r="C175" s="25" t="s">
        <v>1269</v>
      </c>
      <c r="D175" s="25" t="s">
        <v>1270</v>
      </c>
      <c r="E175" s="25" t="s">
        <v>113</v>
      </c>
      <c r="F175" s="25" t="s">
        <v>1272</v>
      </c>
      <c r="G175" s="25" t="s">
        <v>1273</v>
      </c>
      <c r="H175" s="21" t="s">
        <v>1275</v>
      </c>
      <c r="I175" s="21" t="s">
        <v>1276</v>
      </c>
      <c r="J175" s="21" t="s">
        <v>1277</v>
      </c>
      <c r="K175" s="21" t="s">
        <v>1278</v>
      </c>
      <c r="L175" s="21" t="s">
        <v>1279</v>
      </c>
      <c r="M175" s="21" t="s">
        <v>1279</v>
      </c>
      <c r="N175" s="21" t="s">
        <v>1279</v>
      </c>
      <c r="O175" s="21" t="s">
        <v>1279</v>
      </c>
      <c r="P175" s="22" t="s">
        <v>1282</v>
      </c>
    </row>
    <row r="176" ht="33.75" customHeight="1">
      <c r="A176" s="29">
        <v>42410.0</v>
      </c>
      <c r="B176" s="25" t="s">
        <v>1284</v>
      </c>
      <c r="C176" s="25" t="s">
        <v>1285</v>
      </c>
      <c r="D176" s="25" t="s">
        <v>1286</v>
      </c>
      <c r="E176" s="25" t="s">
        <v>113</v>
      </c>
      <c r="F176" s="25" t="s">
        <v>1288</v>
      </c>
      <c r="G176" s="25" t="s">
        <v>1290</v>
      </c>
      <c r="H176" s="21" t="s">
        <v>1293</v>
      </c>
      <c r="I176" s="21" t="s">
        <v>1294</v>
      </c>
      <c r="J176" s="21" t="s">
        <v>1295</v>
      </c>
      <c r="K176" s="21" t="s">
        <v>1296</v>
      </c>
      <c r="L176" s="21">
        <v>1.0</v>
      </c>
      <c r="M176" s="21" t="s">
        <v>1299</v>
      </c>
      <c r="N176" s="21" t="s">
        <v>1305</v>
      </c>
      <c r="O176" s="21" t="s">
        <v>1307</v>
      </c>
      <c r="P176" s="54"/>
    </row>
    <row r="177" ht="33.75" customHeight="1">
      <c r="A177" s="29">
        <v>42411.0</v>
      </c>
      <c r="B177" s="25" t="s">
        <v>260</v>
      </c>
      <c r="C177" s="25" t="s">
        <v>1310</v>
      </c>
      <c r="D177" s="25" t="s">
        <v>262</v>
      </c>
      <c r="E177" s="25" t="s">
        <v>113</v>
      </c>
      <c r="F177" s="25" t="s">
        <v>1311</v>
      </c>
      <c r="G177" s="25" t="s">
        <v>1312</v>
      </c>
      <c r="H177" s="21" t="s">
        <v>1313</v>
      </c>
      <c r="I177" s="21" t="s">
        <v>1314</v>
      </c>
      <c r="J177" s="21" t="s">
        <v>1315</v>
      </c>
      <c r="K177" s="21" t="s">
        <v>1316</v>
      </c>
      <c r="L177" s="21" t="s">
        <v>233</v>
      </c>
      <c r="P177" s="22" t="s">
        <v>1317</v>
      </c>
    </row>
    <row r="178" ht="33.75" customHeight="1">
      <c r="A178" s="29">
        <v>42411.0</v>
      </c>
      <c r="B178" s="25" t="s">
        <v>395</v>
      </c>
      <c r="C178" s="25" t="s">
        <v>1319</v>
      </c>
      <c r="D178" s="25" t="s">
        <v>1320</v>
      </c>
      <c r="E178" s="25" t="s">
        <v>853</v>
      </c>
      <c r="F178" s="25" t="s">
        <v>1321</v>
      </c>
      <c r="G178" s="25" t="s">
        <v>1322</v>
      </c>
      <c r="H178" s="21" t="s">
        <v>1323</v>
      </c>
      <c r="I178" s="21" t="s">
        <v>1324</v>
      </c>
      <c r="J178" s="21" t="s">
        <v>1308</v>
      </c>
      <c r="K178" s="21" t="s">
        <v>1326</v>
      </c>
      <c r="L178" s="21" t="s">
        <v>233</v>
      </c>
      <c r="M178" s="21" t="s">
        <v>1328</v>
      </c>
      <c r="N178" s="21" t="s">
        <v>1331</v>
      </c>
      <c r="O178" s="21" t="s">
        <v>1332</v>
      </c>
      <c r="P178" s="22" t="s">
        <v>1334</v>
      </c>
    </row>
    <row r="179" ht="33.75" customHeight="1">
      <c r="A179" s="29">
        <v>42408.0</v>
      </c>
      <c r="B179" s="25" t="s">
        <v>264</v>
      </c>
      <c r="C179" s="25" t="s">
        <v>1340</v>
      </c>
      <c r="D179" s="25" t="s">
        <v>266</v>
      </c>
      <c r="E179" s="25" t="s">
        <v>267</v>
      </c>
      <c r="F179" s="25">
        <v>27.95525</v>
      </c>
      <c r="G179" s="25">
        <v>-82.72173</v>
      </c>
      <c r="H179" s="21">
        <v>27.96726</v>
      </c>
      <c r="I179" s="21">
        <v>-82.55214</v>
      </c>
      <c r="J179" s="21" t="s">
        <v>1345</v>
      </c>
      <c r="K179" s="21" t="s">
        <v>488</v>
      </c>
      <c r="L179" s="21">
        <v>1.0</v>
      </c>
      <c r="M179" s="21">
        <v>27.9608</v>
      </c>
      <c r="N179" s="21">
        <v>-82.69778</v>
      </c>
      <c r="O179" s="21" t="s">
        <v>1347</v>
      </c>
      <c r="P179" s="22" t="s">
        <v>1348</v>
      </c>
    </row>
    <row r="180" ht="33.75" customHeight="1">
      <c r="A180" s="29">
        <v>42408.0</v>
      </c>
      <c r="B180" s="25" t="s">
        <v>264</v>
      </c>
      <c r="C180" s="25" t="s">
        <v>1340</v>
      </c>
      <c r="D180" s="25" t="s">
        <v>266</v>
      </c>
      <c r="E180" s="25" t="s">
        <v>267</v>
      </c>
      <c r="F180" s="25">
        <v>27.95525</v>
      </c>
      <c r="G180" s="25">
        <v>-82.72173</v>
      </c>
      <c r="H180" s="21">
        <v>27.96726</v>
      </c>
      <c r="I180" s="21">
        <v>-82.55214</v>
      </c>
      <c r="J180" s="21" t="s">
        <v>1345</v>
      </c>
      <c r="K180" s="21" t="s">
        <v>488</v>
      </c>
      <c r="L180" s="21">
        <v>2.0</v>
      </c>
      <c r="M180" s="21">
        <v>27.95525</v>
      </c>
      <c r="N180" s="21">
        <v>-82.72173</v>
      </c>
      <c r="O180" s="21" t="s">
        <v>1353</v>
      </c>
      <c r="P180" s="22" t="s">
        <v>1354</v>
      </c>
    </row>
    <row r="181" ht="33.75" customHeight="1">
      <c r="A181" s="29">
        <v>42408.0</v>
      </c>
      <c r="B181" s="25" t="s">
        <v>264</v>
      </c>
      <c r="C181" s="25" t="s">
        <v>1340</v>
      </c>
      <c r="D181" s="25" t="s">
        <v>266</v>
      </c>
      <c r="E181" s="25" t="s">
        <v>267</v>
      </c>
      <c r="F181" s="25">
        <v>27.95525</v>
      </c>
      <c r="G181" s="25">
        <v>-82.72173</v>
      </c>
      <c r="H181" s="21">
        <v>27.96726</v>
      </c>
      <c r="I181" s="21">
        <v>-82.55214</v>
      </c>
      <c r="J181" s="21" t="s">
        <v>1345</v>
      </c>
      <c r="K181" s="21" t="s">
        <v>488</v>
      </c>
      <c r="L181" s="21">
        <v>3.0</v>
      </c>
      <c r="M181" s="21">
        <v>27.96803</v>
      </c>
      <c r="N181" s="21">
        <v>-82.57345</v>
      </c>
      <c r="O181" s="21" t="s">
        <v>1359</v>
      </c>
      <c r="P181" s="22" t="s">
        <v>1360</v>
      </c>
    </row>
    <row r="182" ht="33.75" customHeight="1">
      <c r="A182" s="29">
        <v>42409.0</v>
      </c>
      <c r="B182" s="25" t="s">
        <v>446</v>
      </c>
      <c r="C182" s="25" t="s">
        <v>473</v>
      </c>
      <c r="D182" s="25" t="s">
        <v>1361</v>
      </c>
      <c r="E182" s="25" t="s">
        <v>113</v>
      </c>
      <c r="F182" s="25">
        <v>27.73763</v>
      </c>
      <c r="G182" s="25">
        <v>-82.70663</v>
      </c>
      <c r="H182" s="21">
        <v>27.73654</v>
      </c>
      <c r="I182" s="21">
        <v>-82.711</v>
      </c>
      <c r="J182" s="21" t="s">
        <v>1363</v>
      </c>
      <c r="K182" s="21" t="s">
        <v>1364</v>
      </c>
      <c r="L182" s="21">
        <v>1.0</v>
      </c>
      <c r="M182" s="21">
        <v>27.73704</v>
      </c>
      <c r="N182" s="21">
        <v>-82.711</v>
      </c>
      <c r="O182" s="21" t="s">
        <v>1365</v>
      </c>
      <c r="P182" s="54"/>
    </row>
    <row r="183" ht="33.75" customHeight="1">
      <c r="A183" s="29">
        <v>42410.0</v>
      </c>
      <c r="B183" s="25" t="s">
        <v>446</v>
      </c>
      <c r="C183" s="25" t="s">
        <v>473</v>
      </c>
      <c r="D183" s="25" t="s">
        <v>1366</v>
      </c>
      <c r="E183" s="25" t="s">
        <v>113</v>
      </c>
      <c r="F183" s="25">
        <v>28.05092</v>
      </c>
      <c r="G183" s="25">
        <v>-82.79739</v>
      </c>
      <c r="H183" s="21">
        <v>28.05867</v>
      </c>
      <c r="I183" s="21">
        <v>-82.81053</v>
      </c>
      <c r="J183" s="21" t="s">
        <v>1368</v>
      </c>
      <c r="K183" s="21" t="s">
        <v>1369</v>
      </c>
      <c r="L183" s="21">
        <v>1.0</v>
      </c>
      <c r="M183" s="21">
        <v>28.05387</v>
      </c>
      <c r="N183" s="21">
        <v>-82.80441</v>
      </c>
      <c r="O183" s="21" t="s">
        <v>1370</v>
      </c>
      <c r="P183" s="22" t="s">
        <v>1372</v>
      </c>
    </row>
    <row r="184" ht="33.75" customHeight="1">
      <c r="A184" s="29">
        <v>42408.0</v>
      </c>
      <c r="B184" s="25" t="s">
        <v>264</v>
      </c>
      <c r="C184" s="25" t="s">
        <v>1340</v>
      </c>
      <c r="D184" s="25" t="s">
        <v>266</v>
      </c>
      <c r="E184" s="25" t="s">
        <v>267</v>
      </c>
      <c r="F184" s="25">
        <v>27.95525</v>
      </c>
      <c r="G184" s="25">
        <v>-82.72173</v>
      </c>
      <c r="H184" s="21">
        <v>27.96726</v>
      </c>
      <c r="I184" s="21">
        <v>-82.55214</v>
      </c>
      <c r="J184" s="21" t="s">
        <v>1345</v>
      </c>
      <c r="K184" s="21" t="s">
        <v>488</v>
      </c>
      <c r="L184" s="21">
        <v>4.0</v>
      </c>
      <c r="M184" s="21">
        <v>27.96211</v>
      </c>
      <c r="N184" s="21">
        <v>-82.5706</v>
      </c>
      <c r="O184" s="21" t="s">
        <v>1376</v>
      </c>
      <c r="P184" s="22" t="s">
        <v>1377</v>
      </c>
    </row>
    <row r="185" ht="33.75" customHeight="1">
      <c r="A185" s="29">
        <v>42408.0</v>
      </c>
      <c r="B185" s="25" t="s">
        <v>264</v>
      </c>
      <c r="C185" s="25" t="s">
        <v>1340</v>
      </c>
      <c r="D185" s="25" t="s">
        <v>266</v>
      </c>
      <c r="E185" s="25" t="s">
        <v>267</v>
      </c>
      <c r="F185" s="25">
        <v>27.95525</v>
      </c>
      <c r="G185" s="25">
        <v>-82.72173</v>
      </c>
      <c r="H185" s="21">
        <v>27.96726</v>
      </c>
      <c r="I185" s="21">
        <v>-82.55214</v>
      </c>
      <c r="J185" s="21" t="s">
        <v>1345</v>
      </c>
      <c r="K185" s="21" t="s">
        <v>488</v>
      </c>
      <c r="L185" s="21">
        <v>5.0</v>
      </c>
      <c r="M185" s="21">
        <v>27.96109</v>
      </c>
      <c r="N185" s="21">
        <v>-82.69632</v>
      </c>
      <c r="O185" s="21" t="s">
        <v>1381</v>
      </c>
      <c r="P185" s="22" t="s">
        <v>1382</v>
      </c>
    </row>
    <row r="186" ht="33.75" customHeight="1">
      <c r="A186" s="29">
        <v>42408.0</v>
      </c>
      <c r="B186" s="25" t="s">
        <v>264</v>
      </c>
      <c r="C186" s="25" t="s">
        <v>1340</v>
      </c>
      <c r="D186" s="25" t="s">
        <v>266</v>
      </c>
      <c r="E186" s="25" t="s">
        <v>267</v>
      </c>
      <c r="F186" s="25">
        <v>27.95525</v>
      </c>
      <c r="G186" s="25">
        <v>-82.72173</v>
      </c>
      <c r="H186" s="21">
        <v>27.96726</v>
      </c>
      <c r="I186" s="21">
        <v>-82.55214</v>
      </c>
      <c r="J186" s="21" t="s">
        <v>1345</v>
      </c>
      <c r="K186" s="21" t="s">
        <v>488</v>
      </c>
      <c r="L186" s="21">
        <v>6.0</v>
      </c>
      <c r="M186" s="21">
        <v>27.96375</v>
      </c>
      <c r="N186" s="21">
        <v>-82.67487</v>
      </c>
      <c r="O186" s="21" t="s">
        <v>1383</v>
      </c>
      <c r="P186" s="22" t="s">
        <v>1384</v>
      </c>
    </row>
    <row r="187" ht="33.75" customHeight="1">
      <c r="A187" s="29">
        <v>42408.0</v>
      </c>
      <c r="B187" s="25" t="s">
        <v>264</v>
      </c>
      <c r="C187" s="25" t="s">
        <v>1340</v>
      </c>
      <c r="D187" s="25" t="s">
        <v>266</v>
      </c>
      <c r="E187" s="25" t="s">
        <v>267</v>
      </c>
      <c r="F187" s="25">
        <v>27.95525</v>
      </c>
      <c r="G187" s="25">
        <v>-82.72173</v>
      </c>
      <c r="H187" s="21">
        <v>27.96726</v>
      </c>
      <c r="I187" s="21">
        <v>-82.55214</v>
      </c>
      <c r="J187" s="21" t="s">
        <v>1345</v>
      </c>
      <c r="K187" s="21" t="s">
        <v>488</v>
      </c>
      <c r="L187" s="21">
        <v>7.0</v>
      </c>
      <c r="M187" s="21">
        <v>27.96357</v>
      </c>
      <c r="N187" s="21">
        <v>-82.66293</v>
      </c>
      <c r="O187" s="21" t="s">
        <v>1390</v>
      </c>
      <c r="P187" s="22" t="s">
        <v>1384</v>
      </c>
    </row>
    <row r="188" ht="33.75" customHeight="1">
      <c r="A188" s="29">
        <v>42408.0</v>
      </c>
      <c r="B188" s="25" t="s">
        <v>264</v>
      </c>
      <c r="C188" s="25" t="s">
        <v>1340</v>
      </c>
      <c r="D188" s="25" t="s">
        <v>266</v>
      </c>
      <c r="E188" s="25" t="s">
        <v>267</v>
      </c>
      <c r="F188" s="25">
        <v>27.95525</v>
      </c>
      <c r="G188" s="25">
        <v>-82.72173</v>
      </c>
      <c r="H188" s="21">
        <v>27.96726</v>
      </c>
      <c r="I188" s="21">
        <v>-82.55214</v>
      </c>
      <c r="J188" s="21" t="s">
        <v>1345</v>
      </c>
      <c r="K188" s="21" t="s">
        <v>488</v>
      </c>
      <c r="L188" s="21">
        <v>8.0</v>
      </c>
      <c r="M188" s="21">
        <v>27.96517</v>
      </c>
      <c r="N188" s="21">
        <v>-82.66293</v>
      </c>
      <c r="O188" s="21" t="s">
        <v>1396</v>
      </c>
      <c r="P188" s="22" t="s">
        <v>1397</v>
      </c>
    </row>
    <row r="189" ht="33.75" customHeight="1">
      <c r="A189" s="29">
        <v>42408.0</v>
      </c>
      <c r="B189" s="25" t="s">
        <v>264</v>
      </c>
      <c r="C189" s="25" t="s">
        <v>1340</v>
      </c>
      <c r="D189" s="25" t="s">
        <v>266</v>
      </c>
      <c r="E189" s="25" t="s">
        <v>267</v>
      </c>
      <c r="F189" s="25">
        <v>27.95525</v>
      </c>
      <c r="G189" s="25">
        <v>-82.72173</v>
      </c>
      <c r="H189" s="21">
        <v>27.96726</v>
      </c>
      <c r="I189" s="21">
        <v>-82.55214</v>
      </c>
      <c r="J189" s="21" t="s">
        <v>1345</v>
      </c>
      <c r="K189" s="21" t="s">
        <v>488</v>
      </c>
      <c r="L189" s="21">
        <v>9.0</v>
      </c>
      <c r="M189" s="21">
        <v>27.96575</v>
      </c>
      <c r="N189" s="21">
        <v>-82.65819</v>
      </c>
      <c r="O189" s="21" t="s">
        <v>1400</v>
      </c>
      <c r="P189" s="22" t="s">
        <v>1401</v>
      </c>
    </row>
    <row r="190" ht="33.75" customHeight="1">
      <c r="A190" s="29">
        <v>42408.0</v>
      </c>
      <c r="B190" s="25" t="s">
        <v>264</v>
      </c>
      <c r="C190" s="25" t="s">
        <v>1340</v>
      </c>
      <c r="D190" s="25" t="s">
        <v>266</v>
      </c>
      <c r="E190" s="25" t="s">
        <v>267</v>
      </c>
      <c r="F190" s="25">
        <v>27.95525</v>
      </c>
      <c r="G190" s="25">
        <v>-82.72173</v>
      </c>
      <c r="H190" s="21">
        <v>27.96726</v>
      </c>
      <c r="I190" s="21">
        <v>-82.55214</v>
      </c>
      <c r="J190" s="21" t="s">
        <v>1345</v>
      </c>
      <c r="K190" s="21" t="s">
        <v>488</v>
      </c>
      <c r="L190" s="21">
        <v>10.0</v>
      </c>
      <c r="M190" s="21">
        <v>27.96677</v>
      </c>
      <c r="N190" s="21">
        <v>-82.64993</v>
      </c>
      <c r="O190" s="21" t="s">
        <v>1404</v>
      </c>
      <c r="P190" s="22" t="s">
        <v>1405</v>
      </c>
    </row>
    <row r="191" ht="33.75" customHeight="1">
      <c r="A191" s="29">
        <v>42408.0</v>
      </c>
      <c r="B191" s="25" t="s">
        <v>264</v>
      </c>
      <c r="C191" s="25" t="s">
        <v>1340</v>
      </c>
      <c r="D191" s="25" t="s">
        <v>266</v>
      </c>
      <c r="E191" s="25" t="s">
        <v>267</v>
      </c>
      <c r="F191" s="25">
        <v>27.95525</v>
      </c>
      <c r="G191" s="25">
        <v>-82.72173</v>
      </c>
      <c r="H191" s="21">
        <v>27.96726</v>
      </c>
      <c r="I191" s="21">
        <v>-82.55214</v>
      </c>
      <c r="J191" s="21" t="s">
        <v>1345</v>
      </c>
      <c r="K191" s="21" t="s">
        <v>488</v>
      </c>
      <c r="L191" s="21">
        <v>11.0</v>
      </c>
      <c r="M191" s="21">
        <v>27.96572</v>
      </c>
      <c r="N191" s="21">
        <v>-82.64361</v>
      </c>
      <c r="O191" s="21" t="s">
        <v>1410</v>
      </c>
      <c r="P191" s="22" t="s">
        <v>1411</v>
      </c>
    </row>
    <row r="192" ht="33.75" customHeight="1">
      <c r="A192" s="29">
        <v>42408.0</v>
      </c>
      <c r="B192" s="25" t="s">
        <v>264</v>
      </c>
      <c r="C192" s="25" t="s">
        <v>1340</v>
      </c>
      <c r="D192" s="25" t="s">
        <v>266</v>
      </c>
      <c r="E192" s="25" t="s">
        <v>267</v>
      </c>
      <c r="F192" s="25">
        <v>27.95525</v>
      </c>
      <c r="G192" s="25">
        <v>-82.72173</v>
      </c>
      <c r="H192" s="21">
        <v>27.96726</v>
      </c>
      <c r="I192" s="21">
        <v>-82.55214</v>
      </c>
      <c r="J192" s="21" t="s">
        <v>1345</v>
      </c>
      <c r="K192" s="21" t="s">
        <v>488</v>
      </c>
      <c r="L192" s="21">
        <v>12.0</v>
      </c>
      <c r="M192" s="21">
        <v>27.96737</v>
      </c>
      <c r="N192" s="21">
        <v>-82.64236</v>
      </c>
      <c r="O192" s="21" t="s">
        <v>1414</v>
      </c>
      <c r="P192" s="22" t="s">
        <v>1415</v>
      </c>
    </row>
    <row r="193" ht="33.75" customHeight="1">
      <c r="A193" s="29">
        <v>42408.0</v>
      </c>
      <c r="B193" s="25" t="s">
        <v>264</v>
      </c>
      <c r="C193" s="25" t="s">
        <v>1340</v>
      </c>
      <c r="D193" s="25" t="s">
        <v>266</v>
      </c>
      <c r="E193" s="25" t="s">
        <v>267</v>
      </c>
      <c r="F193" s="25">
        <v>27.95525</v>
      </c>
      <c r="G193" s="25">
        <v>-82.72173</v>
      </c>
      <c r="H193" s="21">
        <v>27.96726</v>
      </c>
      <c r="I193" s="21">
        <v>-82.55214</v>
      </c>
      <c r="J193" s="21" t="s">
        <v>1345</v>
      </c>
      <c r="K193" s="21" t="s">
        <v>488</v>
      </c>
      <c r="L193" s="21">
        <v>13.0</v>
      </c>
      <c r="M193" s="21">
        <v>27.96858</v>
      </c>
      <c r="N193" s="21">
        <v>-82.63481</v>
      </c>
      <c r="O193" s="21" t="s">
        <v>1422</v>
      </c>
      <c r="P193" s="22" t="s">
        <v>1423</v>
      </c>
    </row>
    <row r="194" ht="33.75" customHeight="1">
      <c r="A194" s="29">
        <v>42410.0</v>
      </c>
      <c r="B194" s="25" t="s">
        <v>446</v>
      </c>
      <c r="C194" s="25" t="s">
        <v>473</v>
      </c>
      <c r="D194" s="25" t="s">
        <v>1366</v>
      </c>
      <c r="E194" s="25" t="s">
        <v>113</v>
      </c>
      <c r="F194" s="25">
        <v>28.05092</v>
      </c>
      <c r="G194" s="25">
        <v>-82.79739</v>
      </c>
      <c r="H194" s="21">
        <v>28.05867</v>
      </c>
      <c r="I194" s="21">
        <v>-82.81053</v>
      </c>
      <c r="J194" s="21" t="s">
        <v>1368</v>
      </c>
      <c r="K194" s="21" t="s">
        <v>1369</v>
      </c>
      <c r="L194" s="21">
        <v>2.0</v>
      </c>
      <c r="M194" s="21">
        <v>28.05525</v>
      </c>
      <c r="N194" s="21">
        <v>-82.80628</v>
      </c>
      <c r="O194" s="21" t="s">
        <v>1425</v>
      </c>
      <c r="P194" s="22" t="s">
        <v>1427</v>
      </c>
    </row>
    <row r="195" ht="33.75" customHeight="1">
      <c r="A195" s="29">
        <v>42408.0</v>
      </c>
      <c r="B195" s="25" t="s">
        <v>1428</v>
      </c>
      <c r="C195" s="25" t="s">
        <v>279</v>
      </c>
      <c r="D195" s="25" t="s">
        <v>1429</v>
      </c>
      <c r="E195" s="25" t="s">
        <v>281</v>
      </c>
      <c r="F195" s="25">
        <v>30.34342</v>
      </c>
      <c r="G195" s="25">
        <v>-86.22112</v>
      </c>
      <c r="H195" s="21">
        <v>30.34155</v>
      </c>
      <c r="I195" s="21">
        <v>-86.21529</v>
      </c>
      <c r="J195" s="21" t="s">
        <v>1431</v>
      </c>
      <c r="K195" s="21" t="s">
        <v>1432</v>
      </c>
      <c r="L195" s="21" t="s">
        <v>256</v>
      </c>
      <c r="P195" s="22" t="s">
        <v>1433</v>
      </c>
    </row>
    <row r="196" ht="33.75" customHeight="1">
      <c r="A196" s="29">
        <v>42409.0</v>
      </c>
      <c r="B196" s="25" t="s">
        <v>278</v>
      </c>
      <c r="C196" s="25" t="s">
        <v>279</v>
      </c>
      <c r="D196" s="25" t="s">
        <v>280</v>
      </c>
      <c r="E196" s="25" t="s">
        <v>281</v>
      </c>
      <c r="F196" s="25">
        <v>30.30209</v>
      </c>
      <c r="G196" s="25">
        <v>-86.08505</v>
      </c>
      <c r="H196" s="21">
        <v>30.2925</v>
      </c>
      <c r="I196" s="21">
        <v>-86.077266</v>
      </c>
      <c r="J196" s="21" t="s">
        <v>1435</v>
      </c>
      <c r="K196" s="21" t="s">
        <v>1436</v>
      </c>
      <c r="L196" s="21">
        <v>1.0</v>
      </c>
      <c r="M196" s="21">
        <v>30.30156</v>
      </c>
      <c r="N196" s="21">
        <v>-86.08328</v>
      </c>
      <c r="O196" s="21" t="s">
        <v>458</v>
      </c>
      <c r="P196" s="22" t="s">
        <v>1437</v>
      </c>
    </row>
    <row r="197" ht="33.75" customHeight="1">
      <c r="A197" s="29">
        <v>42409.0</v>
      </c>
      <c r="B197" s="25" t="s">
        <v>278</v>
      </c>
      <c r="C197" s="25" t="s">
        <v>279</v>
      </c>
      <c r="D197" s="25" t="s">
        <v>285</v>
      </c>
      <c r="E197" s="25" t="s">
        <v>281</v>
      </c>
      <c r="F197" s="25">
        <v>30.32107</v>
      </c>
      <c r="G197" s="25">
        <v>-86.146317</v>
      </c>
      <c r="H197" s="21">
        <v>30.33346</v>
      </c>
      <c r="I197" s="21">
        <v>-86.186152</v>
      </c>
      <c r="J197" s="21" t="s">
        <v>1440</v>
      </c>
      <c r="K197" s="21" t="s">
        <v>1441</v>
      </c>
      <c r="L197" s="21">
        <v>1.0</v>
      </c>
      <c r="M197" s="21">
        <v>30.32686</v>
      </c>
      <c r="N197" s="21">
        <v>-86.16399</v>
      </c>
      <c r="O197" s="21" t="s">
        <v>1442</v>
      </c>
      <c r="P197" s="22" t="s">
        <v>1444</v>
      </c>
    </row>
    <row r="198" ht="33.75" customHeight="1">
      <c r="A198" s="29">
        <v>42410.0</v>
      </c>
      <c r="B198" s="25" t="s">
        <v>278</v>
      </c>
      <c r="C198" s="25" t="s">
        <v>279</v>
      </c>
      <c r="D198" s="25" t="s">
        <v>290</v>
      </c>
      <c r="E198" s="25" t="s">
        <v>291</v>
      </c>
      <c r="F198" s="25">
        <v>30.2865</v>
      </c>
      <c r="G198" s="25">
        <v>-87.48459</v>
      </c>
      <c r="H198" s="21">
        <v>30.29259</v>
      </c>
      <c r="I198" s="21">
        <v>-87.45296</v>
      </c>
      <c r="J198" s="21" t="s">
        <v>876</v>
      </c>
      <c r="K198" s="21" t="s">
        <v>878</v>
      </c>
      <c r="L198" s="21">
        <v>1.0</v>
      </c>
      <c r="M198" s="21">
        <v>30.29147</v>
      </c>
      <c r="N198" s="21">
        <v>-87.4652</v>
      </c>
      <c r="O198" s="21" t="s">
        <v>1442</v>
      </c>
      <c r="P198" s="22" t="s">
        <v>1451</v>
      </c>
    </row>
    <row r="199" ht="33.75" customHeight="1">
      <c r="A199" s="29">
        <v>42409.0</v>
      </c>
      <c r="B199" s="25" t="s">
        <v>1454</v>
      </c>
      <c r="C199" s="25" t="s">
        <v>1455</v>
      </c>
      <c r="D199" s="25" t="s">
        <v>1457</v>
      </c>
      <c r="E199" s="25" t="s">
        <v>220</v>
      </c>
      <c r="F199" s="25">
        <v>26.613805</v>
      </c>
      <c r="G199" s="25">
        <v>80.045667</v>
      </c>
      <c r="H199" s="21">
        <v>26.64962</v>
      </c>
      <c r="I199" s="21">
        <v>80.04167</v>
      </c>
      <c r="J199" s="21" t="s">
        <v>1458</v>
      </c>
      <c r="K199" s="21" t="s">
        <v>1459</v>
      </c>
      <c r="L199" s="21">
        <v>1.0</v>
      </c>
      <c r="M199" s="21">
        <v>26.648333</v>
      </c>
      <c r="N199" s="21">
        <v>80.040283</v>
      </c>
      <c r="O199" s="21" t="s">
        <v>1460</v>
      </c>
      <c r="P199" s="22" t="s">
        <v>1461</v>
      </c>
    </row>
    <row r="200" ht="33.75" customHeight="1">
      <c r="A200" s="29">
        <v>42409.0</v>
      </c>
      <c r="B200" s="25" t="s">
        <v>1454</v>
      </c>
      <c r="C200" s="25" t="s">
        <v>1455</v>
      </c>
      <c r="D200" s="25" t="s">
        <v>1457</v>
      </c>
      <c r="E200" s="25" t="s">
        <v>220</v>
      </c>
      <c r="F200" s="25">
        <v>26.613805</v>
      </c>
      <c r="G200" s="25">
        <v>80.045667</v>
      </c>
      <c r="H200" s="21">
        <v>26.64962</v>
      </c>
      <c r="I200" s="21">
        <v>80.04167</v>
      </c>
      <c r="J200" s="21" t="s">
        <v>1458</v>
      </c>
      <c r="K200" s="21" t="s">
        <v>1459</v>
      </c>
      <c r="L200" s="21">
        <v>2.0</v>
      </c>
      <c r="M200" s="21">
        <v>26.645117</v>
      </c>
      <c r="N200" s="21">
        <v>80.040388</v>
      </c>
      <c r="O200" s="21" t="s">
        <v>1307</v>
      </c>
      <c r="P200" s="22" t="s">
        <v>1463</v>
      </c>
    </row>
    <row r="201" ht="33.75" customHeight="1">
      <c r="A201" s="29">
        <v>42409.0</v>
      </c>
      <c r="B201" s="25" t="s">
        <v>1454</v>
      </c>
      <c r="C201" s="25" t="s">
        <v>1455</v>
      </c>
      <c r="D201" s="25" t="s">
        <v>1457</v>
      </c>
      <c r="E201" s="25" t="s">
        <v>220</v>
      </c>
      <c r="F201" s="25">
        <v>26.613805</v>
      </c>
      <c r="G201" s="25">
        <v>80.045667</v>
      </c>
      <c r="H201" s="21">
        <v>26.64962</v>
      </c>
      <c r="I201" s="21">
        <v>80.04167</v>
      </c>
      <c r="J201" s="21" t="s">
        <v>1458</v>
      </c>
      <c r="K201" s="21" t="s">
        <v>1459</v>
      </c>
      <c r="L201" s="21">
        <v>3.0</v>
      </c>
      <c r="M201" s="21">
        <v>26.644833</v>
      </c>
      <c r="N201" s="21">
        <v>80.040945</v>
      </c>
      <c r="O201" s="21" t="s">
        <v>1465</v>
      </c>
      <c r="P201" s="22" t="s">
        <v>1466</v>
      </c>
    </row>
    <row r="202" ht="33.75" customHeight="1">
      <c r="A202" s="29">
        <v>42409.0</v>
      </c>
      <c r="B202" s="25" t="s">
        <v>1454</v>
      </c>
      <c r="C202" s="25" t="s">
        <v>1455</v>
      </c>
      <c r="D202" s="25" t="s">
        <v>1457</v>
      </c>
      <c r="E202" s="25" t="s">
        <v>220</v>
      </c>
      <c r="F202" s="25">
        <v>26.613805</v>
      </c>
      <c r="G202" s="25">
        <v>80.045667</v>
      </c>
      <c r="H202" s="21">
        <v>26.64962</v>
      </c>
      <c r="I202" s="21">
        <v>80.04167</v>
      </c>
      <c r="J202" s="21" t="s">
        <v>1458</v>
      </c>
      <c r="K202" s="21" t="s">
        <v>1459</v>
      </c>
      <c r="L202" s="21">
        <v>4.0</v>
      </c>
      <c r="M202" s="21">
        <v>26.629972</v>
      </c>
      <c r="N202" s="21">
        <v>80.040556</v>
      </c>
      <c r="O202" s="21" t="s">
        <v>1465</v>
      </c>
      <c r="P202" s="22" t="s">
        <v>1467</v>
      </c>
    </row>
    <row r="203" ht="33.75" customHeight="1">
      <c r="A203" s="29">
        <v>42409.0</v>
      </c>
      <c r="B203" s="25" t="s">
        <v>1454</v>
      </c>
      <c r="C203" s="25" t="s">
        <v>1455</v>
      </c>
      <c r="D203" s="25" t="s">
        <v>1457</v>
      </c>
      <c r="E203" s="25" t="s">
        <v>220</v>
      </c>
      <c r="F203" s="25">
        <v>26.613805</v>
      </c>
      <c r="G203" s="25">
        <v>80.045667</v>
      </c>
      <c r="H203" s="21">
        <v>26.64962</v>
      </c>
      <c r="I203" s="21">
        <v>80.04167</v>
      </c>
      <c r="J203" s="21" t="s">
        <v>1458</v>
      </c>
      <c r="K203" s="21" t="s">
        <v>1459</v>
      </c>
      <c r="L203" s="21">
        <v>5.0</v>
      </c>
      <c r="M203" s="21">
        <v>26.61425</v>
      </c>
      <c r="N203" s="21">
        <v>80.044972</v>
      </c>
      <c r="O203" s="21" t="s">
        <v>1468</v>
      </c>
      <c r="P203" s="22" t="s">
        <v>1469</v>
      </c>
    </row>
    <row r="204" ht="33.75" customHeight="1">
      <c r="A204" s="29">
        <v>42409.0</v>
      </c>
      <c r="B204" s="25" t="s">
        <v>1470</v>
      </c>
      <c r="C204" s="25" t="s">
        <v>1471</v>
      </c>
      <c r="D204" s="25" t="s">
        <v>1472</v>
      </c>
      <c r="E204" s="25" t="s">
        <v>195</v>
      </c>
      <c r="F204" s="25">
        <v>27.167813</v>
      </c>
      <c r="G204" s="25">
        <v>-80.1535</v>
      </c>
      <c r="H204" s="21">
        <v>27.25506</v>
      </c>
      <c r="I204" s="21">
        <v>-80.21534</v>
      </c>
      <c r="J204" s="21" t="s">
        <v>1473</v>
      </c>
      <c r="K204" s="21" t="s">
        <v>1474</v>
      </c>
      <c r="L204" s="21">
        <v>1.0</v>
      </c>
      <c r="M204" s="21">
        <v>27.189484</v>
      </c>
      <c r="N204" s="21">
        <v>-80.187774</v>
      </c>
      <c r="O204" s="21" t="s">
        <v>1475</v>
      </c>
      <c r="P204" s="22" t="s">
        <v>1476</v>
      </c>
    </row>
    <row r="205" ht="33.75" customHeight="1">
      <c r="A205" s="29">
        <v>42408.0</v>
      </c>
      <c r="B205" s="25" t="s">
        <v>68</v>
      </c>
      <c r="C205" s="25" t="s">
        <v>1477</v>
      </c>
      <c r="D205" s="25" t="s">
        <v>70</v>
      </c>
      <c r="E205" s="25" t="s">
        <v>71</v>
      </c>
      <c r="F205" s="25">
        <v>25.946919</v>
      </c>
      <c r="G205" s="25">
        <v>-81.742552</v>
      </c>
      <c r="H205" s="21">
        <v>25.967944</v>
      </c>
      <c r="I205" s="21">
        <v>-81.74359</v>
      </c>
      <c r="J205" s="21" t="s">
        <v>617</v>
      </c>
      <c r="K205" s="21" t="s">
        <v>618</v>
      </c>
      <c r="L205" s="21">
        <v>1.0</v>
      </c>
      <c r="M205" s="21">
        <v>25.95207</v>
      </c>
      <c r="N205" s="21">
        <v>-81.75058</v>
      </c>
      <c r="O205" s="21" t="s">
        <v>1478</v>
      </c>
      <c r="P205" s="22" t="s">
        <v>1479</v>
      </c>
    </row>
    <row r="206" ht="33.75" customHeight="1">
      <c r="A206" s="29">
        <v>42408.0</v>
      </c>
      <c r="B206" s="25" t="s">
        <v>68</v>
      </c>
      <c r="C206" s="25" t="s">
        <v>69</v>
      </c>
      <c r="D206" s="25" t="s">
        <v>70</v>
      </c>
      <c r="E206" s="25" t="s">
        <v>71</v>
      </c>
      <c r="F206" s="25">
        <v>25.946919</v>
      </c>
      <c r="G206" s="25">
        <v>-81.742552</v>
      </c>
      <c r="H206" s="21">
        <v>25.967944</v>
      </c>
      <c r="I206" s="21">
        <v>-81.74359</v>
      </c>
      <c r="J206" s="21" t="s">
        <v>617</v>
      </c>
      <c r="K206" s="21" t="s">
        <v>618</v>
      </c>
      <c r="L206" s="21">
        <v>2.0</v>
      </c>
      <c r="M206" s="21">
        <v>25.95337</v>
      </c>
      <c r="N206" s="21">
        <v>-81.75108</v>
      </c>
      <c r="O206" s="21" t="s">
        <v>1481</v>
      </c>
      <c r="P206" s="22" t="s">
        <v>597</v>
      </c>
    </row>
    <row r="207" ht="33.75" customHeight="1">
      <c r="A207" s="29">
        <v>42408.0</v>
      </c>
      <c r="B207" s="25" t="s">
        <v>68</v>
      </c>
      <c r="C207" s="25" t="s">
        <v>69</v>
      </c>
      <c r="D207" s="25" t="s">
        <v>70</v>
      </c>
      <c r="E207" s="25" t="s">
        <v>71</v>
      </c>
      <c r="F207" s="25">
        <v>25.946919</v>
      </c>
      <c r="G207" s="25">
        <v>-81.742552</v>
      </c>
      <c r="H207" s="21">
        <v>25.967944</v>
      </c>
      <c r="I207" s="21">
        <v>-81.74359</v>
      </c>
      <c r="J207" s="21" t="s">
        <v>617</v>
      </c>
      <c r="K207" s="21" t="s">
        <v>618</v>
      </c>
      <c r="L207" s="21">
        <v>3.0</v>
      </c>
      <c r="M207" s="21">
        <v>25.9535</v>
      </c>
      <c r="N207" s="21">
        <v>-81.75135</v>
      </c>
      <c r="O207" s="21" t="s">
        <v>1486</v>
      </c>
      <c r="P207" s="54"/>
    </row>
    <row r="208" ht="33.75" customHeight="1">
      <c r="A208" s="29">
        <v>42408.0</v>
      </c>
      <c r="B208" s="25" t="s">
        <v>68</v>
      </c>
      <c r="C208" s="25" t="s">
        <v>69</v>
      </c>
      <c r="D208" s="25" t="s">
        <v>70</v>
      </c>
      <c r="E208" s="25" t="s">
        <v>71</v>
      </c>
      <c r="F208" s="25">
        <v>25.946919</v>
      </c>
      <c r="G208" s="25">
        <v>-81.742552</v>
      </c>
      <c r="H208" s="21">
        <v>25.967944</v>
      </c>
      <c r="I208" s="21">
        <v>-81.74359</v>
      </c>
      <c r="J208" s="21" t="s">
        <v>617</v>
      </c>
      <c r="K208" s="21" t="s">
        <v>618</v>
      </c>
      <c r="L208" s="21">
        <v>4.0</v>
      </c>
      <c r="M208" s="21">
        <v>25.95395</v>
      </c>
      <c r="N208" s="21">
        <v>-81.75136</v>
      </c>
      <c r="O208" s="21" t="s">
        <v>1488</v>
      </c>
      <c r="P208" s="54"/>
    </row>
    <row r="209" ht="33.75" customHeight="1">
      <c r="A209" s="29">
        <v>42408.0</v>
      </c>
      <c r="B209" s="25" t="s">
        <v>68</v>
      </c>
      <c r="C209" s="25" t="s">
        <v>69</v>
      </c>
      <c r="D209" s="25" t="s">
        <v>70</v>
      </c>
      <c r="E209" s="25" t="s">
        <v>71</v>
      </c>
      <c r="F209" s="25">
        <v>25.946919</v>
      </c>
      <c r="G209" s="25">
        <v>-81.742552</v>
      </c>
      <c r="H209" s="21">
        <v>25.967944</v>
      </c>
      <c r="I209" s="21">
        <v>-81.74359</v>
      </c>
      <c r="J209" s="21" t="s">
        <v>617</v>
      </c>
      <c r="K209" s="21" t="s">
        <v>618</v>
      </c>
      <c r="L209" s="21">
        <v>5.0</v>
      </c>
      <c r="M209" s="21">
        <v>25.95475</v>
      </c>
      <c r="N209" s="21">
        <v>-81.75165</v>
      </c>
      <c r="O209" s="21" t="s">
        <v>1491</v>
      </c>
      <c r="P209" s="54"/>
    </row>
    <row r="210" ht="33.75" customHeight="1">
      <c r="A210" s="29">
        <v>42408.0</v>
      </c>
      <c r="B210" s="25" t="s">
        <v>68</v>
      </c>
      <c r="C210" s="25" t="s">
        <v>69</v>
      </c>
      <c r="D210" s="25" t="s">
        <v>70</v>
      </c>
      <c r="E210" s="25" t="s">
        <v>71</v>
      </c>
      <c r="F210" s="25">
        <v>25.946919</v>
      </c>
      <c r="G210" s="25">
        <v>-81.742552</v>
      </c>
      <c r="H210" s="21">
        <v>25.967944</v>
      </c>
      <c r="I210" s="21">
        <v>-81.74359</v>
      </c>
      <c r="J210" s="21" t="s">
        <v>617</v>
      </c>
      <c r="K210" s="21" t="s">
        <v>618</v>
      </c>
      <c r="L210" s="21">
        <v>6.0</v>
      </c>
      <c r="M210" s="21">
        <v>25.95519</v>
      </c>
      <c r="N210" s="21">
        <v>-81.7518</v>
      </c>
      <c r="O210" s="21" t="s">
        <v>1495</v>
      </c>
      <c r="P210" s="54"/>
    </row>
    <row r="211" ht="33.75" customHeight="1">
      <c r="A211" s="29">
        <v>42408.0</v>
      </c>
      <c r="B211" s="25" t="s">
        <v>68</v>
      </c>
      <c r="C211" s="25" t="s">
        <v>69</v>
      </c>
      <c r="D211" s="25" t="s">
        <v>70</v>
      </c>
      <c r="E211" s="25" t="s">
        <v>71</v>
      </c>
      <c r="F211" s="25">
        <v>25.946919</v>
      </c>
      <c r="G211" s="25">
        <v>-81.742552</v>
      </c>
      <c r="H211" s="21">
        <v>25.967944</v>
      </c>
      <c r="I211" s="21">
        <v>-81.74359</v>
      </c>
      <c r="J211" s="21" t="s">
        <v>617</v>
      </c>
      <c r="K211" s="21" t="s">
        <v>618</v>
      </c>
      <c r="L211" s="21">
        <v>7.0</v>
      </c>
      <c r="M211" s="21">
        <v>25.95564</v>
      </c>
      <c r="N211" s="21">
        <v>-81.75195</v>
      </c>
      <c r="O211" s="21" t="s">
        <v>1499</v>
      </c>
      <c r="P211" s="54"/>
    </row>
    <row r="212" ht="33.75" customHeight="1">
      <c r="A212" s="29">
        <v>42408.0</v>
      </c>
      <c r="B212" s="25" t="s">
        <v>68</v>
      </c>
      <c r="C212" s="25" t="s">
        <v>69</v>
      </c>
      <c r="D212" s="25" t="s">
        <v>70</v>
      </c>
      <c r="E212" s="25" t="s">
        <v>71</v>
      </c>
      <c r="F212" s="25">
        <v>25.946919</v>
      </c>
      <c r="G212" s="25">
        <v>-81.742552</v>
      </c>
      <c r="H212" s="21">
        <v>25.967944</v>
      </c>
      <c r="I212" s="21">
        <v>-81.74359</v>
      </c>
      <c r="J212" s="21" t="s">
        <v>617</v>
      </c>
      <c r="K212" s="21" t="s">
        <v>618</v>
      </c>
      <c r="L212" s="21">
        <v>8.0</v>
      </c>
      <c r="M212" s="21">
        <v>25.95615</v>
      </c>
      <c r="N212" s="21">
        <v>-81.75204</v>
      </c>
      <c r="O212" s="21" t="s">
        <v>1503</v>
      </c>
      <c r="P212" s="54"/>
    </row>
    <row r="213" ht="33.75" customHeight="1">
      <c r="A213" s="29">
        <v>42408.0</v>
      </c>
      <c r="B213" s="25" t="s">
        <v>68</v>
      </c>
      <c r="C213" s="25" t="s">
        <v>69</v>
      </c>
      <c r="D213" s="25" t="s">
        <v>70</v>
      </c>
      <c r="E213" s="25" t="s">
        <v>71</v>
      </c>
      <c r="F213" s="25">
        <v>25.946919</v>
      </c>
      <c r="G213" s="25">
        <v>-81.742552</v>
      </c>
      <c r="H213" s="21">
        <v>25.967944</v>
      </c>
      <c r="I213" s="21">
        <v>-81.74359</v>
      </c>
      <c r="J213" s="21" t="s">
        <v>617</v>
      </c>
      <c r="K213" s="21" t="s">
        <v>618</v>
      </c>
      <c r="L213" s="21">
        <v>9.0</v>
      </c>
      <c r="M213" s="21">
        <v>25.95728</v>
      </c>
      <c r="N213" s="21">
        <v>-81.75214</v>
      </c>
      <c r="O213" s="21" t="s">
        <v>897</v>
      </c>
      <c r="P213" s="54"/>
    </row>
    <row r="214" ht="33.75" customHeight="1">
      <c r="A214" s="29">
        <v>42408.0</v>
      </c>
      <c r="B214" s="25" t="s">
        <v>68</v>
      </c>
      <c r="C214" s="25" t="s">
        <v>69</v>
      </c>
      <c r="D214" s="25" t="s">
        <v>70</v>
      </c>
      <c r="E214" s="25" t="s">
        <v>71</v>
      </c>
      <c r="F214" s="25">
        <v>25.946919</v>
      </c>
      <c r="G214" s="25">
        <v>-81.742552</v>
      </c>
      <c r="H214" s="21">
        <v>25.967944</v>
      </c>
      <c r="I214" s="21">
        <v>-81.74359</v>
      </c>
      <c r="J214" s="21" t="s">
        <v>617</v>
      </c>
      <c r="K214" s="21" t="s">
        <v>618</v>
      </c>
      <c r="L214" s="21">
        <v>10.0</v>
      </c>
      <c r="M214" s="21">
        <v>25.95988</v>
      </c>
      <c r="N214" s="21">
        <v>-81.75223</v>
      </c>
      <c r="O214" s="21" t="s">
        <v>1506</v>
      </c>
      <c r="P214" s="54"/>
    </row>
    <row r="215" ht="33.75" customHeight="1">
      <c r="A215" s="29">
        <v>42408.0</v>
      </c>
      <c r="B215" s="25" t="s">
        <v>68</v>
      </c>
      <c r="C215" s="25" t="s">
        <v>69</v>
      </c>
      <c r="D215" s="25" t="s">
        <v>70</v>
      </c>
      <c r="E215" s="25" t="s">
        <v>71</v>
      </c>
      <c r="F215" s="25">
        <v>25.946919</v>
      </c>
      <c r="G215" s="25">
        <v>-81.742552</v>
      </c>
      <c r="H215" s="21">
        <v>25.967944</v>
      </c>
      <c r="I215" s="21">
        <v>-81.74359</v>
      </c>
      <c r="J215" s="21" t="s">
        <v>617</v>
      </c>
      <c r="K215" s="21" t="s">
        <v>618</v>
      </c>
      <c r="L215" s="21">
        <v>11.0</v>
      </c>
      <c r="M215" s="21">
        <v>25.96076</v>
      </c>
      <c r="N215" s="21">
        <v>-81.75207</v>
      </c>
      <c r="O215" s="21" t="s">
        <v>1510</v>
      </c>
      <c r="P215" s="54"/>
    </row>
    <row r="216" ht="33.75" customHeight="1">
      <c r="A216" s="29">
        <v>42408.0</v>
      </c>
      <c r="B216" s="25" t="s">
        <v>68</v>
      </c>
      <c r="C216" s="25" t="s">
        <v>69</v>
      </c>
      <c r="D216" s="25" t="s">
        <v>70</v>
      </c>
      <c r="E216" s="25" t="s">
        <v>71</v>
      </c>
      <c r="F216" s="25">
        <v>25.946919</v>
      </c>
      <c r="G216" s="25">
        <v>-81.742552</v>
      </c>
      <c r="H216" s="21">
        <v>25.967944</v>
      </c>
      <c r="I216" s="21">
        <v>-81.74359</v>
      </c>
      <c r="J216" s="21" t="s">
        <v>617</v>
      </c>
      <c r="K216" s="21" t="s">
        <v>618</v>
      </c>
      <c r="L216" s="21">
        <v>12.0</v>
      </c>
      <c r="M216" s="21">
        <v>25.96906</v>
      </c>
      <c r="N216" s="21">
        <v>-81.74497</v>
      </c>
      <c r="O216" s="21" t="s">
        <v>1513</v>
      </c>
      <c r="P216" s="54"/>
    </row>
    <row r="217" ht="33.75" customHeight="1">
      <c r="A217" s="29">
        <v>42408.0</v>
      </c>
      <c r="B217" s="25" t="s">
        <v>68</v>
      </c>
      <c r="C217" s="25" t="s">
        <v>69</v>
      </c>
      <c r="D217" s="25" t="s">
        <v>70</v>
      </c>
      <c r="E217" s="25" t="s">
        <v>71</v>
      </c>
      <c r="F217" s="25">
        <v>25.946919</v>
      </c>
      <c r="G217" s="25">
        <v>-81.742552</v>
      </c>
      <c r="H217" s="21">
        <v>25.967944</v>
      </c>
      <c r="I217" s="21">
        <v>-81.74359</v>
      </c>
      <c r="J217" s="21" t="s">
        <v>617</v>
      </c>
      <c r="K217" s="21" t="s">
        <v>618</v>
      </c>
      <c r="L217" s="21">
        <v>13.0</v>
      </c>
      <c r="M217" s="21">
        <v>25.96884</v>
      </c>
      <c r="N217" s="21">
        <v>-81.74434</v>
      </c>
      <c r="O217" s="21" t="s">
        <v>892</v>
      </c>
      <c r="P217" s="54"/>
    </row>
    <row r="218" ht="33.75" customHeight="1">
      <c r="A218" s="29">
        <v>42411.0</v>
      </c>
      <c r="B218" s="25" t="s">
        <v>1081</v>
      </c>
      <c r="C218" s="25" t="s">
        <v>1082</v>
      </c>
      <c r="D218" s="25" t="s">
        <v>1515</v>
      </c>
      <c r="E218" s="25" t="s">
        <v>1516</v>
      </c>
      <c r="F218" s="25"/>
      <c r="G218" s="25"/>
      <c r="H218" s="21"/>
      <c r="I218" s="21"/>
      <c r="J218" s="21"/>
      <c r="K218" s="21" t="s">
        <v>1517</v>
      </c>
      <c r="L218" s="21">
        <v>1.0</v>
      </c>
      <c r="M218" s="21" t="s">
        <v>1518</v>
      </c>
      <c r="N218" s="21" t="s">
        <v>1519</v>
      </c>
      <c r="O218" s="21" t="s">
        <v>1520</v>
      </c>
      <c r="P218" s="22" t="s">
        <v>1521</v>
      </c>
    </row>
    <row r="219" ht="33.75" customHeight="1">
      <c r="A219" s="29">
        <v>42409.0</v>
      </c>
      <c r="B219" s="25" t="s">
        <v>866</v>
      </c>
      <c r="C219" s="25" t="s">
        <v>867</v>
      </c>
      <c r="D219" s="25" t="s">
        <v>1522</v>
      </c>
      <c r="E219" s="21" t="s">
        <v>220</v>
      </c>
      <c r="F219" s="21" t="s">
        <v>1523</v>
      </c>
      <c r="G219" s="21" t="s">
        <v>1525</v>
      </c>
      <c r="H219" s="21" t="s">
        <v>1523</v>
      </c>
      <c r="I219" s="21" t="s">
        <v>1525</v>
      </c>
      <c r="J219" s="21" t="s">
        <v>1527</v>
      </c>
      <c r="K219" s="21" t="s">
        <v>1528</v>
      </c>
      <c r="L219" s="21">
        <v>1.0</v>
      </c>
      <c r="M219" s="21" t="s">
        <v>1523</v>
      </c>
      <c r="N219" s="21" t="s">
        <v>1525</v>
      </c>
      <c r="O219" s="21" t="s">
        <v>1530</v>
      </c>
      <c r="P219" s="22" t="s">
        <v>660</v>
      </c>
    </row>
    <row r="220" ht="33.75" customHeight="1">
      <c r="A220" s="29">
        <v>42411.0</v>
      </c>
      <c r="B220" s="25" t="s">
        <v>1208</v>
      </c>
      <c r="C220" s="25" t="s">
        <v>1533</v>
      </c>
      <c r="D220" s="25" t="s">
        <v>1534</v>
      </c>
      <c r="E220" s="25" t="s">
        <v>1535</v>
      </c>
      <c r="F220" s="25">
        <v>29.9902778</v>
      </c>
      <c r="G220" s="25">
        <v>-81.31527778</v>
      </c>
      <c r="H220" s="21">
        <v>29.9514579</v>
      </c>
      <c r="I220" s="21">
        <v>-81.3034718</v>
      </c>
      <c r="J220" s="21" t="s">
        <v>1536</v>
      </c>
      <c r="K220" s="21" t="s">
        <v>1538</v>
      </c>
      <c r="L220" s="21" t="s">
        <v>256</v>
      </c>
      <c r="P220" s="22" t="s">
        <v>1541</v>
      </c>
    </row>
    <row r="221" ht="33.75" customHeight="1">
      <c r="A221" s="29">
        <v>42411.0</v>
      </c>
      <c r="B221" s="25" t="s">
        <v>1208</v>
      </c>
      <c r="C221" s="25" t="s">
        <v>1533</v>
      </c>
      <c r="D221" s="25" t="s">
        <v>1546</v>
      </c>
      <c r="E221" s="25" t="s">
        <v>1535</v>
      </c>
      <c r="F221" s="25">
        <v>30.0221008</v>
      </c>
      <c r="G221" s="25">
        <v>-81.32272459</v>
      </c>
      <c r="H221" s="21">
        <v>30.1270616</v>
      </c>
      <c r="I221" s="21">
        <v>-81.3470202</v>
      </c>
      <c r="J221" s="21" t="s">
        <v>1547</v>
      </c>
      <c r="K221" s="21" t="s">
        <v>1548</v>
      </c>
      <c r="L221" s="21">
        <v>1.0</v>
      </c>
      <c r="M221" s="21">
        <v>30.116944</v>
      </c>
      <c r="N221" s="21">
        <v>-81.34444444</v>
      </c>
      <c r="O221" s="21" t="s">
        <v>1549</v>
      </c>
      <c r="P221" s="54"/>
    </row>
    <row r="222" ht="33.75" customHeight="1">
      <c r="A222" s="29">
        <v>42409.0</v>
      </c>
      <c r="B222" s="25" t="s">
        <v>1539</v>
      </c>
      <c r="C222" s="25" t="s">
        <v>1540</v>
      </c>
      <c r="D222" s="25" t="s">
        <v>1551</v>
      </c>
      <c r="E222" s="25" t="s">
        <v>1552</v>
      </c>
      <c r="F222" s="25">
        <v>27.3613</v>
      </c>
      <c r="G222" s="25">
        <v>-82.6226</v>
      </c>
      <c r="H222" s="21">
        <v>27.40048</v>
      </c>
      <c r="I222" s="21">
        <v>-82.65096</v>
      </c>
      <c r="J222" s="21" t="s">
        <v>1553</v>
      </c>
      <c r="K222" s="21" t="s">
        <v>1554</v>
      </c>
      <c r="L222" s="21" t="s">
        <v>256</v>
      </c>
      <c r="P222" s="22" t="s">
        <v>1555</v>
      </c>
    </row>
    <row r="223" ht="33.75" customHeight="1">
      <c r="A223" s="29">
        <v>42410.0</v>
      </c>
      <c r="B223" s="25" t="s">
        <v>1539</v>
      </c>
      <c r="C223" s="25" t="s">
        <v>1540</v>
      </c>
      <c r="D223" s="25" t="s">
        <v>1542</v>
      </c>
      <c r="E223" s="25" t="s">
        <v>1543</v>
      </c>
      <c r="F223" s="25">
        <v>27.40048</v>
      </c>
      <c r="G223" s="25">
        <v>-82.65096</v>
      </c>
      <c r="H223" s="21">
        <v>27.44085</v>
      </c>
      <c r="I223" s="21">
        <v>-82.68646</v>
      </c>
      <c r="J223" s="21" t="s">
        <v>1544</v>
      </c>
      <c r="K223" s="21" t="s">
        <v>1545</v>
      </c>
      <c r="L223" s="21">
        <v>1.0</v>
      </c>
      <c r="M223" s="21">
        <v>27.43364</v>
      </c>
      <c r="N223" s="21">
        <v>-82.68741</v>
      </c>
      <c r="O223" s="21" t="s">
        <v>1561</v>
      </c>
      <c r="P223" s="22" t="s">
        <v>1555</v>
      </c>
    </row>
    <row r="224" ht="33.75" customHeight="1">
      <c r="A224" s="29">
        <v>42411.0</v>
      </c>
      <c r="B224" s="25" t="s">
        <v>1539</v>
      </c>
      <c r="C224" s="25" t="s">
        <v>1540</v>
      </c>
      <c r="D224" s="25" t="s">
        <v>1562</v>
      </c>
      <c r="E224" s="25" t="s">
        <v>428</v>
      </c>
      <c r="F224" s="25">
        <v>27.32858</v>
      </c>
      <c r="G224" s="25">
        <v>-82.58878</v>
      </c>
      <c r="H224" s="21">
        <v>27.3613</v>
      </c>
      <c r="I224" s="21">
        <v>-82.6226</v>
      </c>
      <c r="J224" s="21" t="s">
        <v>1563</v>
      </c>
      <c r="K224" s="21" t="s">
        <v>1564</v>
      </c>
      <c r="L224" s="21">
        <v>1.0</v>
      </c>
      <c r="M224" s="21">
        <v>27.32892</v>
      </c>
      <c r="N224" s="21">
        <v>-82.5891</v>
      </c>
      <c r="O224" s="21" t="s">
        <v>1565</v>
      </c>
      <c r="P224" s="54"/>
    </row>
    <row r="225" ht="33.75" customHeight="1">
      <c r="A225" s="29">
        <v>42408.0</v>
      </c>
      <c r="B225" s="25" t="s">
        <v>278</v>
      </c>
      <c r="C225" s="25" t="s">
        <v>279</v>
      </c>
      <c r="D225" s="25" t="s">
        <v>355</v>
      </c>
      <c r="E225" s="25" t="s">
        <v>507</v>
      </c>
      <c r="F225" s="25">
        <v>30.383679</v>
      </c>
      <c r="G225" s="25">
        <v>-86.45356</v>
      </c>
      <c r="H225" s="21">
        <v>30.382149</v>
      </c>
      <c r="I225" s="21">
        <v>-86.43247</v>
      </c>
      <c r="J225" s="21" t="s">
        <v>359</v>
      </c>
      <c r="K225" s="21" t="s">
        <v>361</v>
      </c>
      <c r="L225" s="21">
        <v>1.0</v>
      </c>
      <c r="M225" s="21">
        <v>30.38309</v>
      </c>
      <c r="N225" s="21">
        <v>-86.43986</v>
      </c>
      <c r="O225" s="21" t="s">
        <v>1568</v>
      </c>
      <c r="P225" s="22" t="s">
        <v>1569</v>
      </c>
    </row>
    <row r="226" ht="33.75" customHeight="1">
      <c r="A226" s="29">
        <v>42408.0</v>
      </c>
      <c r="B226" s="25" t="s">
        <v>278</v>
      </c>
      <c r="C226" s="25" t="s">
        <v>279</v>
      </c>
      <c r="D226" s="25" t="s">
        <v>1570</v>
      </c>
      <c r="E226" s="25" t="s">
        <v>281</v>
      </c>
      <c r="F226" s="25">
        <v>30.36671</v>
      </c>
      <c r="G226" s="25">
        <v>-86.31693</v>
      </c>
      <c r="H226" s="21">
        <v>30.35499</v>
      </c>
      <c r="I226" s="21">
        <v>-86.26302</v>
      </c>
      <c r="J226" s="21" t="s">
        <v>1571</v>
      </c>
      <c r="K226" s="21" t="s">
        <v>1572</v>
      </c>
      <c r="L226" s="21" t="s">
        <v>256</v>
      </c>
      <c r="P226" s="22" t="s">
        <v>1433</v>
      </c>
    </row>
    <row r="227" ht="33.75" customHeight="1">
      <c r="A227" s="29">
        <v>42411.0</v>
      </c>
      <c r="B227" s="25" t="s">
        <v>278</v>
      </c>
      <c r="C227" s="25" t="s">
        <v>279</v>
      </c>
      <c r="D227" s="25" t="s">
        <v>370</v>
      </c>
      <c r="E227" s="25" t="s">
        <v>164</v>
      </c>
      <c r="F227" s="25">
        <v>30.269292</v>
      </c>
      <c r="G227" s="25">
        <v>-85.995918</v>
      </c>
      <c r="H227" s="21">
        <v>30.266533</v>
      </c>
      <c r="I227" s="21">
        <v>-85.988889</v>
      </c>
      <c r="J227" s="21" t="s">
        <v>374</v>
      </c>
      <c r="K227" s="21" t="s">
        <v>375</v>
      </c>
      <c r="L227" s="21">
        <v>1.0</v>
      </c>
      <c r="M227" s="21">
        <v>30.26818</v>
      </c>
      <c r="N227" s="21">
        <v>-85.99326</v>
      </c>
      <c r="O227" s="21" t="s">
        <v>1575</v>
      </c>
      <c r="P227" s="22" t="s">
        <v>1576</v>
      </c>
    </row>
    <row r="228" ht="33.75" customHeight="1">
      <c r="A228" s="29">
        <v>42411.0</v>
      </c>
      <c r="B228" s="25" t="s">
        <v>278</v>
      </c>
      <c r="C228" s="25" t="s">
        <v>279</v>
      </c>
      <c r="D228" s="25" t="s">
        <v>370</v>
      </c>
      <c r="E228" s="25" t="s">
        <v>164</v>
      </c>
      <c r="F228" s="25">
        <v>30.269292</v>
      </c>
      <c r="G228" s="25">
        <v>-85.995918</v>
      </c>
      <c r="H228" s="21">
        <v>30.266533</v>
      </c>
      <c r="I228" s="21">
        <v>-85.988889</v>
      </c>
      <c r="J228" s="21" t="s">
        <v>374</v>
      </c>
      <c r="K228" s="21" t="s">
        <v>375</v>
      </c>
      <c r="L228" s="21">
        <v>2.0</v>
      </c>
      <c r="M228" s="21">
        <v>30.2675</v>
      </c>
      <c r="N228" s="21">
        <v>-85.99165</v>
      </c>
      <c r="O228" s="21" t="s">
        <v>1581</v>
      </c>
      <c r="P228" s="22" t="s">
        <v>1582</v>
      </c>
    </row>
    <row r="229" ht="33.75" customHeight="1">
      <c r="A229" s="29">
        <v>42409.0</v>
      </c>
      <c r="B229" s="25" t="s">
        <v>278</v>
      </c>
      <c r="C229" s="25" t="s">
        <v>279</v>
      </c>
      <c r="D229" s="25" t="s">
        <v>1586</v>
      </c>
      <c r="E229" s="25" t="s">
        <v>281</v>
      </c>
      <c r="F229" s="25">
        <v>30.29925</v>
      </c>
      <c r="G229" s="25">
        <v>-86.077266</v>
      </c>
      <c r="H229" s="21">
        <v>30.295728</v>
      </c>
      <c r="I229" s="21">
        <v>-86.06432</v>
      </c>
      <c r="J229" s="21" t="s">
        <v>1587</v>
      </c>
      <c r="K229" s="21" t="s">
        <v>1436</v>
      </c>
      <c r="L229" s="21" t="s">
        <v>256</v>
      </c>
      <c r="P229" s="22" t="s">
        <v>1433</v>
      </c>
    </row>
    <row r="230" ht="33.75" customHeight="1">
      <c r="A230" s="20">
        <v>42411.0</v>
      </c>
      <c r="B230" s="21" t="s">
        <v>278</v>
      </c>
      <c r="C230" s="25" t="s">
        <v>279</v>
      </c>
      <c r="D230" s="21" t="s">
        <v>381</v>
      </c>
      <c r="E230" s="21" t="s">
        <v>164</v>
      </c>
      <c r="F230" s="21">
        <v>30.13079</v>
      </c>
      <c r="G230" s="21">
        <v>-85.72777</v>
      </c>
      <c r="H230" s="21">
        <v>30.13281</v>
      </c>
      <c r="I230" s="22">
        <v>-85.74561</v>
      </c>
      <c r="J230" s="21" t="s">
        <v>385</v>
      </c>
      <c r="K230" s="21" t="s">
        <v>386</v>
      </c>
      <c r="L230" s="21">
        <v>1.0</v>
      </c>
      <c r="M230" s="21">
        <v>30.12481</v>
      </c>
      <c r="N230" s="21">
        <v>-85.73196</v>
      </c>
      <c r="O230" s="21" t="s">
        <v>1588</v>
      </c>
      <c r="P230" s="22" t="s">
        <v>1589</v>
      </c>
    </row>
    <row r="231" ht="33.75" customHeight="1">
      <c r="A231" s="29">
        <v>42405.0</v>
      </c>
      <c r="B231" s="25" t="s">
        <v>340</v>
      </c>
      <c r="C231" s="25" t="s">
        <v>279</v>
      </c>
      <c r="D231" s="25" t="s">
        <v>341</v>
      </c>
      <c r="E231" s="25" t="s">
        <v>164</v>
      </c>
      <c r="F231" s="25">
        <v>30.08912</v>
      </c>
      <c r="G231" s="25">
        <v>-85.67931</v>
      </c>
      <c r="H231" s="21">
        <v>30.11851</v>
      </c>
      <c r="I231" s="21">
        <v>-85.72436</v>
      </c>
      <c r="J231" s="21" t="s">
        <v>345</v>
      </c>
      <c r="K231" s="21" t="s">
        <v>347</v>
      </c>
      <c r="L231" s="21">
        <v>1.0</v>
      </c>
      <c r="M231" s="21">
        <v>30.09395</v>
      </c>
      <c r="N231" s="21">
        <v>-85.68919</v>
      </c>
      <c r="O231" s="21" t="s">
        <v>1596</v>
      </c>
      <c r="P231" s="22" t="s">
        <v>1597</v>
      </c>
    </row>
    <row r="232" ht="33.75" customHeight="1">
      <c r="A232" s="29">
        <v>42405.0</v>
      </c>
      <c r="B232" s="25" t="s">
        <v>340</v>
      </c>
      <c r="C232" s="25" t="s">
        <v>279</v>
      </c>
      <c r="D232" s="25" t="s">
        <v>341</v>
      </c>
      <c r="E232" s="25" t="s">
        <v>164</v>
      </c>
      <c r="F232" s="25">
        <v>30.08912</v>
      </c>
      <c r="G232" s="25">
        <v>-85.67931</v>
      </c>
      <c r="H232" s="21">
        <v>30.11851</v>
      </c>
      <c r="I232" s="21">
        <v>-85.72436</v>
      </c>
      <c r="J232" s="21" t="s">
        <v>345</v>
      </c>
      <c r="K232" s="21" t="s">
        <v>347</v>
      </c>
      <c r="L232" s="21">
        <v>2.0</v>
      </c>
      <c r="M232" s="21">
        <v>30.09141</v>
      </c>
      <c r="N232" s="21">
        <v>-85.68954</v>
      </c>
      <c r="O232" s="21" t="s">
        <v>1600</v>
      </c>
      <c r="P232" s="22" t="s">
        <v>1601</v>
      </c>
    </row>
    <row r="233" ht="33.75" customHeight="1">
      <c r="A233" s="29">
        <v>42405.0</v>
      </c>
      <c r="B233" s="25" t="s">
        <v>340</v>
      </c>
      <c r="C233" s="25" t="s">
        <v>279</v>
      </c>
      <c r="D233" s="25" t="s">
        <v>341</v>
      </c>
      <c r="E233" s="25" t="s">
        <v>164</v>
      </c>
      <c r="F233" s="25">
        <v>30.08912</v>
      </c>
      <c r="G233" s="25">
        <v>-85.67931</v>
      </c>
      <c r="H233" s="21">
        <v>30.11851</v>
      </c>
      <c r="I233" s="21">
        <v>-85.72436</v>
      </c>
      <c r="J233" s="21" t="s">
        <v>345</v>
      </c>
      <c r="K233" s="21" t="s">
        <v>347</v>
      </c>
      <c r="L233" s="21">
        <v>3.0</v>
      </c>
      <c r="M233" s="21">
        <v>30.08941</v>
      </c>
      <c r="N233" s="21">
        <v>-85.67958</v>
      </c>
      <c r="O233" s="21" t="s">
        <v>1605</v>
      </c>
      <c r="P233" s="22" t="s">
        <v>1606</v>
      </c>
    </row>
    <row r="234" ht="33.75" customHeight="1">
      <c r="A234" s="29">
        <v>42405.0</v>
      </c>
      <c r="B234" s="25" t="s">
        <v>340</v>
      </c>
      <c r="C234" s="25" t="s">
        <v>279</v>
      </c>
      <c r="D234" s="25" t="s">
        <v>341</v>
      </c>
      <c r="E234" s="25" t="s">
        <v>164</v>
      </c>
      <c r="F234" s="25">
        <v>30.08912</v>
      </c>
      <c r="G234" s="25">
        <v>-85.67931</v>
      </c>
      <c r="H234" s="21">
        <v>30.11851</v>
      </c>
      <c r="I234" s="21">
        <v>-85.72436</v>
      </c>
      <c r="J234" s="21" t="s">
        <v>345</v>
      </c>
      <c r="K234" s="21" t="s">
        <v>347</v>
      </c>
      <c r="L234" s="21">
        <v>4.0</v>
      </c>
      <c r="M234" s="21">
        <v>30.09854</v>
      </c>
      <c r="N234" s="21">
        <v>-85.69853</v>
      </c>
      <c r="O234" s="21" t="s">
        <v>1596</v>
      </c>
      <c r="P234" s="22" t="s">
        <v>1615</v>
      </c>
    </row>
    <row r="235" ht="33.75" customHeight="1">
      <c r="A235" s="29">
        <v>42405.0</v>
      </c>
      <c r="B235" s="25" t="s">
        <v>340</v>
      </c>
      <c r="C235" s="25" t="s">
        <v>279</v>
      </c>
      <c r="D235" s="25" t="s">
        <v>341</v>
      </c>
      <c r="E235" s="25" t="s">
        <v>164</v>
      </c>
      <c r="F235" s="25">
        <v>30.08912</v>
      </c>
      <c r="G235" s="25">
        <v>-85.67931</v>
      </c>
      <c r="H235" s="21">
        <v>30.11851</v>
      </c>
      <c r="I235" s="21">
        <v>-85.72436</v>
      </c>
      <c r="J235" s="21" t="s">
        <v>345</v>
      </c>
      <c r="K235" s="21" t="s">
        <v>347</v>
      </c>
      <c r="L235" s="21">
        <v>5.0</v>
      </c>
      <c r="M235" s="21">
        <v>30.10462</v>
      </c>
      <c r="N235" s="21">
        <v>-85.70886</v>
      </c>
      <c r="O235" s="21" t="s">
        <v>1616</v>
      </c>
      <c r="P235" s="22" t="s">
        <v>1618</v>
      </c>
    </row>
    <row r="236" ht="33.75" customHeight="1">
      <c r="A236" s="29">
        <v>42405.0</v>
      </c>
      <c r="B236" s="25" t="s">
        <v>340</v>
      </c>
      <c r="C236" s="25" t="s">
        <v>279</v>
      </c>
      <c r="D236" s="25" t="s">
        <v>341</v>
      </c>
      <c r="E236" s="25" t="s">
        <v>164</v>
      </c>
      <c r="F236" s="25">
        <v>30.08912</v>
      </c>
      <c r="G236" s="25">
        <v>-85.67931</v>
      </c>
      <c r="H236" s="21">
        <v>30.11851</v>
      </c>
      <c r="I236" s="21">
        <v>-85.72436</v>
      </c>
      <c r="J236" s="21" t="s">
        <v>345</v>
      </c>
      <c r="K236" s="21" t="s">
        <v>347</v>
      </c>
      <c r="L236" s="21">
        <v>6.0</v>
      </c>
      <c r="M236" s="21">
        <v>30.10666</v>
      </c>
      <c r="N236" s="21">
        <v>-85.71214</v>
      </c>
      <c r="O236" s="21" t="s">
        <v>1605</v>
      </c>
      <c r="P236" s="22" t="s">
        <v>1622</v>
      </c>
    </row>
    <row r="237" ht="33.75" customHeight="1">
      <c r="A237" s="29">
        <v>42405.0</v>
      </c>
      <c r="B237" s="25" t="s">
        <v>340</v>
      </c>
      <c r="C237" s="25" t="s">
        <v>279</v>
      </c>
      <c r="D237" s="25" t="s">
        <v>341</v>
      </c>
      <c r="E237" s="25" t="s">
        <v>164</v>
      </c>
      <c r="F237" s="25">
        <v>30.08912</v>
      </c>
      <c r="G237" s="25">
        <v>-85.67931</v>
      </c>
      <c r="H237" s="21">
        <v>30.11851</v>
      </c>
      <c r="I237" s="21">
        <v>-85.72436</v>
      </c>
      <c r="J237" s="21" t="s">
        <v>345</v>
      </c>
      <c r="K237" s="21" t="s">
        <v>347</v>
      </c>
      <c r="L237" s="21">
        <v>7.0</v>
      </c>
      <c r="M237" s="21">
        <v>30.611789</v>
      </c>
      <c r="N237" s="21">
        <v>-85.72884</v>
      </c>
      <c r="O237" s="21" t="s">
        <v>1625</v>
      </c>
      <c r="P237" s="22" t="s">
        <v>1626</v>
      </c>
    </row>
    <row r="238" ht="33.75" customHeight="1">
      <c r="A238" s="29">
        <v>42405.0</v>
      </c>
      <c r="B238" s="25" t="s">
        <v>317</v>
      </c>
      <c r="C238" s="25" t="s">
        <v>318</v>
      </c>
      <c r="D238" s="25" t="s">
        <v>319</v>
      </c>
      <c r="E238" s="25" t="s">
        <v>320</v>
      </c>
      <c r="F238" s="25">
        <v>25.6667</v>
      </c>
      <c r="G238" s="25">
        <v>-80.1557</v>
      </c>
      <c r="H238" s="21">
        <v>25.683</v>
      </c>
      <c r="I238" s="21">
        <v>-80.1553</v>
      </c>
      <c r="J238" s="21" t="s">
        <v>1623</v>
      </c>
      <c r="K238" s="21" t="s">
        <v>1624</v>
      </c>
      <c r="L238" s="21" t="s">
        <v>256</v>
      </c>
      <c r="P238" s="54"/>
    </row>
    <row r="239" ht="33.75" customHeight="1">
      <c r="A239" s="29">
        <v>42405.0</v>
      </c>
      <c r="B239" s="25" t="s">
        <v>317</v>
      </c>
      <c r="C239" s="25" t="s">
        <v>318</v>
      </c>
      <c r="D239" s="25" t="s">
        <v>322</v>
      </c>
      <c r="E239" s="25" t="s">
        <v>320</v>
      </c>
      <c r="F239" s="25">
        <v>25.683</v>
      </c>
      <c r="G239" s="25">
        <v>-80.1553</v>
      </c>
      <c r="H239" s="21">
        <v>25.7002</v>
      </c>
      <c r="I239" s="21">
        <v>-80.1553</v>
      </c>
      <c r="J239" s="21" t="s">
        <v>1617</v>
      </c>
      <c r="K239" s="21" t="s">
        <v>1619</v>
      </c>
      <c r="L239" s="21">
        <v>1.0</v>
      </c>
      <c r="M239" s="21">
        <v>25.6988</v>
      </c>
      <c r="N239" s="21">
        <v>-80.1556</v>
      </c>
      <c r="O239" s="21" t="s">
        <v>466</v>
      </c>
      <c r="P239" s="22" t="s">
        <v>1633</v>
      </c>
    </row>
    <row r="240" ht="33.75" customHeight="1">
      <c r="A240" s="29">
        <v>42405.0</v>
      </c>
      <c r="B240" s="25" t="s">
        <v>317</v>
      </c>
      <c r="C240" s="25" t="s">
        <v>318</v>
      </c>
      <c r="D240" s="25" t="s">
        <v>322</v>
      </c>
      <c r="E240" s="25" t="s">
        <v>320</v>
      </c>
      <c r="F240" s="25">
        <v>25.683</v>
      </c>
      <c r="G240" s="25">
        <v>-80.1553</v>
      </c>
      <c r="H240" s="21">
        <v>25.7002</v>
      </c>
      <c r="I240" s="21">
        <v>-80.1553</v>
      </c>
      <c r="J240" s="21" t="s">
        <v>1617</v>
      </c>
      <c r="K240" s="21" t="s">
        <v>1619</v>
      </c>
      <c r="L240" s="21">
        <v>2.0</v>
      </c>
      <c r="M240" s="21">
        <v>25.6999</v>
      </c>
      <c r="N240" s="21">
        <v>-80.1553</v>
      </c>
      <c r="O240" s="21" t="s">
        <v>466</v>
      </c>
      <c r="P240" s="22" t="s">
        <v>1633</v>
      </c>
    </row>
    <row r="241" ht="33.75" customHeight="1">
      <c r="A241" s="20">
        <v>42405.0</v>
      </c>
      <c r="B241" s="21" t="s">
        <v>1168</v>
      </c>
      <c r="C241" s="21" t="s">
        <v>1170</v>
      </c>
      <c r="D241" s="21" t="s">
        <v>1171</v>
      </c>
      <c r="E241" s="21" t="s">
        <v>1172</v>
      </c>
      <c r="F241" s="21" t="s">
        <v>1173</v>
      </c>
      <c r="G241" s="21" t="s">
        <v>1174</v>
      </c>
      <c r="H241" s="21" t="s">
        <v>1176</v>
      </c>
      <c r="I241" s="21" t="s">
        <v>1177</v>
      </c>
      <c r="J241" s="21" t="s">
        <v>1179</v>
      </c>
      <c r="K241" s="21" t="s">
        <v>1180</v>
      </c>
      <c r="L241" s="21">
        <v>1.0</v>
      </c>
      <c r="M241" s="21" t="s">
        <v>1639</v>
      </c>
      <c r="N241" s="21" t="s">
        <v>1640</v>
      </c>
      <c r="O241" s="21" t="s">
        <v>1641</v>
      </c>
      <c r="P241" s="22" t="s">
        <v>1643</v>
      </c>
    </row>
    <row r="242" ht="33.75" customHeight="1">
      <c r="A242" s="20">
        <v>42405.0</v>
      </c>
      <c r="B242" s="21" t="s">
        <v>1168</v>
      </c>
      <c r="C242" s="21" t="s">
        <v>1170</v>
      </c>
      <c r="D242" s="21" t="s">
        <v>1171</v>
      </c>
      <c r="E242" s="21" t="s">
        <v>1172</v>
      </c>
      <c r="F242" s="21" t="s">
        <v>1173</v>
      </c>
      <c r="G242" s="21" t="s">
        <v>1174</v>
      </c>
      <c r="H242" s="21" t="s">
        <v>1176</v>
      </c>
      <c r="I242" s="21" t="s">
        <v>1177</v>
      </c>
      <c r="J242" s="21" t="s">
        <v>1179</v>
      </c>
      <c r="K242" s="21" t="s">
        <v>1180</v>
      </c>
      <c r="L242" s="21">
        <v>2.0</v>
      </c>
      <c r="M242" s="21" t="s">
        <v>1645</v>
      </c>
      <c r="N242" s="21" t="s">
        <v>1646</v>
      </c>
      <c r="O242" s="21" t="s">
        <v>1648</v>
      </c>
      <c r="P242" s="22" t="s">
        <v>1643</v>
      </c>
    </row>
    <row r="243" ht="33.75" customHeight="1">
      <c r="A243" s="29">
        <v>42409.0</v>
      </c>
      <c r="B243" s="25" t="s">
        <v>459</v>
      </c>
      <c r="C243" s="25" t="s">
        <v>1653</v>
      </c>
      <c r="D243" s="25" t="s">
        <v>463</v>
      </c>
      <c r="E243" s="25" t="s">
        <v>464</v>
      </c>
      <c r="F243" s="25">
        <v>26.470344</v>
      </c>
      <c r="G243" s="25">
        <v>-81.960317</v>
      </c>
      <c r="H243" s="21">
        <v>26.477887</v>
      </c>
      <c r="I243" s="21">
        <v>81.972354</v>
      </c>
      <c r="J243" s="21" t="s">
        <v>1379</v>
      </c>
      <c r="K243" s="21" t="s">
        <v>1380</v>
      </c>
      <c r="L243" s="21">
        <v>1.0</v>
      </c>
      <c r="M243" s="21">
        <v>26.477342</v>
      </c>
      <c r="N243" s="21">
        <v>-81.970783</v>
      </c>
      <c r="O243" s="21" t="s">
        <v>684</v>
      </c>
      <c r="P243" s="22" t="s">
        <v>1633</v>
      </c>
    </row>
    <row r="244" ht="33.75" customHeight="1">
      <c r="A244" s="29">
        <v>42409.0</v>
      </c>
      <c r="B244" s="25" t="s">
        <v>459</v>
      </c>
      <c r="C244" s="25" t="s">
        <v>1659</v>
      </c>
      <c r="D244" s="25" t="s">
        <v>463</v>
      </c>
      <c r="E244" s="25" t="s">
        <v>464</v>
      </c>
      <c r="F244" s="25">
        <v>26.470344</v>
      </c>
      <c r="G244" s="25">
        <v>-81.960317</v>
      </c>
      <c r="H244" s="21">
        <v>26.477887</v>
      </c>
      <c r="I244" s="59">
        <v>81.972354</v>
      </c>
      <c r="J244" s="21" t="s">
        <v>1379</v>
      </c>
      <c r="K244" s="21" t="s">
        <v>1380</v>
      </c>
      <c r="L244" s="21">
        <v>2.0</v>
      </c>
      <c r="M244" s="21">
        <v>26.47579</v>
      </c>
      <c r="N244" s="21">
        <v>-81.967325</v>
      </c>
      <c r="O244" s="21" t="s">
        <v>466</v>
      </c>
      <c r="P244" s="22" t="s">
        <v>732</v>
      </c>
    </row>
    <row r="245" ht="33.75" customHeight="1">
      <c r="A245" s="29">
        <v>42409.0</v>
      </c>
      <c r="B245" s="25" t="s">
        <v>459</v>
      </c>
      <c r="C245" s="25" t="s">
        <v>461</v>
      </c>
      <c r="D245" s="25" t="s">
        <v>463</v>
      </c>
      <c r="E245" s="25" t="s">
        <v>464</v>
      </c>
      <c r="F245" s="25">
        <v>26.470344</v>
      </c>
      <c r="G245" s="25">
        <v>-81.960317</v>
      </c>
      <c r="H245" s="21">
        <v>26.477887</v>
      </c>
      <c r="I245" s="21">
        <v>81.972354</v>
      </c>
      <c r="J245" s="21" t="s">
        <v>1379</v>
      </c>
      <c r="K245" s="21" t="s">
        <v>1380</v>
      </c>
      <c r="L245" s="21">
        <v>3.0</v>
      </c>
      <c r="M245" s="21">
        <v>26.477208</v>
      </c>
      <c r="N245" s="21">
        <v>-81.970348</v>
      </c>
      <c r="O245" s="21" t="s">
        <v>1499</v>
      </c>
      <c r="P245" s="22" t="s">
        <v>1663</v>
      </c>
    </row>
    <row r="246" ht="33.75" customHeight="1">
      <c r="A246" s="29">
        <v>42409.0</v>
      </c>
      <c r="B246" s="25" t="s">
        <v>459</v>
      </c>
      <c r="C246" s="25" t="s">
        <v>461</v>
      </c>
      <c r="D246" s="25" t="s">
        <v>463</v>
      </c>
      <c r="E246" s="25" t="s">
        <v>464</v>
      </c>
      <c r="F246" s="25">
        <v>26.470344</v>
      </c>
      <c r="G246" s="25">
        <v>-81.960317</v>
      </c>
      <c r="H246" s="21">
        <v>26.477887</v>
      </c>
      <c r="I246" s="21">
        <v>81.972354</v>
      </c>
      <c r="J246" s="21" t="s">
        <v>1379</v>
      </c>
      <c r="K246" s="21" t="s">
        <v>1380</v>
      </c>
      <c r="L246" s="21">
        <v>4.0</v>
      </c>
      <c r="M246" s="21">
        <v>26.477073</v>
      </c>
      <c r="N246" s="21">
        <v>-81.971805</v>
      </c>
      <c r="O246" s="21" t="s">
        <v>1513</v>
      </c>
      <c r="P246" s="22" t="s">
        <v>1668</v>
      </c>
    </row>
    <row r="247" ht="33.75" customHeight="1">
      <c r="A247" s="31"/>
      <c r="B247" s="31"/>
      <c r="C247" s="31"/>
      <c r="D247" s="31"/>
      <c r="E247" s="31"/>
      <c r="F247" s="31"/>
      <c r="G247" s="31"/>
      <c r="P247" s="54"/>
    </row>
    <row r="248" ht="33.75" customHeight="1">
      <c r="A248" s="29">
        <v>42412.0</v>
      </c>
      <c r="B248" s="25" t="s">
        <v>446</v>
      </c>
      <c r="C248" s="25" t="s">
        <v>473</v>
      </c>
      <c r="D248" s="25" t="s">
        <v>475</v>
      </c>
      <c r="E248" s="25" t="s">
        <v>113</v>
      </c>
      <c r="F248" s="25">
        <v>27.67571</v>
      </c>
      <c r="G248" s="25">
        <v>-82.73167</v>
      </c>
      <c r="H248" s="21">
        <v>27.67043</v>
      </c>
      <c r="I248" s="21">
        <v>-82.74408</v>
      </c>
      <c r="J248" s="21" t="s">
        <v>1669</v>
      </c>
      <c r="K248" s="21" t="s">
        <v>1670</v>
      </c>
      <c r="L248" s="21">
        <v>1.0</v>
      </c>
      <c r="M248" s="21">
        <v>27.67328</v>
      </c>
      <c r="N248" s="21">
        <v>-82.73207</v>
      </c>
      <c r="O248" s="21" t="s">
        <v>1671</v>
      </c>
      <c r="P248" s="22" t="s">
        <v>1672</v>
      </c>
    </row>
    <row r="249" ht="33.75" customHeight="1">
      <c r="A249" s="29">
        <v>42412.0</v>
      </c>
      <c r="B249" s="25" t="s">
        <v>446</v>
      </c>
      <c r="C249" s="25" t="s">
        <v>473</v>
      </c>
      <c r="D249" s="25" t="s">
        <v>475</v>
      </c>
      <c r="E249" s="25" t="s">
        <v>113</v>
      </c>
      <c r="F249" s="25">
        <v>27.67571</v>
      </c>
      <c r="G249" s="25">
        <v>-82.73167</v>
      </c>
      <c r="H249" s="21">
        <v>27.67043</v>
      </c>
      <c r="I249" s="21">
        <v>-82.74408</v>
      </c>
      <c r="J249" s="21" t="s">
        <v>1669</v>
      </c>
      <c r="K249" s="21" t="s">
        <v>1670</v>
      </c>
      <c r="L249" s="21">
        <v>2.0</v>
      </c>
      <c r="M249" s="21">
        <v>27.67123</v>
      </c>
      <c r="N249" s="21" t="s">
        <v>1678</v>
      </c>
      <c r="O249" s="21" t="s">
        <v>1679</v>
      </c>
      <c r="P249" s="22" t="s">
        <v>1680</v>
      </c>
    </row>
    <row r="250" ht="33.75" customHeight="1">
      <c r="A250" s="29">
        <v>42405.0</v>
      </c>
      <c r="B250" s="25" t="s">
        <v>755</v>
      </c>
      <c r="C250" s="25" t="s">
        <v>1681</v>
      </c>
      <c r="D250" s="25" t="s">
        <v>758</v>
      </c>
      <c r="E250" s="25" t="s">
        <v>629</v>
      </c>
      <c r="F250" s="25">
        <v>30.396667</v>
      </c>
      <c r="G250" s="25">
        <v>-81.392778</v>
      </c>
      <c r="H250" s="21">
        <v>30.253225</v>
      </c>
      <c r="I250" s="21">
        <v>-81.380859</v>
      </c>
      <c r="J250" s="21" t="s">
        <v>761</v>
      </c>
      <c r="K250" s="21" t="s">
        <v>1682</v>
      </c>
      <c r="L250" s="21" t="s">
        <v>1683</v>
      </c>
      <c r="M250" s="21">
        <v>30.396667</v>
      </c>
      <c r="N250" s="21">
        <v>-81.392778</v>
      </c>
      <c r="O250" s="21" t="s">
        <v>1684</v>
      </c>
      <c r="P250" s="22" t="s">
        <v>1685</v>
      </c>
    </row>
    <row r="251" ht="33.75" customHeight="1">
      <c r="A251" s="29">
        <v>42405.0</v>
      </c>
      <c r="B251" s="25" t="s">
        <v>755</v>
      </c>
      <c r="C251" s="25" t="s">
        <v>1681</v>
      </c>
      <c r="D251" s="25" t="s">
        <v>758</v>
      </c>
      <c r="E251" s="25" t="s">
        <v>629</v>
      </c>
      <c r="F251" s="25">
        <v>30.396667</v>
      </c>
      <c r="G251" s="25">
        <v>-81.392778</v>
      </c>
      <c r="H251" s="21">
        <v>30.253225</v>
      </c>
      <c r="I251" s="21">
        <v>-81.380859</v>
      </c>
      <c r="J251" s="21" t="s">
        <v>761</v>
      </c>
      <c r="K251" s="21" t="s">
        <v>1682</v>
      </c>
      <c r="L251" s="21" t="s">
        <v>1687</v>
      </c>
      <c r="M251" s="21">
        <v>30.324167</v>
      </c>
      <c r="N251" s="21">
        <v>-81.393889</v>
      </c>
      <c r="O251" s="21" t="s">
        <v>1688</v>
      </c>
      <c r="P251" s="54"/>
    </row>
    <row r="252" ht="33.75" customHeight="1">
      <c r="A252" s="29">
        <v>42408.0</v>
      </c>
      <c r="B252" s="25" t="s">
        <v>1689</v>
      </c>
      <c r="C252" s="25" t="s">
        <v>482</v>
      </c>
      <c r="D252" s="25" t="s">
        <v>1690</v>
      </c>
      <c r="E252" s="25" t="s">
        <v>1691</v>
      </c>
      <c r="F252" s="25" t="s">
        <v>1692</v>
      </c>
      <c r="G252" s="25">
        <v>-80.290062</v>
      </c>
      <c r="H252" s="21">
        <v>27.479046</v>
      </c>
      <c r="I252" s="21">
        <v>-80.292908</v>
      </c>
      <c r="J252" s="21" t="s">
        <v>1693</v>
      </c>
      <c r="K252" s="21" t="s">
        <v>1694</v>
      </c>
      <c r="L252" s="21">
        <v>1.0</v>
      </c>
      <c r="M252" s="21" t="s">
        <v>1696</v>
      </c>
      <c r="N252" s="21" t="s">
        <v>1697</v>
      </c>
      <c r="O252" s="21" t="s">
        <v>1699</v>
      </c>
      <c r="P252" s="54"/>
    </row>
    <row r="253" ht="33.75" customHeight="1">
      <c r="A253" s="29">
        <v>42408.0</v>
      </c>
      <c r="B253" s="25" t="s">
        <v>1689</v>
      </c>
      <c r="C253" s="25" t="s">
        <v>482</v>
      </c>
      <c r="D253" s="25" t="s">
        <v>1690</v>
      </c>
      <c r="E253" s="25" t="s">
        <v>1691</v>
      </c>
      <c r="F253" s="25" t="s">
        <v>1702</v>
      </c>
      <c r="G253" s="25">
        <v>-80.290062</v>
      </c>
      <c r="H253" s="21">
        <v>27.479046</v>
      </c>
      <c r="I253" s="21">
        <v>-80.292908</v>
      </c>
      <c r="J253" s="21" t="s">
        <v>1693</v>
      </c>
      <c r="K253" s="21" t="s">
        <v>1694</v>
      </c>
      <c r="L253" s="21">
        <v>2.0</v>
      </c>
      <c r="M253" s="21" t="s">
        <v>1704</v>
      </c>
      <c r="N253" s="21" t="s">
        <v>1705</v>
      </c>
      <c r="O253" s="21" t="s">
        <v>1706</v>
      </c>
      <c r="P253" s="54"/>
    </row>
    <row r="254" ht="33.75" customHeight="1">
      <c r="A254" s="29">
        <v>42410.0</v>
      </c>
      <c r="B254" s="25" t="s">
        <v>1673</v>
      </c>
      <c r="C254" s="25" t="s">
        <v>482</v>
      </c>
      <c r="D254" s="25" t="s">
        <v>1708</v>
      </c>
      <c r="E254" s="25" t="s">
        <v>184</v>
      </c>
      <c r="F254" s="25">
        <v>24.545273</v>
      </c>
      <c r="G254" s="25">
        <v>-81.808226</v>
      </c>
      <c r="H254" s="21">
        <v>24.549659</v>
      </c>
      <c r="I254" s="21">
        <v>-81.811617</v>
      </c>
      <c r="J254" s="21" t="s">
        <v>1709</v>
      </c>
      <c r="K254" s="21" t="s">
        <v>1710</v>
      </c>
      <c r="L254" s="21">
        <v>1.0</v>
      </c>
      <c r="M254" s="21">
        <v>24.5478</v>
      </c>
      <c r="N254" s="21">
        <v>81.8097</v>
      </c>
      <c r="O254" s="21" t="s">
        <v>1711</v>
      </c>
      <c r="P254" s="54"/>
    </row>
    <row r="255" ht="33.75" customHeight="1">
      <c r="A255" s="29">
        <v>42410.0</v>
      </c>
      <c r="B255" s="25" t="s">
        <v>260</v>
      </c>
      <c r="C255" s="25" t="s">
        <v>1712</v>
      </c>
      <c r="D255" s="25" t="s">
        <v>604</v>
      </c>
      <c r="E255" s="25" t="s">
        <v>113</v>
      </c>
      <c r="F255" s="25" t="s">
        <v>1713</v>
      </c>
      <c r="G255" s="25" t="s">
        <v>1714</v>
      </c>
      <c r="H255" s="21" t="s">
        <v>1715</v>
      </c>
      <c r="I255" s="21" t="s">
        <v>1716</v>
      </c>
      <c r="J255" s="21" t="s">
        <v>1717</v>
      </c>
      <c r="K255" s="21" t="s">
        <v>1718</v>
      </c>
      <c r="L255" s="21">
        <v>1.0</v>
      </c>
      <c r="M255" s="21" t="s">
        <v>1719</v>
      </c>
      <c r="N255" s="21" t="s">
        <v>1720</v>
      </c>
      <c r="O255" s="21" t="s">
        <v>1721</v>
      </c>
      <c r="P255" s="22" t="s">
        <v>1722</v>
      </c>
    </row>
    <row r="256" ht="33.75" customHeight="1">
      <c r="A256" s="29">
        <v>42410.0</v>
      </c>
      <c r="B256" s="25" t="s">
        <v>260</v>
      </c>
      <c r="C256" s="25" t="s">
        <v>1712</v>
      </c>
      <c r="D256" s="25" t="s">
        <v>604</v>
      </c>
      <c r="E256" s="25" t="s">
        <v>113</v>
      </c>
      <c r="F256" s="25" t="s">
        <v>1713</v>
      </c>
      <c r="G256" s="25" t="s">
        <v>1714</v>
      </c>
      <c r="H256" s="21" t="s">
        <v>1715</v>
      </c>
      <c r="I256" s="21" t="s">
        <v>1716</v>
      </c>
      <c r="J256" s="21" t="s">
        <v>1717</v>
      </c>
      <c r="K256" s="21" t="s">
        <v>1718</v>
      </c>
      <c r="L256" s="21">
        <v>2.0</v>
      </c>
      <c r="M256" s="21" t="s">
        <v>1724</v>
      </c>
      <c r="N256" s="21" t="s">
        <v>1725</v>
      </c>
      <c r="O256" s="21" t="s">
        <v>1726</v>
      </c>
      <c r="P256" s="22" t="s">
        <v>1727</v>
      </c>
    </row>
    <row r="257" ht="33.75" customHeight="1">
      <c r="A257" s="29">
        <v>42410.0</v>
      </c>
      <c r="B257" s="25" t="s">
        <v>260</v>
      </c>
      <c r="C257" s="25" t="s">
        <v>1712</v>
      </c>
      <c r="D257" s="25" t="s">
        <v>604</v>
      </c>
      <c r="E257" s="25" t="s">
        <v>113</v>
      </c>
      <c r="F257" s="25" t="s">
        <v>1713</v>
      </c>
      <c r="G257" s="25" t="s">
        <v>1714</v>
      </c>
      <c r="H257" s="21" t="s">
        <v>1715</v>
      </c>
      <c r="I257" s="21" t="s">
        <v>1716</v>
      </c>
      <c r="J257" s="21" t="s">
        <v>1717</v>
      </c>
      <c r="K257" s="21" t="s">
        <v>1718</v>
      </c>
      <c r="L257" s="21">
        <v>3.0</v>
      </c>
      <c r="M257" s="21" t="s">
        <v>1729</v>
      </c>
      <c r="N257" s="21" t="s">
        <v>1731</v>
      </c>
      <c r="O257" s="21" t="s">
        <v>1733</v>
      </c>
      <c r="P257" s="22" t="s">
        <v>1734</v>
      </c>
    </row>
    <row r="258" ht="33.75" customHeight="1">
      <c r="A258" s="29">
        <v>42410.0</v>
      </c>
      <c r="B258" s="25" t="s">
        <v>260</v>
      </c>
      <c r="C258" s="25" t="s">
        <v>1712</v>
      </c>
      <c r="D258" s="25" t="s">
        <v>604</v>
      </c>
      <c r="E258" s="25" t="s">
        <v>113</v>
      </c>
      <c r="F258" s="25" t="s">
        <v>1713</v>
      </c>
      <c r="G258" s="25" t="s">
        <v>1714</v>
      </c>
      <c r="H258" s="21" t="s">
        <v>1715</v>
      </c>
      <c r="I258" s="21" t="s">
        <v>1716</v>
      </c>
      <c r="J258" s="21" t="s">
        <v>1717</v>
      </c>
      <c r="K258" s="21" t="s">
        <v>1718</v>
      </c>
      <c r="L258" s="21">
        <v>4.0</v>
      </c>
      <c r="M258" s="21" t="s">
        <v>1737</v>
      </c>
      <c r="N258" s="21" t="s">
        <v>1738</v>
      </c>
      <c r="O258" s="21" t="s">
        <v>1739</v>
      </c>
      <c r="P258" s="54"/>
    </row>
    <row r="259" ht="33.75" customHeight="1">
      <c r="A259" s="29">
        <v>42410.0</v>
      </c>
      <c r="B259" s="25" t="s">
        <v>260</v>
      </c>
      <c r="C259" s="25" t="s">
        <v>1712</v>
      </c>
      <c r="D259" s="25" t="s">
        <v>604</v>
      </c>
      <c r="E259" s="25" t="s">
        <v>113</v>
      </c>
      <c r="F259" s="25" t="s">
        <v>1713</v>
      </c>
      <c r="G259" s="25" t="s">
        <v>1714</v>
      </c>
      <c r="H259" s="21" t="s">
        <v>1715</v>
      </c>
      <c r="I259" s="21" t="s">
        <v>1716</v>
      </c>
      <c r="J259" s="21" t="s">
        <v>1717</v>
      </c>
      <c r="K259" s="21" t="s">
        <v>1718</v>
      </c>
      <c r="L259" s="21">
        <v>5.0</v>
      </c>
      <c r="M259" s="21" t="s">
        <v>1740</v>
      </c>
      <c r="N259" s="21" t="s">
        <v>1741</v>
      </c>
      <c r="O259" s="21" t="s">
        <v>1743</v>
      </c>
      <c r="P259" s="22" t="s">
        <v>1734</v>
      </c>
    </row>
    <row r="260" ht="33.75" customHeight="1">
      <c r="A260" s="29">
        <v>42411.0</v>
      </c>
      <c r="B260" s="25" t="s">
        <v>583</v>
      </c>
      <c r="C260" s="25" t="s">
        <v>584</v>
      </c>
      <c r="D260" s="25" t="s">
        <v>585</v>
      </c>
      <c r="E260" s="25" t="s">
        <v>586</v>
      </c>
      <c r="F260" s="25">
        <v>29.69419</v>
      </c>
      <c r="G260" s="25">
        <v>-84.78852</v>
      </c>
      <c r="H260" s="21">
        <v>29.70271</v>
      </c>
      <c r="I260" s="21">
        <v>-84.80048</v>
      </c>
      <c r="J260" s="21" t="s">
        <v>1061</v>
      </c>
      <c r="K260" s="21" t="s">
        <v>1062</v>
      </c>
      <c r="L260" s="21">
        <v>1.0</v>
      </c>
      <c r="M260" s="21">
        <v>29.69458</v>
      </c>
      <c r="N260" s="21">
        <v>-84.78169</v>
      </c>
      <c r="O260" s="21" t="s">
        <v>1465</v>
      </c>
      <c r="P260" s="22" t="s">
        <v>1750</v>
      </c>
    </row>
    <row r="261" ht="33.75" customHeight="1">
      <c r="A261" s="29">
        <v>42411.0</v>
      </c>
      <c r="B261" s="25" t="s">
        <v>583</v>
      </c>
      <c r="C261" s="25" t="s">
        <v>584</v>
      </c>
      <c r="D261" s="25" t="s">
        <v>585</v>
      </c>
      <c r="E261" s="25" t="s">
        <v>586</v>
      </c>
      <c r="F261" s="25">
        <v>29.69419</v>
      </c>
      <c r="G261" s="25">
        <v>-84.78852</v>
      </c>
      <c r="H261" s="21">
        <v>29.70271</v>
      </c>
      <c r="I261" s="21">
        <v>-84.80048</v>
      </c>
      <c r="J261" s="21" t="s">
        <v>1061</v>
      </c>
      <c r="K261" s="21" t="s">
        <v>1062</v>
      </c>
      <c r="L261" s="21">
        <v>2.0</v>
      </c>
      <c r="M261" s="21">
        <v>29.69551</v>
      </c>
      <c r="N261" s="21">
        <v>-84.78157</v>
      </c>
      <c r="O261" s="21" t="s">
        <v>1756</v>
      </c>
      <c r="P261" s="22" t="s">
        <v>1750</v>
      </c>
    </row>
    <row r="262" ht="33.75" customHeight="1">
      <c r="A262" s="29">
        <v>42411.0</v>
      </c>
      <c r="B262" s="25" t="s">
        <v>583</v>
      </c>
      <c r="C262" s="25" t="s">
        <v>584</v>
      </c>
      <c r="D262" s="25" t="s">
        <v>585</v>
      </c>
      <c r="E262" s="25" t="s">
        <v>586</v>
      </c>
      <c r="F262" s="25">
        <v>29.69419</v>
      </c>
      <c r="G262" s="25">
        <v>-84.78852</v>
      </c>
      <c r="H262" s="21">
        <v>29.70271</v>
      </c>
      <c r="I262" s="21">
        <v>-84.80048</v>
      </c>
      <c r="J262" s="21" t="s">
        <v>1061</v>
      </c>
      <c r="K262" s="21" t="s">
        <v>1062</v>
      </c>
      <c r="L262" s="21">
        <v>3.0</v>
      </c>
      <c r="M262" s="21">
        <v>29.6962</v>
      </c>
      <c r="N262" s="21">
        <v>-84.78159</v>
      </c>
      <c r="O262" s="21" t="s">
        <v>1468</v>
      </c>
      <c r="P262" s="22" t="s">
        <v>1750</v>
      </c>
    </row>
    <row r="263" ht="33.75" customHeight="1">
      <c r="A263" s="29">
        <v>42411.0</v>
      </c>
      <c r="B263" s="25" t="s">
        <v>583</v>
      </c>
      <c r="C263" s="25" t="s">
        <v>584</v>
      </c>
      <c r="D263" s="25" t="s">
        <v>585</v>
      </c>
      <c r="E263" s="25" t="s">
        <v>586</v>
      </c>
      <c r="F263" s="25">
        <v>29.69419</v>
      </c>
      <c r="G263" s="25">
        <v>-84.78852</v>
      </c>
      <c r="H263" s="21">
        <v>29.70271</v>
      </c>
      <c r="I263" s="21">
        <v>-84.80048</v>
      </c>
      <c r="J263" s="21" t="s">
        <v>1061</v>
      </c>
      <c r="K263" s="21" t="s">
        <v>1062</v>
      </c>
      <c r="L263" s="21">
        <v>4.0</v>
      </c>
      <c r="M263" s="21">
        <v>29.69757</v>
      </c>
      <c r="N263" s="21">
        <v>-84.77901</v>
      </c>
      <c r="O263" s="21" t="s">
        <v>1770</v>
      </c>
      <c r="P263" s="22" t="s">
        <v>1771</v>
      </c>
    </row>
    <row r="264" ht="33.75" customHeight="1">
      <c r="A264" s="29">
        <v>42411.0</v>
      </c>
      <c r="B264" s="25" t="s">
        <v>583</v>
      </c>
      <c r="C264" s="25" t="s">
        <v>584</v>
      </c>
      <c r="D264" s="25" t="s">
        <v>585</v>
      </c>
      <c r="E264" s="25" t="s">
        <v>586</v>
      </c>
      <c r="F264" s="25">
        <v>29.69419</v>
      </c>
      <c r="G264" s="25">
        <v>-84.78852</v>
      </c>
      <c r="H264" s="21">
        <v>29.70271</v>
      </c>
      <c r="I264" s="21">
        <v>-84.80048</v>
      </c>
      <c r="J264" s="21" t="s">
        <v>1061</v>
      </c>
      <c r="K264" s="21" t="s">
        <v>1062</v>
      </c>
      <c r="L264" s="21">
        <v>5.0</v>
      </c>
      <c r="M264" s="21">
        <v>29.69759</v>
      </c>
      <c r="N264" s="21">
        <v>-84.78883</v>
      </c>
      <c r="O264" s="21" t="s">
        <v>1772</v>
      </c>
      <c r="P264" s="22" t="s">
        <v>1750</v>
      </c>
    </row>
    <row r="265" ht="33.75" customHeight="1">
      <c r="A265" s="29">
        <v>42411.0</v>
      </c>
      <c r="B265" s="25" t="s">
        <v>583</v>
      </c>
      <c r="C265" s="25" t="s">
        <v>584</v>
      </c>
      <c r="D265" s="25" t="s">
        <v>585</v>
      </c>
      <c r="E265" s="25" t="s">
        <v>586</v>
      </c>
      <c r="F265" s="25">
        <v>29.69419</v>
      </c>
      <c r="G265" s="25">
        <v>-84.78852</v>
      </c>
      <c r="H265" s="21">
        <v>29.70271</v>
      </c>
      <c r="I265" s="21">
        <v>-84.80048</v>
      </c>
      <c r="J265" s="21" t="s">
        <v>1061</v>
      </c>
      <c r="K265" s="21" t="s">
        <v>1062</v>
      </c>
      <c r="L265" s="21">
        <v>6.0</v>
      </c>
      <c r="M265" s="21">
        <v>29.69881</v>
      </c>
      <c r="N265" s="21">
        <v>-84.78895</v>
      </c>
      <c r="O265" s="21" t="s">
        <v>1465</v>
      </c>
      <c r="P265" s="22" t="s">
        <v>1750</v>
      </c>
    </row>
    <row r="266" ht="33.75" customHeight="1">
      <c r="A266" s="29">
        <v>42411.0</v>
      </c>
      <c r="B266" s="25" t="s">
        <v>583</v>
      </c>
      <c r="C266" s="25" t="s">
        <v>584</v>
      </c>
      <c r="D266" s="25" t="s">
        <v>585</v>
      </c>
      <c r="E266" s="25" t="s">
        <v>586</v>
      </c>
      <c r="F266" s="25">
        <v>29.69419</v>
      </c>
      <c r="G266" s="25">
        <v>-84.78852</v>
      </c>
      <c r="H266" s="21">
        <v>29.70271</v>
      </c>
      <c r="I266" s="21">
        <v>-84.80048</v>
      </c>
      <c r="J266" s="21" t="s">
        <v>1061</v>
      </c>
      <c r="K266" s="21" t="s">
        <v>1062</v>
      </c>
      <c r="L266" s="21">
        <v>7.0</v>
      </c>
      <c r="M266" s="21">
        <v>29.70036</v>
      </c>
      <c r="N266" s="21">
        <v>-84.79266</v>
      </c>
      <c r="O266" s="21" t="s">
        <v>1775</v>
      </c>
      <c r="P266" s="22" t="s">
        <v>1750</v>
      </c>
    </row>
    <row r="267" ht="33.75" customHeight="1">
      <c r="A267" s="29">
        <v>42411.0</v>
      </c>
      <c r="B267" s="25" t="s">
        <v>583</v>
      </c>
      <c r="C267" s="25" t="s">
        <v>584</v>
      </c>
      <c r="D267" s="25" t="s">
        <v>585</v>
      </c>
      <c r="E267" s="25" t="s">
        <v>586</v>
      </c>
      <c r="F267" s="25">
        <v>29.69419</v>
      </c>
      <c r="G267" s="25">
        <v>-84.78852</v>
      </c>
      <c r="H267" s="21">
        <v>29.70271</v>
      </c>
      <c r="I267" s="21">
        <v>-84.80048</v>
      </c>
      <c r="J267" s="21" t="s">
        <v>1061</v>
      </c>
      <c r="K267" s="21" t="s">
        <v>1062</v>
      </c>
      <c r="L267" s="21">
        <v>8.0</v>
      </c>
      <c r="M267" s="21">
        <v>29.70291</v>
      </c>
      <c r="N267" s="21">
        <v>-84.79539</v>
      </c>
      <c r="O267" s="21" t="s">
        <v>1465</v>
      </c>
      <c r="P267" s="22" t="s">
        <v>1779</v>
      </c>
      <c r="Q267" s="21"/>
    </row>
    <row r="268" ht="33.75" customHeight="1">
      <c r="A268" s="29">
        <v>42411.0</v>
      </c>
      <c r="B268" s="25" t="s">
        <v>583</v>
      </c>
      <c r="C268" s="25" t="s">
        <v>584</v>
      </c>
      <c r="D268" s="25" t="s">
        <v>585</v>
      </c>
      <c r="E268" s="25" t="s">
        <v>586</v>
      </c>
      <c r="F268" s="25">
        <v>29.69419</v>
      </c>
      <c r="G268" s="25">
        <v>-84.78852</v>
      </c>
      <c r="H268" s="21">
        <v>29.70271</v>
      </c>
      <c r="I268" s="21">
        <v>-84.80048</v>
      </c>
      <c r="J268" s="21" t="s">
        <v>1061</v>
      </c>
      <c r="K268" s="21" t="s">
        <v>1062</v>
      </c>
      <c r="L268" s="21">
        <v>9.0</v>
      </c>
      <c r="M268" s="21">
        <v>29.70346</v>
      </c>
      <c r="N268" s="21">
        <v>-84.79971</v>
      </c>
      <c r="O268" s="21" t="s">
        <v>1782</v>
      </c>
      <c r="P268" s="22" t="s">
        <v>1783</v>
      </c>
    </row>
    <row r="269" ht="33.75" customHeight="1">
      <c r="A269" s="29">
        <v>42411.0</v>
      </c>
      <c r="B269" s="25" t="s">
        <v>583</v>
      </c>
      <c r="C269" s="25" t="s">
        <v>584</v>
      </c>
      <c r="D269" s="25" t="s">
        <v>585</v>
      </c>
      <c r="E269" s="25" t="s">
        <v>586</v>
      </c>
      <c r="F269" s="25">
        <v>29.69419</v>
      </c>
      <c r="G269" s="25">
        <v>-84.78852</v>
      </c>
      <c r="H269" s="21">
        <v>29.70271</v>
      </c>
      <c r="I269" s="21">
        <v>-84.80048</v>
      </c>
      <c r="J269" s="21" t="s">
        <v>1061</v>
      </c>
      <c r="K269" s="21" t="s">
        <v>1062</v>
      </c>
      <c r="L269" s="21">
        <v>10.0</v>
      </c>
      <c r="M269" s="21">
        <v>29.69732</v>
      </c>
      <c r="N269" s="21">
        <v>-84.79649</v>
      </c>
      <c r="O269" s="21" t="s">
        <v>1785</v>
      </c>
      <c r="P269" s="22" t="s">
        <v>1786</v>
      </c>
    </row>
    <row r="270" ht="33.75" customHeight="1">
      <c r="A270" s="29">
        <v>42411.0</v>
      </c>
      <c r="B270" s="25" t="s">
        <v>583</v>
      </c>
      <c r="C270" s="25" t="s">
        <v>584</v>
      </c>
      <c r="D270" s="25" t="s">
        <v>585</v>
      </c>
      <c r="E270" s="25" t="s">
        <v>586</v>
      </c>
      <c r="F270" s="25">
        <v>29.69419</v>
      </c>
      <c r="G270" s="25">
        <v>-84.78852</v>
      </c>
      <c r="H270" s="21">
        <v>29.70271</v>
      </c>
      <c r="I270" s="21">
        <v>-84.80048</v>
      </c>
      <c r="J270" s="21" t="s">
        <v>1061</v>
      </c>
      <c r="K270" s="21" t="s">
        <v>1062</v>
      </c>
      <c r="L270" s="21">
        <v>11.0</v>
      </c>
      <c r="M270" s="21">
        <v>29.69555</v>
      </c>
      <c r="N270" s="21">
        <v>-84.79758</v>
      </c>
      <c r="O270" s="21" t="s">
        <v>1465</v>
      </c>
      <c r="P270" s="22" t="s">
        <v>1786</v>
      </c>
    </row>
    <row r="271" ht="33.75" customHeight="1">
      <c r="A271" s="29">
        <v>42405.0</v>
      </c>
      <c r="B271" s="25" t="s">
        <v>189</v>
      </c>
      <c r="C271" s="25" t="s">
        <v>191</v>
      </c>
      <c r="D271" s="25" t="s">
        <v>194</v>
      </c>
      <c r="E271" s="25" t="s">
        <v>164</v>
      </c>
      <c r="F271" s="25">
        <v>30.05303</v>
      </c>
      <c r="G271" s="25">
        <v>-85.6004</v>
      </c>
      <c r="H271" s="21">
        <v>30.00397</v>
      </c>
      <c r="I271" s="21">
        <v>-85.5357</v>
      </c>
      <c r="J271" s="21" t="s">
        <v>200</v>
      </c>
      <c r="K271" s="21" t="s">
        <v>1787</v>
      </c>
      <c r="L271" s="21">
        <v>1.0</v>
      </c>
      <c r="M271" s="21">
        <v>30.00493</v>
      </c>
      <c r="N271" s="21">
        <v>-85.54382</v>
      </c>
      <c r="O271" s="21" t="s">
        <v>1788</v>
      </c>
      <c r="P271" s="22" t="s">
        <v>1789</v>
      </c>
    </row>
    <row r="272" ht="33.75" customHeight="1">
      <c r="A272" s="29">
        <v>42405.0</v>
      </c>
      <c r="B272" s="25" t="s">
        <v>189</v>
      </c>
      <c r="C272" s="25" t="s">
        <v>191</v>
      </c>
      <c r="D272" s="25" t="s">
        <v>194</v>
      </c>
      <c r="E272" s="25" t="s">
        <v>164</v>
      </c>
      <c r="F272" s="25">
        <v>30.05303</v>
      </c>
      <c r="G272" s="25">
        <v>-85.6004</v>
      </c>
      <c r="H272" s="21">
        <v>30.00397</v>
      </c>
      <c r="I272" s="21">
        <v>-85.5357</v>
      </c>
      <c r="J272" s="21" t="s">
        <v>200</v>
      </c>
      <c r="K272" s="21" t="s">
        <v>202</v>
      </c>
      <c r="L272" s="21">
        <v>2.0</v>
      </c>
      <c r="M272" s="21">
        <v>30.00338</v>
      </c>
      <c r="N272" s="21">
        <v>-85.53691</v>
      </c>
      <c r="O272" s="21" t="s">
        <v>1790</v>
      </c>
      <c r="P272" s="22" t="s">
        <v>1791</v>
      </c>
    </row>
    <row r="273" ht="33.75" customHeight="1">
      <c r="A273" s="29">
        <v>42405.0</v>
      </c>
      <c r="B273" s="25" t="s">
        <v>189</v>
      </c>
      <c r="C273" s="25" t="s">
        <v>191</v>
      </c>
      <c r="D273" s="25" t="s">
        <v>194</v>
      </c>
      <c r="E273" s="25" t="s">
        <v>164</v>
      </c>
      <c r="F273" s="25">
        <v>30.05303</v>
      </c>
      <c r="G273" s="25">
        <v>-85.6004</v>
      </c>
      <c r="H273" s="21">
        <v>30.00397</v>
      </c>
      <c r="I273" s="21">
        <v>-85.5357</v>
      </c>
      <c r="J273" s="21" t="s">
        <v>200</v>
      </c>
      <c r="K273" s="21" t="s">
        <v>202</v>
      </c>
      <c r="L273" s="21">
        <v>3.0</v>
      </c>
      <c r="M273" s="21">
        <v>30.00476</v>
      </c>
      <c r="N273" s="21">
        <v>-85.53575</v>
      </c>
      <c r="O273" s="21" t="s">
        <v>1792</v>
      </c>
      <c r="P273" s="22" t="s">
        <v>1793</v>
      </c>
    </row>
    <row r="274" ht="33.75" customHeight="1">
      <c r="A274" s="29">
        <v>42405.0</v>
      </c>
      <c r="B274" s="25" t="s">
        <v>189</v>
      </c>
      <c r="C274" s="25" t="s">
        <v>191</v>
      </c>
      <c r="D274" s="25" t="s">
        <v>194</v>
      </c>
      <c r="E274" s="25" t="s">
        <v>164</v>
      </c>
      <c r="F274" s="25">
        <v>30.05303</v>
      </c>
      <c r="G274" s="25">
        <v>-85.6004</v>
      </c>
      <c r="H274" s="21">
        <v>30.00397</v>
      </c>
      <c r="I274" s="21">
        <v>-85.5357</v>
      </c>
      <c r="J274" s="21" t="s">
        <v>200</v>
      </c>
      <c r="K274" s="21" t="s">
        <v>202</v>
      </c>
      <c r="L274" s="21">
        <v>4.0</v>
      </c>
      <c r="M274" s="21">
        <v>30.03995</v>
      </c>
      <c r="N274" s="21">
        <v>-85.58435</v>
      </c>
      <c r="O274" s="21" t="s">
        <v>1798</v>
      </c>
      <c r="P274" s="22" t="s">
        <v>1801</v>
      </c>
    </row>
    <row r="275" ht="33.75" customHeight="1">
      <c r="A275" s="29">
        <v>42405.0</v>
      </c>
      <c r="B275" s="25" t="s">
        <v>189</v>
      </c>
      <c r="C275" s="25" t="s">
        <v>191</v>
      </c>
      <c r="D275" s="25" t="s">
        <v>194</v>
      </c>
      <c r="E275" s="25" t="s">
        <v>164</v>
      </c>
      <c r="F275" s="25">
        <v>30.05303</v>
      </c>
      <c r="G275" s="25">
        <v>-85.6004</v>
      </c>
      <c r="H275" s="21">
        <v>30.00397</v>
      </c>
      <c r="I275" s="21">
        <v>-85.5357</v>
      </c>
      <c r="J275" s="21" t="s">
        <v>200</v>
      </c>
      <c r="K275" s="21" t="s">
        <v>202</v>
      </c>
      <c r="L275" s="21">
        <v>5.0</v>
      </c>
      <c r="M275" s="21">
        <v>30.04107</v>
      </c>
      <c r="N275" s="21">
        <v>-85.58536</v>
      </c>
      <c r="O275" s="21" t="s">
        <v>1802</v>
      </c>
      <c r="P275" s="22" t="s">
        <v>1803</v>
      </c>
    </row>
    <row r="276" ht="33.75" customHeight="1">
      <c r="A276" s="29">
        <v>42406.0</v>
      </c>
      <c r="B276" s="25" t="s">
        <v>223</v>
      </c>
      <c r="C276" s="25" t="s">
        <v>191</v>
      </c>
      <c r="D276" s="25" t="s">
        <v>224</v>
      </c>
      <c r="E276" s="25" t="s">
        <v>164</v>
      </c>
      <c r="F276" s="25">
        <v>29.95482</v>
      </c>
      <c r="G276" s="25">
        <v>-85.44915</v>
      </c>
      <c r="H276" s="21">
        <v>30.00088</v>
      </c>
      <c r="I276" s="21">
        <v>-85.5287</v>
      </c>
      <c r="J276" s="21" t="s">
        <v>225</v>
      </c>
      <c r="K276" s="21" t="s">
        <v>227</v>
      </c>
      <c r="L276" s="21">
        <v>1.0</v>
      </c>
      <c r="M276" s="21">
        <v>29.95613</v>
      </c>
      <c r="N276" s="21">
        <v>-85.4559</v>
      </c>
      <c r="O276" s="21" t="s">
        <v>1807</v>
      </c>
      <c r="P276" s="22" t="s">
        <v>1808</v>
      </c>
    </row>
    <row r="277" ht="33.75" customHeight="1">
      <c r="A277" s="29">
        <v>42406.0</v>
      </c>
      <c r="B277" s="25" t="s">
        <v>223</v>
      </c>
      <c r="C277" s="25" t="s">
        <v>191</v>
      </c>
      <c r="D277" s="25" t="s">
        <v>224</v>
      </c>
      <c r="E277" s="25" t="s">
        <v>164</v>
      </c>
      <c r="F277" s="25">
        <v>29.95482</v>
      </c>
      <c r="G277" s="25">
        <v>-85.44915</v>
      </c>
      <c r="H277" s="21">
        <v>30.00088</v>
      </c>
      <c r="I277" s="21">
        <v>-85.5287</v>
      </c>
      <c r="J277" s="21" t="s">
        <v>225</v>
      </c>
      <c r="K277" s="21" t="s">
        <v>227</v>
      </c>
      <c r="L277" s="21">
        <v>2.0</v>
      </c>
      <c r="M277" s="21">
        <v>29.9552</v>
      </c>
      <c r="N277" s="21">
        <v>-85.45102</v>
      </c>
      <c r="O277" s="21" t="s">
        <v>458</v>
      </c>
      <c r="P277" s="22" t="s">
        <v>1809</v>
      </c>
    </row>
    <row r="278" ht="33.75" customHeight="1">
      <c r="A278" s="29">
        <v>42406.0</v>
      </c>
      <c r="B278" s="25" t="s">
        <v>223</v>
      </c>
      <c r="C278" s="25" t="s">
        <v>191</v>
      </c>
      <c r="D278" s="25" t="s">
        <v>224</v>
      </c>
      <c r="E278" s="25" t="s">
        <v>164</v>
      </c>
      <c r="F278" s="25">
        <v>29.95482</v>
      </c>
      <c r="G278" s="25">
        <v>-85.44915</v>
      </c>
      <c r="H278" s="21">
        <v>30.00088</v>
      </c>
      <c r="I278" s="21">
        <v>-85.5287</v>
      </c>
      <c r="J278" s="21" t="s">
        <v>225</v>
      </c>
      <c r="K278" s="21" t="s">
        <v>227</v>
      </c>
      <c r="L278" s="21">
        <v>3.0</v>
      </c>
      <c r="M278" s="21">
        <v>29.95675</v>
      </c>
      <c r="N278" s="21">
        <v>-85.47205</v>
      </c>
      <c r="O278" s="21" t="s">
        <v>1811</v>
      </c>
      <c r="P278" s="22" t="s">
        <v>1812</v>
      </c>
    </row>
    <row r="279" ht="33.75" customHeight="1">
      <c r="A279" s="29">
        <v>42406.0</v>
      </c>
      <c r="B279" s="25" t="s">
        <v>223</v>
      </c>
      <c r="C279" s="25" t="s">
        <v>191</v>
      </c>
      <c r="D279" s="25" t="s">
        <v>224</v>
      </c>
      <c r="E279" s="25" t="s">
        <v>164</v>
      </c>
      <c r="F279" s="25">
        <v>29.95482</v>
      </c>
      <c r="G279" s="25">
        <v>-85.44915</v>
      </c>
      <c r="H279" s="21">
        <v>30.00088</v>
      </c>
      <c r="I279" s="21">
        <v>-85.5287</v>
      </c>
      <c r="J279" s="21" t="s">
        <v>225</v>
      </c>
      <c r="K279" s="21" t="s">
        <v>227</v>
      </c>
      <c r="L279" s="21">
        <v>4.0</v>
      </c>
      <c r="M279" s="21">
        <v>29.96103</v>
      </c>
      <c r="N279" s="21">
        <v>-85.48996</v>
      </c>
      <c r="O279" s="21" t="s">
        <v>1813</v>
      </c>
      <c r="P279" s="22" t="s">
        <v>1815</v>
      </c>
    </row>
    <row r="280" ht="33.75" customHeight="1">
      <c r="A280" s="29">
        <v>42406.0</v>
      </c>
      <c r="B280" s="25" t="s">
        <v>223</v>
      </c>
      <c r="C280" s="25" t="s">
        <v>191</v>
      </c>
      <c r="D280" s="25" t="s">
        <v>224</v>
      </c>
      <c r="E280" s="25" t="s">
        <v>164</v>
      </c>
      <c r="F280" s="25">
        <v>29.95482</v>
      </c>
      <c r="G280" s="25">
        <v>-85.44915</v>
      </c>
      <c r="H280" s="21">
        <v>30.00088</v>
      </c>
      <c r="I280" s="21">
        <v>-85.5287</v>
      </c>
      <c r="J280" s="21" t="s">
        <v>225</v>
      </c>
      <c r="K280" s="21" t="s">
        <v>227</v>
      </c>
      <c r="L280" s="21">
        <v>5.0</v>
      </c>
      <c r="M280" s="21">
        <v>29.96815</v>
      </c>
      <c r="N280" s="21">
        <v>-85.50228</v>
      </c>
      <c r="O280" s="21" t="s">
        <v>454</v>
      </c>
      <c r="P280" s="22" t="s">
        <v>1818</v>
      </c>
    </row>
    <row r="281" ht="33.75" customHeight="1">
      <c r="A281" s="29">
        <v>42406.0</v>
      </c>
      <c r="B281" s="25" t="s">
        <v>223</v>
      </c>
      <c r="C281" s="25" t="s">
        <v>191</v>
      </c>
      <c r="D281" s="25" t="s">
        <v>224</v>
      </c>
      <c r="E281" s="25" t="s">
        <v>164</v>
      </c>
      <c r="F281" s="25">
        <v>29.95482</v>
      </c>
      <c r="G281" s="25">
        <v>-85.44915</v>
      </c>
      <c r="H281" s="21">
        <v>30.00088</v>
      </c>
      <c r="I281" s="21">
        <v>-85.5287</v>
      </c>
      <c r="J281" s="21" t="s">
        <v>225</v>
      </c>
      <c r="K281" s="21" t="s">
        <v>227</v>
      </c>
      <c r="L281" s="21">
        <v>6.0</v>
      </c>
      <c r="M281" s="21">
        <v>29.98352</v>
      </c>
      <c r="N281" s="21">
        <v>-85.52052</v>
      </c>
      <c r="O281" s="21" t="s">
        <v>458</v>
      </c>
      <c r="P281" s="22" t="s">
        <v>1821</v>
      </c>
    </row>
    <row r="282" ht="33.75" customHeight="1">
      <c r="A282" s="29">
        <v>42406.0</v>
      </c>
      <c r="B282" s="25" t="s">
        <v>223</v>
      </c>
      <c r="C282" s="25" t="s">
        <v>191</v>
      </c>
      <c r="D282" s="25" t="s">
        <v>224</v>
      </c>
      <c r="E282" s="25" t="s">
        <v>164</v>
      </c>
      <c r="F282" s="25">
        <v>29.95482</v>
      </c>
      <c r="G282" s="25">
        <v>-85.44915</v>
      </c>
      <c r="H282" s="21">
        <v>30.00088</v>
      </c>
      <c r="I282" s="21">
        <v>-85.5287</v>
      </c>
      <c r="J282" s="21" t="s">
        <v>225</v>
      </c>
      <c r="K282" s="21" t="s">
        <v>227</v>
      </c>
      <c r="L282" s="21">
        <v>7.0</v>
      </c>
      <c r="M282" s="21">
        <v>29.98803</v>
      </c>
      <c r="N282" s="21">
        <v>-85.52444</v>
      </c>
      <c r="O282" s="21" t="s">
        <v>1822</v>
      </c>
      <c r="P282" s="22" t="s">
        <v>1823</v>
      </c>
    </row>
    <row r="283" ht="33.75" customHeight="1">
      <c r="A283" s="29">
        <v>42406.0</v>
      </c>
      <c r="B283" s="25" t="s">
        <v>223</v>
      </c>
      <c r="C283" s="25" t="s">
        <v>191</v>
      </c>
      <c r="D283" s="25" t="s">
        <v>224</v>
      </c>
      <c r="E283" s="25" t="s">
        <v>164</v>
      </c>
      <c r="F283" s="25">
        <v>29.95482</v>
      </c>
      <c r="G283" s="25">
        <v>-85.44915</v>
      </c>
      <c r="H283" s="21">
        <v>30.00088</v>
      </c>
      <c r="I283" s="21">
        <v>-85.5287</v>
      </c>
      <c r="J283" s="21" t="s">
        <v>225</v>
      </c>
      <c r="K283" s="21" t="s">
        <v>227</v>
      </c>
      <c r="L283" s="21">
        <v>8.0</v>
      </c>
      <c r="M283" s="21">
        <v>29.98717</v>
      </c>
      <c r="N283" s="21">
        <v>-85.52264</v>
      </c>
      <c r="O283" s="21" t="s">
        <v>1825</v>
      </c>
      <c r="P283" s="22" t="s">
        <v>1826</v>
      </c>
    </row>
    <row r="284" ht="33.75" customHeight="1">
      <c r="A284" s="29">
        <v>42406.0</v>
      </c>
      <c r="B284" s="25" t="s">
        <v>223</v>
      </c>
      <c r="C284" s="25" t="s">
        <v>191</v>
      </c>
      <c r="D284" s="25" t="s">
        <v>224</v>
      </c>
      <c r="E284" s="25" t="s">
        <v>164</v>
      </c>
      <c r="F284" s="25">
        <v>29.95482</v>
      </c>
      <c r="G284" s="25">
        <v>-85.44915</v>
      </c>
      <c r="H284" s="21">
        <v>30.00088</v>
      </c>
      <c r="I284" s="21">
        <v>-85.5287</v>
      </c>
      <c r="J284" s="21" t="s">
        <v>225</v>
      </c>
      <c r="K284" s="21" t="s">
        <v>227</v>
      </c>
      <c r="L284" s="21">
        <v>9.0</v>
      </c>
      <c r="M284" s="21">
        <v>29.98949</v>
      </c>
      <c r="N284" s="21">
        <v>-85.52584</v>
      </c>
      <c r="O284" s="21" t="s">
        <v>1829</v>
      </c>
      <c r="P284" s="22" t="s">
        <v>1830</v>
      </c>
    </row>
    <row r="285" ht="33.75" customHeight="1">
      <c r="A285" s="29">
        <v>42406.0</v>
      </c>
      <c r="B285" s="25" t="s">
        <v>223</v>
      </c>
      <c r="C285" s="25" t="s">
        <v>191</v>
      </c>
      <c r="D285" s="25" t="s">
        <v>224</v>
      </c>
      <c r="E285" s="25" t="s">
        <v>164</v>
      </c>
      <c r="F285" s="25">
        <v>29.95482</v>
      </c>
      <c r="G285" s="25">
        <v>-85.44915</v>
      </c>
      <c r="H285" s="21">
        <v>30.00088</v>
      </c>
      <c r="I285" s="21">
        <v>-85.5287</v>
      </c>
      <c r="J285" s="21" t="s">
        <v>225</v>
      </c>
      <c r="K285" s="21" t="s">
        <v>227</v>
      </c>
      <c r="L285" s="21">
        <v>10.0</v>
      </c>
      <c r="M285" s="21">
        <v>29.99213</v>
      </c>
      <c r="N285" s="21">
        <v>-85.52763</v>
      </c>
      <c r="O285" s="21" t="s">
        <v>454</v>
      </c>
      <c r="P285" s="22" t="s">
        <v>1831</v>
      </c>
    </row>
    <row r="286" ht="33.75" customHeight="1">
      <c r="A286" s="29">
        <v>42406.0</v>
      </c>
      <c r="B286" s="25" t="s">
        <v>223</v>
      </c>
      <c r="C286" s="25" t="s">
        <v>191</v>
      </c>
      <c r="D286" s="25" t="s">
        <v>224</v>
      </c>
      <c r="E286" s="25" t="s">
        <v>164</v>
      </c>
      <c r="F286" s="25">
        <v>29.95482</v>
      </c>
      <c r="G286" s="25">
        <v>-85.44915</v>
      </c>
      <c r="H286" s="21">
        <v>30.00088</v>
      </c>
      <c r="I286" s="21">
        <v>-85.5287</v>
      </c>
      <c r="J286" s="21" t="s">
        <v>225</v>
      </c>
      <c r="K286" s="21" t="s">
        <v>227</v>
      </c>
      <c r="L286" s="21">
        <v>11.0</v>
      </c>
      <c r="M286" s="21">
        <v>29.9999</v>
      </c>
      <c r="N286" s="21">
        <v>-85.53027</v>
      </c>
      <c r="O286" s="21" t="s">
        <v>1832</v>
      </c>
      <c r="P286" s="22" t="s">
        <v>1833</v>
      </c>
    </row>
    <row r="287" ht="33.75" customHeight="1">
      <c r="A287" s="29">
        <v>42406.0</v>
      </c>
      <c r="B287" s="25" t="s">
        <v>223</v>
      </c>
      <c r="C287" s="25" t="s">
        <v>191</v>
      </c>
      <c r="D287" s="25" t="s">
        <v>224</v>
      </c>
      <c r="E287" s="25" t="s">
        <v>164</v>
      </c>
      <c r="F287" s="25">
        <v>29.95482</v>
      </c>
      <c r="G287" s="25">
        <v>-85.44915</v>
      </c>
      <c r="H287" s="21">
        <v>30.00088</v>
      </c>
      <c r="I287" s="21">
        <v>-85.5287</v>
      </c>
      <c r="J287" s="21" t="s">
        <v>225</v>
      </c>
      <c r="K287" s="21" t="s">
        <v>227</v>
      </c>
      <c r="L287" s="21">
        <v>12.0</v>
      </c>
      <c r="M287" s="21">
        <v>30.00025</v>
      </c>
      <c r="N287" s="21">
        <v>-85.52942</v>
      </c>
      <c r="O287" s="21" t="s">
        <v>1835</v>
      </c>
      <c r="P287" s="22" t="s">
        <v>1836</v>
      </c>
    </row>
    <row r="288" ht="33.75" customHeight="1">
      <c r="A288" s="29">
        <v>42411.0</v>
      </c>
      <c r="B288" s="25" t="s">
        <v>1837</v>
      </c>
      <c r="C288" s="25" t="s">
        <v>1838</v>
      </c>
      <c r="D288" s="25" t="s">
        <v>1839</v>
      </c>
      <c r="E288" s="25" t="s">
        <v>1840</v>
      </c>
      <c r="F288" s="25">
        <v>30.67027</v>
      </c>
      <c r="G288" s="25">
        <v>-81.46537</v>
      </c>
      <c r="H288" s="21">
        <v>30.56522</v>
      </c>
      <c r="I288" s="21">
        <v>-81.49794</v>
      </c>
      <c r="J288" s="21" t="s">
        <v>1841</v>
      </c>
      <c r="K288" s="21" t="s">
        <v>1842</v>
      </c>
      <c r="L288" s="21">
        <v>1.0</v>
      </c>
      <c r="M288" s="21">
        <v>30.67027</v>
      </c>
      <c r="N288" s="21">
        <v>-81.46537</v>
      </c>
      <c r="O288" s="21" t="s">
        <v>1843</v>
      </c>
      <c r="P288" s="22" t="s">
        <v>1844</v>
      </c>
    </row>
    <row r="289" ht="33.75" customHeight="1">
      <c r="A289" s="29">
        <v>42411.0</v>
      </c>
      <c r="B289" s="25" t="s">
        <v>1837</v>
      </c>
      <c r="C289" s="25" t="s">
        <v>1838</v>
      </c>
      <c r="D289" s="25" t="s">
        <v>1839</v>
      </c>
      <c r="E289" s="25" t="s">
        <v>1840</v>
      </c>
      <c r="F289" s="25">
        <v>30.67027</v>
      </c>
      <c r="G289" s="25">
        <v>-81.46537</v>
      </c>
      <c r="H289" s="21">
        <v>30.56522</v>
      </c>
      <c r="I289" s="21">
        <v>-81.49794</v>
      </c>
      <c r="J289" s="21" t="s">
        <v>1841</v>
      </c>
      <c r="K289" s="21" t="s">
        <v>1842</v>
      </c>
      <c r="L289" s="21">
        <v>2.0</v>
      </c>
      <c r="M289" s="21">
        <v>30.67157</v>
      </c>
      <c r="N289" s="21">
        <v>-81.47914</v>
      </c>
      <c r="O289" s="21" t="s">
        <v>1845</v>
      </c>
      <c r="P289" s="22" t="s">
        <v>1846</v>
      </c>
    </row>
    <row r="290" ht="33.75" customHeight="1">
      <c r="A290" s="29">
        <v>42411.0</v>
      </c>
      <c r="B290" s="25" t="s">
        <v>1837</v>
      </c>
      <c r="C290" s="25" t="s">
        <v>1838</v>
      </c>
      <c r="D290" s="25" t="s">
        <v>1839</v>
      </c>
      <c r="E290" s="25" t="s">
        <v>1840</v>
      </c>
      <c r="F290" s="25">
        <v>30.67027</v>
      </c>
      <c r="G290" s="25">
        <v>-81.46537</v>
      </c>
      <c r="H290" s="21">
        <v>30.56522</v>
      </c>
      <c r="I290" s="21">
        <v>-81.49794</v>
      </c>
      <c r="J290" s="21" t="s">
        <v>1841</v>
      </c>
      <c r="K290" s="21" t="s">
        <v>1842</v>
      </c>
      <c r="L290" s="21">
        <v>3.0</v>
      </c>
      <c r="M290" s="21">
        <v>30.68393</v>
      </c>
      <c r="N290" s="21">
        <v>-81.48271</v>
      </c>
      <c r="O290" s="21" t="s">
        <v>1848</v>
      </c>
      <c r="P290" s="22" t="s">
        <v>1849</v>
      </c>
    </row>
    <row r="291" ht="33.75" customHeight="1">
      <c r="A291" s="29">
        <v>42411.0</v>
      </c>
      <c r="B291" s="25" t="s">
        <v>1837</v>
      </c>
      <c r="C291" s="25" t="s">
        <v>1838</v>
      </c>
      <c r="D291" s="25" t="s">
        <v>1839</v>
      </c>
      <c r="E291" s="25" t="s">
        <v>1840</v>
      </c>
      <c r="F291" s="25">
        <v>30.67027</v>
      </c>
      <c r="G291" s="25">
        <v>-81.46537</v>
      </c>
      <c r="H291" s="21">
        <v>30.56522</v>
      </c>
      <c r="I291" s="21">
        <v>-81.49794</v>
      </c>
      <c r="J291" s="21" t="s">
        <v>1841</v>
      </c>
      <c r="K291" s="21" t="s">
        <v>1842</v>
      </c>
      <c r="L291" s="21">
        <v>4.0</v>
      </c>
      <c r="M291" s="21">
        <v>30.70027</v>
      </c>
      <c r="N291" s="21">
        <v>-81.490446</v>
      </c>
      <c r="O291" s="21" t="s">
        <v>1852</v>
      </c>
      <c r="P291" s="54"/>
    </row>
    <row r="292" ht="33.75" customHeight="1">
      <c r="A292" s="29">
        <v>42411.0</v>
      </c>
      <c r="B292" s="25" t="s">
        <v>1837</v>
      </c>
      <c r="C292" s="25" t="s">
        <v>1838</v>
      </c>
      <c r="D292" s="25" t="s">
        <v>1839</v>
      </c>
      <c r="E292" s="25" t="s">
        <v>1840</v>
      </c>
      <c r="F292" s="25">
        <v>30.67027</v>
      </c>
      <c r="G292" s="25">
        <v>-81.46537</v>
      </c>
      <c r="H292" s="21">
        <v>30.56522</v>
      </c>
      <c r="I292" s="21">
        <v>-81.49794</v>
      </c>
      <c r="J292" s="21" t="s">
        <v>1841</v>
      </c>
      <c r="K292" s="21" t="s">
        <v>1842</v>
      </c>
      <c r="L292" s="21">
        <v>5.0</v>
      </c>
      <c r="M292" s="21">
        <v>30.705337</v>
      </c>
      <c r="N292" s="21">
        <v>-81.48794</v>
      </c>
      <c r="O292" s="21" t="s">
        <v>1856</v>
      </c>
      <c r="P292" s="22" t="s">
        <v>1857</v>
      </c>
    </row>
    <row r="293" ht="33.75" customHeight="1">
      <c r="A293" s="29">
        <v>42411.0</v>
      </c>
      <c r="B293" s="25" t="s">
        <v>1837</v>
      </c>
      <c r="C293" s="25" t="s">
        <v>1838</v>
      </c>
      <c r="D293" s="25" t="s">
        <v>1839</v>
      </c>
      <c r="E293" s="25" t="s">
        <v>1840</v>
      </c>
      <c r="F293" s="25">
        <v>30.67027</v>
      </c>
      <c r="G293" s="25">
        <v>-81.46537</v>
      </c>
      <c r="H293" s="21">
        <v>30.56522</v>
      </c>
      <c r="I293" s="21">
        <v>-81.49794</v>
      </c>
      <c r="J293" s="21" t="s">
        <v>1841</v>
      </c>
      <c r="K293" s="21" t="s">
        <v>1842</v>
      </c>
      <c r="L293" s="21">
        <v>6.0</v>
      </c>
      <c r="M293" s="21">
        <v>30.699478</v>
      </c>
      <c r="N293" s="21">
        <v>-81.47669</v>
      </c>
      <c r="O293" s="21" t="s">
        <v>1868</v>
      </c>
      <c r="P293" s="22" t="s">
        <v>1869</v>
      </c>
    </row>
    <row r="294" ht="33.75" customHeight="1">
      <c r="A294" s="29">
        <v>42411.0</v>
      </c>
      <c r="B294" s="25" t="s">
        <v>1837</v>
      </c>
      <c r="C294" s="25" t="s">
        <v>1838</v>
      </c>
      <c r="D294" s="25" t="s">
        <v>1839</v>
      </c>
      <c r="E294" s="25" t="s">
        <v>1840</v>
      </c>
      <c r="F294" s="25">
        <v>30.67027</v>
      </c>
      <c r="G294" s="25">
        <v>-81.46537</v>
      </c>
      <c r="H294" s="21">
        <v>30.56522</v>
      </c>
      <c r="I294" s="21">
        <v>-81.49794</v>
      </c>
      <c r="J294" s="21" t="s">
        <v>1841</v>
      </c>
      <c r="K294" s="21" t="s">
        <v>1842</v>
      </c>
      <c r="L294" s="21">
        <v>7.0</v>
      </c>
      <c r="M294" s="21">
        <v>30.6888</v>
      </c>
      <c r="N294" s="21">
        <v>-81.4629</v>
      </c>
      <c r="O294" s="21" t="s">
        <v>1874</v>
      </c>
      <c r="P294" s="22" t="s">
        <v>1875</v>
      </c>
    </row>
    <row r="295" ht="33.75" customHeight="1">
      <c r="A295" s="29">
        <v>42411.0</v>
      </c>
      <c r="B295" s="25" t="s">
        <v>1837</v>
      </c>
      <c r="C295" s="25" t="s">
        <v>1838</v>
      </c>
      <c r="D295" s="25" t="s">
        <v>1839</v>
      </c>
      <c r="E295" s="25" t="s">
        <v>1840</v>
      </c>
      <c r="F295" s="25">
        <v>30.67027</v>
      </c>
      <c r="G295" s="25">
        <v>-81.46537</v>
      </c>
      <c r="H295" s="21">
        <v>30.56522</v>
      </c>
      <c r="I295" s="21">
        <v>-81.49794</v>
      </c>
      <c r="J295" s="21" t="s">
        <v>1841</v>
      </c>
      <c r="K295" s="21" t="s">
        <v>1842</v>
      </c>
      <c r="L295" s="21">
        <v>8.0</v>
      </c>
      <c r="M295" s="21">
        <v>30.68155</v>
      </c>
      <c r="N295" s="21">
        <v>-81.4674</v>
      </c>
      <c r="O295" s="21" t="s">
        <v>1878</v>
      </c>
      <c r="P295" s="22" t="s">
        <v>1880</v>
      </c>
    </row>
    <row r="296" ht="33.75" customHeight="1">
      <c r="A296" s="29">
        <v>42411.0</v>
      </c>
      <c r="B296" s="25" t="s">
        <v>1837</v>
      </c>
      <c r="C296" s="25" t="s">
        <v>1838</v>
      </c>
      <c r="D296" s="25" t="s">
        <v>1839</v>
      </c>
      <c r="E296" s="25" t="s">
        <v>1840</v>
      </c>
      <c r="F296" s="25">
        <v>30.67027</v>
      </c>
      <c r="G296" s="25">
        <v>-81.46537</v>
      </c>
      <c r="H296" s="21">
        <v>30.56522</v>
      </c>
      <c r="I296" s="21">
        <v>-81.49794</v>
      </c>
      <c r="J296" s="21" t="s">
        <v>1841</v>
      </c>
      <c r="K296" s="21" t="s">
        <v>1842</v>
      </c>
      <c r="L296" s="21">
        <v>9.0</v>
      </c>
      <c r="M296" s="21">
        <v>30.66221</v>
      </c>
      <c r="N296" s="21">
        <v>-81.48708</v>
      </c>
      <c r="O296" s="21" t="s">
        <v>1883</v>
      </c>
      <c r="P296" s="22" t="s">
        <v>1884</v>
      </c>
    </row>
    <row r="297" ht="33.75" customHeight="1">
      <c r="A297" s="29">
        <v>42411.0</v>
      </c>
      <c r="B297" s="25" t="s">
        <v>1837</v>
      </c>
      <c r="C297" s="25" t="s">
        <v>1838</v>
      </c>
      <c r="D297" s="25" t="s">
        <v>1839</v>
      </c>
      <c r="E297" s="25" t="s">
        <v>1840</v>
      </c>
      <c r="F297" s="25">
        <v>30.67027</v>
      </c>
      <c r="G297" s="25">
        <v>-81.46537</v>
      </c>
      <c r="H297" s="21">
        <v>30.56522</v>
      </c>
      <c r="I297" s="21">
        <v>-81.49794</v>
      </c>
      <c r="J297" s="21" t="s">
        <v>1841</v>
      </c>
      <c r="K297" s="21" t="s">
        <v>1842</v>
      </c>
      <c r="L297" s="21">
        <v>10.0</v>
      </c>
      <c r="M297" s="21">
        <v>30.62837</v>
      </c>
      <c r="N297" s="21">
        <v>-81.48414</v>
      </c>
      <c r="O297" s="21" t="s">
        <v>1885</v>
      </c>
      <c r="P297" s="22" t="s">
        <v>1886</v>
      </c>
    </row>
    <row r="298" ht="33.75" customHeight="1">
      <c r="A298" s="29">
        <v>42411.0</v>
      </c>
      <c r="B298" s="25" t="s">
        <v>1837</v>
      </c>
      <c r="C298" s="25" t="s">
        <v>1838</v>
      </c>
      <c r="D298" s="25" t="s">
        <v>1839</v>
      </c>
      <c r="E298" s="25" t="s">
        <v>1840</v>
      </c>
      <c r="F298" s="25">
        <v>30.67027</v>
      </c>
      <c r="G298" s="25">
        <v>-81.46537</v>
      </c>
      <c r="H298" s="21">
        <v>30.56522</v>
      </c>
      <c r="I298" s="21">
        <v>-81.49794</v>
      </c>
      <c r="J298" s="21" t="s">
        <v>1841</v>
      </c>
      <c r="K298" s="21" t="s">
        <v>1842</v>
      </c>
      <c r="L298" s="21">
        <v>11.0</v>
      </c>
      <c r="M298" s="21">
        <v>30.61585</v>
      </c>
      <c r="N298" s="21">
        <v>-81.48967</v>
      </c>
      <c r="O298" s="21" t="s">
        <v>1889</v>
      </c>
      <c r="P298" s="22" t="s">
        <v>1891</v>
      </c>
    </row>
    <row r="299" ht="33.75" customHeight="1">
      <c r="A299" s="29">
        <v>42411.0</v>
      </c>
      <c r="B299" s="25" t="s">
        <v>1837</v>
      </c>
      <c r="C299" s="25" t="s">
        <v>1838</v>
      </c>
      <c r="D299" s="25" t="s">
        <v>1839</v>
      </c>
      <c r="E299" s="25" t="s">
        <v>1840</v>
      </c>
      <c r="F299" s="25">
        <v>30.67027</v>
      </c>
      <c r="G299" s="25">
        <v>-81.46537</v>
      </c>
      <c r="H299" s="21">
        <v>30.56522</v>
      </c>
      <c r="I299" s="21">
        <v>-81.49794</v>
      </c>
      <c r="J299" s="21" t="s">
        <v>1841</v>
      </c>
      <c r="K299" s="21" t="s">
        <v>1842</v>
      </c>
      <c r="L299" s="21">
        <v>12.0</v>
      </c>
      <c r="M299" s="21">
        <v>30.57504</v>
      </c>
      <c r="N299" s="21">
        <v>-81.46145</v>
      </c>
      <c r="O299" s="21" t="s">
        <v>1893</v>
      </c>
      <c r="P299" s="22" t="s">
        <v>1894</v>
      </c>
    </row>
    <row r="300" ht="33.75" customHeight="1">
      <c r="A300" s="29">
        <v>42411.0</v>
      </c>
      <c r="B300" s="25" t="s">
        <v>1837</v>
      </c>
      <c r="C300" s="25" t="s">
        <v>1838</v>
      </c>
      <c r="D300" s="25" t="s">
        <v>1839</v>
      </c>
      <c r="E300" s="25" t="s">
        <v>1840</v>
      </c>
      <c r="F300" s="25">
        <v>30.67027</v>
      </c>
      <c r="G300" s="25">
        <v>-81.46537</v>
      </c>
      <c r="H300" s="21">
        <v>30.56522</v>
      </c>
      <c r="I300" s="21">
        <v>-81.49794</v>
      </c>
      <c r="J300" s="21" t="s">
        <v>1841</v>
      </c>
      <c r="K300" s="21" t="s">
        <v>1842</v>
      </c>
      <c r="L300" s="21">
        <v>13.0</v>
      </c>
      <c r="M300" s="21">
        <v>30.56981</v>
      </c>
      <c r="N300" s="21">
        <v>-81.47759</v>
      </c>
      <c r="O300" s="21" t="s">
        <v>1895</v>
      </c>
      <c r="P300" s="54"/>
    </row>
    <row r="301" ht="33.75" customHeight="1">
      <c r="A301" s="29">
        <v>42411.0</v>
      </c>
      <c r="B301" s="25" t="s">
        <v>1837</v>
      </c>
      <c r="C301" s="25" t="s">
        <v>1838</v>
      </c>
      <c r="D301" s="25" t="s">
        <v>1839</v>
      </c>
      <c r="E301" s="25" t="s">
        <v>1840</v>
      </c>
      <c r="F301" s="25">
        <v>30.67027</v>
      </c>
      <c r="G301" s="25">
        <v>-81.46537</v>
      </c>
      <c r="H301" s="21">
        <v>30.56522</v>
      </c>
      <c r="I301" s="21">
        <v>-81.49794</v>
      </c>
      <c r="J301" s="21" t="s">
        <v>1841</v>
      </c>
      <c r="K301" s="21" t="s">
        <v>1842</v>
      </c>
      <c r="L301" s="21">
        <v>14.0</v>
      </c>
      <c r="M301" s="21">
        <v>30.56522</v>
      </c>
      <c r="N301" s="21">
        <v>-81.49794</v>
      </c>
      <c r="O301" s="21" t="s">
        <v>1905</v>
      </c>
      <c r="P301" s="22" t="s">
        <v>1906</v>
      </c>
    </row>
    <row r="302" ht="33.75" customHeight="1">
      <c r="A302" s="29">
        <v>42411.0</v>
      </c>
      <c r="B302" s="25" t="s">
        <v>1837</v>
      </c>
      <c r="C302" s="25" t="s">
        <v>1838</v>
      </c>
      <c r="D302" s="25" t="s">
        <v>1839</v>
      </c>
      <c r="E302" s="25" t="s">
        <v>1840</v>
      </c>
      <c r="F302" s="25">
        <v>30.67027</v>
      </c>
      <c r="G302" s="25">
        <v>-81.46537</v>
      </c>
      <c r="H302" s="21">
        <v>30.56522</v>
      </c>
      <c r="I302" s="21">
        <v>-81.49794</v>
      </c>
      <c r="J302" s="21" t="s">
        <v>1841</v>
      </c>
      <c r="K302" s="21" t="s">
        <v>1842</v>
      </c>
      <c r="L302" s="21">
        <v>15.0</v>
      </c>
      <c r="M302" s="21">
        <v>30.56922</v>
      </c>
      <c r="N302" s="21">
        <v>-81.49794</v>
      </c>
      <c r="O302" s="21" t="s">
        <v>1912</v>
      </c>
      <c r="P302" s="54"/>
    </row>
    <row r="303" ht="33.75" customHeight="1">
      <c r="A303" s="20">
        <v>42408.0</v>
      </c>
      <c r="B303" s="21" t="s">
        <v>1913</v>
      </c>
      <c r="C303" s="21" t="s">
        <v>1914</v>
      </c>
      <c r="D303" s="21" t="s">
        <v>1915</v>
      </c>
      <c r="E303" s="21" t="s">
        <v>113</v>
      </c>
      <c r="F303" s="21">
        <v>27.78197</v>
      </c>
      <c r="G303" s="21">
        <v>-82.62519</v>
      </c>
      <c r="H303" s="21">
        <v>27.78483</v>
      </c>
      <c r="I303" s="22">
        <v>-82.62434</v>
      </c>
      <c r="J303" s="21" t="s">
        <v>1918</v>
      </c>
      <c r="K303" s="21" t="s">
        <v>1919</v>
      </c>
      <c r="L303" s="21">
        <v>1.0</v>
      </c>
      <c r="M303" s="21">
        <v>27.78483</v>
      </c>
      <c r="N303" s="22">
        <v>-82.62434</v>
      </c>
      <c r="O303" s="21" t="s">
        <v>1921</v>
      </c>
      <c r="P303" s="54"/>
    </row>
    <row r="304" ht="33.75" customHeight="1">
      <c r="A304" s="29">
        <v>42410.0</v>
      </c>
      <c r="B304" s="25" t="s">
        <v>1112</v>
      </c>
      <c r="C304" s="25" t="s">
        <v>1114</v>
      </c>
      <c r="D304" s="25" t="s">
        <v>1922</v>
      </c>
      <c r="E304" s="25" t="s">
        <v>1116</v>
      </c>
      <c r="F304" s="25">
        <v>29.292253</v>
      </c>
      <c r="G304" s="25">
        <v>-81.039058</v>
      </c>
      <c r="H304" s="21">
        <v>29.410556</v>
      </c>
      <c r="I304" s="21">
        <v>-81.095</v>
      </c>
      <c r="J304" s="21" t="s">
        <v>1923</v>
      </c>
      <c r="K304" s="21" t="s">
        <v>1924</v>
      </c>
      <c r="L304" s="21">
        <v>1.0</v>
      </c>
      <c r="M304" s="21">
        <v>29.322222</v>
      </c>
      <c r="N304" s="21">
        <v>-81.054167</v>
      </c>
      <c r="O304" s="21" t="s">
        <v>1926</v>
      </c>
      <c r="P304" s="22" t="s">
        <v>1927</v>
      </c>
    </row>
    <row r="305" ht="33.75" customHeight="1">
      <c r="A305" s="29">
        <v>42410.0</v>
      </c>
      <c r="B305" s="25" t="s">
        <v>1112</v>
      </c>
      <c r="C305" s="25" t="s">
        <v>1114</v>
      </c>
      <c r="D305" s="25" t="s">
        <v>1922</v>
      </c>
      <c r="E305" s="25" t="s">
        <v>1116</v>
      </c>
      <c r="F305" s="25">
        <v>29.292253</v>
      </c>
      <c r="G305" s="25">
        <v>-81.039058</v>
      </c>
      <c r="H305" s="21">
        <v>29.410556</v>
      </c>
      <c r="I305" s="21">
        <v>-81.095</v>
      </c>
      <c r="J305" s="21" t="s">
        <v>1923</v>
      </c>
      <c r="K305" s="21" t="s">
        <v>1929</v>
      </c>
      <c r="L305" s="21">
        <v>2.0</v>
      </c>
      <c r="M305" s="21">
        <v>29.323389</v>
      </c>
      <c r="N305" s="21">
        <v>-81.055556</v>
      </c>
      <c r="O305" s="21" t="s">
        <v>1930</v>
      </c>
      <c r="P305" s="22" t="s">
        <v>1931</v>
      </c>
    </row>
    <row r="306" ht="33.75" customHeight="1">
      <c r="A306" s="29">
        <v>42410.0</v>
      </c>
      <c r="B306" s="25" t="s">
        <v>1112</v>
      </c>
      <c r="C306" s="25" t="s">
        <v>1114</v>
      </c>
      <c r="D306" s="25" t="s">
        <v>1932</v>
      </c>
      <c r="E306" s="25" t="s">
        <v>1116</v>
      </c>
      <c r="F306" s="25">
        <v>29.292253</v>
      </c>
      <c r="G306" s="25">
        <v>-81.039058</v>
      </c>
      <c r="H306" s="21">
        <v>29.410556</v>
      </c>
      <c r="I306" s="21">
        <v>-81.095</v>
      </c>
      <c r="J306" s="21" t="s">
        <v>1923</v>
      </c>
      <c r="K306" s="21" t="s">
        <v>1933</v>
      </c>
      <c r="L306" s="21">
        <v>3.0</v>
      </c>
      <c r="M306" s="21">
        <v>29.336667</v>
      </c>
      <c r="N306" s="21">
        <v>-81.058333</v>
      </c>
      <c r="O306" s="21" t="s">
        <v>1934</v>
      </c>
      <c r="P306" s="22" t="s">
        <v>1927</v>
      </c>
    </row>
    <row r="307" ht="33.75" customHeight="1">
      <c r="A307" s="29">
        <v>42410.0</v>
      </c>
      <c r="B307" s="25" t="s">
        <v>1112</v>
      </c>
      <c r="C307" s="25" t="s">
        <v>1114</v>
      </c>
      <c r="D307" s="25" t="s">
        <v>1922</v>
      </c>
      <c r="E307" s="25" t="s">
        <v>1116</v>
      </c>
      <c r="F307" s="25">
        <v>29.292253</v>
      </c>
      <c r="G307" s="25">
        <v>-81.039058</v>
      </c>
      <c r="H307" s="21">
        <v>29.410556</v>
      </c>
      <c r="I307" s="21">
        <v>-81.095</v>
      </c>
      <c r="J307" s="21" t="s">
        <v>1923</v>
      </c>
      <c r="K307" s="21" t="s">
        <v>1933</v>
      </c>
      <c r="L307" s="21">
        <v>4.0</v>
      </c>
      <c r="M307" s="21">
        <v>29.355</v>
      </c>
      <c r="N307" s="21">
        <v>-81.068889</v>
      </c>
      <c r="O307" s="21" t="s">
        <v>1938</v>
      </c>
      <c r="P307" s="22" t="s">
        <v>1931</v>
      </c>
    </row>
    <row r="308" ht="33.75" customHeight="1">
      <c r="A308" s="29">
        <v>42410.0</v>
      </c>
      <c r="B308" s="25" t="s">
        <v>1112</v>
      </c>
      <c r="C308" s="25" t="s">
        <v>1114</v>
      </c>
      <c r="D308" s="25" t="s">
        <v>1922</v>
      </c>
      <c r="E308" s="25" t="s">
        <v>1116</v>
      </c>
      <c r="F308" s="25">
        <v>29.292253</v>
      </c>
      <c r="G308" s="25">
        <v>-81.039058</v>
      </c>
      <c r="H308" s="21">
        <v>29.410556</v>
      </c>
      <c r="I308" s="21">
        <v>-81.095</v>
      </c>
      <c r="J308" s="21" t="s">
        <v>1923</v>
      </c>
      <c r="K308" s="21" t="s">
        <v>1933</v>
      </c>
      <c r="L308" s="21">
        <v>5.0</v>
      </c>
      <c r="M308" s="21">
        <v>29.373611</v>
      </c>
      <c r="N308" s="21">
        <v>-81.0775</v>
      </c>
      <c r="O308" s="21" t="s">
        <v>1939</v>
      </c>
      <c r="P308" s="22" t="s">
        <v>1931</v>
      </c>
    </row>
    <row r="309" ht="33.75" customHeight="1">
      <c r="A309" s="29">
        <v>42410.0</v>
      </c>
      <c r="B309" s="25" t="s">
        <v>1112</v>
      </c>
      <c r="C309" s="25" t="s">
        <v>1114</v>
      </c>
      <c r="D309" s="25" t="s">
        <v>1922</v>
      </c>
      <c r="E309" s="25" t="s">
        <v>1116</v>
      </c>
      <c r="F309" s="25">
        <v>29.292253</v>
      </c>
      <c r="G309" s="25">
        <v>-81.039058</v>
      </c>
      <c r="H309" s="21">
        <v>29.410556</v>
      </c>
      <c r="I309" s="21">
        <v>-81.095</v>
      </c>
      <c r="J309" s="21" t="s">
        <v>1923</v>
      </c>
      <c r="K309" s="21" t="s">
        <v>1933</v>
      </c>
      <c r="L309" s="21">
        <v>6.0</v>
      </c>
      <c r="M309" s="21">
        <v>29.384722</v>
      </c>
      <c r="N309" s="21">
        <v>-81.082778</v>
      </c>
      <c r="O309" s="21" t="s">
        <v>1940</v>
      </c>
      <c r="P309" s="22" t="s">
        <v>1927</v>
      </c>
    </row>
    <row r="310" ht="33.75" customHeight="1">
      <c r="A310" s="29">
        <v>42410.0</v>
      </c>
      <c r="B310" s="25" t="s">
        <v>1112</v>
      </c>
      <c r="C310" s="31"/>
      <c r="D310" s="25" t="s">
        <v>1941</v>
      </c>
      <c r="E310" s="25" t="s">
        <v>1116</v>
      </c>
      <c r="F310" s="25">
        <v>29.292253</v>
      </c>
      <c r="G310" s="25">
        <v>-81.039058</v>
      </c>
      <c r="H310" s="21">
        <v>29.078386</v>
      </c>
      <c r="I310" s="21">
        <v>-80.918894</v>
      </c>
      <c r="J310" s="21" t="s">
        <v>1942</v>
      </c>
      <c r="K310" s="21" t="s">
        <v>1933</v>
      </c>
      <c r="L310" s="21">
        <v>1.0</v>
      </c>
      <c r="M310" s="21">
        <v>29.297778</v>
      </c>
      <c r="N310" s="21">
        <v>-81.043056</v>
      </c>
      <c r="O310" s="21" t="s">
        <v>1943</v>
      </c>
      <c r="P310" s="22" t="s">
        <v>1931</v>
      </c>
    </row>
    <row r="311" ht="33.75" customHeight="1">
      <c r="A311" s="29">
        <v>42410.0</v>
      </c>
      <c r="B311" s="25" t="s">
        <v>1112</v>
      </c>
      <c r="C311" s="25" t="s">
        <v>1114</v>
      </c>
      <c r="D311" s="25" t="s">
        <v>1941</v>
      </c>
      <c r="E311" s="25" t="s">
        <v>1116</v>
      </c>
      <c r="F311" s="25">
        <v>29.292253</v>
      </c>
      <c r="G311" s="25">
        <v>-81.039058</v>
      </c>
      <c r="H311" s="21">
        <v>29.078386</v>
      </c>
      <c r="I311" s="21">
        <v>-80.918894</v>
      </c>
      <c r="J311" s="21" t="s">
        <v>1942</v>
      </c>
      <c r="K311" s="21" t="s">
        <v>1924</v>
      </c>
      <c r="L311" s="21">
        <v>2.0</v>
      </c>
      <c r="M311" s="21">
        <v>29.280556</v>
      </c>
      <c r="N311" s="21">
        <v>-81.033889</v>
      </c>
      <c r="O311" s="21" t="s">
        <v>1945</v>
      </c>
      <c r="P311" s="22" t="s">
        <v>1931</v>
      </c>
    </row>
    <row r="312" ht="33.75" customHeight="1">
      <c r="A312" s="29">
        <v>42411.0</v>
      </c>
      <c r="B312" s="25" t="s">
        <v>945</v>
      </c>
      <c r="C312" s="25" t="s">
        <v>1948</v>
      </c>
      <c r="D312" s="25" t="s">
        <v>957</v>
      </c>
      <c r="E312" s="25" t="s">
        <v>113</v>
      </c>
      <c r="F312" s="25">
        <v>28.1316</v>
      </c>
      <c r="G312" s="25">
        <v>-82.8274</v>
      </c>
      <c r="H312" s="25">
        <v>28.1316</v>
      </c>
      <c r="I312" s="25">
        <v>-82.8274</v>
      </c>
      <c r="J312" s="21" t="s">
        <v>1949</v>
      </c>
      <c r="K312" s="21" t="s">
        <v>1950</v>
      </c>
      <c r="L312" s="21">
        <v>1.0</v>
      </c>
      <c r="M312" s="25">
        <v>28.1316</v>
      </c>
      <c r="N312" s="25">
        <v>-82.8274</v>
      </c>
      <c r="O312" s="21" t="s">
        <v>1951</v>
      </c>
      <c r="P312" s="54"/>
    </row>
    <row r="313" ht="33.75" customHeight="1">
      <c r="A313" s="29">
        <v>42410.0</v>
      </c>
      <c r="B313" s="25" t="s">
        <v>1112</v>
      </c>
      <c r="C313" s="25" t="s">
        <v>1114</v>
      </c>
      <c r="D313" s="25" t="s">
        <v>1952</v>
      </c>
      <c r="E313" s="25" t="s">
        <v>1116</v>
      </c>
      <c r="F313" s="25">
        <v>29.292253</v>
      </c>
      <c r="G313" s="25">
        <v>-81.039058</v>
      </c>
      <c r="H313" s="21">
        <v>29.078386</v>
      </c>
      <c r="I313" s="21">
        <v>-80.918894</v>
      </c>
      <c r="J313" s="21" t="s">
        <v>1942</v>
      </c>
      <c r="K313" s="21" t="s">
        <v>1933</v>
      </c>
      <c r="L313" s="21">
        <v>3.0</v>
      </c>
      <c r="M313" s="21">
        <v>29.274722</v>
      </c>
      <c r="N313" s="21">
        <v>-81.030278</v>
      </c>
      <c r="O313" s="21" t="s">
        <v>1953</v>
      </c>
      <c r="P313" s="22" t="s">
        <v>1954</v>
      </c>
    </row>
    <row r="314" ht="33.75" customHeight="1">
      <c r="A314" s="29">
        <v>42411.0</v>
      </c>
      <c r="B314" s="25" t="s">
        <v>945</v>
      </c>
      <c r="C314" s="25" t="s">
        <v>1948</v>
      </c>
      <c r="D314" s="25" t="s">
        <v>957</v>
      </c>
      <c r="E314" s="25" t="s">
        <v>113</v>
      </c>
      <c r="F314" s="25">
        <v>28.1316</v>
      </c>
      <c r="G314" s="25">
        <v>-82.8274</v>
      </c>
      <c r="H314" s="25">
        <v>28.1316</v>
      </c>
      <c r="I314" s="25">
        <v>-82.8274</v>
      </c>
      <c r="J314" s="21" t="s">
        <v>1949</v>
      </c>
      <c r="K314" s="21" t="s">
        <v>1950</v>
      </c>
      <c r="L314" s="21">
        <v>2.0</v>
      </c>
      <c r="M314" s="21">
        <v>28.1298</v>
      </c>
      <c r="N314" s="21">
        <v>-82.8335</v>
      </c>
      <c r="O314" s="21" t="s">
        <v>1956</v>
      </c>
      <c r="P314" s="22" t="s">
        <v>1957</v>
      </c>
    </row>
    <row r="315" ht="33.75" customHeight="1">
      <c r="A315" s="29">
        <v>42410.0</v>
      </c>
      <c r="B315" s="25" t="s">
        <v>1112</v>
      </c>
      <c r="C315" s="25" t="s">
        <v>1114</v>
      </c>
      <c r="D315" s="25" t="s">
        <v>1958</v>
      </c>
      <c r="E315" s="25" t="s">
        <v>1116</v>
      </c>
      <c r="F315" s="25">
        <v>29.292253</v>
      </c>
      <c r="G315" s="25">
        <v>-81.039058</v>
      </c>
      <c r="H315" s="21">
        <v>29.078386</v>
      </c>
      <c r="I315" s="21">
        <v>-80.918894</v>
      </c>
      <c r="J315" s="21" t="s">
        <v>1942</v>
      </c>
      <c r="K315" s="21" t="s">
        <v>1924</v>
      </c>
      <c r="L315" s="21">
        <v>4.0</v>
      </c>
      <c r="M315" s="21">
        <v>81.2725</v>
      </c>
      <c r="N315" s="21">
        <v>-81.029167</v>
      </c>
      <c r="O315" s="21" t="s">
        <v>1959</v>
      </c>
      <c r="P315" s="22" t="s">
        <v>1960</v>
      </c>
    </row>
    <row r="316" ht="33.75" customHeight="1">
      <c r="A316" s="29">
        <v>42411.0</v>
      </c>
      <c r="B316" s="25" t="s">
        <v>945</v>
      </c>
      <c r="C316" s="25" t="s">
        <v>1948</v>
      </c>
      <c r="D316" s="25" t="s">
        <v>957</v>
      </c>
      <c r="E316" s="25" t="s">
        <v>113</v>
      </c>
      <c r="F316" s="25">
        <v>28.1316</v>
      </c>
      <c r="G316" s="25">
        <v>-82.8274</v>
      </c>
      <c r="H316" s="25">
        <v>28.1316</v>
      </c>
      <c r="I316" s="25">
        <v>-82.8274</v>
      </c>
      <c r="J316" s="21" t="s">
        <v>1949</v>
      </c>
      <c r="K316" s="21" t="s">
        <v>1950</v>
      </c>
      <c r="L316" s="21">
        <v>3.0</v>
      </c>
      <c r="M316" s="21">
        <v>28.1256</v>
      </c>
      <c r="N316" s="21">
        <v>-82.8368</v>
      </c>
      <c r="O316" s="21" t="s">
        <v>1962</v>
      </c>
      <c r="P316" s="54"/>
    </row>
    <row r="317" ht="33.75" customHeight="1">
      <c r="A317" s="29">
        <v>42411.0</v>
      </c>
      <c r="B317" s="25" t="s">
        <v>945</v>
      </c>
      <c r="C317" s="25" t="s">
        <v>1948</v>
      </c>
      <c r="D317" s="25" t="s">
        <v>957</v>
      </c>
      <c r="E317" s="25" t="s">
        <v>113</v>
      </c>
      <c r="F317" s="25">
        <v>28.1316</v>
      </c>
      <c r="G317" s="25">
        <v>-82.8274</v>
      </c>
      <c r="H317" s="25">
        <v>28.1316</v>
      </c>
      <c r="I317" s="25">
        <v>-82.8274</v>
      </c>
      <c r="J317" s="21" t="s">
        <v>1949</v>
      </c>
      <c r="K317" s="21" t="s">
        <v>1950</v>
      </c>
      <c r="L317" s="21">
        <v>4.0</v>
      </c>
      <c r="M317" s="21">
        <v>28.1261</v>
      </c>
      <c r="N317" s="21">
        <v>-82.8358</v>
      </c>
      <c r="O317" s="21" t="s">
        <v>1963</v>
      </c>
      <c r="P317" s="22" t="s">
        <v>799</v>
      </c>
    </row>
    <row r="318" ht="33.75" customHeight="1">
      <c r="A318" s="29">
        <v>42411.0</v>
      </c>
      <c r="B318" s="25" t="s">
        <v>945</v>
      </c>
      <c r="C318" s="25" t="s">
        <v>1948</v>
      </c>
      <c r="D318" s="25" t="s">
        <v>957</v>
      </c>
      <c r="E318" s="25" t="s">
        <v>113</v>
      </c>
      <c r="F318" s="25">
        <v>28.1316</v>
      </c>
      <c r="G318" s="25">
        <v>-82.8274</v>
      </c>
      <c r="H318" s="25">
        <v>28.1316</v>
      </c>
      <c r="I318" s="25">
        <v>-82.8274</v>
      </c>
      <c r="J318" s="21" t="s">
        <v>1949</v>
      </c>
      <c r="K318" s="21" t="s">
        <v>1950</v>
      </c>
      <c r="L318" s="21">
        <v>5.0</v>
      </c>
      <c r="M318" s="21">
        <v>28.1289</v>
      </c>
      <c r="N318" s="21">
        <v>-82.8334</v>
      </c>
      <c r="O318" s="21" t="s">
        <v>1964</v>
      </c>
      <c r="P318" s="22" t="s">
        <v>799</v>
      </c>
    </row>
    <row r="319" ht="33.75" customHeight="1">
      <c r="A319" s="29">
        <v>42410.0</v>
      </c>
      <c r="B319" s="25" t="s">
        <v>1112</v>
      </c>
      <c r="C319" s="25" t="s">
        <v>1114</v>
      </c>
      <c r="D319" s="25" t="s">
        <v>1958</v>
      </c>
      <c r="E319" s="25" t="s">
        <v>1116</v>
      </c>
      <c r="F319" s="25">
        <v>29.292253</v>
      </c>
      <c r="G319" s="25">
        <v>-81.039058</v>
      </c>
      <c r="H319" s="21">
        <v>29.078386</v>
      </c>
      <c r="I319" s="21">
        <v>-80.918894</v>
      </c>
      <c r="J319" s="21" t="s">
        <v>1942</v>
      </c>
      <c r="K319" s="21" t="s">
        <v>1933</v>
      </c>
      <c r="L319" s="21">
        <v>5.0</v>
      </c>
      <c r="M319" s="21">
        <v>29.265278</v>
      </c>
      <c r="N319" s="21">
        <v>-81.029167</v>
      </c>
      <c r="O319" s="21" t="s">
        <v>1965</v>
      </c>
      <c r="P319" s="22" t="s">
        <v>1931</v>
      </c>
    </row>
    <row r="320" ht="33.75" customHeight="1">
      <c r="A320" s="29">
        <v>42410.0</v>
      </c>
      <c r="B320" s="25" t="s">
        <v>1112</v>
      </c>
      <c r="C320" s="25" t="s">
        <v>1114</v>
      </c>
      <c r="D320" s="25" t="s">
        <v>1969</v>
      </c>
      <c r="E320" s="25" t="s">
        <v>1116</v>
      </c>
      <c r="F320" s="25">
        <v>29.292253</v>
      </c>
      <c r="G320" s="25">
        <v>-81.039058</v>
      </c>
      <c r="H320" s="21">
        <v>29.078386</v>
      </c>
      <c r="I320" s="21">
        <v>-80.918894</v>
      </c>
      <c r="J320" s="21" t="s">
        <v>1942</v>
      </c>
      <c r="K320" s="21" t="s">
        <v>1972</v>
      </c>
      <c r="L320" s="21">
        <v>6.0</v>
      </c>
      <c r="M320" s="21">
        <v>29.248889</v>
      </c>
      <c r="N320" s="21">
        <v>-81.0175</v>
      </c>
      <c r="O320" s="21" t="s">
        <v>1973</v>
      </c>
      <c r="P320" s="22" t="s">
        <v>1931</v>
      </c>
    </row>
    <row r="321" ht="33.75" customHeight="1">
      <c r="A321" s="29">
        <v>42411.0</v>
      </c>
      <c r="B321" s="25" t="s">
        <v>945</v>
      </c>
      <c r="C321" s="25" t="s">
        <v>165</v>
      </c>
      <c r="D321" s="25" t="s">
        <v>947</v>
      </c>
      <c r="E321" s="25" t="s">
        <v>113</v>
      </c>
      <c r="F321" s="21">
        <v>28.1209</v>
      </c>
      <c r="G321" s="21">
        <v>-82.8389</v>
      </c>
      <c r="H321" s="21">
        <v>28.1082</v>
      </c>
      <c r="I321" s="22">
        <v>-82.8341</v>
      </c>
      <c r="J321" s="21" t="s">
        <v>1974</v>
      </c>
      <c r="K321" s="21" t="s">
        <v>1975</v>
      </c>
      <c r="L321" s="21">
        <v>1.0</v>
      </c>
      <c r="M321" s="21">
        <v>28.1209</v>
      </c>
      <c r="N321" s="21">
        <v>-82.8389</v>
      </c>
      <c r="O321" s="21" t="s">
        <v>1976</v>
      </c>
      <c r="P321" s="22" t="s">
        <v>1931</v>
      </c>
    </row>
    <row r="322" ht="33.75" customHeight="1">
      <c r="A322" s="29">
        <v>42411.0</v>
      </c>
      <c r="B322" s="25" t="s">
        <v>945</v>
      </c>
      <c r="C322" s="25" t="s">
        <v>165</v>
      </c>
      <c r="D322" s="25" t="s">
        <v>947</v>
      </c>
      <c r="E322" s="25" t="s">
        <v>113</v>
      </c>
      <c r="F322" s="21">
        <v>28.1209</v>
      </c>
      <c r="G322" s="21">
        <v>-82.8389</v>
      </c>
      <c r="H322" s="21">
        <v>28.1082</v>
      </c>
      <c r="I322" s="22">
        <v>-82.8341</v>
      </c>
      <c r="J322" s="21" t="s">
        <v>1974</v>
      </c>
      <c r="K322" s="21" t="s">
        <v>1975</v>
      </c>
      <c r="L322" s="21">
        <v>2.0</v>
      </c>
      <c r="M322" s="21">
        <v>28.1189</v>
      </c>
      <c r="N322" s="21">
        <v>-82.8372</v>
      </c>
      <c r="O322" s="21" t="s">
        <v>1978</v>
      </c>
      <c r="P322" s="22" t="s">
        <v>1979</v>
      </c>
    </row>
    <row r="323" ht="33.75" customHeight="1">
      <c r="A323" s="29">
        <v>42411.0</v>
      </c>
      <c r="B323" s="25" t="s">
        <v>945</v>
      </c>
      <c r="C323" s="25" t="s">
        <v>165</v>
      </c>
      <c r="D323" s="25" t="s">
        <v>947</v>
      </c>
      <c r="E323" s="25" t="s">
        <v>113</v>
      </c>
      <c r="F323" s="21">
        <v>28.1209</v>
      </c>
      <c r="G323" s="21">
        <v>-82.8389</v>
      </c>
      <c r="H323" s="21">
        <v>28.1082</v>
      </c>
      <c r="I323" s="22">
        <v>-82.8341</v>
      </c>
      <c r="J323" s="21" t="s">
        <v>1974</v>
      </c>
      <c r="K323" s="21" t="s">
        <v>1975</v>
      </c>
      <c r="L323" s="21">
        <v>3.0</v>
      </c>
      <c r="M323" s="21">
        <v>28.1141</v>
      </c>
      <c r="N323" s="21">
        <v>-82.8384</v>
      </c>
      <c r="O323" s="21" t="s">
        <v>1980</v>
      </c>
      <c r="P323" s="22" t="s">
        <v>1981</v>
      </c>
    </row>
    <row r="324" ht="33.75" customHeight="1">
      <c r="A324" s="29">
        <v>42411.0</v>
      </c>
      <c r="B324" s="25" t="s">
        <v>945</v>
      </c>
      <c r="C324" s="25" t="s">
        <v>165</v>
      </c>
      <c r="D324" s="25" t="s">
        <v>947</v>
      </c>
      <c r="E324" s="25" t="s">
        <v>113</v>
      </c>
      <c r="F324" s="21">
        <v>28.1209</v>
      </c>
      <c r="G324" s="21">
        <v>-82.8389</v>
      </c>
      <c r="H324" s="21">
        <v>28.1082</v>
      </c>
      <c r="I324" s="22">
        <v>-82.8341</v>
      </c>
      <c r="J324" s="21" t="s">
        <v>1974</v>
      </c>
      <c r="K324" s="21" t="s">
        <v>1975</v>
      </c>
      <c r="L324" s="21">
        <v>4.0</v>
      </c>
      <c r="M324" s="21">
        <v>28.1122</v>
      </c>
      <c r="N324" s="21">
        <v>-82.8382</v>
      </c>
      <c r="O324" s="21" t="s">
        <v>1982</v>
      </c>
      <c r="P324" s="22"/>
    </row>
    <row r="325" ht="33.75" customHeight="1">
      <c r="A325" s="29">
        <v>42411.0</v>
      </c>
      <c r="B325" s="25" t="s">
        <v>945</v>
      </c>
      <c r="C325" s="25" t="s">
        <v>165</v>
      </c>
      <c r="D325" s="25" t="s">
        <v>947</v>
      </c>
      <c r="E325" s="25" t="s">
        <v>113</v>
      </c>
      <c r="F325" s="21">
        <v>28.1209</v>
      </c>
      <c r="G325" s="21">
        <v>-82.8389</v>
      </c>
      <c r="H325" s="21">
        <v>28.1082</v>
      </c>
      <c r="I325" s="22">
        <v>-82.8341</v>
      </c>
      <c r="J325" s="21" t="s">
        <v>1974</v>
      </c>
      <c r="K325" s="21" t="s">
        <v>1975</v>
      </c>
      <c r="L325" s="21">
        <v>6.0</v>
      </c>
      <c r="M325" s="21">
        <v>28.1053</v>
      </c>
      <c r="N325" s="21">
        <v>-82.8288</v>
      </c>
      <c r="O325" s="21" t="s">
        <v>1983</v>
      </c>
      <c r="P325" s="22" t="s">
        <v>1984</v>
      </c>
    </row>
    <row r="326" ht="33.75" customHeight="1">
      <c r="A326" s="29">
        <v>42410.0</v>
      </c>
      <c r="B326" s="25" t="s">
        <v>1112</v>
      </c>
      <c r="C326" s="25" t="s">
        <v>1114</v>
      </c>
      <c r="D326" s="25" t="s">
        <v>1958</v>
      </c>
      <c r="E326" s="25" t="s">
        <v>1116</v>
      </c>
      <c r="F326" s="25">
        <v>29.292253</v>
      </c>
      <c r="G326" s="25">
        <v>-81.039058</v>
      </c>
      <c r="H326" s="21">
        <v>29.078386</v>
      </c>
      <c r="I326" s="21">
        <v>-80.918894</v>
      </c>
      <c r="J326" s="21" t="s">
        <v>1942</v>
      </c>
      <c r="K326" s="21" t="s">
        <v>1933</v>
      </c>
      <c r="L326" s="21">
        <v>7.0</v>
      </c>
      <c r="M326" s="21">
        <v>29.238333</v>
      </c>
      <c r="N326" s="21">
        <v>-81.013333</v>
      </c>
      <c r="O326" s="21" t="s">
        <v>1985</v>
      </c>
      <c r="P326" s="22" t="s">
        <v>1986</v>
      </c>
    </row>
    <row r="327" ht="33.75" customHeight="1">
      <c r="A327" s="29">
        <v>42410.0</v>
      </c>
      <c r="B327" s="25" t="s">
        <v>1112</v>
      </c>
      <c r="C327" s="25" t="s">
        <v>1114</v>
      </c>
      <c r="D327" s="25" t="s">
        <v>1958</v>
      </c>
      <c r="E327" s="25" t="s">
        <v>1116</v>
      </c>
      <c r="F327" s="25">
        <v>29.292253</v>
      </c>
      <c r="G327" s="25">
        <v>-81.039058</v>
      </c>
      <c r="H327" s="21">
        <v>29.078386</v>
      </c>
      <c r="I327" s="21">
        <v>-80.918894</v>
      </c>
      <c r="J327" s="21" t="s">
        <v>1942</v>
      </c>
      <c r="K327" s="21" t="s">
        <v>1933</v>
      </c>
      <c r="L327" s="21">
        <v>8.0</v>
      </c>
      <c r="M327" s="21">
        <v>29.221944</v>
      </c>
      <c r="N327" s="21">
        <v>-81.004176</v>
      </c>
      <c r="O327" s="21" t="s">
        <v>1989</v>
      </c>
      <c r="P327" s="22" t="s">
        <v>1986</v>
      </c>
    </row>
    <row r="328" ht="33.75" customHeight="1">
      <c r="A328" s="29">
        <v>42410.0</v>
      </c>
      <c r="B328" s="25" t="s">
        <v>1112</v>
      </c>
      <c r="C328" s="25" t="s">
        <v>1114</v>
      </c>
      <c r="D328" s="25" t="s">
        <v>1958</v>
      </c>
      <c r="E328" s="25" t="s">
        <v>1116</v>
      </c>
      <c r="F328" s="25">
        <v>29.292253</v>
      </c>
      <c r="G328" s="25">
        <v>-81.039058</v>
      </c>
      <c r="H328" s="21">
        <v>29.078386</v>
      </c>
      <c r="I328" s="21">
        <v>-80.918894</v>
      </c>
      <c r="J328" s="21" t="s">
        <v>1942</v>
      </c>
      <c r="K328" s="21" t="s">
        <v>1924</v>
      </c>
      <c r="L328" s="21">
        <v>9.0</v>
      </c>
      <c r="M328" s="21">
        <v>29.2075</v>
      </c>
      <c r="N328" s="21">
        <v>-80.998056</v>
      </c>
      <c r="O328" s="21" t="s">
        <v>1991</v>
      </c>
      <c r="P328" s="22" t="s">
        <v>1986</v>
      </c>
    </row>
    <row r="329" ht="33.75" customHeight="1">
      <c r="A329" s="29">
        <v>42410.0</v>
      </c>
      <c r="B329" s="25" t="s">
        <v>1112</v>
      </c>
      <c r="C329" s="25" t="s">
        <v>1114</v>
      </c>
      <c r="D329" s="25" t="s">
        <v>1958</v>
      </c>
      <c r="E329" s="25" t="s">
        <v>1116</v>
      </c>
      <c r="F329" s="61">
        <v>29.292253</v>
      </c>
      <c r="G329" s="25">
        <v>-81.039058</v>
      </c>
      <c r="H329" s="21">
        <v>29.078386</v>
      </c>
      <c r="I329" s="21">
        <v>-80.918894</v>
      </c>
      <c r="J329" s="21" t="s">
        <v>1942</v>
      </c>
      <c r="K329" s="21" t="s">
        <v>1933</v>
      </c>
      <c r="L329" s="21">
        <v>10.0</v>
      </c>
      <c r="M329" s="21">
        <v>29.207778</v>
      </c>
      <c r="N329" s="21">
        <v>-80.998056</v>
      </c>
      <c r="O329" s="21" t="s">
        <v>1994</v>
      </c>
      <c r="P329" s="22" t="s">
        <v>1986</v>
      </c>
    </row>
    <row r="330" ht="33.75" customHeight="1">
      <c r="A330" s="29">
        <v>42410.0</v>
      </c>
      <c r="B330" s="25" t="s">
        <v>1112</v>
      </c>
      <c r="C330" s="25" t="s">
        <v>1114</v>
      </c>
      <c r="D330" s="25" t="s">
        <v>1958</v>
      </c>
      <c r="E330" s="25" t="s">
        <v>1116</v>
      </c>
      <c r="F330" s="25">
        <v>29.292253</v>
      </c>
      <c r="G330" s="25">
        <v>-81.039058</v>
      </c>
      <c r="H330" s="21">
        <v>29.078386</v>
      </c>
      <c r="I330" s="21">
        <v>-80.918894</v>
      </c>
      <c r="J330" s="21" t="s">
        <v>1942</v>
      </c>
      <c r="K330" s="21" t="s">
        <v>1933</v>
      </c>
      <c r="L330" s="21">
        <v>11.0</v>
      </c>
      <c r="M330" s="21">
        <v>29.204444</v>
      </c>
      <c r="N330" s="21">
        <v>-80.997222</v>
      </c>
      <c r="O330" s="21" t="s">
        <v>1996</v>
      </c>
      <c r="P330" s="22" t="s">
        <v>1986</v>
      </c>
    </row>
    <row r="331" ht="33.75" customHeight="1">
      <c r="A331" s="29">
        <v>42410.0</v>
      </c>
      <c r="B331" s="25" t="s">
        <v>1112</v>
      </c>
      <c r="C331" s="25" t="s">
        <v>1114</v>
      </c>
      <c r="D331" s="25" t="s">
        <v>1958</v>
      </c>
      <c r="E331" s="25" t="s">
        <v>1116</v>
      </c>
      <c r="F331" s="25">
        <v>29.292253</v>
      </c>
      <c r="G331" s="25">
        <v>-81.039058</v>
      </c>
      <c r="H331" s="21">
        <v>29.078386</v>
      </c>
      <c r="I331" s="21">
        <v>-80.918894</v>
      </c>
      <c r="J331" s="21" t="s">
        <v>1942</v>
      </c>
      <c r="K331" s="21" t="s">
        <v>1933</v>
      </c>
      <c r="L331" s="21">
        <v>12.0</v>
      </c>
      <c r="M331" s="21">
        <v>29.197222</v>
      </c>
      <c r="N331" s="21">
        <v>-80.933333</v>
      </c>
      <c r="O331" s="21" t="s">
        <v>1997</v>
      </c>
      <c r="P331" s="22" t="s">
        <v>1986</v>
      </c>
    </row>
    <row r="332" ht="33.75" customHeight="1">
      <c r="A332" s="29">
        <v>42410.0</v>
      </c>
      <c r="B332" s="25" t="s">
        <v>1112</v>
      </c>
      <c r="C332" s="25" t="s">
        <v>1114</v>
      </c>
      <c r="D332" s="25" t="s">
        <v>1958</v>
      </c>
      <c r="E332" s="25" t="s">
        <v>1116</v>
      </c>
      <c r="F332" s="25">
        <v>29.292253</v>
      </c>
      <c r="G332" s="25">
        <v>-81.039058</v>
      </c>
      <c r="H332" s="21">
        <v>29.078386</v>
      </c>
      <c r="I332" s="21">
        <v>-80.918894</v>
      </c>
      <c r="J332" s="21" t="s">
        <v>1942</v>
      </c>
      <c r="K332" s="21" t="s">
        <v>1933</v>
      </c>
      <c r="L332" s="21">
        <v>13.0</v>
      </c>
      <c r="M332" s="21">
        <v>29.191111</v>
      </c>
      <c r="N332" s="21">
        <v>-80.989167</v>
      </c>
      <c r="O332" s="21" t="s">
        <v>1998</v>
      </c>
      <c r="P332" s="22" t="s">
        <v>1986</v>
      </c>
    </row>
    <row r="333" ht="33.75" customHeight="1">
      <c r="A333" s="29">
        <v>42410.0</v>
      </c>
      <c r="B333" s="25" t="s">
        <v>1112</v>
      </c>
      <c r="C333" s="25" t="s">
        <v>1114</v>
      </c>
      <c r="D333" s="25" t="s">
        <v>1958</v>
      </c>
      <c r="E333" s="25" t="s">
        <v>1116</v>
      </c>
      <c r="F333" s="25">
        <v>29.292253</v>
      </c>
      <c r="G333" s="25">
        <v>-81.039058</v>
      </c>
      <c r="H333" s="21">
        <v>29.078386</v>
      </c>
      <c r="I333" s="21">
        <v>-80.918894</v>
      </c>
      <c r="J333" s="21" t="s">
        <v>1942</v>
      </c>
      <c r="K333" s="21" t="s">
        <v>1933</v>
      </c>
      <c r="L333" s="21">
        <v>14.0</v>
      </c>
      <c r="M333" s="21">
        <v>29.188333</v>
      </c>
      <c r="N333" s="21">
        <v>-80.987222</v>
      </c>
      <c r="O333" s="21" t="s">
        <v>1999</v>
      </c>
      <c r="P333" s="22" t="s">
        <v>1986</v>
      </c>
    </row>
    <row r="334" ht="33.75" customHeight="1">
      <c r="A334" s="29">
        <v>42410.0</v>
      </c>
      <c r="B334" s="25" t="s">
        <v>1112</v>
      </c>
      <c r="C334" s="25" t="s">
        <v>1114</v>
      </c>
      <c r="D334" s="25" t="s">
        <v>1958</v>
      </c>
      <c r="E334" s="25" t="s">
        <v>1116</v>
      </c>
      <c r="F334" s="25">
        <v>29.292253</v>
      </c>
      <c r="G334" s="25">
        <v>-81.039058</v>
      </c>
      <c r="H334" s="21">
        <v>29.078386</v>
      </c>
      <c r="I334" s="21">
        <v>-80.918894</v>
      </c>
      <c r="J334" s="21" t="s">
        <v>1942</v>
      </c>
      <c r="K334" s="21" t="s">
        <v>1933</v>
      </c>
      <c r="L334" s="21">
        <v>15.0</v>
      </c>
      <c r="M334" s="21">
        <v>29.175278</v>
      </c>
      <c r="N334" s="21">
        <v>-80.9825</v>
      </c>
      <c r="O334" s="21" t="s">
        <v>2000</v>
      </c>
      <c r="P334" s="22" t="s">
        <v>1986</v>
      </c>
    </row>
    <row r="335" ht="33.75" customHeight="1">
      <c r="A335" s="29">
        <v>42410.0</v>
      </c>
      <c r="B335" s="25" t="s">
        <v>1112</v>
      </c>
      <c r="C335" s="25" t="s">
        <v>1114</v>
      </c>
      <c r="D335" s="25" t="s">
        <v>1958</v>
      </c>
      <c r="E335" s="25" t="s">
        <v>1116</v>
      </c>
      <c r="F335" s="25">
        <v>29.292253</v>
      </c>
      <c r="G335" s="25">
        <v>-81.039058</v>
      </c>
      <c r="H335" s="21">
        <v>29.078386</v>
      </c>
      <c r="I335" s="21">
        <v>-80.918894</v>
      </c>
      <c r="J335" s="21" t="s">
        <v>1942</v>
      </c>
      <c r="K335" s="21" t="s">
        <v>2002</v>
      </c>
      <c r="L335" s="21">
        <v>16.0</v>
      </c>
      <c r="M335" s="21">
        <v>29.173056</v>
      </c>
      <c r="N335" s="21">
        <v>-80.98</v>
      </c>
      <c r="O335" s="21" t="s">
        <v>2003</v>
      </c>
      <c r="P335" s="22" t="s">
        <v>1986</v>
      </c>
    </row>
    <row r="336" ht="33.75" customHeight="1">
      <c r="A336" s="29">
        <v>42410.0</v>
      </c>
      <c r="B336" s="25" t="s">
        <v>1112</v>
      </c>
      <c r="C336" s="25" t="s">
        <v>1114</v>
      </c>
      <c r="D336" s="25" t="s">
        <v>2004</v>
      </c>
      <c r="E336" s="25" t="s">
        <v>1116</v>
      </c>
      <c r="F336" s="25">
        <v>29.292253</v>
      </c>
      <c r="G336" s="25">
        <v>-81.039058</v>
      </c>
      <c r="H336" s="21">
        <v>29.078386</v>
      </c>
      <c r="I336" s="21">
        <v>-80.918894</v>
      </c>
      <c r="J336" s="21" t="s">
        <v>1942</v>
      </c>
      <c r="K336" s="21" t="s">
        <v>2005</v>
      </c>
      <c r="L336" s="21">
        <v>17.0</v>
      </c>
      <c r="M336" s="21">
        <v>29.161667</v>
      </c>
      <c r="N336" s="21">
        <v>-80.974167</v>
      </c>
      <c r="O336" s="21" t="s">
        <v>2006</v>
      </c>
      <c r="P336" s="22" t="s">
        <v>1986</v>
      </c>
    </row>
    <row r="337" ht="33.75" customHeight="1">
      <c r="A337" s="29">
        <v>42410.0</v>
      </c>
      <c r="B337" s="25" t="s">
        <v>1112</v>
      </c>
      <c r="C337" s="25" t="s">
        <v>1114</v>
      </c>
      <c r="D337" s="25" t="s">
        <v>1958</v>
      </c>
      <c r="E337" s="25" t="s">
        <v>1116</v>
      </c>
      <c r="F337" s="25">
        <v>29.292253</v>
      </c>
      <c r="G337" s="25">
        <v>-81.039058</v>
      </c>
      <c r="H337" s="21">
        <v>29.078386</v>
      </c>
      <c r="I337" s="21">
        <v>-80.918894</v>
      </c>
      <c r="J337" s="21" t="s">
        <v>1942</v>
      </c>
      <c r="K337" s="21" t="s">
        <v>1933</v>
      </c>
      <c r="L337" s="21">
        <v>18.0</v>
      </c>
      <c r="M337" s="21">
        <v>29.150556</v>
      </c>
      <c r="N337" s="21">
        <v>-80.9675</v>
      </c>
      <c r="O337" s="21" t="s">
        <v>2007</v>
      </c>
      <c r="P337" s="22" t="s">
        <v>1986</v>
      </c>
    </row>
    <row r="338" ht="33.75" customHeight="1">
      <c r="A338" s="29">
        <v>42410.0</v>
      </c>
      <c r="B338" s="25" t="s">
        <v>1112</v>
      </c>
      <c r="C338" s="25" t="s">
        <v>1114</v>
      </c>
      <c r="D338" s="25" t="s">
        <v>1958</v>
      </c>
      <c r="E338" s="25" t="s">
        <v>1116</v>
      </c>
      <c r="F338" s="25">
        <v>29.292253</v>
      </c>
      <c r="G338" s="25">
        <v>-81.039058</v>
      </c>
      <c r="H338" s="21">
        <v>29.078386</v>
      </c>
      <c r="I338" s="21">
        <v>-80.918894</v>
      </c>
      <c r="J338" s="21" t="s">
        <v>1942</v>
      </c>
      <c r="K338" s="21" t="s">
        <v>1933</v>
      </c>
      <c r="L338" s="21">
        <v>19.0</v>
      </c>
      <c r="M338" s="21">
        <v>29.145278</v>
      </c>
      <c r="N338" s="21">
        <v>-80.964444</v>
      </c>
      <c r="O338" s="21" t="s">
        <v>2008</v>
      </c>
      <c r="P338" s="22" t="s">
        <v>1986</v>
      </c>
    </row>
    <row r="339" ht="33.75" customHeight="1">
      <c r="A339" s="29">
        <v>42410.0</v>
      </c>
      <c r="B339" s="25" t="s">
        <v>1112</v>
      </c>
      <c r="C339" s="25" t="s">
        <v>1114</v>
      </c>
      <c r="D339" s="25" t="s">
        <v>1958</v>
      </c>
      <c r="E339" s="25" t="s">
        <v>1116</v>
      </c>
      <c r="F339" s="25">
        <v>29.292253</v>
      </c>
      <c r="G339" s="25">
        <v>-81.039058</v>
      </c>
      <c r="H339" s="21">
        <v>29.078386</v>
      </c>
      <c r="I339" s="21">
        <v>-80.918894</v>
      </c>
      <c r="J339" s="21" t="s">
        <v>1942</v>
      </c>
      <c r="K339" s="21" t="s">
        <v>1933</v>
      </c>
      <c r="L339" s="21">
        <v>20.0</v>
      </c>
      <c r="M339" s="21">
        <v>29.135556</v>
      </c>
      <c r="N339" s="21">
        <v>-80.959722</v>
      </c>
      <c r="O339" s="21" t="s">
        <v>2010</v>
      </c>
      <c r="P339" s="22" t="s">
        <v>1986</v>
      </c>
    </row>
    <row r="340" ht="33.75" customHeight="1">
      <c r="A340" s="29">
        <v>42410.0</v>
      </c>
      <c r="B340" s="25" t="s">
        <v>1112</v>
      </c>
      <c r="C340" s="25" t="s">
        <v>1114</v>
      </c>
      <c r="D340" s="25" t="s">
        <v>1958</v>
      </c>
      <c r="E340" s="25" t="s">
        <v>1116</v>
      </c>
      <c r="F340" s="25">
        <v>29.292253</v>
      </c>
      <c r="G340" s="25">
        <v>-81.039058</v>
      </c>
      <c r="H340" s="21">
        <v>29.078386</v>
      </c>
      <c r="I340" s="21">
        <v>-80.918894</v>
      </c>
      <c r="J340" s="21" t="s">
        <v>1942</v>
      </c>
      <c r="K340" s="21" t="s">
        <v>1933</v>
      </c>
      <c r="L340" s="21">
        <v>21.0</v>
      </c>
      <c r="M340" s="21">
        <v>29.119722</v>
      </c>
      <c r="N340" s="21">
        <v>-80.949722</v>
      </c>
      <c r="O340" s="21" t="s">
        <v>2011</v>
      </c>
      <c r="P340" s="22" t="s">
        <v>2012</v>
      </c>
    </row>
    <row r="341" ht="33.75" customHeight="1">
      <c r="A341" s="29">
        <v>42410.0</v>
      </c>
      <c r="B341" s="25" t="s">
        <v>1112</v>
      </c>
      <c r="C341" s="25" t="s">
        <v>1114</v>
      </c>
      <c r="D341" s="25" t="s">
        <v>1958</v>
      </c>
      <c r="E341" s="25" t="s">
        <v>1116</v>
      </c>
      <c r="F341" s="25">
        <v>29.292253</v>
      </c>
      <c r="G341" s="25">
        <v>-81.039058</v>
      </c>
      <c r="H341" s="21">
        <v>29.078386</v>
      </c>
      <c r="I341" s="21">
        <v>-80.918894</v>
      </c>
      <c r="J341" s="21" t="s">
        <v>1942</v>
      </c>
      <c r="K341" s="21" t="s">
        <v>1933</v>
      </c>
      <c r="L341" s="21">
        <v>22.0</v>
      </c>
      <c r="M341" s="21">
        <v>29.093611</v>
      </c>
      <c r="N341" s="21">
        <v>-80.931667</v>
      </c>
      <c r="O341" s="21" t="s">
        <v>2013</v>
      </c>
      <c r="P341" s="22" t="s">
        <v>2014</v>
      </c>
    </row>
    <row r="342" ht="33.75" customHeight="1">
      <c r="A342" s="31"/>
      <c r="B342" s="31"/>
      <c r="C342" s="31"/>
      <c r="D342" s="31"/>
      <c r="E342" s="31"/>
      <c r="F342" s="31"/>
      <c r="G342" s="31"/>
      <c r="P342" s="54"/>
    </row>
    <row r="343" ht="33.75" customHeight="1">
      <c r="A343" s="29">
        <v>42409.0</v>
      </c>
      <c r="B343" s="25" t="s">
        <v>808</v>
      </c>
      <c r="C343" s="25" t="s">
        <v>810</v>
      </c>
      <c r="D343" s="25" t="s">
        <v>2017</v>
      </c>
      <c r="E343" s="25" t="s">
        <v>220</v>
      </c>
      <c r="F343" s="25">
        <v>26.39081</v>
      </c>
      <c r="G343" s="25">
        <v>-80.06619</v>
      </c>
      <c r="H343" s="21">
        <v>26.36022</v>
      </c>
      <c r="I343" s="21">
        <v>-80.06891</v>
      </c>
      <c r="J343" s="21" t="s">
        <v>2018</v>
      </c>
      <c r="K343" s="21" t="s">
        <v>2019</v>
      </c>
      <c r="L343" s="21">
        <v>1.0</v>
      </c>
      <c r="M343" s="21">
        <v>26.3812</v>
      </c>
      <c r="N343" s="21">
        <v>-80.06684</v>
      </c>
      <c r="O343" s="21" t="s">
        <v>2020</v>
      </c>
      <c r="P343" s="22" t="s">
        <v>2021</v>
      </c>
    </row>
    <row r="344" ht="33.75" customHeight="1">
      <c r="A344" s="29">
        <v>42410.0</v>
      </c>
      <c r="B344" s="25" t="s">
        <v>808</v>
      </c>
      <c r="C344" s="25" t="s">
        <v>2023</v>
      </c>
      <c r="D344" s="21" t="s">
        <v>815</v>
      </c>
      <c r="E344" s="25" t="s">
        <v>220</v>
      </c>
      <c r="F344" s="25">
        <v>26.36022</v>
      </c>
      <c r="G344" s="25">
        <v>-80.06884</v>
      </c>
      <c r="H344" s="21">
        <v>26.33614</v>
      </c>
      <c r="I344" s="21">
        <v>-80.071</v>
      </c>
      <c r="J344" s="21" t="s">
        <v>2024</v>
      </c>
      <c r="K344" s="21" t="s">
        <v>2025</v>
      </c>
      <c r="L344" s="21">
        <v>1.0</v>
      </c>
      <c r="M344" s="21">
        <v>26.35711</v>
      </c>
      <c r="N344" s="21">
        <v>-80.06904</v>
      </c>
      <c r="O344" s="21" t="s">
        <v>2026</v>
      </c>
      <c r="P344" s="22" t="s">
        <v>2027</v>
      </c>
    </row>
    <row r="345" ht="33.75" customHeight="1">
      <c r="A345" s="31"/>
      <c r="B345" s="31"/>
      <c r="C345" s="31"/>
      <c r="D345" s="31"/>
      <c r="E345" s="31"/>
      <c r="F345" s="31"/>
      <c r="G345" s="31"/>
      <c r="P345" s="54"/>
    </row>
    <row r="346" ht="33.75" customHeight="1">
      <c r="A346" s="31"/>
      <c r="B346" s="31"/>
      <c r="C346" s="31"/>
      <c r="D346" s="31"/>
      <c r="E346" s="31"/>
      <c r="F346" s="31"/>
      <c r="G346" s="31"/>
      <c r="P346" s="54"/>
    </row>
    <row r="347" ht="33.75" customHeight="1">
      <c r="A347" s="29">
        <v>42407.0</v>
      </c>
      <c r="B347" s="25" t="s">
        <v>189</v>
      </c>
      <c r="C347" s="25" t="s">
        <v>191</v>
      </c>
      <c r="D347" s="25" t="s">
        <v>212</v>
      </c>
      <c r="E347" s="25" t="s">
        <v>164</v>
      </c>
      <c r="F347" s="25">
        <v>29.97474</v>
      </c>
      <c r="G347" s="25">
        <v>-85.47832</v>
      </c>
      <c r="H347" s="21">
        <v>29.98971</v>
      </c>
      <c r="I347" s="21">
        <v>-85.49908</v>
      </c>
      <c r="J347" s="21" t="s">
        <v>214</v>
      </c>
      <c r="K347" s="21" t="s">
        <v>215</v>
      </c>
      <c r="L347" s="21">
        <v>1.0</v>
      </c>
      <c r="M347" s="21">
        <v>29.98071</v>
      </c>
      <c r="N347" s="21">
        <v>-85.48779</v>
      </c>
      <c r="O347" s="21" t="s">
        <v>2031</v>
      </c>
      <c r="P347" s="22" t="s">
        <v>2032</v>
      </c>
    </row>
    <row r="348" ht="33.75" customHeight="1">
      <c r="A348" s="29">
        <v>42407.0</v>
      </c>
      <c r="B348" s="25" t="s">
        <v>189</v>
      </c>
      <c r="C348" s="25" t="s">
        <v>191</v>
      </c>
      <c r="D348" s="25" t="s">
        <v>212</v>
      </c>
      <c r="E348" s="25" t="s">
        <v>164</v>
      </c>
      <c r="F348" s="25">
        <v>29.97474</v>
      </c>
      <c r="G348" s="25">
        <v>-85.47832</v>
      </c>
      <c r="H348" s="21">
        <v>29.98971</v>
      </c>
      <c r="I348" s="21">
        <v>-85.49908</v>
      </c>
      <c r="J348" s="21" t="s">
        <v>214</v>
      </c>
      <c r="K348" s="21" t="s">
        <v>215</v>
      </c>
      <c r="L348" s="21">
        <v>2.0</v>
      </c>
      <c r="M348" s="21">
        <v>29.98527</v>
      </c>
      <c r="N348" s="21">
        <v>-85.49353</v>
      </c>
      <c r="O348" s="21" t="s">
        <v>2034</v>
      </c>
      <c r="P348" s="22" t="s">
        <v>2035</v>
      </c>
    </row>
    <row r="349" ht="33.75" customHeight="1">
      <c r="A349" s="29">
        <v>42407.0</v>
      </c>
      <c r="B349" s="25" t="s">
        <v>189</v>
      </c>
      <c r="C349" s="25" t="s">
        <v>191</v>
      </c>
      <c r="D349" s="25" t="s">
        <v>212</v>
      </c>
      <c r="E349" s="25" t="s">
        <v>164</v>
      </c>
      <c r="F349" s="25">
        <v>29.97474</v>
      </c>
      <c r="G349" s="25">
        <v>-85.47832</v>
      </c>
      <c r="H349" s="21">
        <v>29.98971</v>
      </c>
      <c r="I349" s="21">
        <v>-85.49908</v>
      </c>
      <c r="J349" s="21" t="s">
        <v>214</v>
      </c>
      <c r="K349" s="21" t="s">
        <v>215</v>
      </c>
      <c r="L349" s="21">
        <v>3.0</v>
      </c>
      <c r="M349" s="21">
        <v>29.98917</v>
      </c>
      <c r="N349" s="21">
        <v>-85.49882</v>
      </c>
      <c r="O349" s="21" t="s">
        <v>2036</v>
      </c>
      <c r="P349" s="22" t="s">
        <v>2037</v>
      </c>
    </row>
    <row r="350" ht="33.75" customHeight="1">
      <c r="A350" s="29">
        <v>42407.0</v>
      </c>
      <c r="B350" s="25" t="s">
        <v>161</v>
      </c>
      <c r="C350" s="25" t="s">
        <v>2039</v>
      </c>
      <c r="D350" s="25" t="s">
        <v>163</v>
      </c>
      <c r="E350" s="25" t="s">
        <v>164</v>
      </c>
      <c r="F350" s="25">
        <v>29.95</v>
      </c>
      <c r="G350" s="25">
        <v>-85.4308</v>
      </c>
      <c r="H350" s="21">
        <v>29.9537</v>
      </c>
      <c r="I350" s="21">
        <v>-85.4491</v>
      </c>
      <c r="J350" s="21" t="s">
        <v>168</v>
      </c>
      <c r="K350" s="21" t="s">
        <v>2040</v>
      </c>
      <c r="L350" s="21">
        <v>1.0</v>
      </c>
      <c r="M350" s="21">
        <v>29.9523</v>
      </c>
      <c r="N350" s="21">
        <v>-85.4415</v>
      </c>
      <c r="O350" s="21" t="s">
        <v>2041</v>
      </c>
      <c r="P350" s="22" t="s">
        <v>2042</v>
      </c>
    </row>
    <row r="351" ht="33.75" customHeight="1">
      <c r="A351" s="29">
        <v>42407.0</v>
      </c>
      <c r="B351" s="25" t="s">
        <v>161</v>
      </c>
      <c r="C351" s="25" t="s">
        <v>822</v>
      </c>
      <c r="D351" s="25" t="s">
        <v>2043</v>
      </c>
      <c r="E351" s="25" t="s">
        <v>164</v>
      </c>
      <c r="F351" s="25">
        <v>29.95</v>
      </c>
      <c r="G351" s="25">
        <v>-85.4308</v>
      </c>
      <c r="H351" s="21">
        <v>29.9537</v>
      </c>
      <c r="I351" s="21">
        <v>-85.4491</v>
      </c>
      <c r="J351" s="21" t="s">
        <v>168</v>
      </c>
      <c r="K351" s="21" t="s">
        <v>2044</v>
      </c>
      <c r="L351" s="21">
        <v>2.0</v>
      </c>
      <c r="M351" s="21">
        <v>29.9545</v>
      </c>
      <c r="N351" s="21">
        <v>-85.4486</v>
      </c>
      <c r="O351" s="21" t="s">
        <v>2045</v>
      </c>
      <c r="P351" s="22" t="s">
        <v>2046</v>
      </c>
    </row>
    <row r="352" ht="33.75" customHeight="1">
      <c r="A352" s="29">
        <v>42407.0</v>
      </c>
      <c r="B352" s="25" t="s">
        <v>161</v>
      </c>
      <c r="C352" s="25" t="s">
        <v>822</v>
      </c>
      <c r="D352" s="25" t="s">
        <v>163</v>
      </c>
      <c r="E352" s="25" t="s">
        <v>164</v>
      </c>
      <c r="F352" s="25">
        <v>29.95</v>
      </c>
      <c r="G352" s="25">
        <v>-85.4308</v>
      </c>
      <c r="H352" s="21">
        <v>29.9537</v>
      </c>
      <c r="I352" s="21">
        <v>-85.4491</v>
      </c>
      <c r="J352" s="21" t="s">
        <v>168</v>
      </c>
      <c r="K352" s="21" t="s">
        <v>2044</v>
      </c>
      <c r="L352" s="21">
        <v>3.0</v>
      </c>
      <c r="M352" s="21">
        <v>29.9507</v>
      </c>
      <c r="N352" s="21">
        <v>-85.4346</v>
      </c>
      <c r="O352" s="21" t="s">
        <v>2055</v>
      </c>
      <c r="P352" s="54"/>
    </row>
    <row r="353" ht="33.75" customHeight="1">
      <c r="A353" s="29">
        <v>42407.0</v>
      </c>
      <c r="B353" s="25" t="s">
        <v>161</v>
      </c>
      <c r="C353" s="25" t="s">
        <v>2056</v>
      </c>
      <c r="D353" s="25" t="s">
        <v>177</v>
      </c>
      <c r="E353" s="25" t="s">
        <v>164</v>
      </c>
      <c r="F353" s="25">
        <v>29.9505</v>
      </c>
      <c r="G353" s="25">
        <v>-85.4304</v>
      </c>
      <c r="H353" s="21">
        <v>29.9251</v>
      </c>
      <c r="I353" s="21">
        <v>-85.3894</v>
      </c>
      <c r="J353" s="21" t="s">
        <v>179</v>
      </c>
      <c r="K353" s="21" t="s">
        <v>2058</v>
      </c>
      <c r="L353" s="21">
        <v>1.0</v>
      </c>
      <c r="M353" s="21">
        <v>29.9418</v>
      </c>
      <c r="N353" s="21">
        <v>-85.4102</v>
      </c>
      <c r="O353" s="21" t="s">
        <v>2059</v>
      </c>
      <c r="P353" s="54"/>
    </row>
    <row r="354" ht="33.75" customHeight="1">
      <c r="A354" s="29">
        <v>42407.0</v>
      </c>
      <c r="B354" s="25" t="s">
        <v>161</v>
      </c>
      <c r="C354" s="25" t="s">
        <v>822</v>
      </c>
      <c r="D354" s="25" t="s">
        <v>1102</v>
      </c>
      <c r="E354" s="25" t="s">
        <v>232</v>
      </c>
      <c r="F354" s="25">
        <v>29.9251</v>
      </c>
      <c r="G354" s="25">
        <v>-85.3894</v>
      </c>
      <c r="H354" s="21">
        <v>29.8767</v>
      </c>
      <c r="I354" s="21">
        <v>-85.3603</v>
      </c>
      <c r="J354" s="21" t="s">
        <v>1103</v>
      </c>
      <c r="K354" s="21" t="s">
        <v>2058</v>
      </c>
      <c r="L354" s="21">
        <v>0.0</v>
      </c>
      <c r="P354" s="54"/>
    </row>
    <row r="355" ht="33.75" customHeight="1">
      <c r="A355" s="29">
        <v>42408.0</v>
      </c>
      <c r="B355" s="25" t="s">
        <v>161</v>
      </c>
      <c r="C355" s="25" t="s">
        <v>822</v>
      </c>
      <c r="D355" s="25" t="s">
        <v>854</v>
      </c>
      <c r="E355" s="25" t="s">
        <v>232</v>
      </c>
      <c r="F355" s="25">
        <v>29.8767</v>
      </c>
      <c r="G355" s="25">
        <v>-85.3603</v>
      </c>
      <c r="H355" s="21">
        <v>29.8506</v>
      </c>
      <c r="I355" s="21">
        <v>-85.337</v>
      </c>
      <c r="J355" s="21" t="s">
        <v>1109</v>
      </c>
      <c r="K355" s="21" t="s">
        <v>1110</v>
      </c>
      <c r="L355" s="21">
        <v>1.0</v>
      </c>
      <c r="M355" s="21">
        <v>29.8794</v>
      </c>
      <c r="N355" s="21">
        <v>-85.3522</v>
      </c>
      <c r="O355" s="21" t="s">
        <v>2062</v>
      </c>
      <c r="P355" s="22" t="s">
        <v>2063</v>
      </c>
    </row>
    <row r="356" ht="33.75" customHeight="1">
      <c r="A356" s="29">
        <v>42410.0</v>
      </c>
      <c r="B356" s="25" t="s">
        <v>161</v>
      </c>
      <c r="C356" s="25" t="s">
        <v>2064</v>
      </c>
      <c r="D356" s="25" t="s">
        <v>1121</v>
      </c>
      <c r="E356" s="25" t="s">
        <v>232</v>
      </c>
      <c r="F356" s="25">
        <v>29.841</v>
      </c>
      <c r="G356" s="25">
        <v>-85.32</v>
      </c>
      <c r="H356" s="21">
        <v>29.8326</v>
      </c>
      <c r="I356" s="21">
        <v>-85.314</v>
      </c>
      <c r="J356" s="21" t="s">
        <v>1124</v>
      </c>
      <c r="K356" s="21" t="s">
        <v>2065</v>
      </c>
      <c r="L356" s="21">
        <v>0.0</v>
      </c>
      <c r="P356" s="54"/>
    </row>
    <row r="357" ht="33.75" customHeight="1">
      <c r="A357" s="29">
        <v>42411.0</v>
      </c>
      <c r="B357" s="25" t="s">
        <v>161</v>
      </c>
      <c r="C357" s="25" t="s">
        <v>2064</v>
      </c>
      <c r="D357" s="25" t="s">
        <v>1131</v>
      </c>
      <c r="E357" s="25" t="s">
        <v>232</v>
      </c>
      <c r="F357" s="25">
        <v>29.7593</v>
      </c>
      <c r="G357" s="25">
        <v>-85.4032</v>
      </c>
      <c r="H357" s="21">
        <v>29.6833</v>
      </c>
      <c r="I357" s="21">
        <v>-85.3666</v>
      </c>
      <c r="J357" s="21" t="s">
        <v>1132</v>
      </c>
      <c r="K357" s="21" t="s">
        <v>2067</v>
      </c>
      <c r="L357" s="21">
        <v>1.0</v>
      </c>
      <c r="M357" s="21">
        <v>29.7132</v>
      </c>
      <c r="N357" s="21">
        <v>-85.3689</v>
      </c>
      <c r="O357" s="21" t="s">
        <v>2068</v>
      </c>
      <c r="P357" s="22" t="s">
        <v>2069</v>
      </c>
    </row>
    <row r="358" ht="33.75" customHeight="1">
      <c r="A358" s="29">
        <v>42406.0</v>
      </c>
      <c r="B358" s="25" t="s">
        <v>973</v>
      </c>
      <c r="C358" s="25" t="s">
        <v>975</v>
      </c>
      <c r="D358" s="25" t="s">
        <v>977</v>
      </c>
      <c r="E358" s="25" t="s">
        <v>232</v>
      </c>
      <c r="F358" s="25">
        <v>29.75942</v>
      </c>
      <c r="G358" s="25">
        <v>-85.40344</v>
      </c>
      <c r="H358" s="21">
        <v>29.87942</v>
      </c>
      <c r="I358" s="21">
        <v>-85.38428</v>
      </c>
      <c r="J358" s="21" t="s">
        <v>1138</v>
      </c>
      <c r="K358" s="21" t="s">
        <v>1140</v>
      </c>
      <c r="L358" s="21">
        <v>1.0</v>
      </c>
      <c r="M358" s="21">
        <v>29.76569</v>
      </c>
      <c r="N358" s="21">
        <v>-85.40382</v>
      </c>
      <c r="O358" s="21" t="s">
        <v>2071</v>
      </c>
      <c r="P358" s="22" t="s">
        <v>726</v>
      </c>
    </row>
    <row r="359" ht="33.75" customHeight="1">
      <c r="A359" s="29">
        <v>42406.0</v>
      </c>
      <c r="B359" s="25" t="s">
        <v>973</v>
      </c>
      <c r="C359" s="25" t="s">
        <v>975</v>
      </c>
      <c r="D359" s="25" t="s">
        <v>977</v>
      </c>
      <c r="E359" s="25" t="s">
        <v>232</v>
      </c>
      <c r="F359" s="25">
        <v>29.75942</v>
      </c>
      <c r="G359" s="25">
        <v>-85.40344</v>
      </c>
      <c r="H359" s="21">
        <v>29.87942</v>
      </c>
      <c r="I359" s="21">
        <v>-85.38428</v>
      </c>
      <c r="J359" s="21" t="s">
        <v>1138</v>
      </c>
      <c r="K359" s="21" t="s">
        <v>1140</v>
      </c>
      <c r="L359" s="21">
        <v>2.0</v>
      </c>
      <c r="M359" s="21">
        <v>29.75942</v>
      </c>
      <c r="N359" s="21">
        <v>-85.40344</v>
      </c>
      <c r="O359" s="21" t="s">
        <v>454</v>
      </c>
      <c r="P359" s="54"/>
    </row>
    <row r="360" ht="33.75" customHeight="1">
      <c r="A360" s="29">
        <v>42406.0</v>
      </c>
      <c r="B360" s="25" t="s">
        <v>973</v>
      </c>
      <c r="C360" s="25" t="s">
        <v>975</v>
      </c>
      <c r="D360" s="25" t="s">
        <v>977</v>
      </c>
      <c r="E360" s="25" t="s">
        <v>232</v>
      </c>
      <c r="F360" s="25">
        <v>29.75942</v>
      </c>
      <c r="G360" s="25">
        <v>-85.40344</v>
      </c>
      <c r="H360" s="21">
        <v>29.87942</v>
      </c>
      <c r="I360" s="21">
        <v>-85.38428</v>
      </c>
      <c r="J360" s="21" t="s">
        <v>1138</v>
      </c>
      <c r="K360" s="21" t="s">
        <v>1140</v>
      </c>
      <c r="L360" s="21">
        <v>3.0</v>
      </c>
      <c r="M360" s="21">
        <v>29.76767</v>
      </c>
      <c r="N360" s="21">
        <v>-85.40587</v>
      </c>
      <c r="O360" s="21" t="s">
        <v>454</v>
      </c>
      <c r="P360" s="22" t="s">
        <v>732</v>
      </c>
    </row>
    <row r="361" ht="33.75" customHeight="1">
      <c r="A361" s="29">
        <v>42406.0</v>
      </c>
      <c r="B361" s="25" t="s">
        <v>973</v>
      </c>
      <c r="C361" s="25" t="s">
        <v>975</v>
      </c>
      <c r="D361" s="25" t="s">
        <v>977</v>
      </c>
      <c r="E361" s="25" t="s">
        <v>232</v>
      </c>
      <c r="F361" s="25">
        <v>29.75942</v>
      </c>
      <c r="G361" s="25">
        <v>-85.40344</v>
      </c>
      <c r="H361" s="21">
        <v>29.87942</v>
      </c>
      <c r="I361" s="21">
        <v>-85.38428</v>
      </c>
      <c r="J361" s="21" t="s">
        <v>1138</v>
      </c>
      <c r="K361" s="21" t="s">
        <v>1140</v>
      </c>
      <c r="L361" s="21">
        <v>4.0</v>
      </c>
      <c r="M361" s="21">
        <v>29.77146</v>
      </c>
      <c r="N361" s="21">
        <v>-85.40674</v>
      </c>
      <c r="O361" s="21" t="s">
        <v>454</v>
      </c>
      <c r="P361" s="22" t="s">
        <v>2077</v>
      </c>
    </row>
    <row r="362" ht="33.75" customHeight="1">
      <c r="A362" s="29">
        <v>42406.0</v>
      </c>
      <c r="B362" s="25" t="s">
        <v>973</v>
      </c>
      <c r="C362" s="25" t="s">
        <v>975</v>
      </c>
      <c r="D362" s="25" t="s">
        <v>977</v>
      </c>
      <c r="E362" s="25" t="s">
        <v>232</v>
      </c>
      <c r="F362" s="25">
        <v>29.75942</v>
      </c>
      <c r="G362" s="25">
        <v>-85.40344</v>
      </c>
      <c r="H362" s="21">
        <v>29.87942</v>
      </c>
      <c r="I362" s="21">
        <v>-85.38428</v>
      </c>
      <c r="J362" s="21" t="s">
        <v>1138</v>
      </c>
      <c r="K362" s="21" t="s">
        <v>1140</v>
      </c>
      <c r="L362" s="21">
        <v>5.0</v>
      </c>
      <c r="M362" s="21">
        <v>29.78855</v>
      </c>
      <c r="N362" s="21">
        <v>-85.41114</v>
      </c>
      <c r="O362" s="21" t="s">
        <v>458</v>
      </c>
      <c r="P362" s="22" t="s">
        <v>2077</v>
      </c>
    </row>
    <row r="363" ht="33.75" customHeight="1">
      <c r="A363" s="29">
        <v>42406.0</v>
      </c>
      <c r="B363" s="25" t="s">
        <v>973</v>
      </c>
      <c r="C363" s="25" t="s">
        <v>975</v>
      </c>
      <c r="D363" s="25" t="s">
        <v>977</v>
      </c>
      <c r="E363" s="25" t="s">
        <v>232</v>
      </c>
      <c r="F363" s="25">
        <v>29.75942</v>
      </c>
      <c r="G363" s="25">
        <v>-85.40344</v>
      </c>
      <c r="H363" s="21">
        <v>29.87942</v>
      </c>
      <c r="I363" s="21">
        <v>-85.38428</v>
      </c>
      <c r="J363" s="21" t="s">
        <v>1138</v>
      </c>
      <c r="K363" s="21" t="s">
        <v>1140</v>
      </c>
      <c r="L363" s="21">
        <v>6.0</v>
      </c>
      <c r="M363" s="21">
        <v>29.82741</v>
      </c>
      <c r="N363" s="21">
        <v>-85.41708</v>
      </c>
      <c r="O363" s="21" t="s">
        <v>1605</v>
      </c>
      <c r="P363" s="22" t="s">
        <v>2077</v>
      </c>
    </row>
    <row r="364" ht="33.75" customHeight="1">
      <c r="A364" s="29">
        <v>42406.0</v>
      </c>
      <c r="B364" s="25" t="s">
        <v>973</v>
      </c>
      <c r="C364" s="25" t="s">
        <v>975</v>
      </c>
      <c r="D364" s="25" t="s">
        <v>977</v>
      </c>
      <c r="E364" s="25" t="s">
        <v>232</v>
      </c>
      <c r="F364" s="25">
        <v>29.75942</v>
      </c>
      <c r="G364" s="25">
        <v>-85.40344</v>
      </c>
      <c r="H364" s="21">
        <v>29.87942</v>
      </c>
      <c r="I364" s="21">
        <v>-85.38428</v>
      </c>
      <c r="J364" s="21" t="s">
        <v>1138</v>
      </c>
      <c r="K364" s="21" t="s">
        <v>1140</v>
      </c>
      <c r="L364" s="21">
        <v>7.0</v>
      </c>
      <c r="M364" s="21">
        <v>29.83275</v>
      </c>
      <c r="N364" s="21">
        <v>-85.41707</v>
      </c>
      <c r="O364" s="21" t="s">
        <v>2082</v>
      </c>
      <c r="P364" s="54"/>
    </row>
    <row r="365" ht="33.75" customHeight="1">
      <c r="A365" s="29">
        <v>42406.0</v>
      </c>
      <c r="B365" s="25" t="s">
        <v>973</v>
      </c>
      <c r="C365" s="25" t="s">
        <v>975</v>
      </c>
      <c r="D365" s="25" t="s">
        <v>977</v>
      </c>
      <c r="E365" s="25" t="s">
        <v>232</v>
      </c>
      <c r="F365" s="25">
        <v>29.75942</v>
      </c>
      <c r="G365" s="25">
        <v>-85.40344</v>
      </c>
      <c r="H365" s="21">
        <v>29.87942</v>
      </c>
      <c r="I365" s="21">
        <v>-85.38428</v>
      </c>
      <c r="J365" s="21" t="s">
        <v>1138</v>
      </c>
      <c r="K365" s="21" t="s">
        <v>1140</v>
      </c>
      <c r="L365" s="21">
        <v>8.0</v>
      </c>
      <c r="M365" s="21">
        <v>29.83555</v>
      </c>
      <c r="N365" s="21">
        <v>-85.4169</v>
      </c>
      <c r="O365" s="21" t="s">
        <v>1605</v>
      </c>
      <c r="P365" s="22" t="s">
        <v>732</v>
      </c>
    </row>
    <row r="366" ht="33.75" customHeight="1">
      <c r="A366" s="29">
        <v>42406.0</v>
      </c>
      <c r="B366" s="25" t="s">
        <v>973</v>
      </c>
      <c r="C366" s="25" t="s">
        <v>975</v>
      </c>
      <c r="D366" s="25" t="s">
        <v>977</v>
      </c>
      <c r="E366" s="25" t="s">
        <v>232</v>
      </c>
      <c r="F366" s="25">
        <v>29.75942</v>
      </c>
      <c r="G366" s="25">
        <v>-85.40344</v>
      </c>
      <c r="H366" s="21">
        <v>29.87942</v>
      </c>
      <c r="I366" s="21">
        <v>-85.38428</v>
      </c>
      <c r="J366" s="21" t="s">
        <v>1138</v>
      </c>
      <c r="K366" s="21" t="s">
        <v>1140</v>
      </c>
      <c r="L366" s="21">
        <v>9.0</v>
      </c>
      <c r="M366" s="21">
        <v>29.84044</v>
      </c>
      <c r="N366" s="21">
        <v>-85.41629</v>
      </c>
      <c r="O366" s="21" t="s">
        <v>454</v>
      </c>
      <c r="P366" s="54"/>
    </row>
    <row r="367" ht="33.75" customHeight="1">
      <c r="A367" s="29">
        <v>42406.0</v>
      </c>
      <c r="B367" s="25" t="s">
        <v>973</v>
      </c>
      <c r="C367" s="25" t="s">
        <v>975</v>
      </c>
      <c r="D367" s="25" t="s">
        <v>977</v>
      </c>
      <c r="E367" s="25" t="s">
        <v>232</v>
      </c>
      <c r="F367" s="25">
        <v>29.75942</v>
      </c>
      <c r="G367" s="25">
        <v>-85.40344</v>
      </c>
      <c r="H367" s="21">
        <v>29.87942</v>
      </c>
      <c r="I367" s="21">
        <v>-85.38428</v>
      </c>
      <c r="J367" s="21" t="s">
        <v>1138</v>
      </c>
      <c r="K367" s="21" t="s">
        <v>1140</v>
      </c>
      <c r="L367" s="21">
        <v>10.0</v>
      </c>
      <c r="M367" s="21">
        <v>29.84415</v>
      </c>
      <c r="N367" s="21">
        <v>-85.41552</v>
      </c>
      <c r="O367" s="21" t="s">
        <v>332</v>
      </c>
      <c r="P367" s="22" t="s">
        <v>37</v>
      </c>
    </row>
    <row r="368" ht="33.75" customHeight="1">
      <c r="A368" s="29">
        <v>42406.0</v>
      </c>
      <c r="B368" s="25" t="s">
        <v>973</v>
      </c>
      <c r="C368" s="25" t="s">
        <v>975</v>
      </c>
      <c r="D368" s="25" t="s">
        <v>977</v>
      </c>
      <c r="E368" s="25" t="s">
        <v>232</v>
      </c>
      <c r="F368" s="25">
        <v>29.75942</v>
      </c>
      <c r="G368" s="25">
        <v>-85.40344</v>
      </c>
      <c r="H368" s="21">
        <v>29.87942</v>
      </c>
      <c r="I368" s="21">
        <v>-85.38428</v>
      </c>
      <c r="J368" s="21" t="s">
        <v>1138</v>
      </c>
      <c r="K368" s="21" t="s">
        <v>1140</v>
      </c>
      <c r="L368" s="21">
        <v>11.0</v>
      </c>
      <c r="M368" s="21">
        <v>29.84576</v>
      </c>
      <c r="N368" s="21">
        <v>-85.41527</v>
      </c>
      <c r="O368" s="21" t="s">
        <v>2085</v>
      </c>
      <c r="P368" s="22" t="s">
        <v>2086</v>
      </c>
    </row>
    <row r="369" ht="33.75" customHeight="1">
      <c r="A369" s="29">
        <v>42406.0</v>
      </c>
      <c r="B369" s="25" t="s">
        <v>973</v>
      </c>
      <c r="C369" s="25" t="s">
        <v>975</v>
      </c>
      <c r="D369" s="25" t="s">
        <v>977</v>
      </c>
      <c r="E369" s="25" t="s">
        <v>232</v>
      </c>
      <c r="F369" s="25">
        <v>29.75942</v>
      </c>
      <c r="G369" s="25">
        <v>-85.40344</v>
      </c>
      <c r="H369" s="21">
        <v>29.87942</v>
      </c>
      <c r="I369" s="21">
        <v>-85.38428</v>
      </c>
      <c r="J369" s="21" t="s">
        <v>1138</v>
      </c>
      <c r="K369" s="21" t="s">
        <v>1140</v>
      </c>
      <c r="L369" s="21">
        <v>12.0</v>
      </c>
      <c r="M369" s="21">
        <v>29.85523</v>
      </c>
      <c r="N369" s="21">
        <v>-85.4136</v>
      </c>
      <c r="O369" s="21" t="s">
        <v>454</v>
      </c>
      <c r="P369" s="22" t="s">
        <v>732</v>
      </c>
    </row>
    <row r="370" ht="33.75" customHeight="1">
      <c r="A370" s="29">
        <v>42406.0</v>
      </c>
      <c r="B370" s="25" t="s">
        <v>973</v>
      </c>
      <c r="C370" s="25" t="s">
        <v>975</v>
      </c>
      <c r="D370" s="25" t="s">
        <v>977</v>
      </c>
      <c r="E370" s="25" t="s">
        <v>232</v>
      </c>
      <c r="F370" s="25">
        <v>29.75942</v>
      </c>
      <c r="G370" s="25">
        <v>-85.40344</v>
      </c>
      <c r="H370" s="21">
        <v>29.87942</v>
      </c>
      <c r="I370" s="21">
        <v>-85.38428</v>
      </c>
      <c r="J370" s="21" t="s">
        <v>1138</v>
      </c>
      <c r="K370" s="21" t="s">
        <v>1140</v>
      </c>
      <c r="L370" s="21">
        <v>13.0</v>
      </c>
      <c r="M370" s="21">
        <v>29.85789</v>
      </c>
      <c r="N370" s="21">
        <v>-85.41258</v>
      </c>
      <c r="O370" s="21" t="s">
        <v>2093</v>
      </c>
      <c r="P370" s="22" t="s">
        <v>2094</v>
      </c>
    </row>
    <row r="371" ht="33.75" customHeight="1">
      <c r="A371" s="29">
        <v>42406.0</v>
      </c>
      <c r="B371" s="25" t="s">
        <v>973</v>
      </c>
      <c r="C371" s="25" t="s">
        <v>975</v>
      </c>
      <c r="D371" s="25" t="s">
        <v>977</v>
      </c>
      <c r="E371" s="25" t="s">
        <v>232</v>
      </c>
      <c r="F371" s="25">
        <v>29.75942</v>
      </c>
      <c r="G371" s="25">
        <v>-85.40344</v>
      </c>
      <c r="H371" s="21">
        <v>29.87942</v>
      </c>
      <c r="I371" s="21">
        <v>-85.38428</v>
      </c>
      <c r="J371" s="21" t="s">
        <v>1138</v>
      </c>
      <c r="K371" s="21" t="s">
        <v>1140</v>
      </c>
      <c r="L371" s="21">
        <v>14.0</v>
      </c>
      <c r="M371" s="21">
        <v>29.86506</v>
      </c>
      <c r="N371" s="21">
        <v>-85.40874</v>
      </c>
      <c r="O371" s="21" t="s">
        <v>2095</v>
      </c>
      <c r="P371" s="22" t="s">
        <v>2096</v>
      </c>
    </row>
    <row r="372" ht="33.75" customHeight="1">
      <c r="A372" s="29">
        <v>42406.0</v>
      </c>
      <c r="B372" s="25" t="s">
        <v>973</v>
      </c>
      <c r="C372" s="25" t="s">
        <v>975</v>
      </c>
      <c r="D372" s="25" t="s">
        <v>977</v>
      </c>
      <c r="E372" s="25" t="s">
        <v>232</v>
      </c>
      <c r="F372" s="25">
        <v>29.75942</v>
      </c>
      <c r="G372" s="25">
        <v>-85.40344</v>
      </c>
      <c r="H372" s="21">
        <v>29.87942</v>
      </c>
      <c r="I372" s="21">
        <v>-85.38428</v>
      </c>
      <c r="J372" s="21" t="s">
        <v>1138</v>
      </c>
      <c r="K372" s="21" t="s">
        <v>1140</v>
      </c>
      <c r="L372" s="21">
        <v>15.0</v>
      </c>
      <c r="M372" s="21">
        <v>29.86967</v>
      </c>
      <c r="N372" s="21">
        <v>-85.40524</v>
      </c>
      <c r="O372" s="21" t="s">
        <v>1605</v>
      </c>
      <c r="P372" s="22" t="s">
        <v>42</v>
      </c>
    </row>
    <row r="373" ht="33.75" customHeight="1">
      <c r="A373" s="29">
        <v>42406.0</v>
      </c>
      <c r="B373" s="25" t="s">
        <v>973</v>
      </c>
      <c r="C373" s="25" t="s">
        <v>975</v>
      </c>
      <c r="D373" s="25" t="s">
        <v>977</v>
      </c>
      <c r="E373" s="25" t="s">
        <v>232</v>
      </c>
      <c r="F373" s="25">
        <v>29.75942</v>
      </c>
      <c r="G373" s="25">
        <v>-85.40344</v>
      </c>
      <c r="H373" s="21">
        <v>29.87942</v>
      </c>
      <c r="I373" s="21">
        <v>-85.38428</v>
      </c>
      <c r="J373" s="21" t="s">
        <v>1138</v>
      </c>
      <c r="K373" s="21" t="s">
        <v>1140</v>
      </c>
      <c r="L373" s="21">
        <v>16.0</v>
      </c>
      <c r="M373" s="21">
        <v>29.87075</v>
      </c>
      <c r="N373" s="21">
        <v>-85.40438</v>
      </c>
      <c r="O373" s="21" t="s">
        <v>2099</v>
      </c>
      <c r="P373" s="22" t="s">
        <v>2100</v>
      </c>
    </row>
    <row r="374" ht="33.75" customHeight="1">
      <c r="A374" s="29">
        <v>42406.0</v>
      </c>
      <c r="B374" s="25" t="s">
        <v>973</v>
      </c>
      <c r="C374" s="25" t="s">
        <v>975</v>
      </c>
      <c r="D374" s="25" t="s">
        <v>977</v>
      </c>
      <c r="E374" s="25" t="s">
        <v>232</v>
      </c>
      <c r="F374" s="25">
        <v>29.75942</v>
      </c>
      <c r="G374" s="25">
        <v>-85.40344</v>
      </c>
      <c r="H374" s="21">
        <v>29.87942</v>
      </c>
      <c r="I374" s="21">
        <v>-85.38428</v>
      </c>
      <c r="J374" s="21" t="s">
        <v>1138</v>
      </c>
      <c r="K374" s="21" t="s">
        <v>1140</v>
      </c>
      <c r="L374" s="21">
        <v>17.0</v>
      </c>
      <c r="M374" s="21">
        <v>29.87649</v>
      </c>
      <c r="N374" s="21">
        <v>-85.39494</v>
      </c>
      <c r="O374" s="21" t="s">
        <v>2104</v>
      </c>
      <c r="P374" s="54"/>
    </row>
    <row r="375" ht="33.75" customHeight="1">
      <c r="A375" s="29">
        <v>42406.0</v>
      </c>
      <c r="B375" s="25" t="s">
        <v>973</v>
      </c>
      <c r="C375" s="25" t="s">
        <v>975</v>
      </c>
      <c r="D375" s="25" t="s">
        <v>977</v>
      </c>
      <c r="E375" s="25" t="s">
        <v>232</v>
      </c>
      <c r="F375" s="25">
        <v>29.75942</v>
      </c>
      <c r="G375" s="25">
        <v>-85.40344</v>
      </c>
      <c r="H375" s="21">
        <v>29.87942</v>
      </c>
      <c r="I375" s="21">
        <v>-85.38428</v>
      </c>
      <c r="J375" s="21" t="s">
        <v>1138</v>
      </c>
      <c r="K375" s="21" t="s">
        <v>1140</v>
      </c>
      <c r="L375" s="21">
        <v>18.0</v>
      </c>
      <c r="M375" s="21">
        <v>29.86649</v>
      </c>
      <c r="N375" s="21">
        <v>-85.39546</v>
      </c>
      <c r="O375" s="21" t="s">
        <v>2105</v>
      </c>
      <c r="P375" s="22" t="s">
        <v>2106</v>
      </c>
    </row>
    <row r="376" ht="33.75" customHeight="1">
      <c r="A376" s="29">
        <v>42406.0</v>
      </c>
      <c r="B376" s="25" t="s">
        <v>973</v>
      </c>
      <c r="C376" s="25" t="s">
        <v>975</v>
      </c>
      <c r="D376" s="25" t="s">
        <v>977</v>
      </c>
      <c r="E376" s="25" t="s">
        <v>232</v>
      </c>
      <c r="F376" s="25">
        <v>29.75942</v>
      </c>
      <c r="G376" s="25">
        <v>-85.40344</v>
      </c>
      <c r="H376" s="21">
        <v>29.87942</v>
      </c>
      <c r="I376" s="21">
        <v>-85.38428</v>
      </c>
      <c r="J376" s="21" t="s">
        <v>1138</v>
      </c>
      <c r="K376" s="21" t="s">
        <v>1140</v>
      </c>
      <c r="L376" s="21">
        <v>19.0</v>
      </c>
      <c r="M376" s="21">
        <v>29.8425</v>
      </c>
      <c r="N376" s="21">
        <v>-85.41576</v>
      </c>
      <c r="O376" s="21" t="s">
        <v>2107</v>
      </c>
      <c r="P376" s="54"/>
    </row>
    <row r="377" ht="33.75" customHeight="1">
      <c r="A377" s="29">
        <v>42406.0</v>
      </c>
      <c r="B377" s="25" t="s">
        <v>973</v>
      </c>
      <c r="C377" s="25" t="s">
        <v>975</v>
      </c>
      <c r="D377" s="25" t="s">
        <v>977</v>
      </c>
      <c r="E377" s="25" t="s">
        <v>232</v>
      </c>
      <c r="F377" s="25">
        <v>29.75942</v>
      </c>
      <c r="G377" s="25">
        <v>-85.40344</v>
      </c>
      <c r="H377" s="21">
        <v>29.87942</v>
      </c>
      <c r="I377" s="21">
        <v>-85.38428</v>
      </c>
      <c r="J377" s="21" t="s">
        <v>1138</v>
      </c>
      <c r="K377" s="21" t="s">
        <v>1140</v>
      </c>
      <c r="L377" s="21">
        <v>20.0</v>
      </c>
      <c r="M377" s="21">
        <v>29.8118</v>
      </c>
      <c r="N377" s="21">
        <v>-85.41548</v>
      </c>
      <c r="O377" s="21" t="s">
        <v>1596</v>
      </c>
      <c r="P377" s="22" t="s">
        <v>732</v>
      </c>
    </row>
    <row r="378" ht="33.75" customHeight="1">
      <c r="A378" s="29">
        <v>42411.0</v>
      </c>
      <c r="B378" s="25" t="s">
        <v>1040</v>
      </c>
      <c r="C378" s="25" t="s">
        <v>975</v>
      </c>
      <c r="D378" s="25" t="s">
        <v>1041</v>
      </c>
      <c r="E378" s="25" t="s">
        <v>586</v>
      </c>
      <c r="F378" s="25">
        <v>29.68278</v>
      </c>
      <c r="G378" s="25">
        <v>-84.7967</v>
      </c>
      <c r="H378" s="21">
        <v>29.77259</v>
      </c>
      <c r="I378" s="21">
        <v>-84.69428</v>
      </c>
      <c r="J378" s="21" t="s">
        <v>1042</v>
      </c>
      <c r="K378" s="21" t="s">
        <v>1043</v>
      </c>
      <c r="L378" s="21">
        <v>1.0</v>
      </c>
      <c r="M378" s="21">
        <v>29.69006</v>
      </c>
      <c r="N378" s="21">
        <v>-84.78172</v>
      </c>
      <c r="O378" s="21" t="s">
        <v>454</v>
      </c>
      <c r="P378" s="54"/>
    </row>
    <row r="379" ht="33.75" customHeight="1">
      <c r="A379" s="29">
        <v>42411.0</v>
      </c>
      <c r="B379" s="25" t="s">
        <v>1040</v>
      </c>
      <c r="C379" s="25" t="s">
        <v>975</v>
      </c>
      <c r="D379" s="25" t="s">
        <v>1041</v>
      </c>
      <c r="E379" s="25" t="s">
        <v>586</v>
      </c>
      <c r="F379" s="25">
        <v>29.68278</v>
      </c>
      <c r="G379" s="25">
        <v>-84.7967</v>
      </c>
      <c r="H379" s="21">
        <v>29.77259</v>
      </c>
      <c r="I379" s="21">
        <v>-84.69428</v>
      </c>
      <c r="J379" s="21" t="s">
        <v>1042</v>
      </c>
      <c r="K379" s="21" t="s">
        <v>1043</v>
      </c>
      <c r="L379" s="21">
        <v>2.0</v>
      </c>
      <c r="M379" s="21">
        <v>29.69955</v>
      </c>
      <c r="N379" s="21">
        <v>-84.76862</v>
      </c>
      <c r="O379" s="21" t="s">
        <v>2112</v>
      </c>
      <c r="P379" s="22" t="s">
        <v>37</v>
      </c>
    </row>
    <row r="380" ht="33.75" customHeight="1">
      <c r="A380" s="29">
        <v>42411.0</v>
      </c>
      <c r="B380" s="25" t="s">
        <v>1040</v>
      </c>
      <c r="C380" s="25" t="s">
        <v>975</v>
      </c>
      <c r="D380" s="25" t="s">
        <v>1041</v>
      </c>
      <c r="E380" s="25" t="s">
        <v>586</v>
      </c>
      <c r="F380" s="25">
        <v>29.68278</v>
      </c>
      <c r="G380" s="25">
        <v>-84.7967</v>
      </c>
      <c r="H380" s="21">
        <v>29.77259</v>
      </c>
      <c r="I380" s="21">
        <v>-84.69428</v>
      </c>
      <c r="J380" s="21" t="s">
        <v>1042</v>
      </c>
      <c r="K380" s="21" t="s">
        <v>1043</v>
      </c>
      <c r="L380" s="21">
        <v>3.0</v>
      </c>
      <c r="M380" s="21">
        <v>29.74321</v>
      </c>
      <c r="N380" s="21">
        <v>-84.71521</v>
      </c>
      <c r="O380" s="21" t="s">
        <v>454</v>
      </c>
      <c r="P380" s="22" t="s">
        <v>732</v>
      </c>
    </row>
    <row r="381" ht="33.75" customHeight="1">
      <c r="A381" s="29">
        <v>42411.0</v>
      </c>
      <c r="B381" s="25" t="s">
        <v>1040</v>
      </c>
      <c r="C381" s="25" t="s">
        <v>975</v>
      </c>
      <c r="D381" s="25" t="s">
        <v>1041</v>
      </c>
      <c r="E381" s="25" t="s">
        <v>586</v>
      </c>
      <c r="F381" s="25">
        <v>29.68278</v>
      </c>
      <c r="G381" s="25">
        <v>-84.7967</v>
      </c>
      <c r="H381" s="21">
        <v>29.77259</v>
      </c>
      <c r="I381" s="21">
        <v>-84.69428</v>
      </c>
      <c r="J381" s="21" t="s">
        <v>1042</v>
      </c>
      <c r="K381" s="21" t="s">
        <v>1043</v>
      </c>
      <c r="L381" s="21">
        <v>4.0</v>
      </c>
      <c r="M381" s="21">
        <v>29.76024</v>
      </c>
      <c r="N381" s="21">
        <v>-84.69621</v>
      </c>
      <c r="O381" s="21" t="s">
        <v>2119</v>
      </c>
      <c r="P381" s="22" t="s">
        <v>2120</v>
      </c>
    </row>
    <row r="382" ht="33.75" customHeight="1">
      <c r="A382" s="29">
        <v>42411.0</v>
      </c>
      <c r="B382" s="25" t="s">
        <v>1040</v>
      </c>
      <c r="C382" s="25" t="s">
        <v>975</v>
      </c>
      <c r="D382" s="25" t="s">
        <v>1041</v>
      </c>
      <c r="E382" s="25" t="s">
        <v>586</v>
      </c>
      <c r="F382" s="25">
        <v>29.68278</v>
      </c>
      <c r="G382" s="25">
        <v>-84.7967</v>
      </c>
      <c r="H382" s="21">
        <v>29.77259</v>
      </c>
      <c r="I382" s="21">
        <v>-84.69428</v>
      </c>
      <c r="J382" s="21" t="s">
        <v>1042</v>
      </c>
      <c r="K382" s="21" t="s">
        <v>1043</v>
      </c>
      <c r="L382" s="21">
        <v>5.0</v>
      </c>
      <c r="M382" s="21">
        <v>29.77218</v>
      </c>
      <c r="N382" s="21">
        <v>-84.69391</v>
      </c>
      <c r="O382" s="21" t="s">
        <v>2124</v>
      </c>
      <c r="P382" s="54"/>
    </row>
    <row r="383" ht="33.75" customHeight="1">
      <c r="A383" s="29">
        <v>42411.0</v>
      </c>
      <c r="B383" s="25" t="s">
        <v>1040</v>
      </c>
      <c r="C383" s="25" t="s">
        <v>975</v>
      </c>
      <c r="D383" s="25" t="s">
        <v>1041</v>
      </c>
      <c r="E383" s="25" t="s">
        <v>586</v>
      </c>
      <c r="F383" s="25">
        <v>29.68278</v>
      </c>
      <c r="G383" s="25">
        <v>-84.7967</v>
      </c>
      <c r="H383" s="21">
        <v>29.77259</v>
      </c>
      <c r="I383" s="21">
        <v>-84.69428</v>
      </c>
      <c r="J383" s="21" t="s">
        <v>1042</v>
      </c>
      <c r="K383" s="21" t="s">
        <v>1043</v>
      </c>
      <c r="L383" s="21">
        <v>6.0</v>
      </c>
      <c r="M383" s="21">
        <v>29.75159</v>
      </c>
      <c r="N383" s="21">
        <v>-84.70898</v>
      </c>
      <c r="O383" s="21" t="s">
        <v>2125</v>
      </c>
      <c r="P383" s="22" t="s">
        <v>2126</v>
      </c>
    </row>
    <row r="384" ht="33.75" customHeight="1">
      <c r="A384" s="29">
        <v>42411.0</v>
      </c>
      <c r="B384" s="25" t="s">
        <v>1040</v>
      </c>
      <c r="C384" s="25" t="s">
        <v>975</v>
      </c>
      <c r="D384" s="25" t="s">
        <v>1041</v>
      </c>
      <c r="E384" s="25" t="s">
        <v>586</v>
      </c>
      <c r="F384" s="25">
        <v>29.68278</v>
      </c>
      <c r="G384" s="25">
        <v>-84.7967</v>
      </c>
      <c r="H384" s="21">
        <v>29.77259</v>
      </c>
      <c r="I384" s="21">
        <v>-84.69428</v>
      </c>
      <c r="J384" s="21" t="s">
        <v>1042</v>
      </c>
      <c r="K384" s="21" t="s">
        <v>1043</v>
      </c>
      <c r="L384" s="21">
        <v>7.0</v>
      </c>
      <c r="M384" s="21">
        <v>29.75353</v>
      </c>
      <c r="N384" s="21">
        <v>-84.70434</v>
      </c>
      <c r="O384" s="21" t="s">
        <v>332</v>
      </c>
      <c r="P384" s="54"/>
    </row>
    <row r="385" ht="33.75" customHeight="1">
      <c r="A385" s="29">
        <v>42411.0</v>
      </c>
      <c r="B385" s="25" t="s">
        <v>1040</v>
      </c>
      <c r="C385" s="25" t="s">
        <v>975</v>
      </c>
      <c r="D385" s="25" t="s">
        <v>1041</v>
      </c>
      <c r="E385" s="25" t="s">
        <v>586</v>
      </c>
      <c r="F385" s="25">
        <v>29.68278</v>
      </c>
      <c r="G385" s="25">
        <v>-84.7967</v>
      </c>
      <c r="H385" s="21">
        <v>29.77259</v>
      </c>
      <c r="I385" s="21">
        <v>-84.69428</v>
      </c>
      <c r="J385" s="21" t="s">
        <v>1042</v>
      </c>
      <c r="K385" s="21" t="s">
        <v>1043</v>
      </c>
      <c r="L385" s="21">
        <v>8.0</v>
      </c>
      <c r="M385" s="21">
        <v>29.74781</v>
      </c>
      <c r="N385" s="21">
        <v>-84.71053</v>
      </c>
      <c r="O385" s="21" t="s">
        <v>458</v>
      </c>
      <c r="P385" s="54"/>
    </row>
    <row r="386" ht="33.75" customHeight="1">
      <c r="A386" s="29">
        <v>42411.0</v>
      </c>
      <c r="B386" s="25" t="s">
        <v>1040</v>
      </c>
      <c r="C386" s="25" t="s">
        <v>975</v>
      </c>
      <c r="D386" s="25" t="s">
        <v>1041</v>
      </c>
      <c r="E386" s="25" t="s">
        <v>586</v>
      </c>
      <c r="F386" s="25">
        <v>29.68278</v>
      </c>
      <c r="G386" s="25">
        <v>-84.7967</v>
      </c>
      <c r="H386" s="21">
        <v>29.77259</v>
      </c>
      <c r="I386" s="21">
        <v>-84.69428</v>
      </c>
      <c r="J386" s="21" t="s">
        <v>1042</v>
      </c>
      <c r="K386" s="21" t="s">
        <v>1043</v>
      </c>
      <c r="L386" s="21">
        <v>9.0</v>
      </c>
      <c r="M386" s="21">
        <v>29.7434</v>
      </c>
      <c r="N386" s="21">
        <v>-84.71508</v>
      </c>
      <c r="O386" s="21" t="s">
        <v>2132</v>
      </c>
      <c r="P386" s="22" t="s">
        <v>2133</v>
      </c>
    </row>
    <row r="387" ht="33.75" customHeight="1">
      <c r="A387" s="29">
        <v>42411.0</v>
      </c>
      <c r="B387" s="25" t="s">
        <v>1040</v>
      </c>
      <c r="C387" s="25" t="s">
        <v>975</v>
      </c>
      <c r="D387" s="25" t="s">
        <v>1041</v>
      </c>
      <c r="E387" s="25" t="s">
        <v>586</v>
      </c>
      <c r="F387" s="25">
        <v>29.68278</v>
      </c>
      <c r="G387" s="25">
        <v>-84.7967</v>
      </c>
      <c r="H387" s="21">
        <v>29.77259</v>
      </c>
      <c r="I387" s="21">
        <v>-84.69428</v>
      </c>
      <c r="J387" s="21" t="s">
        <v>1042</v>
      </c>
      <c r="K387" s="21" t="s">
        <v>1043</v>
      </c>
      <c r="L387" s="21">
        <v>10.0</v>
      </c>
      <c r="M387" s="21">
        <v>29.74208</v>
      </c>
      <c r="N387" s="21">
        <v>-84.71655</v>
      </c>
      <c r="O387" s="21" t="s">
        <v>2136</v>
      </c>
      <c r="P387" s="22" t="s">
        <v>2137</v>
      </c>
    </row>
    <row r="388" ht="33.75" customHeight="1">
      <c r="A388" s="29">
        <v>42411.0</v>
      </c>
      <c r="B388" s="25" t="s">
        <v>1040</v>
      </c>
      <c r="C388" s="25" t="s">
        <v>975</v>
      </c>
      <c r="D388" s="25" t="s">
        <v>1041</v>
      </c>
      <c r="E388" s="25" t="s">
        <v>586</v>
      </c>
      <c r="F388" s="25">
        <v>29.68278</v>
      </c>
      <c r="G388" s="25">
        <v>-84.7967</v>
      </c>
      <c r="H388" s="21">
        <v>29.77259</v>
      </c>
      <c r="I388" s="21">
        <v>-84.69428</v>
      </c>
      <c r="J388" s="21" t="s">
        <v>1042</v>
      </c>
      <c r="K388" s="21" t="s">
        <v>1043</v>
      </c>
      <c r="L388" s="21">
        <v>11.0</v>
      </c>
      <c r="M388" s="21">
        <v>29.72937</v>
      </c>
      <c r="N388" s="21">
        <v>-84.72937</v>
      </c>
      <c r="O388" s="21" t="s">
        <v>1788</v>
      </c>
      <c r="P388" s="22" t="s">
        <v>2139</v>
      </c>
    </row>
    <row r="389" ht="33.75" customHeight="1">
      <c r="A389" s="29">
        <v>42411.0</v>
      </c>
      <c r="B389" s="25" t="s">
        <v>1040</v>
      </c>
      <c r="C389" s="25" t="s">
        <v>975</v>
      </c>
      <c r="D389" s="25" t="s">
        <v>1041</v>
      </c>
      <c r="E389" s="25" t="s">
        <v>586</v>
      </c>
      <c r="F389" s="25">
        <v>29.68278</v>
      </c>
      <c r="G389" s="25">
        <v>-84.7967</v>
      </c>
      <c r="H389" s="21">
        <v>29.77259</v>
      </c>
      <c r="I389" s="21">
        <v>-84.69428</v>
      </c>
      <c r="J389" s="21" t="s">
        <v>1042</v>
      </c>
      <c r="K389" s="21" t="s">
        <v>1043</v>
      </c>
      <c r="L389" s="21">
        <v>12.0</v>
      </c>
      <c r="M389" s="21">
        <v>29.70779</v>
      </c>
      <c r="N389" s="21">
        <v>-84.75608</v>
      </c>
      <c r="O389" s="21" t="s">
        <v>454</v>
      </c>
      <c r="P389" s="22" t="s">
        <v>732</v>
      </c>
    </row>
    <row r="390" ht="33.75" customHeight="1">
      <c r="A390" s="29">
        <v>42411.0</v>
      </c>
      <c r="B390" s="25" t="s">
        <v>1040</v>
      </c>
      <c r="C390" s="25" t="s">
        <v>975</v>
      </c>
      <c r="D390" s="25" t="s">
        <v>1041</v>
      </c>
      <c r="E390" s="25" t="s">
        <v>586</v>
      </c>
      <c r="F390" s="25">
        <v>29.68278</v>
      </c>
      <c r="G390" s="25">
        <v>-84.7967</v>
      </c>
      <c r="H390" s="21">
        <v>29.77259</v>
      </c>
      <c r="I390" s="21">
        <v>-84.69428</v>
      </c>
      <c r="J390" s="21" t="s">
        <v>1042</v>
      </c>
      <c r="K390" s="21" t="s">
        <v>1043</v>
      </c>
      <c r="L390" s="21">
        <v>13.0</v>
      </c>
      <c r="M390" s="21">
        <v>29.68724</v>
      </c>
      <c r="N390" s="21">
        <v>-84.78754</v>
      </c>
      <c r="O390" s="21" t="s">
        <v>1605</v>
      </c>
      <c r="P390" s="22" t="s">
        <v>2100</v>
      </c>
    </row>
    <row r="391" ht="33.75" customHeight="1">
      <c r="A391" s="29">
        <v>42410.0</v>
      </c>
      <c r="B391" s="25" t="s">
        <v>1342</v>
      </c>
      <c r="C391" s="25" t="s">
        <v>2144</v>
      </c>
      <c r="D391" s="25" t="s">
        <v>1344</v>
      </c>
      <c r="E391" s="25" t="s">
        <v>1346</v>
      </c>
      <c r="F391" s="25">
        <v>26.66207</v>
      </c>
      <c r="G391" s="25">
        <v>-82.15382</v>
      </c>
      <c r="H391" s="21">
        <v>26.66207</v>
      </c>
      <c r="I391" s="21">
        <v>-82.15382</v>
      </c>
      <c r="J391" s="21" t="s">
        <v>2146</v>
      </c>
      <c r="K391" s="21" t="s">
        <v>2147</v>
      </c>
      <c r="L391" s="21">
        <v>1.0</v>
      </c>
      <c r="M391" s="21">
        <v>26.66207</v>
      </c>
      <c r="N391" s="21">
        <v>-82.15382</v>
      </c>
      <c r="O391" s="21" t="s">
        <v>2149</v>
      </c>
      <c r="P391" s="22" t="s">
        <v>2150</v>
      </c>
    </row>
    <row r="392" ht="33.75" customHeight="1">
      <c r="A392" s="29">
        <v>42410.0</v>
      </c>
      <c r="B392" s="25" t="s">
        <v>1342</v>
      </c>
      <c r="C392" s="25" t="s">
        <v>2144</v>
      </c>
      <c r="D392" s="25" t="s">
        <v>1344</v>
      </c>
      <c r="E392" s="25" t="s">
        <v>1346</v>
      </c>
      <c r="F392" s="25">
        <v>26.66207</v>
      </c>
      <c r="G392" s="25">
        <v>-82.15382</v>
      </c>
      <c r="H392" s="21">
        <v>26.66207</v>
      </c>
      <c r="I392" s="21">
        <v>-82.15382</v>
      </c>
      <c r="J392" s="21" t="s">
        <v>2146</v>
      </c>
      <c r="K392" s="21" t="s">
        <v>2147</v>
      </c>
      <c r="L392" s="21">
        <v>2.0</v>
      </c>
      <c r="M392" s="21">
        <v>29.93065</v>
      </c>
      <c r="N392" s="21">
        <v>-81.30634</v>
      </c>
      <c r="O392" s="21" t="s">
        <v>2152</v>
      </c>
      <c r="P392" s="22" t="s">
        <v>2153</v>
      </c>
    </row>
    <row r="393" ht="33.75" customHeight="1">
      <c r="A393" s="29">
        <v>42410.0</v>
      </c>
      <c r="B393" s="25" t="s">
        <v>1342</v>
      </c>
      <c r="C393" s="25" t="s">
        <v>2144</v>
      </c>
      <c r="D393" s="25" t="s">
        <v>1344</v>
      </c>
      <c r="E393" s="25" t="s">
        <v>1346</v>
      </c>
      <c r="F393" s="25">
        <v>26.66207</v>
      </c>
      <c r="G393" s="25">
        <v>-82.15382</v>
      </c>
      <c r="H393" s="21">
        <v>26.66207</v>
      </c>
      <c r="I393" s="21">
        <v>-82.15382</v>
      </c>
      <c r="J393" s="21" t="s">
        <v>2146</v>
      </c>
      <c r="K393" s="21" t="s">
        <v>2147</v>
      </c>
      <c r="L393" s="21">
        <v>3.0</v>
      </c>
      <c r="M393" s="21">
        <v>29.9593</v>
      </c>
      <c r="N393" s="21">
        <v>-81.31737</v>
      </c>
      <c r="O393" s="21" t="s">
        <v>2155</v>
      </c>
      <c r="P393" s="22" t="s">
        <v>2156</v>
      </c>
    </row>
    <row r="394" ht="33.75" customHeight="1">
      <c r="A394" s="29">
        <v>42410.0</v>
      </c>
      <c r="B394" s="25" t="s">
        <v>1342</v>
      </c>
      <c r="C394" s="25" t="s">
        <v>2144</v>
      </c>
      <c r="D394" s="25" t="s">
        <v>1344</v>
      </c>
      <c r="E394" s="25" t="s">
        <v>1346</v>
      </c>
      <c r="F394" s="25">
        <v>26.66207</v>
      </c>
      <c r="G394" s="25">
        <v>-82.15382</v>
      </c>
      <c r="H394" s="21">
        <v>26.66207</v>
      </c>
      <c r="I394" s="21">
        <v>-82.15382</v>
      </c>
      <c r="J394" s="21" t="s">
        <v>2146</v>
      </c>
      <c r="K394" s="21" t="s">
        <v>2147</v>
      </c>
      <c r="L394" s="21">
        <v>4.0</v>
      </c>
      <c r="M394" s="21">
        <v>29.96231</v>
      </c>
      <c r="N394" s="21">
        <v>-81.32054</v>
      </c>
      <c r="O394" s="21" t="s">
        <v>1465</v>
      </c>
      <c r="P394" s="22" t="s">
        <v>2150</v>
      </c>
    </row>
    <row r="395" ht="33.75" customHeight="1">
      <c r="A395" s="29">
        <v>42410.0</v>
      </c>
      <c r="B395" s="25" t="s">
        <v>1342</v>
      </c>
      <c r="C395" s="25" t="s">
        <v>2144</v>
      </c>
      <c r="D395" s="25" t="s">
        <v>1344</v>
      </c>
      <c r="E395" s="25" t="s">
        <v>1346</v>
      </c>
      <c r="F395" s="25">
        <v>26.66207</v>
      </c>
      <c r="G395" s="25">
        <v>-82.15382</v>
      </c>
      <c r="H395" s="21">
        <v>26.66207</v>
      </c>
      <c r="I395" s="21">
        <v>-82.15382</v>
      </c>
      <c r="J395" s="21" t="s">
        <v>2146</v>
      </c>
      <c r="K395" s="21" t="s">
        <v>2147</v>
      </c>
      <c r="L395" s="21">
        <v>5.0</v>
      </c>
      <c r="M395" s="21">
        <v>29.96471</v>
      </c>
      <c r="N395" s="21">
        <v>-81.32427</v>
      </c>
      <c r="O395" s="21" t="s">
        <v>2163</v>
      </c>
      <c r="P395" s="22" t="s">
        <v>2150</v>
      </c>
    </row>
    <row r="396" ht="33.75" customHeight="1">
      <c r="A396" s="29">
        <v>42410.0</v>
      </c>
      <c r="B396" s="25" t="s">
        <v>1342</v>
      </c>
      <c r="C396" s="25" t="s">
        <v>2144</v>
      </c>
      <c r="D396" s="25" t="s">
        <v>1344</v>
      </c>
      <c r="E396" s="25" t="s">
        <v>1346</v>
      </c>
      <c r="F396" s="25">
        <v>26.66207</v>
      </c>
      <c r="G396" s="25">
        <v>-82.15382</v>
      </c>
      <c r="H396" s="21">
        <v>26.66207</v>
      </c>
      <c r="I396" s="21">
        <v>-82.15382</v>
      </c>
      <c r="J396" s="21" t="s">
        <v>2146</v>
      </c>
      <c r="K396" s="21" t="s">
        <v>2147</v>
      </c>
      <c r="L396" s="21">
        <v>6.0</v>
      </c>
      <c r="M396" s="21">
        <v>29.96658</v>
      </c>
      <c r="N396" s="21">
        <v>-81.32658</v>
      </c>
      <c r="O396" s="21" t="s">
        <v>1465</v>
      </c>
      <c r="P396" s="22" t="s">
        <v>37</v>
      </c>
    </row>
    <row r="397" ht="33.75" customHeight="1">
      <c r="A397" s="29">
        <v>42410.0</v>
      </c>
      <c r="B397" s="25" t="s">
        <v>1342</v>
      </c>
      <c r="C397" s="25" t="s">
        <v>2144</v>
      </c>
      <c r="D397" s="25" t="s">
        <v>1344</v>
      </c>
      <c r="E397" s="25" t="s">
        <v>1346</v>
      </c>
      <c r="F397" s="25">
        <v>26.66207</v>
      </c>
      <c r="G397" s="25">
        <v>-82.15382</v>
      </c>
      <c r="H397" s="21">
        <v>26.66207</v>
      </c>
      <c r="I397" s="21">
        <v>-82.15382</v>
      </c>
      <c r="J397" s="21" t="s">
        <v>2146</v>
      </c>
      <c r="K397" s="21" t="s">
        <v>2147</v>
      </c>
      <c r="L397" s="21">
        <v>7.0</v>
      </c>
      <c r="M397" s="21">
        <v>29.97194</v>
      </c>
      <c r="N397" s="21">
        <v>-81.32815</v>
      </c>
      <c r="O397" s="21" t="s">
        <v>2173</v>
      </c>
      <c r="P397" s="22" t="s">
        <v>2174</v>
      </c>
    </row>
    <row r="398" ht="33.75" customHeight="1">
      <c r="A398" s="29">
        <v>42410.0</v>
      </c>
      <c r="B398" s="25" t="s">
        <v>1342</v>
      </c>
      <c r="C398" s="25" t="s">
        <v>2144</v>
      </c>
      <c r="D398" s="25" t="s">
        <v>1344</v>
      </c>
      <c r="E398" s="25" t="s">
        <v>1346</v>
      </c>
      <c r="F398" s="25">
        <v>26.66207</v>
      </c>
      <c r="G398" s="25">
        <v>-82.15382</v>
      </c>
      <c r="H398" s="21">
        <v>26.66207</v>
      </c>
      <c r="I398" s="21">
        <v>-82.15382</v>
      </c>
      <c r="J398" s="21" t="s">
        <v>2146</v>
      </c>
      <c r="K398" s="21" t="s">
        <v>2147</v>
      </c>
      <c r="L398" s="21">
        <v>8.0</v>
      </c>
      <c r="M398" s="21">
        <v>30.00018</v>
      </c>
      <c r="N398" s="21">
        <v>-81.34312</v>
      </c>
      <c r="O398" s="21" t="s">
        <v>2175</v>
      </c>
      <c r="P398" s="22"/>
    </row>
    <row r="399" ht="33.75" customHeight="1">
      <c r="A399" s="29">
        <v>42410.0</v>
      </c>
      <c r="B399" s="25" t="s">
        <v>1342</v>
      </c>
      <c r="C399" s="25" t="s">
        <v>2144</v>
      </c>
      <c r="D399" s="25" t="s">
        <v>1344</v>
      </c>
      <c r="E399" s="25" t="s">
        <v>1346</v>
      </c>
      <c r="F399" s="25">
        <v>26.66207</v>
      </c>
      <c r="G399" s="25">
        <v>-82.15382</v>
      </c>
      <c r="H399" s="21">
        <v>26.66207</v>
      </c>
      <c r="I399" s="21">
        <v>-82.15382</v>
      </c>
      <c r="J399" s="21" t="s">
        <v>2146</v>
      </c>
      <c r="K399" s="21" t="s">
        <v>2147</v>
      </c>
      <c r="L399" s="21">
        <v>9.0</v>
      </c>
      <c r="M399" s="21">
        <v>30.03304</v>
      </c>
      <c r="N399" s="21">
        <v>-81.36297</v>
      </c>
      <c r="O399" s="21" t="s">
        <v>1307</v>
      </c>
      <c r="P399" s="22" t="s">
        <v>732</v>
      </c>
    </row>
    <row r="400" ht="33.75" customHeight="1">
      <c r="A400" s="29">
        <v>42410.0</v>
      </c>
      <c r="B400" s="25" t="s">
        <v>1342</v>
      </c>
      <c r="C400" s="25" t="s">
        <v>2144</v>
      </c>
      <c r="D400" s="25" t="s">
        <v>1344</v>
      </c>
      <c r="E400" s="25" t="s">
        <v>1346</v>
      </c>
      <c r="F400" s="25">
        <v>26.66207</v>
      </c>
      <c r="G400" s="25">
        <v>-82.15382</v>
      </c>
      <c r="H400" s="21">
        <v>26.66207</v>
      </c>
      <c r="I400" s="21">
        <v>-82.15382</v>
      </c>
      <c r="J400" s="21" t="s">
        <v>2146</v>
      </c>
      <c r="K400" s="21" t="s">
        <v>2147</v>
      </c>
      <c r="L400" s="21">
        <v>10.0</v>
      </c>
      <c r="M400" s="21">
        <v>30.04174</v>
      </c>
      <c r="N400" s="21">
        <v>-81.36644</v>
      </c>
      <c r="O400" s="21" t="s">
        <v>2176</v>
      </c>
      <c r="P400" s="22"/>
    </row>
    <row r="401" ht="33.75" customHeight="1">
      <c r="A401" s="29">
        <v>42410.0</v>
      </c>
      <c r="B401" s="25" t="s">
        <v>1342</v>
      </c>
      <c r="C401" s="25" t="s">
        <v>2144</v>
      </c>
      <c r="D401" s="25" t="s">
        <v>1344</v>
      </c>
      <c r="E401" s="25" t="s">
        <v>1346</v>
      </c>
      <c r="F401" s="25">
        <v>26.66207</v>
      </c>
      <c r="G401" s="25">
        <v>-82.15382</v>
      </c>
      <c r="H401" s="21">
        <v>26.66207</v>
      </c>
      <c r="I401" s="21">
        <v>-82.15382</v>
      </c>
      <c r="J401" s="21" t="s">
        <v>2146</v>
      </c>
      <c r="K401" s="21" t="s">
        <v>2147</v>
      </c>
      <c r="L401" s="21">
        <v>11.0</v>
      </c>
      <c r="M401" s="21">
        <v>30.03842</v>
      </c>
      <c r="N401" s="21">
        <v>-81.36699</v>
      </c>
      <c r="O401" s="21" t="s">
        <v>2183</v>
      </c>
      <c r="P401" s="22" t="s">
        <v>2153</v>
      </c>
    </row>
    <row r="402" ht="33.75" customHeight="1">
      <c r="A402" s="29">
        <v>42410.0</v>
      </c>
      <c r="B402" s="25" t="s">
        <v>1342</v>
      </c>
      <c r="C402" s="25" t="s">
        <v>2144</v>
      </c>
      <c r="D402" s="25" t="s">
        <v>1344</v>
      </c>
      <c r="E402" s="25" t="s">
        <v>1346</v>
      </c>
      <c r="F402" s="25">
        <v>26.66207</v>
      </c>
      <c r="G402" s="25">
        <v>-82.15382</v>
      </c>
      <c r="H402" s="21">
        <v>26.66207</v>
      </c>
      <c r="I402" s="21">
        <v>-82.15382</v>
      </c>
      <c r="J402" s="21" t="s">
        <v>2146</v>
      </c>
      <c r="K402" s="21" t="s">
        <v>2147</v>
      </c>
      <c r="L402" s="21">
        <v>12.0</v>
      </c>
      <c r="M402" s="21">
        <v>30.02129</v>
      </c>
      <c r="N402" s="21">
        <v>-81.35276</v>
      </c>
      <c r="O402" s="21" t="s">
        <v>2184</v>
      </c>
      <c r="P402" s="22"/>
    </row>
    <row r="403" ht="33.75" customHeight="1">
      <c r="A403" s="29">
        <v>42410.0</v>
      </c>
      <c r="B403" s="25" t="s">
        <v>1342</v>
      </c>
      <c r="C403" s="25" t="s">
        <v>2144</v>
      </c>
      <c r="D403" s="25" t="s">
        <v>1344</v>
      </c>
      <c r="E403" s="25" t="s">
        <v>1346</v>
      </c>
      <c r="F403" s="25">
        <v>26.66207</v>
      </c>
      <c r="G403" s="25">
        <v>-82.15382</v>
      </c>
      <c r="H403" s="21">
        <v>26.66207</v>
      </c>
      <c r="I403" s="21">
        <v>-82.15382</v>
      </c>
      <c r="J403" s="21" t="s">
        <v>2146</v>
      </c>
      <c r="K403" s="21" t="s">
        <v>2147</v>
      </c>
      <c r="L403" s="21">
        <v>13.0</v>
      </c>
      <c r="M403" s="21">
        <v>30.02038</v>
      </c>
      <c r="N403" s="21">
        <v>-81.35146</v>
      </c>
      <c r="O403" s="21" t="s">
        <v>2187</v>
      </c>
      <c r="P403" s="22" t="s">
        <v>2150</v>
      </c>
    </row>
    <row r="404" ht="33.75" customHeight="1">
      <c r="A404" s="29">
        <v>42410.0</v>
      </c>
      <c r="B404" s="25" t="s">
        <v>1342</v>
      </c>
      <c r="C404" s="25" t="s">
        <v>2144</v>
      </c>
      <c r="D404" s="25" t="s">
        <v>1344</v>
      </c>
      <c r="E404" s="25" t="s">
        <v>1346</v>
      </c>
      <c r="F404" s="25">
        <v>26.66207</v>
      </c>
      <c r="G404" s="25">
        <v>-82.15382</v>
      </c>
      <c r="H404" s="21">
        <v>26.66207</v>
      </c>
      <c r="I404" s="21">
        <v>-82.15382</v>
      </c>
      <c r="J404" s="21" t="s">
        <v>2146</v>
      </c>
      <c r="K404" s="21" t="s">
        <v>2147</v>
      </c>
      <c r="L404" s="21">
        <v>14.0</v>
      </c>
      <c r="M404" s="21">
        <v>30.01157</v>
      </c>
      <c r="N404" s="21">
        <v>-81.34872</v>
      </c>
      <c r="O404" s="21" t="s">
        <v>2191</v>
      </c>
      <c r="P404" s="22" t="s">
        <v>2153</v>
      </c>
    </row>
    <row r="405" ht="33.75" customHeight="1">
      <c r="A405" s="29">
        <v>42410.0</v>
      </c>
      <c r="B405" s="25" t="s">
        <v>1342</v>
      </c>
      <c r="C405" s="25" t="s">
        <v>2144</v>
      </c>
      <c r="D405" s="25" t="s">
        <v>1344</v>
      </c>
      <c r="E405" s="25" t="s">
        <v>1346</v>
      </c>
      <c r="F405" s="25">
        <v>26.66207</v>
      </c>
      <c r="G405" s="25">
        <v>-82.15382</v>
      </c>
      <c r="H405" s="21">
        <v>26.66207</v>
      </c>
      <c r="I405" s="21">
        <v>-82.15382</v>
      </c>
      <c r="J405" s="21" t="s">
        <v>2146</v>
      </c>
      <c r="K405" s="21" t="s">
        <v>2147</v>
      </c>
      <c r="L405" s="21">
        <v>15.0</v>
      </c>
      <c r="M405" s="21">
        <v>30.00219</v>
      </c>
      <c r="N405" s="21">
        <v>-81.34446</v>
      </c>
      <c r="O405" s="21" t="s">
        <v>2192</v>
      </c>
      <c r="P405" s="22"/>
    </row>
    <row r="406" ht="33.75" customHeight="1">
      <c r="A406" s="29">
        <v>42410.0</v>
      </c>
      <c r="B406" s="25" t="s">
        <v>1342</v>
      </c>
      <c r="C406" s="25" t="s">
        <v>2144</v>
      </c>
      <c r="D406" s="25" t="s">
        <v>1344</v>
      </c>
      <c r="E406" s="25" t="s">
        <v>1346</v>
      </c>
      <c r="F406" s="25">
        <v>26.66207</v>
      </c>
      <c r="G406" s="25">
        <v>-82.15382</v>
      </c>
      <c r="H406" s="21">
        <v>26.66207</v>
      </c>
      <c r="I406" s="21">
        <v>-82.15382</v>
      </c>
      <c r="J406" s="21" t="s">
        <v>2146</v>
      </c>
      <c r="K406" s="21" t="s">
        <v>2147</v>
      </c>
      <c r="L406" s="21">
        <v>16.0</v>
      </c>
      <c r="M406" s="21">
        <v>30.00087</v>
      </c>
      <c r="N406" s="21">
        <v>-81.34277</v>
      </c>
      <c r="O406" s="21" t="s">
        <v>2196</v>
      </c>
      <c r="P406" s="22" t="s">
        <v>2153</v>
      </c>
    </row>
    <row r="407" ht="33.75" customHeight="1">
      <c r="A407" s="29">
        <v>42410.0</v>
      </c>
      <c r="B407" s="25" t="s">
        <v>1342</v>
      </c>
      <c r="C407" s="25" t="s">
        <v>2144</v>
      </c>
      <c r="D407" s="25" t="s">
        <v>1344</v>
      </c>
      <c r="E407" s="25" t="s">
        <v>1346</v>
      </c>
      <c r="F407" s="25">
        <v>26.66207</v>
      </c>
      <c r="G407" s="25">
        <v>-82.15382</v>
      </c>
      <c r="H407" s="21">
        <v>26.66207</v>
      </c>
      <c r="I407" s="21">
        <v>-82.15382</v>
      </c>
      <c r="J407" s="21" t="s">
        <v>2146</v>
      </c>
      <c r="K407" s="21" t="s">
        <v>2147</v>
      </c>
      <c r="L407" s="21">
        <v>17.0</v>
      </c>
      <c r="M407" s="21">
        <v>29.99845</v>
      </c>
      <c r="N407" s="21">
        <v>-81.33782</v>
      </c>
      <c r="O407" s="21" t="s">
        <v>2198</v>
      </c>
      <c r="P407" s="22"/>
    </row>
    <row r="408" ht="33.75" customHeight="1">
      <c r="A408" s="29">
        <v>42410.0</v>
      </c>
      <c r="B408" s="25" t="s">
        <v>1342</v>
      </c>
      <c r="C408" s="25" t="s">
        <v>2144</v>
      </c>
      <c r="D408" s="25" t="s">
        <v>1344</v>
      </c>
      <c r="E408" s="25" t="s">
        <v>1346</v>
      </c>
      <c r="F408" s="25">
        <v>26.66207</v>
      </c>
      <c r="G408" s="25">
        <v>-82.15382</v>
      </c>
      <c r="H408" s="21">
        <v>26.66207</v>
      </c>
      <c r="I408" s="21">
        <v>-82.15382</v>
      </c>
      <c r="J408" s="21" t="s">
        <v>2146</v>
      </c>
      <c r="K408" s="21" t="s">
        <v>2147</v>
      </c>
      <c r="L408" s="21">
        <v>18.0</v>
      </c>
      <c r="M408" s="21">
        <v>29.99717</v>
      </c>
      <c r="N408" s="21">
        <v>-81.33501</v>
      </c>
      <c r="O408" s="21" t="s">
        <v>2200</v>
      </c>
      <c r="P408" s="22" t="s">
        <v>2153</v>
      </c>
    </row>
    <row r="409" ht="33.75" customHeight="1">
      <c r="A409" s="29">
        <v>42410.0</v>
      </c>
      <c r="B409" s="25" t="s">
        <v>1342</v>
      </c>
      <c r="C409" s="25" t="s">
        <v>2144</v>
      </c>
      <c r="D409" s="25" t="s">
        <v>1344</v>
      </c>
      <c r="E409" s="25" t="s">
        <v>1346</v>
      </c>
      <c r="F409" s="25">
        <v>26.66207</v>
      </c>
      <c r="G409" s="25">
        <v>-82.15382</v>
      </c>
      <c r="H409" s="21">
        <v>26.66207</v>
      </c>
      <c r="I409" s="21">
        <v>-82.15382</v>
      </c>
      <c r="J409" s="21" t="s">
        <v>2146</v>
      </c>
      <c r="K409" s="21" t="s">
        <v>2147</v>
      </c>
      <c r="L409" s="21">
        <v>19.0</v>
      </c>
      <c r="M409" s="21">
        <v>29.98174</v>
      </c>
      <c r="N409" s="21">
        <v>-81.33144</v>
      </c>
      <c r="O409" s="21" t="s">
        <v>2205</v>
      </c>
      <c r="P409" s="22" t="s">
        <v>2150</v>
      </c>
    </row>
    <row r="410" ht="33.75" customHeight="1">
      <c r="A410" s="29">
        <v>42410.0</v>
      </c>
      <c r="B410" s="25" t="s">
        <v>1342</v>
      </c>
      <c r="C410" s="25" t="s">
        <v>2144</v>
      </c>
      <c r="D410" s="25" t="s">
        <v>1344</v>
      </c>
      <c r="E410" s="25" t="s">
        <v>1346</v>
      </c>
      <c r="F410" s="25">
        <v>26.6620700000001</v>
      </c>
      <c r="G410" s="25">
        <v>-82.15382</v>
      </c>
      <c r="H410" s="21">
        <v>26.6620700000001</v>
      </c>
      <c r="I410" s="21">
        <v>-82.15382</v>
      </c>
      <c r="J410" s="21" t="s">
        <v>2146</v>
      </c>
      <c r="K410" s="21" t="s">
        <v>2147</v>
      </c>
      <c r="L410" s="21">
        <v>20.0</v>
      </c>
      <c r="M410" s="21">
        <v>29.97889</v>
      </c>
      <c r="N410" s="21">
        <v>-81.33221</v>
      </c>
      <c r="O410" s="21" t="s">
        <v>2208</v>
      </c>
      <c r="P410" s="22"/>
    </row>
    <row r="411" ht="33.75" customHeight="1">
      <c r="A411" s="31"/>
      <c r="B411" s="25" t="s">
        <v>1242</v>
      </c>
      <c r="C411" s="25" t="s">
        <v>1243</v>
      </c>
      <c r="D411" s="25" t="s">
        <v>2209</v>
      </c>
      <c r="E411" s="25" t="s">
        <v>715</v>
      </c>
      <c r="F411" s="25">
        <v>27.49265</v>
      </c>
      <c r="G411" s="25">
        <v>-80.33647</v>
      </c>
      <c r="H411" s="21">
        <v>27.49265</v>
      </c>
      <c r="I411" s="21">
        <v>-80.33647</v>
      </c>
      <c r="J411" s="21" t="s">
        <v>2210</v>
      </c>
      <c r="K411" s="21" t="s">
        <v>2211</v>
      </c>
      <c r="M411" s="21">
        <v>27.49265</v>
      </c>
      <c r="N411" s="21">
        <v>-80.33647</v>
      </c>
      <c r="O411" s="21" t="s">
        <v>2213</v>
      </c>
      <c r="P411" s="22" t="s">
        <v>2214</v>
      </c>
    </row>
    <row r="412" ht="33.75" customHeight="1">
      <c r="A412" s="29">
        <v>42410.0</v>
      </c>
      <c r="B412" s="25" t="s">
        <v>1325</v>
      </c>
      <c r="C412" s="25" t="s">
        <v>2215</v>
      </c>
      <c r="D412" s="25" t="s">
        <v>1330</v>
      </c>
      <c r="E412" s="25" t="s">
        <v>1116</v>
      </c>
      <c r="F412" s="25">
        <v>29.06414718</v>
      </c>
      <c r="G412" s="25">
        <v>-80.90779085</v>
      </c>
      <c r="H412" s="21">
        <v>29.0649907</v>
      </c>
      <c r="I412" s="21">
        <v>-80.91645225</v>
      </c>
      <c r="J412" s="21" t="s">
        <v>2219</v>
      </c>
      <c r="K412" s="21" t="s">
        <v>2220</v>
      </c>
      <c r="L412" s="21">
        <v>1.0</v>
      </c>
      <c r="M412" s="21">
        <v>29.06676932</v>
      </c>
      <c r="N412" s="21">
        <v>-80.90849333</v>
      </c>
      <c r="O412" s="21" t="s">
        <v>2222</v>
      </c>
      <c r="P412" s="22" t="s">
        <v>2223</v>
      </c>
    </row>
    <row r="413" ht="33.75" customHeight="1">
      <c r="A413" s="29">
        <v>42410.0</v>
      </c>
      <c r="B413" s="25" t="s">
        <v>1325</v>
      </c>
      <c r="C413" s="25" t="s">
        <v>2215</v>
      </c>
      <c r="D413" s="25" t="s">
        <v>1330</v>
      </c>
      <c r="E413" s="25" t="s">
        <v>1116</v>
      </c>
      <c r="F413" s="25">
        <v>29.06414718</v>
      </c>
      <c r="G413" s="25">
        <v>-80.90779085</v>
      </c>
      <c r="H413" s="21">
        <v>29.0649907</v>
      </c>
      <c r="I413" s="21">
        <v>-80.91645225</v>
      </c>
      <c r="J413" s="21" t="s">
        <v>2219</v>
      </c>
      <c r="K413" s="21" t="s">
        <v>2220</v>
      </c>
      <c r="L413" s="21">
        <v>2.0</v>
      </c>
      <c r="M413" s="21">
        <v>29.07320933</v>
      </c>
      <c r="N413" s="21">
        <v>-80.91260435</v>
      </c>
      <c r="O413" s="21" t="s">
        <v>2224</v>
      </c>
      <c r="P413" s="22" t="s">
        <v>2225</v>
      </c>
    </row>
    <row r="414" ht="33.75" customHeight="1">
      <c r="A414" s="29">
        <v>42410.0</v>
      </c>
      <c r="B414" s="25" t="s">
        <v>1231</v>
      </c>
      <c r="C414" s="25" t="s">
        <v>2227</v>
      </c>
      <c r="D414" s="25" t="s">
        <v>1234</v>
      </c>
      <c r="E414" s="25" t="s">
        <v>1116</v>
      </c>
      <c r="F414" s="25">
        <v>29.06661377</v>
      </c>
      <c r="G414" s="25">
        <v>-80.92694302</v>
      </c>
      <c r="H414" s="21">
        <v>29.07250684</v>
      </c>
      <c r="I414" s="21">
        <v>-80.92831645</v>
      </c>
      <c r="J414" s="21" t="s">
        <v>2230</v>
      </c>
      <c r="K414" s="21" t="s">
        <v>2231</v>
      </c>
      <c r="L414" s="21">
        <v>1.0</v>
      </c>
      <c r="M414" s="21">
        <v>29.06887627</v>
      </c>
      <c r="N414" s="21">
        <v>-80.92531941</v>
      </c>
      <c r="O414" s="21" t="s">
        <v>2232</v>
      </c>
      <c r="P414" s="22" t="s">
        <v>693</v>
      </c>
    </row>
    <row r="415" ht="33.75" customHeight="1">
      <c r="A415" s="29">
        <v>42410.0</v>
      </c>
      <c r="B415" s="25" t="s">
        <v>1231</v>
      </c>
      <c r="C415" s="25" t="s">
        <v>2227</v>
      </c>
      <c r="D415" s="25" t="s">
        <v>1234</v>
      </c>
      <c r="E415" s="25" t="s">
        <v>1116</v>
      </c>
      <c r="F415" s="25">
        <v>29.06661377</v>
      </c>
      <c r="G415" s="25">
        <v>-80.92694302</v>
      </c>
      <c r="H415" s="21">
        <v>29.07250684</v>
      </c>
      <c r="I415" s="21">
        <v>-80.92831645</v>
      </c>
      <c r="J415" s="21" t="s">
        <v>2230</v>
      </c>
      <c r="K415" s="21" t="s">
        <v>2231</v>
      </c>
      <c r="L415" s="21">
        <v>1.0</v>
      </c>
      <c r="M415" s="21">
        <v>29.06887627</v>
      </c>
      <c r="N415" s="21">
        <v>-80.92531941</v>
      </c>
      <c r="O415" s="21" t="s">
        <v>2233</v>
      </c>
      <c r="P415" s="22" t="s">
        <v>693</v>
      </c>
    </row>
    <row r="416" ht="33.75" customHeight="1">
      <c r="A416" s="29">
        <v>42410.0</v>
      </c>
      <c r="B416" s="25" t="s">
        <v>1231</v>
      </c>
      <c r="C416" s="25" t="s">
        <v>2227</v>
      </c>
      <c r="D416" s="25" t="s">
        <v>1234</v>
      </c>
      <c r="E416" s="25" t="s">
        <v>1116</v>
      </c>
      <c r="F416" s="25">
        <v>29.06661377</v>
      </c>
      <c r="G416" s="25">
        <v>-80.92694302</v>
      </c>
      <c r="H416" s="21">
        <v>29.07250684</v>
      </c>
      <c r="I416" s="21">
        <v>-80.92831645</v>
      </c>
      <c r="J416" s="21" t="s">
        <v>2230</v>
      </c>
      <c r="K416" s="21" t="s">
        <v>2231</v>
      </c>
      <c r="L416" s="21">
        <v>1.0</v>
      </c>
      <c r="M416" s="21">
        <v>29.06887627</v>
      </c>
      <c r="N416" s="21">
        <v>-80.92531941</v>
      </c>
      <c r="O416" s="21" t="s">
        <v>535</v>
      </c>
      <c r="P416" s="22" t="s">
        <v>693</v>
      </c>
    </row>
    <row r="417" ht="33.75" customHeight="1">
      <c r="A417" s="29">
        <v>42410.0</v>
      </c>
      <c r="B417" s="25" t="s">
        <v>1231</v>
      </c>
      <c r="C417" s="25" t="s">
        <v>2227</v>
      </c>
      <c r="D417" s="25" t="s">
        <v>1234</v>
      </c>
      <c r="E417" s="25" t="s">
        <v>1116</v>
      </c>
      <c r="F417" s="25">
        <v>29.06661377</v>
      </c>
      <c r="G417" s="25">
        <v>-80.92694302</v>
      </c>
      <c r="H417" s="21">
        <v>29.07250684</v>
      </c>
      <c r="I417" s="21">
        <v>-80.92831645</v>
      </c>
      <c r="J417" s="21" t="s">
        <v>2230</v>
      </c>
      <c r="K417" s="21" t="s">
        <v>2231</v>
      </c>
      <c r="L417" s="21">
        <v>2.0</v>
      </c>
      <c r="M417" s="21">
        <v>29.6991483</v>
      </c>
      <c r="N417" s="21">
        <v>-80.9262573</v>
      </c>
      <c r="O417" s="21" t="s">
        <v>2236</v>
      </c>
      <c r="P417" s="22" t="s">
        <v>2237</v>
      </c>
    </row>
    <row r="418" ht="33.75" customHeight="1">
      <c r="A418" s="29">
        <v>42410.0</v>
      </c>
      <c r="B418" s="25" t="s">
        <v>1231</v>
      </c>
      <c r="C418" s="25" t="s">
        <v>2227</v>
      </c>
      <c r="D418" s="25" t="s">
        <v>1234</v>
      </c>
      <c r="E418" s="25" t="s">
        <v>1116</v>
      </c>
      <c r="F418" s="25">
        <v>29.06661377</v>
      </c>
      <c r="G418" s="25">
        <v>-80.92694302</v>
      </c>
      <c r="H418" s="21">
        <v>29.07250684</v>
      </c>
      <c r="I418" s="21">
        <v>-80.92831645</v>
      </c>
      <c r="J418" s="21" t="s">
        <v>2230</v>
      </c>
      <c r="K418" s="21" t="s">
        <v>2231</v>
      </c>
      <c r="L418" s="21">
        <v>3.0</v>
      </c>
      <c r="M418" s="21">
        <v>29.06960458</v>
      </c>
      <c r="N418" s="21">
        <v>-80.92668596</v>
      </c>
      <c r="O418" s="21" t="s">
        <v>2236</v>
      </c>
      <c r="P418" s="22" t="s">
        <v>2237</v>
      </c>
    </row>
    <row r="419" ht="33.75" customHeight="1">
      <c r="A419" s="29">
        <v>42410.0</v>
      </c>
      <c r="B419" s="25" t="s">
        <v>1231</v>
      </c>
      <c r="C419" s="25" t="s">
        <v>2227</v>
      </c>
      <c r="D419" s="25" t="s">
        <v>1234</v>
      </c>
      <c r="E419" s="25" t="s">
        <v>1116</v>
      </c>
      <c r="F419" s="25">
        <v>29.06661377</v>
      </c>
      <c r="G419" s="25">
        <v>-80.92694302</v>
      </c>
      <c r="H419" s="21">
        <v>29.07250684</v>
      </c>
      <c r="I419" s="21">
        <v>-80.92831645</v>
      </c>
      <c r="J419" s="21" t="s">
        <v>2230</v>
      </c>
      <c r="K419" s="21" t="s">
        <v>2231</v>
      </c>
      <c r="L419" s="21">
        <v>4.0</v>
      </c>
      <c r="M419" s="21">
        <v>29.071712285</v>
      </c>
      <c r="N419" s="21">
        <v>-80.92656034</v>
      </c>
      <c r="O419" s="21" t="s">
        <v>2241</v>
      </c>
      <c r="P419" s="22" t="s">
        <v>2243</v>
      </c>
    </row>
    <row r="420" ht="33.75" customHeight="1">
      <c r="A420" s="29">
        <v>42410.0</v>
      </c>
      <c r="B420" s="25" t="s">
        <v>1231</v>
      </c>
      <c r="C420" s="25" t="s">
        <v>2227</v>
      </c>
      <c r="D420" s="25" t="s">
        <v>1234</v>
      </c>
      <c r="E420" s="25" t="s">
        <v>1116</v>
      </c>
      <c r="F420" s="25">
        <v>29.06661377</v>
      </c>
      <c r="G420" s="25">
        <v>-80.92694302</v>
      </c>
      <c r="H420" s="21">
        <v>29.07250684</v>
      </c>
      <c r="I420" s="21">
        <v>-80.92831645</v>
      </c>
      <c r="J420" s="21" t="s">
        <v>2230</v>
      </c>
      <c r="K420" s="21" t="s">
        <v>2231</v>
      </c>
      <c r="L420" s="21">
        <v>5.0</v>
      </c>
      <c r="M420" s="21">
        <v>29.07222169</v>
      </c>
      <c r="N420" s="21">
        <v>-80.92764968</v>
      </c>
      <c r="O420" s="21" t="s">
        <v>2244</v>
      </c>
      <c r="P420" s="22" t="s">
        <v>693</v>
      </c>
    </row>
    <row r="421" ht="33.75" customHeight="1">
      <c r="A421" s="29">
        <v>42410.0</v>
      </c>
      <c r="B421" s="25" t="s">
        <v>1231</v>
      </c>
      <c r="C421" s="25" t="s">
        <v>2227</v>
      </c>
      <c r="D421" s="25" t="s">
        <v>1234</v>
      </c>
      <c r="E421" s="25" t="s">
        <v>1116</v>
      </c>
      <c r="F421" s="25">
        <v>29.06661377</v>
      </c>
      <c r="G421" s="25">
        <v>-80.92694302</v>
      </c>
      <c r="H421" s="21">
        <v>29.07250684</v>
      </c>
      <c r="I421" s="21">
        <v>-80.92831645</v>
      </c>
      <c r="J421" s="21" t="s">
        <v>2230</v>
      </c>
      <c r="K421" s="21" t="s">
        <v>2231</v>
      </c>
      <c r="L421" s="21">
        <v>6.0</v>
      </c>
      <c r="M421" s="21">
        <v>2.9307251931E10</v>
      </c>
      <c r="N421" s="21">
        <v>-80.92857797</v>
      </c>
      <c r="O421" s="21" t="s">
        <v>2249</v>
      </c>
      <c r="P421" s="22" t="s">
        <v>693</v>
      </c>
    </row>
    <row r="422" ht="33.75" customHeight="1">
      <c r="A422" s="29">
        <v>42405.0</v>
      </c>
      <c r="B422" s="25" t="s">
        <v>1287</v>
      </c>
      <c r="C422" s="25" t="s">
        <v>1289</v>
      </c>
      <c r="D422" s="25" t="s">
        <v>1291</v>
      </c>
      <c r="E422" s="25" t="s">
        <v>184</v>
      </c>
      <c r="F422" s="25">
        <v>24.81179</v>
      </c>
      <c r="G422" s="25">
        <v>80.82601</v>
      </c>
      <c r="H422" s="21">
        <v>24.80565</v>
      </c>
      <c r="I422" s="21">
        <v>80.84187</v>
      </c>
      <c r="J422" s="21" t="s">
        <v>2250</v>
      </c>
      <c r="K422" s="21" t="s">
        <v>2251</v>
      </c>
      <c r="L422" s="21">
        <v>1.0</v>
      </c>
      <c r="M422" s="21">
        <v>24.81029</v>
      </c>
      <c r="N422" s="21">
        <v>80.82936</v>
      </c>
      <c r="O422" s="21" t="s">
        <v>2236</v>
      </c>
      <c r="P422" s="22" t="s">
        <v>2252</v>
      </c>
    </row>
    <row r="423" ht="33.75" customHeight="1">
      <c r="A423" s="29">
        <v>42405.0</v>
      </c>
      <c r="B423" s="25" t="s">
        <v>1287</v>
      </c>
      <c r="C423" s="25" t="s">
        <v>1289</v>
      </c>
      <c r="D423" s="25" t="s">
        <v>1291</v>
      </c>
      <c r="E423" s="25" t="s">
        <v>184</v>
      </c>
      <c r="F423" s="25">
        <v>24.81179</v>
      </c>
      <c r="G423" s="25">
        <v>80.82601</v>
      </c>
      <c r="H423" s="21">
        <v>24.80565</v>
      </c>
      <c r="I423" s="21">
        <v>80.84187</v>
      </c>
      <c r="J423" s="21" t="s">
        <v>2250</v>
      </c>
      <c r="K423" s="21" t="s">
        <v>2251</v>
      </c>
      <c r="L423" s="21">
        <v>2.0</v>
      </c>
      <c r="M423" s="21">
        <v>24.81021</v>
      </c>
      <c r="N423" s="21">
        <v>80.8295</v>
      </c>
      <c r="O423" s="21" t="s">
        <v>2258</v>
      </c>
      <c r="P423" s="22" t="s">
        <v>2077</v>
      </c>
    </row>
    <row r="424" ht="33.75" customHeight="1">
      <c r="A424" s="29">
        <v>42405.0</v>
      </c>
      <c r="B424" s="25" t="s">
        <v>1287</v>
      </c>
      <c r="C424" s="25" t="s">
        <v>1289</v>
      </c>
      <c r="D424" s="25" t="s">
        <v>1291</v>
      </c>
      <c r="E424" s="25" t="s">
        <v>184</v>
      </c>
      <c r="F424" s="25">
        <v>24.81179</v>
      </c>
      <c r="G424" s="25">
        <v>80.82601</v>
      </c>
      <c r="H424" s="21">
        <v>24.80565</v>
      </c>
      <c r="I424" s="21">
        <v>80.84187</v>
      </c>
      <c r="J424" s="21" t="s">
        <v>2250</v>
      </c>
      <c r="K424" s="21" t="s">
        <v>2251</v>
      </c>
      <c r="L424" s="21">
        <v>3.0</v>
      </c>
      <c r="M424" s="21">
        <v>24.80934</v>
      </c>
      <c r="N424" s="21">
        <v>80.83104</v>
      </c>
      <c r="O424" s="21" t="s">
        <v>332</v>
      </c>
      <c r="P424" s="22" t="s">
        <v>795</v>
      </c>
    </row>
    <row r="425" ht="33.75" customHeight="1">
      <c r="A425" s="29">
        <v>42405.0</v>
      </c>
      <c r="B425" s="25" t="s">
        <v>1287</v>
      </c>
      <c r="C425" s="25" t="s">
        <v>1289</v>
      </c>
      <c r="D425" s="25" t="s">
        <v>1291</v>
      </c>
      <c r="E425" s="25" t="s">
        <v>184</v>
      </c>
      <c r="F425" s="25">
        <v>24.81179</v>
      </c>
      <c r="G425" s="25">
        <v>80.82601</v>
      </c>
      <c r="H425" s="21">
        <v>24.80565</v>
      </c>
      <c r="I425" s="21">
        <v>80.84187</v>
      </c>
      <c r="J425" s="21" t="s">
        <v>2250</v>
      </c>
      <c r="K425" s="21" t="s">
        <v>2251</v>
      </c>
      <c r="L425" s="21">
        <v>4.0</v>
      </c>
      <c r="M425" s="21">
        <v>24.80784</v>
      </c>
      <c r="N425" s="21">
        <v>80.83498</v>
      </c>
      <c r="O425" s="21" t="s">
        <v>2236</v>
      </c>
      <c r="P425" s="22" t="s">
        <v>795</v>
      </c>
    </row>
    <row r="426" ht="33.75" customHeight="1">
      <c r="A426" s="29">
        <v>42405.0</v>
      </c>
      <c r="B426" s="25" t="s">
        <v>1287</v>
      </c>
      <c r="C426" s="25" t="s">
        <v>1289</v>
      </c>
      <c r="D426" s="25" t="s">
        <v>1291</v>
      </c>
      <c r="E426" s="25" t="s">
        <v>184</v>
      </c>
      <c r="F426" s="25">
        <v>24.81179</v>
      </c>
      <c r="G426" s="25">
        <v>80.82601</v>
      </c>
      <c r="H426" s="21">
        <v>24.80565</v>
      </c>
      <c r="I426" s="21">
        <v>80.84187</v>
      </c>
      <c r="J426" s="21" t="s">
        <v>2250</v>
      </c>
      <c r="K426" s="21" t="s">
        <v>2251</v>
      </c>
      <c r="L426" s="21">
        <v>5.0</v>
      </c>
      <c r="M426" s="21">
        <v>24.80664</v>
      </c>
      <c r="N426" s="21">
        <v>80.83881</v>
      </c>
      <c r="O426" s="21" t="s">
        <v>2236</v>
      </c>
      <c r="P426" s="22" t="s">
        <v>2077</v>
      </c>
    </row>
    <row r="427" ht="33.75" customHeight="1">
      <c r="A427" s="29">
        <v>42405.0</v>
      </c>
      <c r="B427" s="25" t="s">
        <v>1287</v>
      </c>
      <c r="C427" s="25" t="s">
        <v>1289</v>
      </c>
      <c r="D427" s="25" t="s">
        <v>1291</v>
      </c>
      <c r="E427" s="25" t="s">
        <v>184</v>
      </c>
      <c r="F427" s="25">
        <v>24.81179</v>
      </c>
      <c r="G427" s="25">
        <v>80.82601</v>
      </c>
      <c r="H427" s="21">
        <v>24.80565</v>
      </c>
      <c r="I427" s="21">
        <v>-80.84187</v>
      </c>
      <c r="J427" s="21" t="s">
        <v>2250</v>
      </c>
      <c r="K427" s="21" t="s">
        <v>2251</v>
      </c>
      <c r="L427" s="21">
        <v>6.0</v>
      </c>
      <c r="M427" s="21">
        <v>24.80664</v>
      </c>
      <c r="N427" s="21">
        <v>80.83882</v>
      </c>
      <c r="O427" s="21" t="s">
        <v>2264</v>
      </c>
      <c r="P427" s="54"/>
    </row>
    <row r="428" ht="33.75" customHeight="1">
      <c r="A428" s="29">
        <v>42409.0</v>
      </c>
      <c r="B428" s="25" t="s">
        <v>1850</v>
      </c>
      <c r="C428" s="25" t="s">
        <v>1851</v>
      </c>
      <c r="D428" s="25" t="s">
        <v>1853</v>
      </c>
      <c r="E428" s="25" t="s">
        <v>220</v>
      </c>
      <c r="F428" s="25">
        <v>26.646784</v>
      </c>
      <c r="G428" s="25">
        <v>80.03723</v>
      </c>
      <c r="H428" s="21">
        <v>26.613095</v>
      </c>
      <c r="I428" s="21">
        <v>-80.036545</v>
      </c>
      <c r="J428" s="21" t="s">
        <v>1854</v>
      </c>
      <c r="K428" s="21" t="s">
        <v>1855</v>
      </c>
      <c r="L428" s="21">
        <v>1.0</v>
      </c>
      <c r="M428" s="21">
        <v>26.633782</v>
      </c>
      <c r="N428" s="21">
        <v>-80.037136</v>
      </c>
      <c r="O428" s="21" t="s">
        <v>2265</v>
      </c>
      <c r="P428" s="54"/>
    </row>
    <row r="429" ht="33.75" customHeight="1">
      <c r="A429" s="29">
        <v>42407.0</v>
      </c>
      <c r="B429" s="25" t="s">
        <v>1592</v>
      </c>
      <c r="C429" s="25" t="s">
        <v>1593</v>
      </c>
      <c r="D429" s="25" t="s">
        <v>1594</v>
      </c>
      <c r="E429" s="25" t="s">
        <v>195</v>
      </c>
      <c r="F429" s="25">
        <v>27.07379</v>
      </c>
      <c r="G429" s="25">
        <v>-80.11795</v>
      </c>
      <c r="H429" s="21">
        <v>26.98668</v>
      </c>
      <c r="I429" s="21">
        <v>-80.08546</v>
      </c>
      <c r="J429" s="21" t="s">
        <v>1598</v>
      </c>
      <c r="K429" s="21" t="s">
        <v>1599</v>
      </c>
      <c r="L429" s="21">
        <v>1.0</v>
      </c>
      <c r="M429" s="21">
        <v>27.02617</v>
      </c>
      <c r="N429" s="21">
        <v>-80.09698</v>
      </c>
      <c r="O429" s="21" t="s">
        <v>1307</v>
      </c>
      <c r="P429" s="54"/>
    </row>
    <row r="430" ht="33.75" customHeight="1">
      <c r="A430" s="20">
        <v>42410.0</v>
      </c>
      <c r="B430" s="21" t="s">
        <v>1907</v>
      </c>
      <c r="C430" s="21" t="s">
        <v>1777</v>
      </c>
      <c r="D430" s="21" t="s">
        <v>1908</v>
      </c>
      <c r="E430" s="21" t="s">
        <v>1909</v>
      </c>
      <c r="F430" s="21">
        <v>26.674894</v>
      </c>
      <c r="G430" s="21">
        <v>-80.036508</v>
      </c>
      <c r="H430" s="21">
        <v>26.767217</v>
      </c>
      <c r="I430" s="22">
        <v>-80.036972</v>
      </c>
      <c r="J430" s="21" t="s">
        <v>1910</v>
      </c>
      <c r="K430" s="21" t="s">
        <v>1911</v>
      </c>
      <c r="L430" s="21">
        <v>1.0</v>
      </c>
      <c r="M430" s="21">
        <v>26.743668</v>
      </c>
      <c r="N430" s="21">
        <v>-80.035249</v>
      </c>
      <c r="O430" s="21" t="s">
        <v>2271</v>
      </c>
      <c r="P430" s="54"/>
    </row>
    <row r="431" ht="33.75" customHeight="1">
      <c r="A431" s="20">
        <v>42410.0</v>
      </c>
      <c r="B431" s="21" t="s">
        <v>1916</v>
      </c>
      <c r="C431" s="21" t="s">
        <v>1777</v>
      </c>
      <c r="D431" s="21" t="s">
        <v>1917</v>
      </c>
      <c r="E431" s="21" t="s">
        <v>1909</v>
      </c>
      <c r="F431" s="21">
        <v>26.54499</v>
      </c>
      <c r="G431" s="21">
        <v>-80.04314</v>
      </c>
      <c r="H431" s="21">
        <v>26.50418</v>
      </c>
      <c r="I431" s="22">
        <v>-82.272273</v>
      </c>
      <c r="J431" s="21" t="s">
        <v>1920</v>
      </c>
      <c r="K431" s="21" t="s">
        <v>1781</v>
      </c>
      <c r="L431" s="21">
        <v>1.0</v>
      </c>
      <c r="M431" s="21">
        <v>26.52978</v>
      </c>
      <c r="N431" s="21">
        <v>-80.04665</v>
      </c>
      <c r="O431" s="21" t="s">
        <v>2272</v>
      </c>
      <c r="P431" s="54"/>
    </row>
    <row r="432" ht="33.75" customHeight="1">
      <c r="A432" s="29">
        <v>42406.0</v>
      </c>
      <c r="B432" s="25" t="s">
        <v>2274</v>
      </c>
      <c r="C432" s="62" t="s">
        <v>1355</v>
      </c>
      <c r="D432" s="25" t="s">
        <v>2278</v>
      </c>
      <c r="E432" s="25" t="s">
        <v>464</v>
      </c>
      <c r="F432" s="25">
        <v>26.789481</v>
      </c>
      <c r="G432" s="25">
        <v>-82.272273</v>
      </c>
      <c r="H432" s="21">
        <v>26.71962</v>
      </c>
      <c r="I432" s="21">
        <v>-82.26338</v>
      </c>
      <c r="J432" s="21" t="s">
        <v>2281</v>
      </c>
      <c r="K432" s="21" t="s">
        <v>1358</v>
      </c>
      <c r="L432" s="21">
        <v>1.0</v>
      </c>
      <c r="M432" s="21">
        <v>26.743692</v>
      </c>
      <c r="N432" s="21">
        <v>-82.26338</v>
      </c>
      <c r="O432" s="21" t="s">
        <v>2284</v>
      </c>
      <c r="P432" s="54"/>
    </row>
    <row r="433" ht="33.75" customHeight="1">
      <c r="A433" s="29">
        <v>42406.0</v>
      </c>
      <c r="B433" s="25" t="s">
        <v>2274</v>
      </c>
      <c r="C433" s="25" t="s">
        <v>1355</v>
      </c>
      <c r="D433" s="25" t="s">
        <v>2278</v>
      </c>
      <c r="E433" s="25" t="s">
        <v>464</v>
      </c>
      <c r="F433" s="25">
        <v>26.789481</v>
      </c>
      <c r="G433" s="25">
        <v>-82.272273</v>
      </c>
      <c r="H433" s="21">
        <v>26.71962</v>
      </c>
      <c r="I433" s="21">
        <v>-82.26338</v>
      </c>
      <c r="J433" s="21" t="s">
        <v>2281</v>
      </c>
      <c r="K433" s="21" t="s">
        <v>1358</v>
      </c>
      <c r="L433" s="21">
        <v>2.0</v>
      </c>
      <c r="M433" s="21">
        <v>26.72181</v>
      </c>
      <c r="N433" s="21">
        <v>-82.26379</v>
      </c>
      <c r="O433" s="21" t="s">
        <v>2286</v>
      </c>
      <c r="P433" s="54"/>
    </row>
    <row r="434" ht="33.75" customHeight="1">
      <c r="A434" s="29">
        <v>42406.0</v>
      </c>
      <c r="B434" s="25" t="s">
        <v>2274</v>
      </c>
      <c r="C434" s="25" t="s">
        <v>1355</v>
      </c>
      <c r="D434" s="25" t="s">
        <v>2278</v>
      </c>
      <c r="E434" s="25" t="s">
        <v>464</v>
      </c>
      <c r="F434" s="25">
        <v>26.789481</v>
      </c>
      <c r="G434" s="25">
        <v>-82.272273</v>
      </c>
      <c r="H434" s="21">
        <v>26.71962</v>
      </c>
      <c r="I434" s="21">
        <v>-82.26338</v>
      </c>
      <c r="J434" s="21" t="s">
        <v>2281</v>
      </c>
      <c r="K434" s="21" t="s">
        <v>1358</v>
      </c>
      <c r="L434" s="21">
        <v>3.0</v>
      </c>
      <c r="M434" s="21">
        <v>26.71962</v>
      </c>
      <c r="N434" s="21">
        <v>-82.26338</v>
      </c>
      <c r="O434" s="21" t="s">
        <v>2288</v>
      </c>
      <c r="P434" s="54"/>
    </row>
    <row r="435" ht="33.75" customHeight="1">
      <c r="A435" s="20">
        <v>42408.0</v>
      </c>
      <c r="B435" s="21" t="s">
        <v>1776</v>
      </c>
      <c r="C435" s="21" t="s">
        <v>1777</v>
      </c>
      <c r="D435" s="21" t="s">
        <v>1778</v>
      </c>
      <c r="E435" s="21" t="s">
        <v>220</v>
      </c>
      <c r="F435" s="21">
        <v>26.441806</v>
      </c>
      <c r="G435" s="21">
        <v>-80.060065</v>
      </c>
      <c r="H435" s="21">
        <v>26.50418</v>
      </c>
      <c r="I435" s="22">
        <v>-80.0512</v>
      </c>
      <c r="J435" s="21" t="s">
        <v>1780</v>
      </c>
      <c r="K435" s="21" t="s">
        <v>1781</v>
      </c>
      <c r="L435" s="21">
        <v>1.0</v>
      </c>
      <c r="M435" s="21">
        <v>26.448727</v>
      </c>
      <c r="N435" s="21">
        <v>-80.058761</v>
      </c>
      <c r="O435" s="21" t="s">
        <v>2291</v>
      </c>
      <c r="P435" s="54"/>
    </row>
    <row r="436" ht="33.75" customHeight="1">
      <c r="A436" s="20">
        <v>42408.0</v>
      </c>
      <c r="B436" s="21" t="s">
        <v>1776</v>
      </c>
      <c r="C436" s="21" t="s">
        <v>1777</v>
      </c>
      <c r="D436" s="21" t="s">
        <v>1778</v>
      </c>
      <c r="E436" s="21" t="s">
        <v>220</v>
      </c>
      <c r="F436" s="21">
        <v>26.441806</v>
      </c>
      <c r="G436" s="21">
        <v>-80.060065</v>
      </c>
      <c r="H436" s="21">
        <v>26.50418</v>
      </c>
      <c r="I436" s="22">
        <v>-80.0512</v>
      </c>
      <c r="J436" s="21" t="s">
        <v>1780</v>
      </c>
      <c r="K436" s="21" t="s">
        <v>1781</v>
      </c>
      <c r="L436" s="21">
        <v>2.0</v>
      </c>
      <c r="M436" s="21">
        <v>26.450072</v>
      </c>
      <c r="N436" s="21">
        <v>-80.058607</v>
      </c>
      <c r="O436" s="21" t="s">
        <v>2294</v>
      </c>
      <c r="P436" s="54"/>
    </row>
    <row r="437" ht="33.75" customHeight="1">
      <c r="A437" s="20">
        <v>42408.0</v>
      </c>
      <c r="B437" s="21" t="s">
        <v>1776</v>
      </c>
      <c r="C437" s="21" t="s">
        <v>1777</v>
      </c>
      <c r="D437" s="21" t="s">
        <v>1778</v>
      </c>
      <c r="E437" s="21" t="s">
        <v>220</v>
      </c>
      <c r="F437" s="21">
        <v>26.441806</v>
      </c>
      <c r="G437" s="21">
        <v>-80.060065</v>
      </c>
      <c r="H437" s="21">
        <v>26.50418</v>
      </c>
      <c r="I437" s="22">
        <v>-80.0512</v>
      </c>
      <c r="J437" s="21" t="s">
        <v>1780</v>
      </c>
      <c r="K437" s="21" t="s">
        <v>1781</v>
      </c>
      <c r="L437" s="21">
        <v>3.0</v>
      </c>
      <c r="M437" s="21">
        <v>26.452543</v>
      </c>
      <c r="N437" s="21">
        <v>-80.058353</v>
      </c>
      <c r="O437" s="21" t="s">
        <v>2298</v>
      </c>
      <c r="P437" s="54"/>
    </row>
    <row r="438" ht="33.75" customHeight="1">
      <c r="A438" s="20">
        <v>42408.0</v>
      </c>
      <c r="B438" s="21" t="s">
        <v>1776</v>
      </c>
      <c r="C438" s="21" t="s">
        <v>1777</v>
      </c>
      <c r="D438" s="21" t="s">
        <v>1778</v>
      </c>
      <c r="E438" s="21" t="s">
        <v>220</v>
      </c>
      <c r="F438" s="21">
        <v>26.441806</v>
      </c>
      <c r="G438" s="21">
        <v>-80.060065</v>
      </c>
      <c r="H438" s="21">
        <v>26.50418</v>
      </c>
      <c r="I438" s="22">
        <v>-80.0512</v>
      </c>
      <c r="J438" s="21" t="s">
        <v>1780</v>
      </c>
      <c r="K438" s="21" t="s">
        <v>1781</v>
      </c>
      <c r="L438" s="21">
        <v>4.0</v>
      </c>
      <c r="M438" s="21">
        <v>26.456287</v>
      </c>
      <c r="N438" s="21">
        <v>-80.058053</v>
      </c>
      <c r="O438" s="21" t="s">
        <v>2303</v>
      </c>
      <c r="P438" s="54"/>
    </row>
    <row r="439" ht="33.75" customHeight="1">
      <c r="A439" s="20">
        <v>42408.0</v>
      </c>
      <c r="B439" s="21" t="s">
        <v>1776</v>
      </c>
      <c r="C439" s="21" t="s">
        <v>1777</v>
      </c>
      <c r="D439" s="21" t="s">
        <v>1778</v>
      </c>
      <c r="E439" s="21" t="s">
        <v>220</v>
      </c>
      <c r="F439" s="21">
        <v>26.441806</v>
      </c>
      <c r="G439" s="21">
        <v>-80.060065</v>
      </c>
      <c r="H439" s="21">
        <v>26.50418</v>
      </c>
      <c r="I439" s="22">
        <v>-80.0512</v>
      </c>
      <c r="J439" s="21" t="s">
        <v>1780</v>
      </c>
      <c r="K439" s="21" t="s">
        <v>1781</v>
      </c>
      <c r="L439" s="21">
        <v>5.0</v>
      </c>
      <c r="M439" s="21">
        <v>26.46459</v>
      </c>
      <c r="N439" s="21">
        <v>-80.056715</v>
      </c>
      <c r="O439" s="21" t="s">
        <v>2304</v>
      </c>
      <c r="P439" s="54"/>
    </row>
    <row r="440" ht="33.75" customHeight="1">
      <c r="A440" s="29">
        <v>42411.0</v>
      </c>
      <c r="B440" s="25" t="s">
        <v>494</v>
      </c>
      <c r="C440" s="25" t="s">
        <v>2305</v>
      </c>
      <c r="D440" s="25" t="s">
        <v>496</v>
      </c>
      <c r="E440" s="25" t="s">
        <v>484</v>
      </c>
      <c r="F440" s="25">
        <v>26.25916</v>
      </c>
      <c r="G440" s="25">
        <v>-80.08057</v>
      </c>
      <c r="H440" s="21">
        <v>26.31649</v>
      </c>
      <c r="I440" s="21">
        <v>-80.07492</v>
      </c>
      <c r="J440" s="21" t="s">
        <v>505</v>
      </c>
      <c r="K440" s="21" t="s">
        <v>2307</v>
      </c>
      <c r="M440" s="21">
        <v>26.28112</v>
      </c>
      <c r="N440" s="21">
        <v>-8007859.0</v>
      </c>
      <c r="O440" s="21" t="s">
        <v>2309</v>
      </c>
      <c r="P440" s="54"/>
    </row>
    <row r="441" ht="33.75" customHeight="1">
      <c r="A441" s="29">
        <v>42410.0</v>
      </c>
      <c r="B441" s="25" t="s">
        <v>189</v>
      </c>
      <c r="C441" s="25" t="s">
        <v>191</v>
      </c>
      <c r="D441" s="25" t="s">
        <v>2109</v>
      </c>
      <c r="E441" s="25" t="s">
        <v>2110</v>
      </c>
      <c r="F441" s="25">
        <v>30.50436</v>
      </c>
      <c r="G441" s="25">
        <v>-87.0194</v>
      </c>
      <c r="H441" s="21">
        <v>30.53316</v>
      </c>
      <c r="I441" s="21">
        <v>-87.00282</v>
      </c>
      <c r="J441" s="21" t="s">
        <v>2111</v>
      </c>
      <c r="K441" s="21" t="s">
        <v>2113</v>
      </c>
      <c r="L441" s="21">
        <v>1.0</v>
      </c>
      <c r="M441" s="21">
        <v>30.51141</v>
      </c>
      <c r="N441" s="21">
        <v>-87.0068</v>
      </c>
      <c r="O441" s="21" t="s">
        <v>2312</v>
      </c>
      <c r="P441" s="22" t="s">
        <v>2313</v>
      </c>
    </row>
    <row r="442" ht="33.75" customHeight="1">
      <c r="A442" s="29">
        <v>42410.0</v>
      </c>
      <c r="B442" s="25" t="s">
        <v>189</v>
      </c>
      <c r="C442" s="25" t="s">
        <v>191</v>
      </c>
      <c r="D442" s="25" t="s">
        <v>2109</v>
      </c>
      <c r="E442" s="25" t="s">
        <v>2110</v>
      </c>
      <c r="F442" s="25">
        <v>30.50436</v>
      </c>
      <c r="G442" s="25">
        <v>-87.0194</v>
      </c>
      <c r="H442" s="21">
        <v>30.53316</v>
      </c>
      <c r="I442" s="21">
        <v>-87.00282</v>
      </c>
      <c r="J442" s="21" t="s">
        <v>2111</v>
      </c>
      <c r="K442" s="21" t="s">
        <v>2113</v>
      </c>
      <c r="L442" s="21">
        <v>2.0</v>
      </c>
      <c r="M442" s="21">
        <v>30.50517</v>
      </c>
      <c r="N442" s="21">
        <v>-87.01942</v>
      </c>
      <c r="O442" s="21" t="s">
        <v>2314</v>
      </c>
      <c r="P442" s="22" t="s">
        <v>2315</v>
      </c>
    </row>
    <row r="443" ht="33.75" customHeight="1">
      <c r="A443" s="29">
        <v>42411.0</v>
      </c>
      <c r="B443" s="25" t="s">
        <v>189</v>
      </c>
      <c r="C443" s="25" t="s">
        <v>191</v>
      </c>
      <c r="D443" s="25" t="s">
        <v>1051</v>
      </c>
      <c r="E443" s="25" t="s">
        <v>586</v>
      </c>
      <c r="F443" s="25">
        <v>29.68361</v>
      </c>
      <c r="G443" s="25">
        <v>-85.22191</v>
      </c>
      <c r="H443" s="21">
        <v>29.6941</v>
      </c>
      <c r="I443" s="21">
        <v>-85.20315</v>
      </c>
      <c r="J443" s="21" t="s">
        <v>1052</v>
      </c>
      <c r="K443" s="21" t="s">
        <v>1054</v>
      </c>
      <c r="L443" s="21">
        <v>1.0</v>
      </c>
      <c r="M443" s="21">
        <v>29.68872</v>
      </c>
      <c r="N443" s="21">
        <v>-85.22897</v>
      </c>
      <c r="O443" s="21" t="s">
        <v>2318</v>
      </c>
      <c r="P443" s="22" t="s">
        <v>2319</v>
      </c>
    </row>
    <row r="444" ht="33.75" customHeight="1">
      <c r="A444" s="29">
        <v>42411.0</v>
      </c>
      <c r="B444" s="25" t="s">
        <v>189</v>
      </c>
      <c r="C444" s="25" t="s">
        <v>191</v>
      </c>
      <c r="D444" s="25" t="s">
        <v>1051</v>
      </c>
      <c r="E444" s="25" t="s">
        <v>586</v>
      </c>
      <c r="F444" s="25">
        <v>29.68361</v>
      </c>
      <c r="G444" s="25">
        <v>-85.22191</v>
      </c>
      <c r="H444" s="21">
        <v>29.6941</v>
      </c>
      <c r="I444" s="21">
        <v>-85.20315</v>
      </c>
      <c r="J444" s="21" t="s">
        <v>1052</v>
      </c>
      <c r="K444" s="21" t="s">
        <v>1054</v>
      </c>
      <c r="L444" s="21">
        <v>2.0</v>
      </c>
      <c r="M444" s="21">
        <v>29.69159</v>
      </c>
      <c r="N444" s="21">
        <v>-85.22316</v>
      </c>
      <c r="O444" s="21" t="s">
        <v>2320</v>
      </c>
      <c r="P444" s="22" t="s">
        <v>2319</v>
      </c>
    </row>
    <row r="445" ht="33.75" customHeight="1">
      <c r="A445" s="29">
        <v>42411.0</v>
      </c>
      <c r="B445" s="25" t="s">
        <v>189</v>
      </c>
      <c r="C445" s="25" t="s">
        <v>191</v>
      </c>
      <c r="D445" s="25" t="s">
        <v>1051</v>
      </c>
      <c r="E445" s="25" t="s">
        <v>586</v>
      </c>
      <c r="F445" s="25">
        <v>29.68361</v>
      </c>
      <c r="G445" s="25">
        <v>-85.22191</v>
      </c>
      <c r="H445" s="21">
        <v>29.6941</v>
      </c>
      <c r="I445" s="21">
        <v>-85.20315</v>
      </c>
      <c r="J445" s="21" t="s">
        <v>1052</v>
      </c>
      <c r="K445" s="21" t="s">
        <v>1054</v>
      </c>
      <c r="L445" s="21">
        <v>3.0</v>
      </c>
      <c r="M445" s="21">
        <v>29.69129</v>
      </c>
      <c r="N445" s="21">
        <v>-85.21975</v>
      </c>
      <c r="O445" s="21" t="s">
        <v>2322</v>
      </c>
      <c r="P445" s="22" t="s">
        <v>2323</v>
      </c>
    </row>
    <row r="446" ht="33.75" customHeight="1">
      <c r="A446" s="29">
        <v>42411.0</v>
      </c>
      <c r="B446" s="25" t="s">
        <v>189</v>
      </c>
      <c r="C446" s="25" t="s">
        <v>191</v>
      </c>
      <c r="D446" s="25" t="s">
        <v>1051</v>
      </c>
      <c r="E446" s="25" t="s">
        <v>586</v>
      </c>
      <c r="F446" s="25">
        <v>29.68361</v>
      </c>
      <c r="G446" s="25">
        <v>-85.22191</v>
      </c>
      <c r="H446" s="21">
        <v>29.6941</v>
      </c>
      <c r="I446" s="21">
        <v>-85.20315</v>
      </c>
      <c r="J446" s="21" t="s">
        <v>1052</v>
      </c>
      <c r="K446" s="21" t="s">
        <v>1054</v>
      </c>
      <c r="L446" s="21">
        <v>4.0</v>
      </c>
      <c r="M446" s="21">
        <v>29.69344</v>
      </c>
      <c r="N446" s="21">
        <v>-85.21135</v>
      </c>
      <c r="O446" s="21" t="s">
        <v>2325</v>
      </c>
      <c r="P446" s="22" t="s">
        <v>2326</v>
      </c>
    </row>
    <row r="447" ht="33.75" customHeight="1">
      <c r="A447" s="29">
        <v>42411.0</v>
      </c>
      <c r="B447" s="25" t="s">
        <v>189</v>
      </c>
      <c r="C447" s="25" t="s">
        <v>191</v>
      </c>
      <c r="D447" s="25" t="s">
        <v>1051</v>
      </c>
      <c r="E447" s="25" t="s">
        <v>586</v>
      </c>
      <c r="F447" s="25">
        <v>29.68361</v>
      </c>
      <c r="G447" s="25">
        <v>-85.22191</v>
      </c>
      <c r="H447" s="21">
        <v>29.6941</v>
      </c>
      <c r="I447" s="21">
        <v>-85.20315</v>
      </c>
      <c r="J447" s="21" t="s">
        <v>1052</v>
      </c>
      <c r="K447" s="21" t="s">
        <v>1054</v>
      </c>
      <c r="L447" s="21">
        <v>5.0</v>
      </c>
      <c r="M447" s="21">
        <v>29.69144</v>
      </c>
      <c r="N447" s="21">
        <v>-85.21152</v>
      </c>
      <c r="O447" s="21" t="s">
        <v>2328</v>
      </c>
      <c r="P447" s="22" t="s">
        <v>2329</v>
      </c>
    </row>
    <row r="448" ht="33.75" customHeight="1">
      <c r="A448" s="29">
        <v>42411.0</v>
      </c>
      <c r="B448" s="25" t="s">
        <v>189</v>
      </c>
      <c r="C448" s="25" t="s">
        <v>191</v>
      </c>
      <c r="D448" s="25" t="s">
        <v>1051</v>
      </c>
      <c r="E448" s="25" t="s">
        <v>586</v>
      </c>
      <c r="F448" s="25">
        <v>29.68361</v>
      </c>
      <c r="G448" s="25">
        <v>-85.22191</v>
      </c>
      <c r="H448" s="21">
        <v>29.6941</v>
      </c>
      <c r="I448" s="21">
        <v>-85.20315</v>
      </c>
      <c r="J448" s="21" t="s">
        <v>1052</v>
      </c>
      <c r="K448" s="21" t="s">
        <v>1054</v>
      </c>
      <c r="L448" s="21">
        <v>6.0</v>
      </c>
      <c r="M448" s="21">
        <v>29.69286</v>
      </c>
      <c r="N448" s="21">
        <v>-85.20486</v>
      </c>
      <c r="O448" s="21" t="s">
        <v>2330</v>
      </c>
      <c r="P448" s="22" t="s">
        <v>2319</v>
      </c>
    </row>
    <row r="449" ht="33.75" customHeight="1">
      <c r="A449" s="29">
        <v>42411.0</v>
      </c>
      <c r="B449" s="25" t="s">
        <v>189</v>
      </c>
      <c r="C449" s="25" t="s">
        <v>191</v>
      </c>
      <c r="D449" s="25" t="s">
        <v>1051</v>
      </c>
      <c r="E449" s="25" t="s">
        <v>586</v>
      </c>
      <c r="F449" s="25">
        <v>29.68361</v>
      </c>
      <c r="G449" s="25">
        <v>-85.22191</v>
      </c>
      <c r="H449" s="21">
        <v>29.6941</v>
      </c>
      <c r="I449" s="21">
        <v>-85.20315</v>
      </c>
      <c r="J449" s="21" t="s">
        <v>1052</v>
      </c>
      <c r="K449" s="21" t="s">
        <v>1054</v>
      </c>
      <c r="L449" s="21">
        <v>7.0</v>
      </c>
      <c r="M449" s="21">
        <v>29.6945</v>
      </c>
      <c r="N449" s="21">
        <v>-85.20385</v>
      </c>
      <c r="O449" s="21" t="s">
        <v>2332</v>
      </c>
      <c r="P449" s="22" t="s">
        <v>2333</v>
      </c>
    </row>
    <row r="450" ht="33.75" customHeight="1">
      <c r="A450" s="29">
        <v>42409.0</v>
      </c>
      <c r="B450" s="25" t="s">
        <v>524</v>
      </c>
      <c r="C450" s="25" t="s">
        <v>2337</v>
      </c>
      <c r="D450" s="25" t="s">
        <v>621</v>
      </c>
      <c r="E450" s="25" t="s">
        <v>71</v>
      </c>
      <c r="F450" s="25">
        <v>26.28883</v>
      </c>
      <c r="G450" s="25">
        <v>-81.82886</v>
      </c>
      <c r="H450" s="21">
        <v>26.272265</v>
      </c>
      <c r="I450" s="21">
        <v>-81.827703</v>
      </c>
      <c r="J450" s="21" t="s">
        <v>2340</v>
      </c>
      <c r="K450" s="21" t="s">
        <v>624</v>
      </c>
      <c r="P450" s="22" t="s">
        <v>2341</v>
      </c>
    </row>
    <row r="451" ht="33.75" customHeight="1">
      <c r="A451" s="29">
        <v>42410.0</v>
      </c>
      <c r="B451" s="25" t="s">
        <v>1349</v>
      </c>
      <c r="C451" s="25" t="s">
        <v>2342</v>
      </c>
      <c r="D451" s="25" t="s">
        <v>2343</v>
      </c>
      <c r="E451" s="25" t="s">
        <v>464</v>
      </c>
      <c r="F451" s="25">
        <v>26.71891</v>
      </c>
      <c r="G451" s="25">
        <v>-82.2587</v>
      </c>
      <c r="H451" s="21">
        <v>26.72724</v>
      </c>
      <c r="I451" s="21">
        <v>-82.26398</v>
      </c>
      <c r="J451" s="21" t="s">
        <v>1351</v>
      </c>
      <c r="K451" s="21" t="s">
        <v>1352</v>
      </c>
      <c r="L451" s="21">
        <v>1.0</v>
      </c>
      <c r="M451" s="21">
        <v>26.71966</v>
      </c>
      <c r="N451" s="21">
        <v>-82.26337</v>
      </c>
      <c r="O451" s="21" t="s">
        <v>2344</v>
      </c>
      <c r="P451" s="22" t="s">
        <v>2345</v>
      </c>
    </row>
    <row r="452" ht="33.75" customHeight="1">
      <c r="A452" s="29">
        <v>42411.0</v>
      </c>
      <c r="B452" s="25" t="s">
        <v>524</v>
      </c>
      <c r="C452" s="25" t="s">
        <v>2342</v>
      </c>
      <c r="D452" s="25" t="s">
        <v>2346</v>
      </c>
      <c r="E452" s="25" t="s">
        <v>1260</v>
      </c>
      <c r="F452" s="25">
        <v>26.9109</v>
      </c>
      <c r="G452" s="25">
        <v>-82.353351</v>
      </c>
      <c r="H452" s="21">
        <v>26.89918</v>
      </c>
      <c r="I452" s="21">
        <v>-82.34115</v>
      </c>
      <c r="J452" s="21" t="s">
        <v>528</v>
      </c>
      <c r="K452" s="21" t="s">
        <v>530</v>
      </c>
      <c r="L452" s="21">
        <v>1.0</v>
      </c>
      <c r="M452" s="21">
        <v>26.89946</v>
      </c>
      <c r="N452" s="21">
        <v>-82.34146</v>
      </c>
      <c r="O452" s="21" t="s">
        <v>2347</v>
      </c>
      <c r="P452" s="22" t="s">
        <v>2348</v>
      </c>
    </row>
    <row r="453" ht="33.75" customHeight="1">
      <c r="A453" s="29">
        <v>42390.0</v>
      </c>
      <c r="B453" s="25" t="s">
        <v>1065</v>
      </c>
      <c r="C453" s="25" t="s">
        <v>1066</v>
      </c>
      <c r="D453" s="25" t="s">
        <v>1068</v>
      </c>
      <c r="E453" s="25" t="s">
        <v>586</v>
      </c>
      <c r="F453" s="25">
        <v>29.91632</v>
      </c>
      <c r="G453" s="25">
        <v>-84.39235</v>
      </c>
      <c r="H453" s="21">
        <v>29.9001</v>
      </c>
      <c r="I453" s="21">
        <v>-84.36108</v>
      </c>
      <c r="J453" s="21" t="s">
        <v>1070</v>
      </c>
      <c r="K453" s="21" t="s">
        <v>1071</v>
      </c>
      <c r="L453" s="21">
        <v>1.0</v>
      </c>
      <c r="M453" s="21">
        <v>29.90366</v>
      </c>
      <c r="N453" s="21">
        <v>-84.36955</v>
      </c>
      <c r="O453" s="21" t="s">
        <v>2349</v>
      </c>
      <c r="P453" s="54"/>
    </row>
    <row r="454" ht="33.75" customHeight="1">
      <c r="A454" s="29">
        <v>42390.0</v>
      </c>
      <c r="B454" s="25" t="s">
        <v>1065</v>
      </c>
      <c r="C454" s="25" t="s">
        <v>1066</v>
      </c>
      <c r="D454" s="25" t="s">
        <v>1068</v>
      </c>
      <c r="E454" s="25" t="s">
        <v>586</v>
      </c>
      <c r="F454" s="25">
        <v>29.91632</v>
      </c>
      <c r="G454" s="25">
        <v>-84.39235</v>
      </c>
      <c r="H454" s="21">
        <v>29.9001</v>
      </c>
      <c r="I454" s="21">
        <v>-84.36108</v>
      </c>
      <c r="J454" s="21" t="s">
        <v>1070</v>
      </c>
      <c r="K454" s="21" t="s">
        <v>1071</v>
      </c>
      <c r="L454" s="21">
        <v>2.0</v>
      </c>
      <c r="M454" s="21">
        <v>29.90167</v>
      </c>
      <c r="N454" s="21">
        <v>-84.3709</v>
      </c>
      <c r="O454" s="21" t="s">
        <v>2352</v>
      </c>
      <c r="P454" s="54"/>
    </row>
    <row r="455" ht="33.75" customHeight="1">
      <c r="A455" s="29">
        <v>42390.0</v>
      </c>
      <c r="B455" s="25" t="s">
        <v>1065</v>
      </c>
      <c r="C455" s="25" t="s">
        <v>1066</v>
      </c>
      <c r="D455" s="25" t="s">
        <v>1068</v>
      </c>
      <c r="E455" s="25" t="s">
        <v>586</v>
      </c>
      <c r="F455" s="25">
        <v>29.91632</v>
      </c>
      <c r="G455" s="25">
        <v>-84.39235</v>
      </c>
      <c r="H455" s="21">
        <v>29.9001</v>
      </c>
      <c r="I455" s="21">
        <v>-84.36108</v>
      </c>
      <c r="J455" s="21" t="s">
        <v>1070</v>
      </c>
      <c r="K455" s="21" t="s">
        <v>1071</v>
      </c>
      <c r="L455" s="21">
        <v>3.0</v>
      </c>
      <c r="M455" s="21">
        <v>29.90034</v>
      </c>
      <c r="N455" s="21">
        <v>-84.37292</v>
      </c>
      <c r="O455" s="21" t="s">
        <v>2361</v>
      </c>
      <c r="P455" s="54"/>
    </row>
    <row r="456" ht="33.75" customHeight="1">
      <c r="A456" s="29">
        <v>42390.0</v>
      </c>
      <c r="B456" s="25" t="s">
        <v>1065</v>
      </c>
      <c r="C456" s="25" t="s">
        <v>1066</v>
      </c>
      <c r="D456" s="25" t="s">
        <v>1068</v>
      </c>
      <c r="E456" s="25" t="s">
        <v>586</v>
      </c>
      <c r="F456" s="25">
        <v>29.91632</v>
      </c>
      <c r="G456" s="25">
        <v>-84.39235</v>
      </c>
      <c r="H456" s="21">
        <v>29.9001</v>
      </c>
      <c r="I456" s="21">
        <v>-84.36108</v>
      </c>
      <c r="J456" s="21" t="s">
        <v>1070</v>
      </c>
      <c r="K456" s="21" t="s">
        <v>1071</v>
      </c>
      <c r="L456" s="21">
        <v>4.0</v>
      </c>
      <c r="M456" s="21">
        <v>29.91001</v>
      </c>
      <c r="N456" s="21">
        <v>-84.38578</v>
      </c>
      <c r="O456" s="21" t="s">
        <v>1465</v>
      </c>
      <c r="P456" s="54"/>
    </row>
    <row r="457" ht="33.75" customHeight="1">
      <c r="A457" s="29">
        <v>42390.0</v>
      </c>
      <c r="B457" s="25" t="s">
        <v>1065</v>
      </c>
      <c r="C457" s="25" t="s">
        <v>1066</v>
      </c>
      <c r="D457" s="25" t="s">
        <v>1068</v>
      </c>
      <c r="E457" s="25" t="s">
        <v>586</v>
      </c>
      <c r="F457" s="25">
        <v>29.91632</v>
      </c>
      <c r="G457" s="25">
        <v>-84.39235</v>
      </c>
      <c r="H457" s="21">
        <v>29.9001</v>
      </c>
      <c r="I457" s="21">
        <v>-84.36108</v>
      </c>
      <c r="J457" s="21" t="s">
        <v>1070</v>
      </c>
      <c r="K457" s="21" t="s">
        <v>1071</v>
      </c>
      <c r="L457" s="21">
        <v>5.0</v>
      </c>
      <c r="M457" s="21">
        <v>29.91449</v>
      </c>
      <c r="N457" s="21">
        <v>-84.38955</v>
      </c>
      <c r="O457" s="21" t="s">
        <v>2368</v>
      </c>
      <c r="P457" s="54"/>
    </row>
    <row r="458" ht="33.75" customHeight="1">
      <c r="A458" s="29">
        <v>42390.0</v>
      </c>
      <c r="B458" s="25" t="s">
        <v>1065</v>
      </c>
      <c r="C458" s="25" t="s">
        <v>1066</v>
      </c>
      <c r="D458" s="25" t="s">
        <v>1068</v>
      </c>
      <c r="E458" s="25" t="s">
        <v>586</v>
      </c>
      <c r="F458" s="25">
        <v>29.91632</v>
      </c>
      <c r="G458" s="25">
        <v>-84.39235</v>
      </c>
      <c r="H458" s="21">
        <v>29.9001</v>
      </c>
      <c r="I458" s="21">
        <v>-84.36108</v>
      </c>
      <c r="J458" s="21" t="s">
        <v>1070</v>
      </c>
      <c r="K458" s="21" t="s">
        <v>1071</v>
      </c>
      <c r="L458" s="21">
        <v>6.0</v>
      </c>
      <c r="M458" s="21">
        <v>29.91266</v>
      </c>
      <c r="N458" s="21">
        <v>-84.37585</v>
      </c>
      <c r="O458" s="21" t="s">
        <v>1465</v>
      </c>
      <c r="P458" s="54"/>
    </row>
    <row r="459" ht="33.75" customHeight="1">
      <c r="A459" s="29">
        <v>42389.0</v>
      </c>
      <c r="B459" s="25" t="s">
        <v>2306</v>
      </c>
      <c r="C459" s="25" t="s">
        <v>1066</v>
      </c>
      <c r="D459" s="25" t="s">
        <v>2308</v>
      </c>
      <c r="E459" s="25" t="s">
        <v>2301</v>
      </c>
      <c r="F459" s="25">
        <v>30.01498</v>
      </c>
      <c r="G459" s="25">
        <v>-84.36783</v>
      </c>
      <c r="H459" s="21">
        <v>30.07729</v>
      </c>
      <c r="I459" s="21">
        <v>-84.18316</v>
      </c>
      <c r="J459" s="21" t="s">
        <v>2310</v>
      </c>
      <c r="K459" s="21" t="s">
        <v>2311</v>
      </c>
      <c r="L459" s="21">
        <v>1.0</v>
      </c>
      <c r="M459" s="21">
        <v>30.02297</v>
      </c>
      <c r="N459" s="21">
        <v>-84.34325</v>
      </c>
      <c r="O459" s="21" t="s">
        <v>2382</v>
      </c>
      <c r="P459" s="54"/>
    </row>
    <row r="460" ht="33.75" customHeight="1">
      <c r="A460" s="29">
        <v>42389.0</v>
      </c>
      <c r="B460" s="25" t="s">
        <v>2306</v>
      </c>
      <c r="C460" s="25" t="s">
        <v>1066</v>
      </c>
      <c r="D460" s="25" t="s">
        <v>2308</v>
      </c>
      <c r="E460" s="25" t="s">
        <v>2301</v>
      </c>
      <c r="F460" s="25">
        <v>30.01498</v>
      </c>
      <c r="G460" s="25">
        <v>-84.36783</v>
      </c>
      <c r="H460" s="21">
        <v>30.07729</v>
      </c>
      <c r="I460" s="21">
        <v>-84.18316</v>
      </c>
      <c r="J460" s="21" t="s">
        <v>2310</v>
      </c>
      <c r="K460" s="21" t="s">
        <v>2311</v>
      </c>
      <c r="L460" s="21">
        <v>2.0</v>
      </c>
      <c r="M460" s="21">
        <v>30.05201</v>
      </c>
      <c r="N460" s="21">
        <v>-84.33691</v>
      </c>
      <c r="O460" s="21" t="s">
        <v>2390</v>
      </c>
      <c r="P460" s="54"/>
    </row>
    <row r="461" ht="33.75" customHeight="1">
      <c r="A461" s="29">
        <v>42389.0</v>
      </c>
      <c r="B461" s="25" t="s">
        <v>2306</v>
      </c>
      <c r="C461" s="25" t="s">
        <v>1066</v>
      </c>
      <c r="D461" s="25" t="s">
        <v>2308</v>
      </c>
      <c r="E461" s="25" t="s">
        <v>2301</v>
      </c>
      <c r="F461" s="25">
        <v>30.01498</v>
      </c>
      <c r="G461" s="25">
        <v>-84.36783</v>
      </c>
      <c r="H461" s="21">
        <v>30.07729</v>
      </c>
      <c r="I461" s="21">
        <v>-84.18316</v>
      </c>
      <c r="J461" s="21" t="s">
        <v>2310</v>
      </c>
      <c r="K461" s="21" t="s">
        <v>2311</v>
      </c>
      <c r="L461" s="21">
        <v>3.0</v>
      </c>
      <c r="M461" s="21">
        <v>30.068</v>
      </c>
      <c r="N461" s="21">
        <v>-84.33691</v>
      </c>
      <c r="O461" s="21" t="s">
        <v>2393</v>
      </c>
      <c r="P461" s="54"/>
    </row>
    <row r="462" ht="33.75" customHeight="1">
      <c r="A462" s="29">
        <v>42389.0</v>
      </c>
      <c r="B462" s="25" t="s">
        <v>2306</v>
      </c>
      <c r="C462" s="25" t="s">
        <v>1066</v>
      </c>
      <c r="D462" s="25" t="s">
        <v>2308</v>
      </c>
      <c r="E462" s="25" t="s">
        <v>2301</v>
      </c>
      <c r="F462" s="25">
        <v>30.01498</v>
      </c>
      <c r="G462" s="25">
        <v>-84.36783</v>
      </c>
      <c r="H462" s="21">
        <v>30.07729</v>
      </c>
      <c r="I462" s="21">
        <v>-84.18316</v>
      </c>
      <c r="J462" s="21" t="s">
        <v>2310</v>
      </c>
      <c r="K462" s="21" t="s">
        <v>2311</v>
      </c>
      <c r="L462" s="21">
        <v>4.0</v>
      </c>
      <c r="M462" s="21">
        <v>30.06494</v>
      </c>
      <c r="N462" s="21">
        <v>-84.32569</v>
      </c>
      <c r="O462" s="21" t="s">
        <v>1307</v>
      </c>
      <c r="P462" s="54"/>
    </row>
    <row r="463" ht="33.75" customHeight="1">
      <c r="A463" s="29">
        <v>42389.0</v>
      </c>
      <c r="B463" s="25" t="s">
        <v>2306</v>
      </c>
      <c r="C463" s="25" t="s">
        <v>1066</v>
      </c>
      <c r="D463" s="25" t="s">
        <v>2308</v>
      </c>
      <c r="E463" s="25" t="s">
        <v>2301</v>
      </c>
      <c r="F463" s="25">
        <v>30.01498</v>
      </c>
      <c r="G463" s="25">
        <v>-84.36783</v>
      </c>
      <c r="H463" s="21">
        <v>30.07729</v>
      </c>
      <c r="I463" s="21">
        <v>-84.18316</v>
      </c>
      <c r="J463" s="21" t="s">
        <v>2310</v>
      </c>
      <c r="K463" s="21" t="s">
        <v>2311</v>
      </c>
      <c r="L463" s="21">
        <v>5.0</v>
      </c>
      <c r="M463" s="21">
        <v>30.05176</v>
      </c>
      <c r="N463" s="21">
        <v>-84.3176</v>
      </c>
      <c r="O463" s="21" t="s">
        <v>2394</v>
      </c>
      <c r="P463" s="54"/>
    </row>
    <row r="464" ht="33.75" customHeight="1">
      <c r="A464" s="29">
        <v>42389.0</v>
      </c>
      <c r="B464" s="25" t="s">
        <v>2306</v>
      </c>
      <c r="C464" s="25" t="s">
        <v>1066</v>
      </c>
      <c r="D464" s="25" t="s">
        <v>2308</v>
      </c>
      <c r="E464" s="25" t="s">
        <v>2301</v>
      </c>
      <c r="F464" s="25">
        <v>30.01498</v>
      </c>
      <c r="G464" s="25">
        <v>-84.36783</v>
      </c>
      <c r="H464" s="21">
        <v>30.07729</v>
      </c>
      <c r="I464" s="21">
        <v>-84.18316</v>
      </c>
      <c r="J464" s="21" t="s">
        <v>2310</v>
      </c>
      <c r="K464" s="21" t="s">
        <v>2311</v>
      </c>
      <c r="L464" s="21">
        <v>6.0</v>
      </c>
      <c r="M464" s="21">
        <v>30.0598</v>
      </c>
      <c r="N464" s="21">
        <v>-84.31342</v>
      </c>
      <c r="O464" s="21" t="s">
        <v>2396</v>
      </c>
      <c r="P464" s="54"/>
    </row>
    <row r="465" ht="33.75" customHeight="1">
      <c r="A465" s="29">
        <v>42389.0</v>
      </c>
      <c r="B465" s="25" t="s">
        <v>2306</v>
      </c>
      <c r="C465" s="25" t="s">
        <v>1066</v>
      </c>
      <c r="D465" s="25" t="s">
        <v>2308</v>
      </c>
      <c r="E465" s="25" t="s">
        <v>2301</v>
      </c>
      <c r="F465" s="25">
        <v>30.01498</v>
      </c>
      <c r="G465" s="25">
        <v>-84.36783</v>
      </c>
      <c r="H465" s="21">
        <v>30.07729</v>
      </c>
      <c r="I465" s="21">
        <v>-84.18316</v>
      </c>
      <c r="J465" s="21" t="s">
        <v>2310</v>
      </c>
      <c r="K465" s="21" t="s">
        <v>2311</v>
      </c>
      <c r="L465" s="21">
        <v>7.0</v>
      </c>
      <c r="M465" s="21">
        <v>30.06134</v>
      </c>
      <c r="N465" s="21">
        <v>-84.31339</v>
      </c>
      <c r="O465" s="21" t="s">
        <v>2397</v>
      </c>
      <c r="P465" s="54"/>
    </row>
    <row r="466" ht="33.75" customHeight="1">
      <c r="A466" s="29">
        <v>42389.0</v>
      </c>
      <c r="B466" s="25" t="s">
        <v>2306</v>
      </c>
      <c r="C466" s="25" t="s">
        <v>1066</v>
      </c>
      <c r="D466" s="25" t="s">
        <v>2308</v>
      </c>
      <c r="E466" s="25" t="s">
        <v>2301</v>
      </c>
      <c r="F466" s="25">
        <v>30.01498</v>
      </c>
      <c r="G466" s="25">
        <v>-84.36783</v>
      </c>
      <c r="H466" s="21">
        <v>30.07729</v>
      </c>
      <c r="I466" s="21">
        <v>-84.18316</v>
      </c>
      <c r="J466" s="21" t="s">
        <v>2310</v>
      </c>
      <c r="K466" s="21" t="s">
        <v>2311</v>
      </c>
      <c r="L466" s="21">
        <v>8.0</v>
      </c>
      <c r="M466" s="21">
        <v>30.10025</v>
      </c>
      <c r="N466" s="21">
        <v>-84.26875</v>
      </c>
      <c r="O466" s="21" t="s">
        <v>2399</v>
      </c>
      <c r="P466" s="54"/>
    </row>
    <row r="467" ht="33.75" customHeight="1">
      <c r="A467" s="29">
        <v>42389.0</v>
      </c>
      <c r="B467" s="25" t="s">
        <v>2306</v>
      </c>
      <c r="C467" s="25" t="s">
        <v>1066</v>
      </c>
      <c r="D467" s="25" t="s">
        <v>2308</v>
      </c>
      <c r="E467" s="25" t="s">
        <v>2301</v>
      </c>
      <c r="F467" s="25">
        <v>30.01498</v>
      </c>
      <c r="G467" s="25">
        <v>-84.36783</v>
      </c>
      <c r="H467" s="21">
        <v>30.07729</v>
      </c>
      <c r="I467" s="21">
        <v>-84.18316</v>
      </c>
      <c r="J467" s="21" t="s">
        <v>2310</v>
      </c>
      <c r="K467" s="21" t="s">
        <v>2311</v>
      </c>
      <c r="L467" s="21">
        <v>9.0</v>
      </c>
      <c r="M467" s="21">
        <v>30.10474</v>
      </c>
      <c r="N467" s="21">
        <v>-84.24758</v>
      </c>
      <c r="O467" s="21" t="s">
        <v>2400</v>
      </c>
      <c r="P467" s="54"/>
    </row>
    <row r="468" ht="33.75" customHeight="1">
      <c r="A468" s="20">
        <v>42394.0</v>
      </c>
      <c r="B468" s="21" t="s">
        <v>2299</v>
      </c>
      <c r="C468" s="25" t="s">
        <v>191</v>
      </c>
      <c r="D468" s="25" t="s">
        <v>2300</v>
      </c>
      <c r="E468" s="25" t="s">
        <v>2301</v>
      </c>
      <c r="F468" s="21">
        <v>30.01791</v>
      </c>
      <c r="G468" s="21">
        <v>-84.35559</v>
      </c>
      <c r="H468" s="21">
        <v>30.04875</v>
      </c>
      <c r="I468" s="22">
        <v>-84.34041</v>
      </c>
      <c r="J468" s="21" t="s">
        <v>2302</v>
      </c>
      <c r="K468" s="21" t="s">
        <v>1658</v>
      </c>
      <c r="L468" s="21">
        <v>1.0</v>
      </c>
      <c r="M468" s="21">
        <v>30.02408</v>
      </c>
      <c r="N468" s="21">
        <v>-84.36321</v>
      </c>
      <c r="O468" s="21" t="s">
        <v>2401</v>
      </c>
      <c r="P468" s="54"/>
    </row>
    <row r="469" ht="33.75" customHeight="1">
      <c r="A469" s="20">
        <v>42394.0</v>
      </c>
      <c r="B469" s="21" t="s">
        <v>2299</v>
      </c>
      <c r="C469" s="25" t="s">
        <v>191</v>
      </c>
      <c r="D469" s="25" t="s">
        <v>2300</v>
      </c>
      <c r="E469" s="25" t="s">
        <v>2301</v>
      </c>
      <c r="F469" s="21">
        <v>30.01791</v>
      </c>
      <c r="G469" s="21">
        <v>-84.35559</v>
      </c>
      <c r="H469" s="21">
        <v>30.04875</v>
      </c>
      <c r="I469" s="22">
        <v>-84.34041</v>
      </c>
      <c r="J469" s="21" t="s">
        <v>2302</v>
      </c>
      <c r="K469" s="21" t="s">
        <v>1658</v>
      </c>
      <c r="L469" s="21">
        <v>2.0</v>
      </c>
      <c r="M469" s="21">
        <v>30.03676</v>
      </c>
      <c r="N469" s="21">
        <v>-84.35278</v>
      </c>
      <c r="O469" s="21" t="s">
        <v>1465</v>
      </c>
      <c r="P469" s="54"/>
    </row>
    <row r="470" ht="33.75" customHeight="1">
      <c r="A470" s="20">
        <v>42394.0</v>
      </c>
      <c r="B470" s="21" t="s">
        <v>2299</v>
      </c>
      <c r="C470" s="25" t="s">
        <v>191</v>
      </c>
      <c r="D470" s="25" t="s">
        <v>2300</v>
      </c>
      <c r="E470" s="25" t="s">
        <v>2301</v>
      </c>
      <c r="F470" s="21">
        <v>30.01791</v>
      </c>
      <c r="G470" s="21">
        <v>-84.35559</v>
      </c>
      <c r="H470" s="21">
        <v>30.04875</v>
      </c>
      <c r="I470" s="22">
        <v>-84.34041</v>
      </c>
      <c r="J470" s="21" t="s">
        <v>2302</v>
      </c>
      <c r="K470" s="21" t="s">
        <v>1658</v>
      </c>
      <c r="L470" s="21">
        <v>3.0</v>
      </c>
      <c r="M470" s="21">
        <v>30.05384</v>
      </c>
      <c r="N470" s="21">
        <v>-84.35054</v>
      </c>
      <c r="O470" s="21" t="s">
        <v>1307</v>
      </c>
      <c r="P470" s="54"/>
    </row>
    <row r="471" ht="33.75" customHeight="1">
      <c r="A471" s="20">
        <v>42394.0</v>
      </c>
      <c r="B471" s="21" t="s">
        <v>2299</v>
      </c>
      <c r="C471" s="25" t="s">
        <v>191</v>
      </c>
      <c r="D471" s="25" t="s">
        <v>2300</v>
      </c>
      <c r="E471" s="25" t="s">
        <v>2301</v>
      </c>
      <c r="F471" s="21">
        <v>30.01791</v>
      </c>
      <c r="G471" s="21">
        <v>-84.35559</v>
      </c>
      <c r="H471" s="21">
        <v>30.04875</v>
      </c>
      <c r="I471" s="22">
        <v>-84.34041</v>
      </c>
      <c r="J471" s="21" t="s">
        <v>2302</v>
      </c>
      <c r="K471" s="21" t="s">
        <v>1658</v>
      </c>
      <c r="L471" s="21">
        <v>4.0</v>
      </c>
      <c r="M471" s="21">
        <v>30.05771</v>
      </c>
      <c r="N471" s="21">
        <v>-84.35222</v>
      </c>
      <c r="O471" s="21" t="s">
        <v>1465</v>
      </c>
      <c r="P471" s="54"/>
    </row>
    <row r="472" ht="33.75" customHeight="1">
      <c r="A472" s="20">
        <v>42394.0</v>
      </c>
      <c r="B472" s="21" t="s">
        <v>2299</v>
      </c>
      <c r="C472" s="25" t="s">
        <v>191</v>
      </c>
      <c r="D472" s="25" t="s">
        <v>2300</v>
      </c>
      <c r="E472" s="25" t="s">
        <v>2301</v>
      </c>
      <c r="F472" s="21">
        <v>30.01791</v>
      </c>
      <c r="G472" s="21">
        <v>-84.35559</v>
      </c>
      <c r="H472" s="21">
        <v>30.04875</v>
      </c>
      <c r="I472" s="22">
        <v>-84.34041</v>
      </c>
      <c r="J472" s="21" t="s">
        <v>2302</v>
      </c>
      <c r="K472" s="21" t="s">
        <v>1658</v>
      </c>
      <c r="L472" s="21">
        <v>5.0</v>
      </c>
      <c r="M472" s="21">
        <v>30.03719</v>
      </c>
      <c r="N472" s="21">
        <v>-84.36124</v>
      </c>
      <c r="O472" s="21" t="s">
        <v>2404</v>
      </c>
      <c r="P472" s="54"/>
    </row>
    <row r="473" ht="33.75" customHeight="1">
      <c r="A473" s="29">
        <v>42411.0</v>
      </c>
      <c r="B473" s="25" t="s">
        <v>2405</v>
      </c>
      <c r="C473" s="25" t="s">
        <v>2406</v>
      </c>
      <c r="D473" s="25" t="s">
        <v>1655</v>
      </c>
      <c r="E473" s="25" t="s">
        <v>184</v>
      </c>
      <c r="F473" s="25">
        <v>24.673413</v>
      </c>
      <c r="G473" s="25">
        <v>-81.24346</v>
      </c>
      <c r="H473" s="21">
        <v>24.669839</v>
      </c>
      <c r="I473" s="21">
        <v>-81.244857</v>
      </c>
      <c r="J473" s="21" t="s">
        <v>1657</v>
      </c>
      <c r="K473" s="21" t="s">
        <v>1658</v>
      </c>
      <c r="L473" s="21">
        <v>1.0</v>
      </c>
      <c r="M473" s="21">
        <v>24.673413</v>
      </c>
      <c r="N473" s="21">
        <v>81.24346</v>
      </c>
      <c r="O473" s="21" t="s">
        <v>2407</v>
      </c>
      <c r="P473" s="54"/>
    </row>
    <row r="474" ht="33.75" customHeight="1">
      <c r="A474" s="29">
        <v>42410.0</v>
      </c>
      <c r="B474" s="25" t="s">
        <v>2405</v>
      </c>
      <c r="C474" s="23" t="s">
        <v>1654</v>
      </c>
      <c r="D474" s="25" t="s">
        <v>1409</v>
      </c>
      <c r="E474" s="25" t="s">
        <v>184</v>
      </c>
      <c r="F474" s="25">
        <v>24.537601</v>
      </c>
      <c r="G474" s="25">
        <v>-82.008021</v>
      </c>
      <c r="H474" s="21">
        <v>24.528739</v>
      </c>
      <c r="I474" s="21">
        <v>-82.005712</v>
      </c>
      <c r="J474" s="21" t="s">
        <v>1666</v>
      </c>
      <c r="K474" s="21" t="s">
        <v>1667</v>
      </c>
      <c r="L474" s="21">
        <v>1.0</v>
      </c>
      <c r="M474" s="21">
        <v>24.532252</v>
      </c>
      <c r="N474" s="21">
        <v>-82.007671</v>
      </c>
      <c r="O474" s="21" t="s">
        <v>2408</v>
      </c>
      <c r="P474" s="54"/>
    </row>
    <row r="475" ht="33.75" customHeight="1">
      <c r="A475" s="29">
        <v>42411.0</v>
      </c>
      <c r="B475" s="23" t="s">
        <v>2405</v>
      </c>
      <c r="C475" s="23" t="s">
        <v>1654</v>
      </c>
      <c r="D475" s="23" t="s">
        <v>1660</v>
      </c>
      <c r="E475" s="25" t="s">
        <v>184</v>
      </c>
      <c r="F475" s="25">
        <v>24.644878</v>
      </c>
      <c r="G475" s="25">
        <v>-81.328414</v>
      </c>
      <c r="H475" s="21">
        <v>24.633557</v>
      </c>
      <c r="I475" s="21">
        <v>-81.360795</v>
      </c>
      <c r="J475" s="21" t="s">
        <v>1661</v>
      </c>
      <c r="K475" s="23" t="s">
        <v>1662</v>
      </c>
      <c r="L475" s="21">
        <v>1.0</v>
      </c>
      <c r="M475" s="21">
        <v>24.632814</v>
      </c>
      <c r="N475" s="21">
        <v>-81.361475</v>
      </c>
      <c r="O475" s="21" t="s">
        <v>2409</v>
      </c>
      <c r="P475" s="54"/>
    </row>
    <row r="476" ht="33.75" customHeight="1">
      <c r="A476" s="29">
        <v>42411.0</v>
      </c>
      <c r="B476" s="25" t="s">
        <v>189</v>
      </c>
      <c r="C476" s="25" t="s">
        <v>191</v>
      </c>
      <c r="D476" s="25" t="s">
        <v>1152</v>
      </c>
      <c r="E476" s="25" t="s">
        <v>232</v>
      </c>
      <c r="F476" s="25">
        <v>29.71882</v>
      </c>
      <c r="G476" s="25">
        <v>-85.30513</v>
      </c>
      <c r="H476" s="21">
        <v>29.68817</v>
      </c>
      <c r="I476" s="21">
        <v>-85.32824</v>
      </c>
      <c r="J476" s="21" t="s">
        <v>1156</v>
      </c>
      <c r="K476" s="21" t="s">
        <v>1157</v>
      </c>
      <c r="L476" s="21">
        <v>1.0</v>
      </c>
      <c r="M476" s="21">
        <v>29.71233</v>
      </c>
      <c r="N476" s="21">
        <v>-85.31065</v>
      </c>
      <c r="O476" s="21" t="s">
        <v>2410</v>
      </c>
      <c r="P476" s="22" t="s">
        <v>2411</v>
      </c>
    </row>
    <row r="477" ht="33.75" customHeight="1">
      <c r="A477" s="29">
        <v>42411.0</v>
      </c>
      <c r="B477" s="25" t="s">
        <v>189</v>
      </c>
      <c r="C477" s="25" t="s">
        <v>191</v>
      </c>
      <c r="D477" s="25" t="s">
        <v>1152</v>
      </c>
      <c r="E477" s="25" t="s">
        <v>232</v>
      </c>
      <c r="F477" s="25">
        <v>29.71882</v>
      </c>
      <c r="G477" s="25">
        <v>-85.30513</v>
      </c>
      <c r="H477" s="21">
        <v>29.68817</v>
      </c>
      <c r="I477" s="21">
        <v>-85.32824</v>
      </c>
      <c r="J477" s="21" t="s">
        <v>1156</v>
      </c>
      <c r="K477" s="21" t="s">
        <v>1157</v>
      </c>
      <c r="L477" s="21">
        <v>2.0</v>
      </c>
      <c r="M477" s="21">
        <v>29.70072</v>
      </c>
      <c r="N477" s="21">
        <v>-85.31255</v>
      </c>
      <c r="O477" s="21" t="s">
        <v>2412</v>
      </c>
      <c r="P477" s="22" t="s">
        <v>2413</v>
      </c>
    </row>
    <row r="478" ht="33.75" customHeight="1">
      <c r="A478" s="29">
        <v>42411.0</v>
      </c>
      <c r="B478" s="25" t="s">
        <v>189</v>
      </c>
      <c r="C478" s="25" t="s">
        <v>191</v>
      </c>
      <c r="D478" s="25" t="s">
        <v>1152</v>
      </c>
      <c r="E478" s="25" t="s">
        <v>232</v>
      </c>
      <c r="F478" s="25">
        <v>29.71882</v>
      </c>
      <c r="G478" s="25">
        <v>-85.30513</v>
      </c>
      <c r="H478" s="21">
        <v>29.68817</v>
      </c>
      <c r="I478" s="21">
        <v>-85.32824</v>
      </c>
      <c r="J478" s="21" t="s">
        <v>1156</v>
      </c>
      <c r="K478" s="21" t="s">
        <v>1157</v>
      </c>
      <c r="L478" s="21">
        <v>3.0</v>
      </c>
      <c r="M478" s="21">
        <v>29.69149</v>
      </c>
      <c r="N478" s="21">
        <v>-85.31387</v>
      </c>
      <c r="O478" s="21" t="s">
        <v>2414</v>
      </c>
      <c r="P478" s="22" t="s">
        <v>2415</v>
      </c>
    </row>
    <row r="479" ht="33.75" customHeight="1">
      <c r="A479" s="29">
        <v>42411.0</v>
      </c>
      <c r="B479" s="25" t="s">
        <v>189</v>
      </c>
      <c r="C479" s="25" t="s">
        <v>191</v>
      </c>
      <c r="D479" s="25" t="s">
        <v>1152</v>
      </c>
      <c r="E479" s="25" t="s">
        <v>232</v>
      </c>
      <c r="F479" s="25">
        <v>29.71882</v>
      </c>
      <c r="G479" s="25">
        <v>-85.30513</v>
      </c>
      <c r="H479" s="21">
        <v>29.68817</v>
      </c>
      <c r="I479" s="21">
        <v>-85.32824</v>
      </c>
      <c r="J479" s="21" t="s">
        <v>1156</v>
      </c>
      <c r="K479" s="21" t="s">
        <v>1157</v>
      </c>
      <c r="L479" s="21">
        <v>4.0</v>
      </c>
      <c r="M479" s="21">
        <v>29.69419</v>
      </c>
      <c r="N479" s="21">
        <v>-85.31249</v>
      </c>
      <c r="O479" s="21" t="s">
        <v>2416</v>
      </c>
      <c r="P479" s="22" t="s">
        <v>2417</v>
      </c>
    </row>
    <row r="480" ht="33.75" customHeight="1">
      <c r="A480" s="29">
        <v>42411.0</v>
      </c>
      <c r="B480" s="25" t="s">
        <v>2418</v>
      </c>
      <c r="C480" s="25" t="s">
        <v>2419</v>
      </c>
      <c r="D480" s="25" t="s">
        <v>2420</v>
      </c>
      <c r="E480" s="25" t="s">
        <v>184</v>
      </c>
      <c r="F480" s="25">
        <v>25.1643</v>
      </c>
      <c r="G480" s="25">
        <v>-80.8934</v>
      </c>
      <c r="H480" s="21">
        <v>25.1403</v>
      </c>
      <c r="I480" s="21">
        <v>-80.9235</v>
      </c>
      <c r="J480" s="21" t="s">
        <v>1634</v>
      </c>
      <c r="K480" s="21" t="s">
        <v>2421</v>
      </c>
      <c r="L480" s="21">
        <v>1.0</v>
      </c>
      <c r="M480" s="21">
        <v>25.95788</v>
      </c>
      <c r="N480" s="21">
        <v>-80.5318</v>
      </c>
      <c r="O480" s="21" t="s">
        <v>2422</v>
      </c>
      <c r="P480" s="54"/>
    </row>
    <row r="481" ht="33.75" customHeight="1">
      <c r="A481" s="29">
        <v>42411.0</v>
      </c>
      <c r="B481" s="25" t="s">
        <v>2418</v>
      </c>
      <c r="C481" s="25" t="s">
        <v>2419</v>
      </c>
      <c r="D481" s="25" t="s">
        <v>2420</v>
      </c>
      <c r="E481" s="25" t="s">
        <v>184</v>
      </c>
      <c r="F481" s="25">
        <v>25.1643</v>
      </c>
      <c r="G481" s="25">
        <v>-80.8934</v>
      </c>
      <c r="H481" s="21">
        <v>25.1403</v>
      </c>
      <c r="I481" s="21">
        <v>-80.9235</v>
      </c>
      <c r="J481" s="21" t="s">
        <v>1634</v>
      </c>
      <c r="K481" s="21" t="s">
        <v>2421</v>
      </c>
      <c r="L481" s="21">
        <v>2.0</v>
      </c>
      <c r="M481" s="21">
        <v>25.956</v>
      </c>
      <c r="N481" s="21">
        <v>-80.5328</v>
      </c>
      <c r="O481" s="21" t="s">
        <v>2423</v>
      </c>
      <c r="P481" s="54"/>
    </row>
    <row r="482" ht="33.75" customHeight="1">
      <c r="A482" s="29">
        <v>42411.0</v>
      </c>
      <c r="B482" s="25" t="s">
        <v>2418</v>
      </c>
      <c r="C482" s="25" t="s">
        <v>2424</v>
      </c>
      <c r="D482" s="25" t="s">
        <v>2420</v>
      </c>
      <c r="E482" s="25" t="s">
        <v>184</v>
      </c>
      <c r="F482" s="25">
        <v>25.1643</v>
      </c>
      <c r="G482" s="25">
        <v>-80.8934</v>
      </c>
      <c r="H482" s="21">
        <v>25.1403</v>
      </c>
      <c r="I482" s="21">
        <v>-80.9235</v>
      </c>
      <c r="J482" s="21" t="s">
        <v>1634</v>
      </c>
      <c r="K482" s="21" t="s">
        <v>2425</v>
      </c>
      <c r="L482" s="21">
        <v>3.0</v>
      </c>
      <c r="M482" s="21">
        <v>25.9235</v>
      </c>
      <c r="N482" s="21">
        <v>-80.5408</v>
      </c>
      <c r="O482" s="21" t="s">
        <v>2426</v>
      </c>
      <c r="P482" s="22" t="s">
        <v>2427</v>
      </c>
    </row>
    <row r="483" ht="33.75" customHeight="1">
      <c r="A483" s="29">
        <v>42411.0</v>
      </c>
      <c r="B483" s="25" t="s">
        <v>1367</v>
      </c>
      <c r="C483" s="25" t="s">
        <v>2428</v>
      </c>
      <c r="D483" s="25" t="s">
        <v>1373</v>
      </c>
      <c r="E483" s="25" t="s">
        <v>464</v>
      </c>
      <c r="F483" s="25">
        <v>26.5514</v>
      </c>
      <c r="G483" s="25">
        <v>-82.2014</v>
      </c>
      <c r="H483" s="21">
        <v>26.4828</v>
      </c>
      <c r="I483" s="21">
        <v>-82.1829</v>
      </c>
      <c r="J483" s="21" t="s">
        <v>1374</v>
      </c>
      <c r="K483" s="21" t="s">
        <v>2429</v>
      </c>
      <c r="L483" s="21">
        <v>1.0</v>
      </c>
      <c r="M483" s="21">
        <v>26.5506</v>
      </c>
      <c r="N483" s="21">
        <v>-82.2011</v>
      </c>
      <c r="O483" s="21" t="s">
        <v>2430</v>
      </c>
      <c r="P483" s="54"/>
    </row>
    <row r="484" ht="33.75" customHeight="1">
      <c r="A484" s="29">
        <v>42411.0</v>
      </c>
      <c r="B484" s="25" t="s">
        <v>1367</v>
      </c>
      <c r="C484" s="25" t="s">
        <v>2431</v>
      </c>
      <c r="D484" s="25" t="s">
        <v>1373</v>
      </c>
      <c r="E484" s="25" t="s">
        <v>464</v>
      </c>
      <c r="F484" s="25">
        <v>26.5514</v>
      </c>
      <c r="G484" s="25">
        <v>-82.2014</v>
      </c>
      <c r="H484" s="21">
        <v>26.4828</v>
      </c>
      <c r="I484" s="21">
        <v>-82.1829</v>
      </c>
      <c r="J484" s="21" t="s">
        <v>1374</v>
      </c>
      <c r="K484" s="21" t="s">
        <v>2421</v>
      </c>
      <c r="L484" s="21">
        <v>2.0</v>
      </c>
      <c r="M484" s="21">
        <v>28.2016</v>
      </c>
      <c r="N484" s="21">
        <v>-82.2012</v>
      </c>
      <c r="O484" s="21" t="s">
        <v>458</v>
      </c>
      <c r="P484" s="54"/>
    </row>
    <row r="485" ht="33.75" customHeight="1">
      <c r="A485" s="29">
        <v>42411.0</v>
      </c>
      <c r="B485" s="25" t="s">
        <v>1333</v>
      </c>
      <c r="C485" s="25" t="s">
        <v>2432</v>
      </c>
      <c r="D485" s="25" t="s">
        <v>1336</v>
      </c>
      <c r="E485" s="25" t="s">
        <v>464</v>
      </c>
      <c r="F485" s="25">
        <v>26.4593</v>
      </c>
      <c r="G485" s="25">
        <v>-82.1574</v>
      </c>
      <c r="H485" s="21">
        <v>26.464</v>
      </c>
      <c r="I485" s="21">
        <v>-82.1664</v>
      </c>
      <c r="J485" s="21" t="s">
        <v>2433</v>
      </c>
      <c r="K485" s="21" t="s">
        <v>2434</v>
      </c>
      <c r="L485" s="21">
        <v>1.0</v>
      </c>
      <c r="M485" s="21">
        <v>26.4607</v>
      </c>
      <c r="N485" s="21">
        <v>-821602.0</v>
      </c>
      <c r="O485" s="21" t="s">
        <v>458</v>
      </c>
      <c r="P485" s="54"/>
    </row>
    <row r="486" ht="33.75" customHeight="1">
      <c r="A486" s="29">
        <v>42411.0</v>
      </c>
      <c r="B486" s="25" t="s">
        <v>1333</v>
      </c>
      <c r="C486" s="25" t="s">
        <v>2435</v>
      </c>
      <c r="D486" s="25" t="s">
        <v>1336</v>
      </c>
      <c r="E486" s="25" t="s">
        <v>464</v>
      </c>
      <c r="F486" s="25">
        <v>26.4593</v>
      </c>
      <c r="G486" s="25">
        <v>-82.1574</v>
      </c>
      <c r="H486" s="21">
        <v>26.464</v>
      </c>
      <c r="I486" s="21">
        <v>-82.1664</v>
      </c>
      <c r="J486" s="21" t="s">
        <v>2433</v>
      </c>
      <c r="K486" s="21" t="s">
        <v>2436</v>
      </c>
      <c r="L486" s="21">
        <v>2.0</v>
      </c>
      <c r="M486" s="21">
        <v>26.461</v>
      </c>
      <c r="N486" s="21">
        <v>-82.1613</v>
      </c>
      <c r="O486" s="21" t="s">
        <v>2437</v>
      </c>
      <c r="P486" s="54"/>
    </row>
    <row r="487" ht="33.75" customHeight="1">
      <c r="A487" s="29">
        <v>42411.0</v>
      </c>
      <c r="B487" s="25" t="s">
        <v>1333</v>
      </c>
      <c r="C487" s="25" t="s">
        <v>2432</v>
      </c>
      <c r="D487" s="25" t="s">
        <v>2438</v>
      </c>
      <c r="E487" s="25" t="s">
        <v>464</v>
      </c>
      <c r="F487" s="25">
        <v>26.4593</v>
      </c>
      <c r="G487" s="25">
        <v>-82.1574</v>
      </c>
      <c r="H487" s="21">
        <v>26.464</v>
      </c>
      <c r="I487" s="21">
        <v>-82.1664</v>
      </c>
      <c r="J487" s="21" t="s">
        <v>2433</v>
      </c>
      <c r="K487" s="21" t="s">
        <v>2436</v>
      </c>
      <c r="L487" s="21">
        <v>3.0</v>
      </c>
      <c r="M487" s="21">
        <v>26.464</v>
      </c>
      <c r="N487" s="21">
        <v>-821658.0</v>
      </c>
      <c r="O487" s="21" t="s">
        <v>2439</v>
      </c>
      <c r="P487" s="54"/>
    </row>
    <row r="488" ht="33.75" customHeight="1">
      <c r="A488" s="29">
        <v>42411.0</v>
      </c>
      <c r="B488" s="25" t="s">
        <v>1333</v>
      </c>
      <c r="C488" s="25" t="s">
        <v>2440</v>
      </c>
      <c r="D488" s="25" t="s">
        <v>1336</v>
      </c>
      <c r="E488" s="25" t="s">
        <v>464</v>
      </c>
      <c r="F488" s="25">
        <v>26.4593</v>
      </c>
      <c r="G488" s="25">
        <v>-82.1547</v>
      </c>
      <c r="H488" s="21">
        <v>26.464</v>
      </c>
      <c r="I488" s="21">
        <v>-82.1664</v>
      </c>
      <c r="J488" s="21" t="s">
        <v>2433</v>
      </c>
      <c r="K488" s="21" t="s">
        <v>2436</v>
      </c>
      <c r="L488" s="21">
        <v>4.0</v>
      </c>
      <c r="M488" s="21">
        <v>26.464</v>
      </c>
      <c r="N488" s="21">
        <v>-82.1664</v>
      </c>
      <c r="O488" s="21" t="s">
        <v>2441</v>
      </c>
      <c r="P488" s="54"/>
    </row>
    <row r="489" ht="33.75" customHeight="1">
      <c r="A489" s="29">
        <v>42411.0</v>
      </c>
      <c r="B489" s="25" t="s">
        <v>2442</v>
      </c>
      <c r="C489" s="25" t="s">
        <v>2443</v>
      </c>
      <c r="D489" s="25" t="s">
        <v>2444</v>
      </c>
      <c r="E489" s="25" t="s">
        <v>464</v>
      </c>
      <c r="F489" s="25">
        <v>26.462</v>
      </c>
      <c r="G489" s="25">
        <v>-82.0152</v>
      </c>
      <c r="H489" s="21">
        <v>26.4219</v>
      </c>
      <c r="I489" s="21">
        <v>-82.0797</v>
      </c>
      <c r="J489" s="21" t="s">
        <v>1388</v>
      </c>
      <c r="K489" s="21" t="s">
        <v>2445</v>
      </c>
      <c r="L489" s="21">
        <v>1.0</v>
      </c>
      <c r="M489" s="21">
        <v>26.54</v>
      </c>
      <c r="N489" s="21">
        <v>-82.0247</v>
      </c>
      <c r="O489" s="21" t="s">
        <v>1788</v>
      </c>
      <c r="P489" s="54"/>
    </row>
    <row r="490" ht="33.75" customHeight="1">
      <c r="A490" s="29">
        <v>42411.0</v>
      </c>
      <c r="B490" s="25" t="s">
        <v>2442</v>
      </c>
      <c r="C490" s="25" t="s">
        <v>2446</v>
      </c>
      <c r="D490" s="25" t="s">
        <v>2447</v>
      </c>
      <c r="E490" s="25" t="s">
        <v>464</v>
      </c>
      <c r="F490" s="25">
        <v>26.462</v>
      </c>
      <c r="G490" s="25">
        <v>-82.0152</v>
      </c>
      <c r="H490" s="21">
        <v>26.4219</v>
      </c>
      <c r="I490" s="21">
        <v>-82.0797</v>
      </c>
      <c r="J490" s="21" t="s">
        <v>1388</v>
      </c>
      <c r="K490" s="21" t="s">
        <v>2445</v>
      </c>
      <c r="L490" s="21">
        <v>2.0</v>
      </c>
      <c r="P490" s="54"/>
    </row>
    <row r="491" ht="33.75" customHeight="1">
      <c r="A491" s="29">
        <v>42411.0</v>
      </c>
      <c r="B491" s="25" t="s">
        <v>2442</v>
      </c>
      <c r="C491" s="25" t="s">
        <v>2448</v>
      </c>
      <c r="D491" s="25" t="s">
        <v>2447</v>
      </c>
      <c r="E491" s="25" t="s">
        <v>464</v>
      </c>
      <c r="F491" s="25">
        <v>26.462</v>
      </c>
      <c r="G491" s="25">
        <v>-82.0152</v>
      </c>
      <c r="H491" s="21">
        <v>26.4219</v>
      </c>
      <c r="I491" s="21">
        <v>-82.0797</v>
      </c>
      <c r="J491" s="21" t="s">
        <v>1388</v>
      </c>
      <c r="K491" s="21" t="s">
        <v>1389</v>
      </c>
      <c r="L491" s="21">
        <v>3.0</v>
      </c>
      <c r="M491" s="21">
        <v>26.443</v>
      </c>
      <c r="N491" s="21">
        <v>-82.0286</v>
      </c>
      <c r="O491" s="21" t="s">
        <v>1605</v>
      </c>
      <c r="P491" s="54"/>
    </row>
    <row r="492" ht="33.75" customHeight="1">
      <c r="A492" s="29">
        <v>42411.0</v>
      </c>
      <c r="B492" s="25" t="s">
        <v>2442</v>
      </c>
      <c r="C492" s="25" t="s">
        <v>2449</v>
      </c>
      <c r="D492" s="25" t="s">
        <v>2447</v>
      </c>
      <c r="E492" s="25" t="s">
        <v>464</v>
      </c>
      <c r="F492" s="25">
        <v>26.462</v>
      </c>
      <c r="G492" s="25">
        <v>-82.0152</v>
      </c>
      <c r="H492" s="21">
        <v>26.4219</v>
      </c>
      <c r="I492" s="21">
        <v>-82.0797</v>
      </c>
      <c r="J492" s="21" t="s">
        <v>1388</v>
      </c>
      <c r="K492" s="21" t="s">
        <v>1389</v>
      </c>
      <c r="L492" s="21">
        <v>4.0</v>
      </c>
      <c r="M492" s="21">
        <v>26.4411</v>
      </c>
      <c r="N492" s="21">
        <v>-82.0322</v>
      </c>
      <c r="O492" s="21" t="s">
        <v>2450</v>
      </c>
      <c r="P492" s="54"/>
    </row>
    <row r="493" ht="33.75" customHeight="1">
      <c r="A493" s="29">
        <v>42411.0</v>
      </c>
      <c r="B493" s="25" t="s">
        <v>2451</v>
      </c>
      <c r="C493" s="25" t="s">
        <v>2446</v>
      </c>
      <c r="D493" s="25" t="s">
        <v>2447</v>
      </c>
      <c r="E493" s="25" t="s">
        <v>464</v>
      </c>
      <c r="F493" s="25">
        <v>26.462</v>
      </c>
      <c r="G493" s="25">
        <v>-82.0152</v>
      </c>
      <c r="H493" s="21">
        <v>26.4219</v>
      </c>
      <c r="I493" s="21">
        <v>-82.0797</v>
      </c>
      <c r="J493" s="21" t="s">
        <v>1388</v>
      </c>
      <c r="K493" s="21" t="s">
        <v>1389</v>
      </c>
      <c r="L493" s="21">
        <v>5.0</v>
      </c>
      <c r="M493" s="21">
        <v>26.4361</v>
      </c>
      <c r="N493" s="21">
        <v>-82.0483</v>
      </c>
      <c r="O493" s="21" t="s">
        <v>454</v>
      </c>
      <c r="P493" s="54"/>
    </row>
    <row r="494" ht="33.75" customHeight="1">
      <c r="A494" s="29">
        <v>42411.0</v>
      </c>
      <c r="B494" s="25" t="s">
        <v>2451</v>
      </c>
      <c r="C494" s="25" t="s">
        <v>2452</v>
      </c>
      <c r="D494" s="25" t="s">
        <v>2447</v>
      </c>
      <c r="E494" s="25" t="s">
        <v>464</v>
      </c>
      <c r="F494" s="25">
        <v>26.462</v>
      </c>
      <c r="G494" s="25">
        <v>-82.0152</v>
      </c>
      <c r="H494" s="21">
        <v>26.4219</v>
      </c>
      <c r="I494" s="21">
        <v>-82.0797</v>
      </c>
      <c r="J494" s="21" t="s">
        <v>1388</v>
      </c>
      <c r="K494" s="21" t="s">
        <v>1389</v>
      </c>
      <c r="L494" s="21">
        <v>6.0</v>
      </c>
      <c r="M494" s="21">
        <v>26.4422</v>
      </c>
      <c r="N494" s="21">
        <v>-82.0483</v>
      </c>
      <c r="O494" s="21" t="s">
        <v>2453</v>
      </c>
      <c r="P494" s="54"/>
    </row>
    <row r="495" ht="33.75" customHeight="1">
      <c r="A495" s="29">
        <v>42411.0</v>
      </c>
      <c r="B495" s="25" t="s">
        <v>2454</v>
      </c>
      <c r="C495" s="25" t="s">
        <v>2446</v>
      </c>
      <c r="D495" s="25" t="s">
        <v>2447</v>
      </c>
      <c r="E495" s="25" t="s">
        <v>464</v>
      </c>
      <c r="F495" s="25">
        <v>26.462</v>
      </c>
      <c r="G495" s="25">
        <v>-82.0152</v>
      </c>
      <c r="H495" s="21">
        <v>26.4219</v>
      </c>
      <c r="I495" s="21">
        <v>-82.0797</v>
      </c>
      <c r="J495" s="21" t="s">
        <v>1388</v>
      </c>
      <c r="K495" s="21" t="s">
        <v>1389</v>
      </c>
      <c r="L495" s="21">
        <v>7.0</v>
      </c>
      <c r="M495" s="21">
        <v>26.4325</v>
      </c>
      <c r="N495" s="21">
        <v>-82.0478</v>
      </c>
      <c r="O495" s="21" t="s">
        <v>2455</v>
      </c>
      <c r="P495" s="54"/>
    </row>
    <row r="496" ht="33.75" customHeight="1">
      <c r="A496" s="29">
        <v>42411.0</v>
      </c>
      <c r="B496" s="25" t="s">
        <v>2451</v>
      </c>
      <c r="C496" s="25" t="s">
        <v>2446</v>
      </c>
      <c r="D496" s="25" t="s">
        <v>2447</v>
      </c>
      <c r="E496" s="25" t="s">
        <v>464</v>
      </c>
      <c r="F496" s="25">
        <v>26.462</v>
      </c>
      <c r="G496" s="25">
        <v>-82.0152</v>
      </c>
      <c r="H496" s="21">
        <v>26.4219</v>
      </c>
      <c r="I496" s="21">
        <v>-82.0797</v>
      </c>
      <c r="J496" s="21" t="s">
        <v>2456</v>
      </c>
      <c r="K496" s="21" t="s">
        <v>1389</v>
      </c>
      <c r="L496" s="21">
        <v>8.0</v>
      </c>
      <c r="M496" s="21">
        <v>26.4317</v>
      </c>
      <c r="N496" s="21">
        <v>-82.0494</v>
      </c>
      <c r="O496" s="21" t="s">
        <v>2457</v>
      </c>
      <c r="P496" s="54"/>
    </row>
    <row r="497" ht="33.75" customHeight="1">
      <c r="A497" s="29">
        <v>42411.0</v>
      </c>
      <c r="B497" s="25" t="s">
        <v>2442</v>
      </c>
      <c r="C497" s="25" t="s">
        <v>2446</v>
      </c>
      <c r="D497" s="25" t="s">
        <v>2447</v>
      </c>
      <c r="E497" s="25" t="s">
        <v>464</v>
      </c>
      <c r="F497" s="25">
        <v>26.462</v>
      </c>
      <c r="G497" s="25">
        <v>-82.0152</v>
      </c>
      <c r="H497" s="21">
        <v>26.4219</v>
      </c>
      <c r="I497" s="21">
        <v>-82.0797</v>
      </c>
      <c r="J497" s="21" t="s">
        <v>2456</v>
      </c>
      <c r="K497" s="21" t="s">
        <v>1389</v>
      </c>
      <c r="L497" s="21">
        <v>9.0</v>
      </c>
      <c r="M497" s="21">
        <v>26.4294</v>
      </c>
      <c r="N497" s="21">
        <v>-82.0539</v>
      </c>
      <c r="O497" s="21" t="s">
        <v>2458</v>
      </c>
      <c r="P497" s="54"/>
    </row>
    <row r="498" ht="33.75" customHeight="1">
      <c r="A498" s="29">
        <v>42411.0</v>
      </c>
      <c r="B498" s="25" t="s">
        <v>2442</v>
      </c>
      <c r="C498" s="25" t="s">
        <v>2446</v>
      </c>
      <c r="D498" s="25" t="s">
        <v>2447</v>
      </c>
      <c r="E498" s="25" t="s">
        <v>464</v>
      </c>
      <c r="F498" s="25">
        <v>26.462</v>
      </c>
      <c r="G498" s="25">
        <v>-82.0152</v>
      </c>
      <c r="H498" s="21">
        <v>26.4219</v>
      </c>
      <c r="I498" s="21">
        <v>-82.0797</v>
      </c>
      <c r="J498" s="21" t="s">
        <v>2456</v>
      </c>
      <c r="K498" s="21" t="s">
        <v>1389</v>
      </c>
      <c r="L498" s="21">
        <v>10.0</v>
      </c>
      <c r="M498" s="21">
        <v>26.4181</v>
      </c>
      <c r="N498" s="21">
        <v>-82.0564</v>
      </c>
      <c r="O498" s="21" t="s">
        <v>2459</v>
      </c>
      <c r="P498" s="54"/>
    </row>
    <row r="499" ht="33.75" customHeight="1">
      <c r="A499" s="29">
        <v>42411.0</v>
      </c>
      <c r="B499" s="25" t="s">
        <v>2442</v>
      </c>
      <c r="C499" s="25" t="s">
        <v>2446</v>
      </c>
      <c r="D499" s="25" t="s">
        <v>2447</v>
      </c>
      <c r="E499" s="25" t="s">
        <v>464</v>
      </c>
      <c r="F499" s="25">
        <v>26.462</v>
      </c>
      <c r="G499" s="25">
        <v>-82.0152</v>
      </c>
      <c r="H499" s="21">
        <v>26.4219</v>
      </c>
      <c r="I499" s="21">
        <v>-82.0797</v>
      </c>
      <c r="J499" s="21" t="s">
        <v>2456</v>
      </c>
      <c r="K499" s="21" t="s">
        <v>1389</v>
      </c>
      <c r="L499" s="21">
        <v>11.0</v>
      </c>
      <c r="M499" s="21">
        <v>26.4269</v>
      </c>
      <c r="N499" s="21">
        <v>-82.0589</v>
      </c>
      <c r="O499" s="21" t="s">
        <v>2460</v>
      </c>
      <c r="P499" s="54"/>
    </row>
    <row r="500" ht="33.75" customHeight="1">
      <c r="A500" s="29">
        <v>42411.0</v>
      </c>
      <c r="B500" s="25" t="s">
        <v>2442</v>
      </c>
      <c r="C500" s="25" t="s">
        <v>2446</v>
      </c>
      <c r="D500" s="25" t="s">
        <v>2447</v>
      </c>
      <c r="E500" s="25" t="s">
        <v>464</v>
      </c>
      <c r="F500" s="25">
        <v>26.462</v>
      </c>
      <c r="G500" s="25">
        <v>-82.0152</v>
      </c>
      <c r="H500" s="21">
        <v>26.4219</v>
      </c>
      <c r="I500" s="21">
        <v>-82.0797</v>
      </c>
      <c r="J500" s="21" t="s">
        <v>2456</v>
      </c>
      <c r="K500" s="21" t="s">
        <v>1389</v>
      </c>
      <c r="L500" s="21">
        <v>12.0</v>
      </c>
      <c r="M500" s="21">
        <v>26.425</v>
      </c>
      <c r="N500" s="21">
        <v>-82.0628</v>
      </c>
      <c r="O500" s="21" t="s">
        <v>2461</v>
      </c>
      <c r="P500" s="54"/>
    </row>
    <row r="501" ht="33.75" customHeight="1">
      <c r="A501" s="29">
        <v>42411.0</v>
      </c>
      <c r="B501" s="25" t="s">
        <v>2334</v>
      </c>
      <c r="C501" s="25" t="s">
        <v>2462</v>
      </c>
      <c r="D501" s="25" t="s">
        <v>2336</v>
      </c>
      <c r="E501" s="25" t="s">
        <v>464</v>
      </c>
      <c r="F501" s="25">
        <v>26.423</v>
      </c>
      <c r="G501" s="25">
        <v>-82.0804</v>
      </c>
      <c r="H501" s="21">
        <v>26.4593</v>
      </c>
      <c r="I501" s="21">
        <v>-82.1573</v>
      </c>
      <c r="J501" s="21" t="s">
        <v>2338</v>
      </c>
      <c r="K501" s="21" t="s">
        <v>2339</v>
      </c>
      <c r="L501" s="21">
        <v>1.0</v>
      </c>
      <c r="M501" s="21">
        <v>26.4302</v>
      </c>
      <c r="N501" s="21">
        <v>-82.1127</v>
      </c>
      <c r="O501" s="21" t="s">
        <v>454</v>
      </c>
      <c r="P501" s="54"/>
    </row>
    <row r="502" ht="33.75" customHeight="1">
      <c r="A502" s="29">
        <v>42411.0</v>
      </c>
      <c r="B502" s="25" t="s">
        <v>2334</v>
      </c>
      <c r="C502" s="25" t="s">
        <v>2462</v>
      </c>
      <c r="D502" s="25" t="s">
        <v>2447</v>
      </c>
      <c r="E502" s="25" t="s">
        <v>464</v>
      </c>
      <c r="F502" s="25">
        <v>26.423</v>
      </c>
      <c r="G502" s="25">
        <v>-82.0804</v>
      </c>
      <c r="H502" s="21">
        <v>26.4593</v>
      </c>
      <c r="I502" s="21">
        <v>-82.1573</v>
      </c>
      <c r="J502" s="21" t="s">
        <v>2338</v>
      </c>
      <c r="K502" s="21" t="s">
        <v>2339</v>
      </c>
      <c r="L502" s="21">
        <v>2.0</v>
      </c>
      <c r="M502" s="21">
        <v>26.4416</v>
      </c>
      <c r="N502" s="21">
        <v>-82.1331</v>
      </c>
      <c r="O502" s="21" t="s">
        <v>2298</v>
      </c>
      <c r="P502" s="54"/>
    </row>
    <row r="503" ht="33.75" customHeight="1">
      <c r="A503" s="29">
        <v>42410.0</v>
      </c>
      <c r="B503" s="25" t="s">
        <v>1443</v>
      </c>
      <c r="C503" s="25" t="s">
        <v>1445</v>
      </c>
      <c r="D503" s="25" t="s">
        <v>2463</v>
      </c>
      <c r="E503" s="25" t="s">
        <v>320</v>
      </c>
      <c r="F503" s="25">
        <v>25.702147</v>
      </c>
      <c r="G503" s="25">
        <v>-80.154422</v>
      </c>
      <c r="H503" s="21">
        <v>25.716111</v>
      </c>
      <c r="I503" s="21">
        <v>-80.149411</v>
      </c>
      <c r="J503" s="21" t="s">
        <v>1627</v>
      </c>
      <c r="K503" s="21" t="s">
        <v>2464</v>
      </c>
      <c r="L503" s="21">
        <v>1.0</v>
      </c>
      <c r="M503" s="21">
        <v>25.702147</v>
      </c>
      <c r="N503" s="21">
        <v>-80.154422</v>
      </c>
      <c r="O503" s="21" t="s">
        <v>2465</v>
      </c>
      <c r="P503" s="22" t="s">
        <v>693</v>
      </c>
    </row>
    <row r="504" ht="33.75" customHeight="1">
      <c r="A504" s="29">
        <v>42410.0</v>
      </c>
      <c r="B504" s="25" t="s">
        <v>1443</v>
      </c>
      <c r="C504" s="25" t="s">
        <v>1445</v>
      </c>
      <c r="D504" s="25" t="s">
        <v>2463</v>
      </c>
      <c r="E504" s="25" t="s">
        <v>320</v>
      </c>
      <c r="F504" s="25">
        <v>25.702147</v>
      </c>
      <c r="G504" s="25">
        <v>-80.154422</v>
      </c>
      <c r="H504" s="21">
        <v>25.716111</v>
      </c>
      <c r="I504" s="21">
        <v>-80.149411</v>
      </c>
      <c r="J504" s="21" t="s">
        <v>1627</v>
      </c>
      <c r="K504" s="21" t="s">
        <v>2464</v>
      </c>
      <c r="L504" s="21">
        <v>1.0</v>
      </c>
      <c r="M504" s="21">
        <v>25.702147</v>
      </c>
      <c r="N504" s="21">
        <v>-80.154422</v>
      </c>
      <c r="O504" s="21" t="s">
        <v>2466</v>
      </c>
      <c r="P504" s="22" t="s">
        <v>2467</v>
      </c>
    </row>
    <row r="505" ht="33.75" customHeight="1">
      <c r="A505" s="29">
        <v>42410.0</v>
      </c>
      <c r="B505" s="25" t="s">
        <v>1443</v>
      </c>
      <c r="C505" s="25" t="s">
        <v>1445</v>
      </c>
      <c r="D505" s="25" t="s">
        <v>2463</v>
      </c>
      <c r="E505" s="25" t="s">
        <v>320</v>
      </c>
      <c r="F505" s="25">
        <v>25.702147</v>
      </c>
      <c r="G505" s="25">
        <v>-80.154422</v>
      </c>
      <c r="H505" s="21">
        <v>25.716111</v>
      </c>
      <c r="I505" s="21">
        <v>-80.149411</v>
      </c>
      <c r="J505" s="21" t="s">
        <v>1627</v>
      </c>
      <c r="K505" s="21" t="s">
        <v>2464</v>
      </c>
      <c r="L505" s="21">
        <v>1.0</v>
      </c>
      <c r="M505" s="21">
        <v>25.702147</v>
      </c>
      <c r="N505" s="21">
        <v>-80.154422</v>
      </c>
      <c r="O505" s="21" t="s">
        <v>2468</v>
      </c>
      <c r="P505" s="54"/>
    </row>
    <row r="506" ht="33.75" customHeight="1">
      <c r="A506" s="29">
        <v>42410.0</v>
      </c>
      <c r="B506" s="25" t="s">
        <v>1443</v>
      </c>
      <c r="C506" s="25" t="s">
        <v>1445</v>
      </c>
      <c r="D506" s="25" t="s">
        <v>2463</v>
      </c>
      <c r="E506" s="25" t="s">
        <v>320</v>
      </c>
      <c r="F506" s="25">
        <v>25.702147</v>
      </c>
      <c r="G506" s="25">
        <v>-80.154422</v>
      </c>
      <c r="H506" s="21">
        <v>25.716111</v>
      </c>
      <c r="I506" s="21">
        <v>-80.149411</v>
      </c>
      <c r="J506" s="21" t="s">
        <v>1627</v>
      </c>
      <c r="K506" s="21" t="s">
        <v>2464</v>
      </c>
      <c r="L506" s="21">
        <v>1.0</v>
      </c>
      <c r="M506" s="21">
        <v>25.702147</v>
      </c>
      <c r="N506" s="21">
        <v>-80.154422</v>
      </c>
      <c r="O506" s="21" t="s">
        <v>2469</v>
      </c>
      <c r="P506" s="54"/>
    </row>
    <row r="507" ht="33.75" customHeight="1">
      <c r="A507" s="29">
        <v>42410.0</v>
      </c>
      <c r="B507" s="25" t="s">
        <v>1443</v>
      </c>
      <c r="C507" s="25" t="s">
        <v>1445</v>
      </c>
      <c r="D507" s="25" t="s">
        <v>2463</v>
      </c>
      <c r="E507" s="25" t="s">
        <v>320</v>
      </c>
      <c r="F507" s="25">
        <v>25.702147</v>
      </c>
      <c r="G507" s="25">
        <v>-80.154422</v>
      </c>
      <c r="H507" s="21">
        <v>25.716111</v>
      </c>
      <c r="I507" s="21">
        <v>-80.149411</v>
      </c>
      <c r="J507" s="21" t="s">
        <v>1627</v>
      </c>
      <c r="K507" s="21" t="s">
        <v>2464</v>
      </c>
      <c r="L507" s="21">
        <v>3.0</v>
      </c>
      <c r="M507" s="21">
        <v>25.704261</v>
      </c>
      <c r="N507" s="21">
        <v>-80.153053</v>
      </c>
      <c r="O507" s="21" t="s">
        <v>2470</v>
      </c>
      <c r="P507" s="22" t="s">
        <v>2471</v>
      </c>
    </row>
    <row r="508" ht="33.75" customHeight="1">
      <c r="A508" s="29">
        <v>42410.0</v>
      </c>
      <c r="B508" s="25" t="s">
        <v>1443</v>
      </c>
      <c r="C508" s="25" t="s">
        <v>1445</v>
      </c>
      <c r="D508" s="25" t="s">
        <v>2463</v>
      </c>
      <c r="E508" s="25" t="s">
        <v>320</v>
      </c>
      <c r="F508" s="25">
        <v>25.702147</v>
      </c>
      <c r="G508" s="25">
        <v>-80.154422</v>
      </c>
      <c r="H508" s="21">
        <v>25.716111</v>
      </c>
      <c r="I508" s="21">
        <v>-80.149411</v>
      </c>
      <c r="J508" s="21" t="s">
        <v>1627</v>
      </c>
      <c r="K508" s="21" t="s">
        <v>2464</v>
      </c>
      <c r="L508" s="21">
        <v>4.0</v>
      </c>
      <c r="M508" s="21">
        <v>25.716111</v>
      </c>
      <c r="N508" s="21">
        <v>-80.1494111</v>
      </c>
      <c r="O508" s="21" t="s">
        <v>2472</v>
      </c>
      <c r="P508" s="22" t="s">
        <v>2473</v>
      </c>
    </row>
    <row r="509" ht="33.75" customHeight="1">
      <c r="A509" s="29">
        <v>42410.0</v>
      </c>
      <c r="B509" s="25" t="s">
        <v>1443</v>
      </c>
      <c r="C509" s="25" t="s">
        <v>1445</v>
      </c>
      <c r="D509" s="25" t="s">
        <v>2463</v>
      </c>
      <c r="E509" s="25" t="s">
        <v>320</v>
      </c>
      <c r="F509" s="25">
        <v>25.702147</v>
      </c>
      <c r="G509" s="25">
        <v>-80.154422</v>
      </c>
      <c r="H509" s="21">
        <v>25.716111</v>
      </c>
      <c r="I509" s="21">
        <v>-80.149411</v>
      </c>
      <c r="J509" s="21" t="s">
        <v>1627</v>
      </c>
      <c r="K509" s="21" t="s">
        <v>2464</v>
      </c>
      <c r="L509" s="21">
        <v>4.0</v>
      </c>
      <c r="M509" s="21">
        <v>25.716111</v>
      </c>
      <c r="N509" s="21">
        <v>-80.1494111</v>
      </c>
      <c r="O509" s="21" t="s">
        <v>2474</v>
      </c>
      <c r="P509" s="54"/>
    </row>
    <row r="510" ht="33.75" customHeight="1">
      <c r="A510" s="29">
        <v>42411.0</v>
      </c>
      <c r="B510" s="25" t="s">
        <v>1871</v>
      </c>
      <c r="C510" s="25" t="s">
        <v>2475</v>
      </c>
      <c r="D510" s="25" t="s">
        <v>2476</v>
      </c>
      <c r="E510" s="25" t="s">
        <v>220</v>
      </c>
      <c r="F510" s="25">
        <v>26.794139</v>
      </c>
      <c r="G510" s="25">
        <v>-80.031872</v>
      </c>
      <c r="H510" s="21">
        <v>26.813921</v>
      </c>
      <c r="I510" s="21">
        <v>-80.035385</v>
      </c>
      <c r="J510" s="21" t="s">
        <v>2477</v>
      </c>
      <c r="K510" s="21" t="s">
        <v>1877</v>
      </c>
      <c r="P510" s="54"/>
    </row>
    <row r="511" ht="33.75" customHeight="1">
      <c r="A511" s="29">
        <v>42411.0</v>
      </c>
      <c r="B511" s="25" t="s">
        <v>1795</v>
      </c>
      <c r="C511" s="25" t="s">
        <v>1796</v>
      </c>
      <c r="D511" s="25" t="s">
        <v>1797</v>
      </c>
      <c r="E511" s="25" t="s">
        <v>220</v>
      </c>
      <c r="F511" s="25">
        <v>26.882</v>
      </c>
      <c r="G511" s="25">
        <v>-80.069</v>
      </c>
      <c r="H511" s="21">
        <v>26.891</v>
      </c>
      <c r="I511" s="21">
        <v>-80.073</v>
      </c>
      <c r="J511" s="21" t="s">
        <v>1799</v>
      </c>
      <c r="K511" s="21" t="s">
        <v>1800</v>
      </c>
      <c r="P511" s="54"/>
    </row>
    <row r="512" ht="33.75" customHeight="1">
      <c r="A512" s="29">
        <v>42411.0</v>
      </c>
      <c r="B512" s="25" t="s">
        <v>1795</v>
      </c>
      <c r="C512" s="25" t="s">
        <v>1796</v>
      </c>
      <c r="D512" s="25" t="s">
        <v>1805</v>
      </c>
      <c r="E512" s="25" t="s">
        <v>220</v>
      </c>
      <c r="F512" s="25">
        <v>26.907</v>
      </c>
      <c r="G512" s="25">
        <v>-80.078</v>
      </c>
      <c r="H512" s="21">
        <v>26.919</v>
      </c>
      <c r="I512" s="21">
        <v>-80.078</v>
      </c>
      <c r="J512" s="21" t="s">
        <v>1806</v>
      </c>
      <c r="K512" s="21" t="s">
        <v>1800</v>
      </c>
      <c r="P512" s="54"/>
    </row>
    <row r="513" ht="33.75" customHeight="1">
      <c r="A513" s="29">
        <v>42406.0</v>
      </c>
      <c r="B513" s="25" t="s">
        <v>555</v>
      </c>
      <c r="C513" s="25" t="s">
        <v>557</v>
      </c>
      <c r="D513" s="25" t="s">
        <v>569</v>
      </c>
      <c r="E513" s="25" t="s">
        <v>71</v>
      </c>
      <c r="F513" s="25">
        <v>25.9013</v>
      </c>
      <c r="G513" s="25">
        <v>-81.7157</v>
      </c>
      <c r="H513" s="21">
        <v>25.871</v>
      </c>
      <c r="I513" s="21">
        <v>-81.6969</v>
      </c>
      <c r="J513" s="21" t="s">
        <v>570</v>
      </c>
      <c r="K513" s="21" t="s">
        <v>2478</v>
      </c>
      <c r="L513" s="21">
        <v>1.0</v>
      </c>
      <c r="M513" s="21">
        <v>25.90055</v>
      </c>
      <c r="N513" s="21">
        <v>-81.715649</v>
      </c>
      <c r="O513" s="21" t="s">
        <v>2479</v>
      </c>
      <c r="P513" s="22" t="s">
        <v>2480</v>
      </c>
    </row>
    <row r="514" ht="33.75" customHeight="1">
      <c r="A514" s="29">
        <v>42406.0</v>
      </c>
      <c r="B514" s="25" t="s">
        <v>555</v>
      </c>
      <c r="C514" s="25" t="s">
        <v>557</v>
      </c>
      <c r="D514" s="25" t="s">
        <v>569</v>
      </c>
      <c r="E514" s="25" t="s">
        <v>71</v>
      </c>
      <c r="F514" s="25">
        <v>25.9013</v>
      </c>
      <c r="G514" s="25">
        <v>-81.7157</v>
      </c>
      <c r="H514" s="21">
        <v>25.871</v>
      </c>
      <c r="I514" s="21">
        <v>-81.6969</v>
      </c>
      <c r="J514" s="21" t="s">
        <v>570</v>
      </c>
      <c r="K514" s="21" t="s">
        <v>2478</v>
      </c>
      <c r="L514" s="21">
        <v>2.0</v>
      </c>
      <c r="M514" s="21">
        <v>25.896052</v>
      </c>
      <c r="N514" s="21">
        <v>-81.713031</v>
      </c>
      <c r="O514" s="21" t="s">
        <v>2481</v>
      </c>
      <c r="P514" s="22" t="s">
        <v>2480</v>
      </c>
    </row>
    <row r="515" ht="33.75" customHeight="1">
      <c r="A515" s="29">
        <v>42406.0</v>
      </c>
      <c r="B515" s="25" t="s">
        <v>555</v>
      </c>
      <c r="C515" s="25" t="s">
        <v>557</v>
      </c>
      <c r="D515" s="25" t="s">
        <v>576</v>
      </c>
      <c r="E515" s="25" t="s">
        <v>71</v>
      </c>
      <c r="F515" s="25">
        <v>25.8701</v>
      </c>
      <c r="G515" s="25">
        <v>-81.6968</v>
      </c>
      <c r="H515" s="21">
        <v>25.8445</v>
      </c>
      <c r="I515" s="21">
        <v>-81.679</v>
      </c>
      <c r="J515" s="21" t="s">
        <v>579</v>
      </c>
      <c r="K515" s="21" t="s">
        <v>2482</v>
      </c>
      <c r="L515" s="21">
        <v>1.0</v>
      </c>
      <c r="M515" s="21">
        <v>25.856023</v>
      </c>
      <c r="N515" s="21">
        <v>-81.683789</v>
      </c>
      <c r="O515" s="21" t="s">
        <v>2483</v>
      </c>
      <c r="P515" s="22" t="s">
        <v>2484</v>
      </c>
    </row>
    <row r="516" ht="33.75" customHeight="1">
      <c r="A516" s="29">
        <v>42406.0</v>
      </c>
      <c r="B516" s="25" t="s">
        <v>555</v>
      </c>
      <c r="C516" s="25" t="s">
        <v>557</v>
      </c>
      <c r="D516" s="25" t="s">
        <v>576</v>
      </c>
      <c r="E516" s="25" t="s">
        <v>71</v>
      </c>
      <c r="F516" s="25">
        <v>25.8701</v>
      </c>
      <c r="G516" s="25">
        <v>-81.6968</v>
      </c>
      <c r="H516" s="21">
        <v>25.8445</v>
      </c>
      <c r="I516" s="21">
        <v>-81.679</v>
      </c>
      <c r="J516" s="21" t="s">
        <v>579</v>
      </c>
      <c r="K516" s="21" t="s">
        <v>2482</v>
      </c>
      <c r="L516" s="21">
        <v>2.0</v>
      </c>
      <c r="M516" s="21">
        <v>25.855387</v>
      </c>
      <c r="N516" s="21">
        <v>-81.686555</v>
      </c>
      <c r="O516" s="21" t="s">
        <v>2485</v>
      </c>
      <c r="P516" s="22" t="s">
        <v>2486</v>
      </c>
    </row>
    <row r="517" ht="33.75" customHeight="1">
      <c r="A517" s="29">
        <v>42406.0</v>
      </c>
      <c r="B517" s="25" t="s">
        <v>555</v>
      </c>
      <c r="C517" s="25" t="s">
        <v>557</v>
      </c>
      <c r="D517" s="25" t="s">
        <v>576</v>
      </c>
      <c r="E517" s="25" t="s">
        <v>71</v>
      </c>
      <c r="F517" s="25">
        <v>25.8701</v>
      </c>
      <c r="G517" s="25">
        <v>-81.6968</v>
      </c>
      <c r="H517" s="21">
        <v>25.8445</v>
      </c>
      <c r="I517" s="21">
        <v>-81.679</v>
      </c>
      <c r="J517" s="21" t="s">
        <v>579</v>
      </c>
      <c r="K517" s="21" t="s">
        <v>2482</v>
      </c>
      <c r="L517" s="21">
        <v>3.0</v>
      </c>
      <c r="M517" s="21">
        <v>25.845287</v>
      </c>
      <c r="N517" s="21">
        <v>-81.681245</v>
      </c>
      <c r="O517" s="21" t="s">
        <v>2487</v>
      </c>
      <c r="P517" s="22" t="s">
        <v>2488</v>
      </c>
    </row>
    <row r="518" ht="33.75" customHeight="1">
      <c r="A518" s="29">
        <v>42406.0</v>
      </c>
      <c r="B518" s="25" t="s">
        <v>555</v>
      </c>
      <c r="C518" s="25" t="s">
        <v>557</v>
      </c>
      <c r="D518" s="25" t="s">
        <v>576</v>
      </c>
      <c r="E518" s="25" t="s">
        <v>71</v>
      </c>
      <c r="F518" s="25">
        <v>25.8701</v>
      </c>
      <c r="G518" s="25">
        <v>-81.6968</v>
      </c>
      <c r="H518" s="21">
        <v>25.8445</v>
      </c>
      <c r="I518" s="21">
        <v>-81.679</v>
      </c>
      <c r="J518" s="21" t="s">
        <v>579</v>
      </c>
      <c r="K518" s="21" t="s">
        <v>2489</v>
      </c>
      <c r="L518" s="21">
        <v>4.0</v>
      </c>
      <c r="M518" s="21">
        <v>25.844863</v>
      </c>
      <c r="N518" s="21">
        <v>-81.678862</v>
      </c>
      <c r="O518" s="21" t="s">
        <v>2490</v>
      </c>
      <c r="P518" s="22" t="s">
        <v>2491</v>
      </c>
    </row>
    <row r="519" ht="33.75" customHeight="1">
      <c r="A519" s="29">
        <v>42406.0</v>
      </c>
      <c r="B519" s="25" t="s">
        <v>555</v>
      </c>
      <c r="C519" s="25" t="s">
        <v>557</v>
      </c>
      <c r="D519" s="25" t="s">
        <v>558</v>
      </c>
      <c r="E519" s="25" t="s">
        <v>71</v>
      </c>
      <c r="F519" s="25">
        <v>25.843642</v>
      </c>
      <c r="G519" s="25">
        <v>-81.666403</v>
      </c>
      <c r="H519" s="21">
        <v>25.840697</v>
      </c>
      <c r="I519" s="21">
        <v>-81.665599</v>
      </c>
      <c r="J519" s="21" t="s">
        <v>562</v>
      </c>
      <c r="K519" s="21" t="s">
        <v>2492</v>
      </c>
      <c r="L519" s="21">
        <v>1.0</v>
      </c>
      <c r="M519" s="21">
        <v>25.839162</v>
      </c>
      <c r="N519" s="21">
        <v>-81.665846</v>
      </c>
      <c r="O519" s="21" t="s">
        <v>2493</v>
      </c>
      <c r="P519" s="22" t="s">
        <v>2488</v>
      </c>
    </row>
    <row r="520" ht="33.75" customHeight="1">
      <c r="A520" s="29">
        <v>42406.0</v>
      </c>
      <c r="B520" s="25" t="s">
        <v>555</v>
      </c>
      <c r="C520" s="25" t="s">
        <v>557</v>
      </c>
      <c r="D520" s="25" t="s">
        <v>558</v>
      </c>
      <c r="E520" s="25" t="s">
        <v>71</v>
      </c>
      <c r="F520" s="25">
        <v>25.843642</v>
      </c>
      <c r="G520" s="25">
        <v>-81.666403</v>
      </c>
      <c r="H520" s="21">
        <v>25.840697</v>
      </c>
      <c r="I520" s="21">
        <v>-81.665599</v>
      </c>
      <c r="J520" s="21" t="s">
        <v>562</v>
      </c>
      <c r="K520" s="21" t="s">
        <v>2492</v>
      </c>
      <c r="L520" s="21">
        <v>2.0</v>
      </c>
      <c r="M520" s="21">
        <v>25.839761</v>
      </c>
      <c r="N520" s="21">
        <v>-81.667455</v>
      </c>
      <c r="O520" s="21" t="s">
        <v>2494</v>
      </c>
      <c r="P520" s="22" t="s">
        <v>2495</v>
      </c>
    </row>
    <row r="521" ht="33.75" customHeight="1">
      <c r="A521" s="29">
        <v>42406.0</v>
      </c>
      <c r="B521" s="25" t="s">
        <v>555</v>
      </c>
      <c r="C521" s="25" t="s">
        <v>557</v>
      </c>
      <c r="D521" s="25" t="s">
        <v>558</v>
      </c>
      <c r="E521" s="25" t="s">
        <v>71</v>
      </c>
      <c r="F521" s="25">
        <v>25.843642</v>
      </c>
      <c r="G521" s="25">
        <v>-81.666403</v>
      </c>
      <c r="H521" s="21">
        <v>25.840697</v>
      </c>
      <c r="I521" s="21">
        <v>-81.665599</v>
      </c>
      <c r="J521" s="21" t="s">
        <v>562</v>
      </c>
      <c r="K521" s="21" t="s">
        <v>2492</v>
      </c>
      <c r="L521" s="21">
        <v>3.0</v>
      </c>
      <c r="M521" s="21">
        <v>25.84344</v>
      </c>
      <c r="N521" s="21">
        <v>-81.666457</v>
      </c>
      <c r="O521" s="21" t="s">
        <v>2496</v>
      </c>
      <c r="P521" s="22" t="s">
        <v>2488</v>
      </c>
    </row>
    <row r="522" ht="33.75" customHeight="1">
      <c r="A522" s="29">
        <v>42408.0</v>
      </c>
      <c r="B522" s="25" t="s">
        <v>601</v>
      </c>
      <c r="C522" s="25" t="s">
        <v>557</v>
      </c>
      <c r="D522" s="25" t="s">
        <v>605</v>
      </c>
      <c r="E522" s="25" t="s">
        <v>71</v>
      </c>
      <c r="F522" s="25">
        <v>25.989172</v>
      </c>
      <c r="G522" s="25">
        <v>-81.749735</v>
      </c>
      <c r="H522" s="21">
        <v>25.993755</v>
      </c>
      <c r="I522" s="21">
        <v>-81.753849</v>
      </c>
      <c r="J522" s="21" t="s">
        <v>607</v>
      </c>
      <c r="K522" s="21" t="s">
        <v>608</v>
      </c>
      <c r="L522" s="21">
        <v>1.0</v>
      </c>
      <c r="M522" s="21">
        <v>25.990285</v>
      </c>
      <c r="N522" s="21">
        <v>-81.751153</v>
      </c>
      <c r="O522" s="21" t="s">
        <v>2497</v>
      </c>
      <c r="P522" s="22" t="s">
        <v>2498</v>
      </c>
    </row>
    <row r="523" ht="33.75" customHeight="1">
      <c r="A523" s="29">
        <v>42410.0</v>
      </c>
      <c r="B523" s="25" t="s">
        <v>2186</v>
      </c>
      <c r="C523" s="25" t="s">
        <v>2178</v>
      </c>
      <c r="D523" s="25" t="s">
        <v>2188</v>
      </c>
      <c r="E523" s="25" t="s">
        <v>2180</v>
      </c>
      <c r="F523" s="25">
        <v>29.910476</v>
      </c>
      <c r="G523" s="25">
        <v>-8.1294692E7</v>
      </c>
      <c r="H523" s="21">
        <v>29.91783</v>
      </c>
      <c r="I523" s="21">
        <v>-81.29013</v>
      </c>
      <c r="J523" s="21" t="s">
        <v>2499</v>
      </c>
      <c r="K523" s="21" t="s">
        <v>2500</v>
      </c>
      <c r="L523" s="21">
        <v>1.0</v>
      </c>
      <c r="M523" s="21">
        <v>29.91443</v>
      </c>
      <c r="N523" s="21">
        <v>-81.28857</v>
      </c>
      <c r="O523" s="21" t="s">
        <v>2501</v>
      </c>
      <c r="P523" s="22" t="s">
        <v>2498</v>
      </c>
    </row>
    <row r="524" ht="33.75" customHeight="1">
      <c r="A524" s="29">
        <v>42410.0</v>
      </c>
      <c r="B524" s="25" t="s">
        <v>2186</v>
      </c>
      <c r="C524" s="25" t="s">
        <v>2178</v>
      </c>
      <c r="D524" s="25" t="s">
        <v>2188</v>
      </c>
      <c r="E524" s="25" t="s">
        <v>2180</v>
      </c>
      <c r="F524" s="25">
        <v>29.910476</v>
      </c>
      <c r="G524" s="25">
        <v>-8.1294692E7</v>
      </c>
      <c r="H524" s="21">
        <v>29.91783</v>
      </c>
      <c r="I524" s="21">
        <v>-81.29013</v>
      </c>
      <c r="J524" s="21" t="s">
        <v>2499</v>
      </c>
      <c r="K524" s="21" t="s">
        <v>2500</v>
      </c>
      <c r="L524" s="21">
        <v>2.0</v>
      </c>
      <c r="M524" s="21">
        <v>29.916921</v>
      </c>
      <c r="N524" s="21">
        <v>-81.289469</v>
      </c>
      <c r="O524" s="21" t="s">
        <v>2502</v>
      </c>
      <c r="P524" s="22" t="s">
        <v>2498</v>
      </c>
    </row>
    <row r="525" ht="33.75" customHeight="1">
      <c r="A525" s="29">
        <v>42408.0</v>
      </c>
      <c r="B525" s="25" t="s">
        <v>2177</v>
      </c>
      <c r="C525" s="25" t="s">
        <v>2178</v>
      </c>
      <c r="D525" s="25" t="s">
        <v>2179</v>
      </c>
      <c r="E525" s="25" t="s">
        <v>2180</v>
      </c>
      <c r="F525" s="25">
        <v>29.859504</v>
      </c>
      <c r="G525" s="25">
        <v>-81.265064</v>
      </c>
      <c r="H525" s="21">
        <v>29.898765</v>
      </c>
      <c r="I525" s="21">
        <v>-81.289448</v>
      </c>
      <c r="J525" s="21" t="s">
        <v>2181</v>
      </c>
      <c r="K525" s="21" t="s">
        <v>2182</v>
      </c>
      <c r="L525" s="21">
        <v>1.0</v>
      </c>
      <c r="M525" s="21">
        <v>29.877359</v>
      </c>
      <c r="N525" s="21">
        <v>-81.268991</v>
      </c>
      <c r="O525" s="21" t="s">
        <v>2503</v>
      </c>
      <c r="P525" s="22" t="s">
        <v>2498</v>
      </c>
    </row>
    <row r="526" ht="33.75" customHeight="1">
      <c r="A526" s="29">
        <v>42408.0</v>
      </c>
      <c r="B526" s="25" t="s">
        <v>2177</v>
      </c>
      <c r="C526" s="25" t="s">
        <v>2178</v>
      </c>
      <c r="D526" s="25" t="s">
        <v>2179</v>
      </c>
      <c r="E526" s="25" t="s">
        <v>2180</v>
      </c>
      <c r="F526" s="25">
        <v>29.859504</v>
      </c>
      <c r="G526" s="25">
        <v>-81.265064</v>
      </c>
      <c r="H526" s="21">
        <v>29.898765</v>
      </c>
      <c r="I526" s="21">
        <v>-81.289448</v>
      </c>
      <c r="J526" s="21" t="s">
        <v>2181</v>
      </c>
      <c r="K526" s="21" t="s">
        <v>2182</v>
      </c>
      <c r="L526" s="21">
        <v>2.0</v>
      </c>
      <c r="M526" s="21">
        <v>29.887097</v>
      </c>
      <c r="N526" s="21">
        <v>-81.27343</v>
      </c>
      <c r="O526" s="21" t="s">
        <v>2504</v>
      </c>
      <c r="P526" s="22" t="s">
        <v>2498</v>
      </c>
    </row>
    <row r="527" ht="33.75" customHeight="1">
      <c r="A527" s="29">
        <v>42408.0</v>
      </c>
      <c r="B527" s="25" t="s">
        <v>544</v>
      </c>
      <c r="C527" s="25" t="s">
        <v>545</v>
      </c>
      <c r="D527" s="25" t="s">
        <v>546</v>
      </c>
      <c r="E527" s="25" t="s">
        <v>547</v>
      </c>
      <c r="F527" s="25">
        <v>29.01263</v>
      </c>
      <c r="G527" s="25">
        <v>-82.66232</v>
      </c>
      <c r="H527" s="21">
        <v>29.01263</v>
      </c>
      <c r="I527" s="21">
        <v>-82.66232</v>
      </c>
      <c r="J527" s="21" t="s">
        <v>548</v>
      </c>
      <c r="K527" s="21" t="s">
        <v>2505</v>
      </c>
      <c r="L527" s="21">
        <v>1.0</v>
      </c>
      <c r="M527" s="21">
        <v>29.00926</v>
      </c>
      <c r="N527" s="21">
        <v>-82.68286</v>
      </c>
      <c r="O527" s="21" t="s">
        <v>2506</v>
      </c>
      <c r="P527" s="22" t="s">
        <v>2507</v>
      </c>
    </row>
    <row r="528" ht="33.75" customHeight="1">
      <c r="A528" s="29">
        <v>42408.0</v>
      </c>
      <c r="B528" s="25" t="s">
        <v>544</v>
      </c>
      <c r="C528" s="25" t="s">
        <v>545</v>
      </c>
      <c r="D528" s="25" t="s">
        <v>546</v>
      </c>
      <c r="E528" s="25" t="s">
        <v>547</v>
      </c>
      <c r="F528" s="25">
        <v>29.01263</v>
      </c>
      <c r="G528" s="25">
        <v>-82.66232</v>
      </c>
      <c r="H528" s="21">
        <v>29.01263</v>
      </c>
      <c r="I528" s="21">
        <v>-82.66232</v>
      </c>
      <c r="J528" s="21" t="s">
        <v>548</v>
      </c>
      <c r="K528" s="21" t="s">
        <v>2508</v>
      </c>
      <c r="L528" s="21">
        <v>2.0</v>
      </c>
      <c r="M528" s="21">
        <v>28.99515</v>
      </c>
      <c r="N528" s="21">
        <v>-82.73711</v>
      </c>
      <c r="O528" s="21" t="s">
        <v>2509</v>
      </c>
      <c r="P528" s="54"/>
    </row>
    <row r="529" ht="33.75" customHeight="1">
      <c r="A529" s="29">
        <v>42408.0</v>
      </c>
      <c r="B529" s="25" t="s">
        <v>544</v>
      </c>
      <c r="C529" s="25" t="s">
        <v>545</v>
      </c>
      <c r="D529" s="25" t="s">
        <v>546</v>
      </c>
      <c r="E529" s="25" t="s">
        <v>547</v>
      </c>
      <c r="F529" s="25">
        <v>29.01263</v>
      </c>
      <c r="G529" s="25">
        <v>-82.66232</v>
      </c>
      <c r="H529" s="21">
        <v>29.01263</v>
      </c>
      <c r="I529" s="21">
        <v>-82.66232</v>
      </c>
      <c r="J529" s="21" t="s">
        <v>548</v>
      </c>
      <c r="K529" s="21" t="s">
        <v>2508</v>
      </c>
      <c r="L529" s="21">
        <v>3.0</v>
      </c>
      <c r="M529" s="21">
        <v>28.99449</v>
      </c>
      <c r="N529" s="21">
        <v>-82.73797</v>
      </c>
      <c r="O529" s="21" t="s">
        <v>581</v>
      </c>
      <c r="P529" s="22" t="s">
        <v>2507</v>
      </c>
    </row>
    <row r="530" ht="33.75" customHeight="1">
      <c r="A530" s="29">
        <v>42408.0</v>
      </c>
      <c r="B530" s="25" t="s">
        <v>544</v>
      </c>
      <c r="C530" s="25" t="s">
        <v>545</v>
      </c>
      <c r="D530" s="25" t="s">
        <v>546</v>
      </c>
      <c r="E530" s="25" t="s">
        <v>547</v>
      </c>
      <c r="F530" s="25">
        <v>29.01263</v>
      </c>
      <c r="G530" s="25">
        <v>-82.66232</v>
      </c>
      <c r="H530" s="21">
        <v>29.01263</v>
      </c>
      <c r="I530" s="21">
        <v>-82.66232</v>
      </c>
      <c r="J530" s="21" t="s">
        <v>548</v>
      </c>
      <c r="K530" s="21" t="s">
        <v>2508</v>
      </c>
      <c r="L530" s="21">
        <v>4.0</v>
      </c>
      <c r="M530" s="21">
        <v>28.99471</v>
      </c>
      <c r="N530" s="21">
        <v>-82.74293</v>
      </c>
      <c r="O530" s="21" t="s">
        <v>2510</v>
      </c>
      <c r="P530" s="54"/>
    </row>
    <row r="531" ht="33.75" customHeight="1">
      <c r="A531" s="29">
        <v>42408.0</v>
      </c>
      <c r="B531" s="25" t="s">
        <v>544</v>
      </c>
      <c r="C531" s="25" t="s">
        <v>545</v>
      </c>
      <c r="D531" s="25" t="s">
        <v>546</v>
      </c>
      <c r="E531" s="25" t="s">
        <v>547</v>
      </c>
      <c r="F531" s="25">
        <v>29.01263</v>
      </c>
      <c r="G531" s="25">
        <v>-82.66232</v>
      </c>
      <c r="H531" s="21">
        <v>29.01263</v>
      </c>
      <c r="I531" s="21">
        <v>-82.66232</v>
      </c>
      <c r="J531" s="21" t="s">
        <v>548</v>
      </c>
      <c r="K531" s="21" t="s">
        <v>549</v>
      </c>
      <c r="L531" s="21">
        <v>5.0</v>
      </c>
      <c r="M531" s="21">
        <v>28.99029</v>
      </c>
      <c r="N531" s="21">
        <v>-82.73929</v>
      </c>
      <c r="O531" s="21" t="s">
        <v>2511</v>
      </c>
      <c r="P531" s="22" t="s">
        <v>2507</v>
      </c>
    </row>
    <row r="532" ht="33.75" customHeight="1">
      <c r="A532" s="29">
        <v>42408.0</v>
      </c>
      <c r="B532" s="25" t="s">
        <v>544</v>
      </c>
      <c r="C532" s="25" t="s">
        <v>545</v>
      </c>
      <c r="D532" s="25" t="s">
        <v>546</v>
      </c>
      <c r="E532" s="25" t="s">
        <v>547</v>
      </c>
      <c r="F532" s="25">
        <v>29.01263</v>
      </c>
      <c r="G532" s="25">
        <v>-82.66232</v>
      </c>
      <c r="H532" s="21">
        <v>29.01263</v>
      </c>
      <c r="I532" s="21">
        <v>-82.66232</v>
      </c>
      <c r="J532" s="21" t="s">
        <v>548</v>
      </c>
      <c r="K532" s="21" t="s">
        <v>549</v>
      </c>
      <c r="L532" s="21">
        <v>6.0</v>
      </c>
      <c r="M532" s="21">
        <v>28.99029</v>
      </c>
      <c r="N532" s="21">
        <v>-82.73961</v>
      </c>
      <c r="O532" s="21" t="s">
        <v>2512</v>
      </c>
      <c r="P532" s="22" t="s">
        <v>2513</v>
      </c>
    </row>
    <row r="533" ht="33.75" customHeight="1">
      <c r="A533" s="29">
        <v>42408.0</v>
      </c>
      <c r="B533" s="25" t="s">
        <v>544</v>
      </c>
      <c r="C533" s="25" t="s">
        <v>545</v>
      </c>
      <c r="D533" s="25" t="s">
        <v>546</v>
      </c>
      <c r="E533" s="25" t="s">
        <v>547</v>
      </c>
      <c r="F533" s="25">
        <v>29.01263</v>
      </c>
      <c r="G533" s="25">
        <v>-82.66232</v>
      </c>
      <c r="H533" s="21">
        <v>29.01263</v>
      </c>
      <c r="I533" s="21">
        <v>-82.66232</v>
      </c>
      <c r="J533" s="21" t="s">
        <v>548</v>
      </c>
      <c r="K533" s="21" t="s">
        <v>549</v>
      </c>
      <c r="L533" s="21">
        <v>7.0</v>
      </c>
      <c r="M533" s="21">
        <v>28.99115</v>
      </c>
      <c r="N533" s="21">
        <v>-82.74821</v>
      </c>
      <c r="O533" s="21" t="s">
        <v>2514</v>
      </c>
      <c r="P533" s="54"/>
    </row>
    <row r="534" ht="33.75" customHeight="1">
      <c r="A534" s="29">
        <v>42408.0</v>
      </c>
      <c r="B534" s="25" t="s">
        <v>544</v>
      </c>
      <c r="C534" s="25" t="s">
        <v>545</v>
      </c>
      <c r="D534" s="25" t="s">
        <v>546</v>
      </c>
      <c r="E534" s="25" t="s">
        <v>547</v>
      </c>
      <c r="F534" s="25">
        <v>29.01263</v>
      </c>
      <c r="G534" s="25">
        <v>-82.66232</v>
      </c>
      <c r="H534" s="21">
        <v>29.01263</v>
      </c>
      <c r="I534" s="21">
        <v>-82.66232</v>
      </c>
      <c r="J534" s="21" t="s">
        <v>548</v>
      </c>
      <c r="K534" s="21" t="s">
        <v>549</v>
      </c>
      <c r="L534" s="21">
        <v>8.0</v>
      </c>
      <c r="M534" s="21">
        <v>28.99626</v>
      </c>
      <c r="N534" s="21">
        <v>-82.75047</v>
      </c>
      <c r="O534" s="21" t="s">
        <v>1465</v>
      </c>
      <c r="P534" s="54"/>
    </row>
    <row r="535" ht="33.75" customHeight="1">
      <c r="A535" s="29">
        <v>42408.0</v>
      </c>
      <c r="B535" s="25" t="s">
        <v>544</v>
      </c>
      <c r="C535" s="25" t="s">
        <v>545</v>
      </c>
      <c r="D535" s="25" t="s">
        <v>546</v>
      </c>
      <c r="E535" s="25" t="s">
        <v>547</v>
      </c>
      <c r="F535" s="25">
        <v>29.01263</v>
      </c>
      <c r="G535" s="25">
        <v>-82.66232</v>
      </c>
      <c r="H535" s="21">
        <v>29.01263</v>
      </c>
      <c r="I535" s="21">
        <v>-82.66232</v>
      </c>
      <c r="J535" s="21" t="s">
        <v>548</v>
      </c>
      <c r="K535" s="21" t="s">
        <v>549</v>
      </c>
      <c r="L535" s="21">
        <v>9.0</v>
      </c>
      <c r="M535" s="21">
        <v>28.99269</v>
      </c>
      <c r="N535" s="21">
        <v>-82.75047</v>
      </c>
      <c r="O535" s="21" t="s">
        <v>2515</v>
      </c>
      <c r="P535" s="54"/>
    </row>
    <row r="536" ht="33.75" customHeight="1">
      <c r="A536" s="29">
        <v>42408.0</v>
      </c>
      <c r="B536" s="25" t="s">
        <v>544</v>
      </c>
      <c r="C536" s="25" t="s">
        <v>545</v>
      </c>
      <c r="D536" s="25" t="s">
        <v>546</v>
      </c>
      <c r="E536" s="25" t="s">
        <v>547</v>
      </c>
      <c r="F536" s="25">
        <v>29.01263</v>
      </c>
      <c r="G536" s="25">
        <v>-82.66232</v>
      </c>
      <c r="H536" s="21">
        <v>29.01263</v>
      </c>
      <c r="I536" s="21">
        <v>-82.66232</v>
      </c>
      <c r="J536" s="21" t="s">
        <v>548</v>
      </c>
      <c r="K536" s="21" t="s">
        <v>549</v>
      </c>
      <c r="L536" s="21">
        <v>10.0</v>
      </c>
      <c r="M536" s="21">
        <v>28.98859</v>
      </c>
      <c r="N536" s="66">
        <v>-82.7595</v>
      </c>
      <c r="O536" s="21" t="s">
        <v>2516</v>
      </c>
      <c r="P536" s="54"/>
    </row>
    <row r="537" ht="33.75" customHeight="1">
      <c r="A537" s="29">
        <v>42408.0</v>
      </c>
      <c r="B537" s="25" t="s">
        <v>544</v>
      </c>
      <c r="C537" s="25" t="s">
        <v>545</v>
      </c>
      <c r="D537" s="25" t="s">
        <v>546</v>
      </c>
      <c r="E537" s="25" t="s">
        <v>547</v>
      </c>
      <c r="F537" s="25">
        <v>29.01263</v>
      </c>
      <c r="G537" s="25">
        <v>-82.66232</v>
      </c>
      <c r="H537" s="21">
        <v>29.01263</v>
      </c>
      <c r="I537" s="21">
        <v>-82.66232</v>
      </c>
      <c r="J537" s="21" t="s">
        <v>548</v>
      </c>
      <c r="K537" s="21" t="s">
        <v>549</v>
      </c>
      <c r="L537" s="21">
        <v>11.0</v>
      </c>
      <c r="M537" s="21">
        <v>28.98708</v>
      </c>
      <c r="N537" s="21">
        <v>-82.75947</v>
      </c>
      <c r="O537" s="21" t="s">
        <v>2517</v>
      </c>
      <c r="P537" s="54"/>
    </row>
    <row r="538" ht="33.75" customHeight="1">
      <c r="A538" s="29">
        <v>42408.0</v>
      </c>
      <c r="B538" s="25" t="s">
        <v>544</v>
      </c>
      <c r="C538" s="25" t="s">
        <v>545</v>
      </c>
      <c r="D538" s="25" t="s">
        <v>546</v>
      </c>
      <c r="E538" s="25" t="s">
        <v>547</v>
      </c>
      <c r="F538" s="25">
        <v>29.01263</v>
      </c>
      <c r="G538" s="25">
        <v>-82.66232</v>
      </c>
      <c r="H538" s="21">
        <v>29.01263</v>
      </c>
      <c r="I538" s="21">
        <v>-82.66232</v>
      </c>
      <c r="J538" s="21" t="s">
        <v>548</v>
      </c>
      <c r="K538" s="21" t="s">
        <v>549</v>
      </c>
      <c r="L538" s="21">
        <v>12.0</v>
      </c>
      <c r="M538" s="21">
        <v>28.98465</v>
      </c>
      <c r="N538" s="21">
        <v>-82.76347</v>
      </c>
      <c r="O538" s="21" t="s">
        <v>2518</v>
      </c>
      <c r="P538" s="54"/>
    </row>
    <row r="539" ht="33.75" customHeight="1">
      <c r="A539" s="29">
        <v>42408.0</v>
      </c>
      <c r="B539" s="25" t="s">
        <v>544</v>
      </c>
      <c r="C539" s="25" t="s">
        <v>545</v>
      </c>
      <c r="D539" s="25" t="s">
        <v>546</v>
      </c>
      <c r="E539" s="25" t="s">
        <v>547</v>
      </c>
      <c r="F539" s="25">
        <v>29.01263</v>
      </c>
      <c r="G539" s="25">
        <v>-82.66232</v>
      </c>
      <c r="H539" s="21">
        <v>29.01263</v>
      </c>
      <c r="I539" s="21">
        <v>-82.66232</v>
      </c>
      <c r="J539" s="21" t="s">
        <v>548</v>
      </c>
      <c r="K539" s="21" t="s">
        <v>549</v>
      </c>
      <c r="L539" s="21">
        <v>13.0</v>
      </c>
      <c r="M539" s="21">
        <v>28.96608</v>
      </c>
      <c r="N539" s="21">
        <v>-82.81001</v>
      </c>
      <c r="O539" s="21" t="s">
        <v>2519</v>
      </c>
      <c r="P539" s="54"/>
    </row>
    <row r="540" ht="33.75" customHeight="1">
      <c r="A540" s="29">
        <v>42408.0</v>
      </c>
      <c r="B540" s="25" t="s">
        <v>544</v>
      </c>
      <c r="C540" s="25" t="s">
        <v>2520</v>
      </c>
      <c r="D540" s="25" t="s">
        <v>546</v>
      </c>
      <c r="E540" s="25" t="s">
        <v>547</v>
      </c>
      <c r="F540" s="25">
        <v>29.01263</v>
      </c>
      <c r="G540" s="25">
        <v>-82.66232</v>
      </c>
      <c r="H540" s="21">
        <v>29.01263</v>
      </c>
      <c r="I540" s="21">
        <v>-82.66232</v>
      </c>
      <c r="J540" s="21" t="s">
        <v>548</v>
      </c>
      <c r="K540" s="21" t="s">
        <v>549</v>
      </c>
      <c r="L540" s="21">
        <v>14.0</v>
      </c>
      <c r="M540" s="21">
        <v>28.96749</v>
      </c>
      <c r="N540" s="21">
        <v>-82.80727</v>
      </c>
      <c r="O540" s="21" t="s">
        <v>2521</v>
      </c>
      <c r="P540" s="54"/>
    </row>
    <row r="541" ht="33.75" customHeight="1">
      <c r="A541" s="29">
        <v>42408.0</v>
      </c>
      <c r="B541" s="25" t="s">
        <v>544</v>
      </c>
      <c r="C541" s="25" t="s">
        <v>545</v>
      </c>
      <c r="D541" s="25" t="s">
        <v>546</v>
      </c>
      <c r="E541" s="25" t="s">
        <v>547</v>
      </c>
      <c r="F541" s="25">
        <v>29.01263</v>
      </c>
      <c r="G541" s="25">
        <v>-82.66232</v>
      </c>
      <c r="H541" s="21">
        <v>29.01263</v>
      </c>
      <c r="I541" s="21">
        <v>-82.66232</v>
      </c>
      <c r="J541" s="21" t="s">
        <v>548</v>
      </c>
      <c r="K541" s="21" t="s">
        <v>549</v>
      </c>
      <c r="L541" s="21">
        <v>15.0</v>
      </c>
      <c r="M541" s="21">
        <v>28.97084</v>
      </c>
      <c r="N541" s="21">
        <v>-82.79777</v>
      </c>
      <c r="O541" s="21" t="s">
        <v>2522</v>
      </c>
      <c r="P541" s="54"/>
    </row>
    <row r="542" ht="33.75" customHeight="1">
      <c r="A542" s="29">
        <v>42408.0</v>
      </c>
      <c r="B542" s="25" t="s">
        <v>544</v>
      </c>
      <c r="C542" s="25" t="s">
        <v>545</v>
      </c>
      <c r="D542" s="25" t="s">
        <v>546</v>
      </c>
      <c r="E542" s="25" t="s">
        <v>547</v>
      </c>
      <c r="F542" s="25">
        <v>29.01263</v>
      </c>
      <c r="G542" s="25">
        <v>-82.66232</v>
      </c>
      <c r="H542" s="21">
        <v>29.01263</v>
      </c>
      <c r="I542" s="21">
        <v>-82.66232</v>
      </c>
      <c r="J542" s="21" t="s">
        <v>548</v>
      </c>
      <c r="K542" s="21" t="s">
        <v>549</v>
      </c>
      <c r="L542" s="21">
        <v>16.0</v>
      </c>
      <c r="M542" s="21">
        <v>28.97383</v>
      </c>
      <c r="N542" s="21">
        <v>-82.78955</v>
      </c>
      <c r="O542" s="21" t="s">
        <v>2523</v>
      </c>
      <c r="P542" s="54"/>
    </row>
    <row r="543" ht="33.75" customHeight="1">
      <c r="A543" s="29">
        <v>42408.0</v>
      </c>
      <c r="B543" s="25" t="s">
        <v>544</v>
      </c>
      <c r="C543" s="25" t="s">
        <v>545</v>
      </c>
      <c r="D543" s="25" t="s">
        <v>546</v>
      </c>
      <c r="E543" s="25" t="s">
        <v>547</v>
      </c>
      <c r="F543" s="25">
        <v>29.01263</v>
      </c>
      <c r="G543" s="25">
        <v>-82.66232</v>
      </c>
      <c r="H543" s="21">
        <v>29.01263</v>
      </c>
      <c r="I543" s="21">
        <v>-82.66232</v>
      </c>
      <c r="J543" s="21" t="s">
        <v>548</v>
      </c>
      <c r="K543" s="21" t="s">
        <v>549</v>
      </c>
      <c r="L543" s="21">
        <v>17.0</v>
      </c>
      <c r="M543" s="21">
        <v>28.97554</v>
      </c>
      <c r="N543" s="21">
        <v>-82.78242</v>
      </c>
      <c r="O543" s="21" t="s">
        <v>2524</v>
      </c>
      <c r="P543" s="54"/>
    </row>
    <row r="544" ht="33.75" customHeight="1">
      <c r="A544" s="29">
        <v>42408.0</v>
      </c>
      <c r="B544" s="25" t="s">
        <v>544</v>
      </c>
      <c r="C544" s="25" t="s">
        <v>545</v>
      </c>
      <c r="D544" s="25" t="s">
        <v>546</v>
      </c>
      <c r="E544" s="31"/>
      <c r="F544" s="25">
        <v>29.01263</v>
      </c>
      <c r="G544" s="25">
        <v>-82.66232</v>
      </c>
      <c r="H544" s="21">
        <v>29.01263</v>
      </c>
      <c r="I544" s="21">
        <v>-82.66232</v>
      </c>
      <c r="J544" s="21" t="s">
        <v>548</v>
      </c>
      <c r="K544" s="21" t="s">
        <v>549</v>
      </c>
      <c r="L544" s="21">
        <v>18.0</v>
      </c>
      <c r="M544" s="21">
        <v>28.97652</v>
      </c>
      <c r="N544" s="21">
        <v>-82.78002</v>
      </c>
      <c r="O544" s="21" t="s">
        <v>2525</v>
      </c>
      <c r="P544" s="54"/>
    </row>
    <row r="545" ht="33.75" customHeight="1">
      <c r="A545" s="29">
        <v>42408.0</v>
      </c>
      <c r="B545" s="25" t="s">
        <v>544</v>
      </c>
      <c r="C545" s="25" t="s">
        <v>545</v>
      </c>
      <c r="D545" s="25" t="s">
        <v>546</v>
      </c>
      <c r="E545" s="31"/>
      <c r="F545" s="25">
        <v>29.01263</v>
      </c>
      <c r="G545" s="25">
        <v>-82.66232</v>
      </c>
      <c r="H545" s="21">
        <v>29.01263</v>
      </c>
      <c r="I545" s="21">
        <v>-82.66232</v>
      </c>
      <c r="J545" s="21" t="s">
        <v>548</v>
      </c>
      <c r="K545" s="21" t="s">
        <v>549</v>
      </c>
      <c r="L545" s="21">
        <v>19.0</v>
      </c>
      <c r="M545" s="21">
        <v>28.98636</v>
      </c>
      <c r="N545" s="21">
        <v>-82.76497</v>
      </c>
      <c r="O545" s="21" t="s">
        <v>2526</v>
      </c>
      <c r="P545" s="54"/>
    </row>
    <row r="546" ht="33.75" customHeight="1">
      <c r="A546" s="29">
        <v>42405.0</v>
      </c>
      <c r="B546" s="25" t="s">
        <v>1227</v>
      </c>
      <c r="C546" s="25" t="s">
        <v>545</v>
      </c>
      <c r="D546" s="25" t="s">
        <v>1228</v>
      </c>
      <c r="E546" s="25" t="s">
        <v>1229</v>
      </c>
      <c r="F546" s="25">
        <v>27.86006</v>
      </c>
      <c r="G546" s="25">
        <v>-82.38501</v>
      </c>
      <c r="H546" s="21">
        <v>27.86006</v>
      </c>
      <c r="I546" s="21">
        <v>-82.38501</v>
      </c>
      <c r="J546" s="21" t="s">
        <v>1230</v>
      </c>
      <c r="K546" s="21" t="s">
        <v>2527</v>
      </c>
      <c r="L546" s="21">
        <v>1.0</v>
      </c>
      <c r="M546" s="21">
        <v>27.82561</v>
      </c>
      <c r="N546" s="21">
        <v>-82.39857</v>
      </c>
      <c r="O546" s="21" t="s">
        <v>1465</v>
      </c>
      <c r="P546" s="22" t="s">
        <v>2528</v>
      </c>
    </row>
    <row r="547" ht="33.75" customHeight="1">
      <c r="A547" s="29">
        <v>42405.0</v>
      </c>
      <c r="B547" s="25" t="s">
        <v>1227</v>
      </c>
      <c r="C547" s="25" t="s">
        <v>545</v>
      </c>
      <c r="D547" s="25" t="s">
        <v>1228</v>
      </c>
      <c r="E547" s="25" t="s">
        <v>1229</v>
      </c>
      <c r="F547" s="25">
        <v>27.86006</v>
      </c>
      <c r="G547" s="25">
        <v>-82.38501</v>
      </c>
      <c r="H547" s="21">
        <v>27.86006</v>
      </c>
      <c r="I547" s="21">
        <v>-82.38501</v>
      </c>
      <c r="J547" s="21" t="s">
        <v>1230</v>
      </c>
      <c r="K547" s="21" t="s">
        <v>2527</v>
      </c>
      <c r="L547" s="21">
        <v>2.0</v>
      </c>
      <c r="M547" s="21">
        <v>27.85104</v>
      </c>
      <c r="N547" s="21">
        <v>-82.40034</v>
      </c>
      <c r="O547" s="21" t="s">
        <v>2529</v>
      </c>
      <c r="P547" s="22" t="s">
        <v>2530</v>
      </c>
    </row>
    <row r="548" ht="33.75" customHeight="1">
      <c r="A548" s="29">
        <v>42405.0</v>
      </c>
      <c r="B548" s="25" t="s">
        <v>1227</v>
      </c>
      <c r="C548" s="25" t="s">
        <v>545</v>
      </c>
      <c r="D548" s="25" t="s">
        <v>1228</v>
      </c>
      <c r="E548" s="25" t="s">
        <v>1229</v>
      </c>
      <c r="F548" s="25">
        <v>27.86006</v>
      </c>
      <c r="G548" s="25">
        <v>-82.38501</v>
      </c>
      <c r="H548" s="21">
        <v>27.86006</v>
      </c>
      <c r="I548" s="21">
        <v>-82.38501</v>
      </c>
      <c r="J548" s="21" t="s">
        <v>1230</v>
      </c>
      <c r="K548" s="21" t="s">
        <v>2527</v>
      </c>
      <c r="L548" s="21">
        <v>3.0</v>
      </c>
      <c r="M548" s="21">
        <v>27.84837</v>
      </c>
      <c r="N548" s="21">
        <v>-82.41012</v>
      </c>
      <c r="O548" s="21" t="s">
        <v>2531</v>
      </c>
      <c r="P548" s="22" t="s">
        <v>2532</v>
      </c>
    </row>
    <row r="549" ht="33.75" customHeight="1">
      <c r="A549" s="29">
        <v>42405.0</v>
      </c>
      <c r="B549" s="25" t="s">
        <v>1227</v>
      </c>
      <c r="C549" s="25" t="s">
        <v>545</v>
      </c>
      <c r="D549" s="25" t="s">
        <v>1228</v>
      </c>
      <c r="E549" s="25" t="s">
        <v>1229</v>
      </c>
      <c r="F549" s="25">
        <v>27.86006</v>
      </c>
      <c r="G549" s="25">
        <v>-82.38501</v>
      </c>
      <c r="H549" s="21">
        <v>27.86006</v>
      </c>
      <c r="I549" s="21">
        <v>-82.38501</v>
      </c>
      <c r="J549" s="21" t="s">
        <v>1230</v>
      </c>
      <c r="K549" s="21" t="s">
        <v>2527</v>
      </c>
      <c r="L549" s="21">
        <v>4.0</v>
      </c>
      <c r="M549" s="21">
        <v>27.84794</v>
      </c>
      <c r="N549" s="66">
        <v>-82.4106</v>
      </c>
      <c r="O549" s="21" t="s">
        <v>2533</v>
      </c>
      <c r="P549" s="22" t="s">
        <v>2534</v>
      </c>
    </row>
    <row r="550" ht="33.75" customHeight="1">
      <c r="A550" s="29">
        <v>42405.0</v>
      </c>
      <c r="B550" s="25" t="s">
        <v>1227</v>
      </c>
      <c r="C550" s="25" t="s">
        <v>545</v>
      </c>
      <c r="D550" s="25" t="s">
        <v>1228</v>
      </c>
      <c r="E550" s="25" t="s">
        <v>1229</v>
      </c>
      <c r="F550" s="25">
        <v>27.86006</v>
      </c>
      <c r="G550" s="25">
        <v>-82.38501</v>
      </c>
      <c r="H550" s="21">
        <v>27.86006</v>
      </c>
      <c r="I550" s="21">
        <v>-82.38501</v>
      </c>
      <c r="J550" s="21" t="s">
        <v>1230</v>
      </c>
      <c r="K550" s="21" t="s">
        <v>2527</v>
      </c>
      <c r="L550" s="21">
        <v>5.0</v>
      </c>
      <c r="M550" s="21">
        <v>27.84779</v>
      </c>
      <c r="N550" s="21">
        <v>-82.40613</v>
      </c>
      <c r="O550" s="21" t="s">
        <v>1307</v>
      </c>
      <c r="P550" s="22" t="s">
        <v>893</v>
      </c>
    </row>
    <row r="551" ht="33.75" customHeight="1">
      <c r="A551" s="29">
        <v>42405.0</v>
      </c>
      <c r="B551" s="25" t="s">
        <v>1227</v>
      </c>
      <c r="C551" s="25" t="s">
        <v>545</v>
      </c>
      <c r="D551" s="25" t="s">
        <v>1228</v>
      </c>
      <c r="E551" s="25" t="s">
        <v>1229</v>
      </c>
      <c r="F551" s="25">
        <v>27.86006</v>
      </c>
      <c r="G551" s="25">
        <v>-82.38501</v>
      </c>
      <c r="H551" s="21">
        <v>27.86006</v>
      </c>
      <c r="I551" s="21">
        <v>-82.38501</v>
      </c>
      <c r="J551" s="21" t="s">
        <v>1230</v>
      </c>
      <c r="K551" s="21" t="s">
        <v>2527</v>
      </c>
      <c r="L551" s="21">
        <v>6.0</v>
      </c>
      <c r="M551" s="21">
        <v>27.84962</v>
      </c>
      <c r="N551" s="21">
        <v>-82.40371</v>
      </c>
      <c r="O551" s="21" t="s">
        <v>2535</v>
      </c>
      <c r="P551" s="22" t="s">
        <v>2536</v>
      </c>
    </row>
    <row r="552" ht="33.75" customHeight="1">
      <c r="A552" s="29">
        <v>42405.0</v>
      </c>
      <c r="B552" s="25" t="s">
        <v>1227</v>
      </c>
      <c r="C552" s="25" t="s">
        <v>545</v>
      </c>
      <c r="D552" s="25" t="s">
        <v>1228</v>
      </c>
      <c r="E552" s="25" t="s">
        <v>1229</v>
      </c>
      <c r="F552" s="25">
        <v>27.86006</v>
      </c>
      <c r="G552" s="25">
        <v>-82.38501</v>
      </c>
      <c r="H552" s="21">
        <v>27.86006</v>
      </c>
      <c r="I552" s="21">
        <v>-82.38501</v>
      </c>
      <c r="J552" s="21" t="s">
        <v>1230</v>
      </c>
      <c r="K552" s="21" t="s">
        <v>2527</v>
      </c>
      <c r="L552" s="21">
        <v>7.0</v>
      </c>
      <c r="M552" s="21">
        <v>27.84657</v>
      </c>
      <c r="N552" s="21">
        <v>-82.41528</v>
      </c>
      <c r="O552" s="21" t="s">
        <v>2537</v>
      </c>
      <c r="P552" s="22" t="s">
        <v>2538</v>
      </c>
    </row>
    <row r="553" ht="33.75" customHeight="1">
      <c r="A553" s="29">
        <v>42405.0</v>
      </c>
      <c r="B553" s="25" t="s">
        <v>1227</v>
      </c>
      <c r="C553" s="25" t="s">
        <v>545</v>
      </c>
      <c r="D553" s="25" t="s">
        <v>1228</v>
      </c>
      <c r="E553" s="25" t="s">
        <v>1229</v>
      </c>
      <c r="F553" s="25">
        <v>27.86006</v>
      </c>
      <c r="G553" s="25">
        <v>-82.38501</v>
      </c>
      <c r="H553" s="21">
        <v>27.86006</v>
      </c>
      <c r="I553" s="21">
        <v>-82.38501</v>
      </c>
      <c r="J553" s="21" t="s">
        <v>1230</v>
      </c>
      <c r="K553" s="21" t="s">
        <v>2527</v>
      </c>
      <c r="L553" s="21">
        <v>8.0</v>
      </c>
      <c r="M553" s="21">
        <v>27.82259</v>
      </c>
      <c r="N553" s="21">
        <v>-82.43117</v>
      </c>
      <c r="O553" s="21" t="s">
        <v>2539</v>
      </c>
      <c r="P553" s="22" t="s">
        <v>2540</v>
      </c>
    </row>
    <row r="554" ht="33.75" customHeight="1">
      <c r="A554" s="29">
        <v>42405.0</v>
      </c>
      <c r="B554" s="25" t="s">
        <v>1227</v>
      </c>
      <c r="C554" s="25" t="s">
        <v>545</v>
      </c>
      <c r="D554" s="25" t="s">
        <v>1228</v>
      </c>
      <c r="E554" s="25" t="s">
        <v>1229</v>
      </c>
      <c r="F554" s="25">
        <v>27.86006</v>
      </c>
      <c r="G554" s="25">
        <v>-82.38501</v>
      </c>
      <c r="H554" s="21">
        <v>27.86006</v>
      </c>
      <c r="I554" s="21">
        <v>-82.38501</v>
      </c>
      <c r="J554" s="21" t="s">
        <v>1230</v>
      </c>
      <c r="K554" s="21" t="s">
        <v>2527</v>
      </c>
      <c r="L554" s="21">
        <v>9.0</v>
      </c>
      <c r="M554" s="21">
        <v>27.79804</v>
      </c>
      <c r="N554" s="21">
        <v>-82.41752</v>
      </c>
      <c r="O554" s="21" t="s">
        <v>1465</v>
      </c>
      <c r="P554" s="22" t="s">
        <v>893</v>
      </c>
    </row>
    <row r="555" ht="33.75" customHeight="1">
      <c r="A555" s="29">
        <v>42405.0</v>
      </c>
      <c r="B555" s="25" t="s">
        <v>1227</v>
      </c>
      <c r="C555" s="25" t="s">
        <v>545</v>
      </c>
      <c r="D555" s="25" t="s">
        <v>1228</v>
      </c>
      <c r="E555" s="25" t="s">
        <v>1229</v>
      </c>
      <c r="F555" s="25">
        <v>27.86006</v>
      </c>
      <c r="G555" s="25">
        <v>-82.38501</v>
      </c>
      <c r="H555" s="21">
        <v>27.86006</v>
      </c>
      <c r="I555" s="21">
        <v>-82.38501</v>
      </c>
      <c r="J555" s="21" t="s">
        <v>1230</v>
      </c>
      <c r="K555" s="21" t="s">
        <v>2527</v>
      </c>
      <c r="L555" s="21">
        <v>10.0</v>
      </c>
      <c r="M555" s="66">
        <v>27.8021</v>
      </c>
      <c r="N555" s="21">
        <v>-82.41625</v>
      </c>
      <c r="O555" s="21" t="s">
        <v>1307</v>
      </c>
      <c r="P555" s="22" t="s">
        <v>893</v>
      </c>
    </row>
    <row r="556" ht="33.75" customHeight="1">
      <c r="A556" s="29">
        <v>42405.0</v>
      </c>
      <c r="B556" s="25" t="s">
        <v>1227</v>
      </c>
      <c r="C556" s="25" t="s">
        <v>545</v>
      </c>
      <c r="D556" s="25" t="s">
        <v>1228</v>
      </c>
      <c r="E556" s="25" t="s">
        <v>1229</v>
      </c>
      <c r="F556" s="25">
        <v>27.86006</v>
      </c>
      <c r="G556" s="25">
        <v>-82.38501</v>
      </c>
      <c r="H556" s="21">
        <v>27.86006</v>
      </c>
      <c r="I556" s="21">
        <v>-82.38501</v>
      </c>
      <c r="J556" s="21" t="s">
        <v>1230</v>
      </c>
      <c r="K556" s="21" t="s">
        <v>2527</v>
      </c>
      <c r="L556" s="21">
        <v>11.0</v>
      </c>
      <c r="M556" s="66">
        <v>27.8079</v>
      </c>
      <c r="N556" s="21">
        <v>-82.40581</v>
      </c>
      <c r="O556" s="21" t="s">
        <v>1307</v>
      </c>
      <c r="P556" s="22" t="s">
        <v>2507</v>
      </c>
    </row>
    <row r="557" ht="33.75" customHeight="1">
      <c r="A557" s="29">
        <v>42405.0</v>
      </c>
      <c r="B557" s="25" t="s">
        <v>1227</v>
      </c>
      <c r="C557" s="25" t="s">
        <v>545</v>
      </c>
      <c r="D557" s="25" t="s">
        <v>1228</v>
      </c>
      <c r="E557" s="25" t="s">
        <v>1229</v>
      </c>
      <c r="F557" s="25">
        <v>27.86006</v>
      </c>
      <c r="G557" s="25">
        <v>-82.38501</v>
      </c>
      <c r="H557" s="21">
        <v>27.86006</v>
      </c>
      <c r="I557" s="21">
        <v>-82.38501</v>
      </c>
      <c r="J557" s="21" t="s">
        <v>1230</v>
      </c>
      <c r="K557" s="21" t="s">
        <v>2527</v>
      </c>
      <c r="L557" s="21">
        <v>12.0</v>
      </c>
      <c r="M557" s="21">
        <v>27.81593</v>
      </c>
      <c r="N557" s="21">
        <v>-82.39362</v>
      </c>
      <c r="O557" s="21" t="s">
        <v>1465</v>
      </c>
      <c r="P557" s="22" t="s">
        <v>893</v>
      </c>
    </row>
    <row r="558" ht="33.75" customHeight="1">
      <c r="A558" s="29">
        <v>42405.0</v>
      </c>
      <c r="B558" s="25" t="s">
        <v>1227</v>
      </c>
      <c r="C558" s="25" t="s">
        <v>545</v>
      </c>
      <c r="D558" s="25" t="s">
        <v>1228</v>
      </c>
      <c r="E558" s="25" t="s">
        <v>1229</v>
      </c>
      <c r="F558" s="25">
        <v>27.86006</v>
      </c>
      <c r="G558" s="25">
        <v>-82.38501</v>
      </c>
      <c r="H558" s="21">
        <v>27.86006</v>
      </c>
      <c r="I558" s="21">
        <v>-82.38501</v>
      </c>
      <c r="J558" s="21" t="s">
        <v>1230</v>
      </c>
      <c r="K558" s="21" t="s">
        <v>2527</v>
      </c>
      <c r="L558" s="21">
        <v>13.0</v>
      </c>
      <c r="M558" s="21">
        <v>27.81998</v>
      </c>
      <c r="N558" s="21">
        <v>-82.39656</v>
      </c>
      <c r="O558" s="21" t="s">
        <v>1307</v>
      </c>
      <c r="P558" s="22" t="s">
        <v>893</v>
      </c>
    </row>
    <row r="559" ht="33.75" customHeight="1">
      <c r="A559" s="29">
        <v>42405.0</v>
      </c>
      <c r="B559" s="25" t="s">
        <v>1227</v>
      </c>
      <c r="C559" s="25" t="s">
        <v>545</v>
      </c>
      <c r="D559" s="25" t="s">
        <v>1228</v>
      </c>
      <c r="E559" s="25" t="s">
        <v>1229</v>
      </c>
      <c r="F559" s="25">
        <v>27.86006</v>
      </c>
      <c r="G559" s="25">
        <v>-82.38501</v>
      </c>
      <c r="H559" s="21">
        <v>27.86006</v>
      </c>
      <c r="I559" s="21">
        <v>-82.38501</v>
      </c>
      <c r="J559" s="21" t="s">
        <v>1230</v>
      </c>
      <c r="K559" s="21" t="s">
        <v>2527</v>
      </c>
      <c r="L559" s="21">
        <v>14.0</v>
      </c>
      <c r="M559" s="21">
        <v>27.87837</v>
      </c>
      <c r="N559" s="21">
        <v>-82.42947</v>
      </c>
      <c r="O559" s="21" t="s">
        <v>2541</v>
      </c>
      <c r="P559" s="22" t="s">
        <v>2542</v>
      </c>
    </row>
    <row r="560" ht="33.75" customHeight="1">
      <c r="A560" s="29">
        <v>42405.0</v>
      </c>
      <c r="B560" s="25" t="s">
        <v>1227</v>
      </c>
      <c r="C560" s="25" t="s">
        <v>545</v>
      </c>
      <c r="D560" s="25" t="s">
        <v>1228</v>
      </c>
      <c r="E560" s="25" t="s">
        <v>1229</v>
      </c>
      <c r="F560" s="25">
        <v>27.86006</v>
      </c>
      <c r="G560" s="25">
        <v>-82.38501</v>
      </c>
      <c r="H560" s="21">
        <v>27.86006</v>
      </c>
      <c r="I560" s="21">
        <v>-82.38501</v>
      </c>
      <c r="J560" s="21" t="s">
        <v>1230</v>
      </c>
      <c r="K560" s="21" t="s">
        <v>2527</v>
      </c>
      <c r="L560" s="21">
        <v>15.0</v>
      </c>
      <c r="M560" s="66">
        <v>27.8248</v>
      </c>
      <c r="N560" s="21">
        <v>-82.39575</v>
      </c>
      <c r="O560" s="21" t="s">
        <v>2543</v>
      </c>
      <c r="P560" s="54"/>
    </row>
    <row r="561" ht="33.75" customHeight="1">
      <c r="A561" s="29">
        <v>42410.0</v>
      </c>
      <c r="B561" s="25" t="s">
        <v>452</v>
      </c>
      <c r="C561" s="25" t="s">
        <v>434</v>
      </c>
      <c r="D561" s="25" t="s">
        <v>453</v>
      </c>
      <c r="E561" s="25" t="s">
        <v>436</v>
      </c>
      <c r="F561" s="21" t="s">
        <v>455</v>
      </c>
      <c r="G561" s="21" t="s">
        <v>456</v>
      </c>
      <c r="H561" s="21" t="s">
        <v>437</v>
      </c>
      <c r="I561" s="21" t="s">
        <v>438</v>
      </c>
      <c r="J561" s="21" t="s">
        <v>441</v>
      </c>
      <c r="K561" s="21" t="s">
        <v>442</v>
      </c>
      <c r="L561" s="21">
        <v>1.0</v>
      </c>
      <c r="M561" s="21" t="s">
        <v>2544</v>
      </c>
      <c r="N561" s="21" t="s">
        <v>2545</v>
      </c>
      <c r="O561" s="21" t="s">
        <v>2546</v>
      </c>
      <c r="P561" s="54"/>
    </row>
    <row r="562" ht="33.75" customHeight="1">
      <c r="A562" s="29">
        <v>42410.0</v>
      </c>
      <c r="B562" s="25" t="s">
        <v>452</v>
      </c>
      <c r="C562" s="25" t="s">
        <v>434</v>
      </c>
      <c r="D562" s="25" t="s">
        <v>453</v>
      </c>
      <c r="E562" s="25" t="s">
        <v>436</v>
      </c>
      <c r="F562" s="21" t="s">
        <v>455</v>
      </c>
      <c r="G562" s="21" t="s">
        <v>456</v>
      </c>
      <c r="H562" s="21" t="s">
        <v>437</v>
      </c>
      <c r="I562" s="21" t="s">
        <v>438</v>
      </c>
      <c r="J562" s="21" t="s">
        <v>441</v>
      </c>
      <c r="K562" s="21" t="s">
        <v>442</v>
      </c>
      <c r="L562" s="21">
        <v>2.0</v>
      </c>
      <c r="M562" s="21" t="s">
        <v>2547</v>
      </c>
      <c r="N562" s="21" t="s">
        <v>2548</v>
      </c>
      <c r="O562" s="21" t="s">
        <v>2549</v>
      </c>
      <c r="P562" s="54"/>
    </row>
    <row r="563" ht="33.75" customHeight="1">
      <c r="A563" s="29">
        <v>42401.0</v>
      </c>
      <c r="B563" s="25" t="s">
        <v>912</v>
      </c>
      <c r="C563" s="25" t="s">
        <v>913</v>
      </c>
      <c r="D563" s="25" t="s">
        <v>2550</v>
      </c>
      <c r="E563" s="25" t="s">
        <v>904</v>
      </c>
      <c r="F563" s="21">
        <v>29.4798</v>
      </c>
      <c r="G563" s="21">
        <v>-81.12628</v>
      </c>
      <c r="H563" s="21">
        <v>29.44157</v>
      </c>
      <c r="I563" s="21">
        <v>-81.1089</v>
      </c>
      <c r="J563" s="21" t="s">
        <v>917</v>
      </c>
      <c r="K563" s="21" t="s">
        <v>2551</v>
      </c>
      <c r="L563" s="21">
        <v>1.0</v>
      </c>
      <c r="M563" s="21">
        <v>29.47936</v>
      </c>
      <c r="N563" s="21">
        <v>-81.12599</v>
      </c>
      <c r="O563" s="21" t="s">
        <v>2552</v>
      </c>
      <c r="P563" s="54"/>
    </row>
    <row r="564" ht="33.75" customHeight="1">
      <c r="A564" s="29">
        <v>42401.0</v>
      </c>
      <c r="B564" s="25" t="s">
        <v>912</v>
      </c>
      <c r="C564" s="25" t="s">
        <v>913</v>
      </c>
      <c r="D564" s="25" t="s">
        <v>2550</v>
      </c>
      <c r="E564" s="25" t="s">
        <v>904</v>
      </c>
      <c r="F564" s="21">
        <v>29.4798</v>
      </c>
      <c r="G564" s="21">
        <v>-81.12628</v>
      </c>
      <c r="H564" s="21">
        <v>29.44157</v>
      </c>
      <c r="I564" s="21">
        <v>-81.1089</v>
      </c>
      <c r="J564" s="21" t="s">
        <v>917</v>
      </c>
      <c r="K564" s="21" t="s">
        <v>2551</v>
      </c>
      <c r="L564" s="21">
        <v>2.0</v>
      </c>
      <c r="M564" s="21">
        <v>29.47479</v>
      </c>
      <c r="N564" s="21">
        <v>-81.12396</v>
      </c>
      <c r="O564" s="21" t="s">
        <v>2553</v>
      </c>
      <c r="P564" s="54"/>
    </row>
    <row r="565" ht="33.75" customHeight="1">
      <c r="A565" s="29">
        <v>42401.0</v>
      </c>
      <c r="B565" s="25" t="s">
        <v>883</v>
      </c>
      <c r="C565" s="25" t="s">
        <v>884</v>
      </c>
      <c r="D565" s="25" t="s">
        <v>886</v>
      </c>
      <c r="E565" s="25" t="s">
        <v>904</v>
      </c>
      <c r="F565" s="25">
        <v>29.480003</v>
      </c>
      <c r="G565" s="25">
        <v>-81.12631</v>
      </c>
      <c r="H565" s="21">
        <v>29.54933</v>
      </c>
      <c r="I565" s="21">
        <v>-81.16059</v>
      </c>
      <c r="J565" s="21" t="s">
        <v>889</v>
      </c>
      <c r="K565" s="21" t="s">
        <v>2554</v>
      </c>
      <c r="L565" s="21">
        <v>1.0</v>
      </c>
      <c r="M565" s="21">
        <v>29.481502</v>
      </c>
      <c r="N565" s="21">
        <v>-81.127122</v>
      </c>
      <c r="O565" s="21" t="s">
        <v>2555</v>
      </c>
      <c r="P565" s="54"/>
    </row>
    <row r="566" ht="33.75" customHeight="1">
      <c r="A566" s="29">
        <v>42401.0</v>
      </c>
      <c r="B566" s="25" t="s">
        <v>883</v>
      </c>
      <c r="C566" s="25" t="s">
        <v>884</v>
      </c>
      <c r="D566" s="25" t="s">
        <v>886</v>
      </c>
      <c r="E566" s="25" t="s">
        <v>904</v>
      </c>
      <c r="F566" s="25">
        <v>29.480003</v>
      </c>
      <c r="G566" s="25">
        <v>-81.12631</v>
      </c>
      <c r="H566" s="21">
        <v>29.54933</v>
      </c>
      <c r="I566" s="21">
        <v>-81.16059</v>
      </c>
      <c r="J566" s="21" t="s">
        <v>889</v>
      </c>
      <c r="K566" s="21" t="s">
        <v>2554</v>
      </c>
      <c r="L566" s="21">
        <v>2.0</v>
      </c>
      <c r="M566" s="21">
        <v>29.48222</v>
      </c>
      <c r="N566" s="21">
        <v>-81.130448</v>
      </c>
      <c r="O566" s="21" t="s">
        <v>2556</v>
      </c>
      <c r="P566" s="54"/>
    </row>
    <row r="567" ht="33.75" customHeight="1">
      <c r="A567" s="29">
        <v>42401.0</v>
      </c>
      <c r="B567" s="25" t="s">
        <v>900</v>
      </c>
      <c r="C567" s="25" t="s">
        <v>2557</v>
      </c>
      <c r="D567" s="25" t="s">
        <v>903</v>
      </c>
      <c r="E567" s="25" t="s">
        <v>904</v>
      </c>
      <c r="F567" s="25">
        <v>29.54934</v>
      </c>
      <c r="G567" s="25">
        <v>-81.16061</v>
      </c>
      <c r="H567" s="21">
        <v>29.63323</v>
      </c>
      <c r="I567" s="21">
        <v>-81.19744</v>
      </c>
      <c r="J567" s="21" t="s">
        <v>905</v>
      </c>
      <c r="K567" s="21" t="s">
        <v>2558</v>
      </c>
      <c r="L567" s="21">
        <v>1.0</v>
      </c>
      <c r="M567" s="21">
        <v>29.548889</v>
      </c>
      <c r="N567" s="21">
        <v>-81.160833</v>
      </c>
      <c r="O567" s="21" t="s">
        <v>2559</v>
      </c>
      <c r="P567" s="54"/>
    </row>
    <row r="568" ht="33.75" customHeight="1">
      <c r="A568" s="29">
        <v>42401.0</v>
      </c>
      <c r="B568" s="25" t="s">
        <v>900</v>
      </c>
      <c r="C568" s="25" t="s">
        <v>2557</v>
      </c>
      <c r="D568" s="25" t="s">
        <v>903</v>
      </c>
      <c r="E568" s="25" t="s">
        <v>904</v>
      </c>
      <c r="F568" s="25">
        <v>29.54934</v>
      </c>
      <c r="G568" s="25">
        <v>-81.16061</v>
      </c>
      <c r="H568" s="21">
        <v>29.63323</v>
      </c>
      <c r="I568" s="21">
        <v>-81.19744</v>
      </c>
      <c r="J568" s="21" t="s">
        <v>905</v>
      </c>
      <c r="K568" s="21" t="s">
        <v>2558</v>
      </c>
      <c r="L568" s="21">
        <v>2.0</v>
      </c>
      <c r="M568" s="21">
        <v>29.578889</v>
      </c>
      <c r="N568" s="21">
        <v>-81.174444</v>
      </c>
      <c r="O568" s="21" t="s">
        <v>2560</v>
      </c>
      <c r="P568" s="54"/>
    </row>
    <row r="569" ht="33.75" customHeight="1">
      <c r="A569" s="29">
        <v>42401.0</v>
      </c>
      <c r="B569" s="25" t="s">
        <v>900</v>
      </c>
      <c r="C569" s="25" t="s">
        <v>2557</v>
      </c>
      <c r="D569" s="25" t="s">
        <v>903</v>
      </c>
      <c r="E569" s="25" t="s">
        <v>904</v>
      </c>
      <c r="F569" s="25">
        <v>29.54934</v>
      </c>
      <c r="G569" s="25">
        <v>-81.16061</v>
      </c>
      <c r="H569" s="21">
        <v>29.63323</v>
      </c>
      <c r="I569" s="21">
        <v>-81.19744</v>
      </c>
      <c r="J569" s="21" t="s">
        <v>905</v>
      </c>
      <c r="K569" s="21" t="s">
        <v>2558</v>
      </c>
      <c r="L569" s="21">
        <v>3.0</v>
      </c>
      <c r="M569" s="21">
        <v>29.605</v>
      </c>
      <c r="N569" s="21">
        <v>-81.185278</v>
      </c>
      <c r="O569" s="21" t="s">
        <v>2561</v>
      </c>
      <c r="P569" s="54"/>
    </row>
    <row r="570" ht="33.75" customHeight="1">
      <c r="A570" s="29">
        <v>42401.0</v>
      </c>
      <c r="B570" s="25" t="s">
        <v>923</v>
      </c>
      <c r="C570" s="25" t="s">
        <v>924</v>
      </c>
      <c r="D570" s="25" t="s">
        <v>925</v>
      </c>
      <c r="E570" s="25" t="s">
        <v>904</v>
      </c>
      <c r="F570" s="25">
        <v>29.6338</v>
      </c>
      <c r="G570" s="25">
        <v>-81.19737</v>
      </c>
      <c r="H570" s="21">
        <v>29.67149</v>
      </c>
      <c r="I570" s="21">
        <v>-81.21325</v>
      </c>
      <c r="J570" s="21" t="s">
        <v>927</v>
      </c>
      <c r="K570" s="21" t="s">
        <v>928</v>
      </c>
      <c r="L570" s="21">
        <v>1.0</v>
      </c>
      <c r="M570" s="21">
        <v>29.63576</v>
      </c>
      <c r="N570" s="21">
        <v>-81.19848</v>
      </c>
      <c r="O570" s="21" t="s">
        <v>2562</v>
      </c>
      <c r="P570" s="54"/>
    </row>
    <row r="571" ht="33.75" customHeight="1">
      <c r="A571" s="29">
        <v>42401.0</v>
      </c>
      <c r="B571" s="25" t="s">
        <v>923</v>
      </c>
      <c r="C571" s="25" t="s">
        <v>924</v>
      </c>
      <c r="D571" s="25" t="s">
        <v>925</v>
      </c>
      <c r="E571" s="25" t="s">
        <v>904</v>
      </c>
      <c r="F571" s="25">
        <v>29.6338</v>
      </c>
      <c r="G571" s="25">
        <v>-81.19737</v>
      </c>
      <c r="H571" s="21">
        <v>29.67149</v>
      </c>
      <c r="I571" s="21">
        <v>-81.21325</v>
      </c>
      <c r="J571" s="21" t="s">
        <v>927</v>
      </c>
      <c r="K571" s="21" t="s">
        <v>928</v>
      </c>
      <c r="L571" s="21">
        <v>2.0</v>
      </c>
      <c r="M571" s="21">
        <v>29.6664</v>
      </c>
      <c r="N571" s="21">
        <v>-81.2111</v>
      </c>
      <c r="O571" s="21" t="s">
        <v>2563</v>
      </c>
      <c r="P571" s="54"/>
    </row>
    <row r="572" ht="33.75" customHeight="1">
      <c r="A572" s="29">
        <v>42401.0</v>
      </c>
      <c r="B572" s="25" t="s">
        <v>948</v>
      </c>
      <c r="C572" s="25" t="s">
        <v>949</v>
      </c>
      <c r="D572" s="25" t="s">
        <v>950</v>
      </c>
      <c r="E572" s="25" t="s">
        <v>904</v>
      </c>
      <c r="F572" s="25">
        <v>29.44165</v>
      </c>
      <c r="G572" s="25">
        <v>-81.10875</v>
      </c>
      <c r="H572" s="21">
        <v>29.427198</v>
      </c>
      <c r="I572" s="21">
        <v>-81.102115</v>
      </c>
      <c r="J572" s="21" t="s">
        <v>2564</v>
      </c>
      <c r="K572" s="21" t="s">
        <v>953</v>
      </c>
      <c r="L572" s="21">
        <v>1.0</v>
      </c>
      <c r="M572" s="21">
        <v>29.44059</v>
      </c>
      <c r="N572" s="21">
        <v>-81.10826</v>
      </c>
      <c r="O572" s="21" t="s">
        <v>2565</v>
      </c>
      <c r="P572" s="54"/>
    </row>
    <row r="573" ht="33.75" customHeight="1">
      <c r="A573" s="29">
        <v>42401.0</v>
      </c>
      <c r="B573" s="25" t="s">
        <v>948</v>
      </c>
      <c r="C573" s="25" t="s">
        <v>949</v>
      </c>
      <c r="D573" s="25" t="s">
        <v>950</v>
      </c>
      <c r="E573" s="25" t="s">
        <v>904</v>
      </c>
      <c r="F573" s="25">
        <v>29.44165</v>
      </c>
      <c r="G573" s="25">
        <v>-81.10875</v>
      </c>
      <c r="H573" s="21">
        <v>29.427198</v>
      </c>
      <c r="I573" s="21">
        <v>-81.102115</v>
      </c>
      <c r="J573" s="21" t="s">
        <v>952</v>
      </c>
      <c r="K573" s="21" t="s">
        <v>953</v>
      </c>
      <c r="L573" s="21">
        <v>2.0</v>
      </c>
      <c r="M573" s="21">
        <v>29.42726</v>
      </c>
      <c r="N573" s="21">
        <v>-81.10218</v>
      </c>
      <c r="O573" s="21" t="s">
        <v>2566</v>
      </c>
      <c r="P573" s="54"/>
    </row>
    <row r="574" ht="33.75" customHeight="1">
      <c r="A574" s="29">
        <v>42401.0</v>
      </c>
      <c r="B574" s="25" t="s">
        <v>2273</v>
      </c>
      <c r="C574" s="25" t="s">
        <v>969</v>
      </c>
      <c r="D574" s="25" t="s">
        <v>2567</v>
      </c>
      <c r="E574" s="25" t="s">
        <v>1116</v>
      </c>
      <c r="F574" s="25">
        <v>29.4217</v>
      </c>
      <c r="G574" s="25">
        <v>-81.1032</v>
      </c>
      <c r="H574" s="21">
        <v>29.40991</v>
      </c>
      <c r="I574" s="21">
        <v>-81.10094</v>
      </c>
      <c r="J574" s="21" t="s">
        <v>2276</v>
      </c>
      <c r="K574" s="21" t="s">
        <v>2277</v>
      </c>
      <c r="L574" s="21">
        <v>1.0</v>
      </c>
      <c r="M574" s="21">
        <v>29.41049</v>
      </c>
      <c r="N574" s="21">
        <v>-81.160833</v>
      </c>
      <c r="O574" s="21" t="s">
        <v>2568</v>
      </c>
      <c r="P574" s="22" t="s">
        <v>2569</v>
      </c>
    </row>
    <row r="575" ht="33.75" customHeight="1">
      <c r="A575" s="29">
        <v>42405.0</v>
      </c>
      <c r="B575" s="25" t="s">
        <v>1609</v>
      </c>
      <c r="C575" s="25" t="s">
        <v>2570</v>
      </c>
      <c r="D575" s="25" t="s">
        <v>2571</v>
      </c>
      <c r="E575" s="25" t="s">
        <v>428</v>
      </c>
      <c r="F575" s="25">
        <v>27.03676</v>
      </c>
      <c r="G575" s="25">
        <v>-82.42928</v>
      </c>
      <c r="H575" s="21">
        <v>27.04481</v>
      </c>
      <c r="I575" s="21">
        <v>-82.4418</v>
      </c>
      <c r="J575" s="21" t="s">
        <v>2134</v>
      </c>
      <c r="K575" s="21" t="s">
        <v>2135</v>
      </c>
      <c r="L575" s="21">
        <v>0.0</v>
      </c>
      <c r="P575" s="54"/>
    </row>
    <row r="576" ht="33.75" customHeight="1">
      <c r="A576" s="29">
        <v>42411.0</v>
      </c>
      <c r="B576" s="25" t="s">
        <v>2572</v>
      </c>
      <c r="C576" s="25" t="s">
        <v>2573</v>
      </c>
      <c r="D576" s="25" t="s">
        <v>668</v>
      </c>
      <c r="E576" s="25" t="s">
        <v>629</v>
      </c>
      <c r="F576" s="25">
        <v>30.4054</v>
      </c>
      <c r="G576" s="25">
        <v>-81.5057</v>
      </c>
      <c r="H576" s="21">
        <v>30.4057</v>
      </c>
      <c r="I576" s="21">
        <v>-81.5056</v>
      </c>
      <c r="J576" s="21" t="s">
        <v>2574</v>
      </c>
      <c r="K576" s="21" t="s">
        <v>2575</v>
      </c>
      <c r="L576" s="21">
        <v>1.0</v>
      </c>
      <c r="M576" s="21">
        <v>30.40284</v>
      </c>
      <c r="N576" s="21">
        <v>-81.50188</v>
      </c>
      <c r="O576" s="21" t="s">
        <v>2576</v>
      </c>
      <c r="P576" s="54"/>
    </row>
    <row r="577" ht="33.75" customHeight="1">
      <c r="A577" s="29">
        <v>42412.0</v>
      </c>
      <c r="B577" s="25" t="s">
        <v>2572</v>
      </c>
      <c r="C577" s="25" t="s">
        <v>2573</v>
      </c>
      <c r="D577" s="25" t="s">
        <v>668</v>
      </c>
      <c r="E577" s="25" t="s">
        <v>629</v>
      </c>
      <c r="F577" s="25">
        <v>30.4054</v>
      </c>
      <c r="G577" s="25">
        <v>-81.5057</v>
      </c>
      <c r="H577" s="21">
        <v>30.4057</v>
      </c>
      <c r="I577" s="21">
        <v>-81.5056</v>
      </c>
      <c r="J577" s="21" t="s">
        <v>2577</v>
      </c>
      <c r="K577" s="21" t="s">
        <v>2575</v>
      </c>
      <c r="L577" s="21">
        <v>2.0</v>
      </c>
      <c r="M577" s="21">
        <v>30.40095</v>
      </c>
      <c r="N577" s="21">
        <v>-81.49815</v>
      </c>
      <c r="O577" s="21" t="s">
        <v>2578</v>
      </c>
      <c r="P577" s="54"/>
    </row>
    <row r="578" ht="33.75" customHeight="1">
      <c r="A578" s="29">
        <v>42413.0</v>
      </c>
      <c r="B578" s="25" t="s">
        <v>2572</v>
      </c>
      <c r="C578" s="25" t="s">
        <v>2573</v>
      </c>
      <c r="D578" s="25" t="s">
        <v>668</v>
      </c>
      <c r="E578" s="25" t="s">
        <v>629</v>
      </c>
      <c r="F578" s="25">
        <v>30.4054</v>
      </c>
      <c r="G578" s="25">
        <v>-81.5057</v>
      </c>
      <c r="H578" s="21">
        <v>30.4057</v>
      </c>
      <c r="I578" s="21">
        <v>-81.5056</v>
      </c>
      <c r="J578" s="21" t="s">
        <v>2579</v>
      </c>
      <c r="K578" s="21" t="s">
        <v>2575</v>
      </c>
      <c r="L578" s="21">
        <v>3.0</v>
      </c>
      <c r="M578" s="21">
        <v>30.39896</v>
      </c>
      <c r="N578" s="21">
        <v>-81.49909</v>
      </c>
      <c r="O578" s="21" t="s">
        <v>2580</v>
      </c>
      <c r="P578" s="54"/>
    </row>
    <row r="579" ht="33.75" customHeight="1">
      <c r="A579" s="29">
        <v>42408.0</v>
      </c>
      <c r="B579" s="25" t="s">
        <v>2581</v>
      </c>
      <c r="C579" s="25" t="s">
        <v>2582</v>
      </c>
      <c r="D579" s="25" t="s">
        <v>2583</v>
      </c>
      <c r="E579" s="25" t="s">
        <v>464</v>
      </c>
      <c r="F579" s="25">
        <v>26.439153</v>
      </c>
      <c r="G579" s="25">
        <v>-81.925696</v>
      </c>
      <c r="H579" s="21">
        <v>26.27477</v>
      </c>
      <c r="I579" s="21">
        <v>-81.5759</v>
      </c>
      <c r="J579" s="21" t="s">
        <v>1531</v>
      </c>
      <c r="K579" s="21" t="s">
        <v>2584</v>
      </c>
      <c r="L579" s="21">
        <v>1.0</v>
      </c>
      <c r="M579" s="21">
        <v>26.26328</v>
      </c>
      <c r="N579" s="21">
        <v>-81.55564</v>
      </c>
      <c r="O579" s="21" t="s">
        <v>1307</v>
      </c>
      <c r="P579" s="54"/>
    </row>
    <row r="580" ht="33.75" customHeight="1">
      <c r="A580" s="29">
        <v>42408.0</v>
      </c>
      <c r="B580" s="25" t="s">
        <v>2581</v>
      </c>
      <c r="C580" s="25" t="s">
        <v>2582</v>
      </c>
      <c r="D580" s="25" t="s">
        <v>2583</v>
      </c>
      <c r="E580" s="25" t="s">
        <v>464</v>
      </c>
      <c r="F580" s="25">
        <v>26.439153</v>
      </c>
      <c r="G580" s="25">
        <v>-81.925696</v>
      </c>
      <c r="H580" s="21">
        <v>26.27477</v>
      </c>
      <c r="I580" s="21">
        <v>-81.5759</v>
      </c>
      <c r="J580" s="21" t="s">
        <v>2585</v>
      </c>
      <c r="K580" s="21" t="s">
        <v>2586</v>
      </c>
      <c r="L580" s="21">
        <v>2.0</v>
      </c>
      <c r="M580" s="21">
        <v>26.26375</v>
      </c>
      <c r="N580" s="21">
        <v>-81.56058</v>
      </c>
      <c r="O580" s="21" t="s">
        <v>2587</v>
      </c>
      <c r="P580" s="54"/>
    </row>
    <row r="581" ht="33.75" customHeight="1">
      <c r="A581" s="29">
        <v>42408.0</v>
      </c>
      <c r="B581" s="25" t="s">
        <v>2581</v>
      </c>
      <c r="C581" s="25" t="s">
        <v>2582</v>
      </c>
      <c r="D581" s="25" t="s">
        <v>2583</v>
      </c>
      <c r="E581" s="25" t="s">
        <v>464</v>
      </c>
      <c r="F581" s="25">
        <v>26.439153</v>
      </c>
      <c r="G581" s="25">
        <v>-81.925696</v>
      </c>
      <c r="H581" s="21">
        <v>26.27477</v>
      </c>
      <c r="I581" s="21">
        <v>-81.5759</v>
      </c>
      <c r="J581" s="21" t="s">
        <v>2588</v>
      </c>
      <c r="K581" s="21" t="s">
        <v>2589</v>
      </c>
      <c r="L581" s="21">
        <v>3.0</v>
      </c>
      <c r="M581" s="21">
        <v>25.464213</v>
      </c>
      <c r="N581" s="21">
        <v>-81.968459</v>
      </c>
      <c r="O581" s="21" t="s">
        <v>2590</v>
      </c>
      <c r="P581" s="54"/>
    </row>
    <row r="582" ht="33.75" customHeight="1">
      <c r="A582" s="29">
        <v>42408.0</v>
      </c>
      <c r="B582" s="25" t="s">
        <v>2581</v>
      </c>
      <c r="C582" s="25" t="s">
        <v>2582</v>
      </c>
      <c r="D582" s="25" t="s">
        <v>2583</v>
      </c>
      <c r="E582" s="25" t="s">
        <v>464</v>
      </c>
      <c r="F582" s="25">
        <v>26.26375</v>
      </c>
      <c r="G582" s="25">
        <v>-81.925696</v>
      </c>
      <c r="H582" s="21">
        <v>26.27477</v>
      </c>
      <c r="I582" s="21">
        <v>-81.5759</v>
      </c>
      <c r="J582" s="21" t="s">
        <v>2591</v>
      </c>
      <c r="K582" s="21" t="s">
        <v>2592</v>
      </c>
      <c r="L582" s="21">
        <v>4.0</v>
      </c>
      <c r="M582" s="21">
        <v>25.464213</v>
      </c>
      <c r="N582" s="21">
        <v>-81.968459</v>
      </c>
      <c r="O582" s="21" t="s">
        <v>2593</v>
      </c>
      <c r="P582" s="54"/>
    </row>
    <row r="583" ht="33.75" customHeight="1">
      <c r="A583" s="29">
        <v>42411.0</v>
      </c>
      <c r="B583" s="25" t="s">
        <v>665</v>
      </c>
      <c r="C583" s="25" t="s">
        <v>2573</v>
      </c>
      <c r="D583" s="25" t="s">
        <v>679</v>
      </c>
      <c r="E583" s="25" t="s">
        <v>629</v>
      </c>
      <c r="F583" s="25">
        <v>30.4054</v>
      </c>
      <c r="G583" s="25">
        <v>-81.5057</v>
      </c>
      <c r="H583" s="21">
        <v>30.3992</v>
      </c>
      <c r="I583" s="21">
        <v>-81.4936</v>
      </c>
      <c r="J583" s="21" t="s">
        <v>2594</v>
      </c>
      <c r="K583" s="21" t="s">
        <v>2595</v>
      </c>
      <c r="L583" s="21">
        <v>0.0</v>
      </c>
      <c r="P583" s="54"/>
    </row>
    <row r="584" ht="33.75" customHeight="1">
      <c r="A584" s="29">
        <v>42411.0</v>
      </c>
      <c r="B584" s="25" t="s">
        <v>665</v>
      </c>
      <c r="C584" s="25" t="s">
        <v>2573</v>
      </c>
      <c r="D584" s="25" t="s">
        <v>695</v>
      </c>
      <c r="E584" s="25" t="s">
        <v>629</v>
      </c>
      <c r="F584" s="25">
        <v>30.4098</v>
      </c>
      <c r="G584" s="25">
        <v>-81.5323</v>
      </c>
      <c r="H584" s="21">
        <v>30.4082</v>
      </c>
      <c r="I584" s="21">
        <v>-81.5277</v>
      </c>
      <c r="J584" s="21" t="s">
        <v>2596</v>
      </c>
      <c r="K584" s="21" t="s">
        <v>2597</v>
      </c>
      <c r="L584" s="21">
        <v>0.0</v>
      </c>
      <c r="P584" s="54"/>
    </row>
    <row r="585" ht="33.75" customHeight="1">
      <c r="A585" s="29">
        <v>42411.0</v>
      </c>
      <c r="B585" s="25" t="s">
        <v>665</v>
      </c>
      <c r="C585" s="25" t="s">
        <v>2573</v>
      </c>
      <c r="D585" s="25" t="s">
        <v>2598</v>
      </c>
      <c r="E585" s="25" t="s">
        <v>629</v>
      </c>
      <c r="F585" s="25">
        <v>30.4071</v>
      </c>
      <c r="G585" s="25">
        <v>-81.527</v>
      </c>
      <c r="H585" s="21">
        <v>30.4137</v>
      </c>
      <c r="I585" s="21">
        <v>-81.532</v>
      </c>
      <c r="J585" s="21" t="s">
        <v>2599</v>
      </c>
      <c r="K585" s="21" t="s">
        <v>2597</v>
      </c>
      <c r="L585" s="21">
        <v>0.0</v>
      </c>
      <c r="P585" s="54"/>
    </row>
    <row r="586" ht="33.75" customHeight="1">
      <c r="A586" s="29">
        <v>42411.0</v>
      </c>
      <c r="B586" s="25" t="s">
        <v>665</v>
      </c>
      <c r="C586" s="25" t="s">
        <v>2573</v>
      </c>
      <c r="D586" s="25" t="s">
        <v>709</v>
      </c>
      <c r="E586" s="25" t="s">
        <v>629</v>
      </c>
      <c r="F586" s="25">
        <v>30.3918</v>
      </c>
      <c r="G586" s="25">
        <v>-81.5249</v>
      </c>
      <c r="H586" s="21">
        <v>30.3929</v>
      </c>
      <c r="I586" s="21">
        <v>-81.5177</v>
      </c>
      <c r="J586" s="21" t="s">
        <v>2600</v>
      </c>
      <c r="K586" s="21" t="s">
        <v>2597</v>
      </c>
      <c r="L586" s="21">
        <v>0.0</v>
      </c>
      <c r="P586" s="54"/>
    </row>
    <row r="587" ht="33.75" customHeight="1">
      <c r="A587" s="29">
        <v>42411.0</v>
      </c>
      <c r="B587" s="25" t="s">
        <v>665</v>
      </c>
      <c r="C587" s="25" t="s">
        <v>2573</v>
      </c>
      <c r="D587" s="25" t="s">
        <v>2601</v>
      </c>
      <c r="E587" s="25" t="s">
        <v>629</v>
      </c>
      <c r="F587" s="25">
        <v>30.3977</v>
      </c>
      <c r="G587" s="25">
        <v>-81.5171</v>
      </c>
      <c r="H587" s="21">
        <v>30.4076</v>
      </c>
      <c r="I587" s="21">
        <v>-81.5217</v>
      </c>
      <c r="J587" s="21" t="s">
        <v>725</v>
      </c>
      <c r="K587" s="21" t="s">
        <v>2597</v>
      </c>
      <c r="L587" s="21">
        <v>1.0</v>
      </c>
      <c r="M587" s="21">
        <v>30.39698</v>
      </c>
      <c r="N587" s="21">
        <v>81.52006</v>
      </c>
      <c r="O587" s="21" t="s">
        <v>2602</v>
      </c>
      <c r="P587" s="54"/>
    </row>
    <row r="588" ht="33.75" customHeight="1">
      <c r="A588" s="29">
        <v>42411.0</v>
      </c>
      <c r="B588" s="25" t="s">
        <v>665</v>
      </c>
      <c r="C588" s="25" t="s">
        <v>2573</v>
      </c>
      <c r="D588" s="25" t="s">
        <v>731</v>
      </c>
      <c r="E588" s="25" t="s">
        <v>629</v>
      </c>
      <c r="F588" s="25">
        <v>30.399</v>
      </c>
      <c r="G588" s="25">
        <v>-81.5167</v>
      </c>
      <c r="H588" s="21">
        <v>30.4014</v>
      </c>
      <c r="I588" s="21">
        <v>-81.5159</v>
      </c>
      <c r="J588" s="21" t="s">
        <v>2603</v>
      </c>
      <c r="K588" s="21" t="s">
        <v>2604</v>
      </c>
      <c r="L588" s="21">
        <v>0.0</v>
      </c>
      <c r="P588" s="54"/>
    </row>
    <row r="589" ht="33.75" customHeight="1">
      <c r="A589" s="31"/>
      <c r="B589" s="31"/>
      <c r="C589" s="31"/>
      <c r="D589" s="31"/>
      <c r="E589" s="31"/>
      <c r="F589" s="31"/>
      <c r="G589" s="31"/>
      <c r="P589" s="54"/>
    </row>
    <row r="590" ht="33.75" customHeight="1">
      <c r="A590" s="31"/>
      <c r="B590" s="31"/>
      <c r="C590" s="31"/>
      <c r="D590" s="31"/>
      <c r="E590" s="31"/>
      <c r="F590" s="31"/>
      <c r="G590" s="31"/>
      <c r="P590" s="54"/>
    </row>
    <row r="591" ht="33.75" customHeight="1">
      <c r="A591" s="29">
        <v>42408.0</v>
      </c>
      <c r="B591" s="25" t="s">
        <v>1391</v>
      </c>
      <c r="C591" s="25" t="s">
        <v>1392</v>
      </c>
      <c r="D591" s="25" t="s">
        <v>2605</v>
      </c>
      <c r="E591" s="25" t="s">
        <v>464</v>
      </c>
      <c r="F591" s="25">
        <v>26.43915</v>
      </c>
      <c r="G591" s="25">
        <v>-81.92569</v>
      </c>
      <c r="H591" s="21">
        <v>26.415767</v>
      </c>
      <c r="I591" s="21">
        <v>-81.904526</v>
      </c>
      <c r="J591" s="21" t="s">
        <v>2606</v>
      </c>
      <c r="K591" s="21" t="s">
        <v>2607</v>
      </c>
      <c r="L591" s="21">
        <v>1.0</v>
      </c>
      <c r="M591" s="21">
        <v>26.41711</v>
      </c>
      <c r="N591" s="21">
        <v>-81.905122</v>
      </c>
      <c r="O591" s="21" t="s">
        <v>582</v>
      </c>
      <c r="P591" s="54"/>
    </row>
    <row r="592" ht="33.75" customHeight="1">
      <c r="A592" s="29">
        <v>42408.0</v>
      </c>
      <c r="B592" s="25" t="s">
        <v>1391</v>
      </c>
      <c r="C592" s="25" t="s">
        <v>1392</v>
      </c>
      <c r="D592" s="25" t="s">
        <v>2605</v>
      </c>
      <c r="E592" s="25" t="s">
        <v>464</v>
      </c>
      <c r="F592" s="25">
        <v>26.43915</v>
      </c>
      <c r="G592" s="25">
        <v>-81.92569</v>
      </c>
      <c r="H592" s="21">
        <v>26.415767</v>
      </c>
      <c r="I592" s="21">
        <v>-81.904526</v>
      </c>
      <c r="J592" s="21" t="s">
        <v>2608</v>
      </c>
      <c r="K592" s="21" t="s">
        <v>2609</v>
      </c>
      <c r="L592" s="21">
        <v>2.0</v>
      </c>
      <c r="M592" s="21">
        <v>26.416</v>
      </c>
      <c r="N592" s="21">
        <v>-81.90452</v>
      </c>
      <c r="O592" s="21" t="s">
        <v>2610</v>
      </c>
      <c r="P592" s="54"/>
    </row>
    <row r="593" ht="33.75" customHeight="1">
      <c r="A593" s="29">
        <v>42407.0</v>
      </c>
      <c r="B593" s="25" t="s">
        <v>769</v>
      </c>
      <c r="C593" s="25" t="s">
        <v>771</v>
      </c>
      <c r="D593" s="25" t="s">
        <v>773</v>
      </c>
      <c r="E593" s="25" t="s">
        <v>291</v>
      </c>
      <c r="F593" s="25">
        <v>30.32494</v>
      </c>
      <c r="G593" s="25">
        <v>-87.18103</v>
      </c>
      <c r="H593" s="21">
        <v>30.33124</v>
      </c>
      <c r="I593" s="21">
        <v>-87.29591</v>
      </c>
      <c r="J593" s="21" t="s">
        <v>774</v>
      </c>
      <c r="K593" s="21" t="s">
        <v>776</v>
      </c>
      <c r="L593" s="21">
        <v>1.0</v>
      </c>
      <c r="M593" s="21">
        <v>30.31775</v>
      </c>
      <c r="N593" s="21">
        <v>-87.24729</v>
      </c>
      <c r="O593" s="21" t="s">
        <v>2611</v>
      </c>
      <c r="P593" s="22" t="s">
        <v>2612</v>
      </c>
    </row>
    <row r="594" ht="33.75" customHeight="1">
      <c r="A594" s="29">
        <v>42407.0</v>
      </c>
      <c r="B594" s="25" t="s">
        <v>769</v>
      </c>
      <c r="C594" s="25" t="s">
        <v>771</v>
      </c>
      <c r="D594" s="25" t="s">
        <v>773</v>
      </c>
      <c r="E594" s="25" t="s">
        <v>291</v>
      </c>
      <c r="F594" s="25">
        <v>30.32494</v>
      </c>
      <c r="G594" s="25">
        <v>-87.18103</v>
      </c>
      <c r="H594" s="21">
        <v>30.33124</v>
      </c>
      <c r="I594" s="21">
        <v>-87.29591</v>
      </c>
      <c r="J594" s="21" t="s">
        <v>774</v>
      </c>
      <c r="K594" s="21" t="s">
        <v>776</v>
      </c>
      <c r="L594" s="21">
        <v>2.0</v>
      </c>
      <c r="M594" s="21">
        <v>30.32125</v>
      </c>
      <c r="N594" s="21">
        <v>-87.21216</v>
      </c>
      <c r="O594" s="21" t="s">
        <v>2613</v>
      </c>
      <c r="P594" s="22" t="s">
        <v>2614</v>
      </c>
    </row>
    <row r="595" ht="33.75" customHeight="1">
      <c r="A595" s="29">
        <v>42407.0</v>
      </c>
      <c r="B595" s="25" t="s">
        <v>769</v>
      </c>
      <c r="C595" s="25" t="s">
        <v>771</v>
      </c>
      <c r="D595" s="25" t="s">
        <v>773</v>
      </c>
      <c r="E595" s="25" t="s">
        <v>291</v>
      </c>
      <c r="F595" s="25">
        <v>30.32494</v>
      </c>
      <c r="G595" s="25">
        <v>-87.18103</v>
      </c>
      <c r="H595" s="21">
        <v>30.33124</v>
      </c>
      <c r="I595" s="21">
        <v>-87.29591</v>
      </c>
      <c r="J595" s="21" t="s">
        <v>774</v>
      </c>
      <c r="K595" s="21" t="s">
        <v>776</v>
      </c>
      <c r="L595" s="21">
        <v>3.0</v>
      </c>
      <c r="M595" s="21">
        <v>30.32129</v>
      </c>
      <c r="N595" s="21">
        <v>-87.21127</v>
      </c>
      <c r="O595" s="21" t="s">
        <v>2593</v>
      </c>
      <c r="P595" s="22" t="s">
        <v>2615</v>
      </c>
    </row>
    <row r="596" ht="33.75" customHeight="1">
      <c r="A596" s="29">
        <v>42407.0</v>
      </c>
      <c r="B596" s="25" t="s">
        <v>769</v>
      </c>
      <c r="C596" s="25" t="s">
        <v>771</v>
      </c>
      <c r="D596" s="25" t="s">
        <v>773</v>
      </c>
      <c r="E596" s="25" t="s">
        <v>291</v>
      </c>
      <c r="F596" s="25">
        <v>30.32494</v>
      </c>
      <c r="G596" s="25">
        <v>-87.18103</v>
      </c>
      <c r="H596" s="21">
        <v>30.33124</v>
      </c>
      <c r="I596" s="21">
        <v>-87.29591</v>
      </c>
      <c r="J596" s="21" t="s">
        <v>774</v>
      </c>
      <c r="K596" s="21" t="s">
        <v>776</v>
      </c>
      <c r="L596" s="21">
        <v>4.0</v>
      </c>
      <c r="M596" s="21">
        <v>30.3224</v>
      </c>
      <c r="N596" s="21">
        <v>-87.20173</v>
      </c>
      <c r="O596" s="21" t="s">
        <v>2613</v>
      </c>
      <c r="P596" s="22" t="s">
        <v>2614</v>
      </c>
    </row>
    <row r="597" ht="33.75" customHeight="1">
      <c r="A597" s="29">
        <v>42407.0</v>
      </c>
      <c r="B597" s="25" t="s">
        <v>769</v>
      </c>
      <c r="C597" s="25" t="s">
        <v>771</v>
      </c>
      <c r="D597" s="25" t="s">
        <v>773</v>
      </c>
      <c r="E597" s="25" t="s">
        <v>291</v>
      </c>
      <c r="F597" s="25">
        <v>30.32494</v>
      </c>
      <c r="G597" s="25">
        <v>-87.18103</v>
      </c>
      <c r="H597" s="21">
        <v>30.33124</v>
      </c>
      <c r="I597" s="21">
        <v>-87.29591</v>
      </c>
      <c r="J597" s="21" t="s">
        <v>774</v>
      </c>
      <c r="K597" s="21" t="s">
        <v>776</v>
      </c>
      <c r="L597" s="21">
        <v>5.0</v>
      </c>
      <c r="M597" s="21">
        <v>30.32491</v>
      </c>
      <c r="N597" s="21">
        <v>-87.182264</v>
      </c>
      <c r="O597" s="21" t="s">
        <v>2616</v>
      </c>
      <c r="P597" s="22" t="s">
        <v>2617</v>
      </c>
    </row>
    <row r="598" ht="33.75" customHeight="1">
      <c r="A598" s="29">
        <v>42407.0</v>
      </c>
      <c r="B598" s="25" t="s">
        <v>769</v>
      </c>
      <c r="C598" s="25" t="s">
        <v>771</v>
      </c>
      <c r="D598" s="25" t="s">
        <v>773</v>
      </c>
      <c r="E598" s="25" t="s">
        <v>291</v>
      </c>
      <c r="F598" s="25">
        <v>30.32494</v>
      </c>
      <c r="G598" s="25">
        <v>-87.18103</v>
      </c>
      <c r="H598" s="21">
        <v>30.33124</v>
      </c>
      <c r="I598" s="21">
        <v>-87.29591</v>
      </c>
      <c r="J598" s="21" t="s">
        <v>774</v>
      </c>
      <c r="K598" s="21" t="s">
        <v>776</v>
      </c>
      <c r="L598" s="21">
        <v>6.0</v>
      </c>
      <c r="M598" s="21">
        <v>30.33155</v>
      </c>
      <c r="N598" s="21">
        <v>-87.30025</v>
      </c>
      <c r="O598" s="21" t="s">
        <v>2613</v>
      </c>
      <c r="P598" s="54"/>
    </row>
    <row r="599" ht="33.75" customHeight="1">
      <c r="A599" s="29">
        <v>42407.0</v>
      </c>
      <c r="B599" s="25" t="s">
        <v>769</v>
      </c>
      <c r="C599" s="25" t="s">
        <v>771</v>
      </c>
      <c r="D599" s="25" t="s">
        <v>773</v>
      </c>
      <c r="E599" s="25" t="s">
        <v>291</v>
      </c>
      <c r="F599" s="25">
        <v>30.32494</v>
      </c>
      <c r="G599" s="25">
        <v>-87.18103</v>
      </c>
      <c r="H599" s="21">
        <v>30.33124</v>
      </c>
      <c r="I599" s="21">
        <v>-87.29591</v>
      </c>
      <c r="J599" s="21" t="s">
        <v>774</v>
      </c>
      <c r="K599" s="21" t="s">
        <v>776</v>
      </c>
      <c r="L599" s="21">
        <v>7.0</v>
      </c>
      <c r="M599" s="21">
        <v>30.33167</v>
      </c>
      <c r="N599" s="21">
        <v>-87.30116</v>
      </c>
      <c r="O599" s="21" t="s">
        <v>2611</v>
      </c>
      <c r="P599" s="22" t="s">
        <v>2618</v>
      </c>
    </row>
    <row r="600" ht="33.75" customHeight="1">
      <c r="A600" s="29">
        <v>42407.0</v>
      </c>
      <c r="B600" s="25" t="s">
        <v>769</v>
      </c>
      <c r="C600" s="25" t="s">
        <v>771</v>
      </c>
      <c r="D600" s="25" t="s">
        <v>773</v>
      </c>
      <c r="E600" s="25" t="s">
        <v>291</v>
      </c>
      <c r="F600" s="25">
        <v>30.32494</v>
      </c>
      <c r="G600" s="25">
        <v>-87.18103</v>
      </c>
      <c r="H600" s="21">
        <v>30.33124</v>
      </c>
      <c r="I600" s="21">
        <v>-87.29591</v>
      </c>
      <c r="J600" s="21" t="s">
        <v>774</v>
      </c>
      <c r="K600" s="21" t="s">
        <v>776</v>
      </c>
      <c r="L600" s="21">
        <v>8.0</v>
      </c>
      <c r="M600" s="21">
        <v>30.32999</v>
      </c>
      <c r="N600" s="21">
        <v>-87.30229</v>
      </c>
      <c r="O600" s="21" t="s">
        <v>2619</v>
      </c>
      <c r="P600" s="54"/>
    </row>
    <row r="601" ht="33.75" customHeight="1">
      <c r="A601" s="29">
        <v>42407.0</v>
      </c>
      <c r="B601" s="25" t="s">
        <v>769</v>
      </c>
      <c r="C601" s="25" t="s">
        <v>771</v>
      </c>
      <c r="D601" s="25" t="s">
        <v>773</v>
      </c>
      <c r="E601" s="25" t="s">
        <v>291</v>
      </c>
      <c r="F601" s="25">
        <v>30.32494</v>
      </c>
      <c r="G601" s="25">
        <v>-87.18103</v>
      </c>
      <c r="H601" s="21">
        <v>30.33124</v>
      </c>
      <c r="I601" s="21">
        <v>-87.29591</v>
      </c>
      <c r="J601" s="21" t="s">
        <v>774</v>
      </c>
      <c r="K601" s="21" t="s">
        <v>776</v>
      </c>
      <c r="L601" s="21">
        <v>9.0</v>
      </c>
      <c r="M601" s="21">
        <v>30.32569</v>
      </c>
      <c r="N601" s="21">
        <v>-87.29623</v>
      </c>
      <c r="O601" s="21" t="s">
        <v>2613</v>
      </c>
      <c r="P601" s="54"/>
    </row>
    <row r="602" ht="33.75" customHeight="1">
      <c r="A602" s="29">
        <v>42407.0</v>
      </c>
      <c r="B602" s="25" t="s">
        <v>769</v>
      </c>
      <c r="C602" s="25" t="s">
        <v>771</v>
      </c>
      <c r="D602" s="25" t="s">
        <v>773</v>
      </c>
      <c r="E602" s="25" t="s">
        <v>291</v>
      </c>
      <c r="F602" s="25">
        <v>30.32494</v>
      </c>
      <c r="G602" s="25">
        <v>-87.18103</v>
      </c>
      <c r="H602" s="21">
        <v>30.33124</v>
      </c>
      <c r="I602" s="21">
        <v>-87.29591</v>
      </c>
      <c r="J602" s="21" t="s">
        <v>774</v>
      </c>
      <c r="K602" s="21" t="s">
        <v>776</v>
      </c>
      <c r="L602" s="21">
        <v>10.0</v>
      </c>
      <c r="M602" s="21">
        <v>30.32053</v>
      </c>
      <c r="N602" s="21">
        <v>-87.28729</v>
      </c>
      <c r="O602" s="21" t="s">
        <v>2613</v>
      </c>
      <c r="P602" s="22" t="s">
        <v>2614</v>
      </c>
    </row>
    <row r="603" ht="33.75" customHeight="1">
      <c r="A603" s="20">
        <v>42407.0</v>
      </c>
      <c r="B603" s="21" t="s">
        <v>769</v>
      </c>
      <c r="C603" s="25" t="s">
        <v>771</v>
      </c>
      <c r="D603" s="21" t="s">
        <v>786</v>
      </c>
      <c r="E603" s="21" t="s">
        <v>291</v>
      </c>
      <c r="F603" s="21">
        <v>30.32709</v>
      </c>
      <c r="G603" s="21">
        <v>-87.18102</v>
      </c>
      <c r="H603" s="21">
        <v>30.33124</v>
      </c>
      <c r="I603" s="22">
        <v>-87.29591</v>
      </c>
      <c r="J603" s="21" t="s">
        <v>787</v>
      </c>
      <c r="K603" s="21" t="s">
        <v>776</v>
      </c>
      <c r="L603" s="21">
        <v>0.0</v>
      </c>
      <c r="M603" s="21" t="s">
        <v>249</v>
      </c>
      <c r="N603" s="21" t="s">
        <v>249</v>
      </c>
      <c r="O603" s="21" t="s">
        <v>249</v>
      </c>
      <c r="P603" s="22" t="s">
        <v>2620</v>
      </c>
    </row>
    <row r="604" ht="33.75" customHeight="1">
      <c r="A604" s="29">
        <v>42407.0</v>
      </c>
      <c r="B604" s="21" t="s">
        <v>769</v>
      </c>
      <c r="C604" s="25" t="s">
        <v>771</v>
      </c>
      <c r="D604" s="25" t="s">
        <v>797</v>
      </c>
      <c r="E604" s="21" t="s">
        <v>291</v>
      </c>
      <c r="F604" s="25">
        <v>30.34925</v>
      </c>
      <c r="G604" s="25">
        <v>-87.04415</v>
      </c>
      <c r="H604" s="21">
        <v>30.37118</v>
      </c>
      <c r="I604" s="21">
        <v>-86.91876</v>
      </c>
      <c r="J604" s="21" t="s">
        <v>800</v>
      </c>
      <c r="K604" s="21" t="s">
        <v>801</v>
      </c>
      <c r="L604" s="21">
        <v>1.0</v>
      </c>
      <c r="M604" s="21">
        <v>30.35862</v>
      </c>
      <c r="N604" s="21">
        <v>-86.98969</v>
      </c>
      <c r="O604" s="21" t="s">
        <v>2613</v>
      </c>
      <c r="P604" s="54"/>
    </row>
    <row r="605" ht="33.75" customHeight="1">
      <c r="A605" s="29">
        <v>42407.0</v>
      </c>
      <c r="B605" s="21" t="s">
        <v>769</v>
      </c>
      <c r="C605" s="25" t="s">
        <v>771</v>
      </c>
      <c r="D605" s="25" t="s">
        <v>797</v>
      </c>
      <c r="E605" s="21" t="s">
        <v>291</v>
      </c>
      <c r="F605" s="25">
        <v>30.34925</v>
      </c>
      <c r="G605" s="25">
        <v>-87.04415</v>
      </c>
      <c r="H605" s="21">
        <v>30.37118</v>
      </c>
      <c r="I605" s="21">
        <v>-86.91876</v>
      </c>
      <c r="J605" s="21" t="s">
        <v>800</v>
      </c>
      <c r="K605" s="21" t="s">
        <v>801</v>
      </c>
      <c r="L605" s="21">
        <v>2.0</v>
      </c>
      <c r="M605" s="21">
        <v>30.36184</v>
      </c>
      <c r="N605" s="21">
        <v>-86.9725</v>
      </c>
      <c r="O605" s="21" t="s">
        <v>2621</v>
      </c>
      <c r="P605" s="54"/>
    </row>
    <row r="606" ht="33.75" customHeight="1">
      <c r="A606" s="29">
        <v>42407.0</v>
      </c>
      <c r="B606" s="21" t="s">
        <v>769</v>
      </c>
      <c r="C606" s="25" t="s">
        <v>771</v>
      </c>
      <c r="D606" s="25" t="s">
        <v>797</v>
      </c>
      <c r="E606" s="21" t="s">
        <v>291</v>
      </c>
      <c r="F606" s="25">
        <v>30.34925</v>
      </c>
      <c r="G606" s="25">
        <v>-87.04415</v>
      </c>
      <c r="H606" s="21">
        <v>30.37118</v>
      </c>
      <c r="I606" s="21">
        <v>-86.91876</v>
      </c>
      <c r="J606" s="21" t="s">
        <v>800</v>
      </c>
      <c r="K606" s="21" t="s">
        <v>801</v>
      </c>
      <c r="L606" s="21">
        <v>3.0</v>
      </c>
      <c r="M606" s="21">
        <v>30.36471</v>
      </c>
      <c r="N606" s="21">
        <v>-86.95626</v>
      </c>
      <c r="O606" s="21" t="s">
        <v>2622</v>
      </c>
      <c r="P606" s="54"/>
    </row>
    <row r="607" ht="33.75" customHeight="1">
      <c r="A607" s="29">
        <v>42407.0</v>
      </c>
      <c r="B607" s="21" t="s">
        <v>769</v>
      </c>
      <c r="C607" s="25" t="s">
        <v>771</v>
      </c>
      <c r="D607" s="25" t="s">
        <v>797</v>
      </c>
      <c r="E607" s="21" t="s">
        <v>291</v>
      </c>
      <c r="F607" s="25">
        <v>30.34925</v>
      </c>
      <c r="G607" s="25">
        <v>-87.04415</v>
      </c>
      <c r="H607" s="21">
        <v>30.37118</v>
      </c>
      <c r="I607" s="21">
        <v>-86.91876</v>
      </c>
      <c r="J607" s="21" t="s">
        <v>800</v>
      </c>
      <c r="K607" s="21" t="s">
        <v>801</v>
      </c>
      <c r="L607" s="21">
        <v>4.0</v>
      </c>
      <c r="M607" s="21">
        <v>30.36547</v>
      </c>
      <c r="N607" s="21">
        <v>-86.95195</v>
      </c>
      <c r="O607" s="21" t="s">
        <v>2613</v>
      </c>
      <c r="P607" s="54"/>
    </row>
    <row r="608" ht="33.75" customHeight="1">
      <c r="A608" s="29">
        <v>42407.0</v>
      </c>
      <c r="B608" s="21" t="s">
        <v>769</v>
      </c>
      <c r="C608" s="25" t="s">
        <v>771</v>
      </c>
      <c r="D608" s="25" t="s">
        <v>797</v>
      </c>
      <c r="E608" s="21" t="s">
        <v>291</v>
      </c>
      <c r="F608" s="25">
        <v>30.34925</v>
      </c>
      <c r="G608" s="25">
        <v>-87.04415</v>
      </c>
      <c r="H608" s="21">
        <v>30.37118</v>
      </c>
      <c r="I608" s="21">
        <v>-86.91876</v>
      </c>
      <c r="J608" s="21" t="s">
        <v>800</v>
      </c>
      <c r="K608" s="21" t="s">
        <v>801</v>
      </c>
      <c r="L608" s="21">
        <v>5.0</v>
      </c>
      <c r="M608" s="21">
        <v>30.36726</v>
      </c>
      <c r="N608" s="21">
        <v>-86.94141</v>
      </c>
      <c r="O608" s="21" t="s">
        <v>2623</v>
      </c>
      <c r="P608" s="22" t="s">
        <v>2624</v>
      </c>
    </row>
    <row r="609" ht="33.75" customHeight="1">
      <c r="A609" s="29">
        <v>42407.0</v>
      </c>
      <c r="B609" s="21" t="s">
        <v>769</v>
      </c>
      <c r="C609" s="25" t="s">
        <v>771</v>
      </c>
      <c r="D609" s="25" t="s">
        <v>797</v>
      </c>
      <c r="E609" s="21" t="s">
        <v>291</v>
      </c>
      <c r="F609" s="25">
        <v>30.34925</v>
      </c>
      <c r="G609" s="25">
        <v>-87.04415</v>
      </c>
      <c r="H609" s="21">
        <v>30.37118</v>
      </c>
      <c r="I609" s="21">
        <v>-86.91876</v>
      </c>
      <c r="J609" s="21" t="s">
        <v>800</v>
      </c>
      <c r="K609" s="21" t="s">
        <v>801</v>
      </c>
      <c r="L609" s="21">
        <v>6.0</v>
      </c>
      <c r="M609" s="21">
        <v>30.36736</v>
      </c>
      <c r="N609" s="21">
        <v>-86.94</v>
      </c>
      <c r="O609" s="21" t="s">
        <v>2593</v>
      </c>
      <c r="P609" s="22" t="s">
        <v>2625</v>
      </c>
    </row>
    <row r="610" ht="33.75" customHeight="1">
      <c r="A610" s="29">
        <v>42407.0</v>
      </c>
      <c r="B610" s="21" t="s">
        <v>769</v>
      </c>
      <c r="C610" s="25" t="s">
        <v>771</v>
      </c>
      <c r="D610" s="25" t="s">
        <v>814</v>
      </c>
      <c r="E610" s="21" t="s">
        <v>291</v>
      </c>
      <c r="F610" s="25">
        <v>30.37452</v>
      </c>
      <c r="G610" s="25">
        <v>-86.9189</v>
      </c>
      <c r="H610" s="21">
        <v>30.35882</v>
      </c>
      <c r="I610" s="21">
        <v>-87.04586</v>
      </c>
      <c r="J610" s="21" t="s">
        <v>816</v>
      </c>
      <c r="K610" s="21" t="s">
        <v>818</v>
      </c>
      <c r="L610" s="21">
        <v>1.0</v>
      </c>
      <c r="M610" s="21">
        <v>30.35716</v>
      </c>
      <c r="N610" s="21">
        <v>-87.04346</v>
      </c>
      <c r="O610" s="21" t="s">
        <v>2626</v>
      </c>
      <c r="P610" s="54"/>
    </row>
    <row r="611" ht="33.75" customHeight="1">
      <c r="A611" s="29">
        <v>42410.0</v>
      </c>
      <c r="B611" s="21" t="s">
        <v>769</v>
      </c>
      <c r="C611" s="25" t="s">
        <v>771</v>
      </c>
      <c r="D611" s="25" t="s">
        <v>827</v>
      </c>
      <c r="E611" s="21" t="s">
        <v>291</v>
      </c>
      <c r="F611" s="25">
        <v>30.30297</v>
      </c>
      <c r="G611" s="25">
        <v>-87.4147</v>
      </c>
      <c r="H611" s="21">
        <v>30.31548</v>
      </c>
      <c r="I611" s="21">
        <v>-87.31548</v>
      </c>
      <c r="J611" s="21" t="s">
        <v>831</v>
      </c>
      <c r="K611" s="21" t="s">
        <v>832</v>
      </c>
      <c r="L611" s="21">
        <v>1.0</v>
      </c>
      <c r="M611" s="21">
        <v>30.30494</v>
      </c>
      <c r="N611" s="21">
        <v>-87.39491</v>
      </c>
      <c r="O611" s="21" t="s">
        <v>2613</v>
      </c>
      <c r="P611" s="54"/>
    </row>
    <row r="612" ht="33.75" customHeight="1">
      <c r="A612" s="29">
        <v>42410.0</v>
      </c>
      <c r="B612" s="21" t="s">
        <v>769</v>
      </c>
      <c r="C612" s="25" t="s">
        <v>771</v>
      </c>
      <c r="D612" s="25" t="s">
        <v>827</v>
      </c>
      <c r="E612" s="21" t="s">
        <v>291</v>
      </c>
      <c r="F612" s="25">
        <v>30.30297</v>
      </c>
      <c r="G612" s="25">
        <v>-87.4147</v>
      </c>
      <c r="H612" s="21">
        <v>30.31548</v>
      </c>
      <c r="I612" s="21">
        <v>-87.31548</v>
      </c>
      <c r="J612" s="21" t="s">
        <v>831</v>
      </c>
      <c r="K612" s="21" t="s">
        <v>832</v>
      </c>
      <c r="L612" s="21">
        <v>2.0</v>
      </c>
      <c r="M612" s="21">
        <v>30.30974</v>
      </c>
      <c r="N612" s="21">
        <v>-87.37476</v>
      </c>
      <c r="O612" s="21" t="s">
        <v>2627</v>
      </c>
      <c r="P612" s="54"/>
    </row>
    <row r="613" ht="33.75" customHeight="1">
      <c r="A613" s="29">
        <v>42410.0</v>
      </c>
      <c r="B613" s="21" t="s">
        <v>769</v>
      </c>
      <c r="C613" s="25" t="s">
        <v>771</v>
      </c>
      <c r="D613" s="25" t="s">
        <v>827</v>
      </c>
      <c r="E613" s="21" t="s">
        <v>291</v>
      </c>
      <c r="F613" s="25">
        <v>30.30297</v>
      </c>
      <c r="G613" s="25">
        <v>-87.4147</v>
      </c>
      <c r="H613" s="21">
        <v>30.31548</v>
      </c>
      <c r="I613" s="21">
        <v>-87.31548</v>
      </c>
      <c r="J613" s="21" t="s">
        <v>831</v>
      </c>
      <c r="K613" s="21" t="s">
        <v>832</v>
      </c>
      <c r="L613" s="21">
        <v>3.0</v>
      </c>
      <c r="M613" s="21">
        <v>30.31052</v>
      </c>
      <c r="N613" s="21">
        <v>-87.37148</v>
      </c>
      <c r="O613" s="21" t="s">
        <v>2613</v>
      </c>
      <c r="P613" s="54"/>
    </row>
    <row r="614" ht="33.75" customHeight="1">
      <c r="A614" s="29">
        <v>42410.0</v>
      </c>
      <c r="B614" s="21" t="s">
        <v>769</v>
      </c>
      <c r="C614" s="25" t="s">
        <v>771</v>
      </c>
      <c r="D614" s="25" t="s">
        <v>827</v>
      </c>
      <c r="E614" s="21" t="s">
        <v>291</v>
      </c>
      <c r="F614" s="25">
        <v>30.30297</v>
      </c>
      <c r="G614" s="25">
        <v>-87.4147</v>
      </c>
      <c r="H614" s="21">
        <v>30.31548</v>
      </c>
      <c r="I614" s="21">
        <v>-87.31548</v>
      </c>
      <c r="J614" s="21" t="s">
        <v>831</v>
      </c>
      <c r="K614" s="21" t="s">
        <v>832</v>
      </c>
      <c r="L614" s="21">
        <v>4.0</v>
      </c>
      <c r="M614" s="21">
        <v>30.3186</v>
      </c>
      <c r="N614" s="21">
        <v>-87.33459</v>
      </c>
      <c r="O614" s="21" t="s">
        <v>2613</v>
      </c>
      <c r="P614" s="54"/>
    </row>
    <row r="615" ht="33.75" customHeight="1">
      <c r="A615" s="29">
        <v>42411.0</v>
      </c>
      <c r="B615" s="21" t="s">
        <v>769</v>
      </c>
      <c r="C615" s="25" t="s">
        <v>771</v>
      </c>
      <c r="D615" s="25" t="s">
        <v>841</v>
      </c>
      <c r="E615" s="21" t="s">
        <v>291</v>
      </c>
      <c r="F615" s="25">
        <v>30.31548</v>
      </c>
      <c r="G615" s="25">
        <v>-87.31548</v>
      </c>
      <c r="H615" s="21">
        <v>30.29765</v>
      </c>
      <c r="I615" s="21">
        <v>-87.41924</v>
      </c>
      <c r="J615" s="21" t="s">
        <v>845</v>
      </c>
      <c r="K615" s="21" t="s">
        <v>847</v>
      </c>
      <c r="L615" s="21">
        <v>1.0</v>
      </c>
      <c r="M615" s="21">
        <v>30.32827</v>
      </c>
      <c r="N615" s="21">
        <v>-87.31425</v>
      </c>
      <c r="O615" s="21" t="s">
        <v>2628</v>
      </c>
      <c r="P615" s="54"/>
    </row>
    <row r="616" ht="33.75" customHeight="1">
      <c r="A616" s="29">
        <v>42411.0</v>
      </c>
      <c r="B616" s="21" t="s">
        <v>769</v>
      </c>
      <c r="C616" s="25" t="s">
        <v>771</v>
      </c>
      <c r="D616" s="25" t="s">
        <v>841</v>
      </c>
      <c r="E616" s="21" t="s">
        <v>291</v>
      </c>
      <c r="F616" s="25">
        <v>30.31548</v>
      </c>
      <c r="G616" s="25">
        <v>-87.31548</v>
      </c>
      <c r="H616" s="21">
        <v>30.29765</v>
      </c>
      <c r="I616" s="21">
        <v>-87.41924</v>
      </c>
      <c r="J616" s="21" t="s">
        <v>845</v>
      </c>
      <c r="K616" s="21" t="s">
        <v>847</v>
      </c>
      <c r="L616" s="21">
        <v>2.0</v>
      </c>
      <c r="M616" s="21">
        <v>30.32094</v>
      </c>
      <c r="N616" s="21">
        <v>-87.31407</v>
      </c>
      <c r="O616" s="21" t="s">
        <v>2629</v>
      </c>
      <c r="P616" s="54"/>
    </row>
    <row r="617" ht="33.75" customHeight="1">
      <c r="A617" s="29">
        <v>42411.0</v>
      </c>
      <c r="B617" s="21" t="s">
        <v>769</v>
      </c>
      <c r="C617" s="25" t="s">
        <v>771</v>
      </c>
      <c r="D617" s="25" t="s">
        <v>841</v>
      </c>
      <c r="E617" s="21" t="s">
        <v>291</v>
      </c>
      <c r="F617" s="25">
        <v>30.31548</v>
      </c>
      <c r="G617" s="25">
        <v>-87.31548</v>
      </c>
      <c r="H617" s="21">
        <v>30.29765</v>
      </c>
      <c r="I617" s="21">
        <v>-87.41924</v>
      </c>
      <c r="J617" s="21" t="s">
        <v>845</v>
      </c>
      <c r="K617" s="21" t="s">
        <v>847</v>
      </c>
      <c r="L617" s="21">
        <v>3.0</v>
      </c>
      <c r="M617" s="21">
        <v>30.30845</v>
      </c>
      <c r="N617" s="21">
        <v>-87.37226</v>
      </c>
      <c r="O617" s="21" t="s">
        <v>2630</v>
      </c>
      <c r="P617" s="22" t="s">
        <v>2631</v>
      </c>
    </row>
    <row r="618" ht="33.75" customHeight="1">
      <c r="A618" s="29">
        <v>42411.0</v>
      </c>
      <c r="B618" s="21" t="s">
        <v>769</v>
      </c>
      <c r="C618" s="25" t="s">
        <v>771</v>
      </c>
      <c r="D618" s="25" t="s">
        <v>841</v>
      </c>
      <c r="E618" s="21" t="s">
        <v>291</v>
      </c>
      <c r="F618" s="25">
        <v>30.31548</v>
      </c>
      <c r="G618" s="25">
        <v>-87.31548</v>
      </c>
      <c r="H618" s="21">
        <v>30.29765</v>
      </c>
      <c r="I618" s="21">
        <v>-87.41924</v>
      </c>
      <c r="J618" s="21" t="s">
        <v>845</v>
      </c>
      <c r="K618" s="21" t="s">
        <v>847</v>
      </c>
      <c r="L618" s="21">
        <v>4.0</v>
      </c>
      <c r="M618" s="21">
        <v>30.30689</v>
      </c>
      <c r="N618" s="21">
        <v>-87.37956</v>
      </c>
      <c r="O618" s="21" t="s">
        <v>2613</v>
      </c>
      <c r="P618" s="54"/>
    </row>
    <row r="619" ht="33.75" customHeight="1">
      <c r="A619" s="29">
        <v>42405.0</v>
      </c>
      <c r="B619" s="25" t="s">
        <v>2632</v>
      </c>
      <c r="C619" s="25" t="s">
        <v>2633</v>
      </c>
      <c r="D619" s="25" t="s">
        <v>2634</v>
      </c>
      <c r="E619" s="25" t="s">
        <v>2635</v>
      </c>
      <c r="F619" s="25">
        <v>27.533725</v>
      </c>
      <c r="G619" s="25">
        <v>-80.338593</v>
      </c>
      <c r="H619" s="21">
        <v>27.609381</v>
      </c>
      <c r="I619" s="21">
        <v>-80.364512</v>
      </c>
      <c r="J619" s="21" t="s">
        <v>2636</v>
      </c>
      <c r="K619" s="21" t="s">
        <v>2637</v>
      </c>
      <c r="L619" s="21">
        <v>1.0</v>
      </c>
      <c r="M619" s="21">
        <v>27.609381</v>
      </c>
      <c r="N619" s="21">
        <v>-80.364512</v>
      </c>
      <c r="O619" s="21" t="s">
        <v>2638</v>
      </c>
      <c r="P619" s="54"/>
    </row>
    <row r="620" ht="33.75" customHeight="1">
      <c r="A620" s="31"/>
      <c r="B620" s="31"/>
      <c r="C620" s="25" t="s">
        <v>2633</v>
      </c>
      <c r="D620" s="25" t="s">
        <v>2639</v>
      </c>
      <c r="E620" s="25" t="s">
        <v>853</v>
      </c>
      <c r="F620" s="25">
        <v>27.694814</v>
      </c>
      <c r="G620" s="25">
        <v>-80.390587</v>
      </c>
      <c r="H620" s="21">
        <v>27.782453</v>
      </c>
      <c r="I620" s="21">
        <v>-80.441235</v>
      </c>
      <c r="J620" s="21" t="s">
        <v>2640</v>
      </c>
      <c r="K620" s="21" t="s">
        <v>2637</v>
      </c>
      <c r="L620" s="21">
        <v>2.0</v>
      </c>
      <c r="M620" s="21">
        <v>27.776887</v>
      </c>
      <c r="N620" s="21">
        <v>-80.437727</v>
      </c>
      <c r="O620" s="21" t="s">
        <v>2641</v>
      </c>
      <c r="P620" s="54"/>
    </row>
    <row r="621" ht="33.75" customHeight="1">
      <c r="A621" s="29">
        <v>42411.0</v>
      </c>
      <c r="B621" s="25" t="s">
        <v>1748</v>
      </c>
      <c r="C621" s="25" t="s">
        <v>2642</v>
      </c>
      <c r="D621" s="25" t="s">
        <v>2643</v>
      </c>
      <c r="E621" s="25" t="s">
        <v>428</v>
      </c>
      <c r="F621" s="25" t="s">
        <v>2644</v>
      </c>
      <c r="G621" s="25" t="s">
        <v>2645</v>
      </c>
      <c r="H621" s="21" t="s">
        <v>2646</v>
      </c>
      <c r="I621" s="21" t="s">
        <v>2647</v>
      </c>
      <c r="J621" s="21" t="s">
        <v>2171</v>
      </c>
      <c r="K621" s="21" t="s">
        <v>2648</v>
      </c>
      <c r="L621" s="21">
        <v>1.0</v>
      </c>
      <c r="M621" s="21">
        <v>28.0852517</v>
      </c>
      <c r="N621" s="21">
        <v>-82.8372359</v>
      </c>
      <c r="O621" s="21" t="s">
        <v>282</v>
      </c>
      <c r="P621" s="22" t="s">
        <v>2649</v>
      </c>
    </row>
    <row r="622" ht="33.75" customHeight="1">
      <c r="A622" s="29">
        <v>42405.0</v>
      </c>
      <c r="B622" s="25" t="s">
        <v>755</v>
      </c>
      <c r="C622" s="25" t="s">
        <v>756</v>
      </c>
      <c r="D622" s="25" t="s">
        <v>758</v>
      </c>
      <c r="E622" s="25" t="s">
        <v>629</v>
      </c>
      <c r="F622" s="25">
        <v>30.396667</v>
      </c>
      <c r="G622" s="25">
        <v>-81.392778</v>
      </c>
      <c r="H622" s="21">
        <v>30.253225</v>
      </c>
      <c r="I622" s="21">
        <v>-81.380859</v>
      </c>
      <c r="J622" s="21" t="s">
        <v>761</v>
      </c>
      <c r="K622" s="21" t="s">
        <v>2650</v>
      </c>
      <c r="L622" s="21" t="s">
        <v>2651</v>
      </c>
      <c r="M622" s="21">
        <v>30.308056</v>
      </c>
      <c r="N622" s="21">
        <v>-81.391389</v>
      </c>
      <c r="O622" s="21" t="s">
        <v>2652</v>
      </c>
      <c r="P622" s="22" t="s">
        <v>2653</v>
      </c>
    </row>
    <row r="623" ht="33.75" customHeight="1">
      <c r="A623" s="29">
        <v>42390.0</v>
      </c>
      <c r="B623" s="25" t="s">
        <v>1023</v>
      </c>
      <c r="C623" s="25" t="s">
        <v>1024</v>
      </c>
      <c r="D623" s="25" t="s">
        <v>1035</v>
      </c>
      <c r="E623" s="25" t="s">
        <v>586</v>
      </c>
      <c r="F623" s="25">
        <v>29.72279</v>
      </c>
      <c r="G623" s="25">
        <v>-84.88757</v>
      </c>
      <c r="H623" s="21">
        <v>29.72862</v>
      </c>
      <c r="I623" s="21">
        <v>-84.88523</v>
      </c>
      <c r="J623" s="21" t="s">
        <v>1037</v>
      </c>
      <c r="K623" s="21" t="s">
        <v>1038</v>
      </c>
      <c r="P623" s="22" t="s">
        <v>2654</v>
      </c>
    </row>
    <row r="624" ht="33.75" customHeight="1">
      <c r="A624" s="29">
        <v>42393.0</v>
      </c>
      <c r="B624" s="25" t="s">
        <v>1023</v>
      </c>
      <c r="C624" s="25" t="s">
        <v>1024</v>
      </c>
      <c r="D624" s="25" t="s">
        <v>1025</v>
      </c>
      <c r="E624" s="25" t="s">
        <v>586</v>
      </c>
      <c r="F624" s="25">
        <v>29.66722</v>
      </c>
      <c r="G624" s="25">
        <v>-84.846</v>
      </c>
      <c r="H624" s="21">
        <v>29.68293</v>
      </c>
      <c r="I624" s="21">
        <v>-84.79611</v>
      </c>
      <c r="J624" s="21" t="s">
        <v>1026</v>
      </c>
      <c r="K624" s="21" t="s">
        <v>1027</v>
      </c>
      <c r="P624" s="22" t="s">
        <v>2655</v>
      </c>
    </row>
    <row r="625" ht="33.75" customHeight="1">
      <c r="A625" s="29">
        <v>42394.0</v>
      </c>
      <c r="B625" s="25" t="s">
        <v>1023</v>
      </c>
      <c r="C625" s="25" t="s">
        <v>1024</v>
      </c>
      <c r="D625" s="25" t="s">
        <v>1030</v>
      </c>
      <c r="E625" s="25" t="s">
        <v>586</v>
      </c>
      <c r="F625" s="25">
        <v>29.7109</v>
      </c>
      <c r="G625" s="25">
        <v>-85.0056</v>
      </c>
      <c r="H625" s="21">
        <v>29.7105</v>
      </c>
      <c r="I625" s="21">
        <v>-85.0229</v>
      </c>
      <c r="J625" s="21" t="s">
        <v>1032</v>
      </c>
      <c r="K625" s="21" t="s">
        <v>1033</v>
      </c>
      <c r="L625" s="21"/>
      <c r="M625" s="21"/>
      <c r="N625" s="21"/>
      <c r="O625" s="21"/>
      <c r="P625" s="22" t="s">
        <v>2656</v>
      </c>
    </row>
    <row r="626" ht="33.75" customHeight="1">
      <c r="A626" s="32">
        <v>42393.0</v>
      </c>
      <c r="B626" s="33" t="s">
        <v>1023</v>
      </c>
      <c r="C626" s="33" t="s">
        <v>1024</v>
      </c>
      <c r="D626" s="33" t="s">
        <v>1025</v>
      </c>
      <c r="E626" s="33" t="s">
        <v>586</v>
      </c>
      <c r="F626" s="67">
        <v>29.66722</v>
      </c>
      <c r="G626" s="67">
        <v>-84.846</v>
      </c>
      <c r="H626" s="68">
        <v>29.68293</v>
      </c>
      <c r="I626" s="68">
        <v>-84.79611</v>
      </c>
      <c r="J626" s="37" t="s">
        <v>1026</v>
      </c>
      <c r="K626" s="37" t="s">
        <v>1027</v>
      </c>
      <c r="L626" s="37"/>
      <c r="M626" s="37"/>
      <c r="N626" s="37"/>
      <c r="O626" s="37"/>
      <c r="P626" s="69" t="s">
        <v>2655</v>
      </c>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row>
    <row r="627" ht="33.75" customHeight="1">
      <c r="A627" s="29">
        <v>42408.0</v>
      </c>
      <c r="B627" s="25" t="s">
        <v>420</v>
      </c>
      <c r="C627" s="25" t="s">
        <v>412</v>
      </c>
      <c r="D627" s="25" t="s">
        <v>421</v>
      </c>
      <c r="E627" s="25" t="s">
        <v>31</v>
      </c>
      <c r="F627" s="25">
        <v>28.41124</v>
      </c>
      <c r="G627" s="25">
        <v>-80.58362</v>
      </c>
      <c r="H627" s="21">
        <v>28.56871</v>
      </c>
      <c r="I627" s="21">
        <v>-80.5693</v>
      </c>
      <c r="J627" s="21" t="s">
        <v>423</v>
      </c>
      <c r="K627" s="21" t="s">
        <v>424</v>
      </c>
      <c r="L627" s="21">
        <v>1.0</v>
      </c>
      <c r="M627" s="21">
        <v>28.43599</v>
      </c>
      <c r="N627" s="21">
        <v>-80.5623</v>
      </c>
      <c r="O627" s="21" t="s">
        <v>2657</v>
      </c>
      <c r="P627" s="22" t="s">
        <v>2658</v>
      </c>
    </row>
    <row r="628" ht="33.75" customHeight="1">
      <c r="A628" s="29">
        <v>42408.0</v>
      </c>
      <c r="B628" s="25" t="s">
        <v>420</v>
      </c>
      <c r="C628" s="25" t="s">
        <v>412</v>
      </c>
      <c r="D628" s="25" t="s">
        <v>421</v>
      </c>
      <c r="E628" s="25" t="s">
        <v>31</v>
      </c>
      <c r="F628" s="25">
        <v>28.41124</v>
      </c>
      <c r="G628" s="25">
        <v>-80.58362</v>
      </c>
      <c r="H628" s="21">
        <v>28.56871</v>
      </c>
      <c r="I628" s="21">
        <v>-80.5693</v>
      </c>
      <c r="J628" s="21" t="s">
        <v>423</v>
      </c>
      <c r="K628" s="21" t="s">
        <v>424</v>
      </c>
      <c r="L628" s="21">
        <v>2.0</v>
      </c>
      <c r="M628" s="21">
        <v>28.41124</v>
      </c>
      <c r="N628" s="21">
        <v>-80.58362</v>
      </c>
      <c r="O628" s="21" t="s">
        <v>2659</v>
      </c>
      <c r="P628" s="22" t="s">
        <v>2658</v>
      </c>
    </row>
    <row r="629" ht="33.75" customHeight="1">
      <c r="A629" s="29">
        <v>42408.0</v>
      </c>
      <c r="B629" s="25" t="s">
        <v>420</v>
      </c>
      <c r="C629" s="25" t="s">
        <v>412</v>
      </c>
      <c r="D629" s="25" t="s">
        <v>421</v>
      </c>
      <c r="E629" s="25" t="s">
        <v>31</v>
      </c>
      <c r="F629" s="25">
        <v>28.41124</v>
      </c>
      <c r="G629" s="25">
        <v>-80.58362</v>
      </c>
      <c r="H629" s="21">
        <v>28.56871</v>
      </c>
      <c r="I629" s="21">
        <v>-80.5693</v>
      </c>
      <c r="J629" s="21" t="s">
        <v>423</v>
      </c>
      <c r="K629" s="21" t="s">
        <v>424</v>
      </c>
      <c r="L629" s="21">
        <v>3.0</v>
      </c>
      <c r="M629" s="21">
        <v>28.52472</v>
      </c>
      <c r="N629" s="21">
        <v>-80.55917</v>
      </c>
      <c r="O629" s="21" t="s">
        <v>2660</v>
      </c>
      <c r="P629" s="22" t="s">
        <v>2661</v>
      </c>
    </row>
    <row r="630" ht="33.75" customHeight="1">
      <c r="A630" s="29">
        <v>42408.0</v>
      </c>
      <c r="B630" s="25" t="s">
        <v>420</v>
      </c>
      <c r="C630" s="25" t="s">
        <v>412</v>
      </c>
      <c r="D630" s="25" t="s">
        <v>421</v>
      </c>
      <c r="E630" s="25" t="s">
        <v>31</v>
      </c>
      <c r="F630" s="25">
        <v>28.41124</v>
      </c>
      <c r="G630" s="25">
        <v>-80.58362</v>
      </c>
      <c r="H630" s="21">
        <v>28.56871</v>
      </c>
      <c r="I630" s="21">
        <v>-80.5693</v>
      </c>
      <c r="J630" s="21" t="s">
        <v>423</v>
      </c>
      <c r="K630" s="21" t="s">
        <v>424</v>
      </c>
      <c r="L630" s="21">
        <v>4.0</v>
      </c>
      <c r="M630" s="21">
        <v>28.54833</v>
      </c>
      <c r="N630" s="21">
        <v>-80.56611</v>
      </c>
      <c r="O630" s="21" t="s">
        <v>2439</v>
      </c>
      <c r="P630" s="22" t="s">
        <v>2662</v>
      </c>
    </row>
    <row r="631" ht="33.75" customHeight="1">
      <c r="A631" s="29">
        <v>42409.0</v>
      </c>
      <c r="B631" s="25" t="s">
        <v>411</v>
      </c>
      <c r="C631" s="25" t="s">
        <v>412</v>
      </c>
      <c r="D631" s="25" t="s">
        <v>413</v>
      </c>
      <c r="E631" s="25" t="s">
        <v>31</v>
      </c>
      <c r="F631" s="25">
        <v>28.27195</v>
      </c>
      <c r="G631" s="25">
        <v>-80.60527</v>
      </c>
      <c r="H631" s="21">
        <v>28.21282</v>
      </c>
      <c r="I631" s="21">
        <v>-80.5969</v>
      </c>
      <c r="J631" s="21" t="s">
        <v>414</v>
      </c>
      <c r="K631" s="21" t="s">
        <v>415</v>
      </c>
      <c r="L631" s="21">
        <v>1.0</v>
      </c>
      <c r="M631" s="21">
        <v>28.26126</v>
      </c>
      <c r="N631" s="21">
        <v>-80.60448</v>
      </c>
      <c r="O631" s="21" t="s">
        <v>2663</v>
      </c>
      <c r="P631" s="22" t="s">
        <v>2658</v>
      </c>
    </row>
    <row r="632" ht="33.75" customHeight="1">
      <c r="A632" s="29">
        <v>42409.0</v>
      </c>
      <c r="B632" s="25" t="s">
        <v>411</v>
      </c>
      <c r="C632" s="25" t="s">
        <v>412</v>
      </c>
      <c r="D632" s="25" t="s">
        <v>413</v>
      </c>
      <c r="E632" s="25" t="s">
        <v>31</v>
      </c>
      <c r="F632" s="25">
        <v>28.27195</v>
      </c>
      <c r="G632" s="25">
        <v>-80.60527</v>
      </c>
      <c r="H632" s="21">
        <v>28.21282</v>
      </c>
      <c r="I632" s="21">
        <v>-80.5969</v>
      </c>
      <c r="J632" s="21" t="s">
        <v>414</v>
      </c>
      <c r="K632" s="21" t="s">
        <v>415</v>
      </c>
      <c r="L632" s="21">
        <v>2.0</v>
      </c>
      <c r="M632" s="21">
        <v>28.24634</v>
      </c>
      <c r="N632" s="21">
        <v>-80.60477</v>
      </c>
      <c r="O632" s="21" t="s">
        <v>2664</v>
      </c>
      <c r="P632" s="22" t="s">
        <v>2658</v>
      </c>
    </row>
    <row r="633" ht="33.75" customHeight="1">
      <c r="A633" s="70">
        <v>42406.0</v>
      </c>
      <c r="B633" s="25" t="s">
        <v>2665</v>
      </c>
      <c r="C633" s="25" t="s">
        <v>2666</v>
      </c>
      <c r="D633" s="25" t="s">
        <v>2667</v>
      </c>
      <c r="E633" s="25" t="s">
        <v>259</v>
      </c>
      <c r="F633" s="25">
        <v>26.789481</v>
      </c>
      <c r="G633" s="25">
        <v>-82.272273</v>
      </c>
      <c r="H633" s="21">
        <v>26.810805</v>
      </c>
      <c r="I633" s="21">
        <v>-82.282299</v>
      </c>
      <c r="J633" s="21" t="s">
        <v>2668</v>
      </c>
      <c r="K633" s="21" t="s">
        <v>2669</v>
      </c>
      <c r="P633" s="22" t="s">
        <v>2670</v>
      </c>
    </row>
    <row r="634" ht="33.75" customHeight="1">
      <c r="A634" s="60">
        <v>42775.0</v>
      </c>
      <c r="B634" s="25" t="s">
        <v>2350</v>
      </c>
      <c r="C634" s="25" t="s">
        <v>2351</v>
      </c>
      <c r="D634" s="25" t="s">
        <v>1083</v>
      </c>
      <c r="E634" s="25" t="s">
        <v>1084</v>
      </c>
      <c r="F634" s="25" t="s">
        <v>2357</v>
      </c>
      <c r="G634" s="25" t="s">
        <v>2358</v>
      </c>
      <c r="H634" s="21" t="s">
        <v>2363</v>
      </c>
      <c r="I634" s="21" t="s">
        <v>2364</v>
      </c>
      <c r="J634" s="21" t="s">
        <v>2365</v>
      </c>
      <c r="K634" s="21" t="s">
        <v>2671</v>
      </c>
      <c r="M634" s="21" t="s">
        <v>2672</v>
      </c>
      <c r="N634" s="21" t="s">
        <v>2673</v>
      </c>
      <c r="O634" s="21" t="s">
        <v>2674</v>
      </c>
      <c r="P634" s="22" t="s">
        <v>2362</v>
      </c>
    </row>
    <row r="635" ht="33.75" customHeight="1">
      <c r="A635" s="60">
        <v>42775.0</v>
      </c>
      <c r="B635" s="25" t="s">
        <v>2350</v>
      </c>
      <c r="C635" s="25" t="s">
        <v>2351</v>
      </c>
      <c r="D635" s="25" t="s">
        <v>1083</v>
      </c>
      <c r="E635" s="25" t="s">
        <v>1084</v>
      </c>
      <c r="F635" s="25" t="s">
        <v>2357</v>
      </c>
      <c r="G635" s="25" t="s">
        <v>2358</v>
      </c>
      <c r="H635" s="21" t="s">
        <v>2363</v>
      </c>
      <c r="I635" s="21" t="s">
        <v>2364</v>
      </c>
      <c r="J635" s="21" t="s">
        <v>2365</v>
      </c>
      <c r="K635" s="21" t="s">
        <v>2671</v>
      </c>
      <c r="M635" s="21" t="s">
        <v>2675</v>
      </c>
      <c r="N635" s="21" t="s">
        <v>2676</v>
      </c>
      <c r="O635" s="21" t="s">
        <v>2677</v>
      </c>
      <c r="P635" s="22" t="s">
        <v>2362</v>
      </c>
    </row>
    <row r="636" ht="33.75" customHeight="1">
      <c r="A636" s="60">
        <v>42775.0</v>
      </c>
      <c r="B636" s="25" t="s">
        <v>2350</v>
      </c>
      <c r="C636" s="25" t="s">
        <v>2351</v>
      </c>
      <c r="D636" s="25" t="s">
        <v>1083</v>
      </c>
      <c r="E636" s="25" t="s">
        <v>1084</v>
      </c>
      <c r="F636" s="25" t="s">
        <v>2357</v>
      </c>
      <c r="G636" s="25" t="s">
        <v>2358</v>
      </c>
      <c r="H636" s="21" t="s">
        <v>2363</v>
      </c>
      <c r="I636" s="21" t="s">
        <v>2364</v>
      </c>
      <c r="J636" s="21" t="s">
        <v>2365</v>
      </c>
      <c r="K636" s="21" t="s">
        <v>2671</v>
      </c>
      <c r="M636" s="21" t="s">
        <v>2363</v>
      </c>
      <c r="N636" s="21" t="s">
        <v>2364</v>
      </c>
      <c r="O636" s="21" t="s">
        <v>2678</v>
      </c>
      <c r="P636" s="22" t="s">
        <v>2362</v>
      </c>
    </row>
    <row r="637" ht="33.75" customHeight="1">
      <c r="A637" s="71">
        <v>42775.0</v>
      </c>
      <c r="B637" s="25" t="s">
        <v>2679</v>
      </c>
      <c r="C637" s="25" t="s">
        <v>2351</v>
      </c>
      <c r="D637" s="25" t="s">
        <v>2680</v>
      </c>
      <c r="E637" s="25" t="s">
        <v>1516</v>
      </c>
      <c r="F637" s="25" t="s">
        <v>2681</v>
      </c>
      <c r="G637" s="25" t="s">
        <v>2682</v>
      </c>
      <c r="H637" s="21" t="s">
        <v>2681</v>
      </c>
      <c r="I637" s="21" t="s">
        <v>2682</v>
      </c>
      <c r="J637" s="21" t="s">
        <v>2683</v>
      </c>
      <c r="K637" s="21" t="s">
        <v>2684</v>
      </c>
      <c r="M637" s="21" t="s">
        <v>2681</v>
      </c>
      <c r="N637" s="21" t="s">
        <v>2682</v>
      </c>
      <c r="O637" s="21" t="s">
        <v>2685</v>
      </c>
      <c r="P637" s="22" t="s">
        <v>2686</v>
      </c>
    </row>
    <row r="638" ht="33.75" customHeight="1">
      <c r="A638" s="60">
        <v>42775.0</v>
      </c>
      <c r="B638" s="25" t="s">
        <v>1081</v>
      </c>
      <c r="C638" s="25" t="s">
        <v>2351</v>
      </c>
      <c r="D638" s="25" t="s">
        <v>2383</v>
      </c>
      <c r="E638" s="25" t="s">
        <v>1516</v>
      </c>
      <c r="F638" s="25" t="s">
        <v>2384</v>
      </c>
      <c r="G638" s="25" t="s">
        <v>2385</v>
      </c>
      <c r="H638" s="21" t="s">
        <v>2386</v>
      </c>
      <c r="I638" s="21" t="s">
        <v>2387</v>
      </c>
      <c r="J638" s="21" t="s">
        <v>2388</v>
      </c>
      <c r="K638" s="21" t="s">
        <v>2687</v>
      </c>
      <c r="M638" s="21" t="s">
        <v>2688</v>
      </c>
      <c r="N638" s="21" t="s">
        <v>2689</v>
      </c>
      <c r="O638" s="21" t="s">
        <v>2690</v>
      </c>
      <c r="P638" s="22" t="s">
        <v>2391</v>
      </c>
    </row>
    <row r="639" ht="33.75" customHeight="1">
      <c r="A639" s="31"/>
      <c r="B639" s="25" t="s">
        <v>1081</v>
      </c>
      <c r="C639" s="25" t="s">
        <v>2351</v>
      </c>
      <c r="D639" s="25" t="s">
        <v>2691</v>
      </c>
      <c r="E639" s="25" t="s">
        <v>1516</v>
      </c>
      <c r="F639" s="25" t="s">
        <v>2692</v>
      </c>
      <c r="G639" s="25" t="s">
        <v>2693</v>
      </c>
      <c r="H639" s="21" t="s">
        <v>2692</v>
      </c>
      <c r="I639" s="21" t="s">
        <v>2694</v>
      </c>
      <c r="J639" s="21" t="s">
        <v>2695</v>
      </c>
      <c r="K639" s="21" t="s">
        <v>2687</v>
      </c>
      <c r="M639" s="21" t="s">
        <v>2692</v>
      </c>
      <c r="N639" s="21" t="s">
        <v>2694</v>
      </c>
      <c r="O639" s="21" t="s">
        <v>2696</v>
      </c>
      <c r="P639" s="22" t="s">
        <v>2697</v>
      </c>
    </row>
    <row r="640" ht="33.75" customHeight="1">
      <c r="A640" s="70">
        <v>42774.0</v>
      </c>
      <c r="B640" s="25" t="s">
        <v>2698</v>
      </c>
      <c r="C640" s="25" t="s">
        <v>2699</v>
      </c>
      <c r="D640" s="25" t="s">
        <v>1698</v>
      </c>
      <c r="E640" s="25" t="s">
        <v>184</v>
      </c>
      <c r="F640" s="25">
        <v>24.7413</v>
      </c>
      <c r="G640" s="25">
        <v>80.9799</v>
      </c>
      <c r="H640" s="21">
        <v>24.7399</v>
      </c>
      <c r="I640" s="21">
        <v>80.9839</v>
      </c>
      <c r="J640" s="21" t="s">
        <v>2700</v>
      </c>
      <c r="K640" s="21" t="s">
        <v>2701</v>
      </c>
      <c r="L640" s="21" t="s">
        <v>256</v>
      </c>
      <c r="O640" s="21" t="s">
        <v>2702</v>
      </c>
      <c r="P640" s="54"/>
    </row>
    <row r="641" ht="33.75" customHeight="1">
      <c r="A641" s="70">
        <v>42774.0</v>
      </c>
      <c r="B641" s="25" t="s">
        <v>2698</v>
      </c>
      <c r="C641" s="25" t="s">
        <v>2699</v>
      </c>
      <c r="D641" s="25" t="s">
        <v>1291</v>
      </c>
      <c r="E641" s="25" t="s">
        <v>184</v>
      </c>
      <c r="F641" s="25">
        <v>24.8126</v>
      </c>
      <c r="G641" s="25">
        <v>80.8128</v>
      </c>
      <c r="H641" s="21">
        <v>24.8056</v>
      </c>
      <c r="I641" s="21">
        <v>80.8419</v>
      </c>
      <c r="J641" s="64">
        <v>0.4548611111111111</v>
      </c>
      <c r="K641" s="64">
        <v>0.5013888888888889</v>
      </c>
      <c r="L641" s="21">
        <v>1.0</v>
      </c>
      <c r="M641" s="21">
        <v>24.8078</v>
      </c>
      <c r="N641" s="21">
        <v>80.8347</v>
      </c>
      <c r="O641" s="21" t="s">
        <v>2703</v>
      </c>
      <c r="P641" s="54"/>
    </row>
    <row r="642" ht="33.75" customHeight="1">
      <c r="A642" s="70">
        <v>42774.0</v>
      </c>
      <c r="B642" s="25" t="s">
        <v>2698</v>
      </c>
      <c r="C642" s="25" t="s">
        <v>2699</v>
      </c>
      <c r="D642" s="25" t="s">
        <v>1291</v>
      </c>
      <c r="E642" s="25" t="s">
        <v>184</v>
      </c>
      <c r="F642" s="25">
        <v>24.8126</v>
      </c>
      <c r="G642" s="25">
        <v>80.8128</v>
      </c>
      <c r="H642" s="21">
        <v>24.8056</v>
      </c>
      <c r="I642" s="21">
        <v>80.8419</v>
      </c>
      <c r="J642" s="64">
        <v>0.4548611111111111</v>
      </c>
      <c r="K642" s="64">
        <v>0.5013888888888889</v>
      </c>
      <c r="L642" s="21">
        <v>2.0</v>
      </c>
      <c r="M642" s="21">
        <v>24.8065</v>
      </c>
      <c r="N642" s="21">
        <v>80.839</v>
      </c>
      <c r="O642" s="21" t="s">
        <v>2704</v>
      </c>
      <c r="P642" s="54"/>
    </row>
    <row r="643" ht="33.75" customHeight="1">
      <c r="A643" s="70">
        <v>42773.0</v>
      </c>
      <c r="B643" s="25" t="s">
        <v>2698</v>
      </c>
      <c r="C643" s="25" t="s">
        <v>2699</v>
      </c>
      <c r="D643" s="25" t="s">
        <v>2395</v>
      </c>
      <c r="E643" s="25" t="s">
        <v>184</v>
      </c>
      <c r="F643" s="25">
        <v>24.6691</v>
      </c>
      <c r="G643" s="25">
        <v>81.2502</v>
      </c>
      <c r="H643" s="21">
        <v>24.6543</v>
      </c>
      <c r="I643" s="21">
        <v>81.2814</v>
      </c>
      <c r="J643" s="64">
        <v>0.40625</v>
      </c>
      <c r="K643" s="64">
        <v>0.4840277777777778</v>
      </c>
      <c r="L643" s="21">
        <v>1.0</v>
      </c>
      <c r="M643" s="21">
        <v>24.6605</v>
      </c>
      <c r="N643" s="21">
        <v>81.2646</v>
      </c>
      <c r="O643" s="21" t="s">
        <v>2705</v>
      </c>
      <c r="P643" s="22" t="s">
        <v>2706</v>
      </c>
    </row>
    <row r="644" ht="33.75" customHeight="1">
      <c r="A644" s="70">
        <v>42772.0</v>
      </c>
      <c r="B644" s="25" t="s">
        <v>2707</v>
      </c>
      <c r="C644" s="25" t="s">
        <v>2699</v>
      </c>
      <c r="D644" s="25" t="s">
        <v>2708</v>
      </c>
      <c r="E644" s="25" t="s">
        <v>184</v>
      </c>
      <c r="F644" s="25">
        <v>24.5457</v>
      </c>
      <c r="G644" s="25">
        <v>81.8123</v>
      </c>
      <c r="H644" s="21">
        <v>24.5452</v>
      </c>
      <c r="I644" s="21">
        <v>81.8082</v>
      </c>
      <c r="J644" s="64">
        <v>0.7166666666666667</v>
      </c>
      <c r="K644" s="64">
        <v>0.7243055555555555</v>
      </c>
      <c r="L644" s="21" t="s">
        <v>233</v>
      </c>
      <c r="P644" s="54"/>
    </row>
    <row r="645" ht="33.75" customHeight="1">
      <c r="A645" s="70">
        <v>42769.0</v>
      </c>
      <c r="B645" s="25" t="s">
        <v>1689</v>
      </c>
      <c r="C645" s="25" t="s">
        <v>2699</v>
      </c>
      <c r="D645" s="25" t="s">
        <v>1690</v>
      </c>
      <c r="E645" s="25" t="s">
        <v>715</v>
      </c>
      <c r="F645" s="25">
        <v>27.4722</v>
      </c>
      <c r="G645" s="25">
        <v>80.2949</v>
      </c>
      <c r="H645" s="21">
        <v>27.479</v>
      </c>
      <c r="I645" s="21">
        <v>80.2928</v>
      </c>
      <c r="J645" s="64">
        <v>0.40625</v>
      </c>
      <c r="K645" s="64">
        <v>0.4340277777777778</v>
      </c>
      <c r="L645" s="21" t="s">
        <v>233</v>
      </c>
      <c r="P645" s="54"/>
    </row>
    <row r="646" ht="33.75" customHeight="1">
      <c r="A646" s="70">
        <v>42769.0</v>
      </c>
      <c r="B646" s="25" t="s">
        <v>1689</v>
      </c>
      <c r="C646" s="25" t="s">
        <v>2699</v>
      </c>
      <c r="D646" s="25" t="s">
        <v>2194</v>
      </c>
      <c r="E646" s="25" t="s">
        <v>715</v>
      </c>
      <c r="F646" s="25">
        <v>27.5346</v>
      </c>
      <c r="G646" s="25">
        <v>80.3147</v>
      </c>
      <c r="H646" s="21">
        <v>27.5551</v>
      </c>
      <c r="I646" s="21">
        <v>80.3207</v>
      </c>
      <c r="J646" s="64">
        <v>0.4479166666666667</v>
      </c>
      <c r="K646" s="64">
        <v>0.4895833333333333</v>
      </c>
      <c r="L646" s="21" t="s">
        <v>233</v>
      </c>
      <c r="P646" s="54"/>
    </row>
    <row r="647" ht="33.75" customHeight="1">
      <c r="A647" s="70">
        <v>42770.0</v>
      </c>
      <c r="B647" s="25" t="s">
        <v>1689</v>
      </c>
      <c r="C647" s="25" t="s">
        <v>2699</v>
      </c>
      <c r="D647" s="25" t="s">
        <v>1898</v>
      </c>
      <c r="E647" s="25" t="s">
        <v>220</v>
      </c>
      <c r="F647" s="25">
        <v>26.8142</v>
      </c>
      <c r="G647" s="25">
        <v>80.0354</v>
      </c>
      <c r="H647" s="21">
        <v>26.8364</v>
      </c>
      <c r="I647" s="21">
        <v>80.0413</v>
      </c>
      <c r="J647" s="64">
        <v>0.3645833333333333</v>
      </c>
      <c r="K647" s="64">
        <v>0.4375</v>
      </c>
      <c r="L647" s="21">
        <v>1.0</v>
      </c>
      <c r="M647" s="21">
        <v>26.8155</v>
      </c>
      <c r="N647" s="21">
        <v>80.036</v>
      </c>
      <c r="O647" s="21" t="s">
        <v>2709</v>
      </c>
      <c r="P647" s="54"/>
    </row>
    <row r="648" ht="33.75" customHeight="1">
      <c r="A648" s="70">
        <v>42773.0</v>
      </c>
      <c r="B648" s="25" t="s">
        <v>2698</v>
      </c>
      <c r="C648" s="25" t="s">
        <v>2699</v>
      </c>
      <c r="D648" s="25" t="s">
        <v>2395</v>
      </c>
      <c r="E648" s="25" t="s">
        <v>184</v>
      </c>
      <c r="F648" s="25">
        <v>24.6691</v>
      </c>
      <c r="G648" s="25">
        <v>81.2502</v>
      </c>
      <c r="H648" s="21">
        <v>24.6503</v>
      </c>
      <c r="I648" s="21">
        <v>81.2814</v>
      </c>
      <c r="J648" s="64">
        <v>0.40625</v>
      </c>
      <c r="K648" s="64">
        <v>0.4840277777777778</v>
      </c>
      <c r="L648" s="21">
        <v>2.0</v>
      </c>
      <c r="M648" s="21">
        <v>24.6615</v>
      </c>
      <c r="N648" s="21">
        <v>81.26874</v>
      </c>
      <c r="O648" s="21" t="s">
        <v>2710</v>
      </c>
      <c r="P648" s="54"/>
    </row>
    <row r="649" ht="33.75" customHeight="1">
      <c r="A649" s="70">
        <v>42773.0</v>
      </c>
      <c r="B649" s="25" t="s">
        <v>2402</v>
      </c>
      <c r="C649" s="25" t="s">
        <v>2699</v>
      </c>
      <c r="D649" s="25" t="s">
        <v>2403</v>
      </c>
      <c r="E649" s="25" t="s">
        <v>484</v>
      </c>
      <c r="F649" s="25">
        <v>26.0916</v>
      </c>
      <c r="G649" s="25">
        <v>80.108</v>
      </c>
      <c r="H649" s="21">
        <v>26.0605</v>
      </c>
      <c r="I649" s="21">
        <v>80.1113</v>
      </c>
      <c r="J649" s="64">
        <v>0.2986111111111111</v>
      </c>
      <c r="K649" s="64">
        <v>0.375</v>
      </c>
      <c r="L649" s="21">
        <v>1.0</v>
      </c>
      <c r="M649" s="21">
        <v>26.0752</v>
      </c>
      <c r="N649" s="21">
        <v>80.11</v>
      </c>
      <c r="O649" s="21" t="s">
        <v>2711</v>
      </c>
      <c r="P649" s="54"/>
    </row>
    <row r="650" ht="33.75" customHeight="1">
      <c r="A650" s="31"/>
      <c r="B650" s="31"/>
      <c r="C650" s="31"/>
      <c r="D650" s="31"/>
      <c r="E650" s="31"/>
      <c r="F650" s="31"/>
      <c r="G650" s="31"/>
      <c r="P650" s="54"/>
    </row>
    <row r="651" ht="33.75" customHeight="1">
      <c r="A651" s="31"/>
      <c r="B651" s="31"/>
      <c r="C651" s="31"/>
      <c r="D651" s="31"/>
      <c r="E651" s="31"/>
      <c r="F651" s="31"/>
      <c r="G651" s="31"/>
      <c r="P651" s="54"/>
    </row>
    <row r="652" ht="33.75" customHeight="1">
      <c r="A652" s="31"/>
      <c r="B652" s="31"/>
      <c r="C652" s="31"/>
      <c r="D652" s="31"/>
      <c r="E652" s="31"/>
      <c r="F652" s="31"/>
      <c r="G652" s="31"/>
      <c r="P652" s="54"/>
    </row>
    <row r="653" ht="33.75" customHeight="1">
      <c r="A653" s="31"/>
      <c r="B653" s="31"/>
      <c r="C653" s="31"/>
      <c r="D653" s="31"/>
      <c r="E653" s="31"/>
      <c r="F653" s="31"/>
      <c r="G653" s="31"/>
      <c r="P653" s="54"/>
    </row>
    <row r="654" ht="33.75" customHeight="1">
      <c r="A654" s="31"/>
      <c r="B654" s="31"/>
      <c r="C654" s="31"/>
      <c r="D654" s="31"/>
      <c r="E654" s="31"/>
      <c r="F654" s="31"/>
      <c r="G654" s="31"/>
      <c r="P654" s="54"/>
    </row>
    <row r="655" ht="33.75" customHeight="1">
      <c r="A655" s="31"/>
      <c r="B655" s="31"/>
      <c r="C655" s="31"/>
      <c r="D655" s="31"/>
      <c r="E655" s="31"/>
      <c r="F655" s="31"/>
      <c r="G655" s="31"/>
      <c r="P655" s="54"/>
    </row>
    <row r="656" ht="33.75" customHeight="1">
      <c r="A656" s="31"/>
      <c r="B656" s="31"/>
      <c r="C656" s="31"/>
      <c r="D656" s="31"/>
      <c r="E656" s="31"/>
      <c r="F656" s="31"/>
      <c r="G656" s="31"/>
      <c r="P656" s="54"/>
    </row>
    <row r="657" ht="33.75" customHeight="1">
      <c r="A657" s="31"/>
      <c r="B657" s="31"/>
      <c r="C657" s="31"/>
      <c r="D657" s="31"/>
      <c r="E657" s="31"/>
      <c r="F657" s="31"/>
      <c r="G657" s="31"/>
      <c r="P657" s="54"/>
    </row>
    <row r="658" ht="33.75" customHeight="1">
      <c r="A658" s="31"/>
      <c r="B658" s="31"/>
      <c r="C658" s="31"/>
      <c r="D658" s="31"/>
      <c r="E658" s="31"/>
      <c r="F658" s="31"/>
      <c r="G658" s="31"/>
      <c r="P658" s="54"/>
    </row>
    <row r="659" ht="33.75" customHeight="1">
      <c r="A659" s="31"/>
      <c r="B659" s="31"/>
      <c r="C659" s="31"/>
      <c r="D659" s="31"/>
      <c r="E659" s="31"/>
      <c r="F659" s="31"/>
      <c r="G659" s="31"/>
      <c r="P659" s="54"/>
    </row>
    <row r="660" ht="33.75" customHeight="1">
      <c r="A660" s="31"/>
      <c r="B660" s="31"/>
      <c r="C660" s="31"/>
      <c r="D660" s="31"/>
      <c r="E660" s="31"/>
      <c r="F660" s="31"/>
      <c r="G660" s="31"/>
      <c r="P660" s="54"/>
    </row>
    <row r="661" ht="33.75" customHeight="1">
      <c r="A661" s="31"/>
      <c r="B661" s="31"/>
      <c r="C661" s="31"/>
      <c r="D661" s="31"/>
      <c r="E661" s="31"/>
      <c r="F661" s="31"/>
      <c r="G661" s="31"/>
      <c r="P661" s="54"/>
    </row>
    <row r="662" ht="33.75" customHeight="1">
      <c r="A662" s="31"/>
      <c r="B662" s="31"/>
      <c r="C662" s="31"/>
      <c r="D662" s="31"/>
      <c r="E662" s="31"/>
      <c r="F662" s="31"/>
      <c r="G662" s="31"/>
      <c r="P662" s="54"/>
    </row>
    <row r="663" ht="33.75" customHeight="1">
      <c r="A663" s="31"/>
      <c r="B663" s="31"/>
      <c r="C663" s="31"/>
      <c r="D663" s="31"/>
      <c r="E663" s="31"/>
      <c r="F663" s="31"/>
      <c r="G663" s="31"/>
      <c r="P663" s="54"/>
    </row>
    <row r="664" ht="33.75" customHeight="1">
      <c r="A664" s="31"/>
      <c r="B664" s="31"/>
      <c r="C664" s="31"/>
      <c r="D664" s="31"/>
      <c r="E664" s="31"/>
      <c r="F664" s="31"/>
      <c r="G664" s="31"/>
      <c r="P664" s="54"/>
    </row>
    <row r="665" ht="33.75" customHeight="1">
      <c r="A665" s="31"/>
      <c r="B665" s="31"/>
      <c r="C665" s="31"/>
      <c r="D665" s="31"/>
      <c r="E665" s="31"/>
      <c r="F665" s="31"/>
      <c r="G665" s="31"/>
      <c r="P665" s="54"/>
    </row>
    <row r="666" ht="33.75" customHeight="1">
      <c r="A666" s="31"/>
      <c r="B666" s="31"/>
      <c r="C666" s="31"/>
      <c r="D666" s="31"/>
      <c r="E666" s="31"/>
      <c r="F666" s="31"/>
      <c r="G666" s="31"/>
      <c r="P666" s="54"/>
    </row>
    <row r="667" ht="33.75" customHeight="1">
      <c r="A667" s="31"/>
      <c r="B667" s="31"/>
      <c r="C667" s="31"/>
      <c r="D667" s="31"/>
      <c r="E667" s="31"/>
      <c r="F667" s="31"/>
      <c r="G667" s="31"/>
      <c r="P667" s="54"/>
    </row>
    <row r="668" ht="33.75" customHeight="1">
      <c r="A668" s="31"/>
      <c r="B668" s="31"/>
      <c r="C668" s="31"/>
      <c r="D668" s="31"/>
      <c r="E668" s="31"/>
      <c r="F668" s="31"/>
      <c r="G668" s="31"/>
      <c r="P668" s="54"/>
    </row>
    <row r="669" ht="33.75" customHeight="1">
      <c r="A669" s="31"/>
      <c r="B669" s="31"/>
      <c r="C669" s="31"/>
      <c r="D669" s="31"/>
      <c r="E669" s="31"/>
      <c r="F669" s="31"/>
      <c r="G669" s="31"/>
      <c r="P669" s="54"/>
    </row>
    <row r="670" ht="33.75" customHeight="1">
      <c r="A670" s="31"/>
      <c r="B670" s="31"/>
      <c r="C670" s="31"/>
      <c r="D670" s="31"/>
      <c r="E670" s="31"/>
      <c r="F670" s="31"/>
      <c r="G670" s="31"/>
      <c r="P670" s="54"/>
    </row>
    <row r="671" ht="33.75" customHeight="1">
      <c r="A671" s="31"/>
      <c r="B671" s="31"/>
      <c r="C671" s="31"/>
      <c r="D671" s="31"/>
      <c r="E671" s="31"/>
      <c r="F671" s="31"/>
      <c r="G671" s="31"/>
      <c r="P671" s="54"/>
    </row>
    <row r="672" ht="33.75" customHeight="1">
      <c r="A672" s="31"/>
      <c r="B672" s="31"/>
      <c r="C672" s="31"/>
      <c r="D672" s="31"/>
      <c r="E672" s="31"/>
      <c r="F672" s="31"/>
      <c r="G672" s="31"/>
      <c r="P672" s="54"/>
    </row>
    <row r="673" ht="33.75" customHeight="1">
      <c r="A673" s="31"/>
      <c r="B673" s="31"/>
      <c r="C673" s="31"/>
      <c r="D673" s="31"/>
      <c r="E673" s="31"/>
      <c r="F673" s="31"/>
      <c r="G673" s="31"/>
      <c r="P673" s="54"/>
    </row>
    <row r="674" ht="33.75" customHeight="1">
      <c r="A674" s="31"/>
      <c r="B674" s="31"/>
      <c r="C674" s="31"/>
      <c r="D674" s="31"/>
      <c r="E674" s="31"/>
      <c r="F674" s="31"/>
      <c r="G674" s="31"/>
      <c r="P674" s="54"/>
    </row>
    <row r="675" ht="33.75" customHeight="1">
      <c r="A675" s="31"/>
      <c r="B675" s="31"/>
      <c r="C675" s="31"/>
      <c r="D675" s="31"/>
      <c r="E675" s="31"/>
      <c r="F675" s="31"/>
      <c r="G675" s="31"/>
      <c r="P675" s="54"/>
    </row>
    <row r="676" ht="33.75" customHeight="1">
      <c r="A676" s="31"/>
      <c r="B676" s="31"/>
      <c r="C676" s="31"/>
      <c r="D676" s="31"/>
      <c r="E676" s="31"/>
      <c r="F676" s="31"/>
      <c r="G676" s="31"/>
      <c r="P676" s="54"/>
    </row>
    <row r="677" ht="33.75" customHeight="1">
      <c r="A677" s="31"/>
      <c r="B677" s="31"/>
      <c r="C677" s="31"/>
      <c r="D677" s="31"/>
      <c r="E677" s="31"/>
      <c r="F677" s="31"/>
      <c r="G677" s="31"/>
      <c r="P677" s="54"/>
    </row>
    <row r="678" ht="33.75" customHeight="1">
      <c r="A678" s="31"/>
      <c r="B678" s="31"/>
      <c r="C678" s="31"/>
      <c r="D678" s="31"/>
      <c r="E678" s="31"/>
      <c r="F678" s="31"/>
      <c r="G678" s="31"/>
      <c r="P678" s="54"/>
    </row>
    <row r="679" ht="33.75" customHeight="1">
      <c r="A679" s="31"/>
      <c r="B679" s="31"/>
      <c r="C679" s="31"/>
      <c r="D679" s="31"/>
      <c r="E679" s="31"/>
      <c r="F679" s="31"/>
      <c r="G679" s="31"/>
      <c r="P679" s="54"/>
    </row>
    <row r="680" ht="33.75" customHeight="1">
      <c r="A680" s="31"/>
      <c r="B680" s="31"/>
      <c r="C680" s="31"/>
      <c r="D680" s="31"/>
      <c r="E680" s="31"/>
      <c r="F680" s="31"/>
      <c r="G680" s="31"/>
      <c r="P680" s="54"/>
    </row>
    <row r="681" ht="33.75" customHeight="1">
      <c r="A681" s="31"/>
      <c r="B681" s="31"/>
      <c r="C681" s="31"/>
      <c r="D681" s="31"/>
      <c r="E681" s="31"/>
      <c r="F681" s="31"/>
      <c r="G681" s="31"/>
      <c r="P681" s="54"/>
    </row>
    <row r="682" ht="33.75" customHeight="1">
      <c r="A682" s="31"/>
      <c r="B682" s="31"/>
      <c r="C682" s="31"/>
      <c r="D682" s="31"/>
      <c r="E682" s="31"/>
      <c r="F682" s="31"/>
      <c r="G682" s="31"/>
      <c r="P682" s="54"/>
    </row>
    <row r="683" ht="33.75" customHeight="1">
      <c r="A683" s="31"/>
      <c r="B683" s="31"/>
      <c r="C683" s="31"/>
      <c r="D683" s="31"/>
      <c r="E683" s="31"/>
      <c r="F683" s="31"/>
      <c r="G683" s="31"/>
      <c r="P683" s="54"/>
    </row>
    <row r="684" ht="33.75" customHeight="1">
      <c r="A684" s="31"/>
      <c r="B684" s="31"/>
      <c r="C684" s="31"/>
      <c r="D684" s="31"/>
      <c r="E684" s="31"/>
      <c r="F684" s="31"/>
      <c r="G684" s="31"/>
      <c r="P684" s="54"/>
    </row>
    <row r="685" ht="33.75" customHeight="1">
      <c r="A685" s="31"/>
      <c r="B685" s="31"/>
      <c r="C685" s="31"/>
      <c r="D685" s="31"/>
      <c r="E685" s="31"/>
      <c r="F685" s="31"/>
      <c r="G685" s="31"/>
      <c r="P685" s="54"/>
    </row>
    <row r="686" ht="33.75" customHeight="1">
      <c r="A686" s="31"/>
      <c r="B686" s="31"/>
      <c r="C686" s="31"/>
      <c r="D686" s="31"/>
      <c r="E686" s="31"/>
      <c r="F686" s="31"/>
      <c r="G686" s="31"/>
      <c r="P686" s="54"/>
    </row>
    <row r="687" ht="33.75" customHeight="1">
      <c r="A687" s="31"/>
      <c r="B687" s="31"/>
      <c r="C687" s="31"/>
      <c r="D687" s="31"/>
      <c r="E687" s="31"/>
      <c r="F687" s="31"/>
      <c r="G687" s="31"/>
      <c r="P687" s="54"/>
    </row>
    <row r="688" ht="33.75" customHeight="1">
      <c r="A688" s="31"/>
      <c r="B688" s="31"/>
      <c r="C688" s="31"/>
      <c r="D688" s="31"/>
      <c r="E688" s="31"/>
      <c r="F688" s="31"/>
      <c r="G688" s="31"/>
      <c r="P688" s="54"/>
    </row>
    <row r="689" ht="33.75" customHeight="1">
      <c r="A689" s="31"/>
      <c r="B689" s="31"/>
      <c r="C689" s="31"/>
      <c r="D689" s="31"/>
      <c r="E689" s="31"/>
      <c r="F689" s="31"/>
      <c r="G689" s="31"/>
      <c r="P689" s="54"/>
    </row>
    <row r="690" ht="33.75" customHeight="1">
      <c r="A690" s="31"/>
      <c r="B690" s="31"/>
      <c r="C690" s="31"/>
      <c r="D690" s="31"/>
      <c r="E690" s="31"/>
      <c r="F690" s="31"/>
      <c r="G690" s="31"/>
      <c r="P690" s="54"/>
    </row>
    <row r="691" ht="33.75" customHeight="1">
      <c r="A691" s="31"/>
      <c r="B691" s="31"/>
      <c r="C691" s="31"/>
      <c r="D691" s="31"/>
      <c r="E691" s="31"/>
      <c r="F691" s="31"/>
      <c r="G691" s="31"/>
      <c r="P691" s="54"/>
    </row>
    <row r="692" ht="33.75" customHeight="1">
      <c r="A692" s="31"/>
      <c r="B692" s="31"/>
      <c r="C692" s="31"/>
      <c r="D692" s="31"/>
      <c r="E692" s="31"/>
      <c r="F692" s="31"/>
      <c r="G692" s="31"/>
      <c r="P692" s="54"/>
    </row>
    <row r="693" ht="33.75" customHeight="1">
      <c r="A693" s="31"/>
      <c r="B693" s="31"/>
      <c r="C693" s="31"/>
      <c r="D693" s="31"/>
      <c r="E693" s="31"/>
      <c r="F693" s="31"/>
      <c r="G693" s="31"/>
      <c r="P693" s="54"/>
    </row>
    <row r="694" ht="33.75" customHeight="1">
      <c r="A694" s="31"/>
      <c r="B694" s="31"/>
      <c r="C694" s="31"/>
      <c r="D694" s="31"/>
      <c r="E694" s="31"/>
      <c r="F694" s="31"/>
      <c r="G694" s="31"/>
      <c r="P694" s="54"/>
    </row>
    <row r="695" ht="33.75" customHeight="1">
      <c r="A695" s="31"/>
      <c r="B695" s="31"/>
      <c r="C695" s="31"/>
      <c r="D695" s="31"/>
      <c r="E695" s="31"/>
      <c r="F695" s="31"/>
      <c r="G695" s="31"/>
      <c r="P695" s="54"/>
    </row>
    <row r="696" ht="33.75" customHeight="1">
      <c r="A696" s="31"/>
      <c r="B696" s="31"/>
      <c r="C696" s="31"/>
      <c r="D696" s="31"/>
      <c r="E696" s="31"/>
      <c r="F696" s="31"/>
      <c r="G696" s="31"/>
      <c r="P696" s="54"/>
    </row>
    <row r="697" ht="33.75" customHeight="1">
      <c r="A697" s="31"/>
      <c r="B697" s="31"/>
      <c r="C697" s="31"/>
      <c r="D697" s="31"/>
      <c r="E697" s="31"/>
      <c r="F697" s="31"/>
      <c r="G697" s="31"/>
      <c r="P697" s="54"/>
    </row>
    <row r="698" ht="33.75" customHeight="1">
      <c r="A698" s="31"/>
      <c r="B698" s="31"/>
      <c r="C698" s="31"/>
      <c r="D698" s="31"/>
      <c r="E698" s="31"/>
      <c r="F698" s="31"/>
      <c r="G698" s="31"/>
      <c r="P698" s="54"/>
    </row>
    <row r="699" ht="33.75" customHeight="1">
      <c r="A699" s="31"/>
      <c r="B699" s="31"/>
      <c r="C699" s="31"/>
      <c r="D699" s="31"/>
      <c r="E699" s="31"/>
      <c r="F699" s="31"/>
      <c r="G699" s="31"/>
      <c r="P699" s="54"/>
    </row>
    <row r="700" ht="33.75" customHeight="1">
      <c r="A700" s="31"/>
      <c r="B700" s="31"/>
      <c r="C700" s="31"/>
      <c r="D700" s="31"/>
      <c r="E700" s="31"/>
      <c r="F700" s="31"/>
      <c r="G700" s="31"/>
      <c r="P700" s="54"/>
    </row>
    <row r="701" ht="33.75" customHeight="1">
      <c r="A701" s="31"/>
      <c r="B701" s="31"/>
      <c r="C701" s="31"/>
      <c r="D701" s="31"/>
      <c r="E701" s="31"/>
      <c r="F701" s="31"/>
      <c r="G701" s="31"/>
      <c r="P701" s="54"/>
    </row>
    <row r="702" ht="33.75" customHeight="1">
      <c r="A702" s="31"/>
      <c r="B702" s="31"/>
      <c r="C702" s="31"/>
      <c r="D702" s="31"/>
      <c r="E702" s="31"/>
      <c r="F702" s="31"/>
      <c r="G702" s="31"/>
      <c r="P702" s="54"/>
    </row>
    <row r="703" ht="33.75" customHeight="1">
      <c r="A703" s="31"/>
      <c r="B703" s="31"/>
      <c r="C703" s="31"/>
      <c r="D703" s="31"/>
      <c r="E703" s="31"/>
      <c r="F703" s="31"/>
      <c r="G703" s="31"/>
      <c r="P703" s="54"/>
    </row>
    <row r="704" ht="33.75" customHeight="1">
      <c r="A704" s="31"/>
      <c r="B704" s="31"/>
      <c r="C704" s="31"/>
      <c r="D704" s="31"/>
      <c r="E704" s="31"/>
      <c r="F704" s="31"/>
      <c r="G704" s="31"/>
      <c r="P704" s="54"/>
    </row>
    <row r="705" ht="33.75" customHeight="1">
      <c r="A705" s="31"/>
      <c r="B705" s="31"/>
      <c r="C705" s="31"/>
      <c r="D705" s="31"/>
      <c r="E705" s="31"/>
      <c r="F705" s="31"/>
      <c r="G705" s="31"/>
      <c r="P705" s="54"/>
    </row>
    <row r="706" ht="33.75" customHeight="1">
      <c r="A706" s="31"/>
      <c r="B706" s="31"/>
      <c r="C706" s="31"/>
      <c r="D706" s="31"/>
      <c r="E706" s="31"/>
      <c r="F706" s="31"/>
      <c r="G706" s="31"/>
      <c r="P706" s="54"/>
    </row>
    <row r="707" ht="33.75" customHeight="1">
      <c r="A707" s="31"/>
      <c r="B707" s="31"/>
      <c r="C707" s="31"/>
      <c r="D707" s="31"/>
      <c r="E707" s="31"/>
      <c r="F707" s="31"/>
      <c r="G707" s="31"/>
      <c r="P707" s="54"/>
    </row>
    <row r="708" ht="33.75" customHeight="1">
      <c r="A708" s="31"/>
      <c r="B708" s="31"/>
      <c r="C708" s="31"/>
      <c r="D708" s="31"/>
      <c r="E708" s="31"/>
      <c r="F708" s="31"/>
      <c r="G708" s="31"/>
      <c r="P708" s="54"/>
    </row>
    <row r="709" ht="33.75" customHeight="1">
      <c r="A709" s="31"/>
      <c r="B709" s="31"/>
      <c r="C709" s="31"/>
      <c r="D709" s="31"/>
      <c r="E709" s="31"/>
      <c r="F709" s="31"/>
      <c r="G709" s="31"/>
      <c r="P709" s="54"/>
    </row>
    <row r="710" ht="33.75" customHeight="1">
      <c r="A710" s="31"/>
      <c r="B710" s="31"/>
      <c r="C710" s="31"/>
      <c r="D710" s="31"/>
      <c r="E710" s="31"/>
      <c r="F710" s="31"/>
      <c r="G710" s="31"/>
      <c r="P710" s="54"/>
    </row>
    <row r="711" ht="33.75" customHeight="1">
      <c r="A711" s="31"/>
      <c r="B711" s="31"/>
      <c r="C711" s="31"/>
      <c r="D711" s="31"/>
      <c r="E711" s="31"/>
      <c r="F711" s="31"/>
      <c r="G711" s="31"/>
      <c r="P711" s="54"/>
    </row>
    <row r="712" ht="33.75" customHeight="1">
      <c r="A712" s="31"/>
      <c r="B712" s="31"/>
      <c r="C712" s="31"/>
      <c r="D712" s="31"/>
      <c r="E712" s="31"/>
      <c r="F712" s="31"/>
      <c r="G712" s="31"/>
      <c r="P712" s="54"/>
    </row>
    <row r="713" ht="33.75" customHeight="1">
      <c r="A713" s="31"/>
      <c r="B713" s="31"/>
      <c r="C713" s="31"/>
      <c r="D713" s="31"/>
      <c r="E713" s="31"/>
      <c r="F713" s="31"/>
      <c r="G713" s="31"/>
      <c r="P713" s="54"/>
    </row>
    <row r="714" ht="33.75" customHeight="1">
      <c r="A714" s="31"/>
      <c r="B714" s="31"/>
      <c r="C714" s="31"/>
      <c r="D714" s="31"/>
      <c r="E714" s="31"/>
      <c r="F714" s="31"/>
      <c r="G714" s="31"/>
      <c r="P714" s="54"/>
    </row>
    <row r="715" ht="33.75" customHeight="1">
      <c r="A715" s="31"/>
      <c r="B715" s="31"/>
      <c r="C715" s="31"/>
      <c r="D715" s="31"/>
      <c r="E715" s="31"/>
      <c r="F715" s="31"/>
      <c r="G715" s="31"/>
      <c r="P715" s="54"/>
    </row>
    <row r="716" ht="33.75" customHeight="1">
      <c r="A716" s="31"/>
      <c r="B716" s="31"/>
      <c r="C716" s="31"/>
      <c r="D716" s="31"/>
      <c r="E716" s="31"/>
      <c r="F716" s="31"/>
      <c r="G716" s="31"/>
      <c r="P716" s="54"/>
    </row>
    <row r="717" ht="33.75" customHeight="1">
      <c r="A717" s="31"/>
      <c r="B717" s="31"/>
      <c r="C717" s="31"/>
      <c r="D717" s="31"/>
      <c r="E717" s="31"/>
      <c r="F717" s="31"/>
      <c r="G717" s="31"/>
      <c r="P717" s="54"/>
    </row>
    <row r="718" ht="33.75" customHeight="1">
      <c r="A718" s="31"/>
      <c r="B718" s="31"/>
      <c r="C718" s="31"/>
      <c r="D718" s="31"/>
      <c r="E718" s="31"/>
      <c r="F718" s="31"/>
      <c r="G718" s="31"/>
      <c r="P718" s="54"/>
    </row>
    <row r="719" ht="33.75" customHeight="1">
      <c r="A719" s="31"/>
      <c r="B719" s="31"/>
      <c r="C719" s="31"/>
      <c r="D719" s="31"/>
      <c r="E719" s="31"/>
      <c r="F719" s="31"/>
      <c r="G719" s="31"/>
      <c r="P719" s="54"/>
    </row>
    <row r="720" ht="33.75" customHeight="1">
      <c r="A720" s="31"/>
      <c r="B720" s="31"/>
      <c r="C720" s="31"/>
      <c r="D720" s="31"/>
      <c r="E720" s="31"/>
      <c r="F720" s="31"/>
      <c r="G720" s="31"/>
      <c r="P720" s="54"/>
    </row>
    <row r="721" ht="33.75" customHeight="1">
      <c r="A721" s="31"/>
      <c r="B721" s="31"/>
      <c r="C721" s="31"/>
      <c r="D721" s="31"/>
      <c r="E721" s="31"/>
      <c r="F721" s="31"/>
      <c r="G721" s="31"/>
      <c r="P721" s="54"/>
    </row>
    <row r="722" ht="33.75" customHeight="1">
      <c r="A722" s="31"/>
      <c r="B722" s="31"/>
      <c r="C722" s="31"/>
      <c r="D722" s="31"/>
      <c r="E722" s="31"/>
      <c r="F722" s="31"/>
      <c r="G722" s="31"/>
      <c r="P722" s="54"/>
    </row>
    <row r="723" ht="33.75" customHeight="1">
      <c r="A723" s="31"/>
      <c r="B723" s="31"/>
      <c r="C723" s="31"/>
      <c r="D723" s="31"/>
      <c r="E723" s="31"/>
      <c r="F723" s="31"/>
      <c r="G723" s="31"/>
      <c r="P723" s="54"/>
    </row>
    <row r="724" ht="33.75" customHeight="1">
      <c r="A724" s="31"/>
      <c r="B724" s="31"/>
      <c r="C724" s="31"/>
      <c r="D724" s="31"/>
      <c r="E724" s="31"/>
      <c r="F724" s="31"/>
      <c r="G724" s="31"/>
      <c r="P724" s="54"/>
    </row>
    <row r="725" ht="33.75" customHeight="1">
      <c r="A725" s="31"/>
      <c r="B725" s="31"/>
      <c r="C725" s="31"/>
      <c r="D725" s="31"/>
      <c r="E725" s="31"/>
      <c r="F725" s="31"/>
      <c r="G725" s="31"/>
      <c r="P725" s="54"/>
    </row>
    <row r="726" ht="33.75" customHeight="1">
      <c r="A726" s="31"/>
      <c r="B726" s="31"/>
      <c r="C726" s="31"/>
      <c r="D726" s="31"/>
      <c r="E726" s="31"/>
      <c r="F726" s="31"/>
      <c r="G726" s="31"/>
      <c r="P726" s="54"/>
    </row>
    <row r="727" ht="33.75" customHeight="1">
      <c r="A727" s="31"/>
      <c r="B727" s="31"/>
      <c r="C727" s="31"/>
      <c r="D727" s="31"/>
      <c r="E727" s="31"/>
      <c r="F727" s="31"/>
      <c r="G727" s="31"/>
      <c r="P727" s="54"/>
    </row>
    <row r="728" ht="33.75" customHeight="1">
      <c r="A728" s="31"/>
      <c r="B728" s="31"/>
      <c r="C728" s="31"/>
      <c r="D728" s="31"/>
      <c r="E728" s="31"/>
      <c r="F728" s="31"/>
      <c r="G728" s="31"/>
      <c r="P728" s="54"/>
    </row>
    <row r="729" ht="33.75" customHeight="1">
      <c r="A729" s="31"/>
      <c r="B729" s="31"/>
      <c r="C729" s="31"/>
      <c r="D729" s="31"/>
      <c r="E729" s="31"/>
      <c r="F729" s="31"/>
      <c r="G729" s="31"/>
      <c r="P729" s="54"/>
    </row>
    <row r="730" ht="33.75" customHeight="1">
      <c r="A730" s="31"/>
      <c r="B730" s="31"/>
      <c r="C730" s="31"/>
      <c r="D730" s="31"/>
      <c r="E730" s="31"/>
      <c r="F730" s="31"/>
      <c r="G730" s="31"/>
      <c r="P730" s="54"/>
    </row>
    <row r="731" ht="33.75" customHeight="1">
      <c r="A731" s="31"/>
      <c r="B731" s="31"/>
      <c r="C731" s="31"/>
      <c r="D731" s="31"/>
      <c r="E731" s="31"/>
      <c r="F731" s="31"/>
      <c r="G731" s="31"/>
      <c r="P731" s="54"/>
    </row>
    <row r="732" ht="33.75" customHeight="1">
      <c r="A732" s="31"/>
      <c r="B732" s="31"/>
      <c r="C732" s="31"/>
      <c r="D732" s="31"/>
      <c r="E732" s="31"/>
      <c r="F732" s="31"/>
      <c r="G732" s="31"/>
      <c r="P732" s="54"/>
    </row>
    <row r="733" ht="33.75" customHeight="1">
      <c r="A733" s="31"/>
      <c r="B733" s="31"/>
      <c r="C733" s="31"/>
      <c r="D733" s="31"/>
      <c r="E733" s="31"/>
      <c r="F733" s="31"/>
      <c r="G733" s="31"/>
      <c r="P733" s="54"/>
    </row>
    <row r="734" ht="33.75" customHeight="1">
      <c r="A734" s="31"/>
      <c r="B734" s="31"/>
      <c r="C734" s="31"/>
      <c r="D734" s="31"/>
      <c r="E734" s="31"/>
      <c r="F734" s="31"/>
      <c r="G734" s="31"/>
      <c r="P734" s="54"/>
    </row>
    <row r="735" ht="33.75" customHeight="1">
      <c r="A735" s="31"/>
      <c r="B735" s="31"/>
      <c r="C735" s="31"/>
      <c r="D735" s="31"/>
      <c r="E735" s="31"/>
      <c r="F735" s="31"/>
      <c r="G735" s="31"/>
      <c r="P735" s="54"/>
    </row>
    <row r="736" ht="33.75" customHeight="1">
      <c r="A736" s="31"/>
      <c r="B736" s="31"/>
      <c r="C736" s="31"/>
      <c r="D736" s="31"/>
      <c r="E736" s="31"/>
      <c r="F736" s="31"/>
      <c r="G736" s="31"/>
      <c r="P736" s="54"/>
    </row>
    <row r="737" ht="33.75" customHeight="1">
      <c r="A737" s="31"/>
      <c r="B737" s="31"/>
      <c r="C737" s="31"/>
      <c r="D737" s="31"/>
      <c r="E737" s="31"/>
      <c r="F737" s="31"/>
      <c r="G737" s="31"/>
      <c r="P737" s="54"/>
    </row>
    <row r="738" ht="33.75" customHeight="1">
      <c r="A738" s="31"/>
      <c r="B738" s="31"/>
      <c r="C738" s="31"/>
      <c r="D738" s="31"/>
      <c r="E738" s="31"/>
      <c r="F738" s="31"/>
      <c r="G738" s="31"/>
      <c r="P738" s="54"/>
    </row>
    <row r="739" ht="33.75" customHeight="1">
      <c r="A739" s="31"/>
      <c r="B739" s="31"/>
      <c r="C739" s="31"/>
      <c r="D739" s="31"/>
      <c r="E739" s="31"/>
      <c r="F739" s="31"/>
      <c r="G739" s="31"/>
      <c r="P739" s="54"/>
    </row>
    <row r="740" ht="33.75" customHeight="1">
      <c r="A740" s="31"/>
      <c r="B740" s="31"/>
      <c r="C740" s="31"/>
      <c r="D740" s="31"/>
      <c r="E740" s="31"/>
      <c r="F740" s="31"/>
      <c r="G740" s="31"/>
      <c r="P740" s="54"/>
    </row>
    <row r="741" ht="33.75" customHeight="1">
      <c r="A741" s="31"/>
      <c r="B741" s="31"/>
      <c r="C741" s="31"/>
      <c r="D741" s="31"/>
      <c r="E741" s="31"/>
      <c r="F741" s="31"/>
      <c r="G741" s="31"/>
      <c r="P741" s="54"/>
    </row>
    <row r="742" ht="33.75" customHeight="1">
      <c r="A742" s="31"/>
      <c r="B742" s="31"/>
      <c r="C742" s="31"/>
      <c r="D742" s="31"/>
      <c r="E742" s="31"/>
      <c r="F742" s="31"/>
      <c r="G742" s="31"/>
      <c r="P742" s="54"/>
    </row>
    <row r="743" ht="33.75" customHeight="1">
      <c r="A743" s="31"/>
      <c r="B743" s="31"/>
      <c r="C743" s="31"/>
      <c r="D743" s="31"/>
      <c r="E743" s="31"/>
      <c r="F743" s="31"/>
      <c r="G743" s="31"/>
      <c r="P743" s="54"/>
    </row>
    <row r="744" ht="33.75" customHeight="1">
      <c r="A744" s="31"/>
      <c r="B744" s="31"/>
      <c r="C744" s="31"/>
      <c r="D744" s="31"/>
      <c r="E744" s="31"/>
      <c r="F744" s="31"/>
      <c r="G744" s="31"/>
      <c r="P744" s="54"/>
    </row>
    <row r="745" ht="33.75" customHeight="1">
      <c r="A745" s="31"/>
      <c r="B745" s="31"/>
      <c r="C745" s="31"/>
      <c r="D745" s="31"/>
      <c r="E745" s="31"/>
      <c r="F745" s="31"/>
      <c r="G745" s="31"/>
      <c r="P745" s="54"/>
    </row>
    <row r="746" ht="33.75" customHeight="1">
      <c r="A746" s="31"/>
      <c r="B746" s="31"/>
      <c r="C746" s="31"/>
      <c r="D746" s="31"/>
      <c r="E746" s="31"/>
      <c r="F746" s="31"/>
      <c r="G746" s="31"/>
      <c r="P746" s="54"/>
    </row>
    <row r="747" ht="33.75" customHeight="1">
      <c r="A747" s="31"/>
      <c r="B747" s="31"/>
      <c r="C747" s="31"/>
      <c r="D747" s="31"/>
      <c r="E747" s="31"/>
      <c r="F747" s="31"/>
      <c r="G747" s="31"/>
      <c r="P747" s="54"/>
    </row>
    <row r="748" ht="33.75" customHeight="1">
      <c r="A748" s="31"/>
      <c r="B748" s="31"/>
      <c r="C748" s="31"/>
      <c r="D748" s="31"/>
      <c r="E748" s="31"/>
      <c r="F748" s="31"/>
      <c r="G748" s="31"/>
      <c r="P748" s="54"/>
    </row>
    <row r="749" ht="33.75" customHeight="1">
      <c r="A749" s="31"/>
      <c r="B749" s="31"/>
      <c r="C749" s="31"/>
      <c r="D749" s="31"/>
      <c r="E749" s="31"/>
      <c r="F749" s="31"/>
      <c r="G749" s="31"/>
      <c r="P749" s="54"/>
    </row>
    <row r="750" ht="33.75" customHeight="1">
      <c r="A750" s="31"/>
      <c r="B750" s="31"/>
      <c r="C750" s="31"/>
      <c r="D750" s="31"/>
      <c r="E750" s="31"/>
      <c r="F750" s="31"/>
      <c r="G750" s="31"/>
      <c r="P750" s="54"/>
    </row>
    <row r="751" ht="33.75" customHeight="1">
      <c r="A751" s="31"/>
      <c r="B751" s="31"/>
      <c r="C751" s="31"/>
      <c r="D751" s="31"/>
      <c r="E751" s="31"/>
      <c r="F751" s="31"/>
      <c r="G751" s="31"/>
      <c r="P751" s="54"/>
    </row>
    <row r="752" ht="33.75" customHeight="1">
      <c r="A752" s="31"/>
      <c r="B752" s="31"/>
      <c r="C752" s="31"/>
      <c r="D752" s="31"/>
      <c r="E752" s="31"/>
      <c r="F752" s="31"/>
      <c r="G752" s="31"/>
      <c r="P752" s="54"/>
    </row>
    <row r="753" ht="33.75" customHeight="1">
      <c r="A753" s="31"/>
      <c r="B753" s="31"/>
      <c r="C753" s="31"/>
      <c r="D753" s="31"/>
      <c r="E753" s="31"/>
      <c r="F753" s="31"/>
      <c r="G753" s="31"/>
      <c r="P753" s="54"/>
    </row>
    <row r="754" ht="33.75" customHeight="1">
      <c r="A754" s="31"/>
      <c r="B754" s="31"/>
      <c r="C754" s="31"/>
      <c r="D754" s="31"/>
      <c r="E754" s="31"/>
      <c r="F754" s="31"/>
      <c r="G754" s="31"/>
      <c r="P754" s="54"/>
    </row>
    <row r="755" ht="33.75" customHeight="1">
      <c r="A755" s="31"/>
      <c r="B755" s="31"/>
      <c r="C755" s="31"/>
      <c r="D755" s="31"/>
      <c r="E755" s="31"/>
      <c r="F755" s="31"/>
      <c r="G755" s="31"/>
      <c r="P755" s="54"/>
    </row>
    <row r="756" ht="33.75" customHeight="1">
      <c r="A756" s="31"/>
      <c r="B756" s="31"/>
      <c r="C756" s="31"/>
      <c r="D756" s="31"/>
      <c r="E756" s="31"/>
      <c r="F756" s="31"/>
      <c r="G756" s="31"/>
      <c r="P756" s="54"/>
    </row>
    <row r="757" ht="33.75" customHeight="1">
      <c r="A757" s="31"/>
      <c r="B757" s="31"/>
      <c r="C757" s="31"/>
      <c r="D757" s="31"/>
      <c r="E757" s="31"/>
      <c r="F757" s="31"/>
      <c r="G757" s="31"/>
      <c r="P757" s="54"/>
    </row>
    <row r="758" ht="33.75" customHeight="1">
      <c r="A758" s="31"/>
      <c r="B758" s="31"/>
      <c r="C758" s="31"/>
      <c r="D758" s="31"/>
      <c r="E758" s="31"/>
      <c r="F758" s="31"/>
      <c r="G758" s="31"/>
      <c r="P758" s="54"/>
    </row>
    <row r="759" ht="33.75" customHeight="1">
      <c r="A759" s="31"/>
      <c r="B759" s="31"/>
      <c r="C759" s="31"/>
      <c r="D759" s="31"/>
      <c r="E759" s="31"/>
      <c r="F759" s="31"/>
      <c r="G759" s="31"/>
      <c r="P759" s="54"/>
    </row>
    <row r="760" ht="33.75" customHeight="1">
      <c r="A760" s="31"/>
      <c r="B760" s="31"/>
      <c r="C760" s="31"/>
      <c r="D760" s="31"/>
      <c r="E760" s="31"/>
      <c r="F760" s="31"/>
      <c r="G760" s="31"/>
      <c r="P760" s="54"/>
    </row>
    <row r="761" ht="33.75" customHeight="1">
      <c r="A761" s="31"/>
      <c r="B761" s="31"/>
      <c r="C761" s="31"/>
      <c r="D761" s="31"/>
      <c r="E761" s="31"/>
      <c r="F761" s="31"/>
      <c r="G761" s="31"/>
      <c r="P761" s="54"/>
    </row>
    <row r="762" ht="33.75" customHeight="1">
      <c r="A762" s="31"/>
      <c r="B762" s="31"/>
      <c r="C762" s="31"/>
      <c r="D762" s="31"/>
      <c r="E762" s="31"/>
      <c r="F762" s="31"/>
      <c r="G762" s="31"/>
      <c r="P762" s="54"/>
    </row>
    <row r="763" ht="33.75" customHeight="1">
      <c r="A763" s="31"/>
      <c r="B763" s="31"/>
      <c r="C763" s="31"/>
      <c r="D763" s="31"/>
      <c r="E763" s="31"/>
      <c r="F763" s="31"/>
      <c r="G763" s="31"/>
      <c r="P763" s="54"/>
    </row>
    <row r="764" ht="33.75" customHeight="1">
      <c r="A764" s="31"/>
      <c r="B764" s="31"/>
      <c r="C764" s="31"/>
      <c r="D764" s="31"/>
      <c r="E764" s="31"/>
      <c r="F764" s="31"/>
      <c r="G764" s="31"/>
      <c r="P764" s="54"/>
    </row>
    <row r="765" ht="33.75" customHeight="1">
      <c r="A765" s="31"/>
      <c r="B765" s="31"/>
      <c r="C765" s="31"/>
      <c r="D765" s="31"/>
      <c r="E765" s="31"/>
      <c r="F765" s="31"/>
      <c r="G765" s="31"/>
      <c r="P765" s="54"/>
    </row>
    <row r="766" ht="33.75" customHeight="1">
      <c r="A766" s="31"/>
      <c r="B766" s="31"/>
      <c r="C766" s="31"/>
      <c r="D766" s="31"/>
      <c r="E766" s="31"/>
      <c r="F766" s="31"/>
      <c r="G766" s="31"/>
      <c r="P766" s="54"/>
    </row>
    <row r="767" ht="33.75" customHeight="1">
      <c r="A767" s="31"/>
      <c r="B767" s="31"/>
      <c r="C767" s="31"/>
      <c r="D767" s="31"/>
      <c r="E767" s="31"/>
      <c r="F767" s="31"/>
      <c r="G767" s="31"/>
      <c r="P767" s="54"/>
    </row>
    <row r="768" ht="33.75" customHeight="1">
      <c r="A768" s="31"/>
      <c r="B768" s="31"/>
      <c r="C768" s="31"/>
      <c r="D768" s="31"/>
      <c r="E768" s="31"/>
      <c r="F768" s="31"/>
      <c r="G768" s="31"/>
      <c r="P768" s="54"/>
    </row>
    <row r="769" ht="33.75" customHeight="1">
      <c r="A769" s="31"/>
      <c r="B769" s="31"/>
      <c r="C769" s="31"/>
      <c r="D769" s="31"/>
      <c r="E769" s="31"/>
      <c r="F769" s="31"/>
      <c r="G769" s="31"/>
      <c r="P769" s="54"/>
    </row>
    <row r="770" ht="33.75" customHeight="1">
      <c r="A770" s="31"/>
      <c r="B770" s="31"/>
      <c r="C770" s="31"/>
      <c r="D770" s="31"/>
      <c r="E770" s="31"/>
      <c r="F770" s="31"/>
      <c r="G770" s="31"/>
      <c r="P770" s="54"/>
    </row>
    <row r="771" ht="33.75" customHeight="1">
      <c r="A771" s="31"/>
      <c r="B771" s="31"/>
      <c r="C771" s="31"/>
      <c r="D771" s="31"/>
      <c r="E771" s="31"/>
      <c r="F771" s="31"/>
      <c r="G771" s="31"/>
      <c r="P771" s="54"/>
    </row>
    <row r="772" ht="33.75" customHeight="1">
      <c r="A772" s="31"/>
      <c r="B772" s="31"/>
      <c r="C772" s="31"/>
      <c r="D772" s="31"/>
      <c r="E772" s="31"/>
      <c r="F772" s="31"/>
      <c r="G772" s="31"/>
      <c r="P772" s="54"/>
    </row>
    <row r="773" ht="33.75" customHeight="1">
      <c r="A773" s="31"/>
      <c r="B773" s="31"/>
      <c r="C773" s="31"/>
      <c r="D773" s="31"/>
      <c r="E773" s="31"/>
      <c r="F773" s="31"/>
      <c r="G773" s="31"/>
      <c r="P773" s="54"/>
    </row>
    <row r="774" ht="33.75" customHeight="1">
      <c r="A774" s="31"/>
      <c r="B774" s="31"/>
      <c r="C774" s="31"/>
      <c r="D774" s="31"/>
      <c r="E774" s="31"/>
      <c r="F774" s="31"/>
      <c r="G774" s="31"/>
      <c r="P774" s="54"/>
    </row>
    <row r="775" ht="33.75" customHeight="1">
      <c r="A775" s="31"/>
      <c r="B775" s="31"/>
      <c r="C775" s="31"/>
      <c r="D775" s="31"/>
      <c r="E775" s="31"/>
      <c r="F775" s="31"/>
      <c r="G775" s="31"/>
      <c r="P775" s="54"/>
    </row>
    <row r="776" ht="33.75" customHeight="1">
      <c r="A776" s="31"/>
      <c r="B776" s="31"/>
      <c r="C776" s="31"/>
      <c r="D776" s="31"/>
      <c r="E776" s="31"/>
      <c r="F776" s="31"/>
      <c r="G776" s="31"/>
      <c r="P776" s="54"/>
    </row>
    <row r="777" ht="33.75" customHeight="1">
      <c r="A777" s="31"/>
      <c r="B777" s="31"/>
      <c r="C777" s="31"/>
      <c r="D777" s="31"/>
      <c r="E777" s="31"/>
      <c r="F777" s="31"/>
      <c r="G777" s="31"/>
      <c r="P777" s="54"/>
    </row>
    <row r="778" ht="33.75" customHeight="1">
      <c r="A778" s="31"/>
      <c r="B778" s="31"/>
      <c r="C778" s="31"/>
      <c r="D778" s="31"/>
      <c r="E778" s="31"/>
      <c r="F778" s="31"/>
      <c r="G778" s="31"/>
      <c r="P778" s="54"/>
    </row>
    <row r="779" ht="33.75" customHeight="1">
      <c r="A779" s="31"/>
      <c r="B779" s="31"/>
      <c r="C779" s="31"/>
      <c r="D779" s="31"/>
      <c r="E779" s="31"/>
      <c r="F779" s="31"/>
      <c r="G779" s="31"/>
      <c r="P779" s="54"/>
    </row>
    <row r="780" ht="33.75" customHeight="1">
      <c r="A780" s="31"/>
      <c r="B780" s="31"/>
      <c r="C780" s="31"/>
      <c r="D780" s="31"/>
      <c r="E780" s="31"/>
      <c r="F780" s="31"/>
      <c r="G780" s="31"/>
      <c r="P780" s="54"/>
    </row>
    <row r="781" ht="33.75" customHeight="1">
      <c r="A781" s="31"/>
      <c r="B781" s="31"/>
      <c r="C781" s="31"/>
      <c r="D781" s="31"/>
      <c r="E781" s="31"/>
      <c r="F781" s="31"/>
      <c r="G781" s="31"/>
      <c r="P781" s="54"/>
    </row>
    <row r="782" ht="33.75" customHeight="1">
      <c r="A782" s="31"/>
      <c r="B782" s="31"/>
      <c r="C782" s="31"/>
      <c r="D782" s="31"/>
      <c r="E782" s="31"/>
      <c r="F782" s="31"/>
      <c r="G782" s="31"/>
      <c r="P782" s="54"/>
    </row>
    <row r="783" ht="33.75" customHeight="1">
      <c r="A783" s="31"/>
      <c r="B783" s="31"/>
      <c r="C783" s="31"/>
      <c r="D783" s="31"/>
      <c r="E783" s="31"/>
      <c r="F783" s="31"/>
      <c r="G783" s="31"/>
      <c r="P783" s="54"/>
    </row>
    <row r="784" ht="33.75" customHeight="1">
      <c r="A784" s="31"/>
      <c r="B784" s="31"/>
      <c r="C784" s="31"/>
      <c r="D784" s="31"/>
      <c r="E784" s="31"/>
      <c r="F784" s="31"/>
      <c r="G784" s="31"/>
      <c r="P784" s="54"/>
    </row>
    <row r="785" ht="33.75" customHeight="1">
      <c r="A785" s="31"/>
      <c r="B785" s="31"/>
      <c r="C785" s="31"/>
      <c r="D785" s="31"/>
      <c r="E785" s="31"/>
      <c r="F785" s="31"/>
      <c r="G785" s="31"/>
      <c r="P785" s="54"/>
    </row>
    <row r="786" ht="33.75" customHeight="1">
      <c r="A786" s="31"/>
      <c r="B786" s="31"/>
      <c r="C786" s="31"/>
      <c r="D786" s="31"/>
      <c r="E786" s="31"/>
      <c r="F786" s="31"/>
      <c r="G786" s="31"/>
      <c r="P786" s="54"/>
    </row>
    <row r="787" ht="33.75" customHeight="1">
      <c r="A787" s="31"/>
      <c r="B787" s="31"/>
      <c r="C787" s="31"/>
      <c r="D787" s="31"/>
      <c r="E787" s="31"/>
      <c r="F787" s="31"/>
      <c r="G787" s="31"/>
      <c r="P787" s="54"/>
    </row>
    <row r="788" ht="33.75" customHeight="1">
      <c r="A788" s="31"/>
      <c r="B788" s="31"/>
      <c r="C788" s="31"/>
      <c r="D788" s="31"/>
      <c r="E788" s="31"/>
      <c r="F788" s="31"/>
      <c r="G788" s="31"/>
      <c r="P788" s="54"/>
    </row>
    <row r="789" ht="33.75" customHeight="1">
      <c r="A789" s="31"/>
      <c r="B789" s="31"/>
      <c r="C789" s="31"/>
      <c r="D789" s="31"/>
      <c r="E789" s="31"/>
      <c r="F789" s="31"/>
      <c r="G789" s="31"/>
      <c r="P789" s="54"/>
    </row>
    <row r="790" ht="33.75" customHeight="1">
      <c r="A790" s="31"/>
      <c r="B790" s="31"/>
      <c r="C790" s="31"/>
      <c r="D790" s="31"/>
      <c r="E790" s="31"/>
      <c r="F790" s="31"/>
      <c r="G790" s="31"/>
      <c r="P790" s="54"/>
    </row>
    <row r="791" ht="33.75" customHeight="1">
      <c r="A791" s="31"/>
      <c r="B791" s="31"/>
      <c r="C791" s="31"/>
      <c r="D791" s="31"/>
      <c r="E791" s="31"/>
      <c r="F791" s="31"/>
      <c r="G791" s="31"/>
      <c r="P791" s="54"/>
    </row>
    <row r="792" ht="33.75" customHeight="1">
      <c r="A792" s="31"/>
      <c r="B792" s="31"/>
      <c r="C792" s="31"/>
      <c r="D792" s="31"/>
      <c r="E792" s="31"/>
      <c r="F792" s="31"/>
      <c r="G792" s="31"/>
      <c r="P792" s="54"/>
    </row>
    <row r="793" ht="33.75" customHeight="1">
      <c r="A793" s="31"/>
      <c r="B793" s="31"/>
      <c r="C793" s="31"/>
      <c r="D793" s="31"/>
      <c r="E793" s="31"/>
      <c r="F793" s="31"/>
      <c r="G793" s="31"/>
      <c r="P793" s="54"/>
    </row>
    <row r="794" ht="33.75" customHeight="1">
      <c r="A794" s="31"/>
      <c r="B794" s="31"/>
      <c r="C794" s="31"/>
      <c r="D794" s="31"/>
      <c r="E794" s="31"/>
      <c r="F794" s="31"/>
      <c r="G794" s="31"/>
      <c r="P794" s="54"/>
    </row>
    <row r="795" ht="33.75" customHeight="1">
      <c r="A795" s="31"/>
      <c r="B795" s="31"/>
      <c r="C795" s="31"/>
      <c r="D795" s="31"/>
      <c r="E795" s="31"/>
      <c r="F795" s="31"/>
      <c r="G795" s="31"/>
      <c r="P795" s="54"/>
    </row>
    <row r="796" ht="33.75" customHeight="1">
      <c r="A796" s="31"/>
      <c r="B796" s="31"/>
      <c r="C796" s="31"/>
      <c r="D796" s="31"/>
      <c r="E796" s="31"/>
      <c r="F796" s="31"/>
      <c r="G796" s="31"/>
      <c r="P796" s="54"/>
    </row>
    <row r="797" ht="33.75" customHeight="1">
      <c r="A797" s="31"/>
      <c r="B797" s="31"/>
      <c r="C797" s="31"/>
      <c r="D797" s="31"/>
      <c r="E797" s="31"/>
      <c r="F797" s="31"/>
      <c r="G797" s="31"/>
      <c r="P797" s="54"/>
    </row>
    <row r="798" ht="33.75" customHeight="1">
      <c r="A798" s="31"/>
      <c r="B798" s="31"/>
      <c r="C798" s="31"/>
      <c r="D798" s="31"/>
      <c r="E798" s="31"/>
      <c r="F798" s="31"/>
      <c r="G798" s="31"/>
      <c r="P798" s="54"/>
    </row>
    <row r="799" ht="33.75" customHeight="1">
      <c r="A799" s="31"/>
      <c r="B799" s="31"/>
      <c r="C799" s="31"/>
      <c r="D799" s="31"/>
      <c r="E799" s="31"/>
      <c r="F799" s="31"/>
      <c r="G799" s="31"/>
      <c r="P799" s="54"/>
    </row>
    <row r="800" ht="33.75" customHeight="1">
      <c r="A800" s="31"/>
      <c r="B800" s="31"/>
      <c r="C800" s="31"/>
      <c r="D800" s="31"/>
      <c r="E800" s="31"/>
      <c r="F800" s="31"/>
      <c r="G800" s="31"/>
      <c r="P800" s="54"/>
    </row>
    <row r="801" ht="33.75" customHeight="1">
      <c r="A801" s="31"/>
      <c r="B801" s="31"/>
      <c r="C801" s="31"/>
      <c r="D801" s="31"/>
      <c r="E801" s="31"/>
      <c r="F801" s="31"/>
      <c r="G801" s="31"/>
      <c r="P801" s="54"/>
    </row>
    <row r="802" ht="33.75" customHeight="1">
      <c r="A802" s="31"/>
      <c r="B802" s="31"/>
      <c r="C802" s="31"/>
      <c r="D802" s="31"/>
      <c r="E802" s="31"/>
      <c r="F802" s="31"/>
      <c r="G802" s="31"/>
      <c r="P802" s="54"/>
    </row>
    <row r="803" ht="33.75" customHeight="1">
      <c r="A803" s="31"/>
      <c r="B803" s="31"/>
      <c r="C803" s="31"/>
      <c r="D803" s="31"/>
      <c r="E803" s="31"/>
      <c r="F803" s="31"/>
      <c r="G803" s="31"/>
      <c r="P803" s="54"/>
    </row>
    <row r="804" ht="33.75" customHeight="1">
      <c r="A804" s="31"/>
      <c r="B804" s="31"/>
      <c r="C804" s="31"/>
      <c r="D804" s="31"/>
      <c r="E804" s="31"/>
      <c r="F804" s="31"/>
      <c r="G804" s="31"/>
      <c r="P804" s="54"/>
    </row>
    <row r="805" ht="33.75" customHeight="1">
      <c r="A805" s="31"/>
      <c r="B805" s="31"/>
      <c r="C805" s="31"/>
      <c r="D805" s="31"/>
      <c r="E805" s="31"/>
      <c r="F805" s="31"/>
      <c r="G805" s="31"/>
      <c r="P805" s="54"/>
    </row>
    <row r="806" ht="33.75" customHeight="1">
      <c r="A806" s="31"/>
      <c r="B806" s="31"/>
      <c r="C806" s="31"/>
      <c r="D806" s="31"/>
      <c r="E806" s="31"/>
      <c r="F806" s="31"/>
      <c r="G806" s="31"/>
      <c r="P806" s="54"/>
    </row>
    <row r="807" ht="33.75" customHeight="1">
      <c r="A807" s="31"/>
      <c r="B807" s="31"/>
      <c r="C807" s="31"/>
      <c r="D807" s="31"/>
      <c r="E807" s="31"/>
      <c r="F807" s="31"/>
      <c r="G807" s="31"/>
      <c r="P807" s="54"/>
    </row>
    <row r="808" ht="33.75" customHeight="1">
      <c r="A808" s="31"/>
      <c r="B808" s="31"/>
      <c r="C808" s="31"/>
      <c r="D808" s="31"/>
      <c r="E808" s="31"/>
      <c r="F808" s="31"/>
      <c r="G808" s="31"/>
      <c r="P808" s="54"/>
    </row>
    <row r="809" ht="33.75" customHeight="1">
      <c r="A809" s="31"/>
      <c r="B809" s="31"/>
      <c r="C809" s="31"/>
      <c r="D809" s="31"/>
      <c r="E809" s="31"/>
      <c r="F809" s="31"/>
      <c r="G809" s="31"/>
      <c r="P809" s="54"/>
    </row>
    <row r="810" ht="33.75" customHeight="1">
      <c r="A810" s="31"/>
      <c r="B810" s="31"/>
      <c r="C810" s="31"/>
      <c r="D810" s="31"/>
      <c r="E810" s="31"/>
      <c r="F810" s="31"/>
      <c r="G810" s="31"/>
      <c r="P810" s="54"/>
    </row>
    <row r="811" ht="33.75" customHeight="1">
      <c r="A811" s="31"/>
      <c r="B811" s="31"/>
      <c r="C811" s="31"/>
      <c r="D811" s="31"/>
      <c r="E811" s="31"/>
      <c r="F811" s="31"/>
      <c r="G811" s="31"/>
      <c r="P811" s="54"/>
    </row>
    <row r="812" ht="33.75" customHeight="1">
      <c r="A812" s="31"/>
      <c r="B812" s="31"/>
      <c r="C812" s="31"/>
      <c r="D812" s="31"/>
      <c r="E812" s="31"/>
      <c r="F812" s="31"/>
      <c r="G812" s="31"/>
      <c r="P812" s="54"/>
    </row>
    <row r="813" ht="33.75" customHeight="1">
      <c r="A813" s="31"/>
      <c r="B813" s="31"/>
      <c r="C813" s="31"/>
      <c r="D813" s="31"/>
      <c r="E813" s="31"/>
      <c r="F813" s="31"/>
      <c r="G813" s="31"/>
      <c r="P813" s="54"/>
    </row>
    <row r="814" ht="33.75" customHeight="1">
      <c r="A814" s="31"/>
      <c r="B814" s="31"/>
      <c r="C814" s="31"/>
      <c r="D814" s="31"/>
      <c r="E814" s="31"/>
      <c r="F814" s="31"/>
      <c r="G814" s="31"/>
      <c r="P814" s="54"/>
    </row>
    <row r="815" ht="33.75" customHeight="1">
      <c r="A815" s="31"/>
      <c r="B815" s="31"/>
      <c r="C815" s="31"/>
      <c r="D815" s="31"/>
      <c r="E815" s="31"/>
      <c r="F815" s="31"/>
      <c r="G815" s="31"/>
      <c r="P815" s="54"/>
    </row>
    <row r="816" ht="33.75" customHeight="1">
      <c r="A816" s="31"/>
      <c r="B816" s="31"/>
      <c r="C816" s="31"/>
      <c r="D816" s="31"/>
      <c r="E816" s="31"/>
      <c r="F816" s="31"/>
      <c r="G816" s="31"/>
      <c r="P816" s="54"/>
    </row>
    <row r="817" ht="33.75" customHeight="1">
      <c r="A817" s="31"/>
      <c r="B817" s="31"/>
      <c r="C817" s="31"/>
      <c r="D817" s="31"/>
      <c r="E817" s="31"/>
      <c r="F817" s="31"/>
      <c r="G817" s="31"/>
      <c r="P817" s="54"/>
    </row>
    <row r="818" ht="33.75" customHeight="1">
      <c r="A818" s="31"/>
      <c r="B818" s="31"/>
      <c r="C818" s="31"/>
      <c r="D818" s="31"/>
      <c r="E818" s="31"/>
      <c r="F818" s="31"/>
      <c r="G818" s="31"/>
      <c r="P818" s="54"/>
    </row>
    <row r="819" ht="33.75" customHeight="1">
      <c r="A819" s="31"/>
      <c r="B819" s="31"/>
      <c r="C819" s="31"/>
      <c r="D819" s="31"/>
      <c r="E819" s="31"/>
      <c r="F819" s="31"/>
      <c r="G819" s="31"/>
      <c r="P819" s="54"/>
    </row>
    <row r="820" ht="33.75" customHeight="1">
      <c r="A820" s="31"/>
      <c r="B820" s="31"/>
      <c r="C820" s="31"/>
      <c r="D820" s="31"/>
      <c r="E820" s="31"/>
      <c r="F820" s="31"/>
      <c r="G820" s="31"/>
      <c r="P820" s="54"/>
    </row>
    <row r="821" ht="33.75" customHeight="1">
      <c r="A821" s="31"/>
      <c r="B821" s="31"/>
      <c r="C821" s="31"/>
      <c r="D821" s="31"/>
      <c r="E821" s="31"/>
      <c r="F821" s="31"/>
      <c r="G821" s="31"/>
      <c r="P821" s="54"/>
    </row>
    <row r="822" ht="33.75" customHeight="1">
      <c r="A822" s="31"/>
      <c r="B822" s="31"/>
      <c r="C822" s="31"/>
      <c r="D822" s="31"/>
      <c r="E822" s="31"/>
      <c r="F822" s="31"/>
      <c r="G822" s="31"/>
      <c r="P822" s="54"/>
    </row>
    <row r="823" ht="33.75" customHeight="1">
      <c r="A823" s="31"/>
      <c r="B823" s="31"/>
      <c r="C823" s="31"/>
      <c r="D823" s="31"/>
      <c r="E823" s="31"/>
      <c r="F823" s="31"/>
      <c r="G823" s="31"/>
      <c r="P823" s="54"/>
    </row>
    <row r="824" ht="33.75" customHeight="1">
      <c r="A824" s="31"/>
      <c r="B824" s="31"/>
      <c r="C824" s="31"/>
      <c r="D824" s="31"/>
      <c r="E824" s="31"/>
      <c r="F824" s="31"/>
      <c r="G824" s="31"/>
      <c r="P824" s="54"/>
    </row>
    <row r="825" ht="33.75" customHeight="1">
      <c r="A825" s="31"/>
      <c r="B825" s="31"/>
      <c r="C825" s="31"/>
      <c r="D825" s="31"/>
      <c r="E825" s="31"/>
      <c r="F825" s="31"/>
      <c r="G825" s="31"/>
      <c r="P825" s="54"/>
    </row>
    <row r="826" ht="33.75" customHeight="1">
      <c r="A826" s="31"/>
      <c r="B826" s="31"/>
      <c r="C826" s="31"/>
      <c r="D826" s="31"/>
      <c r="E826" s="31"/>
      <c r="F826" s="31"/>
      <c r="G826" s="31"/>
      <c r="P826" s="54"/>
    </row>
    <row r="827" ht="33.75" customHeight="1">
      <c r="A827" s="31"/>
      <c r="B827" s="31"/>
      <c r="C827" s="31"/>
      <c r="D827" s="31"/>
      <c r="E827" s="31"/>
      <c r="F827" s="31"/>
      <c r="G827" s="31"/>
      <c r="P827" s="54"/>
    </row>
    <row r="828" ht="33.75" customHeight="1">
      <c r="A828" s="31"/>
      <c r="B828" s="31"/>
      <c r="C828" s="31"/>
      <c r="D828" s="31"/>
      <c r="E828" s="31"/>
      <c r="F828" s="31"/>
      <c r="G828" s="31"/>
      <c r="P828" s="54"/>
    </row>
    <row r="829" ht="33.75" customHeight="1">
      <c r="A829" s="31"/>
      <c r="B829" s="31"/>
      <c r="C829" s="31"/>
      <c r="D829" s="31"/>
      <c r="E829" s="31"/>
      <c r="F829" s="31"/>
      <c r="G829" s="31"/>
      <c r="P829" s="54"/>
    </row>
    <row r="830" ht="33.75" customHeight="1">
      <c r="A830" s="31"/>
      <c r="B830" s="31"/>
      <c r="C830" s="31"/>
      <c r="D830" s="31"/>
      <c r="E830" s="31"/>
      <c r="F830" s="31"/>
      <c r="G830" s="31"/>
      <c r="P830" s="54"/>
    </row>
    <row r="831" ht="33.75" customHeight="1">
      <c r="A831" s="31"/>
      <c r="B831" s="31"/>
      <c r="C831" s="31"/>
      <c r="D831" s="31"/>
      <c r="E831" s="31"/>
      <c r="F831" s="31"/>
      <c r="G831" s="31"/>
      <c r="P831" s="54"/>
    </row>
    <row r="832" ht="33.75" customHeight="1">
      <c r="A832" s="31"/>
      <c r="B832" s="31"/>
      <c r="C832" s="31"/>
      <c r="D832" s="31"/>
      <c r="E832" s="31"/>
      <c r="F832" s="31"/>
      <c r="G832" s="31"/>
      <c r="P832" s="54"/>
    </row>
    <row r="833" ht="33.75" customHeight="1">
      <c r="A833" s="31"/>
      <c r="B833" s="31"/>
      <c r="C833" s="31"/>
      <c r="D833" s="31"/>
      <c r="E833" s="31"/>
      <c r="F833" s="31"/>
      <c r="G833" s="31"/>
      <c r="P833" s="54"/>
    </row>
    <row r="834" ht="33.75" customHeight="1">
      <c r="A834" s="31"/>
      <c r="B834" s="31"/>
      <c r="C834" s="31"/>
      <c r="D834" s="31"/>
      <c r="E834" s="31"/>
      <c r="F834" s="31"/>
      <c r="G834" s="31"/>
      <c r="P834" s="54"/>
    </row>
    <row r="835" ht="33.75" customHeight="1">
      <c r="A835" s="31"/>
      <c r="B835" s="31"/>
      <c r="C835" s="31"/>
      <c r="D835" s="31"/>
      <c r="E835" s="31"/>
      <c r="F835" s="31"/>
      <c r="G835" s="31"/>
      <c r="P835" s="54"/>
    </row>
    <row r="836" ht="33.75" customHeight="1">
      <c r="A836" s="31"/>
      <c r="B836" s="31"/>
      <c r="C836" s="31"/>
      <c r="D836" s="31"/>
      <c r="E836" s="31"/>
      <c r="F836" s="31"/>
      <c r="G836" s="31"/>
      <c r="P836" s="54"/>
    </row>
    <row r="837" ht="33.75" customHeight="1">
      <c r="A837" s="31"/>
      <c r="B837" s="31"/>
      <c r="C837" s="31"/>
      <c r="D837" s="31"/>
      <c r="E837" s="31"/>
      <c r="F837" s="31"/>
      <c r="G837" s="31"/>
      <c r="P837" s="54"/>
    </row>
    <row r="838" ht="33.75" customHeight="1">
      <c r="A838" s="31"/>
      <c r="B838" s="31"/>
      <c r="C838" s="31"/>
      <c r="D838" s="31"/>
      <c r="E838" s="31"/>
      <c r="F838" s="31"/>
      <c r="G838" s="31"/>
      <c r="P838" s="54"/>
    </row>
    <row r="839" ht="33.75" customHeight="1">
      <c r="A839" s="31"/>
      <c r="B839" s="31"/>
      <c r="C839" s="31"/>
      <c r="D839" s="31"/>
      <c r="E839" s="31"/>
      <c r="F839" s="31"/>
      <c r="G839" s="31"/>
      <c r="P839" s="54"/>
    </row>
    <row r="840" ht="33.75" customHeight="1">
      <c r="A840" s="31"/>
      <c r="B840" s="31"/>
      <c r="C840" s="31"/>
      <c r="D840" s="31"/>
      <c r="E840" s="31"/>
      <c r="F840" s="31"/>
      <c r="G840" s="31"/>
      <c r="P840" s="54"/>
    </row>
    <row r="841" ht="33.75" customHeight="1">
      <c r="A841" s="31"/>
      <c r="B841" s="31"/>
      <c r="C841" s="31"/>
      <c r="D841" s="31"/>
      <c r="E841" s="31"/>
      <c r="F841" s="31"/>
      <c r="G841" s="31"/>
      <c r="P841" s="54"/>
    </row>
    <row r="842" ht="33.75" customHeight="1">
      <c r="A842" s="31"/>
      <c r="B842" s="31"/>
      <c r="C842" s="31"/>
      <c r="D842" s="31"/>
      <c r="E842" s="31"/>
      <c r="F842" s="31"/>
      <c r="G842" s="31"/>
      <c r="P842" s="54"/>
    </row>
    <row r="843" ht="33.75" customHeight="1">
      <c r="A843" s="31"/>
      <c r="B843" s="31"/>
      <c r="C843" s="31"/>
      <c r="D843" s="31"/>
      <c r="E843" s="31"/>
      <c r="F843" s="31"/>
      <c r="G843" s="31"/>
      <c r="P843" s="54"/>
    </row>
    <row r="844" ht="33.75" customHeight="1">
      <c r="A844" s="31"/>
      <c r="B844" s="31"/>
      <c r="C844" s="31"/>
      <c r="D844" s="31"/>
      <c r="E844" s="31"/>
      <c r="F844" s="31"/>
      <c r="G844" s="31"/>
      <c r="P844" s="54"/>
    </row>
    <row r="845" ht="33.75" customHeight="1">
      <c r="A845" s="31"/>
      <c r="B845" s="31"/>
      <c r="C845" s="31"/>
      <c r="D845" s="31"/>
      <c r="E845" s="31"/>
      <c r="F845" s="31"/>
      <c r="G845" s="31"/>
      <c r="P845" s="54"/>
    </row>
    <row r="846" ht="33.75" customHeight="1">
      <c r="A846" s="31"/>
      <c r="B846" s="31"/>
      <c r="C846" s="31"/>
      <c r="D846" s="31"/>
      <c r="E846" s="31"/>
      <c r="F846" s="31"/>
      <c r="G846" s="31"/>
      <c r="P846" s="54"/>
    </row>
    <row r="847" ht="33.75" customHeight="1">
      <c r="A847" s="31"/>
      <c r="B847" s="31"/>
      <c r="C847" s="31"/>
      <c r="D847" s="31"/>
      <c r="E847" s="31"/>
      <c r="F847" s="31"/>
      <c r="G847" s="31"/>
      <c r="P847" s="54"/>
    </row>
    <row r="848" ht="33.75" customHeight="1">
      <c r="A848" s="31"/>
      <c r="B848" s="31"/>
      <c r="C848" s="31"/>
      <c r="D848" s="31"/>
      <c r="E848" s="31"/>
      <c r="F848" s="31"/>
      <c r="G848" s="31"/>
      <c r="P848" s="54"/>
    </row>
    <row r="849" ht="33.75" customHeight="1">
      <c r="A849" s="31"/>
      <c r="B849" s="31"/>
      <c r="C849" s="31"/>
      <c r="D849" s="31"/>
      <c r="E849" s="31"/>
      <c r="F849" s="31"/>
      <c r="G849" s="31"/>
      <c r="P849" s="54"/>
    </row>
    <row r="850" ht="33.75" customHeight="1">
      <c r="A850" s="31"/>
      <c r="B850" s="31"/>
      <c r="C850" s="31"/>
      <c r="D850" s="31"/>
      <c r="E850" s="31"/>
      <c r="F850" s="31"/>
      <c r="G850" s="31"/>
      <c r="P850" s="54"/>
    </row>
    <row r="851" ht="33.75" customHeight="1">
      <c r="A851" s="31"/>
      <c r="B851" s="31"/>
      <c r="C851" s="31"/>
      <c r="D851" s="31"/>
      <c r="E851" s="31"/>
      <c r="F851" s="31"/>
      <c r="G851" s="31"/>
      <c r="P851" s="54"/>
    </row>
    <row r="852" ht="33.75" customHeight="1">
      <c r="A852" s="31"/>
      <c r="B852" s="31"/>
      <c r="C852" s="31"/>
      <c r="D852" s="31"/>
      <c r="E852" s="31"/>
      <c r="F852" s="31"/>
      <c r="G852" s="31"/>
      <c r="P852" s="54"/>
    </row>
    <row r="853" ht="33.75" customHeight="1">
      <c r="A853" s="31"/>
      <c r="B853" s="31"/>
      <c r="C853" s="31"/>
      <c r="D853" s="31"/>
      <c r="E853" s="31"/>
      <c r="F853" s="31"/>
      <c r="G853" s="31"/>
      <c r="P853" s="54"/>
    </row>
    <row r="854" ht="33.75" customHeight="1">
      <c r="A854" s="31"/>
      <c r="B854" s="31"/>
      <c r="C854" s="31"/>
      <c r="D854" s="31"/>
      <c r="E854" s="31"/>
      <c r="F854" s="31"/>
      <c r="G854" s="31"/>
      <c r="P854" s="54"/>
    </row>
    <row r="855" ht="33.75" customHeight="1">
      <c r="A855" s="31"/>
      <c r="B855" s="31"/>
      <c r="C855" s="31"/>
      <c r="D855" s="31"/>
      <c r="E855" s="31"/>
      <c r="F855" s="31"/>
      <c r="G855" s="31"/>
      <c r="P855" s="54"/>
    </row>
    <row r="856" ht="33.75" customHeight="1">
      <c r="A856" s="31"/>
      <c r="B856" s="31"/>
      <c r="C856" s="31"/>
      <c r="D856" s="31"/>
      <c r="E856" s="31"/>
      <c r="F856" s="31"/>
      <c r="G856" s="31"/>
      <c r="P856" s="54"/>
    </row>
    <row r="857" ht="33.75" customHeight="1">
      <c r="A857" s="31"/>
      <c r="B857" s="31"/>
      <c r="C857" s="31"/>
      <c r="D857" s="31"/>
      <c r="E857" s="31"/>
      <c r="F857" s="31"/>
      <c r="G857" s="31"/>
      <c r="P857" s="54"/>
    </row>
    <row r="858" ht="33.75" customHeight="1">
      <c r="A858" s="31"/>
      <c r="B858" s="31"/>
      <c r="C858" s="31"/>
      <c r="D858" s="31"/>
      <c r="E858" s="31"/>
      <c r="F858" s="31"/>
      <c r="G858" s="31"/>
      <c r="P858" s="54"/>
    </row>
    <row r="859" ht="33.75" customHeight="1">
      <c r="A859" s="31"/>
      <c r="B859" s="31"/>
      <c r="C859" s="31"/>
      <c r="D859" s="31"/>
      <c r="E859" s="31"/>
      <c r="F859" s="31"/>
      <c r="G859" s="31"/>
      <c r="P859" s="54"/>
    </row>
    <row r="860" ht="33.75" customHeight="1">
      <c r="A860" s="31"/>
      <c r="B860" s="31"/>
      <c r="C860" s="31"/>
      <c r="D860" s="31"/>
      <c r="E860" s="31"/>
      <c r="F860" s="31"/>
      <c r="G860" s="31"/>
      <c r="P860" s="54"/>
    </row>
    <row r="861" ht="33.75" customHeight="1">
      <c r="A861" s="31"/>
      <c r="B861" s="31"/>
      <c r="C861" s="31"/>
      <c r="D861" s="31"/>
      <c r="E861" s="31"/>
      <c r="F861" s="31"/>
      <c r="G861" s="31"/>
      <c r="P861" s="54"/>
    </row>
    <row r="862" ht="33.75" customHeight="1">
      <c r="A862" s="31"/>
      <c r="B862" s="31"/>
      <c r="C862" s="31"/>
      <c r="D862" s="31"/>
      <c r="E862" s="31"/>
      <c r="F862" s="31"/>
      <c r="G862" s="31"/>
      <c r="P862" s="54"/>
    </row>
    <row r="863" ht="33.75" customHeight="1">
      <c r="A863" s="31"/>
      <c r="B863" s="31"/>
      <c r="C863" s="31"/>
      <c r="D863" s="31"/>
      <c r="E863" s="31"/>
      <c r="F863" s="31"/>
      <c r="G863" s="31"/>
      <c r="P863" s="54"/>
    </row>
    <row r="864" ht="33.75" customHeight="1">
      <c r="A864" s="31"/>
      <c r="B864" s="31"/>
      <c r="C864" s="31"/>
      <c r="D864" s="31"/>
      <c r="E864" s="31"/>
      <c r="F864" s="31"/>
      <c r="G864" s="31"/>
      <c r="P864" s="54"/>
    </row>
    <row r="865" ht="33.75" customHeight="1">
      <c r="A865" s="31"/>
      <c r="B865" s="31"/>
      <c r="C865" s="31"/>
      <c r="D865" s="31"/>
      <c r="E865" s="31"/>
      <c r="F865" s="31"/>
      <c r="G865" s="31"/>
      <c r="P865" s="54"/>
    </row>
    <row r="866" ht="33.75" customHeight="1">
      <c r="A866" s="31"/>
      <c r="B866" s="31"/>
      <c r="C866" s="31"/>
      <c r="D866" s="31"/>
      <c r="E866" s="31"/>
      <c r="F866" s="31"/>
      <c r="G866" s="31"/>
      <c r="P866" s="54"/>
    </row>
    <row r="867" ht="33.75" customHeight="1">
      <c r="A867" s="31"/>
      <c r="B867" s="31"/>
      <c r="C867" s="31"/>
      <c r="D867" s="31"/>
      <c r="E867" s="31"/>
      <c r="F867" s="31"/>
      <c r="G867" s="31"/>
      <c r="P867" s="54"/>
    </row>
    <row r="868" ht="33.75" customHeight="1">
      <c r="A868" s="31"/>
      <c r="B868" s="31"/>
      <c r="C868" s="31"/>
      <c r="D868" s="31"/>
      <c r="E868" s="31"/>
      <c r="F868" s="31"/>
      <c r="G868" s="31"/>
      <c r="P868" s="54"/>
    </row>
    <row r="869" ht="33.75" customHeight="1">
      <c r="A869" s="31"/>
      <c r="B869" s="31"/>
      <c r="C869" s="31"/>
      <c r="D869" s="31"/>
      <c r="E869" s="31"/>
      <c r="F869" s="31"/>
      <c r="G869" s="31"/>
      <c r="P869" s="54"/>
    </row>
    <row r="870" ht="33.75" customHeight="1">
      <c r="A870" s="31"/>
      <c r="B870" s="31"/>
      <c r="C870" s="31"/>
      <c r="D870" s="31"/>
      <c r="E870" s="31"/>
      <c r="F870" s="31"/>
      <c r="G870" s="31"/>
      <c r="P870" s="54"/>
    </row>
    <row r="871" ht="33.75" customHeight="1">
      <c r="A871" s="31"/>
      <c r="B871" s="31"/>
      <c r="C871" s="31"/>
      <c r="D871" s="31"/>
      <c r="E871" s="31"/>
      <c r="F871" s="31"/>
      <c r="G871" s="31"/>
      <c r="P871" s="54"/>
    </row>
    <row r="872" ht="33.75" customHeight="1">
      <c r="A872" s="31"/>
      <c r="B872" s="31"/>
      <c r="C872" s="31"/>
      <c r="D872" s="31"/>
      <c r="E872" s="31"/>
      <c r="F872" s="31"/>
      <c r="G872" s="31"/>
      <c r="P872" s="54"/>
    </row>
    <row r="873" ht="33.75" customHeight="1">
      <c r="A873" s="31"/>
      <c r="B873" s="31"/>
      <c r="C873" s="31"/>
      <c r="D873" s="31"/>
      <c r="E873" s="31"/>
      <c r="F873" s="31"/>
      <c r="G873" s="31"/>
      <c r="P873" s="54"/>
    </row>
    <row r="874" ht="33.75" customHeight="1">
      <c r="A874" s="31"/>
      <c r="B874" s="31"/>
      <c r="C874" s="31"/>
      <c r="D874" s="31"/>
      <c r="E874" s="31"/>
      <c r="F874" s="31"/>
      <c r="G874" s="31"/>
      <c r="P874" s="54"/>
    </row>
    <row r="875" ht="33.75" customHeight="1">
      <c r="A875" s="31"/>
      <c r="B875" s="31"/>
      <c r="C875" s="31"/>
      <c r="D875" s="31"/>
      <c r="E875" s="31"/>
      <c r="F875" s="31"/>
      <c r="G875" s="31"/>
      <c r="P875" s="54"/>
    </row>
    <row r="876" ht="33.75" customHeight="1">
      <c r="A876" s="31"/>
      <c r="B876" s="31"/>
      <c r="C876" s="31"/>
      <c r="D876" s="31"/>
      <c r="E876" s="31"/>
      <c r="F876" s="31"/>
      <c r="G876" s="31"/>
      <c r="P876" s="54"/>
    </row>
    <row r="877" ht="33.75" customHeight="1">
      <c r="A877" s="31"/>
      <c r="B877" s="31"/>
      <c r="C877" s="31"/>
      <c r="D877" s="31"/>
      <c r="E877" s="31"/>
      <c r="F877" s="31"/>
      <c r="G877" s="31"/>
      <c r="P877" s="54"/>
    </row>
    <row r="878" ht="33.75" customHeight="1">
      <c r="A878" s="31"/>
      <c r="B878" s="31"/>
      <c r="C878" s="31"/>
      <c r="D878" s="31"/>
      <c r="E878" s="31"/>
      <c r="F878" s="31"/>
      <c r="G878" s="31"/>
      <c r="P878" s="54"/>
    </row>
    <row r="879" ht="33.75" customHeight="1">
      <c r="A879" s="31"/>
      <c r="B879" s="31"/>
      <c r="C879" s="31"/>
      <c r="D879" s="31"/>
      <c r="E879" s="31"/>
      <c r="F879" s="31"/>
      <c r="G879" s="31"/>
      <c r="P879" s="54"/>
    </row>
    <row r="880" ht="33.75" customHeight="1">
      <c r="A880" s="31"/>
      <c r="B880" s="31"/>
      <c r="C880" s="31"/>
      <c r="D880" s="31"/>
      <c r="E880" s="31"/>
      <c r="F880" s="31"/>
      <c r="G880" s="31"/>
      <c r="P880" s="54"/>
    </row>
    <row r="881" ht="33.75" customHeight="1">
      <c r="A881" s="31"/>
      <c r="B881" s="31"/>
      <c r="C881" s="31"/>
      <c r="D881" s="31"/>
      <c r="E881" s="31"/>
      <c r="F881" s="31"/>
      <c r="G881" s="31"/>
      <c r="P881" s="54"/>
    </row>
    <row r="882" ht="33.75" customHeight="1">
      <c r="A882" s="31"/>
      <c r="B882" s="31"/>
      <c r="C882" s="31"/>
      <c r="D882" s="31"/>
      <c r="E882" s="31"/>
      <c r="F882" s="31"/>
      <c r="G882" s="31"/>
      <c r="P882" s="54"/>
    </row>
    <row r="883" ht="33.75" customHeight="1">
      <c r="A883" s="31"/>
      <c r="B883" s="31"/>
      <c r="C883" s="31"/>
      <c r="D883" s="31"/>
      <c r="E883" s="31"/>
      <c r="F883" s="31"/>
      <c r="G883" s="31"/>
      <c r="P883" s="54"/>
    </row>
    <row r="884" ht="33.75" customHeight="1">
      <c r="A884" s="31"/>
      <c r="B884" s="31"/>
      <c r="C884" s="31"/>
      <c r="D884" s="31"/>
      <c r="E884" s="31"/>
      <c r="F884" s="31"/>
      <c r="G884" s="31"/>
      <c r="P884" s="54"/>
    </row>
    <row r="885" ht="33.75" customHeight="1">
      <c r="A885" s="31"/>
      <c r="B885" s="31"/>
      <c r="C885" s="31"/>
      <c r="D885" s="31"/>
      <c r="E885" s="31"/>
      <c r="F885" s="31"/>
      <c r="G885" s="31"/>
      <c r="P885" s="54"/>
    </row>
    <row r="886" ht="33.75" customHeight="1">
      <c r="A886" s="31"/>
      <c r="B886" s="31"/>
      <c r="C886" s="31"/>
      <c r="D886" s="31"/>
      <c r="E886" s="31"/>
      <c r="F886" s="31"/>
      <c r="G886" s="31"/>
      <c r="P886" s="54"/>
    </row>
    <row r="887" ht="33.75" customHeight="1">
      <c r="A887" s="31"/>
      <c r="B887" s="31"/>
      <c r="C887" s="31"/>
      <c r="D887" s="31"/>
      <c r="E887" s="31"/>
      <c r="F887" s="31"/>
      <c r="G887" s="31"/>
      <c r="P887" s="54"/>
    </row>
    <row r="888" ht="33.75" customHeight="1">
      <c r="A888" s="31"/>
      <c r="B888" s="31"/>
      <c r="C888" s="31"/>
      <c r="D888" s="31"/>
      <c r="E888" s="31"/>
      <c r="F888" s="31"/>
      <c r="G888" s="31"/>
      <c r="P888" s="54"/>
    </row>
    <row r="889" ht="33.75" customHeight="1">
      <c r="A889" s="31"/>
      <c r="B889" s="31"/>
      <c r="C889" s="31"/>
      <c r="D889" s="31"/>
      <c r="E889" s="31"/>
      <c r="F889" s="31"/>
      <c r="G889" s="31"/>
      <c r="P889" s="54"/>
    </row>
    <row r="890" ht="33.75" customHeight="1">
      <c r="A890" s="31"/>
      <c r="B890" s="31"/>
      <c r="C890" s="31"/>
      <c r="D890" s="31"/>
      <c r="E890" s="31"/>
      <c r="F890" s="31"/>
      <c r="G890" s="31"/>
      <c r="P890" s="54"/>
    </row>
    <row r="891" ht="33.75" customHeight="1">
      <c r="A891" s="31"/>
      <c r="B891" s="31"/>
      <c r="C891" s="31"/>
      <c r="D891" s="31"/>
      <c r="E891" s="31"/>
      <c r="F891" s="31"/>
      <c r="G891" s="31"/>
      <c r="P891" s="54"/>
    </row>
    <row r="892" ht="33.75" customHeight="1">
      <c r="A892" s="31"/>
      <c r="B892" s="31"/>
      <c r="C892" s="31"/>
      <c r="D892" s="31"/>
      <c r="E892" s="31"/>
      <c r="F892" s="31"/>
      <c r="G892" s="31"/>
      <c r="P892" s="54"/>
    </row>
    <row r="893" ht="33.75" customHeight="1">
      <c r="A893" s="31"/>
      <c r="B893" s="31"/>
      <c r="C893" s="31"/>
      <c r="D893" s="31"/>
      <c r="E893" s="31"/>
      <c r="F893" s="31"/>
      <c r="G893" s="31"/>
      <c r="P893" s="54"/>
    </row>
    <row r="894" ht="33.75" customHeight="1">
      <c r="A894" s="31"/>
      <c r="B894" s="31"/>
      <c r="C894" s="31"/>
      <c r="D894" s="31"/>
      <c r="E894" s="31"/>
      <c r="F894" s="31"/>
      <c r="G894" s="31"/>
      <c r="P894" s="54"/>
    </row>
    <row r="895" ht="33.75" customHeight="1">
      <c r="A895" s="31"/>
      <c r="B895" s="31"/>
      <c r="C895" s="31"/>
      <c r="D895" s="31"/>
      <c r="E895" s="31"/>
      <c r="F895" s="31"/>
      <c r="G895" s="31"/>
      <c r="P895" s="54"/>
    </row>
    <row r="896" ht="33.75" customHeight="1">
      <c r="A896" s="31"/>
      <c r="B896" s="31"/>
      <c r="C896" s="31"/>
      <c r="D896" s="31"/>
      <c r="E896" s="31"/>
      <c r="F896" s="31"/>
      <c r="G896" s="31"/>
      <c r="P896" s="54"/>
    </row>
    <row r="897" ht="33.75" customHeight="1">
      <c r="A897" s="31"/>
      <c r="B897" s="31"/>
      <c r="C897" s="31"/>
      <c r="D897" s="31"/>
      <c r="E897" s="31"/>
      <c r="F897" s="31"/>
      <c r="G897" s="31"/>
      <c r="P897" s="54"/>
    </row>
    <row r="898" ht="33.75" customHeight="1">
      <c r="A898" s="31"/>
      <c r="B898" s="31"/>
      <c r="C898" s="31"/>
      <c r="D898" s="31"/>
      <c r="E898" s="31"/>
      <c r="F898" s="31"/>
      <c r="G898" s="31"/>
      <c r="P898" s="54"/>
    </row>
    <row r="899" ht="33.75" customHeight="1">
      <c r="A899" s="31"/>
      <c r="B899" s="31"/>
      <c r="C899" s="31"/>
      <c r="D899" s="31"/>
      <c r="E899" s="31"/>
      <c r="F899" s="31"/>
      <c r="G899" s="31"/>
      <c r="P899" s="54"/>
    </row>
    <row r="900" ht="33.75" customHeight="1">
      <c r="A900" s="31"/>
      <c r="B900" s="31"/>
      <c r="C900" s="31"/>
      <c r="D900" s="31"/>
      <c r="E900" s="31"/>
      <c r="F900" s="31"/>
      <c r="G900" s="31"/>
      <c r="P900" s="54"/>
    </row>
    <row r="901" ht="33.75" customHeight="1">
      <c r="A901" s="31"/>
      <c r="B901" s="31"/>
      <c r="C901" s="31"/>
      <c r="D901" s="31"/>
      <c r="E901" s="31"/>
      <c r="F901" s="31"/>
      <c r="G901" s="31"/>
      <c r="P901" s="54"/>
    </row>
    <row r="902" ht="33.75" customHeight="1">
      <c r="A902" s="31"/>
      <c r="B902" s="31"/>
      <c r="C902" s="31"/>
      <c r="D902" s="31"/>
      <c r="E902" s="31"/>
      <c r="F902" s="31"/>
      <c r="G902" s="31"/>
      <c r="P902" s="54"/>
    </row>
    <row r="903" ht="33.75" customHeight="1">
      <c r="A903" s="31"/>
      <c r="B903" s="31"/>
      <c r="C903" s="31"/>
      <c r="D903" s="31"/>
      <c r="E903" s="31"/>
      <c r="F903" s="31"/>
      <c r="G903" s="31"/>
      <c r="P903" s="54"/>
    </row>
    <row r="904" ht="33.75" customHeight="1">
      <c r="A904" s="31"/>
      <c r="B904" s="31"/>
      <c r="C904" s="31"/>
      <c r="D904" s="31"/>
      <c r="E904" s="31"/>
      <c r="F904" s="31"/>
      <c r="G904" s="31"/>
      <c r="P904" s="54"/>
    </row>
    <row r="905" ht="33.75" customHeight="1">
      <c r="A905" s="31"/>
      <c r="B905" s="31"/>
      <c r="C905" s="31"/>
      <c r="D905" s="31"/>
      <c r="E905" s="31"/>
      <c r="F905" s="31"/>
      <c r="G905" s="31"/>
      <c r="P905" s="54"/>
    </row>
    <row r="906" ht="33.75" customHeight="1">
      <c r="A906" s="31"/>
      <c r="B906" s="31"/>
      <c r="C906" s="31"/>
      <c r="D906" s="31"/>
      <c r="E906" s="31"/>
      <c r="F906" s="31"/>
      <c r="G906" s="31"/>
      <c r="P906" s="54"/>
    </row>
    <row r="907" ht="33.75" customHeight="1">
      <c r="A907" s="31"/>
      <c r="B907" s="31"/>
      <c r="C907" s="31"/>
      <c r="D907" s="31"/>
      <c r="E907" s="31"/>
      <c r="F907" s="31"/>
      <c r="G907" s="31"/>
      <c r="P907" s="54"/>
    </row>
    <row r="908" ht="33.75" customHeight="1">
      <c r="A908" s="31"/>
      <c r="B908" s="31"/>
      <c r="C908" s="31"/>
      <c r="D908" s="31"/>
      <c r="E908" s="31"/>
      <c r="F908" s="31"/>
      <c r="G908" s="31"/>
      <c r="P908" s="54"/>
    </row>
    <row r="909" ht="33.75" customHeight="1">
      <c r="A909" s="31"/>
      <c r="B909" s="31"/>
      <c r="C909" s="31"/>
      <c r="D909" s="31"/>
      <c r="E909" s="31"/>
      <c r="F909" s="31"/>
      <c r="G909" s="31"/>
      <c r="P909" s="54"/>
    </row>
    <row r="910" ht="33.75" customHeight="1">
      <c r="A910" s="31"/>
      <c r="B910" s="31"/>
      <c r="C910" s="31"/>
      <c r="D910" s="31"/>
      <c r="E910" s="31"/>
      <c r="F910" s="31"/>
      <c r="G910" s="31"/>
      <c r="P910" s="54"/>
    </row>
    <row r="911" ht="33.75" customHeight="1">
      <c r="A911" s="31"/>
      <c r="B911" s="31"/>
      <c r="C911" s="31"/>
      <c r="D911" s="31"/>
      <c r="E911" s="31"/>
      <c r="F911" s="31"/>
      <c r="G911" s="31"/>
      <c r="P911" s="54"/>
    </row>
    <row r="912" ht="33.75" customHeight="1">
      <c r="A912" s="31"/>
      <c r="B912" s="31"/>
      <c r="C912" s="31"/>
      <c r="D912" s="31"/>
      <c r="E912" s="31"/>
      <c r="F912" s="31"/>
      <c r="G912" s="31"/>
      <c r="P912" s="54"/>
    </row>
    <row r="913" ht="33.75" customHeight="1">
      <c r="A913" s="31"/>
      <c r="B913" s="31"/>
      <c r="C913" s="31"/>
      <c r="D913" s="31"/>
      <c r="E913" s="31"/>
      <c r="F913" s="31"/>
      <c r="G913" s="31"/>
      <c r="P913" s="54"/>
    </row>
    <row r="914" ht="33.75" customHeight="1">
      <c r="A914" s="31"/>
      <c r="B914" s="31"/>
      <c r="C914" s="31"/>
      <c r="D914" s="31"/>
      <c r="E914" s="31"/>
      <c r="F914" s="31"/>
      <c r="G914" s="31"/>
      <c r="P914" s="54"/>
    </row>
    <row r="915" ht="33.75" customHeight="1">
      <c r="A915" s="31"/>
      <c r="B915" s="31"/>
      <c r="C915" s="31"/>
      <c r="D915" s="31"/>
      <c r="E915" s="31"/>
      <c r="F915" s="31"/>
      <c r="G915" s="31"/>
      <c r="P915" s="54"/>
    </row>
    <row r="916" ht="33.75" customHeight="1">
      <c r="A916" s="31"/>
      <c r="B916" s="31"/>
      <c r="C916" s="31"/>
      <c r="D916" s="31"/>
      <c r="E916" s="31"/>
      <c r="F916" s="31"/>
      <c r="G916" s="31"/>
      <c r="P916" s="54"/>
    </row>
    <row r="917" ht="33.75" customHeight="1">
      <c r="A917" s="31"/>
      <c r="B917" s="31"/>
      <c r="C917" s="31"/>
      <c r="D917" s="31"/>
      <c r="E917" s="31"/>
      <c r="F917" s="31"/>
      <c r="G917" s="31"/>
      <c r="P917" s="54"/>
    </row>
    <row r="918" ht="33.75" customHeight="1">
      <c r="A918" s="31"/>
      <c r="B918" s="31"/>
      <c r="C918" s="31"/>
      <c r="D918" s="31"/>
      <c r="E918" s="31"/>
      <c r="F918" s="31"/>
      <c r="G918" s="31"/>
      <c r="P918" s="54"/>
    </row>
    <row r="919" ht="33.75" customHeight="1">
      <c r="A919" s="31"/>
      <c r="B919" s="31"/>
      <c r="C919" s="31"/>
      <c r="D919" s="31"/>
      <c r="E919" s="31"/>
      <c r="F919" s="31"/>
      <c r="G919" s="31"/>
      <c r="P919" s="54"/>
    </row>
    <row r="920" ht="33.75" customHeight="1">
      <c r="A920" s="31"/>
      <c r="B920" s="31"/>
      <c r="C920" s="31"/>
      <c r="D920" s="31"/>
      <c r="E920" s="31"/>
      <c r="F920" s="31"/>
      <c r="G920" s="31"/>
      <c r="P920" s="54"/>
    </row>
    <row r="921" ht="33.75" customHeight="1">
      <c r="A921" s="31"/>
      <c r="B921" s="31"/>
      <c r="C921" s="31"/>
      <c r="D921" s="31"/>
      <c r="E921" s="31"/>
      <c r="F921" s="31"/>
      <c r="G921" s="31"/>
      <c r="P921" s="54"/>
    </row>
    <row r="922" ht="33.75" customHeight="1">
      <c r="A922" s="31"/>
      <c r="B922" s="31"/>
      <c r="C922" s="31"/>
      <c r="D922" s="31"/>
      <c r="E922" s="31"/>
      <c r="F922" s="31"/>
      <c r="G922" s="31"/>
      <c r="P922" s="54"/>
    </row>
    <row r="923" ht="33.75" customHeight="1">
      <c r="A923" s="31"/>
      <c r="B923" s="31"/>
      <c r="C923" s="31"/>
      <c r="D923" s="31"/>
      <c r="E923" s="31"/>
      <c r="F923" s="31"/>
      <c r="G923" s="31"/>
      <c r="P923" s="54"/>
    </row>
    <row r="924" ht="33.75" customHeight="1">
      <c r="A924" s="31"/>
      <c r="B924" s="31"/>
      <c r="C924" s="31"/>
      <c r="D924" s="31"/>
      <c r="E924" s="31"/>
      <c r="F924" s="31"/>
      <c r="G924" s="31"/>
      <c r="P924" s="54"/>
    </row>
    <row r="925" ht="33.75" customHeight="1">
      <c r="A925" s="31"/>
      <c r="B925" s="31"/>
      <c r="C925" s="31"/>
      <c r="D925" s="31"/>
      <c r="E925" s="31"/>
      <c r="F925" s="31"/>
      <c r="G925" s="31"/>
      <c r="P925" s="54"/>
    </row>
    <row r="926" ht="33.75" customHeight="1">
      <c r="A926" s="31"/>
      <c r="B926" s="31"/>
      <c r="C926" s="31"/>
      <c r="D926" s="31"/>
      <c r="E926" s="31"/>
      <c r="F926" s="31"/>
      <c r="G926" s="31"/>
      <c r="P926" s="54"/>
    </row>
    <row r="927" ht="33.75" customHeight="1">
      <c r="A927" s="31"/>
      <c r="B927" s="31"/>
      <c r="C927" s="31"/>
      <c r="D927" s="31"/>
      <c r="E927" s="31"/>
      <c r="F927" s="31"/>
      <c r="G927" s="31"/>
      <c r="P927" s="54"/>
    </row>
    <row r="928" ht="33.75" customHeight="1">
      <c r="A928" s="31"/>
      <c r="B928" s="31"/>
      <c r="C928" s="31"/>
      <c r="D928" s="31"/>
      <c r="E928" s="31"/>
      <c r="F928" s="31"/>
      <c r="G928" s="31"/>
      <c r="P928" s="54"/>
    </row>
    <row r="929" ht="33.75" customHeight="1">
      <c r="A929" s="31"/>
      <c r="B929" s="31"/>
      <c r="C929" s="31"/>
      <c r="D929" s="31"/>
      <c r="E929" s="31"/>
      <c r="F929" s="31"/>
      <c r="G929" s="31"/>
      <c r="P929" s="54"/>
    </row>
    <row r="930" ht="33.75" customHeight="1">
      <c r="A930" s="31"/>
      <c r="B930" s="31"/>
      <c r="C930" s="31"/>
      <c r="D930" s="31"/>
      <c r="E930" s="31"/>
      <c r="F930" s="31"/>
      <c r="G930" s="31"/>
      <c r="P930" s="54"/>
    </row>
    <row r="931" ht="33.75" customHeight="1">
      <c r="A931" s="31"/>
      <c r="B931" s="31"/>
      <c r="C931" s="31"/>
      <c r="D931" s="31"/>
      <c r="E931" s="31"/>
      <c r="F931" s="31"/>
      <c r="G931" s="31"/>
      <c r="P931" s="54"/>
    </row>
    <row r="932" ht="33.75" customHeight="1">
      <c r="A932" s="31"/>
      <c r="B932" s="31"/>
      <c r="C932" s="31"/>
      <c r="D932" s="31"/>
      <c r="E932" s="31"/>
      <c r="F932" s="31"/>
      <c r="G932" s="31"/>
      <c r="P932" s="54"/>
    </row>
    <row r="933" ht="33.75" customHeight="1">
      <c r="A933" s="31"/>
      <c r="B933" s="31"/>
      <c r="C933" s="31"/>
      <c r="D933" s="31"/>
      <c r="E933" s="31"/>
      <c r="F933" s="31"/>
      <c r="G933" s="31"/>
      <c r="P933" s="54"/>
    </row>
    <row r="934" ht="33.75" customHeight="1">
      <c r="A934" s="31"/>
      <c r="B934" s="31"/>
      <c r="C934" s="31"/>
      <c r="D934" s="31"/>
      <c r="E934" s="31"/>
      <c r="F934" s="31"/>
      <c r="G934" s="31"/>
      <c r="P934" s="54"/>
    </row>
    <row r="935" ht="33.75" customHeight="1">
      <c r="A935" s="31"/>
      <c r="B935" s="31"/>
      <c r="C935" s="31"/>
      <c r="D935" s="31"/>
      <c r="E935" s="31"/>
      <c r="F935" s="31"/>
      <c r="G935" s="31"/>
      <c r="P935" s="54"/>
    </row>
    <row r="936" ht="33.75" customHeight="1">
      <c r="A936" s="31"/>
      <c r="B936" s="31"/>
      <c r="C936" s="31"/>
      <c r="D936" s="31"/>
      <c r="E936" s="31"/>
      <c r="F936" s="31"/>
      <c r="G936" s="31"/>
      <c r="P936" s="54"/>
    </row>
    <row r="937" ht="33.75" customHeight="1">
      <c r="A937" s="31"/>
      <c r="B937" s="31"/>
      <c r="C937" s="31"/>
      <c r="D937" s="31"/>
      <c r="E937" s="31"/>
      <c r="F937" s="31"/>
      <c r="G937" s="31"/>
      <c r="P937" s="54"/>
    </row>
    <row r="938" ht="33.75" customHeight="1">
      <c r="A938" s="31"/>
      <c r="B938" s="31"/>
      <c r="C938" s="31"/>
      <c r="D938" s="31"/>
      <c r="E938" s="31"/>
      <c r="F938" s="31"/>
      <c r="G938" s="31"/>
      <c r="P938" s="54"/>
    </row>
    <row r="939" ht="33.75" customHeight="1">
      <c r="A939" s="31"/>
      <c r="B939" s="31"/>
      <c r="C939" s="31"/>
      <c r="D939" s="31"/>
      <c r="E939" s="31"/>
      <c r="F939" s="31"/>
      <c r="G939" s="31"/>
      <c r="P939" s="54"/>
    </row>
    <row r="940" ht="33.75" customHeight="1">
      <c r="A940" s="31"/>
      <c r="B940" s="31"/>
      <c r="C940" s="31"/>
      <c r="D940" s="31"/>
      <c r="E940" s="31"/>
      <c r="F940" s="31"/>
      <c r="G940" s="31"/>
      <c r="P940" s="54"/>
    </row>
    <row r="941" ht="33.75" customHeight="1">
      <c r="A941" s="31"/>
      <c r="B941" s="31"/>
      <c r="C941" s="31"/>
      <c r="D941" s="31"/>
      <c r="E941" s="31"/>
      <c r="F941" s="31"/>
      <c r="G941" s="31"/>
      <c r="P941" s="54"/>
    </row>
    <row r="942" ht="33.75" customHeight="1">
      <c r="A942" s="31"/>
      <c r="B942" s="31"/>
      <c r="C942" s="31"/>
      <c r="D942" s="31"/>
      <c r="E942" s="31"/>
      <c r="F942" s="31"/>
      <c r="G942" s="31"/>
      <c r="P942" s="54"/>
    </row>
    <row r="943" ht="33.75" customHeight="1">
      <c r="A943" s="31"/>
      <c r="B943" s="31"/>
      <c r="C943" s="31"/>
      <c r="D943" s="31"/>
      <c r="E943" s="31"/>
      <c r="F943" s="31"/>
      <c r="G943" s="31"/>
      <c r="P943" s="54"/>
    </row>
    <row r="944" ht="33.75" customHeight="1">
      <c r="A944" s="31"/>
      <c r="B944" s="31"/>
      <c r="C944" s="31"/>
      <c r="D944" s="31"/>
      <c r="E944" s="31"/>
      <c r="F944" s="31"/>
      <c r="G944" s="31"/>
      <c r="P944" s="54"/>
    </row>
    <row r="945" ht="33.75" customHeight="1">
      <c r="A945" s="31"/>
      <c r="B945" s="31"/>
      <c r="C945" s="31"/>
      <c r="D945" s="31"/>
      <c r="E945" s="31"/>
      <c r="F945" s="31"/>
      <c r="G945" s="31"/>
      <c r="P945" s="54"/>
    </row>
    <row r="946" ht="33.75" customHeight="1">
      <c r="A946" s="31"/>
      <c r="B946" s="31"/>
      <c r="C946" s="31"/>
      <c r="D946" s="31"/>
      <c r="E946" s="31"/>
      <c r="F946" s="31"/>
      <c r="G946" s="31"/>
      <c r="P946" s="54"/>
    </row>
    <row r="947" ht="33.75" customHeight="1">
      <c r="A947" s="31"/>
      <c r="B947" s="31"/>
      <c r="C947" s="31"/>
      <c r="D947" s="31"/>
      <c r="E947" s="31"/>
      <c r="F947" s="31"/>
      <c r="G947" s="31"/>
      <c r="P947" s="54"/>
    </row>
    <row r="948" ht="33.75" customHeight="1">
      <c r="A948" s="31"/>
      <c r="B948" s="31"/>
      <c r="C948" s="31"/>
      <c r="D948" s="31"/>
      <c r="E948" s="31"/>
      <c r="F948" s="31"/>
      <c r="G948" s="31"/>
      <c r="P948" s="54"/>
    </row>
    <row r="949" ht="33.75" customHeight="1">
      <c r="A949" s="31"/>
      <c r="B949" s="31"/>
      <c r="C949" s="31"/>
      <c r="D949" s="31"/>
      <c r="E949" s="31"/>
      <c r="F949" s="31"/>
      <c r="G949" s="31"/>
      <c r="P949" s="54"/>
    </row>
    <row r="950" ht="33.75" customHeight="1">
      <c r="A950" s="31"/>
      <c r="B950" s="31"/>
      <c r="C950" s="31"/>
      <c r="D950" s="31"/>
      <c r="E950" s="31"/>
      <c r="F950" s="31"/>
      <c r="G950" s="31"/>
      <c r="P950" s="54"/>
    </row>
    <row r="951" ht="33.75" customHeight="1">
      <c r="A951" s="31"/>
      <c r="B951" s="31"/>
      <c r="C951" s="31"/>
      <c r="D951" s="31"/>
      <c r="E951" s="31"/>
      <c r="F951" s="31"/>
      <c r="G951" s="31"/>
      <c r="P951" s="54"/>
    </row>
    <row r="952" ht="33.75" customHeight="1">
      <c r="A952" s="31"/>
      <c r="B952" s="31"/>
      <c r="C952" s="31"/>
      <c r="D952" s="31"/>
      <c r="E952" s="31"/>
      <c r="F952" s="31"/>
      <c r="G952" s="31"/>
      <c r="P952" s="54"/>
    </row>
    <row r="953" ht="33.75" customHeight="1">
      <c r="A953" s="31"/>
      <c r="B953" s="31"/>
      <c r="C953" s="31"/>
      <c r="D953" s="31"/>
      <c r="E953" s="31"/>
      <c r="F953" s="31"/>
      <c r="G953" s="31"/>
      <c r="P953" s="54"/>
    </row>
    <row r="954" ht="33.75" customHeight="1">
      <c r="A954" s="31"/>
      <c r="B954" s="31"/>
      <c r="C954" s="31"/>
      <c r="D954" s="31"/>
      <c r="E954" s="31"/>
      <c r="F954" s="31"/>
      <c r="G954" s="31"/>
      <c r="P954" s="54"/>
    </row>
    <row r="955" ht="33.75" customHeight="1">
      <c r="A955" s="31"/>
      <c r="B955" s="31"/>
      <c r="C955" s="31"/>
      <c r="D955" s="31"/>
      <c r="E955" s="31"/>
      <c r="F955" s="31"/>
      <c r="G955" s="31"/>
      <c r="P955" s="54"/>
    </row>
    <row r="956" ht="33.75" customHeight="1">
      <c r="A956" s="31"/>
      <c r="B956" s="31"/>
      <c r="C956" s="31"/>
      <c r="D956" s="31"/>
      <c r="E956" s="31"/>
      <c r="F956" s="31"/>
      <c r="G956" s="31"/>
      <c r="P956" s="54"/>
    </row>
    <row r="957" ht="33.75" customHeight="1">
      <c r="A957" s="31"/>
      <c r="B957" s="31"/>
      <c r="C957" s="31"/>
      <c r="D957" s="31"/>
      <c r="E957" s="31"/>
      <c r="F957" s="31"/>
      <c r="G957" s="31"/>
      <c r="P957" s="54"/>
    </row>
    <row r="958" ht="33.75" customHeight="1">
      <c r="A958" s="31"/>
      <c r="B958" s="31"/>
      <c r="C958" s="31"/>
      <c r="D958" s="31"/>
      <c r="E958" s="31"/>
      <c r="F958" s="31"/>
      <c r="G958" s="31"/>
      <c r="P958" s="54"/>
    </row>
    <row r="959" ht="33.75" customHeight="1">
      <c r="A959" s="31"/>
      <c r="B959" s="31"/>
      <c r="C959" s="31"/>
      <c r="D959" s="31"/>
      <c r="E959" s="31"/>
      <c r="F959" s="31"/>
      <c r="G959" s="31"/>
      <c r="P959" s="54"/>
    </row>
    <row r="960" ht="33.75" customHeight="1">
      <c r="A960" s="31"/>
      <c r="B960" s="31"/>
      <c r="C960" s="31"/>
      <c r="D960" s="31"/>
      <c r="E960" s="31"/>
      <c r="F960" s="31"/>
      <c r="G960" s="31"/>
      <c r="P960" s="54"/>
    </row>
    <row r="961" ht="33.75" customHeight="1">
      <c r="A961" s="31"/>
      <c r="B961" s="31"/>
      <c r="C961" s="31"/>
      <c r="D961" s="31"/>
      <c r="E961" s="31"/>
      <c r="F961" s="31"/>
      <c r="G961" s="31"/>
      <c r="P961" s="54"/>
    </row>
    <row r="962" ht="33.75" customHeight="1">
      <c r="A962" s="31"/>
      <c r="B962" s="31"/>
      <c r="C962" s="31"/>
      <c r="D962" s="31"/>
      <c r="E962" s="31"/>
      <c r="F962" s="31"/>
      <c r="G962" s="31"/>
      <c r="P962" s="54"/>
    </row>
    <row r="963" ht="33.75" customHeight="1">
      <c r="A963" s="31"/>
      <c r="B963" s="31"/>
      <c r="C963" s="31"/>
      <c r="D963" s="31"/>
      <c r="E963" s="31"/>
      <c r="F963" s="31"/>
      <c r="G963" s="31"/>
      <c r="P963" s="54"/>
    </row>
    <row r="964" ht="33.75" customHeight="1">
      <c r="A964" s="31"/>
      <c r="B964" s="31"/>
      <c r="C964" s="31"/>
      <c r="D964" s="31"/>
      <c r="E964" s="31"/>
      <c r="F964" s="31"/>
      <c r="G964" s="31"/>
      <c r="P964" s="54"/>
    </row>
    <row r="965" ht="33.75" customHeight="1">
      <c r="A965" s="31"/>
      <c r="B965" s="31"/>
      <c r="C965" s="31"/>
      <c r="D965" s="31"/>
      <c r="E965" s="31"/>
      <c r="F965" s="31"/>
      <c r="G965" s="31"/>
      <c r="P965" s="54"/>
    </row>
    <row r="966" ht="33.75" customHeight="1">
      <c r="A966" s="31"/>
      <c r="B966" s="31"/>
      <c r="C966" s="31"/>
      <c r="D966" s="31"/>
      <c r="E966" s="31"/>
      <c r="F966" s="31"/>
      <c r="G966" s="31"/>
      <c r="P966" s="54"/>
    </row>
    <row r="967" ht="33.75" customHeight="1">
      <c r="A967" s="31"/>
      <c r="B967" s="31"/>
      <c r="C967" s="31"/>
      <c r="D967" s="31"/>
      <c r="E967" s="31"/>
      <c r="F967" s="31"/>
      <c r="G967" s="31"/>
      <c r="P967" s="54"/>
    </row>
    <row r="968" ht="33.75" customHeight="1">
      <c r="A968" s="31"/>
      <c r="B968" s="31"/>
      <c r="C968" s="31"/>
      <c r="D968" s="31"/>
      <c r="E968" s="31"/>
      <c r="F968" s="31"/>
      <c r="G968" s="31"/>
      <c r="P968" s="54"/>
    </row>
    <row r="969" ht="33.75" customHeight="1">
      <c r="A969" s="31"/>
      <c r="B969" s="31"/>
      <c r="C969" s="31"/>
      <c r="D969" s="31"/>
      <c r="E969" s="31"/>
      <c r="F969" s="31"/>
      <c r="G969" s="31"/>
      <c r="P969" s="54"/>
    </row>
    <row r="970" ht="33.75" customHeight="1">
      <c r="A970" s="31"/>
      <c r="B970" s="31"/>
      <c r="C970" s="31"/>
      <c r="D970" s="31"/>
      <c r="E970" s="31"/>
      <c r="F970" s="31"/>
      <c r="G970" s="31"/>
      <c r="P970" s="54"/>
    </row>
    <row r="971" ht="33.75" customHeight="1">
      <c r="A971" s="31"/>
      <c r="B971" s="31"/>
      <c r="C971" s="31"/>
      <c r="D971" s="31"/>
      <c r="E971" s="31"/>
      <c r="F971" s="31"/>
      <c r="G971" s="31"/>
      <c r="P971" s="54"/>
    </row>
    <row r="972" ht="33.75" customHeight="1">
      <c r="A972" s="31"/>
      <c r="B972" s="31"/>
      <c r="C972" s="31"/>
      <c r="D972" s="31"/>
      <c r="E972" s="31"/>
      <c r="F972" s="31"/>
      <c r="G972" s="31"/>
      <c r="P972" s="54"/>
    </row>
    <row r="973" ht="33.75" customHeight="1">
      <c r="A973" s="31"/>
      <c r="B973" s="31"/>
      <c r="C973" s="31"/>
      <c r="D973" s="31"/>
      <c r="E973" s="31"/>
      <c r="F973" s="31"/>
      <c r="G973" s="31"/>
      <c r="P973" s="54"/>
    </row>
    <row r="974" ht="33.75" customHeight="1">
      <c r="A974" s="31"/>
      <c r="B974" s="31"/>
      <c r="C974" s="31"/>
      <c r="D974" s="31"/>
      <c r="E974" s="31"/>
      <c r="F974" s="31"/>
      <c r="G974" s="31"/>
      <c r="P974" s="54"/>
    </row>
    <row r="975" ht="33.75" customHeight="1">
      <c r="A975" s="31"/>
      <c r="B975" s="31"/>
      <c r="C975" s="31"/>
      <c r="D975" s="31"/>
      <c r="E975" s="31"/>
      <c r="F975" s="31"/>
      <c r="G975" s="31"/>
      <c r="P975" s="54"/>
    </row>
    <row r="976" ht="33.75" customHeight="1">
      <c r="A976" s="31"/>
      <c r="B976" s="31"/>
      <c r="C976" s="31"/>
      <c r="D976" s="31"/>
      <c r="E976" s="31"/>
      <c r="F976" s="31"/>
      <c r="G976" s="31"/>
      <c r="P976" s="54"/>
    </row>
    <row r="977" ht="33.75" customHeight="1">
      <c r="A977" s="31"/>
      <c r="B977" s="31"/>
      <c r="C977" s="31"/>
      <c r="D977" s="31"/>
      <c r="E977" s="31"/>
      <c r="F977" s="31"/>
      <c r="G977" s="31"/>
      <c r="P977" s="54"/>
    </row>
    <row r="978" ht="33.75" customHeight="1">
      <c r="A978" s="31"/>
      <c r="B978" s="31"/>
      <c r="C978" s="31"/>
      <c r="D978" s="31"/>
      <c r="E978" s="31"/>
      <c r="F978" s="31"/>
      <c r="G978" s="31"/>
      <c r="P978" s="54"/>
    </row>
    <row r="979" ht="33.75" customHeight="1">
      <c r="A979" s="31"/>
      <c r="B979" s="31"/>
      <c r="C979" s="31"/>
      <c r="D979" s="31"/>
      <c r="E979" s="31"/>
      <c r="F979" s="31"/>
      <c r="G979" s="31"/>
      <c r="P979" s="54"/>
    </row>
    <row r="980" ht="33.75" customHeight="1">
      <c r="A980" s="31"/>
      <c r="B980" s="31"/>
      <c r="C980" s="31"/>
      <c r="D980" s="31"/>
      <c r="E980" s="31"/>
      <c r="F980" s="31"/>
      <c r="G980" s="31"/>
      <c r="P980" s="54"/>
    </row>
    <row r="981" ht="33.75" customHeight="1">
      <c r="A981" s="31"/>
      <c r="B981" s="31"/>
      <c r="C981" s="31"/>
      <c r="D981" s="31"/>
      <c r="E981" s="31"/>
      <c r="F981" s="31"/>
      <c r="G981" s="31"/>
      <c r="P981" s="54"/>
    </row>
    <row r="982" ht="33.75" customHeight="1">
      <c r="A982" s="31"/>
      <c r="B982" s="31"/>
      <c r="C982" s="31"/>
      <c r="D982" s="31"/>
      <c r="E982" s="31"/>
      <c r="F982" s="31"/>
      <c r="G982" s="31"/>
      <c r="P982" s="54"/>
    </row>
    <row r="983" ht="33.75" customHeight="1">
      <c r="A983" s="31"/>
      <c r="B983" s="31"/>
      <c r="C983" s="31"/>
      <c r="D983" s="31"/>
      <c r="E983" s="31"/>
      <c r="F983" s="31"/>
      <c r="G983" s="31"/>
      <c r="P983" s="54"/>
    </row>
    <row r="984" ht="33.75" customHeight="1">
      <c r="A984" s="31"/>
      <c r="B984" s="31"/>
      <c r="C984" s="31"/>
      <c r="D984" s="31"/>
      <c r="E984" s="31"/>
      <c r="F984" s="31"/>
      <c r="G984" s="31"/>
      <c r="P984" s="54"/>
    </row>
    <row r="985" ht="33.75" customHeight="1">
      <c r="A985" s="31"/>
      <c r="B985" s="31"/>
      <c r="C985" s="31"/>
      <c r="D985" s="31"/>
      <c r="E985" s="31"/>
      <c r="F985" s="31"/>
      <c r="G985" s="31"/>
      <c r="P985" s="54"/>
    </row>
    <row r="986" ht="33.75" customHeight="1">
      <c r="A986" s="31"/>
      <c r="B986" s="31"/>
      <c r="C986" s="31"/>
      <c r="D986" s="31"/>
      <c r="E986" s="31"/>
      <c r="F986" s="31"/>
      <c r="G986" s="31"/>
      <c r="P986" s="54"/>
    </row>
    <row r="987" ht="33.75" customHeight="1">
      <c r="A987" s="31"/>
      <c r="B987" s="31"/>
      <c r="C987" s="31"/>
      <c r="D987" s="31"/>
      <c r="E987" s="31"/>
      <c r="F987" s="31"/>
      <c r="G987" s="31"/>
      <c r="P987" s="54"/>
    </row>
    <row r="988" ht="33.75" customHeight="1">
      <c r="A988" s="31"/>
      <c r="B988" s="31"/>
      <c r="C988" s="31"/>
      <c r="D988" s="31"/>
      <c r="E988" s="31"/>
      <c r="F988" s="31"/>
      <c r="G988" s="31"/>
      <c r="P988" s="54"/>
    </row>
    <row r="989" ht="33.75" customHeight="1">
      <c r="A989" s="31"/>
      <c r="B989" s="31"/>
      <c r="C989" s="31"/>
      <c r="D989" s="31"/>
      <c r="E989" s="31"/>
      <c r="F989" s="31"/>
      <c r="G989" s="31"/>
      <c r="P989" s="54"/>
    </row>
    <row r="990" ht="33.75" customHeight="1">
      <c r="A990" s="31"/>
      <c r="B990" s="31"/>
      <c r="C990" s="31"/>
      <c r="D990" s="31"/>
      <c r="E990" s="31"/>
      <c r="F990" s="31"/>
      <c r="G990" s="31"/>
      <c r="P990" s="54"/>
    </row>
    <row r="991" ht="33.75" customHeight="1">
      <c r="A991" s="31"/>
      <c r="B991" s="31"/>
      <c r="C991" s="31"/>
      <c r="D991" s="31"/>
      <c r="E991" s="31"/>
      <c r="F991" s="31"/>
      <c r="G991" s="31"/>
      <c r="P991" s="54"/>
    </row>
    <row r="992" ht="33.75" customHeight="1">
      <c r="A992" s="31"/>
      <c r="B992" s="31"/>
      <c r="C992" s="31"/>
      <c r="D992" s="31"/>
      <c r="E992" s="31"/>
      <c r="F992" s="31"/>
      <c r="G992" s="31"/>
      <c r="P992" s="54"/>
    </row>
    <row r="993" ht="33.75" customHeight="1">
      <c r="A993" s="31"/>
      <c r="B993" s="31"/>
      <c r="C993" s="31"/>
      <c r="D993" s="31"/>
      <c r="E993" s="31"/>
      <c r="F993" s="31"/>
      <c r="G993" s="31"/>
      <c r="P993" s="54"/>
    </row>
    <row r="994" ht="33.75" customHeight="1">
      <c r="A994" s="31"/>
      <c r="B994" s="31"/>
      <c r="C994" s="31"/>
      <c r="D994" s="31"/>
      <c r="E994" s="31"/>
      <c r="F994" s="31"/>
      <c r="G994" s="31"/>
      <c r="P994" s="54"/>
    </row>
    <row r="995" ht="33.75" customHeight="1">
      <c r="A995" s="31"/>
      <c r="B995" s="31"/>
      <c r="C995" s="31"/>
      <c r="D995" s="31"/>
      <c r="E995" s="31"/>
      <c r="F995" s="31"/>
      <c r="G995" s="31"/>
      <c r="P995" s="54"/>
    </row>
    <row r="996" ht="33.75" customHeight="1">
      <c r="A996" s="31"/>
      <c r="B996" s="31"/>
      <c r="C996" s="31"/>
      <c r="D996" s="31"/>
      <c r="E996" s="31"/>
      <c r="F996" s="31"/>
      <c r="G996" s="31"/>
      <c r="P996" s="54"/>
    </row>
    <row r="997" ht="33.75" customHeight="1">
      <c r="A997" s="31"/>
      <c r="B997" s="31"/>
      <c r="C997" s="31"/>
      <c r="D997" s="31"/>
      <c r="E997" s="31"/>
      <c r="F997" s="31"/>
      <c r="G997" s="31"/>
      <c r="P997" s="54"/>
    </row>
    <row r="998" ht="33.75" customHeight="1">
      <c r="A998" s="31"/>
      <c r="B998" s="31"/>
      <c r="C998" s="31"/>
      <c r="D998" s="31"/>
      <c r="E998" s="31"/>
      <c r="F998" s="31"/>
      <c r="G998" s="31"/>
      <c r="P998" s="54"/>
    </row>
    <row r="999" ht="33.75" customHeight="1">
      <c r="A999" s="31"/>
      <c r="B999" s="31"/>
      <c r="C999" s="31"/>
      <c r="D999" s="31"/>
      <c r="E999" s="31"/>
      <c r="F999" s="31"/>
      <c r="G999" s="31"/>
      <c r="P999" s="54"/>
    </row>
    <row r="1000" ht="33.75" customHeight="1">
      <c r="A1000" s="31"/>
      <c r="B1000" s="31"/>
      <c r="C1000" s="31"/>
      <c r="D1000" s="31"/>
      <c r="E1000" s="31"/>
      <c r="F1000" s="31"/>
      <c r="G1000" s="31"/>
      <c r="P1000" s="54"/>
    </row>
    <row r="1001" ht="33.75" customHeight="1">
      <c r="A1001" s="31"/>
      <c r="B1001" s="31"/>
      <c r="C1001" s="31"/>
      <c r="D1001" s="31"/>
      <c r="E1001" s="31"/>
      <c r="F1001" s="31"/>
      <c r="G1001" s="31"/>
      <c r="P1001" s="54"/>
    </row>
    <row r="1002" ht="33.75" customHeight="1">
      <c r="A1002" s="31"/>
      <c r="B1002" s="31"/>
      <c r="C1002" s="31"/>
      <c r="D1002" s="31"/>
      <c r="E1002" s="31"/>
      <c r="F1002" s="31"/>
      <c r="G1002" s="31"/>
      <c r="P1002" s="54"/>
    </row>
    <row r="1003" ht="33.75" customHeight="1">
      <c r="A1003" s="31"/>
      <c r="B1003" s="31"/>
      <c r="C1003" s="31"/>
      <c r="D1003" s="31"/>
      <c r="E1003" s="31"/>
      <c r="F1003" s="31"/>
      <c r="G1003" s="31"/>
      <c r="P1003" s="54"/>
    </row>
    <row r="1004" ht="33.75" customHeight="1">
      <c r="A1004" s="31"/>
      <c r="B1004" s="31"/>
      <c r="C1004" s="31"/>
      <c r="D1004" s="31"/>
      <c r="E1004" s="31"/>
      <c r="F1004" s="31"/>
      <c r="G1004" s="31"/>
      <c r="P1004" s="54"/>
    </row>
    <row r="1005" ht="33.75" customHeight="1">
      <c r="A1005" s="31"/>
      <c r="B1005" s="31"/>
      <c r="C1005" s="31"/>
      <c r="D1005" s="31"/>
      <c r="E1005" s="31"/>
      <c r="F1005" s="31"/>
      <c r="G1005" s="31"/>
      <c r="P1005" s="54"/>
    </row>
    <row r="1006" ht="33.75" customHeight="1">
      <c r="A1006" s="31"/>
      <c r="B1006" s="31"/>
      <c r="C1006" s="31"/>
      <c r="D1006" s="31"/>
      <c r="E1006" s="31"/>
      <c r="F1006" s="31"/>
      <c r="G1006" s="31"/>
      <c r="P1006" s="54"/>
    </row>
    <row r="1007" ht="33.75" customHeight="1">
      <c r="A1007" s="31"/>
      <c r="B1007" s="31"/>
      <c r="C1007" s="31"/>
      <c r="D1007" s="31"/>
      <c r="E1007" s="31"/>
      <c r="F1007" s="31"/>
      <c r="G1007" s="31"/>
      <c r="P1007" s="54"/>
    </row>
    <row r="1008" ht="33.75" customHeight="1">
      <c r="A1008" s="31"/>
      <c r="B1008" s="31"/>
      <c r="C1008" s="31"/>
      <c r="D1008" s="31"/>
      <c r="E1008" s="31"/>
      <c r="F1008" s="31"/>
      <c r="G1008" s="31"/>
      <c r="P1008" s="54"/>
    </row>
    <row r="1009" ht="33.75" customHeight="1">
      <c r="A1009" s="31"/>
      <c r="B1009" s="31"/>
      <c r="C1009" s="31"/>
      <c r="D1009" s="31"/>
      <c r="E1009" s="31"/>
      <c r="F1009" s="31"/>
      <c r="G1009" s="31"/>
      <c r="P1009" s="54"/>
    </row>
    <row r="1010" ht="33.75" customHeight="1">
      <c r="A1010" s="31"/>
      <c r="B1010" s="31"/>
      <c r="C1010" s="31"/>
      <c r="D1010" s="31"/>
      <c r="E1010" s="31"/>
      <c r="F1010" s="31"/>
      <c r="G1010" s="31"/>
      <c r="P1010" s="54"/>
    </row>
    <row r="1011" ht="33.75" customHeight="1">
      <c r="A1011" s="31"/>
      <c r="B1011" s="31"/>
      <c r="C1011" s="31"/>
      <c r="D1011" s="31"/>
      <c r="E1011" s="31"/>
      <c r="F1011" s="31"/>
      <c r="G1011" s="31"/>
      <c r="P1011" s="54"/>
    </row>
    <row r="1012" ht="33.75" customHeight="1">
      <c r="A1012" s="31"/>
      <c r="B1012" s="31"/>
      <c r="C1012" s="31"/>
      <c r="D1012" s="31"/>
      <c r="E1012" s="31"/>
      <c r="F1012" s="31"/>
      <c r="G1012" s="31"/>
      <c r="P1012" s="54"/>
    </row>
    <row r="1013" ht="33.75" customHeight="1">
      <c r="A1013" s="31"/>
      <c r="B1013" s="31"/>
      <c r="C1013" s="31"/>
      <c r="D1013" s="31"/>
      <c r="E1013" s="31"/>
      <c r="F1013" s="31"/>
      <c r="G1013" s="31"/>
      <c r="P1013" s="54"/>
    </row>
    <row r="1014" ht="33.75" customHeight="1">
      <c r="A1014" s="31"/>
      <c r="B1014" s="31"/>
      <c r="C1014" s="31"/>
      <c r="D1014" s="31"/>
      <c r="E1014" s="31"/>
      <c r="F1014" s="31"/>
      <c r="G1014" s="31"/>
      <c r="P1014" s="54"/>
    </row>
    <row r="1015" ht="33.75" customHeight="1">
      <c r="A1015" s="31"/>
      <c r="B1015" s="31"/>
      <c r="C1015" s="31"/>
      <c r="D1015" s="31"/>
      <c r="E1015" s="31"/>
      <c r="F1015" s="31"/>
      <c r="G1015" s="31"/>
      <c r="P1015" s="54"/>
    </row>
    <row r="1016" ht="33.75" customHeight="1">
      <c r="A1016" s="31"/>
      <c r="B1016" s="31"/>
      <c r="C1016" s="31"/>
      <c r="D1016" s="31"/>
      <c r="E1016" s="31"/>
      <c r="F1016" s="31"/>
      <c r="G1016" s="31"/>
      <c r="P1016" s="54"/>
    </row>
    <row r="1017" ht="33.75" customHeight="1">
      <c r="A1017" s="31"/>
      <c r="B1017" s="31"/>
      <c r="C1017" s="31"/>
      <c r="D1017" s="31"/>
      <c r="E1017" s="31"/>
      <c r="F1017" s="31"/>
      <c r="G1017" s="31"/>
      <c r="P1017" s="54"/>
    </row>
    <row r="1018" ht="33.75" customHeight="1">
      <c r="A1018" s="31"/>
      <c r="B1018" s="31"/>
      <c r="C1018" s="31"/>
      <c r="D1018" s="31"/>
      <c r="E1018" s="31"/>
      <c r="F1018" s="31"/>
      <c r="G1018" s="31"/>
      <c r="P1018" s="54"/>
    </row>
    <row r="1019" ht="33.75" customHeight="1">
      <c r="A1019" s="31"/>
      <c r="B1019" s="31"/>
      <c r="C1019" s="31"/>
      <c r="D1019" s="31"/>
      <c r="E1019" s="31"/>
      <c r="F1019" s="31"/>
      <c r="G1019" s="31"/>
      <c r="P1019" s="54"/>
    </row>
    <row r="1020" ht="33.75" customHeight="1">
      <c r="A1020" s="31"/>
      <c r="B1020" s="31"/>
      <c r="C1020" s="31"/>
      <c r="D1020" s="31"/>
      <c r="E1020" s="31"/>
      <c r="F1020" s="31"/>
      <c r="G1020" s="31"/>
      <c r="P1020" s="54"/>
    </row>
    <row r="1021" ht="33.75" customHeight="1">
      <c r="A1021" s="31"/>
      <c r="B1021" s="31"/>
      <c r="C1021" s="31"/>
      <c r="D1021" s="31"/>
      <c r="E1021" s="31"/>
      <c r="F1021" s="31"/>
      <c r="G1021" s="31"/>
      <c r="P1021" s="54"/>
    </row>
    <row r="1022" ht="33.75" customHeight="1">
      <c r="A1022" s="31"/>
      <c r="B1022" s="31"/>
      <c r="C1022" s="31"/>
      <c r="D1022" s="31"/>
      <c r="E1022" s="31"/>
      <c r="F1022" s="31"/>
      <c r="G1022" s="31"/>
      <c r="P1022" s="54"/>
    </row>
    <row r="1023" ht="33.75" customHeight="1">
      <c r="A1023" s="31"/>
      <c r="B1023" s="31"/>
      <c r="C1023" s="31"/>
      <c r="D1023" s="31"/>
      <c r="E1023" s="31"/>
      <c r="F1023" s="31"/>
      <c r="G1023" s="31"/>
      <c r="P1023" s="54"/>
    </row>
    <row r="1024" ht="33.75" customHeight="1">
      <c r="A1024" s="31"/>
      <c r="B1024" s="31"/>
      <c r="C1024" s="31"/>
      <c r="D1024" s="31"/>
      <c r="E1024" s="31"/>
      <c r="F1024" s="31"/>
      <c r="G1024" s="31"/>
      <c r="P1024" s="54"/>
    </row>
    <row r="1025" ht="33.75" customHeight="1">
      <c r="A1025" s="31"/>
      <c r="B1025" s="31"/>
      <c r="C1025" s="31"/>
      <c r="D1025" s="31"/>
      <c r="E1025" s="31"/>
      <c r="F1025" s="31"/>
      <c r="G1025" s="31"/>
      <c r="P1025" s="54"/>
    </row>
    <row r="1026" ht="33.75" customHeight="1">
      <c r="A1026" s="31"/>
      <c r="B1026" s="31"/>
      <c r="C1026" s="31"/>
      <c r="D1026" s="31"/>
      <c r="E1026" s="31"/>
      <c r="F1026" s="31"/>
      <c r="G1026" s="31"/>
      <c r="P1026" s="54"/>
    </row>
    <row r="1027" ht="33.75" customHeight="1">
      <c r="A1027" s="31"/>
      <c r="B1027" s="31"/>
      <c r="C1027" s="31"/>
      <c r="D1027" s="31"/>
      <c r="E1027" s="31"/>
      <c r="F1027" s="31"/>
      <c r="G1027" s="31"/>
      <c r="P1027" s="54"/>
    </row>
    <row r="1028" ht="33.75" customHeight="1">
      <c r="A1028" s="31"/>
      <c r="B1028" s="31"/>
      <c r="C1028" s="31"/>
      <c r="D1028" s="31"/>
      <c r="E1028" s="31"/>
      <c r="F1028" s="31"/>
      <c r="G1028" s="31"/>
      <c r="P1028" s="54"/>
    </row>
    <row r="1029" ht="33.75" customHeight="1">
      <c r="A1029" s="31"/>
      <c r="B1029" s="31"/>
      <c r="C1029" s="31"/>
      <c r="D1029" s="31"/>
      <c r="E1029" s="31"/>
      <c r="F1029" s="31"/>
      <c r="G1029" s="31"/>
      <c r="P1029" s="54"/>
    </row>
    <row r="1030" ht="33.75" customHeight="1">
      <c r="A1030" s="31"/>
      <c r="B1030" s="31"/>
      <c r="C1030" s="31"/>
      <c r="D1030" s="31"/>
      <c r="E1030" s="31"/>
      <c r="F1030" s="31"/>
      <c r="G1030" s="31"/>
      <c r="P1030" s="54"/>
    </row>
    <row r="1031" ht="33.75" customHeight="1">
      <c r="A1031" s="31"/>
      <c r="B1031" s="31"/>
      <c r="C1031" s="31"/>
      <c r="D1031" s="31"/>
      <c r="E1031" s="31"/>
      <c r="F1031" s="31"/>
      <c r="G1031" s="31"/>
      <c r="P1031" s="54"/>
    </row>
    <row r="1032" ht="33.75" customHeight="1">
      <c r="A1032" s="31"/>
      <c r="B1032" s="31"/>
      <c r="C1032" s="31"/>
      <c r="D1032" s="31"/>
      <c r="E1032" s="31"/>
      <c r="F1032" s="31"/>
      <c r="G1032" s="31"/>
      <c r="P1032" s="54"/>
    </row>
    <row r="1033" ht="33.75" customHeight="1">
      <c r="A1033" s="31"/>
      <c r="B1033" s="31"/>
      <c r="C1033" s="31"/>
      <c r="D1033" s="31"/>
      <c r="E1033" s="31"/>
      <c r="F1033" s="31"/>
      <c r="G1033" s="31"/>
      <c r="P1033" s="54"/>
    </row>
    <row r="1034" ht="33.75" customHeight="1">
      <c r="A1034" s="31"/>
      <c r="B1034" s="31"/>
      <c r="C1034" s="31"/>
      <c r="D1034" s="31"/>
      <c r="E1034" s="31"/>
      <c r="F1034" s="31"/>
      <c r="G1034" s="31"/>
      <c r="P1034" s="54"/>
    </row>
    <row r="1035" ht="33.75" customHeight="1">
      <c r="A1035" s="31"/>
      <c r="B1035" s="31"/>
      <c r="C1035" s="31"/>
      <c r="D1035" s="31"/>
      <c r="E1035" s="31"/>
      <c r="F1035" s="31"/>
      <c r="G1035" s="31"/>
      <c r="P1035" s="54"/>
    </row>
    <row r="1036" ht="33.75" customHeight="1">
      <c r="A1036" s="31"/>
      <c r="B1036" s="31"/>
      <c r="C1036" s="31"/>
      <c r="D1036" s="31"/>
      <c r="E1036" s="31"/>
      <c r="F1036" s="31"/>
      <c r="G1036" s="31"/>
      <c r="P1036" s="54"/>
    </row>
    <row r="1037" ht="33.75" customHeight="1">
      <c r="A1037" s="31"/>
      <c r="B1037" s="31"/>
      <c r="C1037" s="31"/>
      <c r="D1037" s="31"/>
      <c r="E1037" s="31"/>
      <c r="F1037" s="31"/>
      <c r="G1037" s="31"/>
      <c r="P1037" s="54"/>
    </row>
    <row r="1038" ht="33.75" customHeight="1">
      <c r="A1038" s="31"/>
      <c r="B1038" s="31"/>
      <c r="C1038" s="31"/>
      <c r="D1038" s="31"/>
      <c r="E1038" s="31"/>
      <c r="F1038" s="31"/>
      <c r="G1038" s="31"/>
      <c r="P1038" s="54"/>
    </row>
    <row r="1039" ht="33.75" customHeight="1">
      <c r="A1039" s="31"/>
      <c r="B1039" s="31"/>
      <c r="C1039" s="31"/>
      <c r="D1039" s="31"/>
      <c r="E1039" s="31"/>
      <c r="F1039" s="31"/>
      <c r="G1039" s="31"/>
      <c r="P1039" s="54"/>
    </row>
    <row r="1040" ht="33.75" customHeight="1">
      <c r="A1040" s="31"/>
      <c r="B1040" s="31"/>
      <c r="C1040" s="31"/>
      <c r="D1040" s="31"/>
      <c r="E1040" s="31"/>
      <c r="F1040" s="31"/>
      <c r="G1040" s="31"/>
      <c r="P1040" s="54"/>
    </row>
    <row r="1041" ht="33.75" customHeight="1">
      <c r="A1041" s="31"/>
      <c r="B1041" s="31"/>
      <c r="C1041" s="31"/>
      <c r="D1041" s="31"/>
      <c r="E1041" s="31"/>
      <c r="F1041" s="31"/>
      <c r="G1041" s="31"/>
      <c r="P1041" s="54"/>
    </row>
    <row r="1042" ht="33.75" customHeight="1">
      <c r="A1042" s="31"/>
      <c r="B1042" s="31"/>
      <c r="C1042" s="31"/>
      <c r="D1042" s="31"/>
      <c r="E1042" s="31"/>
      <c r="F1042" s="31"/>
      <c r="G1042" s="31"/>
      <c r="P1042" s="54"/>
    </row>
    <row r="1043" ht="33.75" customHeight="1">
      <c r="A1043" s="31"/>
      <c r="B1043" s="31"/>
      <c r="C1043" s="31"/>
      <c r="D1043" s="31"/>
      <c r="E1043" s="31"/>
      <c r="F1043" s="31"/>
      <c r="G1043" s="31"/>
      <c r="P1043" s="54"/>
    </row>
    <row r="1044" ht="33.75" customHeight="1">
      <c r="A1044" s="31"/>
      <c r="B1044" s="31"/>
      <c r="C1044" s="31"/>
      <c r="D1044" s="31"/>
      <c r="E1044" s="31"/>
      <c r="F1044" s="31"/>
      <c r="G1044" s="31"/>
      <c r="P1044" s="54"/>
    </row>
    <row r="1045" ht="33.75" customHeight="1">
      <c r="A1045" s="31"/>
      <c r="B1045" s="31"/>
      <c r="C1045" s="31"/>
      <c r="D1045" s="31"/>
      <c r="E1045" s="31"/>
      <c r="F1045" s="31"/>
      <c r="G1045" s="31"/>
      <c r="P1045" s="54"/>
    </row>
    <row r="1046" ht="33.75" customHeight="1">
      <c r="A1046" s="31"/>
      <c r="B1046" s="31"/>
      <c r="C1046" s="31"/>
      <c r="D1046" s="31"/>
      <c r="E1046" s="31"/>
      <c r="F1046" s="31"/>
      <c r="G1046" s="31"/>
      <c r="P1046" s="54"/>
    </row>
    <row r="1047" ht="33.75" customHeight="1">
      <c r="A1047" s="31"/>
      <c r="B1047" s="31"/>
      <c r="C1047" s="31"/>
      <c r="D1047" s="31"/>
      <c r="E1047" s="31"/>
      <c r="F1047" s="31"/>
      <c r="G1047" s="31"/>
      <c r="P1047" s="54"/>
    </row>
    <row r="1048" ht="33.75" customHeight="1">
      <c r="A1048" s="31"/>
      <c r="B1048" s="31"/>
      <c r="C1048" s="31"/>
      <c r="D1048" s="31"/>
      <c r="E1048" s="31"/>
      <c r="F1048" s="31"/>
      <c r="G1048" s="31"/>
      <c r="P1048" s="54"/>
    </row>
    <row r="1049" ht="33.75" customHeight="1">
      <c r="A1049" s="31"/>
      <c r="B1049" s="31"/>
      <c r="C1049" s="31"/>
      <c r="D1049" s="31"/>
      <c r="E1049" s="31"/>
      <c r="F1049" s="31"/>
      <c r="G1049" s="31"/>
      <c r="P1049" s="54"/>
    </row>
    <row r="1050" ht="33.75" customHeight="1">
      <c r="A1050" s="31"/>
      <c r="B1050" s="31"/>
      <c r="C1050" s="31"/>
      <c r="D1050" s="31"/>
      <c r="E1050" s="31"/>
      <c r="F1050" s="31"/>
      <c r="G1050" s="31"/>
      <c r="P1050" s="54"/>
    </row>
    <row r="1051" ht="33.75" customHeight="1">
      <c r="A1051" s="31"/>
      <c r="B1051" s="31"/>
      <c r="C1051" s="31"/>
      <c r="D1051" s="31"/>
      <c r="E1051" s="31"/>
      <c r="F1051" s="31"/>
      <c r="G1051" s="31"/>
      <c r="P1051" s="54"/>
    </row>
    <row r="1052" ht="33.75" customHeight="1">
      <c r="A1052" s="31"/>
      <c r="B1052" s="31"/>
      <c r="C1052" s="31"/>
      <c r="D1052" s="31"/>
      <c r="E1052" s="31"/>
      <c r="F1052" s="31"/>
      <c r="G1052" s="31"/>
      <c r="P1052" s="54"/>
    </row>
    <row r="1053" ht="33.75" customHeight="1">
      <c r="A1053" s="31"/>
      <c r="B1053" s="31"/>
      <c r="C1053" s="31"/>
      <c r="D1053" s="31"/>
      <c r="E1053" s="31"/>
      <c r="F1053" s="31"/>
      <c r="G1053" s="31"/>
      <c r="P1053" s="54"/>
    </row>
    <row r="1054" ht="33.75" customHeight="1">
      <c r="A1054" s="31"/>
      <c r="B1054" s="31"/>
      <c r="C1054" s="31"/>
      <c r="D1054" s="31"/>
      <c r="E1054" s="31"/>
      <c r="F1054" s="31"/>
      <c r="G1054" s="31"/>
      <c r="P1054" s="54"/>
    </row>
    <row r="1055" ht="33.75" customHeight="1">
      <c r="A1055" s="31"/>
      <c r="B1055" s="31"/>
      <c r="C1055" s="31"/>
      <c r="D1055" s="31"/>
      <c r="E1055" s="31"/>
      <c r="F1055" s="31"/>
      <c r="G1055" s="31"/>
      <c r="P1055" s="54"/>
    </row>
    <row r="1056" ht="33.75" customHeight="1">
      <c r="A1056" s="31"/>
      <c r="B1056" s="31"/>
      <c r="C1056" s="31"/>
      <c r="D1056" s="31"/>
      <c r="E1056" s="31"/>
      <c r="F1056" s="31"/>
      <c r="G1056" s="31"/>
      <c r="P1056" s="54"/>
    </row>
    <row r="1057" ht="33.75" customHeight="1">
      <c r="A1057" s="31"/>
      <c r="B1057" s="31"/>
      <c r="C1057" s="31"/>
      <c r="D1057" s="31"/>
      <c r="E1057" s="31"/>
      <c r="F1057" s="31"/>
      <c r="G1057" s="31"/>
      <c r="P1057" s="54"/>
    </row>
    <row r="1058" ht="33.75" customHeight="1">
      <c r="A1058" s="31"/>
      <c r="B1058" s="31"/>
      <c r="C1058" s="31"/>
      <c r="D1058" s="31"/>
      <c r="E1058" s="31"/>
      <c r="F1058" s="31"/>
      <c r="G1058" s="31"/>
      <c r="P1058" s="54"/>
    </row>
    <row r="1059" ht="33.75" customHeight="1">
      <c r="A1059" s="31"/>
      <c r="B1059" s="31"/>
      <c r="C1059" s="31"/>
      <c r="D1059" s="31"/>
      <c r="E1059" s="31"/>
      <c r="F1059" s="31"/>
      <c r="G1059" s="31"/>
      <c r="P1059" s="54"/>
    </row>
    <row r="1060" ht="33.75" customHeight="1">
      <c r="A1060" s="31"/>
      <c r="B1060" s="31"/>
      <c r="C1060" s="31"/>
      <c r="D1060" s="31"/>
      <c r="E1060" s="31"/>
      <c r="F1060" s="31"/>
      <c r="G1060" s="31"/>
      <c r="P1060" s="54"/>
    </row>
    <row r="1061" ht="33.75" customHeight="1">
      <c r="A1061" s="31"/>
      <c r="B1061" s="31"/>
      <c r="C1061" s="31"/>
      <c r="D1061" s="31"/>
      <c r="E1061" s="31"/>
      <c r="F1061" s="31"/>
      <c r="G1061" s="31"/>
      <c r="P1061" s="54"/>
    </row>
    <row r="1062" ht="33.75" customHeight="1">
      <c r="A1062" s="31"/>
      <c r="B1062" s="31"/>
      <c r="C1062" s="31"/>
      <c r="D1062" s="31"/>
      <c r="E1062" s="31"/>
      <c r="F1062" s="31"/>
      <c r="G1062" s="31"/>
      <c r="P1062" s="54"/>
    </row>
    <row r="1063" ht="33.75" customHeight="1">
      <c r="A1063" s="31"/>
      <c r="B1063" s="31"/>
      <c r="C1063" s="31"/>
      <c r="D1063" s="31"/>
      <c r="E1063" s="31"/>
      <c r="F1063" s="31"/>
      <c r="G1063" s="31"/>
      <c r="P1063" s="54"/>
    </row>
    <row r="1064" ht="33.75" customHeight="1">
      <c r="A1064" s="31"/>
      <c r="B1064" s="31"/>
      <c r="C1064" s="31"/>
      <c r="D1064" s="31"/>
      <c r="E1064" s="31"/>
      <c r="F1064" s="31"/>
      <c r="G1064" s="31"/>
      <c r="P1064" s="54"/>
    </row>
    <row r="1065" ht="33.75" customHeight="1">
      <c r="A1065" s="31"/>
      <c r="B1065" s="31"/>
      <c r="C1065" s="31"/>
      <c r="D1065" s="31"/>
      <c r="E1065" s="31"/>
      <c r="F1065" s="31"/>
      <c r="G1065" s="31"/>
      <c r="P1065" s="54"/>
    </row>
    <row r="1066" ht="33.75" customHeight="1">
      <c r="A1066" s="31"/>
      <c r="B1066" s="31"/>
      <c r="C1066" s="31"/>
      <c r="D1066" s="31"/>
      <c r="E1066" s="31"/>
      <c r="F1066" s="31"/>
      <c r="G1066" s="31"/>
      <c r="P1066" s="54"/>
    </row>
    <row r="1067" ht="33.75" customHeight="1">
      <c r="A1067" s="31"/>
      <c r="B1067" s="31"/>
      <c r="C1067" s="31"/>
      <c r="D1067" s="31"/>
      <c r="E1067" s="31"/>
      <c r="F1067" s="31"/>
      <c r="G1067" s="31"/>
      <c r="P1067" s="54"/>
    </row>
    <row r="1068" ht="33.75" customHeight="1">
      <c r="A1068" s="31"/>
      <c r="B1068" s="31"/>
      <c r="C1068" s="31"/>
      <c r="D1068" s="31"/>
      <c r="E1068" s="31"/>
      <c r="F1068" s="31"/>
      <c r="G1068" s="31"/>
      <c r="P1068" s="54"/>
    </row>
    <row r="1069" ht="33.75" customHeight="1">
      <c r="A1069" s="31"/>
      <c r="B1069" s="31"/>
      <c r="C1069" s="31"/>
      <c r="D1069" s="31"/>
      <c r="E1069" s="31"/>
      <c r="F1069" s="31"/>
      <c r="G1069" s="31"/>
      <c r="P1069" s="54"/>
    </row>
    <row r="1070" ht="33.75" customHeight="1">
      <c r="A1070" s="31"/>
      <c r="B1070" s="31"/>
      <c r="C1070" s="31"/>
      <c r="D1070" s="31"/>
      <c r="E1070" s="31"/>
      <c r="F1070" s="31"/>
      <c r="G1070" s="31"/>
      <c r="P1070" s="54"/>
    </row>
    <row r="1071" ht="33.75" customHeight="1">
      <c r="A1071" s="31"/>
      <c r="B1071" s="31"/>
      <c r="C1071" s="31"/>
      <c r="D1071" s="31"/>
      <c r="E1071" s="31"/>
      <c r="F1071" s="31"/>
      <c r="G1071" s="31"/>
      <c r="P1071" s="54"/>
    </row>
    <row r="1072" ht="33.75" customHeight="1">
      <c r="A1072" s="31"/>
      <c r="B1072" s="31"/>
      <c r="C1072" s="31"/>
      <c r="D1072" s="31"/>
      <c r="E1072" s="31"/>
      <c r="F1072" s="31"/>
      <c r="G1072" s="31"/>
      <c r="P1072" s="54"/>
    </row>
    <row r="1073" ht="33.75" customHeight="1">
      <c r="A1073" s="31"/>
      <c r="B1073" s="31"/>
      <c r="C1073" s="31"/>
      <c r="D1073" s="31"/>
      <c r="E1073" s="31"/>
      <c r="F1073" s="31"/>
      <c r="G1073" s="31"/>
      <c r="P1073" s="54"/>
    </row>
    <row r="1074" ht="33.75" customHeight="1">
      <c r="A1074" s="31"/>
      <c r="B1074" s="31"/>
      <c r="C1074" s="31"/>
      <c r="D1074" s="31"/>
      <c r="E1074" s="31"/>
      <c r="F1074" s="31"/>
      <c r="G1074" s="31"/>
      <c r="P1074" s="54"/>
    </row>
    <row r="1075" ht="33.75" customHeight="1">
      <c r="A1075" s="31"/>
      <c r="B1075" s="31"/>
      <c r="C1075" s="31"/>
      <c r="D1075" s="31"/>
      <c r="E1075" s="31"/>
      <c r="F1075" s="31"/>
      <c r="G1075" s="31"/>
      <c r="P1075" s="54"/>
    </row>
    <row r="1076" ht="33.75" customHeight="1">
      <c r="A1076" s="31"/>
      <c r="B1076" s="31"/>
      <c r="C1076" s="31"/>
      <c r="D1076" s="31"/>
      <c r="E1076" s="31"/>
      <c r="F1076" s="31"/>
      <c r="G1076" s="31"/>
      <c r="P1076" s="54"/>
    </row>
    <row r="1077" ht="33.75" customHeight="1">
      <c r="A1077" s="31"/>
      <c r="B1077" s="31"/>
      <c r="C1077" s="31"/>
      <c r="D1077" s="31"/>
      <c r="E1077" s="31"/>
      <c r="F1077" s="31"/>
      <c r="G1077" s="31"/>
      <c r="P1077" s="54"/>
    </row>
    <row r="1078" ht="33.75" customHeight="1">
      <c r="A1078" s="31"/>
      <c r="B1078" s="31"/>
      <c r="C1078" s="31"/>
      <c r="D1078" s="31"/>
      <c r="E1078" s="31"/>
      <c r="F1078" s="31"/>
      <c r="G1078" s="31"/>
      <c r="P1078" s="54"/>
    </row>
    <row r="1079" ht="33.75" customHeight="1">
      <c r="A1079" s="31"/>
      <c r="B1079" s="31"/>
      <c r="C1079" s="31"/>
      <c r="D1079" s="31"/>
      <c r="E1079" s="31"/>
      <c r="F1079" s="31"/>
      <c r="G1079" s="31"/>
      <c r="P1079" s="54"/>
    </row>
    <row r="1080" ht="33.75" customHeight="1">
      <c r="A1080" s="31"/>
      <c r="B1080" s="31"/>
      <c r="C1080" s="31"/>
      <c r="D1080" s="31"/>
      <c r="E1080" s="31"/>
      <c r="F1080" s="31"/>
      <c r="G1080" s="31"/>
      <c r="P1080" s="54"/>
    </row>
    <row r="1081" ht="33.75" customHeight="1">
      <c r="A1081" s="31"/>
      <c r="B1081" s="31"/>
      <c r="C1081" s="31"/>
      <c r="D1081" s="31"/>
      <c r="E1081" s="31"/>
      <c r="F1081" s="31"/>
      <c r="G1081" s="31"/>
      <c r="P1081" s="54"/>
    </row>
    <row r="1082" ht="33.75" customHeight="1">
      <c r="A1082" s="31"/>
      <c r="B1082" s="31"/>
      <c r="C1082" s="31"/>
      <c r="D1082" s="31"/>
      <c r="E1082" s="31"/>
      <c r="F1082" s="31"/>
      <c r="G1082" s="31"/>
      <c r="P1082" s="54"/>
    </row>
    <row r="1083" ht="33.75" customHeight="1">
      <c r="A1083" s="31"/>
      <c r="B1083" s="31"/>
      <c r="C1083" s="31"/>
      <c r="D1083" s="31"/>
      <c r="E1083" s="31"/>
      <c r="F1083" s="31"/>
      <c r="G1083" s="31"/>
      <c r="P1083" s="54"/>
    </row>
    <row r="1084" ht="33.75" customHeight="1">
      <c r="A1084" s="31"/>
      <c r="B1084" s="31"/>
      <c r="C1084" s="31"/>
      <c r="D1084" s="31"/>
      <c r="E1084" s="31"/>
      <c r="F1084" s="31"/>
      <c r="G1084" s="31"/>
      <c r="P1084" s="54"/>
    </row>
    <row r="1085" ht="33.75" customHeight="1">
      <c r="A1085" s="31"/>
      <c r="B1085" s="31"/>
      <c r="C1085" s="31"/>
      <c r="D1085" s="31"/>
      <c r="E1085" s="31"/>
      <c r="F1085" s="31"/>
      <c r="G1085" s="31"/>
      <c r="P1085" s="54"/>
    </row>
    <row r="1086" ht="33.75" customHeight="1">
      <c r="A1086" s="31"/>
      <c r="B1086" s="31"/>
      <c r="C1086" s="31"/>
      <c r="D1086" s="31"/>
      <c r="E1086" s="31"/>
      <c r="F1086" s="31"/>
      <c r="G1086" s="31"/>
      <c r="P1086" s="54"/>
    </row>
    <row r="1087" ht="33.75" customHeight="1">
      <c r="A1087" s="31"/>
      <c r="B1087" s="31"/>
      <c r="C1087" s="31"/>
      <c r="D1087" s="31"/>
      <c r="E1087" s="31"/>
      <c r="F1087" s="31"/>
      <c r="G1087" s="31"/>
      <c r="P1087" s="54"/>
    </row>
    <row r="1088" ht="33.75" customHeight="1">
      <c r="A1088" s="31"/>
      <c r="B1088" s="31"/>
      <c r="C1088" s="31"/>
      <c r="D1088" s="31"/>
      <c r="E1088" s="31"/>
      <c r="F1088" s="31"/>
      <c r="G1088" s="31"/>
      <c r="P1088" s="54"/>
    </row>
    <row r="1089" ht="33.75" customHeight="1">
      <c r="A1089" s="31"/>
      <c r="B1089" s="31"/>
      <c r="C1089" s="31"/>
      <c r="D1089" s="31"/>
      <c r="E1089" s="31"/>
      <c r="F1089" s="31"/>
      <c r="G1089" s="31"/>
      <c r="P1089" s="54"/>
    </row>
    <row r="1090" ht="33.75" customHeight="1">
      <c r="A1090" s="31"/>
      <c r="B1090" s="31"/>
      <c r="C1090" s="31"/>
      <c r="D1090" s="31"/>
      <c r="E1090" s="31"/>
      <c r="F1090" s="31"/>
      <c r="G1090" s="31"/>
      <c r="P1090" s="54"/>
    </row>
    <row r="1091" ht="33.75" customHeight="1">
      <c r="A1091" s="31"/>
      <c r="B1091" s="31"/>
      <c r="C1091" s="31"/>
      <c r="D1091" s="31"/>
      <c r="E1091" s="31"/>
      <c r="F1091" s="31"/>
      <c r="G1091" s="31"/>
      <c r="P1091" s="54"/>
    </row>
    <row r="1092" ht="33.75" customHeight="1">
      <c r="A1092" s="31"/>
      <c r="B1092" s="31"/>
      <c r="C1092" s="31"/>
      <c r="D1092" s="31"/>
      <c r="E1092" s="31"/>
      <c r="F1092" s="31"/>
      <c r="G1092" s="31"/>
      <c r="P1092" s="54"/>
    </row>
    <row r="1093" ht="33.75" customHeight="1">
      <c r="A1093" s="31"/>
      <c r="B1093" s="31"/>
      <c r="C1093" s="31"/>
      <c r="D1093" s="31"/>
      <c r="E1093" s="31"/>
      <c r="F1093" s="31"/>
      <c r="G1093" s="31"/>
      <c r="P1093" s="54"/>
    </row>
    <row r="1094" ht="33.75" customHeight="1">
      <c r="A1094" s="31"/>
      <c r="B1094" s="31"/>
      <c r="C1094" s="31"/>
      <c r="D1094" s="31"/>
      <c r="E1094" s="31"/>
      <c r="F1094" s="31"/>
      <c r="G1094" s="31"/>
      <c r="P1094" s="54"/>
    </row>
    <row r="1095" ht="33.75" customHeight="1">
      <c r="A1095" s="31"/>
      <c r="B1095" s="31"/>
      <c r="C1095" s="31"/>
      <c r="D1095" s="31"/>
      <c r="E1095" s="31"/>
      <c r="F1095" s="31"/>
      <c r="G1095" s="31"/>
      <c r="P1095" s="54"/>
    </row>
    <row r="1096" ht="33.75" customHeight="1">
      <c r="A1096" s="31"/>
      <c r="B1096" s="31"/>
      <c r="C1096" s="31"/>
      <c r="D1096" s="31"/>
      <c r="E1096" s="31"/>
      <c r="F1096" s="31"/>
      <c r="G1096" s="31"/>
      <c r="P1096" s="54"/>
    </row>
    <row r="1097" ht="33.75" customHeight="1">
      <c r="A1097" s="31"/>
      <c r="B1097" s="31"/>
      <c r="C1097" s="31"/>
      <c r="D1097" s="31"/>
      <c r="E1097" s="31"/>
      <c r="F1097" s="31"/>
      <c r="G1097" s="31"/>
      <c r="P1097" s="54"/>
    </row>
    <row r="1098" ht="33.75" customHeight="1">
      <c r="A1098" s="31"/>
      <c r="B1098" s="31"/>
      <c r="C1098" s="31"/>
      <c r="D1098" s="31"/>
      <c r="E1098" s="31"/>
      <c r="F1098" s="31"/>
      <c r="G1098" s="31"/>
      <c r="P1098" s="54"/>
    </row>
    <row r="1099" ht="33.75" customHeight="1">
      <c r="A1099" s="31"/>
      <c r="B1099" s="31"/>
      <c r="C1099" s="31"/>
      <c r="D1099" s="31"/>
      <c r="E1099" s="31"/>
      <c r="F1099" s="31"/>
      <c r="G1099" s="31"/>
      <c r="P1099" s="54"/>
    </row>
    <row r="1100" ht="33.75" customHeight="1">
      <c r="A1100" s="31"/>
      <c r="B1100" s="31"/>
      <c r="C1100" s="31"/>
      <c r="D1100" s="31"/>
      <c r="E1100" s="31"/>
      <c r="F1100" s="31"/>
      <c r="G1100" s="31"/>
      <c r="P1100" s="54"/>
    </row>
    <row r="1101" ht="33.75" customHeight="1">
      <c r="A1101" s="31"/>
      <c r="B1101" s="31"/>
      <c r="C1101" s="31"/>
      <c r="D1101" s="31"/>
      <c r="E1101" s="31"/>
      <c r="F1101" s="31"/>
      <c r="G1101" s="31"/>
      <c r="P1101" s="54"/>
    </row>
    <row r="1102" ht="33.75" customHeight="1">
      <c r="A1102" s="31"/>
      <c r="B1102" s="31"/>
      <c r="C1102" s="31"/>
      <c r="D1102" s="31"/>
      <c r="E1102" s="31"/>
      <c r="F1102" s="31"/>
      <c r="G1102" s="31"/>
      <c r="P1102" s="54"/>
    </row>
    <row r="1103" ht="33.75" customHeight="1">
      <c r="A1103" s="31"/>
      <c r="B1103" s="31"/>
      <c r="C1103" s="31"/>
      <c r="D1103" s="31"/>
      <c r="E1103" s="31"/>
      <c r="F1103" s="31"/>
      <c r="G1103" s="31"/>
      <c r="P1103" s="54"/>
    </row>
    <row r="1104" ht="33.75" customHeight="1">
      <c r="A1104" s="31"/>
      <c r="B1104" s="31"/>
      <c r="C1104" s="31"/>
      <c r="D1104" s="31"/>
      <c r="E1104" s="31"/>
      <c r="F1104" s="31"/>
      <c r="G1104" s="31"/>
      <c r="P1104" s="54"/>
    </row>
    <row r="1105" ht="33.75" customHeight="1">
      <c r="A1105" s="31"/>
      <c r="B1105" s="31"/>
      <c r="C1105" s="31"/>
      <c r="D1105" s="31"/>
      <c r="E1105" s="31"/>
      <c r="F1105" s="31"/>
      <c r="G1105" s="31"/>
      <c r="P1105" s="54"/>
    </row>
    <row r="1106" ht="33.75" customHeight="1">
      <c r="A1106" s="31"/>
      <c r="B1106" s="31"/>
      <c r="C1106" s="31"/>
      <c r="D1106" s="31"/>
      <c r="E1106" s="31"/>
      <c r="F1106" s="31"/>
      <c r="G1106" s="31"/>
      <c r="P1106" s="54"/>
    </row>
    <row r="1107" ht="33.75" customHeight="1">
      <c r="A1107" s="31"/>
      <c r="B1107" s="31"/>
      <c r="C1107" s="31"/>
      <c r="D1107" s="31"/>
      <c r="E1107" s="31"/>
      <c r="F1107" s="31"/>
      <c r="G1107" s="31"/>
      <c r="P1107" s="54"/>
    </row>
    <row r="1108" ht="33.75" customHeight="1">
      <c r="A1108" s="31"/>
      <c r="B1108" s="31"/>
      <c r="C1108" s="31"/>
      <c r="D1108" s="31"/>
      <c r="E1108" s="31"/>
      <c r="F1108" s="31"/>
      <c r="G1108" s="31"/>
      <c r="P1108" s="54"/>
    </row>
    <row r="1109" ht="33.75" customHeight="1">
      <c r="A1109" s="31"/>
      <c r="B1109" s="31"/>
      <c r="C1109" s="31"/>
      <c r="D1109" s="31"/>
      <c r="E1109" s="31"/>
      <c r="F1109" s="31"/>
      <c r="G1109" s="31"/>
      <c r="P1109" s="54"/>
    </row>
    <row r="1110" ht="33.75" customHeight="1">
      <c r="A1110" s="31"/>
      <c r="B1110" s="31"/>
      <c r="C1110" s="31"/>
      <c r="D1110" s="31"/>
      <c r="E1110" s="31"/>
      <c r="F1110" s="31"/>
      <c r="G1110" s="31"/>
      <c r="P1110" s="54"/>
    </row>
    <row r="1111" ht="33.75" customHeight="1">
      <c r="A1111" s="31"/>
      <c r="B1111" s="31"/>
      <c r="C1111" s="31"/>
      <c r="D1111" s="31"/>
      <c r="E1111" s="31"/>
      <c r="F1111" s="31"/>
      <c r="G1111" s="31"/>
      <c r="P1111" s="54"/>
    </row>
    <row r="1112" ht="33.75" customHeight="1">
      <c r="A1112" s="31"/>
      <c r="B1112" s="31"/>
      <c r="C1112" s="31"/>
      <c r="D1112" s="31"/>
      <c r="E1112" s="31"/>
      <c r="F1112" s="31"/>
      <c r="G1112" s="31"/>
      <c r="P1112" s="54"/>
    </row>
    <row r="1113" ht="33.75" customHeight="1">
      <c r="A1113" s="31"/>
      <c r="B1113" s="31"/>
      <c r="C1113" s="31"/>
      <c r="D1113" s="31"/>
      <c r="E1113" s="31"/>
      <c r="F1113" s="31"/>
      <c r="G1113" s="31"/>
      <c r="P1113" s="54"/>
    </row>
    <row r="1114" ht="33.75" customHeight="1">
      <c r="A1114" s="31"/>
      <c r="B1114" s="31"/>
      <c r="C1114" s="31"/>
      <c r="D1114" s="31"/>
      <c r="E1114" s="31"/>
      <c r="F1114" s="31"/>
      <c r="G1114" s="31"/>
      <c r="P1114" s="54"/>
    </row>
    <row r="1115" ht="33.75" customHeight="1">
      <c r="A1115" s="31"/>
      <c r="B1115" s="31"/>
      <c r="C1115" s="31"/>
      <c r="D1115" s="31"/>
      <c r="E1115" s="31"/>
      <c r="F1115" s="31"/>
      <c r="G1115" s="31"/>
      <c r="P1115" s="54"/>
    </row>
    <row r="1116" ht="33.75" customHeight="1">
      <c r="A1116" s="31"/>
      <c r="B1116" s="31"/>
      <c r="C1116" s="31"/>
      <c r="D1116" s="31"/>
      <c r="E1116" s="31"/>
      <c r="F1116" s="31"/>
      <c r="G1116" s="31"/>
      <c r="P1116" s="54"/>
    </row>
    <row r="1117" ht="33.75" customHeight="1">
      <c r="A1117" s="31"/>
      <c r="B1117" s="31"/>
      <c r="C1117" s="31"/>
      <c r="D1117" s="31"/>
      <c r="E1117" s="31"/>
      <c r="F1117" s="31"/>
      <c r="G1117" s="31"/>
      <c r="P1117" s="54"/>
    </row>
    <row r="1118" ht="33.75" customHeight="1">
      <c r="A1118" s="31"/>
      <c r="B1118" s="31"/>
      <c r="C1118" s="31"/>
      <c r="D1118" s="31"/>
      <c r="E1118" s="31"/>
      <c r="F1118" s="31"/>
      <c r="G1118" s="31"/>
      <c r="P1118" s="54"/>
    </row>
    <row r="1119" ht="33.75" customHeight="1">
      <c r="A1119" s="31"/>
      <c r="B1119" s="31"/>
      <c r="C1119" s="31"/>
      <c r="D1119" s="31"/>
      <c r="E1119" s="31"/>
      <c r="F1119" s="31"/>
      <c r="G1119" s="31"/>
      <c r="P1119" s="54"/>
    </row>
    <row r="1120" ht="33.75" customHeight="1">
      <c r="A1120" s="31"/>
      <c r="B1120" s="31"/>
      <c r="C1120" s="31"/>
      <c r="D1120" s="31"/>
      <c r="E1120" s="31"/>
      <c r="F1120" s="31"/>
      <c r="G1120" s="31"/>
      <c r="P1120" s="54"/>
    </row>
    <row r="1121" ht="33.75" customHeight="1">
      <c r="A1121" s="31"/>
      <c r="B1121" s="31"/>
      <c r="C1121" s="31"/>
      <c r="D1121" s="31"/>
      <c r="E1121" s="31"/>
      <c r="F1121" s="31"/>
      <c r="G1121" s="31"/>
      <c r="P1121" s="54"/>
    </row>
    <row r="1122" ht="33.75" customHeight="1">
      <c r="A1122" s="31"/>
      <c r="B1122" s="31"/>
      <c r="C1122" s="31"/>
      <c r="D1122" s="31"/>
      <c r="E1122" s="31"/>
      <c r="F1122" s="31"/>
      <c r="G1122" s="31"/>
      <c r="P1122" s="54"/>
    </row>
    <row r="1123" ht="33.75" customHeight="1">
      <c r="A1123" s="31"/>
      <c r="B1123" s="31"/>
      <c r="C1123" s="31"/>
      <c r="D1123" s="31"/>
      <c r="E1123" s="31"/>
      <c r="F1123" s="31"/>
      <c r="G1123" s="31"/>
      <c r="P1123" s="54"/>
    </row>
    <row r="1124" ht="33.75" customHeight="1">
      <c r="A1124" s="31"/>
      <c r="B1124" s="31"/>
      <c r="C1124" s="31"/>
      <c r="D1124" s="31"/>
      <c r="E1124" s="31"/>
      <c r="F1124" s="31"/>
      <c r="G1124" s="31"/>
      <c r="P1124" s="54"/>
    </row>
    <row r="1125" ht="33.75" customHeight="1">
      <c r="A1125" s="31"/>
      <c r="B1125" s="31"/>
      <c r="C1125" s="31"/>
      <c r="D1125" s="31"/>
      <c r="E1125" s="31"/>
      <c r="F1125" s="31"/>
      <c r="G1125" s="31"/>
      <c r="P1125" s="54"/>
    </row>
    <row r="1126" ht="33.75" customHeight="1">
      <c r="A1126" s="31"/>
      <c r="B1126" s="31"/>
      <c r="C1126" s="31"/>
      <c r="D1126" s="31"/>
      <c r="E1126" s="31"/>
      <c r="F1126" s="31"/>
      <c r="G1126" s="31"/>
      <c r="P1126" s="54"/>
    </row>
    <row r="1127" ht="33.75" customHeight="1">
      <c r="A1127" s="31"/>
      <c r="B1127" s="31"/>
      <c r="C1127" s="31"/>
      <c r="D1127" s="31"/>
      <c r="E1127" s="31"/>
      <c r="F1127" s="31"/>
      <c r="G1127" s="31"/>
      <c r="P1127" s="54"/>
    </row>
    <row r="1128" ht="33.75" customHeight="1">
      <c r="A1128" s="31"/>
      <c r="B1128" s="31"/>
      <c r="C1128" s="31"/>
      <c r="D1128" s="31"/>
      <c r="E1128" s="31"/>
      <c r="F1128" s="31"/>
      <c r="G1128" s="31"/>
      <c r="P1128" s="54"/>
    </row>
    <row r="1129" ht="33.75" customHeight="1">
      <c r="A1129" s="31"/>
      <c r="B1129" s="31"/>
      <c r="C1129" s="31"/>
      <c r="D1129" s="31"/>
      <c r="E1129" s="31"/>
      <c r="F1129" s="31"/>
      <c r="G1129" s="31"/>
      <c r="P1129" s="54"/>
    </row>
    <row r="1130" ht="33.75" customHeight="1">
      <c r="A1130" s="31"/>
      <c r="B1130" s="31"/>
      <c r="C1130" s="31"/>
      <c r="D1130" s="31"/>
      <c r="E1130" s="31"/>
      <c r="F1130" s="31"/>
      <c r="G1130" s="31"/>
      <c r="P1130" s="54"/>
    </row>
    <row r="1131" ht="33.75" customHeight="1">
      <c r="A1131" s="31"/>
      <c r="B1131" s="31"/>
      <c r="C1131" s="31"/>
      <c r="D1131" s="31"/>
      <c r="E1131" s="31"/>
      <c r="F1131" s="31"/>
      <c r="G1131" s="31"/>
      <c r="P1131" s="54"/>
    </row>
    <row r="1132" ht="33.75" customHeight="1">
      <c r="A1132" s="31"/>
      <c r="B1132" s="31"/>
      <c r="C1132" s="31"/>
      <c r="D1132" s="31"/>
      <c r="E1132" s="31"/>
      <c r="F1132" s="31"/>
      <c r="G1132" s="31"/>
      <c r="P1132" s="54"/>
    </row>
    <row r="1133" ht="33.75" customHeight="1">
      <c r="A1133" s="31"/>
      <c r="B1133" s="31"/>
      <c r="C1133" s="31"/>
      <c r="D1133" s="31"/>
      <c r="E1133" s="31"/>
      <c r="F1133" s="31"/>
      <c r="G1133" s="31"/>
      <c r="P1133" s="54"/>
    </row>
    <row r="1134" ht="33.75" customHeight="1">
      <c r="A1134" s="31"/>
      <c r="B1134" s="31"/>
      <c r="C1134" s="31"/>
      <c r="D1134" s="31"/>
      <c r="E1134" s="31"/>
      <c r="F1134" s="31"/>
      <c r="G1134" s="31"/>
      <c r="P1134" s="54"/>
    </row>
    <row r="1135" ht="33.75" customHeight="1">
      <c r="A1135" s="31"/>
      <c r="B1135" s="31"/>
      <c r="C1135" s="31"/>
      <c r="D1135" s="31"/>
      <c r="E1135" s="31"/>
      <c r="F1135" s="31"/>
      <c r="G1135" s="31"/>
      <c r="P1135" s="54"/>
    </row>
    <row r="1136" ht="33.75" customHeight="1">
      <c r="A1136" s="31"/>
      <c r="B1136" s="31"/>
      <c r="C1136" s="31"/>
      <c r="D1136" s="31"/>
      <c r="E1136" s="31"/>
      <c r="F1136" s="31"/>
      <c r="G1136" s="31"/>
      <c r="P1136" s="54"/>
    </row>
    <row r="1137" ht="33.75" customHeight="1">
      <c r="A1137" s="31"/>
      <c r="B1137" s="31"/>
      <c r="C1137" s="31"/>
      <c r="D1137" s="31"/>
      <c r="E1137" s="31"/>
      <c r="F1137" s="31"/>
      <c r="G1137" s="31"/>
      <c r="P1137" s="54"/>
    </row>
    <row r="1138" ht="33.75" customHeight="1">
      <c r="A1138" s="31"/>
      <c r="B1138" s="31"/>
      <c r="C1138" s="31"/>
      <c r="D1138" s="31"/>
      <c r="E1138" s="31"/>
      <c r="F1138" s="31"/>
      <c r="G1138" s="31"/>
      <c r="P1138" s="54"/>
    </row>
    <row r="1139" ht="33.75" customHeight="1">
      <c r="A1139" s="31"/>
      <c r="B1139" s="31"/>
      <c r="C1139" s="31"/>
      <c r="D1139" s="31"/>
      <c r="E1139" s="31"/>
      <c r="F1139" s="31"/>
      <c r="G1139" s="31"/>
      <c r="P1139" s="54"/>
    </row>
    <row r="1140" ht="33.75" customHeight="1">
      <c r="A1140" s="31"/>
      <c r="B1140" s="31"/>
      <c r="C1140" s="31"/>
      <c r="D1140" s="31"/>
      <c r="E1140" s="31"/>
      <c r="F1140" s="31"/>
      <c r="G1140" s="31"/>
      <c r="P1140" s="54"/>
    </row>
    <row r="1141" ht="33.75" customHeight="1">
      <c r="A1141" s="31"/>
      <c r="B1141" s="31"/>
      <c r="C1141" s="31"/>
      <c r="D1141" s="31"/>
      <c r="E1141" s="31"/>
      <c r="F1141" s="31"/>
      <c r="G1141" s="31"/>
      <c r="P1141" s="54"/>
    </row>
    <row r="1142" ht="33.75" customHeight="1">
      <c r="A1142" s="31"/>
      <c r="B1142" s="31"/>
      <c r="C1142" s="31"/>
      <c r="D1142" s="31"/>
      <c r="E1142" s="31"/>
      <c r="F1142" s="31"/>
      <c r="G1142" s="31"/>
      <c r="P1142" s="54"/>
    </row>
    <row r="1143" ht="33.75" customHeight="1">
      <c r="A1143" s="31"/>
      <c r="B1143" s="31"/>
      <c r="C1143" s="31"/>
      <c r="D1143" s="31"/>
      <c r="E1143" s="31"/>
      <c r="F1143" s="31"/>
      <c r="G1143" s="31"/>
      <c r="P1143" s="54"/>
    </row>
    <row r="1144" ht="33.75" customHeight="1">
      <c r="A1144" s="31"/>
      <c r="B1144" s="31"/>
      <c r="C1144" s="31"/>
      <c r="D1144" s="31"/>
      <c r="E1144" s="31"/>
      <c r="F1144" s="31"/>
      <c r="G1144" s="31"/>
      <c r="P1144" s="54"/>
    </row>
    <row r="1145" ht="33.75" customHeight="1">
      <c r="A1145" s="31"/>
      <c r="B1145" s="31"/>
      <c r="C1145" s="31"/>
      <c r="D1145" s="31"/>
      <c r="E1145" s="31"/>
      <c r="F1145" s="31"/>
      <c r="G1145" s="31"/>
      <c r="P1145" s="54"/>
    </row>
    <row r="1146" ht="33.75" customHeight="1">
      <c r="A1146" s="31"/>
      <c r="B1146" s="31"/>
      <c r="C1146" s="31"/>
      <c r="D1146" s="31"/>
      <c r="E1146" s="31"/>
      <c r="F1146" s="31"/>
      <c r="G1146" s="31"/>
      <c r="P1146" s="54"/>
    </row>
    <row r="1147" ht="33.75" customHeight="1">
      <c r="A1147" s="31"/>
      <c r="B1147" s="31"/>
      <c r="C1147" s="31"/>
      <c r="D1147" s="31"/>
      <c r="E1147" s="31"/>
      <c r="F1147" s="31"/>
      <c r="G1147" s="31"/>
      <c r="P1147" s="54"/>
    </row>
    <row r="1148" ht="33.75" customHeight="1">
      <c r="A1148" s="31"/>
      <c r="B1148" s="31"/>
      <c r="C1148" s="31"/>
      <c r="D1148" s="31"/>
      <c r="E1148" s="31"/>
      <c r="F1148" s="31"/>
      <c r="G1148" s="31"/>
      <c r="P1148" s="54"/>
    </row>
    <row r="1149" ht="33.75" customHeight="1">
      <c r="A1149" s="31"/>
      <c r="B1149" s="31"/>
      <c r="C1149" s="31"/>
      <c r="D1149" s="31"/>
      <c r="E1149" s="31"/>
      <c r="F1149" s="31"/>
      <c r="G1149" s="31"/>
      <c r="P1149" s="54"/>
    </row>
    <row r="1150" ht="33.75" customHeight="1">
      <c r="A1150" s="31"/>
      <c r="B1150" s="31"/>
      <c r="C1150" s="31"/>
      <c r="D1150" s="31"/>
      <c r="E1150" s="31"/>
      <c r="F1150" s="31"/>
      <c r="G1150" s="31"/>
      <c r="P1150" s="54"/>
    </row>
    <row r="1151" ht="33.75" customHeight="1">
      <c r="A1151" s="31"/>
      <c r="B1151" s="31"/>
      <c r="C1151" s="31"/>
      <c r="D1151" s="31"/>
      <c r="E1151" s="31"/>
      <c r="F1151" s="31"/>
      <c r="G1151" s="31"/>
      <c r="P1151" s="54"/>
    </row>
    <row r="1152" ht="33.75" customHeight="1">
      <c r="A1152" s="31"/>
      <c r="B1152" s="31"/>
      <c r="C1152" s="31"/>
      <c r="D1152" s="31"/>
      <c r="E1152" s="31"/>
      <c r="F1152" s="31"/>
      <c r="G1152" s="31"/>
      <c r="P1152" s="54"/>
    </row>
    <row r="1153" ht="33.75" customHeight="1">
      <c r="A1153" s="31"/>
      <c r="B1153" s="31"/>
      <c r="C1153" s="31"/>
      <c r="D1153" s="31"/>
      <c r="E1153" s="31"/>
      <c r="F1153" s="31"/>
      <c r="G1153" s="31"/>
      <c r="P1153" s="54"/>
    </row>
    <row r="1154" ht="33.75" customHeight="1">
      <c r="A1154" s="31"/>
      <c r="B1154" s="31"/>
      <c r="C1154" s="31"/>
      <c r="D1154" s="31"/>
      <c r="E1154" s="31"/>
      <c r="F1154" s="31"/>
      <c r="G1154" s="31"/>
      <c r="P1154" s="54"/>
    </row>
    <row r="1155" ht="33.75" customHeight="1">
      <c r="A1155" s="31"/>
      <c r="B1155" s="31"/>
      <c r="C1155" s="31"/>
      <c r="D1155" s="31"/>
      <c r="E1155" s="31"/>
      <c r="F1155" s="31"/>
      <c r="G1155" s="31"/>
      <c r="P1155" s="54"/>
    </row>
    <row r="1156" ht="33.75" customHeight="1">
      <c r="A1156" s="31"/>
      <c r="B1156" s="31"/>
      <c r="C1156" s="31"/>
      <c r="D1156" s="31"/>
      <c r="E1156" s="31"/>
      <c r="F1156" s="31"/>
      <c r="G1156" s="31"/>
      <c r="P1156" s="54"/>
    </row>
    <row r="1157" ht="33.75" customHeight="1">
      <c r="A1157" s="31"/>
      <c r="B1157" s="31"/>
      <c r="C1157" s="31"/>
      <c r="D1157" s="31"/>
      <c r="E1157" s="31"/>
      <c r="F1157" s="31"/>
      <c r="G1157" s="31"/>
      <c r="P1157" s="54"/>
    </row>
    <row r="1158" ht="33.75" customHeight="1">
      <c r="A1158" s="31"/>
      <c r="B1158" s="31"/>
      <c r="C1158" s="31"/>
      <c r="D1158" s="31"/>
      <c r="E1158" s="31"/>
      <c r="F1158" s="31"/>
      <c r="G1158" s="31"/>
      <c r="P1158" s="54"/>
    </row>
    <row r="1159" ht="33.75" customHeight="1">
      <c r="A1159" s="31"/>
      <c r="B1159" s="31"/>
      <c r="C1159" s="31"/>
      <c r="D1159" s="31"/>
      <c r="E1159" s="31"/>
      <c r="F1159" s="31"/>
      <c r="G1159" s="31"/>
      <c r="P1159" s="54"/>
    </row>
    <row r="1160" ht="33.75" customHeight="1">
      <c r="A1160" s="31"/>
      <c r="B1160" s="31"/>
      <c r="C1160" s="31"/>
      <c r="D1160" s="31"/>
      <c r="E1160" s="31"/>
      <c r="F1160" s="31"/>
      <c r="G1160" s="31"/>
      <c r="P1160" s="54"/>
    </row>
    <row r="1161" ht="33.75" customHeight="1">
      <c r="A1161" s="31"/>
      <c r="B1161" s="31"/>
      <c r="C1161" s="31"/>
      <c r="D1161" s="31"/>
      <c r="E1161" s="31"/>
      <c r="F1161" s="31"/>
      <c r="G1161" s="31"/>
      <c r="P1161" s="54"/>
    </row>
    <row r="1162" ht="33.75" customHeight="1">
      <c r="A1162" s="31"/>
      <c r="B1162" s="31"/>
      <c r="C1162" s="31"/>
      <c r="D1162" s="31"/>
      <c r="E1162" s="31"/>
      <c r="F1162" s="31"/>
      <c r="G1162" s="31"/>
      <c r="P1162" s="54"/>
    </row>
    <row r="1163" ht="33.75" customHeight="1">
      <c r="A1163" s="31"/>
      <c r="B1163" s="31"/>
      <c r="C1163" s="31"/>
      <c r="D1163" s="31"/>
      <c r="E1163" s="31"/>
      <c r="F1163" s="31"/>
      <c r="G1163" s="31"/>
      <c r="P1163" s="54"/>
    </row>
    <row r="1164" ht="33.75" customHeight="1">
      <c r="A1164" s="31"/>
      <c r="B1164" s="31"/>
      <c r="C1164" s="31"/>
      <c r="D1164" s="31"/>
      <c r="E1164" s="31"/>
      <c r="F1164" s="31"/>
      <c r="G1164" s="31"/>
      <c r="P1164" s="54"/>
    </row>
    <row r="1165" ht="33.75" customHeight="1">
      <c r="A1165" s="31"/>
      <c r="B1165" s="31"/>
      <c r="C1165" s="31"/>
      <c r="D1165" s="31"/>
      <c r="E1165" s="31"/>
      <c r="F1165" s="31"/>
      <c r="G1165" s="31"/>
      <c r="P1165" s="54"/>
    </row>
    <row r="1166" ht="33.75" customHeight="1">
      <c r="A1166" s="31"/>
      <c r="B1166" s="31"/>
      <c r="C1166" s="31"/>
      <c r="D1166" s="31"/>
      <c r="E1166" s="31"/>
      <c r="F1166" s="31"/>
      <c r="G1166" s="31"/>
      <c r="P1166" s="54"/>
    </row>
    <row r="1167" ht="33.75" customHeight="1">
      <c r="A1167" s="31"/>
      <c r="B1167" s="31"/>
      <c r="C1167" s="31"/>
      <c r="D1167" s="31"/>
      <c r="E1167" s="31"/>
      <c r="F1167" s="31"/>
      <c r="G1167" s="31"/>
      <c r="P1167" s="54"/>
    </row>
    <row r="1168" ht="33.75" customHeight="1">
      <c r="A1168" s="31"/>
      <c r="B1168" s="31"/>
      <c r="C1168" s="31"/>
      <c r="D1168" s="31"/>
      <c r="E1168" s="31"/>
      <c r="F1168" s="31"/>
      <c r="G1168" s="31"/>
      <c r="P1168" s="54"/>
    </row>
    <row r="1169" ht="33.75" customHeight="1">
      <c r="A1169" s="31"/>
      <c r="B1169" s="31"/>
      <c r="C1169" s="31"/>
      <c r="D1169" s="31"/>
      <c r="E1169" s="31"/>
      <c r="F1169" s="31"/>
      <c r="G1169" s="31"/>
      <c r="P1169" s="54"/>
    </row>
    <row r="1170" ht="33.75" customHeight="1">
      <c r="A1170" s="31"/>
      <c r="B1170" s="31"/>
      <c r="C1170" s="31"/>
      <c r="D1170" s="31"/>
      <c r="E1170" s="31"/>
      <c r="F1170" s="31"/>
      <c r="G1170" s="31"/>
      <c r="P1170" s="54"/>
    </row>
  </sheetData>
  <mergeCells count="1">
    <mergeCell ref="A1:K1"/>
  </mergeCells>
  <conditionalFormatting sqref="B641">
    <cfRule type="notContainsBlanks" dxfId="0" priority="1">
      <formula>LEN(TRIM(B641))&gt;0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1" width="16.57"/>
    <col customWidth="1" min="2" max="2" width="17.0"/>
    <col customWidth="1" min="3" max="3" width="21.43"/>
    <col customWidth="1" min="4" max="4" width="17.14"/>
    <col customWidth="1" min="6" max="6" width="14.14"/>
    <col customWidth="1" min="7" max="7" width="14.0"/>
    <col customWidth="1" min="9" max="9" width="14.0"/>
    <col customWidth="1" min="10" max="10" width="17.29"/>
    <col customWidth="1" min="11" max="11" width="28.29"/>
    <col customWidth="1" min="12" max="60" width="17.29"/>
    <col customWidth="1" min="61" max="61" width="15.86"/>
    <col customWidth="1" min="62" max="62" width="107.29"/>
  </cols>
  <sheetData>
    <row r="1" ht="36.75" customHeight="1">
      <c r="A1" s="24" t="s">
        <v>58</v>
      </c>
      <c r="L1" s="26">
        <f t="shared" ref="L1:W1" si="1">sum(L3:L346)</f>
        <v>482</v>
      </c>
      <c r="M1" s="26">
        <f t="shared" si="1"/>
        <v>148</v>
      </c>
      <c r="N1" s="26">
        <f t="shared" si="1"/>
        <v>2021</v>
      </c>
      <c r="O1" s="26">
        <f t="shared" si="1"/>
        <v>6930</v>
      </c>
      <c r="P1" s="26">
        <f t="shared" si="1"/>
        <v>255</v>
      </c>
      <c r="Q1" s="26">
        <f t="shared" si="1"/>
        <v>234</v>
      </c>
      <c r="R1" s="26">
        <f t="shared" si="1"/>
        <v>753</v>
      </c>
      <c r="S1" s="26">
        <f t="shared" si="1"/>
        <v>144</v>
      </c>
      <c r="T1" s="26">
        <f t="shared" si="1"/>
        <v>2</v>
      </c>
      <c r="U1" s="26">
        <f t="shared" si="1"/>
        <v>367</v>
      </c>
      <c r="V1" s="26">
        <f t="shared" si="1"/>
        <v>219</v>
      </c>
      <c r="W1" s="26">
        <f t="shared" si="1"/>
        <v>245</v>
      </c>
      <c r="X1" s="26"/>
      <c r="Y1" s="26">
        <f t="shared" ref="Y1:BI1" si="2">sum(Y3:Y346)</f>
        <v>1227</v>
      </c>
      <c r="Z1" s="26">
        <f t="shared" si="2"/>
        <v>2095</v>
      </c>
      <c r="AA1" s="26">
        <f t="shared" si="2"/>
        <v>8539</v>
      </c>
      <c r="AB1" s="26">
        <f t="shared" si="2"/>
        <v>2625</v>
      </c>
      <c r="AC1" s="26">
        <f t="shared" si="2"/>
        <v>42</v>
      </c>
      <c r="AD1" s="26">
        <f t="shared" si="2"/>
        <v>1672</v>
      </c>
      <c r="AE1" s="26">
        <f t="shared" si="2"/>
        <v>299</v>
      </c>
      <c r="AF1" s="26">
        <f t="shared" si="2"/>
        <v>39</v>
      </c>
      <c r="AG1" s="26">
        <f t="shared" si="2"/>
        <v>3278</v>
      </c>
      <c r="AH1" s="26">
        <f t="shared" si="2"/>
        <v>3</v>
      </c>
      <c r="AI1" s="26">
        <f t="shared" si="2"/>
        <v>3379</v>
      </c>
      <c r="AJ1" s="26">
        <f t="shared" si="2"/>
        <v>209</v>
      </c>
      <c r="AK1" s="26">
        <f t="shared" si="2"/>
        <v>48</v>
      </c>
      <c r="AL1" s="26">
        <f t="shared" si="2"/>
        <v>3450</v>
      </c>
      <c r="AM1" s="26">
        <f t="shared" si="2"/>
        <v>1249</v>
      </c>
      <c r="AN1" s="26">
        <f t="shared" si="2"/>
        <v>0</v>
      </c>
      <c r="AO1" s="26">
        <f t="shared" si="2"/>
        <v>2152</v>
      </c>
      <c r="AP1" s="26">
        <f t="shared" si="2"/>
        <v>193</v>
      </c>
      <c r="AQ1" s="26">
        <f t="shared" si="2"/>
        <v>1</v>
      </c>
      <c r="AR1" s="26">
        <f t="shared" si="2"/>
        <v>4479</v>
      </c>
      <c r="AS1" s="26">
        <f t="shared" si="2"/>
        <v>1424</v>
      </c>
      <c r="AT1" s="26">
        <f t="shared" si="2"/>
        <v>1</v>
      </c>
      <c r="AU1" s="26">
        <f t="shared" si="2"/>
        <v>1</v>
      </c>
      <c r="AV1" s="26">
        <f t="shared" si="2"/>
        <v>39</v>
      </c>
      <c r="AW1" s="26">
        <f t="shared" si="2"/>
        <v>2647</v>
      </c>
      <c r="AX1" s="26">
        <f t="shared" si="2"/>
        <v>15261</v>
      </c>
      <c r="AY1" s="26">
        <f t="shared" si="2"/>
        <v>289</v>
      </c>
      <c r="AZ1" s="26">
        <f t="shared" si="2"/>
        <v>15054</v>
      </c>
      <c r="BA1" s="26">
        <f t="shared" si="2"/>
        <v>3418</v>
      </c>
      <c r="BB1" s="26">
        <f t="shared" si="2"/>
        <v>568</v>
      </c>
      <c r="BC1" s="26">
        <f t="shared" si="2"/>
        <v>0</v>
      </c>
      <c r="BD1" s="26">
        <f t="shared" si="2"/>
        <v>1868</v>
      </c>
      <c r="BE1" s="26">
        <f t="shared" si="2"/>
        <v>356</v>
      </c>
      <c r="BF1" s="26">
        <f t="shared" si="2"/>
        <v>2253</v>
      </c>
      <c r="BG1" s="26">
        <f t="shared" si="2"/>
        <v>92</v>
      </c>
      <c r="BH1" s="26">
        <f t="shared" si="2"/>
        <v>55</v>
      </c>
      <c r="BI1" s="26">
        <f t="shared" si="2"/>
        <v>89828</v>
      </c>
    </row>
    <row r="2" ht="36.75" customHeight="1">
      <c r="A2" s="18" t="s">
        <v>12</v>
      </c>
      <c r="B2" s="18" t="s">
        <v>13</v>
      </c>
      <c r="C2" s="18" t="s">
        <v>14</v>
      </c>
      <c r="D2" s="18" t="s">
        <v>15</v>
      </c>
      <c r="E2" s="18" t="s">
        <v>16</v>
      </c>
      <c r="F2" s="18" t="s">
        <v>17</v>
      </c>
      <c r="G2" s="18" t="s">
        <v>18</v>
      </c>
      <c r="H2" s="18" t="s">
        <v>19</v>
      </c>
      <c r="I2" s="18" t="s">
        <v>20</v>
      </c>
      <c r="J2" s="18" t="s">
        <v>21</v>
      </c>
      <c r="K2" s="18" t="s">
        <v>22</v>
      </c>
      <c r="L2" s="18" t="s">
        <v>97</v>
      </c>
      <c r="M2" s="18" t="s">
        <v>98</v>
      </c>
      <c r="N2" s="18" t="s">
        <v>99</v>
      </c>
      <c r="O2" s="18" t="s">
        <v>100</v>
      </c>
      <c r="P2" s="18" t="s">
        <v>102</v>
      </c>
      <c r="Q2" s="18" t="s">
        <v>104</v>
      </c>
      <c r="R2" s="18" t="s">
        <v>105</v>
      </c>
      <c r="S2" s="18" t="s">
        <v>107</v>
      </c>
      <c r="T2" s="18" t="s">
        <v>108</v>
      </c>
      <c r="U2" s="18" t="s">
        <v>110</v>
      </c>
      <c r="V2" s="18" t="s">
        <v>112</v>
      </c>
      <c r="W2" s="18" t="s">
        <v>114</v>
      </c>
      <c r="X2" s="18"/>
      <c r="Y2" s="18" t="s">
        <v>117</v>
      </c>
      <c r="Z2" s="18" t="s">
        <v>118</v>
      </c>
      <c r="AA2" s="18" t="s">
        <v>119</v>
      </c>
      <c r="AB2" s="18" t="s">
        <v>120</v>
      </c>
      <c r="AC2" s="18" t="s">
        <v>121</v>
      </c>
      <c r="AD2" s="18" t="s">
        <v>122</v>
      </c>
      <c r="AE2" s="18" t="s">
        <v>123</v>
      </c>
      <c r="AF2" s="18" t="s">
        <v>124</v>
      </c>
      <c r="AG2" s="18" t="s">
        <v>125</v>
      </c>
      <c r="AH2" s="18" t="s">
        <v>126</v>
      </c>
      <c r="AI2" s="18" t="s">
        <v>127</v>
      </c>
      <c r="AJ2" s="18" t="s">
        <v>128</v>
      </c>
      <c r="AK2" s="18" t="s">
        <v>129</v>
      </c>
      <c r="AL2" s="18" t="s">
        <v>130</v>
      </c>
      <c r="AM2" s="18" t="s">
        <v>131</v>
      </c>
      <c r="AN2" s="18" t="s">
        <v>132</v>
      </c>
      <c r="AO2" s="18" t="s">
        <v>133</v>
      </c>
      <c r="AP2" s="18" t="s">
        <v>134</v>
      </c>
      <c r="AQ2" s="18" t="s">
        <v>135</v>
      </c>
      <c r="AR2" s="18" t="s">
        <v>136</v>
      </c>
      <c r="AS2" s="18" t="s">
        <v>137</v>
      </c>
      <c r="AT2" s="18" t="s">
        <v>138</v>
      </c>
      <c r="AU2" s="18" t="s">
        <v>139</v>
      </c>
      <c r="AV2" s="18" t="s">
        <v>140</v>
      </c>
      <c r="AW2" s="18" t="s">
        <v>141</v>
      </c>
      <c r="AX2" s="18" t="s">
        <v>143</v>
      </c>
      <c r="AY2" s="18" t="s">
        <v>144</v>
      </c>
      <c r="AZ2" s="18" t="s">
        <v>145</v>
      </c>
      <c r="BA2" s="18" t="s">
        <v>91</v>
      </c>
      <c r="BB2" s="18" t="s">
        <v>92</v>
      </c>
      <c r="BC2" s="18" t="s">
        <v>146</v>
      </c>
      <c r="BD2" s="18" t="s">
        <v>147</v>
      </c>
      <c r="BE2" s="18" t="s">
        <v>148</v>
      </c>
      <c r="BF2" s="18" t="s">
        <v>150</v>
      </c>
      <c r="BG2" s="18" t="s">
        <v>152</v>
      </c>
      <c r="BH2" s="18" t="s">
        <v>154</v>
      </c>
      <c r="BI2" s="18" t="s">
        <v>155</v>
      </c>
      <c r="BJ2" s="18" t="s">
        <v>156</v>
      </c>
    </row>
    <row r="3" ht="36.75" customHeight="1">
      <c r="A3" s="20">
        <v>42407.0</v>
      </c>
      <c r="B3" s="21" t="s">
        <v>161</v>
      </c>
      <c r="C3" s="21" t="s">
        <v>162</v>
      </c>
      <c r="D3" s="21" t="s">
        <v>163</v>
      </c>
      <c r="E3" s="21" t="s">
        <v>164</v>
      </c>
      <c r="F3" s="21">
        <v>29.95</v>
      </c>
      <c r="G3" s="21">
        <v>-85.4308</v>
      </c>
      <c r="H3" s="21">
        <v>29.9537</v>
      </c>
      <c r="I3" s="22">
        <v>-85.4491</v>
      </c>
      <c r="J3" s="21" t="s">
        <v>168</v>
      </c>
      <c r="K3" s="21" t="s">
        <v>170</v>
      </c>
      <c r="Z3" s="21">
        <v>2.0</v>
      </c>
      <c r="AA3" s="21">
        <v>61.0</v>
      </c>
      <c r="AE3" s="21">
        <v>4.0</v>
      </c>
      <c r="AM3" s="21">
        <v>12.0</v>
      </c>
      <c r="AO3" s="21">
        <v>5.0</v>
      </c>
      <c r="AS3" s="21">
        <v>2.0</v>
      </c>
      <c r="AW3" s="21">
        <v>2.0</v>
      </c>
      <c r="AX3" s="21">
        <v>2.0</v>
      </c>
      <c r="AZ3" s="21">
        <v>4.0</v>
      </c>
      <c r="BA3" s="21">
        <v>2.0</v>
      </c>
      <c r="BI3">
        <f t="shared" ref="BI3:BI7" si="3">sum(L3:BH3)</f>
        <v>96</v>
      </c>
    </row>
    <row r="4" ht="36.75" customHeight="1">
      <c r="A4" s="20">
        <v>42407.0</v>
      </c>
      <c r="B4" s="21" t="s">
        <v>161</v>
      </c>
      <c r="C4" s="21" t="s">
        <v>162</v>
      </c>
      <c r="D4" s="21" t="s">
        <v>177</v>
      </c>
      <c r="E4" s="21" t="s">
        <v>164</v>
      </c>
      <c r="F4" s="21">
        <v>29.9505</v>
      </c>
      <c r="G4" s="21">
        <v>-85.4304</v>
      </c>
      <c r="H4" s="21">
        <v>29.9251</v>
      </c>
      <c r="I4" s="22">
        <v>-85.3894</v>
      </c>
      <c r="J4" s="21" t="s">
        <v>179</v>
      </c>
      <c r="K4" s="21" t="s">
        <v>180</v>
      </c>
      <c r="Z4" s="21">
        <v>1.0</v>
      </c>
      <c r="AA4" s="21">
        <v>6.0</v>
      </c>
      <c r="AM4" s="21">
        <v>1.0</v>
      </c>
      <c r="AO4" s="21">
        <v>1.0</v>
      </c>
      <c r="AS4" s="21">
        <v>5.0</v>
      </c>
      <c r="AW4" s="21">
        <v>4.0</v>
      </c>
      <c r="AX4" s="21">
        <v>52.0</v>
      </c>
      <c r="AZ4" s="21">
        <v>16.0</v>
      </c>
      <c r="BA4" s="21">
        <v>1.0</v>
      </c>
      <c r="BI4">
        <f t="shared" si="3"/>
        <v>87</v>
      </c>
    </row>
    <row r="5" ht="36.75" customHeight="1">
      <c r="A5" s="20">
        <v>42405.0</v>
      </c>
      <c r="B5" s="21" t="s">
        <v>189</v>
      </c>
      <c r="C5" s="25" t="s">
        <v>191</v>
      </c>
      <c r="D5" s="25" t="s">
        <v>194</v>
      </c>
      <c r="E5" s="25" t="s">
        <v>164</v>
      </c>
      <c r="F5" s="25">
        <v>30.05303</v>
      </c>
      <c r="G5" s="25">
        <v>-85.6004</v>
      </c>
      <c r="H5" s="21">
        <v>30.00397</v>
      </c>
      <c r="I5" s="21">
        <v>-85.5357</v>
      </c>
      <c r="J5" s="21" t="s">
        <v>200</v>
      </c>
      <c r="K5" s="21" t="s">
        <v>202</v>
      </c>
      <c r="N5" s="21">
        <v>4.0</v>
      </c>
      <c r="AA5" s="21">
        <v>15.0</v>
      </c>
      <c r="AE5" s="21">
        <v>31.0</v>
      </c>
      <c r="AM5" s="21">
        <v>127.0</v>
      </c>
      <c r="AO5" s="21">
        <v>5.0</v>
      </c>
      <c r="AR5" s="21">
        <v>1.0</v>
      </c>
      <c r="AS5" s="21">
        <v>21.0</v>
      </c>
      <c r="AW5" s="21">
        <v>10.0</v>
      </c>
      <c r="AZ5" s="21">
        <v>69.0</v>
      </c>
      <c r="BA5" s="21">
        <v>4.0</v>
      </c>
      <c r="BI5">
        <f t="shared" si="3"/>
        <v>287</v>
      </c>
      <c r="BJ5" s="21" t="s">
        <v>211</v>
      </c>
    </row>
    <row r="6" ht="36.75" customHeight="1">
      <c r="A6" s="29">
        <v>42407.0</v>
      </c>
      <c r="B6" s="25" t="s">
        <v>189</v>
      </c>
      <c r="C6" s="25" t="s">
        <v>191</v>
      </c>
      <c r="D6" s="25" t="s">
        <v>212</v>
      </c>
      <c r="E6" s="25" t="s">
        <v>164</v>
      </c>
      <c r="F6" s="25">
        <v>29.97474</v>
      </c>
      <c r="G6" s="25">
        <v>-85.47832</v>
      </c>
      <c r="H6" s="21">
        <v>29.98971</v>
      </c>
      <c r="I6" s="21">
        <v>-85.49908</v>
      </c>
      <c r="J6" s="21" t="s">
        <v>214</v>
      </c>
      <c r="K6" s="21" t="s">
        <v>215</v>
      </c>
      <c r="N6" s="21">
        <v>16.0</v>
      </c>
      <c r="O6" s="21">
        <v>40.0</v>
      </c>
      <c r="P6" s="21">
        <v>8.0</v>
      </c>
      <c r="R6" s="21">
        <v>7.0</v>
      </c>
      <c r="AA6" s="21">
        <v>3.0</v>
      </c>
      <c r="AB6" s="21">
        <v>15.0</v>
      </c>
      <c r="AI6" s="21">
        <v>14.0</v>
      </c>
      <c r="AJ6" s="21">
        <v>1.0</v>
      </c>
      <c r="AO6" s="21">
        <v>3.0</v>
      </c>
      <c r="AR6" s="21">
        <v>33.0</v>
      </c>
      <c r="AS6" s="21">
        <v>1.0</v>
      </c>
      <c r="AW6" s="21">
        <v>5.0</v>
      </c>
      <c r="AX6" s="21">
        <v>2.0</v>
      </c>
      <c r="AZ6" s="21">
        <v>11.0</v>
      </c>
      <c r="BD6" s="21">
        <v>29.0</v>
      </c>
      <c r="BI6">
        <f t="shared" si="3"/>
        <v>188</v>
      </c>
      <c r="BJ6" s="21" t="s">
        <v>222</v>
      </c>
    </row>
    <row r="7" ht="36.75" customHeight="1">
      <c r="A7" s="29">
        <v>42406.0</v>
      </c>
      <c r="B7" s="25" t="s">
        <v>223</v>
      </c>
      <c r="C7" s="25" t="s">
        <v>191</v>
      </c>
      <c r="D7" s="25" t="s">
        <v>224</v>
      </c>
      <c r="E7" s="25" t="s">
        <v>164</v>
      </c>
      <c r="F7" s="25">
        <v>29.95482</v>
      </c>
      <c r="G7" s="25">
        <v>-85.44915</v>
      </c>
      <c r="H7" s="21">
        <v>30.00088</v>
      </c>
      <c r="I7" s="21">
        <v>-85.5287</v>
      </c>
      <c r="J7" s="21" t="s">
        <v>225</v>
      </c>
      <c r="K7" s="21" t="s">
        <v>227</v>
      </c>
      <c r="N7" s="21">
        <v>13.0</v>
      </c>
      <c r="O7" s="21">
        <v>30.0</v>
      </c>
      <c r="W7" s="21">
        <v>2.0</v>
      </c>
      <c r="X7" s="21"/>
      <c r="Z7" s="21">
        <v>7.0</v>
      </c>
      <c r="AA7" s="21">
        <v>281.0</v>
      </c>
      <c r="AE7" s="21">
        <v>25.0</v>
      </c>
      <c r="AI7" s="21">
        <v>5.0</v>
      </c>
      <c r="AM7" s="21">
        <v>54.0</v>
      </c>
      <c r="AO7" s="21">
        <v>73.0</v>
      </c>
      <c r="AR7" s="21">
        <v>1.0</v>
      </c>
      <c r="AS7" s="21">
        <v>37.0</v>
      </c>
      <c r="AW7" s="21">
        <v>22.0</v>
      </c>
      <c r="AX7" s="21">
        <v>8.0</v>
      </c>
      <c r="AZ7" s="21">
        <v>45.0</v>
      </c>
      <c r="BA7" s="21">
        <v>17.0</v>
      </c>
      <c r="BI7">
        <f t="shared" si="3"/>
        <v>620</v>
      </c>
      <c r="BJ7" s="21" t="s">
        <v>228</v>
      </c>
    </row>
    <row r="8" ht="36.75" customHeight="1">
      <c r="A8" s="32">
        <v>42405.0</v>
      </c>
      <c r="B8" s="33" t="s">
        <v>238</v>
      </c>
      <c r="C8" s="33" t="s">
        <v>243</v>
      </c>
      <c r="D8" s="33" t="s">
        <v>244</v>
      </c>
      <c r="E8" s="33" t="s">
        <v>164</v>
      </c>
      <c r="F8" s="34">
        <v>30.05972</v>
      </c>
      <c r="G8" s="34">
        <v>-85.61329</v>
      </c>
      <c r="H8" s="34">
        <v>30.08719</v>
      </c>
      <c r="I8" s="36">
        <v>-85.67446</v>
      </c>
      <c r="J8" s="37" t="s">
        <v>257</v>
      </c>
      <c r="K8" s="37" t="s">
        <v>263</v>
      </c>
      <c r="L8" s="38"/>
      <c r="M8" s="39"/>
      <c r="N8" s="40">
        <v>14.0</v>
      </c>
      <c r="O8" s="37">
        <f>142+10</f>
        <v>152</v>
      </c>
      <c r="P8" s="42"/>
      <c r="Q8" s="42"/>
      <c r="R8" s="40">
        <v>1.0</v>
      </c>
      <c r="S8" s="42"/>
      <c r="T8" s="42"/>
      <c r="U8" s="42"/>
      <c r="V8" s="42"/>
      <c r="W8" s="42">
        <f>2+6</f>
        <v>8</v>
      </c>
      <c r="X8" s="42"/>
      <c r="Y8" s="42"/>
      <c r="Z8" s="37"/>
      <c r="AA8" s="37">
        <f>4+48+22</f>
        <v>74</v>
      </c>
      <c r="AB8" s="40">
        <v>4.0</v>
      </c>
      <c r="AC8" s="42"/>
      <c r="AD8" s="42"/>
      <c r="AE8" s="37">
        <f>2+3+1+1+1+2+1+1+3</f>
        <v>15</v>
      </c>
      <c r="AF8" s="42"/>
      <c r="AG8" s="42"/>
      <c r="AH8" s="42"/>
      <c r="AI8" s="40">
        <v>12.0</v>
      </c>
      <c r="AJ8" s="40">
        <v>1.0</v>
      </c>
      <c r="AK8" s="42"/>
      <c r="AL8" s="42"/>
      <c r="AM8" s="40">
        <v>10.0</v>
      </c>
      <c r="AN8" s="42"/>
      <c r="AO8" s="42">
        <f>3+3+1+16</f>
        <v>23</v>
      </c>
      <c r="AP8" s="42"/>
      <c r="AQ8" s="42"/>
      <c r="AR8" s="42"/>
      <c r="AS8" s="40">
        <v>7.0</v>
      </c>
      <c r="AT8" s="42"/>
      <c r="AU8" s="42"/>
      <c r="AV8" s="42"/>
      <c r="AW8" s="40">
        <v>4.0</v>
      </c>
      <c r="AX8" s="40">
        <v>4.0</v>
      </c>
      <c r="AY8" s="42"/>
      <c r="AZ8" s="40">
        <v>3.0</v>
      </c>
      <c r="BA8" s="42"/>
      <c r="BB8" s="42"/>
      <c r="BC8" s="42"/>
      <c r="BD8" s="42"/>
      <c r="BE8" s="42"/>
      <c r="BF8" s="42"/>
      <c r="BG8" s="42"/>
      <c r="BH8" s="42"/>
      <c r="BI8" s="42">
        <f>SUM(L8:BH8)</f>
        <v>332</v>
      </c>
      <c r="BJ8" s="40" t="s">
        <v>338</v>
      </c>
    </row>
    <row r="9" ht="36.75" customHeight="1">
      <c r="A9" s="29">
        <v>42405.0</v>
      </c>
      <c r="B9" s="25" t="s">
        <v>340</v>
      </c>
      <c r="C9" s="25" t="s">
        <v>279</v>
      </c>
      <c r="D9" s="25" t="s">
        <v>341</v>
      </c>
      <c r="E9" s="25" t="s">
        <v>164</v>
      </c>
      <c r="F9" s="25">
        <v>30.08912</v>
      </c>
      <c r="G9" s="25">
        <v>-85.67931</v>
      </c>
      <c r="H9" s="21">
        <v>30.11851</v>
      </c>
      <c r="I9" s="21">
        <v>-85.72436</v>
      </c>
      <c r="J9" s="21" t="s">
        <v>345</v>
      </c>
      <c r="K9" s="21" t="s">
        <v>347</v>
      </c>
      <c r="AE9" s="21">
        <v>19.0</v>
      </c>
      <c r="AM9" s="21">
        <v>28.0</v>
      </c>
      <c r="AO9" s="21">
        <v>121.0</v>
      </c>
      <c r="AR9" s="21">
        <v>1.0</v>
      </c>
      <c r="AS9" s="21">
        <v>12.0</v>
      </c>
      <c r="AW9" s="21">
        <v>5.0</v>
      </c>
      <c r="AX9" s="21">
        <v>7.0</v>
      </c>
      <c r="AZ9" s="21">
        <v>9.0</v>
      </c>
      <c r="BA9" s="21">
        <v>1.0</v>
      </c>
      <c r="BI9">
        <f t="shared" ref="BI9:BI20" si="4">sum(L9:BH9)</f>
        <v>203</v>
      </c>
      <c r="BJ9" s="21" t="s">
        <v>353</v>
      </c>
    </row>
    <row r="10" ht="36.75" customHeight="1">
      <c r="A10" s="29">
        <v>42408.0</v>
      </c>
      <c r="B10" s="25" t="s">
        <v>278</v>
      </c>
      <c r="C10" s="25" t="s">
        <v>279</v>
      </c>
      <c r="D10" s="25" t="s">
        <v>355</v>
      </c>
      <c r="E10" s="25" t="s">
        <v>164</v>
      </c>
      <c r="F10" s="25">
        <v>30.383679</v>
      </c>
      <c r="G10" s="25">
        <v>-86.45356</v>
      </c>
      <c r="H10" s="21">
        <v>30.382149</v>
      </c>
      <c r="I10" s="21">
        <v>-86.43247</v>
      </c>
      <c r="J10" s="21" t="s">
        <v>359</v>
      </c>
      <c r="K10" s="21" t="s">
        <v>361</v>
      </c>
      <c r="AA10" s="21">
        <v>45.0</v>
      </c>
      <c r="AE10" s="21">
        <v>2.0</v>
      </c>
      <c r="AO10" s="21">
        <v>2.0</v>
      </c>
      <c r="AW10" s="21">
        <v>3.0</v>
      </c>
      <c r="AX10" s="21">
        <v>18.0</v>
      </c>
      <c r="AZ10" s="21">
        <v>14.0</v>
      </c>
      <c r="BI10">
        <f t="shared" si="4"/>
        <v>84</v>
      </c>
      <c r="BJ10" s="21" t="s">
        <v>367</v>
      </c>
    </row>
    <row r="11" ht="36.75" customHeight="1">
      <c r="A11" s="29">
        <v>42411.0</v>
      </c>
      <c r="B11" s="25" t="s">
        <v>278</v>
      </c>
      <c r="C11" s="25" t="s">
        <v>279</v>
      </c>
      <c r="D11" s="25" t="s">
        <v>370</v>
      </c>
      <c r="E11" s="25" t="s">
        <v>164</v>
      </c>
      <c r="F11" s="25">
        <v>30.269292</v>
      </c>
      <c r="G11" s="25">
        <v>-85.995918</v>
      </c>
      <c r="H11" s="21">
        <v>30.266533</v>
      </c>
      <c r="I11" s="21">
        <v>-85.988889</v>
      </c>
      <c r="J11" s="21" t="s">
        <v>374</v>
      </c>
      <c r="K11" s="21" t="s">
        <v>375</v>
      </c>
      <c r="AA11" s="21">
        <v>21.0</v>
      </c>
      <c r="AE11" s="21">
        <v>4.0</v>
      </c>
      <c r="AI11" s="21">
        <v>1.0</v>
      </c>
      <c r="AM11" s="21">
        <v>2.0</v>
      </c>
      <c r="AO11" s="21">
        <v>8.0</v>
      </c>
      <c r="AS11" s="21">
        <v>4.0</v>
      </c>
      <c r="AX11" s="21">
        <v>3.0</v>
      </c>
      <c r="AZ11" s="21">
        <v>3.0</v>
      </c>
      <c r="BA11" s="21">
        <v>1.0</v>
      </c>
      <c r="BI11">
        <f t="shared" si="4"/>
        <v>47</v>
      </c>
      <c r="BJ11" s="21" t="s">
        <v>379</v>
      </c>
    </row>
    <row r="12" ht="36.75" customHeight="1">
      <c r="A12" s="20">
        <v>42411.0</v>
      </c>
      <c r="B12" s="21" t="s">
        <v>278</v>
      </c>
      <c r="C12" s="25" t="s">
        <v>279</v>
      </c>
      <c r="D12" s="21" t="s">
        <v>381</v>
      </c>
      <c r="E12" s="21" t="s">
        <v>164</v>
      </c>
      <c r="F12" s="21">
        <v>30.13079</v>
      </c>
      <c r="G12" s="21">
        <v>-85.72777</v>
      </c>
      <c r="H12" s="21">
        <v>30.13281</v>
      </c>
      <c r="I12" s="22">
        <v>-85.74561</v>
      </c>
      <c r="J12" s="21" t="s">
        <v>385</v>
      </c>
      <c r="K12" s="21" t="s">
        <v>386</v>
      </c>
      <c r="Z12" s="21">
        <v>10.0</v>
      </c>
      <c r="AA12" s="21">
        <v>18.0</v>
      </c>
      <c r="AI12" s="21">
        <v>3.0</v>
      </c>
      <c r="AM12" s="21">
        <v>35.0</v>
      </c>
      <c r="AR12" s="21">
        <v>16.0</v>
      </c>
      <c r="AS12" s="21">
        <v>16.0</v>
      </c>
      <c r="AW12" s="21">
        <v>6.0</v>
      </c>
      <c r="AX12" s="21">
        <v>10.0</v>
      </c>
      <c r="AZ12" s="21">
        <v>11.0</v>
      </c>
      <c r="BA12" s="21">
        <v>8.0</v>
      </c>
      <c r="BI12">
        <f t="shared" si="4"/>
        <v>133</v>
      </c>
      <c r="BJ12" s="21" t="s">
        <v>393</v>
      </c>
    </row>
    <row r="13" ht="36.75" customHeight="1">
      <c r="A13" s="20">
        <v>42405.0</v>
      </c>
      <c r="B13" s="21" t="s">
        <v>395</v>
      </c>
      <c r="C13" s="21" t="s">
        <v>396</v>
      </c>
      <c r="D13" s="21" t="s">
        <v>397</v>
      </c>
      <c r="E13" s="21" t="s">
        <v>31</v>
      </c>
      <c r="F13" s="21" t="s">
        <v>398</v>
      </c>
      <c r="G13" s="21" t="s">
        <v>399</v>
      </c>
      <c r="H13" s="21" t="s">
        <v>400</v>
      </c>
      <c r="I13" s="22" t="s">
        <v>401</v>
      </c>
      <c r="J13" s="21" t="s">
        <v>402</v>
      </c>
      <c r="K13" s="21" t="s">
        <v>403</v>
      </c>
      <c r="Z13" s="21">
        <v>20.0</v>
      </c>
      <c r="AA13" s="21">
        <v>250.0</v>
      </c>
      <c r="AI13" s="21">
        <v>29.0</v>
      </c>
      <c r="AL13" s="21">
        <v>1.0</v>
      </c>
      <c r="AO13" s="21">
        <v>16.0</v>
      </c>
      <c r="AS13" s="21">
        <v>27.0</v>
      </c>
      <c r="AV13" s="21">
        <v>2.0</v>
      </c>
      <c r="AW13" s="21">
        <v>11.0</v>
      </c>
      <c r="AX13" s="21">
        <v>10.0</v>
      </c>
      <c r="AZ13" s="21">
        <v>22.0</v>
      </c>
      <c r="BA13" s="21">
        <v>140.0</v>
      </c>
      <c r="BB13" s="21">
        <v>4.0</v>
      </c>
      <c r="BI13">
        <f t="shared" si="4"/>
        <v>532</v>
      </c>
      <c r="BJ13" s="21" t="s">
        <v>404</v>
      </c>
    </row>
    <row r="14" ht="36.75" customHeight="1">
      <c r="A14" s="20">
        <v>42399.0</v>
      </c>
      <c r="B14" s="21" t="s">
        <v>28</v>
      </c>
      <c r="C14" s="21" t="s">
        <v>29</v>
      </c>
      <c r="D14" s="21" t="s">
        <v>30</v>
      </c>
      <c r="E14" s="21" t="s">
        <v>31</v>
      </c>
      <c r="F14" s="21">
        <v>28.794085705</v>
      </c>
      <c r="G14" s="21">
        <v>-80.73511061</v>
      </c>
      <c r="H14" s="21">
        <v>28.643680693</v>
      </c>
      <c r="I14" s="22">
        <v>-80.623842105</v>
      </c>
      <c r="J14" s="21" t="s">
        <v>32</v>
      </c>
      <c r="K14" s="21" t="s">
        <v>33</v>
      </c>
      <c r="N14" s="21">
        <v>6.0</v>
      </c>
      <c r="O14" s="21">
        <v>26.0</v>
      </c>
      <c r="Q14" s="21">
        <v>1.0</v>
      </c>
      <c r="Z14" s="21">
        <v>14.0</v>
      </c>
      <c r="AA14" s="21">
        <v>79.0</v>
      </c>
      <c r="AI14" s="21">
        <v>70.0</v>
      </c>
      <c r="AJ14" s="21">
        <v>2.0</v>
      </c>
      <c r="AL14" s="21">
        <v>10.0</v>
      </c>
      <c r="AM14" s="21">
        <v>4.0</v>
      </c>
      <c r="AO14" s="21">
        <v>20.0</v>
      </c>
      <c r="AS14" s="21">
        <v>9.0</v>
      </c>
      <c r="AV14" s="21">
        <v>2.0</v>
      </c>
      <c r="AW14" s="21">
        <v>10.0</v>
      </c>
      <c r="AX14" s="21">
        <v>12.0</v>
      </c>
      <c r="AZ14" s="21">
        <v>128.0</v>
      </c>
      <c r="BA14" s="21">
        <v>450.0</v>
      </c>
      <c r="BB14" s="21">
        <v>18.0</v>
      </c>
      <c r="BI14">
        <f t="shared" si="4"/>
        <v>861</v>
      </c>
    </row>
    <row r="15" ht="36.75" customHeight="1">
      <c r="A15" s="20">
        <v>42409.0</v>
      </c>
      <c r="B15" s="21" t="s">
        <v>411</v>
      </c>
      <c r="C15" s="21" t="s">
        <v>412</v>
      </c>
      <c r="D15" s="21" t="s">
        <v>413</v>
      </c>
      <c r="E15" s="21" t="s">
        <v>31</v>
      </c>
      <c r="F15" s="21">
        <v>28.27195</v>
      </c>
      <c r="G15" s="21">
        <v>-80.60527</v>
      </c>
      <c r="H15" s="21">
        <v>28.21282</v>
      </c>
      <c r="I15" s="22">
        <v>-80.5969</v>
      </c>
      <c r="J15" s="21" t="s">
        <v>414</v>
      </c>
      <c r="K15" s="21" t="s">
        <v>415</v>
      </c>
      <c r="N15" s="21">
        <v>68.0</v>
      </c>
      <c r="Z15" s="21">
        <v>11.0</v>
      </c>
      <c r="AA15" s="21">
        <v>36.0</v>
      </c>
      <c r="AI15" s="21">
        <v>18.0</v>
      </c>
      <c r="AO15" s="21">
        <v>6.0</v>
      </c>
      <c r="AW15" s="21">
        <v>20.0</v>
      </c>
      <c r="AX15" s="21">
        <v>21.0</v>
      </c>
      <c r="AZ15" s="21">
        <v>8.0</v>
      </c>
      <c r="BA15" s="21">
        <v>70.0</v>
      </c>
      <c r="BI15">
        <f t="shared" si="4"/>
        <v>258</v>
      </c>
    </row>
    <row r="16" ht="36.75" customHeight="1">
      <c r="A16" s="20">
        <v>42408.0</v>
      </c>
      <c r="B16" s="21" t="s">
        <v>420</v>
      </c>
      <c r="C16" s="21" t="s">
        <v>412</v>
      </c>
      <c r="D16" s="21" t="s">
        <v>421</v>
      </c>
      <c r="E16" s="21" t="s">
        <v>31</v>
      </c>
      <c r="F16" s="21">
        <v>28.41124</v>
      </c>
      <c r="G16" s="21">
        <v>-80.58362</v>
      </c>
      <c r="H16" s="21">
        <v>28.56871</v>
      </c>
      <c r="I16" s="22">
        <v>-80.5693</v>
      </c>
      <c r="J16" s="21" t="s">
        <v>423</v>
      </c>
      <c r="K16" s="21" t="s">
        <v>424</v>
      </c>
      <c r="N16" s="21">
        <v>44.0</v>
      </c>
      <c r="O16" s="21">
        <v>2.0</v>
      </c>
      <c r="Y16" s="21">
        <v>52.0</v>
      </c>
      <c r="Z16" s="21">
        <v>13.0</v>
      </c>
      <c r="AA16" s="21">
        <v>173.0</v>
      </c>
      <c r="AB16" s="21">
        <v>38.0</v>
      </c>
      <c r="AI16" s="21">
        <v>17.0</v>
      </c>
      <c r="AJ16" s="21">
        <v>1.0</v>
      </c>
      <c r="AM16" s="21">
        <v>17.0</v>
      </c>
      <c r="AO16" s="21">
        <v>29.0</v>
      </c>
      <c r="AR16" s="21">
        <v>2.0</v>
      </c>
      <c r="AS16" s="21">
        <v>1.0</v>
      </c>
      <c r="AW16" s="21">
        <v>61.0</v>
      </c>
      <c r="AY16" s="21">
        <v>1.0</v>
      </c>
      <c r="AZ16" s="21">
        <v>64.0</v>
      </c>
      <c r="BA16" s="21">
        <v>53.0</v>
      </c>
      <c r="BB16" s="21">
        <v>9.0</v>
      </c>
      <c r="BI16">
        <f t="shared" si="4"/>
        <v>577</v>
      </c>
    </row>
    <row r="17" ht="36.75" customHeight="1">
      <c r="A17" s="29">
        <v>42410.0</v>
      </c>
      <c r="B17" s="25" t="s">
        <v>433</v>
      </c>
      <c r="C17" s="25" t="s">
        <v>434</v>
      </c>
      <c r="D17" s="25" t="s">
        <v>435</v>
      </c>
      <c r="E17" s="25" t="s">
        <v>436</v>
      </c>
      <c r="F17" s="21" t="s">
        <v>437</v>
      </c>
      <c r="G17" s="21" t="s">
        <v>438</v>
      </c>
      <c r="H17" s="21" t="s">
        <v>439</v>
      </c>
      <c r="I17" s="21" t="s">
        <v>440</v>
      </c>
      <c r="J17" s="21" t="s">
        <v>441</v>
      </c>
      <c r="K17" s="21" t="s">
        <v>442</v>
      </c>
      <c r="L17" s="21">
        <v>0.0</v>
      </c>
      <c r="M17" s="21">
        <v>0.0</v>
      </c>
      <c r="N17" s="21">
        <v>0.0</v>
      </c>
      <c r="O17" s="21">
        <v>0.0</v>
      </c>
      <c r="Z17" s="21">
        <v>8.0</v>
      </c>
      <c r="AA17" s="21">
        <v>92.0</v>
      </c>
      <c r="AI17" s="21">
        <v>25.0</v>
      </c>
      <c r="AO17" s="21">
        <v>6.0</v>
      </c>
      <c r="AS17" s="21">
        <v>1.0</v>
      </c>
      <c r="AT17" s="21">
        <v>1.0</v>
      </c>
      <c r="BA17" s="21">
        <v>1.0</v>
      </c>
      <c r="BB17" s="21">
        <v>1.0</v>
      </c>
      <c r="BI17">
        <f t="shared" si="4"/>
        <v>135</v>
      </c>
    </row>
    <row r="18" ht="36.75" customHeight="1">
      <c r="A18" s="29">
        <v>42410.0</v>
      </c>
      <c r="B18" s="25" t="s">
        <v>452</v>
      </c>
      <c r="C18" s="25" t="s">
        <v>434</v>
      </c>
      <c r="D18" s="25" t="s">
        <v>453</v>
      </c>
      <c r="E18" s="25" t="s">
        <v>436</v>
      </c>
      <c r="F18" s="21" t="s">
        <v>455</v>
      </c>
      <c r="G18" s="21" t="s">
        <v>456</v>
      </c>
      <c r="H18" s="21" t="s">
        <v>437</v>
      </c>
      <c r="I18" s="21" t="s">
        <v>438</v>
      </c>
      <c r="J18" s="21" t="s">
        <v>441</v>
      </c>
      <c r="K18" s="21" t="s">
        <v>442</v>
      </c>
      <c r="L18" s="21">
        <v>0.0</v>
      </c>
      <c r="M18" s="21">
        <v>0.0</v>
      </c>
      <c r="N18" s="21">
        <v>3.0</v>
      </c>
      <c r="O18" s="21">
        <v>0.0</v>
      </c>
      <c r="AA18" s="21">
        <v>143.0</v>
      </c>
      <c r="AI18" s="21">
        <v>42.0</v>
      </c>
      <c r="AO18" s="21">
        <v>8.0</v>
      </c>
      <c r="AX18" s="21">
        <v>1.0</v>
      </c>
      <c r="BA18" s="21">
        <v>1.0</v>
      </c>
      <c r="BI18">
        <f t="shared" si="4"/>
        <v>198</v>
      </c>
    </row>
    <row r="19" ht="36.75" customHeight="1">
      <c r="A19" s="29">
        <v>42410.0</v>
      </c>
      <c r="B19" s="25" t="s">
        <v>460</v>
      </c>
      <c r="C19" s="25" t="s">
        <v>434</v>
      </c>
      <c r="D19" s="25" t="s">
        <v>462</v>
      </c>
      <c r="E19" s="25" t="s">
        <v>436</v>
      </c>
      <c r="F19" s="25" t="s">
        <v>465</v>
      </c>
      <c r="G19" s="25" t="s">
        <v>467</v>
      </c>
      <c r="H19" s="21" t="s">
        <v>455</v>
      </c>
      <c r="I19" s="21" t="s">
        <v>456</v>
      </c>
      <c r="J19" s="21" t="s">
        <v>441</v>
      </c>
      <c r="K19" s="21" t="s">
        <v>442</v>
      </c>
      <c r="L19" s="21">
        <v>0.0</v>
      </c>
      <c r="M19" s="21">
        <v>0.0</v>
      </c>
      <c r="N19" s="21">
        <v>14.0</v>
      </c>
      <c r="O19" s="21">
        <v>0.0</v>
      </c>
      <c r="Z19" s="21">
        <v>5.0</v>
      </c>
      <c r="AA19" s="21">
        <v>88.0</v>
      </c>
      <c r="AI19" s="21">
        <v>35.0</v>
      </c>
      <c r="AL19" s="21">
        <v>8.0</v>
      </c>
      <c r="AO19" s="21">
        <v>4.0</v>
      </c>
      <c r="AZ19" s="21">
        <v>23.0</v>
      </c>
      <c r="BA19" s="21">
        <v>4.0</v>
      </c>
      <c r="BI19">
        <f t="shared" si="4"/>
        <v>181</v>
      </c>
    </row>
    <row r="20" ht="36.75" customHeight="1">
      <c r="A20" s="20">
        <v>42408.0</v>
      </c>
      <c r="B20" s="21" t="s">
        <v>481</v>
      </c>
      <c r="C20" s="21" t="s">
        <v>482</v>
      </c>
      <c r="D20" s="21" t="s">
        <v>483</v>
      </c>
      <c r="E20" s="21" t="s">
        <v>484</v>
      </c>
      <c r="F20" s="21" t="s">
        <v>486</v>
      </c>
      <c r="G20" s="21">
        <v>-80.109518</v>
      </c>
      <c r="H20" s="21">
        <v>26.058727</v>
      </c>
      <c r="I20" s="22">
        <v>-80.111435</v>
      </c>
      <c r="J20" s="21" t="s">
        <v>487</v>
      </c>
      <c r="K20" s="21" t="s">
        <v>488</v>
      </c>
      <c r="AA20" s="21">
        <v>23.0</v>
      </c>
      <c r="AL20" s="21">
        <v>1.0</v>
      </c>
      <c r="AR20" s="21">
        <v>1.0</v>
      </c>
      <c r="AZ20" s="21">
        <v>4.0</v>
      </c>
      <c r="BI20">
        <f t="shared" si="4"/>
        <v>29</v>
      </c>
    </row>
    <row r="21" ht="36.75" customHeight="1">
      <c r="A21" s="20">
        <v>42411.0</v>
      </c>
      <c r="B21" s="21" t="s">
        <v>494</v>
      </c>
      <c r="C21" s="21" t="s">
        <v>495</v>
      </c>
      <c r="D21" s="21" t="s">
        <v>496</v>
      </c>
      <c r="E21" s="21" t="s">
        <v>484</v>
      </c>
      <c r="F21" s="21">
        <v>26.25916</v>
      </c>
      <c r="G21" s="21">
        <v>-80.08057</v>
      </c>
      <c r="H21" s="48">
        <v>26.31649</v>
      </c>
      <c r="I21" s="22">
        <v>-80.07492</v>
      </c>
      <c r="J21" s="21" t="s">
        <v>505</v>
      </c>
      <c r="K21" s="21" t="s">
        <v>506</v>
      </c>
      <c r="N21" s="21">
        <v>32.0</v>
      </c>
      <c r="Z21" s="21">
        <v>1.0</v>
      </c>
      <c r="AA21" s="21">
        <v>55.0</v>
      </c>
      <c r="AW21" s="21">
        <v>2.0</v>
      </c>
      <c r="AZ21" s="21">
        <v>34.0</v>
      </c>
      <c r="BI21" s="21">
        <v>124.0</v>
      </c>
      <c r="BJ21" s="21" t="s">
        <v>511</v>
      </c>
    </row>
    <row r="22" ht="36.75" customHeight="1">
      <c r="A22" s="20">
        <v>42410.0</v>
      </c>
      <c r="B22" s="21" t="s">
        <v>253</v>
      </c>
      <c r="C22" s="21" t="s">
        <v>512</v>
      </c>
      <c r="D22" s="21" t="s">
        <v>258</v>
      </c>
      <c r="E22" s="21" t="s">
        <v>259</v>
      </c>
      <c r="F22" s="21" t="s">
        <v>513</v>
      </c>
      <c r="G22" s="21" t="s">
        <v>514</v>
      </c>
      <c r="H22" s="21" t="s">
        <v>515</v>
      </c>
      <c r="I22" s="22" t="s">
        <v>516</v>
      </c>
      <c r="J22" s="21" t="s">
        <v>517</v>
      </c>
      <c r="K22" s="21" t="s">
        <v>519</v>
      </c>
      <c r="L22" s="21">
        <v>0.0</v>
      </c>
      <c r="M22" s="21">
        <v>0.0</v>
      </c>
      <c r="N22" s="21">
        <v>4.0</v>
      </c>
      <c r="O22" s="21">
        <v>0.0</v>
      </c>
      <c r="P22" s="21">
        <v>0.0</v>
      </c>
      <c r="Q22" s="21">
        <v>0.0</v>
      </c>
      <c r="R22" s="21">
        <v>0.0</v>
      </c>
      <c r="S22" s="21">
        <v>0.0</v>
      </c>
      <c r="T22" s="21">
        <v>0.0</v>
      </c>
      <c r="U22" s="21">
        <v>0.0</v>
      </c>
      <c r="V22" s="21">
        <v>0.0</v>
      </c>
      <c r="W22" s="21">
        <v>0.0</v>
      </c>
      <c r="X22" s="21"/>
      <c r="Y22" s="21">
        <v>0.0</v>
      </c>
      <c r="Z22" s="21">
        <v>8.0</v>
      </c>
      <c r="AA22" s="21">
        <v>24.0</v>
      </c>
      <c r="AB22" s="21">
        <v>3.0</v>
      </c>
      <c r="AC22" s="21">
        <v>0.0</v>
      </c>
      <c r="AD22" s="21">
        <v>0.0</v>
      </c>
      <c r="AE22" s="21">
        <v>0.0</v>
      </c>
      <c r="AF22" s="21">
        <v>0.0</v>
      </c>
      <c r="AG22" s="21">
        <v>0.0</v>
      </c>
      <c r="AH22" s="21">
        <v>0.0</v>
      </c>
      <c r="AI22" s="21">
        <v>0.0</v>
      </c>
      <c r="AJ22" s="21">
        <v>0.0</v>
      </c>
      <c r="AK22" s="21">
        <v>0.0</v>
      </c>
      <c r="AL22" s="21">
        <v>0.0</v>
      </c>
      <c r="AM22" s="21">
        <v>0.0</v>
      </c>
      <c r="AN22" s="21">
        <v>0.0</v>
      </c>
      <c r="AO22" s="21">
        <v>0.0</v>
      </c>
      <c r="AP22" s="21">
        <v>0.0</v>
      </c>
      <c r="AQ22" s="21">
        <v>0.0</v>
      </c>
      <c r="AR22" s="21">
        <v>0.0</v>
      </c>
      <c r="AS22" s="21">
        <v>0.0</v>
      </c>
      <c r="AT22" s="21">
        <v>0.0</v>
      </c>
      <c r="AU22" s="21">
        <v>0.0</v>
      </c>
      <c r="AV22" s="21">
        <v>0.0</v>
      </c>
      <c r="AW22" s="21">
        <v>0.0</v>
      </c>
      <c r="AX22" s="21">
        <v>0.0</v>
      </c>
      <c r="AY22" s="21">
        <v>0.0</v>
      </c>
      <c r="AZ22" s="21">
        <v>1.0</v>
      </c>
      <c r="BA22" s="21">
        <v>0.0</v>
      </c>
      <c r="BB22" s="21">
        <v>0.0</v>
      </c>
      <c r="BC22" s="21">
        <v>0.0</v>
      </c>
      <c r="BD22" s="21">
        <v>0.0</v>
      </c>
      <c r="BE22" s="21">
        <v>0.0</v>
      </c>
      <c r="BF22" s="21">
        <v>0.0</v>
      </c>
      <c r="BG22" s="21">
        <v>0.0</v>
      </c>
      <c r="BH22" s="21">
        <v>0.0</v>
      </c>
      <c r="BI22" s="21">
        <v>40.0</v>
      </c>
    </row>
    <row r="23" ht="36.75" customHeight="1">
      <c r="A23" s="20">
        <v>42411.0</v>
      </c>
      <c r="B23" s="21" t="s">
        <v>524</v>
      </c>
      <c r="C23" s="21" t="s">
        <v>526</v>
      </c>
      <c r="D23" s="21" t="s">
        <v>527</v>
      </c>
      <c r="E23" s="21" t="s">
        <v>259</v>
      </c>
      <c r="F23" s="21">
        <v>2639109.0</v>
      </c>
      <c r="G23" s="21">
        <v>-82.353351</v>
      </c>
      <c r="H23" s="21">
        <v>26.89918</v>
      </c>
      <c r="I23" s="22">
        <v>-82.34115</v>
      </c>
      <c r="J23" s="21" t="s">
        <v>528</v>
      </c>
      <c r="K23" s="21" t="s">
        <v>530</v>
      </c>
      <c r="N23" s="21">
        <v>1.0</v>
      </c>
      <c r="Z23" s="21">
        <v>1.0</v>
      </c>
      <c r="AA23" s="21">
        <v>19.0</v>
      </c>
      <c r="AB23" s="21">
        <v>3.0</v>
      </c>
      <c r="AE23" s="21">
        <v>1.0</v>
      </c>
      <c r="AJ23" s="21">
        <v>2.0</v>
      </c>
      <c r="AO23" s="21"/>
      <c r="AR23" s="21"/>
      <c r="AW23" s="21"/>
      <c r="AX23" s="21">
        <v>2.0</v>
      </c>
      <c r="AZ23" s="21">
        <v>14.0</v>
      </c>
      <c r="BA23" s="21">
        <v>6.0</v>
      </c>
      <c r="BI23">
        <f t="shared" ref="BI23:BI36" si="5">sum(L23:BH23)</f>
        <v>49</v>
      </c>
    </row>
    <row r="24" ht="36.75" customHeight="1">
      <c r="A24" s="20">
        <v>42408.0</v>
      </c>
      <c r="B24" s="21" t="s">
        <v>536</v>
      </c>
      <c r="C24" s="21" t="s">
        <v>537</v>
      </c>
      <c r="D24" s="21" t="s">
        <v>538</v>
      </c>
      <c r="E24" s="21" t="s">
        <v>259</v>
      </c>
      <c r="F24" s="21">
        <v>26.92675</v>
      </c>
      <c r="G24" s="21">
        <v>-82.36294</v>
      </c>
      <c r="H24" s="21">
        <v>26.91096</v>
      </c>
      <c r="I24" s="22">
        <v>-82.35324</v>
      </c>
      <c r="J24" s="21" t="s">
        <v>539</v>
      </c>
      <c r="K24" s="21" t="s">
        <v>540</v>
      </c>
      <c r="N24" s="21">
        <v>10.0</v>
      </c>
      <c r="Z24" s="21">
        <v>14.0</v>
      </c>
      <c r="AA24" s="21">
        <v>32.0</v>
      </c>
      <c r="AI24" s="21">
        <v>23.0</v>
      </c>
      <c r="AL24" s="21">
        <v>1.0</v>
      </c>
      <c r="AW24" s="21">
        <v>1.0</v>
      </c>
      <c r="AX24" s="21">
        <v>44.0</v>
      </c>
      <c r="AZ24" s="21">
        <v>22.0</v>
      </c>
      <c r="BA24" s="21">
        <v>97.0</v>
      </c>
      <c r="BI24">
        <f t="shared" si="5"/>
        <v>244</v>
      </c>
      <c r="BJ24" s="21" t="s">
        <v>543</v>
      </c>
    </row>
    <row r="25" ht="36.75" customHeight="1">
      <c r="A25" s="20">
        <v>42408.0</v>
      </c>
      <c r="B25" s="21" t="s">
        <v>544</v>
      </c>
      <c r="C25" s="21" t="s">
        <v>545</v>
      </c>
      <c r="D25" s="21" t="s">
        <v>546</v>
      </c>
      <c r="E25" s="21" t="s">
        <v>547</v>
      </c>
      <c r="F25" s="21">
        <v>29.01263</v>
      </c>
      <c r="G25" s="21">
        <v>-82.66232</v>
      </c>
      <c r="H25" s="21">
        <v>29.01263</v>
      </c>
      <c r="I25" s="22">
        <v>-82.66232</v>
      </c>
      <c r="J25" s="21" t="s">
        <v>548</v>
      </c>
      <c r="K25" s="21" t="s">
        <v>549</v>
      </c>
      <c r="L25" s="21">
        <v>161.0</v>
      </c>
      <c r="N25" s="21">
        <v>60.0</v>
      </c>
      <c r="O25" s="21">
        <v>10.0</v>
      </c>
      <c r="R25" s="21">
        <v>1.0</v>
      </c>
      <c r="Z25" s="21">
        <v>156.0</v>
      </c>
      <c r="AA25" s="21">
        <v>76.0</v>
      </c>
      <c r="AB25" s="21">
        <v>36.0</v>
      </c>
      <c r="AF25" s="21">
        <v>2.0</v>
      </c>
      <c r="AI25" s="21">
        <v>44.0</v>
      </c>
      <c r="AL25" s="21">
        <v>8.0</v>
      </c>
      <c r="AM25" s="21">
        <v>11.0</v>
      </c>
      <c r="AO25" s="21">
        <v>113.0</v>
      </c>
      <c r="AP25" s="21">
        <v>1.0</v>
      </c>
      <c r="AR25" s="21">
        <v>467.0</v>
      </c>
      <c r="AS25" s="21">
        <v>2.0</v>
      </c>
      <c r="AW25" s="21">
        <v>8.0</v>
      </c>
      <c r="AX25" s="21">
        <v>8.0</v>
      </c>
      <c r="AZ25" s="21">
        <v>388.0</v>
      </c>
      <c r="BA25" s="21">
        <v>6.0</v>
      </c>
      <c r="BD25" s="21">
        <v>27.0</v>
      </c>
      <c r="BI25">
        <f t="shared" si="5"/>
        <v>1585</v>
      </c>
      <c r="BJ25" s="21" t="s">
        <v>553</v>
      </c>
    </row>
    <row r="26" ht="36.75" customHeight="1">
      <c r="A26" s="29">
        <v>42406.0</v>
      </c>
      <c r="B26" s="25" t="s">
        <v>555</v>
      </c>
      <c r="C26" s="25" t="s">
        <v>557</v>
      </c>
      <c r="D26" s="25" t="s">
        <v>558</v>
      </c>
      <c r="E26" s="25" t="s">
        <v>71</v>
      </c>
      <c r="F26" s="25">
        <v>25.843642</v>
      </c>
      <c r="G26" s="25">
        <v>-81.666403</v>
      </c>
      <c r="H26" s="21">
        <v>25.840697</v>
      </c>
      <c r="I26" s="21">
        <v>-81.665599</v>
      </c>
      <c r="J26" s="21" t="s">
        <v>562</v>
      </c>
      <c r="K26" s="21" t="s">
        <v>563</v>
      </c>
      <c r="L26" s="21">
        <v>0.0</v>
      </c>
      <c r="M26" s="21">
        <v>0.0</v>
      </c>
      <c r="N26" s="21">
        <v>162.0</v>
      </c>
      <c r="O26" s="21">
        <v>600.0</v>
      </c>
      <c r="P26" s="21">
        <v>1.0</v>
      </c>
      <c r="Q26" s="21">
        <v>0.0</v>
      </c>
      <c r="R26" s="21">
        <v>0.0</v>
      </c>
      <c r="S26" s="21">
        <v>0.0</v>
      </c>
      <c r="T26" s="21">
        <v>0.0</v>
      </c>
      <c r="U26" s="21">
        <v>0.0</v>
      </c>
      <c r="V26" s="21">
        <v>0.0</v>
      </c>
      <c r="W26" s="21">
        <v>8.0</v>
      </c>
      <c r="X26" s="21"/>
      <c r="Y26" s="21">
        <v>34.0</v>
      </c>
      <c r="Z26" s="21">
        <v>134.0</v>
      </c>
      <c r="AA26" s="21">
        <v>137.0</v>
      </c>
      <c r="AB26" s="21">
        <v>30.0</v>
      </c>
      <c r="AC26" s="21">
        <v>0.0</v>
      </c>
      <c r="AD26" s="21">
        <v>400.0</v>
      </c>
      <c r="AE26" s="21">
        <v>0.0</v>
      </c>
      <c r="AF26" s="21">
        <v>0.0</v>
      </c>
      <c r="AG26" s="21">
        <v>200.0</v>
      </c>
      <c r="AH26" s="21">
        <v>0.0</v>
      </c>
      <c r="AI26" s="21">
        <v>0.0</v>
      </c>
      <c r="AJ26" s="21">
        <v>26.0</v>
      </c>
      <c r="AK26" s="21">
        <v>0.0</v>
      </c>
      <c r="AL26" s="21">
        <v>0.0</v>
      </c>
      <c r="AM26" s="21">
        <v>0.0</v>
      </c>
      <c r="AN26" s="21">
        <v>0.0</v>
      </c>
      <c r="AO26" s="21">
        <v>0.0</v>
      </c>
      <c r="AP26" s="21">
        <v>0.0</v>
      </c>
      <c r="AQ26" s="21">
        <v>0.0</v>
      </c>
      <c r="AR26" s="21">
        <v>14.0</v>
      </c>
      <c r="AS26" s="21">
        <v>0.0</v>
      </c>
      <c r="AT26" s="21">
        <v>0.0</v>
      </c>
      <c r="AU26" s="21">
        <v>0.0</v>
      </c>
      <c r="AV26" s="21">
        <v>0.0</v>
      </c>
      <c r="AW26" s="21">
        <v>0.0</v>
      </c>
      <c r="AX26" s="21">
        <v>0.0</v>
      </c>
      <c r="AY26" s="21">
        <v>0.0</v>
      </c>
      <c r="AZ26" s="21">
        <v>0.0</v>
      </c>
      <c r="BA26" s="21">
        <v>0.0</v>
      </c>
      <c r="BB26" s="21">
        <v>0.0</v>
      </c>
      <c r="BC26" s="21">
        <v>0.0</v>
      </c>
      <c r="BD26" s="21">
        <v>400.0</v>
      </c>
      <c r="BE26" s="21">
        <v>0.0</v>
      </c>
      <c r="BF26" s="21">
        <v>0.0</v>
      </c>
      <c r="BG26" s="21">
        <v>0.0</v>
      </c>
      <c r="BH26" s="21">
        <v>0.0</v>
      </c>
      <c r="BI26">
        <f t="shared" si="5"/>
        <v>2146</v>
      </c>
      <c r="BJ26" s="21" t="s">
        <v>568</v>
      </c>
    </row>
    <row r="27" ht="36.75" customHeight="1">
      <c r="A27" s="20">
        <v>42406.0</v>
      </c>
      <c r="B27" s="25" t="s">
        <v>555</v>
      </c>
      <c r="C27" s="25" t="s">
        <v>557</v>
      </c>
      <c r="D27" s="25" t="s">
        <v>569</v>
      </c>
      <c r="E27" s="21" t="s">
        <v>71</v>
      </c>
      <c r="F27" s="25">
        <v>25.9013</v>
      </c>
      <c r="G27" s="25">
        <v>-81.7157</v>
      </c>
      <c r="H27" s="21">
        <v>25.871</v>
      </c>
      <c r="I27" s="21">
        <v>-81.6969</v>
      </c>
      <c r="J27" s="21" t="s">
        <v>570</v>
      </c>
      <c r="K27" s="21" t="s">
        <v>571</v>
      </c>
      <c r="L27" s="21">
        <v>0.0</v>
      </c>
      <c r="M27" s="21">
        <v>0.0</v>
      </c>
      <c r="N27" s="21">
        <v>11.0</v>
      </c>
      <c r="O27" s="21">
        <v>55.0</v>
      </c>
      <c r="P27" s="21">
        <v>0.0</v>
      </c>
      <c r="Q27" s="21">
        <v>0.0</v>
      </c>
      <c r="R27" s="21">
        <v>0.0</v>
      </c>
      <c r="S27" s="21">
        <v>0.0</v>
      </c>
      <c r="T27" s="21">
        <v>0.0</v>
      </c>
      <c r="U27" s="21">
        <v>0.0</v>
      </c>
      <c r="V27" s="21">
        <v>0.0</v>
      </c>
      <c r="W27" s="21">
        <v>0.0</v>
      </c>
      <c r="X27" s="21"/>
      <c r="Y27" s="21">
        <v>1.0</v>
      </c>
      <c r="Z27" s="21">
        <v>4.0</v>
      </c>
      <c r="AA27" s="21">
        <v>22.0</v>
      </c>
      <c r="AB27" s="21">
        <v>2.0</v>
      </c>
      <c r="AC27" s="21">
        <v>0.0</v>
      </c>
      <c r="AD27" s="21">
        <v>5.0</v>
      </c>
      <c r="AE27" s="21">
        <v>0.0</v>
      </c>
      <c r="AF27" s="21">
        <v>1.0</v>
      </c>
      <c r="AG27" s="21">
        <v>56.0</v>
      </c>
      <c r="AH27" s="21">
        <v>0.0</v>
      </c>
      <c r="AI27" s="21">
        <v>40.0</v>
      </c>
      <c r="AJ27" s="21">
        <v>0.0</v>
      </c>
      <c r="AK27" s="21">
        <v>0.0</v>
      </c>
      <c r="AL27" s="21">
        <v>0.0</v>
      </c>
      <c r="AM27" s="21">
        <v>0.0</v>
      </c>
      <c r="AN27" s="21">
        <v>0.0</v>
      </c>
      <c r="AO27" s="21">
        <v>0.0</v>
      </c>
      <c r="AP27" s="21">
        <v>0.0</v>
      </c>
      <c r="AQ27" s="21">
        <v>0.0</v>
      </c>
      <c r="AR27" s="21">
        <v>0.0</v>
      </c>
      <c r="AS27" s="21">
        <v>0.0</v>
      </c>
      <c r="AT27" s="21">
        <v>0.0</v>
      </c>
      <c r="AU27" s="21">
        <v>0.0</v>
      </c>
      <c r="AV27" s="21">
        <v>0.0</v>
      </c>
      <c r="AW27" s="21">
        <v>0.0</v>
      </c>
      <c r="AX27" s="21">
        <v>0.0</v>
      </c>
      <c r="AY27" s="21">
        <v>0.0</v>
      </c>
      <c r="AZ27" s="21">
        <v>0.0</v>
      </c>
      <c r="BA27" s="21">
        <v>0.0</v>
      </c>
      <c r="BB27" s="21">
        <v>0.0</v>
      </c>
      <c r="BC27" s="21">
        <v>0.0</v>
      </c>
      <c r="BD27" s="21">
        <v>0.0</v>
      </c>
      <c r="BE27" s="21">
        <v>0.0</v>
      </c>
      <c r="BF27" s="21">
        <v>0.0</v>
      </c>
      <c r="BG27" s="21">
        <v>0.0</v>
      </c>
      <c r="BH27" s="21">
        <v>0.0</v>
      </c>
      <c r="BI27">
        <f t="shared" si="5"/>
        <v>197</v>
      </c>
      <c r="BJ27" s="21" t="s">
        <v>575</v>
      </c>
    </row>
    <row r="28" ht="36.75" customHeight="1">
      <c r="A28" s="29">
        <v>42406.0</v>
      </c>
      <c r="B28" s="25" t="s">
        <v>555</v>
      </c>
      <c r="C28" s="25" t="s">
        <v>557</v>
      </c>
      <c r="D28" s="25" t="s">
        <v>576</v>
      </c>
      <c r="E28" s="25" t="s">
        <v>71</v>
      </c>
      <c r="F28" s="25">
        <v>25.8701</v>
      </c>
      <c r="G28" s="25">
        <v>-81.6968</v>
      </c>
      <c r="H28" s="21">
        <v>25.8445</v>
      </c>
      <c r="I28" s="21">
        <v>-81.679</v>
      </c>
      <c r="J28" s="21" t="s">
        <v>579</v>
      </c>
      <c r="K28" s="21" t="s">
        <v>563</v>
      </c>
      <c r="L28" s="21">
        <v>0.0</v>
      </c>
      <c r="M28" s="21">
        <v>0.0</v>
      </c>
      <c r="N28" s="21">
        <v>0.0</v>
      </c>
      <c r="O28" s="21">
        <v>0.0</v>
      </c>
      <c r="P28" s="21">
        <v>0.0</v>
      </c>
      <c r="Q28" s="21">
        <v>0.0</v>
      </c>
      <c r="R28" s="21">
        <v>0.0</v>
      </c>
      <c r="S28" s="21">
        <v>0.0</v>
      </c>
      <c r="T28" s="21">
        <v>0.0</v>
      </c>
      <c r="U28" s="21">
        <v>0.0</v>
      </c>
      <c r="V28" s="21">
        <v>0.0</v>
      </c>
      <c r="W28" s="21">
        <v>0.0</v>
      </c>
      <c r="X28" s="21"/>
      <c r="Y28" s="21">
        <v>0.0</v>
      </c>
      <c r="Z28" s="21">
        <v>7.0</v>
      </c>
      <c r="AA28" s="21">
        <v>31.0</v>
      </c>
      <c r="AB28" s="21">
        <v>0.0</v>
      </c>
      <c r="AC28" s="21">
        <v>0.0</v>
      </c>
      <c r="AD28" s="21">
        <v>0.0</v>
      </c>
      <c r="AE28" s="21">
        <v>0.0</v>
      </c>
      <c r="AF28" s="21">
        <v>0.0</v>
      </c>
      <c r="AG28" s="21">
        <v>0.0</v>
      </c>
      <c r="AH28" s="21">
        <v>0.0</v>
      </c>
      <c r="AI28" s="21">
        <v>100.0</v>
      </c>
      <c r="AJ28" s="21">
        <v>0.0</v>
      </c>
      <c r="AK28" s="21">
        <v>0.0</v>
      </c>
      <c r="AL28" s="21">
        <v>14.0</v>
      </c>
      <c r="AM28" s="21">
        <v>0.0</v>
      </c>
      <c r="AN28" s="21">
        <v>0.0</v>
      </c>
      <c r="AO28" s="21">
        <v>1.0</v>
      </c>
      <c r="AP28" s="21">
        <v>1.0</v>
      </c>
      <c r="AQ28" s="21">
        <v>0.0</v>
      </c>
      <c r="AR28" s="21">
        <v>129.0</v>
      </c>
      <c r="AS28" s="21">
        <v>0.0</v>
      </c>
      <c r="AT28" s="21">
        <v>0.0</v>
      </c>
      <c r="AU28" s="21">
        <v>0.0</v>
      </c>
      <c r="AV28" s="21">
        <v>0.0</v>
      </c>
      <c r="AW28" s="21">
        <v>0.0</v>
      </c>
      <c r="AX28" s="21">
        <v>0.0</v>
      </c>
      <c r="AY28" s="21">
        <v>0.0</v>
      </c>
      <c r="AZ28" s="21">
        <v>1.0</v>
      </c>
      <c r="BB28" s="21">
        <v>459.0</v>
      </c>
      <c r="BC28" s="21">
        <v>0.0</v>
      </c>
      <c r="BD28" s="21">
        <v>350.0</v>
      </c>
      <c r="BE28" s="21">
        <v>0.0</v>
      </c>
      <c r="BF28" s="21">
        <v>100.0</v>
      </c>
      <c r="BG28" s="21">
        <v>0.0</v>
      </c>
      <c r="BH28" s="21">
        <v>0.0</v>
      </c>
      <c r="BI28">
        <f t="shared" si="5"/>
        <v>1193</v>
      </c>
      <c r="BJ28" s="23" t="s">
        <v>587</v>
      </c>
    </row>
    <row r="29" ht="36.75" customHeight="1">
      <c r="A29" s="29">
        <v>42406.0</v>
      </c>
      <c r="B29" s="25" t="s">
        <v>555</v>
      </c>
      <c r="C29" s="25" t="s">
        <v>557</v>
      </c>
      <c r="D29" s="25" t="s">
        <v>594</v>
      </c>
      <c r="E29" s="25" t="s">
        <v>71</v>
      </c>
      <c r="F29" s="25">
        <v>25.904718</v>
      </c>
      <c r="G29" s="25">
        <v>-81.71762</v>
      </c>
      <c r="H29" s="21">
        <v>25.905452</v>
      </c>
      <c r="I29" s="21">
        <v>-81.718814</v>
      </c>
      <c r="J29" s="21" t="s">
        <v>595</v>
      </c>
      <c r="K29" s="21" t="s">
        <v>571</v>
      </c>
      <c r="L29" s="21">
        <v>0.0</v>
      </c>
      <c r="M29" s="21">
        <v>0.0</v>
      </c>
      <c r="N29" s="21">
        <v>11.0</v>
      </c>
      <c r="O29" s="21">
        <v>0.0</v>
      </c>
      <c r="P29" s="21">
        <v>0.0</v>
      </c>
      <c r="Q29" s="21">
        <v>0.0</v>
      </c>
      <c r="R29" s="21">
        <v>0.0</v>
      </c>
      <c r="S29" s="21">
        <v>0.0</v>
      </c>
      <c r="T29" s="21">
        <v>0.0</v>
      </c>
      <c r="U29" s="21">
        <v>0.0</v>
      </c>
      <c r="V29" s="21">
        <v>0.0</v>
      </c>
      <c r="W29" s="21">
        <v>0.0</v>
      </c>
      <c r="X29" s="21"/>
      <c r="Y29" s="21">
        <v>0.0</v>
      </c>
      <c r="Z29" s="21">
        <v>5.0</v>
      </c>
      <c r="AA29" s="21">
        <v>12.0</v>
      </c>
      <c r="AB29" s="21">
        <v>0.0</v>
      </c>
      <c r="AC29" s="21">
        <v>0.0</v>
      </c>
      <c r="AD29" s="21">
        <v>0.0</v>
      </c>
      <c r="AE29" s="21">
        <v>0.0</v>
      </c>
      <c r="AF29" s="21">
        <v>0.0</v>
      </c>
      <c r="AG29" s="21">
        <v>0.0</v>
      </c>
      <c r="AH29" s="21">
        <v>0.0</v>
      </c>
      <c r="AI29" s="21">
        <v>0.0</v>
      </c>
      <c r="AJ29" s="21">
        <v>0.0</v>
      </c>
      <c r="AK29" s="21">
        <v>0.0</v>
      </c>
      <c r="AL29" s="21">
        <v>0.0</v>
      </c>
      <c r="AM29" s="21">
        <v>0.0</v>
      </c>
      <c r="AN29" s="21">
        <v>0.0</v>
      </c>
      <c r="AO29" s="21">
        <v>0.0</v>
      </c>
      <c r="AP29" s="21">
        <v>0.0</v>
      </c>
      <c r="AQ29" s="21">
        <v>0.0</v>
      </c>
      <c r="AR29" s="21">
        <v>0.0</v>
      </c>
      <c r="AS29" s="21">
        <v>0.0</v>
      </c>
      <c r="AT29" s="21">
        <v>0.0</v>
      </c>
      <c r="AU29" s="21">
        <v>0.0</v>
      </c>
      <c r="AV29" s="21">
        <v>0.0</v>
      </c>
      <c r="AW29" s="21">
        <v>0.0</v>
      </c>
      <c r="AX29" s="21">
        <v>0.0</v>
      </c>
      <c r="AY29" s="21">
        <v>0.0</v>
      </c>
      <c r="AZ29" s="21">
        <v>3.0</v>
      </c>
      <c r="BA29" s="21">
        <v>3.0</v>
      </c>
      <c r="BB29" s="21">
        <v>0.0</v>
      </c>
      <c r="BC29" s="21">
        <v>0.0</v>
      </c>
      <c r="BD29" s="21">
        <v>0.0</v>
      </c>
      <c r="BE29" s="21">
        <v>0.0</v>
      </c>
      <c r="BF29" s="21">
        <v>0.0</v>
      </c>
      <c r="BG29" s="21">
        <v>0.0</v>
      </c>
      <c r="BH29" s="21">
        <v>0.0</v>
      </c>
      <c r="BI29">
        <f t="shared" si="5"/>
        <v>34</v>
      </c>
    </row>
    <row r="30" ht="36.75" customHeight="1">
      <c r="A30" s="29">
        <v>42408.0</v>
      </c>
      <c r="B30" s="25" t="s">
        <v>601</v>
      </c>
      <c r="C30" s="25" t="s">
        <v>557</v>
      </c>
      <c r="D30" s="25" t="s">
        <v>605</v>
      </c>
      <c r="E30" s="25" t="s">
        <v>71</v>
      </c>
      <c r="F30" s="25">
        <v>25.989172</v>
      </c>
      <c r="G30" s="25">
        <v>-81.749735</v>
      </c>
      <c r="H30" s="21">
        <v>25.993755</v>
      </c>
      <c r="I30" s="21">
        <v>-81.753849</v>
      </c>
      <c r="J30" s="21" t="s">
        <v>607</v>
      </c>
      <c r="K30" s="21" t="s">
        <v>608</v>
      </c>
      <c r="L30" s="21">
        <v>0.0</v>
      </c>
      <c r="M30" s="21">
        <v>0.0</v>
      </c>
      <c r="N30" s="21">
        <v>11.0</v>
      </c>
      <c r="O30" s="21">
        <v>2.0</v>
      </c>
      <c r="P30" s="21">
        <v>0.0</v>
      </c>
      <c r="Q30" s="21">
        <v>0.0</v>
      </c>
      <c r="R30" s="21">
        <v>0.0</v>
      </c>
      <c r="S30" s="21">
        <v>0.0</v>
      </c>
      <c r="T30" s="21">
        <v>0.0</v>
      </c>
      <c r="U30" s="21">
        <v>0.0</v>
      </c>
      <c r="V30" s="21">
        <v>0.0</v>
      </c>
      <c r="W30" s="21">
        <v>0.0</v>
      </c>
      <c r="X30" s="21"/>
      <c r="Y30" s="21">
        <v>0.0</v>
      </c>
      <c r="Z30" s="21">
        <v>18.0</v>
      </c>
      <c r="AA30" s="21">
        <v>15.0</v>
      </c>
      <c r="AB30" s="21">
        <v>2.0</v>
      </c>
      <c r="AC30" s="21">
        <v>0.0</v>
      </c>
      <c r="AD30" s="21">
        <v>1.0</v>
      </c>
      <c r="AE30" s="21">
        <v>0.0</v>
      </c>
      <c r="AF30" s="21">
        <v>0.0</v>
      </c>
      <c r="AG30" s="21">
        <v>0.0</v>
      </c>
      <c r="AH30" s="21">
        <v>0.0</v>
      </c>
      <c r="AI30" s="21">
        <v>2.0</v>
      </c>
      <c r="AJ30" s="21">
        <v>4.0</v>
      </c>
      <c r="AK30" s="21">
        <v>0.0</v>
      </c>
      <c r="AL30" s="21">
        <v>0.0</v>
      </c>
      <c r="AM30" s="21">
        <v>2.0</v>
      </c>
      <c r="AN30" s="21">
        <v>0.0</v>
      </c>
      <c r="AO30" s="21">
        <v>0.0</v>
      </c>
      <c r="AP30" s="21">
        <v>0.0</v>
      </c>
      <c r="AQ30" s="21">
        <v>0.0</v>
      </c>
      <c r="AR30" s="21">
        <v>0.0</v>
      </c>
      <c r="AS30" s="21">
        <v>0.0</v>
      </c>
      <c r="AT30" s="21">
        <v>0.0</v>
      </c>
      <c r="AU30" s="21">
        <v>0.0</v>
      </c>
      <c r="AV30" s="21">
        <v>0.0</v>
      </c>
      <c r="AW30" s="21">
        <v>0.0</v>
      </c>
      <c r="AX30" s="21">
        <v>0.0</v>
      </c>
      <c r="AY30" s="21">
        <v>0.0</v>
      </c>
      <c r="AZ30" s="21">
        <v>7.0</v>
      </c>
      <c r="BA30" s="21">
        <v>4.0</v>
      </c>
      <c r="BB30" s="21">
        <v>0.0</v>
      </c>
      <c r="BC30" s="21">
        <v>0.0</v>
      </c>
      <c r="BD30" s="21">
        <v>0.0</v>
      </c>
      <c r="BE30" s="21">
        <v>0.0</v>
      </c>
      <c r="BF30" s="21">
        <v>0.0</v>
      </c>
      <c r="BG30" s="21">
        <v>0.0</v>
      </c>
      <c r="BH30" s="21">
        <v>0.0</v>
      </c>
      <c r="BI30">
        <f t="shared" si="5"/>
        <v>68</v>
      </c>
      <c r="BJ30" s="21" t="s">
        <v>615</v>
      </c>
    </row>
    <row r="31" ht="36.75" customHeight="1">
      <c r="A31" s="29">
        <v>42408.0</v>
      </c>
      <c r="B31" s="25" t="s">
        <v>68</v>
      </c>
      <c r="C31" s="25" t="s">
        <v>69</v>
      </c>
      <c r="D31" s="25" t="s">
        <v>70</v>
      </c>
      <c r="E31" s="25" t="s">
        <v>71</v>
      </c>
      <c r="F31" s="25">
        <v>25.946919</v>
      </c>
      <c r="G31" s="25">
        <v>-81.742552</v>
      </c>
      <c r="H31" s="21">
        <v>25.967944</v>
      </c>
      <c r="I31" s="21">
        <v>-81.74359</v>
      </c>
      <c r="J31" s="21" t="s">
        <v>617</v>
      </c>
      <c r="K31" s="21" t="s">
        <v>618</v>
      </c>
      <c r="N31" s="21">
        <v>88.0</v>
      </c>
      <c r="O31" s="21">
        <v>218.0</v>
      </c>
      <c r="Y31" s="21">
        <v>22.0</v>
      </c>
      <c r="Z31" s="21">
        <v>29.0</v>
      </c>
      <c r="AA31" s="21">
        <v>30.0</v>
      </c>
      <c r="AB31" s="21">
        <v>34.0</v>
      </c>
      <c r="AD31" s="21">
        <v>63.0</v>
      </c>
      <c r="AE31" s="21">
        <v>12.0</v>
      </c>
      <c r="AG31" s="21">
        <v>5.0</v>
      </c>
      <c r="AI31" s="21">
        <v>13.0</v>
      </c>
      <c r="AJ31" s="21">
        <v>48.0</v>
      </c>
      <c r="AO31" s="21">
        <v>1.0</v>
      </c>
      <c r="AP31" s="21">
        <v>1.0</v>
      </c>
      <c r="AW31" s="21">
        <v>1.0</v>
      </c>
      <c r="AZ31" s="21">
        <v>10.0</v>
      </c>
      <c r="BA31" s="21">
        <v>31.0</v>
      </c>
      <c r="BI31">
        <f t="shared" si="5"/>
        <v>606</v>
      </c>
    </row>
    <row r="32" ht="36.75" customHeight="1">
      <c r="A32" s="20">
        <v>42409.0</v>
      </c>
      <c r="B32" s="21" t="s">
        <v>524</v>
      </c>
      <c r="C32" s="21" t="s">
        <v>526</v>
      </c>
      <c r="D32" s="21" t="s">
        <v>621</v>
      </c>
      <c r="E32" s="21" t="s">
        <v>71</v>
      </c>
      <c r="F32" s="21">
        <v>26.28883</v>
      </c>
      <c r="G32" s="21">
        <v>-81.82886</v>
      </c>
      <c r="H32" s="21">
        <v>26.272265</v>
      </c>
      <c r="I32" s="22">
        <v>-81.827703</v>
      </c>
      <c r="J32" s="21" t="s">
        <v>623</v>
      </c>
      <c r="K32" s="21" t="s">
        <v>624</v>
      </c>
      <c r="N32" s="21">
        <v>2.0</v>
      </c>
      <c r="Z32" s="21">
        <v>4.0</v>
      </c>
      <c r="AA32" s="21">
        <v>14.0</v>
      </c>
      <c r="AI32" s="21">
        <v>7.0</v>
      </c>
      <c r="AO32" s="21">
        <v>1.0</v>
      </c>
      <c r="AZ32" s="21">
        <v>2.0</v>
      </c>
      <c r="BI32">
        <f t="shared" si="5"/>
        <v>30</v>
      </c>
    </row>
    <row r="33" ht="36.75" customHeight="1">
      <c r="A33" s="20">
        <v>42409.0</v>
      </c>
      <c r="B33" s="21" t="s">
        <v>626</v>
      </c>
      <c r="C33" s="21" t="s">
        <v>627</v>
      </c>
      <c r="D33" s="21" t="s">
        <v>628</v>
      </c>
      <c r="E33" s="21" t="s">
        <v>629</v>
      </c>
      <c r="F33" s="21">
        <v>30.42944</v>
      </c>
      <c r="G33" s="21">
        <v>-81.40972</v>
      </c>
      <c r="H33" s="21">
        <v>30.48583</v>
      </c>
      <c r="I33" s="22">
        <v>-81.42444</v>
      </c>
      <c r="J33" s="21" t="s">
        <v>630</v>
      </c>
      <c r="K33" s="21" t="s">
        <v>632</v>
      </c>
      <c r="L33" s="21">
        <v>0.0</v>
      </c>
      <c r="M33" s="21">
        <v>0.0</v>
      </c>
      <c r="N33" s="21">
        <v>5.0</v>
      </c>
      <c r="O33" s="21">
        <v>96.0</v>
      </c>
      <c r="P33" s="21">
        <v>0.0</v>
      </c>
      <c r="Q33" s="21">
        <v>0.0</v>
      </c>
      <c r="R33" s="21">
        <v>0.0</v>
      </c>
      <c r="S33" s="21">
        <v>0.0</v>
      </c>
      <c r="T33" s="21">
        <v>0.0</v>
      </c>
      <c r="U33" s="21">
        <v>0.0</v>
      </c>
      <c r="V33" s="21">
        <v>0.0</v>
      </c>
      <c r="W33" s="21">
        <v>3.0</v>
      </c>
      <c r="X33" s="21"/>
      <c r="Y33" s="21">
        <v>0.0</v>
      </c>
      <c r="Z33" s="21">
        <v>0.0</v>
      </c>
      <c r="AA33" s="21">
        <v>33.0</v>
      </c>
      <c r="AB33" s="21">
        <v>17.0</v>
      </c>
      <c r="AC33" s="21">
        <v>0.0</v>
      </c>
      <c r="AD33" s="21">
        <v>6.0</v>
      </c>
      <c r="AE33" s="21">
        <v>0.0</v>
      </c>
      <c r="AF33" s="21">
        <v>0.0</v>
      </c>
      <c r="AG33" s="21">
        <v>0.0</v>
      </c>
      <c r="AH33" s="21">
        <v>0.0</v>
      </c>
      <c r="AI33" s="21">
        <v>3.0</v>
      </c>
      <c r="AJ33" s="21">
        <v>18.0</v>
      </c>
      <c r="AK33" s="21">
        <v>0.0</v>
      </c>
      <c r="AL33" s="21">
        <v>0.0</v>
      </c>
      <c r="AM33" s="21">
        <v>3.0</v>
      </c>
      <c r="AN33" s="21">
        <v>0.0</v>
      </c>
      <c r="AO33" s="21">
        <v>4.0</v>
      </c>
      <c r="AP33" s="21">
        <v>0.0</v>
      </c>
      <c r="AQ33" s="21">
        <v>0.0</v>
      </c>
      <c r="AR33" s="21">
        <v>4.0</v>
      </c>
      <c r="AS33" s="21">
        <v>3.0</v>
      </c>
      <c r="AT33" s="21">
        <v>0.0</v>
      </c>
      <c r="AU33" s="21">
        <v>0.0</v>
      </c>
      <c r="AV33" s="21">
        <v>0.0</v>
      </c>
      <c r="AW33" s="21">
        <v>55.0</v>
      </c>
      <c r="AX33" s="21">
        <v>0.0</v>
      </c>
      <c r="AY33" s="21">
        <v>1.0</v>
      </c>
      <c r="AZ33" s="21">
        <v>7.0</v>
      </c>
      <c r="BA33" s="21">
        <v>3.0</v>
      </c>
      <c r="BB33" s="21">
        <v>0.0</v>
      </c>
      <c r="BC33" s="21">
        <v>0.0</v>
      </c>
      <c r="BD33" s="21">
        <v>22.0</v>
      </c>
      <c r="BE33" s="21">
        <v>0.0</v>
      </c>
      <c r="BF33" s="21">
        <v>0.0</v>
      </c>
      <c r="BG33" s="21">
        <v>0.0</v>
      </c>
      <c r="BH33" s="21">
        <v>0.0</v>
      </c>
      <c r="BI33">
        <f t="shared" si="5"/>
        <v>283</v>
      </c>
      <c r="BJ33" s="21" t="s">
        <v>639</v>
      </c>
    </row>
    <row r="34" ht="36.75" customHeight="1">
      <c r="A34" s="20">
        <v>42409.0</v>
      </c>
      <c r="B34" s="21" t="s">
        <v>626</v>
      </c>
      <c r="C34" s="21" t="s">
        <v>642</v>
      </c>
      <c r="D34" s="21" t="s">
        <v>644</v>
      </c>
      <c r="E34" s="21" t="s">
        <v>629</v>
      </c>
      <c r="F34" s="21">
        <v>30.51167</v>
      </c>
      <c r="G34" s="21">
        <v>-81.45722</v>
      </c>
      <c r="H34" s="21">
        <v>30.50722</v>
      </c>
      <c r="I34" s="22">
        <v>-81.45389</v>
      </c>
      <c r="J34" s="21" t="s">
        <v>647</v>
      </c>
      <c r="K34" s="21" t="s">
        <v>649</v>
      </c>
      <c r="L34" s="21">
        <v>0.0</v>
      </c>
      <c r="M34" s="21">
        <v>0.0</v>
      </c>
      <c r="N34" s="21">
        <v>0.0</v>
      </c>
      <c r="O34" s="21">
        <v>0.0</v>
      </c>
      <c r="P34" s="21">
        <v>0.0</v>
      </c>
      <c r="Q34" s="21">
        <v>0.0</v>
      </c>
      <c r="R34" s="21">
        <v>0.0</v>
      </c>
      <c r="S34" s="21">
        <v>0.0</v>
      </c>
      <c r="T34" s="21">
        <v>0.0</v>
      </c>
      <c r="U34" s="21">
        <v>0.0</v>
      </c>
      <c r="V34" s="21">
        <v>0.0</v>
      </c>
      <c r="W34" s="21">
        <v>0.0</v>
      </c>
      <c r="X34" s="21"/>
      <c r="Y34" s="21">
        <v>0.0</v>
      </c>
      <c r="Z34" s="21">
        <v>0.0</v>
      </c>
      <c r="AA34" s="21">
        <v>35.0</v>
      </c>
      <c r="AB34" s="21">
        <v>0.0</v>
      </c>
      <c r="AC34" s="21">
        <v>0.0</v>
      </c>
      <c r="AD34" s="21">
        <v>0.0</v>
      </c>
      <c r="AE34" s="21">
        <v>0.0</v>
      </c>
      <c r="AF34" s="21">
        <v>0.0</v>
      </c>
      <c r="AG34" s="21">
        <v>0.0</v>
      </c>
      <c r="AH34" s="21">
        <v>0.0</v>
      </c>
      <c r="AI34" s="21">
        <v>4.0</v>
      </c>
      <c r="AJ34" s="21">
        <v>0.0</v>
      </c>
      <c r="AK34" s="21">
        <v>0.0</v>
      </c>
      <c r="AL34" s="21">
        <v>0.0</v>
      </c>
      <c r="AM34" s="21">
        <v>0.0</v>
      </c>
      <c r="AN34" s="21">
        <v>0.0</v>
      </c>
      <c r="AO34" s="21">
        <v>0.0</v>
      </c>
      <c r="AP34" s="21">
        <v>0.0</v>
      </c>
      <c r="AQ34" s="21">
        <v>0.0</v>
      </c>
      <c r="AR34" s="21">
        <v>0.0</v>
      </c>
      <c r="AS34" s="21">
        <v>0.0</v>
      </c>
      <c r="AT34" s="21">
        <v>0.0</v>
      </c>
      <c r="AU34" s="21">
        <v>0.0</v>
      </c>
      <c r="AV34" s="21">
        <v>0.0</v>
      </c>
      <c r="AW34" s="21">
        <v>0.0</v>
      </c>
      <c r="AX34" s="21">
        <v>1.0</v>
      </c>
      <c r="AY34" s="21">
        <v>0.0</v>
      </c>
      <c r="AZ34" s="21">
        <v>1.0</v>
      </c>
      <c r="BA34" s="21">
        <v>0.0</v>
      </c>
      <c r="BB34" s="21">
        <v>0.0</v>
      </c>
      <c r="BC34" s="21">
        <v>0.0</v>
      </c>
      <c r="BD34" s="21">
        <v>0.0</v>
      </c>
      <c r="BE34" s="21">
        <v>0.0</v>
      </c>
      <c r="BF34" s="21">
        <v>0.0</v>
      </c>
      <c r="BG34" s="21">
        <v>0.0</v>
      </c>
      <c r="BH34" s="21">
        <v>0.0</v>
      </c>
      <c r="BI34">
        <f t="shared" si="5"/>
        <v>41</v>
      </c>
      <c r="BJ34" s="21" t="s">
        <v>639</v>
      </c>
    </row>
    <row r="35" ht="36.75" customHeight="1">
      <c r="A35" s="20">
        <v>42411.0</v>
      </c>
      <c r="B35" s="21" t="s">
        <v>665</v>
      </c>
      <c r="C35" s="21" t="s">
        <v>667</v>
      </c>
      <c r="D35" s="21" t="s">
        <v>668</v>
      </c>
      <c r="E35" s="21" t="s">
        <v>629</v>
      </c>
      <c r="F35" s="21">
        <v>30.4054</v>
      </c>
      <c r="G35" s="21">
        <v>-81.5057</v>
      </c>
      <c r="H35" s="21">
        <v>30.4057</v>
      </c>
      <c r="I35" s="22">
        <v>-81.5056</v>
      </c>
      <c r="J35" s="21" t="s">
        <v>671</v>
      </c>
      <c r="K35" s="21" t="s">
        <v>672</v>
      </c>
      <c r="L35" s="21">
        <v>0.0</v>
      </c>
      <c r="M35" s="21">
        <v>90.0</v>
      </c>
      <c r="N35" s="21">
        <v>14.0</v>
      </c>
      <c r="O35" s="21">
        <v>1495.0</v>
      </c>
      <c r="P35" s="21">
        <v>4.0</v>
      </c>
      <c r="Q35" s="21">
        <v>1.0</v>
      </c>
      <c r="R35" s="21">
        <v>194.0</v>
      </c>
      <c r="S35" s="21">
        <v>25.0</v>
      </c>
      <c r="T35" s="21">
        <v>0.0</v>
      </c>
      <c r="U35" s="21">
        <v>0.0</v>
      </c>
      <c r="V35" s="21">
        <v>0.0</v>
      </c>
      <c r="W35" s="21">
        <v>0.0</v>
      </c>
      <c r="X35" s="21"/>
      <c r="Y35" s="21">
        <v>0.0</v>
      </c>
      <c r="Z35" s="21">
        <v>11.0</v>
      </c>
      <c r="AA35" s="21">
        <v>0.0</v>
      </c>
      <c r="AB35" s="21">
        <v>1115.0</v>
      </c>
      <c r="AC35" s="21">
        <v>0.0</v>
      </c>
      <c r="AD35" s="21">
        <v>0.0</v>
      </c>
      <c r="AE35" s="21">
        <v>0.0</v>
      </c>
      <c r="AF35" s="21">
        <v>0.0</v>
      </c>
      <c r="AG35" s="21">
        <v>807.0</v>
      </c>
      <c r="AH35" s="21">
        <v>0.0</v>
      </c>
      <c r="AI35" s="21">
        <v>0.0</v>
      </c>
      <c r="AJ35" s="21">
        <v>0.0</v>
      </c>
      <c r="AK35" s="21">
        <v>1.0</v>
      </c>
      <c r="AL35" s="21">
        <v>0.0</v>
      </c>
      <c r="AM35" s="21">
        <v>0.0</v>
      </c>
      <c r="AN35" s="21">
        <v>0.0</v>
      </c>
      <c r="AO35" s="21">
        <v>0.0</v>
      </c>
      <c r="AP35" s="21">
        <v>0.0</v>
      </c>
      <c r="AQ35" s="21">
        <v>0.0</v>
      </c>
      <c r="AR35" s="21">
        <v>0.0</v>
      </c>
      <c r="AS35" s="21">
        <v>0.0</v>
      </c>
      <c r="AT35" s="21">
        <v>0.0</v>
      </c>
      <c r="AU35" s="21">
        <v>0.0</v>
      </c>
      <c r="AV35" s="21">
        <v>0.0</v>
      </c>
      <c r="AW35" s="21">
        <v>0.0</v>
      </c>
      <c r="AX35" s="21">
        <v>0.0</v>
      </c>
      <c r="AY35" s="21">
        <v>0.0</v>
      </c>
      <c r="AZ35" s="21">
        <v>0.0</v>
      </c>
      <c r="BA35" s="21">
        <v>0.0</v>
      </c>
      <c r="BB35" s="21">
        <v>0.0</v>
      </c>
      <c r="BC35" s="21">
        <v>0.0</v>
      </c>
      <c r="BD35" s="21">
        <v>29.0</v>
      </c>
      <c r="BE35" s="21">
        <v>137.0</v>
      </c>
      <c r="BF35" s="21">
        <v>0.0</v>
      </c>
      <c r="BG35" s="21">
        <v>0.0</v>
      </c>
      <c r="BH35" s="21">
        <v>0.0</v>
      </c>
      <c r="BI35">
        <f t="shared" si="5"/>
        <v>3923</v>
      </c>
    </row>
    <row r="36" ht="36.75" customHeight="1">
      <c r="A36" s="20">
        <v>42411.0</v>
      </c>
      <c r="B36" s="21" t="s">
        <v>665</v>
      </c>
      <c r="C36" s="21" t="s">
        <v>667</v>
      </c>
      <c r="D36" s="21" t="s">
        <v>679</v>
      </c>
      <c r="E36" s="21" t="s">
        <v>629</v>
      </c>
      <c r="F36" s="21">
        <v>30.4054</v>
      </c>
      <c r="G36" s="21">
        <v>-81.5057</v>
      </c>
      <c r="H36" s="21">
        <v>30.3992</v>
      </c>
      <c r="I36" s="22">
        <v>-81.4936</v>
      </c>
      <c r="J36" s="21" t="s">
        <v>671</v>
      </c>
      <c r="K36" s="21" t="s">
        <v>680</v>
      </c>
      <c r="L36" s="21">
        <v>0.0</v>
      </c>
      <c r="M36" s="21">
        <v>0.0</v>
      </c>
      <c r="N36" s="21">
        <v>0.0</v>
      </c>
      <c r="O36" s="21">
        <v>0.0</v>
      </c>
      <c r="P36" s="21">
        <v>0.0</v>
      </c>
      <c r="Q36" s="21">
        <v>0.0</v>
      </c>
      <c r="R36" s="21">
        <v>0.0</v>
      </c>
      <c r="S36" s="21">
        <v>0.0</v>
      </c>
      <c r="T36" s="21">
        <v>0.0</v>
      </c>
      <c r="U36" s="21">
        <v>0.0</v>
      </c>
      <c r="V36" s="21">
        <v>0.0</v>
      </c>
      <c r="W36" s="21">
        <v>0.0</v>
      </c>
      <c r="X36" s="21"/>
      <c r="Y36" s="21">
        <v>0.0</v>
      </c>
      <c r="Z36" s="21">
        <v>0.0</v>
      </c>
      <c r="AA36" s="21">
        <v>0.0</v>
      </c>
      <c r="AB36" s="21">
        <v>0.0</v>
      </c>
      <c r="AC36" s="21">
        <v>0.0</v>
      </c>
      <c r="AD36" s="21">
        <v>0.0</v>
      </c>
      <c r="AE36" s="21">
        <v>0.0</v>
      </c>
      <c r="AF36" s="21">
        <v>0.0</v>
      </c>
      <c r="AG36" s="21">
        <v>0.0</v>
      </c>
      <c r="AH36" s="21">
        <v>0.0</v>
      </c>
      <c r="AI36" s="21">
        <v>0.0</v>
      </c>
      <c r="AJ36" s="21">
        <v>0.0</v>
      </c>
      <c r="AK36" s="21">
        <v>0.0</v>
      </c>
      <c r="AL36" s="21">
        <v>0.0</v>
      </c>
      <c r="AM36" s="21">
        <v>0.0</v>
      </c>
      <c r="AN36" s="21">
        <v>0.0</v>
      </c>
      <c r="AO36" s="21">
        <v>1.0</v>
      </c>
      <c r="AP36" s="21">
        <v>0.0</v>
      </c>
      <c r="AQ36" s="21">
        <v>0.0</v>
      </c>
      <c r="AR36" s="21">
        <v>1.0</v>
      </c>
      <c r="AS36" s="21">
        <v>0.0</v>
      </c>
      <c r="AT36" s="21">
        <v>0.0</v>
      </c>
      <c r="AU36" s="21">
        <v>0.0</v>
      </c>
      <c r="AV36" s="21">
        <v>0.0</v>
      </c>
      <c r="AW36" s="21">
        <v>0.0</v>
      </c>
      <c r="AX36" s="21">
        <v>0.0</v>
      </c>
      <c r="AY36" s="21">
        <v>0.0</v>
      </c>
      <c r="AZ36" s="21">
        <v>0.0</v>
      </c>
      <c r="BA36" s="21">
        <v>0.0</v>
      </c>
      <c r="BB36" s="21">
        <v>0.0</v>
      </c>
      <c r="BC36" s="21">
        <v>0.0</v>
      </c>
      <c r="BD36" s="21">
        <v>0.0</v>
      </c>
      <c r="BE36" s="21">
        <v>0.0</v>
      </c>
      <c r="BF36" s="21">
        <v>0.0</v>
      </c>
      <c r="BG36" s="21">
        <v>0.0</v>
      </c>
      <c r="BH36" s="21">
        <v>0.0</v>
      </c>
      <c r="BI36">
        <f t="shared" si="5"/>
        <v>2</v>
      </c>
    </row>
    <row r="37" ht="36.75" customHeight="1">
      <c r="A37" s="20">
        <v>42411.0</v>
      </c>
      <c r="B37" s="21" t="s">
        <v>665</v>
      </c>
      <c r="C37" s="21" t="s">
        <v>667</v>
      </c>
      <c r="D37" s="21" t="s">
        <v>695</v>
      </c>
      <c r="E37" s="21" t="s">
        <v>629</v>
      </c>
      <c r="F37" s="21">
        <v>30.4098</v>
      </c>
      <c r="G37" s="21">
        <v>-81.5323</v>
      </c>
      <c r="H37" s="21">
        <v>30.4082</v>
      </c>
      <c r="I37" s="22">
        <v>-81.5277</v>
      </c>
      <c r="J37" s="21" t="s">
        <v>696</v>
      </c>
      <c r="K37" s="21" t="s">
        <v>697</v>
      </c>
      <c r="L37" s="21">
        <v>0.0</v>
      </c>
      <c r="M37" s="21">
        <v>0.0</v>
      </c>
      <c r="N37" s="21">
        <v>0.0</v>
      </c>
      <c r="O37" s="21">
        <v>0.0</v>
      </c>
      <c r="P37" s="21">
        <v>1.0</v>
      </c>
      <c r="Q37" s="21">
        <v>0.0</v>
      </c>
      <c r="R37" s="21">
        <v>0.0</v>
      </c>
      <c r="S37" s="21">
        <v>0.0</v>
      </c>
      <c r="T37" s="21">
        <v>0.0</v>
      </c>
      <c r="U37" s="21">
        <v>0.0</v>
      </c>
      <c r="V37" s="21">
        <v>0.0</v>
      </c>
      <c r="W37" s="21">
        <v>0.0</v>
      </c>
      <c r="X37" s="21"/>
      <c r="Y37" s="21">
        <v>0.0</v>
      </c>
      <c r="Z37" s="21">
        <v>0.0</v>
      </c>
      <c r="AA37" s="21">
        <v>0.0</v>
      </c>
      <c r="AB37" s="21">
        <v>0.0</v>
      </c>
      <c r="AC37" s="21">
        <v>0.0</v>
      </c>
      <c r="AD37" s="21">
        <v>0.0</v>
      </c>
      <c r="AE37" s="21">
        <v>0.0</v>
      </c>
      <c r="AF37" s="21">
        <v>0.0</v>
      </c>
      <c r="AG37" s="21">
        <v>0.0</v>
      </c>
      <c r="AH37" s="21">
        <v>0.0</v>
      </c>
      <c r="AI37" s="21">
        <v>0.0</v>
      </c>
      <c r="AJ37" s="21">
        <v>0.0</v>
      </c>
      <c r="AK37" s="21">
        <v>0.0</v>
      </c>
      <c r="AL37" s="21">
        <v>0.0</v>
      </c>
      <c r="AM37" s="21">
        <v>1.0</v>
      </c>
      <c r="AN37" s="21">
        <v>0.0</v>
      </c>
      <c r="AO37" s="21">
        <v>0.0</v>
      </c>
      <c r="AP37" s="21">
        <v>0.0</v>
      </c>
      <c r="AQ37" s="21">
        <v>0.0</v>
      </c>
      <c r="AR37" s="21">
        <v>2.0</v>
      </c>
      <c r="AS37" s="21">
        <v>0.0</v>
      </c>
      <c r="AT37" s="21">
        <v>0.0</v>
      </c>
      <c r="AU37" s="21">
        <v>0.0</v>
      </c>
      <c r="AV37" s="21">
        <v>0.0</v>
      </c>
      <c r="AW37" s="21">
        <v>0.0</v>
      </c>
      <c r="AX37" s="21">
        <v>0.0</v>
      </c>
      <c r="AY37" s="21">
        <v>0.0</v>
      </c>
      <c r="AZ37" s="21">
        <v>0.0</v>
      </c>
      <c r="BA37" s="21">
        <v>0.0</v>
      </c>
      <c r="BB37" s="21">
        <v>0.0</v>
      </c>
      <c r="BC37" s="21">
        <v>0.0</v>
      </c>
      <c r="BD37" s="21">
        <v>0.0</v>
      </c>
      <c r="BE37" s="21">
        <v>0.0</v>
      </c>
      <c r="BF37" s="21">
        <v>0.0</v>
      </c>
      <c r="BG37" s="21">
        <v>0.0</v>
      </c>
      <c r="BH37" s="21">
        <v>0.0</v>
      </c>
      <c r="BI37" s="21">
        <v>4.0</v>
      </c>
    </row>
    <row r="38" ht="36.75" customHeight="1">
      <c r="A38" s="20">
        <v>42411.0</v>
      </c>
      <c r="B38" s="21" t="s">
        <v>665</v>
      </c>
      <c r="C38" s="21" t="s">
        <v>667</v>
      </c>
      <c r="D38" s="21" t="s">
        <v>701</v>
      </c>
      <c r="E38" s="21" t="s">
        <v>629</v>
      </c>
      <c r="F38" s="21">
        <v>30.4071</v>
      </c>
      <c r="G38" s="21">
        <v>-81.527</v>
      </c>
      <c r="H38" s="21">
        <v>30.4137</v>
      </c>
      <c r="I38" s="22">
        <v>-81.532</v>
      </c>
      <c r="J38" s="21" t="s">
        <v>703</v>
      </c>
      <c r="K38" s="21" t="s">
        <v>697</v>
      </c>
      <c r="L38" s="21">
        <v>0.0</v>
      </c>
      <c r="M38" s="21">
        <v>0.0</v>
      </c>
      <c r="N38" s="21">
        <v>0.0</v>
      </c>
      <c r="O38" s="21">
        <v>0.0</v>
      </c>
      <c r="P38" s="21">
        <v>0.0</v>
      </c>
      <c r="Q38" s="21">
        <v>0.0</v>
      </c>
      <c r="R38" s="21">
        <v>0.0</v>
      </c>
      <c r="S38" s="21">
        <v>0.0</v>
      </c>
      <c r="T38" s="21">
        <v>0.0</v>
      </c>
      <c r="U38" s="21">
        <v>0.0</v>
      </c>
      <c r="V38" s="21">
        <v>0.0</v>
      </c>
      <c r="W38" s="21">
        <v>0.0</v>
      </c>
      <c r="X38" s="21"/>
      <c r="Y38" s="21">
        <v>0.0</v>
      </c>
      <c r="Z38" s="21">
        <v>0.0</v>
      </c>
      <c r="AA38" s="21">
        <v>0.0</v>
      </c>
      <c r="AB38" s="21">
        <v>0.0</v>
      </c>
      <c r="AC38" s="21">
        <v>0.0</v>
      </c>
      <c r="AD38" s="21">
        <v>0.0</v>
      </c>
      <c r="AE38" s="21">
        <v>0.0</v>
      </c>
      <c r="AF38" s="21">
        <v>1.0</v>
      </c>
      <c r="AG38" s="21">
        <v>0.0</v>
      </c>
      <c r="AH38" s="21">
        <v>0.0</v>
      </c>
      <c r="AI38" s="21">
        <v>0.0</v>
      </c>
      <c r="AJ38" s="21">
        <v>0.0</v>
      </c>
      <c r="AK38" s="21">
        <v>0.0</v>
      </c>
      <c r="AL38" s="21">
        <v>0.0</v>
      </c>
      <c r="AM38" s="21">
        <v>0.0</v>
      </c>
      <c r="AN38" s="21">
        <v>0.0</v>
      </c>
      <c r="AO38" s="21">
        <v>7.0</v>
      </c>
      <c r="AP38" s="21">
        <v>0.0</v>
      </c>
      <c r="AQ38" s="21">
        <v>0.0</v>
      </c>
      <c r="AR38" s="21">
        <v>0.0</v>
      </c>
      <c r="AS38" s="21">
        <v>0.0</v>
      </c>
      <c r="AT38" s="21">
        <v>0.0</v>
      </c>
      <c r="AU38" s="21">
        <v>0.0</v>
      </c>
      <c r="AV38" s="21">
        <v>0.0</v>
      </c>
      <c r="AW38" s="21">
        <v>0.0</v>
      </c>
      <c r="AX38" s="21">
        <v>0.0</v>
      </c>
      <c r="AY38" s="21">
        <v>0.0</v>
      </c>
      <c r="AZ38" s="21">
        <v>0.0</v>
      </c>
      <c r="BA38" s="21">
        <v>0.0</v>
      </c>
      <c r="BB38" s="21">
        <v>0.0</v>
      </c>
      <c r="BC38" s="21">
        <v>0.0</v>
      </c>
      <c r="BD38" s="21">
        <v>0.0</v>
      </c>
      <c r="BE38" s="21">
        <v>0.0</v>
      </c>
      <c r="BF38" s="21">
        <v>0.0</v>
      </c>
      <c r="BG38" s="21">
        <v>0.0</v>
      </c>
      <c r="BH38" s="21">
        <v>0.0</v>
      </c>
      <c r="BI38" s="21">
        <v>8.0</v>
      </c>
    </row>
    <row r="39" ht="36.75" customHeight="1">
      <c r="A39" s="20">
        <v>42411.0</v>
      </c>
      <c r="B39" s="21" t="s">
        <v>665</v>
      </c>
      <c r="C39" s="21" t="s">
        <v>667</v>
      </c>
      <c r="D39" s="21" t="s">
        <v>709</v>
      </c>
      <c r="E39" s="21" t="s">
        <v>629</v>
      </c>
      <c r="F39" s="21">
        <v>30.3918</v>
      </c>
      <c r="G39" s="21">
        <v>-81.5249</v>
      </c>
      <c r="H39" s="21">
        <v>30.3929</v>
      </c>
      <c r="I39" s="22">
        <v>-81.5177</v>
      </c>
      <c r="J39" s="21" t="s">
        <v>710</v>
      </c>
      <c r="K39" s="21" t="s">
        <v>697</v>
      </c>
      <c r="L39" s="21">
        <v>0.0</v>
      </c>
      <c r="M39" s="21">
        <v>0.0</v>
      </c>
      <c r="N39" s="21">
        <v>0.0</v>
      </c>
      <c r="O39" s="21">
        <v>0.0</v>
      </c>
      <c r="P39" s="21">
        <v>1.0</v>
      </c>
      <c r="Q39" s="21">
        <v>0.0</v>
      </c>
      <c r="R39" s="21">
        <v>0.0</v>
      </c>
      <c r="S39" s="21">
        <v>0.0</v>
      </c>
      <c r="T39" s="21">
        <v>0.0</v>
      </c>
      <c r="U39" s="21">
        <v>0.0</v>
      </c>
      <c r="V39" s="21">
        <v>0.0</v>
      </c>
      <c r="W39" s="21">
        <v>0.0</v>
      </c>
      <c r="X39" s="21"/>
      <c r="Y39" s="21">
        <v>0.0</v>
      </c>
      <c r="Z39" s="21">
        <v>0.0</v>
      </c>
      <c r="AA39" s="21">
        <v>0.0</v>
      </c>
      <c r="AB39" s="21">
        <v>0.0</v>
      </c>
      <c r="AC39" s="21">
        <v>0.0</v>
      </c>
      <c r="AD39" s="21">
        <v>0.0</v>
      </c>
      <c r="AE39" s="21">
        <v>0.0</v>
      </c>
      <c r="AF39" s="21">
        <v>0.0</v>
      </c>
      <c r="AG39" s="21">
        <v>0.0</v>
      </c>
      <c r="AH39" s="21">
        <v>0.0</v>
      </c>
      <c r="AI39" s="21">
        <v>0.0</v>
      </c>
      <c r="AJ39" s="21">
        <v>0.0</v>
      </c>
      <c r="AK39" s="21">
        <v>0.0</v>
      </c>
      <c r="AL39" s="21">
        <v>0.0</v>
      </c>
      <c r="AM39" s="21">
        <v>0.0</v>
      </c>
      <c r="AN39" s="21">
        <v>0.0</v>
      </c>
      <c r="AO39" s="21">
        <v>0.0</v>
      </c>
      <c r="AP39" s="21">
        <v>0.0</v>
      </c>
      <c r="AQ39" s="21">
        <v>0.0</v>
      </c>
      <c r="AR39" s="21">
        <v>6.0</v>
      </c>
      <c r="AS39" s="21">
        <v>0.0</v>
      </c>
      <c r="AT39" s="21">
        <v>0.0</v>
      </c>
      <c r="AU39" s="21">
        <v>0.0</v>
      </c>
      <c r="AV39" s="21">
        <v>0.0</v>
      </c>
      <c r="AW39" s="21">
        <v>0.0</v>
      </c>
      <c r="AX39" s="21">
        <v>0.0</v>
      </c>
      <c r="AY39" s="21">
        <v>0.0</v>
      </c>
      <c r="AZ39" s="21">
        <v>1.0</v>
      </c>
      <c r="BA39" s="21">
        <v>1.0</v>
      </c>
      <c r="BB39" s="21">
        <v>0.0</v>
      </c>
      <c r="BC39" s="21">
        <v>0.0</v>
      </c>
      <c r="BD39" s="21">
        <v>0.0</v>
      </c>
      <c r="BE39" s="21">
        <v>0.0</v>
      </c>
      <c r="BF39" s="21">
        <v>0.0</v>
      </c>
      <c r="BG39" s="21">
        <v>0.0</v>
      </c>
      <c r="BH39" s="21">
        <v>0.0</v>
      </c>
      <c r="BI39" s="21">
        <v>9.0</v>
      </c>
    </row>
    <row r="40" ht="36.75" customHeight="1">
      <c r="A40" s="20">
        <v>42411.0</v>
      </c>
      <c r="B40" s="21" t="s">
        <v>665</v>
      </c>
      <c r="C40" s="21" t="s">
        <v>667</v>
      </c>
      <c r="D40" s="21" t="s">
        <v>722</v>
      </c>
      <c r="E40" s="21" t="s">
        <v>629</v>
      </c>
      <c r="F40" s="21">
        <v>30.3977</v>
      </c>
      <c r="G40" s="21">
        <v>-81.5171</v>
      </c>
      <c r="H40" s="21">
        <v>30.4076</v>
      </c>
      <c r="I40" s="22">
        <v>-81.5217</v>
      </c>
      <c r="J40" s="21" t="s">
        <v>725</v>
      </c>
      <c r="K40" s="21" t="s">
        <v>697</v>
      </c>
      <c r="L40" s="21">
        <v>0.0</v>
      </c>
      <c r="M40" s="21">
        <v>0.0</v>
      </c>
      <c r="N40" s="21">
        <v>0.0</v>
      </c>
      <c r="O40" s="21">
        <v>0.0</v>
      </c>
      <c r="P40" s="21">
        <v>0.0</v>
      </c>
      <c r="Q40" s="21">
        <v>12.0</v>
      </c>
      <c r="R40" s="21">
        <v>1.0</v>
      </c>
      <c r="S40" s="21">
        <v>0.0</v>
      </c>
      <c r="T40" s="21">
        <v>0.0</v>
      </c>
      <c r="U40" s="21">
        <v>0.0</v>
      </c>
      <c r="V40" s="21">
        <v>0.0</v>
      </c>
      <c r="W40" s="21">
        <v>0.0</v>
      </c>
      <c r="X40" s="21"/>
      <c r="Y40" s="21">
        <v>0.0</v>
      </c>
      <c r="Z40" s="21">
        <v>0.0</v>
      </c>
      <c r="AA40" s="21">
        <v>0.0</v>
      </c>
      <c r="AB40" s="21">
        <v>0.0</v>
      </c>
      <c r="AC40" s="21">
        <v>0.0</v>
      </c>
      <c r="AD40" s="21">
        <v>0.0</v>
      </c>
      <c r="AE40" s="21">
        <v>0.0</v>
      </c>
      <c r="AF40" s="21">
        <v>0.0</v>
      </c>
      <c r="AG40" s="21">
        <v>0.0</v>
      </c>
      <c r="AH40" s="21">
        <v>0.0</v>
      </c>
      <c r="AI40" s="21">
        <v>0.0</v>
      </c>
      <c r="AJ40" s="21">
        <v>0.0</v>
      </c>
      <c r="AK40" s="21">
        <v>0.0</v>
      </c>
      <c r="AL40" s="21">
        <v>0.0</v>
      </c>
      <c r="AM40" s="21">
        <v>0.0</v>
      </c>
      <c r="AN40" s="21">
        <v>0.0</v>
      </c>
      <c r="AO40" s="21">
        <v>0.0</v>
      </c>
      <c r="AP40" s="21">
        <v>0.0</v>
      </c>
      <c r="AQ40" s="21">
        <v>0.0</v>
      </c>
      <c r="AR40" s="21">
        <v>57.0</v>
      </c>
      <c r="AS40" s="21">
        <v>0.0</v>
      </c>
      <c r="AT40" s="21">
        <v>0.0</v>
      </c>
      <c r="AU40" s="21">
        <v>0.0</v>
      </c>
      <c r="AV40" s="21">
        <v>0.0</v>
      </c>
      <c r="AW40" s="21">
        <v>1.0</v>
      </c>
      <c r="AX40" s="21">
        <v>0.0</v>
      </c>
      <c r="AY40" s="21">
        <v>0.0</v>
      </c>
      <c r="AZ40" s="21">
        <v>13.0</v>
      </c>
      <c r="BA40" s="21">
        <v>2.0</v>
      </c>
      <c r="BB40" s="21">
        <v>0.0</v>
      </c>
      <c r="BC40" s="21">
        <v>0.0</v>
      </c>
      <c r="BD40" s="21">
        <v>0.0</v>
      </c>
      <c r="BE40" s="21">
        <v>0.0</v>
      </c>
      <c r="BF40" s="21">
        <v>0.0</v>
      </c>
      <c r="BG40" s="21">
        <v>0.0</v>
      </c>
      <c r="BH40" s="21">
        <v>0.0</v>
      </c>
      <c r="BI40" s="21">
        <v>86.0</v>
      </c>
    </row>
    <row r="41" ht="36.75" customHeight="1">
      <c r="A41" s="20">
        <v>42411.0</v>
      </c>
      <c r="B41" s="21" t="s">
        <v>665</v>
      </c>
      <c r="C41" s="21" t="s">
        <v>667</v>
      </c>
      <c r="D41" s="21" t="s">
        <v>731</v>
      </c>
      <c r="E41" s="21" t="s">
        <v>629</v>
      </c>
      <c r="F41" s="21">
        <v>30.399</v>
      </c>
      <c r="G41" s="21">
        <v>-81.5167</v>
      </c>
      <c r="H41" s="21">
        <v>30.4014</v>
      </c>
      <c r="I41" s="22">
        <v>-81.5159</v>
      </c>
      <c r="J41" s="21" t="s">
        <v>733</v>
      </c>
      <c r="K41" s="21" t="s">
        <v>734</v>
      </c>
      <c r="L41" s="21">
        <v>0.0</v>
      </c>
      <c r="M41" s="21">
        <v>0.0</v>
      </c>
      <c r="N41" s="21">
        <v>0.0</v>
      </c>
      <c r="O41" s="21">
        <v>0.0</v>
      </c>
      <c r="P41" s="21">
        <v>0.0</v>
      </c>
      <c r="Q41" s="21">
        <v>1.0</v>
      </c>
      <c r="R41" s="21">
        <v>0.0</v>
      </c>
      <c r="S41" s="21">
        <v>0.0</v>
      </c>
      <c r="T41" s="21">
        <v>0.0</v>
      </c>
      <c r="U41" s="21">
        <v>0.0</v>
      </c>
      <c r="V41" s="21">
        <v>0.0</v>
      </c>
      <c r="W41" s="21">
        <v>0.0</v>
      </c>
      <c r="X41" s="21"/>
      <c r="Y41" s="21">
        <v>0.0</v>
      </c>
      <c r="Z41" s="21">
        <v>0.0</v>
      </c>
      <c r="AA41" s="21">
        <v>0.0</v>
      </c>
      <c r="AB41" s="21">
        <v>0.0</v>
      </c>
      <c r="AC41" s="21">
        <v>0.0</v>
      </c>
      <c r="AD41" s="21">
        <v>0.0</v>
      </c>
      <c r="AE41" s="21">
        <v>0.0</v>
      </c>
      <c r="AF41" s="21">
        <v>0.0</v>
      </c>
      <c r="AG41" s="21">
        <v>0.0</v>
      </c>
      <c r="AH41" s="21">
        <v>0.0</v>
      </c>
      <c r="AI41" s="21">
        <v>0.0</v>
      </c>
      <c r="AJ41" s="21">
        <v>0.0</v>
      </c>
      <c r="AK41" s="21">
        <v>0.0</v>
      </c>
      <c r="AL41" s="21">
        <v>0.0</v>
      </c>
      <c r="AM41" s="21">
        <v>0.0</v>
      </c>
      <c r="AN41" s="21">
        <v>0.0</v>
      </c>
      <c r="AO41" s="21">
        <v>0.0</v>
      </c>
      <c r="AP41" s="21">
        <v>0.0</v>
      </c>
      <c r="AQ41" s="21">
        <v>0.0</v>
      </c>
      <c r="AR41" s="21">
        <v>16.0</v>
      </c>
      <c r="AS41" s="21">
        <v>0.0</v>
      </c>
      <c r="AT41" s="21">
        <v>0.0</v>
      </c>
      <c r="AU41" s="21">
        <v>0.0</v>
      </c>
      <c r="AV41" s="21">
        <v>0.0</v>
      </c>
      <c r="AW41" s="21">
        <v>0.0</v>
      </c>
      <c r="AX41" s="21">
        <v>0.0</v>
      </c>
      <c r="AY41" s="21">
        <v>0.0</v>
      </c>
      <c r="AZ41" s="21">
        <v>0.0</v>
      </c>
      <c r="BA41" s="21">
        <v>0.0</v>
      </c>
      <c r="BB41" s="21">
        <v>0.0</v>
      </c>
      <c r="BC41" s="21">
        <v>0.0</v>
      </c>
      <c r="BD41" s="21">
        <v>0.0</v>
      </c>
      <c r="BE41" s="21">
        <v>0.0</v>
      </c>
      <c r="BF41" s="21">
        <v>0.0</v>
      </c>
      <c r="BG41" s="21">
        <v>0.0</v>
      </c>
      <c r="BH41" s="21">
        <v>0.0</v>
      </c>
      <c r="BI41">
        <f t="shared" ref="BI41:BI62" si="6">sum(L41:BH41)</f>
        <v>17</v>
      </c>
    </row>
    <row r="42" ht="36.75" customHeight="1">
      <c r="A42" s="20">
        <v>42405.0</v>
      </c>
      <c r="B42" s="21" t="s">
        <v>755</v>
      </c>
      <c r="C42" s="21" t="s">
        <v>756</v>
      </c>
      <c r="D42" s="21" t="s">
        <v>758</v>
      </c>
      <c r="E42" s="21" t="s">
        <v>629</v>
      </c>
      <c r="F42" s="21">
        <v>30.396667</v>
      </c>
      <c r="G42" s="21">
        <v>-81.392778</v>
      </c>
      <c r="H42" s="21">
        <v>30.253225</v>
      </c>
      <c r="I42" s="22">
        <v>-81.380859</v>
      </c>
      <c r="J42" s="21" t="s">
        <v>761</v>
      </c>
      <c r="K42" s="21" t="s">
        <v>763</v>
      </c>
      <c r="Z42" s="21">
        <v>45.0</v>
      </c>
      <c r="AA42" s="21">
        <v>102.0</v>
      </c>
      <c r="AI42" s="21">
        <v>21.0</v>
      </c>
      <c r="AL42" s="21">
        <v>580.0</v>
      </c>
      <c r="AM42" s="21">
        <v>103.0</v>
      </c>
      <c r="AO42" s="21">
        <v>109.0</v>
      </c>
      <c r="AR42" s="21">
        <v>131.0</v>
      </c>
      <c r="AS42" s="21">
        <v>243.0</v>
      </c>
      <c r="AV42" s="21">
        <v>1.0</v>
      </c>
      <c r="AW42" s="21">
        <v>7.0</v>
      </c>
      <c r="AX42" s="21">
        <v>86.0</v>
      </c>
      <c r="AZ42" s="21">
        <v>217.0</v>
      </c>
      <c r="BA42" s="21">
        <v>19.0</v>
      </c>
      <c r="BH42" s="21">
        <v>53.0</v>
      </c>
      <c r="BI42">
        <f t="shared" si="6"/>
        <v>1717</v>
      </c>
    </row>
    <row r="43" ht="36.75" customHeight="1">
      <c r="A43" s="20">
        <v>42407.0</v>
      </c>
      <c r="B43" s="21" t="s">
        <v>769</v>
      </c>
      <c r="C43" s="21" t="s">
        <v>771</v>
      </c>
      <c r="D43" s="21" t="s">
        <v>773</v>
      </c>
      <c r="E43" s="21" t="s">
        <v>291</v>
      </c>
      <c r="F43" s="21">
        <v>30.32494</v>
      </c>
      <c r="G43" s="21">
        <v>-87.18103</v>
      </c>
      <c r="H43" s="21">
        <v>30.33124</v>
      </c>
      <c r="I43" s="22">
        <v>-87.29591</v>
      </c>
      <c r="J43" s="21" t="s">
        <v>774</v>
      </c>
      <c r="K43" s="21" t="s">
        <v>776</v>
      </c>
      <c r="L43" s="21">
        <v>0.0</v>
      </c>
      <c r="M43" s="21">
        <v>0.0</v>
      </c>
      <c r="N43" s="21">
        <v>0.0</v>
      </c>
      <c r="O43" s="21">
        <v>0.0</v>
      </c>
      <c r="P43" s="21">
        <v>0.0</v>
      </c>
      <c r="Q43" s="21">
        <v>0.0</v>
      </c>
      <c r="R43" s="21">
        <v>0.0</v>
      </c>
      <c r="S43" s="21">
        <v>0.0</v>
      </c>
      <c r="T43" s="21">
        <v>0.0</v>
      </c>
      <c r="U43" s="21">
        <v>0.0</v>
      </c>
      <c r="V43" s="21">
        <v>0.0</v>
      </c>
      <c r="W43" s="21">
        <v>0.0</v>
      </c>
      <c r="X43" s="21"/>
      <c r="Y43" s="21">
        <v>0.0</v>
      </c>
      <c r="Z43" s="21">
        <v>1.0</v>
      </c>
      <c r="AA43" s="21">
        <v>21.0</v>
      </c>
      <c r="AB43" s="21">
        <v>0.0</v>
      </c>
      <c r="AC43" s="21">
        <v>0.0</v>
      </c>
      <c r="AD43" s="21">
        <v>0.0</v>
      </c>
      <c r="AE43" s="21">
        <v>28.0</v>
      </c>
      <c r="AF43" s="21">
        <v>0.0</v>
      </c>
      <c r="AG43" s="21">
        <v>0.0</v>
      </c>
      <c r="AH43" s="21">
        <v>0.0</v>
      </c>
      <c r="AI43" s="21">
        <v>1.0</v>
      </c>
      <c r="AJ43" s="21">
        <v>0.0</v>
      </c>
      <c r="AK43" s="21">
        <v>0.0</v>
      </c>
      <c r="AL43" s="21">
        <v>0.0</v>
      </c>
      <c r="AM43" s="21">
        <v>122.0</v>
      </c>
      <c r="AN43" s="21">
        <v>0.0</v>
      </c>
      <c r="AO43" s="21">
        <v>3.0</v>
      </c>
      <c r="AP43" s="21">
        <v>0.0</v>
      </c>
      <c r="AQ43" s="21">
        <v>0.0</v>
      </c>
      <c r="AR43" s="21">
        <v>0.0</v>
      </c>
      <c r="AS43" s="21">
        <v>0.0</v>
      </c>
      <c r="AT43" s="21">
        <v>0.0</v>
      </c>
      <c r="AU43" s="21">
        <v>1.0</v>
      </c>
      <c r="AV43" s="21">
        <v>0.0</v>
      </c>
      <c r="AW43" s="21">
        <v>35.0</v>
      </c>
      <c r="AX43" s="21">
        <v>34.0</v>
      </c>
      <c r="AY43" s="21">
        <v>0.0</v>
      </c>
      <c r="AZ43" s="21">
        <v>58.0</v>
      </c>
      <c r="BA43" s="21">
        <v>1.0</v>
      </c>
      <c r="BB43" s="21">
        <v>0.0</v>
      </c>
      <c r="BC43" s="21">
        <v>0.0</v>
      </c>
      <c r="BD43" s="21">
        <v>0.0</v>
      </c>
      <c r="BE43" s="21">
        <v>0.0</v>
      </c>
      <c r="BF43" s="21">
        <v>0.0</v>
      </c>
      <c r="BG43" s="21">
        <v>0.0</v>
      </c>
      <c r="BH43" s="21">
        <v>0.0</v>
      </c>
      <c r="BI43">
        <f t="shared" si="6"/>
        <v>305</v>
      </c>
    </row>
    <row r="44" ht="36.75" customHeight="1">
      <c r="A44" s="20">
        <v>42407.0</v>
      </c>
      <c r="B44" s="21" t="s">
        <v>769</v>
      </c>
      <c r="C44" s="21" t="s">
        <v>771</v>
      </c>
      <c r="D44" s="21" t="s">
        <v>786</v>
      </c>
      <c r="E44" s="21" t="s">
        <v>291</v>
      </c>
      <c r="F44" s="21">
        <v>30.32709</v>
      </c>
      <c r="G44" s="21">
        <v>-87.18102</v>
      </c>
      <c r="H44" s="21">
        <v>30.33124</v>
      </c>
      <c r="I44" s="22">
        <v>-87.29591</v>
      </c>
      <c r="J44" s="21" t="s">
        <v>787</v>
      </c>
      <c r="K44" s="21" t="s">
        <v>776</v>
      </c>
      <c r="L44" s="21">
        <v>0.0</v>
      </c>
      <c r="M44" s="21">
        <v>0.0</v>
      </c>
      <c r="N44" s="21">
        <v>0.0</v>
      </c>
      <c r="O44" s="21">
        <v>0.0</v>
      </c>
      <c r="P44" s="21">
        <v>0.0</v>
      </c>
      <c r="Q44" s="21">
        <v>2.0</v>
      </c>
      <c r="R44" s="21">
        <v>0.0</v>
      </c>
      <c r="S44" s="21">
        <v>0.0</v>
      </c>
      <c r="T44" s="21">
        <v>0.0</v>
      </c>
      <c r="U44" s="21">
        <v>0.0</v>
      </c>
      <c r="V44" s="21">
        <v>0.0</v>
      </c>
      <c r="W44" s="21">
        <v>0.0</v>
      </c>
      <c r="X44" s="21"/>
      <c r="Y44" s="21">
        <v>0.0</v>
      </c>
      <c r="Z44" s="21">
        <v>3.0</v>
      </c>
      <c r="AA44" s="21">
        <v>108.0</v>
      </c>
      <c r="AB44" s="21">
        <v>1.0</v>
      </c>
      <c r="AC44" s="21">
        <v>0.0</v>
      </c>
      <c r="AD44" s="21">
        <v>0.0</v>
      </c>
      <c r="AE44" s="21">
        <v>0.0</v>
      </c>
      <c r="AF44" s="21">
        <v>0.0</v>
      </c>
      <c r="AG44" s="21">
        <v>0.0</v>
      </c>
      <c r="AH44" s="21">
        <v>0.0</v>
      </c>
      <c r="AI44" s="21">
        <v>0.0</v>
      </c>
      <c r="AJ44" s="21">
        <v>0.0</v>
      </c>
      <c r="AK44" s="21">
        <v>0.0</v>
      </c>
      <c r="AL44" s="21">
        <v>0.0</v>
      </c>
      <c r="AM44" s="21">
        <v>0.0</v>
      </c>
      <c r="AN44" s="21">
        <v>0.0</v>
      </c>
      <c r="AO44" s="21">
        <v>2.0</v>
      </c>
      <c r="AP44" s="21">
        <v>0.0</v>
      </c>
      <c r="AQ44" s="21">
        <v>0.0</v>
      </c>
      <c r="AR44" s="21">
        <v>1.0</v>
      </c>
      <c r="AS44" s="21">
        <v>0.0</v>
      </c>
      <c r="AT44" s="21">
        <v>0.0</v>
      </c>
      <c r="AU44" s="21">
        <v>0.0</v>
      </c>
      <c r="AV44" s="21">
        <v>0.0</v>
      </c>
      <c r="AW44" s="21">
        <v>9.0</v>
      </c>
      <c r="AX44" s="21">
        <v>0.0</v>
      </c>
      <c r="AY44" s="21">
        <v>0.0</v>
      </c>
      <c r="AZ44" s="21">
        <v>25.0</v>
      </c>
      <c r="BA44" s="21">
        <v>1.0</v>
      </c>
      <c r="BB44" s="21">
        <v>0.0</v>
      </c>
      <c r="BC44" s="21">
        <v>0.0</v>
      </c>
      <c r="BD44" s="21">
        <v>0.0</v>
      </c>
      <c r="BE44" s="21">
        <v>0.0</v>
      </c>
      <c r="BF44" s="21">
        <v>0.0</v>
      </c>
      <c r="BG44" s="21">
        <v>0.0</v>
      </c>
      <c r="BH44" s="21">
        <v>0.0</v>
      </c>
      <c r="BI44">
        <f t="shared" si="6"/>
        <v>152</v>
      </c>
    </row>
    <row r="45" ht="28.5" customHeight="1">
      <c r="A45" s="29">
        <v>42407.0</v>
      </c>
      <c r="B45" s="21" t="s">
        <v>769</v>
      </c>
      <c r="C45" s="25" t="s">
        <v>771</v>
      </c>
      <c r="D45" s="25" t="s">
        <v>797</v>
      </c>
      <c r="E45" s="21" t="s">
        <v>291</v>
      </c>
      <c r="F45" s="25">
        <v>30.34925</v>
      </c>
      <c r="G45" s="25">
        <v>-87.04415</v>
      </c>
      <c r="H45" s="21">
        <v>30.37118</v>
      </c>
      <c r="I45" s="21">
        <v>-86.91876</v>
      </c>
      <c r="J45" s="21" t="s">
        <v>800</v>
      </c>
      <c r="K45" s="21" t="s">
        <v>801</v>
      </c>
      <c r="L45" s="21">
        <v>0.0</v>
      </c>
      <c r="M45" s="21">
        <v>0.0</v>
      </c>
      <c r="N45" s="21">
        <v>0.0</v>
      </c>
      <c r="O45" s="21">
        <v>0.0</v>
      </c>
      <c r="P45" s="21">
        <v>0.0</v>
      </c>
      <c r="Q45" s="21">
        <v>0.0</v>
      </c>
      <c r="R45" s="21">
        <v>0.0</v>
      </c>
      <c r="S45" s="21">
        <v>0.0</v>
      </c>
      <c r="T45" s="21">
        <v>0.0</v>
      </c>
      <c r="U45" s="21">
        <v>0.0</v>
      </c>
      <c r="V45" s="21">
        <v>0.0</v>
      </c>
      <c r="W45" s="21">
        <v>0.0</v>
      </c>
      <c r="X45" s="21"/>
      <c r="Y45" s="21">
        <v>0.0</v>
      </c>
      <c r="Z45" s="21">
        <v>0.0</v>
      </c>
      <c r="AA45" s="21">
        <v>54.0</v>
      </c>
      <c r="AB45" s="21">
        <v>0.0</v>
      </c>
      <c r="AC45" s="21">
        <v>0.0</v>
      </c>
      <c r="AD45" s="21">
        <v>0.0</v>
      </c>
      <c r="AE45" s="21">
        <v>7.0</v>
      </c>
      <c r="AF45" s="21">
        <v>0.0</v>
      </c>
      <c r="AG45" s="21">
        <v>0.0</v>
      </c>
      <c r="AH45" s="21">
        <v>0.0</v>
      </c>
      <c r="AI45" s="21">
        <v>0.0</v>
      </c>
      <c r="AJ45" s="21">
        <v>0.0</v>
      </c>
      <c r="AK45" s="21">
        <v>0.0</v>
      </c>
      <c r="AL45" s="21">
        <v>0.0</v>
      </c>
      <c r="AM45" s="21">
        <v>0.0</v>
      </c>
      <c r="AN45" s="21">
        <v>0.0</v>
      </c>
      <c r="AO45" s="21">
        <v>9.0</v>
      </c>
      <c r="AP45" s="21">
        <v>0.0</v>
      </c>
      <c r="AQ45" s="21">
        <v>0.0</v>
      </c>
      <c r="AR45" s="21">
        <v>0.0</v>
      </c>
      <c r="AS45" s="21">
        <v>0.0</v>
      </c>
      <c r="AT45" s="21">
        <v>0.0</v>
      </c>
      <c r="AU45" s="21">
        <v>0.0</v>
      </c>
      <c r="AV45" s="21">
        <v>0.0</v>
      </c>
      <c r="AW45" s="21">
        <v>34.0</v>
      </c>
      <c r="AX45" s="21">
        <v>105.0</v>
      </c>
      <c r="AY45" s="21">
        <v>0.0</v>
      </c>
      <c r="AZ45" s="21">
        <v>306.0</v>
      </c>
      <c r="BA45" s="21">
        <v>0.0</v>
      </c>
      <c r="BB45" s="21">
        <v>0.0</v>
      </c>
      <c r="BC45" s="21">
        <v>0.0</v>
      </c>
      <c r="BD45" s="21">
        <v>0.0</v>
      </c>
      <c r="BE45" s="21">
        <v>0.0</v>
      </c>
      <c r="BF45" s="21">
        <v>0.0</v>
      </c>
      <c r="BG45" s="21">
        <v>0.0</v>
      </c>
      <c r="BH45" s="21">
        <v>0.0</v>
      </c>
      <c r="BI45">
        <f t="shared" si="6"/>
        <v>515</v>
      </c>
    </row>
    <row r="46" ht="36.75" customHeight="1">
      <c r="A46" s="29">
        <v>42407.0</v>
      </c>
      <c r="B46" s="21" t="s">
        <v>769</v>
      </c>
      <c r="C46" s="25" t="s">
        <v>771</v>
      </c>
      <c r="D46" s="25" t="s">
        <v>814</v>
      </c>
      <c r="E46" s="21" t="s">
        <v>291</v>
      </c>
      <c r="F46" s="25">
        <v>30.37452</v>
      </c>
      <c r="G46" s="25">
        <v>-86.9189</v>
      </c>
      <c r="H46" s="21">
        <v>30.35882</v>
      </c>
      <c r="I46" s="21">
        <v>-87.04586</v>
      </c>
      <c r="J46" s="21" t="s">
        <v>816</v>
      </c>
      <c r="K46" s="21" t="s">
        <v>818</v>
      </c>
      <c r="L46" s="21">
        <v>0.0</v>
      </c>
      <c r="M46" s="21">
        <v>0.0</v>
      </c>
      <c r="N46" s="21">
        <v>5.0</v>
      </c>
      <c r="O46" s="21">
        <v>0.0</v>
      </c>
      <c r="P46" s="21">
        <v>0.0</v>
      </c>
      <c r="Q46" s="21">
        <v>0.0</v>
      </c>
      <c r="R46" s="21">
        <v>0.0</v>
      </c>
      <c r="S46" s="21">
        <v>0.0</v>
      </c>
      <c r="T46" s="21">
        <v>0.0</v>
      </c>
      <c r="U46" s="21">
        <v>0.0</v>
      </c>
      <c r="V46" s="21">
        <v>0.0</v>
      </c>
      <c r="W46" s="21">
        <v>0.0</v>
      </c>
      <c r="X46" s="21"/>
      <c r="Y46" s="21">
        <v>0.0</v>
      </c>
      <c r="Z46" s="21">
        <v>0.0</v>
      </c>
      <c r="AA46" s="21">
        <v>71.0</v>
      </c>
      <c r="AB46" s="21">
        <v>0.0</v>
      </c>
      <c r="AC46" s="21">
        <v>0.0</v>
      </c>
      <c r="AD46" s="21">
        <v>0.0</v>
      </c>
      <c r="AE46" s="21">
        <v>0.0</v>
      </c>
      <c r="AF46" s="21">
        <v>0.0</v>
      </c>
      <c r="AG46" s="21">
        <v>0.0</v>
      </c>
      <c r="AH46" s="21">
        <v>0.0</v>
      </c>
      <c r="AI46" s="21">
        <v>3.0</v>
      </c>
      <c r="AJ46" s="21">
        <v>0.0</v>
      </c>
      <c r="AK46" s="21">
        <v>0.0</v>
      </c>
      <c r="AL46" s="21">
        <v>0.0</v>
      </c>
      <c r="AM46" s="21">
        <v>16.0</v>
      </c>
      <c r="AN46" s="21">
        <v>0.0</v>
      </c>
      <c r="AO46" s="21">
        <v>0.0</v>
      </c>
      <c r="AP46" s="21">
        <v>0.0</v>
      </c>
      <c r="AQ46" s="21">
        <v>0.0</v>
      </c>
      <c r="AR46" s="21">
        <v>0.0</v>
      </c>
      <c r="AS46" s="21">
        <v>0.0</v>
      </c>
      <c r="AT46" s="21">
        <v>0.0</v>
      </c>
      <c r="AU46" s="21">
        <v>0.0</v>
      </c>
      <c r="AV46" s="21">
        <v>0.0</v>
      </c>
      <c r="AW46" s="21">
        <v>38.0</v>
      </c>
      <c r="AX46" s="21">
        <v>0.0</v>
      </c>
      <c r="AY46" s="21">
        <v>0.0</v>
      </c>
      <c r="AZ46" s="21">
        <v>160.0</v>
      </c>
      <c r="BA46" s="21">
        <v>0.0</v>
      </c>
      <c r="BB46" s="21">
        <v>0.0</v>
      </c>
      <c r="BC46" s="21">
        <v>0.0</v>
      </c>
      <c r="BD46" s="21">
        <v>0.0</v>
      </c>
      <c r="BE46" s="21">
        <v>0.0</v>
      </c>
      <c r="BF46" s="21">
        <v>0.0</v>
      </c>
      <c r="BG46" s="21">
        <v>0.0</v>
      </c>
      <c r="BH46" s="21">
        <v>0.0</v>
      </c>
      <c r="BI46">
        <f t="shared" si="6"/>
        <v>293</v>
      </c>
    </row>
    <row r="47" ht="36.75" customHeight="1">
      <c r="A47" s="29">
        <v>42410.0</v>
      </c>
      <c r="B47" s="21" t="s">
        <v>769</v>
      </c>
      <c r="C47" s="25" t="s">
        <v>771</v>
      </c>
      <c r="D47" s="25" t="s">
        <v>827</v>
      </c>
      <c r="E47" s="21" t="s">
        <v>291</v>
      </c>
      <c r="F47" s="25">
        <v>30.30297</v>
      </c>
      <c r="G47" s="25">
        <v>-87.4147</v>
      </c>
      <c r="H47" s="21">
        <v>30.31548</v>
      </c>
      <c r="I47" s="21">
        <v>-87.31548</v>
      </c>
      <c r="J47" s="21" t="s">
        <v>831</v>
      </c>
      <c r="K47" s="21" t="s">
        <v>832</v>
      </c>
      <c r="L47" s="21">
        <v>0.0</v>
      </c>
      <c r="M47" s="21">
        <v>0.0</v>
      </c>
      <c r="N47" s="21">
        <v>6.0</v>
      </c>
      <c r="O47" s="21">
        <v>0.0</v>
      </c>
      <c r="P47" s="21">
        <v>0.0</v>
      </c>
      <c r="Q47" s="21">
        <v>0.0</v>
      </c>
      <c r="R47" s="21">
        <v>0.0</v>
      </c>
      <c r="S47" s="21">
        <v>0.0</v>
      </c>
      <c r="T47" s="21">
        <v>0.0</v>
      </c>
      <c r="U47" s="21">
        <v>0.0</v>
      </c>
      <c r="V47" s="21">
        <v>0.0</v>
      </c>
      <c r="W47" s="21">
        <v>0.0</v>
      </c>
      <c r="X47" s="21"/>
      <c r="Y47" s="21">
        <v>0.0</v>
      </c>
      <c r="Z47" s="21">
        <v>0.0</v>
      </c>
      <c r="AA47" s="21">
        <v>71.0</v>
      </c>
      <c r="AB47" s="21">
        <v>0.0</v>
      </c>
      <c r="AC47" s="21">
        <v>0.0</v>
      </c>
      <c r="AD47" s="21">
        <v>0.0</v>
      </c>
      <c r="AE47" s="21">
        <v>5.0</v>
      </c>
      <c r="AF47" s="21">
        <v>0.0</v>
      </c>
      <c r="AG47" s="21">
        <v>0.0</v>
      </c>
      <c r="AH47" s="21">
        <v>0.0</v>
      </c>
      <c r="AI47" s="21">
        <v>1.0</v>
      </c>
      <c r="AJ47" s="21">
        <v>0.0</v>
      </c>
      <c r="AK47" s="21">
        <v>0.0</v>
      </c>
      <c r="AL47" s="21">
        <v>0.0</v>
      </c>
      <c r="AM47" s="21">
        <v>1.0</v>
      </c>
      <c r="AN47" s="21">
        <v>0.0</v>
      </c>
      <c r="AO47" s="21">
        <v>6.0</v>
      </c>
      <c r="AP47" s="21">
        <v>0.0</v>
      </c>
      <c r="AQ47" s="21">
        <v>0.0</v>
      </c>
      <c r="AR47" s="21">
        <v>5.0</v>
      </c>
      <c r="AS47" s="21">
        <v>1.0</v>
      </c>
      <c r="AT47" s="21">
        <v>0.0</v>
      </c>
      <c r="AU47" s="21">
        <v>0.0</v>
      </c>
      <c r="AV47" s="21">
        <v>0.0</v>
      </c>
      <c r="AW47" s="21">
        <v>2.0</v>
      </c>
      <c r="AX47" s="21">
        <v>0.0</v>
      </c>
      <c r="AY47" s="21">
        <v>0.0</v>
      </c>
      <c r="AZ47" s="21">
        <v>6.0</v>
      </c>
      <c r="BA47" s="21">
        <v>0.0</v>
      </c>
      <c r="BB47" s="21">
        <v>0.0</v>
      </c>
      <c r="BC47" s="21">
        <v>0.0</v>
      </c>
      <c r="BD47" s="21">
        <v>0.0</v>
      </c>
      <c r="BE47" s="21">
        <v>0.0</v>
      </c>
      <c r="BF47" s="21">
        <v>0.0</v>
      </c>
      <c r="BG47" s="21">
        <v>0.0</v>
      </c>
      <c r="BH47" s="21">
        <v>0.0</v>
      </c>
      <c r="BI47">
        <f t="shared" si="6"/>
        <v>104</v>
      </c>
    </row>
    <row r="48" ht="36.75" customHeight="1">
      <c r="A48" s="29">
        <v>42411.0</v>
      </c>
      <c r="B48" s="21" t="s">
        <v>769</v>
      </c>
      <c r="C48" s="25" t="s">
        <v>771</v>
      </c>
      <c r="D48" s="25" t="s">
        <v>841</v>
      </c>
      <c r="E48" s="21" t="s">
        <v>291</v>
      </c>
      <c r="F48" s="25">
        <v>30.31548</v>
      </c>
      <c r="G48" s="25">
        <v>-87.31548</v>
      </c>
      <c r="H48" s="21">
        <v>30.29765</v>
      </c>
      <c r="I48" s="21">
        <v>-87.41924</v>
      </c>
      <c r="J48" s="21" t="s">
        <v>845</v>
      </c>
      <c r="K48" s="21" t="s">
        <v>847</v>
      </c>
      <c r="L48" s="21">
        <v>0.0</v>
      </c>
      <c r="M48" s="21">
        <v>0.0</v>
      </c>
      <c r="N48" s="21">
        <v>5.0</v>
      </c>
      <c r="O48" s="21">
        <v>0.0</v>
      </c>
      <c r="P48" s="21">
        <v>0.0</v>
      </c>
      <c r="Q48" s="21">
        <v>0.0</v>
      </c>
      <c r="R48" s="21">
        <v>0.0</v>
      </c>
      <c r="S48" s="21">
        <v>0.0</v>
      </c>
      <c r="T48" s="21">
        <v>0.0</v>
      </c>
      <c r="U48" s="21">
        <v>0.0</v>
      </c>
      <c r="V48" s="21">
        <v>0.0</v>
      </c>
      <c r="W48" s="21">
        <v>0.0</v>
      </c>
      <c r="X48" s="21"/>
      <c r="Y48" s="21">
        <v>0.0</v>
      </c>
      <c r="Z48" s="21">
        <v>2.0</v>
      </c>
      <c r="AA48" s="21">
        <v>35.0</v>
      </c>
      <c r="AB48" s="21">
        <v>0.0</v>
      </c>
      <c r="AC48" s="21">
        <v>0.0</v>
      </c>
      <c r="AD48" s="21">
        <v>0.0</v>
      </c>
      <c r="AE48" s="21">
        <v>5.0</v>
      </c>
      <c r="AF48" s="21">
        <v>0.0</v>
      </c>
      <c r="AG48" s="21">
        <v>0.0</v>
      </c>
      <c r="AH48" s="21">
        <v>0.0</v>
      </c>
      <c r="AI48" s="21">
        <v>0.0</v>
      </c>
      <c r="AJ48" s="21">
        <v>0.0</v>
      </c>
      <c r="AK48" s="21">
        <v>0.0</v>
      </c>
      <c r="AL48" s="21">
        <v>0.0</v>
      </c>
      <c r="AM48" s="21">
        <v>236.0</v>
      </c>
      <c r="AN48" s="21">
        <v>0.0</v>
      </c>
      <c r="AO48" s="21">
        <v>27.0</v>
      </c>
      <c r="AP48" s="21">
        <v>0.0</v>
      </c>
      <c r="AQ48" s="21">
        <v>0.0</v>
      </c>
      <c r="AR48" s="21">
        <v>39.0</v>
      </c>
      <c r="AS48" s="21">
        <v>3.0</v>
      </c>
      <c r="AT48" s="21">
        <v>0.0</v>
      </c>
      <c r="AU48" s="21">
        <v>0.0</v>
      </c>
      <c r="AV48" s="21">
        <v>0.0</v>
      </c>
      <c r="AW48" s="21">
        <v>0.0</v>
      </c>
      <c r="AX48" s="21">
        <v>1.0</v>
      </c>
      <c r="AY48" s="21">
        <v>0.0</v>
      </c>
      <c r="AZ48" s="21">
        <v>4.0</v>
      </c>
      <c r="BA48" s="21">
        <v>0.0</v>
      </c>
      <c r="BB48" s="21">
        <v>0.0</v>
      </c>
      <c r="BC48" s="21">
        <v>0.0</v>
      </c>
      <c r="BD48" s="21">
        <v>0.0</v>
      </c>
      <c r="BE48" s="21">
        <v>0.0</v>
      </c>
      <c r="BF48" s="21">
        <v>0.0</v>
      </c>
      <c r="BG48" s="21">
        <v>0.0</v>
      </c>
      <c r="BH48" s="21">
        <v>0.0</v>
      </c>
      <c r="BI48">
        <f t="shared" si="6"/>
        <v>357</v>
      </c>
    </row>
    <row r="49" ht="36.75" customHeight="1">
      <c r="A49" s="29">
        <v>42410.0</v>
      </c>
      <c r="B49" s="25" t="s">
        <v>278</v>
      </c>
      <c r="C49" s="25" t="s">
        <v>279</v>
      </c>
      <c r="D49" s="25" t="s">
        <v>290</v>
      </c>
      <c r="E49" s="25" t="s">
        <v>291</v>
      </c>
      <c r="F49" s="25">
        <v>30.2865</v>
      </c>
      <c r="G49" s="25">
        <v>-87.48459</v>
      </c>
      <c r="H49" s="21">
        <v>30.29259</v>
      </c>
      <c r="I49" s="21">
        <v>-87.45296</v>
      </c>
      <c r="J49" s="21" t="s">
        <v>876</v>
      </c>
      <c r="K49" s="21" t="s">
        <v>878</v>
      </c>
      <c r="Z49" s="21">
        <v>3.0</v>
      </c>
      <c r="AA49" s="21">
        <v>6.0</v>
      </c>
      <c r="AE49" s="21">
        <v>3.0</v>
      </c>
      <c r="AO49" s="21">
        <v>9.0</v>
      </c>
      <c r="AR49" s="21">
        <v>1.0</v>
      </c>
      <c r="AX49" s="21">
        <v>2.0</v>
      </c>
      <c r="AZ49" s="21">
        <v>4.0</v>
      </c>
      <c r="BI49">
        <f t="shared" si="6"/>
        <v>28</v>
      </c>
      <c r="BJ49" s="21" t="s">
        <v>881</v>
      </c>
    </row>
    <row r="50" ht="36.75" customHeight="1">
      <c r="A50" s="20">
        <v>42401.0</v>
      </c>
      <c r="B50" s="21" t="s">
        <v>883</v>
      </c>
      <c r="C50" s="21" t="s">
        <v>884</v>
      </c>
      <c r="D50" s="21" t="s">
        <v>886</v>
      </c>
      <c r="E50" s="21" t="s">
        <v>888</v>
      </c>
      <c r="F50" s="21">
        <v>29.480003</v>
      </c>
      <c r="G50" s="21">
        <v>-81.12631</v>
      </c>
      <c r="H50" s="21">
        <v>29.54933</v>
      </c>
      <c r="I50" s="22">
        <v>-81.16059</v>
      </c>
      <c r="J50" s="21" t="s">
        <v>889</v>
      </c>
      <c r="K50" s="21" t="s">
        <v>890</v>
      </c>
      <c r="L50" s="21">
        <v>0.0</v>
      </c>
      <c r="M50" s="21">
        <v>0.0</v>
      </c>
      <c r="N50" s="21">
        <v>1.0</v>
      </c>
      <c r="O50" s="21">
        <v>0.0</v>
      </c>
      <c r="P50" s="21">
        <v>0.0</v>
      </c>
      <c r="Q50" s="21">
        <v>0.0</v>
      </c>
      <c r="R50" s="21">
        <v>0.0</v>
      </c>
      <c r="S50" s="21">
        <v>0.0</v>
      </c>
      <c r="T50" s="21">
        <v>0.0</v>
      </c>
      <c r="U50" s="21">
        <v>0.0</v>
      </c>
      <c r="V50" s="21">
        <v>0.0</v>
      </c>
      <c r="W50" s="21">
        <v>0.0</v>
      </c>
      <c r="X50" s="21"/>
      <c r="Y50" s="21">
        <v>0.0</v>
      </c>
      <c r="Z50" s="21">
        <v>34.0</v>
      </c>
      <c r="AA50" s="21">
        <v>61.0</v>
      </c>
      <c r="AB50" s="21">
        <v>0.0</v>
      </c>
      <c r="AC50" s="21">
        <v>0.0</v>
      </c>
      <c r="AD50" s="21">
        <v>0.0</v>
      </c>
      <c r="AE50" s="21">
        <v>0.0</v>
      </c>
      <c r="AF50" s="21">
        <v>0.0</v>
      </c>
      <c r="AG50" s="21">
        <v>0.0</v>
      </c>
      <c r="AH50" s="21">
        <v>0.0</v>
      </c>
      <c r="AI50" s="21">
        <v>28.0</v>
      </c>
      <c r="AJ50" s="21">
        <v>0.0</v>
      </c>
      <c r="AK50" s="21">
        <v>0.0</v>
      </c>
      <c r="AL50" s="21">
        <v>14.0</v>
      </c>
      <c r="AM50" s="21">
        <v>3.0</v>
      </c>
      <c r="AN50" s="21">
        <v>0.0</v>
      </c>
      <c r="AO50" s="21">
        <v>3.0</v>
      </c>
      <c r="AP50" s="21">
        <v>0.0</v>
      </c>
      <c r="AQ50" s="21">
        <v>0.0</v>
      </c>
      <c r="AR50" s="21">
        <v>2.0</v>
      </c>
      <c r="AS50" s="21">
        <v>75.0</v>
      </c>
      <c r="AT50" s="21">
        <v>0.0</v>
      </c>
      <c r="AU50" s="21">
        <v>0.0</v>
      </c>
      <c r="AV50" s="21">
        <v>0.0</v>
      </c>
      <c r="AW50" s="21">
        <v>43.0</v>
      </c>
      <c r="AX50" s="21">
        <v>276.0</v>
      </c>
      <c r="AY50" s="21">
        <v>5.0</v>
      </c>
      <c r="AZ50" s="21">
        <v>138.0</v>
      </c>
      <c r="BA50" s="21">
        <v>41.0</v>
      </c>
      <c r="BB50" s="21">
        <v>0.0</v>
      </c>
      <c r="BC50" s="21">
        <v>0.0</v>
      </c>
      <c r="BD50" s="21">
        <v>0.0</v>
      </c>
      <c r="BE50" s="21">
        <v>0.0</v>
      </c>
      <c r="BF50" s="21">
        <v>0.0</v>
      </c>
      <c r="BG50" s="21">
        <v>0.0</v>
      </c>
      <c r="BH50" s="21">
        <v>0.0</v>
      </c>
      <c r="BI50">
        <f t="shared" si="6"/>
        <v>724</v>
      </c>
      <c r="BJ50" s="21" t="s">
        <v>899</v>
      </c>
    </row>
    <row r="51" ht="36.75" customHeight="1">
      <c r="A51" s="20">
        <v>42401.0</v>
      </c>
      <c r="B51" s="21" t="s">
        <v>900</v>
      </c>
      <c r="C51" s="21" t="s">
        <v>901</v>
      </c>
      <c r="D51" s="21" t="s">
        <v>903</v>
      </c>
      <c r="E51" s="21" t="s">
        <v>904</v>
      </c>
      <c r="F51" s="21">
        <v>29.54934</v>
      </c>
      <c r="G51" s="21">
        <v>-81.16061</v>
      </c>
      <c r="H51" s="21">
        <v>29.63323</v>
      </c>
      <c r="I51" s="22">
        <v>-81.19744</v>
      </c>
      <c r="J51" s="21" t="s">
        <v>905</v>
      </c>
      <c r="K51" s="21" t="s">
        <v>890</v>
      </c>
      <c r="L51" s="21">
        <v>0.0</v>
      </c>
      <c r="M51" s="21">
        <v>0.0</v>
      </c>
      <c r="N51" s="21">
        <v>0.0</v>
      </c>
      <c r="O51" s="21">
        <v>0.0</v>
      </c>
      <c r="P51" s="21">
        <v>0.0</v>
      </c>
      <c r="Q51" s="21">
        <v>0.0</v>
      </c>
      <c r="R51" s="21">
        <v>0.0</v>
      </c>
      <c r="S51" s="21">
        <v>0.0</v>
      </c>
      <c r="T51" s="21">
        <v>0.0</v>
      </c>
      <c r="U51" s="21">
        <v>0.0</v>
      </c>
      <c r="V51" s="21">
        <v>0.0</v>
      </c>
      <c r="W51" s="21">
        <v>0.0</v>
      </c>
      <c r="X51" s="21"/>
      <c r="Y51" s="21">
        <v>0.0</v>
      </c>
      <c r="Z51" s="21">
        <v>3.0</v>
      </c>
      <c r="AA51" s="21">
        <v>52.0</v>
      </c>
      <c r="AB51" s="21">
        <v>0.0</v>
      </c>
      <c r="AC51" s="21">
        <v>0.0</v>
      </c>
      <c r="AD51" s="21">
        <v>0.0</v>
      </c>
      <c r="AE51" s="21">
        <v>0.0</v>
      </c>
      <c r="AF51" s="21">
        <v>0.0</v>
      </c>
      <c r="AG51" s="21">
        <v>0.0</v>
      </c>
      <c r="AH51" s="21">
        <v>0.0</v>
      </c>
      <c r="AI51" s="21">
        <v>19.0</v>
      </c>
      <c r="AJ51" s="21">
        <v>0.0</v>
      </c>
      <c r="AK51" s="21">
        <v>0.0</v>
      </c>
      <c r="AL51" s="21">
        <v>10.0</v>
      </c>
      <c r="AM51" s="21">
        <v>2.0</v>
      </c>
      <c r="AN51" s="21">
        <v>0.0</v>
      </c>
      <c r="AO51" s="21">
        <v>7.0</v>
      </c>
      <c r="AP51" s="21">
        <v>0.0</v>
      </c>
      <c r="AQ51" s="21">
        <v>0.0</v>
      </c>
      <c r="AR51" s="21">
        <v>23.0</v>
      </c>
      <c r="AS51" s="21">
        <v>79.0</v>
      </c>
      <c r="AT51" s="21">
        <v>0.0</v>
      </c>
      <c r="AU51" s="21">
        <v>0.0</v>
      </c>
      <c r="AV51" s="21">
        <v>1.0</v>
      </c>
      <c r="AW51" s="21">
        <v>64.0</v>
      </c>
      <c r="AX51" s="21">
        <v>140.0</v>
      </c>
      <c r="AY51" s="21">
        <v>0.0</v>
      </c>
      <c r="AZ51" s="21">
        <v>52.0</v>
      </c>
      <c r="BA51" s="21">
        <v>10.0</v>
      </c>
      <c r="BB51" s="21">
        <v>0.0</v>
      </c>
      <c r="BC51" s="21">
        <v>0.0</v>
      </c>
      <c r="BD51" s="21">
        <v>0.0</v>
      </c>
      <c r="BE51" s="21">
        <v>0.0</v>
      </c>
      <c r="BF51" s="21">
        <v>0.0</v>
      </c>
      <c r="BG51" s="21">
        <v>0.0</v>
      </c>
      <c r="BH51" s="21">
        <v>0.0</v>
      </c>
      <c r="BI51">
        <f t="shared" si="6"/>
        <v>462</v>
      </c>
      <c r="BJ51" s="21" t="s">
        <v>911</v>
      </c>
    </row>
    <row r="52" ht="36.75" customHeight="1">
      <c r="A52" s="20">
        <v>42401.0</v>
      </c>
      <c r="B52" s="21" t="s">
        <v>912</v>
      </c>
      <c r="C52" s="21" t="s">
        <v>913</v>
      </c>
      <c r="D52" s="21" t="s">
        <v>914</v>
      </c>
      <c r="E52" s="21" t="s">
        <v>904</v>
      </c>
      <c r="F52" s="21">
        <v>29.4798</v>
      </c>
      <c r="G52" s="21">
        <v>-81.12628</v>
      </c>
      <c r="H52" s="21">
        <v>29.44157</v>
      </c>
      <c r="I52" s="22">
        <v>-81.1089</v>
      </c>
      <c r="J52" s="21" t="s">
        <v>917</v>
      </c>
      <c r="K52" s="21" t="s">
        <v>918</v>
      </c>
      <c r="L52" s="21">
        <v>0.0</v>
      </c>
      <c r="M52" s="21">
        <v>0.0</v>
      </c>
      <c r="N52" s="21">
        <v>1.0</v>
      </c>
      <c r="O52" s="21">
        <v>0.0</v>
      </c>
      <c r="P52" s="21">
        <v>0.0</v>
      </c>
      <c r="Q52" s="21">
        <v>0.0</v>
      </c>
      <c r="R52" s="21">
        <v>0.0</v>
      </c>
      <c r="S52" s="21">
        <v>0.0</v>
      </c>
      <c r="T52" s="21">
        <v>0.0</v>
      </c>
      <c r="U52" s="21">
        <v>0.0</v>
      </c>
      <c r="V52" s="21">
        <v>0.0</v>
      </c>
      <c r="W52" s="21">
        <v>0.0</v>
      </c>
      <c r="X52" s="21"/>
      <c r="Y52" s="21">
        <v>0.0</v>
      </c>
      <c r="Z52" s="21">
        <v>16.0</v>
      </c>
      <c r="AA52" s="21">
        <v>32.0</v>
      </c>
      <c r="AB52" s="21">
        <v>0.0</v>
      </c>
      <c r="AC52" s="21">
        <v>0.0</v>
      </c>
      <c r="AD52" s="21">
        <v>0.0</v>
      </c>
      <c r="AE52" s="21">
        <v>0.0</v>
      </c>
      <c r="AF52" s="21">
        <v>0.0</v>
      </c>
      <c r="AG52" s="21">
        <v>0.0</v>
      </c>
      <c r="AH52" s="21">
        <v>0.0</v>
      </c>
      <c r="AI52" s="21">
        <v>10.0</v>
      </c>
      <c r="AJ52" s="21">
        <v>0.0</v>
      </c>
      <c r="AK52" s="21">
        <v>0.0</v>
      </c>
      <c r="AL52" s="21">
        <v>27.0</v>
      </c>
      <c r="AM52" s="21">
        <v>0.0</v>
      </c>
      <c r="AN52" s="21">
        <v>0.0</v>
      </c>
      <c r="AO52" s="21">
        <v>0.0</v>
      </c>
      <c r="AP52" s="21">
        <v>0.0</v>
      </c>
      <c r="AQ52" s="21">
        <v>0.0</v>
      </c>
      <c r="AR52" s="21">
        <v>3.0</v>
      </c>
      <c r="AS52" s="21">
        <v>60.0</v>
      </c>
      <c r="AT52" s="21">
        <v>0.0</v>
      </c>
      <c r="AU52" s="21">
        <v>0.0</v>
      </c>
      <c r="AV52" s="21">
        <v>0.0</v>
      </c>
      <c r="AW52" s="21">
        <v>1.0</v>
      </c>
      <c r="AX52" s="21">
        <v>260.0</v>
      </c>
      <c r="AY52" s="21">
        <v>0.0</v>
      </c>
      <c r="AZ52" s="21">
        <v>58.0</v>
      </c>
      <c r="BA52" s="21">
        <v>50.0</v>
      </c>
      <c r="BB52" s="21">
        <v>0.0</v>
      </c>
      <c r="BC52" s="21">
        <v>0.0</v>
      </c>
      <c r="BD52" s="21">
        <v>0.0</v>
      </c>
      <c r="BE52" s="21">
        <v>0.0</v>
      </c>
      <c r="BF52" s="21">
        <v>0.0</v>
      </c>
      <c r="BG52" s="21">
        <v>0.0</v>
      </c>
      <c r="BH52" s="21">
        <v>0.0</v>
      </c>
      <c r="BI52">
        <f t="shared" si="6"/>
        <v>518</v>
      </c>
      <c r="BJ52" s="21" t="s">
        <v>899</v>
      </c>
    </row>
    <row r="53" ht="36.75" customHeight="1">
      <c r="A53" s="20">
        <v>42401.0</v>
      </c>
      <c r="B53" s="21" t="s">
        <v>923</v>
      </c>
      <c r="C53" s="21" t="s">
        <v>924</v>
      </c>
      <c r="D53" s="21" t="s">
        <v>925</v>
      </c>
      <c r="E53" s="21" t="s">
        <v>904</v>
      </c>
      <c r="F53" s="21">
        <v>29.6338</v>
      </c>
      <c r="G53" s="21">
        <v>-81.19737</v>
      </c>
      <c r="H53" s="21">
        <v>29.67149</v>
      </c>
      <c r="I53" s="22">
        <v>-81.21325</v>
      </c>
      <c r="J53" s="21" t="s">
        <v>927</v>
      </c>
      <c r="K53" s="21" t="s">
        <v>928</v>
      </c>
      <c r="L53" s="21">
        <v>0.0</v>
      </c>
      <c r="M53" s="21">
        <v>0.0</v>
      </c>
      <c r="N53" s="21">
        <v>2.0</v>
      </c>
      <c r="O53" s="21">
        <v>3.0</v>
      </c>
      <c r="P53" s="21">
        <v>0.0</v>
      </c>
      <c r="Q53" s="21">
        <v>0.0</v>
      </c>
      <c r="R53" s="21">
        <v>0.0</v>
      </c>
      <c r="S53" s="21">
        <v>0.0</v>
      </c>
      <c r="T53" s="21">
        <v>0.0</v>
      </c>
      <c r="U53" s="21">
        <v>0.0</v>
      </c>
      <c r="V53" s="21">
        <v>0.0</v>
      </c>
      <c r="W53" s="21">
        <v>0.0</v>
      </c>
      <c r="X53" s="21"/>
      <c r="Y53" s="21">
        <v>0.0</v>
      </c>
      <c r="Z53" s="21">
        <v>9.0</v>
      </c>
      <c r="AA53" s="21">
        <v>33.0</v>
      </c>
      <c r="AB53" s="21">
        <v>0.0</v>
      </c>
      <c r="AC53" s="21">
        <v>0.0</v>
      </c>
      <c r="AD53" s="21">
        <v>0.0</v>
      </c>
      <c r="AE53" s="21">
        <v>0.0</v>
      </c>
      <c r="AF53" s="21">
        <v>0.0</v>
      </c>
      <c r="AG53" s="21">
        <v>0.0</v>
      </c>
      <c r="AH53" s="21">
        <v>0.0</v>
      </c>
      <c r="AI53" s="21">
        <v>2.0</v>
      </c>
      <c r="AJ53" s="21">
        <v>0.0</v>
      </c>
      <c r="AK53" s="21">
        <v>0.0</v>
      </c>
      <c r="AL53" s="21">
        <v>9.0</v>
      </c>
      <c r="AM53" s="21">
        <v>0.0</v>
      </c>
      <c r="AN53" s="21">
        <v>0.0</v>
      </c>
      <c r="AO53" s="21">
        <v>15.0</v>
      </c>
      <c r="AP53" s="21">
        <v>3.0</v>
      </c>
      <c r="AQ53" s="21">
        <v>0.0</v>
      </c>
      <c r="AR53" s="21">
        <v>3.0</v>
      </c>
      <c r="AS53" s="21">
        <v>0.0</v>
      </c>
      <c r="AT53" s="21">
        <v>0.0</v>
      </c>
      <c r="AU53" s="21">
        <v>0.0</v>
      </c>
      <c r="AV53" s="21">
        <v>0.0</v>
      </c>
      <c r="AW53" s="21">
        <v>34.0</v>
      </c>
      <c r="AX53" s="21">
        <v>86.0</v>
      </c>
      <c r="AY53" s="21">
        <v>30.0</v>
      </c>
      <c r="AZ53" s="21">
        <v>55.0</v>
      </c>
      <c r="BA53" s="21">
        <v>4.0</v>
      </c>
      <c r="BB53" s="21">
        <v>20.0</v>
      </c>
      <c r="BC53" s="21">
        <v>0.0</v>
      </c>
      <c r="BD53" s="21">
        <v>0.0</v>
      </c>
      <c r="BE53" s="21">
        <v>0.0</v>
      </c>
      <c r="BF53" s="21">
        <v>0.0</v>
      </c>
      <c r="BG53" s="21">
        <v>0.0</v>
      </c>
      <c r="BH53" s="21">
        <v>0.0</v>
      </c>
      <c r="BI53">
        <f t="shared" si="6"/>
        <v>308</v>
      </c>
      <c r="BJ53" s="21" t="s">
        <v>899</v>
      </c>
    </row>
    <row r="54" ht="36.75" customHeight="1">
      <c r="A54" s="20">
        <v>42401.0</v>
      </c>
      <c r="B54" s="21" t="s">
        <v>923</v>
      </c>
      <c r="C54" s="21" t="s">
        <v>934</v>
      </c>
      <c r="D54" s="21" t="s">
        <v>935</v>
      </c>
      <c r="E54" s="21" t="s">
        <v>904</v>
      </c>
      <c r="F54" s="21">
        <v>29.67112</v>
      </c>
      <c r="G54" s="21">
        <v>-81.21471</v>
      </c>
      <c r="H54" s="21">
        <v>29.62054</v>
      </c>
      <c r="I54" s="22">
        <v>-81.20741</v>
      </c>
      <c r="J54" s="21" t="s">
        <v>936</v>
      </c>
      <c r="K54" s="21" t="s">
        <v>937</v>
      </c>
      <c r="L54" s="21">
        <v>0.0</v>
      </c>
      <c r="M54" s="21">
        <v>0.0</v>
      </c>
      <c r="N54" s="21">
        <v>1.0</v>
      </c>
      <c r="O54" s="21">
        <v>1.0</v>
      </c>
      <c r="P54" s="21">
        <v>0.0</v>
      </c>
      <c r="Q54" s="21">
        <v>8.0</v>
      </c>
      <c r="R54" s="21">
        <v>0.0</v>
      </c>
      <c r="S54" s="21">
        <v>0.0</v>
      </c>
      <c r="T54" s="21">
        <v>0.0</v>
      </c>
      <c r="U54" s="21">
        <v>0.0</v>
      </c>
      <c r="V54" s="21">
        <v>0.0</v>
      </c>
      <c r="W54" s="21">
        <v>0.0</v>
      </c>
      <c r="X54" s="21"/>
      <c r="Y54" s="21">
        <v>0.0</v>
      </c>
      <c r="Z54" s="21">
        <v>0.0</v>
      </c>
      <c r="AA54" s="21">
        <v>0.0</v>
      </c>
      <c r="AB54" s="21">
        <v>0.0</v>
      </c>
      <c r="AC54" s="21">
        <v>0.0</v>
      </c>
      <c r="AD54" s="21">
        <v>0.0</v>
      </c>
      <c r="AE54" s="21">
        <v>0.0</v>
      </c>
      <c r="AF54" s="21">
        <v>0.0</v>
      </c>
      <c r="AG54" s="21">
        <v>0.0</v>
      </c>
      <c r="AH54" s="21">
        <v>0.0</v>
      </c>
      <c r="AI54" s="21">
        <v>0.0</v>
      </c>
      <c r="AJ54" s="21">
        <v>0.0</v>
      </c>
      <c r="AK54" s="21">
        <v>0.0</v>
      </c>
      <c r="AL54" s="21">
        <v>0.0</v>
      </c>
      <c r="AM54" s="21">
        <v>0.0</v>
      </c>
      <c r="AN54" s="21">
        <v>0.0</v>
      </c>
      <c r="AO54" s="21">
        <v>8.0</v>
      </c>
      <c r="AP54" s="21">
        <v>0.0</v>
      </c>
      <c r="AQ54" s="21">
        <v>0.0</v>
      </c>
      <c r="AR54" s="21">
        <v>13.0</v>
      </c>
      <c r="AS54" s="21">
        <v>0.0</v>
      </c>
      <c r="AT54" s="21">
        <v>0.0</v>
      </c>
      <c r="AU54" s="21">
        <v>0.0</v>
      </c>
      <c r="AV54" s="21">
        <v>0.0</v>
      </c>
      <c r="AW54" s="21">
        <v>0.0</v>
      </c>
      <c r="AX54" s="21">
        <v>0.0</v>
      </c>
      <c r="AY54" s="21">
        <v>0.0</v>
      </c>
      <c r="AZ54" s="21">
        <v>15.0</v>
      </c>
      <c r="BA54" s="21">
        <v>1.0</v>
      </c>
      <c r="BB54" s="21">
        <v>0.0</v>
      </c>
      <c r="BC54" s="21">
        <v>0.0</v>
      </c>
      <c r="BD54" s="21">
        <v>0.0</v>
      </c>
      <c r="BE54" s="21">
        <v>0.0</v>
      </c>
      <c r="BF54" s="21">
        <v>0.0</v>
      </c>
      <c r="BG54" s="21">
        <v>0.0</v>
      </c>
      <c r="BH54" s="21">
        <v>0.0</v>
      </c>
      <c r="BI54">
        <f t="shared" si="6"/>
        <v>47</v>
      </c>
      <c r="BJ54" s="21" t="s">
        <v>946</v>
      </c>
    </row>
    <row r="55" ht="36.75" customHeight="1">
      <c r="A55" s="20">
        <v>42401.0</v>
      </c>
      <c r="B55" s="21" t="s">
        <v>948</v>
      </c>
      <c r="C55" s="21" t="s">
        <v>949</v>
      </c>
      <c r="D55" s="21" t="s">
        <v>950</v>
      </c>
      <c r="E55" s="21" t="s">
        <v>904</v>
      </c>
      <c r="F55" s="21">
        <v>29.44165</v>
      </c>
      <c r="G55" s="21">
        <v>-81.10875</v>
      </c>
      <c r="H55" s="21">
        <v>29.427198</v>
      </c>
      <c r="I55" s="22">
        <v>-81.102115</v>
      </c>
      <c r="J55" s="21" t="s">
        <v>952</v>
      </c>
      <c r="K55" s="21" t="s">
        <v>953</v>
      </c>
      <c r="L55" s="21">
        <v>0.0</v>
      </c>
      <c r="M55" s="21">
        <v>0.0</v>
      </c>
      <c r="N55" s="21">
        <v>0.0</v>
      </c>
      <c r="O55" s="21">
        <v>0.0</v>
      </c>
      <c r="P55" s="21">
        <v>0.0</v>
      </c>
      <c r="Q55" s="21">
        <v>0.0</v>
      </c>
      <c r="R55" s="21">
        <v>0.0</v>
      </c>
      <c r="S55" s="21">
        <v>0.0</v>
      </c>
      <c r="T55" s="21">
        <v>0.0</v>
      </c>
      <c r="U55" s="21">
        <v>0.0</v>
      </c>
      <c r="V55" s="21">
        <v>0.0</v>
      </c>
      <c r="W55" s="21">
        <v>0.0</v>
      </c>
      <c r="X55" s="21"/>
      <c r="Y55" s="21">
        <v>0.0</v>
      </c>
      <c r="Z55" s="21">
        <v>1.0</v>
      </c>
      <c r="AA55" s="21">
        <v>12.0</v>
      </c>
      <c r="AB55" s="21">
        <v>0.0</v>
      </c>
      <c r="AC55" s="21">
        <v>0.0</v>
      </c>
      <c r="AD55" s="21">
        <v>0.0</v>
      </c>
      <c r="AE55" s="21">
        <v>0.0</v>
      </c>
      <c r="AF55" s="21">
        <v>0.0</v>
      </c>
      <c r="AG55" s="21">
        <v>0.0</v>
      </c>
      <c r="AH55" s="21">
        <v>0.0</v>
      </c>
      <c r="AI55" s="21">
        <v>5.0</v>
      </c>
      <c r="AJ55" s="21">
        <v>0.0</v>
      </c>
      <c r="AK55" s="21">
        <v>0.0</v>
      </c>
      <c r="AL55" s="21">
        <v>5.0</v>
      </c>
      <c r="AM55" s="21">
        <v>0.0</v>
      </c>
      <c r="AN55" s="21">
        <v>0.0</v>
      </c>
      <c r="AO55" s="21">
        <v>0.0</v>
      </c>
      <c r="AP55" s="21">
        <v>0.0</v>
      </c>
      <c r="AQ55" s="21">
        <v>0.0</v>
      </c>
      <c r="AR55" s="21">
        <v>0.0</v>
      </c>
      <c r="AS55" s="21">
        <v>90.0</v>
      </c>
      <c r="AT55" s="21">
        <v>0.0</v>
      </c>
      <c r="AU55" s="21">
        <v>0.0</v>
      </c>
      <c r="AV55" s="21">
        <v>0.0</v>
      </c>
      <c r="AW55" s="21">
        <v>30.0</v>
      </c>
      <c r="AX55" s="21">
        <v>115.0</v>
      </c>
      <c r="AY55" s="21">
        <v>0.0</v>
      </c>
      <c r="AZ55" s="21">
        <v>23.0</v>
      </c>
      <c r="BA55" s="21">
        <v>22.0</v>
      </c>
      <c r="BB55" s="21">
        <v>0.0</v>
      </c>
      <c r="BC55" s="21">
        <v>0.0</v>
      </c>
      <c r="BD55" s="21">
        <v>0.0</v>
      </c>
      <c r="BE55" s="21">
        <v>0.0</v>
      </c>
      <c r="BF55" s="21">
        <v>0.0</v>
      </c>
      <c r="BG55" s="21">
        <v>0.0</v>
      </c>
      <c r="BH55" s="21">
        <v>0.0</v>
      </c>
      <c r="BI55">
        <f t="shared" si="6"/>
        <v>303</v>
      </c>
      <c r="BJ55" s="21" t="s">
        <v>899</v>
      </c>
    </row>
    <row r="56" ht="36.75" customHeight="1">
      <c r="A56" s="20">
        <v>42401.0</v>
      </c>
      <c r="B56" s="21" t="s">
        <v>966</v>
      </c>
      <c r="C56" s="21" t="s">
        <v>969</v>
      </c>
      <c r="D56" s="21" t="s">
        <v>971</v>
      </c>
      <c r="E56" s="21" t="s">
        <v>904</v>
      </c>
      <c r="F56" s="21">
        <v>29.44157</v>
      </c>
      <c r="G56" s="21">
        <v>-81.11371</v>
      </c>
      <c r="H56" s="21">
        <v>29.43427</v>
      </c>
      <c r="I56" s="22">
        <v>-81.11045</v>
      </c>
      <c r="J56" s="21" t="s">
        <v>976</v>
      </c>
      <c r="K56" s="21" t="s">
        <v>978</v>
      </c>
      <c r="L56" s="21">
        <v>0.0</v>
      </c>
      <c r="M56" s="21">
        <v>0.0</v>
      </c>
      <c r="N56" s="21">
        <v>0.0</v>
      </c>
      <c r="O56" s="21">
        <v>0.0</v>
      </c>
      <c r="P56" s="21">
        <v>0.0</v>
      </c>
      <c r="Q56" s="21">
        <v>0.0</v>
      </c>
      <c r="R56" s="21">
        <v>0.0</v>
      </c>
      <c r="S56" s="21">
        <v>0.0</v>
      </c>
      <c r="T56" s="21">
        <v>0.0</v>
      </c>
      <c r="U56" s="21">
        <v>0.0</v>
      </c>
      <c r="V56" s="21">
        <v>0.0</v>
      </c>
      <c r="W56" s="21">
        <v>0.0</v>
      </c>
      <c r="X56" s="21"/>
      <c r="Y56" s="21">
        <v>0.0</v>
      </c>
      <c r="Z56" s="21">
        <v>0.0</v>
      </c>
      <c r="AA56" s="21">
        <v>0.0</v>
      </c>
      <c r="AB56" s="21">
        <v>0.0</v>
      </c>
      <c r="AC56" s="21">
        <v>0.0</v>
      </c>
      <c r="AD56" s="21">
        <v>0.0</v>
      </c>
      <c r="AE56" s="21">
        <v>0.0</v>
      </c>
      <c r="AF56" s="21">
        <v>0.0</v>
      </c>
      <c r="AG56" s="21">
        <v>0.0</v>
      </c>
      <c r="AH56" s="21">
        <v>0.0</v>
      </c>
      <c r="AI56" s="21">
        <v>0.0</v>
      </c>
      <c r="AJ56" s="21">
        <v>0.0</v>
      </c>
      <c r="AK56" s="21">
        <v>0.0</v>
      </c>
      <c r="AL56" s="21">
        <v>0.0</v>
      </c>
      <c r="AM56" s="21">
        <v>0.0</v>
      </c>
      <c r="AN56" s="21">
        <v>0.0</v>
      </c>
      <c r="AO56" s="21">
        <v>2.0</v>
      </c>
      <c r="AP56" s="21">
        <v>0.0</v>
      </c>
      <c r="AQ56" s="21">
        <v>0.0</v>
      </c>
      <c r="AR56" s="21">
        <v>4.0</v>
      </c>
      <c r="AS56" s="21">
        <v>0.0</v>
      </c>
      <c r="AT56" s="21">
        <v>0.0</v>
      </c>
      <c r="AU56" s="21">
        <v>0.0</v>
      </c>
      <c r="AV56" s="21">
        <v>0.0</v>
      </c>
      <c r="AW56" s="21">
        <v>0.0</v>
      </c>
      <c r="AX56" s="21">
        <v>0.0</v>
      </c>
      <c r="AY56" s="21">
        <v>0.0</v>
      </c>
      <c r="AZ56" s="21">
        <v>1.0</v>
      </c>
      <c r="BA56" s="21">
        <v>0.0</v>
      </c>
      <c r="BB56" s="21">
        <v>0.0</v>
      </c>
      <c r="BC56" s="21">
        <v>0.0</v>
      </c>
      <c r="BD56" s="21">
        <v>0.0</v>
      </c>
      <c r="BE56" s="21">
        <v>0.0</v>
      </c>
      <c r="BF56" s="21">
        <v>0.0</v>
      </c>
      <c r="BG56" s="21">
        <v>0.0</v>
      </c>
      <c r="BH56" s="21">
        <v>0.0</v>
      </c>
      <c r="BI56">
        <f t="shared" si="6"/>
        <v>7</v>
      </c>
      <c r="BJ56" s="21" t="s">
        <v>899</v>
      </c>
    </row>
    <row r="57" ht="36.75" customHeight="1">
      <c r="A57" s="20">
        <v>42401.0</v>
      </c>
      <c r="B57" s="21" t="s">
        <v>984</v>
      </c>
      <c r="C57" s="21" t="s">
        <v>969</v>
      </c>
      <c r="D57" s="21" t="s">
        <v>985</v>
      </c>
      <c r="E57" s="21" t="s">
        <v>904</v>
      </c>
      <c r="F57" s="21">
        <v>29.47558</v>
      </c>
      <c r="G57" s="21">
        <v>-81.1284</v>
      </c>
      <c r="H57" s="21">
        <v>29.47419</v>
      </c>
      <c r="I57" s="22">
        <v>-81.13471</v>
      </c>
      <c r="J57" s="21" t="s">
        <v>987</v>
      </c>
      <c r="K57" s="21" t="s">
        <v>988</v>
      </c>
      <c r="L57" s="21">
        <v>0.0</v>
      </c>
      <c r="M57" s="21">
        <v>0.0</v>
      </c>
      <c r="N57" s="21">
        <v>0.0</v>
      </c>
      <c r="O57" s="21">
        <v>0.0</v>
      </c>
      <c r="P57" s="21">
        <v>0.0</v>
      </c>
      <c r="Q57" s="21">
        <v>0.0</v>
      </c>
      <c r="R57" s="21">
        <v>0.0</v>
      </c>
      <c r="S57" s="21">
        <v>0.0</v>
      </c>
      <c r="T57" s="21">
        <v>0.0</v>
      </c>
      <c r="U57" s="21">
        <v>0.0</v>
      </c>
      <c r="V57" s="21">
        <v>0.0</v>
      </c>
      <c r="W57" s="21">
        <v>0.0</v>
      </c>
      <c r="X57" s="21"/>
      <c r="Y57" s="21">
        <v>0.0</v>
      </c>
      <c r="Z57" s="21">
        <v>0.0</v>
      </c>
      <c r="AA57" s="21">
        <v>0.0</v>
      </c>
      <c r="AB57" s="21">
        <v>0.0</v>
      </c>
      <c r="AC57" s="21">
        <v>0.0</v>
      </c>
      <c r="AD57" s="21">
        <v>0.0</v>
      </c>
      <c r="AE57" s="21">
        <v>0.0</v>
      </c>
      <c r="AF57" s="21">
        <v>0.0</v>
      </c>
      <c r="AG57" s="21">
        <v>0.0</v>
      </c>
      <c r="AH57" s="21">
        <v>0.0</v>
      </c>
      <c r="AI57" s="21">
        <v>0.0</v>
      </c>
      <c r="AJ57" s="21">
        <v>0.0</v>
      </c>
      <c r="AK57" s="21">
        <v>0.0</v>
      </c>
      <c r="AL57" s="21">
        <v>0.0</v>
      </c>
      <c r="AM57" s="21">
        <v>0.0</v>
      </c>
      <c r="AN57" s="21">
        <v>0.0</v>
      </c>
      <c r="AO57" s="21">
        <v>0.0</v>
      </c>
      <c r="AP57" s="21">
        <v>0.0</v>
      </c>
      <c r="AQ57" s="21">
        <v>0.0</v>
      </c>
      <c r="AR57" s="21">
        <v>2.0</v>
      </c>
      <c r="AS57" s="21">
        <v>0.0</v>
      </c>
      <c r="AT57" s="21">
        <v>0.0</v>
      </c>
      <c r="AU57" s="21">
        <v>0.0</v>
      </c>
      <c r="AV57" s="21">
        <v>0.0</v>
      </c>
      <c r="AW57" s="21">
        <v>0.0</v>
      </c>
      <c r="AX57" s="21">
        <v>2.0</v>
      </c>
      <c r="AY57" s="21">
        <v>0.0</v>
      </c>
      <c r="AZ57" s="21">
        <v>7.0</v>
      </c>
      <c r="BA57" s="21">
        <v>0.0</v>
      </c>
      <c r="BB57" s="21">
        <v>0.0</v>
      </c>
      <c r="BC57" s="21">
        <v>0.0</v>
      </c>
      <c r="BD57" s="21">
        <v>0.0</v>
      </c>
      <c r="BE57" s="21">
        <v>0.0</v>
      </c>
      <c r="BF57" s="21">
        <v>0.0</v>
      </c>
      <c r="BG57" s="21">
        <v>0.0</v>
      </c>
      <c r="BH57" s="21">
        <v>0.0</v>
      </c>
      <c r="BI57">
        <f t="shared" si="6"/>
        <v>11</v>
      </c>
      <c r="BJ57" s="21" t="s">
        <v>991</v>
      </c>
    </row>
    <row r="58" ht="36.75" customHeight="1">
      <c r="A58" s="32">
        <v>42409.0</v>
      </c>
      <c r="B58" s="55" t="s">
        <v>992</v>
      </c>
      <c r="C58" s="55" t="s">
        <v>996</v>
      </c>
      <c r="D58" s="55" t="s">
        <v>997</v>
      </c>
      <c r="E58" s="55" t="s">
        <v>999</v>
      </c>
      <c r="F58" s="21">
        <v>30.342046</v>
      </c>
      <c r="G58" s="21">
        <v>-86.218002</v>
      </c>
      <c r="H58" s="21">
        <v>30.333891</v>
      </c>
      <c r="I58" s="22">
        <v>-86.188047</v>
      </c>
      <c r="J58" s="21" t="s">
        <v>1000</v>
      </c>
      <c r="K58" s="21" t="s">
        <v>1001</v>
      </c>
      <c r="AA58" s="21">
        <v>25.0</v>
      </c>
      <c r="AW58" s="21">
        <v>1.0</v>
      </c>
      <c r="AX58" s="21">
        <v>5.0</v>
      </c>
      <c r="AZ58" s="21">
        <v>6.0</v>
      </c>
      <c r="BI58">
        <f t="shared" si="6"/>
        <v>37</v>
      </c>
      <c r="BJ58" s="21" t="s">
        <v>1004</v>
      </c>
    </row>
    <row r="59" ht="36.75" customHeight="1">
      <c r="A59" s="32">
        <v>42409.0</v>
      </c>
      <c r="B59" s="55" t="s">
        <v>992</v>
      </c>
      <c r="C59" s="55" t="s">
        <v>996</v>
      </c>
      <c r="D59" s="21" t="s">
        <v>1005</v>
      </c>
      <c r="E59" s="21" t="s">
        <v>999</v>
      </c>
      <c r="F59" s="21">
        <v>30.295138</v>
      </c>
      <c r="G59" s="21">
        <v>-86.065331</v>
      </c>
      <c r="H59" s="21">
        <v>30.284642</v>
      </c>
      <c r="I59" s="22">
        <v>-86.037007</v>
      </c>
      <c r="J59" s="21" t="s">
        <v>1006</v>
      </c>
      <c r="K59" s="21" t="s">
        <v>1001</v>
      </c>
      <c r="AA59" s="21">
        <v>23.0</v>
      </c>
      <c r="AS59" s="21">
        <v>1.0</v>
      </c>
      <c r="AX59" s="21">
        <v>1.0</v>
      </c>
      <c r="AZ59" s="21">
        <v>9.0</v>
      </c>
      <c r="BI59">
        <f t="shared" si="6"/>
        <v>34</v>
      </c>
      <c r="BJ59" s="21" t="s">
        <v>1009</v>
      </c>
    </row>
    <row r="60" ht="36.75" customHeight="1">
      <c r="A60" s="32">
        <v>42409.0</v>
      </c>
      <c r="B60" s="56" t="s">
        <v>1010</v>
      </c>
      <c r="C60" s="55" t="s">
        <v>996</v>
      </c>
      <c r="D60" s="21" t="s">
        <v>1014</v>
      </c>
      <c r="E60" s="21" t="s">
        <v>999</v>
      </c>
      <c r="F60" s="21">
        <v>30.223196</v>
      </c>
      <c r="G60" s="21">
        <v>-86.1469294</v>
      </c>
      <c r="H60" s="21">
        <v>30.302727</v>
      </c>
      <c r="I60" s="22">
        <v>-86.083527</v>
      </c>
      <c r="J60" s="21" t="s">
        <v>1018</v>
      </c>
      <c r="K60" s="21" t="s">
        <v>1019</v>
      </c>
      <c r="AA60" s="21">
        <v>79.0</v>
      </c>
      <c r="AI60" s="21">
        <v>2.0</v>
      </c>
      <c r="AO60" s="21">
        <v>4.0</v>
      </c>
      <c r="AS60" s="21">
        <v>12.0</v>
      </c>
      <c r="AW60" s="21">
        <v>1.0</v>
      </c>
      <c r="AX60" s="21">
        <v>46.0</v>
      </c>
      <c r="AZ60" s="21">
        <v>22.0</v>
      </c>
      <c r="BI60">
        <f t="shared" si="6"/>
        <v>166</v>
      </c>
      <c r="BJ60" s="21" t="s">
        <v>1022</v>
      </c>
    </row>
    <row r="61" ht="36.75" customHeight="1">
      <c r="A61" s="29">
        <v>42393.0</v>
      </c>
      <c r="B61" s="25" t="s">
        <v>1023</v>
      </c>
      <c r="C61" s="25" t="s">
        <v>1024</v>
      </c>
      <c r="D61" s="25" t="s">
        <v>1025</v>
      </c>
      <c r="E61" s="25" t="s">
        <v>586</v>
      </c>
      <c r="F61" s="25">
        <v>29.66722</v>
      </c>
      <c r="G61" s="25">
        <v>-84.846</v>
      </c>
      <c r="H61" s="21">
        <v>29.68293</v>
      </c>
      <c r="I61" s="21">
        <v>-84.79611</v>
      </c>
      <c r="J61" s="21" t="s">
        <v>1026</v>
      </c>
      <c r="K61" s="21" t="s">
        <v>1027</v>
      </c>
      <c r="AA61" s="21">
        <v>16.0</v>
      </c>
      <c r="AB61" s="21">
        <v>3.0</v>
      </c>
      <c r="AI61" s="21">
        <v>1.0</v>
      </c>
      <c r="AW61" s="21">
        <v>2.0</v>
      </c>
      <c r="AX61" s="21">
        <v>1.0</v>
      </c>
      <c r="AZ61" s="21">
        <v>10.0</v>
      </c>
      <c r="BI61">
        <f t="shared" si="6"/>
        <v>33</v>
      </c>
      <c r="BJ61" s="21" t="s">
        <v>1029</v>
      </c>
    </row>
    <row r="62" ht="36.75" customHeight="1">
      <c r="A62" s="29">
        <v>42394.0</v>
      </c>
      <c r="B62" s="25" t="s">
        <v>1023</v>
      </c>
      <c r="C62" s="25" t="s">
        <v>1024</v>
      </c>
      <c r="D62" s="25" t="s">
        <v>1030</v>
      </c>
      <c r="E62" s="25" t="s">
        <v>586</v>
      </c>
      <c r="F62" s="25">
        <v>29.7109</v>
      </c>
      <c r="G62" s="25">
        <v>-85.0056</v>
      </c>
      <c r="H62" s="21">
        <v>29.7105</v>
      </c>
      <c r="I62" s="21">
        <v>-85.0229</v>
      </c>
      <c r="J62" s="21" t="s">
        <v>1032</v>
      </c>
      <c r="K62" s="21" t="s">
        <v>1033</v>
      </c>
      <c r="L62" s="21">
        <v>2.0</v>
      </c>
      <c r="N62" s="21">
        <v>1.0</v>
      </c>
      <c r="O62" s="21">
        <v>20.0</v>
      </c>
      <c r="BI62">
        <f t="shared" si="6"/>
        <v>23</v>
      </c>
      <c r="BJ62" s="21" t="s">
        <v>1034</v>
      </c>
    </row>
    <row r="63" ht="36.75" customHeight="1">
      <c r="A63" s="29">
        <v>42390.0</v>
      </c>
      <c r="B63" s="25" t="s">
        <v>1023</v>
      </c>
      <c r="C63" s="25" t="s">
        <v>1024</v>
      </c>
      <c r="D63" s="25" t="s">
        <v>1035</v>
      </c>
      <c r="E63" s="25" t="s">
        <v>586</v>
      </c>
      <c r="F63" s="25">
        <v>29.72279</v>
      </c>
      <c r="G63" s="25">
        <v>-84.88757</v>
      </c>
      <c r="H63" s="21">
        <v>29.72862</v>
      </c>
      <c r="I63" s="21">
        <v>-84.88523</v>
      </c>
      <c r="J63" s="21" t="s">
        <v>1037</v>
      </c>
      <c r="K63" s="21" t="s">
        <v>1038</v>
      </c>
      <c r="V63" s="21"/>
      <c r="AF63" s="21"/>
      <c r="AI63" s="21"/>
      <c r="AO63" s="21"/>
      <c r="AS63" s="21"/>
      <c r="AX63" s="21"/>
      <c r="AZ63" s="21"/>
      <c r="BI63" s="21">
        <v>0.0</v>
      </c>
      <c r="BJ63" s="21" t="s">
        <v>1034</v>
      </c>
    </row>
    <row r="64" ht="36.75" customHeight="1">
      <c r="A64" s="20">
        <v>42411.0</v>
      </c>
      <c r="B64" s="25" t="s">
        <v>1040</v>
      </c>
      <c r="C64" s="25" t="s">
        <v>975</v>
      </c>
      <c r="D64" s="21" t="s">
        <v>1041</v>
      </c>
      <c r="E64" s="21" t="s">
        <v>586</v>
      </c>
      <c r="F64" s="25">
        <v>29.68278</v>
      </c>
      <c r="G64" s="25">
        <v>-84.7967</v>
      </c>
      <c r="H64" s="21">
        <v>29.77259</v>
      </c>
      <c r="I64" s="21">
        <v>-84.69428</v>
      </c>
      <c r="J64" s="21" t="s">
        <v>1042</v>
      </c>
      <c r="K64" s="21" t="s">
        <v>1043</v>
      </c>
      <c r="L64" s="21">
        <v>4.0</v>
      </c>
      <c r="M64" s="21">
        <v>0.0</v>
      </c>
      <c r="N64" s="21">
        <v>8.0</v>
      </c>
      <c r="O64" s="21">
        <v>0.0</v>
      </c>
      <c r="P64" s="21">
        <v>1.0</v>
      </c>
      <c r="Q64" s="21">
        <v>0.0</v>
      </c>
      <c r="R64" s="21">
        <v>0.0</v>
      </c>
      <c r="S64" s="21">
        <v>0.0</v>
      </c>
      <c r="T64" s="21">
        <v>0.0</v>
      </c>
      <c r="U64" s="21">
        <v>0.0</v>
      </c>
      <c r="V64" s="21">
        <v>0.0</v>
      </c>
      <c r="W64" s="21">
        <v>5.0</v>
      </c>
      <c r="X64" s="21"/>
      <c r="Y64" s="21">
        <v>0.0</v>
      </c>
      <c r="Z64" s="21">
        <v>6.0</v>
      </c>
      <c r="AA64" s="21">
        <v>86.0</v>
      </c>
      <c r="AB64" s="21">
        <v>0.0</v>
      </c>
      <c r="AC64" s="21">
        <v>0.0</v>
      </c>
      <c r="AD64" s="21">
        <v>1.0</v>
      </c>
      <c r="AE64" s="21">
        <v>19.0</v>
      </c>
      <c r="AF64" s="21">
        <v>0.0</v>
      </c>
      <c r="AG64" s="21">
        <v>0.0</v>
      </c>
      <c r="AH64" s="21">
        <v>0.0</v>
      </c>
      <c r="AI64" s="21">
        <v>8.0</v>
      </c>
      <c r="AJ64" s="21">
        <v>0.0</v>
      </c>
      <c r="AK64" s="21">
        <v>0.0</v>
      </c>
      <c r="AL64" s="21">
        <v>0.0</v>
      </c>
      <c r="AM64" s="21">
        <v>221.0</v>
      </c>
      <c r="AN64" s="21">
        <v>0.0</v>
      </c>
      <c r="AO64" s="21">
        <v>7.0</v>
      </c>
      <c r="AP64" s="21">
        <v>0.0</v>
      </c>
      <c r="AQ64" s="21">
        <v>0.0</v>
      </c>
      <c r="AR64" s="21">
        <v>4.0</v>
      </c>
      <c r="AS64" s="21">
        <v>11.0</v>
      </c>
      <c r="AT64" s="21">
        <v>0.0</v>
      </c>
      <c r="AU64" s="21">
        <v>0.0</v>
      </c>
      <c r="AV64" s="21">
        <v>0.0</v>
      </c>
      <c r="AW64" s="21">
        <v>1.0</v>
      </c>
      <c r="AX64" s="21">
        <v>3.0</v>
      </c>
      <c r="AY64" s="21">
        <v>0.0</v>
      </c>
      <c r="AZ64" s="21">
        <v>28.0</v>
      </c>
      <c r="BA64" s="21">
        <v>1.0</v>
      </c>
      <c r="BB64" s="21">
        <v>0.0</v>
      </c>
      <c r="BC64" s="21">
        <v>0.0</v>
      </c>
      <c r="BD64" s="21">
        <v>0.0</v>
      </c>
      <c r="BE64" s="21">
        <v>0.0</v>
      </c>
      <c r="BF64" s="21">
        <v>0.0</v>
      </c>
      <c r="BG64" s="21">
        <v>0.0</v>
      </c>
      <c r="BH64" s="21">
        <v>0.0</v>
      </c>
      <c r="BI64">
        <f t="shared" ref="BI64:BI100" si="7">sum(L64:BH64)</f>
        <v>414</v>
      </c>
      <c r="BJ64" s="21" t="s">
        <v>1049</v>
      </c>
    </row>
    <row r="65" ht="36.75" customHeight="1">
      <c r="A65" s="29">
        <v>42411.0</v>
      </c>
      <c r="B65" s="25" t="s">
        <v>189</v>
      </c>
      <c r="C65" s="25" t="s">
        <v>191</v>
      </c>
      <c r="D65" s="25" t="s">
        <v>1051</v>
      </c>
      <c r="E65" s="25" t="s">
        <v>586</v>
      </c>
      <c r="F65" s="25">
        <v>29.68361</v>
      </c>
      <c r="G65" s="25">
        <v>-85.22191</v>
      </c>
      <c r="H65" s="21">
        <v>29.6941</v>
      </c>
      <c r="I65" s="21">
        <v>-85.20315</v>
      </c>
      <c r="J65" s="21" t="s">
        <v>1052</v>
      </c>
      <c r="K65" s="21" t="s">
        <v>1054</v>
      </c>
      <c r="L65" s="21">
        <v>14.0</v>
      </c>
      <c r="M65" s="21">
        <v>7.0</v>
      </c>
      <c r="N65" s="21">
        <v>4.0</v>
      </c>
      <c r="O65" s="21">
        <v>21.0</v>
      </c>
      <c r="P65" s="21">
        <v>4.0</v>
      </c>
      <c r="Y65" s="21">
        <v>6.0</v>
      </c>
      <c r="Z65" s="21">
        <v>9.0</v>
      </c>
      <c r="AA65" s="21">
        <v>1.0</v>
      </c>
      <c r="AB65" s="21">
        <v>1.0</v>
      </c>
      <c r="AD65" s="21">
        <v>5.0</v>
      </c>
      <c r="AF65" s="21">
        <v>2.0</v>
      </c>
      <c r="AI65" s="21">
        <v>23.0</v>
      </c>
      <c r="AL65" s="21">
        <v>22.0</v>
      </c>
      <c r="AM65" s="21">
        <v>11.0</v>
      </c>
      <c r="AO65" s="21">
        <v>40.0</v>
      </c>
      <c r="AR65" s="21">
        <v>8.0</v>
      </c>
      <c r="AS65" s="21">
        <v>15.0</v>
      </c>
      <c r="AW65" s="21">
        <v>11.0</v>
      </c>
      <c r="AX65" s="21">
        <v>28.0</v>
      </c>
      <c r="AZ65" s="21">
        <v>26.0</v>
      </c>
      <c r="BA65" s="21">
        <v>1.0</v>
      </c>
      <c r="BD65" s="21">
        <v>37.0</v>
      </c>
      <c r="BI65">
        <f t="shared" si="7"/>
        <v>296</v>
      </c>
      <c r="BJ65" s="21" t="s">
        <v>1058</v>
      </c>
    </row>
    <row r="66" ht="36.75" customHeight="1">
      <c r="A66" s="20">
        <v>42411.0</v>
      </c>
      <c r="B66" s="21" t="s">
        <v>583</v>
      </c>
      <c r="C66" s="21" t="s">
        <v>584</v>
      </c>
      <c r="D66" s="21" t="s">
        <v>585</v>
      </c>
      <c r="E66" s="21" t="s">
        <v>586</v>
      </c>
      <c r="F66" s="25">
        <v>29.69419</v>
      </c>
      <c r="G66" s="25">
        <v>-84.78852</v>
      </c>
      <c r="H66" s="21">
        <v>29.70271</v>
      </c>
      <c r="I66" s="21">
        <v>-84.80048</v>
      </c>
      <c r="J66" s="21" t="s">
        <v>1061</v>
      </c>
      <c r="K66" s="21" t="s">
        <v>1062</v>
      </c>
      <c r="L66" s="21">
        <v>25.0</v>
      </c>
      <c r="N66" s="21">
        <v>2.0</v>
      </c>
      <c r="O66" s="21">
        <v>20.0</v>
      </c>
      <c r="Z66" s="21">
        <v>3.0</v>
      </c>
      <c r="AA66" s="21">
        <v>1.0</v>
      </c>
      <c r="AB66" s="21">
        <v>1.0</v>
      </c>
      <c r="AI66" s="21">
        <v>3.0</v>
      </c>
      <c r="AM66" s="21">
        <v>4.0</v>
      </c>
      <c r="AO66" s="21">
        <v>12.0</v>
      </c>
      <c r="AR66" s="21">
        <v>4.0</v>
      </c>
      <c r="AS66" s="21">
        <v>40.0</v>
      </c>
      <c r="AW66" s="21">
        <v>2.0</v>
      </c>
      <c r="AX66" s="21">
        <v>2.0</v>
      </c>
      <c r="AZ66" s="21">
        <v>5.0</v>
      </c>
      <c r="BA66" s="21">
        <v>9.0</v>
      </c>
      <c r="BI66">
        <f t="shared" si="7"/>
        <v>133</v>
      </c>
      <c r="BJ66" s="21" t="s">
        <v>1064</v>
      </c>
    </row>
    <row r="67" ht="36.75" customHeight="1">
      <c r="A67" s="29">
        <v>42390.0</v>
      </c>
      <c r="B67" s="25" t="s">
        <v>1065</v>
      </c>
      <c r="C67" s="25" t="s">
        <v>1066</v>
      </c>
      <c r="D67" s="25" t="s">
        <v>1068</v>
      </c>
      <c r="E67" s="25" t="s">
        <v>586</v>
      </c>
      <c r="F67" s="25">
        <v>29.91632</v>
      </c>
      <c r="G67" s="25">
        <v>-84.39235</v>
      </c>
      <c r="H67" s="21">
        <v>29.9001</v>
      </c>
      <c r="I67" s="21">
        <v>-84.36108</v>
      </c>
      <c r="J67" s="21" t="s">
        <v>1070</v>
      </c>
      <c r="K67" s="21" t="s">
        <v>1071</v>
      </c>
      <c r="L67" s="21">
        <v>28.0</v>
      </c>
      <c r="N67" s="21">
        <v>9.0</v>
      </c>
      <c r="O67" s="21">
        <v>5.0</v>
      </c>
      <c r="P67" s="21">
        <v>2.0</v>
      </c>
      <c r="Y67" s="21">
        <v>1.0</v>
      </c>
      <c r="Z67" s="21">
        <v>107.0</v>
      </c>
      <c r="AD67" s="21">
        <v>3.0</v>
      </c>
      <c r="AF67" s="21">
        <v>1.0</v>
      </c>
      <c r="AG67" s="21">
        <v>1.0</v>
      </c>
      <c r="AI67" s="21">
        <v>87.0</v>
      </c>
      <c r="AO67" s="21">
        <v>19.0</v>
      </c>
      <c r="AS67" s="21">
        <v>2.0</v>
      </c>
      <c r="AW67" s="21">
        <v>3.0</v>
      </c>
      <c r="AX67" s="21">
        <v>3.0</v>
      </c>
      <c r="AZ67" s="21">
        <v>145.0</v>
      </c>
      <c r="BI67">
        <f t="shared" si="7"/>
        <v>416</v>
      </c>
      <c r="BJ67" s="21" t="s">
        <v>1074</v>
      </c>
    </row>
    <row r="68" ht="36.75" customHeight="1">
      <c r="A68" s="29">
        <v>42390.0</v>
      </c>
      <c r="B68" s="25" t="s">
        <v>1065</v>
      </c>
      <c r="C68" s="25" t="s">
        <v>1066</v>
      </c>
      <c r="D68" s="21" t="s">
        <v>1075</v>
      </c>
      <c r="E68" s="21" t="s">
        <v>586</v>
      </c>
      <c r="F68" s="21">
        <v>29.83808</v>
      </c>
      <c r="G68" s="21">
        <v>-84.66172</v>
      </c>
      <c r="H68" s="21">
        <v>29.83916</v>
      </c>
      <c r="I68" s="22">
        <v>-84.65669</v>
      </c>
      <c r="J68" s="21" t="s">
        <v>1076</v>
      </c>
      <c r="K68" s="21" t="s">
        <v>1077</v>
      </c>
      <c r="N68" s="21">
        <v>1.0</v>
      </c>
      <c r="O68" s="21">
        <v>8.0</v>
      </c>
      <c r="R68" s="21">
        <v>5.0</v>
      </c>
      <c r="AA68" s="21">
        <v>2.0</v>
      </c>
      <c r="AR68" s="21">
        <v>3.0</v>
      </c>
      <c r="BA68" s="21">
        <v>1.0</v>
      </c>
      <c r="BI68">
        <f t="shared" si="7"/>
        <v>20</v>
      </c>
      <c r="BJ68" s="21" t="s">
        <v>1074</v>
      </c>
    </row>
    <row r="69" ht="36.75" customHeight="1">
      <c r="A69" s="20">
        <v>42411.0</v>
      </c>
      <c r="B69" s="21" t="s">
        <v>1081</v>
      </c>
      <c r="C69" s="21" t="s">
        <v>1082</v>
      </c>
      <c r="D69" s="21" t="s">
        <v>1083</v>
      </c>
      <c r="E69" s="21" t="s">
        <v>1084</v>
      </c>
      <c r="F69" s="21" t="s">
        <v>1085</v>
      </c>
      <c r="G69" s="21" t="s">
        <v>1086</v>
      </c>
      <c r="H69" s="21" t="s">
        <v>1087</v>
      </c>
      <c r="I69" s="22" t="s">
        <v>1088</v>
      </c>
      <c r="J69" s="21" t="s">
        <v>1090</v>
      </c>
      <c r="K69" s="21" t="s">
        <v>1091</v>
      </c>
      <c r="AX69" s="21">
        <v>4.0</v>
      </c>
      <c r="AZ69" s="21">
        <v>2.0</v>
      </c>
      <c r="BI69">
        <f t="shared" si="7"/>
        <v>6</v>
      </c>
      <c r="BJ69" s="21" t="s">
        <v>1093</v>
      </c>
    </row>
    <row r="70" ht="36.75" customHeight="1">
      <c r="A70" s="20">
        <v>42411.0</v>
      </c>
      <c r="B70" s="21" t="s">
        <v>1081</v>
      </c>
      <c r="C70" s="21" t="s">
        <v>1082</v>
      </c>
      <c r="D70" s="21" t="s">
        <v>1094</v>
      </c>
      <c r="E70" s="21" t="s">
        <v>1095</v>
      </c>
      <c r="F70" s="21" t="s">
        <v>1096</v>
      </c>
      <c r="G70" s="21" t="s">
        <v>1097</v>
      </c>
      <c r="H70" s="21" t="s">
        <v>1098</v>
      </c>
      <c r="I70" s="22" t="s">
        <v>1099</v>
      </c>
      <c r="J70" s="21" t="s">
        <v>1100</v>
      </c>
      <c r="K70" s="21" t="s">
        <v>1091</v>
      </c>
      <c r="AP70" s="21">
        <v>4.0</v>
      </c>
      <c r="AS70" s="21">
        <v>4.0</v>
      </c>
      <c r="AW70" s="21">
        <v>1.0</v>
      </c>
      <c r="AX70" s="21">
        <v>4.0</v>
      </c>
      <c r="BI70">
        <f t="shared" si="7"/>
        <v>13</v>
      </c>
      <c r="BJ70" s="21" t="s">
        <v>1093</v>
      </c>
    </row>
    <row r="71" ht="36.75" customHeight="1">
      <c r="A71" s="20">
        <v>42407.0</v>
      </c>
      <c r="B71" s="21" t="s">
        <v>161</v>
      </c>
      <c r="C71" s="21" t="s">
        <v>162</v>
      </c>
      <c r="D71" s="21" t="s">
        <v>1102</v>
      </c>
      <c r="E71" s="21" t="s">
        <v>232</v>
      </c>
      <c r="F71" s="21">
        <v>29.9251</v>
      </c>
      <c r="G71" s="21">
        <v>-85.3894</v>
      </c>
      <c r="H71" s="21">
        <v>29.8767</v>
      </c>
      <c r="I71" s="22">
        <v>-85.3606</v>
      </c>
      <c r="J71" s="21" t="s">
        <v>1103</v>
      </c>
      <c r="K71" s="21" t="s">
        <v>1104</v>
      </c>
      <c r="AA71" s="21">
        <v>1.0</v>
      </c>
      <c r="AM71" s="21">
        <v>6.0</v>
      </c>
      <c r="AO71" s="21">
        <v>1.0</v>
      </c>
      <c r="AS71" s="21">
        <v>4.0</v>
      </c>
      <c r="AW71" s="21">
        <v>3.0</v>
      </c>
      <c r="AZ71" s="21">
        <v>30.0</v>
      </c>
      <c r="BI71">
        <f t="shared" si="7"/>
        <v>45</v>
      </c>
    </row>
    <row r="72" ht="36.75" customHeight="1">
      <c r="A72" s="20">
        <v>42408.0</v>
      </c>
      <c r="B72" s="21" t="s">
        <v>161</v>
      </c>
      <c r="C72" s="21" t="s">
        <v>162</v>
      </c>
      <c r="D72" s="21" t="s">
        <v>854</v>
      </c>
      <c r="E72" s="21" t="s">
        <v>232</v>
      </c>
      <c r="F72" s="21">
        <v>29.8767</v>
      </c>
      <c r="G72" s="21">
        <v>-85.3603</v>
      </c>
      <c r="H72" s="21">
        <v>29.8506</v>
      </c>
      <c r="I72" s="22">
        <v>-85.337</v>
      </c>
      <c r="J72" s="21" t="s">
        <v>1109</v>
      </c>
      <c r="K72" s="21" t="s">
        <v>1110</v>
      </c>
      <c r="N72" s="21">
        <v>1.0</v>
      </c>
      <c r="AA72" s="21">
        <v>12.0</v>
      </c>
      <c r="AB72" s="21">
        <v>3.0</v>
      </c>
      <c r="AE72" s="21">
        <v>19.0</v>
      </c>
      <c r="AI72" s="21">
        <v>5.0</v>
      </c>
      <c r="AM72" s="21">
        <v>1.0</v>
      </c>
      <c r="AW72" s="21">
        <v>3.0</v>
      </c>
      <c r="AX72" s="21">
        <v>2.0</v>
      </c>
      <c r="AZ72" s="21">
        <v>7.0</v>
      </c>
      <c r="BI72">
        <f t="shared" si="7"/>
        <v>53</v>
      </c>
    </row>
    <row r="73" ht="36.75" customHeight="1">
      <c r="A73" s="20">
        <v>42410.0</v>
      </c>
      <c r="B73" s="21" t="s">
        <v>161</v>
      </c>
      <c r="C73" s="21" t="s">
        <v>162</v>
      </c>
      <c r="D73" s="21" t="s">
        <v>1121</v>
      </c>
      <c r="E73" s="21" t="s">
        <v>232</v>
      </c>
      <c r="F73" s="21">
        <v>29.841</v>
      </c>
      <c r="G73" s="21">
        <v>-85.32</v>
      </c>
      <c r="H73" s="21">
        <v>29.8326</v>
      </c>
      <c r="I73" s="22">
        <v>-85.314</v>
      </c>
      <c r="J73" s="21" t="s">
        <v>1124</v>
      </c>
      <c r="K73" s="21" t="s">
        <v>1125</v>
      </c>
      <c r="AO73" s="21">
        <v>2.0</v>
      </c>
      <c r="AR73" s="21">
        <v>2.0</v>
      </c>
      <c r="AW73" s="21">
        <v>1.0</v>
      </c>
      <c r="AZ73" s="21">
        <v>9.0</v>
      </c>
      <c r="BI73">
        <f t="shared" si="7"/>
        <v>14</v>
      </c>
    </row>
    <row r="74" ht="36.75" customHeight="1">
      <c r="A74" s="20">
        <v>42411.0</v>
      </c>
      <c r="B74" s="21" t="s">
        <v>161</v>
      </c>
      <c r="C74" s="21" t="s">
        <v>162</v>
      </c>
      <c r="D74" s="21" t="s">
        <v>1131</v>
      </c>
      <c r="E74" s="21" t="s">
        <v>232</v>
      </c>
      <c r="F74" s="21">
        <v>29.7593</v>
      </c>
      <c r="G74" s="21">
        <v>-85.4032</v>
      </c>
      <c r="H74" s="21">
        <v>29.6833</v>
      </c>
      <c r="I74" s="22">
        <v>-85.3666</v>
      </c>
      <c r="J74" s="21" t="s">
        <v>1132</v>
      </c>
      <c r="K74" s="21" t="s">
        <v>1133</v>
      </c>
      <c r="N74" s="21">
        <v>2.0</v>
      </c>
      <c r="Y74" s="21">
        <v>6.0</v>
      </c>
      <c r="AA74" s="21">
        <v>67.0</v>
      </c>
      <c r="AI74" s="21">
        <v>4.0</v>
      </c>
      <c r="AW74" s="21">
        <v>5.0</v>
      </c>
      <c r="AX74" s="21">
        <v>2.0</v>
      </c>
      <c r="AZ74" s="21">
        <v>47.0</v>
      </c>
      <c r="BI74">
        <f t="shared" si="7"/>
        <v>133</v>
      </c>
    </row>
    <row r="75" ht="36.75" customHeight="1">
      <c r="A75" s="29">
        <v>42406.0</v>
      </c>
      <c r="B75" s="25" t="s">
        <v>973</v>
      </c>
      <c r="C75" s="25" t="s">
        <v>975</v>
      </c>
      <c r="D75" s="25" t="s">
        <v>977</v>
      </c>
      <c r="E75" s="25" t="s">
        <v>232</v>
      </c>
      <c r="F75" s="25">
        <v>29.75942</v>
      </c>
      <c r="G75" s="25">
        <v>-85.40344</v>
      </c>
      <c r="H75" s="21">
        <v>29.87942</v>
      </c>
      <c r="I75" s="21">
        <v>-85.38428</v>
      </c>
      <c r="J75" s="21" t="s">
        <v>1138</v>
      </c>
      <c r="K75" s="21" t="s">
        <v>1140</v>
      </c>
      <c r="L75" s="21">
        <v>0.0</v>
      </c>
      <c r="M75" s="21">
        <v>0.0</v>
      </c>
      <c r="N75" s="21">
        <v>22.0</v>
      </c>
      <c r="O75" s="21">
        <v>2.0</v>
      </c>
      <c r="P75" s="21">
        <v>0.0</v>
      </c>
      <c r="Q75" s="21">
        <v>0.0</v>
      </c>
      <c r="R75" s="21">
        <v>1.0</v>
      </c>
      <c r="S75" s="21">
        <v>0.0</v>
      </c>
      <c r="T75" s="21">
        <v>0.0</v>
      </c>
      <c r="U75" s="21">
        <v>0.0</v>
      </c>
      <c r="V75" s="21">
        <v>0.0</v>
      </c>
      <c r="W75" s="21">
        <v>8.0</v>
      </c>
      <c r="X75" s="21"/>
      <c r="Y75" s="21">
        <v>0.0</v>
      </c>
      <c r="Z75" s="21">
        <v>23.0</v>
      </c>
      <c r="AA75" s="21">
        <v>193.0</v>
      </c>
      <c r="AB75" s="21">
        <v>11.0</v>
      </c>
      <c r="AC75" s="21">
        <v>0.0</v>
      </c>
      <c r="AD75" s="21">
        <v>0.0</v>
      </c>
      <c r="AE75" s="21">
        <v>49.0</v>
      </c>
      <c r="AF75" s="21">
        <v>0.0</v>
      </c>
      <c r="AG75" s="21">
        <v>0.0</v>
      </c>
      <c r="AH75" s="21">
        <v>0.0</v>
      </c>
      <c r="AI75" s="21">
        <v>75.0</v>
      </c>
      <c r="AJ75" s="21">
        <v>0.0</v>
      </c>
      <c r="AK75" s="21">
        <v>0.0</v>
      </c>
      <c r="AL75" s="21">
        <v>0.0</v>
      </c>
      <c r="AM75" s="21">
        <v>9.0</v>
      </c>
      <c r="AN75" s="21">
        <v>0.0</v>
      </c>
      <c r="AO75" s="21">
        <v>16.0</v>
      </c>
      <c r="AP75" s="21">
        <v>0.0</v>
      </c>
      <c r="AQ75" s="21">
        <v>0.0</v>
      </c>
      <c r="AR75" s="21">
        <v>0.0</v>
      </c>
      <c r="AS75" s="21">
        <v>24.0</v>
      </c>
      <c r="AT75" s="21">
        <v>0.0</v>
      </c>
      <c r="AU75" s="21">
        <v>0.0</v>
      </c>
      <c r="AV75" s="21">
        <v>0.0</v>
      </c>
      <c r="AW75" s="21">
        <v>68.0</v>
      </c>
      <c r="AX75" s="21">
        <v>16.0</v>
      </c>
      <c r="AY75" s="21">
        <v>0.0</v>
      </c>
      <c r="AZ75" s="21">
        <v>50.0</v>
      </c>
      <c r="BA75" s="21">
        <v>9.0</v>
      </c>
      <c r="BB75" s="21">
        <v>0.0</v>
      </c>
      <c r="BC75" s="21">
        <v>0.0</v>
      </c>
      <c r="BD75" s="21">
        <v>0.0</v>
      </c>
      <c r="BE75" s="21">
        <v>0.0</v>
      </c>
      <c r="BF75" s="21">
        <v>0.0</v>
      </c>
      <c r="BG75" s="21">
        <v>0.0</v>
      </c>
      <c r="BH75" s="21">
        <v>0.0</v>
      </c>
      <c r="BI75">
        <f t="shared" si="7"/>
        <v>576</v>
      </c>
      <c r="BJ75" s="21" t="s">
        <v>1145</v>
      </c>
    </row>
    <row r="76" ht="36.75" customHeight="1">
      <c r="A76" s="20">
        <v>42410.0</v>
      </c>
      <c r="B76" s="21" t="s">
        <v>229</v>
      </c>
      <c r="C76" s="21" t="s">
        <v>230</v>
      </c>
      <c r="D76" s="21" t="s">
        <v>231</v>
      </c>
      <c r="E76" s="21" t="s">
        <v>232</v>
      </c>
      <c r="F76" s="21">
        <v>29.68313</v>
      </c>
      <c r="G76" s="21">
        <v>-85.22232</v>
      </c>
      <c r="H76" s="21">
        <v>29.67594</v>
      </c>
      <c r="I76" s="22">
        <v>-85.3374</v>
      </c>
      <c r="J76" s="21" t="s">
        <v>1146</v>
      </c>
      <c r="K76" s="21" t="s">
        <v>1147</v>
      </c>
      <c r="Y76" s="21">
        <v>3.0</v>
      </c>
      <c r="AA76" s="21">
        <v>30.0</v>
      </c>
      <c r="AI76" s="21">
        <v>2.0</v>
      </c>
      <c r="AM76" s="21">
        <v>1.0</v>
      </c>
      <c r="AO76" s="21">
        <v>1.0</v>
      </c>
      <c r="BI76">
        <f t="shared" si="7"/>
        <v>37</v>
      </c>
      <c r="BJ76" s="21" t="s">
        <v>1150</v>
      </c>
    </row>
    <row r="77" ht="36.75" customHeight="1">
      <c r="A77" s="29">
        <v>42411.0</v>
      </c>
      <c r="B77" s="25" t="s">
        <v>189</v>
      </c>
      <c r="C77" s="25" t="s">
        <v>191</v>
      </c>
      <c r="D77" s="25" t="s">
        <v>1152</v>
      </c>
      <c r="E77" s="25" t="s">
        <v>232</v>
      </c>
      <c r="F77" s="25">
        <v>29.71882</v>
      </c>
      <c r="G77" s="25">
        <v>-85.30513</v>
      </c>
      <c r="H77" s="21">
        <v>29.68817</v>
      </c>
      <c r="I77" s="21">
        <v>-85.32824</v>
      </c>
      <c r="J77" s="21" t="s">
        <v>1156</v>
      </c>
      <c r="K77" s="21" t="s">
        <v>1157</v>
      </c>
      <c r="N77" s="21">
        <v>14.0</v>
      </c>
      <c r="O77" s="21">
        <v>150.0</v>
      </c>
      <c r="P77" s="21">
        <v>3.0</v>
      </c>
      <c r="R77" s="21">
        <v>19.0</v>
      </c>
      <c r="V77" s="21">
        <v>2.0</v>
      </c>
      <c r="W77" s="21">
        <v>1.0</v>
      </c>
      <c r="X77" s="21"/>
      <c r="Y77" s="21">
        <v>19.0</v>
      </c>
      <c r="Z77" s="21">
        <v>18.0</v>
      </c>
      <c r="AA77" s="21">
        <v>2.0</v>
      </c>
      <c r="AB77" s="21">
        <v>13.0</v>
      </c>
      <c r="AD77" s="21">
        <v>37.0</v>
      </c>
      <c r="AI77" s="21">
        <v>30.0</v>
      </c>
      <c r="AJ77" s="21">
        <v>1.0</v>
      </c>
      <c r="AM77" s="21">
        <v>1.0</v>
      </c>
      <c r="AO77" s="21">
        <v>2.0</v>
      </c>
      <c r="AR77" s="21">
        <v>4.0</v>
      </c>
      <c r="AS77" s="21">
        <v>5.0</v>
      </c>
      <c r="AW77" s="21">
        <v>4.0</v>
      </c>
      <c r="AX77" s="21">
        <v>2.0</v>
      </c>
      <c r="AZ77" s="21">
        <v>2.0</v>
      </c>
      <c r="BI77">
        <f t="shared" si="7"/>
        <v>329</v>
      </c>
      <c r="BJ77" s="21" t="s">
        <v>1166</v>
      </c>
    </row>
    <row r="78" ht="36.75" customHeight="1">
      <c r="A78" s="20">
        <v>42405.0</v>
      </c>
      <c r="B78" s="21" t="s">
        <v>1168</v>
      </c>
      <c r="C78" s="21" t="s">
        <v>1170</v>
      </c>
      <c r="D78" s="21" t="s">
        <v>1171</v>
      </c>
      <c r="E78" s="21" t="s">
        <v>1172</v>
      </c>
      <c r="F78" s="21" t="s">
        <v>1173</v>
      </c>
      <c r="G78" s="21" t="s">
        <v>1174</v>
      </c>
      <c r="H78" s="21" t="s">
        <v>1176</v>
      </c>
      <c r="I78" s="21" t="s">
        <v>1177</v>
      </c>
      <c r="J78" s="21" t="s">
        <v>1179</v>
      </c>
      <c r="K78" s="21" t="s">
        <v>1180</v>
      </c>
      <c r="L78" s="21">
        <v>0.0</v>
      </c>
      <c r="M78" s="21">
        <v>0.0</v>
      </c>
      <c r="N78" s="21">
        <v>0.0</v>
      </c>
      <c r="O78" s="21">
        <v>0.0</v>
      </c>
      <c r="P78" s="21">
        <v>5.0</v>
      </c>
      <c r="Q78" s="21">
        <v>24.0</v>
      </c>
      <c r="R78" s="21">
        <v>0.0</v>
      </c>
      <c r="S78" s="21">
        <v>0.0</v>
      </c>
      <c r="T78" s="21">
        <v>0.0</v>
      </c>
      <c r="U78" s="21">
        <v>90.0</v>
      </c>
      <c r="V78" s="21">
        <v>0.0</v>
      </c>
      <c r="W78" s="21">
        <v>0.0</v>
      </c>
      <c r="X78" s="21"/>
      <c r="Y78" s="21">
        <v>0.0</v>
      </c>
      <c r="Z78" s="21">
        <v>0.0</v>
      </c>
      <c r="AA78" s="21">
        <v>0.0</v>
      </c>
      <c r="AB78" s="21">
        <v>0.0</v>
      </c>
      <c r="AC78" s="21">
        <v>0.0</v>
      </c>
      <c r="AD78" s="21">
        <v>0.0</v>
      </c>
      <c r="AE78" s="21">
        <v>0.0</v>
      </c>
      <c r="AF78" s="21">
        <v>0.0</v>
      </c>
      <c r="AG78" s="21">
        <v>0.0</v>
      </c>
      <c r="AH78" s="21">
        <v>0.0</v>
      </c>
      <c r="AI78" s="21">
        <v>0.0</v>
      </c>
      <c r="AJ78" s="21">
        <v>0.0</v>
      </c>
      <c r="AK78" s="21">
        <v>0.0</v>
      </c>
      <c r="AL78" s="21">
        <v>200.0</v>
      </c>
      <c r="AM78" s="21">
        <v>0.0</v>
      </c>
      <c r="AN78" s="21">
        <v>0.0</v>
      </c>
      <c r="AO78" s="21">
        <v>0.0</v>
      </c>
      <c r="AP78" s="21">
        <v>19.0</v>
      </c>
      <c r="AQ78" s="21">
        <v>0.0</v>
      </c>
      <c r="AR78" s="21">
        <v>272.0</v>
      </c>
      <c r="AS78" s="21">
        <v>0.0</v>
      </c>
      <c r="AT78" s="21">
        <v>0.0</v>
      </c>
      <c r="AU78" s="21">
        <v>0.0</v>
      </c>
      <c r="AV78" s="21">
        <v>0.0</v>
      </c>
      <c r="AW78" s="21">
        <v>0.0</v>
      </c>
      <c r="AX78" s="21">
        <v>1.0</v>
      </c>
      <c r="AY78" s="21">
        <v>0.0</v>
      </c>
      <c r="AZ78" s="21">
        <v>0.0</v>
      </c>
      <c r="BA78" s="21">
        <v>0.0</v>
      </c>
      <c r="BB78" s="21">
        <v>0.0</v>
      </c>
      <c r="BC78" s="21">
        <v>0.0</v>
      </c>
      <c r="BD78" s="21">
        <v>38.0</v>
      </c>
      <c r="BE78" s="21">
        <v>0.0</v>
      </c>
      <c r="BF78" s="21">
        <v>0.0</v>
      </c>
      <c r="BG78" s="21">
        <v>50.0</v>
      </c>
      <c r="BH78" s="21">
        <v>0.0</v>
      </c>
      <c r="BI78">
        <f t="shared" si="7"/>
        <v>699</v>
      </c>
      <c r="BJ78" s="21" t="s">
        <v>1189</v>
      </c>
    </row>
    <row r="79" ht="36.75" customHeight="1">
      <c r="A79" s="20">
        <v>42405.0</v>
      </c>
      <c r="B79" s="21" t="s">
        <v>631</v>
      </c>
      <c r="C79" s="21" t="s">
        <v>633</v>
      </c>
      <c r="D79" s="21" t="s">
        <v>634</v>
      </c>
      <c r="E79" s="21" t="s">
        <v>635</v>
      </c>
      <c r="F79" s="21">
        <v>28.496423</v>
      </c>
      <c r="G79" s="21">
        <v>-82.665813</v>
      </c>
      <c r="H79" s="21">
        <v>28.496423</v>
      </c>
      <c r="I79" s="22">
        <v>-82.665813</v>
      </c>
      <c r="J79" s="21" t="s">
        <v>637</v>
      </c>
      <c r="K79" s="21" t="s">
        <v>638</v>
      </c>
      <c r="V79" s="21">
        <v>3.0</v>
      </c>
      <c r="AF79" s="21">
        <v>1.0</v>
      </c>
      <c r="AI79" s="21">
        <v>23.0</v>
      </c>
      <c r="AO79" s="21">
        <v>5.0</v>
      </c>
      <c r="AS79" s="21">
        <v>1.0</v>
      </c>
      <c r="AX79" s="21">
        <v>90.0</v>
      </c>
      <c r="AZ79" s="21">
        <v>4.0</v>
      </c>
      <c r="BI79">
        <f t="shared" si="7"/>
        <v>127</v>
      </c>
    </row>
    <row r="80" ht="36.75" customHeight="1">
      <c r="A80" s="20">
        <v>42405.0</v>
      </c>
      <c r="B80" s="21" t="s">
        <v>631</v>
      </c>
      <c r="C80" s="21" t="s">
        <v>633</v>
      </c>
      <c r="D80" s="21" t="s">
        <v>1197</v>
      </c>
      <c r="E80" s="21" t="s">
        <v>635</v>
      </c>
      <c r="F80" s="21">
        <v>28.570087</v>
      </c>
      <c r="G80" s="21">
        <v>-82.644396</v>
      </c>
      <c r="H80" s="21">
        <v>28.574292</v>
      </c>
      <c r="I80" s="22">
        <v>-82.654565</v>
      </c>
      <c r="J80" s="21" t="s">
        <v>1199</v>
      </c>
      <c r="K80" s="21" t="s">
        <v>1200</v>
      </c>
      <c r="AZ80" s="21">
        <v>26.0</v>
      </c>
      <c r="BD80" s="21">
        <v>3.0</v>
      </c>
      <c r="BI80">
        <f t="shared" si="7"/>
        <v>29</v>
      </c>
    </row>
    <row r="81" ht="36.75" customHeight="1">
      <c r="A81" s="20">
        <v>42405.0</v>
      </c>
      <c r="B81" s="21" t="s">
        <v>631</v>
      </c>
      <c r="C81" s="21" t="s">
        <v>633</v>
      </c>
      <c r="D81" s="21" t="s">
        <v>643</v>
      </c>
      <c r="E81" s="21" t="s">
        <v>635</v>
      </c>
      <c r="F81" s="21">
        <v>28.569062</v>
      </c>
      <c r="G81" s="21">
        <v>-82.65641</v>
      </c>
      <c r="H81" s="21">
        <v>28.568543</v>
      </c>
      <c r="I81" s="22">
        <v>-82.655072</v>
      </c>
      <c r="J81" s="21" t="s">
        <v>648</v>
      </c>
      <c r="K81" s="21" t="s">
        <v>650</v>
      </c>
      <c r="O81" s="21">
        <v>109.0</v>
      </c>
      <c r="R81" s="21">
        <v>27.0</v>
      </c>
      <c r="Z81" s="21">
        <v>19.0</v>
      </c>
      <c r="AA81" s="21">
        <v>5.0</v>
      </c>
      <c r="AG81" s="21">
        <v>1.0</v>
      </c>
      <c r="AI81" s="21">
        <v>25.0</v>
      </c>
      <c r="AL81" s="21">
        <v>53.0</v>
      </c>
      <c r="AO81" s="21">
        <v>1.0</v>
      </c>
      <c r="AP81" s="21">
        <v>1.0</v>
      </c>
      <c r="AX81" s="21">
        <v>295.0</v>
      </c>
      <c r="AZ81" s="21">
        <v>38.0</v>
      </c>
      <c r="BA81" s="21">
        <v>35.0</v>
      </c>
      <c r="BI81">
        <f t="shared" si="7"/>
        <v>609</v>
      </c>
    </row>
    <row r="82" ht="36.75" customHeight="1">
      <c r="A82" s="20">
        <v>42405.0</v>
      </c>
      <c r="B82" s="21" t="s">
        <v>631</v>
      </c>
      <c r="C82" s="21" t="s">
        <v>633</v>
      </c>
      <c r="D82" s="21" t="s">
        <v>1207</v>
      </c>
      <c r="E82" s="21" t="s">
        <v>635</v>
      </c>
      <c r="F82" s="21">
        <v>28.5359</v>
      </c>
      <c r="G82" s="21">
        <v>-82.652142</v>
      </c>
      <c r="H82" s="21">
        <v>28.534069</v>
      </c>
      <c r="I82" s="22">
        <v>-82.649905</v>
      </c>
      <c r="J82" s="21" t="s">
        <v>1210</v>
      </c>
      <c r="K82" s="21" t="s">
        <v>650</v>
      </c>
      <c r="Z82" s="21">
        <v>1.0</v>
      </c>
      <c r="AO82" s="21">
        <v>3.0</v>
      </c>
      <c r="AR82" s="21">
        <v>19.0</v>
      </c>
      <c r="AS82" s="21">
        <v>4.0</v>
      </c>
      <c r="AX82" s="21">
        <v>8.0</v>
      </c>
      <c r="AZ82" s="21">
        <v>15.0</v>
      </c>
      <c r="BA82" s="21">
        <v>1.0</v>
      </c>
      <c r="BI82">
        <f t="shared" si="7"/>
        <v>51</v>
      </c>
    </row>
    <row r="83" ht="36.75" customHeight="1">
      <c r="A83" s="20">
        <v>42408.0</v>
      </c>
      <c r="B83" s="21" t="s">
        <v>1081</v>
      </c>
      <c r="C83" s="21" t="s">
        <v>1082</v>
      </c>
      <c r="D83" s="21" t="s">
        <v>1215</v>
      </c>
      <c r="E83" s="21" t="s">
        <v>1216</v>
      </c>
      <c r="F83" s="21" t="s">
        <v>1217</v>
      </c>
      <c r="G83" s="21" t="s">
        <v>1218</v>
      </c>
      <c r="H83" s="21" t="s">
        <v>1219</v>
      </c>
      <c r="I83" s="22" t="s">
        <v>1220</v>
      </c>
      <c r="J83" s="21" t="s">
        <v>1221</v>
      </c>
      <c r="K83" s="21" t="s">
        <v>1091</v>
      </c>
      <c r="P83" s="21">
        <v>3.0</v>
      </c>
      <c r="S83" s="21">
        <v>10.0</v>
      </c>
      <c r="BI83">
        <f t="shared" si="7"/>
        <v>13</v>
      </c>
      <c r="BJ83" s="21" t="s">
        <v>1226</v>
      </c>
    </row>
    <row r="84" ht="36.75" customHeight="1">
      <c r="A84" s="20">
        <v>42405.0</v>
      </c>
      <c r="B84" s="21" t="s">
        <v>1227</v>
      </c>
      <c r="C84" s="21" t="s">
        <v>545</v>
      </c>
      <c r="D84" s="21" t="s">
        <v>1228</v>
      </c>
      <c r="E84" s="21" t="s">
        <v>1229</v>
      </c>
      <c r="F84" s="21">
        <v>27.86006</v>
      </c>
      <c r="G84" s="21">
        <v>-82.38501</v>
      </c>
      <c r="H84" s="21">
        <v>27.86006</v>
      </c>
      <c r="I84" s="22">
        <v>-82.38501</v>
      </c>
      <c r="J84" s="21" t="s">
        <v>1230</v>
      </c>
      <c r="K84" s="21" t="s">
        <v>1232</v>
      </c>
      <c r="L84" s="21">
        <v>15.0</v>
      </c>
      <c r="M84" s="21">
        <v>51.0</v>
      </c>
      <c r="N84" s="21">
        <v>101.0</v>
      </c>
      <c r="O84" s="21">
        <v>53.0</v>
      </c>
      <c r="R84" s="21">
        <v>7.0</v>
      </c>
      <c r="S84" s="21">
        <v>1.0</v>
      </c>
      <c r="T84" s="21">
        <v>2.0</v>
      </c>
      <c r="Z84" s="21">
        <v>6.0</v>
      </c>
      <c r="AB84" s="21">
        <v>40.0</v>
      </c>
      <c r="AF84" s="21">
        <v>6.0</v>
      </c>
      <c r="AI84" s="21">
        <v>17.0</v>
      </c>
      <c r="AM84" s="21">
        <v>1.0</v>
      </c>
      <c r="AO84" s="21">
        <v>253.0</v>
      </c>
      <c r="AP84" s="21">
        <v>3.0</v>
      </c>
      <c r="AR84" s="21">
        <v>144.0</v>
      </c>
      <c r="AS84" s="21">
        <v>53.0</v>
      </c>
      <c r="AW84" s="21">
        <v>11.0</v>
      </c>
      <c r="AX84" s="21">
        <v>511.0</v>
      </c>
      <c r="AZ84" s="21">
        <v>472.0</v>
      </c>
      <c r="BA84" s="21">
        <v>10.0</v>
      </c>
      <c r="BB84" s="21">
        <v>2.0</v>
      </c>
      <c r="BD84" s="21">
        <v>262.0</v>
      </c>
      <c r="BF84" s="21">
        <v>1200.0</v>
      </c>
      <c r="BI84">
        <f t="shared" si="7"/>
        <v>3221</v>
      </c>
      <c r="BJ84" s="21" t="s">
        <v>1240</v>
      </c>
    </row>
    <row r="85" ht="36.75" customHeight="1">
      <c r="A85" s="20">
        <v>42405.0</v>
      </c>
      <c r="B85" s="21" t="s">
        <v>1242</v>
      </c>
      <c r="C85" s="21" t="s">
        <v>1243</v>
      </c>
      <c r="D85" s="21" t="s">
        <v>1245</v>
      </c>
      <c r="E85" s="21" t="s">
        <v>853</v>
      </c>
      <c r="F85" s="21">
        <v>27.76775</v>
      </c>
      <c r="G85" s="21">
        <v>-80.52157</v>
      </c>
      <c r="H85" s="21">
        <v>27.81008</v>
      </c>
      <c r="I85" s="22">
        <v>-80.51618</v>
      </c>
      <c r="J85" s="21" t="s">
        <v>1247</v>
      </c>
      <c r="K85" s="21" t="s">
        <v>1248</v>
      </c>
      <c r="Q85" s="21">
        <v>9.0</v>
      </c>
      <c r="AK85" s="21">
        <v>1.0</v>
      </c>
      <c r="BI85">
        <f t="shared" si="7"/>
        <v>10</v>
      </c>
      <c r="BJ85" s="21" t="s">
        <v>1257</v>
      </c>
    </row>
    <row r="86" ht="36.75" customHeight="1">
      <c r="A86" s="20">
        <v>42409.0</v>
      </c>
      <c r="B86" s="21" t="s">
        <v>1242</v>
      </c>
      <c r="C86" s="21" t="s">
        <v>1243</v>
      </c>
      <c r="D86" s="21" t="s">
        <v>1259</v>
      </c>
      <c r="E86" s="21" t="s">
        <v>853</v>
      </c>
      <c r="F86" s="21">
        <v>27.62738</v>
      </c>
      <c r="G86" s="21">
        <v>-80.3966</v>
      </c>
      <c r="H86" s="21">
        <v>27.62738</v>
      </c>
      <c r="I86" s="22">
        <v>-80.3966</v>
      </c>
      <c r="J86" s="21" t="s">
        <v>1266</v>
      </c>
      <c r="Q86" s="21">
        <v>37.0</v>
      </c>
      <c r="BI86">
        <f t="shared" si="7"/>
        <v>37</v>
      </c>
    </row>
    <row r="87" ht="36.75" customHeight="1">
      <c r="A87" s="20">
        <v>42410.0</v>
      </c>
      <c r="B87" s="21" t="s">
        <v>395</v>
      </c>
      <c r="C87" s="21" t="s">
        <v>1271</v>
      </c>
      <c r="D87" s="21" t="s">
        <v>1274</v>
      </c>
      <c r="E87" s="21" t="s">
        <v>853</v>
      </c>
      <c r="F87" s="21" t="s">
        <v>855</v>
      </c>
      <c r="G87" s="21" t="s">
        <v>856</v>
      </c>
      <c r="H87" s="21" t="s">
        <v>858</v>
      </c>
      <c r="I87" s="22" t="s">
        <v>859</v>
      </c>
      <c r="J87" s="21" t="s">
        <v>1280</v>
      </c>
      <c r="K87" s="21" t="s">
        <v>1281</v>
      </c>
      <c r="Z87" s="21">
        <v>4.0</v>
      </c>
      <c r="AA87" s="21">
        <v>55.0</v>
      </c>
      <c r="AG87" s="21">
        <v>150.0</v>
      </c>
      <c r="AI87" s="21">
        <v>18.0</v>
      </c>
      <c r="AO87" s="21">
        <v>14.0</v>
      </c>
      <c r="AR87" s="21">
        <v>1.0</v>
      </c>
      <c r="AS87" s="21">
        <v>10.0</v>
      </c>
      <c r="AW87" s="21">
        <v>5.0</v>
      </c>
      <c r="AX87" s="21">
        <v>1.0</v>
      </c>
      <c r="AZ87" s="21">
        <v>20.0</v>
      </c>
      <c r="BA87" s="21">
        <v>85.0</v>
      </c>
      <c r="BI87">
        <f t="shared" si="7"/>
        <v>363</v>
      </c>
      <c r="BJ87" s="21" t="s">
        <v>1292</v>
      </c>
    </row>
    <row r="88" ht="36.75" customHeight="1">
      <c r="A88" s="20">
        <v>42411.0</v>
      </c>
      <c r="B88" s="21" t="s">
        <v>395</v>
      </c>
      <c r="C88" s="21" t="s">
        <v>851</v>
      </c>
      <c r="D88" s="21" t="s">
        <v>1297</v>
      </c>
      <c r="E88" s="21" t="s">
        <v>853</v>
      </c>
      <c r="F88" s="21" t="s">
        <v>1301</v>
      </c>
      <c r="G88" s="21" t="s">
        <v>1302</v>
      </c>
      <c r="H88" s="21" t="s">
        <v>1304</v>
      </c>
      <c r="I88" s="22" t="s">
        <v>1306</v>
      </c>
      <c r="J88" s="21" t="s">
        <v>1308</v>
      </c>
      <c r="K88" s="21" t="s">
        <v>1309</v>
      </c>
      <c r="L88" s="21">
        <v>0.0</v>
      </c>
      <c r="M88" s="21">
        <v>0.0</v>
      </c>
      <c r="N88" s="21">
        <v>0.0</v>
      </c>
      <c r="O88" s="21">
        <v>0.0</v>
      </c>
      <c r="P88" s="21">
        <v>0.0</v>
      </c>
      <c r="Q88" s="21">
        <v>0.0</v>
      </c>
      <c r="R88" s="21">
        <v>0.0</v>
      </c>
      <c r="S88" s="21">
        <v>0.0</v>
      </c>
      <c r="T88" s="21">
        <v>0.0</v>
      </c>
      <c r="U88" s="21">
        <v>0.0</v>
      </c>
      <c r="V88" s="21">
        <v>0.0</v>
      </c>
      <c r="W88" s="21">
        <v>0.0</v>
      </c>
      <c r="X88" s="21"/>
      <c r="Y88" s="21">
        <v>0.0</v>
      </c>
      <c r="Z88" s="21">
        <v>0.0</v>
      </c>
      <c r="AA88" s="21">
        <v>30.0</v>
      </c>
      <c r="AB88" s="21">
        <v>0.0</v>
      </c>
      <c r="AC88" s="21">
        <v>0.0</v>
      </c>
      <c r="AD88" s="21">
        <v>0.0</v>
      </c>
      <c r="AE88" s="21">
        <v>0.0</v>
      </c>
      <c r="AF88" s="21">
        <v>0.0</v>
      </c>
      <c r="AG88" s="21">
        <v>0.0</v>
      </c>
      <c r="AH88" s="21">
        <v>0.0</v>
      </c>
      <c r="AI88" s="21">
        <v>5.0</v>
      </c>
      <c r="AJ88" s="21">
        <v>1.0</v>
      </c>
      <c r="AK88" s="21">
        <v>0.0</v>
      </c>
      <c r="AL88" s="21">
        <v>0.0</v>
      </c>
      <c r="AM88" s="21">
        <v>20.0</v>
      </c>
      <c r="AN88" s="21">
        <v>0.0</v>
      </c>
      <c r="AO88" s="21">
        <v>17.0</v>
      </c>
      <c r="AP88" s="21">
        <v>0.0</v>
      </c>
      <c r="AQ88" s="21">
        <v>0.0</v>
      </c>
      <c r="AR88" s="21">
        <v>1.0</v>
      </c>
      <c r="AS88" s="21">
        <v>16.0</v>
      </c>
      <c r="AT88" s="21">
        <v>0.0</v>
      </c>
      <c r="AU88" s="21">
        <v>0.0</v>
      </c>
      <c r="AV88" s="21">
        <v>0.0</v>
      </c>
      <c r="AW88" s="21">
        <v>2.0</v>
      </c>
      <c r="AX88" s="21">
        <v>3.0</v>
      </c>
      <c r="AY88" s="21">
        <v>0.0</v>
      </c>
      <c r="AZ88" s="21">
        <v>14.0</v>
      </c>
      <c r="BA88" s="21">
        <v>31.0</v>
      </c>
      <c r="BB88" s="21">
        <v>0.0</v>
      </c>
      <c r="BC88" s="21">
        <v>0.0</v>
      </c>
      <c r="BD88" s="21">
        <v>0.0</v>
      </c>
      <c r="BE88" s="21">
        <v>0.0</v>
      </c>
      <c r="BF88" s="21">
        <v>0.0</v>
      </c>
      <c r="BG88" s="21">
        <v>0.0</v>
      </c>
      <c r="BH88" s="21">
        <v>0.0</v>
      </c>
      <c r="BI88">
        <f t="shared" si="7"/>
        <v>140</v>
      </c>
      <c r="BJ88" s="21" t="s">
        <v>1329</v>
      </c>
    </row>
    <row r="89" ht="36.75" customHeight="1">
      <c r="A89" s="20">
        <v>42411.0</v>
      </c>
      <c r="B89" s="21" t="s">
        <v>1333</v>
      </c>
      <c r="C89" s="21" t="s">
        <v>1335</v>
      </c>
      <c r="D89" s="21" t="s">
        <v>1336</v>
      </c>
      <c r="E89" s="21" t="s">
        <v>464</v>
      </c>
      <c r="F89" s="21">
        <v>26.4593</v>
      </c>
      <c r="G89" s="21">
        <v>-82.2014</v>
      </c>
      <c r="H89" s="21">
        <v>26.464</v>
      </c>
      <c r="I89" s="22">
        <v>-82.1574</v>
      </c>
      <c r="J89" s="21" t="s">
        <v>1339</v>
      </c>
      <c r="K89" s="21" t="s">
        <v>1341</v>
      </c>
      <c r="AA89" s="21">
        <v>10.0</v>
      </c>
      <c r="AE89" s="21">
        <v>2.0</v>
      </c>
      <c r="AJ89" s="21">
        <v>3.0</v>
      </c>
      <c r="AW89" s="21">
        <v>67.0</v>
      </c>
      <c r="AX89" s="21">
        <v>1.0</v>
      </c>
      <c r="AY89" s="21">
        <v>1.0</v>
      </c>
      <c r="AZ89" s="21">
        <v>94.0</v>
      </c>
      <c r="BA89" s="21">
        <v>96.0</v>
      </c>
      <c r="BI89">
        <f t="shared" si="7"/>
        <v>274</v>
      </c>
    </row>
    <row r="90" ht="36.75" customHeight="1">
      <c r="A90" s="20">
        <v>42410.0</v>
      </c>
      <c r="B90" s="21" t="s">
        <v>1349</v>
      </c>
      <c r="C90" s="21" t="s">
        <v>526</v>
      </c>
      <c r="D90" s="21" t="s">
        <v>1350</v>
      </c>
      <c r="E90" s="21" t="s">
        <v>464</v>
      </c>
      <c r="F90" s="21">
        <v>26.71891</v>
      </c>
      <c r="G90" s="21">
        <v>-82.2587</v>
      </c>
      <c r="H90" s="21">
        <v>26.72724</v>
      </c>
      <c r="I90" s="22">
        <v>-82.26398</v>
      </c>
      <c r="J90" s="21" t="s">
        <v>1351</v>
      </c>
      <c r="K90" s="21" t="s">
        <v>1352</v>
      </c>
      <c r="AO90" s="21">
        <v>10.0</v>
      </c>
      <c r="AR90" s="21">
        <v>10.0</v>
      </c>
      <c r="AW90" s="21">
        <v>3.0</v>
      </c>
      <c r="AX90" s="21">
        <v>16.0</v>
      </c>
      <c r="AZ90" s="21">
        <v>3.0</v>
      </c>
      <c r="BA90" s="21">
        <v>20.0</v>
      </c>
      <c r="BI90">
        <f t="shared" si="7"/>
        <v>62</v>
      </c>
    </row>
    <row r="91" ht="36.75" customHeight="1">
      <c r="A91" s="20">
        <v>42406.0</v>
      </c>
      <c r="B91" s="21" t="s">
        <v>1355</v>
      </c>
      <c r="C91" s="21" t="s">
        <v>1355</v>
      </c>
      <c r="D91" s="21" t="s">
        <v>1356</v>
      </c>
      <c r="E91" s="21" t="s">
        <v>464</v>
      </c>
      <c r="F91" s="21">
        <v>26.789481</v>
      </c>
      <c r="G91" s="21">
        <v>-82.272273</v>
      </c>
      <c r="H91" s="21">
        <v>26.71962</v>
      </c>
      <c r="I91" s="22">
        <v>26.71962</v>
      </c>
      <c r="J91" s="21">
        <v>26.71962</v>
      </c>
      <c r="K91" s="21" t="s">
        <v>1358</v>
      </c>
      <c r="N91" s="21">
        <v>19.0</v>
      </c>
      <c r="O91" s="21">
        <v>2.0</v>
      </c>
      <c r="Z91" s="21">
        <v>15.0</v>
      </c>
      <c r="AA91" s="21">
        <v>86.0</v>
      </c>
      <c r="AI91" s="21">
        <v>3.0</v>
      </c>
      <c r="AO91" s="21">
        <v>21.0</v>
      </c>
      <c r="AR91" s="21">
        <v>29.0</v>
      </c>
      <c r="AW91" s="21">
        <v>13.0</v>
      </c>
      <c r="AX91" s="21">
        <v>177.0</v>
      </c>
      <c r="AZ91" s="21">
        <v>139.0</v>
      </c>
      <c r="BA91" s="21">
        <v>158.0</v>
      </c>
      <c r="BI91">
        <f t="shared" si="7"/>
        <v>662</v>
      </c>
    </row>
    <row r="92" ht="36.75" customHeight="1">
      <c r="A92" s="20">
        <v>42411.0</v>
      </c>
      <c r="B92" s="21" t="s">
        <v>1367</v>
      </c>
      <c r="C92" s="21" t="s">
        <v>1371</v>
      </c>
      <c r="D92" s="21" t="s">
        <v>1373</v>
      </c>
      <c r="E92" s="21" t="s">
        <v>464</v>
      </c>
      <c r="F92" s="21">
        <v>26.5514</v>
      </c>
      <c r="G92" s="21">
        <v>-82.2014</v>
      </c>
      <c r="H92" s="21">
        <v>26.4828</v>
      </c>
      <c r="I92" s="22">
        <v>-82.1829</v>
      </c>
      <c r="J92" s="21" t="s">
        <v>1374</v>
      </c>
      <c r="K92" s="21" t="s">
        <v>1375</v>
      </c>
      <c r="Z92" s="21">
        <v>1.0</v>
      </c>
      <c r="AA92" s="21">
        <v>29.0</v>
      </c>
      <c r="AE92" s="21">
        <v>2.0</v>
      </c>
      <c r="AL92" s="21">
        <v>75.0</v>
      </c>
      <c r="AX92" s="21">
        <v>8.0</v>
      </c>
      <c r="AZ92" s="21">
        <v>44.0</v>
      </c>
      <c r="BA92" s="21">
        <v>54.0</v>
      </c>
      <c r="BI92">
        <f t="shared" si="7"/>
        <v>213</v>
      </c>
    </row>
    <row r="93" ht="36.75" customHeight="1">
      <c r="A93" s="20">
        <v>42409.0</v>
      </c>
      <c r="B93" s="21" t="s">
        <v>459</v>
      </c>
      <c r="C93" s="21" t="s">
        <v>461</v>
      </c>
      <c r="D93" s="21" t="s">
        <v>463</v>
      </c>
      <c r="E93" s="21" t="s">
        <v>464</v>
      </c>
      <c r="F93" s="21">
        <v>26.470344</v>
      </c>
      <c r="G93" s="21">
        <v>-81.960317</v>
      </c>
      <c r="H93" s="21">
        <v>26.477887</v>
      </c>
      <c r="I93" s="22">
        <v>81.972354</v>
      </c>
      <c r="J93" s="21" t="s">
        <v>1379</v>
      </c>
      <c r="K93" s="21" t="s">
        <v>1380</v>
      </c>
      <c r="N93" s="21">
        <v>5.0</v>
      </c>
      <c r="O93" s="21">
        <v>25.0</v>
      </c>
      <c r="V93" s="21">
        <v>5.0</v>
      </c>
      <c r="W93" s="21">
        <v>4.0</v>
      </c>
      <c r="X93" s="21"/>
      <c r="Y93" s="21">
        <v>2.0</v>
      </c>
      <c r="Z93" s="21">
        <v>2.0</v>
      </c>
      <c r="AA93" s="21">
        <v>35.0</v>
      </c>
      <c r="AB93" s="21">
        <v>12.0</v>
      </c>
      <c r="AD93" s="21">
        <v>26.0</v>
      </c>
      <c r="AF93" s="21">
        <v>1.0</v>
      </c>
      <c r="AG93" s="21">
        <v>24.0</v>
      </c>
      <c r="AI93" s="21">
        <v>45.0</v>
      </c>
      <c r="AJ93" s="21">
        <v>2.0</v>
      </c>
      <c r="AL93" s="21">
        <v>40.0</v>
      </c>
      <c r="AO93" s="21">
        <v>2.0</v>
      </c>
      <c r="AR93" s="21">
        <v>1.0</v>
      </c>
      <c r="AX93" s="21">
        <v>7.0</v>
      </c>
      <c r="AZ93" s="21">
        <v>2.0</v>
      </c>
      <c r="BA93" s="21">
        <v>5.0</v>
      </c>
      <c r="BD93" s="21">
        <v>4.0</v>
      </c>
      <c r="BI93">
        <f t="shared" si="7"/>
        <v>249</v>
      </c>
    </row>
    <row r="94" ht="36.75" customHeight="1">
      <c r="A94" s="20">
        <v>42411.0</v>
      </c>
      <c r="B94" s="21" t="s">
        <v>1385</v>
      </c>
      <c r="C94" s="21" t="s">
        <v>1386</v>
      </c>
      <c r="D94" s="21" t="s">
        <v>1387</v>
      </c>
      <c r="E94" s="21" t="s">
        <v>464</v>
      </c>
      <c r="F94" s="21">
        <v>26.4628</v>
      </c>
      <c r="G94" s="21">
        <v>-82.0152</v>
      </c>
      <c r="H94" s="21">
        <v>26.4219</v>
      </c>
      <c r="I94" s="22">
        <v>-82.0797</v>
      </c>
      <c r="J94" s="21" t="s">
        <v>1388</v>
      </c>
      <c r="K94" s="21" t="s">
        <v>1389</v>
      </c>
      <c r="N94" s="21">
        <v>22.0</v>
      </c>
      <c r="O94" s="21">
        <v>1.0</v>
      </c>
      <c r="Z94" s="21">
        <v>59.0</v>
      </c>
      <c r="AA94" s="21">
        <v>452.0</v>
      </c>
      <c r="AE94" s="21">
        <v>9.0</v>
      </c>
      <c r="AI94" s="21">
        <v>60.0</v>
      </c>
      <c r="AO94" s="21">
        <v>181.0</v>
      </c>
      <c r="AW94" s="21">
        <v>39.0</v>
      </c>
      <c r="AX94" s="21">
        <v>944.0</v>
      </c>
      <c r="AY94" s="21">
        <v>11.0</v>
      </c>
      <c r="AZ94" s="21">
        <v>393.0</v>
      </c>
      <c r="BA94" s="21">
        <v>207.0</v>
      </c>
      <c r="BI94">
        <f t="shared" si="7"/>
        <v>2378</v>
      </c>
    </row>
    <row r="95" ht="36.75" customHeight="1">
      <c r="A95" s="20">
        <v>42408.0</v>
      </c>
      <c r="B95" s="21" t="s">
        <v>1391</v>
      </c>
      <c r="C95" s="21" t="s">
        <v>1392</v>
      </c>
      <c r="D95" s="21" t="s">
        <v>1393</v>
      </c>
      <c r="E95" s="21" t="s">
        <v>464</v>
      </c>
      <c r="F95" s="21">
        <v>26.43915</v>
      </c>
      <c r="G95" s="21">
        <v>-81.925696</v>
      </c>
      <c r="H95" s="21">
        <v>26.415767</v>
      </c>
      <c r="I95" s="22">
        <v>-81.904526</v>
      </c>
      <c r="J95" s="21" t="s">
        <v>1394</v>
      </c>
      <c r="K95" s="21" t="s">
        <v>1395</v>
      </c>
      <c r="L95" s="21">
        <v>2.0</v>
      </c>
      <c r="N95" s="21">
        <v>4.0</v>
      </c>
      <c r="Z95" s="21">
        <v>28.0</v>
      </c>
      <c r="AA95" s="21">
        <v>68.0</v>
      </c>
      <c r="AB95" s="21"/>
      <c r="AI95" s="21">
        <v>11.0</v>
      </c>
      <c r="AL95" s="21">
        <v>1.0</v>
      </c>
      <c r="AW95" s="21">
        <v>1.0</v>
      </c>
      <c r="AX95" s="21">
        <v>57.0</v>
      </c>
      <c r="AZ95" s="21">
        <v>32.0</v>
      </c>
      <c r="BA95" s="21">
        <v>24.0</v>
      </c>
      <c r="BI95">
        <f t="shared" si="7"/>
        <v>228</v>
      </c>
      <c r="BJ95" s="21" t="s">
        <v>1398</v>
      </c>
    </row>
    <row r="96" ht="36.75" customHeight="1">
      <c r="A96" s="20">
        <v>42408.0</v>
      </c>
      <c r="B96" s="21" t="s">
        <v>1524</v>
      </c>
      <c r="C96" s="21" t="s">
        <v>1392</v>
      </c>
      <c r="D96" s="21" t="s">
        <v>1526</v>
      </c>
      <c r="E96" s="21" t="s">
        <v>464</v>
      </c>
      <c r="F96" s="21">
        <v>26.43915</v>
      </c>
      <c r="G96" s="21">
        <v>-81.925696</v>
      </c>
      <c r="H96" s="21">
        <v>26.274771</v>
      </c>
      <c r="I96" s="22">
        <v>-81.5759</v>
      </c>
      <c r="J96" s="21" t="s">
        <v>1531</v>
      </c>
      <c r="K96" s="21" t="s">
        <v>1532</v>
      </c>
      <c r="L96" s="21">
        <v>1.0</v>
      </c>
      <c r="N96" s="21"/>
      <c r="W96" s="21">
        <v>7.0</v>
      </c>
      <c r="X96" s="21"/>
      <c r="Z96" s="21">
        <v>12.0</v>
      </c>
      <c r="AA96" s="21">
        <v>140.0</v>
      </c>
      <c r="AB96" s="21">
        <v>2.0</v>
      </c>
      <c r="AE96" s="21">
        <v>3.0</v>
      </c>
      <c r="AI96" s="21">
        <v>17.0</v>
      </c>
      <c r="AL96" s="21"/>
      <c r="AW96" s="21"/>
      <c r="AX96" s="21">
        <v>63.0</v>
      </c>
      <c r="AZ96" s="21">
        <v>19.0</v>
      </c>
      <c r="BA96" s="21">
        <v>7.0</v>
      </c>
      <c r="BB96" s="21">
        <v>1.0</v>
      </c>
      <c r="BF96" s="21">
        <v>1.0</v>
      </c>
      <c r="BI96">
        <f t="shared" si="7"/>
        <v>273</v>
      </c>
      <c r="BJ96" s="21" t="s">
        <v>1537</v>
      </c>
    </row>
    <row r="97" ht="36.75" customHeight="1">
      <c r="A97" s="20">
        <v>42410.0</v>
      </c>
      <c r="B97" s="21" t="s">
        <v>1539</v>
      </c>
      <c r="C97" s="21" t="s">
        <v>1540</v>
      </c>
      <c r="D97" s="21" t="s">
        <v>1542</v>
      </c>
      <c r="E97" s="21" t="s">
        <v>1543</v>
      </c>
      <c r="F97" s="21">
        <v>27.40048</v>
      </c>
      <c r="G97" s="21">
        <v>-82.65096</v>
      </c>
      <c r="H97" s="21">
        <v>27.44085</v>
      </c>
      <c r="I97" s="22">
        <v>-82.68646</v>
      </c>
      <c r="J97" s="21" t="s">
        <v>1544</v>
      </c>
      <c r="K97" s="21" t="s">
        <v>1545</v>
      </c>
      <c r="AA97" s="21">
        <v>78.0</v>
      </c>
      <c r="AG97" s="21">
        <v>1.0</v>
      </c>
      <c r="AI97" s="21">
        <v>4.0</v>
      </c>
      <c r="AL97" s="21">
        <v>12.0</v>
      </c>
      <c r="AO97" s="21">
        <v>8.0</v>
      </c>
      <c r="AR97" s="21">
        <v>10.0</v>
      </c>
      <c r="AS97" s="21">
        <v>1.0</v>
      </c>
      <c r="AW97" s="21">
        <v>21.0</v>
      </c>
      <c r="AX97" s="21">
        <v>20.0</v>
      </c>
      <c r="AY97" s="21">
        <v>1.0</v>
      </c>
      <c r="AZ97" s="21">
        <v>145.0</v>
      </c>
      <c r="BA97" s="21">
        <v>24.0</v>
      </c>
      <c r="BB97" s="21">
        <v>3.0</v>
      </c>
      <c r="BD97" s="21">
        <v>5.0</v>
      </c>
      <c r="BI97">
        <f t="shared" si="7"/>
        <v>333</v>
      </c>
      <c r="BJ97" s="21" t="s">
        <v>1550</v>
      </c>
    </row>
    <row r="98" ht="36.75" customHeight="1">
      <c r="A98" s="20">
        <v>42409.0</v>
      </c>
      <c r="B98" s="21" t="s">
        <v>1539</v>
      </c>
      <c r="C98" s="21" t="s">
        <v>1540</v>
      </c>
      <c r="D98" s="21" t="s">
        <v>1551</v>
      </c>
      <c r="E98" s="21" t="s">
        <v>1552</v>
      </c>
      <c r="F98" s="21">
        <v>27.3613</v>
      </c>
      <c r="G98" s="21">
        <v>-82.6226</v>
      </c>
      <c r="H98" s="21">
        <v>27.40048</v>
      </c>
      <c r="I98" s="22">
        <v>-82.65096</v>
      </c>
      <c r="J98" s="21" t="s">
        <v>1553</v>
      </c>
      <c r="K98" s="21" t="s">
        <v>1554</v>
      </c>
      <c r="AA98" s="21">
        <v>3.0</v>
      </c>
      <c r="AO98" s="21">
        <v>3.0</v>
      </c>
      <c r="AQ98" s="21">
        <v>1.0</v>
      </c>
      <c r="AW98" s="21">
        <v>21.0</v>
      </c>
      <c r="AX98" s="21">
        <v>4.0</v>
      </c>
      <c r="AY98" s="21">
        <v>1.0</v>
      </c>
      <c r="AZ98" s="21">
        <v>70.0</v>
      </c>
      <c r="BA98" s="21">
        <v>3.0</v>
      </c>
      <c r="BI98">
        <f t="shared" si="7"/>
        <v>106</v>
      </c>
      <c r="BJ98" s="21" t="s">
        <v>1550</v>
      </c>
    </row>
    <row r="99" ht="36.75" customHeight="1">
      <c r="A99" s="20">
        <v>42408.0</v>
      </c>
      <c r="B99" s="21" t="s">
        <v>866</v>
      </c>
      <c r="C99" s="21" t="s">
        <v>867</v>
      </c>
      <c r="D99" s="21" t="s">
        <v>1556</v>
      </c>
      <c r="E99" s="21" t="s">
        <v>195</v>
      </c>
      <c r="F99" s="21" t="s">
        <v>1557</v>
      </c>
      <c r="G99" s="21" t="s">
        <v>1558</v>
      </c>
      <c r="H99" s="21" t="s">
        <v>1557</v>
      </c>
      <c r="I99" s="21" t="s">
        <v>1558</v>
      </c>
      <c r="J99" s="21" t="s">
        <v>1559</v>
      </c>
      <c r="K99" s="21" t="s">
        <v>1560</v>
      </c>
      <c r="L99" s="21">
        <v>0.0</v>
      </c>
      <c r="M99" s="21">
        <v>0.0</v>
      </c>
      <c r="N99" s="21">
        <v>0.0</v>
      </c>
      <c r="O99" s="21">
        <v>0.0</v>
      </c>
      <c r="P99" s="21">
        <v>0.0</v>
      </c>
      <c r="Q99" s="21">
        <v>21.0</v>
      </c>
      <c r="R99" s="21">
        <v>0.0</v>
      </c>
      <c r="S99" s="21">
        <v>0.0</v>
      </c>
      <c r="T99" s="21">
        <v>0.0</v>
      </c>
      <c r="U99" s="21">
        <v>0.0</v>
      </c>
      <c r="V99" s="21">
        <v>0.0</v>
      </c>
      <c r="W99" s="21">
        <v>0.0</v>
      </c>
      <c r="X99" s="21"/>
      <c r="Y99" s="21">
        <v>0.0</v>
      </c>
      <c r="Z99" s="21">
        <v>0.0</v>
      </c>
      <c r="AA99" s="21">
        <v>0.0</v>
      </c>
      <c r="AB99" s="21">
        <v>0.0</v>
      </c>
      <c r="AC99" s="21">
        <v>0.0</v>
      </c>
      <c r="AD99" s="21">
        <v>0.0</v>
      </c>
      <c r="AE99" s="21">
        <v>0.0</v>
      </c>
      <c r="AF99" s="21">
        <v>0.0</v>
      </c>
      <c r="AG99" s="21">
        <v>0.0</v>
      </c>
      <c r="AH99" s="21">
        <v>0.0</v>
      </c>
      <c r="AI99" s="21">
        <v>0.0</v>
      </c>
      <c r="AJ99" s="21">
        <v>0.0</v>
      </c>
      <c r="AK99" s="21">
        <v>0.0</v>
      </c>
      <c r="AL99" s="21">
        <v>0.0</v>
      </c>
      <c r="AM99" s="21">
        <v>0.0</v>
      </c>
      <c r="AN99" s="21">
        <v>0.0</v>
      </c>
      <c r="AO99" s="21">
        <v>0.0</v>
      </c>
      <c r="AP99" s="21">
        <v>0.0</v>
      </c>
      <c r="AQ99" s="21">
        <v>0.0</v>
      </c>
      <c r="AR99" s="21">
        <v>31.0</v>
      </c>
      <c r="AS99" s="21">
        <v>0.0</v>
      </c>
      <c r="AT99" s="21">
        <v>0.0</v>
      </c>
      <c r="AU99" s="21">
        <v>0.0</v>
      </c>
      <c r="AV99" s="21">
        <v>0.0</v>
      </c>
      <c r="AW99" s="21">
        <v>0.0</v>
      </c>
      <c r="AX99" s="21">
        <v>0.0</v>
      </c>
      <c r="AY99" s="21">
        <v>0.0</v>
      </c>
      <c r="AZ99" s="21">
        <v>0.0</v>
      </c>
      <c r="BA99" s="21">
        <v>0.0</v>
      </c>
      <c r="BB99" s="21">
        <v>0.0</v>
      </c>
      <c r="BC99" s="21">
        <v>0.0</v>
      </c>
      <c r="BD99" s="21">
        <v>0.0</v>
      </c>
      <c r="BE99" s="21">
        <v>0.0</v>
      </c>
      <c r="BF99" s="21">
        <v>0.0</v>
      </c>
      <c r="BG99" s="21">
        <v>0.0</v>
      </c>
      <c r="BH99" s="21">
        <v>0.0</v>
      </c>
      <c r="BI99">
        <f t="shared" si="7"/>
        <v>52</v>
      </c>
      <c r="BJ99" s="21" t="s">
        <v>1566</v>
      </c>
    </row>
    <row r="100" ht="36.75" customHeight="1">
      <c r="A100" s="29">
        <v>42409.0</v>
      </c>
      <c r="B100" s="25" t="s">
        <v>1470</v>
      </c>
      <c r="C100" s="25" t="s">
        <v>1471</v>
      </c>
      <c r="D100" s="25" t="s">
        <v>1472</v>
      </c>
      <c r="E100" s="25" t="s">
        <v>195</v>
      </c>
      <c r="F100" s="25">
        <v>27.167813</v>
      </c>
      <c r="G100" s="25">
        <v>-80.1535</v>
      </c>
      <c r="H100" s="21">
        <v>27.25506</v>
      </c>
      <c r="I100" s="21">
        <v>-80.21534</v>
      </c>
      <c r="J100" s="21" t="s">
        <v>1473</v>
      </c>
      <c r="K100" s="21" t="s">
        <v>1474</v>
      </c>
      <c r="Z100" s="21">
        <v>1.0</v>
      </c>
      <c r="AA100" s="21">
        <v>17.0</v>
      </c>
      <c r="AI100" s="21">
        <v>1.0</v>
      </c>
      <c r="AL100" s="21">
        <v>35.0</v>
      </c>
      <c r="AO100" s="21">
        <v>229.0</v>
      </c>
      <c r="AR100" s="21">
        <v>31.0</v>
      </c>
      <c r="AW100" s="21">
        <v>1.0</v>
      </c>
      <c r="AX100" s="21">
        <v>5.0</v>
      </c>
      <c r="AZ100" s="21">
        <v>5.0</v>
      </c>
      <c r="BI100">
        <f t="shared" si="7"/>
        <v>325</v>
      </c>
    </row>
    <row r="101" ht="36.75" customHeight="1">
      <c r="A101" s="20">
        <v>42408.0</v>
      </c>
      <c r="B101" s="21" t="s">
        <v>686</v>
      </c>
      <c r="C101" s="21" t="s">
        <v>687</v>
      </c>
      <c r="D101" s="21" t="s">
        <v>688</v>
      </c>
      <c r="E101" s="21" t="s">
        <v>195</v>
      </c>
      <c r="F101" s="21">
        <v>27.178888</v>
      </c>
      <c r="G101" s="21">
        <v>-80.27778</v>
      </c>
      <c r="H101" s="21">
        <v>27.3575</v>
      </c>
      <c r="I101" s="22">
        <v>-80.3325</v>
      </c>
      <c r="J101" s="21" t="s">
        <v>690</v>
      </c>
      <c r="K101" s="21" t="s">
        <v>691</v>
      </c>
      <c r="N101" s="21">
        <v>4.0</v>
      </c>
      <c r="Z101" s="21">
        <v>11.0</v>
      </c>
      <c r="AA101" s="21">
        <v>22.0</v>
      </c>
      <c r="AI101" s="21">
        <v>4.0</v>
      </c>
      <c r="AO101" s="21">
        <v>1.0</v>
      </c>
      <c r="AV101" s="21">
        <v>1.0</v>
      </c>
      <c r="AZ101" s="21">
        <v>3.0</v>
      </c>
      <c r="BA101" s="21">
        <v>1.0</v>
      </c>
    </row>
    <row r="102" ht="36.75" customHeight="1">
      <c r="A102" s="20">
        <v>42408.0</v>
      </c>
      <c r="B102" s="21" t="s">
        <v>188</v>
      </c>
      <c r="C102" s="21" t="s">
        <v>1577</v>
      </c>
      <c r="D102" s="21" t="s">
        <v>193</v>
      </c>
      <c r="E102" s="21" t="s">
        <v>195</v>
      </c>
      <c r="F102" s="21">
        <v>27.26302695</v>
      </c>
      <c r="G102" s="21">
        <v>-80.1997763</v>
      </c>
      <c r="H102" s="21">
        <v>27.16899977</v>
      </c>
      <c r="I102" s="21">
        <v>-80.1574041</v>
      </c>
      <c r="J102" s="21" t="s">
        <v>1578</v>
      </c>
      <c r="K102" s="21" t="s">
        <v>1579</v>
      </c>
      <c r="N102" s="21">
        <v>9.0</v>
      </c>
      <c r="O102" s="21">
        <v>1.0</v>
      </c>
      <c r="Q102" s="21">
        <v>8.0</v>
      </c>
      <c r="W102" s="21">
        <v>2.0</v>
      </c>
      <c r="X102" s="21"/>
      <c r="Z102" s="21">
        <v>67.0</v>
      </c>
      <c r="AA102" s="21">
        <v>127.0</v>
      </c>
      <c r="AB102" s="21">
        <v>20.0</v>
      </c>
      <c r="AI102" s="21">
        <v>17.0</v>
      </c>
      <c r="AV102" s="21">
        <v>1.0</v>
      </c>
      <c r="AW102" s="21">
        <v>2.0</v>
      </c>
      <c r="AX102" s="21">
        <v>17.0</v>
      </c>
      <c r="AZ102" s="21">
        <v>69.0</v>
      </c>
      <c r="BA102" s="21">
        <v>15.0</v>
      </c>
      <c r="BI102">
        <f t="shared" ref="BI102:BI150" si="8">sum(L102:BH102)</f>
        <v>355</v>
      </c>
      <c r="BJ102" s="21" t="s">
        <v>1590</v>
      </c>
    </row>
    <row r="103" ht="36.75" customHeight="1">
      <c r="A103" s="20">
        <v>42407.0</v>
      </c>
      <c r="B103" s="25" t="s">
        <v>1592</v>
      </c>
      <c r="C103" s="25" t="s">
        <v>1593</v>
      </c>
      <c r="D103" s="25" t="s">
        <v>1594</v>
      </c>
      <c r="E103" s="25" t="s">
        <v>195</v>
      </c>
      <c r="F103" s="25">
        <v>27.07379</v>
      </c>
      <c r="G103" s="25">
        <v>-80.11795</v>
      </c>
      <c r="H103" s="21">
        <v>26.98668</v>
      </c>
      <c r="I103" s="21">
        <v>-80.08546</v>
      </c>
      <c r="J103" s="21" t="s">
        <v>1598</v>
      </c>
      <c r="K103" s="21" t="s">
        <v>1599</v>
      </c>
      <c r="L103" s="21">
        <v>1.0</v>
      </c>
      <c r="N103" s="21">
        <v>11.0</v>
      </c>
      <c r="Q103" s="21">
        <v>3.0</v>
      </c>
      <c r="Z103" s="21">
        <v>28.0</v>
      </c>
      <c r="AA103" s="21">
        <v>91.0</v>
      </c>
      <c r="AI103" s="21">
        <v>7.0</v>
      </c>
      <c r="AX103" s="21">
        <v>1.0</v>
      </c>
      <c r="AZ103" s="21">
        <v>2.0</v>
      </c>
      <c r="BA103" s="21">
        <v>3.0</v>
      </c>
      <c r="BI103">
        <f t="shared" si="8"/>
        <v>147</v>
      </c>
      <c r="BJ103" s="21" t="s">
        <v>1602</v>
      </c>
    </row>
    <row r="104" ht="36.75" customHeight="1">
      <c r="A104" s="29">
        <v>42407.0</v>
      </c>
      <c r="B104" s="25" t="s">
        <v>1592</v>
      </c>
      <c r="C104" s="25" t="s">
        <v>1593</v>
      </c>
      <c r="D104" s="25" t="s">
        <v>1603</v>
      </c>
      <c r="E104" s="25" t="s">
        <v>195</v>
      </c>
      <c r="F104" s="25">
        <v>26.97058</v>
      </c>
      <c r="G104" s="25">
        <v>-80.08052</v>
      </c>
      <c r="H104" s="21">
        <v>26.98668</v>
      </c>
      <c r="I104" s="21">
        <v>-80.08546</v>
      </c>
      <c r="J104" s="21" t="s">
        <v>1604</v>
      </c>
      <c r="K104" s="21" t="s">
        <v>1599</v>
      </c>
      <c r="N104" s="21">
        <v>3.0</v>
      </c>
      <c r="Z104" s="21">
        <v>7.0</v>
      </c>
      <c r="AA104" s="21">
        <v>25.0</v>
      </c>
      <c r="AS104" s="21">
        <v>1.0</v>
      </c>
      <c r="AX104" s="21">
        <v>1.0</v>
      </c>
      <c r="AY104" s="21">
        <v>1.0</v>
      </c>
      <c r="AZ104" s="21">
        <v>3.0</v>
      </c>
      <c r="BA104" s="21">
        <v>4.0</v>
      </c>
      <c r="BI104">
        <f t="shared" si="8"/>
        <v>45</v>
      </c>
    </row>
    <row r="105" ht="36.75" customHeight="1">
      <c r="A105" s="20">
        <v>42411.0</v>
      </c>
      <c r="B105" s="21" t="s">
        <v>1607</v>
      </c>
      <c r="C105" s="21" t="s">
        <v>1608</v>
      </c>
      <c r="D105" s="21" t="s">
        <v>1610</v>
      </c>
      <c r="E105" s="21" t="s">
        <v>320</v>
      </c>
      <c r="F105" s="21">
        <v>25.84737</v>
      </c>
      <c r="G105" s="21">
        <v>-80.1692</v>
      </c>
      <c r="H105" s="21">
        <v>25.7414</v>
      </c>
      <c r="I105" s="22">
        <v>-80.144734</v>
      </c>
      <c r="J105" s="21" t="s">
        <v>1613</v>
      </c>
      <c r="K105" s="21" t="s">
        <v>1614</v>
      </c>
      <c r="AO105" s="21">
        <v>52.0</v>
      </c>
      <c r="AR105" s="21">
        <v>215.0</v>
      </c>
      <c r="AV105" s="21">
        <v>4.0</v>
      </c>
      <c r="AW105" s="21">
        <v>6.0</v>
      </c>
      <c r="AX105" s="21">
        <v>172.0</v>
      </c>
      <c r="AZ105" s="21">
        <v>12.0</v>
      </c>
      <c r="BA105" s="21">
        <v>6.0</v>
      </c>
      <c r="BI105">
        <f t="shared" si="8"/>
        <v>467</v>
      </c>
    </row>
    <row r="106" ht="36.75" customHeight="1">
      <c r="A106" s="20">
        <v>42405.0</v>
      </c>
      <c r="B106" s="21" t="s">
        <v>317</v>
      </c>
      <c r="C106" s="21" t="s">
        <v>318</v>
      </c>
      <c r="D106" s="21" t="s">
        <v>322</v>
      </c>
      <c r="E106" s="21" t="s">
        <v>320</v>
      </c>
      <c r="F106" s="21">
        <v>25.683</v>
      </c>
      <c r="G106" s="22">
        <v>-80.1553</v>
      </c>
      <c r="H106" s="21">
        <v>25.7002</v>
      </c>
      <c r="I106" s="22">
        <v>-80.1553</v>
      </c>
      <c r="J106" s="21" t="s">
        <v>1617</v>
      </c>
      <c r="K106" s="21" t="s">
        <v>1619</v>
      </c>
      <c r="W106" s="21">
        <v>2.0</v>
      </c>
      <c r="X106" s="21"/>
      <c r="Z106" s="21">
        <v>1.0</v>
      </c>
      <c r="AA106" s="21">
        <v>3.0</v>
      </c>
      <c r="AB106" s="21">
        <v>6.0</v>
      </c>
      <c r="AX106" s="21">
        <v>1.0</v>
      </c>
      <c r="AY106" s="21">
        <v>1.0</v>
      </c>
      <c r="AZ106" s="21">
        <v>14.0</v>
      </c>
      <c r="BA106" s="21">
        <v>1.0</v>
      </c>
      <c r="BI106">
        <f t="shared" si="8"/>
        <v>29</v>
      </c>
    </row>
    <row r="107" ht="36.75" customHeight="1">
      <c r="A107" s="20">
        <v>42405.0</v>
      </c>
      <c r="B107" s="21" t="s">
        <v>317</v>
      </c>
      <c r="C107" s="21" t="s">
        <v>318</v>
      </c>
      <c r="D107" s="21" t="s">
        <v>319</v>
      </c>
      <c r="E107" s="21" t="s">
        <v>320</v>
      </c>
      <c r="F107" s="21">
        <v>25.6667</v>
      </c>
      <c r="G107" s="21">
        <v>-80.1557</v>
      </c>
      <c r="H107" s="21">
        <v>25.683</v>
      </c>
      <c r="I107" s="22">
        <v>-80.1553</v>
      </c>
      <c r="J107" s="21" t="s">
        <v>1623</v>
      </c>
      <c r="K107" s="21" t="s">
        <v>1624</v>
      </c>
      <c r="Z107" s="21">
        <v>8.0</v>
      </c>
      <c r="AA107" s="21">
        <v>24.0</v>
      </c>
      <c r="AB107" s="21">
        <v>9.0</v>
      </c>
      <c r="AR107" s="21">
        <v>1.0</v>
      </c>
      <c r="BI107">
        <f t="shared" si="8"/>
        <v>42</v>
      </c>
    </row>
    <row r="108" ht="36.75" customHeight="1">
      <c r="A108" s="20">
        <v>42410.0</v>
      </c>
      <c r="B108" s="21" t="s">
        <v>1443</v>
      </c>
      <c r="C108" s="21" t="s">
        <v>1445</v>
      </c>
      <c r="D108" s="21" t="s">
        <v>1446</v>
      </c>
      <c r="E108" s="21" t="s">
        <v>320</v>
      </c>
      <c r="F108" s="21">
        <v>25.702147</v>
      </c>
      <c r="G108" s="21">
        <v>-80.154422</v>
      </c>
      <c r="H108" s="21">
        <v>25.716111</v>
      </c>
      <c r="I108" s="22">
        <v>-80.149411</v>
      </c>
      <c r="J108" s="21" t="s">
        <v>1627</v>
      </c>
      <c r="K108" s="21" t="s">
        <v>1628</v>
      </c>
      <c r="O108" s="21">
        <v>5.0</v>
      </c>
      <c r="R108" s="21">
        <v>11.0</v>
      </c>
      <c r="W108" s="21">
        <v>33.0</v>
      </c>
      <c r="X108" s="21"/>
      <c r="Z108" s="21">
        <v>5.0</v>
      </c>
      <c r="AA108" s="21">
        <v>273.0</v>
      </c>
      <c r="AB108" s="21">
        <v>114.0</v>
      </c>
      <c r="AJ108" s="21">
        <v>4.0</v>
      </c>
      <c r="AO108" s="21">
        <v>2.0</v>
      </c>
      <c r="AP108" s="21">
        <v>1.0</v>
      </c>
      <c r="AR108" s="21">
        <v>19.0</v>
      </c>
      <c r="AW108" s="21">
        <v>6.0</v>
      </c>
      <c r="AX108" s="21">
        <v>46.0</v>
      </c>
      <c r="AY108" s="21">
        <v>11.0</v>
      </c>
      <c r="AZ108" s="21">
        <v>9.0</v>
      </c>
      <c r="BA108" s="21">
        <v>150.0</v>
      </c>
      <c r="BI108">
        <f t="shared" si="8"/>
        <v>689</v>
      </c>
      <c r="BJ108" s="21" t="s">
        <v>1630</v>
      </c>
    </row>
    <row r="109" ht="36.75" customHeight="1">
      <c r="A109" s="20">
        <v>42411.0</v>
      </c>
      <c r="B109" s="21" t="s">
        <v>1631</v>
      </c>
      <c r="C109" s="21" t="s">
        <v>1632</v>
      </c>
      <c r="E109" s="21" t="s">
        <v>184</v>
      </c>
      <c r="F109" s="21">
        <v>25.1643</v>
      </c>
      <c r="G109" s="21">
        <v>-808934.0</v>
      </c>
      <c r="H109" s="21">
        <v>25.1403</v>
      </c>
      <c r="I109" s="22">
        <v>-80.9235</v>
      </c>
      <c r="J109" s="21" t="s">
        <v>1634</v>
      </c>
      <c r="K109" s="21" t="s">
        <v>1635</v>
      </c>
      <c r="N109" s="21">
        <v>31.0</v>
      </c>
      <c r="O109" s="21">
        <v>55.0</v>
      </c>
      <c r="R109" s="21">
        <v>6.0</v>
      </c>
      <c r="S109" s="21">
        <v>3.0</v>
      </c>
      <c r="Y109" s="21">
        <v>9.0</v>
      </c>
      <c r="Z109" s="21">
        <v>17.0</v>
      </c>
      <c r="AB109" s="21">
        <v>11.0</v>
      </c>
      <c r="AD109" s="21">
        <v>30.0</v>
      </c>
      <c r="AF109" s="21">
        <v>1.0</v>
      </c>
      <c r="AG109" s="21">
        <v>1355.0</v>
      </c>
      <c r="AI109" s="21">
        <v>55.0</v>
      </c>
      <c r="AJ109" s="21">
        <v>3.0</v>
      </c>
      <c r="AL109" s="21">
        <v>1.0</v>
      </c>
      <c r="AO109" s="21">
        <v>2.0</v>
      </c>
      <c r="AP109" s="21">
        <v>30.0</v>
      </c>
      <c r="AR109" s="21">
        <v>2.0</v>
      </c>
      <c r="AS109" s="21">
        <v>3.0</v>
      </c>
      <c r="AX109" s="21">
        <v>2.0</v>
      </c>
      <c r="AY109" s="21">
        <v>12.0</v>
      </c>
      <c r="AZ109" s="21">
        <v>1.0</v>
      </c>
      <c r="BA109" s="21">
        <v>1.0</v>
      </c>
      <c r="BD109" s="21">
        <v>280.0</v>
      </c>
      <c r="BI109">
        <f t="shared" si="8"/>
        <v>1910</v>
      </c>
    </row>
    <row r="110" ht="36.75" customHeight="1">
      <c r="A110" s="20">
        <v>42405.0</v>
      </c>
      <c r="B110" s="21" t="s">
        <v>181</v>
      </c>
      <c r="C110" s="21" t="s">
        <v>182</v>
      </c>
      <c r="D110" s="21" t="s">
        <v>183</v>
      </c>
      <c r="E110" s="21" t="s">
        <v>184</v>
      </c>
      <c r="F110" s="21">
        <v>24.66839</v>
      </c>
      <c r="G110" s="21">
        <v>-81.24981</v>
      </c>
      <c r="H110" s="21">
        <v>24.65419</v>
      </c>
      <c r="I110" s="22">
        <v>-81.280474</v>
      </c>
      <c r="J110" s="21" t="s">
        <v>682</v>
      </c>
      <c r="K110" s="21" t="s">
        <v>683</v>
      </c>
      <c r="N110" s="21">
        <v>3.0</v>
      </c>
      <c r="R110" s="21">
        <v>19.0</v>
      </c>
      <c r="W110" s="21">
        <v>3.0</v>
      </c>
      <c r="X110" s="21"/>
      <c r="Z110" s="21">
        <v>58.0</v>
      </c>
      <c r="AA110" s="21">
        <v>99.0</v>
      </c>
      <c r="AB110" s="21">
        <v>4.0</v>
      </c>
      <c r="AC110" s="21">
        <v>5.0</v>
      </c>
      <c r="AD110" s="21">
        <v>18.0</v>
      </c>
      <c r="AO110" s="21">
        <v>1.0</v>
      </c>
      <c r="AR110" s="21">
        <v>1.0</v>
      </c>
      <c r="AX110" s="21">
        <v>4.0</v>
      </c>
      <c r="BA110" s="21">
        <v>1.0</v>
      </c>
      <c r="BI110">
        <f t="shared" si="8"/>
        <v>216</v>
      </c>
    </row>
    <row r="111" ht="36.75" customHeight="1">
      <c r="A111" s="20">
        <v>42405.0</v>
      </c>
      <c r="B111" s="21" t="s">
        <v>1287</v>
      </c>
      <c r="C111" s="21" t="s">
        <v>1289</v>
      </c>
      <c r="D111" s="21" t="s">
        <v>1291</v>
      </c>
      <c r="E111" s="21" t="s">
        <v>184</v>
      </c>
      <c r="F111" s="21">
        <v>24.81179</v>
      </c>
      <c r="G111" s="21">
        <v>80.82601</v>
      </c>
      <c r="H111" s="21">
        <v>24.80565</v>
      </c>
      <c r="I111" s="22">
        <v>80.84187</v>
      </c>
      <c r="J111" s="21" t="s">
        <v>1649</v>
      </c>
      <c r="K111" s="21" t="s">
        <v>1650</v>
      </c>
      <c r="N111" s="21">
        <v>11.0</v>
      </c>
      <c r="R111" s="21">
        <v>8.0</v>
      </c>
      <c r="W111" s="21">
        <v>8.0</v>
      </c>
      <c r="X111" s="21"/>
      <c r="Z111" s="21">
        <v>34.0</v>
      </c>
      <c r="AA111" s="21">
        <v>12.0</v>
      </c>
      <c r="AB111" s="21">
        <v>49.0</v>
      </c>
      <c r="AC111" s="21">
        <v>9.0</v>
      </c>
      <c r="AD111" s="21">
        <v>1.0</v>
      </c>
      <c r="AI111" s="21">
        <v>30.0</v>
      </c>
      <c r="AV111" s="21">
        <v>1.0</v>
      </c>
      <c r="AW111" s="21">
        <v>1.0</v>
      </c>
      <c r="AX111" s="21">
        <v>109.0</v>
      </c>
      <c r="AY111" s="21">
        <v>2.0</v>
      </c>
      <c r="BA111" s="21">
        <v>89.0</v>
      </c>
      <c r="BF111" s="21">
        <v>12.0</v>
      </c>
      <c r="BI111">
        <f t="shared" si="8"/>
        <v>376</v>
      </c>
    </row>
    <row r="112" ht="36.75" customHeight="1">
      <c r="A112" s="20">
        <v>42410.0</v>
      </c>
      <c r="B112" s="21" t="s">
        <v>1407</v>
      </c>
      <c r="C112" s="23" t="s">
        <v>1654</v>
      </c>
      <c r="D112" s="25" t="s">
        <v>1655</v>
      </c>
      <c r="E112" s="21" t="s">
        <v>184</v>
      </c>
      <c r="F112" s="25">
        <v>24.673413</v>
      </c>
      <c r="G112" s="25">
        <v>-81.24346</v>
      </c>
      <c r="H112" s="21">
        <v>24.669839</v>
      </c>
      <c r="I112" s="21">
        <v>-81.244857</v>
      </c>
      <c r="J112" s="21" t="s">
        <v>1657</v>
      </c>
      <c r="K112" s="21" t="s">
        <v>1658</v>
      </c>
      <c r="L112" s="21">
        <v>0.0</v>
      </c>
      <c r="M112" s="21">
        <v>0.0</v>
      </c>
      <c r="N112" s="21">
        <v>3.0</v>
      </c>
      <c r="O112" s="21">
        <v>53.0</v>
      </c>
      <c r="P112" s="21">
        <v>0.0</v>
      </c>
      <c r="Q112" s="21">
        <v>0.0</v>
      </c>
      <c r="R112" s="21">
        <v>7.0</v>
      </c>
      <c r="S112" s="21">
        <v>0.0</v>
      </c>
      <c r="T112" s="21">
        <v>0.0</v>
      </c>
      <c r="U112" s="21">
        <v>0.0</v>
      </c>
      <c r="V112" s="21">
        <v>0.0</v>
      </c>
      <c r="W112" s="21">
        <v>0.0</v>
      </c>
      <c r="X112" s="21"/>
      <c r="Y112" s="21">
        <v>0.0</v>
      </c>
      <c r="Z112" s="21">
        <v>55.0</v>
      </c>
      <c r="AA112" s="21">
        <v>0.0</v>
      </c>
      <c r="AB112" s="21">
        <v>6.0</v>
      </c>
      <c r="AC112" s="21">
        <v>0.0</v>
      </c>
      <c r="AD112" s="21">
        <v>0.0</v>
      </c>
      <c r="AE112" s="21">
        <v>0.0</v>
      </c>
      <c r="AF112" s="21">
        <v>0.0</v>
      </c>
      <c r="AG112" s="21">
        <v>1.0</v>
      </c>
      <c r="AH112" s="21">
        <v>0.0</v>
      </c>
      <c r="AI112" s="21">
        <v>0.0</v>
      </c>
      <c r="AJ112" s="21">
        <v>0.0</v>
      </c>
      <c r="AK112" s="21">
        <v>0.0</v>
      </c>
      <c r="AL112" s="21">
        <v>0.0</v>
      </c>
      <c r="AM112" s="21">
        <v>0.0</v>
      </c>
      <c r="AN112" s="21">
        <v>0.0</v>
      </c>
      <c r="AO112" s="21">
        <v>0.0</v>
      </c>
      <c r="AP112" s="21">
        <v>0.0</v>
      </c>
      <c r="AQ112" s="21">
        <v>0.0</v>
      </c>
      <c r="AR112" s="21">
        <v>0.0</v>
      </c>
      <c r="AS112" s="21">
        <v>0.0</v>
      </c>
      <c r="AT112" s="21">
        <v>0.0</v>
      </c>
      <c r="AU112" s="21">
        <v>0.0</v>
      </c>
      <c r="AV112" s="21">
        <v>0.0</v>
      </c>
      <c r="AW112" s="21">
        <v>0.0</v>
      </c>
      <c r="AX112" s="21">
        <v>3.0</v>
      </c>
      <c r="AY112" s="21">
        <v>0.0</v>
      </c>
      <c r="AZ112" s="21">
        <v>0.0</v>
      </c>
      <c r="BA112" s="21">
        <v>1.0</v>
      </c>
      <c r="BB112" s="21">
        <v>0.0</v>
      </c>
      <c r="BC112" s="21">
        <v>0.0</v>
      </c>
      <c r="BD112" s="21">
        <v>0.0</v>
      </c>
      <c r="BE112" s="21">
        <v>0.0</v>
      </c>
      <c r="BF112" s="21">
        <v>0.0</v>
      </c>
      <c r="BG112" s="21">
        <v>0.0</v>
      </c>
      <c r="BH112" s="21">
        <v>0.0</v>
      </c>
      <c r="BI112">
        <f t="shared" si="8"/>
        <v>129</v>
      </c>
    </row>
    <row r="113" ht="36.75" customHeight="1">
      <c r="A113" s="20">
        <v>42410.0</v>
      </c>
      <c r="B113" s="21" t="s">
        <v>1407</v>
      </c>
      <c r="C113" s="23" t="s">
        <v>1654</v>
      </c>
      <c r="D113" s="23" t="s">
        <v>1660</v>
      </c>
      <c r="E113" s="21" t="s">
        <v>184</v>
      </c>
      <c r="F113" s="25">
        <v>24.644878</v>
      </c>
      <c r="G113" s="25">
        <v>-81.328414</v>
      </c>
      <c r="H113" s="21">
        <v>24.633557</v>
      </c>
      <c r="I113" s="21">
        <v>-81.360795</v>
      </c>
      <c r="J113" s="21" t="s">
        <v>1661</v>
      </c>
      <c r="K113" s="23" t="s">
        <v>1662</v>
      </c>
      <c r="L113" s="21">
        <v>0.0</v>
      </c>
      <c r="M113" s="21">
        <v>0.0</v>
      </c>
      <c r="N113" s="21">
        <v>0.0</v>
      </c>
      <c r="O113" s="21">
        <v>12.0</v>
      </c>
      <c r="P113" s="21">
        <v>0.0</v>
      </c>
      <c r="Q113" s="21">
        <v>0.0</v>
      </c>
      <c r="R113" s="21">
        <v>7.0</v>
      </c>
      <c r="S113" s="21">
        <v>0.0</v>
      </c>
      <c r="T113" s="21">
        <v>0.0</v>
      </c>
      <c r="U113" s="21">
        <v>0.0</v>
      </c>
      <c r="V113" s="21">
        <v>0.0</v>
      </c>
      <c r="W113" s="21">
        <v>0.0</v>
      </c>
      <c r="X113" s="21"/>
      <c r="Y113" s="21">
        <v>0.0</v>
      </c>
      <c r="Z113" s="21">
        <v>7.0</v>
      </c>
      <c r="AA113" s="21">
        <v>0.0</v>
      </c>
      <c r="AB113" s="21">
        <v>14.0</v>
      </c>
      <c r="AC113" s="21">
        <v>0.0</v>
      </c>
      <c r="AD113" s="21">
        <v>0.0</v>
      </c>
      <c r="AE113" s="21">
        <v>0.0</v>
      </c>
      <c r="AF113" s="21">
        <v>0.0</v>
      </c>
      <c r="AG113" s="21">
        <v>0.0</v>
      </c>
      <c r="AH113" s="21">
        <v>0.0</v>
      </c>
      <c r="AI113" s="21">
        <v>0.0</v>
      </c>
      <c r="AJ113" s="21">
        <v>0.0</v>
      </c>
      <c r="AK113" s="21">
        <v>0.0</v>
      </c>
      <c r="AL113" s="21">
        <v>0.0</v>
      </c>
      <c r="AM113" s="21">
        <v>0.0</v>
      </c>
      <c r="AN113" s="21">
        <v>0.0</v>
      </c>
      <c r="AO113" s="21">
        <v>0.0</v>
      </c>
      <c r="AP113" s="21">
        <v>0.0</v>
      </c>
      <c r="AQ113" s="21">
        <v>0.0</v>
      </c>
      <c r="AR113" s="21">
        <v>0.0</v>
      </c>
      <c r="AS113" s="21">
        <v>0.0</v>
      </c>
      <c r="AT113" s="21">
        <v>0.0</v>
      </c>
      <c r="AU113" s="21">
        <v>0.0</v>
      </c>
      <c r="AV113" s="21">
        <v>0.0</v>
      </c>
      <c r="AW113" s="21">
        <v>0.0</v>
      </c>
      <c r="AX113" s="21">
        <v>0.0</v>
      </c>
      <c r="AY113" s="21">
        <v>0.0</v>
      </c>
      <c r="AZ113" s="21">
        <v>0.0</v>
      </c>
      <c r="BA113" s="21">
        <v>0.0</v>
      </c>
      <c r="BB113" s="21">
        <v>0.0</v>
      </c>
      <c r="BC113" s="21">
        <v>0.0</v>
      </c>
      <c r="BD113" s="21">
        <v>0.0</v>
      </c>
      <c r="BE113" s="21">
        <v>0.0</v>
      </c>
      <c r="BF113" s="21">
        <v>0.0</v>
      </c>
      <c r="BG113" s="21">
        <v>0.0</v>
      </c>
      <c r="BH113" s="21">
        <v>0.0</v>
      </c>
      <c r="BI113">
        <f t="shared" si="8"/>
        <v>40</v>
      </c>
    </row>
    <row r="114" ht="36.75" customHeight="1">
      <c r="A114" s="20">
        <v>42411.0</v>
      </c>
      <c r="B114" s="21" t="s">
        <v>1407</v>
      </c>
      <c r="C114" s="23" t="s">
        <v>1654</v>
      </c>
      <c r="D114" s="25" t="s">
        <v>1409</v>
      </c>
      <c r="E114" s="21" t="s">
        <v>184</v>
      </c>
      <c r="F114" s="25">
        <v>24.537601</v>
      </c>
      <c r="G114" s="25">
        <v>-82.008021</v>
      </c>
      <c r="H114" s="21">
        <v>24.528739</v>
      </c>
      <c r="I114" s="21">
        <v>-82.005712</v>
      </c>
      <c r="J114" s="21" t="s">
        <v>1666</v>
      </c>
      <c r="K114" s="21" t="s">
        <v>1667</v>
      </c>
      <c r="L114" s="21">
        <v>0.0</v>
      </c>
      <c r="M114" s="21">
        <v>0.0</v>
      </c>
      <c r="N114" s="21">
        <v>3.0</v>
      </c>
      <c r="O114" s="21">
        <v>0.0</v>
      </c>
      <c r="P114" s="21">
        <v>0.0</v>
      </c>
      <c r="Q114" s="21">
        <v>0.0</v>
      </c>
      <c r="R114" s="21">
        <v>1.0</v>
      </c>
      <c r="S114" s="21">
        <v>0.0</v>
      </c>
      <c r="T114" s="21">
        <v>0.0</v>
      </c>
      <c r="U114" s="21">
        <v>0.0</v>
      </c>
      <c r="V114" s="21">
        <v>0.0</v>
      </c>
      <c r="W114" s="21">
        <v>6.0</v>
      </c>
      <c r="X114" s="21"/>
      <c r="Y114" s="21">
        <v>0.0</v>
      </c>
      <c r="Z114" s="21">
        <v>0.0</v>
      </c>
      <c r="AA114" s="21">
        <v>3.0</v>
      </c>
      <c r="AB114" s="21">
        <v>45.0</v>
      </c>
      <c r="AC114" s="21">
        <v>0.0</v>
      </c>
      <c r="AD114" s="21">
        <v>2.0</v>
      </c>
      <c r="AE114" s="21">
        <v>0.0</v>
      </c>
      <c r="AF114" s="21">
        <v>0.0</v>
      </c>
      <c r="AG114" s="21">
        <v>0.0</v>
      </c>
      <c r="AH114" s="21">
        <v>0.0</v>
      </c>
      <c r="AI114" s="21">
        <v>1.0</v>
      </c>
      <c r="AJ114" s="21">
        <v>0.0</v>
      </c>
      <c r="AK114" s="21">
        <v>0.0</v>
      </c>
      <c r="AL114" s="21">
        <v>0.0</v>
      </c>
      <c r="AM114" s="21">
        <v>0.0</v>
      </c>
      <c r="AN114" s="21">
        <v>0.0</v>
      </c>
      <c r="AO114" s="21">
        <v>0.0</v>
      </c>
      <c r="AP114" s="21">
        <v>0.0</v>
      </c>
      <c r="AQ114" s="21">
        <v>0.0</v>
      </c>
      <c r="AR114" s="21">
        <v>0.0</v>
      </c>
      <c r="AS114" s="21">
        <v>0.0</v>
      </c>
      <c r="AT114" s="21">
        <v>0.0</v>
      </c>
      <c r="AU114" s="21">
        <v>0.0</v>
      </c>
      <c r="AV114" s="21">
        <v>0.0</v>
      </c>
      <c r="AW114" s="21">
        <v>0.0</v>
      </c>
      <c r="AX114" s="21">
        <v>0.0</v>
      </c>
      <c r="AY114" s="21">
        <v>0.0</v>
      </c>
      <c r="AZ114" s="21">
        <v>0.0</v>
      </c>
      <c r="BA114" s="21">
        <v>0.0</v>
      </c>
      <c r="BB114" s="21">
        <v>0.0</v>
      </c>
      <c r="BC114" s="21">
        <v>0.0</v>
      </c>
      <c r="BD114" s="21">
        <v>0.0</v>
      </c>
      <c r="BE114" s="21">
        <v>0.0</v>
      </c>
      <c r="BF114" s="21">
        <v>0.0</v>
      </c>
      <c r="BG114" s="21">
        <v>0.0</v>
      </c>
      <c r="BH114" s="21">
        <v>0.0</v>
      </c>
      <c r="BI114">
        <f t="shared" si="8"/>
        <v>61</v>
      </c>
    </row>
    <row r="115" ht="36.75" customHeight="1">
      <c r="A115" s="20">
        <v>42410.0</v>
      </c>
      <c r="B115" s="21" t="s">
        <v>1673</v>
      </c>
      <c r="C115" s="21" t="s">
        <v>482</v>
      </c>
      <c r="D115" s="21" t="s">
        <v>1674</v>
      </c>
      <c r="E115" s="21" t="s">
        <v>184</v>
      </c>
      <c r="F115" s="21" t="s">
        <v>1675</v>
      </c>
      <c r="G115" s="21">
        <v>-81.811617</v>
      </c>
      <c r="H115" s="21">
        <v>24.545298</v>
      </c>
      <c r="I115" s="22">
        <v>-81.808226</v>
      </c>
      <c r="J115" s="21" t="s">
        <v>1676</v>
      </c>
      <c r="K115" s="21" t="s">
        <v>1677</v>
      </c>
      <c r="AF115" s="21">
        <v>1.0</v>
      </c>
      <c r="AO115" s="21">
        <v>1.0</v>
      </c>
      <c r="AX115" s="21">
        <v>135.0</v>
      </c>
      <c r="BI115">
        <f t="shared" si="8"/>
        <v>137</v>
      </c>
    </row>
    <row r="116" ht="36.75" customHeight="1">
      <c r="A116" s="20">
        <v>42409.0</v>
      </c>
      <c r="B116" s="21" t="s">
        <v>1695</v>
      </c>
      <c r="C116" s="21" t="s">
        <v>482</v>
      </c>
      <c r="D116" s="21" t="s">
        <v>1698</v>
      </c>
      <c r="E116" s="21" t="s">
        <v>184</v>
      </c>
      <c r="F116" s="21">
        <v>24.741226</v>
      </c>
      <c r="G116" s="21">
        <v>-80.979946</v>
      </c>
      <c r="H116" s="21">
        <v>24.739923</v>
      </c>
      <c r="I116" s="22">
        <v>-80.982371</v>
      </c>
      <c r="J116" s="21" t="s">
        <v>1700</v>
      </c>
      <c r="K116" s="21" t="s">
        <v>1701</v>
      </c>
      <c r="BI116">
        <f t="shared" si="8"/>
        <v>0</v>
      </c>
      <c r="BJ116" s="21" t="s">
        <v>1703</v>
      </c>
    </row>
    <row r="117" ht="36.75" customHeight="1">
      <c r="A117" s="20">
        <v>42409.0</v>
      </c>
      <c r="B117" s="21" t="s">
        <v>626</v>
      </c>
      <c r="C117" s="21" t="s">
        <v>627</v>
      </c>
      <c r="D117" s="21" t="s">
        <v>894</v>
      </c>
      <c r="E117" s="21" t="s">
        <v>766</v>
      </c>
      <c r="F117" s="21">
        <v>30.52139</v>
      </c>
      <c r="G117" s="21">
        <v>-81.445</v>
      </c>
      <c r="H117" s="21">
        <v>30.52611</v>
      </c>
      <c r="I117" s="22">
        <v>-81.43583</v>
      </c>
      <c r="J117" s="21" t="s">
        <v>895</v>
      </c>
      <c r="K117" s="21" t="s">
        <v>1707</v>
      </c>
      <c r="L117" s="21">
        <v>0.0</v>
      </c>
      <c r="M117" s="21">
        <v>0.0</v>
      </c>
      <c r="N117" s="21">
        <v>0.0</v>
      </c>
      <c r="O117" s="21">
        <v>0.0</v>
      </c>
      <c r="P117" s="21">
        <v>0.0</v>
      </c>
      <c r="Q117" s="21">
        <v>0.0</v>
      </c>
      <c r="R117" s="21">
        <v>0.0</v>
      </c>
      <c r="S117" s="21">
        <v>0.0</v>
      </c>
      <c r="T117" s="21">
        <v>0.0</v>
      </c>
      <c r="U117" s="21">
        <v>0.0</v>
      </c>
      <c r="V117" s="21">
        <v>0.0</v>
      </c>
      <c r="W117" s="21">
        <v>0.0</v>
      </c>
      <c r="X117" s="21"/>
      <c r="Y117" s="21">
        <v>0.0</v>
      </c>
      <c r="Z117" s="21">
        <v>0.0</v>
      </c>
      <c r="AA117" s="21">
        <v>12.0</v>
      </c>
      <c r="AB117" s="21">
        <v>125.0</v>
      </c>
      <c r="AC117" s="21">
        <v>0.0</v>
      </c>
      <c r="AD117" s="21">
        <v>0.0</v>
      </c>
      <c r="AE117" s="21">
        <v>0.0</v>
      </c>
      <c r="AF117" s="21">
        <v>0.0</v>
      </c>
      <c r="AG117" s="21">
        <v>0.0</v>
      </c>
      <c r="AH117" s="21">
        <v>0.0</v>
      </c>
      <c r="AI117" s="21">
        <v>0.0</v>
      </c>
      <c r="AJ117" s="21">
        <v>31.0</v>
      </c>
      <c r="AK117" s="21">
        <v>0.0</v>
      </c>
      <c r="AL117" s="21">
        <v>0.0</v>
      </c>
      <c r="AM117" s="21">
        <v>1.0</v>
      </c>
      <c r="AN117" s="21">
        <v>0.0</v>
      </c>
      <c r="AO117" s="21">
        <v>0.0</v>
      </c>
      <c r="AP117" s="21">
        <v>0.0</v>
      </c>
      <c r="AQ117" s="21">
        <v>0.0</v>
      </c>
      <c r="AR117" s="21">
        <v>0.0</v>
      </c>
      <c r="AS117" s="21">
        <v>8.0</v>
      </c>
      <c r="AT117" s="21">
        <v>0.0</v>
      </c>
      <c r="AU117" s="21">
        <v>0.0</v>
      </c>
      <c r="AV117" s="21">
        <v>0.0</v>
      </c>
      <c r="AW117" s="21">
        <v>0.0</v>
      </c>
      <c r="AX117" s="21">
        <v>0.0</v>
      </c>
      <c r="AY117" s="21">
        <v>0.0</v>
      </c>
      <c r="AZ117" s="21">
        <v>3.0</v>
      </c>
      <c r="BA117" s="21">
        <v>2.0</v>
      </c>
      <c r="BB117" s="21">
        <v>0.0</v>
      </c>
      <c r="BC117" s="21">
        <v>0.0</v>
      </c>
      <c r="BD117" s="21">
        <v>0.0</v>
      </c>
      <c r="BE117" s="21">
        <v>0.0</v>
      </c>
      <c r="BF117" s="21">
        <v>0.0</v>
      </c>
      <c r="BG117" s="21">
        <v>0.0</v>
      </c>
      <c r="BH117" s="21">
        <v>0.0</v>
      </c>
      <c r="BI117">
        <f t="shared" si="8"/>
        <v>182</v>
      </c>
      <c r="BJ117" s="21" t="s">
        <v>639</v>
      </c>
    </row>
    <row r="118" ht="36.75" customHeight="1">
      <c r="A118" s="20">
        <v>42405.0</v>
      </c>
      <c r="B118" s="21" t="s">
        <v>1723</v>
      </c>
      <c r="C118" s="21" t="s">
        <v>764</v>
      </c>
      <c r="D118" s="21" t="s">
        <v>765</v>
      </c>
      <c r="E118" s="21" t="s">
        <v>766</v>
      </c>
      <c r="F118" s="21">
        <v>30.70303</v>
      </c>
      <c r="G118" s="21">
        <v>-81.43222</v>
      </c>
      <c r="H118" s="21">
        <v>30.70061</v>
      </c>
      <c r="I118" s="22">
        <v>-81.42555</v>
      </c>
      <c r="J118" s="21" t="s">
        <v>767</v>
      </c>
      <c r="K118" s="21" t="s">
        <v>768</v>
      </c>
      <c r="Z118" s="21">
        <v>15.0</v>
      </c>
      <c r="AA118" s="21">
        <v>6.0</v>
      </c>
      <c r="AI118" s="21">
        <v>2.0</v>
      </c>
      <c r="AM118" s="21">
        <v>9.0</v>
      </c>
      <c r="AO118" s="21">
        <v>2.0</v>
      </c>
      <c r="AR118" s="21">
        <v>44.0</v>
      </c>
      <c r="AV118" s="21">
        <v>1.0</v>
      </c>
      <c r="AW118" s="21">
        <v>3.0</v>
      </c>
      <c r="AX118" s="21">
        <v>66.0</v>
      </c>
      <c r="AZ118" s="21">
        <v>90.0</v>
      </c>
      <c r="BB118" s="21">
        <v>1.0</v>
      </c>
      <c r="BI118">
        <f t="shared" si="8"/>
        <v>239</v>
      </c>
    </row>
    <row r="119" ht="36.75" customHeight="1">
      <c r="A119" s="20">
        <v>42408.0</v>
      </c>
      <c r="B119" s="21" t="s">
        <v>866</v>
      </c>
      <c r="C119" s="21" t="s">
        <v>867</v>
      </c>
      <c r="D119" s="21" t="s">
        <v>1728</v>
      </c>
      <c r="E119" s="21" t="s">
        <v>1516</v>
      </c>
      <c r="F119" s="21" t="s">
        <v>1730</v>
      </c>
      <c r="G119" s="21" t="s">
        <v>1732</v>
      </c>
      <c r="H119" s="21" t="s">
        <v>1730</v>
      </c>
      <c r="I119" s="22" t="s">
        <v>1732</v>
      </c>
      <c r="J119" s="21" t="s">
        <v>1735</v>
      </c>
      <c r="K119" s="21" t="s">
        <v>1736</v>
      </c>
      <c r="L119" s="21">
        <v>0.0</v>
      </c>
      <c r="M119" s="21">
        <v>0.0</v>
      </c>
      <c r="N119" s="21">
        <v>0.0</v>
      </c>
      <c r="O119" s="21">
        <v>0.0</v>
      </c>
      <c r="P119" s="21">
        <v>0.0</v>
      </c>
      <c r="Q119" s="21">
        <v>0.0</v>
      </c>
      <c r="R119" s="21">
        <v>0.0</v>
      </c>
      <c r="S119" s="21">
        <v>0.0</v>
      </c>
      <c r="T119" s="21">
        <v>0.0</v>
      </c>
      <c r="U119" s="21">
        <v>0.0</v>
      </c>
      <c r="V119" s="21">
        <v>0.0</v>
      </c>
      <c r="W119" s="21">
        <v>0.0</v>
      </c>
      <c r="X119" s="21"/>
      <c r="Y119" s="21">
        <v>0.0</v>
      </c>
      <c r="Z119" s="21">
        <v>0.0</v>
      </c>
      <c r="AA119" s="21">
        <v>0.0</v>
      </c>
      <c r="AB119" s="21">
        <v>0.0</v>
      </c>
      <c r="AC119" s="21">
        <v>0.0</v>
      </c>
      <c r="AD119" s="21">
        <v>0.0</v>
      </c>
      <c r="AE119" s="21">
        <v>0.0</v>
      </c>
      <c r="AF119" s="21">
        <v>0.0</v>
      </c>
      <c r="AG119" s="21">
        <v>0.0</v>
      </c>
      <c r="AH119" s="21">
        <v>0.0</v>
      </c>
      <c r="AI119" s="21">
        <v>0.0</v>
      </c>
      <c r="AJ119" s="21">
        <v>0.0</v>
      </c>
      <c r="AK119" s="21">
        <v>0.0</v>
      </c>
      <c r="AL119" s="21">
        <v>0.0</v>
      </c>
      <c r="AM119" s="21">
        <v>0.0</v>
      </c>
      <c r="AN119" s="21">
        <v>0.0</v>
      </c>
      <c r="AO119" s="21">
        <v>0.0</v>
      </c>
      <c r="AP119" s="21">
        <v>0.0</v>
      </c>
      <c r="AQ119" s="21">
        <v>0.0</v>
      </c>
      <c r="AR119" s="21">
        <v>2.0</v>
      </c>
      <c r="AS119" s="21">
        <v>0.0</v>
      </c>
      <c r="AT119" s="21">
        <v>0.0</v>
      </c>
      <c r="AU119" s="21">
        <v>0.0</v>
      </c>
      <c r="AV119" s="21">
        <v>0.0</v>
      </c>
      <c r="AW119" s="21">
        <v>0.0</v>
      </c>
      <c r="AX119" s="21">
        <v>0.0</v>
      </c>
      <c r="AY119" s="21">
        <v>0.0</v>
      </c>
      <c r="AZ119" s="21">
        <v>0.0</v>
      </c>
      <c r="BA119" s="21">
        <v>0.0</v>
      </c>
      <c r="BB119" s="21">
        <v>0.0</v>
      </c>
      <c r="BC119" s="21">
        <v>0.0</v>
      </c>
      <c r="BD119" s="21">
        <v>0.0</v>
      </c>
      <c r="BE119" s="21">
        <v>0.0</v>
      </c>
      <c r="BF119" s="21">
        <v>0.0</v>
      </c>
      <c r="BG119" s="21">
        <v>0.0</v>
      </c>
      <c r="BH119" s="21">
        <v>0.0</v>
      </c>
      <c r="BI119">
        <f t="shared" si="8"/>
        <v>2</v>
      </c>
      <c r="BJ119" s="21" t="s">
        <v>1189</v>
      </c>
    </row>
    <row r="120" ht="36.75" customHeight="1">
      <c r="A120" s="20">
        <v>42408.0</v>
      </c>
      <c r="B120" s="21" t="s">
        <v>866</v>
      </c>
      <c r="C120" s="21" t="s">
        <v>867</v>
      </c>
      <c r="D120" s="21" t="s">
        <v>1742</v>
      </c>
      <c r="E120" s="21" t="s">
        <v>1516</v>
      </c>
      <c r="F120" s="21" t="s">
        <v>1744</v>
      </c>
      <c r="G120" s="21" t="s">
        <v>1745</v>
      </c>
      <c r="H120" s="21" t="s">
        <v>1744</v>
      </c>
      <c r="I120" s="21" t="s">
        <v>1745</v>
      </c>
      <c r="J120" s="21" t="s">
        <v>1746</v>
      </c>
      <c r="K120" s="21" t="s">
        <v>1747</v>
      </c>
      <c r="L120" s="21">
        <v>0.0</v>
      </c>
      <c r="M120" s="21">
        <v>0.0</v>
      </c>
      <c r="N120" s="21">
        <v>0.0</v>
      </c>
      <c r="O120" s="21">
        <v>0.0</v>
      </c>
      <c r="P120" s="21">
        <v>2.0</v>
      </c>
      <c r="Q120" s="21">
        <v>8.0</v>
      </c>
      <c r="R120" s="21">
        <v>0.0</v>
      </c>
      <c r="S120" s="21">
        <v>2.0</v>
      </c>
      <c r="T120" s="21">
        <v>0.0</v>
      </c>
      <c r="U120" s="21">
        <v>0.0</v>
      </c>
      <c r="V120" s="21">
        <v>0.0</v>
      </c>
      <c r="W120" s="21">
        <v>0.0</v>
      </c>
      <c r="X120" s="21"/>
      <c r="Y120" s="21">
        <v>0.0</v>
      </c>
      <c r="Z120" s="21">
        <v>0.0</v>
      </c>
      <c r="AA120" s="21">
        <v>0.0</v>
      </c>
      <c r="AB120" s="21">
        <v>0.0</v>
      </c>
      <c r="AC120" s="21">
        <v>0.0</v>
      </c>
      <c r="AD120" s="21">
        <v>0.0</v>
      </c>
      <c r="AE120" s="21">
        <v>0.0</v>
      </c>
      <c r="AF120" s="21">
        <v>0.0</v>
      </c>
      <c r="AG120" s="21">
        <v>0.0</v>
      </c>
      <c r="AH120" s="21">
        <v>0.0</v>
      </c>
      <c r="AI120" s="21">
        <v>0.0</v>
      </c>
      <c r="AJ120" s="21">
        <v>0.0</v>
      </c>
      <c r="AK120" s="21">
        <v>0.0</v>
      </c>
      <c r="AL120" s="21">
        <v>0.0</v>
      </c>
      <c r="AM120" s="21">
        <v>0.0</v>
      </c>
      <c r="AN120" s="21">
        <v>0.0</v>
      </c>
      <c r="AO120" s="21">
        <v>0.0</v>
      </c>
      <c r="AP120" s="21">
        <v>0.0</v>
      </c>
      <c r="AQ120" s="21">
        <v>0.0</v>
      </c>
      <c r="AR120" s="21">
        <v>16.0</v>
      </c>
      <c r="AS120" s="21">
        <v>0.0</v>
      </c>
      <c r="AT120" s="21">
        <v>0.0</v>
      </c>
      <c r="AU120" s="21">
        <v>0.0</v>
      </c>
      <c r="AV120" s="21">
        <v>0.0</v>
      </c>
      <c r="AW120" s="21">
        <v>0.0</v>
      </c>
      <c r="AX120" s="21">
        <v>0.0</v>
      </c>
      <c r="AY120" s="21">
        <v>0.0</v>
      </c>
      <c r="AZ120" s="21">
        <v>0.0</v>
      </c>
      <c r="BA120" s="21">
        <v>0.0</v>
      </c>
      <c r="BB120" s="21">
        <v>0.0</v>
      </c>
      <c r="BC120" s="21">
        <v>0.0</v>
      </c>
      <c r="BD120" s="21">
        <v>0.0</v>
      </c>
      <c r="BE120" s="21">
        <v>0.0</v>
      </c>
      <c r="BF120" s="21">
        <v>0.0</v>
      </c>
      <c r="BG120" s="21">
        <v>0.0</v>
      </c>
      <c r="BH120" s="21">
        <v>0.0</v>
      </c>
      <c r="BI120">
        <f t="shared" si="8"/>
        <v>28</v>
      </c>
      <c r="BJ120" s="21" t="s">
        <v>1189</v>
      </c>
    </row>
    <row r="121" ht="36.75" customHeight="1">
      <c r="A121" s="20">
        <v>42408.0</v>
      </c>
      <c r="B121" s="21" t="s">
        <v>1081</v>
      </c>
      <c r="C121" s="21" t="s">
        <v>1752</v>
      </c>
      <c r="D121" s="21" t="s">
        <v>1515</v>
      </c>
      <c r="E121" s="21" t="s">
        <v>1516</v>
      </c>
      <c r="F121" s="21" t="s">
        <v>1753</v>
      </c>
      <c r="G121" s="21" t="s">
        <v>1754</v>
      </c>
      <c r="H121" s="21" t="s">
        <v>1755</v>
      </c>
      <c r="I121" s="22" t="s">
        <v>1757</v>
      </c>
      <c r="J121" s="21" t="s">
        <v>1758</v>
      </c>
      <c r="K121" s="21" t="s">
        <v>1759</v>
      </c>
      <c r="AL121" s="21">
        <v>175.0</v>
      </c>
      <c r="AX121" s="21">
        <v>90.0</v>
      </c>
      <c r="AZ121" s="21">
        <v>145.0</v>
      </c>
      <c r="BI121">
        <f t="shared" si="8"/>
        <v>410</v>
      </c>
    </row>
    <row r="122" ht="36.75" customHeight="1">
      <c r="A122" s="20">
        <v>42411.0</v>
      </c>
      <c r="B122" s="21" t="s">
        <v>1081</v>
      </c>
      <c r="C122" s="21" t="s">
        <v>1752</v>
      </c>
      <c r="D122" s="21" t="s">
        <v>1760</v>
      </c>
      <c r="E122" s="21" t="s">
        <v>1516</v>
      </c>
      <c r="F122" s="21" t="s">
        <v>1761</v>
      </c>
      <c r="G122" s="21" t="s">
        <v>1762</v>
      </c>
      <c r="H122" s="21" t="s">
        <v>1763</v>
      </c>
      <c r="I122" s="22" t="s">
        <v>1764</v>
      </c>
      <c r="J122" s="21" t="s">
        <v>1765</v>
      </c>
      <c r="K122" s="21" t="s">
        <v>1091</v>
      </c>
      <c r="N122" s="21">
        <v>48.0</v>
      </c>
      <c r="O122" s="21">
        <v>20.0</v>
      </c>
      <c r="AS122" s="21">
        <v>3.0</v>
      </c>
      <c r="AW122" s="21">
        <v>3.0</v>
      </c>
      <c r="AZ122" s="21">
        <v>1.0</v>
      </c>
      <c r="BD122" s="21">
        <v>1.0</v>
      </c>
      <c r="BI122">
        <f t="shared" si="8"/>
        <v>76</v>
      </c>
      <c r="BJ122" s="21" t="s">
        <v>1093</v>
      </c>
    </row>
    <row r="123" ht="36.75" customHeight="1">
      <c r="A123" s="30">
        <v>42407.0</v>
      </c>
      <c r="B123" s="25" t="s">
        <v>216</v>
      </c>
      <c r="C123" s="25" t="s">
        <v>217</v>
      </c>
      <c r="D123" s="25" t="s">
        <v>218</v>
      </c>
      <c r="E123" s="25" t="s">
        <v>220</v>
      </c>
      <c r="F123" s="41">
        <v>26.893049</v>
      </c>
      <c r="G123" s="41">
        <v>-80.056768</v>
      </c>
      <c r="H123" s="41">
        <v>26.836519</v>
      </c>
      <c r="I123" s="22">
        <v>-80.041361</v>
      </c>
      <c r="J123" s="21" t="s">
        <v>826</v>
      </c>
      <c r="K123" s="21" t="s">
        <v>828</v>
      </c>
      <c r="N123" s="21">
        <v>28.0</v>
      </c>
      <c r="O123" s="21">
        <v>1.0</v>
      </c>
      <c r="Z123" s="21">
        <v>27.0</v>
      </c>
      <c r="AA123" s="21">
        <v>104.0</v>
      </c>
      <c r="AI123" s="21">
        <v>6.0</v>
      </c>
      <c r="AO123" s="21">
        <v>1.0</v>
      </c>
      <c r="AS123" s="21">
        <v>1.0</v>
      </c>
      <c r="AW123" s="21">
        <v>2.0</v>
      </c>
      <c r="AX123" s="21">
        <v>1.0</v>
      </c>
      <c r="AZ123" s="21">
        <v>49.0</v>
      </c>
      <c r="BA123" s="21">
        <v>25.0</v>
      </c>
      <c r="BI123">
        <f t="shared" si="8"/>
        <v>245</v>
      </c>
    </row>
    <row r="124" ht="36.75" customHeight="1">
      <c r="A124" s="30">
        <v>42407.0</v>
      </c>
      <c r="B124" s="25" t="s">
        <v>216</v>
      </c>
      <c r="C124" s="25" t="s">
        <v>217</v>
      </c>
      <c r="D124" s="25" t="s">
        <v>1773</v>
      </c>
      <c r="E124" s="25" t="s">
        <v>220</v>
      </c>
      <c r="F124" s="41">
        <v>27.03405</v>
      </c>
      <c r="G124" s="41">
        <v>-80.08547</v>
      </c>
      <c r="H124" s="41">
        <v>27.00764</v>
      </c>
      <c r="I124" s="22">
        <v>-80.06619</v>
      </c>
      <c r="J124" s="21" t="s">
        <v>1774</v>
      </c>
      <c r="K124" s="21" t="s">
        <v>828</v>
      </c>
      <c r="N124" s="21">
        <v>1.0</v>
      </c>
      <c r="Z124" s="21">
        <v>1.0</v>
      </c>
      <c r="AA124" s="21">
        <v>30.0</v>
      </c>
      <c r="AI124" s="21">
        <v>7.0</v>
      </c>
      <c r="AO124" s="21">
        <v>1.0</v>
      </c>
      <c r="AW124" s="21"/>
      <c r="AX124" s="21"/>
      <c r="AZ124" s="21">
        <v>1.0</v>
      </c>
      <c r="BA124" s="21"/>
      <c r="BI124">
        <f t="shared" si="8"/>
        <v>41</v>
      </c>
    </row>
    <row r="125" ht="36.75" customHeight="1">
      <c r="A125" s="20">
        <v>42408.0</v>
      </c>
      <c r="B125" s="21" t="s">
        <v>1776</v>
      </c>
      <c r="C125" s="21" t="s">
        <v>1777</v>
      </c>
      <c r="D125" s="21" t="s">
        <v>1778</v>
      </c>
      <c r="E125" s="21" t="s">
        <v>220</v>
      </c>
      <c r="F125" s="21">
        <v>26.441806</v>
      </c>
      <c r="G125" s="21">
        <v>-80.060065</v>
      </c>
      <c r="H125" s="21">
        <v>26.50418</v>
      </c>
      <c r="I125" s="22">
        <v>-80.0512</v>
      </c>
      <c r="J125" s="21" t="s">
        <v>1780</v>
      </c>
      <c r="K125" s="21" t="s">
        <v>1781</v>
      </c>
      <c r="N125" s="21">
        <v>56.0</v>
      </c>
      <c r="Z125" s="21">
        <v>1.0</v>
      </c>
      <c r="AA125" s="21">
        <v>193.0</v>
      </c>
      <c r="AI125" s="21">
        <v>4.0</v>
      </c>
      <c r="AL125" s="21">
        <v>1.0</v>
      </c>
      <c r="AX125" s="21">
        <v>239.0</v>
      </c>
      <c r="AY125" s="21">
        <v>15.0</v>
      </c>
      <c r="AZ125" s="21">
        <v>70.0</v>
      </c>
      <c r="BA125" s="21">
        <v>20.0</v>
      </c>
      <c r="BB125" s="21">
        <v>1.0</v>
      </c>
      <c r="BI125">
        <f t="shared" si="8"/>
        <v>600</v>
      </c>
    </row>
    <row r="126" ht="36.75" customHeight="1">
      <c r="A126" s="20">
        <v>42409.0</v>
      </c>
      <c r="B126" s="21" t="s">
        <v>1784</v>
      </c>
      <c r="C126" s="21" t="s">
        <v>867</v>
      </c>
      <c r="D126" s="21" t="s">
        <v>1522</v>
      </c>
      <c r="E126" s="21" t="s">
        <v>220</v>
      </c>
      <c r="F126" s="21" t="s">
        <v>1523</v>
      </c>
      <c r="G126" s="21" t="s">
        <v>1525</v>
      </c>
      <c r="H126" s="21" t="s">
        <v>1523</v>
      </c>
      <c r="I126" s="21" t="s">
        <v>1525</v>
      </c>
      <c r="J126" s="21" t="s">
        <v>1527</v>
      </c>
      <c r="K126" s="21" t="s">
        <v>1528</v>
      </c>
      <c r="L126" s="21">
        <v>0.0</v>
      </c>
      <c r="M126" s="21">
        <v>0.0</v>
      </c>
      <c r="N126" s="21">
        <v>0.0</v>
      </c>
      <c r="O126" s="21">
        <v>0.0</v>
      </c>
      <c r="P126" s="21">
        <v>1.0</v>
      </c>
      <c r="Q126" s="21">
        <v>7.0</v>
      </c>
      <c r="R126" s="21">
        <v>0.0</v>
      </c>
      <c r="S126" s="21">
        <v>0.0</v>
      </c>
      <c r="T126" s="21">
        <v>0.0</v>
      </c>
      <c r="U126" s="21">
        <v>38.0</v>
      </c>
      <c r="V126" s="21">
        <v>0.0</v>
      </c>
      <c r="W126" s="21">
        <v>0.0</v>
      </c>
      <c r="X126" s="21"/>
      <c r="Y126" s="21">
        <v>0.0</v>
      </c>
      <c r="Z126" s="21">
        <v>0.0</v>
      </c>
      <c r="AA126" s="21">
        <v>0.0</v>
      </c>
      <c r="AB126" s="21">
        <v>0.0</v>
      </c>
      <c r="AC126" s="21">
        <v>0.0</v>
      </c>
      <c r="AD126" s="21">
        <v>0.0</v>
      </c>
      <c r="AE126" s="21">
        <v>0.0</v>
      </c>
      <c r="AF126" s="21">
        <v>0.0</v>
      </c>
      <c r="AG126" s="21">
        <v>0.0</v>
      </c>
      <c r="AH126" s="21">
        <v>0.0</v>
      </c>
      <c r="AI126" s="21">
        <v>0.0</v>
      </c>
      <c r="AJ126" s="21">
        <v>0.0</v>
      </c>
      <c r="AK126" s="21">
        <v>0.0</v>
      </c>
      <c r="AL126" s="21">
        <v>1.0</v>
      </c>
      <c r="AM126" s="21">
        <v>0.0</v>
      </c>
      <c r="AN126" s="21">
        <v>0.0</v>
      </c>
      <c r="AO126" s="21">
        <v>0.0</v>
      </c>
      <c r="AP126" s="21">
        <v>1.0</v>
      </c>
      <c r="AQ126" s="21">
        <v>0.0</v>
      </c>
      <c r="AR126" s="21">
        <v>72.0</v>
      </c>
      <c r="AS126" s="21">
        <v>15.0</v>
      </c>
      <c r="AT126" s="21">
        <v>0.0</v>
      </c>
      <c r="AU126" s="21">
        <v>0.0</v>
      </c>
      <c r="AV126" s="21">
        <v>0.0</v>
      </c>
      <c r="AW126" s="21">
        <v>0.0</v>
      </c>
      <c r="AX126" s="21">
        <v>0.0</v>
      </c>
      <c r="AY126" s="21">
        <v>0.0</v>
      </c>
      <c r="AZ126" s="21">
        <v>0.0</v>
      </c>
      <c r="BA126" s="21">
        <v>0.0</v>
      </c>
      <c r="BB126" s="21">
        <v>0.0</v>
      </c>
      <c r="BC126" s="21">
        <v>0.0</v>
      </c>
      <c r="BD126" s="21">
        <v>145.0</v>
      </c>
      <c r="BE126" s="21">
        <v>0.0</v>
      </c>
      <c r="BF126" s="21">
        <v>0.0</v>
      </c>
      <c r="BG126" s="21">
        <v>0.0</v>
      </c>
      <c r="BH126" s="21">
        <v>0.0</v>
      </c>
      <c r="BI126">
        <f t="shared" si="8"/>
        <v>280</v>
      </c>
      <c r="BJ126" s="21" t="s">
        <v>1566</v>
      </c>
    </row>
    <row r="127" ht="36.75" customHeight="1">
      <c r="A127" s="20">
        <v>42411.0</v>
      </c>
      <c r="B127" s="21" t="s">
        <v>866</v>
      </c>
      <c r="C127" s="21" t="s">
        <v>867</v>
      </c>
      <c r="D127" s="21" t="s">
        <v>868</v>
      </c>
      <c r="E127" s="21" t="s">
        <v>220</v>
      </c>
      <c r="F127" s="21" t="s">
        <v>869</v>
      </c>
      <c r="G127" s="21" t="s">
        <v>870</v>
      </c>
      <c r="I127" s="54"/>
      <c r="J127" s="21" t="s">
        <v>871</v>
      </c>
      <c r="K127" s="21" t="s">
        <v>872</v>
      </c>
      <c r="L127" s="21">
        <v>0.0</v>
      </c>
      <c r="M127" s="21">
        <v>0.0</v>
      </c>
      <c r="N127" s="21">
        <v>0.0</v>
      </c>
      <c r="O127" s="21">
        <v>0.0</v>
      </c>
      <c r="P127" s="21">
        <v>3.0</v>
      </c>
      <c r="Q127" s="21">
        <v>14.0</v>
      </c>
      <c r="R127" s="21">
        <v>5.0</v>
      </c>
      <c r="S127" s="21">
        <v>5.0</v>
      </c>
      <c r="T127" s="21">
        <v>0.0</v>
      </c>
      <c r="U127" s="21">
        <v>0.0</v>
      </c>
      <c r="V127" s="21">
        <v>0.0</v>
      </c>
      <c r="W127" s="21">
        <v>0.0</v>
      </c>
      <c r="X127" s="21"/>
      <c r="Y127" s="21">
        <v>0.0</v>
      </c>
      <c r="Z127" s="21">
        <v>1.0</v>
      </c>
      <c r="AA127" s="21">
        <v>0.0</v>
      </c>
      <c r="AB127" s="21">
        <v>0.0</v>
      </c>
      <c r="AC127" s="21">
        <v>0.0</v>
      </c>
      <c r="AD127" s="21">
        <v>0.0</v>
      </c>
      <c r="AE127" s="21">
        <v>0.0</v>
      </c>
      <c r="AF127" s="21">
        <v>0.0</v>
      </c>
      <c r="AG127" s="21">
        <v>0.0</v>
      </c>
      <c r="AH127" s="21">
        <v>0.0</v>
      </c>
      <c r="AI127" s="21">
        <v>0.0</v>
      </c>
      <c r="AJ127" s="21">
        <v>0.0</v>
      </c>
      <c r="AK127" s="21">
        <v>0.0</v>
      </c>
      <c r="AL127" s="21">
        <v>55.0</v>
      </c>
      <c r="AM127" s="21">
        <v>0.0</v>
      </c>
      <c r="AN127" s="21">
        <v>0.0</v>
      </c>
      <c r="AO127" s="21">
        <v>0.0</v>
      </c>
      <c r="AP127" s="21">
        <v>7.0</v>
      </c>
      <c r="AQ127" s="21">
        <v>0.0</v>
      </c>
      <c r="AR127" s="21">
        <v>72.0</v>
      </c>
      <c r="AS127" s="21">
        <v>0.0</v>
      </c>
      <c r="AT127" s="21">
        <v>0.0</v>
      </c>
      <c r="AU127" s="21">
        <v>0.0</v>
      </c>
      <c r="AV127" s="21">
        <v>0.0</v>
      </c>
      <c r="AW127" s="21">
        <v>0.0</v>
      </c>
      <c r="AX127" s="21">
        <v>0.0</v>
      </c>
      <c r="AY127" s="21">
        <v>0.0</v>
      </c>
      <c r="AZ127" s="21">
        <v>0.0</v>
      </c>
      <c r="BA127" s="21">
        <v>0.0</v>
      </c>
      <c r="BB127" s="21">
        <v>0.0</v>
      </c>
      <c r="BC127" s="21">
        <v>0.0</v>
      </c>
      <c r="BD127" s="21">
        <v>0.0</v>
      </c>
      <c r="BE127" s="21">
        <v>0.0</v>
      </c>
      <c r="BF127" s="21">
        <v>0.0</v>
      </c>
      <c r="BG127" s="21">
        <v>0.0</v>
      </c>
      <c r="BH127" s="21">
        <v>0.0</v>
      </c>
      <c r="BI127">
        <f t="shared" si="8"/>
        <v>162</v>
      </c>
      <c r="BJ127" s="21" t="s">
        <v>1794</v>
      </c>
    </row>
    <row r="128" ht="36.75" customHeight="1">
      <c r="A128" s="20">
        <v>42411.0</v>
      </c>
      <c r="B128" s="21" t="s">
        <v>1795</v>
      </c>
      <c r="C128" s="25" t="s">
        <v>1796</v>
      </c>
      <c r="D128" s="25" t="s">
        <v>1797</v>
      </c>
      <c r="E128" s="25" t="s">
        <v>220</v>
      </c>
      <c r="F128" s="25">
        <v>26.882</v>
      </c>
      <c r="G128" s="25">
        <v>-80.069</v>
      </c>
      <c r="H128" s="21">
        <v>26.891</v>
      </c>
      <c r="I128" s="21">
        <v>-80.073</v>
      </c>
      <c r="J128" s="21" t="s">
        <v>1799</v>
      </c>
      <c r="K128" s="21" t="s">
        <v>1800</v>
      </c>
      <c r="L128" s="21">
        <v>0.0</v>
      </c>
      <c r="M128" s="21">
        <v>0.0</v>
      </c>
      <c r="N128" s="21">
        <v>0.0</v>
      </c>
      <c r="O128" s="21">
        <v>0.0</v>
      </c>
      <c r="P128" s="21">
        <v>0.0</v>
      </c>
      <c r="Q128" s="21">
        <v>0.0</v>
      </c>
      <c r="R128" s="21">
        <v>0.0</v>
      </c>
      <c r="S128" s="21">
        <v>0.0</v>
      </c>
      <c r="T128" s="21">
        <v>0.0</v>
      </c>
      <c r="U128" s="21">
        <v>0.0</v>
      </c>
      <c r="V128" s="21">
        <v>0.0</v>
      </c>
      <c r="W128" s="21">
        <v>0.0</v>
      </c>
      <c r="X128" s="21"/>
      <c r="Y128" s="21">
        <v>0.0</v>
      </c>
      <c r="Z128" s="21">
        <v>0.0</v>
      </c>
      <c r="AA128" s="21">
        <v>0.0</v>
      </c>
      <c r="AB128" s="21">
        <v>0.0</v>
      </c>
      <c r="AC128" s="21">
        <v>0.0</v>
      </c>
      <c r="AD128" s="21">
        <v>0.0</v>
      </c>
      <c r="AE128" s="21">
        <v>0.0</v>
      </c>
      <c r="AF128" s="21">
        <v>0.0</v>
      </c>
      <c r="AG128" s="21">
        <v>0.0</v>
      </c>
      <c r="AH128" s="21">
        <v>0.0</v>
      </c>
      <c r="AI128" s="21">
        <v>0.0</v>
      </c>
      <c r="AJ128" s="21">
        <v>0.0</v>
      </c>
      <c r="AK128" s="21">
        <v>0.0</v>
      </c>
      <c r="AL128" s="21">
        <v>0.0</v>
      </c>
      <c r="AM128" s="21">
        <v>0.0</v>
      </c>
      <c r="AN128" s="21">
        <v>0.0</v>
      </c>
      <c r="AO128" s="21">
        <v>0.0</v>
      </c>
      <c r="AP128" s="21">
        <v>0.0</v>
      </c>
      <c r="AQ128" s="21">
        <v>0.0</v>
      </c>
      <c r="AR128" s="21">
        <v>0.0</v>
      </c>
      <c r="AS128" s="21">
        <v>0.0</v>
      </c>
      <c r="AT128" s="21">
        <v>0.0</v>
      </c>
      <c r="AU128" s="21">
        <v>0.0</v>
      </c>
      <c r="AV128" s="21">
        <v>0.0</v>
      </c>
      <c r="AW128" s="21">
        <v>0.0</v>
      </c>
      <c r="AX128" s="21">
        <v>0.0</v>
      </c>
      <c r="AY128" s="21">
        <v>0.0</v>
      </c>
      <c r="AZ128" s="21">
        <v>0.0</v>
      </c>
      <c r="BA128" s="21">
        <v>0.0</v>
      </c>
      <c r="BB128" s="21">
        <v>0.0</v>
      </c>
      <c r="BC128" s="21">
        <v>0.0</v>
      </c>
      <c r="BD128" s="21">
        <v>0.0</v>
      </c>
      <c r="BE128" s="21">
        <v>0.0</v>
      </c>
      <c r="BF128" s="21">
        <v>0.0</v>
      </c>
      <c r="BG128" s="21">
        <v>0.0</v>
      </c>
      <c r="BH128" s="21">
        <v>0.0</v>
      </c>
      <c r="BI128">
        <f t="shared" si="8"/>
        <v>0</v>
      </c>
      <c r="BJ128" s="21" t="s">
        <v>1804</v>
      </c>
    </row>
    <row r="129" ht="36.75" customHeight="1">
      <c r="A129" s="20">
        <v>42411.0</v>
      </c>
      <c r="B129" s="25" t="s">
        <v>1795</v>
      </c>
      <c r="C129" s="25" t="s">
        <v>1796</v>
      </c>
      <c r="D129" s="25" t="s">
        <v>1805</v>
      </c>
      <c r="E129" s="25" t="s">
        <v>220</v>
      </c>
      <c r="F129" s="25">
        <v>26.907</v>
      </c>
      <c r="G129" s="25">
        <v>-80.078</v>
      </c>
      <c r="H129" s="21">
        <v>26.919</v>
      </c>
      <c r="I129" s="21">
        <v>-80.078</v>
      </c>
      <c r="J129" s="21" t="s">
        <v>1806</v>
      </c>
      <c r="K129" s="21" t="s">
        <v>1800</v>
      </c>
      <c r="L129" s="21">
        <v>0.0</v>
      </c>
      <c r="M129" s="21">
        <v>0.0</v>
      </c>
      <c r="N129" s="21">
        <v>0.0</v>
      </c>
      <c r="O129" s="21">
        <v>0.0</v>
      </c>
      <c r="P129" s="21">
        <v>0.0</v>
      </c>
      <c r="Q129" s="21">
        <v>0.0</v>
      </c>
      <c r="R129" s="21">
        <v>0.0</v>
      </c>
      <c r="S129" s="21">
        <v>0.0</v>
      </c>
      <c r="T129" s="21">
        <v>0.0</v>
      </c>
      <c r="U129" s="21">
        <v>0.0</v>
      </c>
      <c r="V129" s="21">
        <v>0.0</v>
      </c>
      <c r="W129" s="21">
        <v>0.0</v>
      </c>
      <c r="X129" s="21"/>
      <c r="Y129" s="21">
        <v>0.0</v>
      </c>
      <c r="Z129" s="21">
        <v>0.0</v>
      </c>
      <c r="AA129" s="21">
        <v>0.0</v>
      </c>
      <c r="AB129" s="21">
        <v>0.0</v>
      </c>
      <c r="AC129" s="21">
        <v>0.0</v>
      </c>
      <c r="AD129" s="21">
        <v>0.0</v>
      </c>
      <c r="AE129" s="21">
        <v>0.0</v>
      </c>
      <c r="AF129" s="21">
        <v>0.0</v>
      </c>
      <c r="AG129" s="21">
        <v>0.0</v>
      </c>
      <c r="AH129" s="21">
        <v>0.0</v>
      </c>
      <c r="AI129" s="21">
        <v>0.0</v>
      </c>
      <c r="AJ129" s="21">
        <v>0.0</v>
      </c>
      <c r="AK129" s="21">
        <v>0.0</v>
      </c>
      <c r="AL129" s="21">
        <v>0.0</v>
      </c>
      <c r="AM129" s="21">
        <v>0.0</v>
      </c>
      <c r="AN129" s="21">
        <v>0.0</v>
      </c>
      <c r="AO129" s="21">
        <v>0.0</v>
      </c>
      <c r="AP129" s="21">
        <v>0.0</v>
      </c>
      <c r="AQ129" s="21">
        <v>0.0</v>
      </c>
      <c r="AR129" s="21">
        <v>0.0</v>
      </c>
      <c r="AS129" s="21">
        <v>0.0</v>
      </c>
      <c r="AT129" s="21">
        <v>0.0</v>
      </c>
      <c r="AU129" s="21">
        <v>0.0</v>
      </c>
      <c r="AV129" s="21">
        <v>0.0</v>
      </c>
      <c r="AW129" s="21">
        <v>0.0</v>
      </c>
      <c r="AX129" s="21">
        <v>0.0</v>
      </c>
      <c r="AY129" s="21">
        <v>0.0</v>
      </c>
      <c r="AZ129" s="21">
        <v>0.0</v>
      </c>
      <c r="BA129" s="21">
        <v>0.0</v>
      </c>
      <c r="BB129" s="21">
        <v>0.0</v>
      </c>
      <c r="BC129" s="21">
        <v>0.0</v>
      </c>
      <c r="BD129" s="21">
        <v>0.0</v>
      </c>
      <c r="BE129" s="21">
        <v>0.0</v>
      </c>
      <c r="BF129" s="21">
        <v>0.0</v>
      </c>
      <c r="BG129" s="21">
        <v>0.0</v>
      </c>
      <c r="BH129" s="21">
        <v>0.0</v>
      </c>
      <c r="BI129">
        <f t="shared" si="8"/>
        <v>0</v>
      </c>
      <c r="BJ129" s="21" t="s">
        <v>1810</v>
      </c>
    </row>
    <row r="130" ht="36.75" customHeight="1">
      <c r="A130" s="29">
        <v>42409.0</v>
      </c>
      <c r="B130" s="25" t="s">
        <v>1454</v>
      </c>
      <c r="C130" s="25" t="s">
        <v>1455</v>
      </c>
      <c r="D130" s="25" t="s">
        <v>1457</v>
      </c>
      <c r="E130" s="25" t="s">
        <v>220</v>
      </c>
      <c r="F130" s="25">
        <v>26.613805</v>
      </c>
      <c r="G130" s="25">
        <v>80.045667</v>
      </c>
      <c r="H130" s="21">
        <v>26.64962</v>
      </c>
      <c r="I130" s="21">
        <v>80.04167</v>
      </c>
      <c r="J130" s="21" t="s">
        <v>1458</v>
      </c>
      <c r="K130" s="21" t="s">
        <v>1459</v>
      </c>
      <c r="L130" s="21">
        <v>12.0</v>
      </c>
      <c r="R130" s="21">
        <v>9.0</v>
      </c>
      <c r="AB130" s="21">
        <v>17.0</v>
      </c>
      <c r="AI130" s="21">
        <v>3.0</v>
      </c>
      <c r="BH130" s="21">
        <v>2.0</v>
      </c>
      <c r="BI130">
        <f t="shared" si="8"/>
        <v>43</v>
      </c>
      <c r="BJ130" s="21" t="s">
        <v>1814</v>
      </c>
    </row>
    <row r="131" ht="36.75" customHeight="1">
      <c r="A131" s="20">
        <v>42407.0</v>
      </c>
      <c r="B131" s="25" t="s">
        <v>1592</v>
      </c>
      <c r="C131" s="25" t="s">
        <v>1593</v>
      </c>
      <c r="D131" s="21" t="s">
        <v>1816</v>
      </c>
      <c r="E131" s="21" t="s">
        <v>220</v>
      </c>
      <c r="F131" s="21">
        <v>26.89345</v>
      </c>
      <c r="G131" s="21">
        <v>-80.05658</v>
      </c>
      <c r="H131" s="21">
        <v>26.94349</v>
      </c>
      <c r="I131" s="22">
        <v>-80.07151</v>
      </c>
      <c r="J131" s="21" t="s">
        <v>1817</v>
      </c>
      <c r="K131" s="21" t="s">
        <v>1599</v>
      </c>
      <c r="Z131" s="21">
        <v>63.0</v>
      </c>
      <c r="AA131" s="21">
        <v>91.0</v>
      </c>
      <c r="AI131" s="21">
        <v>1.0</v>
      </c>
      <c r="AY131" s="21">
        <v>4.0</v>
      </c>
      <c r="AZ131" s="21">
        <v>45.0</v>
      </c>
      <c r="BA131" s="21">
        <v>14.0</v>
      </c>
      <c r="BI131">
        <f t="shared" si="8"/>
        <v>218</v>
      </c>
    </row>
    <row r="132" ht="36.75" customHeight="1">
      <c r="A132" s="20">
        <v>42409.0</v>
      </c>
      <c r="B132" s="21" t="s">
        <v>808</v>
      </c>
      <c r="C132" s="21" t="s">
        <v>810</v>
      </c>
      <c r="D132" s="21" t="s">
        <v>811</v>
      </c>
      <c r="E132" s="21" t="s">
        <v>220</v>
      </c>
      <c r="F132" s="21">
        <v>26.39081</v>
      </c>
      <c r="G132" s="21">
        <v>-80.06619</v>
      </c>
      <c r="H132" s="21">
        <v>26.36022</v>
      </c>
      <c r="I132" s="22">
        <v>-80.06891</v>
      </c>
      <c r="J132" s="21" t="s">
        <v>1819</v>
      </c>
      <c r="K132" s="21" t="s">
        <v>1820</v>
      </c>
      <c r="L132" s="21">
        <v>0.0</v>
      </c>
      <c r="M132" s="21">
        <v>0.0</v>
      </c>
      <c r="N132" s="21">
        <v>0.0</v>
      </c>
      <c r="O132" s="21">
        <v>0.0</v>
      </c>
      <c r="P132" s="21">
        <v>0.0</v>
      </c>
      <c r="Q132" s="21">
        <v>0.0</v>
      </c>
      <c r="R132" s="21">
        <v>1.0</v>
      </c>
      <c r="S132" s="21">
        <v>0.0</v>
      </c>
      <c r="T132" s="21">
        <v>0.0</v>
      </c>
      <c r="U132" s="21">
        <v>0.0</v>
      </c>
      <c r="V132" s="21">
        <v>0.0</v>
      </c>
      <c r="W132" s="21">
        <v>0.0</v>
      </c>
      <c r="X132" s="21"/>
      <c r="Y132" s="21">
        <v>0.0</v>
      </c>
      <c r="Z132" s="21">
        <v>0.0</v>
      </c>
      <c r="AA132" s="21">
        <v>7.0</v>
      </c>
      <c r="AB132" s="21">
        <v>0.0</v>
      </c>
      <c r="AC132" s="21">
        <v>0.0</v>
      </c>
      <c r="AD132" s="21">
        <v>0.0</v>
      </c>
      <c r="AE132" s="21">
        <v>0.0</v>
      </c>
      <c r="AF132" s="21">
        <v>0.0</v>
      </c>
      <c r="AG132" s="21">
        <v>0.0</v>
      </c>
      <c r="AH132" s="21">
        <v>0.0</v>
      </c>
      <c r="AI132" s="21">
        <v>0.0</v>
      </c>
      <c r="AJ132" s="21">
        <v>0.0</v>
      </c>
      <c r="AK132" s="21">
        <v>0.0</v>
      </c>
      <c r="AL132" s="21">
        <v>0.0</v>
      </c>
      <c r="AM132" s="21">
        <v>0.0</v>
      </c>
      <c r="AN132" s="21">
        <v>0.0</v>
      </c>
      <c r="AO132" s="21">
        <v>0.0</v>
      </c>
      <c r="AP132" s="21">
        <v>0.0</v>
      </c>
      <c r="AQ132" s="21">
        <v>0.0</v>
      </c>
      <c r="AR132" s="21">
        <v>0.0</v>
      </c>
      <c r="AS132" s="21">
        <v>0.0</v>
      </c>
      <c r="AT132" s="21">
        <v>0.0</v>
      </c>
      <c r="AU132" s="21">
        <v>0.0</v>
      </c>
      <c r="AV132" s="21">
        <v>0.0</v>
      </c>
      <c r="AW132" s="21">
        <v>1.0</v>
      </c>
      <c r="AX132" s="21">
        <v>0.0</v>
      </c>
      <c r="AY132" s="21">
        <v>2.0</v>
      </c>
      <c r="AZ132" s="21">
        <v>25.0</v>
      </c>
      <c r="BA132" s="21">
        <v>17.0</v>
      </c>
      <c r="BB132" s="21">
        <v>0.0</v>
      </c>
      <c r="BC132" s="21">
        <v>0.0</v>
      </c>
      <c r="BD132" s="21">
        <v>0.0</v>
      </c>
      <c r="BE132" s="21">
        <v>0.0</v>
      </c>
      <c r="BF132" s="21">
        <v>0.0</v>
      </c>
      <c r="BG132" s="21">
        <v>0.0</v>
      </c>
      <c r="BH132" s="21">
        <v>0.0</v>
      </c>
      <c r="BI132">
        <f t="shared" si="8"/>
        <v>53</v>
      </c>
      <c r="BJ132" s="21" t="s">
        <v>1824</v>
      </c>
    </row>
    <row r="133" ht="36.75" customHeight="1">
      <c r="A133" s="20">
        <v>42411.0</v>
      </c>
      <c r="B133" s="21" t="s">
        <v>808</v>
      </c>
      <c r="C133" s="21" t="s">
        <v>810</v>
      </c>
      <c r="D133" s="21" t="s">
        <v>821</v>
      </c>
      <c r="E133" s="21" t="s">
        <v>220</v>
      </c>
      <c r="F133" s="21">
        <v>26.42586</v>
      </c>
      <c r="G133" s="21">
        <v>-80.06254</v>
      </c>
      <c r="H133" s="21">
        <v>26.39081</v>
      </c>
      <c r="I133" s="22">
        <v>-80.06606</v>
      </c>
      <c r="J133" s="21" t="s">
        <v>1827</v>
      </c>
      <c r="K133" s="21" t="s">
        <v>1828</v>
      </c>
      <c r="L133" s="21">
        <v>0.0</v>
      </c>
      <c r="M133" s="21">
        <v>0.0</v>
      </c>
      <c r="N133" s="21">
        <v>0.0</v>
      </c>
      <c r="O133" s="21">
        <v>0.0</v>
      </c>
      <c r="P133" s="21">
        <v>0.0</v>
      </c>
      <c r="Q133" s="21">
        <v>0.0</v>
      </c>
      <c r="R133" s="21">
        <v>0.0</v>
      </c>
      <c r="S133" s="21">
        <v>0.0</v>
      </c>
      <c r="T133" s="21">
        <v>0.0</v>
      </c>
      <c r="U133" s="21">
        <v>0.0</v>
      </c>
      <c r="V133" s="21">
        <v>0.0</v>
      </c>
      <c r="W133" s="21">
        <v>0.0</v>
      </c>
      <c r="X133" s="21"/>
      <c r="Y133" s="21">
        <v>0.0</v>
      </c>
      <c r="Z133" s="21">
        <v>0.0</v>
      </c>
      <c r="AA133" s="21">
        <v>20.0</v>
      </c>
      <c r="AB133" s="21">
        <v>0.0</v>
      </c>
      <c r="AC133" s="21">
        <v>0.0</v>
      </c>
      <c r="AD133" s="21">
        <v>0.0</v>
      </c>
      <c r="AE133" s="21">
        <v>0.0</v>
      </c>
      <c r="AF133" s="21">
        <v>0.0</v>
      </c>
      <c r="AG133" s="21">
        <v>0.0</v>
      </c>
      <c r="AH133" s="21">
        <v>0.0</v>
      </c>
      <c r="AI133" s="21">
        <v>1.0</v>
      </c>
      <c r="AJ133" s="21">
        <v>0.0</v>
      </c>
      <c r="AK133" s="21">
        <v>0.0</v>
      </c>
      <c r="AL133" s="21">
        <v>0.0</v>
      </c>
      <c r="AM133" s="21">
        <v>0.0</v>
      </c>
      <c r="AN133" s="21">
        <v>0.0</v>
      </c>
      <c r="AO133" s="21">
        <v>0.0</v>
      </c>
      <c r="AP133" s="21">
        <v>0.0</v>
      </c>
      <c r="AQ133" s="21">
        <v>0.0</v>
      </c>
      <c r="AR133" s="21">
        <v>0.0</v>
      </c>
      <c r="AS133" s="21">
        <v>0.0</v>
      </c>
      <c r="AT133" s="21">
        <v>0.0</v>
      </c>
      <c r="AU133" s="21">
        <v>0.0</v>
      </c>
      <c r="AV133" s="21">
        <v>0.0</v>
      </c>
      <c r="AW133" s="21">
        <v>0.0</v>
      </c>
      <c r="AX133" s="21">
        <v>0.0</v>
      </c>
      <c r="AY133" s="21">
        <v>0.0</v>
      </c>
      <c r="AZ133" s="21">
        <v>11.0</v>
      </c>
      <c r="BA133" s="21">
        <v>0.0</v>
      </c>
      <c r="BB133" s="21">
        <v>0.0</v>
      </c>
      <c r="BC133" s="21">
        <v>0.0</v>
      </c>
      <c r="BD133" s="21">
        <v>0.0</v>
      </c>
      <c r="BE133" s="21">
        <v>0.0</v>
      </c>
      <c r="BF133" s="21">
        <v>0.0</v>
      </c>
      <c r="BG133" s="21">
        <v>0.0</v>
      </c>
      <c r="BH133" s="21">
        <v>0.0</v>
      </c>
      <c r="BI133">
        <f t="shared" si="8"/>
        <v>32</v>
      </c>
      <c r="BJ133" s="21" t="s">
        <v>1824</v>
      </c>
    </row>
    <row r="134" ht="36.75" customHeight="1">
      <c r="A134" s="20">
        <v>42411.0</v>
      </c>
      <c r="B134" s="21" t="s">
        <v>808</v>
      </c>
      <c r="C134" s="21" t="s">
        <v>810</v>
      </c>
      <c r="D134" s="21" t="s">
        <v>819</v>
      </c>
      <c r="E134" s="21" t="s">
        <v>220</v>
      </c>
      <c r="F134" s="21">
        <v>26.33548</v>
      </c>
      <c r="G134" s="21">
        <v>-80.0718</v>
      </c>
      <c r="H134" s="21">
        <v>26.32091</v>
      </c>
      <c r="I134" s="22">
        <v>-80.07464</v>
      </c>
      <c r="J134" s="21" t="s">
        <v>1834</v>
      </c>
      <c r="K134" s="21" t="s">
        <v>1828</v>
      </c>
      <c r="L134" s="21">
        <v>0.0</v>
      </c>
      <c r="M134" s="21">
        <v>0.0</v>
      </c>
      <c r="N134" s="21">
        <v>0.0</v>
      </c>
      <c r="O134" s="21">
        <v>0.0</v>
      </c>
      <c r="P134" s="21">
        <v>0.0</v>
      </c>
      <c r="Q134" s="21">
        <v>0.0</v>
      </c>
      <c r="R134" s="21">
        <v>0.0</v>
      </c>
      <c r="S134" s="21">
        <v>0.0</v>
      </c>
      <c r="T134" s="21">
        <v>0.0</v>
      </c>
      <c r="U134" s="21">
        <v>0.0</v>
      </c>
      <c r="V134" s="21">
        <v>0.0</v>
      </c>
      <c r="W134" s="21">
        <v>0.0</v>
      </c>
      <c r="X134" s="21"/>
      <c r="Y134" s="21">
        <v>0.0</v>
      </c>
      <c r="Z134" s="21">
        <v>0.0</v>
      </c>
      <c r="AA134" s="21">
        <v>0.0</v>
      </c>
      <c r="AB134" s="21">
        <v>0.0</v>
      </c>
      <c r="AC134" s="21">
        <v>0.0</v>
      </c>
      <c r="AD134" s="21">
        <v>0.0</v>
      </c>
      <c r="AE134" s="21">
        <v>0.0</v>
      </c>
      <c r="AF134" s="21">
        <v>0.0</v>
      </c>
      <c r="AG134" s="21">
        <v>0.0</v>
      </c>
      <c r="AH134" s="21">
        <v>0.0</v>
      </c>
      <c r="AI134" s="21">
        <v>0.0</v>
      </c>
      <c r="AJ134" s="21">
        <v>0.0</v>
      </c>
      <c r="AK134" s="21">
        <v>0.0</v>
      </c>
      <c r="AL134" s="21">
        <v>0.0</v>
      </c>
      <c r="AM134" s="21">
        <v>0.0</v>
      </c>
      <c r="AN134" s="21">
        <v>0.0</v>
      </c>
      <c r="AO134" s="21">
        <v>0.0</v>
      </c>
      <c r="AP134" s="21">
        <v>0.0</v>
      </c>
      <c r="AQ134" s="21">
        <v>0.0</v>
      </c>
      <c r="AR134" s="21">
        <v>0.0</v>
      </c>
      <c r="AS134" s="21">
        <v>0.0</v>
      </c>
      <c r="AT134" s="21">
        <v>0.0</v>
      </c>
      <c r="AU134" s="21">
        <v>0.0</v>
      </c>
      <c r="AV134" s="21">
        <v>0.0</v>
      </c>
      <c r="AW134" s="21">
        <v>0.0</v>
      </c>
      <c r="AX134" s="21">
        <v>0.0</v>
      </c>
      <c r="AY134" s="21">
        <v>0.0</v>
      </c>
      <c r="AZ134" s="21">
        <v>3.0</v>
      </c>
      <c r="BA134" s="21">
        <v>0.0</v>
      </c>
      <c r="BB134" s="21">
        <v>0.0</v>
      </c>
      <c r="BC134" s="21">
        <v>0.0</v>
      </c>
      <c r="BD134" s="21">
        <v>0.0</v>
      </c>
      <c r="BE134" s="21">
        <v>0.0</v>
      </c>
      <c r="BF134" s="21">
        <v>0.0</v>
      </c>
      <c r="BG134" s="21">
        <v>0.0</v>
      </c>
      <c r="BH134" s="21">
        <v>0.0</v>
      </c>
      <c r="BI134">
        <f t="shared" si="8"/>
        <v>3</v>
      </c>
      <c r="BJ134" s="21" t="s">
        <v>1824</v>
      </c>
    </row>
    <row r="135" ht="36.75" customHeight="1">
      <c r="A135" s="20">
        <v>42411.0</v>
      </c>
      <c r="B135" s="21" t="s">
        <v>808</v>
      </c>
      <c r="C135" s="21" t="s">
        <v>810</v>
      </c>
      <c r="D135" s="21" t="s">
        <v>815</v>
      </c>
      <c r="E135" s="21" t="s">
        <v>220</v>
      </c>
      <c r="F135" s="21">
        <v>26.36022</v>
      </c>
      <c r="G135" s="21">
        <v>-80.06884</v>
      </c>
      <c r="H135" s="21">
        <v>26.33614</v>
      </c>
      <c r="I135" s="22">
        <v>-80.071</v>
      </c>
      <c r="J135" s="21" t="s">
        <v>1847</v>
      </c>
      <c r="K135" s="21" t="s">
        <v>1828</v>
      </c>
      <c r="L135" s="21">
        <v>0.0</v>
      </c>
      <c r="M135" s="21">
        <v>0.0</v>
      </c>
      <c r="N135" s="21">
        <v>0.0</v>
      </c>
      <c r="O135" s="21">
        <v>0.0</v>
      </c>
      <c r="P135" s="21">
        <v>0.0</v>
      </c>
      <c r="Q135" s="21">
        <v>0.0</v>
      </c>
      <c r="R135" s="21">
        <v>0.0</v>
      </c>
      <c r="S135" s="21">
        <v>0.0</v>
      </c>
      <c r="T135" s="21">
        <v>0.0</v>
      </c>
      <c r="U135" s="21">
        <v>0.0</v>
      </c>
      <c r="V135" s="21">
        <v>0.0</v>
      </c>
      <c r="W135" s="21">
        <v>0.0</v>
      </c>
      <c r="X135" s="21"/>
      <c r="Y135" s="21">
        <v>0.0</v>
      </c>
      <c r="Z135" s="21">
        <v>0.0</v>
      </c>
      <c r="AA135" s="21">
        <v>34.0</v>
      </c>
      <c r="AB135" s="21">
        <v>0.0</v>
      </c>
      <c r="AC135" s="21">
        <v>0.0</v>
      </c>
      <c r="AD135" s="21">
        <v>0.0</v>
      </c>
      <c r="AE135" s="21">
        <v>0.0</v>
      </c>
      <c r="AF135" s="21">
        <v>0.0</v>
      </c>
      <c r="AG135" s="21">
        <v>0.0</v>
      </c>
      <c r="AH135" s="21">
        <v>0.0</v>
      </c>
      <c r="AI135" s="21">
        <v>0.0</v>
      </c>
      <c r="AJ135" s="21">
        <v>0.0</v>
      </c>
      <c r="AK135" s="21">
        <v>0.0</v>
      </c>
      <c r="AL135" s="21">
        <v>0.0</v>
      </c>
      <c r="AM135" s="21">
        <v>0.0</v>
      </c>
      <c r="AN135" s="21">
        <v>0.0</v>
      </c>
      <c r="AO135" s="21">
        <v>0.0</v>
      </c>
      <c r="AP135" s="21">
        <v>0.0</v>
      </c>
      <c r="AQ135" s="21">
        <v>0.0</v>
      </c>
      <c r="AR135" s="21">
        <v>0.0</v>
      </c>
      <c r="AS135" s="21">
        <v>0.0</v>
      </c>
      <c r="AT135" s="21">
        <v>0.0</v>
      </c>
      <c r="AU135" s="21">
        <v>0.0</v>
      </c>
      <c r="AV135" s="21">
        <v>0.0</v>
      </c>
      <c r="AW135" s="21">
        <v>0.0</v>
      </c>
      <c r="AX135" s="21">
        <v>9.0</v>
      </c>
      <c r="AY135" s="21">
        <v>0.0</v>
      </c>
      <c r="AZ135" s="21">
        <v>37.0</v>
      </c>
      <c r="BA135" s="21">
        <v>12.0</v>
      </c>
      <c r="BB135" s="21">
        <v>0.0</v>
      </c>
      <c r="BC135" s="21">
        <v>0.0</v>
      </c>
      <c r="BD135" s="21">
        <v>0.0</v>
      </c>
      <c r="BE135" s="21">
        <v>0.0</v>
      </c>
      <c r="BF135" s="21">
        <v>0.0</v>
      </c>
      <c r="BG135" s="21">
        <v>0.0</v>
      </c>
      <c r="BH135" s="21">
        <v>0.0</v>
      </c>
      <c r="BI135">
        <f t="shared" si="8"/>
        <v>92</v>
      </c>
      <c r="BJ135" s="21" t="s">
        <v>1824</v>
      </c>
    </row>
    <row r="136" ht="36.75" customHeight="1">
      <c r="A136" s="29">
        <v>42409.0</v>
      </c>
      <c r="B136" s="25" t="s">
        <v>1850</v>
      </c>
      <c r="C136" s="25" t="s">
        <v>1851</v>
      </c>
      <c r="D136" s="25" t="s">
        <v>1853</v>
      </c>
      <c r="E136" s="25" t="s">
        <v>220</v>
      </c>
      <c r="F136" s="25">
        <v>26.646784</v>
      </c>
      <c r="G136" s="25">
        <v>80.03723</v>
      </c>
      <c r="H136" s="21">
        <v>26.613095</v>
      </c>
      <c r="I136" s="21">
        <v>-80.036545</v>
      </c>
      <c r="J136" s="21" t="s">
        <v>1854</v>
      </c>
      <c r="K136" s="21" t="s">
        <v>1855</v>
      </c>
      <c r="AA136" s="21">
        <v>44.0</v>
      </c>
      <c r="AL136" s="21">
        <v>1.0</v>
      </c>
      <c r="AW136" s="21">
        <v>4.0</v>
      </c>
      <c r="AY136" s="21">
        <v>118.0</v>
      </c>
      <c r="AZ136" s="21">
        <v>34.0</v>
      </c>
      <c r="BI136">
        <f t="shared" si="8"/>
        <v>201</v>
      </c>
      <c r="BJ136" s="21" t="s">
        <v>1858</v>
      </c>
    </row>
    <row r="137" ht="36.75" customHeight="1">
      <c r="A137" s="20">
        <v>42411.0</v>
      </c>
      <c r="B137" s="21" t="s">
        <v>1859</v>
      </c>
      <c r="C137" s="21" t="s">
        <v>1860</v>
      </c>
      <c r="D137" s="21" t="s">
        <v>1861</v>
      </c>
      <c r="E137" s="21" t="s">
        <v>220</v>
      </c>
      <c r="F137" s="21" t="s">
        <v>1862</v>
      </c>
      <c r="G137" s="21" t="s">
        <v>1863</v>
      </c>
      <c r="H137" s="21" t="s">
        <v>1864</v>
      </c>
      <c r="I137" s="22" t="s">
        <v>1865</v>
      </c>
      <c r="J137" s="21" t="s">
        <v>1866</v>
      </c>
      <c r="K137" s="21" t="s">
        <v>1867</v>
      </c>
      <c r="AA137" s="21">
        <v>56.0</v>
      </c>
      <c r="AW137" s="21">
        <v>4.0</v>
      </c>
      <c r="AZ137" s="21">
        <v>56.0</v>
      </c>
      <c r="BI137">
        <f t="shared" si="8"/>
        <v>116</v>
      </c>
      <c r="BJ137" s="21" t="s">
        <v>1870</v>
      </c>
    </row>
    <row r="138" ht="36.75" customHeight="1">
      <c r="A138" s="20">
        <v>42411.0</v>
      </c>
      <c r="B138" s="21" t="s">
        <v>1871</v>
      </c>
      <c r="C138" s="21" t="s">
        <v>1872</v>
      </c>
      <c r="D138" s="21" t="s">
        <v>1873</v>
      </c>
      <c r="E138" s="21" t="s">
        <v>220</v>
      </c>
      <c r="F138" s="21">
        <v>26.794139</v>
      </c>
      <c r="G138" s="21">
        <v>-80.031872</v>
      </c>
      <c r="H138" s="21">
        <v>26.813921</v>
      </c>
      <c r="I138" s="22">
        <v>-80.035385</v>
      </c>
      <c r="J138" s="21" t="s">
        <v>1876</v>
      </c>
      <c r="K138" s="21" t="s">
        <v>1877</v>
      </c>
      <c r="N138" s="21">
        <v>1.0</v>
      </c>
      <c r="AA138" s="21">
        <v>17.0</v>
      </c>
      <c r="AI138" s="21">
        <v>5.0</v>
      </c>
      <c r="AL138" s="21">
        <v>6.0</v>
      </c>
      <c r="AW138" s="21">
        <v>2.0</v>
      </c>
      <c r="AZ138" s="21">
        <v>5.0</v>
      </c>
      <c r="BI138">
        <f t="shared" si="8"/>
        <v>36</v>
      </c>
      <c r="BJ138" s="21" t="s">
        <v>1879</v>
      </c>
    </row>
    <row r="139" ht="36.75" customHeight="1">
      <c r="A139" s="20">
        <v>42405.0</v>
      </c>
      <c r="B139" s="21" t="s">
        <v>1881</v>
      </c>
      <c r="C139" s="21" t="s">
        <v>654</v>
      </c>
      <c r="D139" s="21" t="s">
        <v>1882</v>
      </c>
      <c r="E139" s="21" t="s">
        <v>220</v>
      </c>
      <c r="F139" s="21">
        <v>26.682391</v>
      </c>
      <c r="G139" s="21">
        <v>-80.298952</v>
      </c>
      <c r="H139" s="21">
        <v>26.682391</v>
      </c>
      <c r="I139" s="21">
        <v>-80.298952</v>
      </c>
      <c r="J139" s="21" t="s">
        <v>657</v>
      </c>
      <c r="K139" s="21" t="s">
        <v>658</v>
      </c>
      <c r="L139" s="21">
        <v>0.0</v>
      </c>
      <c r="M139" s="21">
        <v>0.0</v>
      </c>
      <c r="N139" s="21">
        <v>0.0</v>
      </c>
      <c r="O139" s="21">
        <v>0.0</v>
      </c>
      <c r="P139" s="21">
        <v>1.0</v>
      </c>
      <c r="Q139" s="21">
        <v>0.0</v>
      </c>
      <c r="R139" s="21">
        <v>0.0</v>
      </c>
      <c r="S139" s="21">
        <v>0.0</v>
      </c>
      <c r="T139" s="21">
        <v>0.0</v>
      </c>
      <c r="U139" s="21">
        <v>0.0</v>
      </c>
      <c r="V139" s="21">
        <v>0.0</v>
      </c>
      <c r="W139" s="21">
        <v>0.0</v>
      </c>
      <c r="X139" s="21"/>
      <c r="Y139" s="21">
        <v>0.0</v>
      </c>
      <c r="Z139" s="21">
        <v>0.0</v>
      </c>
      <c r="AA139" s="21">
        <v>0.0</v>
      </c>
      <c r="AB139" s="21">
        <v>0.0</v>
      </c>
      <c r="AC139" s="21">
        <v>0.0</v>
      </c>
      <c r="AD139" s="21">
        <v>0.0</v>
      </c>
      <c r="AE139" s="21">
        <v>0.0</v>
      </c>
      <c r="AF139" s="21">
        <v>0.0</v>
      </c>
      <c r="AG139" s="21">
        <v>0.0</v>
      </c>
      <c r="AH139" s="21">
        <v>0.0</v>
      </c>
      <c r="AI139" s="21">
        <v>0.0</v>
      </c>
      <c r="AJ139" s="21">
        <v>0.0</v>
      </c>
      <c r="AK139" s="21">
        <v>0.0</v>
      </c>
      <c r="AL139" s="21">
        <v>200.0</v>
      </c>
      <c r="AM139" s="21">
        <v>0.0</v>
      </c>
      <c r="AN139" s="21">
        <v>0.0</v>
      </c>
      <c r="AO139" s="21">
        <v>0.0</v>
      </c>
      <c r="AP139" s="21">
        <v>50.0</v>
      </c>
      <c r="AQ139" s="21">
        <v>0.0</v>
      </c>
      <c r="AR139" s="21">
        <v>15.0</v>
      </c>
      <c r="AS139" s="21">
        <v>5.0</v>
      </c>
      <c r="AT139" s="21">
        <v>0.0</v>
      </c>
      <c r="AU139" s="21">
        <v>0.0</v>
      </c>
      <c r="AV139" s="21">
        <v>0.0</v>
      </c>
      <c r="AW139" s="21">
        <v>0.0</v>
      </c>
      <c r="AX139" s="21">
        <v>0.0</v>
      </c>
      <c r="AY139" s="21">
        <v>0.0</v>
      </c>
      <c r="AZ139" s="21">
        <v>0.0</v>
      </c>
      <c r="BA139" s="21">
        <v>0.0</v>
      </c>
      <c r="BB139" s="21">
        <v>0.0</v>
      </c>
      <c r="BC139" s="21">
        <v>0.0</v>
      </c>
      <c r="BD139" s="21">
        <v>4.0</v>
      </c>
      <c r="BE139" s="21">
        <v>0.0</v>
      </c>
      <c r="BF139" s="21">
        <v>0.0</v>
      </c>
      <c r="BG139" s="21">
        <v>0.0</v>
      </c>
      <c r="BH139" s="21">
        <v>0.0</v>
      </c>
      <c r="BI139">
        <f t="shared" si="8"/>
        <v>275</v>
      </c>
      <c r="BJ139" s="21" t="s">
        <v>660</v>
      </c>
    </row>
    <row r="140" ht="36.75" customHeight="1">
      <c r="A140" s="20">
        <v>42407.0</v>
      </c>
      <c r="B140" s="21" t="s">
        <v>1887</v>
      </c>
      <c r="C140" s="21" t="s">
        <v>654</v>
      </c>
      <c r="D140" s="21" t="s">
        <v>1888</v>
      </c>
      <c r="E140" s="21" t="s">
        <v>220</v>
      </c>
      <c r="F140" s="21">
        <v>26.370283</v>
      </c>
      <c r="G140" s="21">
        <v>-80.564157</v>
      </c>
      <c r="H140" s="21">
        <v>26.370283</v>
      </c>
      <c r="I140" s="21">
        <v>-80.564157</v>
      </c>
      <c r="J140" s="21" t="s">
        <v>1890</v>
      </c>
      <c r="K140" s="21" t="s">
        <v>1892</v>
      </c>
      <c r="L140" s="21">
        <v>0.0</v>
      </c>
      <c r="M140" s="21">
        <v>0.0</v>
      </c>
      <c r="N140" s="21">
        <v>0.0</v>
      </c>
      <c r="O140" s="21">
        <v>0.0</v>
      </c>
      <c r="P140" s="21">
        <v>0.0</v>
      </c>
      <c r="Q140" s="21">
        <v>1.0</v>
      </c>
      <c r="R140" s="21">
        <v>0.0</v>
      </c>
      <c r="S140" s="21">
        <v>0.0</v>
      </c>
      <c r="T140" s="21">
        <v>0.0</v>
      </c>
      <c r="U140" s="21">
        <v>0.0</v>
      </c>
      <c r="V140" s="21">
        <v>0.0</v>
      </c>
      <c r="W140" s="21">
        <v>0.0</v>
      </c>
      <c r="X140" s="21"/>
      <c r="Y140" s="21">
        <v>0.0</v>
      </c>
      <c r="Z140" s="21">
        <v>0.0</v>
      </c>
      <c r="AA140" s="21">
        <v>0.0</v>
      </c>
      <c r="AB140" s="21">
        <v>0.0</v>
      </c>
      <c r="AC140" s="21">
        <v>0.0</v>
      </c>
      <c r="AD140" s="21">
        <v>0.0</v>
      </c>
      <c r="AE140" s="21">
        <v>0.0</v>
      </c>
      <c r="AF140" s="21">
        <v>0.0</v>
      </c>
      <c r="AG140" s="21">
        <v>0.0</v>
      </c>
      <c r="AH140" s="21">
        <v>0.0</v>
      </c>
      <c r="AI140" s="21">
        <v>0.0</v>
      </c>
      <c r="AJ140" s="21">
        <v>0.0</v>
      </c>
      <c r="AK140" s="21">
        <v>0.0</v>
      </c>
      <c r="AL140" s="21">
        <v>4.0</v>
      </c>
      <c r="AM140" s="21">
        <v>0.0</v>
      </c>
      <c r="AN140" s="21">
        <v>0.0</v>
      </c>
      <c r="AO140" s="21">
        <v>0.0</v>
      </c>
      <c r="AP140" s="21">
        <v>5.0</v>
      </c>
      <c r="AQ140" s="21">
        <v>0.0</v>
      </c>
      <c r="AR140" s="21">
        <v>106.0</v>
      </c>
      <c r="AS140" s="21">
        <v>0.0</v>
      </c>
      <c r="AT140" s="21">
        <v>0.0</v>
      </c>
      <c r="AU140" s="21">
        <v>0.0</v>
      </c>
      <c r="AV140" s="21">
        <v>0.0</v>
      </c>
      <c r="AW140" s="21">
        <v>0.0</v>
      </c>
      <c r="AX140" s="21">
        <v>0.0</v>
      </c>
      <c r="AY140" s="21">
        <v>0.0</v>
      </c>
      <c r="AZ140" s="21">
        <v>0.0</v>
      </c>
      <c r="BA140" s="21">
        <v>0.0</v>
      </c>
      <c r="BB140" s="21">
        <v>0.0</v>
      </c>
      <c r="BC140" s="21">
        <v>0.0</v>
      </c>
      <c r="BD140" s="21">
        <v>19.0</v>
      </c>
      <c r="BE140" s="21">
        <v>0.0</v>
      </c>
      <c r="BF140" s="21">
        <v>0.0</v>
      </c>
      <c r="BG140" s="21">
        <v>0.0</v>
      </c>
      <c r="BH140" s="21">
        <v>0.0</v>
      </c>
      <c r="BI140">
        <f t="shared" si="8"/>
        <v>135</v>
      </c>
      <c r="BJ140" s="21" t="s">
        <v>1189</v>
      </c>
    </row>
    <row r="141" ht="36.75" customHeight="1">
      <c r="A141" s="20">
        <v>42411.0</v>
      </c>
      <c r="B141" s="21" t="s">
        <v>1896</v>
      </c>
      <c r="C141" s="21" t="s">
        <v>1897</v>
      </c>
      <c r="D141" s="21" t="s">
        <v>1898</v>
      </c>
      <c r="E141" s="21" t="s">
        <v>220</v>
      </c>
      <c r="F141" s="21" t="s">
        <v>1899</v>
      </c>
      <c r="G141" s="21" t="s">
        <v>1900</v>
      </c>
      <c r="H141" s="21" t="s">
        <v>1901</v>
      </c>
      <c r="I141" s="22" t="s">
        <v>1902</v>
      </c>
      <c r="J141" s="21" t="s">
        <v>1903</v>
      </c>
      <c r="K141" s="21" t="s">
        <v>1904</v>
      </c>
      <c r="AA141" s="21">
        <v>31.0</v>
      </c>
      <c r="AI141" s="21">
        <v>4.0</v>
      </c>
      <c r="AW141" s="21">
        <v>5.0</v>
      </c>
      <c r="AZ141" s="21">
        <v>11.0</v>
      </c>
      <c r="BA141" s="21">
        <v>6.0</v>
      </c>
      <c r="BI141">
        <f t="shared" si="8"/>
        <v>57</v>
      </c>
    </row>
    <row r="142" ht="36.75" customHeight="1">
      <c r="A142" s="20">
        <v>42410.0</v>
      </c>
      <c r="B142" s="21" t="s">
        <v>1907</v>
      </c>
      <c r="C142" s="21" t="s">
        <v>1777</v>
      </c>
      <c r="D142" s="21" t="s">
        <v>1908</v>
      </c>
      <c r="E142" s="21" t="s">
        <v>1909</v>
      </c>
      <c r="F142" s="21">
        <v>26.674894</v>
      </c>
      <c r="G142" s="21">
        <v>-80.036508</v>
      </c>
      <c r="H142" s="21">
        <v>26.767217</v>
      </c>
      <c r="I142" s="22">
        <v>-80.036972</v>
      </c>
      <c r="J142" s="21" t="s">
        <v>1910</v>
      </c>
      <c r="K142" s="21" t="s">
        <v>1911</v>
      </c>
      <c r="AA142" s="21">
        <v>28.0</v>
      </c>
      <c r="AI142" s="21">
        <v>5.0</v>
      </c>
      <c r="AX142" s="21">
        <v>42.0</v>
      </c>
      <c r="AY142" s="21">
        <v>14.0</v>
      </c>
      <c r="AZ142" s="21">
        <v>58.0</v>
      </c>
      <c r="BI142">
        <f t="shared" si="8"/>
        <v>147</v>
      </c>
    </row>
    <row r="143" ht="36.75" customHeight="1">
      <c r="A143" s="20">
        <v>42410.0</v>
      </c>
      <c r="B143" s="21" t="s">
        <v>1916</v>
      </c>
      <c r="C143" s="21" t="s">
        <v>1777</v>
      </c>
      <c r="D143" s="21" t="s">
        <v>1917</v>
      </c>
      <c r="E143" s="21" t="s">
        <v>1909</v>
      </c>
      <c r="F143" s="21">
        <v>26.54499</v>
      </c>
      <c r="G143" s="21">
        <v>-80.04314</v>
      </c>
      <c r="H143" s="21">
        <v>26.50418</v>
      </c>
      <c r="I143" s="22">
        <v>-80.0512</v>
      </c>
      <c r="J143" s="21" t="s">
        <v>1920</v>
      </c>
      <c r="K143" s="21" t="s">
        <v>1781</v>
      </c>
      <c r="Z143" s="21">
        <v>10.0</v>
      </c>
      <c r="AA143" s="21">
        <v>81.0</v>
      </c>
      <c r="AB143" s="21">
        <v>1.0</v>
      </c>
      <c r="AC143" s="21"/>
      <c r="AX143" s="21">
        <v>73.0</v>
      </c>
      <c r="AY143" s="21">
        <v>4.0</v>
      </c>
      <c r="AZ143" s="21">
        <v>52.0</v>
      </c>
      <c r="BA143" s="21">
        <v>9.0</v>
      </c>
      <c r="BB143" s="21">
        <v>9.0</v>
      </c>
      <c r="BI143">
        <f t="shared" si="8"/>
        <v>239</v>
      </c>
    </row>
    <row r="144" ht="36.75" customHeight="1">
      <c r="A144" s="29">
        <v>42405.0</v>
      </c>
      <c r="B144" s="25" t="s">
        <v>149</v>
      </c>
      <c r="C144" s="21" t="s">
        <v>165</v>
      </c>
      <c r="D144" s="25" t="s">
        <v>1925</v>
      </c>
      <c r="E144" s="25" t="s">
        <v>1155</v>
      </c>
      <c r="F144" s="25">
        <v>28.2133</v>
      </c>
      <c r="G144" s="25">
        <v>-82.8459</v>
      </c>
      <c r="H144" s="21">
        <v>28.1761</v>
      </c>
      <c r="I144" s="21">
        <v>-82.8503</v>
      </c>
      <c r="J144" s="21" t="s">
        <v>1928</v>
      </c>
      <c r="K144" s="21" t="s">
        <v>592</v>
      </c>
      <c r="L144" s="21">
        <v>0.0</v>
      </c>
      <c r="M144" s="21">
        <v>0.0</v>
      </c>
      <c r="N144" s="21">
        <v>2.0</v>
      </c>
      <c r="O144" s="21">
        <v>0.0</v>
      </c>
      <c r="P144" s="21">
        <v>0.0</v>
      </c>
      <c r="Q144" s="21">
        <v>0.0</v>
      </c>
      <c r="R144" s="21">
        <v>0.0</v>
      </c>
      <c r="S144" s="21">
        <v>0.0</v>
      </c>
      <c r="T144" s="21">
        <v>0.0</v>
      </c>
      <c r="U144" s="21">
        <v>0.0</v>
      </c>
      <c r="V144" s="21">
        <v>0.0</v>
      </c>
      <c r="W144" s="21">
        <v>0.0</v>
      </c>
      <c r="X144" s="21"/>
      <c r="Y144" s="21">
        <v>0.0</v>
      </c>
      <c r="Z144" s="21">
        <v>0.0</v>
      </c>
      <c r="AA144" s="21">
        <v>5.0</v>
      </c>
      <c r="AB144" s="21">
        <v>0.0</v>
      </c>
      <c r="AC144" s="21">
        <v>0.0</v>
      </c>
      <c r="AD144" s="21">
        <v>0.0</v>
      </c>
      <c r="AE144" s="21">
        <v>0.0</v>
      </c>
      <c r="AF144" s="21">
        <v>0.0</v>
      </c>
      <c r="AG144" s="21">
        <v>0.0</v>
      </c>
      <c r="AH144" s="21">
        <v>0.0</v>
      </c>
      <c r="AI144" s="21">
        <v>10.0</v>
      </c>
      <c r="AJ144" s="21">
        <v>0.0</v>
      </c>
      <c r="AK144" s="21">
        <v>0.0</v>
      </c>
      <c r="AL144" s="21">
        <v>0.0</v>
      </c>
      <c r="AM144" s="21">
        <v>0.0</v>
      </c>
      <c r="AN144" s="21">
        <v>0.0</v>
      </c>
      <c r="AO144" s="21">
        <v>2.0</v>
      </c>
      <c r="AP144" s="21">
        <v>0.0</v>
      </c>
      <c r="AQ144" s="21">
        <v>0.0</v>
      </c>
      <c r="AR144" s="21">
        <v>1.0</v>
      </c>
      <c r="AS144" s="21">
        <v>0.0</v>
      </c>
      <c r="AT144" s="21">
        <v>0.0</v>
      </c>
      <c r="AU144" s="21">
        <v>0.0</v>
      </c>
      <c r="AV144" s="21">
        <v>0.0</v>
      </c>
      <c r="AW144" s="21">
        <v>1.0</v>
      </c>
      <c r="AX144" s="21">
        <v>0.0</v>
      </c>
      <c r="AY144" s="21">
        <v>0.0</v>
      </c>
      <c r="AZ144" s="21">
        <v>16.0</v>
      </c>
      <c r="BA144" s="21">
        <v>7.0</v>
      </c>
      <c r="BB144" s="21">
        <v>0.0</v>
      </c>
      <c r="BC144" s="21">
        <v>0.0</v>
      </c>
      <c r="BD144" s="21">
        <v>0.0</v>
      </c>
      <c r="BE144" s="21">
        <v>0.0</v>
      </c>
      <c r="BF144" s="21">
        <v>0.0</v>
      </c>
      <c r="BG144" s="21">
        <v>0.0</v>
      </c>
      <c r="BH144" s="21">
        <v>0.0</v>
      </c>
      <c r="BI144">
        <f t="shared" si="8"/>
        <v>44</v>
      </c>
      <c r="BJ144" s="21" t="s">
        <v>1935</v>
      </c>
    </row>
    <row r="145" ht="36.75" customHeight="1">
      <c r="A145" s="20">
        <v>42405.0</v>
      </c>
      <c r="B145" s="21" t="s">
        <v>1185</v>
      </c>
      <c r="C145" s="21" t="s">
        <v>1163</v>
      </c>
      <c r="D145" s="21" t="s">
        <v>1936</v>
      </c>
      <c r="E145" s="21" t="s">
        <v>1155</v>
      </c>
      <c r="F145" s="21">
        <v>28.293</v>
      </c>
      <c r="G145" s="21">
        <v>-82.7358</v>
      </c>
      <c r="H145" s="21">
        <v>28.293</v>
      </c>
      <c r="I145" s="22">
        <v>-82.7358</v>
      </c>
      <c r="J145" s="21" t="s">
        <v>1188</v>
      </c>
      <c r="K145" s="21" t="s">
        <v>1937</v>
      </c>
      <c r="L145" s="21">
        <v>2.0</v>
      </c>
      <c r="M145" s="21">
        <v>0.0</v>
      </c>
      <c r="N145" s="21">
        <v>0.0</v>
      </c>
      <c r="O145" s="21">
        <v>0.0</v>
      </c>
      <c r="P145" s="21">
        <v>0.0</v>
      </c>
      <c r="Q145" s="21">
        <v>0.0</v>
      </c>
      <c r="R145" s="21">
        <v>0.0</v>
      </c>
      <c r="S145" s="21">
        <v>0.0</v>
      </c>
      <c r="T145" s="21">
        <v>0.0</v>
      </c>
      <c r="U145" s="21">
        <v>0.0</v>
      </c>
      <c r="V145" s="21">
        <v>0.0</v>
      </c>
      <c r="W145" s="21">
        <v>0.0</v>
      </c>
      <c r="X145" s="21"/>
      <c r="Y145" s="21">
        <v>0.0</v>
      </c>
      <c r="Z145" s="21">
        <v>6.0</v>
      </c>
      <c r="AA145" s="21">
        <v>0.0</v>
      </c>
      <c r="AB145" s="21">
        <v>0.0</v>
      </c>
      <c r="AC145" s="21">
        <v>0.0</v>
      </c>
      <c r="AD145" s="21">
        <v>0.0</v>
      </c>
      <c r="AE145" s="21">
        <v>0.0</v>
      </c>
      <c r="AF145" s="21">
        <v>1.0</v>
      </c>
      <c r="AG145" s="21">
        <v>0.0</v>
      </c>
      <c r="AH145" s="21">
        <v>0.0</v>
      </c>
      <c r="AI145" s="21">
        <v>0.0</v>
      </c>
      <c r="AJ145" s="21">
        <v>0.0</v>
      </c>
      <c r="AK145" s="21">
        <v>0.0</v>
      </c>
      <c r="AL145" s="21">
        <v>0.0</v>
      </c>
      <c r="AM145" s="21">
        <v>0.0</v>
      </c>
      <c r="AN145" s="21">
        <v>0.0</v>
      </c>
      <c r="AO145" s="21">
        <v>2.0</v>
      </c>
      <c r="AP145" s="21">
        <v>4.0</v>
      </c>
      <c r="AQ145" s="21">
        <v>0.0</v>
      </c>
      <c r="AR145" s="21">
        <v>35.0</v>
      </c>
      <c r="AS145" s="21">
        <v>0.0</v>
      </c>
      <c r="AT145" s="21">
        <v>0.0</v>
      </c>
      <c r="AU145" s="21">
        <v>0.0</v>
      </c>
      <c r="AV145" s="21">
        <v>0.0</v>
      </c>
      <c r="AW145" s="21">
        <v>1.0</v>
      </c>
      <c r="AX145" s="21">
        <v>90.0</v>
      </c>
      <c r="AY145" s="21">
        <v>0.0</v>
      </c>
      <c r="AZ145" s="21">
        <v>70.0</v>
      </c>
      <c r="BA145" s="21">
        <v>0.0</v>
      </c>
      <c r="BB145" s="21">
        <v>0.0</v>
      </c>
      <c r="BC145" s="21">
        <v>0.0</v>
      </c>
      <c r="BD145" s="21">
        <v>0.0</v>
      </c>
      <c r="BE145" s="21">
        <v>0.0</v>
      </c>
      <c r="BF145" s="21">
        <v>0.0</v>
      </c>
      <c r="BG145" s="21">
        <v>0.0</v>
      </c>
      <c r="BH145" s="21">
        <v>0.0</v>
      </c>
      <c r="BI145">
        <f t="shared" si="8"/>
        <v>211</v>
      </c>
    </row>
    <row r="146" ht="36.75" customHeight="1">
      <c r="A146" s="20">
        <v>42405.0</v>
      </c>
      <c r="B146" s="21" t="s">
        <v>1185</v>
      </c>
      <c r="C146" s="21" t="s">
        <v>1163</v>
      </c>
      <c r="D146" s="21" t="s">
        <v>1194</v>
      </c>
      <c r="E146" s="21" t="s">
        <v>1155</v>
      </c>
      <c r="F146" s="21">
        <v>28.4066</v>
      </c>
      <c r="G146" s="21">
        <v>-82.6713</v>
      </c>
      <c r="H146" s="21">
        <v>28.4066</v>
      </c>
      <c r="I146" s="22">
        <v>-82.6713</v>
      </c>
      <c r="J146" s="21" t="s">
        <v>1195</v>
      </c>
      <c r="K146" s="21" t="s">
        <v>1937</v>
      </c>
      <c r="L146" s="21">
        <v>0.0</v>
      </c>
      <c r="M146" s="21">
        <v>0.0</v>
      </c>
      <c r="N146" s="21">
        <v>0.0</v>
      </c>
      <c r="O146" s="21">
        <v>326.0</v>
      </c>
      <c r="P146" s="21">
        <v>10.0</v>
      </c>
      <c r="Q146" s="21">
        <v>0.0</v>
      </c>
      <c r="R146" s="21">
        <v>0.0</v>
      </c>
      <c r="S146" s="21">
        <v>0.0</v>
      </c>
      <c r="T146" s="21">
        <v>0.0</v>
      </c>
      <c r="U146" s="21">
        <v>1.0</v>
      </c>
      <c r="V146" s="21">
        <v>0.0</v>
      </c>
      <c r="W146" s="21">
        <v>0.0</v>
      </c>
      <c r="X146" s="21"/>
      <c r="Y146" s="21">
        <v>0.0</v>
      </c>
      <c r="Z146" s="21">
        <v>12.0</v>
      </c>
      <c r="AA146" s="21">
        <v>0.0</v>
      </c>
      <c r="AB146" s="21">
        <v>0.0</v>
      </c>
      <c r="AC146" s="21">
        <v>0.0</v>
      </c>
      <c r="AD146" s="21">
        <v>0.0</v>
      </c>
      <c r="AE146" s="21">
        <v>0.0</v>
      </c>
      <c r="AF146" s="21">
        <v>0.0</v>
      </c>
      <c r="AG146" s="21">
        <v>8.0</v>
      </c>
      <c r="AH146" s="21">
        <v>0.0</v>
      </c>
      <c r="AI146" s="21">
        <v>55.0</v>
      </c>
      <c r="AJ146" s="21">
        <v>11.0</v>
      </c>
      <c r="AK146" s="21">
        <v>0.0</v>
      </c>
      <c r="AL146" s="21">
        <v>0.0</v>
      </c>
      <c r="AM146" s="21">
        <v>0.0</v>
      </c>
      <c r="AN146" s="21">
        <v>0.0</v>
      </c>
      <c r="AO146" s="21">
        <v>1.0</v>
      </c>
      <c r="AP146" s="21">
        <v>4.0</v>
      </c>
      <c r="AQ146" s="21">
        <v>0.0</v>
      </c>
      <c r="AR146" s="21">
        <v>0.0</v>
      </c>
      <c r="AS146" s="21">
        <v>0.0</v>
      </c>
      <c r="AT146" s="21">
        <v>0.0</v>
      </c>
      <c r="AU146" s="21">
        <v>0.0</v>
      </c>
      <c r="AV146" s="21">
        <v>0.0</v>
      </c>
      <c r="AW146" s="21">
        <v>0.0</v>
      </c>
      <c r="AX146" s="21">
        <v>20.0</v>
      </c>
      <c r="AY146" s="21">
        <v>0.0</v>
      </c>
      <c r="AZ146" s="21">
        <v>22.0</v>
      </c>
      <c r="BA146" s="21">
        <v>2.0</v>
      </c>
      <c r="BB146" s="21">
        <v>0.0</v>
      </c>
      <c r="BC146" s="21">
        <v>0.0</v>
      </c>
      <c r="BD146" s="21">
        <v>0.0</v>
      </c>
      <c r="BE146" s="21">
        <v>0.0</v>
      </c>
      <c r="BF146" s="21">
        <v>0.0</v>
      </c>
      <c r="BG146" s="21">
        <v>0.0</v>
      </c>
      <c r="BH146" s="21">
        <v>0.0</v>
      </c>
      <c r="BI146">
        <f t="shared" si="8"/>
        <v>472</v>
      </c>
    </row>
    <row r="147" ht="36.75" customHeight="1">
      <c r="A147" s="20">
        <v>42408.0</v>
      </c>
      <c r="B147" s="21" t="s">
        <v>1185</v>
      </c>
      <c r="C147" s="21" t="s">
        <v>1163</v>
      </c>
      <c r="D147" s="21" t="s">
        <v>1944</v>
      </c>
      <c r="E147" s="21" t="s">
        <v>1155</v>
      </c>
      <c r="F147" s="21">
        <v>28.3526</v>
      </c>
      <c r="G147" s="21">
        <v>-82.713</v>
      </c>
      <c r="H147" s="21">
        <v>28.3526</v>
      </c>
      <c r="I147" s="22">
        <v>-82.3526</v>
      </c>
      <c r="J147" s="21" t="s">
        <v>1946</v>
      </c>
      <c r="K147" s="21" t="s">
        <v>1947</v>
      </c>
      <c r="L147" s="21">
        <v>0.0</v>
      </c>
      <c r="M147" s="21">
        <v>0.0</v>
      </c>
      <c r="N147" s="21">
        <v>4.0</v>
      </c>
      <c r="O147" s="21">
        <v>16.0</v>
      </c>
      <c r="P147" s="21">
        <v>2.0</v>
      </c>
      <c r="Q147" s="21">
        <v>10.0</v>
      </c>
      <c r="R147" s="21">
        <v>0.0</v>
      </c>
      <c r="S147" s="21">
        <v>0.0</v>
      </c>
      <c r="T147" s="21">
        <v>0.0</v>
      </c>
      <c r="U147" s="21">
        <v>0.0</v>
      </c>
      <c r="V147" s="21">
        <v>0.0</v>
      </c>
      <c r="W147" s="21">
        <v>0.0</v>
      </c>
      <c r="X147" s="21"/>
      <c r="Y147" s="21">
        <v>0.0</v>
      </c>
      <c r="Z147" s="21">
        <v>0.0</v>
      </c>
      <c r="AA147" s="21">
        <v>0.0</v>
      </c>
      <c r="AB147" s="21">
        <v>0.0</v>
      </c>
      <c r="AC147" s="21">
        <v>0.0</v>
      </c>
      <c r="AD147" s="21">
        <v>0.0</v>
      </c>
      <c r="AE147" s="21">
        <v>0.0</v>
      </c>
      <c r="AF147" s="21">
        <v>0.0</v>
      </c>
      <c r="AG147" s="21">
        <v>0.0</v>
      </c>
      <c r="AH147" s="21">
        <v>0.0</v>
      </c>
      <c r="AI147" s="21">
        <v>78.0</v>
      </c>
      <c r="AJ147" s="21">
        <v>0.0</v>
      </c>
      <c r="AK147" s="21">
        <v>0.0</v>
      </c>
      <c r="AL147" s="21">
        <v>0.0</v>
      </c>
      <c r="AM147" s="21">
        <v>0.0</v>
      </c>
      <c r="AN147" s="21">
        <v>0.0</v>
      </c>
      <c r="AO147" s="21">
        <v>3.0</v>
      </c>
      <c r="AP147" s="21">
        <v>0.0</v>
      </c>
      <c r="AQ147" s="21">
        <v>0.0</v>
      </c>
      <c r="AR147" s="21">
        <v>14.0</v>
      </c>
      <c r="AS147" s="21">
        <v>0.0</v>
      </c>
      <c r="AT147" s="21">
        <v>0.0</v>
      </c>
      <c r="AU147" s="21">
        <v>0.0</v>
      </c>
      <c r="AV147" s="21">
        <v>0.0</v>
      </c>
      <c r="AW147" s="21">
        <v>0.0</v>
      </c>
      <c r="AX147" s="21">
        <v>195.0</v>
      </c>
      <c r="AY147" s="21">
        <v>0.0</v>
      </c>
      <c r="AZ147" s="21">
        <v>34.0</v>
      </c>
      <c r="BA147" s="21">
        <v>7.0</v>
      </c>
      <c r="BB147" s="21">
        <v>0.0</v>
      </c>
      <c r="BC147" s="21">
        <v>0.0</v>
      </c>
      <c r="BD147" s="21">
        <v>0.0</v>
      </c>
      <c r="BE147" s="21">
        <v>0.0</v>
      </c>
      <c r="BF147" s="21">
        <v>0.0</v>
      </c>
      <c r="BG147" s="21">
        <v>0.0</v>
      </c>
      <c r="BH147" s="21">
        <v>0.0</v>
      </c>
      <c r="BI147">
        <f t="shared" si="8"/>
        <v>363</v>
      </c>
    </row>
    <row r="148" ht="36.75" customHeight="1">
      <c r="A148" s="20">
        <v>42407.0</v>
      </c>
      <c r="B148" s="21" t="s">
        <v>1175</v>
      </c>
      <c r="C148" s="21" t="s">
        <v>1163</v>
      </c>
      <c r="D148" s="21" t="s">
        <v>1178</v>
      </c>
      <c r="E148" s="21" t="s">
        <v>1155</v>
      </c>
      <c r="F148" s="21">
        <v>28.2541</v>
      </c>
      <c r="G148" s="21">
        <v>-82.7595</v>
      </c>
      <c r="H148" s="21">
        <v>28.2541</v>
      </c>
      <c r="I148" s="22">
        <v>-82.7595</v>
      </c>
      <c r="J148" s="21" t="s">
        <v>1204</v>
      </c>
      <c r="K148" s="21" t="s">
        <v>1955</v>
      </c>
      <c r="L148" s="21">
        <v>0.0</v>
      </c>
      <c r="M148" s="21">
        <v>0.0</v>
      </c>
      <c r="N148" s="21">
        <v>0.0</v>
      </c>
      <c r="O148" s="21">
        <v>50.0</v>
      </c>
      <c r="P148" s="21">
        <v>0.0</v>
      </c>
      <c r="Q148" s="21">
        <v>0.0</v>
      </c>
      <c r="R148" s="21">
        <v>0.0</v>
      </c>
      <c r="S148" s="21">
        <v>0.0</v>
      </c>
      <c r="T148" s="21">
        <v>0.0</v>
      </c>
      <c r="U148" s="21">
        <v>0.0</v>
      </c>
      <c r="V148" s="21">
        <v>0.0</v>
      </c>
      <c r="W148" s="21">
        <v>0.0</v>
      </c>
      <c r="X148" s="21"/>
      <c r="Y148" s="21">
        <v>0.0</v>
      </c>
      <c r="Z148" s="21">
        <v>6.0</v>
      </c>
      <c r="AA148" s="21">
        <v>0.0</v>
      </c>
      <c r="AB148" s="21">
        <v>11.0</v>
      </c>
      <c r="AC148" s="21">
        <v>0.0</v>
      </c>
      <c r="AD148" s="21">
        <v>0.0</v>
      </c>
      <c r="AE148" s="21">
        <v>0.0</v>
      </c>
      <c r="AF148" s="21">
        <v>0.0</v>
      </c>
      <c r="AG148" s="21">
        <v>2.0</v>
      </c>
      <c r="AH148" s="21">
        <v>0.0</v>
      </c>
      <c r="AI148" s="21">
        <v>2.0</v>
      </c>
      <c r="AJ148" s="21">
        <v>0.0</v>
      </c>
      <c r="AK148" s="21">
        <v>0.0</v>
      </c>
      <c r="AL148" s="21">
        <v>40.0</v>
      </c>
      <c r="AM148" s="21">
        <v>0.0</v>
      </c>
      <c r="AN148" s="21">
        <v>0.0</v>
      </c>
      <c r="AO148" s="21">
        <v>25.0</v>
      </c>
      <c r="AP148" s="21">
        <v>4.0</v>
      </c>
      <c r="AQ148" s="21">
        <v>0.0</v>
      </c>
      <c r="AR148" s="21">
        <v>260.0</v>
      </c>
      <c r="AS148" s="21">
        <v>0.0</v>
      </c>
      <c r="AT148" s="21">
        <v>0.0</v>
      </c>
      <c r="AU148" s="21">
        <v>0.0</v>
      </c>
      <c r="AV148" s="21">
        <v>0.0</v>
      </c>
      <c r="AW148" s="21">
        <v>6.0</v>
      </c>
      <c r="AX148" s="21">
        <v>475.0</v>
      </c>
      <c r="AY148" s="21">
        <v>0.0</v>
      </c>
      <c r="AZ148" s="21">
        <v>112.0</v>
      </c>
      <c r="BA148" s="21">
        <v>9.0</v>
      </c>
      <c r="BB148" s="21">
        <v>0.0</v>
      </c>
      <c r="BC148" s="21">
        <v>0.0</v>
      </c>
      <c r="BD148" s="21">
        <v>0.0</v>
      </c>
      <c r="BE148" s="21">
        <v>0.0</v>
      </c>
      <c r="BF148" s="21">
        <v>0.0</v>
      </c>
      <c r="BG148" s="21">
        <v>0.0</v>
      </c>
      <c r="BH148" s="21">
        <v>0.0</v>
      </c>
      <c r="BI148">
        <f t="shared" si="8"/>
        <v>1002</v>
      </c>
    </row>
    <row r="149" ht="36.75" customHeight="1">
      <c r="A149" s="20">
        <v>42410.0</v>
      </c>
      <c r="B149" s="21" t="s">
        <v>1151</v>
      </c>
      <c r="C149" s="21" t="s">
        <v>1163</v>
      </c>
      <c r="D149" s="21" t="s">
        <v>1154</v>
      </c>
      <c r="E149" s="21" t="s">
        <v>1155</v>
      </c>
      <c r="F149" s="21">
        <v>28.1935</v>
      </c>
      <c r="G149" s="21">
        <v>-82.7882</v>
      </c>
      <c r="H149" s="21">
        <v>28.1935</v>
      </c>
      <c r="I149" s="22">
        <v>-82.7882</v>
      </c>
      <c r="J149" s="21" t="s">
        <v>1158</v>
      </c>
      <c r="K149" s="21" t="s">
        <v>1961</v>
      </c>
      <c r="L149" s="21">
        <v>0.0</v>
      </c>
      <c r="M149" s="21">
        <v>0.0</v>
      </c>
      <c r="N149" s="21">
        <v>0.0</v>
      </c>
      <c r="O149" s="21">
        <v>0.0</v>
      </c>
      <c r="P149" s="21">
        <v>0.0</v>
      </c>
      <c r="Q149" s="21">
        <v>5.0</v>
      </c>
      <c r="R149" s="21">
        <v>0.0</v>
      </c>
      <c r="S149" s="21">
        <v>0.0</v>
      </c>
      <c r="T149" s="21">
        <v>0.0</v>
      </c>
      <c r="U149" s="21">
        <v>0.0</v>
      </c>
      <c r="V149" s="21">
        <v>2.0</v>
      </c>
      <c r="W149" s="21">
        <v>0.0</v>
      </c>
      <c r="X149" s="21"/>
      <c r="Y149" s="21">
        <v>0.0</v>
      </c>
      <c r="Z149" s="21">
        <v>0.0</v>
      </c>
      <c r="AA149" s="21">
        <v>0.0</v>
      </c>
      <c r="AB149" s="21">
        <v>12.0</v>
      </c>
      <c r="AC149" s="21">
        <v>0.0</v>
      </c>
      <c r="AD149" s="21">
        <v>0.0</v>
      </c>
      <c r="AE149" s="21">
        <v>0.0</v>
      </c>
      <c r="AF149" s="21">
        <v>0.0</v>
      </c>
      <c r="AG149" s="21">
        <v>0.0</v>
      </c>
      <c r="AH149" s="21">
        <v>2.0</v>
      </c>
      <c r="AI149" s="21">
        <v>0.0</v>
      </c>
      <c r="AJ149" s="21">
        <v>0.0</v>
      </c>
      <c r="AK149" s="21">
        <v>0.0</v>
      </c>
      <c r="AL149" s="21">
        <v>0.0</v>
      </c>
      <c r="AM149" s="21">
        <v>0.0</v>
      </c>
      <c r="AN149" s="21">
        <v>0.0</v>
      </c>
      <c r="AO149" s="21">
        <v>38.0</v>
      </c>
      <c r="AP149" s="21">
        <v>0.0</v>
      </c>
      <c r="AQ149" s="21">
        <v>0.0</v>
      </c>
      <c r="AR149" s="21">
        <v>50.0</v>
      </c>
      <c r="AS149" s="21">
        <v>0.0</v>
      </c>
      <c r="AT149" s="21">
        <v>0.0</v>
      </c>
      <c r="AU149" s="21">
        <v>0.0</v>
      </c>
      <c r="AV149" s="21">
        <v>0.0</v>
      </c>
      <c r="AW149" s="21">
        <v>0.0</v>
      </c>
      <c r="AX149" s="21">
        <v>0.0</v>
      </c>
      <c r="AY149" s="21">
        <v>0.0</v>
      </c>
      <c r="AZ149" s="21">
        <v>0.0</v>
      </c>
      <c r="BA149" s="21">
        <v>0.0</v>
      </c>
      <c r="BB149" s="21">
        <v>0.0</v>
      </c>
      <c r="BC149" s="21">
        <v>0.0</v>
      </c>
      <c r="BD149" s="21">
        <v>0.0</v>
      </c>
      <c r="BE149" s="21">
        <v>0.0</v>
      </c>
      <c r="BF149" s="21">
        <v>0.0</v>
      </c>
      <c r="BG149" s="21">
        <v>0.0</v>
      </c>
      <c r="BH149" s="21">
        <v>0.0</v>
      </c>
      <c r="BI149">
        <f t="shared" si="8"/>
        <v>109</v>
      </c>
    </row>
    <row r="150" ht="36.75" customHeight="1">
      <c r="A150" s="20">
        <v>42410.0</v>
      </c>
      <c r="B150" s="21" t="s">
        <v>1151</v>
      </c>
      <c r="C150" s="21" t="s">
        <v>1163</v>
      </c>
      <c r="D150" s="21" t="s">
        <v>1164</v>
      </c>
      <c r="E150" s="21" t="s">
        <v>1155</v>
      </c>
      <c r="F150" s="21">
        <v>28.2154</v>
      </c>
      <c r="G150" s="21">
        <v>-82.7675</v>
      </c>
      <c r="H150" s="21">
        <v>28.2154</v>
      </c>
      <c r="I150" s="22">
        <v>-82.7675</v>
      </c>
      <c r="J150" s="21" t="s">
        <v>1165</v>
      </c>
      <c r="K150" s="21" t="s">
        <v>1961</v>
      </c>
      <c r="L150" s="21">
        <v>0.0</v>
      </c>
      <c r="M150" s="21">
        <v>0.0</v>
      </c>
      <c r="N150" s="21">
        <v>8.0</v>
      </c>
      <c r="O150" s="21">
        <v>70.0</v>
      </c>
      <c r="P150" s="21">
        <v>0.0</v>
      </c>
      <c r="Q150" s="21">
        <v>7.0</v>
      </c>
      <c r="R150" s="21">
        <v>0.0</v>
      </c>
      <c r="S150" s="21">
        <v>0.0</v>
      </c>
      <c r="T150" s="21">
        <v>0.0</v>
      </c>
      <c r="U150" s="21">
        <v>0.0</v>
      </c>
      <c r="V150" s="21">
        <v>6.0</v>
      </c>
      <c r="W150" s="21">
        <v>0.0</v>
      </c>
      <c r="X150" s="21"/>
      <c r="Y150" s="21">
        <v>0.0</v>
      </c>
      <c r="Z150" s="21">
        <v>0.0</v>
      </c>
      <c r="AA150" s="21">
        <v>0.0</v>
      </c>
      <c r="AB150" s="21">
        <v>12.0</v>
      </c>
      <c r="AC150" s="21">
        <v>0.0</v>
      </c>
      <c r="AD150" s="21">
        <v>0.0</v>
      </c>
      <c r="AE150" s="21">
        <v>0.0</v>
      </c>
      <c r="AF150" s="21">
        <v>0.0</v>
      </c>
      <c r="AG150" s="21">
        <v>0.0</v>
      </c>
      <c r="AH150" s="21">
        <v>0.0</v>
      </c>
      <c r="AI150" s="21">
        <v>30.0</v>
      </c>
      <c r="AJ150" s="21">
        <v>0.0</v>
      </c>
      <c r="AK150" s="21">
        <v>0.0</v>
      </c>
      <c r="AL150" s="21">
        <v>10.0</v>
      </c>
      <c r="AM150" s="21">
        <v>2.0</v>
      </c>
      <c r="AN150" s="21">
        <v>0.0</v>
      </c>
      <c r="AO150" s="21">
        <v>3.0</v>
      </c>
      <c r="AP150" s="21">
        <v>0.0</v>
      </c>
      <c r="AQ150" s="21">
        <v>0.0</v>
      </c>
      <c r="AR150" s="21">
        <v>5.0</v>
      </c>
      <c r="AS150" s="21">
        <v>0.0</v>
      </c>
      <c r="AT150" s="21">
        <v>0.0</v>
      </c>
      <c r="AU150" s="21">
        <v>0.0</v>
      </c>
      <c r="AV150" s="21">
        <v>0.0</v>
      </c>
      <c r="AW150" s="21">
        <v>2.0</v>
      </c>
      <c r="AX150" s="21">
        <v>185.0</v>
      </c>
      <c r="AY150" s="21">
        <v>0.0</v>
      </c>
      <c r="AZ150" s="21">
        <v>60.0</v>
      </c>
      <c r="BA150" s="21">
        <v>0.0</v>
      </c>
      <c r="BB150" s="21">
        <v>0.0</v>
      </c>
      <c r="BC150" s="21">
        <v>0.0</v>
      </c>
      <c r="BD150" s="21">
        <v>0.0</v>
      </c>
      <c r="BE150" s="21">
        <v>0.0</v>
      </c>
      <c r="BF150" s="21">
        <v>0.0</v>
      </c>
      <c r="BG150" s="21">
        <v>0.0</v>
      </c>
      <c r="BH150" s="21">
        <v>0.0</v>
      </c>
      <c r="BI150">
        <f t="shared" si="8"/>
        <v>400</v>
      </c>
    </row>
    <row r="151" ht="36.75" customHeight="1">
      <c r="A151" s="20">
        <v>42411.0</v>
      </c>
      <c r="B151" s="21" t="s">
        <v>1966</v>
      </c>
      <c r="C151" s="21" t="s">
        <v>1967</v>
      </c>
      <c r="D151" s="21" t="s">
        <v>1968</v>
      </c>
      <c r="E151" s="21" t="s">
        <v>113</v>
      </c>
      <c r="F151" s="21">
        <v>27.737621</v>
      </c>
      <c r="G151" s="21">
        <v>-82.75471</v>
      </c>
      <c r="H151" s="21">
        <v>27.705605</v>
      </c>
      <c r="I151" s="22">
        <v>-82.737286</v>
      </c>
      <c r="J151" s="21" t="s">
        <v>1970</v>
      </c>
      <c r="K151" s="21" t="s">
        <v>1971</v>
      </c>
      <c r="L151" s="21">
        <v>0.0</v>
      </c>
      <c r="M151" s="21">
        <v>0.0</v>
      </c>
      <c r="N151" s="21">
        <v>0.0</v>
      </c>
      <c r="O151" s="21">
        <v>0.0</v>
      </c>
      <c r="P151" s="21">
        <v>0.0</v>
      </c>
      <c r="Q151" s="21">
        <v>0.0</v>
      </c>
      <c r="R151" s="21">
        <v>0.0</v>
      </c>
      <c r="S151" s="21">
        <v>0.0</v>
      </c>
      <c r="T151" s="21">
        <v>0.0</v>
      </c>
      <c r="U151" s="21">
        <v>0.0</v>
      </c>
      <c r="V151" s="21">
        <v>0.0</v>
      </c>
      <c r="W151" s="21">
        <v>0.0</v>
      </c>
      <c r="X151" s="21"/>
      <c r="Y151" s="21">
        <v>0.0</v>
      </c>
      <c r="Z151" s="21">
        <v>0.0</v>
      </c>
      <c r="AA151" s="21">
        <v>1.0</v>
      </c>
      <c r="AB151" s="21">
        <v>0.0</v>
      </c>
      <c r="AC151" s="21">
        <v>0.0</v>
      </c>
      <c r="AD151" s="21">
        <v>0.0</v>
      </c>
      <c r="AE151" s="21">
        <v>0.0</v>
      </c>
      <c r="AF151" s="21">
        <v>0.0</v>
      </c>
      <c r="AG151" s="21">
        <v>0.0</v>
      </c>
      <c r="AH151" s="21">
        <v>0.0</v>
      </c>
      <c r="AI151" s="21">
        <v>3.0</v>
      </c>
      <c r="AJ151" s="21">
        <v>0.0</v>
      </c>
      <c r="AK151" s="21">
        <v>0.0</v>
      </c>
      <c r="AL151" s="21">
        <v>0.0</v>
      </c>
      <c r="AM151" s="21">
        <v>0.0</v>
      </c>
      <c r="AN151" s="21">
        <v>0.0</v>
      </c>
      <c r="AO151" s="21">
        <v>27.0</v>
      </c>
      <c r="AP151" s="21">
        <v>0.0</v>
      </c>
      <c r="AQ151" s="21">
        <v>0.0</v>
      </c>
      <c r="AR151" s="21">
        <v>2.0</v>
      </c>
      <c r="AS151" s="21">
        <v>0.0</v>
      </c>
      <c r="AT151" s="21">
        <v>0.0</v>
      </c>
      <c r="AU151" s="21">
        <v>0.0</v>
      </c>
      <c r="AV151" s="21">
        <v>0.0</v>
      </c>
      <c r="AW151" s="21">
        <v>19.0</v>
      </c>
      <c r="AX151" s="21">
        <v>209.0</v>
      </c>
      <c r="AY151" s="21">
        <v>0.0</v>
      </c>
      <c r="AZ151" s="21">
        <v>40.0</v>
      </c>
      <c r="BA151" s="21">
        <v>23.0</v>
      </c>
      <c r="BB151" s="21">
        <v>0.0</v>
      </c>
      <c r="BC151" s="21">
        <v>0.0</v>
      </c>
      <c r="BD151" s="21">
        <v>0.0</v>
      </c>
      <c r="BE151" s="21">
        <v>0.0</v>
      </c>
      <c r="BF151" s="21">
        <v>0.0</v>
      </c>
      <c r="BG151" s="21">
        <v>0.0</v>
      </c>
      <c r="BH151" s="21">
        <v>0.0</v>
      </c>
      <c r="BI151" s="21">
        <v>324.0</v>
      </c>
      <c r="BJ151" s="21" t="s">
        <v>1977</v>
      </c>
    </row>
    <row r="152" ht="36.75" customHeight="1">
      <c r="A152" s="20">
        <v>42406.0</v>
      </c>
      <c r="B152" s="25" t="s">
        <v>564</v>
      </c>
      <c r="C152" s="25" t="s">
        <v>565</v>
      </c>
      <c r="D152" s="25" t="s">
        <v>566</v>
      </c>
      <c r="E152" s="25" t="s">
        <v>113</v>
      </c>
      <c r="F152" s="49">
        <v>27.871309</v>
      </c>
      <c r="G152" s="49">
        <v>-82.60927</v>
      </c>
      <c r="H152" s="50">
        <v>27.876714</v>
      </c>
      <c r="I152" s="49">
        <v>-82.589613</v>
      </c>
      <c r="J152" s="21" t="s">
        <v>572</v>
      </c>
      <c r="K152" s="21" t="s">
        <v>573</v>
      </c>
      <c r="L152" s="21">
        <v>5.0</v>
      </c>
      <c r="M152" s="21">
        <v>0.0</v>
      </c>
      <c r="N152" s="21">
        <v>0.0</v>
      </c>
      <c r="O152" s="21">
        <v>0.0</v>
      </c>
      <c r="P152" s="21">
        <v>0.0</v>
      </c>
      <c r="Q152" s="21">
        <v>0.0</v>
      </c>
      <c r="R152" s="21">
        <v>0.0</v>
      </c>
      <c r="S152" s="21">
        <v>0.0</v>
      </c>
      <c r="T152" s="21">
        <v>0.0</v>
      </c>
      <c r="U152" s="21">
        <v>0.0</v>
      </c>
      <c r="V152" s="21">
        <v>0.0</v>
      </c>
      <c r="W152" s="21">
        <v>0.0</v>
      </c>
      <c r="X152" s="21"/>
      <c r="Y152" s="21">
        <v>0.0</v>
      </c>
      <c r="Z152" s="21">
        <v>7.0</v>
      </c>
      <c r="AA152" s="21">
        <v>0.0</v>
      </c>
      <c r="AB152" s="21">
        <v>0.0</v>
      </c>
      <c r="AC152" s="21">
        <v>0.0</v>
      </c>
      <c r="AD152" s="21">
        <v>0.0</v>
      </c>
      <c r="AE152" s="21">
        <v>0.0</v>
      </c>
      <c r="AF152" s="21">
        <v>0.0</v>
      </c>
      <c r="AG152" s="21">
        <v>0.0</v>
      </c>
      <c r="AH152" s="21">
        <v>0.0</v>
      </c>
      <c r="AI152" s="21">
        <v>1.0</v>
      </c>
      <c r="AJ152" s="21">
        <v>0.0</v>
      </c>
      <c r="AK152" s="21">
        <v>0.0</v>
      </c>
      <c r="AL152" s="21">
        <v>45.0</v>
      </c>
      <c r="AM152" s="21">
        <v>0.0</v>
      </c>
      <c r="AN152" s="21">
        <v>0.0</v>
      </c>
      <c r="AO152" s="21">
        <v>2.0</v>
      </c>
      <c r="AP152" s="21">
        <v>2.0</v>
      </c>
      <c r="AQ152" s="21">
        <v>0.0</v>
      </c>
      <c r="AR152" s="21">
        <v>2.0</v>
      </c>
      <c r="AS152" s="21">
        <v>3.0</v>
      </c>
      <c r="AT152" s="21">
        <v>0.0</v>
      </c>
      <c r="AU152" s="21">
        <v>0.0</v>
      </c>
      <c r="AV152" s="21">
        <v>0.0</v>
      </c>
      <c r="AW152" s="21">
        <v>1.0</v>
      </c>
      <c r="AX152" s="21">
        <v>205.0</v>
      </c>
      <c r="AY152" s="21">
        <v>0.0</v>
      </c>
      <c r="AZ152" s="21">
        <v>25.0</v>
      </c>
      <c r="BA152" s="21">
        <v>21.0</v>
      </c>
      <c r="BB152" s="21">
        <v>2.0</v>
      </c>
      <c r="BC152" s="21">
        <v>0.0</v>
      </c>
      <c r="BD152" s="21">
        <v>0.0</v>
      </c>
      <c r="BE152" s="21">
        <v>0.0</v>
      </c>
      <c r="BF152" s="21">
        <v>0.0</v>
      </c>
      <c r="BG152" s="21">
        <v>0.0</v>
      </c>
      <c r="BH152" s="21">
        <v>0.0</v>
      </c>
      <c r="BI152">
        <f t="shared" ref="BI152:BI179" si="9">sum(L152:BH152)</f>
        <v>321</v>
      </c>
      <c r="BJ152" s="21" t="s">
        <v>1987</v>
      </c>
    </row>
    <row r="153" ht="36.75" customHeight="1">
      <c r="A153" s="20">
        <v>42411.0</v>
      </c>
      <c r="B153" s="21" t="s">
        <v>1988</v>
      </c>
      <c r="C153" s="21" t="s">
        <v>261</v>
      </c>
      <c r="D153" s="21" t="s">
        <v>262</v>
      </c>
      <c r="E153" s="21" t="s">
        <v>113</v>
      </c>
      <c r="F153" s="21" t="s">
        <v>1311</v>
      </c>
      <c r="G153" s="21" t="s">
        <v>1312</v>
      </c>
      <c r="H153" s="21" t="s">
        <v>1313</v>
      </c>
      <c r="I153" s="22" t="s">
        <v>1314</v>
      </c>
      <c r="J153" s="21" t="s">
        <v>1315</v>
      </c>
      <c r="K153" s="21" t="s">
        <v>1990</v>
      </c>
      <c r="L153" s="21">
        <v>0.0</v>
      </c>
      <c r="M153" s="21">
        <v>0.0</v>
      </c>
      <c r="N153" s="21">
        <v>0.0</v>
      </c>
      <c r="O153" s="21">
        <v>0.0</v>
      </c>
      <c r="P153" s="21">
        <v>0.0</v>
      </c>
      <c r="Q153" s="21">
        <v>0.0</v>
      </c>
      <c r="R153" s="21">
        <v>0.0</v>
      </c>
      <c r="S153" s="21">
        <v>0.0</v>
      </c>
      <c r="T153" s="21">
        <v>0.0</v>
      </c>
      <c r="U153" s="21">
        <v>0.0</v>
      </c>
      <c r="V153" s="21">
        <v>0.0</v>
      </c>
      <c r="W153" s="21">
        <v>0.0</v>
      </c>
      <c r="X153" s="21"/>
      <c r="Y153" s="21">
        <v>0.0</v>
      </c>
      <c r="Z153" s="21">
        <v>0.0</v>
      </c>
      <c r="AA153" s="21">
        <v>23.0</v>
      </c>
      <c r="AB153" s="21">
        <v>0.0</v>
      </c>
      <c r="AC153" s="21">
        <v>0.0</v>
      </c>
      <c r="AD153" s="21">
        <v>0.0</v>
      </c>
      <c r="AE153" s="21">
        <v>0.0</v>
      </c>
      <c r="AF153" s="21">
        <v>0.0</v>
      </c>
      <c r="AG153" s="21">
        <v>0.0</v>
      </c>
      <c r="AH153" s="21">
        <v>0.0</v>
      </c>
      <c r="AI153" s="21">
        <v>0.0</v>
      </c>
      <c r="AJ153" s="21">
        <v>0.0</v>
      </c>
      <c r="AK153" s="21">
        <v>0.0</v>
      </c>
      <c r="AL153" s="21">
        <v>0.0</v>
      </c>
      <c r="AM153" s="21">
        <v>0.0</v>
      </c>
      <c r="AN153" s="21">
        <v>0.0</v>
      </c>
      <c r="AO153" s="21">
        <v>0.0</v>
      </c>
      <c r="AP153" s="21">
        <v>0.0</v>
      </c>
      <c r="AQ153" s="21">
        <v>0.0</v>
      </c>
      <c r="AR153" s="21">
        <v>0.0</v>
      </c>
      <c r="AS153" s="21">
        <v>0.0</v>
      </c>
      <c r="AT153" s="21">
        <v>0.0</v>
      </c>
      <c r="AU153" s="21">
        <v>0.0</v>
      </c>
      <c r="AV153" s="21">
        <v>0.0</v>
      </c>
      <c r="AW153" s="21">
        <v>3.0</v>
      </c>
      <c r="AX153" s="21">
        <v>45.0</v>
      </c>
      <c r="AY153" s="21">
        <v>1.0</v>
      </c>
      <c r="AZ153" s="21">
        <v>25.0</v>
      </c>
      <c r="BA153" s="21">
        <v>0.0</v>
      </c>
      <c r="BB153" s="21">
        <v>0.0</v>
      </c>
      <c r="BC153" s="21">
        <v>0.0</v>
      </c>
      <c r="BD153" s="21">
        <v>0.0</v>
      </c>
      <c r="BE153" s="21">
        <v>0.0</v>
      </c>
      <c r="BF153" s="21">
        <v>0.0</v>
      </c>
      <c r="BG153" s="21">
        <v>0.0</v>
      </c>
      <c r="BH153" s="21">
        <v>0.0</v>
      </c>
      <c r="BI153">
        <f t="shared" si="9"/>
        <v>97</v>
      </c>
      <c r="BJ153" s="21" t="s">
        <v>1992</v>
      </c>
    </row>
    <row r="154" ht="36.75" customHeight="1">
      <c r="A154" s="20">
        <v>42410.0</v>
      </c>
      <c r="B154" s="21" t="s">
        <v>602</v>
      </c>
      <c r="C154" s="21" t="s">
        <v>1712</v>
      </c>
      <c r="D154" s="21" t="s">
        <v>604</v>
      </c>
      <c r="E154" s="21" t="s">
        <v>113</v>
      </c>
      <c r="F154" s="21" t="s">
        <v>1713</v>
      </c>
      <c r="G154" s="21" t="s">
        <v>1714</v>
      </c>
      <c r="H154" s="21" t="s">
        <v>1715</v>
      </c>
      <c r="I154" s="22" t="s">
        <v>1716</v>
      </c>
      <c r="J154" s="21" t="s">
        <v>1717</v>
      </c>
      <c r="K154" s="21" t="s">
        <v>1993</v>
      </c>
      <c r="L154" s="21">
        <v>0.0</v>
      </c>
      <c r="M154" s="21">
        <v>0.0</v>
      </c>
      <c r="N154" s="21">
        <v>29.0</v>
      </c>
      <c r="O154" s="21">
        <v>1.0</v>
      </c>
      <c r="P154" s="21">
        <v>0.0</v>
      </c>
      <c r="Q154" s="21">
        <v>0.0</v>
      </c>
      <c r="R154" s="21">
        <v>0.0</v>
      </c>
      <c r="S154" s="21">
        <v>0.0</v>
      </c>
      <c r="T154" s="21">
        <v>0.0</v>
      </c>
      <c r="U154" s="21">
        <v>0.0</v>
      </c>
      <c r="V154" s="21">
        <v>0.0</v>
      </c>
      <c r="W154" s="21">
        <v>0.0</v>
      </c>
      <c r="X154" s="21"/>
      <c r="Y154" s="21">
        <v>122.0</v>
      </c>
      <c r="Z154" s="21">
        <v>16.0</v>
      </c>
      <c r="AA154" s="21">
        <v>80.0</v>
      </c>
      <c r="AB154" s="21">
        <v>0.0</v>
      </c>
      <c r="AC154" s="21">
        <v>0.0</v>
      </c>
      <c r="AD154" s="21">
        <v>0.0</v>
      </c>
      <c r="AE154" s="21">
        <v>0.0</v>
      </c>
      <c r="AF154" s="21">
        <v>0.0</v>
      </c>
      <c r="AG154" s="21">
        <v>0.0</v>
      </c>
      <c r="AH154" s="21">
        <v>0.0</v>
      </c>
      <c r="AI154" s="21">
        <v>12.0</v>
      </c>
      <c r="AJ154" s="21">
        <v>0.0</v>
      </c>
      <c r="AK154" s="21">
        <v>0.0</v>
      </c>
      <c r="AL154" s="21">
        <v>118.0</v>
      </c>
      <c r="AM154" s="21">
        <v>0.0</v>
      </c>
      <c r="AN154" s="21">
        <v>0.0</v>
      </c>
      <c r="AO154" s="21">
        <v>0.0</v>
      </c>
      <c r="AP154" s="21">
        <v>0.0</v>
      </c>
      <c r="AQ154" s="21">
        <v>0.0</v>
      </c>
      <c r="AR154" s="21">
        <v>0.0</v>
      </c>
      <c r="AS154" s="21">
        <v>13.0</v>
      </c>
      <c r="AT154" s="21">
        <v>0.0</v>
      </c>
      <c r="AU154" s="21">
        <v>0.0</v>
      </c>
      <c r="AV154" s="21">
        <v>0.0</v>
      </c>
      <c r="AW154" s="21">
        <v>3.0</v>
      </c>
      <c r="AX154" s="21">
        <v>108.0</v>
      </c>
      <c r="AY154" s="21">
        <v>3.0</v>
      </c>
      <c r="AZ154" s="21">
        <v>87.0</v>
      </c>
      <c r="BA154" s="21">
        <v>45.0</v>
      </c>
      <c r="BB154" s="21">
        <v>0.0</v>
      </c>
      <c r="BC154" s="21">
        <v>0.0</v>
      </c>
      <c r="BD154" s="21">
        <v>0.0</v>
      </c>
      <c r="BE154" s="21">
        <v>0.0</v>
      </c>
      <c r="BF154" s="21">
        <v>0.0</v>
      </c>
      <c r="BG154" s="21">
        <v>0.0</v>
      </c>
      <c r="BH154" s="21">
        <v>0.0</v>
      </c>
      <c r="BI154">
        <f t="shared" si="9"/>
        <v>637</v>
      </c>
      <c r="BJ154" s="21" t="s">
        <v>1995</v>
      </c>
    </row>
    <row r="155" ht="36.75" customHeight="1">
      <c r="A155" s="29">
        <v>42405.0</v>
      </c>
      <c r="B155" s="25" t="s">
        <v>149</v>
      </c>
      <c r="C155" s="21" t="s">
        <v>165</v>
      </c>
      <c r="D155" s="25" t="s">
        <v>166</v>
      </c>
      <c r="E155" s="25" t="s">
        <v>113</v>
      </c>
      <c r="F155" s="21">
        <v>28.1761</v>
      </c>
      <c r="G155" s="21">
        <v>-82.8503</v>
      </c>
      <c r="H155" s="21">
        <v>28.1659</v>
      </c>
      <c r="I155" s="21">
        <v>-82.8407</v>
      </c>
      <c r="J155" s="21" t="s">
        <v>591</v>
      </c>
      <c r="K155" s="21" t="s">
        <v>592</v>
      </c>
      <c r="L155" s="21">
        <v>2.0</v>
      </c>
      <c r="M155" s="21">
        <v>0.0</v>
      </c>
      <c r="N155" s="21">
        <v>33.0</v>
      </c>
      <c r="O155" s="21">
        <v>19.0</v>
      </c>
      <c r="P155" s="21">
        <v>0.0</v>
      </c>
      <c r="Q155" s="21">
        <v>0.0</v>
      </c>
      <c r="R155" s="21">
        <v>0.0</v>
      </c>
      <c r="S155" s="21">
        <v>1.0</v>
      </c>
      <c r="T155" s="21">
        <v>0.0</v>
      </c>
      <c r="U155" s="21">
        <v>0.0</v>
      </c>
      <c r="V155" s="21">
        <v>2.0</v>
      </c>
      <c r="W155" s="21">
        <v>24.0</v>
      </c>
      <c r="X155" s="21"/>
      <c r="Y155" s="21">
        <v>44.0</v>
      </c>
      <c r="Z155" s="21">
        <v>50.0</v>
      </c>
      <c r="AA155" s="21">
        <v>113.0</v>
      </c>
      <c r="AB155" s="21">
        <v>23.0</v>
      </c>
      <c r="AC155" s="21">
        <v>0.0</v>
      </c>
      <c r="AD155" s="21">
        <v>47.0</v>
      </c>
      <c r="AE155" s="21">
        <v>11.0</v>
      </c>
      <c r="AF155" s="21">
        <v>0.0</v>
      </c>
      <c r="AG155" s="21">
        <v>9.0</v>
      </c>
      <c r="AH155" s="21">
        <v>0.0</v>
      </c>
      <c r="AI155" s="21">
        <v>29.0</v>
      </c>
      <c r="AJ155" s="21">
        <v>7.0</v>
      </c>
      <c r="AK155" s="21">
        <v>0.0</v>
      </c>
      <c r="AL155" s="21">
        <v>0.0</v>
      </c>
      <c r="AM155" s="21">
        <v>0.0</v>
      </c>
      <c r="AN155" s="21">
        <v>0.0</v>
      </c>
      <c r="AO155" s="21">
        <v>1.0</v>
      </c>
      <c r="AP155" s="21">
        <v>0.0</v>
      </c>
      <c r="AQ155" s="21">
        <v>0.0</v>
      </c>
      <c r="AR155" s="21">
        <v>100.0</v>
      </c>
      <c r="AS155" s="21">
        <v>26.0</v>
      </c>
      <c r="AT155" s="21">
        <v>0.0</v>
      </c>
      <c r="AU155" s="21">
        <v>0.0</v>
      </c>
      <c r="AV155" s="21">
        <v>0.0</v>
      </c>
      <c r="AW155" s="21">
        <v>44.0</v>
      </c>
      <c r="AX155" s="21">
        <v>36.0</v>
      </c>
      <c r="AY155" s="21">
        <v>0.0</v>
      </c>
      <c r="AZ155" s="21">
        <v>189.0</v>
      </c>
      <c r="BA155" s="21">
        <v>100.0</v>
      </c>
      <c r="BB155" s="21">
        <v>0.0</v>
      </c>
      <c r="BC155" s="21">
        <v>0.0</v>
      </c>
      <c r="BD155" s="21">
        <v>0.0</v>
      </c>
      <c r="BE155" s="21">
        <v>0.0</v>
      </c>
      <c r="BF155" s="21">
        <v>80.0</v>
      </c>
      <c r="BG155" s="21">
        <v>0.0</v>
      </c>
      <c r="BH155" s="21">
        <v>0.0</v>
      </c>
      <c r="BI155">
        <f t="shared" si="9"/>
        <v>990</v>
      </c>
    </row>
    <row r="156" ht="36.75" customHeight="1">
      <c r="A156" s="20">
        <v>42406.0</v>
      </c>
      <c r="B156" s="21" t="s">
        <v>149</v>
      </c>
      <c r="C156" s="21" t="s">
        <v>1948</v>
      </c>
      <c r="D156" s="21" t="s">
        <v>153</v>
      </c>
      <c r="E156" s="21" t="s">
        <v>113</v>
      </c>
      <c r="F156" s="21">
        <v>28.0478</v>
      </c>
      <c r="G156" s="21">
        <v>-82.8169</v>
      </c>
      <c r="H156" s="21">
        <v>28.0194</v>
      </c>
      <c r="I156" s="22">
        <v>-82.8269</v>
      </c>
      <c r="J156" s="21" t="s">
        <v>554</v>
      </c>
      <c r="K156" s="21" t="s">
        <v>556</v>
      </c>
      <c r="L156" s="21">
        <v>2.0</v>
      </c>
      <c r="M156" s="21">
        <v>0.0</v>
      </c>
      <c r="N156" s="21">
        <v>43.0</v>
      </c>
      <c r="O156" s="21">
        <v>0.0</v>
      </c>
      <c r="P156" s="21">
        <v>0.0</v>
      </c>
      <c r="Q156" s="21">
        <v>0.0</v>
      </c>
      <c r="R156" s="21">
        <v>0.0</v>
      </c>
      <c r="S156" s="21">
        <v>0.0</v>
      </c>
      <c r="T156" s="21">
        <v>0.0</v>
      </c>
      <c r="U156" s="21">
        <v>0.0</v>
      </c>
      <c r="V156" s="21">
        <v>0.0</v>
      </c>
      <c r="W156" s="21">
        <v>0.0</v>
      </c>
      <c r="X156" s="21"/>
      <c r="Y156" s="21">
        <v>25.0</v>
      </c>
      <c r="Z156" s="21">
        <v>14.0</v>
      </c>
      <c r="AA156" s="21">
        <v>48.0</v>
      </c>
      <c r="AB156" s="21">
        <v>1.0</v>
      </c>
      <c r="AC156" s="21">
        <v>0.0</v>
      </c>
      <c r="AD156" s="21">
        <v>170.0</v>
      </c>
      <c r="AE156" s="21">
        <v>0.0</v>
      </c>
      <c r="AF156" s="21">
        <v>0.0</v>
      </c>
      <c r="AG156" s="21">
        <v>0.0</v>
      </c>
      <c r="AH156" s="21">
        <v>0.0</v>
      </c>
      <c r="AI156" s="21">
        <v>77.0</v>
      </c>
      <c r="AJ156" s="21">
        <v>0.0</v>
      </c>
      <c r="AK156" s="21">
        <v>0.0</v>
      </c>
      <c r="AL156" s="21">
        <v>0.0</v>
      </c>
      <c r="AM156" s="21">
        <v>0.0</v>
      </c>
      <c r="AN156" s="21">
        <v>0.0</v>
      </c>
      <c r="AO156" s="21">
        <v>44.0</v>
      </c>
      <c r="AP156" s="21">
        <v>3.0</v>
      </c>
      <c r="AQ156" s="21">
        <v>0.0</v>
      </c>
      <c r="AR156" s="21">
        <v>400.0</v>
      </c>
      <c r="AS156" s="21">
        <v>1.0</v>
      </c>
      <c r="AT156" s="21">
        <v>0.0</v>
      </c>
      <c r="AU156" s="21">
        <v>0.0</v>
      </c>
      <c r="AV156" s="21">
        <v>0.0</v>
      </c>
      <c r="AW156" s="21">
        <v>10.0</v>
      </c>
      <c r="AX156" s="21">
        <v>0.0</v>
      </c>
      <c r="AY156" s="21">
        <v>0.0</v>
      </c>
      <c r="AZ156" s="21">
        <v>37.0</v>
      </c>
      <c r="BA156" s="21">
        <v>0.0</v>
      </c>
      <c r="BB156" s="21">
        <v>0.0</v>
      </c>
      <c r="BC156" s="21">
        <v>0.0</v>
      </c>
      <c r="BD156" s="21">
        <v>0.0</v>
      </c>
      <c r="BE156" s="21">
        <v>0.0</v>
      </c>
      <c r="BF156" s="21">
        <v>200.0</v>
      </c>
      <c r="BG156" s="21">
        <v>0.0</v>
      </c>
      <c r="BH156" s="21">
        <v>0.0</v>
      </c>
      <c r="BI156">
        <f t="shared" si="9"/>
        <v>1075</v>
      </c>
      <c r="BJ156" s="21" t="s">
        <v>2001</v>
      </c>
    </row>
    <row r="157" ht="36.75" customHeight="1">
      <c r="A157" s="29">
        <v>42411.0</v>
      </c>
      <c r="B157" s="25" t="s">
        <v>945</v>
      </c>
      <c r="C157" s="25" t="s">
        <v>165</v>
      </c>
      <c r="D157" s="25" t="s">
        <v>947</v>
      </c>
      <c r="E157" s="25" t="s">
        <v>113</v>
      </c>
      <c r="F157" s="21">
        <v>28.1209</v>
      </c>
      <c r="G157" s="21">
        <v>-82.8389</v>
      </c>
      <c r="H157" s="21">
        <v>28.1082</v>
      </c>
      <c r="I157" s="22">
        <v>-82.8341</v>
      </c>
      <c r="J157" s="21" t="s">
        <v>1974</v>
      </c>
      <c r="K157" s="21" t="s">
        <v>1975</v>
      </c>
      <c r="L157" s="21">
        <v>2.0</v>
      </c>
      <c r="M157" s="21">
        <v>0.0</v>
      </c>
      <c r="N157" s="21">
        <v>13.0</v>
      </c>
      <c r="O157" s="21">
        <v>75.0</v>
      </c>
      <c r="P157" s="21">
        <v>0.0</v>
      </c>
      <c r="Q157" s="21">
        <v>0.0</v>
      </c>
      <c r="R157" s="21">
        <v>16.0</v>
      </c>
      <c r="S157" s="21">
        <v>1.0</v>
      </c>
      <c r="T157" s="21">
        <v>0.0</v>
      </c>
      <c r="U157" s="21">
        <v>0.0</v>
      </c>
      <c r="V157" s="21">
        <v>0.0</v>
      </c>
      <c r="W157" s="21">
        <v>26.0</v>
      </c>
      <c r="X157" s="21"/>
      <c r="Y157" s="21">
        <v>0.0</v>
      </c>
      <c r="Z157" s="21">
        <v>8.0</v>
      </c>
      <c r="AA157" s="21">
        <v>31.0</v>
      </c>
      <c r="AB157" s="21">
        <v>19.0</v>
      </c>
      <c r="AC157" s="21">
        <v>0.0</v>
      </c>
      <c r="AD157" s="21">
        <v>0.0</v>
      </c>
      <c r="AE157" s="21">
        <v>3.0</v>
      </c>
      <c r="AF157" s="21">
        <v>0.0</v>
      </c>
      <c r="AG157" s="21">
        <v>9.0</v>
      </c>
      <c r="AH157" s="21">
        <v>0.0</v>
      </c>
      <c r="AI157" s="21">
        <v>0.0</v>
      </c>
      <c r="AJ157" s="21">
        <v>2.0</v>
      </c>
      <c r="AK157" s="21">
        <v>0.0</v>
      </c>
      <c r="AL157" s="21">
        <v>0.0</v>
      </c>
      <c r="AM157" s="21">
        <v>0.0</v>
      </c>
      <c r="AN157" s="21">
        <v>0.0</v>
      </c>
      <c r="AO157" s="21">
        <v>5.0</v>
      </c>
      <c r="AP157" s="21">
        <v>1.0</v>
      </c>
      <c r="AQ157" s="21">
        <v>0.0</v>
      </c>
      <c r="AR157" s="21">
        <v>370.0</v>
      </c>
      <c r="AS157" s="21">
        <v>4.0</v>
      </c>
      <c r="AT157" s="21">
        <v>0.0</v>
      </c>
      <c r="AU157" s="21">
        <v>0.0</v>
      </c>
      <c r="AV157" s="21">
        <v>0.0</v>
      </c>
      <c r="AW157" s="21">
        <v>31.0</v>
      </c>
      <c r="AX157" s="21">
        <v>370.0</v>
      </c>
      <c r="AY157" s="21">
        <v>0.0</v>
      </c>
      <c r="AZ157" s="21">
        <v>17.0</v>
      </c>
      <c r="BA157" s="21">
        <v>22.0</v>
      </c>
      <c r="BB157" s="21">
        <v>0.0</v>
      </c>
      <c r="BC157" s="21">
        <v>0.0</v>
      </c>
      <c r="BD157" s="21">
        <v>0.0</v>
      </c>
      <c r="BE157" s="21">
        <v>0.0</v>
      </c>
      <c r="BF157" s="21">
        <v>0.0</v>
      </c>
      <c r="BG157" s="21">
        <v>0.0</v>
      </c>
      <c r="BH157" s="21">
        <v>0.0</v>
      </c>
      <c r="BI157">
        <f t="shared" si="9"/>
        <v>1025</v>
      </c>
    </row>
    <row r="158" ht="36.75" customHeight="1">
      <c r="A158" s="29">
        <v>42411.0</v>
      </c>
      <c r="B158" s="25" t="s">
        <v>945</v>
      </c>
      <c r="C158" s="25" t="s">
        <v>165</v>
      </c>
      <c r="D158" s="25" t="s">
        <v>957</v>
      </c>
      <c r="E158" s="25" t="s">
        <v>113</v>
      </c>
      <c r="F158" s="25">
        <v>28.1316</v>
      </c>
      <c r="G158" s="25">
        <v>-82.8274</v>
      </c>
      <c r="H158" s="25">
        <v>28.1316</v>
      </c>
      <c r="I158" s="25">
        <v>-82.8274</v>
      </c>
      <c r="J158" s="21" t="s">
        <v>1949</v>
      </c>
      <c r="K158" s="21" t="s">
        <v>1950</v>
      </c>
      <c r="L158" s="21">
        <v>2.0</v>
      </c>
      <c r="M158" s="21">
        <v>0.0</v>
      </c>
      <c r="N158" s="21">
        <v>2.0</v>
      </c>
      <c r="O158" s="21">
        <v>59.0</v>
      </c>
      <c r="P158" s="21">
        <v>0.0</v>
      </c>
      <c r="Q158" s="21">
        <v>0.0</v>
      </c>
      <c r="R158" s="21">
        <v>0.0</v>
      </c>
      <c r="S158" s="21">
        <v>0.0</v>
      </c>
      <c r="T158" s="21">
        <v>0.0</v>
      </c>
      <c r="U158" s="21">
        <v>0.0</v>
      </c>
      <c r="V158" s="21">
        <v>0.0</v>
      </c>
      <c r="W158" s="21">
        <v>10.0</v>
      </c>
      <c r="X158" s="21"/>
      <c r="Y158" s="21">
        <v>0.0</v>
      </c>
      <c r="Z158" s="21">
        <v>2.0</v>
      </c>
      <c r="AA158" s="21">
        <v>40.0</v>
      </c>
      <c r="AB158" s="21">
        <v>2.0</v>
      </c>
      <c r="AC158" s="21">
        <v>0.0</v>
      </c>
      <c r="AD158" s="21">
        <v>0.0</v>
      </c>
      <c r="AE158" s="21">
        <v>0.0</v>
      </c>
      <c r="AF158" s="21">
        <v>0.0</v>
      </c>
      <c r="AG158" s="21">
        <v>0.0</v>
      </c>
      <c r="AH158" s="21">
        <v>0.0</v>
      </c>
      <c r="AI158" s="21">
        <v>0.0</v>
      </c>
      <c r="AJ158" s="21">
        <v>0.0</v>
      </c>
      <c r="AK158" s="21">
        <v>0.0</v>
      </c>
      <c r="AL158" s="21">
        <v>0.0</v>
      </c>
      <c r="AM158" s="21">
        <v>0.0</v>
      </c>
      <c r="AN158" s="21">
        <v>0.0</v>
      </c>
      <c r="AO158" s="21">
        <v>2.0</v>
      </c>
      <c r="AP158" s="21">
        <v>0.0</v>
      </c>
      <c r="AQ158" s="21">
        <v>0.0</v>
      </c>
      <c r="AR158" s="21">
        <v>264.0</v>
      </c>
      <c r="AS158" s="21">
        <v>0.0</v>
      </c>
      <c r="AT158" s="21">
        <v>0.0</v>
      </c>
      <c r="AU158" s="21">
        <v>0.0</v>
      </c>
      <c r="AV158" s="21">
        <v>0.0</v>
      </c>
      <c r="AW158" s="21">
        <v>1.0</v>
      </c>
      <c r="AX158" s="21">
        <v>0.0</v>
      </c>
      <c r="AY158" s="21">
        <v>0.0</v>
      </c>
      <c r="AZ158" s="21">
        <v>1.0</v>
      </c>
      <c r="BA158" s="21">
        <v>0.0</v>
      </c>
      <c r="BB158" s="21">
        <v>0.0</v>
      </c>
      <c r="BC158" s="21">
        <v>0.0</v>
      </c>
      <c r="BD158" s="21">
        <v>0.0</v>
      </c>
      <c r="BE158" s="21">
        <v>0.0</v>
      </c>
      <c r="BF158" s="21">
        <v>0.0</v>
      </c>
      <c r="BG158" s="21">
        <v>0.0</v>
      </c>
      <c r="BH158" s="21">
        <v>0.0</v>
      </c>
      <c r="BI158">
        <f t="shared" si="9"/>
        <v>385</v>
      </c>
      <c r="BJ158" s="21" t="s">
        <v>2009</v>
      </c>
    </row>
    <row r="159" ht="36.75" customHeight="1">
      <c r="A159" s="20">
        <v>42408.0</v>
      </c>
      <c r="B159" s="21" t="s">
        <v>775</v>
      </c>
      <c r="C159" s="21" t="s">
        <v>165</v>
      </c>
      <c r="D159" s="21" t="s">
        <v>207</v>
      </c>
      <c r="E159" s="21" t="s">
        <v>113</v>
      </c>
      <c r="F159" s="21">
        <v>28.0559</v>
      </c>
      <c r="G159" s="21">
        <v>-82.8162</v>
      </c>
      <c r="H159" s="21">
        <v>28.0941</v>
      </c>
      <c r="I159" s="22">
        <v>-82.8337</v>
      </c>
      <c r="J159" s="21" t="s">
        <v>777</v>
      </c>
      <c r="K159" s="21" t="s">
        <v>778</v>
      </c>
      <c r="L159" s="21">
        <v>7.0</v>
      </c>
      <c r="M159" s="21">
        <v>0.0</v>
      </c>
      <c r="N159" s="21">
        <v>13.0</v>
      </c>
      <c r="O159" s="21">
        <v>38.0</v>
      </c>
      <c r="P159" s="21">
        <v>0.0</v>
      </c>
      <c r="Q159" s="21">
        <v>1.0</v>
      </c>
      <c r="R159" s="21">
        <v>0.0</v>
      </c>
      <c r="S159" s="21">
        <v>0.0</v>
      </c>
      <c r="T159" s="21">
        <v>0.0</v>
      </c>
      <c r="U159" s="21">
        <v>0.0</v>
      </c>
      <c r="V159" s="21">
        <v>6.0</v>
      </c>
      <c r="W159" s="21">
        <v>38.0</v>
      </c>
      <c r="X159" s="21"/>
      <c r="Y159" s="21">
        <v>15.0</v>
      </c>
      <c r="Z159" s="21">
        <v>12.0</v>
      </c>
      <c r="AA159" s="21">
        <v>59.0</v>
      </c>
      <c r="AB159" s="21">
        <v>21.0</v>
      </c>
      <c r="AC159" s="21">
        <v>0.0</v>
      </c>
      <c r="AD159" s="21">
        <v>3.0</v>
      </c>
      <c r="AE159" s="21">
        <v>3.0</v>
      </c>
      <c r="AF159" s="21">
        <v>0.0</v>
      </c>
      <c r="AG159" s="21">
        <v>7.0</v>
      </c>
      <c r="AH159" s="21">
        <v>0.0</v>
      </c>
      <c r="AI159" s="21">
        <v>4.0</v>
      </c>
      <c r="AJ159" s="21">
        <v>16.0</v>
      </c>
      <c r="AK159" s="21">
        <v>0.0</v>
      </c>
      <c r="AL159" s="21">
        <v>5.0</v>
      </c>
      <c r="AM159" s="21">
        <v>0.0</v>
      </c>
      <c r="AN159" s="21">
        <v>0.0</v>
      </c>
      <c r="AO159" s="21">
        <v>12.0</v>
      </c>
      <c r="AP159" s="21">
        <v>5.0</v>
      </c>
      <c r="AQ159" s="21">
        <v>0.0</v>
      </c>
      <c r="AR159" s="21">
        <v>12.0</v>
      </c>
      <c r="AS159" s="21">
        <v>1.0</v>
      </c>
      <c r="AT159" s="21">
        <v>0.0</v>
      </c>
      <c r="AU159" s="21">
        <v>0.0</v>
      </c>
      <c r="AV159" s="21">
        <v>0.0</v>
      </c>
      <c r="AW159" s="21">
        <v>18.0</v>
      </c>
      <c r="AX159" s="21">
        <v>43.0</v>
      </c>
      <c r="AY159" s="21">
        <v>0.0</v>
      </c>
      <c r="AZ159" s="21">
        <v>29.0</v>
      </c>
      <c r="BA159" s="21">
        <v>51.0</v>
      </c>
      <c r="BB159" s="21">
        <v>2.0</v>
      </c>
      <c r="BC159" s="21">
        <v>0.0</v>
      </c>
      <c r="BD159" s="21">
        <v>0.0</v>
      </c>
      <c r="BE159" s="21">
        <v>0.0</v>
      </c>
      <c r="BF159" s="21">
        <v>0.0</v>
      </c>
      <c r="BG159" s="21">
        <v>0.0</v>
      </c>
      <c r="BH159" s="21">
        <v>0.0</v>
      </c>
      <c r="BI159">
        <f t="shared" si="9"/>
        <v>421</v>
      </c>
    </row>
    <row r="160" ht="36.75" customHeight="1">
      <c r="A160" s="20">
        <v>42405.0</v>
      </c>
      <c r="B160" s="21" t="s">
        <v>245</v>
      </c>
      <c r="C160" s="21" t="s">
        <v>246</v>
      </c>
      <c r="D160" s="21" t="s">
        <v>247</v>
      </c>
      <c r="E160" s="21" t="s">
        <v>113</v>
      </c>
      <c r="F160" s="21">
        <v>27.96245</v>
      </c>
      <c r="G160" s="21">
        <v>-82.830992</v>
      </c>
      <c r="H160" s="21">
        <v>27.936962</v>
      </c>
      <c r="I160" s="22">
        <v>-82.84068</v>
      </c>
      <c r="J160" s="21" t="s">
        <v>2015</v>
      </c>
      <c r="K160" s="21" t="s">
        <v>2016</v>
      </c>
      <c r="N160" s="21">
        <v>1.0</v>
      </c>
      <c r="Y160" s="21">
        <v>27.0</v>
      </c>
      <c r="Z160" s="21">
        <v>5.0</v>
      </c>
      <c r="AA160" s="21">
        <v>28.0</v>
      </c>
      <c r="AC160" s="21">
        <v>6.0</v>
      </c>
      <c r="AI160" s="21">
        <v>9.0</v>
      </c>
      <c r="AW160" s="21">
        <v>6.0</v>
      </c>
      <c r="AX160" s="21">
        <v>3.0</v>
      </c>
      <c r="AZ160" s="21">
        <v>77.0</v>
      </c>
      <c r="BA160" s="21">
        <v>27.0</v>
      </c>
      <c r="BB160" s="21">
        <v>2.0</v>
      </c>
      <c r="BI160">
        <f t="shared" si="9"/>
        <v>191</v>
      </c>
      <c r="BJ160" s="21" t="s">
        <v>2022</v>
      </c>
    </row>
    <row r="161" ht="36.75" customHeight="1">
      <c r="A161" s="29">
        <v>42408.0</v>
      </c>
      <c r="B161" s="25" t="s">
        <v>245</v>
      </c>
      <c r="C161" s="25" t="s">
        <v>246</v>
      </c>
      <c r="D161" s="25" t="s">
        <v>1238</v>
      </c>
      <c r="E161" s="25" t="s">
        <v>113</v>
      </c>
      <c r="F161" s="25">
        <v>27.936962</v>
      </c>
      <c r="G161" s="25">
        <v>-82.84068</v>
      </c>
      <c r="H161" s="21">
        <v>27.91121</v>
      </c>
      <c r="I161" s="21">
        <v>-82.847267</v>
      </c>
      <c r="J161" s="21" t="s">
        <v>1239</v>
      </c>
      <c r="K161" s="21" t="s">
        <v>1223</v>
      </c>
      <c r="N161" s="21">
        <v>2.0</v>
      </c>
      <c r="Y161" s="21">
        <v>14.0</v>
      </c>
      <c r="Z161" s="21">
        <v>7.0</v>
      </c>
      <c r="AA161" s="21">
        <v>57.0</v>
      </c>
      <c r="AB161" s="21"/>
      <c r="AC161" s="21">
        <v>5.0</v>
      </c>
      <c r="AI161" s="21">
        <v>7.0</v>
      </c>
      <c r="AW161" s="21">
        <v>1.0</v>
      </c>
      <c r="AX161" s="21">
        <v>34.0</v>
      </c>
      <c r="AZ161" s="21">
        <v>20.0</v>
      </c>
      <c r="BA161" s="21">
        <v>2.0</v>
      </c>
      <c r="BB161" s="21">
        <v>1.0</v>
      </c>
      <c r="BI161">
        <f t="shared" si="9"/>
        <v>150</v>
      </c>
      <c r="BJ161" s="21" t="s">
        <v>2022</v>
      </c>
    </row>
    <row r="162" ht="36.75" customHeight="1">
      <c r="A162" s="20">
        <v>42409.0</v>
      </c>
      <c r="B162" s="21" t="s">
        <v>446</v>
      </c>
      <c r="C162" s="21" t="s">
        <v>2028</v>
      </c>
      <c r="D162" s="21" t="s">
        <v>1361</v>
      </c>
      <c r="E162" s="21" t="s">
        <v>113</v>
      </c>
      <c r="F162" s="21">
        <v>27.73763</v>
      </c>
      <c r="G162" s="21">
        <v>-82.70663</v>
      </c>
      <c r="H162" s="21">
        <v>27.73654</v>
      </c>
      <c r="I162" s="22">
        <v>-82.711</v>
      </c>
      <c r="J162" s="21" t="s">
        <v>2029</v>
      </c>
      <c r="K162" s="21" t="s">
        <v>2030</v>
      </c>
      <c r="L162" s="21">
        <v>1.0</v>
      </c>
      <c r="V162" s="21">
        <v>1.0</v>
      </c>
      <c r="AI162" s="21">
        <v>15.0</v>
      </c>
      <c r="AL162" s="21">
        <v>229.0</v>
      </c>
      <c r="AW162" s="21">
        <v>1.0</v>
      </c>
      <c r="AX162" s="21">
        <v>129.0</v>
      </c>
      <c r="AZ162" s="21">
        <v>13.0</v>
      </c>
      <c r="BA162" s="21">
        <v>5.0</v>
      </c>
      <c r="BI162">
        <f t="shared" si="9"/>
        <v>394</v>
      </c>
      <c r="BJ162" s="21" t="s">
        <v>2033</v>
      </c>
    </row>
    <row r="163" ht="36.75" customHeight="1">
      <c r="A163" s="20">
        <v>42410.0</v>
      </c>
      <c r="B163" s="21" t="s">
        <v>446</v>
      </c>
      <c r="C163" s="21" t="s">
        <v>473</v>
      </c>
      <c r="D163" s="21" t="s">
        <v>1366</v>
      </c>
      <c r="E163" s="21" t="s">
        <v>113</v>
      </c>
      <c r="F163" s="21">
        <v>28.05092</v>
      </c>
      <c r="G163" s="21">
        <v>-82.79739</v>
      </c>
      <c r="H163" s="21">
        <v>28.05867</v>
      </c>
      <c r="I163" s="22">
        <v>-82.81053</v>
      </c>
      <c r="J163" s="21" t="s">
        <v>1368</v>
      </c>
      <c r="K163" s="21" t="s">
        <v>1369</v>
      </c>
      <c r="N163" s="21">
        <v>3.0</v>
      </c>
      <c r="R163" s="21">
        <v>3.0</v>
      </c>
      <c r="Y163" s="21">
        <v>5.0</v>
      </c>
      <c r="Z163" s="21">
        <v>3.0</v>
      </c>
      <c r="AA163" s="21">
        <v>6.0</v>
      </c>
      <c r="AB163" s="21">
        <v>7.0</v>
      </c>
      <c r="AD163" s="21">
        <v>1.0</v>
      </c>
      <c r="AI163" s="21">
        <v>115.0</v>
      </c>
      <c r="AL163" s="21">
        <v>62.0</v>
      </c>
      <c r="AX163" s="21">
        <v>85.0</v>
      </c>
      <c r="AZ163" s="21">
        <v>8.0</v>
      </c>
      <c r="BA163" s="21">
        <v>12.0</v>
      </c>
      <c r="BI163">
        <f t="shared" si="9"/>
        <v>310</v>
      </c>
      <c r="BJ163" s="21" t="s">
        <v>2038</v>
      </c>
    </row>
    <row r="164" ht="36.75" customHeight="1">
      <c r="A164" s="29">
        <v>42412.0</v>
      </c>
      <c r="B164" s="25" t="s">
        <v>446</v>
      </c>
      <c r="C164" s="25" t="s">
        <v>473</v>
      </c>
      <c r="D164" s="25" t="s">
        <v>475</v>
      </c>
      <c r="E164" s="25" t="s">
        <v>113</v>
      </c>
      <c r="F164" s="25">
        <v>27.67571</v>
      </c>
      <c r="G164" s="25">
        <v>-82.73167</v>
      </c>
      <c r="H164" s="21">
        <v>27.67043</v>
      </c>
      <c r="I164" s="21">
        <v>-82.74408</v>
      </c>
      <c r="J164" s="21" t="s">
        <v>1669</v>
      </c>
      <c r="K164" s="21" t="s">
        <v>1670</v>
      </c>
      <c r="L164" s="21">
        <v>2.0</v>
      </c>
      <c r="N164" s="21">
        <v>7.0</v>
      </c>
      <c r="O164" s="21">
        <v>3.0</v>
      </c>
      <c r="R164" s="21">
        <v>10.0</v>
      </c>
      <c r="V164" s="21">
        <v>1.0</v>
      </c>
      <c r="W164" s="21">
        <v>5.0</v>
      </c>
      <c r="X164" s="21"/>
      <c r="Y164" s="21">
        <v>83.0</v>
      </c>
      <c r="Z164" s="21">
        <v>2.0</v>
      </c>
      <c r="AA164" s="21">
        <v>21.0</v>
      </c>
      <c r="AB164" s="21">
        <v>54.0</v>
      </c>
      <c r="AD164" s="21">
        <v>67.0</v>
      </c>
      <c r="AI164" s="21">
        <v>15.0</v>
      </c>
      <c r="AJ164" s="21">
        <v>2.0</v>
      </c>
      <c r="AR164" s="21">
        <v>1.0</v>
      </c>
      <c r="AW164" s="21">
        <v>5.0</v>
      </c>
      <c r="AX164" s="21">
        <v>22.0</v>
      </c>
      <c r="AZ164" s="21">
        <v>19.0</v>
      </c>
      <c r="BA164" s="21">
        <v>2.0</v>
      </c>
      <c r="BB164" s="21">
        <v>1.0</v>
      </c>
      <c r="BF164" s="21">
        <v>200.0</v>
      </c>
      <c r="BI164">
        <f t="shared" si="9"/>
        <v>522</v>
      </c>
      <c r="BJ164" s="21" t="s">
        <v>2047</v>
      </c>
    </row>
    <row r="165" ht="36.75" customHeight="1">
      <c r="A165" s="21" t="s">
        <v>2048</v>
      </c>
      <c r="B165" s="21" t="s">
        <v>2049</v>
      </c>
      <c r="C165" s="21" t="s">
        <v>2050</v>
      </c>
      <c r="D165" s="21" t="s">
        <v>2051</v>
      </c>
      <c r="E165" s="21" t="s">
        <v>113</v>
      </c>
      <c r="F165" s="21" t="s">
        <v>739</v>
      </c>
      <c r="G165" s="21" t="s">
        <v>740</v>
      </c>
      <c r="H165" s="21" t="s">
        <v>2052</v>
      </c>
      <c r="I165" s="22" t="s">
        <v>743</v>
      </c>
      <c r="J165" s="21" t="s">
        <v>2053</v>
      </c>
      <c r="K165" s="21" t="s">
        <v>2054</v>
      </c>
      <c r="Z165" s="21">
        <v>10.0</v>
      </c>
      <c r="AA165" s="21">
        <v>56.0</v>
      </c>
      <c r="AB165" s="21">
        <v>17.0</v>
      </c>
      <c r="AI165" s="21">
        <v>10.0</v>
      </c>
      <c r="AM165" s="21"/>
      <c r="AO165" s="21">
        <v>1.0</v>
      </c>
      <c r="AR165" s="21">
        <v>4.0</v>
      </c>
      <c r="AS165" s="21">
        <v>3.0</v>
      </c>
      <c r="AW165" s="21">
        <v>1.0</v>
      </c>
      <c r="AX165" s="21">
        <v>121.0</v>
      </c>
      <c r="AZ165" s="21">
        <v>82.0</v>
      </c>
      <c r="BA165" s="21">
        <v>16.0</v>
      </c>
      <c r="BI165">
        <f t="shared" si="9"/>
        <v>321</v>
      </c>
      <c r="BJ165" s="21" t="s">
        <v>2057</v>
      </c>
    </row>
    <row r="166" ht="36.75" customHeight="1">
      <c r="A166" s="20">
        <v>42402.0</v>
      </c>
      <c r="B166" s="21" t="s">
        <v>106</v>
      </c>
      <c r="C166" s="21" t="s">
        <v>109</v>
      </c>
      <c r="D166" s="21" t="s">
        <v>2060</v>
      </c>
      <c r="E166" s="21" t="s">
        <v>113</v>
      </c>
      <c r="F166" s="21">
        <v>27.381403</v>
      </c>
      <c r="G166" s="21">
        <v>-82.44271</v>
      </c>
      <c r="H166" s="21">
        <v>27.380636</v>
      </c>
      <c r="I166" s="22">
        <v>-82.442282</v>
      </c>
      <c r="J166" s="21" t="s">
        <v>300</v>
      </c>
      <c r="K166" s="21" t="s">
        <v>301</v>
      </c>
      <c r="L166" s="21">
        <v>2.0</v>
      </c>
      <c r="N166" s="21">
        <v>34.0</v>
      </c>
      <c r="O166" s="21">
        <v>50.0</v>
      </c>
      <c r="R166" s="21">
        <v>12.0</v>
      </c>
      <c r="V166" s="21">
        <v>9.0</v>
      </c>
      <c r="W166" s="21">
        <v>2.0</v>
      </c>
      <c r="X166" s="21"/>
      <c r="Z166" s="21">
        <v>3.0</v>
      </c>
      <c r="AA166" s="21">
        <v>1.0</v>
      </c>
      <c r="AB166" s="21">
        <v>17.0</v>
      </c>
      <c r="AD166" s="21">
        <v>19.0</v>
      </c>
      <c r="AG166" s="21">
        <v>11.0</v>
      </c>
      <c r="AI166" s="21">
        <v>33.0</v>
      </c>
      <c r="AJ166" s="21">
        <v>10.0</v>
      </c>
      <c r="AL166" s="21">
        <v>153.0</v>
      </c>
      <c r="AO166" s="21">
        <v>11.0</v>
      </c>
      <c r="AR166" s="21">
        <v>2.0</v>
      </c>
      <c r="AS166" s="21">
        <v>14.0</v>
      </c>
      <c r="AW166" s="21">
        <v>5.0</v>
      </c>
      <c r="AX166" s="21">
        <v>39.0</v>
      </c>
      <c r="AZ166" s="21">
        <v>27.0</v>
      </c>
      <c r="BA166" s="21">
        <v>81.0</v>
      </c>
      <c r="BB166" s="21">
        <v>7.0</v>
      </c>
      <c r="BI166">
        <f t="shared" si="9"/>
        <v>542</v>
      </c>
    </row>
    <row r="167" ht="36.75" customHeight="1">
      <c r="A167" s="20">
        <v>42402.0</v>
      </c>
      <c r="B167" s="21" t="s">
        <v>106</v>
      </c>
      <c r="C167" s="21" t="s">
        <v>109</v>
      </c>
      <c r="D167" s="21" t="s">
        <v>2061</v>
      </c>
      <c r="E167" s="21" t="s">
        <v>113</v>
      </c>
      <c r="F167" s="21">
        <v>27.38429</v>
      </c>
      <c r="G167" s="21">
        <v>-82.443058</v>
      </c>
      <c r="H167" s="21">
        <v>27.38429</v>
      </c>
      <c r="I167" s="22">
        <v>82.44309</v>
      </c>
      <c r="J167" s="21" t="s">
        <v>349</v>
      </c>
      <c r="K167" s="21" t="s">
        <v>33</v>
      </c>
      <c r="N167" s="21">
        <v>3.0</v>
      </c>
      <c r="O167" s="21">
        <v>6.0</v>
      </c>
      <c r="R167" s="21">
        <v>5.0</v>
      </c>
      <c r="V167" s="21">
        <v>52.0</v>
      </c>
      <c r="W167" s="21">
        <v>1.0</v>
      </c>
      <c r="X167" s="21"/>
      <c r="Z167" s="21">
        <v>2.0</v>
      </c>
      <c r="AA167" s="21">
        <v>4.0</v>
      </c>
      <c r="AG167" s="21">
        <v>9.0</v>
      </c>
      <c r="AI167" s="21">
        <v>95.0</v>
      </c>
      <c r="AS167" s="21">
        <v>3.0</v>
      </c>
      <c r="AX167" s="21">
        <v>41.0</v>
      </c>
      <c r="AZ167" s="21">
        <v>6.0</v>
      </c>
      <c r="BA167" s="21">
        <v>4.0</v>
      </c>
      <c r="BI167">
        <f t="shared" si="9"/>
        <v>231</v>
      </c>
    </row>
    <row r="168" ht="36.75" customHeight="1">
      <c r="A168" s="20">
        <v>42041.0</v>
      </c>
      <c r="B168" s="21" t="s">
        <v>661</v>
      </c>
      <c r="C168" s="21" t="s">
        <v>2066</v>
      </c>
      <c r="D168" s="21" t="s">
        <v>663</v>
      </c>
      <c r="E168" s="21" t="s">
        <v>113</v>
      </c>
      <c r="F168" s="21">
        <v>27.7018</v>
      </c>
      <c r="G168" s="21">
        <v>-82.6627</v>
      </c>
      <c r="H168" s="21">
        <v>27.6999</v>
      </c>
      <c r="I168" s="22">
        <v>-82.6518</v>
      </c>
      <c r="J168" s="21" t="s">
        <v>2070</v>
      </c>
      <c r="K168" s="21" t="s">
        <v>666</v>
      </c>
      <c r="N168" s="21">
        <v>2.0</v>
      </c>
      <c r="O168" s="21">
        <v>1.0</v>
      </c>
      <c r="R168" s="21">
        <v>95.0</v>
      </c>
      <c r="V168" s="21">
        <v>29.0</v>
      </c>
      <c r="Y168" s="21">
        <v>1.0</v>
      </c>
      <c r="Z168" s="21">
        <v>5.0</v>
      </c>
      <c r="AB168" s="21">
        <v>20.0</v>
      </c>
      <c r="AD168" s="21">
        <v>32.0</v>
      </c>
      <c r="AI168" s="21">
        <v>130.0</v>
      </c>
      <c r="AO168" s="21">
        <v>1.0</v>
      </c>
      <c r="AX168" s="21">
        <v>17.0</v>
      </c>
      <c r="BA168" s="21">
        <v>2.0</v>
      </c>
      <c r="BI168">
        <f t="shared" si="9"/>
        <v>335</v>
      </c>
    </row>
    <row r="169" ht="36.75" customHeight="1">
      <c r="A169" s="20">
        <v>42406.0</v>
      </c>
      <c r="B169" s="21" t="s">
        <v>661</v>
      </c>
      <c r="C169" s="21" t="s">
        <v>2072</v>
      </c>
      <c r="D169" s="21" t="s">
        <v>2073</v>
      </c>
      <c r="E169" s="21" t="s">
        <v>113</v>
      </c>
      <c r="F169" s="21">
        <v>27.768</v>
      </c>
      <c r="G169" s="21">
        <v>-82.7716</v>
      </c>
      <c r="H169" s="21">
        <v>27.7804</v>
      </c>
      <c r="I169" s="22">
        <v>-82.7835</v>
      </c>
      <c r="J169" s="21" t="s">
        <v>2074</v>
      </c>
      <c r="K169" s="21" t="s">
        <v>2075</v>
      </c>
      <c r="AI169" s="21">
        <v>1.0</v>
      </c>
      <c r="AM169" s="21">
        <v>35.0</v>
      </c>
      <c r="AS169" s="21">
        <v>2.0</v>
      </c>
      <c r="AW169" s="21">
        <v>6.0</v>
      </c>
      <c r="AX169" s="21">
        <v>89.0</v>
      </c>
      <c r="AY169" s="21">
        <v>1.0</v>
      </c>
      <c r="AZ169" s="21">
        <v>33.0</v>
      </c>
      <c r="BA169" s="21">
        <v>24.0</v>
      </c>
      <c r="BI169">
        <f t="shared" si="9"/>
        <v>191</v>
      </c>
      <c r="BJ169" s="21" t="s">
        <v>2076</v>
      </c>
    </row>
    <row r="170" ht="36.75" customHeight="1">
      <c r="A170" s="20">
        <v>42408.0</v>
      </c>
      <c r="B170" s="21" t="s">
        <v>1913</v>
      </c>
      <c r="C170" s="21" t="s">
        <v>1914</v>
      </c>
      <c r="D170" s="21" t="s">
        <v>1915</v>
      </c>
      <c r="E170" s="21" t="s">
        <v>113</v>
      </c>
      <c r="F170" s="21">
        <v>27.78197</v>
      </c>
      <c r="G170" s="21">
        <v>-82.62519</v>
      </c>
      <c r="H170" s="21">
        <v>27.78483</v>
      </c>
      <c r="I170" s="22">
        <v>-82.62434</v>
      </c>
      <c r="J170" s="21" t="s">
        <v>1918</v>
      </c>
      <c r="K170" s="21" t="s">
        <v>1919</v>
      </c>
      <c r="L170" s="21">
        <v>0.0</v>
      </c>
      <c r="M170" s="21">
        <v>0.0</v>
      </c>
      <c r="N170" s="21">
        <v>12.0</v>
      </c>
      <c r="O170" s="21">
        <v>0.0</v>
      </c>
      <c r="P170" s="21">
        <v>0.0</v>
      </c>
      <c r="Q170" s="21">
        <v>0.0</v>
      </c>
      <c r="R170" s="21">
        <v>0.0</v>
      </c>
      <c r="S170" s="21">
        <v>0.0</v>
      </c>
      <c r="T170" s="21">
        <v>0.0</v>
      </c>
      <c r="U170" s="21">
        <v>0.0</v>
      </c>
      <c r="V170" s="21">
        <v>9.0</v>
      </c>
      <c r="W170" s="21">
        <v>0.0</v>
      </c>
      <c r="X170" s="21"/>
      <c r="Y170" s="21">
        <v>0.0</v>
      </c>
      <c r="Z170" s="21">
        <v>1.0</v>
      </c>
      <c r="AA170" s="21">
        <v>0.0</v>
      </c>
      <c r="AB170" s="21">
        <v>0.0</v>
      </c>
      <c r="AC170" s="21">
        <v>0.0</v>
      </c>
      <c r="AD170" s="21">
        <v>1.0</v>
      </c>
      <c r="AE170" s="21">
        <v>0.0</v>
      </c>
      <c r="AF170" s="21">
        <v>0.0</v>
      </c>
      <c r="AG170" s="21">
        <v>0.0</v>
      </c>
      <c r="AH170" s="21">
        <v>0.0</v>
      </c>
      <c r="AI170" s="21">
        <v>3.0</v>
      </c>
      <c r="AJ170" s="21">
        <v>0.0</v>
      </c>
      <c r="AK170" s="21">
        <v>0.0</v>
      </c>
      <c r="AL170" s="21">
        <v>100.0</v>
      </c>
      <c r="AM170" s="21">
        <v>20.0</v>
      </c>
      <c r="AN170" s="21">
        <v>0.0</v>
      </c>
      <c r="AO170" s="21">
        <v>12.0</v>
      </c>
      <c r="AP170" s="21">
        <v>0.0</v>
      </c>
      <c r="AQ170" s="21">
        <v>0.0</v>
      </c>
      <c r="AR170" s="21">
        <v>0.0</v>
      </c>
      <c r="AS170" s="21">
        <v>6.0</v>
      </c>
      <c r="AT170" s="21">
        <v>0.0</v>
      </c>
      <c r="AU170" s="21">
        <v>0.0</v>
      </c>
      <c r="AV170" s="21">
        <v>0.0</v>
      </c>
      <c r="AW170" s="21">
        <v>0.0</v>
      </c>
      <c r="AX170" s="21">
        <v>67.0</v>
      </c>
      <c r="AY170" s="21">
        <v>0.0</v>
      </c>
      <c r="AZ170" s="21">
        <v>15.0</v>
      </c>
      <c r="BA170" s="21">
        <v>5.0</v>
      </c>
      <c r="BB170" s="21">
        <v>0.0</v>
      </c>
      <c r="BC170" s="21">
        <v>0.0</v>
      </c>
      <c r="BD170" s="21">
        <v>0.0</v>
      </c>
      <c r="BE170" s="21">
        <v>0.0</v>
      </c>
      <c r="BF170" s="21">
        <v>0.0</v>
      </c>
      <c r="BG170" s="21">
        <v>0.0</v>
      </c>
      <c r="BH170" s="21">
        <v>0.0</v>
      </c>
      <c r="BI170">
        <f t="shared" si="9"/>
        <v>251</v>
      </c>
    </row>
    <row r="171" ht="36.75" customHeight="1">
      <c r="A171" s="20">
        <v>42408.0</v>
      </c>
      <c r="B171" s="21" t="s">
        <v>1913</v>
      </c>
      <c r="C171" s="21" t="s">
        <v>1914</v>
      </c>
      <c r="D171" s="21" t="s">
        <v>2078</v>
      </c>
      <c r="E171" s="21" t="s">
        <v>113</v>
      </c>
      <c r="F171" s="21">
        <v>27.74883</v>
      </c>
      <c r="G171" s="21">
        <v>-82.6294</v>
      </c>
      <c r="H171" s="21">
        <v>27.75499</v>
      </c>
      <c r="I171" s="22">
        <v>-82.63033</v>
      </c>
      <c r="J171" s="21" t="s">
        <v>2079</v>
      </c>
      <c r="K171" s="21" t="s">
        <v>2080</v>
      </c>
      <c r="L171" s="21" t="s">
        <v>2081</v>
      </c>
      <c r="M171" s="21" t="s">
        <v>2081</v>
      </c>
      <c r="N171" s="21">
        <v>42.0</v>
      </c>
      <c r="O171" s="21">
        <v>110.0</v>
      </c>
      <c r="P171" s="21">
        <v>0.0</v>
      </c>
      <c r="Q171" s="21">
        <v>0.0</v>
      </c>
      <c r="R171" s="21">
        <v>0.0</v>
      </c>
      <c r="S171" s="21">
        <v>0.0</v>
      </c>
      <c r="T171" s="21">
        <v>0.0</v>
      </c>
      <c r="U171" s="21">
        <v>0.0</v>
      </c>
      <c r="V171" s="21">
        <v>5.0</v>
      </c>
      <c r="W171" s="21">
        <v>0.0</v>
      </c>
      <c r="X171" s="21"/>
      <c r="Y171" s="21">
        <v>0.0</v>
      </c>
      <c r="Z171" s="21">
        <v>13.0</v>
      </c>
      <c r="AA171" s="21">
        <v>37.0</v>
      </c>
      <c r="AB171" s="21">
        <v>51.0</v>
      </c>
      <c r="AC171" s="21">
        <v>0.0</v>
      </c>
      <c r="AD171" s="21">
        <v>40.0</v>
      </c>
      <c r="AE171" s="21">
        <v>0.0</v>
      </c>
      <c r="AF171" s="21">
        <v>0.0</v>
      </c>
      <c r="AG171" s="21">
        <v>80.0</v>
      </c>
      <c r="AH171" s="21">
        <v>0.0</v>
      </c>
      <c r="AI171" s="21">
        <v>36.0</v>
      </c>
      <c r="AJ171" s="21">
        <v>0.0</v>
      </c>
      <c r="AK171" s="21">
        <v>0.0</v>
      </c>
      <c r="AL171" s="21">
        <v>35.0</v>
      </c>
      <c r="AM171" s="21">
        <v>0.0</v>
      </c>
      <c r="AN171" s="21">
        <v>0.0</v>
      </c>
      <c r="AO171" s="21">
        <v>0.0</v>
      </c>
      <c r="AP171" s="21">
        <v>0.0</v>
      </c>
      <c r="AQ171" s="21">
        <v>0.0</v>
      </c>
      <c r="AR171" s="21">
        <v>0.0</v>
      </c>
      <c r="AS171" s="21">
        <v>0.0</v>
      </c>
      <c r="AT171" s="21">
        <v>0.0</v>
      </c>
      <c r="AU171" s="21">
        <v>0.0</v>
      </c>
      <c r="AV171" s="21">
        <v>0.0</v>
      </c>
      <c r="AW171" s="21">
        <v>0.0</v>
      </c>
      <c r="AX171" s="21">
        <v>30.0</v>
      </c>
      <c r="AY171" s="21">
        <v>0.0</v>
      </c>
      <c r="AZ171" s="21">
        <v>0.0</v>
      </c>
      <c r="BA171" s="21">
        <v>3.0</v>
      </c>
      <c r="BB171" s="21">
        <v>5.0</v>
      </c>
      <c r="BC171" s="21">
        <v>0.0</v>
      </c>
      <c r="BD171" s="21">
        <v>0.0</v>
      </c>
      <c r="BE171" s="21">
        <v>0.0</v>
      </c>
      <c r="BF171" s="21">
        <v>0.0</v>
      </c>
      <c r="BG171" s="21">
        <v>0.0</v>
      </c>
      <c r="BH171" s="21">
        <v>0.0</v>
      </c>
      <c r="BI171">
        <f t="shared" si="9"/>
        <v>487</v>
      </c>
    </row>
    <row r="172" ht="36.75" customHeight="1">
      <c r="A172" s="20">
        <v>42411.0</v>
      </c>
      <c r="B172" s="21" t="s">
        <v>1268</v>
      </c>
      <c r="C172" s="21" t="s">
        <v>1269</v>
      </c>
      <c r="D172" s="21" t="s">
        <v>1270</v>
      </c>
      <c r="E172" s="21" t="s">
        <v>113</v>
      </c>
      <c r="F172" s="21" t="s">
        <v>1272</v>
      </c>
      <c r="G172" s="21" t="s">
        <v>1273</v>
      </c>
      <c r="H172" s="21" t="s">
        <v>1275</v>
      </c>
      <c r="I172" s="22" t="s">
        <v>1276</v>
      </c>
      <c r="J172" s="21" t="s">
        <v>1277</v>
      </c>
      <c r="K172" s="21" t="s">
        <v>2083</v>
      </c>
      <c r="L172" s="21">
        <v>0.0</v>
      </c>
      <c r="M172" s="21">
        <v>0.0</v>
      </c>
      <c r="N172" s="21">
        <v>0.0</v>
      </c>
      <c r="O172" s="21">
        <v>0.0</v>
      </c>
      <c r="P172" s="21">
        <v>0.0</v>
      </c>
      <c r="Q172" s="21">
        <v>0.0</v>
      </c>
      <c r="R172" s="21">
        <v>0.0</v>
      </c>
      <c r="S172" s="21">
        <v>0.0</v>
      </c>
      <c r="T172" s="21">
        <v>0.0</v>
      </c>
      <c r="U172" s="21">
        <v>0.0</v>
      </c>
      <c r="V172" s="21">
        <v>0.0</v>
      </c>
      <c r="W172" s="21">
        <v>0.0</v>
      </c>
      <c r="X172" s="21"/>
      <c r="Y172" s="21">
        <v>0.0</v>
      </c>
      <c r="Z172" s="21">
        <v>0.0</v>
      </c>
      <c r="AA172" s="21">
        <v>15.0</v>
      </c>
      <c r="AB172" s="21">
        <v>0.0</v>
      </c>
      <c r="AC172" s="21">
        <v>0.0</v>
      </c>
      <c r="AD172" s="21">
        <v>0.0</v>
      </c>
      <c r="AE172" s="21">
        <v>0.0</v>
      </c>
      <c r="AF172" s="21">
        <v>0.0</v>
      </c>
      <c r="AG172" s="21">
        <v>0.0</v>
      </c>
      <c r="AH172" s="21">
        <v>0.0</v>
      </c>
      <c r="AI172" s="21">
        <v>0.0</v>
      </c>
      <c r="AJ172" s="21">
        <v>0.0</v>
      </c>
      <c r="AK172" s="21">
        <v>0.0</v>
      </c>
      <c r="AL172" s="21">
        <v>0.0</v>
      </c>
      <c r="AM172" s="21">
        <v>0.0</v>
      </c>
      <c r="AN172" s="21">
        <v>0.0</v>
      </c>
      <c r="AO172" s="21">
        <v>0.0</v>
      </c>
      <c r="AP172" s="21">
        <v>0.0</v>
      </c>
      <c r="AQ172" s="21">
        <v>0.0</v>
      </c>
      <c r="AR172" s="21">
        <v>0.0</v>
      </c>
      <c r="AS172" s="21">
        <v>0.0</v>
      </c>
      <c r="AT172" s="21">
        <v>0.0</v>
      </c>
      <c r="AU172" s="21">
        <v>0.0</v>
      </c>
      <c r="AV172" s="21">
        <v>0.0</v>
      </c>
      <c r="AW172" s="21">
        <v>1.0</v>
      </c>
      <c r="AX172" s="21">
        <v>83.0</v>
      </c>
      <c r="AY172" s="21">
        <v>1.0</v>
      </c>
      <c r="AZ172" s="21">
        <v>28.0</v>
      </c>
      <c r="BA172" s="21">
        <v>0.0</v>
      </c>
      <c r="BB172" s="21">
        <v>0.0</v>
      </c>
      <c r="BC172" s="21">
        <v>0.0</v>
      </c>
      <c r="BD172" s="21">
        <v>0.0</v>
      </c>
      <c r="BE172" s="21">
        <v>0.0</v>
      </c>
      <c r="BF172" s="21">
        <v>0.0</v>
      </c>
      <c r="BG172" s="21">
        <v>0.0</v>
      </c>
      <c r="BH172" s="21">
        <v>0.0</v>
      </c>
      <c r="BI172">
        <f t="shared" si="9"/>
        <v>128</v>
      </c>
      <c r="BJ172" s="21" t="s">
        <v>2084</v>
      </c>
    </row>
    <row r="173" ht="36.75" customHeight="1">
      <c r="A173" s="30">
        <v>42406.0</v>
      </c>
      <c r="B173" s="21" t="s">
        <v>749</v>
      </c>
      <c r="C173" s="25" t="s">
        <v>750</v>
      </c>
      <c r="D173" s="25" t="s">
        <v>752</v>
      </c>
      <c r="E173" s="21" t="s">
        <v>113</v>
      </c>
      <c r="F173" s="22">
        <v>27.68272</v>
      </c>
      <c r="G173" s="41">
        <v>-82.7384</v>
      </c>
      <c r="H173" s="41">
        <v>27.70837</v>
      </c>
      <c r="I173" s="22">
        <v>-82.73859</v>
      </c>
      <c r="J173" s="21" t="s">
        <v>753</v>
      </c>
      <c r="K173" s="21" t="s">
        <v>754</v>
      </c>
      <c r="AW173" s="21">
        <v>2.0</v>
      </c>
      <c r="AZ173" s="21">
        <v>13.0</v>
      </c>
      <c r="BI173">
        <f t="shared" si="9"/>
        <v>15</v>
      </c>
    </row>
    <row r="174" ht="36.75" customHeight="1">
      <c r="A174" s="20">
        <v>42410.0</v>
      </c>
      <c r="B174" s="21" t="s">
        <v>1284</v>
      </c>
      <c r="C174" s="21" t="s">
        <v>1285</v>
      </c>
      <c r="D174" s="21" t="s">
        <v>2087</v>
      </c>
      <c r="E174" s="21" t="s">
        <v>113</v>
      </c>
      <c r="F174" s="21" t="s">
        <v>2088</v>
      </c>
      <c r="G174" s="21" t="s">
        <v>2089</v>
      </c>
      <c r="H174" s="21" t="s">
        <v>2090</v>
      </c>
      <c r="I174" s="22" t="s">
        <v>2091</v>
      </c>
      <c r="J174" s="21" t="s">
        <v>1295</v>
      </c>
      <c r="K174" s="21" t="s">
        <v>2092</v>
      </c>
      <c r="L174" s="21">
        <v>1.0</v>
      </c>
      <c r="M174" s="21">
        <v>0.0</v>
      </c>
      <c r="N174" s="21">
        <v>2.0</v>
      </c>
      <c r="O174" s="21">
        <v>0.0</v>
      </c>
      <c r="P174" s="21">
        <v>0.0</v>
      </c>
      <c r="Q174" s="21">
        <v>0.0</v>
      </c>
      <c r="R174" s="21">
        <v>0.0</v>
      </c>
      <c r="S174" s="21">
        <v>0.0</v>
      </c>
      <c r="T174" s="21">
        <v>0.0</v>
      </c>
      <c r="U174" s="21">
        <v>0.0</v>
      </c>
      <c r="V174" s="21">
        <v>0.0</v>
      </c>
      <c r="W174" s="21">
        <v>0.0</v>
      </c>
      <c r="X174" s="21"/>
      <c r="Y174" s="21">
        <v>0.0</v>
      </c>
      <c r="Z174" s="21">
        <v>2.0</v>
      </c>
      <c r="AA174" s="21">
        <v>4.0</v>
      </c>
      <c r="AB174" s="21">
        <v>0.0</v>
      </c>
      <c r="AC174" s="21">
        <v>0.0</v>
      </c>
      <c r="AD174" s="21">
        <v>0.0</v>
      </c>
      <c r="AE174" s="21">
        <v>0.0</v>
      </c>
      <c r="AF174" s="21">
        <v>0.0</v>
      </c>
      <c r="AG174" s="21">
        <v>2.0</v>
      </c>
      <c r="AH174" s="21">
        <v>0.0</v>
      </c>
      <c r="AI174" s="21">
        <v>3.0</v>
      </c>
      <c r="AJ174" s="21">
        <v>0.0</v>
      </c>
      <c r="AK174" s="21">
        <v>0.0</v>
      </c>
      <c r="AL174" s="21">
        <v>16.0</v>
      </c>
      <c r="AM174" s="21">
        <v>6.0</v>
      </c>
      <c r="AN174" s="21">
        <v>0.0</v>
      </c>
      <c r="AO174" s="21">
        <v>7.0</v>
      </c>
      <c r="AP174" s="21">
        <v>0.0</v>
      </c>
      <c r="AQ174" s="21">
        <v>0.0</v>
      </c>
      <c r="AR174" s="21">
        <v>3.0</v>
      </c>
      <c r="AS174" s="21">
        <v>2.0</v>
      </c>
      <c r="AT174" s="21">
        <v>0.0</v>
      </c>
      <c r="AU174" s="21">
        <v>0.0</v>
      </c>
      <c r="AV174" s="21">
        <v>1.0</v>
      </c>
      <c r="AW174" s="21">
        <v>1.0</v>
      </c>
      <c r="AX174" s="21">
        <v>21.0</v>
      </c>
      <c r="AY174" s="21">
        <v>0.0</v>
      </c>
      <c r="AZ174" s="21">
        <v>11.0</v>
      </c>
      <c r="BA174" s="21">
        <v>7.0</v>
      </c>
      <c r="BB174" s="21">
        <v>0.0</v>
      </c>
      <c r="BC174" s="21">
        <v>0.0</v>
      </c>
      <c r="BD174" s="21">
        <v>0.0</v>
      </c>
      <c r="BE174" s="21">
        <v>0.0</v>
      </c>
      <c r="BF174" s="21">
        <v>0.0</v>
      </c>
      <c r="BG174" s="21">
        <v>0.0</v>
      </c>
      <c r="BH174" s="21">
        <v>0.0</v>
      </c>
      <c r="BI174">
        <f t="shared" si="9"/>
        <v>89</v>
      </c>
      <c r="BJ174" s="21" t="s">
        <v>2097</v>
      </c>
    </row>
    <row r="175" ht="36.75" customHeight="1">
      <c r="A175" s="20">
        <v>42402.0</v>
      </c>
      <c r="B175" s="21" t="s">
        <v>106</v>
      </c>
      <c r="C175" s="21" t="s">
        <v>109</v>
      </c>
      <c r="D175" s="21" t="s">
        <v>111</v>
      </c>
      <c r="E175" s="21" t="s">
        <v>2098</v>
      </c>
      <c r="F175" s="21">
        <v>27.384544</v>
      </c>
      <c r="G175" s="21">
        <v>-82.445385</v>
      </c>
      <c r="H175" s="21">
        <v>27.390427</v>
      </c>
      <c r="I175" s="22">
        <v>-82.445852</v>
      </c>
      <c r="J175" s="21" t="s">
        <v>362</v>
      </c>
      <c r="K175" s="21" t="s">
        <v>33</v>
      </c>
      <c r="N175" s="21">
        <v>59.0</v>
      </c>
      <c r="O175" s="21">
        <v>72.0</v>
      </c>
      <c r="R175" s="21">
        <v>19.0</v>
      </c>
      <c r="V175" s="21">
        <v>42.0</v>
      </c>
      <c r="W175" s="21">
        <v>22.0</v>
      </c>
      <c r="X175" s="21"/>
      <c r="Z175" s="21">
        <v>14.0</v>
      </c>
      <c r="AA175" s="21">
        <v>130.0</v>
      </c>
      <c r="AB175" s="21">
        <v>15.0</v>
      </c>
      <c r="AD175" s="21">
        <v>17.0</v>
      </c>
      <c r="AG175" s="21">
        <v>39.0</v>
      </c>
      <c r="AI175" s="21">
        <v>37.0</v>
      </c>
      <c r="AJ175" s="21">
        <v>5.0</v>
      </c>
      <c r="AO175" s="21">
        <v>16.0</v>
      </c>
      <c r="AS175" s="21">
        <v>28.0</v>
      </c>
      <c r="AX175" s="21">
        <v>12.0</v>
      </c>
      <c r="AZ175" s="21">
        <v>37.0</v>
      </c>
      <c r="BA175" s="21">
        <v>38.0</v>
      </c>
      <c r="BB175" s="21">
        <v>13.0</v>
      </c>
      <c r="BI175">
        <f t="shared" si="9"/>
        <v>615</v>
      </c>
    </row>
    <row r="176" ht="36.75" customHeight="1">
      <c r="A176" s="20">
        <v>42405.0</v>
      </c>
      <c r="B176" s="21" t="s">
        <v>388</v>
      </c>
      <c r="C176" s="21" t="s">
        <v>2101</v>
      </c>
      <c r="D176" s="21" t="s">
        <v>2102</v>
      </c>
      <c r="E176" s="21" t="s">
        <v>2098</v>
      </c>
      <c r="F176" s="21">
        <v>27.63733</v>
      </c>
      <c r="G176" s="21">
        <v>82.69843</v>
      </c>
      <c r="H176" s="21">
        <v>27.61615</v>
      </c>
      <c r="I176" s="22">
        <v>82.72958</v>
      </c>
      <c r="J176" s="21" t="s">
        <v>391</v>
      </c>
      <c r="K176" s="21" t="s">
        <v>2103</v>
      </c>
      <c r="L176" s="21">
        <v>0.0</v>
      </c>
      <c r="M176" s="21">
        <v>0.0</v>
      </c>
      <c r="N176" s="21">
        <v>1.0</v>
      </c>
      <c r="O176" s="21">
        <v>0.0</v>
      </c>
      <c r="P176" s="21">
        <v>0.0</v>
      </c>
      <c r="Q176" s="21">
        <v>0.0</v>
      </c>
      <c r="R176" s="21">
        <v>0.0</v>
      </c>
      <c r="S176" s="21">
        <v>0.0</v>
      </c>
      <c r="T176" s="21">
        <v>0.0</v>
      </c>
      <c r="U176" s="21">
        <v>0.0</v>
      </c>
      <c r="V176" s="21">
        <v>0.0</v>
      </c>
      <c r="W176" s="21">
        <v>0.0</v>
      </c>
      <c r="X176" s="21"/>
      <c r="Y176" s="21">
        <v>0.0</v>
      </c>
      <c r="Z176" s="21">
        <v>0.0</v>
      </c>
      <c r="AA176" s="21">
        <v>0.0</v>
      </c>
      <c r="AB176" s="21">
        <v>151.0</v>
      </c>
      <c r="AC176" s="21">
        <v>0.0</v>
      </c>
      <c r="AD176" s="21">
        <v>40.0</v>
      </c>
      <c r="AE176" s="21">
        <v>0.0</v>
      </c>
      <c r="AF176" s="21">
        <v>0.0</v>
      </c>
      <c r="AG176" s="21">
        <v>0.0</v>
      </c>
      <c r="AH176" s="21">
        <v>0.0</v>
      </c>
      <c r="AI176" s="21">
        <v>0.0</v>
      </c>
      <c r="AJ176" s="21">
        <v>0.0</v>
      </c>
      <c r="AK176" s="21">
        <v>0.0</v>
      </c>
      <c r="AL176" s="21">
        <v>0.0</v>
      </c>
      <c r="AM176" s="21">
        <v>0.0</v>
      </c>
      <c r="AN176" s="21">
        <v>0.0</v>
      </c>
      <c r="AO176" s="21">
        <v>0.0</v>
      </c>
      <c r="AP176" s="21">
        <v>0.0</v>
      </c>
      <c r="AQ176" s="21">
        <v>0.0</v>
      </c>
      <c r="AR176" s="21">
        <v>0.0</v>
      </c>
      <c r="AS176" s="21">
        <v>0.0</v>
      </c>
      <c r="AT176" s="21">
        <v>0.0</v>
      </c>
      <c r="AU176" s="21">
        <v>0.0</v>
      </c>
      <c r="AV176" s="21">
        <v>0.0</v>
      </c>
      <c r="AW176" s="21">
        <v>1.0</v>
      </c>
      <c r="AX176" s="21">
        <v>30.0</v>
      </c>
      <c r="AY176" s="21">
        <v>0.0</v>
      </c>
      <c r="AZ176" s="21">
        <v>66.0</v>
      </c>
      <c r="BA176" s="21">
        <v>0.0</v>
      </c>
      <c r="BB176" s="21">
        <v>0.0</v>
      </c>
      <c r="BC176" s="21">
        <v>0.0</v>
      </c>
      <c r="BD176" s="21">
        <v>33.0</v>
      </c>
      <c r="BE176" s="21">
        <v>0.0</v>
      </c>
      <c r="BF176" s="21">
        <v>0.0</v>
      </c>
      <c r="BG176" s="21">
        <v>0.0</v>
      </c>
      <c r="BH176" s="21">
        <v>0.0</v>
      </c>
      <c r="BI176">
        <f t="shared" si="9"/>
        <v>322</v>
      </c>
    </row>
    <row r="177" ht="36.75" customHeight="1">
      <c r="A177" s="29">
        <v>42408.0</v>
      </c>
      <c r="B177" s="25" t="s">
        <v>264</v>
      </c>
      <c r="C177" s="25" t="s">
        <v>1340</v>
      </c>
      <c r="D177" s="25" t="s">
        <v>266</v>
      </c>
      <c r="E177" s="25" t="s">
        <v>267</v>
      </c>
      <c r="F177" s="25">
        <v>27.95525</v>
      </c>
      <c r="G177" s="25">
        <v>-82.72173</v>
      </c>
      <c r="H177" s="21">
        <v>27.96726</v>
      </c>
      <c r="I177" s="21">
        <v>-82.55214</v>
      </c>
      <c r="J177" s="21" t="s">
        <v>1345</v>
      </c>
      <c r="K177" s="21" t="s">
        <v>488</v>
      </c>
      <c r="L177" s="21">
        <v>55.0</v>
      </c>
      <c r="M177" s="21">
        <v>0.0</v>
      </c>
      <c r="N177" s="21">
        <v>107.0</v>
      </c>
      <c r="O177" s="21">
        <v>692.0</v>
      </c>
      <c r="P177" s="21">
        <v>0.0</v>
      </c>
      <c r="Q177" s="21">
        <v>12.0</v>
      </c>
      <c r="R177" s="21">
        <v>228.0</v>
      </c>
      <c r="S177" s="21">
        <v>0.0</v>
      </c>
      <c r="T177" s="21">
        <v>0.0</v>
      </c>
      <c r="U177" s="21">
        <v>0.0</v>
      </c>
      <c r="V177" s="21">
        <v>2.0</v>
      </c>
      <c r="W177" s="21">
        <v>0.0</v>
      </c>
      <c r="X177" s="21"/>
      <c r="Y177" s="21">
        <v>536.0</v>
      </c>
      <c r="Z177" s="21">
        <v>42.0</v>
      </c>
      <c r="AA177" s="21">
        <v>10.0</v>
      </c>
      <c r="AB177" s="21">
        <v>152.0</v>
      </c>
      <c r="AC177" s="21">
        <v>0.0</v>
      </c>
      <c r="AD177" s="21">
        <v>415.0</v>
      </c>
      <c r="AE177" s="21">
        <v>0.0</v>
      </c>
      <c r="AF177" s="21">
        <v>20.0</v>
      </c>
      <c r="AG177" s="21">
        <v>230.0</v>
      </c>
      <c r="AH177" s="21">
        <v>0.0</v>
      </c>
      <c r="AI177" s="21">
        <v>192.0</v>
      </c>
      <c r="AJ177" s="21">
        <v>0.0</v>
      </c>
      <c r="AK177" s="21">
        <v>0.0</v>
      </c>
      <c r="AL177" s="21">
        <v>265.0</v>
      </c>
      <c r="AM177" s="21">
        <v>12.0</v>
      </c>
      <c r="AN177" s="21">
        <v>0.0</v>
      </c>
      <c r="AO177" s="21">
        <v>30.0</v>
      </c>
      <c r="AP177" s="21">
        <v>0.0</v>
      </c>
      <c r="AQ177" s="21">
        <v>0.0</v>
      </c>
      <c r="AR177" s="21">
        <v>5.0</v>
      </c>
      <c r="AS177" s="21">
        <v>40.0</v>
      </c>
      <c r="AT177" s="21">
        <v>0.0</v>
      </c>
      <c r="AU177" s="21">
        <v>0.0</v>
      </c>
      <c r="AV177" s="21">
        <v>0.0</v>
      </c>
      <c r="AW177" s="21">
        <v>0.0</v>
      </c>
      <c r="AX177" s="21">
        <v>362.0</v>
      </c>
      <c r="AY177" s="21">
        <v>1.0</v>
      </c>
      <c r="AZ177" s="21">
        <v>75.0</v>
      </c>
      <c r="BA177" s="21">
        <v>47.0</v>
      </c>
      <c r="BB177" s="21">
        <v>0.0</v>
      </c>
      <c r="BC177" s="21">
        <v>0.0</v>
      </c>
      <c r="BD177" s="21">
        <v>0.0</v>
      </c>
      <c r="BE177" s="21">
        <v>0.0</v>
      </c>
      <c r="BF177" s="21">
        <v>0.0</v>
      </c>
      <c r="BG177" s="21">
        <v>0.0</v>
      </c>
      <c r="BH177" s="21">
        <v>0.0</v>
      </c>
      <c r="BI177">
        <f t="shared" si="9"/>
        <v>3530</v>
      </c>
      <c r="BJ177" s="21" t="s">
        <v>2108</v>
      </c>
    </row>
    <row r="178" ht="36.75" customHeight="1">
      <c r="A178" s="29">
        <v>42410.0</v>
      </c>
      <c r="B178" s="25" t="s">
        <v>189</v>
      </c>
      <c r="C178" s="25" t="s">
        <v>191</v>
      </c>
      <c r="D178" s="25" t="s">
        <v>2109</v>
      </c>
      <c r="E178" s="25" t="s">
        <v>2110</v>
      </c>
      <c r="F178" s="25">
        <v>30.50436</v>
      </c>
      <c r="G178" s="25">
        <v>-87.0194</v>
      </c>
      <c r="H178" s="21">
        <v>30.53316</v>
      </c>
      <c r="I178" s="21">
        <v>-87.00282</v>
      </c>
      <c r="J178" s="21" t="s">
        <v>2111</v>
      </c>
      <c r="K178" s="21" t="s">
        <v>2113</v>
      </c>
      <c r="N178" s="21">
        <v>1.0</v>
      </c>
      <c r="Q178" s="21"/>
      <c r="AA178" s="21">
        <v>2.0</v>
      </c>
      <c r="AM178" s="21">
        <v>11.0</v>
      </c>
      <c r="AO178" s="21">
        <v>6.0</v>
      </c>
      <c r="AR178" s="21">
        <v>11.0</v>
      </c>
      <c r="AS178" s="21">
        <v>4.0</v>
      </c>
      <c r="AW178" s="21">
        <v>27.0</v>
      </c>
      <c r="AZ178" s="21">
        <v>203.0</v>
      </c>
      <c r="BA178" s="21">
        <v>3.0</v>
      </c>
      <c r="BI178">
        <f t="shared" si="9"/>
        <v>268</v>
      </c>
      <c r="BJ178" s="21" t="s">
        <v>2114</v>
      </c>
    </row>
    <row r="179" ht="36.75" customHeight="1">
      <c r="A179" s="20">
        <v>42407.0</v>
      </c>
      <c r="B179" s="21" t="s">
        <v>2115</v>
      </c>
      <c r="C179" s="21" t="s">
        <v>236</v>
      </c>
      <c r="D179" s="21" t="s">
        <v>2116</v>
      </c>
      <c r="E179" s="21" t="s">
        <v>428</v>
      </c>
      <c r="F179" s="21">
        <v>27.010935</v>
      </c>
      <c r="G179" s="21">
        <v>-82.413074</v>
      </c>
      <c r="H179" s="21">
        <v>27.001186</v>
      </c>
      <c r="I179" s="22">
        <v>-82.407864</v>
      </c>
      <c r="J179" s="21" t="s">
        <v>2117</v>
      </c>
      <c r="K179" s="21" t="s">
        <v>2118</v>
      </c>
      <c r="L179" s="21">
        <v>0.0</v>
      </c>
      <c r="W179" s="21">
        <v>0.0</v>
      </c>
      <c r="X179" s="21"/>
      <c r="Y179" s="21">
        <v>0.0</v>
      </c>
      <c r="AE179" s="21">
        <v>0.0</v>
      </c>
      <c r="AJ179" s="21">
        <v>0.0</v>
      </c>
      <c r="BI179">
        <f t="shared" si="9"/>
        <v>0</v>
      </c>
    </row>
    <row r="180" ht="36.75" customHeight="1">
      <c r="A180" s="29">
        <v>42408.0</v>
      </c>
      <c r="B180" s="25" t="s">
        <v>235</v>
      </c>
      <c r="C180" s="21" t="s">
        <v>236</v>
      </c>
      <c r="D180" s="21" t="s">
        <v>2121</v>
      </c>
      <c r="E180" s="25" t="s">
        <v>428</v>
      </c>
      <c r="F180" s="21" t="s">
        <v>962</v>
      </c>
      <c r="G180" s="21" t="s">
        <v>963</v>
      </c>
      <c r="H180" s="21" t="s">
        <v>964</v>
      </c>
      <c r="I180" s="21" t="s">
        <v>965</v>
      </c>
      <c r="J180" s="21" t="s">
        <v>2122</v>
      </c>
      <c r="K180" s="21" t="s">
        <v>2123</v>
      </c>
      <c r="L180" s="21">
        <v>0.0</v>
      </c>
      <c r="M180" s="21">
        <v>0.0</v>
      </c>
      <c r="N180" s="21">
        <v>17.0</v>
      </c>
      <c r="O180" s="21">
        <v>0.0</v>
      </c>
      <c r="P180" s="21">
        <v>0.0</v>
      </c>
      <c r="Q180" s="21">
        <v>0.0</v>
      </c>
      <c r="R180" s="21">
        <v>0.0</v>
      </c>
      <c r="S180" s="21">
        <v>0.0</v>
      </c>
      <c r="T180" s="21">
        <v>0.0</v>
      </c>
      <c r="U180" s="21">
        <v>0.0</v>
      </c>
      <c r="V180" s="21">
        <v>0.0</v>
      </c>
      <c r="W180" s="21">
        <v>0.0</v>
      </c>
      <c r="X180" s="21"/>
      <c r="Y180" s="21">
        <v>2.0</v>
      </c>
      <c r="Z180" s="21">
        <v>30.0</v>
      </c>
      <c r="AA180" s="21">
        <v>36.0</v>
      </c>
      <c r="AB180" s="21">
        <v>2.0</v>
      </c>
      <c r="AC180" s="21">
        <v>0.0</v>
      </c>
      <c r="AD180" s="21">
        <v>0.0</v>
      </c>
      <c r="AE180" s="21">
        <v>0.0</v>
      </c>
      <c r="AF180" s="21">
        <v>0.0</v>
      </c>
      <c r="AG180" s="21">
        <v>0.0</v>
      </c>
      <c r="AH180" s="21">
        <v>0.0</v>
      </c>
      <c r="AI180" s="21">
        <v>3.0</v>
      </c>
      <c r="AJ180" s="21">
        <v>0.0</v>
      </c>
      <c r="AK180" s="21">
        <v>0.0</v>
      </c>
      <c r="AL180" s="21">
        <v>102.0</v>
      </c>
      <c r="AM180" s="21">
        <v>0.0</v>
      </c>
      <c r="AN180" s="21">
        <v>0.0</v>
      </c>
      <c r="AO180" s="21">
        <v>0.0</v>
      </c>
      <c r="AP180" s="21">
        <v>0.0</v>
      </c>
      <c r="AQ180" s="21">
        <v>0.0</v>
      </c>
      <c r="AR180" s="21">
        <v>0.0</v>
      </c>
      <c r="AS180" s="21">
        <v>0.0</v>
      </c>
      <c r="AT180" s="21">
        <v>0.0</v>
      </c>
      <c r="AU180" s="21">
        <v>0.0</v>
      </c>
      <c r="AV180" s="21">
        <v>0.0</v>
      </c>
      <c r="AW180" s="21">
        <v>54.0</v>
      </c>
      <c r="AX180" s="21">
        <v>302.0</v>
      </c>
      <c r="AY180" s="21">
        <v>0.0</v>
      </c>
      <c r="AZ180" s="21">
        <v>290.0</v>
      </c>
      <c r="BA180" s="21">
        <v>75.0</v>
      </c>
      <c r="BB180" s="21">
        <v>1.0</v>
      </c>
      <c r="BC180" s="21">
        <v>0.0</v>
      </c>
      <c r="BD180" s="21">
        <v>0.0</v>
      </c>
      <c r="BE180" s="21">
        <v>0.0</v>
      </c>
      <c r="BF180" s="21">
        <v>0.0</v>
      </c>
      <c r="BG180" s="21">
        <v>0.0</v>
      </c>
      <c r="BH180" s="21">
        <v>0.0</v>
      </c>
      <c r="BI180" s="21">
        <v>914.0</v>
      </c>
      <c r="BJ180" s="21" t="s">
        <v>2127</v>
      </c>
    </row>
    <row r="181" ht="36.75" customHeight="1">
      <c r="A181" s="20">
        <v>42409.0</v>
      </c>
      <c r="B181" s="21" t="s">
        <v>2128</v>
      </c>
      <c r="C181" s="21" t="s">
        <v>512</v>
      </c>
      <c r="D181" s="21" t="s">
        <v>255</v>
      </c>
      <c r="E181" s="21" t="s">
        <v>428</v>
      </c>
      <c r="F181" s="21" t="s">
        <v>1249</v>
      </c>
      <c r="G181" s="21" t="s">
        <v>1250</v>
      </c>
      <c r="H181" s="21" t="s">
        <v>962</v>
      </c>
      <c r="I181" s="22" t="s">
        <v>963</v>
      </c>
      <c r="J181" s="21" t="s">
        <v>2129</v>
      </c>
      <c r="K181" s="21" t="s">
        <v>2130</v>
      </c>
      <c r="L181" s="21">
        <v>0.0</v>
      </c>
      <c r="M181" s="21">
        <v>0.0</v>
      </c>
      <c r="N181" s="21">
        <v>0.0</v>
      </c>
      <c r="O181" s="21">
        <v>0.0</v>
      </c>
      <c r="P181" s="21">
        <v>0.0</v>
      </c>
      <c r="Q181" s="21">
        <v>0.0</v>
      </c>
      <c r="R181" s="21">
        <v>0.0</v>
      </c>
      <c r="S181" s="21">
        <v>0.0</v>
      </c>
      <c r="T181" s="21">
        <v>0.0</v>
      </c>
      <c r="U181" s="21">
        <v>0.0</v>
      </c>
      <c r="V181" s="21">
        <v>0.0</v>
      </c>
      <c r="W181" s="21">
        <v>0.0</v>
      </c>
      <c r="X181" s="21"/>
      <c r="Y181" s="21">
        <v>0.0</v>
      </c>
      <c r="Z181" s="21">
        <v>6.0</v>
      </c>
      <c r="AA181" s="21">
        <v>51.0</v>
      </c>
      <c r="AB181" s="21">
        <v>0.0</v>
      </c>
      <c r="AC181" s="21">
        <v>0.0</v>
      </c>
      <c r="AD181" s="21">
        <v>0.0</v>
      </c>
      <c r="AE181" s="21">
        <v>0.0</v>
      </c>
      <c r="AF181" s="21">
        <v>0.0</v>
      </c>
      <c r="AG181" s="21">
        <v>0.0</v>
      </c>
      <c r="AH181" s="21">
        <v>0.0</v>
      </c>
      <c r="AI181" s="21">
        <v>0.0</v>
      </c>
      <c r="AJ181" s="21">
        <v>0.0</v>
      </c>
      <c r="AK181" s="21">
        <v>0.0</v>
      </c>
      <c r="AL181" s="21">
        <v>0.0</v>
      </c>
      <c r="AM181" s="21">
        <v>0.0</v>
      </c>
      <c r="AN181" s="21">
        <v>0.0</v>
      </c>
      <c r="AO181" s="21">
        <v>0.0</v>
      </c>
      <c r="AP181" s="21">
        <v>0.0</v>
      </c>
      <c r="AQ181" s="21">
        <v>0.0</v>
      </c>
      <c r="AR181" s="21">
        <v>0.0</v>
      </c>
      <c r="AS181" s="21">
        <v>0.0</v>
      </c>
      <c r="AT181" s="21">
        <v>0.0</v>
      </c>
      <c r="AU181" s="21">
        <v>0.0</v>
      </c>
      <c r="AV181" s="21">
        <v>0.0</v>
      </c>
      <c r="AW181" s="21">
        <v>0.0</v>
      </c>
      <c r="AX181" s="21">
        <v>0.0</v>
      </c>
      <c r="AY181" s="21">
        <v>0.0</v>
      </c>
      <c r="AZ181" s="21">
        <v>0.0</v>
      </c>
      <c r="BA181" s="21">
        <v>0.0</v>
      </c>
      <c r="BB181" s="21">
        <v>0.0</v>
      </c>
      <c r="BC181" s="21">
        <v>0.0</v>
      </c>
      <c r="BD181" s="21">
        <v>0.0</v>
      </c>
      <c r="BE181" s="21">
        <v>0.0</v>
      </c>
      <c r="BF181" s="21">
        <v>0.0</v>
      </c>
      <c r="BG181" s="21">
        <v>0.0</v>
      </c>
      <c r="BH181" s="21">
        <v>0.0</v>
      </c>
      <c r="BI181" s="21">
        <v>57.0</v>
      </c>
    </row>
    <row r="182" ht="36.75" customHeight="1">
      <c r="A182" s="20">
        <v>42405.0</v>
      </c>
      <c r="B182" s="21" t="s">
        <v>1609</v>
      </c>
      <c r="C182" s="21" t="s">
        <v>2131</v>
      </c>
      <c r="D182" s="21" t="s">
        <v>1612</v>
      </c>
      <c r="E182" s="21" t="s">
        <v>428</v>
      </c>
      <c r="F182" s="21">
        <v>27.03676</v>
      </c>
      <c r="G182" s="21">
        <v>-82.42928</v>
      </c>
      <c r="H182" s="21">
        <v>27.04481</v>
      </c>
      <c r="I182" s="22">
        <v>-82.4418</v>
      </c>
      <c r="J182" s="21" t="s">
        <v>2134</v>
      </c>
      <c r="K182" s="21" t="s">
        <v>2135</v>
      </c>
      <c r="AA182" s="21">
        <v>4.0</v>
      </c>
      <c r="AZ182" s="21">
        <v>1.0</v>
      </c>
      <c r="BI182">
        <f t="shared" ref="BI182:BI221" si="10">sum(L182:BH182)</f>
        <v>5</v>
      </c>
      <c r="BJ182" s="21" t="s">
        <v>2138</v>
      </c>
    </row>
    <row r="183" ht="36.75" customHeight="1">
      <c r="A183" s="20">
        <v>42405.0</v>
      </c>
      <c r="B183" s="21" t="s">
        <v>425</v>
      </c>
      <c r="C183" s="21" t="s">
        <v>426</v>
      </c>
      <c r="D183" s="21" t="s">
        <v>2140</v>
      </c>
      <c r="E183" s="21" t="s">
        <v>428</v>
      </c>
      <c r="F183" s="21">
        <v>27.2475</v>
      </c>
      <c r="G183" s="21">
        <v>82.53611</v>
      </c>
      <c r="H183" s="21">
        <v>27.26583</v>
      </c>
      <c r="I183" s="22">
        <v>82.55472</v>
      </c>
      <c r="J183" s="21" t="s">
        <v>2141</v>
      </c>
      <c r="K183" s="21" t="s">
        <v>430</v>
      </c>
      <c r="AI183" s="21">
        <v>1.0</v>
      </c>
      <c r="AL183" s="21">
        <v>31.0</v>
      </c>
      <c r="AO183" s="21">
        <v>2.0</v>
      </c>
      <c r="AS183" s="21">
        <v>1.0</v>
      </c>
      <c r="AW183" s="21">
        <v>184.0</v>
      </c>
      <c r="AX183" s="21">
        <v>188.0</v>
      </c>
      <c r="AY183" s="21">
        <v>1.0</v>
      </c>
      <c r="AZ183" s="21">
        <v>96.0</v>
      </c>
      <c r="BA183" s="21">
        <v>32.0</v>
      </c>
      <c r="BB183" s="21">
        <v>1.0</v>
      </c>
      <c r="BI183">
        <f t="shared" si="10"/>
        <v>537</v>
      </c>
      <c r="BJ183" s="21" t="s">
        <v>2142</v>
      </c>
    </row>
    <row r="184" ht="36.75" customHeight="1">
      <c r="A184" s="20">
        <v>42408.0</v>
      </c>
      <c r="B184" s="21" t="s">
        <v>805</v>
      </c>
      <c r="C184" s="21" t="s">
        <v>806</v>
      </c>
      <c r="D184" s="21" t="s">
        <v>807</v>
      </c>
      <c r="E184" s="21" t="s">
        <v>428</v>
      </c>
      <c r="F184" s="21">
        <v>27.01011</v>
      </c>
      <c r="G184" s="21">
        <v>-82.41256</v>
      </c>
      <c r="H184" s="21">
        <v>27.01687</v>
      </c>
      <c r="I184" s="22">
        <v>-82.41664</v>
      </c>
      <c r="J184" s="21" t="s">
        <v>809</v>
      </c>
      <c r="K184" s="21" t="s">
        <v>2143</v>
      </c>
      <c r="N184" s="21">
        <v>8.0</v>
      </c>
      <c r="Z184" s="21">
        <v>14.0</v>
      </c>
      <c r="AA184" s="21">
        <v>25.0</v>
      </c>
      <c r="AI184" s="21">
        <v>5.0</v>
      </c>
      <c r="AS184" s="21">
        <v>1.0</v>
      </c>
      <c r="AW184" s="21">
        <v>1.0</v>
      </c>
      <c r="AX184" s="21">
        <v>72.0</v>
      </c>
      <c r="AZ184" s="21">
        <v>120.0</v>
      </c>
      <c r="BA184" s="21">
        <v>38.0</v>
      </c>
      <c r="BI184">
        <f t="shared" si="10"/>
        <v>284</v>
      </c>
      <c r="BJ184" s="21" t="s">
        <v>2145</v>
      </c>
    </row>
    <row r="185" ht="36.75" customHeight="1">
      <c r="A185" s="20">
        <v>42408.0</v>
      </c>
      <c r="B185" s="21" t="s">
        <v>805</v>
      </c>
      <c r="C185" s="21" t="s">
        <v>806</v>
      </c>
      <c r="D185" s="21" t="s">
        <v>2148</v>
      </c>
      <c r="E185" s="21" t="s">
        <v>428</v>
      </c>
      <c r="F185" s="21">
        <v>27.01688</v>
      </c>
      <c r="G185" s="21">
        <v>-82.41664</v>
      </c>
      <c r="H185" s="21">
        <v>27.0217</v>
      </c>
      <c r="I185" s="22">
        <v>-82.41984</v>
      </c>
      <c r="J185" s="21" t="s">
        <v>2151</v>
      </c>
      <c r="K185" s="21" t="s">
        <v>540</v>
      </c>
      <c r="BI185">
        <f t="shared" si="10"/>
        <v>0</v>
      </c>
      <c r="BJ185" s="21" t="s">
        <v>2154</v>
      </c>
    </row>
    <row r="186" ht="36.75" customHeight="1">
      <c r="A186" s="20">
        <v>42405.0</v>
      </c>
      <c r="B186" s="21" t="s">
        <v>446</v>
      </c>
      <c r="C186" s="21" t="s">
        <v>447</v>
      </c>
      <c r="D186" s="21" t="s">
        <v>448</v>
      </c>
      <c r="E186" s="21" t="s">
        <v>428</v>
      </c>
      <c r="F186" s="21">
        <v>27.27564</v>
      </c>
      <c r="G186" s="21">
        <v>-82.56873</v>
      </c>
      <c r="H186" s="21">
        <v>27.26561</v>
      </c>
      <c r="I186" s="22">
        <v>-82.55524</v>
      </c>
      <c r="J186" s="21" t="s">
        <v>451</v>
      </c>
      <c r="K186" s="21" t="s">
        <v>430</v>
      </c>
      <c r="O186" s="21">
        <v>1.0</v>
      </c>
      <c r="Z186" s="21">
        <v>7.0</v>
      </c>
      <c r="AA186" s="21">
        <v>29.0</v>
      </c>
      <c r="AE186" s="21">
        <v>12.0</v>
      </c>
      <c r="AW186" s="21">
        <v>8.0</v>
      </c>
      <c r="AZ186" s="21">
        <v>22.0</v>
      </c>
      <c r="BI186">
        <f t="shared" si="10"/>
        <v>79</v>
      </c>
      <c r="BJ186" s="21" t="s">
        <v>2157</v>
      </c>
    </row>
    <row r="187" ht="36.75" customHeight="1">
      <c r="A187" s="20">
        <v>42410.0</v>
      </c>
      <c r="B187" s="21" t="s">
        <v>2158</v>
      </c>
      <c r="C187" s="21" t="s">
        <v>2159</v>
      </c>
      <c r="D187" s="21" t="s">
        <v>2160</v>
      </c>
      <c r="E187" s="21" t="s">
        <v>428</v>
      </c>
      <c r="F187" s="21">
        <v>27.03676</v>
      </c>
      <c r="G187" s="21">
        <v>82.42938</v>
      </c>
      <c r="H187" s="21">
        <v>27.0217</v>
      </c>
      <c r="I187" s="22">
        <v>82.41984</v>
      </c>
      <c r="J187" s="21" t="s">
        <v>2161</v>
      </c>
      <c r="K187" s="21" t="s">
        <v>2162</v>
      </c>
      <c r="N187" s="21">
        <v>2.0</v>
      </c>
      <c r="Z187" s="21">
        <v>1.0</v>
      </c>
      <c r="AA187" s="21">
        <v>17.0</v>
      </c>
      <c r="AI187" s="21">
        <v>4.0</v>
      </c>
      <c r="AZ187" s="21">
        <v>2.0</v>
      </c>
      <c r="BI187">
        <f t="shared" si="10"/>
        <v>26</v>
      </c>
      <c r="BJ187" s="21" t="s">
        <v>2164</v>
      </c>
    </row>
    <row r="188" ht="36.75" customHeight="1">
      <c r="A188" s="20">
        <v>42408.0</v>
      </c>
      <c r="B188" s="21" t="s">
        <v>2165</v>
      </c>
      <c r="C188" s="21" t="s">
        <v>2166</v>
      </c>
      <c r="D188" s="21" t="s">
        <v>2167</v>
      </c>
      <c r="E188" s="21" t="s">
        <v>428</v>
      </c>
      <c r="F188" s="21">
        <v>26.98763</v>
      </c>
      <c r="G188" s="21">
        <v>-82.40113</v>
      </c>
      <c r="H188" s="21">
        <v>27.00248</v>
      </c>
      <c r="I188" s="22">
        <v>-82.40834</v>
      </c>
      <c r="J188" s="21" t="s">
        <v>2168</v>
      </c>
      <c r="K188" s="21" t="s">
        <v>2169</v>
      </c>
      <c r="AR188" s="21">
        <v>1.0</v>
      </c>
      <c r="BI188">
        <f t="shared" si="10"/>
        <v>1</v>
      </c>
    </row>
    <row r="189" ht="36.75" customHeight="1">
      <c r="A189" s="20">
        <v>42411.0</v>
      </c>
      <c r="B189" s="21" t="s">
        <v>1748</v>
      </c>
      <c r="C189" s="21" t="s">
        <v>2170</v>
      </c>
      <c r="D189" s="21" t="s">
        <v>1751</v>
      </c>
      <c r="E189" s="21" t="s">
        <v>428</v>
      </c>
      <c r="F189" s="21">
        <v>27.031841</v>
      </c>
      <c r="G189" s="21">
        <v>-82.263144</v>
      </c>
      <c r="H189" s="21">
        <v>27.031858</v>
      </c>
      <c r="I189" s="22">
        <v>-82.263147</v>
      </c>
      <c r="J189" s="21" t="s">
        <v>2171</v>
      </c>
      <c r="K189" s="21" t="s">
        <v>2172</v>
      </c>
      <c r="L189" s="21">
        <v>0.0</v>
      </c>
      <c r="M189" s="21">
        <v>0.0</v>
      </c>
      <c r="N189" s="21">
        <v>1.0</v>
      </c>
      <c r="O189" s="21">
        <v>0.0</v>
      </c>
      <c r="P189" s="21">
        <v>0.0</v>
      </c>
      <c r="Q189" s="21">
        <v>0.0</v>
      </c>
      <c r="R189" s="21">
        <v>0.0</v>
      </c>
      <c r="S189" s="21">
        <v>0.0</v>
      </c>
      <c r="T189" s="21">
        <v>0.0</v>
      </c>
      <c r="U189" s="21">
        <v>0.0</v>
      </c>
      <c r="V189" s="21">
        <v>0.0</v>
      </c>
      <c r="W189" s="21">
        <v>0.0</v>
      </c>
      <c r="X189" s="21"/>
      <c r="Y189" s="21">
        <v>0.0</v>
      </c>
      <c r="Z189" s="21">
        <v>5.0</v>
      </c>
      <c r="AA189" s="21">
        <v>55.0</v>
      </c>
      <c r="AB189" s="21">
        <v>0.0</v>
      </c>
      <c r="AC189" s="21">
        <v>0.0</v>
      </c>
      <c r="AD189" s="21">
        <v>0.0</v>
      </c>
      <c r="AE189" s="21">
        <v>1.0</v>
      </c>
      <c r="AF189" s="21">
        <v>0.0</v>
      </c>
      <c r="AG189" s="21">
        <v>0.0</v>
      </c>
      <c r="AH189" s="21">
        <v>0.0</v>
      </c>
      <c r="AI189" s="21">
        <v>0.0</v>
      </c>
      <c r="AJ189" s="21">
        <v>0.0</v>
      </c>
      <c r="AK189" s="21">
        <v>0.0</v>
      </c>
      <c r="AL189" s="21">
        <v>0.0</v>
      </c>
      <c r="AM189" s="21">
        <v>0.0</v>
      </c>
      <c r="AN189" s="21">
        <v>0.0</v>
      </c>
      <c r="AO189" s="21">
        <v>0.0</v>
      </c>
      <c r="AP189" s="21">
        <v>0.0</v>
      </c>
      <c r="AQ189" s="21">
        <v>0.0</v>
      </c>
      <c r="AR189" s="21">
        <v>0.0</v>
      </c>
      <c r="AS189" s="21">
        <v>0.0</v>
      </c>
      <c r="AT189" s="21">
        <v>0.0</v>
      </c>
      <c r="AU189" s="21">
        <v>0.0</v>
      </c>
      <c r="AV189" s="21">
        <v>0.0</v>
      </c>
      <c r="AW189" s="21">
        <v>0.0</v>
      </c>
      <c r="AX189" s="21">
        <v>0.0</v>
      </c>
      <c r="AY189" s="21">
        <v>0.0</v>
      </c>
      <c r="AZ189" s="21">
        <v>6.0</v>
      </c>
      <c r="BA189" s="21">
        <v>23.0</v>
      </c>
      <c r="BB189" s="21">
        <v>0.0</v>
      </c>
      <c r="BC189" s="21">
        <v>0.0</v>
      </c>
      <c r="BD189" s="21">
        <v>0.0</v>
      </c>
      <c r="BE189" s="21">
        <v>0.0</v>
      </c>
      <c r="BF189" s="21">
        <v>0.0</v>
      </c>
      <c r="BG189" s="21">
        <v>0.0</v>
      </c>
      <c r="BH189" s="21">
        <v>0.0</v>
      </c>
      <c r="BI189">
        <f t="shared" si="10"/>
        <v>91</v>
      </c>
    </row>
    <row r="190" ht="36.75" customHeight="1">
      <c r="A190" s="20">
        <v>42411.0</v>
      </c>
      <c r="B190" s="21" t="s">
        <v>1539</v>
      </c>
      <c r="C190" s="21" t="s">
        <v>1540</v>
      </c>
      <c r="D190" s="21" t="s">
        <v>1562</v>
      </c>
      <c r="E190" s="21" t="s">
        <v>428</v>
      </c>
      <c r="F190" s="21">
        <v>27.32858</v>
      </c>
      <c r="G190" s="21">
        <v>-82.58878</v>
      </c>
      <c r="H190" s="21">
        <v>27.3613</v>
      </c>
      <c r="I190" s="22">
        <v>-82.6226</v>
      </c>
      <c r="J190" s="21" t="s">
        <v>1563</v>
      </c>
      <c r="K190" s="21" t="s">
        <v>1564</v>
      </c>
      <c r="AL190" s="21">
        <v>30.0</v>
      </c>
      <c r="AM190" s="21">
        <v>2.0</v>
      </c>
      <c r="AR190" s="21">
        <v>2.0</v>
      </c>
      <c r="AW190" s="21">
        <v>12.0</v>
      </c>
      <c r="AX190" s="21">
        <v>24.0</v>
      </c>
      <c r="AY190" s="21">
        <v>2.0</v>
      </c>
      <c r="AZ190" s="21">
        <v>36.0</v>
      </c>
      <c r="BA190" s="21">
        <v>12.0</v>
      </c>
      <c r="BB190" s="21">
        <v>3.0</v>
      </c>
      <c r="BI190">
        <f t="shared" si="10"/>
        <v>123</v>
      </c>
      <c r="BJ190" s="21" t="s">
        <v>1550</v>
      </c>
    </row>
    <row r="191" ht="36.75" customHeight="1">
      <c r="A191" s="29">
        <v>42408.0</v>
      </c>
      <c r="B191" s="25" t="s">
        <v>2177</v>
      </c>
      <c r="C191" s="25" t="s">
        <v>2178</v>
      </c>
      <c r="D191" s="25" t="s">
        <v>2179</v>
      </c>
      <c r="E191" s="25" t="s">
        <v>2180</v>
      </c>
      <c r="F191" s="25">
        <v>29.859504</v>
      </c>
      <c r="G191" s="25">
        <v>-81.265064</v>
      </c>
      <c r="H191" s="21">
        <v>29.898765</v>
      </c>
      <c r="I191" s="21">
        <v>-81.289448</v>
      </c>
      <c r="J191" s="21" t="s">
        <v>2181</v>
      </c>
      <c r="K191" s="21" t="s">
        <v>2182</v>
      </c>
      <c r="L191" s="21">
        <v>0.0</v>
      </c>
      <c r="M191" s="21">
        <v>0.0</v>
      </c>
      <c r="N191" s="21">
        <v>5.0</v>
      </c>
      <c r="O191" s="21">
        <v>247.0</v>
      </c>
      <c r="P191" s="21">
        <v>0.0</v>
      </c>
      <c r="Q191" s="21">
        <v>0.0</v>
      </c>
      <c r="R191" s="21">
        <v>0.0</v>
      </c>
      <c r="S191" s="21">
        <v>0.0</v>
      </c>
      <c r="T191" s="21">
        <v>0.0</v>
      </c>
      <c r="U191" s="21">
        <v>0.0</v>
      </c>
      <c r="V191" s="21">
        <v>0.0</v>
      </c>
      <c r="W191" s="21">
        <v>0.0</v>
      </c>
      <c r="X191" s="21"/>
      <c r="Y191" s="21">
        <v>0.0</v>
      </c>
      <c r="Z191" s="21">
        <v>23.0</v>
      </c>
      <c r="AA191" s="21">
        <v>53.0</v>
      </c>
      <c r="AB191" s="21">
        <v>15.0</v>
      </c>
      <c r="AC191" s="21">
        <v>0.0</v>
      </c>
      <c r="AD191" s="21">
        <v>0.0</v>
      </c>
      <c r="AE191" s="21">
        <v>0.0</v>
      </c>
      <c r="AF191" s="21">
        <v>0.0</v>
      </c>
      <c r="AG191" s="21">
        <v>5.0</v>
      </c>
      <c r="AH191" s="21">
        <v>0.0</v>
      </c>
      <c r="AI191" s="21">
        <v>5.0</v>
      </c>
      <c r="AJ191" s="21">
        <v>1.0</v>
      </c>
      <c r="AK191" s="21">
        <v>0.0</v>
      </c>
      <c r="AL191" s="21">
        <v>20.0</v>
      </c>
      <c r="AM191" s="21">
        <v>0.0</v>
      </c>
      <c r="AN191" s="21">
        <v>0.0</v>
      </c>
      <c r="AO191" s="21">
        <v>24.0</v>
      </c>
      <c r="AP191" s="21">
        <v>0.0</v>
      </c>
      <c r="AQ191" s="21">
        <v>0.0</v>
      </c>
      <c r="AR191" s="21">
        <v>1.0</v>
      </c>
      <c r="AS191" s="21">
        <v>4.0</v>
      </c>
      <c r="AT191" s="21">
        <v>0.0</v>
      </c>
      <c r="AU191" s="21">
        <v>0.0</v>
      </c>
      <c r="AV191" s="21">
        <v>0.0</v>
      </c>
      <c r="AW191" s="21">
        <v>0.0</v>
      </c>
      <c r="AX191" s="21">
        <v>2.0</v>
      </c>
      <c r="AY191" s="21">
        <v>0.0</v>
      </c>
      <c r="AZ191" s="21">
        <v>29.0</v>
      </c>
      <c r="BA191" s="21">
        <v>2.0</v>
      </c>
      <c r="BB191" s="21">
        <v>0.0</v>
      </c>
      <c r="BC191" s="21">
        <v>0.0</v>
      </c>
      <c r="BD191" s="21">
        <v>2.0</v>
      </c>
      <c r="BE191" s="21">
        <v>0.0</v>
      </c>
      <c r="BF191" s="21">
        <v>0.0</v>
      </c>
      <c r="BG191" s="21">
        <v>0.0</v>
      </c>
      <c r="BH191" s="21">
        <v>0.0</v>
      </c>
      <c r="BI191">
        <f t="shared" si="10"/>
        <v>438</v>
      </c>
      <c r="BJ191" s="21" t="s">
        <v>2185</v>
      </c>
    </row>
    <row r="192" ht="36.75" customHeight="1">
      <c r="A192" s="29">
        <v>42410.0</v>
      </c>
      <c r="B192" s="25" t="s">
        <v>2186</v>
      </c>
      <c r="C192" s="25" t="s">
        <v>2178</v>
      </c>
      <c r="D192" s="25" t="s">
        <v>2188</v>
      </c>
      <c r="E192" s="25" t="s">
        <v>2180</v>
      </c>
      <c r="F192" s="25">
        <v>29.910476</v>
      </c>
      <c r="G192" s="25">
        <v>-8.1294692E7</v>
      </c>
      <c r="H192" s="21">
        <v>29.91783</v>
      </c>
      <c r="I192" s="21">
        <v>-81.29013</v>
      </c>
      <c r="J192" s="21" t="s">
        <v>2189</v>
      </c>
      <c r="K192" s="21" t="s">
        <v>2190</v>
      </c>
      <c r="L192" s="21">
        <v>0.0</v>
      </c>
      <c r="M192" s="21">
        <v>0.0</v>
      </c>
      <c r="N192" s="21">
        <v>0.0</v>
      </c>
      <c r="O192" s="21">
        <v>0.0</v>
      </c>
      <c r="P192" s="21">
        <v>0.0</v>
      </c>
      <c r="Q192" s="21">
        <v>0.0</v>
      </c>
      <c r="R192" s="21">
        <v>0.0</v>
      </c>
      <c r="S192" s="21">
        <v>0.0</v>
      </c>
      <c r="T192" s="21">
        <v>0.0</v>
      </c>
      <c r="U192" s="21">
        <v>0.0</v>
      </c>
      <c r="V192" s="21">
        <v>0.0</v>
      </c>
      <c r="W192" s="21">
        <v>0.0</v>
      </c>
      <c r="X192" s="21"/>
      <c r="Y192" s="21">
        <v>0.0</v>
      </c>
      <c r="Z192" s="21">
        <v>1.0</v>
      </c>
      <c r="AA192" s="21">
        <v>1.0</v>
      </c>
      <c r="AB192" s="21">
        <v>0.0</v>
      </c>
      <c r="AC192" s="21">
        <v>0.0</v>
      </c>
      <c r="AD192" s="21">
        <v>0.0</v>
      </c>
      <c r="AE192" s="21">
        <v>0.0</v>
      </c>
      <c r="AF192" s="21">
        <v>0.0</v>
      </c>
      <c r="AG192" s="21">
        <v>0.0</v>
      </c>
      <c r="AH192" s="21">
        <v>0.0</v>
      </c>
      <c r="AI192" s="21">
        <v>2.0</v>
      </c>
      <c r="AJ192" s="21">
        <v>0.0</v>
      </c>
      <c r="AK192" s="21">
        <v>0.0</v>
      </c>
      <c r="AL192" s="21">
        <v>46.0</v>
      </c>
      <c r="AM192" s="21">
        <v>8.0</v>
      </c>
      <c r="AN192" s="21">
        <v>0.0</v>
      </c>
      <c r="AO192" s="21">
        <v>9.0</v>
      </c>
      <c r="AP192" s="21">
        <v>0.0</v>
      </c>
      <c r="AQ192" s="21">
        <v>0.0</v>
      </c>
      <c r="AR192" s="21">
        <v>1.0</v>
      </c>
      <c r="AS192" s="21">
        <v>30.0</v>
      </c>
      <c r="AT192" s="21">
        <v>0.0</v>
      </c>
      <c r="AU192" s="21">
        <v>0.0</v>
      </c>
      <c r="AV192" s="21">
        <v>0.0</v>
      </c>
      <c r="AW192" s="21">
        <v>1.0</v>
      </c>
      <c r="AX192" s="21">
        <v>192.0</v>
      </c>
      <c r="AY192" s="21">
        <v>0.0</v>
      </c>
      <c r="AZ192" s="21">
        <v>48.0</v>
      </c>
      <c r="BA192" s="21">
        <v>6.0</v>
      </c>
      <c r="BB192" s="21">
        <v>0.0</v>
      </c>
      <c r="BC192" s="21">
        <v>0.0</v>
      </c>
      <c r="BD192" s="21">
        <v>0.0</v>
      </c>
      <c r="BE192" s="21">
        <v>0.0</v>
      </c>
      <c r="BF192" s="21">
        <v>0.0</v>
      </c>
      <c r="BG192" s="21">
        <v>0.0</v>
      </c>
      <c r="BH192" s="21">
        <v>0.0</v>
      </c>
      <c r="BI192">
        <f t="shared" si="10"/>
        <v>345</v>
      </c>
      <c r="BJ192" s="21" t="s">
        <v>2193</v>
      </c>
    </row>
    <row r="193" ht="36.75" customHeight="1">
      <c r="A193" s="20">
        <v>42408.0</v>
      </c>
      <c r="B193" s="21" t="s">
        <v>1689</v>
      </c>
      <c r="C193" s="21" t="s">
        <v>482</v>
      </c>
      <c r="D193" s="21" t="s">
        <v>2194</v>
      </c>
      <c r="E193" s="21" t="s">
        <v>1691</v>
      </c>
      <c r="F193" s="21">
        <v>27.534625</v>
      </c>
      <c r="G193" s="21">
        <v>-80.314794</v>
      </c>
      <c r="H193" s="21">
        <v>27.555142</v>
      </c>
      <c r="I193" s="22">
        <v>-80.320656</v>
      </c>
      <c r="J193" s="21" t="s">
        <v>2195</v>
      </c>
      <c r="K193" s="21" t="s">
        <v>2197</v>
      </c>
      <c r="AA193" s="21">
        <v>7.0</v>
      </c>
      <c r="AI193" s="21">
        <v>3.0</v>
      </c>
      <c r="AS193" s="21">
        <v>2.0</v>
      </c>
      <c r="AZ193" s="21">
        <v>9.0</v>
      </c>
      <c r="BA193" s="21">
        <v>1.0</v>
      </c>
      <c r="BI193">
        <f t="shared" si="10"/>
        <v>22</v>
      </c>
    </row>
    <row r="194" ht="36.75" customHeight="1">
      <c r="A194" s="20">
        <v>42409.0</v>
      </c>
      <c r="B194" s="21" t="s">
        <v>1689</v>
      </c>
      <c r="C194" s="21" t="s">
        <v>482</v>
      </c>
      <c r="D194" s="21" t="s">
        <v>1690</v>
      </c>
      <c r="E194" s="21" t="s">
        <v>1691</v>
      </c>
      <c r="F194" s="21">
        <v>27.4733</v>
      </c>
      <c r="G194" s="21">
        <v>-80.290023</v>
      </c>
      <c r="H194" s="21">
        <v>27.47902</v>
      </c>
      <c r="I194" s="22">
        <v>-80.292877</v>
      </c>
      <c r="J194" s="21" t="s">
        <v>1693</v>
      </c>
      <c r="K194" s="21" t="s">
        <v>2199</v>
      </c>
      <c r="Z194" s="21">
        <v>3.0</v>
      </c>
      <c r="AA194" s="21">
        <v>5.0</v>
      </c>
      <c r="AI194" s="21">
        <v>6.0</v>
      </c>
      <c r="AL194" s="21">
        <v>38.0</v>
      </c>
      <c r="AM194" s="21">
        <v>2.0</v>
      </c>
      <c r="AS194" s="21">
        <v>1.0</v>
      </c>
      <c r="AX194" s="21">
        <v>36.0</v>
      </c>
      <c r="BA194" s="21">
        <v>30.0</v>
      </c>
      <c r="BI194">
        <f t="shared" si="10"/>
        <v>121</v>
      </c>
    </row>
    <row r="195" ht="36.75" customHeight="1">
      <c r="A195" s="20">
        <v>42411.0</v>
      </c>
      <c r="B195" s="21" t="s">
        <v>2201</v>
      </c>
      <c r="C195" s="21" t="s">
        <v>482</v>
      </c>
      <c r="D195" s="21" t="s">
        <v>2202</v>
      </c>
      <c r="E195" s="21" t="s">
        <v>1691</v>
      </c>
      <c r="F195" s="21">
        <v>27.130667</v>
      </c>
      <c r="G195" s="21">
        <v>-80.144891</v>
      </c>
      <c r="H195" s="21">
        <v>27.163089</v>
      </c>
      <c r="I195" s="22">
        <v>-80.168632</v>
      </c>
      <c r="J195" s="21" t="s">
        <v>2203</v>
      </c>
      <c r="K195" s="21" t="s">
        <v>2204</v>
      </c>
      <c r="AA195" s="21">
        <v>20.0</v>
      </c>
      <c r="AI195" s="21">
        <v>19.0</v>
      </c>
      <c r="AS195" s="21">
        <v>1.0</v>
      </c>
      <c r="AZ195" s="21">
        <v>2.0</v>
      </c>
      <c r="BI195">
        <f t="shared" si="10"/>
        <v>42</v>
      </c>
    </row>
    <row r="196" ht="36.75" customHeight="1">
      <c r="A196" s="20">
        <v>42411.0</v>
      </c>
      <c r="B196" s="21" t="s">
        <v>1208</v>
      </c>
      <c r="C196" s="21" t="s">
        <v>2206</v>
      </c>
      <c r="D196" s="21" t="s">
        <v>1534</v>
      </c>
      <c r="E196" s="21" t="s">
        <v>1535</v>
      </c>
      <c r="F196" s="25">
        <v>29.9902778</v>
      </c>
      <c r="G196" s="25">
        <v>-81.31527778</v>
      </c>
      <c r="H196" s="21">
        <v>29.9514579</v>
      </c>
      <c r="I196" s="21">
        <v>-81.3034718</v>
      </c>
      <c r="J196" s="21" t="s">
        <v>1536</v>
      </c>
      <c r="K196" s="21" t="s">
        <v>2207</v>
      </c>
      <c r="Z196" s="21">
        <v>5.0</v>
      </c>
      <c r="AA196" s="21">
        <v>13.0</v>
      </c>
      <c r="AI196" s="21">
        <v>2.0</v>
      </c>
      <c r="AZ196" s="21">
        <v>5.0</v>
      </c>
      <c r="BI196">
        <f t="shared" si="10"/>
        <v>25</v>
      </c>
    </row>
    <row r="197" ht="36.75" customHeight="1">
      <c r="A197" s="20">
        <v>42411.0</v>
      </c>
      <c r="B197" s="21" t="s">
        <v>1208</v>
      </c>
      <c r="C197" s="21" t="s">
        <v>2206</v>
      </c>
      <c r="D197" s="21" t="s">
        <v>1546</v>
      </c>
      <c r="E197" s="21" t="s">
        <v>1535</v>
      </c>
      <c r="F197" s="25">
        <v>30.0221008</v>
      </c>
      <c r="G197" s="25">
        <v>-81.32272459</v>
      </c>
      <c r="H197" s="21">
        <v>30.1270616</v>
      </c>
      <c r="I197" s="21">
        <v>-81.3470202</v>
      </c>
      <c r="J197" s="21" t="s">
        <v>1547</v>
      </c>
      <c r="K197" s="21" t="s">
        <v>2212</v>
      </c>
      <c r="N197" s="21">
        <v>15.0</v>
      </c>
      <c r="O197" s="21">
        <v>40.0</v>
      </c>
      <c r="AA197" s="21">
        <v>38.0</v>
      </c>
      <c r="AI197" s="21">
        <v>4.0</v>
      </c>
      <c r="AO197" s="21">
        <v>4.0</v>
      </c>
      <c r="AS197" s="21">
        <v>36.0</v>
      </c>
      <c r="AX197" s="21">
        <v>36.0</v>
      </c>
      <c r="AZ197" s="21">
        <v>25.0</v>
      </c>
      <c r="BA197" s="21">
        <v>16.0</v>
      </c>
      <c r="BI197">
        <f t="shared" si="10"/>
        <v>214</v>
      </c>
    </row>
    <row r="198" ht="36.75" customHeight="1">
      <c r="A198" s="20">
        <v>42410.0</v>
      </c>
      <c r="B198" s="21" t="s">
        <v>2216</v>
      </c>
      <c r="C198" s="21" t="s">
        <v>2217</v>
      </c>
      <c r="D198" s="21" t="s">
        <v>2218</v>
      </c>
      <c r="E198" s="21" t="s">
        <v>1346</v>
      </c>
      <c r="F198" s="21">
        <v>26.66207</v>
      </c>
      <c r="G198" s="21">
        <v>-82.15382</v>
      </c>
      <c r="H198" s="21">
        <v>26.66207</v>
      </c>
      <c r="I198" s="22">
        <v>-82.15382</v>
      </c>
      <c r="J198" s="21" t="s">
        <v>2146</v>
      </c>
      <c r="K198" s="21" t="s">
        <v>2221</v>
      </c>
      <c r="L198" s="21">
        <v>40.0</v>
      </c>
      <c r="N198" s="21">
        <v>346.0</v>
      </c>
      <c r="O198" s="21">
        <v>672.0</v>
      </c>
      <c r="V198" s="21">
        <v>1.0</v>
      </c>
      <c r="Y198" s="21">
        <v>1.0</v>
      </c>
      <c r="Z198" s="21">
        <v>26.0</v>
      </c>
      <c r="AA198" s="21">
        <v>83.0</v>
      </c>
      <c r="AB198" s="21">
        <v>97.0</v>
      </c>
      <c r="AG198" s="21">
        <v>183.0</v>
      </c>
      <c r="AI198" s="21">
        <v>161.0</v>
      </c>
      <c r="AL198" s="21">
        <v>35.0</v>
      </c>
      <c r="AO198" s="21">
        <v>120.0</v>
      </c>
      <c r="AP198" s="21">
        <v>4.0</v>
      </c>
      <c r="AR198" s="21">
        <v>71.0</v>
      </c>
      <c r="AS198" s="21">
        <v>12.0</v>
      </c>
      <c r="AX198" s="21">
        <v>26.0</v>
      </c>
      <c r="AZ198" s="21">
        <v>69.0</v>
      </c>
      <c r="BD198" s="21">
        <v>160.0</v>
      </c>
      <c r="BE198" s="21">
        <v>219.0</v>
      </c>
      <c r="BF198" s="21">
        <v>460.0</v>
      </c>
      <c r="BG198" s="21">
        <v>42.0</v>
      </c>
      <c r="BI198">
        <f t="shared" si="10"/>
        <v>2828</v>
      </c>
      <c r="BJ198" s="21" t="s">
        <v>2226</v>
      </c>
    </row>
    <row r="199" ht="36.75" customHeight="1">
      <c r="A199" s="20">
        <v>42410.0</v>
      </c>
      <c r="B199" s="21" t="s">
        <v>1242</v>
      </c>
      <c r="C199" s="21" t="s">
        <v>1243</v>
      </c>
      <c r="D199" s="21" t="s">
        <v>2228</v>
      </c>
      <c r="E199" s="21" t="s">
        <v>715</v>
      </c>
      <c r="F199" s="21">
        <v>27.46536</v>
      </c>
      <c r="G199" s="21">
        <v>-80.32412</v>
      </c>
      <c r="H199" s="21">
        <v>27.46536</v>
      </c>
      <c r="I199" s="22">
        <v>-80.32412</v>
      </c>
      <c r="J199" s="21" t="s">
        <v>2229</v>
      </c>
      <c r="K199" s="21" t="s">
        <v>2211</v>
      </c>
      <c r="AM199" s="21">
        <v>43.0</v>
      </c>
      <c r="BI199">
        <f t="shared" si="10"/>
        <v>43</v>
      </c>
    </row>
    <row r="200" ht="36.75" customHeight="1">
      <c r="A200" s="20">
        <v>42410.0</v>
      </c>
      <c r="B200" s="21" t="s">
        <v>1242</v>
      </c>
      <c r="C200" s="21" t="s">
        <v>1243</v>
      </c>
      <c r="D200" s="21" t="s">
        <v>2209</v>
      </c>
      <c r="E200" s="21" t="s">
        <v>715</v>
      </c>
      <c r="F200" s="21">
        <v>27.49265</v>
      </c>
      <c r="G200" s="21">
        <v>-80.33647</v>
      </c>
      <c r="H200" s="21">
        <v>27.49265</v>
      </c>
      <c r="I200" s="22">
        <v>-80.33647</v>
      </c>
      <c r="J200" s="21" t="s">
        <v>2210</v>
      </c>
      <c r="K200" s="21" t="s">
        <v>2211</v>
      </c>
      <c r="N200" s="21">
        <v>6.0</v>
      </c>
      <c r="Z200" s="21">
        <v>1.0</v>
      </c>
      <c r="AP200" s="21">
        <v>1.0</v>
      </c>
      <c r="AR200" s="21">
        <v>56.0</v>
      </c>
      <c r="BI200">
        <f t="shared" si="10"/>
        <v>64</v>
      </c>
    </row>
    <row r="201" ht="36.75" customHeight="1">
      <c r="A201" s="20">
        <v>42410.0</v>
      </c>
      <c r="B201" s="21" t="s">
        <v>1242</v>
      </c>
      <c r="C201" s="21" t="s">
        <v>1243</v>
      </c>
      <c r="D201" s="21" t="s">
        <v>2234</v>
      </c>
      <c r="E201" s="21" t="s">
        <v>715</v>
      </c>
      <c r="F201" s="21">
        <v>27.53484</v>
      </c>
      <c r="G201" s="21">
        <v>-80.33911</v>
      </c>
      <c r="H201" s="21">
        <v>27.53484</v>
      </c>
      <c r="I201" s="22">
        <v>-80.33911</v>
      </c>
      <c r="J201" s="21" t="s">
        <v>2235</v>
      </c>
      <c r="K201" s="21" t="s">
        <v>2211</v>
      </c>
      <c r="AA201" s="21">
        <v>21.0</v>
      </c>
      <c r="BI201">
        <f t="shared" si="10"/>
        <v>21</v>
      </c>
    </row>
    <row r="202" ht="36.75" customHeight="1">
      <c r="A202" s="20">
        <v>42410.0</v>
      </c>
      <c r="B202" s="21" t="s">
        <v>1242</v>
      </c>
      <c r="C202" s="21" t="s">
        <v>1243</v>
      </c>
      <c r="D202" s="21" t="s">
        <v>2238</v>
      </c>
      <c r="E202" s="21" t="s">
        <v>715</v>
      </c>
      <c r="F202" s="21">
        <v>27.52955</v>
      </c>
      <c r="G202" s="21">
        <v>-80.33833</v>
      </c>
      <c r="H202" s="21">
        <v>27.52955</v>
      </c>
      <c r="I202" s="22">
        <v>-80.33833</v>
      </c>
      <c r="J202" s="21" t="s">
        <v>2239</v>
      </c>
      <c r="K202" s="21" t="s">
        <v>2211</v>
      </c>
      <c r="AP202" s="21">
        <v>4.0</v>
      </c>
      <c r="AS202" s="21">
        <v>1.0</v>
      </c>
      <c r="BA202" s="21">
        <v>2.0</v>
      </c>
      <c r="BI202">
        <f t="shared" si="10"/>
        <v>7</v>
      </c>
    </row>
    <row r="203" ht="36.75" customHeight="1">
      <c r="A203" s="20">
        <v>42410.0</v>
      </c>
      <c r="B203" s="21" t="s">
        <v>1242</v>
      </c>
      <c r="C203" s="21" t="s">
        <v>1243</v>
      </c>
      <c r="D203" s="21" t="s">
        <v>2240</v>
      </c>
      <c r="E203" s="21" t="s">
        <v>715</v>
      </c>
      <c r="F203" s="21">
        <v>27.53092</v>
      </c>
      <c r="G203" s="21">
        <v>-80.353</v>
      </c>
      <c r="H203" s="21">
        <v>27.53092</v>
      </c>
      <c r="I203" s="22">
        <v>-80.353</v>
      </c>
      <c r="J203" s="21" t="s">
        <v>2242</v>
      </c>
      <c r="K203" s="21" t="s">
        <v>2211</v>
      </c>
      <c r="Q203" s="21">
        <v>9.0</v>
      </c>
      <c r="BI203">
        <f t="shared" si="10"/>
        <v>9</v>
      </c>
    </row>
    <row r="204" ht="36.75" customHeight="1">
      <c r="A204" s="20">
        <v>42408.0</v>
      </c>
      <c r="B204" s="21" t="s">
        <v>188</v>
      </c>
      <c r="C204" s="21" t="s">
        <v>2245</v>
      </c>
      <c r="D204" s="21" t="s">
        <v>2246</v>
      </c>
      <c r="E204" s="21" t="s">
        <v>715</v>
      </c>
      <c r="F204" s="21">
        <v>27.30902567</v>
      </c>
      <c r="G204" s="21">
        <v>-80.22098679</v>
      </c>
      <c r="H204" s="21">
        <v>27.26302695</v>
      </c>
      <c r="I204" s="21">
        <v>-80.1997763</v>
      </c>
      <c r="J204" s="21" t="s">
        <v>2247</v>
      </c>
      <c r="K204" s="21" t="s">
        <v>2248</v>
      </c>
      <c r="Z204" s="21">
        <v>24.0</v>
      </c>
      <c r="AA204" s="21">
        <v>111.0</v>
      </c>
      <c r="AI204" s="21">
        <v>11.0</v>
      </c>
      <c r="AO204" s="21">
        <v>1.0</v>
      </c>
      <c r="AV204" s="21">
        <v>1.0</v>
      </c>
      <c r="AW204" s="21">
        <v>2.0</v>
      </c>
      <c r="AX204" s="21">
        <v>15.0</v>
      </c>
      <c r="AZ204" s="21">
        <v>40.0</v>
      </c>
      <c r="BI204">
        <f t="shared" si="10"/>
        <v>205</v>
      </c>
      <c r="BJ204" s="21" t="s">
        <v>1590</v>
      </c>
    </row>
    <row r="205" ht="36.75" customHeight="1">
      <c r="A205" s="29">
        <v>42406.0</v>
      </c>
      <c r="B205" s="25" t="s">
        <v>2253</v>
      </c>
      <c r="C205" s="25" t="s">
        <v>2254</v>
      </c>
      <c r="D205" s="25" t="s">
        <v>2255</v>
      </c>
      <c r="E205" s="25" t="s">
        <v>715</v>
      </c>
      <c r="F205" s="41">
        <v>27.47052</v>
      </c>
      <c r="G205" s="41">
        <v>-80.290117</v>
      </c>
      <c r="H205" s="41">
        <v>27.30799</v>
      </c>
      <c r="I205" s="22">
        <v>-80.220471</v>
      </c>
      <c r="J205" s="21" t="s">
        <v>2256</v>
      </c>
      <c r="K205" s="21" t="s">
        <v>2257</v>
      </c>
      <c r="N205" s="21">
        <v>34.0</v>
      </c>
      <c r="Z205" s="21">
        <v>2.0</v>
      </c>
      <c r="AA205" s="21">
        <v>158.0</v>
      </c>
      <c r="AI205" s="21">
        <v>4.0</v>
      </c>
      <c r="AO205" s="21">
        <v>21.0</v>
      </c>
      <c r="AP205" s="21">
        <v>1.0</v>
      </c>
      <c r="AS205" s="21">
        <v>21.0</v>
      </c>
      <c r="AV205" s="21">
        <v>1.0</v>
      </c>
      <c r="AW205" s="21">
        <v>1.0</v>
      </c>
      <c r="AX205" s="21">
        <v>7.0</v>
      </c>
      <c r="AZ205" s="21">
        <v>51.0</v>
      </c>
      <c r="BA205" s="21">
        <v>63.0</v>
      </c>
      <c r="BI205">
        <f t="shared" si="10"/>
        <v>364</v>
      </c>
    </row>
    <row r="206" ht="36.75" customHeight="1">
      <c r="A206" s="20">
        <v>42410.0</v>
      </c>
      <c r="B206" s="21" t="s">
        <v>1325</v>
      </c>
      <c r="C206" s="21" t="s">
        <v>1327</v>
      </c>
      <c r="D206" s="21" t="s">
        <v>1330</v>
      </c>
      <c r="E206" s="21" t="s">
        <v>1116</v>
      </c>
      <c r="F206" s="21">
        <v>29.06414718</v>
      </c>
      <c r="G206" s="21">
        <v>-80.90779085</v>
      </c>
      <c r="H206" s="21">
        <v>29.0649907</v>
      </c>
      <c r="I206" s="22">
        <v>-80.91645225</v>
      </c>
      <c r="J206" s="21" t="s">
        <v>2219</v>
      </c>
      <c r="K206" s="21" t="s">
        <v>2259</v>
      </c>
      <c r="Y206" s="21">
        <v>58.0</v>
      </c>
      <c r="AA206" s="21">
        <v>38.0</v>
      </c>
      <c r="AI206" s="21">
        <v>3.0</v>
      </c>
      <c r="AS206" s="21">
        <v>3.0</v>
      </c>
      <c r="AW206" s="21">
        <v>1.0</v>
      </c>
      <c r="AX206" s="21">
        <v>19.0</v>
      </c>
      <c r="AZ206" s="21">
        <v>5.0</v>
      </c>
      <c r="BA206" s="21">
        <v>7.0</v>
      </c>
      <c r="BI206">
        <f t="shared" si="10"/>
        <v>134</v>
      </c>
      <c r="BJ206" s="21" t="s">
        <v>2260</v>
      </c>
    </row>
    <row r="207" ht="36.75" customHeight="1">
      <c r="A207" s="21">
        <v>2.0</v>
      </c>
      <c r="B207" s="21" t="s">
        <v>1112</v>
      </c>
      <c r="C207" s="21" t="s">
        <v>1114</v>
      </c>
      <c r="D207" s="21" t="s">
        <v>2261</v>
      </c>
      <c r="E207" s="21" t="s">
        <v>1116</v>
      </c>
      <c r="F207" s="21">
        <v>29.292253</v>
      </c>
      <c r="G207" s="21">
        <v>-81.039058</v>
      </c>
      <c r="H207" s="21">
        <v>29.078386</v>
      </c>
      <c r="I207" s="22">
        <v>-80.918894</v>
      </c>
      <c r="J207" s="21" t="s">
        <v>1942</v>
      </c>
      <c r="K207" s="21" t="s">
        <v>2262</v>
      </c>
      <c r="N207" s="21">
        <v>13.0</v>
      </c>
      <c r="Y207" s="21">
        <v>60.0</v>
      </c>
      <c r="Z207" s="21">
        <v>15.0</v>
      </c>
      <c r="AA207" s="21">
        <v>630.0</v>
      </c>
      <c r="AB207" s="21">
        <v>4.0</v>
      </c>
      <c r="AI207" s="21">
        <v>16.0</v>
      </c>
      <c r="AL207" s="21">
        <v>17.0</v>
      </c>
      <c r="AO207" s="21">
        <v>5.0</v>
      </c>
      <c r="AR207" s="21">
        <v>1.0</v>
      </c>
      <c r="AS207" s="21">
        <v>81.0</v>
      </c>
      <c r="AV207" s="21">
        <v>17.0</v>
      </c>
      <c r="AW207" s="21">
        <v>1216.0</v>
      </c>
      <c r="AX207" s="21">
        <v>5067.0</v>
      </c>
      <c r="AY207" s="21">
        <v>3.0</v>
      </c>
      <c r="AZ207" s="21">
        <v>1772.0</v>
      </c>
      <c r="BA207" s="21">
        <v>101.0</v>
      </c>
      <c r="BI207">
        <f t="shared" si="10"/>
        <v>9018</v>
      </c>
      <c r="BJ207" s="21" t="s">
        <v>2263</v>
      </c>
    </row>
    <row r="208" ht="36.75" customHeight="1">
      <c r="A208" s="20">
        <v>42410.0</v>
      </c>
      <c r="B208" s="21" t="s">
        <v>1112</v>
      </c>
      <c r="C208" s="21" t="s">
        <v>1114</v>
      </c>
      <c r="D208" s="21" t="s">
        <v>1115</v>
      </c>
      <c r="E208" s="21" t="s">
        <v>1116</v>
      </c>
      <c r="F208" s="21">
        <v>29.292253</v>
      </c>
      <c r="G208" s="21">
        <v>-81.039058</v>
      </c>
      <c r="H208" s="21">
        <v>29.410556</v>
      </c>
      <c r="I208" s="22">
        <v>-81.095</v>
      </c>
      <c r="J208" s="21" t="s">
        <v>1923</v>
      </c>
      <c r="K208" s="21" t="s">
        <v>2262</v>
      </c>
      <c r="N208" s="21">
        <v>14.0</v>
      </c>
      <c r="Y208" s="21">
        <v>79.0</v>
      </c>
      <c r="Z208" s="21">
        <v>33.0</v>
      </c>
      <c r="AA208" s="21">
        <v>65.0</v>
      </c>
      <c r="AI208" s="21">
        <v>32.0</v>
      </c>
      <c r="AL208" s="21">
        <v>332.0</v>
      </c>
      <c r="AO208" s="21">
        <v>17.0</v>
      </c>
      <c r="AS208" s="21">
        <v>8.0</v>
      </c>
      <c r="AV208" s="21">
        <v>1.0</v>
      </c>
      <c r="AW208" s="21">
        <v>10.0</v>
      </c>
      <c r="AX208" s="21">
        <v>585.0</v>
      </c>
      <c r="AZ208" s="21">
        <v>127.0</v>
      </c>
      <c r="BA208" s="21">
        <v>82.0</v>
      </c>
      <c r="BI208">
        <f t="shared" si="10"/>
        <v>1385</v>
      </c>
      <c r="BJ208" s="21" t="s">
        <v>2266</v>
      </c>
    </row>
    <row r="209" ht="36.75" customHeight="1">
      <c r="A209" s="20">
        <v>42401.0</v>
      </c>
      <c r="B209" s="21" t="s">
        <v>2267</v>
      </c>
      <c r="C209" s="21" t="s">
        <v>969</v>
      </c>
      <c r="D209" s="21" t="s">
        <v>2268</v>
      </c>
      <c r="E209" s="21" t="s">
        <v>1116</v>
      </c>
      <c r="F209" s="21">
        <v>29.40576</v>
      </c>
      <c r="G209" s="21">
        <v>-81.09661</v>
      </c>
      <c r="H209" s="21">
        <v>29.39417</v>
      </c>
      <c r="I209" s="22">
        <v>-81.091989</v>
      </c>
      <c r="J209" s="21" t="s">
        <v>2269</v>
      </c>
      <c r="K209" s="21" t="s">
        <v>2270</v>
      </c>
      <c r="L209" s="21">
        <v>0.0</v>
      </c>
      <c r="M209" s="21">
        <v>0.0</v>
      </c>
      <c r="N209" s="21">
        <v>5.0</v>
      </c>
      <c r="O209" s="21">
        <v>0.0</v>
      </c>
      <c r="P209" s="21">
        <v>0.0</v>
      </c>
      <c r="Q209" s="21">
        <v>10.0</v>
      </c>
      <c r="R209" s="21">
        <v>3.0</v>
      </c>
      <c r="S209" s="21">
        <v>0.0</v>
      </c>
      <c r="T209" s="21">
        <v>0.0</v>
      </c>
      <c r="U209" s="21">
        <v>0.0</v>
      </c>
      <c r="V209" s="21">
        <v>0.0</v>
      </c>
      <c r="W209" s="21">
        <v>0.0</v>
      </c>
      <c r="X209" s="21"/>
      <c r="Y209" s="21">
        <v>0.0</v>
      </c>
      <c r="Z209" s="21">
        <v>1.0</v>
      </c>
      <c r="AA209" s="21">
        <v>0.0</v>
      </c>
      <c r="AB209" s="21">
        <v>0.0</v>
      </c>
      <c r="AC209" s="21">
        <v>0.0</v>
      </c>
      <c r="AD209" s="21">
        <v>0.0</v>
      </c>
      <c r="AE209" s="21">
        <v>0.0</v>
      </c>
      <c r="AF209" s="21">
        <v>0.0</v>
      </c>
      <c r="AG209" s="21">
        <v>0.0</v>
      </c>
      <c r="AH209" s="21">
        <v>0.0</v>
      </c>
      <c r="AI209" s="21">
        <v>0.0</v>
      </c>
      <c r="AJ209" s="21">
        <v>0.0</v>
      </c>
      <c r="AK209" s="21">
        <v>0.0</v>
      </c>
      <c r="AL209" s="21">
        <v>0.0</v>
      </c>
      <c r="AM209" s="21">
        <v>0.0</v>
      </c>
      <c r="AN209" s="21">
        <v>0.0</v>
      </c>
      <c r="AO209" s="21">
        <v>0.0</v>
      </c>
      <c r="AP209" s="21">
        <v>0.0</v>
      </c>
      <c r="AQ209" s="21">
        <v>0.0</v>
      </c>
      <c r="AR209" s="21">
        <v>2.0</v>
      </c>
      <c r="AS209" s="21">
        <v>1.0</v>
      </c>
      <c r="AT209" s="21">
        <v>0.0</v>
      </c>
      <c r="AU209" s="21">
        <v>0.0</v>
      </c>
      <c r="AV209" s="21">
        <v>0.0</v>
      </c>
      <c r="AW209" s="21">
        <v>0.0</v>
      </c>
      <c r="AX209" s="21">
        <v>0.0</v>
      </c>
      <c r="AY209" s="21">
        <v>0.0</v>
      </c>
      <c r="AZ209" s="21">
        <v>1.0</v>
      </c>
      <c r="BA209" s="21">
        <v>0.0</v>
      </c>
      <c r="BB209" s="21">
        <v>0.0</v>
      </c>
      <c r="BC209" s="21">
        <v>0.0</v>
      </c>
      <c r="BD209" s="21">
        <v>0.0</v>
      </c>
      <c r="BE209" s="21">
        <v>0.0</v>
      </c>
      <c r="BF209" s="21">
        <v>0.0</v>
      </c>
      <c r="BG209" s="21">
        <v>0.0</v>
      </c>
      <c r="BH209" s="21">
        <v>0.0</v>
      </c>
      <c r="BI209">
        <f t="shared" si="10"/>
        <v>23</v>
      </c>
      <c r="BJ209" s="21" t="s">
        <v>899</v>
      </c>
    </row>
    <row r="210" ht="36.75" customHeight="1">
      <c r="A210" s="20">
        <v>42401.0</v>
      </c>
      <c r="B210" s="21" t="s">
        <v>2273</v>
      </c>
      <c r="C210" s="21" t="s">
        <v>969</v>
      </c>
      <c r="D210" s="21" t="s">
        <v>2275</v>
      </c>
      <c r="E210" s="21" t="s">
        <v>1116</v>
      </c>
      <c r="F210" s="21">
        <v>29.4217</v>
      </c>
      <c r="G210" s="21">
        <v>-81.1032</v>
      </c>
      <c r="H210" s="21">
        <v>29.40991</v>
      </c>
      <c r="I210" s="22">
        <v>-81.10094</v>
      </c>
      <c r="J210" s="21" t="s">
        <v>2276</v>
      </c>
      <c r="K210" s="21" t="s">
        <v>2277</v>
      </c>
      <c r="L210" s="21">
        <v>0.0</v>
      </c>
      <c r="M210" s="21">
        <v>0.0</v>
      </c>
      <c r="N210" s="21">
        <v>1.0</v>
      </c>
      <c r="O210" s="21">
        <v>1.0</v>
      </c>
      <c r="P210" s="21">
        <v>1.0</v>
      </c>
      <c r="Q210" s="21">
        <v>2.0</v>
      </c>
      <c r="R210" s="21">
        <v>0.0</v>
      </c>
      <c r="S210" s="21">
        <v>0.0</v>
      </c>
      <c r="T210" s="21">
        <v>0.0</v>
      </c>
      <c r="U210" s="21">
        <v>0.0</v>
      </c>
      <c r="V210" s="21">
        <v>0.0</v>
      </c>
      <c r="W210" s="21">
        <v>0.0</v>
      </c>
      <c r="X210" s="21"/>
      <c r="Y210" s="21">
        <v>0.0</v>
      </c>
      <c r="Z210" s="21">
        <v>0.0</v>
      </c>
      <c r="AA210" s="21">
        <v>2.0</v>
      </c>
      <c r="AB210" s="21">
        <v>1.0</v>
      </c>
      <c r="AC210" s="21">
        <v>0.0</v>
      </c>
      <c r="AD210" s="21">
        <v>0.0</v>
      </c>
      <c r="AE210" s="21">
        <v>0.0</v>
      </c>
      <c r="AF210" s="21">
        <v>0.0</v>
      </c>
      <c r="AG210" s="21">
        <v>0.0</v>
      </c>
      <c r="AH210" s="21">
        <v>0.0</v>
      </c>
      <c r="AI210" s="21">
        <v>0.0</v>
      </c>
      <c r="AJ210" s="21">
        <v>0.0</v>
      </c>
      <c r="AK210" s="21">
        <v>0.0</v>
      </c>
      <c r="AL210" s="21">
        <v>0.0</v>
      </c>
      <c r="AM210" s="21">
        <v>1.0</v>
      </c>
      <c r="AN210" s="21">
        <v>0.0</v>
      </c>
      <c r="AO210" s="21">
        <v>4.0</v>
      </c>
      <c r="AP210" s="21">
        <v>0.0</v>
      </c>
      <c r="AQ210" s="21">
        <v>0.0</v>
      </c>
      <c r="AR210" s="21">
        <v>1.0</v>
      </c>
      <c r="AS210" s="21">
        <v>0.0</v>
      </c>
      <c r="AT210" s="21">
        <v>0.0</v>
      </c>
      <c r="AU210" s="21">
        <v>0.0</v>
      </c>
      <c r="AV210" s="21">
        <v>0.0</v>
      </c>
      <c r="AW210" s="21">
        <v>2.0</v>
      </c>
      <c r="AX210" s="21">
        <v>187.0</v>
      </c>
      <c r="AY210" s="21">
        <v>0.0</v>
      </c>
      <c r="AZ210" s="21">
        <v>14.0</v>
      </c>
      <c r="BA210" s="21">
        <v>0.0</v>
      </c>
      <c r="BB210" s="21">
        <v>0.0</v>
      </c>
      <c r="BC210" s="21">
        <v>0.0</v>
      </c>
      <c r="BD210" s="21">
        <v>0.0</v>
      </c>
      <c r="BE210" s="21">
        <v>0.0</v>
      </c>
      <c r="BF210" s="21">
        <v>0.0</v>
      </c>
      <c r="BG210" s="21">
        <v>0.0</v>
      </c>
      <c r="BH210" s="21">
        <v>0.0</v>
      </c>
      <c r="BI210">
        <f t="shared" si="10"/>
        <v>217</v>
      </c>
      <c r="BJ210" s="21" t="s">
        <v>2279</v>
      </c>
    </row>
    <row r="211" ht="36.75" customHeight="1">
      <c r="A211" s="20">
        <v>42395.0</v>
      </c>
      <c r="B211" s="21" t="s">
        <v>2280</v>
      </c>
      <c r="C211" s="21" t="s">
        <v>29</v>
      </c>
      <c r="D211" s="21" t="s">
        <v>2282</v>
      </c>
      <c r="E211" s="21" t="s">
        <v>1116</v>
      </c>
      <c r="F211" s="21">
        <v>28.794085705</v>
      </c>
      <c r="G211" s="21">
        <v>-80.73511061</v>
      </c>
      <c r="H211" s="21">
        <v>28.938517183</v>
      </c>
      <c r="I211" s="22">
        <v>-80.830310687</v>
      </c>
      <c r="J211" s="21" t="s">
        <v>2283</v>
      </c>
      <c r="K211" s="21" t="s">
        <v>2285</v>
      </c>
      <c r="N211" s="21">
        <v>1.0</v>
      </c>
      <c r="Z211" s="21">
        <v>53.0</v>
      </c>
      <c r="AA211" s="21">
        <v>143.0</v>
      </c>
      <c r="AI211" s="21">
        <v>89.0</v>
      </c>
      <c r="AS211" s="21">
        <v>1.0</v>
      </c>
      <c r="AV211" s="21">
        <v>3.0</v>
      </c>
      <c r="AX211" s="21">
        <v>30.0</v>
      </c>
      <c r="AZ211" s="21">
        <v>14.0</v>
      </c>
      <c r="BA211" s="21">
        <v>10.0</v>
      </c>
      <c r="BI211">
        <f t="shared" si="10"/>
        <v>344</v>
      </c>
    </row>
    <row r="212" ht="36.75" customHeight="1">
      <c r="A212" s="20">
        <v>42410.0</v>
      </c>
      <c r="B212" s="21" t="s">
        <v>1231</v>
      </c>
      <c r="C212" s="21" t="s">
        <v>1233</v>
      </c>
      <c r="D212" s="21" t="s">
        <v>1234</v>
      </c>
      <c r="E212" s="21" t="s">
        <v>1116</v>
      </c>
      <c r="F212" s="21">
        <v>29.06661377</v>
      </c>
      <c r="G212" s="21">
        <v>-80.92694302</v>
      </c>
      <c r="H212" s="21">
        <v>29.07250684</v>
      </c>
      <c r="I212" s="22">
        <v>-80.92831645</v>
      </c>
      <c r="J212" s="21" t="s">
        <v>2230</v>
      </c>
      <c r="K212" s="21" t="s">
        <v>2287</v>
      </c>
      <c r="N212" s="21">
        <v>13.0</v>
      </c>
      <c r="O212" s="21">
        <v>150.0</v>
      </c>
      <c r="P212" s="21">
        <v>15.0</v>
      </c>
      <c r="R212" s="21">
        <v>12.0</v>
      </c>
      <c r="W212" s="21">
        <v>12.0</v>
      </c>
      <c r="X212" s="21"/>
      <c r="Z212" s="21">
        <v>4.0</v>
      </c>
      <c r="AA212" s="21">
        <v>51.0</v>
      </c>
      <c r="AB212" s="21">
        <v>39.0</v>
      </c>
      <c r="AG212" s="21">
        <v>33.0</v>
      </c>
      <c r="AI212" s="21">
        <v>7.0</v>
      </c>
      <c r="AJ212" s="21">
        <v>7.0</v>
      </c>
      <c r="AL212" s="21">
        <v>12.0</v>
      </c>
      <c r="AO212" s="21">
        <v>2.0</v>
      </c>
      <c r="AP212" s="21">
        <v>4.0</v>
      </c>
      <c r="AS212" s="21">
        <v>31.0</v>
      </c>
      <c r="AV212" s="21">
        <v>1.0</v>
      </c>
      <c r="AW212" s="21">
        <v>57.0</v>
      </c>
      <c r="AX212" s="21">
        <v>352.0</v>
      </c>
      <c r="AZ212" s="21">
        <v>13.0</v>
      </c>
      <c r="BA212" s="21">
        <v>14.0</v>
      </c>
      <c r="BB212" s="21">
        <v>2.0</v>
      </c>
      <c r="BI212">
        <f t="shared" si="10"/>
        <v>831</v>
      </c>
      <c r="BJ212" s="21" t="s">
        <v>2289</v>
      </c>
    </row>
    <row r="213" ht="36.75" customHeight="1">
      <c r="A213" s="20">
        <v>42410.0</v>
      </c>
      <c r="B213" s="21" t="s">
        <v>1231</v>
      </c>
      <c r="C213" s="21" t="s">
        <v>1233</v>
      </c>
      <c r="D213" s="21" t="s">
        <v>2290</v>
      </c>
      <c r="E213" s="21" t="s">
        <v>1116</v>
      </c>
      <c r="F213" s="21">
        <v>29.07687867</v>
      </c>
      <c r="G213" s="21">
        <v>-80.92498877</v>
      </c>
      <c r="H213" s="21">
        <v>29.0776998</v>
      </c>
      <c r="I213" s="22">
        <v>-80.92154893</v>
      </c>
      <c r="J213" s="21" t="s">
        <v>2292</v>
      </c>
      <c r="K213" s="21" t="s">
        <v>2259</v>
      </c>
      <c r="AA213" s="21">
        <v>1.0</v>
      </c>
      <c r="BI213">
        <f t="shared" si="10"/>
        <v>1</v>
      </c>
      <c r="BJ213" s="21" t="s">
        <v>2260</v>
      </c>
    </row>
    <row r="214" ht="36.75" customHeight="1">
      <c r="A214" s="20">
        <v>42410.0</v>
      </c>
      <c r="B214" s="21" t="s">
        <v>1231</v>
      </c>
      <c r="C214" s="21" t="s">
        <v>1233</v>
      </c>
      <c r="D214" s="21" t="s">
        <v>2293</v>
      </c>
      <c r="E214" s="21" t="s">
        <v>1116</v>
      </c>
      <c r="F214" s="21">
        <v>29.06540593</v>
      </c>
      <c r="G214" s="21">
        <v>-80.92142009</v>
      </c>
      <c r="H214" s="21">
        <v>29.06366236</v>
      </c>
      <c r="I214" s="22">
        <v>80.92359225</v>
      </c>
      <c r="J214" s="21" t="s">
        <v>2295</v>
      </c>
      <c r="K214" s="21" t="s">
        <v>2296</v>
      </c>
      <c r="AA214" s="21">
        <v>1.0</v>
      </c>
      <c r="AO214" s="21">
        <v>1.0</v>
      </c>
      <c r="BI214">
        <f t="shared" si="10"/>
        <v>2</v>
      </c>
      <c r="BJ214" s="21" t="s">
        <v>2297</v>
      </c>
    </row>
    <row r="215" ht="36.75" customHeight="1">
      <c r="A215" s="20">
        <v>42394.0</v>
      </c>
      <c r="B215" s="21" t="s">
        <v>2299</v>
      </c>
      <c r="C215" s="25" t="s">
        <v>191</v>
      </c>
      <c r="D215" s="25" t="s">
        <v>2300</v>
      </c>
      <c r="E215" s="25" t="s">
        <v>2301</v>
      </c>
      <c r="F215" s="21">
        <v>30.01791</v>
      </c>
      <c r="G215" s="21">
        <v>-84.35559</v>
      </c>
      <c r="H215" s="21">
        <v>30.04875</v>
      </c>
      <c r="I215" s="22">
        <v>-84.34041</v>
      </c>
      <c r="J215" s="21" t="s">
        <v>2302</v>
      </c>
      <c r="K215" s="21" t="s">
        <v>1658</v>
      </c>
      <c r="L215" s="21">
        <v>5.0</v>
      </c>
      <c r="N215" s="21">
        <v>4.0</v>
      </c>
      <c r="O215" s="21">
        <v>149.0</v>
      </c>
      <c r="P215" s="21">
        <v>7.0</v>
      </c>
      <c r="R215" s="21">
        <v>4.0</v>
      </c>
      <c r="Z215" s="21">
        <v>1.0</v>
      </c>
      <c r="AB215" s="21">
        <v>20.0</v>
      </c>
      <c r="AD215" s="21">
        <v>10.0</v>
      </c>
      <c r="AF215" s="21">
        <v>1.0</v>
      </c>
      <c r="AI215" s="21">
        <v>27.0</v>
      </c>
      <c r="AO215" s="21">
        <v>13.0</v>
      </c>
      <c r="AS215" s="21">
        <v>30.0</v>
      </c>
      <c r="AW215" s="21">
        <v>6.0</v>
      </c>
      <c r="AX215" s="21">
        <v>2.0</v>
      </c>
      <c r="AZ215" s="21">
        <v>219.0</v>
      </c>
      <c r="BD215" s="21">
        <v>4.0</v>
      </c>
      <c r="BI215">
        <f t="shared" si="10"/>
        <v>502</v>
      </c>
      <c r="BJ215" s="21" t="s">
        <v>1074</v>
      </c>
    </row>
    <row r="216" ht="36.75" customHeight="1">
      <c r="A216" s="29">
        <v>42389.0</v>
      </c>
      <c r="B216" s="25" t="s">
        <v>2306</v>
      </c>
      <c r="C216" s="25" t="s">
        <v>1066</v>
      </c>
      <c r="D216" s="25" t="s">
        <v>2308</v>
      </c>
      <c r="E216" s="25" t="s">
        <v>2301</v>
      </c>
      <c r="F216" s="25">
        <v>30.01498</v>
      </c>
      <c r="G216" s="25">
        <v>-84.36783</v>
      </c>
      <c r="H216" s="21">
        <v>30.07729</v>
      </c>
      <c r="I216" s="21">
        <v>-84.18316</v>
      </c>
      <c r="J216" s="21" t="s">
        <v>2310</v>
      </c>
      <c r="K216" s="21" t="s">
        <v>2311</v>
      </c>
      <c r="L216" s="21">
        <v>89.0</v>
      </c>
      <c r="N216" s="21">
        <v>45.0</v>
      </c>
      <c r="O216" s="21">
        <v>765.0</v>
      </c>
      <c r="P216" s="21">
        <v>2.0</v>
      </c>
      <c r="S216" s="21">
        <v>12.0</v>
      </c>
      <c r="V216" s="21">
        <v>42.0</v>
      </c>
      <c r="Z216" s="21">
        <v>185.0</v>
      </c>
      <c r="AA216" s="21">
        <v>9.0</v>
      </c>
      <c r="AB216" s="21">
        <v>1.0</v>
      </c>
      <c r="AD216" s="21">
        <v>189.0</v>
      </c>
      <c r="AG216" s="21">
        <v>50.0</v>
      </c>
      <c r="AH216" s="21">
        <v>1.0</v>
      </c>
      <c r="AI216" s="21">
        <v>740.0</v>
      </c>
      <c r="AM216" s="21">
        <v>18.0</v>
      </c>
      <c r="AO216" s="21">
        <v>27.0</v>
      </c>
      <c r="AR216" s="21">
        <v>657.0</v>
      </c>
      <c r="AS216" s="21">
        <v>53.0</v>
      </c>
      <c r="AW216" s="21">
        <v>16.0</v>
      </c>
      <c r="AZ216" s="21">
        <v>5505.0</v>
      </c>
      <c r="BA216" s="21">
        <v>9.0</v>
      </c>
      <c r="BD216" s="21">
        <v>2.0</v>
      </c>
      <c r="BI216">
        <f t="shared" si="10"/>
        <v>8417</v>
      </c>
      <c r="BJ216" s="21" t="s">
        <v>1074</v>
      </c>
    </row>
    <row r="217" ht="36.75" customHeight="1">
      <c r="A217" s="29">
        <v>42408.0</v>
      </c>
      <c r="B217" s="25" t="s">
        <v>1428</v>
      </c>
      <c r="C217" s="25" t="s">
        <v>279</v>
      </c>
      <c r="D217" s="25" t="s">
        <v>1429</v>
      </c>
      <c r="E217" s="25" t="s">
        <v>281</v>
      </c>
      <c r="F217" s="25">
        <v>30.34342</v>
      </c>
      <c r="G217" s="25">
        <v>-86.22112</v>
      </c>
      <c r="H217" s="21">
        <v>30.34155</v>
      </c>
      <c r="I217" s="21">
        <v>-86.21529</v>
      </c>
      <c r="J217" s="21" t="s">
        <v>1431</v>
      </c>
      <c r="K217" s="21" t="s">
        <v>2316</v>
      </c>
      <c r="AA217" s="21">
        <v>3.0</v>
      </c>
      <c r="AO217" s="21">
        <v>6.0</v>
      </c>
      <c r="AZ217" s="21">
        <v>2.0</v>
      </c>
      <c r="BI217">
        <f t="shared" si="10"/>
        <v>11</v>
      </c>
      <c r="BJ217" s="21" t="s">
        <v>2317</v>
      </c>
    </row>
    <row r="218" ht="36.75" customHeight="1">
      <c r="A218" s="29">
        <v>42408.0</v>
      </c>
      <c r="B218" s="25" t="s">
        <v>278</v>
      </c>
      <c r="C218" s="25" t="s">
        <v>279</v>
      </c>
      <c r="D218" s="25" t="s">
        <v>1570</v>
      </c>
      <c r="E218" s="25" t="s">
        <v>281</v>
      </c>
      <c r="F218" s="25">
        <v>30.36671</v>
      </c>
      <c r="G218" s="25">
        <v>-86.31693</v>
      </c>
      <c r="H218" s="21">
        <v>30.35499</v>
      </c>
      <c r="I218" s="21">
        <v>-86.26302</v>
      </c>
      <c r="J218" s="21" t="s">
        <v>1571</v>
      </c>
      <c r="K218" s="21" t="s">
        <v>1572</v>
      </c>
      <c r="AA218" s="21">
        <v>68.0</v>
      </c>
      <c r="AM218" s="21">
        <v>14.0</v>
      </c>
      <c r="AX218" s="21">
        <v>2.0</v>
      </c>
      <c r="AZ218" s="21">
        <v>7.0</v>
      </c>
      <c r="BA218" s="21">
        <v>1.0</v>
      </c>
      <c r="BI218">
        <f t="shared" si="10"/>
        <v>92</v>
      </c>
      <c r="BJ218" s="21" t="s">
        <v>2321</v>
      </c>
    </row>
    <row r="219" ht="36.75" customHeight="1">
      <c r="A219" s="29">
        <v>42409.0</v>
      </c>
      <c r="B219" s="25" t="s">
        <v>278</v>
      </c>
      <c r="C219" s="25" t="s">
        <v>279</v>
      </c>
      <c r="D219" s="25" t="s">
        <v>280</v>
      </c>
      <c r="E219" s="25" t="s">
        <v>281</v>
      </c>
      <c r="F219" s="25">
        <v>30.30209</v>
      </c>
      <c r="G219" s="25">
        <v>-86.08505</v>
      </c>
      <c r="H219" s="21">
        <v>30.2925</v>
      </c>
      <c r="I219" s="21">
        <v>-86.077266</v>
      </c>
      <c r="J219" s="21" t="s">
        <v>1435</v>
      </c>
      <c r="K219" s="21" t="s">
        <v>1436</v>
      </c>
      <c r="AA219" s="21">
        <v>5.0</v>
      </c>
      <c r="AE219" s="21">
        <v>2.0</v>
      </c>
      <c r="AZ219" s="21">
        <v>2.0</v>
      </c>
      <c r="BI219">
        <f t="shared" si="10"/>
        <v>9</v>
      </c>
      <c r="BJ219" s="21" t="s">
        <v>2324</v>
      </c>
    </row>
    <row r="220" ht="36.75" customHeight="1">
      <c r="A220" s="29">
        <v>42409.0</v>
      </c>
      <c r="B220" s="25" t="s">
        <v>278</v>
      </c>
      <c r="C220" s="25" t="s">
        <v>279</v>
      </c>
      <c r="D220" s="25" t="s">
        <v>285</v>
      </c>
      <c r="E220" s="25" t="s">
        <v>281</v>
      </c>
      <c r="F220" s="25">
        <v>30.32107</v>
      </c>
      <c r="G220" s="25">
        <v>-86.146317</v>
      </c>
      <c r="H220" s="21">
        <v>30.33346</v>
      </c>
      <c r="I220" s="21">
        <v>-86.186152</v>
      </c>
      <c r="J220" s="21" t="s">
        <v>1440</v>
      </c>
      <c r="K220" s="21" t="s">
        <v>1441</v>
      </c>
      <c r="AA220" s="21">
        <v>34.0</v>
      </c>
      <c r="AE220" s="21">
        <v>3.0</v>
      </c>
      <c r="AS220" s="21">
        <v>4.0</v>
      </c>
      <c r="AW220" s="21">
        <v>3.0</v>
      </c>
      <c r="AZ220" s="21">
        <v>1.0</v>
      </c>
      <c r="BA220" s="21">
        <v>2.0</v>
      </c>
      <c r="BI220">
        <f t="shared" si="10"/>
        <v>47</v>
      </c>
      <c r="BJ220" s="21" t="s">
        <v>2327</v>
      </c>
    </row>
    <row r="221" ht="36.75" customHeight="1">
      <c r="A221" s="29">
        <v>42409.0</v>
      </c>
      <c r="B221" s="25" t="s">
        <v>278</v>
      </c>
      <c r="C221" s="25" t="s">
        <v>279</v>
      </c>
      <c r="D221" s="25" t="s">
        <v>1586</v>
      </c>
      <c r="E221" s="25" t="s">
        <v>281</v>
      </c>
      <c r="F221" s="25">
        <v>30.29925</v>
      </c>
      <c r="G221" s="25">
        <v>-86.077266</v>
      </c>
      <c r="H221" s="21">
        <v>30.295728</v>
      </c>
      <c r="I221" s="21">
        <v>-86.06432</v>
      </c>
      <c r="J221" s="21" t="s">
        <v>1587</v>
      </c>
      <c r="K221" s="21" t="s">
        <v>1436</v>
      </c>
      <c r="AA221" s="21">
        <v>5.0</v>
      </c>
      <c r="AO221" s="21">
        <v>2.0</v>
      </c>
      <c r="AS221" s="21">
        <v>1.0</v>
      </c>
      <c r="AZ221" s="21">
        <v>4.0</v>
      </c>
      <c r="BI221">
        <f t="shared" si="10"/>
        <v>12</v>
      </c>
      <c r="BJ221" s="21" t="s">
        <v>2331</v>
      </c>
    </row>
    <row r="222" ht="36.75" customHeight="1">
      <c r="A222" s="20"/>
      <c r="B222" s="21"/>
      <c r="C222" s="21"/>
      <c r="D222" s="21"/>
      <c r="E222" s="21"/>
      <c r="F222" s="21"/>
      <c r="G222" s="21"/>
      <c r="H222" s="21"/>
      <c r="I222" s="22"/>
      <c r="J222" s="21"/>
      <c r="K222" s="21"/>
      <c r="V222" s="21"/>
      <c r="AF222" s="21"/>
      <c r="AI222" s="21"/>
      <c r="AO222" s="21"/>
      <c r="AS222" s="21"/>
      <c r="AX222" s="21"/>
      <c r="AZ222" s="21"/>
    </row>
    <row r="223" ht="36.75" customHeight="1">
      <c r="A223" s="20">
        <v>42411.0</v>
      </c>
      <c r="B223" s="21" t="s">
        <v>2334</v>
      </c>
      <c r="C223" s="21" t="s">
        <v>2335</v>
      </c>
      <c r="D223" s="21" t="s">
        <v>2336</v>
      </c>
      <c r="F223" s="21">
        <v>26.423</v>
      </c>
      <c r="G223" s="21">
        <v>-82.0804</v>
      </c>
      <c r="H223" s="21">
        <v>26.4592</v>
      </c>
      <c r="I223" s="22">
        <v>-82.1573</v>
      </c>
      <c r="J223" s="21" t="s">
        <v>2338</v>
      </c>
      <c r="K223" s="21" t="s">
        <v>2339</v>
      </c>
      <c r="N223" s="21">
        <v>16.0</v>
      </c>
      <c r="Z223" s="21">
        <v>6.0</v>
      </c>
      <c r="AA223" s="21">
        <v>102.0</v>
      </c>
      <c r="AW223" s="21">
        <v>11.0</v>
      </c>
      <c r="AX223" s="21">
        <v>43.0</v>
      </c>
      <c r="AZ223" s="21">
        <v>25.0</v>
      </c>
      <c r="BA223" s="21">
        <v>67.0</v>
      </c>
      <c r="BI223">
        <f>sum(L223:BH223)</f>
        <v>270</v>
      </c>
    </row>
    <row r="224" ht="36.75" customHeight="1">
      <c r="A224" s="63">
        <v>42775.0</v>
      </c>
      <c r="B224" s="21" t="s">
        <v>2350</v>
      </c>
      <c r="C224" s="21" t="s">
        <v>2351</v>
      </c>
      <c r="D224" s="21" t="s">
        <v>2353</v>
      </c>
      <c r="E224" s="21" t="s">
        <v>2354</v>
      </c>
      <c r="F224" s="21" t="s">
        <v>2355</v>
      </c>
      <c r="G224" s="21" t="s">
        <v>2356</v>
      </c>
      <c r="H224" s="21" t="s">
        <v>2357</v>
      </c>
      <c r="I224" s="22" t="s">
        <v>2358</v>
      </c>
      <c r="J224" s="21" t="s">
        <v>2359</v>
      </c>
      <c r="K224" s="21" t="s">
        <v>2360</v>
      </c>
      <c r="Q224" s="21">
        <v>2.0</v>
      </c>
      <c r="AR224" s="21">
        <v>2.0</v>
      </c>
      <c r="AX224" s="21">
        <v>2.0</v>
      </c>
      <c r="BI224" s="21">
        <v>6.0</v>
      </c>
      <c r="BJ224" s="21" t="s">
        <v>2362</v>
      </c>
    </row>
    <row r="225" ht="36.75" customHeight="1">
      <c r="A225" s="63">
        <v>42775.0</v>
      </c>
      <c r="B225" s="21" t="s">
        <v>2350</v>
      </c>
      <c r="C225" s="21" t="s">
        <v>2351</v>
      </c>
      <c r="D225" s="21" t="s">
        <v>1083</v>
      </c>
      <c r="E225" s="21" t="s">
        <v>1084</v>
      </c>
      <c r="F225" s="21" t="s">
        <v>2357</v>
      </c>
      <c r="G225" s="21" t="s">
        <v>2358</v>
      </c>
      <c r="H225" s="21" t="s">
        <v>2363</v>
      </c>
      <c r="I225" s="22" t="s">
        <v>2364</v>
      </c>
      <c r="J225" s="21" t="s">
        <v>2365</v>
      </c>
      <c r="K225" s="21" t="s">
        <v>2366</v>
      </c>
      <c r="O225" s="21">
        <v>20.0</v>
      </c>
      <c r="P225" s="21">
        <v>165.0</v>
      </c>
      <c r="Q225" s="21">
        <v>2.0</v>
      </c>
      <c r="S225" s="21">
        <v>84.0</v>
      </c>
      <c r="U225" s="21">
        <v>220.0</v>
      </c>
      <c r="AK225" s="21">
        <v>45.0</v>
      </c>
      <c r="AL225" s="21">
        <v>9.0</v>
      </c>
      <c r="AP225" s="21">
        <v>29.0</v>
      </c>
      <c r="AR225" s="21">
        <v>4.0</v>
      </c>
      <c r="AS225" s="21">
        <v>8.0</v>
      </c>
      <c r="AW225" s="21">
        <v>6.0</v>
      </c>
      <c r="AX225" s="21">
        <v>115.0</v>
      </c>
      <c r="AZ225" s="21">
        <v>15.0</v>
      </c>
      <c r="BD225" s="21">
        <v>12.0</v>
      </c>
      <c r="BI225" s="21">
        <v>735.0</v>
      </c>
      <c r="BJ225" s="21" t="s">
        <v>2367</v>
      </c>
    </row>
    <row r="226" ht="36.75" customHeight="1">
      <c r="A226" s="63">
        <v>42775.0</v>
      </c>
      <c r="B226" s="21" t="s">
        <v>2350</v>
      </c>
      <c r="C226" s="21" t="s">
        <v>2351</v>
      </c>
      <c r="D226" s="21" t="s">
        <v>2369</v>
      </c>
      <c r="E226" s="21" t="s">
        <v>2354</v>
      </c>
      <c r="F226" s="21" t="s">
        <v>2370</v>
      </c>
      <c r="G226" s="21" t="s">
        <v>2371</v>
      </c>
      <c r="H226" s="21" t="s">
        <v>2372</v>
      </c>
      <c r="I226" s="22" t="s">
        <v>2373</v>
      </c>
      <c r="J226" s="21" t="s">
        <v>2374</v>
      </c>
      <c r="K226" s="21" t="s">
        <v>2366</v>
      </c>
      <c r="O226" s="21">
        <v>4.0</v>
      </c>
      <c r="P226" s="21">
        <v>13.0</v>
      </c>
      <c r="Q226" s="21">
        <v>1.0</v>
      </c>
      <c r="R226" s="21">
        <v>9.0</v>
      </c>
      <c r="U226" s="21">
        <v>18.0</v>
      </c>
      <c r="AK226" s="21">
        <v>1.0</v>
      </c>
      <c r="BI226" s="21">
        <v>46.0</v>
      </c>
      <c r="BJ226" s="21" t="s">
        <v>2362</v>
      </c>
    </row>
    <row r="227" ht="36.75" customHeight="1">
      <c r="A227" s="63">
        <v>42771.0</v>
      </c>
      <c r="B227" s="21" t="s">
        <v>2375</v>
      </c>
      <c r="C227" s="21" t="s">
        <v>2351</v>
      </c>
      <c r="D227" s="21" t="s">
        <v>1215</v>
      </c>
      <c r="E227" s="21" t="s">
        <v>1216</v>
      </c>
      <c r="F227" s="21" t="s">
        <v>1217</v>
      </c>
      <c r="G227" s="21" t="s">
        <v>2376</v>
      </c>
      <c r="H227" s="21" t="s">
        <v>2377</v>
      </c>
      <c r="I227" s="22" t="s">
        <v>2378</v>
      </c>
      <c r="J227" s="21" t="s">
        <v>2379</v>
      </c>
      <c r="K227" s="21" t="s">
        <v>2380</v>
      </c>
      <c r="Q227" s="21">
        <v>16.0</v>
      </c>
      <c r="BI227" s="21">
        <v>16.0</v>
      </c>
      <c r="BJ227" s="21" t="s">
        <v>2381</v>
      </c>
    </row>
    <row r="228" ht="36.75" customHeight="1">
      <c r="A228" s="63">
        <v>42775.0</v>
      </c>
      <c r="B228" s="21" t="s">
        <v>1081</v>
      </c>
      <c r="C228" s="21" t="s">
        <v>2351</v>
      </c>
      <c r="D228" s="21" t="s">
        <v>2383</v>
      </c>
      <c r="E228" s="21" t="s">
        <v>1516</v>
      </c>
      <c r="F228" s="21" t="s">
        <v>2384</v>
      </c>
      <c r="G228" s="21" t="s">
        <v>2385</v>
      </c>
      <c r="H228" s="21" t="s">
        <v>2386</v>
      </c>
      <c r="I228" s="22" t="s">
        <v>2387</v>
      </c>
      <c r="J228" s="21" t="s">
        <v>2388</v>
      </c>
      <c r="K228" s="21" t="s">
        <v>2389</v>
      </c>
      <c r="AL228" s="21">
        <v>130.0</v>
      </c>
      <c r="AO228" s="21">
        <v>8.0</v>
      </c>
      <c r="AR228" s="21">
        <v>17.0</v>
      </c>
      <c r="AS228" s="21">
        <v>5.0</v>
      </c>
      <c r="AX228" s="21">
        <v>124.0</v>
      </c>
      <c r="AZ228" s="21">
        <v>65.0</v>
      </c>
      <c r="BI228" s="21">
        <v>349.0</v>
      </c>
      <c r="BJ228" s="21" t="s">
        <v>2391</v>
      </c>
    </row>
    <row r="229" ht="36.75" customHeight="1">
      <c r="A229" s="63">
        <v>42775.0</v>
      </c>
      <c r="B229" s="21" t="s">
        <v>1689</v>
      </c>
      <c r="C229" s="21" t="s">
        <v>2392</v>
      </c>
      <c r="D229" s="21" t="s">
        <v>1291</v>
      </c>
      <c r="E229" s="21" t="s">
        <v>184</v>
      </c>
      <c r="F229" s="21">
        <v>24.8126</v>
      </c>
      <c r="G229" s="21">
        <v>80.8218</v>
      </c>
      <c r="H229" s="21">
        <v>24.8056</v>
      </c>
      <c r="I229" s="22">
        <v>80.8419</v>
      </c>
      <c r="J229" s="64">
        <v>0.4548611111111111</v>
      </c>
      <c r="K229" s="64">
        <v>0.5013888888888889</v>
      </c>
      <c r="N229" s="21">
        <v>11.0</v>
      </c>
      <c r="W229" s="21">
        <v>3.0</v>
      </c>
      <c r="Z229" s="21">
        <v>5.0</v>
      </c>
      <c r="AA229" s="21">
        <v>48.0</v>
      </c>
      <c r="AB229" s="21">
        <v>53.0</v>
      </c>
      <c r="AC229" s="21">
        <v>14.0</v>
      </c>
      <c r="AD229" s="21">
        <v>23.0</v>
      </c>
      <c r="AI229" s="21">
        <v>13.0</v>
      </c>
      <c r="AR229" s="21">
        <v>2.0</v>
      </c>
      <c r="AW229" s="21">
        <v>1.0</v>
      </c>
      <c r="AX229" s="21">
        <v>9.0</v>
      </c>
      <c r="AY229" s="21">
        <v>2.0</v>
      </c>
      <c r="AZ229" s="21">
        <v>4.0</v>
      </c>
      <c r="BA229" s="21">
        <v>43.0</v>
      </c>
    </row>
    <row r="230" ht="36.75" customHeight="1">
      <c r="A230" s="65">
        <v>42774.0</v>
      </c>
      <c r="B230" s="21" t="s">
        <v>1689</v>
      </c>
      <c r="C230" s="21" t="s">
        <v>2392</v>
      </c>
      <c r="D230" s="21" t="s">
        <v>2395</v>
      </c>
      <c r="E230" s="21" t="s">
        <v>184</v>
      </c>
      <c r="F230" s="21">
        <v>24.6691</v>
      </c>
      <c r="G230" s="21">
        <v>81.2502</v>
      </c>
      <c r="H230" s="21">
        <v>24.6543</v>
      </c>
      <c r="I230" s="22">
        <v>81.2814</v>
      </c>
      <c r="J230" s="64">
        <v>0.40625</v>
      </c>
      <c r="K230" s="64">
        <v>0.4840277777777778</v>
      </c>
      <c r="Z230" s="21">
        <v>72.0</v>
      </c>
      <c r="AA230" s="21">
        <v>122.0</v>
      </c>
      <c r="AC230" s="21">
        <v>3.0</v>
      </c>
      <c r="AZ230" s="21">
        <v>2.0</v>
      </c>
      <c r="BA230" s="21">
        <v>1.0</v>
      </c>
      <c r="BI230">
        <f t="shared" ref="BI230:BI298" si="11">sum(L230:BH230)</f>
        <v>200</v>
      </c>
    </row>
    <row r="231" ht="36.75" customHeight="1">
      <c r="A231" s="65">
        <v>42772.0</v>
      </c>
      <c r="B231" s="21" t="s">
        <v>1689</v>
      </c>
      <c r="C231" s="21" t="s">
        <v>2392</v>
      </c>
      <c r="D231" s="21" t="s">
        <v>2398</v>
      </c>
      <c r="E231" s="21" t="s">
        <v>184</v>
      </c>
      <c r="F231" s="21">
        <v>24.5457</v>
      </c>
      <c r="G231" s="21">
        <v>81.8123</v>
      </c>
      <c r="H231" s="21">
        <v>24.5452</v>
      </c>
      <c r="I231" s="22">
        <v>81.8082</v>
      </c>
      <c r="J231" s="64">
        <v>0.7166666666666667</v>
      </c>
      <c r="K231" s="64">
        <v>0.7243055555555555</v>
      </c>
      <c r="AO231" s="21">
        <v>1.0</v>
      </c>
      <c r="AR231" s="21">
        <v>1.0</v>
      </c>
      <c r="AX231" s="21">
        <v>2.0</v>
      </c>
      <c r="AZ231" s="21">
        <v>6.0</v>
      </c>
      <c r="BI231">
        <f t="shared" si="11"/>
        <v>10</v>
      </c>
    </row>
    <row r="232" ht="36.75" customHeight="1">
      <c r="A232" s="65">
        <v>42769.0</v>
      </c>
      <c r="B232" s="21" t="s">
        <v>1689</v>
      </c>
      <c r="C232" s="21" t="s">
        <v>2392</v>
      </c>
      <c r="D232" s="21" t="s">
        <v>1690</v>
      </c>
      <c r="E232" s="21" t="s">
        <v>715</v>
      </c>
      <c r="F232" s="21">
        <v>27.4722</v>
      </c>
      <c r="G232" s="21">
        <v>80.2949</v>
      </c>
      <c r="H232" s="21">
        <v>27.479</v>
      </c>
      <c r="I232" s="22">
        <v>80.2928</v>
      </c>
      <c r="J232" s="64">
        <v>0.40625</v>
      </c>
      <c r="K232" s="64">
        <v>0.4340277777777778</v>
      </c>
      <c r="AA232" s="21">
        <v>35.0</v>
      </c>
      <c r="AO232" s="21">
        <v>11.0</v>
      </c>
      <c r="AR232" s="21">
        <v>1.0</v>
      </c>
      <c r="AZ232" s="21">
        <v>2.0</v>
      </c>
      <c r="BI232">
        <f t="shared" si="11"/>
        <v>49</v>
      </c>
    </row>
    <row r="233" ht="36.75" customHeight="1">
      <c r="A233" s="65">
        <v>42769.0</v>
      </c>
      <c r="B233" s="21" t="s">
        <v>1689</v>
      </c>
      <c r="C233" s="21" t="s">
        <v>2392</v>
      </c>
      <c r="D233" s="21" t="s">
        <v>2194</v>
      </c>
      <c r="E233" s="21" t="s">
        <v>715</v>
      </c>
      <c r="F233" s="21">
        <v>27.5346</v>
      </c>
      <c r="G233" s="21">
        <v>80.3147</v>
      </c>
      <c r="H233" s="21">
        <v>27.5551</v>
      </c>
      <c r="I233" s="22">
        <v>80.3207</v>
      </c>
      <c r="J233" s="64">
        <v>0.4479166666666667</v>
      </c>
      <c r="K233" s="64">
        <v>0.4895833333333333</v>
      </c>
      <c r="AI233" s="21">
        <v>2.0</v>
      </c>
      <c r="AZ233" s="21">
        <v>1.0</v>
      </c>
      <c r="BI233">
        <f t="shared" si="11"/>
        <v>3</v>
      </c>
    </row>
    <row r="234" ht="36.75" customHeight="1">
      <c r="A234" s="65">
        <v>42770.0</v>
      </c>
      <c r="B234" s="21" t="s">
        <v>1689</v>
      </c>
      <c r="C234" s="21" t="s">
        <v>2392</v>
      </c>
      <c r="D234" s="21" t="s">
        <v>1898</v>
      </c>
      <c r="E234" s="21" t="s">
        <v>220</v>
      </c>
      <c r="F234" s="21">
        <v>26.8142</v>
      </c>
      <c r="G234" s="21">
        <v>80.0354</v>
      </c>
      <c r="H234" s="21">
        <v>26.8364</v>
      </c>
      <c r="I234" s="22">
        <v>80.0413</v>
      </c>
      <c r="J234" s="64">
        <v>0.3645833333333333</v>
      </c>
      <c r="K234" s="64">
        <v>0.4375</v>
      </c>
      <c r="AA234" s="21">
        <v>39.0</v>
      </c>
      <c r="AO234" s="21">
        <v>1.0</v>
      </c>
      <c r="AW234" s="21">
        <v>1.0</v>
      </c>
      <c r="AY234" s="21">
        <v>35.0</v>
      </c>
      <c r="AZ234" s="21">
        <v>79.0</v>
      </c>
      <c r="BI234">
        <f t="shared" si="11"/>
        <v>155</v>
      </c>
    </row>
    <row r="235" ht="36.75" customHeight="1">
      <c r="A235" s="65">
        <v>42773.0</v>
      </c>
      <c r="B235" s="21" t="s">
        <v>2402</v>
      </c>
      <c r="C235" s="21" t="s">
        <v>2392</v>
      </c>
      <c r="D235" s="21" t="s">
        <v>2403</v>
      </c>
      <c r="E235" s="21" t="s">
        <v>484</v>
      </c>
      <c r="F235" s="21">
        <v>26.0916</v>
      </c>
      <c r="G235" s="21">
        <v>80.108</v>
      </c>
      <c r="H235" s="21">
        <v>26.0605</v>
      </c>
      <c r="I235" s="22">
        <v>80.1113</v>
      </c>
      <c r="J235" s="64">
        <v>0.2986111111111111</v>
      </c>
      <c r="K235" s="64">
        <v>0.375</v>
      </c>
      <c r="W235" s="21">
        <v>2.0</v>
      </c>
      <c r="AA235" s="21">
        <v>60.0</v>
      </c>
      <c r="AB235" s="21">
        <v>1.0</v>
      </c>
      <c r="AO235" s="21">
        <v>50.0</v>
      </c>
      <c r="AR235" s="21">
        <v>1.0</v>
      </c>
      <c r="AX235" s="21">
        <v>3.0</v>
      </c>
      <c r="AY235" s="21">
        <v>4.0</v>
      </c>
      <c r="AZ235" s="21">
        <v>12.0</v>
      </c>
      <c r="BA235" s="21">
        <v>3.0</v>
      </c>
      <c r="BI235">
        <f t="shared" si="11"/>
        <v>136</v>
      </c>
    </row>
    <row r="236" ht="36.75" customHeight="1">
      <c r="I236" s="54"/>
      <c r="BI236">
        <f t="shared" si="11"/>
        <v>0</v>
      </c>
    </row>
    <row r="237" ht="36.75" customHeight="1">
      <c r="I237" s="54"/>
      <c r="BI237">
        <f t="shared" si="11"/>
        <v>0</v>
      </c>
    </row>
    <row r="238" ht="36.75" customHeight="1">
      <c r="I238" s="54"/>
      <c r="BI238">
        <f t="shared" si="11"/>
        <v>0</v>
      </c>
    </row>
    <row r="239" ht="36.75" customHeight="1">
      <c r="I239" s="54"/>
      <c r="BI239">
        <f t="shared" si="11"/>
        <v>0</v>
      </c>
    </row>
    <row r="240" ht="36.75" customHeight="1">
      <c r="I240" s="54"/>
      <c r="BI240">
        <f t="shared" si="11"/>
        <v>0</v>
      </c>
    </row>
    <row r="241" ht="36.75" customHeight="1">
      <c r="I241" s="54"/>
      <c r="BI241">
        <f t="shared" si="11"/>
        <v>0</v>
      </c>
    </row>
    <row r="242" ht="36.75" customHeight="1">
      <c r="I242" s="54"/>
      <c r="BI242">
        <f t="shared" si="11"/>
        <v>0</v>
      </c>
    </row>
    <row r="243" ht="36.75" customHeight="1">
      <c r="I243" s="54"/>
      <c r="BI243">
        <f t="shared" si="11"/>
        <v>0</v>
      </c>
    </row>
    <row r="244" ht="36.75" customHeight="1">
      <c r="I244" s="54"/>
      <c r="BI244">
        <f t="shared" si="11"/>
        <v>0</v>
      </c>
    </row>
    <row r="245" ht="36.75" customHeight="1">
      <c r="I245" s="54"/>
      <c r="BI245">
        <f t="shared" si="11"/>
        <v>0</v>
      </c>
    </row>
    <row r="246" ht="36.75" customHeight="1">
      <c r="I246" s="54"/>
      <c r="BI246">
        <f t="shared" si="11"/>
        <v>0</v>
      </c>
    </row>
    <row r="247" ht="36.75" customHeight="1">
      <c r="I247" s="54"/>
      <c r="BI247">
        <f t="shared" si="11"/>
        <v>0</v>
      </c>
    </row>
    <row r="248" ht="36.75" customHeight="1">
      <c r="I248" s="54"/>
      <c r="BI248">
        <f t="shared" si="11"/>
        <v>0</v>
      </c>
    </row>
    <row r="249" ht="36.75" customHeight="1">
      <c r="I249" s="54"/>
      <c r="BI249">
        <f t="shared" si="11"/>
        <v>0</v>
      </c>
    </row>
    <row r="250" ht="36.75" customHeight="1">
      <c r="I250" s="54"/>
      <c r="BI250">
        <f t="shared" si="11"/>
        <v>0</v>
      </c>
    </row>
    <row r="251" ht="36.75" customHeight="1">
      <c r="I251" s="54"/>
      <c r="BI251">
        <f t="shared" si="11"/>
        <v>0</v>
      </c>
    </row>
    <row r="252" ht="36.75" customHeight="1">
      <c r="I252" s="54"/>
      <c r="BI252">
        <f t="shared" si="11"/>
        <v>0</v>
      </c>
    </row>
    <row r="253" ht="36.75" customHeight="1">
      <c r="I253" s="54"/>
      <c r="BI253">
        <f t="shared" si="11"/>
        <v>0</v>
      </c>
    </row>
    <row r="254" ht="36.75" customHeight="1">
      <c r="I254" s="54"/>
      <c r="BI254">
        <f t="shared" si="11"/>
        <v>0</v>
      </c>
    </row>
    <row r="255" ht="36.75" customHeight="1">
      <c r="I255" s="54"/>
      <c r="BI255">
        <f t="shared" si="11"/>
        <v>0</v>
      </c>
    </row>
    <row r="256" ht="36.75" customHeight="1">
      <c r="I256" s="54"/>
      <c r="BI256">
        <f t="shared" si="11"/>
        <v>0</v>
      </c>
    </row>
    <row r="257" ht="36.75" customHeight="1">
      <c r="I257" s="54"/>
      <c r="BI257">
        <f t="shared" si="11"/>
        <v>0</v>
      </c>
    </row>
    <row r="258" ht="36.75" customHeight="1">
      <c r="I258" s="54"/>
      <c r="BI258">
        <f t="shared" si="11"/>
        <v>0</v>
      </c>
    </row>
    <row r="259" ht="36.75" customHeight="1">
      <c r="I259" s="54"/>
      <c r="BI259">
        <f t="shared" si="11"/>
        <v>0</v>
      </c>
    </row>
    <row r="260" ht="36.75" customHeight="1">
      <c r="I260" s="54"/>
      <c r="BI260">
        <f t="shared" si="11"/>
        <v>0</v>
      </c>
    </row>
    <row r="261" ht="36.75" customHeight="1">
      <c r="I261" s="54"/>
      <c r="BI261">
        <f t="shared" si="11"/>
        <v>0</v>
      </c>
    </row>
    <row r="262" ht="36.75" customHeight="1">
      <c r="I262" s="54"/>
      <c r="BI262">
        <f t="shared" si="11"/>
        <v>0</v>
      </c>
    </row>
    <row r="263" ht="36.75" customHeight="1">
      <c r="I263" s="54"/>
      <c r="BI263">
        <f t="shared" si="11"/>
        <v>0</v>
      </c>
    </row>
    <row r="264" ht="36.75" customHeight="1">
      <c r="I264" s="54"/>
      <c r="BI264">
        <f t="shared" si="11"/>
        <v>0</v>
      </c>
    </row>
    <row r="265" ht="36.75" customHeight="1">
      <c r="I265" s="54"/>
      <c r="BI265">
        <f t="shared" si="11"/>
        <v>0</v>
      </c>
    </row>
    <row r="266" ht="36.75" customHeight="1">
      <c r="I266" s="54"/>
      <c r="BI266">
        <f t="shared" si="11"/>
        <v>0</v>
      </c>
    </row>
    <row r="267" ht="36.75" customHeight="1">
      <c r="I267" s="54"/>
      <c r="BI267">
        <f t="shared" si="11"/>
        <v>0</v>
      </c>
    </row>
    <row r="268" ht="36.75" customHeight="1">
      <c r="I268" s="54"/>
      <c r="BI268">
        <f t="shared" si="11"/>
        <v>0</v>
      </c>
    </row>
    <row r="269" ht="36.75" customHeight="1">
      <c r="I269" s="54"/>
      <c r="BI269">
        <f t="shared" si="11"/>
        <v>0</v>
      </c>
    </row>
    <row r="270" ht="36.75" customHeight="1">
      <c r="I270" s="54"/>
      <c r="BI270">
        <f t="shared" si="11"/>
        <v>0</v>
      </c>
    </row>
    <row r="271" ht="36.75" customHeight="1">
      <c r="I271" s="54"/>
      <c r="BI271">
        <f t="shared" si="11"/>
        <v>0</v>
      </c>
    </row>
    <row r="272" ht="36.75" customHeight="1">
      <c r="I272" s="54"/>
      <c r="BI272">
        <f t="shared" si="11"/>
        <v>0</v>
      </c>
    </row>
    <row r="273" ht="36.75" customHeight="1">
      <c r="I273" s="54"/>
      <c r="BI273">
        <f t="shared" si="11"/>
        <v>0</v>
      </c>
    </row>
    <row r="274" ht="36.75" customHeight="1">
      <c r="I274" s="54"/>
      <c r="BI274">
        <f t="shared" si="11"/>
        <v>0</v>
      </c>
    </row>
    <row r="275" ht="36.75" customHeight="1">
      <c r="I275" s="54"/>
      <c r="BI275">
        <f t="shared" si="11"/>
        <v>0</v>
      </c>
    </row>
    <row r="276" ht="36.75" customHeight="1">
      <c r="I276" s="54"/>
      <c r="BI276">
        <f t="shared" si="11"/>
        <v>0</v>
      </c>
    </row>
    <row r="277" ht="36.75" customHeight="1">
      <c r="I277" s="54"/>
      <c r="BI277">
        <f t="shared" si="11"/>
        <v>0</v>
      </c>
    </row>
    <row r="278" ht="36.75" customHeight="1">
      <c r="I278" s="54"/>
      <c r="BI278">
        <f t="shared" si="11"/>
        <v>0</v>
      </c>
    </row>
    <row r="279" ht="36.75" customHeight="1">
      <c r="I279" s="54"/>
      <c r="BI279">
        <f t="shared" si="11"/>
        <v>0</v>
      </c>
    </row>
    <row r="280" ht="36.75" customHeight="1">
      <c r="I280" s="54"/>
      <c r="BI280">
        <f t="shared" si="11"/>
        <v>0</v>
      </c>
    </row>
    <row r="281" ht="36.75" customHeight="1">
      <c r="I281" s="54"/>
      <c r="BI281">
        <f t="shared" si="11"/>
        <v>0</v>
      </c>
    </row>
    <row r="282" ht="36.75" customHeight="1">
      <c r="I282" s="54"/>
      <c r="BI282">
        <f t="shared" si="11"/>
        <v>0</v>
      </c>
    </row>
    <row r="283" ht="36.75" customHeight="1">
      <c r="I283" s="54"/>
      <c r="BI283">
        <f t="shared" si="11"/>
        <v>0</v>
      </c>
    </row>
    <row r="284" ht="36.75" customHeight="1">
      <c r="I284" s="54"/>
      <c r="BI284">
        <f t="shared" si="11"/>
        <v>0</v>
      </c>
    </row>
    <row r="285" ht="36.75" customHeight="1">
      <c r="I285" s="54"/>
      <c r="BI285">
        <f t="shared" si="11"/>
        <v>0</v>
      </c>
    </row>
    <row r="286" ht="36.75" customHeight="1">
      <c r="I286" s="54"/>
      <c r="BI286">
        <f t="shared" si="11"/>
        <v>0</v>
      </c>
    </row>
    <row r="287" ht="36.75" customHeight="1">
      <c r="I287" s="54"/>
      <c r="BI287">
        <f t="shared" si="11"/>
        <v>0</v>
      </c>
    </row>
    <row r="288" ht="36.75" customHeight="1">
      <c r="I288" s="54"/>
      <c r="BI288">
        <f t="shared" si="11"/>
        <v>0</v>
      </c>
    </row>
    <row r="289" ht="36.75" customHeight="1">
      <c r="I289" s="54"/>
      <c r="BI289">
        <f t="shared" si="11"/>
        <v>0</v>
      </c>
    </row>
    <row r="290" ht="36.75" customHeight="1">
      <c r="I290" s="54"/>
      <c r="BI290">
        <f t="shared" si="11"/>
        <v>0</v>
      </c>
    </row>
    <row r="291" ht="36.75" customHeight="1">
      <c r="I291" s="54"/>
      <c r="BI291">
        <f t="shared" si="11"/>
        <v>0</v>
      </c>
    </row>
    <row r="292" ht="36.75" customHeight="1">
      <c r="I292" s="54"/>
      <c r="BI292">
        <f t="shared" si="11"/>
        <v>0</v>
      </c>
    </row>
    <row r="293" ht="36.75" customHeight="1">
      <c r="I293" s="54"/>
      <c r="BI293">
        <f t="shared" si="11"/>
        <v>0</v>
      </c>
    </row>
    <row r="294" ht="36.75" customHeight="1">
      <c r="I294" s="54"/>
      <c r="BI294">
        <f t="shared" si="11"/>
        <v>0</v>
      </c>
    </row>
    <row r="295" ht="36.75" customHeight="1">
      <c r="I295" s="54"/>
      <c r="BI295">
        <f t="shared" si="11"/>
        <v>0</v>
      </c>
    </row>
    <row r="296" ht="36.75" customHeight="1">
      <c r="I296" s="54"/>
      <c r="BI296">
        <f t="shared" si="11"/>
        <v>0</v>
      </c>
    </row>
    <row r="297" ht="36.75" customHeight="1">
      <c r="I297" s="54"/>
      <c r="BI297">
        <f t="shared" si="11"/>
        <v>0</v>
      </c>
    </row>
    <row r="298" ht="36.75" customHeight="1">
      <c r="I298" s="54"/>
      <c r="BI298">
        <f t="shared" si="11"/>
        <v>0</v>
      </c>
    </row>
    <row r="299" ht="36.75" customHeight="1">
      <c r="I299" s="54"/>
    </row>
    <row r="300" ht="36.75" customHeight="1">
      <c r="I300" s="54"/>
    </row>
    <row r="301" ht="36.75" customHeight="1">
      <c r="I301" s="54"/>
    </row>
    <row r="302" ht="36.75" customHeight="1">
      <c r="I302" s="54"/>
    </row>
    <row r="303" ht="36.75" customHeight="1">
      <c r="I303" s="54"/>
    </row>
    <row r="304" ht="36.75" customHeight="1">
      <c r="I304" s="54"/>
    </row>
    <row r="305" ht="36.75" customHeight="1">
      <c r="I305" s="54"/>
    </row>
    <row r="306" ht="36.75" customHeight="1">
      <c r="I306" s="54"/>
    </row>
    <row r="307" ht="36.75" customHeight="1">
      <c r="I307" s="54"/>
    </row>
    <row r="308" ht="36.75" customHeight="1">
      <c r="I308" s="54"/>
    </row>
    <row r="309" ht="36.75" customHeight="1">
      <c r="I309" s="54"/>
    </row>
    <row r="310" ht="36.75" customHeight="1">
      <c r="I310" s="54"/>
    </row>
    <row r="311" ht="36.75" customHeight="1">
      <c r="I311" s="54"/>
    </row>
    <row r="312" ht="36.75" customHeight="1">
      <c r="I312" s="54"/>
    </row>
    <row r="313" ht="36.75" customHeight="1">
      <c r="I313" s="54"/>
    </row>
    <row r="314" ht="36.75" customHeight="1">
      <c r="I314" s="54"/>
    </row>
    <row r="315" ht="36.75" customHeight="1">
      <c r="I315" s="54"/>
    </row>
    <row r="316" ht="36.75" customHeight="1">
      <c r="I316" s="54"/>
    </row>
    <row r="317" ht="36.75" customHeight="1">
      <c r="I317" s="54"/>
    </row>
    <row r="318" ht="36.75" customHeight="1">
      <c r="I318" s="54"/>
    </row>
    <row r="319" ht="36.75" customHeight="1">
      <c r="I319" s="54"/>
    </row>
    <row r="320" ht="36.75" customHeight="1">
      <c r="I320" s="54"/>
    </row>
    <row r="321" ht="36.75" customHeight="1">
      <c r="I321" s="54"/>
    </row>
    <row r="322" ht="36.75" customHeight="1">
      <c r="I322" s="54"/>
    </row>
    <row r="323" ht="36.75" customHeight="1">
      <c r="I323" s="54"/>
    </row>
    <row r="324" ht="36.75" customHeight="1">
      <c r="I324" s="54"/>
    </row>
    <row r="325" ht="36.75" customHeight="1">
      <c r="I325" s="54"/>
    </row>
    <row r="326" ht="36.75" customHeight="1">
      <c r="I326" s="54"/>
    </row>
    <row r="327" ht="36.75" customHeight="1">
      <c r="I327" s="54"/>
    </row>
    <row r="328" ht="36.75" customHeight="1">
      <c r="I328" s="54"/>
    </row>
    <row r="329" ht="36.75" customHeight="1">
      <c r="I329" s="54"/>
    </row>
    <row r="330" ht="36.75" customHeight="1">
      <c r="I330" s="54"/>
    </row>
    <row r="331" ht="36.75" customHeight="1">
      <c r="I331" s="54"/>
    </row>
    <row r="332" ht="36.75" customHeight="1">
      <c r="I332" s="54"/>
    </row>
    <row r="333" ht="36.75" customHeight="1">
      <c r="I333" s="54"/>
    </row>
    <row r="334" ht="36.75" customHeight="1">
      <c r="I334" s="54"/>
    </row>
    <row r="335" ht="36.75" customHeight="1">
      <c r="I335" s="54"/>
    </row>
    <row r="336" ht="36.75" customHeight="1">
      <c r="I336" s="54"/>
    </row>
    <row r="337" ht="36.75" customHeight="1">
      <c r="I337" s="54"/>
    </row>
    <row r="338" ht="36.75" customHeight="1">
      <c r="I338" s="54"/>
    </row>
    <row r="339" ht="36.75" customHeight="1">
      <c r="I339" s="54"/>
    </row>
    <row r="340" ht="36.75" customHeight="1">
      <c r="I340" s="54"/>
    </row>
    <row r="341" ht="36.75" customHeight="1">
      <c r="I341" s="54"/>
    </row>
    <row r="342" ht="36.75" customHeight="1">
      <c r="I342" s="54"/>
    </row>
    <row r="343" ht="36.75" customHeight="1">
      <c r="I343" s="54"/>
    </row>
    <row r="344" ht="36.75" customHeight="1">
      <c r="I344" s="54"/>
    </row>
    <row r="345" ht="36.75" customHeight="1">
      <c r="I345" s="54"/>
    </row>
    <row r="346" ht="36.75" customHeight="1">
      <c r="I346" s="54"/>
    </row>
    <row r="347" ht="36.75" customHeight="1">
      <c r="I347" s="54"/>
    </row>
    <row r="348" ht="36.75" customHeight="1">
      <c r="I348" s="54"/>
    </row>
    <row r="349" ht="36.75" customHeight="1">
      <c r="I349" s="54"/>
    </row>
    <row r="350" ht="36.75" customHeight="1">
      <c r="I350" s="54"/>
    </row>
    <row r="351" ht="36.75" customHeight="1">
      <c r="I351" s="54"/>
    </row>
    <row r="352" ht="36.75" customHeight="1">
      <c r="I352" s="54"/>
    </row>
    <row r="353" ht="36.75" customHeight="1">
      <c r="I353" s="54"/>
    </row>
    <row r="354" ht="36.75" customHeight="1">
      <c r="I354" s="54"/>
    </row>
    <row r="355" ht="36.75" customHeight="1">
      <c r="I355" s="54"/>
    </row>
    <row r="356" ht="36.75" customHeight="1">
      <c r="I356" s="54"/>
    </row>
    <row r="357" ht="36.75" customHeight="1">
      <c r="I357" s="54"/>
    </row>
    <row r="358" ht="36.75" customHeight="1">
      <c r="I358" s="54"/>
    </row>
    <row r="359" ht="36.75" customHeight="1">
      <c r="I359" s="54"/>
    </row>
    <row r="360" ht="36.75" customHeight="1">
      <c r="I360" s="54"/>
    </row>
    <row r="361" ht="36.75" customHeight="1">
      <c r="I361" s="54"/>
    </row>
    <row r="362" ht="36.75" customHeight="1">
      <c r="I362" s="54"/>
    </row>
    <row r="363" ht="36.75" customHeight="1">
      <c r="I363" s="54"/>
    </row>
    <row r="364" ht="36.75" customHeight="1">
      <c r="I364" s="54"/>
    </row>
    <row r="365" ht="36.75" customHeight="1">
      <c r="I365" s="54"/>
    </row>
    <row r="366" ht="36.75" customHeight="1">
      <c r="I366" s="54"/>
    </row>
    <row r="367" ht="36.75" customHeight="1">
      <c r="I367" s="54"/>
    </row>
    <row r="368" ht="36.75" customHeight="1">
      <c r="I368" s="54"/>
    </row>
    <row r="369" ht="36.75" customHeight="1">
      <c r="I369" s="54"/>
    </row>
    <row r="370" ht="36.75" customHeight="1">
      <c r="I370" s="54"/>
    </row>
    <row r="371" ht="36.75" customHeight="1">
      <c r="I371" s="54"/>
    </row>
    <row r="372" ht="36.75" customHeight="1">
      <c r="I372" s="54"/>
    </row>
    <row r="373" ht="36.75" customHeight="1">
      <c r="I373" s="54"/>
    </row>
    <row r="374" ht="36.75" customHeight="1">
      <c r="I374" s="54"/>
    </row>
    <row r="375" ht="36.75" customHeight="1">
      <c r="I375" s="54"/>
    </row>
    <row r="376" ht="36.75" customHeight="1">
      <c r="I376" s="54"/>
    </row>
    <row r="377" ht="36.75" customHeight="1">
      <c r="I377" s="54"/>
    </row>
    <row r="378" ht="36.75" customHeight="1">
      <c r="I378" s="54"/>
    </row>
    <row r="379" ht="36.75" customHeight="1">
      <c r="I379" s="54"/>
    </row>
    <row r="380" ht="36.75" customHeight="1">
      <c r="I380" s="54"/>
    </row>
    <row r="381" ht="36.75" customHeight="1">
      <c r="I381" s="54"/>
    </row>
    <row r="382" ht="36.75" customHeight="1">
      <c r="I382" s="54"/>
    </row>
    <row r="383" ht="36.75" customHeight="1">
      <c r="I383" s="54"/>
    </row>
    <row r="384" ht="36.75" customHeight="1">
      <c r="I384" s="54"/>
    </row>
    <row r="385" ht="36.75" customHeight="1">
      <c r="I385" s="54"/>
    </row>
    <row r="386" ht="36.75" customHeight="1">
      <c r="I386" s="54"/>
    </row>
    <row r="387" ht="36.75" customHeight="1">
      <c r="I387" s="54"/>
    </row>
    <row r="388" ht="36.75" customHeight="1">
      <c r="I388" s="54"/>
    </row>
    <row r="389" ht="36.75" customHeight="1">
      <c r="I389" s="54"/>
    </row>
    <row r="390" ht="36.75" customHeight="1">
      <c r="I390" s="54"/>
    </row>
    <row r="391" ht="36.75" customHeight="1">
      <c r="I391" s="54"/>
    </row>
    <row r="392" ht="36.75" customHeight="1">
      <c r="I392" s="54"/>
    </row>
    <row r="393" ht="36.75" customHeight="1">
      <c r="I393" s="54"/>
    </row>
    <row r="394" ht="36.75" customHeight="1">
      <c r="I394" s="54"/>
    </row>
    <row r="395" ht="36.75" customHeight="1">
      <c r="I395" s="54"/>
    </row>
    <row r="396" ht="36.75" customHeight="1">
      <c r="I396" s="54"/>
    </row>
    <row r="397" ht="36.75" customHeight="1">
      <c r="I397" s="54"/>
    </row>
    <row r="398" ht="36.75" customHeight="1">
      <c r="I398" s="54"/>
    </row>
    <row r="399" ht="36.75" customHeight="1">
      <c r="I399" s="54"/>
    </row>
    <row r="400" ht="36.75" customHeight="1">
      <c r="I400" s="54"/>
    </row>
    <row r="401" ht="36.75" customHeight="1">
      <c r="I401" s="54"/>
    </row>
    <row r="402" ht="36.75" customHeight="1">
      <c r="I402" s="54"/>
    </row>
    <row r="403" ht="36.75" customHeight="1">
      <c r="I403" s="54"/>
    </row>
    <row r="404" ht="36.75" customHeight="1">
      <c r="I404" s="54"/>
    </row>
    <row r="405" ht="36.75" customHeight="1">
      <c r="I405" s="54"/>
    </row>
    <row r="406" ht="36.75" customHeight="1">
      <c r="I406" s="54"/>
    </row>
    <row r="407" ht="36.75" customHeight="1">
      <c r="I407" s="54"/>
    </row>
    <row r="408" ht="36.75" customHeight="1">
      <c r="I408" s="54"/>
    </row>
    <row r="409" ht="36.75" customHeight="1">
      <c r="I409" s="54"/>
    </row>
    <row r="410" ht="36.75" customHeight="1">
      <c r="I410" s="54"/>
    </row>
    <row r="411" ht="36.75" customHeight="1">
      <c r="I411" s="54"/>
    </row>
    <row r="412" ht="36.75" customHeight="1">
      <c r="I412" s="54"/>
    </row>
    <row r="413" ht="36.75" customHeight="1">
      <c r="I413" s="54"/>
    </row>
    <row r="414" ht="36.75" customHeight="1">
      <c r="I414" s="54"/>
    </row>
    <row r="415" ht="36.75" customHeight="1">
      <c r="I415" s="54"/>
    </row>
    <row r="416" ht="36.75" customHeight="1">
      <c r="I416" s="54"/>
    </row>
    <row r="417" ht="36.75" customHeight="1">
      <c r="I417" s="54"/>
    </row>
    <row r="418" ht="36.75" customHeight="1">
      <c r="I418" s="54"/>
    </row>
    <row r="419" ht="36.75" customHeight="1">
      <c r="I419" s="54"/>
    </row>
    <row r="420" ht="36.75" customHeight="1">
      <c r="I420" s="54"/>
    </row>
    <row r="421" ht="36.75" customHeight="1">
      <c r="I421" s="54"/>
    </row>
    <row r="422" ht="36.75" customHeight="1">
      <c r="I422" s="54"/>
    </row>
    <row r="423" ht="36.75" customHeight="1">
      <c r="I423" s="54"/>
    </row>
    <row r="424" ht="36.75" customHeight="1">
      <c r="I424" s="54"/>
    </row>
    <row r="425" ht="36.75" customHeight="1">
      <c r="I425" s="54"/>
    </row>
    <row r="426" ht="36.75" customHeight="1">
      <c r="I426" s="54"/>
    </row>
    <row r="427" ht="36.75" customHeight="1">
      <c r="I427" s="54"/>
    </row>
    <row r="428" ht="36.75" customHeight="1">
      <c r="I428" s="54"/>
    </row>
    <row r="429" ht="36.75" customHeight="1">
      <c r="I429" s="54"/>
    </row>
    <row r="430" ht="36.75" customHeight="1">
      <c r="I430" s="54"/>
    </row>
    <row r="431" ht="36.75" customHeight="1">
      <c r="I431" s="54"/>
    </row>
    <row r="432" ht="36.75" customHeight="1">
      <c r="I432" s="54"/>
    </row>
    <row r="433" ht="36.75" customHeight="1">
      <c r="I433" s="54"/>
    </row>
    <row r="434" ht="36.75" customHeight="1">
      <c r="I434" s="54"/>
    </row>
    <row r="435" ht="36.75" customHeight="1">
      <c r="I435" s="54"/>
    </row>
    <row r="436" ht="36.75" customHeight="1">
      <c r="I436" s="54"/>
    </row>
    <row r="437" ht="36.75" customHeight="1">
      <c r="I437" s="54"/>
    </row>
    <row r="438" ht="36.75" customHeight="1">
      <c r="I438" s="54"/>
    </row>
    <row r="439" ht="36.75" customHeight="1">
      <c r="I439" s="54"/>
    </row>
    <row r="440" ht="36.75" customHeight="1">
      <c r="I440" s="54"/>
    </row>
    <row r="441" ht="36.75" customHeight="1">
      <c r="I441" s="54"/>
    </row>
    <row r="442" ht="36.75" customHeight="1">
      <c r="I442" s="54"/>
    </row>
    <row r="443" ht="36.75" customHeight="1">
      <c r="I443" s="54"/>
    </row>
    <row r="444" ht="36.75" customHeight="1">
      <c r="I444" s="54"/>
    </row>
    <row r="445" ht="36.75" customHeight="1">
      <c r="I445" s="54"/>
    </row>
    <row r="446" ht="36.75" customHeight="1">
      <c r="I446" s="54"/>
    </row>
    <row r="447" ht="36.75" customHeight="1">
      <c r="I447" s="54"/>
    </row>
    <row r="448" ht="36.75" customHeight="1">
      <c r="I448" s="54"/>
    </row>
    <row r="449" ht="36.75" customHeight="1">
      <c r="I449" s="54"/>
    </row>
    <row r="450" ht="36.75" customHeight="1">
      <c r="I450" s="54"/>
    </row>
    <row r="451" ht="36.75" customHeight="1">
      <c r="I451" s="54"/>
    </row>
    <row r="452" ht="36.75" customHeight="1">
      <c r="I452" s="54"/>
    </row>
    <row r="453" ht="36.75" customHeight="1">
      <c r="I453" s="54"/>
    </row>
    <row r="454" ht="36.75" customHeight="1">
      <c r="I454" s="54"/>
    </row>
    <row r="455" ht="36.75" customHeight="1">
      <c r="I455" s="54"/>
    </row>
    <row r="456" ht="36.75" customHeight="1">
      <c r="I456" s="54"/>
    </row>
    <row r="457" ht="36.75" customHeight="1">
      <c r="I457" s="54"/>
    </row>
    <row r="458" ht="36.75" customHeight="1">
      <c r="I458" s="54"/>
    </row>
    <row r="459" ht="36.75" customHeight="1">
      <c r="I459" s="54"/>
    </row>
    <row r="460" ht="36.75" customHeight="1">
      <c r="I460" s="54"/>
    </row>
    <row r="461" ht="36.75" customHeight="1">
      <c r="I461" s="54"/>
    </row>
    <row r="462" ht="36.75" customHeight="1">
      <c r="I462" s="54"/>
    </row>
    <row r="463" ht="36.75" customHeight="1">
      <c r="I463" s="54"/>
    </row>
    <row r="464" ht="36.75" customHeight="1">
      <c r="I464" s="54"/>
    </row>
    <row r="465" ht="36.75" customHeight="1">
      <c r="I465" s="54"/>
    </row>
    <row r="466" ht="36.75" customHeight="1">
      <c r="I466" s="54"/>
    </row>
    <row r="467" ht="36.75" customHeight="1">
      <c r="I467" s="54"/>
    </row>
    <row r="468" ht="36.75" customHeight="1">
      <c r="I468" s="54"/>
    </row>
    <row r="469" ht="36.75" customHeight="1">
      <c r="I469" s="54"/>
    </row>
    <row r="470" ht="36.75" customHeight="1">
      <c r="I470" s="54"/>
    </row>
    <row r="471" ht="36.75" customHeight="1">
      <c r="I471" s="54"/>
    </row>
    <row r="472" ht="36.75" customHeight="1">
      <c r="I472" s="54"/>
    </row>
    <row r="473" ht="36.75" customHeight="1">
      <c r="I473" s="54"/>
    </row>
    <row r="474" ht="36.75" customHeight="1">
      <c r="I474" s="54"/>
    </row>
    <row r="475" ht="36.75" customHeight="1">
      <c r="I475" s="54"/>
    </row>
    <row r="476" ht="36.75" customHeight="1">
      <c r="I476" s="54"/>
    </row>
    <row r="477" ht="36.75" customHeight="1">
      <c r="I477" s="54"/>
    </row>
    <row r="478" ht="36.75" customHeight="1">
      <c r="I478" s="54"/>
    </row>
    <row r="479" ht="36.75" customHeight="1">
      <c r="I479" s="54"/>
    </row>
    <row r="480" ht="36.75" customHeight="1">
      <c r="I480" s="54"/>
    </row>
    <row r="481" ht="36.75" customHeight="1">
      <c r="I481" s="54"/>
    </row>
    <row r="482" ht="36.75" customHeight="1">
      <c r="I482" s="54"/>
    </row>
    <row r="483" ht="36.75" customHeight="1">
      <c r="I483" s="54"/>
    </row>
    <row r="484" ht="36.75" customHeight="1">
      <c r="I484" s="54"/>
    </row>
    <row r="485" ht="36.75" customHeight="1">
      <c r="I485" s="54"/>
    </row>
    <row r="486" ht="36.75" customHeight="1">
      <c r="I486" s="54"/>
    </row>
    <row r="487" ht="36.75" customHeight="1">
      <c r="I487" s="54"/>
    </row>
    <row r="488" ht="36.75" customHeight="1">
      <c r="I488" s="54"/>
    </row>
    <row r="489" ht="36.75" customHeight="1">
      <c r="I489" s="54"/>
    </row>
    <row r="490" ht="36.75" customHeight="1">
      <c r="I490" s="54"/>
    </row>
    <row r="491" ht="36.75" customHeight="1">
      <c r="I491" s="54"/>
    </row>
    <row r="492" ht="36.75" customHeight="1">
      <c r="I492" s="54"/>
    </row>
    <row r="493" ht="36.75" customHeight="1">
      <c r="I493" s="54"/>
    </row>
    <row r="494" ht="36.75" customHeight="1">
      <c r="I494" s="54"/>
    </row>
    <row r="495" ht="36.75" customHeight="1">
      <c r="I495" s="54"/>
    </row>
    <row r="496" ht="36.75" customHeight="1">
      <c r="I496" s="54"/>
    </row>
    <row r="497" ht="36.75" customHeight="1">
      <c r="I497" s="54"/>
    </row>
    <row r="498" ht="36.75" customHeight="1">
      <c r="I498" s="54"/>
    </row>
    <row r="499" ht="36.75" customHeight="1">
      <c r="I499" s="54"/>
    </row>
    <row r="500" ht="36.75" customHeight="1">
      <c r="I500" s="54"/>
    </row>
    <row r="501" ht="36.75" customHeight="1">
      <c r="I501" s="54"/>
    </row>
    <row r="502" ht="36.75" customHeight="1">
      <c r="I502" s="54"/>
    </row>
    <row r="503" ht="36.75" customHeight="1">
      <c r="I503" s="54"/>
    </row>
    <row r="504" ht="36.75" customHeight="1">
      <c r="I504" s="54"/>
    </row>
    <row r="505" ht="36.75" customHeight="1">
      <c r="I505" s="54"/>
    </row>
    <row r="506" ht="36.75" customHeight="1">
      <c r="I506" s="54"/>
    </row>
    <row r="507" ht="36.75" customHeight="1">
      <c r="I507" s="54"/>
    </row>
    <row r="508" ht="36.75" customHeight="1">
      <c r="I508" s="54"/>
    </row>
    <row r="509" ht="36.75" customHeight="1">
      <c r="I509" s="54"/>
    </row>
    <row r="510" ht="36.75" customHeight="1">
      <c r="I510" s="54"/>
    </row>
    <row r="511" ht="36.75" customHeight="1">
      <c r="I511" s="54"/>
    </row>
    <row r="512" ht="36.75" customHeight="1">
      <c r="I512" s="54"/>
    </row>
    <row r="513" ht="36.75" customHeight="1">
      <c r="I513" s="54"/>
    </row>
    <row r="514" ht="36.75" customHeight="1">
      <c r="I514" s="54"/>
    </row>
    <row r="515" ht="36.75" customHeight="1">
      <c r="I515" s="54"/>
    </row>
    <row r="516" ht="36.75" customHeight="1">
      <c r="I516" s="54"/>
    </row>
    <row r="517" ht="36.75" customHeight="1">
      <c r="I517" s="54"/>
    </row>
    <row r="518" ht="36.75" customHeight="1">
      <c r="I518" s="54"/>
    </row>
    <row r="519" ht="36.75" customHeight="1">
      <c r="I519" s="54"/>
    </row>
    <row r="520" ht="36.75" customHeight="1">
      <c r="I520" s="54"/>
    </row>
    <row r="521" ht="36.75" customHeight="1">
      <c r="I521" s="54"/>
    </row>
    <row r="522" ht="36.75" customHeight="1">
      <c r="I522" s="54"/>
    </row>
    <row r="523" ht="36.75" customHeight="1">
      <c r="I523" s="54"/>
    </row>
    <row r="524" ht="36.75" customHeight="1">
      <c r="I524" s="54"/>
    </row>
    <row r="525" ht="36.75" customHeight="1">
      <c r="I525" s="54"/>
    </row>
    <row r="526" ht="36.75" customHeight="1">
      <c r="I526" s="54"/>
    </row>
    <row r="527" ht="36.75" customHeight="1">
      <c r="I527" s="54"/>
    </row>
    <row r="528" ht="36.75" customHeight="1">
      <c r="I528" s="54"/>
    </row>
    <row r="529" ht="36.75" customHeight="1">
      <c r="I529" s="54"/>
    </row>
    <row r="530" ht="36.75" customHeight="1">
      <c r="I530" s="54"/>
    </row>
    <row r="531" ht="36.75" customHeight="1">
      <c r="I531" s="54"/>
    </row>
    <row r="532" ht="36.75" customHeight="1">
      <c r="I532" s="54"/>
    </row>
    <row r="533" ht="36.75" customHeight="1">
      <c r="I533" s="54"/>
    </row>
    <row r="534" ht="36.75" customHeight="1">
      <c r="I534" s="54"/>
    </row>
    <row r="535" ht="36.75" customHeight="1">
      <c r="I535" s="54"/>
    </row>
    <row r="536" ht="36.75" customHeight="1">
      <c r="I536" s="54"/>
    </row>
    <row r="537" ht="36.75" customHeight="1">
      <c r="I537" s="54"/>
    </row>
    <row r="538" ht="36.75" customHeight="1">
      <c r="I538" s="54"/>
    </row>
    <row r="539" ht="36.75" customHeight="1">
      <c r="I539" s="54"/>
    </row>
    <row r="540" ht="36.75" customHeight="1">
      <c r="I540" s="54"/>
    </row>
    <row r="541" ht="36.75" customHeight="1">
      <c r="I541" s="54"/>
    </row>
    <row r="542" ht="36.75" customHeight="1">
      <c r="I542" s="54"/>
    </row>
    <row r="543" ht="36.75" customHeight="1">
      <c r="I543" s="54"/>
    </row>
    <row r="544" ht="36.75" customHeight="1">
      <c r="I544" s="54"/>
    </row>
    <row r="545" ht="36.75" customHeight="1">
      <c r="I545" s="54"/>
    </row>
    <row r="546" ht="36.75" customHeight="1">
      <c r="I546" s="54"/>
    </row>
    <row r="547" ht="36.75" customHeight="1">
      <c r="I547" s="54"/>
    </row>
    <row r="548" ht="36.75" customHeight="1">
      <c r="I548" s="54"/>
    </row>
    <row r="549" ht="36.75" customHeight="1">
      <c r="I549" s="54"/>
    </row>
    <row r="550" ht="36.75" customHeight="1">
      <c r="I550" s="54"/>
    </row>
    <row r="551" ht="36.75" customHeight="1">
      <c r="I551" s="54"/>
    </row>
    <row r="552" ht="36.75" customHeight="1">
      <c r="I552" s="54"/>
    </row>
    <row r="553" ht="36.75" customHeight="1">
      <c r="I553" s="54"/>
    </row>
    <row r="554" ht="36.75" customHeight="1">
      <c r="I554" s="54"/>
    </row>
    <row r="555" ht="36.75" customHeight="1">
      <c r="I555" s="54"/>
    </row>
    <row r="556" ht="36.75" customHeight="1">
      <c r="I556" s="54"/>
    </row>
    <row r="557" ht="36.75" customHeight="1">
      <c r="I557" s="54"/>
    </row>
    <row r="558" ht="36.75" customHeight="1">
      <c r="I558" s="54"/>
    </row>
    <row r="559" ht="36.75" customHeight="1">
      <c r="I559" s="54"/>
    </row>
    <row r="560" ht="36.75" customHeight="1">
      <c r="I560" s="54"/>
    </row>
    <row r="561" ht="36.75" customHeight="1">
      <c r="I561" s="54"/>
    </row>
    <row r="562" ht="36.75" customHeight="1">
      <c r="I562" s="54"/>
    </row>
    <row r="563" ht="36.75" customHeight="1">
      <c r="I563" s="54"/>
    </row>
    <row r="564" ht="36.75" customHeight="1">
      <c r="I564" s="54"/>
    </row>
    <row r="565" ht="36.75" customHeight="1">
      <c r="I565" s="54"/>
    </row>
    <row r="566" ht="36.75" customHeight="1">
      <c r="I566" s="54"/>
    </row>
    <row r="567" ht="36.75" customHeight="1">
      <c r="I567" s="54"/>
    </row>
    <row r="568" ht="36.75" customHeight="1">
      <c r="I568" s="54"/>
    </row>
    <row r="569" ht="36.75" customHeight="1">
      <c r="I569" s="54"/>
    </row>
    <row r="570" ht="36.75" customHeight="1">
      <c r="I570" s="54"/>
    </row>
    <row r="571" ht="36.75" customHeight="1">
      <c r="I571" s="54"/>
    </row>
    <row r="572" ht="36.75" customHeight="1">
      <c r="I572" s="54"/>
    </row>
    <row r="573" ht="36.75" customHeight="1">
      <c r="I573" s="54"/>
    </row>
    <row r="574" ht="36.75" customHeight="1">
      <c r="I574" s="54"/>
    </row>
    <row r="575" ht="36.75" customHeight="1">
      <c r="I575" s="54"/>
    </row>
    <row r="576" ht="36.75" customHeight="1">
      <c r="I576" s="54"/>
    </row>
    <row r="577" ht="36.75" customHeight="1">
      <c r="I577" s="54"/>
    </row>
    <row r="578" ht="36.75" customHeight="1">
      <c r="I578" s="54"/>
    </row>
    <row r="579" ht="36.75" customHeight="1">
      <c r="I579" s="54"/>
    </row>
    <row r="580" ht="36.75" customHeight="1">
      <c r="I580" s="54"/>
    </row>
    <row r="581" ht="36.75" customHeight="1">
      <c r="I581" s="54"/>
    </row>
    <row r="582" ht="36.75" customHeight="1">
      <c r="I582" s="54"/>
    </row>
    <row r="583" ht="36.75" customHeight="1">
      <c r="I583" s="54"/>
    </row>
    <row r="584" ht="36.75" customHeight="1">
      <c r="I584" s="54"/>
    </row>
    <row r="585" ht="36.75" customHeight="1">
      <c r="I585" s="54"/>
    </row>
    <row r="586" ht="36.75" customHeight="1">
      <c r="I586" s="54"/>
    </row>
    <row r="587" ht="36.75" customHeight="1">
      <c r="I587" s="54"/>
    </row>
    <row r="588" ht="36.75" customHeight="1">
      <c r="I588" s="54"/>
    </row>
    <row r="589" ht="36.75" customHeight="1">
      <c r="I589" s="54"/>
    </row>
    <row r="590" ht="36.75" customHeight="1">
      <c r="I590" s="54"/>
    </row>
    <row r="591" ht="36.75" customHeight="1">
      <c r="I591" s="54"/>
    </row>
    <row r="592" ht="36.75" customHeight="1">
      <c r="I592" s="54"/>
    </row>
    <row r="593" ht="36.75" customHeight="1">
      <c r="I593" s="54"/>
    </row>
    <row r="594" ht="36.75" customHeight="1">
      <c r="I594" s="54"/>
    </row>
    <row r="595" ht="36.75" customHeight="1">
      <c r="I595" s="54"/>
    </row>
    <row r="596" ht="36.75" customHeight="1">
      <c r="I596" s="54"/>
    </row>
    <row r="597" ht="36.75" customHeight="1">
      <c r="I597" s="54"/>
    </row>
    <row r="598" ht="36.75" customHeight="1">
      <c r="I598" s="54"/>
    </row>
    <row r="599" ht="36.75" customHeight="1">
      <c r="I599" s="54"/>
    </row>
    <row r="600" ht="36.75" customHeight="1">
      <c r="I600" s="54"/>
    </row>
    <row r="601" ht="36.75" customHeight="1">
      <c r="I601" s="54"/>
    </row>
    <row r="602" ht="36.75" customHeight="1">
      <c r="I602" s="54"/>
    </row>
    <row r="603" ht="36.75" customHeight="1">
      <c r="I603" s="54"/>
    </row>
    <row r="604" ht="36.75" customHeight="1">
      <c r="I604" s="54"/>
    </row>
    <row r="605" ht="36.75" customHeight="1">
      <c r="I605" s="54"/>
    </row>
    <row r="606" ht="36.75" customHeight="1">
      <c r="I606" s="54"/>
    </row>
    <row r="607" ht="36.75" customHeight="1">
      <c r="I607" s="54"/>
    </row>
    <row r="608" ht="36.75" customHeight="1">
      <c r="I608" s="54"/>
    </row>
    <row r="609" ht="36.75" customHeight="1">
      <c r="I609" s="54"/>
    </row>
    <row r="610" ht="36.75" customHeight="1">
      <c r="I610" s="54"/>
    </row>
    <row r="611" ht="36.75" customHeight="1">
      <c r="I611" s="54"/>
    </row>
    <row r="612" ht="36.75" customHeight="1">
      <c r="I612" s="54"/>
    </row>
    <row r="613" ht="36.75" customHeight="1">
      <c r="I613" s="54"/>
    </row>
    <row r="614" ht="36.75" customHeight="1">
      <c r="I614" s="54"/>
    </row>
    <row r="615" ht="36.75" customHeight="1">
      <c r="I615" s="54"/>
    </row>
    <row r="616" ht="36.75" customHeight="1">
      <c r="I616" s="54"/>
    </row>
    <row r="617" ht="36.75" customHeight="1">
      <c r="I617" s="54"/>
    </row>
    <row r="618" ht="36.75" customHeight="1">
      <c r="I618" s="54"/>
    </row>
    <row r="619" ht="36.75" customHeight="1">
      <c r="I619" s="54"/>
    </row>
    <row r="620" ht="36.75" customHeight="1">
      <c r="I620" s="54"/>
    </row>
    <row r="621" ht="36.75" customHeight="1">
      <c r="I621" s="54"/>
    </row>
    <row r="622" ht="36.75" customHeight="1">
      <c r="I622" s="54"/>
    </row>
    <row r="623" ht="36.75" customHeight="1">
      <c r="I623" s="54"/>
    </row>
    <row r="624" ht="36.75" customHeight="1">
      <c r="I624" s="54"/>
    </row>
    <row r="625" ht="36.75" customHeight="1">
      <c r="I625" s="54"/>
    </row>
    <row r="626" ht="36.75" customHeight="1">
      <c r="I626" s="54"/>
    </row>
    <row r="627" ht="36.75" customHeight="1">
      <c r="I627" s="54"/>
    </row>
    <row r="628" ht="36.75" customHeight="1">
      <c r="I628" s="54"/>
    </row>
    <row r="629" ht="36.75" customHeight="1">
      <c r="I629" s="54"/>
    </row>
    <row r="630" ht="36.75" customHeight="1">
      <c r="I630" s="54"/>
    </row>
    <row r="631" ht="36.75" customHeight="1">
      <c r="I631" s="54"/>
    </row>
    <row r="632" ht="36.75" customHeight="1">
      <c r="I632" s="54"/>
    </row>
    <row r="633" ht="36.75" customHeight="1">
      <c r="I633" s="54"/>
    </row>
    <row r="634" ht="36.75" customHeight="1">
      <c r="I634" s="54"/>
    </row>
    <row r="635" ht="36.75" customHeight="1">
      <c r="I635" s="54"/>
    </row>
    <row r="636" ht="36.75" customHeight="1">
      <c r="I636" s="54"/>
    </row>
    <row r="637" ht="36.75" customHeight="1">
      <c r="I637" s="54"/>
    </row>
    <row r="638" ht="36.75" customHeight="1">
      <c r="I638" s="54"/>
    </row>
    <row r="639" ht="36.75" customHeight="1">
      <c r="I639" s="54"/>
    </row>
    <row r="640" ht="36.75" customHeight="1">
      <c r="I640" s="54"/>
    </row>
    <row r="641" ht="36.75" customHeight="1">
      <c r="I641" s="54"/>
    </row>
    <row r="642" ht="36.75" customHeight="1">
      <c r="I642" s="54"/>
    </row>
    <row r="643" ht="36.75" customHeight="1">
      <c r="I643" s="54"/>
    </row>
    <row r="644" ht="36.75" customHeight="1">
      <c r="I644" s="54"/>
    </row>
    <row r="645" ht="36.75" customHeight="1">
      <c r="I645" s="54"/>
    </row>
    <row r="646" ht="36.75" customHeight="1">
      <c r="I646" s="54"/>
    </row>
    <row r="647" ht="36.75" customHeight="1">
      <c r="I647" s="54"/>
    </row>
    <row r="648" ht="36.75" customHeight="1">
      <c r="I648" s="54"/>
    </row>
    <row r="649" ht="36.75" customHeight="1">
      <c r="I649" s="54"/>
    </row>
    <row r="650" ht="36.75" customHeight="1">
      <c r="I650" s="54"/>
    </row>
    <row r="651" ht="36.75" customHeight="1">
      <c r="I651" s="54"/>
    </row>
    <row r="652" ht="36.75" customHeight="1">
      <c r="I652" s="54"/>
    </row>
    <row r="653" ht="36.75" customHeight="1">
      <c r="I653" s="54"/>
    </row>
    <row r="654" ht="36.75" customHeight="1">
      <c r="I654" s="54"/>
    </row>
    <row r="655" ht="36.75" customHeight="1">
      <c r="I655" s="54"/>
    </row>
    <row r="656" ht="36.75" customHeight="1">
      <c r="I656" s="54"/>
    </row>
    <row r="657" ht="36.75" customHeight="1">
      <c r="I657" s="54"/>
    </row>
    <row r="658" ht="36.75" customHeight="1">
      <c r="I658" s="54"/>
    </row>
    <row r="659" ht="36.75" customHeight="1">
      <c r="I659" s="54"/>
    </row>
    <row r="660" ht="36.75" customHeight="1">
      <c r="I660" s="54"/>
    </row>
    <row r="661" ht="36.75" customHeight="1">
      <c r="I661" s="54"/>
    </row>
    <row r="662" ht="36.75" customHeight="1">
      <c r="I662" s="54"/>
    </row>
    <row r="663" ht="36.75" customHeight="1">
      <c r="I663" s="54"/>
    </row>
    <row r="664" ht="36.75" customHeight="1">
      <c r="I664" s="54"/>
    </row>
    <row r="665" ht="36.75" customHeight="1">
      <c r="I665" s="54"/>
    </row>
    <row r="666" ht="36.75" customHeight="1">
      <c r="I666" s="54"/>
    </row>
    <row r="667" ht="36.75" customHeight="1">
      <c r="I667" s="54"/>
    </row>
    <row r="668" ht="36.75" customHeight="1">
      <c r="I668" s="54"/>
    </row>
    <row r="669" ht="36.75" customHeight="1">
      <c r="I669" s="54"/>
    </row>
    <row r="670" ht="36.75" customHeight="1">
      <c r="I670" s="54"/>
    </row>
    <row r="671" ht="36.75" customHeight="1">
      <c r="I671" s="54"/>
    </row>
    <row r="672" ht="36.75" customHeight="1">
      <c r="I672" s="54"/>
    </row>
    <row r="673" ht="36.75" customHeight="1">
      <c r="I673" s="54"/>
    </row>
    <row r="674" ht="36.75" customHeight="1">
      <c r="I674" s="54"/>
    </row>
    <row r="675" ht="36.75" customHeight="1">
      <c r="I675" s="54"/>
    </row>
    <row r="676" ht="36.75" customHeight="1">
      <c r="I676" s="54"/>
    </row>
    <row r="677" ht="36.75" customHeight="1">
      <c r="I677" s="54"/>
    </row>
    <row r="678" ht="36.75" customHeight="1">
      <c r="I678" s="54"/>
    </row>
    <row r="679" ht="36.75" customHeight="1">
      <c r="I679" s="54"/>
    </row>
    <row r="680" ht="36.75" customHeight="1">
      <c r="I680" s="54"/>
    </row>
    <row r="681" ht="36.75" customHeight="1">
      <c r="I681" s="54"/>
    </row>
    <row r="682" ht="36.75" customHeight="1">
      <c r="I682" s="54"/>
    </row>
    <row r="683" ht="36.75" customHeight="1">
      <c r="I683" s="54"/>
    </row>
    <row r="684" ht="36.75" customHeight="1">
      <c r="I684" s="54"/>
    </row>
    <row r="685" ht="36.75" customHeight="1">
      <c r="I685" s="54"/>
    </row>
    <row r="686" ht="36.75" customHeight="1">
      <c r="I686" s="54"/>
    </row>
    <row r="687" ht="36.75" customHeight="1">
      <c r="I687" s="54"/>
    </row>
    <row r="688" ht="36.75" customHeight="1">
      <c r="I688" s="54"/>
    </row>
    <row r="689" ht="36.75" customHeight="1">
      <c r="I689" s="54"/>
    </row>
    <row r="690" ht="36.75" customHeight="1">
      <c r="I690" s="54"/>
    </row>
    <row r="691" ht="36.75" customHeight="1">
      <c r="I691" s="54"/>
    </row>
    <row r="692" ht="36.75" customHeight="1">
      <c r="I692" s="54"/>
    </row>
    <row r="693" ht="36.75" customHeight="1">
      <c r="I693" s="54"/>
    </row>
    <row r="694" ht="36.75" customHeight="1">
      <c r="I694" s="54"/>
    </row>
    <row r="695" ht="36.75" customHeight="1">
      <c r="I695" s="54"/>
    </row>
    <row r="696" ht="36.75" customHeight="1">
      <c r="I696" s="54"/>
    </row>
    <row r="697" ht="36.75" customHeight="1">
      <c r="I697" s="54"/>
    </row>
    <row r="698" ht="36.75" customHeight="1">
      <c r="I698" s="54"/>
    </row>
    <row r="699" ht="36.75" customHeight="1">
      <c r="I699" s="54"/>
    </row>
    <row r="700" ht="36.75" customHeight="1">
      <c r="I700" s="54"/>
    </row>
    <row r="701" ht="36.75" customHeight="1">
      <c r="I701" s="54"/>
    </row>
    <row r="702" ht="36.75" customHeight="1">
      <c r="I702" s="54"/>
    </row>
    <row r="703" ht="36.75" customHeight="1">
      <c r="I703" s="54"/>
    </row>
    <row r="704" ht="36.75" customHeight="1">
      <c r="I704" s="54"/>
    </row>
    <row r="705" ht="36.75" customHeight="1">
      <c r="I705" s="54"/>
    </row>
    <row r="706" ht="36.75" customHeight="1">
      <c r="I706" s="54"/>
    </row>
    <row r="707" ht="36.75" customHeight="1">
      <c r="I707" s="54"/>
    </row>
    <row r="708" ht="36.75" customHeight="1">
      <c r="I708" s="54"/>
    </row>
    <row r="709" ht="36.75" customHeight="1">
      <c r="I709" s="54"/>
    </row>
    <row r="710" ht="36.75" customHeight="1">
      <c r="I710" s="54"/>
    </row>
    <row r="711" ht="36.75" customHeight="1">
      <c r="I711" s="54"/>
    </row>
    <row r="712" ht="36.75" customHeight="1">
      <c r="I712" s="54"/>
    </row>
    <row r="713" ht="36.75" customHeight="1">
      <c r="I713" s="54"/>
    </row>
    <row r="714" ht="36.75" customHeight="1">
      <c r="I714" s="54"/>
    </row>
    <row r="715" ht="36.75" customHeight="1">
      <c r="I715" s="54"/>
    </row>
    <row r="716" ht="36.75" customHeight="1">
      <c r="I716" s="54"/>
    </row>
    <row r="717" ht="36.75" customHeight="1">
      <c r="I717" s="54"/>
    </row>
    <row r="718" ht="36.75" customHeight="1">
      <c r="I718" s="54"/>
    </row>
    <row r="719" ht="36.75" customHeight="1">
      <c r="I719" s="54"/>
    </row>
    <row r="720" ht="36.75" customHeight="1">
      <c r="I720" s="54"/>
    </row>
    <row r="721" ht="36.75" customHeight="1">
      <c r="I721" s="54"/>
    </row>
    <row r="722" ht="36.75" customHeight="1">
      <c r="I722" s="54"/>
    </row>
    <row r="723" ht="36.75" customHeight="1">
      <c r="I723" s="54"/>
    </row>
    <row r="724" ht="36.75" customHeight="1">
      <c r="I724" s="54"/>
    </row>
    <row r="725" ht="36.75" customHeight="1">
      <c r="I725" s="54"/>
    </row>
    <row r="726" ht="36.75" customHeight="1">
      <c r="I726" s="54"/>
    </row>
    <row r="727" ht="36.75" customHeight="1">
      <c r="I727" s="54"/>
    </row>
    <row r="728" ht="36.75" customHeight="1">
      <c r="I728" s="54"/>
    </row>
    <row r="729" ht="36.75" customHeight="1">
      <c r="I729" s="54"/>
    </row>
    <row r="730" ht="36.75" customHeight="1">
      <c r="I730" s="54"/>
    </row>
    <row r="731" ht="36.75" customHeight="1">
      <c r="I731" s="54"/>
    </row>
    <row r="732" ht="36.75" customHeight="1">
      <c r="I732" s="54"/>
    </row>
    <row r="733" ht="36.75" customHeight="1">
      <c r="I733" s="54"/>
    </row>
    <row r="734" ht="36.75" customHeight="1">
      <c r="I734" s="54"/>
    </row>
    <row r="735" ht="36.75" customHeight="1">
      <c r="I735" s="54"/>
    </row>
    <row r="736" ht="36.75" customHeight="1">
      <c r="I736" s="54"/>
    </row>
    <row r="737" ht="36.75" customHeight="1">
      <c r="I737" s="54"/>
    </row>
    <row r="738" ht="36.75" customHeight="1">
      <c r="I738" s="54"/>
    </row>
    <row r="739" ht="36.75" customHeight="1">
      <c r="I739" s="54"/>
    </row>
    <row r="740" ht="36.75" customHeight="1">
      <c r="I740" s="54"/>
    </row>
    <row r="741" ht="36.75" customHeight="1">
      <c r="I741" s="54"/>
    </row>
    <row r="742" ht="36.75" customHeight="1">
      <c r="I742" s="54"/>
    </row>
    <row r="743" ht="36.75" customHeight="1">
      <c r="I743" s="54"/>
    </row>
    <row r="744" ht="36.75" customHeight="1">
      <c r="I744" s="54"/>
    </row>
    <row r="745" ht="36.75" customHeight="1">
      <c r="I745" s="54"/>
    </row>
    <row r="746" ht="36.75" customHeight="1">
      <c r="I746" s="54"/>
    </row>
    <row r="747" ht="36.75" customHeight="1">
      <c r="I747" s="54"/>
    </row>
    <row r="748" ht="36.75" customHeight="1">
      <c r="I748" s="54"/>
    </row>
    <row r="749" ht="36.75" customHeight="1">
      <c r="I749" s="54"/>
    </row>
    <row r="750" ht="36.75" customHeight="1">
      <c r="I750" s="54"/>
    </row>
    <row r="751" ht="36.75" customHeight="1">
      <c r="I751" s="54"/>
    </row>
    <row r="752" ht="36.75" customHeight="1">
      <c r="I752" s="54"/>
    </row>
    <row r="753" ht="36.75" customHeight="1">
      <c r="I753" s="54"/>
    </row>
    <row r="754" ht="36.75" customHeight="1">
      <c r="I754" s="54"/>
    </row>
    <row r="755" ht="36.75" customHeight="1">
      <c r="I755" s="54"/>
    </row>
    <row r="756" ht="36.75" customHeight="1">
      <c r="I756" s="54"/>
    </row>
    <row r="757" ht="36.75" customHeight="1">
      <c r="I757" s="54"/>
    </row>
    <row r="758" ht="36.75" customHeight="1">
      <c r="I758" s="54"/>
    </row>
    <row r="759" ht="36.75" customHeight="1">
      <c r="I759" s="54"/>
    </row>
    <row r="760" ht="36.75" customHeight="1">
      <c r="I760" s="54"/>
    </row>
    <row r="761" ht="36.75" customHeight="1">
      <c r="I761" s="54"/>
    </row>
    <row r="762" ht="36.75" customHeight="1">
      <c r="I762" s="54"/>
    </row>
    <row r="763" ht="36.75" customHeight="1">
      <c r="I763" s="54"/>
    </row>
    <row r="764" ht="36.75" customHeight="1">
      <c r="I764" s="54"/>
    </row>
    <row r="765" ht="36.75" customHeight="1">
      <c r="I765" s="54"/>
    </row>
    <row r="766" ht="36.75" customHeight="1">
      <c r="I766" s="54"/>
    </row>
    <row r="767" ht="36.75" customHeight="1">
      <c r="I767" s="54"/>
    </row>
    <row r="768" ht="36.75" customHeight="1">
      <c r="I768" s="54"/>
    </row>
    <row r="769" ht="36.75" customHeight="1">
      <c r="I769" s="54"/>
    </row>
    <row r="770" ht="36.75" customHeight="1">
      <c r="I770" s="54"/>
    </row>
    <row r="771" ht="36.75" customHeight="1">
      <c r="I771" s="54"/>
    </row>
    <row r="772" ht="36.75" customHeight="1">
      <c r="I772" s="54"/>
    </row>
    <row r="773" ht="36.75" customHeight="1">
      <c r="I773" s="54"/>
    </row>
    <row r="774" ht="36.75" customHeight="1">
      <c r="I774" s="54"/>
    </row>
    <row r="775" ht="36.75" customHeight="1">
      <c r="I775" s="54"/>
    </row>
    <row r="776" ht="36.75" customHeight="1">
      <c r="I776" s="54"/>
    </row>
    <row r="777" ht="36.75" customHeight="1">
      <c r="I777" s="54"/>
    </row>
    <row r="778" ht="36.75" customHeight="1">
      <c r="I778" s="54"/>
    </row>
    <row r="779" ht="36.75" customHeight="1">
      <c r="I779" s="54"/>
    </row>
    <row r="780" ht="36.75" customHeight="1">
      <c r="I780" s="54"/>
    </row>
    <row r="781" ht="36.75" customHeight="1">
      <c r="I781" s="54"/>
    </row>
    <row r="782" ht="36.75" customHeight="1">
      <c r="I782" s="54"/>
    </row>
    <row r="783" ht="36.75" customHeight="1">
      <c r="I783" s="54"/>
    </row>
    <row r="784" ht="36.75" customHeight="1">
      <c r="I784" s="54"/>
    </row>
    <row r="785" ht="36.75" customHeight="1">
      <c r="I785" s="54"/>
    </row>
    <row r="786" ht="36.75" customHeight="1">
      <c r="I786" s="54"/>
    </row>
    <row r="787" ht="36.75" customHeight="1">
      <c r="I787" s="54"/>
    </row>
    <row r="788" ht="36.75" customHeight="1">
      <c r="I788" s="54"/>
    </row>
    <row r="789" ht="36.75" customHeight="1">
      <c r="I789" s="54"/>
    </row>
    <row r="790" ht="36.75" customHeight="1">
      <c r="I790" s="54"/>
    </row>
    <row r="791" ht="36.75" customHeight="1">
      <c r="I791" s="54"/>
    </row>
    <row r="792" ht="36.75" customHeight="1">
      <c r="I792" s="54"/>
    </row>
    <row r="793" ht="36.75" customHeight="1">
      <c r="I793" s="54"/>
    </row>
    <row r="794" ht="36.75" customHeight="1">
      <c r="I794" s="54"/>
    </row>
    <row r="795" ht="36.75" customHeight="1">
      <c r="I795" s="54"/>
    </row>
    <row r="796" ht="36.75" customHeight="1">
      <c r="I796" s="54"/>
    </row>
    <row r="797" ht="36.75" customHeight="1">
      <c r="I797" s="54"/>
    </row>
    <row r="798" ht="36.75" customHeight="1">
      <c r="I798" s="54"/>
    </row>
    <row r="799" ht="36.75" customHeight="1">
      <c r="I799" s="54"/>
    </row>
    <row r="800" ht="36.75" customHeight="1">
      <c r="I800" s="54"/>
    </row>
    <row r="801" ht="36.75" customHeight="1">
      <c r="I801" s="54"/>
    </row>
    <row r="802" ht="36.75" customHeight="1">
      <c r="I802" s="54"/>
    </row>
    <row r="803" ht="36.75" customHeight="1">
      <c r="I803" s="54"/>
    </row>
    <row r="804" ht="36.75" customHeight="1">
      <c r="I804" s="54"/>
    </row>
    <row r="805" ht="36.75" customHeight="1">
      <c r="I805" s="54"/>
    </row>
    <row r="806" ht="36.75" customHeight="1">
      <c r="I806" s="54"/>
    </row>
    <row r="807" ht="36.75" customHeight="1">
      <c r="I807" s="54"/>
    </row>
    <row r="808" ht="36.75" customHeight="1">
      <c r="I808" s="54"/>
    </row>
    <row r="809" ht="36.75" customHeight="1">
      <c r="I809" s="54"/>
    </row>
    <row r="810" ht="36.75" customHeight="1">
      <c r="I810" s="54"/>
    </row>
    <row r="811" ht="36.75" customHeight="1">
      <c r="I811" s="54"/>
    </row>
    <row r="812" ht="36.75" customHeight="1">
      <c r="I812" s="54"/>
    </row>
    <row r="813" ht="36.75" customHeight="1">
      <c r="I813" s="54"/>
    </row>
    <row r="814" ht="36.75" customHeight="1">
      <c r="I814" s="54"/>
    </row>
    <row r="815" ht="36.75" customHeight="1">
      <c r="I815" s="54"/>
    </row>
    <row r="816" ht="36.75" customHeight="1">
      <c r="I816" s="54"/>
    </row>
    <row r="817" ht="36.75" customHeight="1">
      <c r="I817" s="54"/>
    </row>
    <row r="818" ht="36.75" customHeight="1">
      <c r="I818" s="54"/>
    </row>
    <row r="819" ht="36.75" customHeight="1">
      <c r="I819" s="54"/>
    </row>
    <row r="820" ht="36.75" customHeight="1">
      <c r="I820" s="54"/>
    </row>
    <row r="821" ht="36.75" customHeight="1">
      <c r="I821" s="54"/>
    </row>
    <row r="822" ht="36.75" customHeight="1">
      <c r="I822" s="54"/>
    </row>
    <row r="823" ht="36.75" customHeight="1">
      <c r="I823" s="54"/>
    </row>
    <row r="824" ht="36.75" customHeight="1">
      <c r="I824" s="54"/>
    </row>
    <row r="825" ht="36.75" customHeight="1">
      <c r="I825" s="54"/>
    </row>
    <row r="826" ht="36.75" customHeight="1">
      <c r="I826" s="54"/>
    </row>
    <row r="827" ht="36.75" customHeight="1">
      <c r="I827" s="54"/>
    </row>
    <row r="828" ht="36.75" customHeight="1">
      <c r="I828" s="54"/>
    </row>
    <row r="829" ht="36.75" customHeight="1">
      <c r="I829" s="54"/>
    </row>
    <row r="830" ht="36.75" customHeight="1">
      <c r="I830" s="54"/>
    </row>
    <row r="831" ht="36.75" customHeight="1">
      <c r="I831" s="54"/>
    </row>
    <row r="832" ht="36.75" customHeight="1">
      <c r="I832" s="54"/>
    </row>
    <row r="833" ht="36.75" customHeight="1">
      <c r="I833" s="54"/>
    </row>
    <row r="834" ht="36.75" customHeight="1">
      <c r="I834" s="54"/>
    </row>
    <row r="835" ht="36.75" customHeight="1">
      <c r="I835" s="54"/>
    </row>
    <row r="836" ht="36.75" customHeight="1">
      <c r="I836" s="54"/>
    </row>
    <row r="837" ht="36.75" customHeight="1">
      <c r="I837" s="54"/>
    </row>
    <row r="838" ht="36.75" customHeight="1">
      <c r="I838" s="54"/>
    </row>
    <row r="839" ht="36.75" customHeight="1">
      <c r="I839" s="54"/>
    </row>
    <row r="840" ht="36.75" customHeight="1">
      <c r="I840" s="54"/>
    </row>
    <row r="841" ht="36.75" customHeight="1">
      <c r="I841" s="54"/>
    </row>
    <row r="842" ht="36.75" customHeight="1">
      <c r="I842" s="54"/>
    </row>
    <row r="843" ht="36.75" customHeight="1">
      <c r="I843" s="54"/>
    </row>
    <row r="844" ht="36.75" customHeight="1">
      <c r="I844" s="54"/>
    </row>
    <row r="845" ht="36.75" customHeight="1">
      <c r="I845" s="54"/>
    </row>
    <row r="846" ht="36.75" customHeight="1">
      <c r="I846" s="54"/>
    </row>
    <row r="847" ht="36.75" customHeight="1">
      <c r="I847" s="54"/>
    </row>
    <row r="848" ht="36.75" customHeight="1">
      <c r="I848" s="54"/>
    </row>
    <row r="849" ht="36.75" customHeight="1">
      <c r="I849" s="54"/>
    </row>
    <row r="850" ht="36.75" customHeight="1">
      <c r="I850" s="54"/>
    </row>
    <row r="851" ht="36.75" customHeight="1">
      <c r="I851" s="54"/>
    </row>
    <row r="852" ht="36.75" customHeight="1">
      <c r="I852" s="54"/>
    </row>
    <row r="853" ht="36.75" customHeight="1">
      <c r="I853" s="54"/>
    </row>
    <row r="854" ht="36.75" customHeight="1">
      <c r="I854" s="54"/>
    </row>
    <row r="855" ht="36.75" customHeight="1">
      <c r="I855" s="54"/>
    </row>
    <row r="856" ht="36.75" customHeight="1">
      <c r="I856" s="54"/>
    </row>
    <row r="857" ht="36.75" customHeight="1">
      <c r="I857" s="54"/>
    </row>
    <row r="858" ht="36.75" customHeight="1">
      <c r="I858" s="54"/>
    </row>
    <row r="859" ht="36.75" customHeight="1">
      <c r="I859" s="54"/>
    </row>
    <row r="860" ht="36.75" customHeight="1">
      <c r="I860" s="54"/>
    </row>
    <row r="861" ht="36.75" customHeight="1">
      <c r="I861" s="54"/>
    </row>
    <row r="862" ht="36.75" customHeight="1">
      <c r="I862" s="54"/>
    </row>
    <row r="863" ht="36.75" customHeight="1">
      <c r="I863" s="54"/>
    </row>
    <row r="864" ht="36.75" customHeight="1">
      <c r="I864" s="54"/>
    </row>
    <row r="865" ht="36.75" customHeight="1">
      <c r="I865" s="54"/>
    </row>
    <row r="866" ht="36.75" customHeight="1">
      <c r="I866" s="54"/>
    </row>
    <row r="867" ht="36.75" customHeight="1">
      <c r="I867" s="54"/>
    </row>
    <row r="868" ht="36.75" customHeight="1">
      <c r="I868" s="54"/>
    </row>
    <row r="869" ht="36.75" customHeight="1">
      <c r="I869" s="54"/>
    </row>
    <row r="870" ht="36.75" customHeight="1">
      <c r="I870" s="54"/>
    </row>
    <row r="871" ht="36.75" customHeight="1">
      <c r="I871" s="54"/>
    </row>
    <row r="872" ht="36.75" customHeight="1">
      <c r="I872" s="54"/>
    </row>
    <row r="873" ht="36.75" customHeight="1">
      <c r="I873" s="54"/>
    </row>
    <row r="874" ht="36.75" customHeight="1">
      <c r="I874" s="54"/>
    </row>
    <row r="875" ht="36.75" customHeight="1">
      <c r="I875" s="54"/>
    </row>
    <row r="876" ht="36.75" customHeight="1">
      <c r="I876" s="54"/>
    </row>
    <row r="877" ht="36.75" customHeight="1">
      <c r="I877" s="54"/>
    </row>
    <row r="878" ht="36.75" customHeight="1">
      <c r="I878" s="54"/>
    </row>
    <row r="879" ht="36.75" customHeight="1">
      <c r="I879" s="54"/>
    </row>
    <row r="880" ht="36.75" customHeight="1">
      <c r="I880" s="54"/>
    </row>
    <row r="881" ht="36.75" customHeight="1">
      <c r="I881" s="54"/>
    </row>
    <row r="882" ht="36.75" customHeight="1">
      <c r="I882" s="54"/>
    </row>
    <row r="883" ht="36.75" customHeight="1">
      <c r="I883" s="54"/>
    </row>
    <row r="884" ht="36.75" customHeight="1">
      <c r="I884" s="54"/>
    </row>
    <row r="885" ht="36.75" customHeight="1">
      <c r="I885" s="54"/>
    </row>
    <row r="886" ht="36.75" customHeight="1">
      <c r="I886" s="54"/>
    </row>
    <row r="887" ht="36.75" customHeight="1">
      <c r="I887" s="54"/>
    </row>
    <row r="888" ht="36.75" customHeight="1">
      <c r="I888" s="54"/>
    </row>
    <row r="889" ht="36.75" customHeight="1">
      <c r="I889" s="54"/>
    </row>
    <row r="890" ht="36.75" customHeight="1">
      <c r="I890" s="54"/>
    </row>
    <row r="891" ht="36.75" customHeight="1">
      <c r="I891" s="54"/>
    </row>
    <row r="892" ht="36.75" customHeight="1">
      <c r="I892" s="54"/>
    </row>
    <row r="893" ht="36.75" customHeight="1">
      <c r="I893" s="54"/>
    </row>
    <row r="894" ht="36.75" customHeight="1">
      <c r="I894" s="54"/>
    </row>
    <row r="895" ht="36.75" customHeight="1">
      <c r="I895" s="54"/>
    </row>
    <row r="896" ht="36.75" customHeight="1">
      <c r="I896" s="54"/>
    </row>
    <row r="897" ht="36.75" customHeight="1">
      <c r="I897" s="54"/>
    </row>
    <row r="898" ht="36.75" customHeight="1">
      <c r="I898" s="54"/>
    </row>
    <row r="899" ht="36.75" customHeight="1">
      <c r="I899" s="54"/>
    </row>
    <row r="900" ht="36.75" customHeight="1">
      <c r="I900" s="54"/>
    </row>
    <row r="901" ht="36.75" customHeight="1">
      <c r="I901" s="54"/>
    </row>
    <row r="902" ht="36.75" customHeight="1">
      <c r="I902" s="54"/>
    </row>
    <row r="903" ht="36.75" customHeight="1">
      <c r="I903" s="54"/>
    </row>
    <row r="904" ht="36.75" customHeight="1">
      <c r="I904" s="54"/>
    </row>
    <row r="905" ht="36.75" customHeight="1">
      <c r="I905" s="54"/>
    </row>
    <row r="906" ht="36.75" customHeight="1">
      <c r="I906" s="54"/>
    </row>
    <row r="907" ht="36.75" customHeight="1">
      <c r="I907" s="54"/>
    </row>
    <row r="908" ht="36.75" customHeight="1">
      <c r="I908" s="54"/>
    </row>
    <row r="909" ht="36.75" customHeight="1">
      <c r="I909" s="54"/>
    </row>
    <row r="910" ht="36.75" customHeight="1">
      <c r="I910" s="54"/>
    </row>
    <row r="911" ht="36.75" customHeight="1">
      <c r="I911" s="54"/>
    </row>
    <row r="912" ht="36.75" customHeight="1">
      <c r="I912" s="54"/>
    </row>
    <row r="913" ht="36.75" customHeight="1">
      <c r="I913" s="54"/>
    </row>
    <row r="914" ht="36.75" customHeight="1">
      <c r="I914" s="54"/>
    </row>
    <row r="915" ht="36.75" customHeight="1">
      <c r="I915" s="54"/>
    </row>
    <row r="916" ht="36.75" customHeight="1">
      <c r="I916" s="54"/>
    </row>
    <row r="917" ht="36.75" customHeight="1">
      <c r="I917" s="54"/>
    </row>
    <row r="918" ht="36.75" customHeight="1">
      <c r="I918" s="54"/>
    </row>
    <row r="919" ht="36.75" customHeight="1">
      <c r="I919" s="54"/>
    </row>
    <row r="920" ht="36.75" customHeight="1">
      <c r="I920" s="54"/>
    </row>
    <row r="921" ht="36.75" customHeight="1">
      <c r="I921" s="54"/>
    </row>
    <row r="922" ht="36.75" customHeight="1">
      <c r="I922" s="54"/>
    </row>
    <row r="923" ht="36.75" customHeight="1">
      <c r="I923" s="54"/>
    </row>
    <row r="924" ht="36.75" customHeight="1">
      <c r="I924" s="54"/>
    </row>
    <row r="925" ht="36.75" customHeight="1">
      <c r="I925" s="54"/>
    </row>
    <row r="926" ht="36.75" customHeight="1">
      <c r="I926" s="54"/>
    </row>
    <row r="927" ht="36.75" customHeight="1">
      <c r="I927" s="54"/>
    </row>
    <row r="928" ht="36.75" customHeight="1">
      <c r="I928" s="54"/>
    </row>
    <row r="929" ht="36.75" customHeight="1">
      <c r="I929" s="54"/>
    </row>
    <row r="930" ht="36.75" customHeight="1">
      <c r="I930" s="54"/>
    </row>
    <row r="931" ht="36.75" customHeight="1">
      <c r="I931" s="54"/>
    </row>
    <row r="932" ht="36.75" customHeight="1">
      <c r="I932" s="54"/>
    </row>
    <row r="933" ht="36.75" customHeight="1">
      <c r="I933" s="54"/>
    </row>
    <row r="934" ht="36.75" customHeight="1">
      <c r="I934" s="54"/>
    </row>
    <row r="935" ht="36.75" customHeight="1">
      <c r="I935" s="54"/>
    </row>
    <row r="936" ht="36.75" customHeight="1">
      <c r="I936" s="54"/>
    </row>
    <row r="937" ht="36.75" customHeight="1">
      <c r="I937" s="54"/>
    </row>
    <row r="938" ht="36.75" customHeight="1">
      <c r="I938" s="54"/>
    </row>
    <row r="939" ht="36.75" customHeight="1">
      <c r="I939" s="54"/>
    </row>
    <row r="940" ht="36.75" customHeight="1">
      <c r="I940" s="54"/>
    </row>
    <row r="941" ht="36.75" customHeight="1">
      <c r="I941" s="54"/>
    </row>
    <row r="942" ht="36.75" customHeight="1">
      <c r="I942" s="54"/>
    </row>
    <row r="943" ht="36.75" customHeight="1">
      <c r="I943" s="54"/>
    </row>
    <row r="944" ht="36.75" customHeight="1">
      <c r="I944" s="54"/>
    </row>
    <row r="945" ht="36.75" customHeight="1">
      <c r="I945" s="54"/>
    </row>
    <row r="946" ht="36.75" customHeight="1">
      <c r="I946" s="54"/>
    </row>
    <row r="947" ht="36.75" customHeight="1">
      <c r="I947" s="54"/>
    </row>
    <row r="948" ht="36.75" customHeight="1">
      <c r="I948" s="54"/>
    </row>
    <row r="949" ht="36.75" customHeight="1">
      <c r="I949" s="54"/>
    </row>
    <row r="950" ht="36.75" customHeight="1">
      <c r="I950" s="54"/>
    </row>
    <row r="951" ht="36.75" customHeight="1">
      <c r="I951" s="54"/>
    </row>
    <row r="952" ht="36.75" customHeight="1">
      <c r="I952" s="54"/>
    </row>
    <row r="953" ht="36.75" customHeight="1">
      <c r="I953" s="54"/>
    </row>
    <row r="954" ht="36.75" customHeight="1">
      <c r="I954" s="54"/>
    </row>
    <row r="955" ht="36.75" customHeight="1">
      <c r="I955" s="54"/>
    </row>
    <row r="956" ht="36.75" customHeight="1">
      <c r="I956" s="54"/>
    </row>
    <row r="957" ht="36.75" customHeight="1">
      <c r="I957" s="54"/>
    </row>
    <row r="958" ht="36.75" customHeight="1">
      <c r="I958" s="54"/>
    </row>
    <row r="959" ht="36.75" customHeight="1">
      <c r="I959" s="54"/>
    </row>
    <row r="960" ht="36.75" customHeight="1">
      <c r="I960" s="54"/>
    </row>
    <row r="961" ht="36.75" customHeight="1">
      <c r="I961" s="54"/>
    </row>
    <row r="962" ht="36.75" customHeight="1">
      <c r="I962" s="54"/>
    </row>
    <row r="963" ht="36.75" customHeight="1">
      <c r="I963" s="54"/>
    </row>
    <row r="964" ht="36.75" customHeight="1">
      <c r="I964" s="54"/>
    </row>
    <row r="965" ht="36.75" customHeight="1">
      <c r="I965" s="54"/>
    </row>
    <row r="966" ht="36.75" customHeight="1">
      <c r="I966" s="54"/>
    </row>
    <row r="967" ht="36.75" customHeight="1">
      <c r="I967" s="54"/>
    </row>
    <row r="968" ht="36.75" customHeight="1">
      <c r="I968" s="54"/>
    </row>
    <row r="969" ht="36.75" customHeight="1">
      <c r="I969" s="54"/>
    </row>
    <row r="970" ht="36.75" customHeight="1">
      <c r="I970" s="54"/>
    </row>
    <row r="971" ht="36.75" customHeight="1">
      <c r="I971" s="54"/>
    </row>
    <row r="972" ht="36.75" customHeight="1">
      <c r="I972" s="54"/>
    </row>
    <row r="973" ht="36.75" customHeight="1">
      <c r="I973" s="54"/>
    </row>
    <row r="974" ht="36.75" customHeight="1">
      <c r="I974" s="54"/>
    </row>
    <row r="975" ht="36.75" customHeight="1">
      <c r="I975" s="54"/>
    </row>
    <row r="976" ht="36.75" customHeight="1">
      <c r="I976" s="54"/>
    </row>
    <row r="977" ht="36.75" customHeight="1">
      <c r="I977" s="54"/>
    </row>
    <row r="978" ht="36.75" customHeight="1">
      <c r="I978" s="54"/>
    </row>
    <row r="979" ht="36.75" customHeight="1">
      <c r="I979" s="54"/>
    </row>
    <row r="980" ht="36.75" customHeight="1">
      <c r="I980" s="54"/>
    </row>
    <row r="981" ht="36.75" customHeight="1">
      <c r="I981" s="54"/>
    </row>
    <row r="982" ht="36.75" customHeight="1">
      <c r="I982" s="54"/>
    </row>
    <row r="983" ht="36.75" customHeight="1">
      <c r="I983" s="54"/>
    </row>
    <row r="984" ht="36.75" customHeight="1">
      <c r="I984" s="54"/>
    </row>
    <row r="985" ht="36.75" customHeight="1">
      <c r="I985" s="54"/>
    </row>
    <row r="986" ht="36.75" customHeight="1">
      <c r="I986" s="54"/>
    </row>
    <row r="987" ht="36.75" customHeight="1">
      <c r="I987" s="54"/>
    </row>
    <row r="988" ht="36.75" customHeight="1">
      <c r="I988" s="54"/>
    </row>
    <row r="989" ht="36.75" customHeight="1">
      <c r="I989" s="54"/>
    </row>
    <row r="990" ht="36.75" customHeight="1">
      <c r="I990" s="54"/>
    </row>
    <row r="991" ht="36.75" customHeight="1">
      <c r="I991" s="54"/>
    </row>
    <row r="992" ht="36.75" customHeight="1">
      <c r="I992" s="54"/>
    </row>
    <row r="993" ht="36.75" customHeight="1">
      <c r="I993" s="54"/>
    </row>
    <row r="994" ht="36.75" customHeight="1">
      <c r="I994" s="54"/>
    </row>
    <row r="995" ht="36.75" customHeight="1">
      <c r="I995" s="54"/>
    </row>
    <row r="996" ht="36.75" customHeight="1">
      <c r="I996" s="54"/>
    </row>
    <row r="997" ht="36.75" customHeight="1">
      <c r="I997" s="54"/>
    </row>
    <row r="998" ht="36.75" customHeight="1">
      <c r="I998" s="54"/>
    </row>
    <row r="999" ht="36.75" customHeight="1">
      <c r="I999" s="54"/>
    </row>
    <row r="1000" ht="36.75" customHeight="1">
      <c r="I1000" s="54"/>
    </row>
    <row r="1001" ht="36.75" customHeight="1">
      <c r="I1001" s="54"/>
    </row>
    <row r="1002" ht="36.75" customHeight="1">
      <c r="I1002" s="54"/>
    </row>
    <row r="1003" ht="36.75" customHeight="1">
      <c r="I1003" s="54"/>
    </row>
    <row r="1004" ht="36.75" customHeight="1">
      <c r="I1004" s="54"/>
    </row>
    <row r="1005" ht="36.75" customHeight="1">
      <c r="I1005" s="54"/>
    </row>
    <row r="1006" ht="36.75" customHeight="1">
      <c r="I1006" s="54"/>
    </row>
    <row r="1007" ht="36.75" customHeight="1">
      <c r="I1007" s="54"/>
    </row>
    <row r="1008" ht="36.75" customHeight="1">
      <c r="I1008" s="54"/>
    </row>
    <row r="1009" ht="36.75" customHeight="1">
      <c r="I1009" s="54"/>
    </row>
    <row r="1010" ht="36.75" customHeight="1">
      <c r="I1010" s="54"/>
    </row>
    <row r="1011" ht="36.75" customHeight="1">
      <c r="I1011" s="54"/>
    </row>
    <row r="1012" ht="36.75" customHeight="1">
      <c r="I1012" s="54"/>
    </row>
    <row r="1013" ht="36.75" customHeight="1">
      <c r="I1013" s="54"/>
    </row>
    <row r="1014" ht="36.75" customHeight="1">
      <c r="I1014" s="54"/>
    </row>
  </sheetData>
  <mergeCells count="1">
    <mergeCell ref="A1:K1"/>
  </mergeCells>
  <conditionalFormatting sqref="E2">
    <cfRule type="notContainsBlanks" dxfId="0" priority="1">
      <formula>LEN(TRIM(E2))&gt;0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2.0" topLeftCell="A3" activePane="bottomLeft" state="frozen"/>
      <selection activeCell="B4" sqref="B4" pane="bottomLeft"/>
    </sheetView>
  </sheetViews>
  <sheetFormatPr customHeight="1" defaultColWidth="14.43" defaultRowHeight="12.75"/>
  <cols>
    <col customWidth="1" min="1" max="2" width="17.29"/>
    <col customWidth="1" min="3" max="3" width="22.86"/>
    <col customWidth="1" min="4" max="15" width="17.29"/>
    <col customWidth="1" min="16" max="16" width="25.86"/>
    <col customWidth="1" min="17" max="61" width="17.29"/>
  </cols>
  <sheetData>
    <row r="1" ht="28.5" customHeight="1">
      <c r="A1" s="25" t="s">
        <v>65</v>
      </c>
      <c r="B1" s="25" t="s">
        <v>68</v>
      </c>
      <c r="C1" s="25" t="s">
        <v>69</v>
      </c>
      <c r="D1" s="25" t="s">
        <v>70</v>
      </c>
      <c r="E1" s="25" t="s">
        <v>71</v>
      </c>
      <c r="F1" s="13"/>
      <c r="G1" s="13"/>
      <c r="H1" s="13"/>
      <c r="I1" s="13"/>
      <c r="J1" s="13"/>
      <c r="K1" s="13"/>
      <c r="L1" s="13"/>
      <c r="M1" s="13"/>
      <c r="N1" s="13"/>
      <c r="O1" s="13"/>
      <c r="P1" s="13"/>
    </row>
    <row r="2" ht="28.5" customHeight="1">
      <c r="A2" s="27" t="s">
        <v>12</v>
      </c>
      <c r="B2" s="27" t="s">
        <v>13</v>
      </c>
      <c r="C2" s="27" t="s">
        <v>14</v>
      </c>
      <c r="D2" s="27" t="s">
        <v>15</v>
      </c>
      <c r="E2" s="27" t="s">
        <v>16</v>
      </c>
      <c r="F2" s="27" t="s">
        <v>23</v>
      </c>
      <c r="G2" s="27" t="s">
        <v>76</v>
      </c>
      <c r="H2" s="27" t="s">
        <v>77</v>
      </c>
      <c r="I2" s="27" t="s">
        <v>78</v>
      </c>
      <c r="J2" s="27" t="s">
        <v>79</v>
      </c>
      <c r="K2" s="27" t="s">
        <v>80</v>
      </c>
      <c r="L2" s="27" t="s">
        <v>81</v>
      </c>
      <c r="M2" s="27" t="s">
        <v>82</v>
      </c>
      <c r="N2" s="27" t="s">
        <v>83</v>
      </c>
      <c r="O2" s="27" t="s">
        <v>84</v>
      </c>
      <c r="P2" s="27" t="s">
        <v>27</v>
      </c>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row>
    <row r="3" ht="28.5" customHeight="1">
      <c r="A3" s="20">
        <v>42399.0</v>
      </c>
      <c r="B3" s="21" t="s">
        <v>28</v>
      </c>
      <c r="C3" s="21" t="s">
        <v>29</v>
      </c>
      <c r="D3" s="21" t="s">
        <v>30</v>
      </c>
      <c r="E3" s="21" t="s">
        <v>31</v>
      </c>
      <c r="F3" s="21">
        <v>1.0</v>
      </c>
      <c r="G3" s="21" t="s">
        <v>87</v>
      </c>
      <c r="H3" s="21"/>
      <c r="I3" s="22"/>
      <c r="J3" s="21"/>
      <c r="K3" s="21" t="s">
        <v>88</v>
      </c>
      <c r="M3" s="21" t="s">
        <v>89</v>
      </c>
      <c r="N3" s="21" t="s">
        <v>89</v>
      </c>
      <c r="O3" s="21" t="s">
        <v>90</v>
      </c>
    </row>
    <row r="4" ht="28.5" customHeight="1">
      <c r="A4" s="20">
        <v>42399.0</v>
      </c>
      <c r="B4" s="21" t="s">
        <v>28</v>
      </c>
      <c r="C4" s="21" t="s">
        <v>29</v>
      </c>
      <c r="D4" s="21" t="s">
        <v>30</v>
      </c>
      <c r="E4" s="21" t="s">
        <v>31</v>
      </c>
      <c r="F4" s="21">
        <v>2.0</v>
      </c>
      <c r="G4" s="21" t="s">
        <v>91</v>
      </c>
      <c r="N4" s="21" t="s">
        <v>88</v>
      </c>
      <c r="O4" s="21" t="s">
        <v>90</v>
      </c>
    </row>
    <row r="5" ht="28.5" customHeight="1">
      <c r="A5" s="20">
        <v>42399.0</v>
      </c>
      <c r="B5" s="21" t="s">
        <v>28</v>
      </c>
      <c r="C5" s="21" t="s">
        <v>29</v>
      </c>
      <c r="D5" s="21" t="s">
        <v>30</v>
      </c>
      <c r="E5" s="21" t="s">
        <v>31</v>
      </c>
      <c r="F5" s="21">
        <v>2.0</v>
      </c>
      <c r="G5" s="21" t="s">
        <v>92</v>
      </c>
      <c r="K5" s="21" t="s">
        <v>88</v>
      </c>
      <c r="O5" s="21" t="s">
        <v>90</v>
      </c>
    </row>
    <row r="6" ht="28.5" customHeight="1">
      <c r="A6" s="20">
        <v>42399.0</v>
      </c>
      <c r="B6" s="21" t="s">
        <v>28</v>
      </c>
      <c r="C6" s="21" t="s">
        <v>29</v>
      </c>
      <c r="D6" s="21" t="s">
        <v>30</v>
      </c>
      <c r="E6" s="21" t="s">
        <v>31</v>
      </c>
      <c r="F6" s="21">
        <v>2.0</v>
      </c>
      <c r="G6" s="21" t="s">
        <v>92</v>
      </c>
      <c r="K6" s="21" t="s">
        <v>88</v>
      </c>
      <c r="O6" s="21" t="s">
        <v>90</v>
      </c>
    </row>
    <row r="7" ht="28.5" customHeight="1">
      <c r="A7" s="20">
        <v>42399.0</v>
      </c>
      <c r="B7" s="21" t="s">
        <v>28</v>
      </c>
      <c r="C7" s="21" t="s">
        <v>29</v>
      </c>
      <c r="D7" s="21" t="s">
        <v>30</v>
      </c>
      <c r="E7" s="21" t="s">
        <v>31</v>
      </c>
      <c r="F7" s="21">
        <v>2.0</v>
      </c>
      <c r="G7" s="21" t="s">
        <v>92</v>
      </c>
      <c r="K7" s="21" t="s">
        <v>88</v>
      </c>
      <c r="O7" s="21" t="s">
        <v>90</v>
      </c>
    </row>
    <row r="8" ht="28.5" customHeight="1">
      <c r="A8" s="29">
        <v>42402.0</v>
      </c>
      <c r="B8" s="25" t="s">
        <v>106</v>
      </c>
      <c r="C8" s="21" t="s">
        <v>109</v>
      </c>
      <c r="D8" s="21" t="s">
        <v>111</v>
      </c>
      <c r="E8" s="25" t="s">
        <v>113</v>
      </c>
      <c r="F8" s="21">
        <v>1.0</v>
      </c>
      <c r="G8" s="21" t="s">
        <v>115</v>
      </c>
      <c r="H8" s="21" t="s">
        <v>116</v>
      </c>
    </row>
    <row r="9" ht="28.5" customHeight="1">
      <c r="A9" s="29">
        <v>42402.0</v>
      </c>
      <c r="B9" s="25" t="s">
        <v>106</v>
      </c>
      <c r="C9" s="21" t="s">
        <v>109</v>
      </c>
      <c r="D9" s="21" t="s">
        <v>111</v>
      </c>
      <c r="E9" s="25" t="s">
        <v>113</v>
      </c>
      <c r="F9" s="21">
        <v>1.0</v>
      </c>
      <c r="G9" s="21" t="s">
        <v>115</v>
      </c>
      <c r="H9" s="21" t="s">
        <v>142</v>
      </c>
    </row>
    <row r="10" ht="28.5" customHeight="1">
      <c r="A10" s="29">
        <v>42406.0</v>
      </c>
      <c r="B10" s="25" t="s">
        <v>149</v>
      </c>
      <c r="C10" s="21" t="s">
        <v>151</v>
      </c>
      <c r="D10" s="21" t="s">
        <v>153</v>
      </c>
      <c r="E10" s="25" t="s">
        <v>113</v>
      </c>
      <c r="F10" s="21">
        <v>1.0</v>
      </c>
      <c r="G10" s="21" t="s">
        <v>157</v>
      </c>
      <c r="H10" s="21" t="s">
        <v>158</v>
      </c>
      <c r="I10" s="21" t="s">
        <v>159</v>
      </c>
      <c r="K10" s="21" t="s">
        <v>159</v>
      </c>
      <c r="L10" s="21" t="s">
        <v>88</v>
      </c>
      <c r="O10" s="21" t="s">
        <v>90</v>
      </c>
      <c r="P10" s="21" t="s">
        <v>160</v>
      </c>
    </row>
    <row r="11" ht="28.5" customHeight="1">
      <c r="A11" s="20">
        <v>42405.0</v>
      </c>
      <c r="B11" s="21" t="s">
        <v>149</v>
      </c>
      <c r="C11" s="21" t="s">
        <v>165</v>
      </c>
      <c r="D11" s="21" t="s">
        <v>166</v>
      </c>
      <c r="E11" s="21" t="s">
        <v>113</v>
      </c>
      <c r="F11" s="21">
        <v>3.0</v>
      </c>
      <c r="G11" s="21" t="s">
        <v>115</v>
      </c>
      <c r="H11" s="21"/>
      <c r="I11" s="21"/>
      <c r="J11" s="21"/>
      <c r="K11" s="21" t="s">
        <v>88</v>
      </c>
      <c r="L11" s="21" t="s">
        <v>90</v>
      </c>
      <c r="M11" s="21" t="s">
        <v>167</v>
      </c>
      <c r="N11" s="21" t="s">
        <v>169</v>
      </c>
      <c r="O11" s="21" t="s">
        <v>90</v>
      </c>
      <c r="P11" s="21" t="s">
        <v>160</v>
      </c>
    </row>
    <row r="12" ht="28.5" customHeight="1">
      <c r="A12" s="20">
        <v>42405.0</v>
      </c>
      <c r="B12" s="21" t="s">
        <v>149</v>
      </c>
      <c r="C12" s="21" t="s">
        <v>165</v>
      </c>
      <c r="D12" s="21" t="s">
        <v>166</v>
      </c>
      <c r="E12" s="21" t="s">
        <v>113</v>
      </c>
      <c r="F12" s="21">
        <v>4.0</v>
      </c>
      <c r="G12" s="21" t="s">
        <v>157</v>
      </c>
      <c r="H12" s="21" t="s">
        <v>158</v>
      </c>
      <c r="I12" s="21" t="s">
        <v>159</v>
      </c>
      <c r="K12" s="21" t="s">
        <v>159</v>
      </c>
      <c r="M12" s="21" t="s">
        <v>171</v>
      </c>
      <c r="N12" s="21" t="s">
        <v>88</v>
      </c>
      <c r="O12" s="21" t="s">
        <v>90</v>
      </c>
      <c r="P12" s="21" t="s">
        <v>160</v>
      </c>
    </row>
    <row r="13" ht="28.5" customHeight="1">
      <c r="A13" s="20">
        <v>42405.0</v>
      </c>
      <c r="B13" s="21" t="s">
        <v>149</v>
      </c>
      <c r="C13" s="21" t="s">
        <v>165</v>
      </c>
      <c r="D13" s="21" t="s">
        <v>166</v>
      </c>
      <c r="E13" s="21" t="s">
        <v>113</v>
      </c>
      <c r="F13" s="21">
        <v>4.0</v>
      </c>
      <c r="G13" s="21" t="s">
        <v>115</v>
      </c>
      <c r="I13" s="21" t="s">
        <v>175</v>
      </c>
      <c r="K13" s="21" t="s">
        <v>88</v>
      </c>
      <c r="L13" s="21" t="s">
        <v>176</v>
      </c>
      <c r="M13" s="21" t="s">
        <v>175</v>
      </c>
      <c r="N13" s="21" t="s">
        <v>178</v>
      </c>
      <c r="O13" s="21" t="s">
        <v>90</v>
      </c>
      <c r="P13" s="21" t="s">
        <v>160</v>
      </c>
    </row>
    <row r="14" ht="28.5" customHeight="1">
      <c r="A14" s="29">
        <v>42405.0</v>
      </c>
      <c r="B14" s="25" t="s">
        <v>181</v>
      </c>
      <c r="C14" s="21" t="s">
        <v>182</v>
      </c>
      <c r="D14" s="21" t="s">
        <v>183</v>
      </c>
      <c r="E14" s="25" t="s">
        <v>184</v>
      </c>
      <c r="F14" s="21">
        <v>1.0</v>
      </c>
      <c r="G14" s="21" t="s">
        <v>115</v>
      </c>
      <c r="H14" s="21" t="s">
        <v>158</v>
      </c>
      <c r="I14" s="21" t="s">
        <v>185</v>
      </c>
      <c r="K14" s="21" t="s">
        <v>186</v>
      </c>
      <c r="L14" s="21" t="s">
        <v>187</v>
      </c>
    </row>
    <row r="15" ht="28.5" customHeight="1">
      <c r="A15" s="29">
        <v>42043.0</v>
      </c>
      <c r="B15" s="25" t="s">
        <v>188</v>
      </c>
      <c r="C15" s="21" t="s">
        <v>192</v>
      </c>
      <c r="D15" s="21" t="s">
        <v>193</v>
      </c>
      <c r="E15" s="25" t="s">
        <v>195</v>
      </c>
      <c r="F15" s="21">
        <v>3.0</v>
      </c>
      <c r="G15" s="21" t="s">
        <v>115</v>
      </c>
      <c r="H15" s="21" t="s">
        <v>158</v>
      </c>
      <c r="I15" s="21" t="s">
        <v>196</v>
      </c>
      <c r="J15" s="21" t="s">
        <v>197</v>
      </c>
      <c r="K15" s="21" t="s">
        <v>198</v>
      </c>
      <c r="L15" s="21" t="s">
        <v>199</v>
      </c>
      <c r="M15" s="21" t="s">
        <v>201</v>
      </c>
      <c r="N15" s="21" t="s">
        <v>203</v>
      </c>
      <c r="O15" s="21" t="s">
        <v>90</v>
      </c>
      <c r="P15" s="21" t="s">
        <v>205</v>
      </c>
    </row>
    <row r="16" ht="28.5" customHeight="1">
      <c r="A16" s="29">
        <v>42408.0</v>
      </c>
      <c r="B16" s="25" t="s">
        <v>206</v>
      </c>
      <c r="C16" s="21" t="s">
        <v>165</v>
      </c>
      <c r="D16" s="21" t="s">
        <v>207</v>
      </c>
      <c r="E16" s="25" t="s">
        <v>113</v>
      </c>
      <c r="F16" s="21">
        <v>3.0</v>
      </c>
      <c r="G16" s="21" t="s">
        <v>115</v>
      </c>
      <c r="I16" s="21" t="s">
        <v>208</v>
      </c>
      <c r="K16" s="21" t="s">
        <v>208</v>
      </c>
      <c r="L16" s="21" t="s">
        <v>209</v>
      </c>
      <c r="M16" s="21" t="s">
        <v>88</v>
      </c>
      <c r="N16" s="21" t="s">
        <v>90</v>
      </c>
      <c r="O16" s="21" t="s">
        <v>90</v>
      </c>
      <c r="P16" s="21" t="s">
        <v>205</v>
      </c>
    </row>
    <row r="17" ht="28.5" customHeight="1">
      <c r="A17" s="30">
        <v>42407.0</v>
      </c>
      <c r="B17" s="25" t="s">
        <v>216</v>
      </c>
      <c r="C17" s="25" t="s">
        <v>217</v>
      </c>
      <c r="D17" s="25" t="s">
        <v>218</v>
      </c>
      <c r="E17" s="25" t="s">
        <v>220</v>
      </c>
      <c r="F17" s="21">
        <v>1.0</v>
      </c>
      <c r="G17" s="21" t="s">
        <v>221</v>
      </c>
      <c r="I17" s="21" t="s">
        <v>88</v>
      </c>
      <c r="K17" s="21" t="s">
        <v>88</v>
      </c>
    </row>
    <row r="18" ht="28.5" customHeight="1">
      <c r="A18" s="30">
        <v>42407.0</v>
      </c>
      <c r="B18" s="25" t="s">
        <v>216</v>
      </c>
      <c r="C18" s="25" t="s">
        <v>217</v>
      </c>
      <c r="D18" s="25" t="s">
        <v>218</v>
      </c>
      <c r="E18" s="25" t="s">
        <v>220</v>
      </c>
      <c r="F18" s="21">
        <v>1.0</v>
      </c>
      <c r="G18" s="21" t="s">
        <v>221</v>
      </c>
      <c r="I18" s="21" t="s">
        <v>88</v>
      </c>
      <c r="K18" s="21" t="s">
        <v>88</v>
      </c>
    </row>
    <row r="19" ht="28.5" customHeight="1">
      <c r="A19" s="30">
        <v>42407.0</v>
      </c>
      <c r="B19" s="25" t="s">
        <v>216</v>
      </c>
      <c r="C19" s="25" t="s">
        <v>217</v>
      </c>
      <c r="D19" s="25" t="s">
        <v>218</v>
      </c>
      <c r="E19" s="25" t="s">
        <v>220</v>
      </c>
      <c r="F19" s="21">
        <v>1.0</v>
      </c>
      <c r="G19" s="21" t="s">
        <v>221</v>
      </c>
      <c r="I19" s="21" t="s">
        <v>88</v>
      </c>
      <c r="K19" s="21" t="s">
        <v>88</v>
      </c>
    </row>
    <row r="20" ht="28.5" customHeight="1">
      <c r="A20" s="31"/>
      <c r="B20" s="31"/>
      <c r="E20" s="31"/>
    </row>
    <row r="21" ht="28.5" customHeight="1">
      <c r="A21" s="29">
        <v>42410.0</v>
      </c>
      <c r="B21" s="25" t="s">
        <v>229</v>
      </c>
      <c r="C21" s="21" t="s">
        <v>230</v>
      </c>
      <c r="D21" s="21" t="s">
        <v>231</v>
      </c>
      <c r="E21" s="25" t="s">
        <v>232</v>
      </c>
      <c r="F21" s="21" t="s">
        <v>233</v>
      </c>
      <c r="P21" s="21" t="s">
        <v>234</v>
      </c>
    </row>
    <row r="22" ht="24.75" customHeight="1">
      <c r="A22" s="20">
        <v>42408.0</v>
      </c>
      <c r="B22" s="21" t="s">
        <v>235</v>
      </c>
      <c r="C22" s="21" t="s">
        <v>236</v>
      </c>
      <c r="D22" s="21" t="s">
        <v>237</v>
      </c>
      <c r="E22" s="21" t="s">
        <v>239</v>
      </c>
      <c r="F22" s="21" t="s">
        <v>240</v>
      </c>
      <c r="P22" s="35" t="s">
        <v>234</v>
      </c>
    </row>
    <row r="23" ht="28.5" customHeight="1">
      <c r="A23" s="29">
        <v>42408.0</v>
      </c>
      <c r="B23" s="25" t="s">
        <v>245</v>
      </c>
      <c r="C23" s="25" t="s">
        <v>246</v>
      </c>
      <c r="D23" s="25" t="s">
        <v>247</v>
      </c>
      <c r="E23" s="25" t="s">
        <v>113</v>
      </c>
      <c r="F23" s="21">
        <v>2.0</v>
      </c>
      <c r="G23" s="21" t="s">
        <v>157</v>
      </c>
      <c r="K23" s="21" t="s">
        <v>248</v>
      </c>
      <c r="L23" s="21" t="s">
        <v>249</v>
      </c>
      <c r="M23" s="21" t="s">
        <v>250</v>
      </c>
      <c r="N23" s="21" t="s">
        <v>88</v>
      </c>
      <c r="O23" s="21" t="s">
        <v>251</v>
      </c>
      <c r="P23" s="21" t="s">
        <v>252</v>
      </c>
    </row>
    <row r="24" ht="28.5" customHeight="1">
      <c r="A24" s="29">
        <v>42409.0</v>
      </c>
      <c r="B24" s="25" t="s">
        <v>253</v>
      </c>
      <c r="C24" s="21" t="s">
        <v>254</v>
      </c>
      <c r="D24" s="21" t="s">
        <v>255</v>
      </c>
      <c r="E24" s="25" t="s">
        <v>239</v>
      </c>
      <c r="F24" s="21" t="s">
        <v>256</v>
      </c>
    </row>
    <row r="25" ht="28.5" customHeight="1">
      <c r="A25" s="29">
        <v>42410.0</v>
      </c>
      <c r="B25" s="25" t="s">
        <v>253</v>
      </c>
      <c r="C25" s="21" t="s">
        <v>254</v>
      </c>
      <c r="D25" s="21" t="s">
        <v>258</v>
      </c>
      <c r="E25" s="25" t="s">
        <v>259</v>
      </c>
      <c r="F25" s="21" t="s">
        <v>256</v>
      </c>
    </row>
    <row r="26" ht="28.5" customHeight="1">
      <c r="A26" s="29">
        <v>42411.0</v>
      </c>
      <c r="B26" s="25" t="s">
        <v>260</v>
      </c>
      <c r="C26" s="21" t="s">
        <v>261</v>
      </c>
      <c r="D26" s="21" t="s">
        <v>262</v>
      </c>
      <c r="E26" s="25" t="s">
        <v>113</v>
      </c>
      <c r="F26" s="21" t="s">
        <v>256</v>
      </c>
    </row>
    <row r="27" ht="28.5" customHeight="1">
      <c r="A27" s="29">
        <v>42408.0</v>
      </c>
      <c r="B27" s="25" t="s">
        <v>264</v>
      </c>
      <c r="C27" s="21" t="s">
        <v>265</v>
      </c>
      <c r="D27" s="21" t="s">
        <v>266</v>
      </c>
      <c r="E27" s="25" t="s">
        <v>267</v>
      </c>
      <c r="F27" s="21">
        <v>10.0</v>
      </c>
      <c r="G27" s="21" t="s">
        <v>268</v>
      </c>
      <c r="H27" s="21" t="s">
        <v>269</v>
      </c>
      <c r="I27" s="21" t="s">
        <v>90</v>
      </c>
      <c r="J27" s="21" t="s">
        <v>270</v>
      </c>
      <c r="K27" s="21" t="s">
        <v>271</v>
      </c>
      <c r="L27" s="21" t="s">
        <v>88</v>
      </c>
      <c r="O27" s="21" t="s">
        <v>90</v>
      </c>
      <c r="P27" s="21" t="s">
        <v>160</v>
      </c>
    </row>
    <row r="28" ht="28.5" customHeight="1">
      <c r="A28" s="29">
        <v>42408.0</v>
      </c>
      <c r="B28" s="25" t="s">
        <v>264</v>
      </c>
      <c r="C28" s="21" t="s">
        <v>265</v>
      </c>
      <c r="D28" s="21" t="s">
        <v>266</v>
      </c>
      <c r="E28" s="25" t="s">
        <v>267</v>
      </c>
      <c r="F28" s="21">
        <v>12.0</v>
      </c>
      <c r="G28" s="21" t="s">
        <v>268</v>
      </c>
      <c r="H28" s="21" t="s">
        <v>272</v>
      </c>
      <c r="I28" s="21" t="s">
        <v>273</v>
      </c>
      <c r="J28" s="21" t="s">
        <v>274</v>
      </c>
      <c r="K28" s="21" t="s">
        <v>275</v>
      </c>
      <c r="L28" s="21" t="s">
        <v>88</v>
      </c>
      <c r="M28" s="21" t="s">
        <v>276</v>
      </c>
      <c r="O28" s="21" t="s">
        <v>90</v>
      </c>
      <c r="P28" s="21" t="s">
        <v>277</v>
      </c>
    </row>
    <row r="29" ht="28.5" customHeight="1">
      <c r="A29" s="29"/>
      <c r="B29" s="25"/>
      <c r="C29" s="21"/>
      <c r="D29" s="21"/>
      <c r="E29" s="25"/>
      <c r="F29" s="21"/>
      <c r="G29" s="21"/>
      <c r="H29" s="21"/>
      <c r="I29" s="21"/>
      <c r="J29" s="21"/>
      <c r="K29" s="21"/>
      <c r="L29" s="21"/>
      <c r="O29" s="21"/>
      <c r="P29" s="21"/>
    </row>
    <row r="30" ht="28.5" customHeight="1">
      <c r="A30" s="29">
        <v>42409.0</v>
      </c>
      <c r="B30" s="25" t="s">
        <v>278</v>
      </c>
      <c r="C30" s="21" t="s">
        <v>279</v>
      </c>
      <c r="D30" s="21" t="s">
        <v>280</v>
      </c>
      <c r="E30" s="25" t="s">
        <v>281</v>
      </c>
      <c r="F30" s="21">
        <v>1.0</v>
      </c>
      <c r="G30" s="21" t="s">
        <v>282</v>
      </c>
      <c r="K30" s="21" t="s">
        <v>88</v>
      </c>
      <c r="L30" s="21" t="s">
        <v>171</v>
      </c>
      <c r="N30" s="21" t="s">
        <v>283</v>
      </c>
      <c r="O30" s="21" t="s">
        <v>90</v>
      </c>
      <c r="P30" s="21" t="s">
        <v>284</v>
      </c>
    </row>
    <row r="31" ht="28.5" customHeight="1">
      <c r="A31" s="29">
        <v>42409.0</v>
      </c>
      <c r="B31" s="25" t="s">
        <v>278</v>
      </c>
      <c r="C31" s="21" t="s">
        <v>279</v>
      </c>
      <c r="D31" s="21" t="s">
        <v>285</v>
      </c>
      <c r="E31" s="25" t="s">
        <v>281</v>
      </c>
      <c r="F31" s="21">
        <v>1.0</v>
      </c>
      <c r="G31" s="21" t="s">
        <v>282</v>
      </c>
      <c r="L31" s="21" t="s">
        <v>286</v>
      </c>
      <c r="M31" s="21" t="s">
        <v>88</v>
      </c>
      <c r="N31" s="21" t="s">
        <v>273</v>
      </c>
      <c r="O31" s="21" t="s">
        <v>90</v>
      </c>
      <c r="P31" s="21" t="s">
        <v>287</v>
      </c>
    </row>
    <row r="32" ht="28.5" customHeight="1">
      <c r="A32" s="29">
        <v>42409.0</v>
      </c>
      <c r="B32" s="25" t="s">
        <v>278</v>
      </c>
      <c r="C32" s="21" t="s">
        <v>279</v>
      </c>
      <c r="D32" s="21" t="s">
        <v>285</v>
      </c>
      <c r="E32" s="25" t="s">
        <v>281</v>
      </c>
      <c r="F32" s="21">
        <v>1.0</v>
      </c>
      <c r="G32" s="21" t="s">
        <v>282</v>
      </c>
      <c r="M32" s="21" t="s">
        <v>88</v>
      </c>
      <c r="N32" s="21" t="s">
        <v>288</v>
      </c>
      <c r="O32" s="21" t="s">
        <v>90</v>
      </c>
      <c r="P32" s="21" t="s">
        <v>289</v>
      </c>
    </row>
    <row r="33" ht="28.5" customHeight="1">
      <c r="A33" s="29">
        <v>42410.0</v>
      </c>
      <c r="B33" s="25" t="s">
        <v>278</v>
      </c>
      <c r="C33" s="21" t="s">
        <v>279</v>
      </c>
      <c r="D33" s="21" t="s">
        <v>290</v>
      </c>
      <c r="E33" s="25" t="s">
        <v>291</v>
      </c>
      <c r="F33" s="21">
        <v>1.0</v>
      </c>
      <c r="G33" s="21" t="s">
        <v>282</v>
      </c>
      <c r="K33" s="21" t="s">
        <v>292</v>
      </c>
      <c r="M33" s="21" t="s">
        <v>293</v>
      </c>
      <c r="O33" s="21" t="s">
        <v>90</v>
      </c>
      <c r="P33" s="21" t="s">
        <v>294</v>
      </c>
    </row>
    <row r="34" ht="28.5" customHeight="1">
      <c r="A34" s="29">
        <v>42410.0</v>
      </c>
      <c r="B34" s="25" t="s">
        <v>278</v>
      </c>
      <c r="C34" s="21" t="s">
        <v>279</v>
      </c>
      <c r="D34" s="21" t="s">
        <v>290</v>
      </c>
      <c r="E34" s="25" t="s">
        <v>291</v>
      </c>
      <c r="F34" s="21">
        <v>1.0</v>
      </c>
      <c r="G34" s="21" t="s">
        <v>282</v>
      </c>
      <c r="K34" s="21" t="s">
        <v>297</v>
      </c>
      <c r="M34" s="21" t="s">
        <v>298</v>
      </c>
      <c r="O34" s="21" t="s">
        <v>90</v>
      </c>
      <c r="P34" s="21" t="s">
        <v>294</v>
      </c>
    </row>
    <row r="35" ht="28.5" customHeight="1">
      <c r="A35" s="29">
        <v>42410.0</v>
      </c>
      <c r="B35" s="25" t="s">
        <v>278</v>
      </c>
      <c r="C35" s="21" t="s">
        <v>279</v>
      </c>
      <c r="D35" s="21" t="s">
        <v>290</v>
      </c>
      <c r="E35" s="25" t="s">
        <v>291</v>
      </c>
      <c r="F35" s="21">
        <v>1.0</v>
      </c>
      <c r="G35" s="21" t="s">
        <v>282</v>
      </c>
      <c r="K35" s="21" t="s">
        <v>88</v>
      </c>
      <c r="L35" s="21" t="s">
        <v>273</v>
      </c>
      <c r="N35" s="21" t="s">
        <v>302</v>
      </c>
      <c r="O35" s="21" t="s">
        <v>90</v>
      </c>
      <c r="P35" s="21" t="s">
        <v>294</v>
      </c>
    </row>
    <row r="36" ht="28.5" customHeight="1">
      <c r="A36" s="29">
        <v>42408.0</v>
      </c>
      <c r="B36" s="25" t="s">
        <v>68</v>
      </c>
      <c r="C36" s="25" t="s">
        <v>69</v>
      </c>
      <c r="D36" s="25" t="s">
        <v>70</v>
      </c>
      <c r="E36" s="25" t="s">
        <v>71</v>
      </c>
      <c r="F36" s="21">
        <v>1.0</v>
      </c>
      <c r="G36" s="21" t="s">
        <v>157</v>
      </c>
      <c r="I36" s="21" t="s">
        <v>307</v>
      </c>
      <c r="K36" s="21" t="s">
        <v>308</v>
      </c>
      <c r="M36" s="21" t="s">
        <v>90</v>
      </c>
      <c r="N36" s="21" t="s">
        <v>88</v>
      </c>
      <c r="O36" s="21" t="s">
        <v>90</v>
      </c>
      <c r="P36" s="21" t="s">
        <v>309</v>
      </c>
    </row>
    <row r="37" ht="28.5" customHeight="1">
      <c r="A37" s="29">
        <v>42408.0</v>
      </c>
      <c r="B37" s="25" t="s">
        <v>68</v>
      </c>
      <c r="C37" s="25" t="s">
        <v>69</v>
      </c>
      <c r="D37" s="25" t="s">
        <v>70</v>
      </c>
      <c r="E37" s="25" t="s">
        <v>71</v>
      </c>
      <c r="F37" s="21">
        <v>2.0</v>
      </c>
      <c r="G37" s="21" t="s">
        <v>115</v>
      </c>
      <c r="H37" s="21">
        <v>908.0</v>
      </c>
      <c r="I37" s="21" t="s">
        <v>90</v>
      </c>
      <c r="J37" s="21" t="s">
        <v>311</v>
      </c>
      <c r="K37" s="21" t="s">
        <v>313</v>
      </c>
      <c r="L37" s="21" t="s">
        <v>315</v>
      </c>
      <c r="M37" s="21" t="s">
        <v>88</v>
      </c>
      <c r="N37" s="21" t="s">
        <v>316</v>
      </c>
      <c r="O37" s="21" t="s">
        <v>90</v>
      </c>
      <c r="P37" s="21" t="s">
        <v>309</v>
      </c>
    </row>
    <row r="38" ht="28.5" customHeight="1">
      <c r="A38" s="29">
        <v>42405.0</v>
      </c>
      <c r="B38" s="25" t="s">
        <v>317</v>
      </c>
      <c r="C38" s="21" t="s">
        <v>318</v>
      </c>
      <c r="D38" s="21" t="s">
        <v>319</v>
      </c>
      <c r="E38" s="25" t="s">
        <v>320</v>
      </c>
      <c r="F38" s="21" t="s">
        <v>233</v>
      </c>
    </row>
    <row r="39" ht="28.5" customHeight="1">
      <c r="A39" s="29">
        <v>42405.0</v>
      </c>
      <c r="B39" s="25" t="s">
        <v>317</v>
      </c>
      <c r="C39" s="21" t="s">
        <v>318</v>
      </c>
      <c r="D39" s="21" t="s">
        <v>322</v>
      </c>
      <c r="E39" s="25" t="s">
        <v>320</v>
      </c>
      <c r="F39" s="21" t="s">
        <v>233</v>
      </c>
    </row>
    <row r="40" ht="28.5" customHeight="1">
      <c r="A40" s="29">
        <v>42405.0</v>
      </c>
      <c r="B40" s="25" t="s">
        <v>324</v>
      </c>
      <c r="C40" s="21" t="s">
        <v>243</v>
      </c>
      <c r="D40" s="21" t="s">
        <v>244</v>
      </c>
      <c r="E40" s="25" t="s">
        <v>164</v>
      </c>
      <c r="F40" s="21">
        <v>1.0</v>
      </c>
      <c r="G40" s="21" t="s">
        <v>282</v>
      </c>
      <c r="K40" s="21" t="s">
        <v>88</v>
      </c>
      <c r="L40" s="21" t="s">
        <v>169</v>
      </c>
      <c r="N40" s="21" t="s">
        <v>328</v>
      </c>
      <c r="O40" s="21" t="s">
        <v>329</v>
      </c>
      <c r="P40" s="21" t="s">
        <v>330</v>
      </c>
    </row>
    <row r="41" ht="28.5" customHeight="1">
      <c r="A41" s="29">
        <v>42405.0</v>
      </c>
      <c r="B41" s="25" t="s">
        <v>324</v>
      </c>
      <c r="C41" s="21" t="s">
        <v>243</v>
      </c>
      <c r="D41" s="21" t="s">
        <v>244</v>
      </c>
      <c r="E41" s="25" t="s">
        <v>164</v>
      </c>
      <c r="F41" s="21">
        <v>1.0</v>
      </c>
      <c r="G41" s="21" t="s">
        <v>282</v>
      </c>
      <c r="K41" s="21" t="s">
        <v>88</v>
      </c>
      <c r="L41" s="21" t="s">
        <v>171</v>
      </c>
      <c r="N41" s="21" t="s">
        <v>333</v>
      </c>
      <c r="O41" s="21" t="s">
        <v>329</v>
      </c>
      <c r="P41" s="21" t="s">
        <v>330</v>
      </c>
    </row>
    <row r="42" ht="28.5" customHeight="1">
      <c r="A42" s="29">
        <v>42405.0</v>
      </c>
      <c r="B42" s="25" t="s">
        <v>324</v>
      </c>
      <c r="C42" s="21" t="s">
        <v>243</v>
      </c>
      <c r="D42" s="21" t="s">
        <v>244</v>
      </c>
      <c r="E42" s="25" t="s">
        <v>164</v>
      </c>
      <c r="F42" s="21">
        <v>1.0</v>
      </c>
      <c r="G42" s="21" t="s">
        <v>282</v>
      </c>
      <c r="L42" s="21" t="s">
        <v>334</v>
      </c>
      <c r="M42" s="21" t="s">
        <v>88</v>
      </c>
      <c r="N42" s="21" t="s">
        <v>169</v>
      </c>
      <c r="O42" s="21" t="s">
        <v>329</v>
      </c>
      <c r="P42" s="21" t="s">
        <v>336</v>
      </c>
    </row>
    <row r="43" ht="28.5" customHeight="1">
      <c r="A43" s="29">
        <v>42405.0</v>
      </c>
      <c r="B43" s="25" t="s">
        <v>324</v>
      </c>
      <c r="C43" s="21" t="s">
        <v>243</v>
      </c>
      <c r="D43" s="21" t="s">
        <v>244</v>
      </c>
      <c r="E43" s="25" t="s">
        <v>164</v>
      </c>
      <c r="F43" s="21">
        <v>3.0</v>
      </c>
      <c r="G43" s="21" t="s">
        <v>282</v>
      </c>
      <c r="K43" s="21" t="s">
        <v>343</v>
      </c>
      <c r="L43" s="21" t="s">
        <v>167</v>
      </c>
      <c r="M43" s="21"/>
      <c r="N43" s="21" t="s">
        <v>273</v>
      </c>
      <c r="O43" s="21"/>
      <c r="P43" s="21" t="s">
        <v>348</v>
      </c>
    </row>
    <row r="44" ht="28.5" customHeight="1">
      <c r="A44" s="29">
        <v>42405.0</v>
      </c>
      <c r="B44" s="25" t="s">
        <v>324</v>
      </c>
      <c r="C44" s="21" t="s">
        <v>243</v>
      </c>
      <c r="D44" s="21" t="s">
        <v>244</v>
      </c>
      <c r="E44" s="25" t="s">
        <v>164</v>
      </c>
      <c r="F44" s="21">
        <v>4.0</v>
      </c>
      <c r="G44" s="21" t="s">
        <v>282</v>
      </c>
      <c r="K44" s="21" t="s">
        <v>298</v>
      </c>
      <c r="L44" s="21"/>
      <c r="M44" s="21" t="s">
        <v>297</v>
      </c>
      <c r="N44" s="21"/>
      <c r="O44" s="21" t="s">
        <v>329</v>
      </c>
      <c r="P44" s="21" t="s">
        <v>336</v>
      </c>
    </row>
    <row r="45" ht="28.5" customHeight="1">
      <c r="A45" s="29">
        <v>42405.0</v>
      </c>
      <c r="B45" s="25" t="s">
        <v>324</v>
      </c>
      <c r="C45" s="21" t="s">
        <v>243</v>
      </c>
      <c r="D45" s="21" t="s">
        <v>244</v>
      </c>
      <c r="E45" s="25" t="s">
        <v>164</v>
      </c>
      <c r="F45" s="21">
        <v>5.0</v>
      </c>
      <c r="G45" s="21" t="s">
        <v>282</v>
      </c>
      <c r="K45" s="21"/>
      <c r="L45" s="21" t="s">
        <v>354</v>
      </c>
      <c r="M45" s="21" t="s">
        <v>88</v>
      </c>
      <c r="N45" s="21" t="s">
        <v>273</v>
      </c>
      <c r="O45" s="21" t="s">
        <v>329</v>
      </c>
      <c r="P45" s="21" t="s">
        <v>330</v>
      </c>
    </row>
    <row r="46" ht="28.5" customHeight="1">
      <c r="A46" s="29">
        <v>42405.0</v>
      </c>
      <c r="B46" s="25" t="s">
        <v>324</v>
      </c>
      <c r="C46" s="21" t="s">
        <v>243</v>
      </c>
      <c r="D46" s="21" t="s">
        <v>244</v>
      </c>
      <c r="E46" s="25" t="s">
        <v>164</v>
      </c>
      <c r="F46" s="21">
        <v>6.0</v>
      </c>
      <c r="G46" s="21" t="s">
        <v>282</v>
      </c>
      <c r="L46" s="21" t="s">
        <v>365</v>
      </c>
      <c r="M46" s="21" t="s">
        <v>88</v>
      </c>
      <c r="N46" s="21" t="s">
        <v>90</v>
      </c>
      <c r="O46" s="21" t="s">
        <v>329</v>
      </c>
      <c r="P46" s="21" t="s">
        <v>336</v>
      </c>
    </row>
    <row r="47" ht="28.5" customHeight="1">
      <c r="A47" s="29">
        <v>42405.0</v>
      </c>
      <c r="B47" s="25" t="s">
        <v>324</v>
      </c>
      <c r="C47" s="21" t="s">
        <v>243</v>
      </c>
      <c r="D47" s="21" t="s">
        <v>244</v>
      </c>
      <c r="E47" s="25" t="s">
        <v>164</v>
      </c>
      <c r="F47" s="21">
        <v>8.0</v>
      </c>
      <c r="G47" s="21" t="s">
        <v>115</v>
      </c>
      <c r="H47" s="21" t="s">
        <v>368</v>
      </c>
      <c r="I47" s="21" t="s">
        <v>369</v>
      </c>
      <c r="K47" s="21" t="s">
        <v>88</v>
      </c>
      <c r="L47" s="21" t="s">
        <v>371</v>
      </c>
      <c r="M47" s="21" t="s">
        <v>372</v>
      </c>
      <c r="N47" s="21" t="s">
        <v>297</v>
      </c>
      <c r="O47" s="21" t="s">
        <v>329</v>
      </c>
      <c r="P47" s="21"/>
    </row>
    <row r="48" ht="28.5" customHeight="1">
      <c r="A48" s="29">
        <v>42405.0</v>
      </c>
      <c r="B48" s="25" t="s">
        <v>324</v>
      </c>
      <c r="C48" s="21" t="s">
        <v>243</v>
      </c>
      <c r="D48" s="21" t="s">
        <v>244</v>
      </c>
      <c r="E48" s="25" t="s">
        <v>164</v>
      </c>
      <c r="F48" s="21">
        <v>8.0</v>
      </c>
      <c r="G48" s="21" t="s">
        <v>115</v>
      </c>
      <c r="H48" s="21" t="s">
        <v>376</v>
      </c>
      <c r="I48" s="21" t="s">
        <v>369</v>
      </c>
      <c r="K48" s="21" t="s">
        <v>88</v>
      </c>
      <c r="L48" s="21" t="s">
        <v>377</v>
      </c>
      <c r="M48" s="21" t="s">
        <v>372</v>
      </c>
      <c r="N48" s="21" t="s">
        <v>283</v>
      </c>
      <c r="O48" s="21" t="s">
        <v>329</v>
      </c>
      <c r="P48" s="21"/>
    </row>
    <row r="49" ht="28.5" customHeight="1">
      <c r="A49" s="29">
        <v>42405.0</v>
      </c>
      <c r="B49" s="25" t="s">
        <v>324</v>
      </c>
      <c r="C49" s="21" t="s">
        <v>243</v>
      </c>
      <c r="D49" s="21" t="s">
        <v>244</v>
      </c>
      <c r="E49" s="25" t="s">
        <v>164</v>
      </c>
      <c r="F49" s="21">
        <v>8.0</v>
      </c>
      <c r="G49" s="21" t="s">
        <v>115</v>
      </c>
      <c r="I49" s="21" t="s">
        <v>380</v>
      </c>
      <c r="K49" s="21" t="s">
        <v>382</v>
      </c>
      <c r="L49" s="21" t="s">
        <v>383</v>
      </c>
      <c r="M49" s="21"/>
      <c r="N49" s="21" t="s">
        <v>384</v>
      </c>
      <c r="O49" s="21" t="s">
        <v>329</v>
      </c>
      <c r="P49" s="21"/>
    </row>
    <row r="50" ht="28.5" customHeight="1">
      <c r="A50" s="29">
        <v>42405.0</v>
      </c>
      <c r="B50" s="25" t="s">
        <v>324</v>
      </c>
      <c r="C50" s="21" t="s">
        <v>243</v>
      </c>
      <c r="D50" s="21" t="s">
        <v>244</v>
      </c>
      <c r="E50" s="25" t="s">
        <v>164</v>
      </c>
      <c r="F50" s="21">
        <v>8.0</v>
      </c>
      <c r="G50" s="21" t="s">
        <v>115</v>
      </c>
      <c r="K50" s="21" t="s">
        <v>167</v>
      </c>
      <c r="L50" s="21" t="s">
        <v>405</v>
      </c>
      <c r="M50" s="21" t="s">
        <v>88</v>
      </c>
      <c r="N50" s="21" t="s">
        <v>405</v>
      </c>
      <c r="O50" s="21" t="s">
        <v>329</v>
      </c>
      <c r="P50" s="21" t="s">
        <v>406</v>
      </c>
    </row>
    <row r="51" ht="28.5" customHeight="1">
      <c r="A51" s="29">
        <v>42405.0</v>
      </c>
      <c r="B51" s="25" t="s">
        <v>324</v>
      </c>
      <c r="C51" s="21" t="s">
        <v>243</v>
      </c>
      <c r="D51" s="21" t="s">
        <v>244</v>
      </c>
      <c r="E51" s="25" t="s">
        <v>164</v>
      </c>
      <c r="F51" s="21">
        <v>8.0</v>
      </c>
      <c r="G51" s="21" t="s">
        <v>115</v>
      </c>
      <c r="I51" s="21" t="s">
        <v>408</v>
      </c>
      <c r="K51" s="21" t="s">
        <v>409</v>
      </c>
      <c r="L51" s="21" t="s">
        <v>410</v>
      </c>
      <c r="M51" s="21" t="s">
        <v>88</v>
      </c>
      <c r="N51" s="21" t="s">
        <v>90</v>
      </c>
      <c r="O51" s="21" t="s">
        <v>329</v>
      </c>
      <c r="P51" s="21"/>
    </row>
    <row r="52" ht="28.5" customHeight="1">
      <c r="A52" s="29">
        <v>42405.0</v>
      </c>
      <c r="B52" s="25" t="s">
        <v>324</v>
      </c>
      <c r="C52" s="21" t="s">
        <v>243</v>
      </c>
      <c r="D52" s="21" t="s">
        <v>244</v>
      </c>
      <c r="E52" s="25" t="s">
        <v>164</v>
      </c>
      <c r="F52" s="21">
        <v>8.0</v>
      </c>
      <c r="G52" s="21" t="s">
        <v>115</v>
      </c>
      <c r="I52" s="21" t="s">
        <v>416</v>
      </c>
      <c r="K52" s="21" t="s">
        <v>88</v>
      </c>
      <c r="L52" s="21" t="s">
        <v>286</v>
      </c>
      <c r="M52" s="21" t="s">
        <v>417</v>
      </c>
      <c r="N52" s="21" t="s">
        <v>418</v>
      </c>
      <c r="O52" s="21" t="s">
        <v>329</v>
      </c>
      <c r="P52" s="21" t="s">
        <v>419</v>
      </c>
    </row>
    <row r="53" ht="28.5" customHeight="1">
      <c r="A53" s="29">
        <v>42405.0</v>
      </c>
      <c r="B53" s="25" t="s">
        <v>324</v>
      </c>
      <c r="C53" s="21" t="s">
        <v>243</v>
      </c>
      <c r="D53" s="21" t="s">
        <v>244</v>
      </c>
      <c r="E53" s="25" t="s">
        <v>164</v>
      </c>
      <c r="F53" s="21">
        <v>9.0</v>
      </c>
      <c r="G53" s="21" t="s">
        <v>282</v>
      </c>
      <c r="K53" s="21" t="s">
        <v>88</v>
      </c>
      <c r="L53" s="21" t="s">
        <v>273</v>
      </c>
      <c r="M53" s="21"/>
      <c r="N53" s="21" t="s">
        <v>377</v>
      </c>
      <c r="O53" s="21" t="s">
        <v>329</v>
      </c>
      <c r="P53" s="21" t="s">
        <v>422</v>
      </c>
    </row>
    <row r="54" ht="28.5" customHeight="1">
      <c r="A54" s="29">
        <v>42405.0</v>
      </c>
      <c r="B54" s="25" t="s">
        <v>324</v>
      </c>
      <c r="C54" s="21" t="s">
        <v>243</v>
      </c>
      <c r="D54" s="21" t="s">
        <v>244</v>
      </c>
      <c r="E54" s="25" t="s">
        <v>164</v>
      </c>
      <c r="F54" s="21">
        <v>9.0</v>
      </c>
      <c r="G54" s="21" t="s">
        <v>282</v>
      </c>
      <c r="L54" s="21" t="s">
        <v>377</v>
      </c>
      <c r="M54" s="21" t="s">
        <v>88</v>
      </c>
      <c r="N54" s="21" t="s">
        <v>89</v>
      </c>
      <c r="O54" s="21" t="s">
        <v>329</v>
      </c>
      <c r="P54" s="21" t="s">
        <v>422</v>
      </c>
    </row>
    <row r="55" ht="28.5" customHeight="1">
      <c r="A55" s="29">
        <v>42405.0</v>
      </c>
      <c r="B55" s="25" t="s">
        <v>324</v>
      </c>
      <c r="C55" s="21" t="s">
        <v>243</v>
      </c>
      <c r="D55" s="21" t="s">
        <v>244</v>
      </c>
      <c r="E55" s="25" t="s">
        <v>164</v>
      </c>
      <c r="F55" s="21">
        <v>10.0</v>
      </c>
      <c r="G55" s="21" t="s">
        <v>282</v>
      </c>
      <c r="L55" s="21" t="s">
        <v>432</v>
      </c>
      <c r="M55" s="21" t="s">
        <v>88</v>
      </c>
      <c r="N55" s="21" t="s">
        <v>273</v>
      </c>
      <c r="O55" s="21" t="s">
        <v>329</v>
      </c>
      <c r="P55" s="21" t="s">
        <v>422</v>
      </c>
    </row>
    <row r="56" ht="28.5" customHeight="1">
      <c r="A56" s="29">
        <v>42405.0</v>
      </c>
      <c r="B56" s="25" t="s">
        <v>324</v>
      </c>
      <c r="C56" s="21" t="s">
        <v>243</v>
      </c>
      <c r="D56" s="21" t="s">
        <v>244</v>
      </c>
      <c r="E56" s="25" t="s">
        <v>164</v>
      </c>
      <c r="F56" s="21">
        <v>10.0</v>
      </c>
      <c r="G56" s="21" t="s">
        <v>282</v>
      </c>
      <c r="K56" s="21" t="s">
        <v>443</v>
      </c>
      <c r="L56" s="21"/>
      <c r="M56" s="21" t="s">
        <v>445</v>
      </c>
      <c r="N56" s="21"/>
      <c r="O56" s="21" t="s">
        <v>329</v>
      </c>
      <c r="P56" s="21" t="s">
        <v>330</v>
      </c>
    </row>
    <row r="57" ht="28.5" customHeight="1">
      <c r="A57" s="29">
        <v>42405.0</v>
      </c>
      <c r="B57" s="25" t="s">
        <v>324</v>
      </c>
      <c r="C57" s="21" t="s">
        <v>243</v>
      </c>
      <c r="D57" s="21" t="s">
        <v>244</v>
      </c>
      <c r="E57" s="25" t="s">
        <v>164</v>
      </c>
      <c r="F57" s="21">
        <v>11.0</v>
      </c>
      <c r="G57" s="21" t="s">
        <v>449</v>
      </c>
      <c r="L57" s="21" t="s">
        <v>450</v>
      </c>
      <c r="M57" s="21" t="s">
        <v>88</v>
      </c>
      <c r="N57" s="21" t="s">
        <v>302</v>
      </c>
      <c r="O57" s="21" t="s">
        <v>329</v>
      </c>
      <c r="P57" s="21" t="s">
        <v>422</v>
      </c>
    </row>
    <row r="58" ht="28.5" customHeight="1">
      <c r="A58" s="29">
        <v>42405.0</v>
      </c>
      <c r="B58" s="25" t="s">
        <v>324</v>
      </c>
      <c r="C58" s="21" t="s">
        <v>243</v>
      </c>
      <c r="D58" s="21" t="s">
        <v>244</v>
      </c>
      <c r="E58" s="25" t="s">
        <v>164</v>
      </c>
      <c r="F58" s="21">
        <v>11.0</v>
      </c>
      <c r="G58" s="21" t="s">
        <v>115</v>
      </c>
      <c r="I58" s="21" t="s">
        <v>380</v>
      </c>
      <c r="L58" s="21" t="s">
        <v>457</v>
      </c>
      <c r="M58" s="21" t="s">
        <v>382</v>
      </c>
      <c r="N58" s="21" t="s">
        <v>377</v>
      </c>
      <c r="O58" s="21" t="s">
        <v>329</v>
      </c>
      <c r="P58" s="21"/>
    </row>
    <row r="59" ht="28.5" customHeight="1">
      <c r="A59" s="29">
        <v>42409.0</v>
      </c>
      <c r="B59" s="25" t="s">
        <v>459</v>
      </c>
      <c r="C59" s="21" t="s">
        <v>461</v>
      </c>
      <c r="D59" s="21" t="s">
        <v>463</v>
      </c>
      <c r="E59" s="25" t="s">
        <v>464</v>
      </c>
      <c r="G59" s="21" t="s">
        <v>466</v>
      </c>
      <c r="H59" s="21" t="s">
        <v>468</v>
      </c>
      <c r="K59" s="21" t="s">
        <v>469</v>
      </c>
      <c r="L59" s="21" t="s">
        <v>470</v>
      </c>
      <c r="M59" s="21" t="s">
        <v>471</v>
      </c>
      <c r="N59" s="21" t="s">
        <v>472</v>
      </c>
      <c r="P59" s="21" t="s">
        <v>309</v>
      </c>
    </row>
    <row r="60" ht="28.5" customHeight="1">
      <c r="A60" s="29">
        <v>42412.0</v>
      </c>
      <c r="B60" s="25" t="s">
        <v>446</v>
      </c>
      <c r="C60" s="25" t="s">
        <v>473</v>
      </c>
      <c r="D60" s="25" t="s">
        <v>475</v>
      </c>
      <c r="E60" s="25" t="s">
        <v>113</v>
      </c>
      <c r="F60" s="25">
        <v>1.0</v>
      </c>
      <c r="G60" s="25" t="s">
        <v>157</v>
      </c>
      <c r="H60" s="21" t="s">
        <v>476</v>
      </c>
      <c r="I60" s="21" t="s">
        <v>477</v>
      </c>
      <c r="J60" s="21" t="s">
        <v>478</v>
      </c>
      <c r="K60" s="21" t="s">
        <v>479</v>
      </c>
      <c r="M60" s="21" t="s">
        <v>480</v>
      </c>
      <c r="N60" s="21" t="s">
        <v>471</v>
      </c>
      <c r="O60" s="21" t="s">
        <v>329</v>
      </c>
      <c r="P60" s="21" t="s">
        <v>309</v>
      </c>
    </row>
    <row r="61" ht="28.5" customHeight="1">
      <c r="A61" s="29">
        <v>42412.0</v>
      </c>
      <c r="B61" s="25" t="s">
        <v>446</v>
      </c>
      <c r="C61" s="25" t="s">
        <v>473</v>
      </c>
      <c r="D61" s="25" t="s">
        <v>475</v>
      </c>
      <c r="E61" s="25" t="s">
        <v>113</v>
      </c>
      <c r="F61" s="25">
        <v>1.0</v>
      </c>
      <c r="G61" s="25" t="s">
        <v>157</v>
      </c>
      <c r="H61" s="21" t="s">
        <v>489</v>
      </c>
      <c r="I61" s="21" t="s">
        <v>477</v>
      </c>
      <c r="J61" s="21" t="s">
        <v>478</v>
      </c>
      <c r="M61" s="21" t="s">
        <v>490</v>
      </c>
      <c r="N61" s="21" t="s">
        <v>471</v>
      </c>
      <c r="O61" s="21" t="s">
        <v>491</v>
      </c>
      <c r="P61" s="21" t="s">
        <v>492</v>
      </c>
    </row>
    <row r="62" ht="28.5" customHeight="1">
      <c r="A62" s="29">
        <v>42412.0</v>
      </c>
      <c r="B62" s="25" t="s">
        <v>446</v>
      </c>
      <c r="C62" s="25" t="s">
        <v>473</v>
      </c>
      <c r="D62" s="25" t="s">
        <v>475</v>
      </c>
      <c r="E62" s="25" t="s">
        <v>113</v>
      </c>
      <c r="F62" s="21">
        <v>1.0</v>
      </c>
      <c r="G62" s="21" t="s">
        <v>115</v>
      </c>
      <c r="H62" s="21">
        <v>97.0</v>
      </c>
      <c r="I62" s="21" t="s">
        <v>380</v>
      </c>
      <c r="J62" s="21" t="s">
        <v>478</v>
      </c>
      <c r="K62" s="21" t="s">
        <v>497</v>
      </c>
      <c r="M62" s="21" t="s">
        <v>498</v>
      </c>
      <c r="O62" s="21" t="s">
        <v>329</v>
      </c>
      <c r="P62" s="21" t="s">
        <v>309</v>
      </c>
    </row>
    <row r="63" ht="28.5" customHeight="1">
      <c r="A63" s="29">
        <v>42412.0</v>
      </c>
      <c r="B63" s="25" t="s">
        <v>446</v>
      </c>
      <c r="C63" s="25" t="s">
        <v>473</v>
      </c>
      <c r="D63" s="25" t="s">
        <v>475</v>
      </c>
      <c r="E63" s="25" t="s">
        <v>113</v>
      </c>
      <c r="F63" s="21">
        <v>1.0</v>
      </c>
      <c r="G63" s="21" t="s">
        <v>115</v>
      </c>
      <c r="H63" s="21" t="s">
        <v>500</v>
      </c>
      <c r="I63" s="21" t="s">
        <v>408</v>
      </c>
      <c r="K63" s="21" t="s">
        <v>501</v>
      </c>
      <c r="L63" s="21" t="s">
        <v>502</v>
      </c>
      <c r="M63" s="21" t="s">
        <v>503</v>
      </c>
      <c r="N63" s="21" t="s">
        <v>502</v>
      </c>
      <c r="O63" s="21" t="s">
        <v>329</v>
      </c>
      <c r="P63" s="21" t="s">
        <v>504</v>
      </c>
    </row>
    <row r="64" ht="28.5" customHeight="1">
      <c r="A64" s="29">
        <v>42408.0</v>
      </c>
      <c r="B64" s="25" t="s">
        <v>278</v>
      </c>
      <c r="C64" s="25" t="s">
        <v>279</v>
      </c>
      <c r="D64" s="21" t="s">
        <v>355</v>
      </c>
      <c r="E64" s="25" t="s">
        <v>507</v>
      </c>
      <c r="F64" s="21">
        <v>1.0</v>
      </c>
      <c r="G64" s="21" t="s">
        <v>282</v>
      </c>
      <c r="L64" s="21" t="s">
        <v>90</v>
      </c>
      <c r="M64" s="21" t="s">
        <v>88</v>
      </c>
      <c r="N64" s="21" t="s">
        <v>508</v>
      </c>
      <c r="O64" s="21" t="s">
        <v>509</v>
      </c>
      <c r="P64" s="21" t="s">
        <v>510</v>
      </c>
    </row>
    <row r="65" ht="28.5" customHeight="1">
      <c r="A65" s="29">
        <v>42408.0</v>
      </c>
      <c r="B65" s="25" t="s">
        <v>278</v>
      </c>
      <c r="C65" s="25" t="s">
        <v>279</v>
      </c>
      <c r="D65" s="21" t="s">
        <v>355</v>
      </c>
      <c r="E65" s="25" t="s">
        <v>507</v>
      </c>
      <c r="F65" s="21">
        <v>1.0</v>
      </c>
      <c r="G65" s="21" t="s">
        <v>282</v>
      </c>
      <c r="K65" s="21" t="s">
        <v>88</v>
      </c>
      <c r="L65" s="21" t="s">
        <v>273</v>
      </c>
      <c r="N65" s="21" t="s">
        <v>518</v>
      </c>
      <c r="O65" s="21" t="s">
        <v>509</v>
      </c>
      <c r="P65" s="21" t="s">
        <v>520</v>
      </c>
    </row>
    <row r="66" ht="28.5" customHeight="1">
      <c r="A66" s="29">
        <v>42411.0</v>
      </c>
      <c r="B66" s="25" t="s">
        <v>278</v>
      </c>
      <c r="C66" s="25" t="s">
        <v>279</v>
      </c>
      <c r="D66" s="21" t="s">
        <v>370</v>
      </c>
      <c r="E66" s="25" t="s">
        <v>164</v>
      </c>
      <c r="F66" s="21">
        <v>1.0</v>
      </c>
      <c r="G66" s="21" t="s">
        <v>282</v>
      </c>
      <c r="L66" s="21" t="s">
        <v>89</v>
      </c>
      <c r="M66" s="21" t="s">
        <v>88</v>
      </c>
      <c r="N66" s="21" t="s">
        <v>286</v>
      </c>
      <c r="O66" s="21" t="s">
        <v>509</v>
      </c>
      <c r="P66" s="21" t="s">
        <v>521</v>
      </c>
    </row>
    <row r="67" ht="28.5" customHeight="1">
      <c r="A67" s="29">
        <v>42411.0</v>
      </c>
      <c r="B67" s="25" t="s">
        <v>278</v>
      </c>
      <c r="C67" s="25" t="s">
        <v>279</v>
      </c>
      <c r="D67" s="21" t="s">
        <v>370</v>
      </c>
      <c r="E67" s="25" t="s">
        <v>164</v>
      </c>
      <c r="F67" s="21">
        <v>1.0</v>
      </c>
      <c r="G67" s="21" t="s">
        <v>282</v>
      </c>
      <c r="L67" s="21" t="s">
        <v>523</v>
      </c>
      <c r="M67" s="21" t="s">
        <v>88</v>
      </c>
      <c r="N67" s="21" t="s">
        <v>169</v>
      </c>
      <c r="O67" s="21" t="s">
        <v>509</v>
      </c>
      <c r="P67" s="21" t="s">
        <v>525</v>
      </c>
    </row>
    <row r="68" ht="28.5" customHeight="1">
      <c r="A68" s="29">
        <v>42411.0</v>
      </c>
      <c r="B68" s="25" t="s">
        <v>278</v>
      </c>
      <c r="C68" s="25" t="s">
        <v>279</v>
      </c>
      <c r="D68" s="21" t="s">
        <v>370</v>
      </c>
      <c r="E68" s="25" t="s">
        <v>164</v>
      </c>
      <c r="F68" s="21">
        <v>2.0</v>
      </c>
      <c r="G68" s="21" t="s">
        <v>282</v>
      </c>
      <c r="K68" s="21" t="s">
        <v>88</v>
      </c>
      <c r="L68" s="21" t="s">
        <v>171</v>
      </c>
      <c r="N68" s="21" t="s">
        <v>531</v>
      </c>
      <c r="O68" s="21" t="s">
        <v>509</v>
      </c>
      <c r="P68" s="21" t="s">
        <v>525</v>
      </c>
    </row>
    <row r="69" ht="28.5" customHeight="1">
      <c r="A69" s="29">
        <v>42405.0</v>
      </c>
      <c r="B69" s="25" t="s">
        <v>340</v>
      </c>
      <c r="C69" s="25" t="s">
        <v>279</v>
      </c>
      <c r="D69" s="25" t="s">
        <v>341</v>
      </c>
      <c r="E69" s="25" t="s">
        <v>164</v>
      </c>
      <c r="F69" s="21">
        <v>2.0</v>
      </c>
      <c r="G69" s="21" t="s">
        <v>282</v>
      </c>
      <c r="L69" s="21" t="s">
        <v>533</v>
      </c>
      <c r="M69" s="21" t="s">
        <v>88</v>
      </c>
      <c r="N69" s="21" t="s">
        <v>273</v>
      </c>
      <c r="O69" s="21" t="s">
        <v>509</v>
      </c>
      <c r="P69" s="21" t="s">
        <v>534</v>
      </c>
    </row>
    <row r="70" ht="28.5" customHeight="1">
      <c r="A70" s="29">
        <v>42405.0</v>
      </c>
      <c r="B70" s="25" t="s">
        <v>340</v>
      </c>
      <c r="C70" s="25" t="s">
        <v>279</v>
      </c>
      <c r="D70" s="25" t="s">
        <v>341</v>
      </c>
      <c r="E70" s="25" t="s">
        <v>164</v>
      </c>
      <c r="F70" s="21">
        <v>2.0</v>
      </c>
      <c r="G70" s="21" t="s">
        <v>282</v>
      </c>
      <c r="K70" s="21" t="s">
        <v>88</v>
      </c>
      <c r="L70" s="21" t="s">
        <v>273</v>
      </c>
      <c r="N70" s="21" t="s">
        <v>445</v>
      </c>
      <c r="O70" s="21" t="s">
        <v>509</v>
      </c>
      <c r="P70" s="21" t="s">
        <v>336</v>
      </c>
    </row>
    <row r="71" ht="28.5" customHeight="1">
      <c r="A71" s="29">
        <v>42405.0</v>
      </c>
      <c r="B71" s="25" t="s">
        <v>340</v>
      </c>
      <c r="C71" s="25" t="s">
        <v>279</v>
      </c>
      <c r="D71" s="25" t="s">
        <v>341</v>
      </c>
      <c r="E71" s="25" t="s">
        <v>164</v>
      </c>
      <c r="F71" s="21">
        <v>2.0</v>
      </c>
      <c r="G71" s="21" t="s">
        <v>282</v>
      </c>
      <c r="K71" s="21" t="s">
        <v>88</v>
      </c>
      <c r="L71" s="21" t="s">
        <v>90</v>
      </c>
      <c r="N71" s="21" t="s">
        <v>542</v>
      </c>
      <c r="O71" s="21" t="s">
        <v>509</v>
      </c>
      <c r="P71" s="21" t="s">
        <v>534</v>
      </c>
    </row>
    <row r="72" ht="28.5" customHeight="1">
      <c r="A72" s="29">
        <v>42405.0</v>
      </c>
      <c r="B72" s="25" t="s">
        <v>340</v>
      </c>
      <c r="C72" s="25" t="s">
        <v>279</v>
      </c>
      <c r="D72" s="25" t="s">
        <v>341</v>
      </c>
      <c r="E72" s="25" t="s">
        <v>164</v>
      </c>
      <c r="F72" s="21">
        <v>2.0</v>
      </c>
      <c r="G72" s="21" t="s">
        <v>282</v>
      </c>
      <c r="L72" s="21" t="s">
        <v>328</v>
      </c>
      <c r="M72" s="21" t="s">
        <v>88</v>
      </c>
      <c r="N72" s="21" t="s">
        <v>286</v>
      </c>
      <c r="O72" s="21" t="s">
        <v>509</v>
      </c>
      <c r="P72" s="21" t="s">
        <v>336</v>
      </c>
    </row>
    <row r="73" ht="28.5" customHeight="1">
      <c r="A73" s="29">
        <v>42405.0</v>
      </c>
      <c r="B73" s="25" t="s">
        <v>340</v>
      </c>
      <c r="C73" s="25" t="s">
        <v>279</v>
      </c>
      <c r="D73" s="25" t="s">
        <v>341</v>
      </c>
      <c r="E73" s="25" t="s">
        <v>164</v>
      </c>
      <c r="F73" s="21">
        <v>5.0</v>
      </c>
      <c r="G73" s="21" t="s">
        <v>282</v>
      </c>
      <c r="L73" s="21" t="s">
        <v>550</v>
      </c>
      <c r="M73" s="21" t="s">
        <v>88</v>
      </c>
      <c r="N73" s="21" t="s">
        <v>169</v>
      </c>
      <c r="O73" s="21" t="s">
        <v>329</v>
      </c>
      <c r="P73" s="21" t="s">
        <v>336</v>
      </c>
    </row>
    <row r="74" ht="28.5" customHeight="1">
      <c r="A74" s="29">
        <v>42405.0</v>
      </c>
      <c r="B74" s="25" t="s">
        <v>340</v>
      </c>
      <c r="C74" s="25" t="s">
        <v>279</v>
      </c>
      <c r="D74" s="25" t="s">
        <v>341</v>
      </c>
      <c r="E74" s="25" t="s">
        <v>164</v>
      </c>
      <c r="F74" s="21">
        <v>5.0</v>
      </c>
      <c r="G74" s="21" t="s">
        <v>282</v>
      </c>
      <c r="K74" s="21" t="s">
        <v>88</v>
      </c>
      <c r="L74" s="21" t="s">
        <v>171</v>
      </c>
      <c r="N74" s="21" t="s">
        <v>418</v>
      </c>
      <c r="O74" s="21" t="s">
        <v>329</v>
      </c>
      <c r="P74" s="21" t="s">
        <v>534</v>
      </c>
    </row>
    <row r="75" ht="28.5" customHeight="1">
      <c r="A75" s="29">
        <v>42405.0</v>
      </c>
      <c r="B75" s="25" t="s">
        <v>340</v>
      </c>
      <c r="C75" s="25" t="s">
        <v>279</v>
      </c>
      <c r="D75" s="25" t="s">
        <v>341</v>
      </c>
      <c r="E75" s="25" t="s">
        <v>164</v>
      </c>
      <c r="F75" s="21">
        <v>5.0</v>
      </c>
      <c r="G75" s="21" t="s">
        <v>282</v>
      </c>
      <c r="K75" s="21" t="s">
        <v>88</v>
      </c>
      <c r="L75" s="21" t="s">
        <v>273</v>
      </c>
      <c r="N75" s="21" t="s">
        <v>561</v>
      </c>
      <c r="O75" s="21" t="s">
        <v>509</v>
      </c>
      <c r="P75" s="21" t="s">
        <v>336</v>
      </c>
    </row>
    <row r="76" ht="28.5" customHeight="1">
      <c r="A76" s="29">
        <v>42405.0</v>
      </c>
      <c r="B76" s="25" t="s">
        <v>340</v>
      </c>
      <c r="C76" s="25" t="s">
        <v>279</v>
      </c>
      <c r="D76" s="25" t="s">
        <v>341</v>
      </c>
      <c r="E76" s="25" t="s">
        <v>164</v>
      </c>
      <c r="F76" s="21">
        <v>5.0</v>
      </c>
      <c r="G76" s="21" t="s">
        <v>282</v>
      </c>
      <c r="L76" s="21" t="s">
        <v>567</v>
      </c>
      <c r="M76" s="21" t="s">
        <v>88</v>
      </c>
      <c r="N76" s="21" t="s">
        <v>169</v>
      </c>
      <c r="O76" s="21" t="s">
        <v>509</v>
      </c>
      <c r="P76" s="21" t="s">
        <v>534</v>
      </c>
    </row>
    <row r="77" ht="28.5" customHeight="1">
      <c r="A77" s="29">
        <v>42405.0</v>
      </c>
      <c r="B77" s="25" t="s">
        <v>340</v>
      </c>
      <c r="C77" s="25" t="s">
        <v>279</v>
      </c>
      <c r="D77" s="25" t="s">
        <v>341</v>
      </c>
      <c r="E77" s="25" t="s">
        <v>164</v>
      </c>
      <c r="F77" s="21">
        <v>5.0</v>
      </c>
      <c r="G77" s="21" t="s">
        <v>282</v>
      </c>
      <c r="L77" s="21" t="s">
        <v>288</v>
      </c>
      <c r="M77" s="21" t="s">
        <v>88</v>
      </c>
      <c r="N77" s="21" t="s">
        <v>89</v>
      </c>
      <c r="O77" s="21" t="s">
        <v>509</v>
      </c>
      <c r="P77" s="21" t="s">
        <v>534</v>
      </c>
    </row>
    <row r="78" ht="28.5" customHeight="1">
      <c r="A78" s="29">
        <v>42405.0</v>
      </c>
      <c r="B78" s="25" t="s">
        <v>340</v>
      </c>
      <c r="C78" s="25" t="s">
        <v>279</v>
      </c>
      <c r="D78" s="25" t="s">
        <v>341</v>
      </c>
      <c r="E78" s="25" t="s">
        <v>164</v>
      </c>
      <c r="F78" s="21">
        <v>5.0</v>
      </c>
      <c r="G78" s="21" t="s">
        <v>282</v>
      </c>
      <c r="K78" s="21" t="s">
        <v>88</v>
      </c>
      <c r="L78" s="21" t="s">
        <v>169</v>
      </c>
      <c r="N78" s="21" t="s">
        <v>365</v>
      </c>
      <c r="O78" s="21" t="s">
        <v>509</v>
      </c>
    </row>
    <row r="79" ht="28.5" customHeight="1">
      <c r="A79" s="29">
        <v>42405.0</v>
      </c>
      <c r="B79" s="25" t="s">
        <v>340</v>
      </c>
      <c r="C79" s="25" t="s">
        <v>279</v>
      </c>
      <c r="D79" s="25" t="s">
        <v>341</v>
      </c>
      <c r="E79" s="25" t="s">
        <v>164</v>
      </c>
      <c r="F79" s="21">
        <v>5.0</v>
      </c>
      <c r="G79" s="21" t="s">
        <v>282</v>
      </c>
      <c r="L79" s="21" t="s">
        <v>567</v>
      </c>
      <c r="M79" s="21" t="s">
        <v>88</v>
      </c>
      <c r="N79" s="21" t="s">
        <v>90</v>
      </c>
      <c r="O79" s="21" t="s">
        <v>509</v>
      </c>
    </row>
    <row r="80" ht="28.5" customHeight="1">
      <c r="A80" s="29">
        <v>42405.0</v>
      </c>
      <c r="B80" s="25" t="s">
        <v>340</v>
      </c>
      <c r="C80" s="25" t="s">
        <v>279</v>
      </c>
      <c r="D80" s="25" t="s">
        <v>341</v>
      </c>
      <c r="E80" s="25" t="s">
        <v>164</v>
      </c>
      <c r="F80" s="21">
        <v>6.0</v>
      </c>
      <c r="G80" s="21" t="s">
        <v>282</v>
      </c>
      <c r="K80" s="21" t="s">
        <v>88</v>
      </c>
      <c r="L80" s="21" t="s">
        <v>273</v>
      </c>
      <c r="N80" s="21" t="s">
        <v>574</v>
      </c>
      <c r="O80" s="21" t="s">
        <v>509</v>
      </c>
      <c r="P80" s="21" t="s">
        <v>336</v>
      </c>
    </row>
    <row r="81" ht="28.5" customHeight="1">
      <c r="A81" s="29">
        <v>42405.0</v>
      </c>
      <c r="B81" s="25" t="s">
        <v>340</v>
      </c>
      <c r="C81" s="25" t="s">
        <v>279</v>
      </c>
      <c r="D81" s="25" t="s">
        <v>341</v>
      </c>
      <c r="E81" s="25" t="s">
        <v>164</v>
      </c>
      <c r="F81" s="21">
        <v>6.0</v>
      </c>
      <c r="G81" s="21" t="s">
        <v>282</v>
      </c>
      <c r="L81" s="21" t="s">
        <v>580</v>
      </c>
      <c r="M81" s="21" t="s">
        <v>88</v>
      </c>
      <c r="N81" s="21" t="s">
        <v>89</v>
      </c>
      <c r="O81" s="21" t="s">
        <v>509</v>
      </c>
      <c r="P81" s="21" t="s">
        <v>336</v>
      </c>
    </row>
    <row r="82" ht="28.5" customHeight="1">
      <c r="A82" s="29">
        <v>42405.0</v>
      </c>
      <c r="B82" s="25" t="s">
        <v>340</v>
      </c>
      <c r="C82" s="25" t="s">
        <v>279</v>
      </c>
      <c r="D82" s="25" t="s">
        <v>341</v>
      </c>
      <c r="E82" s="25" t="s">
        <v>164</v>
      </c>
      <c r="F82" s="21">
        <v>6.0</v>
      </c>
      <c r="G82" s="21" t="s">
        <v>282</v>
      </c>
      <c r="K82" s="21" t="s">
        <v>88</v>
      </c>
      <c r="L82" s="21" t="s">
        <v>273</v>
      </c>
      <c r="N82" s="21" t="s">
        <v>533</v>
      </c>
      <c r="O82" s="21" t="s">
        <v>509</v>
      </c>
      <c r="P82" s="21" t="s">
        <v>336</v>
      </c>
    </row>
    <row r="83" ht="28.5" customHeight="1">
      <c r="A83" s="29">
        <v>42411.0</v>
      </c>
      <c r="B83" s="21" t="s">
        <v>583</v>
      </c>
      <c r="C83" s="21" t="s">
        <v>584</v>
      </c>
      <c r="D83" s="21" t="s">
        <v>585</v>
      </c>
      <c r="E83" s="21" t="s">
        <v>586</v>
      </c>
      <c r="F83" s="21">
        <v>8.0</v>
      </c>
      <c r="G83" s="21" t="s">
        <v>268</v>
      </c>
      <c r="H83" s="21">
        <v>68.0</v>
      </c>
      <c r="I83" s="21" t="s">
        <v>588</v>
      </c>
      <c r="J83" s="21" t="s">
        <v>590</v>
      </c>
      <c r="K83" s="21" t="s">
        <v>171</v>
      </c>
      <c r="M83" s="21" t="s">
        <v>171</v>
      </c>
      <c r="N83" s="21" t="s">
        <v>88</v>
      </c>
      <c r="O83" s="21" t="s">
        <v>509</v>
      </c>
      <c r="P83" s="21" t="s">
        <v>336</v>
      </c>
    </row>
    <row r="84" ht="28.5" customHeight="1">
      <c r="A84" s="29">
        <v>42411.0</v>
      </c>
      <c r="B84" s="21" t="s">
        <v>583</v>
      </c>
      <c r="C84" s="21" t="s">
        <v>584</v>
      </c>
      <c r="D84" s="21" t="s">
        <v>585</v>
      </c>
      <c r="E84" s="21" t="s">
        <v>586</v>
      </c>
      <c r="F84" s="21">
        <v>9.0</v>
      </c>
      <c r="G84" s="21" t="s">
        <v>268</v>
      </c>
      <c r="H84" s="21">
        <v>72.0</v>
      </c>
      <c r="I84" s="21" t="s">
        <v>588</v>
      </c>
      <c r="J84" s="21" t="s">
        <v>590</v>
      </c>
      <c r="K84" s="21" t="s">
        <v>171</v>
      </c>
      <c r="M84" s="21" t="s">
        <v>171</v>
      </c>
      <c r="N84" s="21" t="s">
        <v>88</v>
      </c>
      <c r="O84" s="21" t="s">
        <v>509</v>
      </c>
      <c r="P84" s="21" t="s">
        <v>534</v>
      </c>
    </row>
    <row r="85" ht="28.5" customHeight="1">
      <c r="A85" s="29">
        <v>42411.0</v>
      </c>
      <c r="B85" s="21" t="s">
        <v>583</v>
      </c>
      <c r="C85" s="21" t="s">
        <v>584</v>
      </c>
      <c r="D85" s="21" t="s">
        <v>585</v>
      </c>
      <c r="E85" s="21" t="s">
        <v>586</v>
      </c>
      <c r="F85" s="21">
        <v>10.0</v>
      </c>
      <c r="G85" s="21" t="s">
        <v>268</v>
      </c>
      <c r="H85" s="21">
        <v>73.0</v>
      </c>
      <c r="I85" s="21" t="s">
        <v>588</v>
      </c>
      <c r="J85" s="21" t="s">
        <v>590</v>
      </c>
      <c r="K85" s="21" t="s">
        <v>171</v>
      </c>
      <c r="M85" s="21" t="s">
        <v>171</v>
      </c>
      <c r="N85" s="21" t="s">
        <v>88</v>
      </c>
      <c r="O85" s="21" t="s">
        <v>509</v>
      </c>
      <c r="P85" s="21" t="s">
        <v>534</v>
      </c>
    </row>
    <row r="86" ht="28.5" customHeight="1">
      <c r="A86" s="29">
        <v>42411.0</v>
      </c>
      <c r="B86" s="21" t="s">
        <v>583</v>
      </c>
      <c r="C86" s="21" t="s">
        <v>584</v>
      </c>
      <c r="D86" s="21" t="s">
        <v>585</v>
      </c>
      <c r="E86" s="21" t="s">
        <v>586</v>
      </c>
      <c r="F86" s="21">
        <v>11.0</v>
      </c>
      <c r="G86" s="21" t="s">
        <v>268</v>
      </c>
      <c r="H86" s="21" t="s">
        <v>600</v>
      </c>
      <c r="I86" s="21" t="s">
        <v>588</v>
      </c>
      <c r="J86" s="21" t="s">
        <v>478</v>
      </c>
      <c r="K86" s="21" t="s">
        <v>171</v>
      </c>
      <c r="M86" s="21" t="s">
        <v>171</v>
      </c>
      <c r="N86" s="21" t="s">
        <v>88</v>
      </c>
      <c r="O86" s="21" t="s">
        <v>509</v>
      </c>
      <c r="P86" s="21" t="s">
        <v>534</v>
      </c>
    </row>
    <row r="87" ht="28.5" customHeight="1">
      <c r="A87" s="29">
        <v>42410.0</v>
      </c>
      <c r="B87" s="25" t="s">
        <v>602</v>
      </c>
      <c r="C87" s="21" t="s">
        <v>603</v>
      </c>
      <c r="D87" s="21" t="s">
        <v>604</v>
      </c>
      <c r="E87" s="25" t="s">
        <v>113</v>
      </c>
      <c r="F87" s="21">
        <v>2.0</v>
      </c>
      <c r="G87" s="21" t="s">
        <v>157</v>
      </c>
      <c r="H87" s="21" t="s">
        <v>249</v>
      </c>
      <c r="I87" s="21" t="s">
        <v>609</v>
      </c>
      <c r="J87" s="21" t="s">
        <v>249</v>
      </c>
      <c r="K87" s="21" t="s">
        <v>90</v>
      </c>
      <c r="L87" s="21" t="s">
        <v>249</v>
      </c>
      <c r="M87" s="21" t="s">
        <v>249</v>
      </c>
      <c r="N87" s="21" t="s">
        <v>88</v>
      </c>
      <c r="O87" s="21" t="s">
        <v>509</v>
      </c>
      <c r="P87" s="21" t="s">
        <v>610</v>
      </c>
    </row>
    <row r="88" ht="28.5" customHeight="1">
      <c r="A88" s="29">
        <v>42410.0</v>
      </c>
      <c r="B88" s="25" t="s">
        <v>602</v>
      </c>
      <c r="C88" s="21" t="s">
        <v>603</v>
      </c>
      <c r="D88" s="21" t="s">
        <v>604</v>
      </c>
      <c r="E88" s="25" t="s">
        <v>113</v>
      </c>
      <c r="F88" s="21">
        <v>3.0</v>
      </c>
      <c r="G88" s="21" t="s">
        <v>157</v>
      </c>
      <c r="H88" s="21" t="s">
        <v>249</v>
      </c>
      <c r="I88" s="21" t="s">
        <v>159</v>
      </c>
      <c r="J88" s="21" t="s">
        <v>249</v>
      </c>
      <c r="K88" s="21" t="s">
        <v>612</v>
      </c>
      <c r="L88" s="21" t="s">
        <v>249</v>
      </c>
      <c r="M88" s="21" t="s">
        <v>249</v>
      </c>
      <c r="N88" s="21" t="s">
        <v>88</v>
      </c>
      <c r="O88" s="21" t="s">
        <v>509</v>
      </c>
      <c r="P88" s="21" t="s">
        <v>160</v>
      </c>
    </row>
    <row r="89" ht="28.5" customHeight="1">
      <c r="A89" s="29">
        <v>42410.0</v>
      </c>
      <c r="B89" s="25" t="s">
        <v>602</v>
      </c>
      <c r="C89" s="21" t="s">
        <v>603</v>
      </c>
      <c r="D89" s="21" t="s">
        <v>604</v>
      </c>
      <c r="E89" s="25" t="s">
        <v>113</v>
      </c>
      <c r="F89" s="21">
        <v>3.0</v>
      </c>
      <c r="G89" s="21" t="s">
        <v>157</v>
      </c>
      <c r="H89" s="21" t="s">
        <v>616</v>
      </c>
      <c r="I89" s="21" t="s">
        <v>159</v>
      </c>
      <c r="J89" s="21" t="s">
        <v>249</v>
      </c>
      <c r="K89" s="21" t="s">
        <v>249</v>
      </c>
      <c r="L89" s="21" t="s">
        <v>249</v>
      </c>
      <c r="M89" s="21" t="s">
        <v>612</v>
      </c>
      <c r="N89" s="21" t="s">
        <v>88</v>
      </c>
      <c r="O89" s="21" t="s">
        <v>509</v>
      </c>
      <c r="P89" s="21" t="s">
        <v>160</v>
      </c>
    </row>
    <row r="90" ht="28.5" customHeight="1">
      <c r="A90" s="29">
        <v>42410.0</v>
      </c>
      <c r="B90" s="25" t="s">
        <v>602</v>
      </c>
      <c r="C90" s="21" t="s">
        <v>603</v>
      </c>
      <c r="D90" s="21" t="s">
        <v>604</v>
      </c>
      <c r="E90" s="25" t="s">
        <v>113</v>
      </c>
      <c r="F90" s="21">
        <v>5.0</v>
      </c>
      <c r="G90" s="21" t="s">
        <v>157</v>
      </c>
      <c r="H90" s="21" t="s">
        <v>249</v>
      </c>
      <c r="I90" s="21" t="s">
        <v>159</v>
      </c>
      <c r="J90" s="21" t="s">
        <v>249</v>
      </c>
      <c r="K90" s="21" t="s">
        <v>249</v>
      </c>
      <c r="L90" s="21" t="s">
        <v>249</v>
      </c>
      <c r="M90" s="21" t="s">
        <v>612</v>
      </c>
      <c r="N90" s="21" t="s">
        <v>88</v>
      </c>
      <c r="O90" s="21" t="s">
        <v>509</v>
      </c>
      <c r="P90" s="21" t="s">
        <v>160</v>
      </c>
    </row>
    <row r="91" ht="28.5" customHeight="1">
      <c r="A91" s="29">
        <v>42410.0</v>
      </c>
      <c r="B91" s="25" t="s">
        <v>602</v>
      </c>
      <c r="C91" s="21" t="s">
        <v>603</v>
      </c>
      <c r="D91" s="21" t="s">
        <v>604</v>
      </c>
      <c r="E91" s="25" t="s">
        <v>113</v>
      </c>
      <c r="F91" s="21">
        <v>5.0</v>
      </c>
      <c r="G91" s="21" t="s">
        <v>157</v>
      </c>
      <c r="H91" s="21" t="s">
        <v>625</v>
      </c>
      <c r="I91" s="21" t="s">
        <v>159</v>
      </c>
      <c r="J91" s="21" t="s">
        <v>249</v>
      </c>
      <c r="K91" s="21" t="s">
        <v>249</v>
      </c>
      <c r="L91" s="21" t="s">
        <v>249</v>
      </c>
      <c r="M91" s="21" t="s">
        <v>612</v>
      </c>
      <c r="N91" s="21" t="s">
        <v>88</v>
      </c>
      <c r="O91" s="21" t="s">
        <v>509</v>
      </c>
      <c r="P91" s="21" t="s">
        <v>160</v>
      </c>
    </row>
    <row r="92" ht="28.5" customHeight="1">
      <c r="A92" s="20">
        <v>42405.0</v>
      </c>
      <c r="B92" s="21" t="s">
        <v>189</v>
      </c>
      <c r="C92" s="25" t="s">
        <v>191</v>
      </c>
      <c r="D92" s="25" t="s">
        <v>194</v>
      </c>
      <c r="E92" s="25" t="s">
        <v>164</v>
      </c>
      <c r="F92" s="21">
        <v>1.0</v>
      </c>
      <c r="G92" s="21" t="s">
        <v>282</v>
      </c>
      <c r="K92" s="21" t="s">
        <v>88</v>
      </c>
      <c r="L92" s="21" t="s">
        <v>508</v>
      </c>
      <c r="M92" s="21"/>
      <c r="N92" s="21"/>
      <c r="O92" s="21" t="s">
        <v>509</v>
      </c>
      <c r="P92" s="21" t="s">
        <v>636</v>
      </c>
    </row>
    <row r="93" ht="28.5" customHeight="1">
      <c r="A93" s="20">
        <v>42405.0</v>
      </c>
      <c r="B93" s="21" t="s">
        <v>189</v>
      </c>
      <c r="C93" s="25" t="s">
        <v>191</v>
      </c>
      <c r="D93" s="25" t="s">
        <v>194</v>
      </c>
      <c r="E93" s="25" t="s">
        <v>164</v>
      </c>
      <c r="F93" s="21">
        <v>1.0</v>
      </c>
      <c r="G93" s="21" t="s">
        <v>282</v>
      </c>
      <c r="K93" s="21"/>
      <c r="L93" s="21" t="s">
        <v>542</v>
      </c>
      <c r="M93" s="21" t="s">
        <v>88</v>
      </c>
      <c r="N93" s="21" t="s">
        <v>273</v>
      </c>
      <c r="O93" s="21" t="s">
        <v>509</v>
      </c>
      <c r="P93" s="21" t="s">
        <v>640</v>
      </c>
    </row>
    <row r="94" ht="28.5" customHeight="1">
      <c r="A94" s="20">
        <v>42405.0</v>
      </c>
      <c r="B94" s="21" t="s">
        <v>189</v>
      </c>
      <c r="C94" s="25" t="s">
        <v>191</v>
      </c>
      <c r="D94" s="25" t="s">
        <v>194</v>
      </c>
      <c r="E94" s="25" t="s">
        <v>164</v>
      </c>
      <c r="F94" s="21">
        <v>1.0</v>
      </c>
      <c r="G94" s="21" t="s">
        <v>282</v>
      </c>
      <c r="K94" s="21" t="s">
        <v>88</v>
      </c>
      <c r="L94" s="21" t="s">
        <v>273</v>
      </c>
      <c r="N94" s="21" t="s">
        <v>645</v>
      </c>
      <c r="O94" s="21" t="s">
        <v>509</v>
      </c>
      <c r="P94" s="21" t="s">
        <v>646</v>
      </c>
    </row>
    <row r="95" ht="28.5" customHeight="1">
      <c r="A95" s="20">
        <v>42405.0</v>
      </c>
      <c r="B95" s="21" t="s">
        <v>189</v>
      </c>
      <c r="C95" s="25" t="s">
        <v>191</v>
      </c>
      <c r="D95" s="25" t="s">
        <v>194</v>
      </c>
      <c r="E95" s="25" t="s">
        <v>164</v>
      </c>
      <c r="F95" s="21">
        <v>2.0</v>
      </c>
      <c r="G95" s="21" t="s">
        <v>282</v>
      </c>
      <c r="K95" s="21" t="s">
        <v>652</v>
      </c>
      <c r="N95" s="21" t="s">
        <v>531</v>
      </c>
      <c r="O95" s="21" t="s">
        <v>509</v>
      </c>
      <c r="P95" s="21" t="s">
        <v>656</v>
      </c>
    </row>
    <row r="96" ht="28.5" customHeight="1">
      <c r="A96" s="20">
        <v>42405.0</v>
      </c>
      <c r="B96" s="21" t="s">
        <v>189</v>
      </c>
      <c r="C96" s="25" t="s">
        <v>191</v>
      </c>
      <c r="D96" s="25" t="s">
        <v>194</v>
      </c>
      <c r="E96" s="25" t="s">
        <v>164</v>
      </c>
      <c r="F96" s="21">
        <v>2.0</v>
      </c>
      <c r="G96" s="21" t="s">
        <v>282</v>
      </c>
      <c r="L96" s="21" t="s">
        <v>365</v>
      </c>
      <c r="M96" s="21" t="s">
        <v>88</v>
      </c>
      <c r="N96" s="21" t="s">
        <v>169</v>
      </c>
      <c r="O96" s="21" t="s">
        <v>509</v>
      </c>
      <c r="P96" s="21" t="s">
        <v>670</v>
      </c>
    </row>
    <row r="97" ht="28.5" customHeight="1">
      <c r="A97" s="20">
        <v>42405.0</v>
      </c>
      <c r="B97" s="21" t="s">
        <v>189</v>
      </c>
      <c r="C97" s="25" t="s">
        <v>191</v>
      </c>
      <c r="D97" s="25" t="s">
        <v>194</v>
      </c>
      <c r="E97" s="25" t="s">
        <v>164</v>
      </c>
      <c r="F97" s="21">
        <v>2.0</v>
      </c>
      <c r="G97" s="21" t="s">
        <v>282</v>
      </c>
      <c r="K97" s="21" t="s">
        <v>88</v>
      </c>
      <c r="L97" s="21" t="s">
        <v>169</v>
      </c>
      <c r="N97" s="21" t="s">
        <v>542</v>
      </c>
      <c r="O97" s="21" t="s">
        <v>509</v>
      </c>
      <c r="P97" s="21" t="s">
        <v>674</v>
      </c>
    </row>
    <row r="98" ht="28.5" customHeight="1">
      <c r="A98" s="20">
        <v>42405.0</v>
      </c>
      <c r="B98" s="21" t="s">
        <v>189</v>
      </c>
      <c r="C98" s="25" t="s">
        <v>191</v>
      </c>
      <c r="D98" s="25" t="s">
        <v>194</v>
      </c>
      <c r="E98" s="25" t="s">
        <v>164</v>
      </c>
      <c r="F98" s="21">
        <v>2.0</v>
      </c>
      <c r="G98" s="21" t="s">
        <v>282</v>
      </c>
      <c r="K98" s="21" t="s">
        <v>167</v>
      </c>
      <c r="L98" s="21" t="s">
        <v>169</v>
      </c>
      <c r="M98" s="21" t="s">
        <v>88</v>
      </c>
      <c r="O98" s="21" t="s">
        <v>509</v>
      </c>
      <c r="P98" s="21" t="s">
        <v>677</v>
      </c>
    </row>
    <row r="99" ht="28.5" customHeight="1">
      <c r="A99" s="20">
        <v>42405.0</v>
      </c>
      <c r="B99" s="21" t="s">
        <v>189</v>
      </c>
      <c r="C99" s="25" t="s">
        <v>191</v>
      </c>
      <c r="D99" s="25" t="s">
        <v>194</v>
      </c>
      <c r="E99" s="25" t="s">
        <v>164</v>
      </c>
      <c r="F99" s="21">
        <v>2.0</v>
      </c>
      <c r="G99" s="21" t="s">
        <v>282</v>
      </c>
      <c r="L99" s="21" t="s">
        <v>580</v>
      </c>
      <c r="M99" s="21" t="s">
        <v>88</v>
      </c>
      <c r="N99" s="21" t="s">
        <v>169</v>
      </c>
      <c r="O99" s="21" t="s">
        <v>509</v>
      </c>
      <c r="P99" s="21" t="s">
        <v>681</v>
      </c>
    </row>
    <row r="100" ht="28.5" customHeight="1">
      <c r="A100" s="20">
        <v>42405.0</v>
      </c>
      <c r="B100" s="21" t="s">
        <v>189</v>
      </c>
      <c r="C100" s="25" t="s">
        <v>191</v>
      </c>
      <c r="D100" s="25" t="s">
        <v>194</v>
      </c>
      <c r="E100" s="25" t="s">
        <v>164</v>
      </c>
      <c r="F100" s="21">
        <v>2.0</v>
      </c>
      <c r="G100" s="21" t="s">
        <v>282</v>
      </c>
      <c r="K100" s="21" t="s">
        <v>88</v>
      </c>
      <c r="L100" s="21"/>
      <c r="N100" s="21" t="s">
        <v>561</v>
      </c>
      <c r="O100" s="21" t="s">
        <v>509</v>
      </c>
      <c r="P100" s="21" t="s">
        <v>689</v>
      </c>
    </row>
    <row r="101" ht="28.5" customHeight="1">
      <c r="A101" s="20">
        <v>42405.0</v>
      </c>
      <c r="B101" s="21" t="s">
        <v>189</v>
      </c>
      <c r="C101" s="25" t="s">
        <v>191</v>
      </c>
      <c r="D101" s="25" t="s">
        <v>194</v>
      </c>
      <c r="E101" s="25" t="s">
        <v>164</v>
      </c>
      <c r="F101" s="21">
        <v>2.0</v>
      </c>
      <c r="G101" s="21" t="s">
        <v>282</v>
      </c>
      <c r="L101" s="21" t="s">
        <v>371</v>
      </c>
      <c r="M101" s="21" t="s">
        <v>88</v>
      </c>
      <c r="O101" s="21" t="s">
        <v>509</v>
      </c>
      <c r="P101" s="21" t="s">
        <v>694</v>
      </c>
    </row>
    <row r="102" ht="28.5" customHeight="1">
      <c r="A102" s="20">
        <v>42405.0</v>
      </c>
      <c r="B102" s="21" t="s">
        <v>189</v>
      </c>
      <c r="C102" s="25" t="s">
        <v>191</v>
      </c>
      <c r="D102" s="25" t="s">
        <v>194</v>
      </c>
      <c r="E102" s="25" t="s">
        <v>164</v>
      </c>
      <c r="F102" s="21">
        <v>4.0</v>
      </c>
      <c r="G102" s="21" t="s">
        <v>282</v>
      </c>
      <c r="K102" s="21"/>
      <c r="L102" s="21" t="s">
        <v>89</v>
      </c>
      <c r="M102" s="21" t="s">
        <v>88</v>
      </c>
      <c r="N102" s="21" t="s">
        <v>292</v>
      </c>
      <c r="O102" s="21" t="s">
        <v>509</v>
      </c>
      <c r="P102" s="21" t="s">
        <v>698</v>
      </c>
    </row>
    <row r="103" ht="28.5" customHeight="1">
      <c r="A103" s="20">
        <v>42405.0</v>
      </c>
      <c r="B103" s="21" t="s">
        <v>189</v>
      </c>
      <c r="C103" s="25" t="s">
        <v>191</v>
      </c>
      <c r="D103" s="25" t="s">
        <v>194</v>
      </c>
      <c r="E103" s="25" t="s">
        <v>164</v>
      </c>
      <c r="F103" s="21">
        <v>4.0</v>
      </c>
      <c r="G103" s="21" t="s">
        <v>282</v>
      </c>
      <c r="K103" s="21" t="s">
        <v>88</v>
      </c>
      <c r="L103" s="21" t="s">
        <v>273</v>
      </c>
      <c r="N103" s="21" t="s">
        <v>580</v>
      </c>
      <c r="O103" s="21" t="s">
        <v>509</v>
      </c>
      <c r="P103" s="21" t="s">
        <v>699</v>
      </c>
    </row>
    <row r="104" ht="28.5" customHeight="1">
      <c r="A104" s="20">
        <v>42405.0</v>
      </c>
      <c r="B104" s="21" t="s">
        <v>189</v>
      </c>
      <c r="C104" s="25" t="s">
        <v>191</v>
      </c>
      <c r="D104" s="25" t="s">
        <v>194</v>
      </c>
      <c r="E104" s="25" t="s">
        <v>164</v>
      </c>
      <c r="F104" s="21">
        <v>5.0</v>
      </c>
      <c r="G104" s="21" t="s">
        <v>282</v>
      </c>
      <c r="K104" s="21" t="s">
        <v>88</v>
      </c>
      <c r="L104" s="21" t="s">
        <v>273</v>
      </c>
      <c r="N104" s="21" t="s">
        <v>443</v>
      </c>
      <c r="O104" s="21" t="s">
        <v>509</v>
      </c>
      <c r="P104" s="21" t="s">
        <v>700</v>
      </c>
    </row>
    <row r="105" ht="28.5" customHeight="1">
      <c r="A105" s="20">
        <v>42405.0</v>
      </c>
      <c r="B105" s="21" t="s">
        <v>189</v>
      </c>
      <c r="C105" s="25" t="s">
        <v>191</v>
      </c>
      <c r="D105" s="25" t="s">
        <v>194</v>
      </c>
      <c r="E105" s="25" t="s">
        <v>164</v>
      </c>
      <c r="F105" s="21">
        <v>5.0</v>
      </c>
      <c r="G105" s="21" t="s">
        <v>282</v>
      </c>
      <c r="K105" s="21"/>
      <c r="L105" s="21" t="s">
        <v>704</v>
      </c>
      <c r="M105" s="21" t="s">
        <v>88</v>
      </c>
      <c r="N105" s="21" t="s">
        <v>169</v>
      </c>
      <c r="O105" s="21" t="s">
        <v>509</v>
      </c>
      <c r="P105" s="21" t="s">
        <v>705</v>
      </c>
    </row>
    <row r="106" ht="28.5" customHeight="1">
      <c r="A106" s="20">
        <v>42405.0</v>
      </c>
      <c r="B106" s="21" t="s">
        <v>189</v>
      </c>
      <c r="C106" s="25" t="s">
        <v>191</v>
      </c>
      <c r="D106" s="25" t="s">
        <v>194</v>
      </c>
      <c r="E106" s="25" t="s">
        <v>164</v>
      </c>
      <c r="F106" s="21">
        <v>5.0</v>
      </c>
      <c r="G106" s="21" t="s">
        <v>282</v>
      </c>
      <c r="L106" s="21" t="s">
        <v>706</v>
      </c>
      <c r="M106" s="21" t="s">
        <v>88</v>
      </c>
      <c r="N106" s="21" t="s">
        <v>169</v>
      </c>
      <c r="O106" s="21" t="s">
        <v>509</v>
      </c>
      <c r="P106" s="21" t="s">
        <v>707</v>
      </c>
    </row>
    <row r="107" ht="28.5" customHeight="1">
      <c r="A107" s="20">
        <v>42405.0</v>
      </c>
      <c r="B107" s="21" t="s">
        <v>189</v>
      </c>
      <c r="C107" s="25" t="s">
        <v>191</v>
      </c>
      <c r="D107" s="25" t="s">
        <v>194</v>
      </c>
      <c r="E107" s="25" t="s">
        <v>164</v>
      </c>
      <c r="F107" s="21">
        <v>5.0</v>
      </c>
      <c r="G107" s="21" t="s">
        <v>282</v>
      </c>
      <c r="L107" s="21" t="s">
        <v>315</v>
      </c>
      <c r="M107" s="21" t="s">
        <v>88</v>
      </c>
      <c r="N107" s="21" t="s">
        <v>273</v>
      </c>
      <c r="O107" s="21" t="s">
        <v>509</v>
      </c>
      <c r="P107" s="21" t="s">
        <v>712</v>
      </c>
    </row>
    <row r="108" ht="28.5" customHeight="1">
      <c r="A108" s="29">
        <v>42406.0</v>
      </c>
      <c r="B108" s="25" t="s">
        <v>223</v>
      </c>
      <c r="C108" s="25" t="s">
        <v>191</v>
      </c>
      <c r="D108" s="25" t="s">
        <v>224</v>
      </c>
      <c r="E108" s="25" t="s">
        <v>164</v>
      </c>
      <c r="F108" s="21">
        <v>1.0</v>
      </c>
      <c r="G108" s="21" t="s">
        <v>282</v>
      </c>
      <c r="L108" s="21" t="s">
        <v>717</v>
      </c>
      <c r="M108" s="21" t="s">
        <v>88</v>
      </c>
      <c r="N108" s="21" t="s">
        <v>169</v>
      </c>
      <c r="O108" s="21" t="s">
        <v>509</v>
      </c>
      <c r="P108" s="21" t="s">
        <v>719</v>
      </c>
    </row>
    <row r="109" ht="28.5" customHeight="1">
      <c r="A109" s="29">
        <v>42406.0</v>
      </c>
      <c r="B109" s="25" t="s">
        <v>223</v>
      </c>
      <c r="C109" s="25" t="s">
        <v>191</v>
      </c>
      <c r="D109" s="25" t="s">
        <v>224</v>
      </c>
      <c r="E109" s="25" t="s">
        <v>164</v>
      </c>
      <c r="F109" s="21">
        <v>1.0</v>
      </c>
      <c r="G109" s="21" t="s">
        <v>282</v>
      </c>
      <c r="K109" s="21" t="s">
        <v>88</v>
      </c>
      <c r="N109" s="21" t="s">
        <v>723</v>
      </c>
      <c r="O109" s="21" t="s">
        <v>509</v>
      </c>
      <c r="P109" s="21" t="s">
        <v>724</v>
      </c>
    </row>
    <row r="110" ht="28.5" customHeight="1">
      <c r="A110" s="29">
        <v>42406.0</v>
      </c>
      <c r="B110" s="25" t="s">
        <v>223</v>
      </c>
      <c r="C110" s="25" t="s">
        <v>191</v>
      </c>
      <c r="D110" s="25" t="s">
        <v>224</v>
      </c>
      <c r="E110" s="25" t="s">
        <v>164</v>
      </c>
      <c r="F110" s="21">
        <v>1.0</v>
      </c>
      <c r="G110" s="21" t="s">
        <v>282</v>
      </c>
      <c r="L110" s="21" t="s">
        <v>432</v>
      </c>
      <c r="M110" s="21" t="s">
        <v>88</v>
      </c>
      <c r="N110" s="21" t="s">
        <v>169</v>
      </c>
      <c r="O110" s="21" t="s">
        <v>509</v>
      </c>
      <c r="P110" s="21" t="s">
        <v>727</v>
      </c>
    </row>
    <row r="111" ht="28.5" customHeight="1">
      <c r="A111" s="29">
        <v>42406.0</v>
      </c>
      <c r="B111" s="25" t="s">
        <v>223</v>
      </c>
      <c r="C111" s="25" t="s">
        <v>191</v>
      </c>
      <c r="D111" s="25" t="s">
        <v>224</v>
      </c>
      <c r="E111" s="25" t="s">
        <v>164</v>
      </c>
      <c r="F111" s="21">
        <v>1.0</v>
      </c>
      <c r="G111" s="21" t="s">
        <v>282</v>
      </c>
      <c r="K111" s="21" t="s">
        <v>729</v>
      </c>
      <c r="M111" s="21" t="s">
        <v>292</v>
      </c>
      <c r="O111" s="21" t="s">
        <v>509</v>
      </c>
      <c r="P111" s="21" t="s">
        <v>730</v>
      </c>
    </row>
    <row r="112" ht="28.5" customHeight="1">
      <c r="A112" s="29">
        <v>42406.0</v>
      </c>
      <c r="B112" s="25" t="s">
        <v>223</v>
      </c>
      <c r="C112" s="25" t="s">
        <v>191</v>
      </c>
      <c r="D112" s="25" t="s">
        <v>224</v>
      </c>
      <c r="E112" s="25" t="s">
        <v>164</v>
      </c>
      <c r="F112" s="21">
        <v>1.0</v>
      </c>
      <c r="G112" s="21" t="s">
        <v>282</v>
      </c>
      <c r="L112" s="21" t="s">
        <v>89</v>
      </c>
      <c r="M112" s="21" t="s">
        <v>88</v>
      </c>
      <c r="N112" s="21" t="s">
        <v>704</v>
      </c>
      <c r="O112" s="21" t="s">
        <v>509</v>
      </c>
      <c r="P112" s="21" t="s">
        <v>742</v>
      </c>
    </row>
    <row r="113" ht="28.5" customHeight="1">
      <c r="A113" s="29">
        <v>42406.0</v>
      </c>
      <c r="B113" s="25" t="s">
        <v>223</v>
      </c>
      <c r="C113" s="25" t="s">
        <v>191</v>
      </c>
      <c r="D113" s="25" t="s">
        <v>224</v>
      </c>
      <c r="E113" s="25" t="s">
        <v>164</v>
      </c>
      <c r="F113" s="21">
        <v>1.0</v>
      </c>
      <c r="G113" s="21" t="s">
        <v>282</v>
      </c>
      <c r="L113" s="21" t="s">
        <v>746</v>
      </c>
      <c r="M113" s="21" t="s">
        <v>88</v>
      </c>
      <c r="N113" s="21" t="s">
        <v>273</v>
      </c>
      <c r="O113" s="21" t="s">
        <v>509</v>
      </c>
      <c r="P113" s="21" t="s">
        <v>747</v>
      </c>
    </row>
    <row r="114" ht="28.5" customHeight="1">
      <c r="A114" s="29">
        <v>42406.0</v>
      </c>
      <c r="B114" s="25" t="s">
        <v>223</v>
      </c>
      <c r="C114" s="25" t="s">
        <v>191</v>
      </c>
      <c r="D114" s="25" t="s">
        <v>224</v>
      </c>
      <c r="E114" s="25" t="s">
        <v>164</v>
      </c>
      <c r="F114" s="21">
        <v>3.0</v>
      </c>
      <c r="G114" s="21" t="s">
        <v>282</v>
      </c>
      <c r="K114" s="21" t="s">
        <v>748</v>
      </c>
      <c r="M114" s="21" t="s">
        <v>508</v>
      </c>
      <c r="O114" s="21" t="s">
        <v>509</v>
      </c>
      <c r="P114" s="21" t="s">
        <v>751</v>
      </c>
    </row>
    <row r="115" ht="28.5" customHeight="1">
      <c r="A115" s="29">
        <v>42406.0</v>
      </c>
      <c r="B115" s="25" t="s">
        <v>223</v>
      </c>
      <c r="C115" s="25" t="s">
        <v>191</v>
      </c>
      <c r="D115" s="25" t="s">
        <v>224</v>
      </c>
      <c r="E115" s="25" t="s">
        <v>164</v>
      </c>
      <c r="F115" s="21">
        <v>3.0</v>
      </c>
      <c r="G115" s="21" t="s">
        <v>282</v>
      </c>
      <c r="L115" s="21" t="s">
        <v>759</v>
      </c>
      <c r="M115" s="21" t="s">
        <v>88</v>
      </c>
      <c r="N115" s="21" t="s">
        <v>90</v>
      </c>
      <c r="O115" s="21" t="s">
        <v>509</v>
      </c>
      <c r="P115" s="21" t="s">
        <v>760</v>
      </c>
    </row>
    <row r="116" ht="28.5" customHeight="1">
      <c r="A116" s="29">
        <v>42406.0</v>
      </c>
      <c r="B116" s="25" t="s">
        <v>223</v>
      </c>
      <c r="C116" s="25" t="s">
        <v>191</v>
      </c>
      <c r="D116" s="25" t="s">
        <v>224</v>
      </c>
      <c r="E116" s="25" t="s">
        <v>164</v>
      </c>
      <c r="F116" s="21">
        <v>4.0</v>
      </c>
      <c r="G116" s="21" t="s">
        <v>282</v>
      </c>
      <c r="L116" s="21" t="s">
        <v>383</v>
      </c>
      <c r="M116" s="21" t="s">
        <v>88</v>
      </c>
      <c r="N116" s="21" t="s">
        <v>90</v>
      </c>
      <c r="O116" s="21" t="s">
        <v>509</v>
      </c>
      <c r="P116" s="21" t="s">
        <v>770</v>
      </c>
    </row>
    <row r="117" ht="28.5" customHeight="1">
      <c r="A117" s="29">
        <v>42406.0</v>
      </c>
      <c r="B117" s="25" t="s">
        <v>223</v>
      </c>
      <c r="C117" s="25" t="s">
        <v>191</v>
      </c>
      <c r="D117" s="25" t="s">
        <v>224</v>
      </c>
      <c r="E117" s="25" t="s">
        <v>164</v>
      </c>
      <c r="F117" s="21">
        <v>4.0</v>
      </c>
      <c r="G117" s="21" t="s">
        <v>282</v>
      </c>
      <c r="L117" s="21" t="s">
        <v>89</v>
      </c>
      <c r="M117" s="21" t="s">
        <v>88</v>
      </c>
      <c r="N117" s="21" t="s">
        <v>418</v>
      </c>
      <c r="O117" s="21" t="s">
        <v>509</v>
      </c>
      <c r="P117" s="21" t="s">
        <v>779</v>
      </c>
    </row>
    <row r="118" ht="28.5" customHeight="1">
      <c r="A118" s="29">
        <v>42406.0</v>
      </c>
      <c r="B118" s="25" t="s">
        <v>223</v>
      </c>
      <c r="C118" s="25" t="s">
        <v>191</v>
      </c>
      <c r="D118" s="25" t="s">
        <v>224</v>
      </c>
      <c r="E118" s="25" t="s">
        <v>164</v>
      </c>
      <c r="F118" s="21">
        <v>4.0</v>
      </c>
      <c r="G118" s="21" t="s">
        <v>282</v>
      </c>
      <c r="L118" s="21" t="s">
        <v>542</v>
      </c>
      <c r="M118" s="21" t="s">
        <v>88</v>
      </c>
      <c r="N118" s="21" t="s">
        <v>169</v>
      </c>
      <c r="O118" s="21" t="s">
        <v>509</v>
      </c>
      <c r="P118" s="21" t="s">
        <v>782</v>
      </c>
    </row>
    <row r="119" ht="28.5" customHeight="1">
      <c r="A119" s="29">
        <v>42406.0</v>
      </c>
      <c r="B119" s="25" t="s">
        <v>223</v>
      </c>
      <c r="C119" s="25" t="s">
        <v>191</v>
      </c>
      <c r="D119" s="25" t="s">
        <v>224</v>
      </c>
      <c r="E119" s="25" t="s">
        <v>164</v>
      </c>
      <c r="F119" s="21">
        <v>5.0</v>
      </c>
      <c r="G119" s="21" t="s">
        <v>282</v>
      </c>
      <c r="L119" s="21" t="s">
        <v>171</v>
      </c>
      <c r="M119" s="21" t="s">
        <v>88</v>
      </c>
      <c r="N119" s="21" t="s">
        <v>167</v>
      </c>
      <c r="O119" s="21" t="s">
        <v>509</v>
      </c>
      <c r="P119" s="21" t="s">
        <v>785</v>
      </c>
    </row>
    <row r="120" ht="28.5" customHeight="1">
      <c r="A120" s="29">
        <v>42406.0</v>
      </c>
      <c r="B120" s="25" t="s">
        <v>223</v>
      </c>
      <c r="C120" s="25" t="s">
        <v>191</v>
      </c>
      <c r="D120" s="25" t="s">
        <v>224</v>
      </c>
      <c r="E120" s="25" t="s">
        <v>164</v>
      </c>
      <c r="F120" s="21">
        <v>6.0</v>
      </c>
      <c r="G120" s="21" t="s">
        <v>282</v>
      </c>
      <c r="K120" s="21" t="s">
        <v>88</v>
      </c>
      <c r="L120" s="21" t="s">
        <v>790</v>
      </c>
      <c r="N120" s="21" t="s">
        <v>791</v>
      </c>
      <c r="O120" s="21" t="s">
        <v>509</v>
      </c>
      <c r="P120" s="21" t="s">
        <v>792</v>
      </c>
    </row>
    <row r="121" ht="28.5" customHeight="1">
      <c r="A121" s="29">
        <v>42406.0</v>
      </c>
      <c r="B121" s="25" t="s">
        <v>223</v>
      </c>
      <c r="C121" s="25" t="s">
        <v>191</v>
      </c>
      <c r="D121" s="25" t="s">
        <v>224</v>
      </c>
      <c r="E121" s="25" t="s">
        <v>164</v>
      </c>
      <c r="F121" s="21">
        <v>9.0</v>
      </c>
      <c r="G121" s="21" t="s">
        <v>115</v>
      </c>
      <c r="H121" s="21" t="s">
        <v>794</v>
      </c>
      <c r="I121" s="21" t="s">
        <v>408</v>
      </c>
      <c r="K121" s="21" t="s">
        <v>167</v>
      </c>
      <c r="L121" s="21" t="s">
        <v>90</v>
      </c>
      <c r="M121" s="21" t="s">
        <v>88</v>
      </c>
      <c r="O121" s="21" t="s">
        <v>509</v>
      </c>
      <c r="P121" s="21" t="s">
        <v>796</v>
      </c>
    </row>
    <row r="122" ht="28.5" customHeight="1">
      <c r="A122" s="29">
        <v>42406.0</v>
      </c>
      <c r="B122" s="25" t="s">
        <v>223</v>
      </c>
      <c r="C122" s="25" t="s">
        <v>191</v>
      </c>
      <c r="D122" s="25" t="s">
        <v>224</v>
      </c>
      <c r="E122" s="25" t="s">
        <v>164</v>
      </c>
      <c r="F122" s="21">
        <v>9.0</v>
      </c>
      <c r="G122" s="21" t="s">
        <v>282</v>
      </c>
      <c r="L122" s="21" t="s">
        <v>723</v>
      </c>
      <c r="M122" s="21" t="s">
        <v>88</v>
      </c>
      <c r="N122" s="21" t="s">
        <v>169</v>
      </c>
      <c r="O122" s="21" t="s">
        <v>509</v>
      </c>
      <c r="P122" s="21" t="s">
        <v>802</v>
      </c>
    </row>
    <row r="123" ht="28.5" customHeight="1">
      <c r="A123" s="29">
        <v>42406.0</v>
      </c>
      <c r="B123" s="25" t="s">
        <v>223</v>
      </c>
      <c r="C123" s="25" t="s">
        <v>191</v>
      </c>
      <c r="D123" s="25" t="s">
        <v>224</v>
      </c>
      <c r="E123" s="25" t="s">
        <v>164</v>
      </c>
      <c r="F123" s="21">
        <v>9.0</v>
      </c>
      <c r="G123" s="21" t="s">
        <v>282</v>
      </c>
      <c r="L123" s="21" t="s">
        <v>384</v>
      </c>
      <c r="M123" s="21" t="s">
        <v>88</v>
      </c>
      <c r="N123" s="21" t="s">
        <v>90</v>
      </c>
      <c r="O123" s="21" t="s">
        <v>509</v>
      </c>
      <c r="P123" s="21" t="s">
        <v>804</v>
      </c>
    </row>
    <row r="124" ht="28.5" customHeight="1">
      <c r="A124" s="31"/>
      <c r="B124" s="31"/>
      <c r="E124" s="31"/>
    </row>
    <row r="125" ht="28.5" customHeight="1">
      <c r="A125" s="29">
        <v>42409.0</v>
      </c>
      <c r="B125" s="25" t="s">
        <v>808</v>
      </c>
      <c r="C125" s="21" t="s">
        <v>810</v>
      </c>
      <c r="D125" s="21" t="s">
        <v>811</v>
      </c>
      <c r="E125" s="25" t="s">
        <v>220</v>
      </c>
      <c r="F125" s="21" t="s">
        <v>812</v>
      </c>
    </row>
    <row r="126" ht="28.5" customHeight="1">
      <c r="A126" s="29">
        <v>42411.0</v>
      </c>
      <c r="B126" s="25" t="s">
        <v>808</v>
      </c>
      <c r="C126" s="21" t="s">
        <v>810</v>
      </c>
      <c r="D126" s="21" t="s">
        <v>815</v>
      </c>
      <c r="E126" s="25" t="s">
        <v>220</v>
      </c>
      <c r="F126" s="21" t="s">
        <v>817</v>
      </c>
    </row>
    <row r="127" ht="28.5" customHeight="1">
      <c r="A127" s="29">
        <v>42411.0</v>
      </c>
      <c r="B127" s="25" t="s">
        <v>808</v>
      </c>
      <c r="C127" s="21" t="s">
        <v>810</v>
      </c>
      <c r="D127" s="21" t="s">
        <v>819</v>
      </c>
      <c r="E127" s="25" t="s">
        <v>220</v>
      </c>
      <c r="F127" s="21" t="s">
        <v>817</v>
      </c>
    </row>
    <row r="128" ht="28.5" customHeight="1">
      <c r="A128" s="29">
        <v>42411.0</v>
      </c>
      <c r="B128" s="25" t="s">
        <v>808</v>
      </c>
      <c r="C128" s="21" t="s">
        <v>810</v>
      </c>
      <c r="D128" s="21" t="s">
        <v>821</v>
      </c>
      <c r="E128" s="25" t="s">
        <v>220</v>
      </c>
      <c r="F128" s="21" t="s">
        <v>817</v>
      </c>
    </row>
    <row r="129" ht="28.5" customHeight="1">
      <c r="A129" s="29">
        <v>42407.0</v>
      </c>
      <c r="B129" s="25" t="s">
        <v>161</v>
      </c>
      <c r="C129" s="21" t="s">
        <v>822</v>
      </c>
      <c r="D129" s="21" t="s">
        <v>823</v>
      </c>
      <c r="E129" s="25" t="s">
        <v>164</v>
      </c>
      <c r="F129" s="21">
        <v>1.0</v>
      </c>
      <c r="G129" s="21" t="s">
        <v>282</v>
      </c>
      <c r="H129" s="21" t="s">
        <v>249</v>
      </c>
      <c r="I129" s="21" t="s">
        <v>249</v>
      </c>
      <c r="J129" s="21" t="s">
        <v>249</v>
      </c>
      <c r="K129" s="21" t="s">
        <v>249</v>
      </c>
      <c r="L129" s="21" t="s">
        <v>825</v>
      </c>
      <c r="M129" s="21" t="s">
        <v>249</v>
      </c>
      <c r="N129" s="21" t="s">
        <v>384</v>
      </c>
      <c r="O129" s="21" t="s">
        <v>90</v>
      </c>
      <c r="P129" s="21" t="s">
        <v>330</v>
      </c>
    </row>
    <row r="130" ht="28.5" customHeight="1">
      <c r="A130" s="29">
        <v>42407.0</v>
      </c>
      <c r="B130" s="25" t="s">
        <v>161</v>
      </c>
      <c r="C130" s="21" t="s">
        <v>822</v>
      </c>
      <c r="D130" s="21" t="s">
        <v>823</v>
      </c>
      <c r="E130" s="25" t="s">
        <v>164</v>
      </c>
      <c r="F130" s="21">
        <v>2.0</v>
      </c>
      <c r="G130" s="21" t="s">
        <v>282</v>
      </c>
      <c r="H130" s="21" t="s">
        <v>249</v>
      </c>
      <c r="I130" s="21" t="s">
        <v>249</v>
      </c>
      <c r="J130" s="21" t="s">
        <v>249</v>
      </c>
      <c r="K130" s="21" t="s">
        <v>249</v>
      </c>
      <c r="L130" s="21" t="s">
        <v>432</v>
      </c>
      <c r="M130" s="21" t="s">
        <v>88</v>
      </c>
      <c r="N130" s="21" t="s">
        <v>384</v>
      </c>
      <c r="O130" s="21" t="s">
        <v>90</v>
      </c>
      <c r="P130" s="21" t="s">
        <v>833</v>
      </c>
    </row>
    <row r="131" ht="28.5" customHeight="1">
      <c r="A131" s="29">
        <v>42407.0</v>
      </c>
      <c r="B131" s="25" t="s">
        <v>161</v>
      </c>
      <c r="C131" s="21" t="s">
        <v>835</v>
      </c>
      <c r="D131" s="21" t="s">
        <v>837</v>
      </c>
      <c r="E131" s="25" t="s">
        <v>164</v>
      </c>
      <c r="F131" s="21" t="s">
        <v>838</v>
      </c>
    </row>
    <row r="132" ht="28.5" customHeight="1">
      <c r="A132" s="29">
        <v>42407.0</v>
      </c>
      <c r="B132" s="25" t="s">
        <v>161</v>
      </c>
      <c r="C132" s="21" t="s">
        <v>835</v>
      </c>
      <c r="D132" s="21" t="s">
        <v>839</v>
      </c>
      <c r="E132" s="25" t="s">
        <v>232</v>
      </c>
      <c r="F132" s="21" t="s">
        <v>838</v>
      </c>
    </row>
    <row r="133" ht="28.5" customHeight="1">
      <c r="A133" s="29">
        <v>42408.0</v>
      </c>
      <c r="B133" s="25" t="s">
        <v>161</v>
      </c>
      <c r="C133" s="21" t="s">
        <v>835</v>
      </c>
      <c r="D133" s="21" t="s">
        <v>846</v>
      </c>
      <c r="E133" s="25" t="s">
        <v>232</v>
      </c>
      <c r="F133" s="21">
        <v>1.0</v>
      </c>
      <c r="G133" s="21" t="s">
        <v>282</v>
      </c>
      <c r="H133" s="21" t="s">
        <v>249</v>
      </c>
      <c r="I133" s="21" t="s">
        <v>249</v>
      </c>
      <c r="J133" s="21" t="s">
        <v>249</v>
      </c>
      <c r="K133" s="21" t="s">
        <v>249</v>
      </c>
      <c r="L133" s="21" t="s">
        <v>850</v>
      </c>
      <c r="M133" s="21" t="s">
        <v>249</v>
      </c>
      <c r="N133" s="21" t="s">
        <v>508</v>
      </c>
      <c r="O133" s="21" t="s">
        <v>90</v>
      </c>
      <c r="P133" s="21" t="s">
        <v>422</v>
      </c>
    </row>
    <row r="134" ht="28.5" customHeight="1">
      <c r="A134" s="29">
        <v>42408.0</v>
      </c>
      <c r="B134" s="25" t="s">
        <v>161</v>
      </c>
      <c r="C134" s="21" t="s">
        <v>835</v>
      </c>
      <c r="D134" s="21" t="s">
        <v>854</v>
      </c>
      <c r="E134" s="25" t="s">
        <v>232</v>
      </c>
      <c r="F134" s="21">
        <v>1.0</v>
      </c>
      <c r="G134" s="21" t="s">
        <v>857</v>
      </c>
      <c r="H134" s="21" t="s">
        <v>249</v>
      </c>
      <c r="I134" s="21" t="s">
        <v>249</v>
      </c>
      <c r="J134" s="21" t="s">
        <v>249</v>
      </c>
      <c r="K134" s="21" t="s">
        <v>249</v>
      </c>
      <c r="L134" s="21" t="s">
        <v>328</v>
      </c>
      <c r="M134" s="21" t="s">
        <v>88</v>
      </c>
      <c r="N134" s="21" t="s">
        <v>249</v>
      </c>
      <c r="O134" s="21" t="s">
        <v>90</v>
      </c>
      <c r="P134" s="21" t="s">
        <v>330</v>
      </c>
    </row>
    <row r="135" ht="28.5" customHeight="1">
      <c r="A135" s="29">
        <v>42408.0</v>
      </c>
      <c r="B135" s="25" t="s">
        <v>161</v>
      </c>
      <c r="C135" s="21" t="s">
        <v>835</v>
      </c>
      <c r="D135" s="21" t="s">
        <v>854</v>
      </c>
      <c r="E135" s="25" t="s">
        <v>232</v>
      </c>
      <c r="F135" s="21">
        <v>1.0</v>
      </c>
      <c r="G135" s="21" t="s">
        <v>282</v>
      </c>
      <c r="H135" s="21" t="s">
        <v>249</v>
      </c>
      <c r="I135" s="21" t="s">
        <v>249</v>
      </c>
      <c r="J135" s="21" t="s">
        <v>249</v>
      </c>
      <c r="K135" s="21" t="s">
        <v>877</v>
      </c>
      <c r="L135" s="21" t="s">
        <v>580</v>
      </c>
      <c r="M135" s="21" t="s">
        <v>88</v>
      </c>
      <c r="N135" s="21" t="s">
        <v>273</v>
      </c>
      <c r="O135" s="21" t="s">
        <v>90</v>
      </c>
      <c r="P135" s="21" t="s">
        <v>422</v>
      </c>
    </row>
    <row r="136" ht="28.5" customHeight="1">
      <c r="A136" s="29">
        <v>42408.0</v>
      </c>
      <c r="B136" s="25" t="s">
        <v>161</v>
      </c>
      <c r="C136" s="21" t="s">
        <v>835</v>
      </c>
      <c r="D136" s="21" t="s">
        <v>854</v>
      </c>
      <c r="E136" s="25" t="s">
        <v>232</v>
      </c>
      <c r="F136" s="21">
        <v>1.0</v>
      </c>
      <c r="G136" s="21" t="s">
        <v>282</v>
      </c>
      <c r="H136" s="21" t="s">
        <v>249</v>
      </c>
      <c r="I136" s="21" t="s">
        <v>249</v>
      </c>
      <c r="J136" s="21" t="s">
        <v>249</v>
      </c>
      <c r="K136" s="21" t="s">
        <v>249</v>
      </c>
      <c r="L136" s="21" t="s">
        <v>518</v>
      </c>
      <c r="M136" s="21" t="s">
        <v>88</v>
      </c>
      <c r="N136" s="21" t="s">
        <v>169</v>
      </c>
      <c r="O136" s="21" t="s">
        <v>90</v>
      </c>
    </row>
    <row r="137" ht="28.5" customHeight="1">
      <c r="A137" s="29">
        <v>42408.0</v>
      </c>
      <c r="B137" s="25" t="s">
        <v>161</v>
      </c>
      <c r="C137" s="21" t="s">
        <v>835</v>
      </c>
      <c r="D137" s="21" t="s">
        <v>854</v>
      </c>
      <c r="E137" s="25" t="s">
        <v>232</v>
      </c>
      <c r="F137" s="21">
        <v>1.0</v>
      </c>
      <c r="G137" s="21" t="s">
        <v>282</v>
      </c>
      <c r="H137" s="21" t="s">
        <v>249</v>
      </c>
      <c r="I137" s="21" t="s">
        <v>249</v>
      </c>
      <c r="J137" s="21" t="s">
        <v>249</v>
      </c>
      <c r="K137" s="21" t="s">
        <v>249</v>
      </c>
      <c r="L137" s="21" t="s">
        <v>89</v>
      </c>
      <c r="M137" s="21" t="s">
        <v>88</v>
      </c>
      <c r="N137" s="21" t="s">
        <v>746</v>
      </c>
      <c r="O137" s="21" t="s">
        <v>90</v>
      </c>
    </row>
    <row r="138" ht="28.5" customHeight="1">
      <c r="A138" s="29">
        <v>42408.0</v>
      </c>
      <c r="B138" s="25" t="s">
        <v>161</v>
      </c>
      <c r="C138" s="21" t="s">
        <v>835</v>
      </c>
      <c r="D138" s="21" t="s">
        <v>854</v>
      </c>
      <c r="E138" s="25" t="s">
        <v>232</v>
      </c>
      <c r="F138" s="21">
        <v>1.0</v>
      </c>
      <c r="G138" s="21" t="s">
        <v>282</v>
      </c>
      <c r="H138" s="21" t="s">
        <v>249</v>
      </c>
      <c r="I138" s="21" t="s">
        <v>249</v>
      </c>
      <c r="J138" s="21" t="s">
        <v>249</v>
      </c>
      <c r="K138" s="21" t="s">
        <v>88</v>
      </c>
      <c r="L138" s="21" t="s">
        <v>169</v>
      </c>
      <c r="M138" s="21" t="s">
        <v>249</v>
      </c>
      <c r="N138" s="21" t="s">
        <v>297</v>
      </c>
      <c r="O138" s="21" t="s">
        <v>90</v>
      </c>
    </row>
    <row r="139" ht="28.5" customHeight="1">
      <c r="A139" s="29">
        <v>42408.0</v>
      </c>
      <c r="B139" s="25" t="s">
        <v>161</v>
      </c>
      <c r="C139" s="21" t="s">
        <v>835</v>
      </c>
      <c r="D139" s="21" t="s">
        <v>854</v>
      </c>
      <c r="E139" s="25" t="s">
        <v>232</v>
      </c>
      <c r="F139" s="21">
        <v>1.0</v>
      </c>
      <c r="G139" s="21" t="s">
        <v>282</v>
      </c>
      <c r="H139" s="21" t="s">
        <v>249</v>
      </c>
      <c r="I139" s="21" t="s">
        <v>249</v>
      </c>
      <c r="J139" s="21" t="s">
        <v>249</v>
      </c>
      <c r="K139" s="21" t="s">
        <v>249</v>
      </c>
      <c r="L139" s="21" t="s">
        <v>89</v>
      </c>
      <c r="M139" s="21" t="s">
        <v>88</v>
      </c>
      <c r="N139" s="21" t="s">
        <v>645</v>
      </c>
      <c r="O139" s="21" t="s">
        <v>90</v>
      </c>
    </row>
    <row r="140" ht="28.5" customHeight="1">
      <c r="A140" s="29">
        <v>42408.0</v>
      </c>
      <c r="B140" s="25" t="s">
        <v>161</v>
      </c>
      <c r="C140" s="21" t="s">
        <v>835</v>
      </c>
      <c r="D140" s="21" t="s">
        <v>854</v>
      </c>
      <c r="E140" s="25" t="s">
        <v>232</v>
      </c>
      <c r="F140" s="21">
        <v>1.0</v>
      </c>
      <c r="G140" s="21" t="s">
        <v>282</v>
      </c>
      <c r="H140" s="21" t="s">
        <v>249</v>
      </c>
      <c r="I140" s="21" t="s">
        <v>249</v>
      </c>
      <c r="J140" s="21" t="s">
        <v>249</v>
      </c>
      <c r="K140" s="21" t="s">
        <v>249</v>
      </c>
      <c r="L140" s="21" t="s">
        <v>307</v>
      </c>
      <c r="M140" s="21" t="s">
        <v>907</v>
      </c>
      <c r="N140" s="21" t="s">
        <v>249</v>
      </c>
      <c r="O140" s="21" t="s">
        <v>90</v>
      </c>
      <c r="P140" s="21" t="s">
        <v>908</v>
      </c>
    </row>
    <row r="141" ht="28.5" customHeight="1">
      <c r="A141" s="29">
        <v>42408.0</v>
      </c>
      <c r="B141" s="25" t="s">
        <v>161</v>
      </c>
      <c r="C141" s="21" t="s">
        <v>835</v>
      </c>
      <c r="D141" s="21" t="s">
        <v>854</v>
      </c>
      <c r="E141" s="25" t="s">
        <v>232</v>
      </c>
      <c r="F141" s="21">
        <v>1.0</v>
      </c>
      <c r="G141" s="21" t="s">
        <v>282</v>
      </c>
      <c r="H141" s="21" t="s">
        <v>249</v>
      </c>
      <c r="I141" s="21" t="s">
        <v>249</v>
      </c>
      <c r="J141" s="21" t="s">
        <v>249</v>
      </c>
      <c r="K141" s="21" t="s">
        <v>249</v>
      </c>
      <c r="L141" s="21" t="s">
        <v>333</v>
      </c>
      <c r="M141" s="21" t="s">
        <v>249</v>
      </c>
      <c r="N141" s="21" t="s">
        <v>273</v>
      </c>
      <c r="O141" s="21" t="s">
        <v>90</v>
      </c>
    </row>
    <row r="142" ht="28.5" customHeight="1">
      <c r="A142" s="29">
        <v>42408.0</v>
      </c>
      <c r="B142" s="25" t="s">
        <v>161</v>
      </c>
      <c r="C142" s="21" t="s">
        <v>835</v>
      </c>
      <c r="D142" s="21" t="s">
        <v>854</v>
      </c>
      <c r="E142" s="25" t="s">
        <v>232</v>
      </c>
      <c r="F142" s="21">
        <v>1.0</v>
      </c>
      <c r="G142" s="21" t="s">
        <v>282</v>
      </c>
      <c r="H142" s="21" t="s">
        <v>249</v>
      </c>
      <c r="I142" s="21" t="s">
        <v>249</v>
      </c>
      <c r="J142" s="21" t="s">
        <v>249</v>
      </c>
      <c r="K142" s="21" t="s">
        <v>249</v>
      </c>
      <c r="L142" s="21" t="s">
        <v>89</v>
      </c>
      <c r="M142" s="21" t="s">
        <v>88</v>
      </c>
      <c r="N142" s="21" t="s">
        <v>916</v>
      </c>
      <c r="O142" s="21" t="s">
        <v>90</v>
      </c>
    </row>
    <row r="143" ht="28.5" customHeight="1">
      <c r="A143" s="29">
        <v>42408.0</v>
      </c>
      <c r="B143" s="25" t="s">
        <v>161</v>
      </c>
      <c r="C143" s="21" t="s">
        <v>835</v>
      </c>
      <c r="D143" s="21" t="s">
        <v>854</v>
      </c>
      <c r="E143" s="25" t="s">
        <v>232</v>
      </c>
      <c r="F143" s="21">
        <v>1.0</v>
      </c>
      <c r="G143" s="21" t="s">
        <v>282</v>
      </c>
      <c r="H143" s="21" t="s">
        <v>249</v>
      </c>
      <c r="I143" s="21" t="s">
        <v>249</v>
      </c>
      <c r="J143" s="21" t="s">
        <v>249</v>
      </c>
      <c r="K143" s="21" t="s">
        <v>249</v>
      </c>
      <c r="L143" s="21" t="s">
        <v>88</v>
      </c>
      <c r="M143" s="21" t="s">
        <v>249</v>
      </c>
      <c r="N143" s="21" t="s">
        <v>89</v>
      </c>
      <c r="O143" s="21" t="s">
        <v>90</v>
      </c>
    </row>
    <row r="144" ht="28.5" customHeight="1">
      <c r="A144" s="29">
        <v>42408.0</v>
      </c>
      <c r="B144" s="25" t="s">
        <v>161</v>
      </c>
      <c r="C144" s="21" t="s">
        <v>835</v>
      </c>
      <c r="D144" s="21" t="s">
        <v>854</v>
      </c>
      <c r="E144" s="25" t="s">
        <v>232</v>
      </c>
      <c r="F144" s="21">
        <v>1.0</v>
      </c>
      <c r="G144" s="21" t="s">
        <v>282</v>
      </c>
      <c r="H144" s="21" t="s">
        <v>249</v>
      </c>
      <c r="I144" s="21" t="s">
        <v>249</v>
      </c>
      <c r="J144" s="21" t="s">
        <v>249</v>
      </c>
      <c r="K144" s="21" t="s">
        <v>249</v>
      </c>
      <c r="L144" s="21" t="s">
        <v>315</v>
      </c>
      <c r="M144" s="21" t="s">
        <v>88</v>
      </c>
      <c r="N144" s="21" t="s">
        <v>169</v>
      </c>
      <c r="O144" s="21" t="s">
        <v>90</v>
      </c>
      <c r="P144" s="21" t="s">
        <v>330</v>
      </c>
    </row>
    <row r="145" ht="28.5" customHeight="1">
      <c r="A145" s="29">
        <v>42408.0</v>
      </c>
      <c r="B145" s="25" t="s">
        <v>161</v>
      </c>
      <c r="C145" s="21" t="s">
        <v>835</v>
      </c>
      <c r="D145" s="21" t="s">
        <v>854</v>
      </c>
      <c r="E145" s="25" t="s">
        <v>232</v>
      </c>
      <c r="F145" s="21">
        <v>1.0</v>
      </c>
      <c r="G145" s="21" t="s">
        <v>282</v>
      </c>
      <c r="H145" s="21" t="s">
        <v>249</v>
      </c>
      <c r="I145" s="21" t="s">
        <v>249</v>
      </c>
      <c r="J145" s="21" t="s">
        <v>249</v>
      </c>
      <c r="K145" s="21" t="s">
        <v>929</v>
      </c>
      <c r="L145" s="21" t="s">
        <v>929</v>
      </c>
      <c r="M145" s="21" t="s">
        <v>171</v>
      </c>
      <c r="N145" s="21" t="s">
        <v>377</v>
      </c>
      <c r="O145" s="21" t="s">
        <v>930</v>
      </c>
      <c r="P145" s="21" t="s">
        <v>931</v>
      </c>
    </row>
    <row r="146" ht="28.5" customHeight="1">
      <c r="A146" s="29">
        <v>42408.0</v>
      </c>
      <c r="B146" s="25" t="s">
        <v>161</v>
      </c>
      <c r="C146" s="21" t="s">
        <v>835</v>
      </c>
      <c r="D146" s="21" t="s">
        <v>854</v>
      </c>
      <c r="E146" s="25" t="s">
        <v>232</v>
      </c>
      <c r="F146" s="21">
        <v>1.0</v>
      </c>
      <c r="G146" s="21" t="s">
        <v>282</v>
      </c>
      <c r="H146" s="21" t="s">
        <v>249</v>
      </c>
      <c r="I146" s="21" t="s">
        <v>249</v>
      </c>
      <c r="J146" s="21" t="s">
        <v>249</v>
      </c>
      <c r="K146" s="21" t="s">
        <v>249</v>
      </c>
      <c r="L146" s="21" t="s">
        <v>89</v>
      </c>
      <c r="M146" s="21" t="s">
        <v>88</v>
      </c>
      <c r="N146" s="21" t="s">
        <v>567</v>
      </c>
      <c r="O146" s="21" t="s">
        <v>90</v>
      </c>
    </row>
    <row r="147" ht="28.5" customHeight="1">
      <c r="A147" s="29">
        <v>42408.0</v>
      </c>
      <c r="B147" s="25" t="s">
        <v>161</v>
      </c>
      <c r="C147" s="21" t="s">
        <v>835</v>
      </c>
      <c r="D147" s="21" t="s">
        <v>854</v>
      </c>
      <c r="E147" s="25" t="s">
        <v>232</v>
      </c>
      <c r="F147" s="21">
        <v>1.0</v>
      </c>
      <c r="G147" s="21" t="s">
        <v>282</v>
      </c>
      <c r="H147" s="21" t="s">
        <v>249</v>
      </c>
      <c r="I147" s="21" t="s">
        <v>249</v>
      </c>
      <c r="J147" s="21" t="s">
        <v>249</v>
      </c>
      <c r="K147" s="21" t="s">
        <v>249</v>
      </c>
      <c r="L147" s="21" t="s">
        <v>169</v>
      </c>
      <c r="M147" s="21" t="s">
        <v>249</v>
      </c>
      <c r="N147" s="21" t="s">
        <v>907</v>
      </c>
      <c r="O147" s="21" t="s">
        <v>90</v>
      </c>
      <c r="P147" s="21" t="s">
        <v>330</v>
      </c>
    </row>
    <row r="148" ht="28.5" customHeight="1">
      <c r="A148" s="29">
        <v>42410.0</v>
      </c>
      <c r="B148" s="25" t="s">
        <v>161</v>
      </c>
      <c r="C148" s="21" t="s">
        <v>835</v>
      </c>
      <c r="D148" s="21" t="s">
        <v>938</v>
      </c>
      <c r="E148" s="25" t="s">
        <v>232</v>
      </c>
      <c r="F148" s="21" t="s">
        <v>940</v>
      </c>
    </row>
    <row r="149" ht="28.5" customHeight="1">
      <c r="A149" s="29">
        <v>42411.0</v>
      </c>
      <c r="B149" s="25" t="s">
        <v>161</v>
      </c>
      <c r="C149" s="21" t="s">
        <v>835</v>
      </c>
      <c r="D149" s="21" t="s">
        <v>941</v>
      </c>
      <c r="E149" s="25" t="s">
        <v>232</v>
      </c>
      <c r="F149" s="21">
        <v>1.0</v>
      </c>
      <c r="G149" s="21" t="s">
        <v>157</v>
      </c>
      <c r="H149" s="21" t="s">
        <v>942</v>
      </c>
      <c r="I149" s="21" t="s">
        <v>307</v>
      </c>
      <c r="J149" s="21" t="s">
        <v>249</v>
      </c>
      <c r="K149" s="21" t="s">
        <v>943</v>
      </c>
      <c r="L149" s="21" t="s">
        <v>249</v>
      </c>
      <c r="M149" s="21" t="s">
        <v>249</v>
      </c>
      <c r="N149" s="21" t="s">
        <v>88</v>
      </c>
      <c r="O149" s="21" t="s">
        <v>90</v>
      </c>
    </row>
    <row r="150" ht="28.5" customHeight="1">
      <c r="A150" s="29">
        <v>42411.0</v>
      </c>
      <c r="B150" s="25" t="s">
        <v>945</v>
      </c>
      <c r="C150" s="25" t="s">
        <v>165</v>
      </c>
      <c r="D150" s="25" t="s">
        <v>947</v>
      </c>
      <c r="E150" s="25" t="s">
        <v>113</v>
      </c>
      <c r="F150" s="21">
        <v>2.0</v>
      </c>
      <c r="G150" s="21" t="s">
        <v>115</v>
      </c>
      <c r="H150" s="21" t="s">
        <v>951</v>
      </c>
      <c r="I150" s="21" t="s">
        <v>167</v>
      </c>
      <c r="K150" s="21" t="s">
        <v>167</v>
      </c>
      <c r="L150" s="21" t="s">
        <v>90</v>
      </c>
      <c r="M150" s="21" t="s">
        <v>88</v>
      </c>
      <c r="N150" s="21" t="s">
        <v>954</v>
      </c>
      <c r="O150" s="21" t="s">
        <v>90</v>
      </c>
      <c r="P150" s="21" t="s">
        <v>955</v>
      </c>
    </row>
    <row r="151" ht="28.5" customHeight="1">
      <c r="A151" s="29">
        <v>42411.0</v>
      </c>
      <c r="B151" s="25" t="s">
        <v>945</v>
      </c>
      <c r="C151" s="25" t="s">
        <v>165</v>
      </c>
      <c r="D151" s="25" t="s">
        <v>957</v>
      </c>
      <c r="E151" s="25" t="s">
        <v>113</v>
      </c>
      <c r="F151" s="21">
        <v>2.0</v>
      </c>
      <c r="G151" s="21" t="s">
        <v>115</v>
      </c>
      <c r="I151" s="21" t="s">
        <v>175</v>
      </c>
      <c r="K151" s="21" t="s">
        <v>175</v>
      </c>
      <c r="L151" s="21" t="s">
        <v>958</v>
      </c>
      <c r="M151" s="21" t="s">
        <v>88</v>
      </c>
      <c r="N151" s="21" t="s">
        <v>343</v>
      </c>
      <c r="O151" s="21" t="s">
        <v>90</v>
      </c>
      <c r="P151" s="21" t="s">
        <v>309</v>
      </c>
    </row>
    <row r="152" ht="28.5" customHeight="1">
      <c r="A152" s="29">
        <v>42411.0</v>
      </c>
      <c r="B152" s="25" t="s">
        <v>945</v>
      </c>
      <c r="C152" s="25" t="s">
        <v>165</v>
      </c>
      <c r="D152" s="25" t="s">
        <v>957</v>
      </c>
      <c r="E152" s="25" t="s">
        <v>113</v>
      </c>
      <c r="F152" s="21">
        <v>3.0</v>
      </c>
      <c r="G152" s="21" t="s">
        <v>115</v>
      </c>
      <c r="I152" s="21" t="s">
        <v>159</v>
      </c>
      <c r="K152" s="21" t="s">
        <v>159</v>
      </c>
      <c r="L152" s="21" t="s">
        <v>89</v>
      </c>
      <c r="M152" s="21"/>
      <c r="N152" s="21" t="s">
        <v>90</v>
      </c>
      <c r="O152" s="21" t="s">
        <v>968</v>
      </c>
    </row>
    <row r="153" ht="28.5" customHeight="1">
      <c r="A153" s="29">
        <v>42406.0</v>
      </c>
      <c r="B153" s="25" t="s">
        <v>973</v>
      </c>
      <c r="C153" s="21" t="s">
        <v>975</v>
      </c>
      <c r="D153" s="21" t="s">
        <v>977</v>
      </c>
      <c r="E153" s="25" t="s">
        <v>232</v>
      </c>
      <c r="F153" s="21">
        <v>3.0</v>
      </c>
      <c r="G153" s="21" t="s">
        <v>282</v>
      </c>
      <c r="L153" s="21" t="s">
        <v>979</v>
      </c>
      <c r="M153" s="21" t="s">
        <v>88</v>
      </c>
      <c r="N153" s="21" t="s">
        <v>273</v>
      </c>
      <c r="O153" s="21" t="s">
        <v>90</v>
      </c>
    </row>
    <row r="154" ht="28.5" customHeight="1">
      <c r="A154" s="29">
        <v>42406.0</v>
      </c>
      <c r="B154" s="25" t="s">
        <v>973</v>
      </c>
      <c r="C154" s="21" t="s">
        <v>975</v>
      </c>
      <c r="D154" s="21" t="s">
        <v>977</v>
      </c>
      <c r="E154" s="25" t="s">
        <v>232</v>
      </c>
      <c r="F154" s="21">
        <v>5.0</v>
      </c>
      <c r="G154" s="21" t="s">
        <v>282</v>
      </c>
      <c r="K154" s="21" t="s">
        <v>88</v>
      </c>
      <c r="L154" s="21" t="s">
        <v>169</v>
      </c>
      <c r="N154" s="21" t="s">
        <v>981</v>
      </c>
      <c r="O154" s="21" t="s">
        <v>90</v>
      </c>
    </row>
    <row r="155" ht="28.5" customHeight="1">
      <c r="A155" s="29">
        <v>42406.0</v>
      </c>
      <c r="B155" s="25" t="s">
        <v>973</v>
      </c>
      <c r="C155" s="21" t="s">
        <v>975</v>
      </c>
      <c r="D155" s="21" t="s">
        <v>977</v>
      </c>
      <c r="E155" s="25" t="s">
        <v>232</v>
      </c>
      <c r="F155" s="21">
        <v>4.0</v>
      </c>
      <c r="G155" s="21" t="s">
        <v>282</v>
      </c>
      <c r="L155" s="21" t="s">
        <v>89</v>
      </c>
      <c r="M155" s="21" t="s">
        <v>88</v>
      </c>
      <c r="N155" s="21" t="s">
        <v>983</v>
      </c>
      <c r="O155" s="21" t="s">
        <v>90</v>
      </c>
    </row>
    <row r="156" ht="28.5" customHeight="1">
      <c r="A156" s="29">
        <v>42406.0</v>
      </c>
      <c r="B156" s="25" t="s">
        <v>973</v>
      </c>
      <c r="C156" s="21" t="s">
        <v>975</v>
      </c>
      <c r="D156" s="21" t="s">
        <v>977</v>
      </c>
      <c r="E156" s="25" t="s">
        <v>232</v>
      </c>
      <c r="F156" s="21">
        <v>5.0</v>
      </c>
      <c r="G156" s="21" t="s">
        <v>282</v>
      </c>
      <c r="L156" s="21" t="s">
        <v>986</v>
      </c>
      <c r="M156" s="21" t="s">
        <v>88</v>
      </c>
      <c r="N156" s="21" t="s">
        <v>273</v>
      </c>
      <c r="O156" s="21" t="s">
        <v>90</v>
      </c>
    </row>
    <row r="157" ht="28.5" customHeight="1">
      <c r="A157" s="29">
        <v>42406.0</v>
      </c>
      <c r="B157" s="25" t="s">
        <v>973</v>
      </c>
      <c r="C157" s="21" t="s">
        <v>975</v>
      </c>
      <c r="D157" s="21" t="s">
        <v>977</v>
      </c>
      <c r="E157" s="25" t="s">
        <v>232</v>
      </c>
      <c r="F157" s="21">
        <v>6.0</v>
      </c>
      <c r="G157" s="21" t="s">
        <v>282</v>
      </c>
      <c r="K157" s="21" t="s">
        <v>88</v>
      </c>
      <c r="L157" s="21" t="s">
        <v>169</v>
      </c>
      <c r="N157" s="21" t="s">
        <v>176</v>
      </c>
      <c r="O157" s="21" t="s">
        <v>90</v>
      </c>
    </row>
    <row r="158" ht="28.5" customHeight="1">
      <c r="A158" s="29">
        <v>42406.0</v>
      </c>
      <c r="B158" s="25" t="s">
        <v>973</v>
      </c>
      <c r="C158" s="21" t="s">
        <v>975</v>
      </c>
      <c r="D158" s="21" t="s">
        <v>977</v>
      </c>
      <c r="E158" s="25" t="s">
        <v>232</v>
      </c>
      <c r="F158" s="21">
        <v>6.0</v>
      </c>
      <c r="G158" s="21" t="s">
        <v>282</v>
      </c>
      <c r="L158" s="21" t="s">
        <v>958</v>
      </c>
      <c r="M158" s="21" t="s">
        <v>88</v>
      </c>
      <c r="N158" s="21" t="s">
        <v>169</v>
      </c>
      <c r="O158" s="21" t="s">
        <v>90</v>
      </c>
    </row>
    <row r="159" ht="28.5" customHeight="1">
      <c r="A159" s="29">
        <v>42406.0</v>
      </c>
      <c r="B159" s="25" t="s">
        <v>973</v>
      </c>
      <c r="C159" s="21" t="s">
        <v>975</v>
      </c>
      <c r="D159" s="21" t="s">
        <v>977</v>
      </c>
      <c r="E159" s="25" t="s">
        <v>232</v>
      </c>
      <c r="F159" s="21">
        <v>6.0</v>
      </c>
      <c r="G159" s="21" t="s">
        <v>282</v>
      </c>
      <c r="L159" s="21" t="s">
        <v>169</v>
      </c>
      <c r="M159" s="21" t="s">
        <v>652</v>
      </c>
      <c r="N159" s="21" t="s">
        <v>90</v>
      </c>
      <c r="O159" s="21" t="s">
        <v>90</v>
      </c>
    </row>
    <row r="160" ht="28.5" customHeight="1">
      <c r="A160" s="29">
        <v>42406.0</v>
      </c>
      <c r="B160" s="25" t="s">
        <v>973</v>
      </c>
      <c r="C160" s="21" t="s">
        <v>975</v>
      </c>
      <c r="D160" s="21" t="s">
        <v>977</v>
      </c>
      <c r="E160" s="25" t="s">
        <v>232</v>
      </c>
      <c r="F160" s="21">
        <v>8.0</v>
      </c>
      <c r="G160" s="21" t="s">
        <v>282</v>
      </c>
      <c r="K160" s="21" t="s">
        <v>88</v>
      </c>
      <c r="L160" s="21" t="s">
        <v>171</v>
      </c>
      <c r="N160" s="21" t="s">
        <v>995</v>
      </c>
      <c r="O160" s="21" t="s">
        <v>90</v>
      </c>
    </row>
    <row r="161" ht="28.5" customHeight="1">
      <c r="A161" s="29">
        <v>42406.0</v>
      </c>
      <c r="B161" s="25" t="s">
        <v>973</v>
      </c>
      <c r="C161" s="21" t="s">
        <v>975</v>
      </c>
      <c r="D161" s="21" t="s">
        <v>977</v>
      </c>
      <c r="E161" s="25" t="s">
        <v>232</v>
      </c>
      <c r="F161" s="21">
        <v>8.0</v>
      </c>
      <c r="G161" s="21" t="s">
        <v>282</v>
      </c>
      <c r="L161" s="21" t="s">
        <v>343</v>
      </c>
      <c r="M161" s="21" t="s">
        <v>88</v>
      </c>
      <c r="N161" s="21" t="s">
        <v>169</v>
      </c>
      <c r="O161" s="21" t="s">
        <v>90</v>
      </c>
    </row>
    <row r="162" ht="28.5" customHeight="1">
      <c r="A162" s="29">
        <v>42406.0</v>
      </c>
      <c r="B162" s="25" t="s">
        <v>973</v>
      </c>
      <c r="C162" s="21" t="s">
        <v>975</v>
      </c>
      <c r="D162" s="21" t="s">
        <v>977</v>
      </c>
      <c r="E162" s="25" t="s">
        <v>232</v>
      </c>
      <c r="F162" s="21">
        <v>8.0</v>
      </c>
      <c r="G162" s="21" t="s">
        <v>282</v>
      </c>
      <c r="L162" s="21" t="s">
        <v>89</v>
      </c>
      <c r="M162" s="21" t="s">
        <v>88</v>
      </c>
      <c r="N162" s="21" t="s">
        <v>1003</v>
      </c>
      <c r="O162" s="21" t="s">
        <v>90</v>
      </c>
    </row>
    <row r="163" ht="28.5" customHeight="1">
      <c r="A163" s="29">
        <v>42406.0</v>
      </c>
      <c r="B163" s="25" t="s">
        <v>973</v>
      </c>
      <c r="C163" s="21" t="s">
        <v>975</v>
      </c>
      <c r="D163" s="21" t="s">
        <v>977</v>
      </c>
      <c r="E163" s="25" t="s">
        <v>232</v>
      </c>
      <c r="F163" s="21">
        <v>10.0</v>
      </c>
      <c r="G163" s="21" t="s">
        <v>115</v>
      </c>
      <c r="I163" s="21" t="s">
        <v>307</v>
      </c>
      <c r="K163" s="21" t="s">
        <v>307</v>
      </c>
      <c r="L163" s="21" t="s">
        <v>1008</v>
      </c>
      <c r="M163" s="21" t="s">
        <v>943</v>
      </c>
      <c r="O163" s="21" t="s">
        <v>90</v>
      </c>
    </row>
    <row r="164" ht="28.5" customHeight="1">
      <c r="A164" s="29">
        <v>42406.0</v>
      </c>
      <c r="B164" s="25" t="s">
        <v>973</v>
      </c>
      <c r="C164" s="21" t="s">
        <v>975</v>
      </c>
      <c r="D164" s="21" t="s">
        <v>977</v>
      </c>
      <c r="E164" s="25" t="s">
        <v>232</v>
      </c>
      <c r="F164" s="21">
        <v>11.0</v>
      </c>
      <c r="G164" s="21" t="s">
        <v>282</v>
      </c>
      <c r="L164" s="21" t="s">
        <v>89</v>
      </c>
      <c r="M164" s="21" t="s">
        <v>88</v>
      </c>
      <c r="N164" s="21" t="s">
        <v>1011</v>
      </c>
      <c r="O164" s="21" t="s">
        <v>90</v>
      </c>
    </row>
    <row r="165" ht="28.5" customHeight="1">
      <c r="A165" s="29">
        <v>42406.0</v>
      </c>
      <c r="B165" s="25" t="s">
        <v>973</v>
      </c>
      <c r="C165" s="21" t="s">
        <v>975</v>
      </c>
      <c r="D165" s="21" t="s">
        <v>977</v>
      </c>
      <c r="E165" s="25" t="s">
        <v>232</v>
      </c>
      <c r="F165" s="21">
        <v>11.0</v>
      </c>
      <c r="G165" s="21" t="s">
        <v>282</v>
      </c>
      <c r="L165" s="21" t="s">
        <v>1013</v>
      </c>
      <c r="M165" s="21" t="s">
        <v>88</v>
      </c>
      <c r="N165" s="21" t="s">
        <v>89</v>
      </c>
      <c r="O165" s="21" t="s">
        <v>90</v>
      </c>
    </row>
    <row r="166" ht="28.5" customHeight="1">
      <c r="A166" s="29">
        <v>42406.0</v>
      </c>
      <c r="B166" s="25" t="s">
        <v>973</v>
      </c>
      <c r="C166" s="21" t="s">
        <v>975</v>
      </c>
      <c r="D166" s="21" t="s">
        <v>977</v>
      </c>
      <c r="E166" s="25" t="s">
        <v>232</v>
      </c>
      <c r="F166" s="21">
        <v>11.0</v>
      </c>
      <c r="G166" s="21" t="s">
        <v>282</v>
      </c>
      <c r="K166" s="21" t="s">
        <v>1015</v>
      </c>
      <c r="N166" s="21" t="s">
        <v>1017</v>
      </c>
      <c r="O166" s="21" t="s">
        <v>90</v>
      </c>
    </row>
    <row r="167" ht="28.5" customHeight="1">
      <c r="A167" s="29">
        <v>42406.0</v>
      </c>
      <c r="B167" s="25" t="s">
        <v>973</v>
      </c>
      <c r="C167" s="21" t="s">
        <v>975</v>
      </c>
      <c r="D167" s="21" t="s">
        <v>977</v>
      </c>
      <c r="E167" s="25" t="s">
        <v>232</v>
      </c>
      <c r="F167" s="21">
        <v>11.0</v>
      </c>
      <c r="G167" s="21" t="s">
        <v>282</v>
      </c>
      <c r="L167" s="21" t="s">
        <v>89</v>
      </c>
      <c r="M167" s="21" t="s">
        <v>88</v>
      </c>
      <c r="N167" s="21" t="s">
        <v>1020</v>
      </c>
      <c r="O167" s="21" t="s">
        <v>90</v>
      </c>
    </row>
    <row r="168" ht="28.5" customHeight="1">
      <c r="A168" s="29">
        <v>42406.0</v>
      </c>
      <c r="B168" s="25" t="s">
        <v>973</v>
      </c>
      <c r="C168" s="21" t="s">
        <v>975</v>
      </c>
      <c r="D168" s="21" t="s">
        <v>977</v>
      </c>
      <c r="E168" s="25" t="s">
        <v>232</v>
      </c>
      <c r="F168" s="21">
        <v>11.0</v>
      </c>
      <c r="G168" s="21" t="s">
        <v>282</v>
      </c>
      <c r="K168" s="21" t="s">
        <v>88</v>
      </c>
      <c r="L168" s="21" t="s">
        <v>171</v>
      </c>
      <c r="N168" s="21" t="s">
        <v>981</v>
      </c>
      <c r="O168" s="21" t="s">
        <v>90</v>
      </c>
    </row>
    <row r="169" ht="28.5" customHeight="1">
      <c r="A169" s="29">
        <v>42406.0</v>
      </c>
      <c r="B169" s="25" t="s">
        <v>973</v>
      </c>
      <c r="C169" s="21" t="s">
        <v>975</v>
      </c>
      <c r="D169" s="21" t="s">
        <v>977</v>
      </c>
      <c r="E169" s="25" t="s">
        <v>232</v>
      </c>
      <c r="F169" s="21">
        <v>11.0</v>
      </c>
      <c r="G169" s="21" t="s">
        <v>282</v>
      </c>
      <c r="L169" s="21" t="s">
        <v>958</v>
      </c>
      <c r="M169" s="21" t="s">
        <v>88</v>
      </c>
      <c r="N169" s="21" t="s">
        <v>273</v>
      </c>
      <c r="O169" s="21" t="s">
        <v>90</v>
      </c>
    </row>
    <row r="170" ht="28.5" customHeight="1">
      <c r="A170" s="29">
        <v>42406.0</v>
      </c>
      <c r="B170" s="25" t="s">
        <v>973</v>
      </c>
      <c r="C170" s="21" t="s">
        <v>975</v>
      </c>
      <c r="D170" s="21" t="s">
        <v>977</v>
      </c>
      <c r="E170" s="25" t="s">
        <v>232</v>
      </c>
      <c r="F170" s="21">
        <v>12.0</v>
      </c>
      <c r="G170" s="21" t="s">
        <v>282</v>
      </c>
      <c r="L170" s="21" t="s">
        <v>90</v>
      </c>
      <c r="M170" s="21" t="s">
        <v>88</v>
      </c>
      <c r="N170" s="21" t="s">
        <v>1013</v>
      </c>
      <c r="O170" s="21" t="s">
        <v>90</v>
      </c>
    </row>
    <row r="171" ht="28.5" customHeight="1">
      <c r="A171" s="29">
        <v>42406.0</v>
      </c>
      <c r="B171" s="25" t="s">
        <v>973</v>
      </c>
      <c r="C171" s="21" t="s">
        <v>975</v>
      </c>
      <c r="D171" s="21" t="s">
        <v>977</v>
      </c>
      <c r="E171" s="25" t="s">
        <v>232</v>
      </c>
      <c r="F171" s="21">
        <v>13.0</v>
      </c>
      <c r="G171" s="21" t="s">
        <v>282</v>
      </c>
      <c r="L171" s="21" t="s">
        <v>1008</v>
      </c>
      <c r="M171" s="21" t="s">
        <v>88</v>
      </c>
      <c r="N171" s="21" t="s">
        <v>169</v>
      </c>
      <c r="O171" s="21" t="s">
        <v>90</v>
      </c>
    </row>
    <row r="172" ht="28.5" customHeight="1">
      <c r="A172" s="29">
        <v>42406.0</v>
      </c>
      <c r="B172" s="25" t="s">
        <v>973</v>
      </c>
      <c r="C172" s="21" t="s">
        <v>975</v>
      </c>
      <c r="D172" s="21" t="s">
        <v>977</v>
      </c>
      <c r="E172" s="25" t="s">
        <v>232</v>
      </c>
      <c r="F172" s="21">
        <v>13.0</v>
      </c>
      <c r="G172" s="21" t="s">
        <v>282</v>
      </c>
      <c r="L172" s="21" t="s">
        <v>986</v>
      </c>
      <c r="M172" s="21" t="s">
        <v>88</v>
      </c>
      <c r="N172" s="21" t="s">
        <v>171</v>
      </c>
      <c r="O172" s="21" t="s">
        <v>90</v>
      </c>
    </row>
    <row r="173" ht="28.5" customHeight="1">
      <c r="A173" s="29">
        <v>42406.0</v>
      </c>
      <c r="B173" s="25" t="s">
        <v>973</v>
      </c>
      <c r="C173" s="21" t="s">
        <v>975</v>
      </c>
      <c r="D173" s="21" t="s">
        <v>977</v>
      </c>
      <c r="E173" s="25" t="s">
        <v>232</v>
      </c>
      <c r="F173" s="21">
        <v>13.0</v>
      </c>
      <c r="G173" s="21" t="s">
        <v>282</v>
      </c>
      <c r="L173" s="21" t="s">
        <v>90</v>
      </c>
      <c r="M173" s="21" t="s">
        <v>88</v>
      </c>
      <c r="N173" s="21" t="s">
        <v>1044</v>
      </c>
      <c r="O173" s="21" t="s">
        <v>90</v>
      </c>
    </row>
    <row r="174" ht="28.5" customHeight="1">
      <c r="A174" s="29">
        <v>42406.0</v>
      </c>
      <c r="B174" s="25" t="s">
        <v>973</v>
      </c>
      <c r="C174" s="21" t="s">
        <v>975</v>
      </c>
      <c r="D174" s="21" t="s">
        <v>977</v>
      </c>
      <c r="E174" s="25" t="s">
        <v>232</v>
      </c>
      <c r="F174" s="21">
        <v>13.0</v>
      </c>
      <c r="G174" s="21" t="s">
        <v>115</v>
      </c>
      <c r="I174" s="21" t="s">
        <v>307</v>
      </c>
      <c r="K174" s="21" t="s">
        <v>943</v>
      </c>
      <c r="L174" s="21" t="s">
        <v>1046</v>
      </c>
      <c r="N174" s="21" t="s">
        <v>1047</v>
      </c>
      <c r="O174" s="21" t="s">
        <v>90</v>
      </c>
    </row>
    <row r="175" ht="28.5" customHeight="1">
      <c r="A175" s="29">
        <v>42406.0</v>
      </c>
      <c r="B175" s="25" t="s">
        <v>973</v>
      </c>
      <c r="C175" s="21" t="s">
        <v>975</v>
      </c>
      <c r="D175" s="21" t="s">
        <v>977</v>
      </c>
      <c r="E175" s="25" t="s">
        <v>232</v>
      </c>
      <c r="F175" s="21">
        <v>14.0</v>
      </c>
      <c r="G175" s="21" t="s">
        <v>282</v>
      </c>
      <c r="L175" s="21" t="s">
        <v>90</v>
      </c>
      <c r="M175" s="21" t="s">
        <v>88</v>
      </c>
      <c r="N175" s="21" t="s">
        <v>1050</v>
      </c>
      <c r="O175" s="21" t="s">
        <v>90</v>
      </c>
    </row>
    <row r="176" ht="28.5" customHeight="1">
      <c r="A176" s="29">
        <v>42406.0</v>
      </c>
      <c r="B176" s="25" t="s">
        <v>973</v>
      </c>
      <c r="C176" s="21" t="s">
        <v>975</v>
      </c>
      <c r="D176" s="21" t="s">
        <v>977</v>
      </c>
      <c r="E176" s="25" t="s">
        <v>232</v>
      </c>
      <c r="F176" s="21">
        <v>14.0</v>
      </c>
      <c r="G176" s="21" t="s">
        <v>282</v>
      </c>
      <c r="L176" s="21" t="s">
        <v>1055</v>
      </c>
      <c r="M176" s="21" t="s">
        <v>88</v>
      </c>
      <c r="N176" s="21" t="s">
        <v>169</v>
      </c>
      <c r="O176" s="21" t="s">
        <v>90</v>
      </c>
    </row>
    <row r="177" ht="28.5" customHeight="1">
      <c r="A177" s="29">
        <v>42406.0</v>
      </c>
      <c r="B177" s="25" t="s">
        <v>973</v>
      </c>
      <c r="C177" s="21" t="s">
        <v>975</v>
      </c>
      <c r="D177" s="21" t="s">
        <v>977</v>
      </c>
      <c r="E177" s="25" t="s">
        <v>232</v>
      </c>
      <c r="F177" s="21">
        <v>14.0</v>
      </c>
      <c r="G177" s="21" t="s">
        <v>282</v>
      </c>
      <c r="K177" s="21" t="s">
        <v>88</v>
      </c>
      <c r="L177" s="21" t="s">
        <v>169</v>
      </c>
      <c r="N177" s="21" t="s">
        <v>1057</v>
      </c>
      <c r="O177" s="21" t="s">
        <v>90</v>
      </c>
    </row>
    <row r="178" ht="28.5" customHeight="1">
      <c r="A178" s="29">
        <v>42406.0</v>
      </c>
      <c r="B178" s="25" t="s">
        <v>973</v>
      </c>
      <c r="C178" s="21" t="s">
        <v>975</v>
      </c>
      <c r="D178" s="21" t="s">
        <v>977</v>
      </c>
      <c r="E178" s="25" t="s">
        <v>232</v>
      </c>
      <c r="F178" s="21">
        <v>14.0</v>
      </c>
      <c r="G178" s="21" t="s">
        <v>282</v>
      </c>
      <c r="L178" s="21" t="s">
        <v>88</v>
      </c>
      <c r="N178" s="21" t="s">
        <v>89</v>
      </c>
      <c r="O178" s="21" t="s">
        <v>90</v>
      </c>
      <c r="P178" s="21" t="s">
        <v>1060</v>
      </c>
    </row>
    <row r="179" ht="28.5" customHeight="1">
      <c r="A179" s="29">
        <v>42406.0</v>
      </c>
      <c r="B179" s="25" t="s">
        <v>973</v>
      </c>
      <c r="C179" s="21" t="s">
        <v>975</v>
      </c>
      <c r="D179" s="21" t="s">
        <v>977</v>
      </c>
      <c r="E179" s="25" t="s">
        <v>232</v>
      </c>
      <c r="F179" s="21">
        <v>14.0</v>
      </c>
      <c r="G179" s="21" t="s">
        <v>282</v>
      </c>
      <c r="K179" s="21" t="s">
        <v>88</v>
      </c>
      <c r="L179" s="21" t="s">
        <v>169</v>
      </c>
      <c r="N179" s="21" t="s">
        <v>1063</v>
      </c>
      <c r="O179" s="21" t="s">
        <v>90</v>
      </c>
    </row>
    <row r="180" ht="28.5" customHeight="1">
      <c r="A180" s="29">
        <v>42406.0</v>
      </c>
      <c r="B180" s="25" t="s">
        <v>973</v>
      </c>
      <c r="C180" s="21" t="s">
        <v>975</v>
      </c>
      <c r="D180" s="21" t="s">
        <v>977</v>
      </c>
      <c r="E180" s="25" t="s">
        <v>232</v>
      </c>
      <c r="F180" s="21">
        <v>14.0</v>
      </c>
      <c r="G180" s="21" t="s">
        <v>282</v>
      </c>
      <c r="K180" s="21" t="s">
        <v>88</v>
      </c>
      <c r="L180" s="21" t="s">
        <v>169</v>
      </c>
      <c r="N180" s="21" t="s">
        <v>1069</v>
      </c>
      <c r="O180" s="21" t="s">
        <v>90</v>
      </c>
    </row>
    <row r="181" ht="28.5" customHeight="1">
      <c r="A181" s="29">
        <v>42406.0</v>
      </c>
      <c r="B181" s="25" t="s">
        <v>973</v>
      </c>
      <c r="C181" s="21" t="s">
        <v>975</v>
      </c>
      <c r="D181" s="21" t="s">
        <v>977</v>
      </c>
      <c r="E181" s="25" t="s">
        <v>232</v>
      </c>
      <c r="F181" s="21">
        <v>14.0</v>
      </c>
      <c r="G181" s="21" t="s">
        <v>282</v>
      </c>
      <c r="L181" s="21" t="s">
        <v>89</v>
      </c>
      <c r="M181" s="21" t="s">
        <v>88</v>
      </c>
      <c r="N181" s="21" t="s">
        <v>1072</v>
      </c>
      <c r="O181" s="21" t="s">
        <v>90</v>
      </c>
    </row>
    <row r="182" ht="28.5" customHeight="1">
      <c r="A182" s="29">
        <v>42406.0</v>
      </c>
      <c r="B182" s="25" t="s">
        <v>973</v>
      </c>
      <c r="C182" s="21" t="s">
        <v>975</v>
      </c>
      <c r="D182" s="21" t="s">
        <v>977</v>
      </c>
      <c r="E182" s="25" t="s">
        <v>232</v>
      </c>
      <c r="F182" s="21">
        <v>14.0</v>
      </c>
      <c r="G182" s="21" t="s">
        <v>282</v>
      </c>
      <c r="K182" s="21" t="s">
        <v>88</v>
      </c>
      <c r="L182" s="21" t="s">
        <v>90</v>
      </c>
      <c r="N182" s="21" t="s">
        <v>995</v>
      </c>
      <c r="O182" s="21" t="s">
        <v>90</v>
      </c>
    </row>
    <row r="183" ht="28.5" customHeight="1">
      <c r="A183" s="29">
        <v>42406.0</v>
      </c>
      <c r="B183" s="25" t="s">
        <v>973</v>
      </c>
      <c r="C183" s="21" t="s">
        <v>975</v>
      </c>
      <c r="D183" s="21" t="s">
        <v>977</v>
      </c>
      <c r="E183" s="25" t="s">
        <v>232</v>
      </c>
      <c r="F183" s="21">
        <v>14.0</v>
      </c>
      <c r="G183" s="21" t="s">
        <v>282</v>
      </c>
      <c r="K183" s="21" t="s">
        <v>88</v>
      </c>
      <c r="L183" s="21" t="s">
        <v>169</v>
      </c>
      <c r="N183" s="21" t="s">
        <v>1079</v>
      </c>
      <c r="O183" s="21" t="s">
        <v>90</v>
      </c>
    </row>
    <row r="184" ht="28.5" customHeight="1">
      <c r="A184" s="29">
        <v>42406.0</v>
      </c>
      <c r="B184" s="25" t="s">
        <v>973</v>
      </c>
      <c r="C184" s="21" t="s">
        <v>975</v>
      </c>
      <c r="D184" s="21" t="s">
        <v>977</v>
      </c>
      <c r="E184" s="25" t="s">
        <v>232</v>
      </c>
      <c r="F184" s="21">
        <v>14.0</v>
      </c>
      <c r="G184" s="21" t="s">
        <v>282</v>
      </c>
      <c r="L184" s="21" t="s">
        <v>1069</v>
      </c>
      <c r="M184" s="21" t="s">
        <v>88</v>
      </c>
      <c r="N184" s="21" t="s">
        <v>169</v>
      </c>
      <c r="O184" s="21" t="s">
        <v>90</v>
      </c>
    </row>
    <row r="185" ht="28.5" customHeight="1">
      <c r="A185" s="29">
        <v>42406.0</v>
      </c>
      <c r="B185" s="25" t="s">
        <v>973</v>
      </c>
      <c r="C185" s="21" t="s">
        <v>975</v>
      </c>
      <c r="D185" s="21" t="s">
        <v>977</v>
      </c>
      <c r="E185" s="25" t="s">
        <v>232</v>
      </c>
      <c r="F185" s="21">
        <v>14.0</v>
      </c>
      <c r="G185" s="21" t="s">
        <v>282</v>
      </c>
      <c r="K185" s="21" t="s">
        <v>88</v>
      </c>
      <c r="L185" s="21" t="s">
        <v>169</v>
      </c>
      <c r="N185" s="21" t="s">
        <v>1089</v>
      </c>
      <c r="O185" s="21" t="s">
        <v>90</v>
      </c>
    </row>
    <row r="186" ht="28.5" customHeight="1">
      <c r="A186" s="29">
        <v>42406.0</v>
      </c>
      <c r="B186" s="25" t="s">
        <v>973</v>
      </c>
      <c r="C186" s="21" t="s">
        <v>975</v>
      </c>
      <c r="D186" s="21" t="s">
        <v>977</v>
      </c>
      <c r="E186" s="25" t="s">
        <v>232</v>
      </c>
      <c r="F186" s="21">
        <v>14.0</v>
      </c>
      <c r="G186" s="21" t="s">
        <v>282</v>
      </c>
      <c r="L186" s="21" t="s">
        <v>89</v>
      </c>
      <c r="M186" s="21" t="s">
        <v>88</v>
      </c>
      <c r="N186" s="21" t="s">
        <v>1046</v>
      </c>
      <c r="O186" s="21" t="s">
        <v>90</v>
      </c>
    </row>
    <row r="187" ht="28.5" customHeight="1">
      <c r="A187" s="29">
        <v>42406.0</v>
      </c>
      <c r="B187" s="25" t="s">
        <v>973</v>
      </c>
      <c r="C187" s="21" t="s">
        <v>975</v>
      </c>
      <c r="D187" s="21" t="s">
        <v>977</v>
      </c>
      <c r="E187" s="25" t="s">
        <v>232</v>
      </c>
      <c r="F187" s="21">
        <v>14.0</v>
      </c>
      <c r="G187" s="21" t="s">
        <v>282</v>
      </c>
      <c r="K187" s="21" t="s">
        <v>88</v>
      </c>
      <c r="L187" s="21" t="s">
        <v>169</v>
      </c>
      <c r="N187" s="21" t="s">
        <v>1055</v>
      </c>
      <c r="O187" s="21" t="s">
        <v>90</v>
      </c>
    </row>
    <row r="188" ht="28.5" customHeight="1">
      <c r="A188" s="29">
        <v>42406.0</v>
      </c>
      <c r="B188" s="25" t="s">
        <v>973</v>
      </c>
      <c r="C188" s="21" t="s">
        <v>975</v>
      </c>
      <c r="D188" s="21" t="s">
        <v>977</v>
      </c>
      <c r="E188" s="25" t="s">
        <v>232</v>
      </c>
      <c r="F188" s="21">
        <v>15.0</v>
      </c>
      <c r="G188" s="21" t="s">
        <v>282</v>
      </c>
      <c r="K188" s="21" t="s">
        <v>88</v>
      </c>
      <c r="L188" s="21" t="s">
        <v>169</v>
      </c>
      <c r="N188" s="21" t="s">
        <v>1106</v>
      </c>
      <c r="O188" s="21" t="s">
        <v>90</v>
      </c>
    </row>
    <row r="189" ht="28.5" customHeight="1">
      <c r="A189" s="29">
        <v>42406.0</v>
      </c>
      <c r="B189" s="25" t="s">
        <v>973</v>
      </c>
      <c r="C189" s="21" t="s">
        <v>975</v>
      </c>
      <c r="D189" s="21" t="s">
        <v>977</v>
      </c>
      <c r="E189" s="25" t="s">
        <v>232</v>
      </c>
      <c r="F189" s="21">
        <v>15.0</v>
      </c>
      <c r="G189" s="21" t="s">
        <v>282</v>
      </c>
      <c r="L189" s="21" t="s">
        <v>89</v>
      </c>
      <c r="M189" s="21" t="s">
        <v>88</v>
      </c>
      <c r="N189" s="21" t="s">
        <v>1108</v>
      </c>
      <c r="O189" s="21" t="s">
        <v>90</v>
      </c>
    </row>
    <row r="190" ht="28.5" customHeight="1">
      <c r="A190" s="29">
        <v>42406.0</v>
      </c>
      <c r="B190" s="25" t="s">
        <v>973</v>
      </c>
      <c r="C190" s="21" t="s">
        <v>975</v>
      </c>
      <c r="D190" s="21" t="s">
        <v>977</v>
      </c>
      <c r="E190" s="25" t="s">
        <v>232</v>
      </c>
      <c r="F190" s="21">
        <v>20.0</v>
      </c>
      <c r="G190" s="21" t="s">
        <v>282</v>
      </c>
      <c r="L190" s="21" t="s">
        <v>1111</v>
      </c>
      <c r="M190" s="21" t="s">
        <v>88</v>
      </c>
      <c r="N190" s="21" t="s">
        <v>89</v>
      </c>
      <c r="O190" s="21" t="s">
        <v>90</v>
      </c>
    </row>
    <row r="191" ht="28.5" customHeight="1">
      <c r="A191" s="29">
        <v>42410.0</v>
      </c>
      <c r="B191" s="25" t="s">
        <v>1112</v>
      </c>
      <c r="C191" s="21" t="s">
        <v>1114</v>
      </c>
      <c r="D191" s="21" t="s">
        <v>1115</v>
      </c>
      <c r="E191" s="25" t="s">
        <v>1116</v>
      </c>
      <c r="F191" s="21">
        <v>6.0</v>
      </c>
      <c r="G191" s="21" t="s">
        <v>157</v>
      </c>
      <c r="H191" s="21" t="s">
        <v>1117</v>
      </c>
      <c r="I191" s="21" t="s">
        <v>1118</v>
      </c>
      <c r="J191" s="21" t="s">
        <v>1119</v>
      </c>
      <c r="L191" s="21" t="s">
        <v>1120</v>
      </c>
      <c r="M191" s="21" t="s">
        <v>1122</v>
      </c>
      <c r="O191" s="21" t="s">
        <v>90</v>
      </c>
      <c r="P191" s="21" t="s">
        <v>1123</v>
      </c>
    </row>
    <row r="192" ht="28.5" customHeight="1">
      <c r="A192" s="29">
        <v>42410.0</v>
      </c>
      <c r="B192" s="25" t="s">
        <v>1112</v>
      </c>
      <c r="C192" s="21" t="s">
        <v>1114</v>
      </c>
      <c r="D192" s="21" t="s">
        <v>1127</v>
      </c>
      <c r="E192" s="21" t="s">
        <v>1116</v>
      </c>
      <c r="F192" s="21">
        <v>24.0</v>
      </c>
      <c r="G192" s="21" t="s">
        <v>157</v>
      </c>
      <c r="H192" s="21" t="s">
        <v>1128</v>
      </c>
      <c r="I192" s="21" t="s">
        <v>1118</v>
      </c>
      <c r="J192" s="21" t="s">
        <v>1119</v>
      </c>
      <c r="L192" s="21" t="s">
        <v>1120</v>
      </c>
      <c r="M192" s="21" t="s">
        <v>1122</v>
      </c>
      <c r="O192" s="21" t="s">
        <v>1129</v>
      </c>
      <c r="P192" s="21" t="s">
        <v>1130</v>
      </c>
    </row>
    <row r="193" ht="28.5" customHeight="1">
      <c r="A193" s="29">
        <v>42410.0</v>
      </c>
      <c r="B193" s="25" t="s">
        <v>1112</v>
      </c>
      <c r="C193" s="21" t="s">
        <v>1114</v>
      </c>
      <c r="D193" s="21" t="s">
        <v>1127</v>
      </c>
      <c r="E193" s="25" t="s">
        <v>1116</v>
      </c>
      <c r="F193" s="21">
        <v>25.0</v>
      </c>
      <c r="G193" s="21" t="s">
        <v>157</v>
      </c>
      <c r="H193" s="21" t="s">
        <v>1136</v>
      </c>
      <c r="I193" s="21" t="s">
        <v>1118</v>
      </c>
      <c r="J193" s="21" t="s">
        <v>1119</v>
      </c>
      <c r="L193" s="21" t="s">
        <v>1120</v>
      </c>
      <c r="M193" s="21" t="s">
        <v>1122</v>
      </c>
      <c r="O193" s="21" t="s">
        <v>90</v>
      </c>
    </row>
    <row r="194" ht="28.5" customHeight="1">
      <c r="A194" s="29">
        <v>42410.0</v>
      </c>
      <c r="B194" s="25" t="s">
        <v>1112</v>
      </c>
      <c r="C194" s="21" t="s">
        <v>1114</v>
      </c>
      <c r="D194" s="21" t="s">
        <v>1127</v>
      </c>
      <c r="E194" s="25" t="s">
        <v>1116</v>
      </c>
      <c r="F194" s="21">
        <v>25.0</v>
      </c>
      <c r="G194" s="21" t="s">
        <v>157</v>
      </c>
      <c r="H194" s="21" t="s">
        <v>1137</v>
      </c>
      <c r="I194" s="21" t="s">
        <v>1118</v>
      </c>
      <c r="J194" s="21" t="s">
        <v>1119</v>
      </c>
      <c r="L194" s="21" t="s">
        <v>1120</v>
      </c>
      <c r="M194" s="21" t="s">
        <v>1122</v>
      </c>
      <c r="O194" s="21" t="s">
        <v>90</v>
      </c>
    </row>
    <row r="195" ht="28.5" customHeight="1">
      <c r="A195" s="29">
        <v>42411.0</v>
      </c>
      <c r="B195" s="25" t="s">
        <v>1040</v>
      </c>
      <c r="C195" s="25" t="s">
        <v>975</v>
      </c>
      <c r="D195" s="25" t="s">
        <v>1041</v>
      </c>
      <c r="E195" s="25" t="s">
        <v>586</v>
      </c>
      <c r="F195" s="21">
        <v>2.0</v>
      </c>
      <c r="G195" s="21" t="s">
        <v>268</v>
      </c>
      <c r="H195" s="21" t="s">
        <v>1142</v>
      </c>
      <c r="I195" s="21" t="s">
        <v>171</v>
      </c>
      <c r="J195" s="21" t="s">
        <v>1119</v>
      </c>
      <c r="K195" s="21" t="s">
        <v>171</v>
      </c>
      <c r="M195" s="21" t="s">
        <v>171</v>
      </c>
      <c r="N195" s="21" t="s">
        <v>88</v>
      </c>
      <c r="O195" s="21" t="s">
        <v>90</v>
      </c>
    </row>
    <row r="196" ht="28.5" customHeight="1">
      <c r="A196" s="29">
        <v>42411.0</v>
      </c>
      <c r="B196" s="25" t="s">
        <v>1040</v>
      </c>
      <c r="C196" s="25" t="s">
        <v>975</v>
      </c>
      <c r="D196" s="25" t="s">
        <v>1041</v>
      </c>
      <c r="E196" s="25" t="s">
        <v>586</v>
      </c>
      <c r="F196" s="21">
        <v>3.0</v>
      </c>
      <c r="G196" s="21" t="s">
        <v>282</v>
      </c>
      <c r="L196" s="21" t="s">
        <v>89</v>
      </c>
      <c r="M196" s="21" t="s">
        <v>88</v>
      </c>
      <c r="N196" s="21" t="s">
        <v>1144</v>
      </c>
      <c r="O196" s="21" t="s">
        <v>90</v>
      </c>
    </row>
    <row r="197" ht="28.5" customHeight="1">
      <c r="A197" s="29">
        <v>42411.0</v>
      </c>
      <c r="B197" s="25" t="s">
        <v>1040</v>
      </c>
      <c r="C197" s="25" t="s">
        <v>975</v>
      </c>
      <c r="D197" s="25" t="s">
        <v>1041</v>
      </c>
      <c r="E197" s="25" t="s">
        <v>586</v>
      </c>
      <c r="F197" s="21">
        <v>6.0</v>
      </c>
      <c r="G197" s="21" t="s">
        <v>115</v>
      </c>
      <c r="I197" s="21" t="s">
        <v>307</v>
      </c>
      <c r="L197" s="21" t="s">
        <v>1148</v>
      </c>
      <c r="M197" s="21" t="s">
        <v>943</v>
      </c>
      <c r="N197" s="21" t="s">
        <v>1149</v>
      </c>
      <c r="O197" s="21" t="s">
        <v>90</v>
      </c>
    </row>
    <row r="198" ht="28.5" customHeight="1">
      <c r="A198" s="29">
        <v>42411.0</v>
      </c>
      <c r="B198" s="25" t="s">
        <v>1040</v>
      </c>
      <c r="C198" s="25" t="s">
        <v>975</v>
      </c>
      <c r="D198" s="25" t="s">
        <v>1041</v>
      </c>
      <c r="E198" s="25" t="s">
        <v>586</v>
      </c>
      <c r="F198" s="21">
        <v>9.0</v>
      </c>
      <c r="G198" s="21" t="s">
        <v>282</v>
      </c>
      <c r="K198" s="21" t="s">
        <v>88</v>
      </c>
      <c r="L198" s="21" t="s">
        <v>169</v>
      </c>
      <c r="N198" s="21" t="s">
        <v>1013</v>
      </c>
      <c r="O198" s="21" t="s">
        <v>90</v>
      </c>
    </row>
    <row r="199" ht="28.5" customHeight="1">
      <c r="A199" s="29">
        <v>42411.0</v>
      </c>
      <c r="B199" s="25" t="s">
        <v>1040</v>
      </c>
      <c r="C199" s="25" t="s">
        <v>975</v>
      </c>
      <c r="D199" s="25" t="s">
        <v>1041</v>
      </c>
      <c r="E199" s="25" t="s">
        <v>586</v>
      </c>
      <c r="F199" s="21">
        <v>9.0</v>
      </c>
      <c r="G199" s="21" t="s">
        <v>282</v>
      </c>
      <c r="K199" s="21" t="s">
        <v>88</v>
      </c>
      <c r="L199" s="21" t="s">
        <v>1162</v>
      </c>
      <c r="O199" s="21" t="s">
        <v>90</v>
      </c>
    </row>
    <row r="200" ht="28.5" customHeight="1">
      <c r="A200" s="29">
        <v>42411.0</v>
      </c>
      <c r="B200" s="25" t="s">
        <v>1040</v>
      </c>
      <c r="C200" s="25" t="s">
        <v>975</v>
      </c>
      <c r="D200" s="25" t="s">
        <v>1041</v>
      </c>
      <c r="E200" s="25" t="s">
        <v>586</v>
      </c>
      <c r="F200" s="21">
        <v>9.0</v>
      </c>
      <c r="G200" s="21" t="s">
        <v>282</v>
      </c>
      <c r="L200" s="21" t="s">
        <v>89</v>
      </c>
      <c r="M200" s="21" t="s">
        <v>88</v>
      </c>
      <c r="N200" s="21" t="s">
        <v>986</v>
      </c>
      <c r="O200" s="21" t="s">
        <v>90</v>
      </c>
    </row>
    <row r="201" ht="28.5" customHeight="1">
      <c r="A201" s="29">
        <v>42411.0</v>
      </c>
      <c r="B201" s="25" t="s">
        <v>1040</v>
      </c>
      <c r="C201" s="25" t="s">
        <v>975</v>
      </c>
      <c r="D201" s="25" t="s">
        <v>1041</v>
      </c>
      <c r="E201" s="25" t="s">
        <v>586</v>
      </c>
      <c r="F201" s="21">
        <v>9.0</v>
      </c>
      <c r="G201" s="21" t="s">
        <v>282</v>
      </c>
      <c r="L201" s="21" t="s">
        <v>981</v>
      </c>
      <c r="M201" s="21" t="s">
        <v>652</v>
      </c>
      <c r="N201" s="21" t="s">
        <v>169</v>
      </c>
      <c r="O201" s="21" t="s">
        <v>90</v>
      </c>
    </row>
    <row r="202" ht="28.5" customHeight="1">
      <c r="A202" s="29">
        <v>42411.0</v>
      </c>
      <c r="B202" s="25" t="s">
        <v>1040</v>
      </c>
      <c r="C202" s="25" t="s">
        <v>975</v>
      </c>
      <c r="D202" s="25" t="s">
        <v>1041</v>
      </c>
      <c r="E202" s="25" t="s">
        <v>586</v>
      </c>
      <c r="F202" s="21">
        <v>10.0</v>
      </c>
      <c r="G202" s="21" t="s">
        <v>282</v>
      </c>
      <c r="L202" s="21" t="s">
        <v>1186</v>
      </c>
      <c r="M202" s="21" t="s">
        <v>88</v>
      </c>
      <c r="N202" s="21" t="s">
        <v>273</v>
      </c>
      <c r="O202" s="21" t="s">
        <v>90</v>
      </c>
    </row>
    <row r="203" ht="28.5" customHeight="1">
      <c r="A203" s="29">
        <v>42411.0</v>
      </c>
      <c r="B203" s="25" t="s">
        <v>1040</v>
      </c>
      <c r="C203" s="25" t="s">
        <v>975</v>
      </c>
      <c r="D203" s="25" t="s">
        <v>1041</v>
      </c>
      <c r="E203" s="25" t="s">
        <v>586</v>
      </c>
      <c r="F203" s="21">
        <v>10.0</v>
      </c>
      <c r="G203" s="21" t="s">
        <v>115</v>
      </c>
      <c r="K203" s="21" t="s">
        <v>1191</v>
      </c>
      <c r="L203" s="21" t="s">
        <v>171</v>
      </c>
      <c r="M203" s="21" t="s">
        <v>88</v>
      </c>
      <c r="N203" s="21" t="s">
        <v>1148</v>
      </c>
      <c r="O203" s="21" t="s">
        <v>90</v>
      </c>
    </row>
    <row r="204" ht="28.5" customHeight="1">
      <c r="A204" s="29">
        <v>42411.0</v>
      </c>
      <c r="B204" s="25" t="s">
        <v>1040</v>
      </c>
      <c r="C204" s="25" t="s">
        <v>975</v>
      </c>
      <c r="D204" s="25" t="s">
        <v>1041</v>
      </c>
      <c r="E204" s="25" t="s">
        <v>586</v>
      </c>
      <c r="F204" s="21">
        <v>11.0</v>
      </c>
      <c r="G204" s="21" t="s">
        <v>282</v>
      </c>
      <c r="L204" s="21" t="s">
        <v>89</v>
      </c>
      <c r="M204" s="21" t="s">
        <v>88</v>
      </c>
      <c r="N204" s="21" t="s">
        <v>1063</v>
      </c>
      <c r="O204" s="21" t="s">
        <v>90</v>
      </c>
    </row>
    <row r="205" ht="28.5" customHeight="1">
      <c r="A205" s="29">
        <v>42411.0</v>
      </c>
      <c r="B205" s="25" t="s">
        <v>1040</v>
      </c>
      <c r="C205" s="25" t="s">
        <v>975</v>
      </c>
      <c r="D205" s="25" t="s">
        <v>1041</v>
      </c>
      <c r="E205" s="25" t="s">
        <v>586</v>
      </c>
      <c r="F205" s="21">
        <v>11.0</v>
      </c>
      <c r="G205" s="21" t="s">
        <v>282</v>
      </c>
      <c r="K205" s="21" t="s">
        <v>88</v>
      </c>
      <c r="L205" s="21" t="s">
        <v>171</v>
      </c>
      <c r="N205" s="21" t="s">
        <v>1202</v>
      </c>
      <c r="O205" s="21" t="s">
        <v>90</v>
      </c>
    </row>
    <row r="206" ht="28.5" customHeight="1">
      <c r="A206" s="29">
        <v>42411.0</v>
      </c>
      <c r="B206" s="25" t="s">
        <v>1040</v>
      </c>
      <c r="C206" s="25" t="s">
        <v>975</v>
      </c>
      <c r="D206" s="25" t="s">
        <v>1041</v>
      </c>
      <c r="E206" s="25" t="s">
        <v>586</v>
      </c>
      <c r="F206" s="21">
        <v>11.0</v>
      </c>
      <c r="G206" s="21" t="s">
        <v>282</v>
      </c>
      <c r="L206" s="21" t="s">
        <v>1063</v>
      </c>
      <c r="M206" s="21" t="s">
        <v>88</v>
      </c>
      <c r="N206" s="21" t="s">
        <v>273</v>
      </c>
      <c r="O206" s="21" t="s">
        <v>90</v>
      </c>
    </row>
    <row r="207" ht="28.5" customHeight="1">
      <c r="A207" s="29">
        <v>42411.0</v>
      </c>
      <c r="B207" s="25" t="s">
        <v>1040</v>
      </c>
      <c r="C207" s="25" t="s">
        <v>975</v>
      </c>
      <c r="D207" s="25" t="s">
        <v>1041</v>
      </c>
      <c r="E207" s="25" t="s">
        <v>586</v>
      </c>
      <c r="F207" s="21">
        <v>12.0</v>
      </c>
      <c r="G207" s="21" t="s">
        <v>282</v>
      </c>
      <c r="L207" s="21" t="s">
        <v>89</v>
      </c>
      <c r="M207" s="21" t="s">
        <v>88</v>
      </c>
      <c r="N207" s="21" t="s">
        <v>1008</v>
      </c>
      <c r="O207" s="21" t="s">
        <v>90</v>
      </c>
    </row>
    <row r="208" ht="28.5" customHeight="1">
      <c r="A208" s="29">
        <v>42411.0</v>
      </c>
      <c r="B208" s="25" t="s">
        <v>1040</v>
      </c>
      <c r="C208" s="25" t="s">
        <v>975</v>
      </c>
      <c r="D208" s="25" t="s">
        <v>1041</v>
      </c>
      <c r="E208" s="25" t="s">
        <v>586</v>
      </c>
      <c r="F208" s="21">
        <v>13.0</v>
      </c>
      <c r="G208" s="21" t="s">
        <v>282</v>
      </c>
      <c r="K208" s="21" t="s">
        <v>88</v>
      </c>
      <c r="L208" s="21" t="s">
        <v>273</v>
      </c>
      <c r="N208" s="21" t="s">
        <v>1013</v>
      </c>
      <c r="O208" s="21" t="s">
        <v>90</v>
      </c>
    </row>
    <row r="209" ht="28.5" customHeight="1">
      <c r="A209" s="29">
        <v>42411.0</v>
      </c>
      <c r="B209" s="25" t="s">
        <v>1040</v>
      </c>
      <c r="C209" s="25" t="s">
        <v>975</v>
      </c>
      <c r="D209" s="25" t="s">
        <v>1041</v>
      </c>
      <c r="E209" s="25" t="s">
        <v>586</v>
      </c>
      <c r="F209" s="21">
        <v>13.0</v>
      </c>
      <c r="G209" s="21" t="s">
        <v>282</v>
      </c>
      <c r="L209" s="21" t="s">
        <v>89</v>
      </c>
      <c r="M209" s="21" t="s">
        <v>88</v>
      </c>
      <c r="N209" s="21" t="s">
        <v>176</v>
      </c>
      <c r="O209" s="21" t="s">
        <v>90</v>
      </c>
    </row>
    <row r="210" ht="28.5" customHeight="1">
      <c r="A210" s="29">
        <v>42410.0</v>
      </c>
      <c r="B210" s="25" t="s">
        <v>1231</v>
      </c>
      <c r="C210" s="21" t="s">
        <v>1233</v>
      </c>
      <c r="D210" s="21" t="s">
        <v>1234</v>
      </c>
      <c r="E210" s="25" t="s">
        <v>1116</v>
      </c>
      <c r="F210" s="21">
        <v>2.0</v>
      </c>
      <c r="G210" s="21" t="s">
        <v>115</v>
      </c>
      <c r="H210" s="21" t="s">
        <v>1237</v>
      </c>
      <c r="I210" s="21" t="s">
        <v>1191</v>
      </c>
      <c r="K210" s="21" t="s">
        <v>88</v>
      </c>
      <c r="L210" s="21" t="s">
        <v>249</v>
      </c>
      <c r="M210" s="21" t="s">
        <v>1191</v>
      </c>
      <c r="N210" s="21" t="s">
        <v>249</v>
      </c>
      <c r="O210" s="21" t="s">
        <v>90</v>
      </c>
    </row>
    <row r="211" ht="28.5" customHeight="1">
      <c r="A211" s="29">
        <v>42410.0</v>
      </c>
      <c r="B211" s="25" t="s">
        <v>1231</v>
      </c>
      <c r="C211" s="21" t="s">
        <v>1233</v>
      </c>
      <c r="D211" s="21" t="s">
        <v>1234</v>
      </c>
      <c r="E211" s="25" t="s">
        <v>1116</v>
      </c>
      <c r="F211" s="21">
        <v>3.0</v>
      </c>
      <c r="G211" s="21" t="s">
        <v>115</v>
      </c>
      <c r="K211" s="21" t="s">
        <v>88</v>
      </c>
      <c r="L211" s="21" t="s">
        <v>1055</v>
      </c>
      <c r="M211" s="21" t="s">
        <v>249</v>
      </c>
      <c r="N211" s="21" t="s">
        <v>249</v>
      </c>
      <c r="O211" s="21" t="s">
        <v>90</v>
      </c>
      <c r="P211" s="21" t="s">
        <v>1244</v>
      </c>
    </row>
    <row r="212" ht="28.5" customHeight="1">
      <c r="A212" s="29">
        <v>42410.0</v>
      </c>
      <c r="B212" s="25" t="s">
        <v>1231</v>
      </c>
      <c r="C212" s="21" t="s">
        <v>1233</v>
      </c>
      <c r="D212" s="21" t="s">
        <v>1234</v>
      </c>
      <c r="E212" s="25" t="s">
        <v>1116</v>
      </c>
      <c r="F212" s="21">
        <v>4.0</v>
      </c>
      <c r="G212" s="21" t="s">
        <v>115</v>
      </c>
      <c r="H212" s="21" t="s">
        <v>1251</v>
      </c>
      <c r="I212" s="21" t="s">
        <v>1253</v>
      </c>
      <c r="K212" s="21" t="s">
        <v>1253</v>
      </c>
      <c r="L212" s="21" t="s">
        <v>1255</v>
      </c>
      <c r="M212" s="21" t="s">
        <v>88</v>
      </c>
      <c r="N212" s="21" t="s">
        <v>1256</v>
      </c>
      <c r="O212" s="21" t="s">
        <v>90</v>
      </c>
    </row>
    <row r="213" ht="28.5" customHeight="1">
      <c r="A213" s="29">
        <v>42410.0</v>
      </c>
      <c r="B213" s="25" t="s">
        <v>1231</v>
      </c>
      <c r="C213" s="21" t="s">
        <v>1233</v>
      </c>
      <c r="D213" s="21" t="s">
        <v>1234</v>
      </c>
      <c r="E213" s="25" t="s">
        <v>1116</v>
      </c>
      <c r="F213" s="21">
        <v>4.0</v>
      </c>
      <c r="G213" s="21" t="s">
        <v>115</v>
      </c>
      <c r="H213" s="21" t="s">
        <v>1261</v>
      </c>
      <c r="I213" s="21" t="s">
        <v>273</v>
      </c>
      <c r="K213" s="21" t="s">
        <v>88</v>
      </c>
      <c r="L213" s="21" t="s">
        <v>1264</v>
      </c>
      <c r="M213" s="21" t="s">
        <v>167</v>
      </c>
      <c r="N213" s="21" t="s">
        <v>273</v>
      </c>
      <c r="O213" s="21" t="s">
        <v>90</v>
      </c>
      <c r="P213" s="21" t="s">
        <v>1267</v>
      </c>
    </row>
    <row r="214" ht="28.5" customHeight="1">
      <c r="A214" s="29">
        <v>42410.0</v>
      </c>
      <c r="B214" s="25" t="s">
        <v>1231</v>
      </c>
      <c r="C214" s="21" t="s">
        <v>1233</v>
      </c>
      <c r="D214" s="21" t="s">
        <v>1234</v>
      </c>
      <c r="E214" s="25" t="s">
        <v>1116</v>
      </c>
      <c r="F214" s="21">
        <v>4.0</v>
      </c>
      <c r="G214" s="21" t="s">
        <v>115</v>
      </c>
      <c r="H214" s="21" t="s">
        <v>1237</v>
      </c>
      <c r="I214" s="21" t="s">
        <v>1191</v>
      </c>
      <c r="K214" s="21" t="s">
        <v>88</v>
      </c>
      <c r="L214" s="21" t="s">
        <v>249</v>
      </c>
      <c r="M214" s="21" t="s">
        <v>1191</v>
      </c>
      <c r="N214" s="21" t="s">
        <v>249</v>
      </c>
      <c r="O214" s="21" t="s">
        <v>90</v>
      </c>
      <c r="P214" s="21" t="s">
        <v>1283</v>
      </c>
    </row>
    <row r="215" ht="28.5" customHeight="1">
      <c r="A215" s="29">
        <v>42405.0</v>
      </c>
      <c r="B215" s="25" t="s">
        <v>1287</v>
      </c>
      <c r="C215" s="21" t="s">
        <v>1289</v>
      </c>
      <c r="D215" s="21" t="s">
        <v>1291</v>
      </c>
      <c r="E215" s="25" t="s">
        <v>184</v>
      </c>
      <c r="F215" s="21">
        <v>2.0</v>
      </c>
      <c r="G215" s="21" t="s">
        <v>115</v>
      </c>
      <c r="H215" s="21" t="s">
        <v>929</v>
      </c>
      <c r="I215" s="21" t="s">
        <v>1298</v>
      </c>
      <c r="L215" s="21" t="s">
        <v>1300</v>
      </c>
      <c r="O215" s="21" t="s">
        <v>968</v>
      </c>
      <c r="P215" s="21" t="s">
        <v>1303</v>
      </c>
    </row>
    <row r="216" ht="28.5" customHeight="1">
      <c r="A216" s="29">
        <v>42405.0</v>
      </c>
      <c r="B216" s="25" t="s">
        <v>1287</v>
      </c>
      <c r="C216" s="21" t="s">
        <v>1289</v>
      </c>
      <c r="D216" s="21" t="s">
        <v>1291</v>
      </c>
      <c r="E216" s="25" t="s">
        <v>184</v>
      </c>
      <c r="F216" s="21">
        <v>2.0</v>
      </c>
      <c r="G216" s="21" t="s">
        <v>115</v>
      </c>
      <c r="H216" s="21" t="s">
        <v>929</v>
      </c>
      <c r="I216" s="21" t="s">
        <v>929</v>
      </c>
      <c r="L216" s="21" t="s">
        <v>929</v>
      </c>
      <c r="O216" s="21" t="s">
        <v>968</v>
      </c>
      <c r="P216" s="21" t="s">
        <v>1303</v>
      </c>
    </row>
    <row r="217" ht="28.5" customHeight="1">
      <c r="A217" s="29">
        <v>42405.0</v>
      </c>
      <c r="B217" s="25" t="s">
        <v>1287</v>
      </c>
      <c r="C217" s="21" t="s">
        <v>1289</v>
      </c>
      <c r="D217" s="21" t="s">
        <v>1291</v>
      </c>
      <c r="E217" s="25" t="s">
        <v>184</v>
      </c>
      <c r="F217" s="21">
        <v>5.0</v>
      </c>
      <c r="G217" s="21" t="s">
        <v>115</v>
      </c>
      <c r="H217" s="21" t="s">
        <v>1318</v>
      </c>
      <c r="I217" s="21" t="s">
        <v>1298</v>
      </c>
      <c r="K217" s="21" t="s">
        <v>943</v>
      </c>
      <c r="N217" s="21" t="s">
        <v>88</v>
      </c>
      <c r="O217" s="21" t="s">
        <v>90</v>
      </c>
    </row>
    <row r="218" ht="28.5" customHeight="1">
      <c r="A218" s="29">
        <v>42410.0</v>
      </c>
      <c r="B218" s="25" t="s">
        <v>1325</v>
      </c>
      <c r="C218" s="21" t="s">
        <v>1327</v>
      </c>
      <c r="D218" s="21" t="s">
        <v>1330</v>
      </c>
      <c r="E218" s="25" t="s">
        <v>1116</v>
      </c>
      <c r="F218" s="21">
        <v>2.0</v>
      </c>
      <c r="G218" s="21" t="s">
        <v>157</v>
      </c>
      <c r="H218" s="21" t="s">
        <v>929</v>
      </c>
      <c r="I218" s="21" t="s">
        <v>159</v>
      </c>
      <c r="K218" s="21" t="s">
        <v>159</v>
      </c>
      <c r="L218" s="21" t="s">
        <v>249</v>
      </c>
      <c r="M218" s="21" t="s">
        <v>1337</v>
      </c>
      <c r="N218" s="21" t="s">
        <v>249</v>
      </c>
      <c r="O218" s="21" t="s">
        <v>90</v>
      </c>
      <c r="P218" s="21" t="s">
        <v>1338</v>
      </c>
    </row>
    <row r="219" ht="28.5" customHeight="1">
      <c r="A219" s="29">
        <v>42410.0</v>
      </c>
      <c r="B219" s="25" t="s">
        <v>1342</v>
      </c>
      <c r="C219" s="21" t="s">
        <v>1343</v>
      </c>
      <c r="D219" s="21" t="s">
        <v>1344</v>
      </c>
      <c r="E219" s="25" t="s">
        <v>1346</v>
      </c>
      <c r="F219" s="21">
        <v>2.0</v>
      </c>
      <c r="G219" s="21" t="s">
        <v>268</v>
      </c>
      <c r="H219" s="21">
        <v>13.0</v>
      </c>
      <c r="I219" s="21" t="s">
        <v>171</v>
      </c>
      <c r="J219" s="21" t="s">
        <v>274</v>
      </c>
      <c r="K219" s="21">
        <v>13.0</v>
      </c>
      <c r="M219" s="21">
        <v>13.0</v>
      </c>
      <c r="N219" s="21" t="s">
        <v>88</v>
      </c>
      <c r="O219" s="21" t="s">
        <v>90</v>
      </c>
      <c r="P219" s="21" t="s">
        <v>309</v>
      </c>
    </row>
    <row r="220" ht="28.5" customHeight="1">
      <c r="A220" s="29">
        <v>42410.0</v>
      </c>
      <c r="B220" s="25" t="s">
        <v>1342</v>
      </c>
      <c r="C220" s="21" t="s">
        <v>1343</v>
      </c>
      <c r="D220" s="21" t="s">
        <v>1344</v>
      </c>
      <c r="E220" s="25" t="s">
        <v>1346</v>
      </c>
      <c r="F220" s="21">
        <v>3.0</v>
      </c>
      <c r="G220" s="21" t="s">
        <v>268</v>
      </c>
      <c r="H220" s="21">
        <v>35.0</v>
      </c>
      <c r="I220" s="21" t="s">
        <v>171</v>
      </c>
      <c r="J220" s="21" t="s">
        <v>274</v>
      </c>
      <c r="K220" s="21">
        <v>35.0</v>
      </c>
      <c r="M220" s="21">
        <v>35.0</v>
      </c>
      <c r="N220" s="21" t="s">
        <v>88</v>
      </c>
      <c r="O220" s="21" t="s">
        <v>90</v>
      </c>
      <c r="P220" s="21" t="s">
        <v>309</v>
      </c>
    </row>
    <row r="221">
      <c r="A221" s="29">
        <v>42410.0</v>
      </c>
      <c r="B221" s="25" t="s">
        <v>1342</v>
      </c>
      <c r="C221" s="21" t="s">
        <v>1343</v>
      </c>
      <c r="D221" s="21" t="s">
        <v>1344</v>
      </c>
      <c r="E221" s="25" t="s">
        <v>1346</v>
      </c>
      <c r="F221" s="21">
        <v>3.0</v>
      </c>
      <c r="G221" s="21" t="s">
        <v>268</v>
      </c>
      <c r="H221" s="21" t="s">
        <v>1357</v>
      </c>
      <c r="I221" s="21" t="s">
        <v>89</v>
      </c>
      <c r="J221" s="21" t="s">
        <v>311</v>
      </c>
      <c r="K221" s="21" t="s">
        <v>1357</v>
      </c>
      <c r="M221" s="21" t="s">
        <v>1357</v>
      </c>
      <c r="O221" s="21" t="s">
        <v>90</v>
      </c>
      <c r="P221" s="21" t="s">
        <v>309</v>
      </c>
    </row>
    <row r="222" ht="28.5" customHeight="1">
      <c r="A222" s="29">
        <v>42410.0</v>
      </c>
      <c r="B222" s="25" t="s">
        <v>1342</v>
      </c>
      <c r="C222" s="21" t="s">
        <v>1343</v>
      </c>
      <c r="D222" s="21" t="s">
        <v>1344</v>
      </c>
      <c r="E222" s="25" t="s">
        <v>1346</v>
      </c>
      <c r="F222" s="21">
        <v>6.0</v>
      </c>
      <c r="G222" s="21" t="s">
        <v>268</v>
      </c>
      <c r="H222" s="21" t="s">
        <v>1362</v>
      </c>
      <c r="I222" s="21" t="s">
        <v>171</v>
      </c>
      <c r="J222" s="21" t="s">
        <v>311</v>
      </c>
      <c r="K222" s="21" t="s">
        <v>1362</v>
      </c>
      <c r="L222" s="21" t="s">
        <v>88</v>
      </c>
      <c r="M222" s="21" t="s">
        <v>1362</v>
      </c>
      <c r="O222" s="21" t="s">
        <v>90</v>
      </c>
      <c r="P222" s="21" t="s">
        <v>309</v>
      </c>
    </row>
    <row r="223" ht="28.5" customHeight="1">
      <c r="A223" s="29">
        <v>42410.0</v>
      </c>
      <c r="B223" s="25" t="s">
        <v>1342</v>
      </c>
      <c r="C223" s="21" t="s">
        <v>1343</v>
      </c>
      <c r="D223" s="21" t="s">
        <v>1344</v>
      </c>
      <c r="E223" s="25" t="s">
        <v>1346</v>
      </c>
      <c r="F223" s="21">
        <v>7.0</v>
      </c>
      <c r="G223" s="21" t="s">
        <v>268</v>
      </c>
      <c r="H223" s="21">
        <v>46.0</v>
      </c>
      <c r="I223" s="21" t="s">
        <v>171</v>
      </c>
      <c r="J223" s="21" t="s">
        <v>274</v>
      </c>
      <c r="K223" s="21">
        <v>46.0</v>
      </c>
      <c r="M223" s="21">
        <v>46.0</v>
      </c>
      <c r="O223" s="21" t="s">
        <v>90</v>
      </c>
      <c r="P223" s="21" t="s">
        <v>309</v>
      </c>
    </row>
    <row r="224" ht="28.5" customHeight="1">
      <c r="A224" s="29">
        <v>42410.0</v>
      </c>
      <c r="B224" s="25" t="s">
        <v>1342</v>
      </c>
      <c r="C224" s="21" t="s">
        <v>1343</v>
      </c>
      <c r="D224" s="21" t="s">
        <v>1344</v>
      </c>
      <c r="E224" s="25" t="s">
        <v>1346</v>
      </c>
      <c r="F224" s="21">
        <v>7.0</v>
      </c>
      <c r="G224" s="21" t="s">
        <v>268</v>
      </c>
      <c r="H224" s="21">
        <v>15.0</v>
      </c>
      <c r="I224" s="21" t="s">
        <v>171</v>
      </c>
      <c r="J224" s="21" t="s">
        <v>274</v>
      </c>
      <c r="K224" s="21">
        <v>15.0</v>
      </c>
      <c r="M224" s="21">
        <v>15.0</v>
      </c>
      <c r="N224" s="21" t="s">
        <v>88</v>
      </c>
      <c r="O224" s="21" t="s">
        <v>90</v>
      </c>
      <c r="P224" s="21" t="s">
        <v>309</v>
      </c>
    </row>
    <row r="225" ht="28.5" customHeight="1">
      <c r="A225" s="29">
        <v>42410.0</v>
      </c>
      <c r="B225" s="25" t="s">
        <v>1342</v>
      </c>
      <c r="C225" s="21" t="s">
        <v>1343</v>
      </c>
      <c r="D225" s="21" t="s">
        <v>1344</v>
      </c>
      <c r="E225" s="25" t="s">
        <v>1346</v>
      </c>
      <c r="F225" s="21">
        <v>7.0</v>
      </c>
      <c r="G225" s="21" t="s">
        <v>268</v>
      </c>
      <c r="H225" s="21" t="s">
        <v>1378</v>
      </c>
      <c r="I225" s="21" t="s">
        <v>273</v>
      </c>
      <c r="J225" s="21" t="s">
        <v>311</v>
      </c>
      <c r="K225" s="21" t="s">
        <v>1378</v>
      </c>
      <c r="M225" s="21" t="s">
        <v>1378</v>
      </c>
      <c r="N225" s="21" t="s">
        <v>88</v>
      </c>
      <c r="O225" s="21" t="s">
        <v>90</v>
      </c>
      <c r="P225" s="21" t="s">
        <v>309</v>
      </c>
    </row>
    <row r="226" ht="28.5" customHeight="1">
      <c r="A226" s="29">
        <v>42410.0</v>
      </c>
      <c r="B226" s="25" t="s">
        <v>1342</v>
      </c>
      <c r="C226" s="21" t="s">
        <v>1343</v>
      </c>
      <c r="D226" s="21" t="s">
        <v>1344</v>
      </c>
      <c r="E226" s="25" t="s">
        <v>1346</v>
      </c>
      <c r="F226" s="21">
        <v>7.0</v>
      </c>
      <c r="G226" s="21" t="s">
        <v>268</v>
      </c>
      <c r="H226" s="21">
        <v>34.0</v>
      </c>
      <c r="I226" s="21" t="s">
        <v>171</v>
      </c>
      <c r="J226" s="21" t="s">
        <v>274</v>
      </c>
      <c r="K226" s="21">
        <v>34.0</v>
      </c>
      <c r="M226" s="21">
        <v>34.0</v>
      </c>
      <c r="N226" s="21" t="s">
        <v>88</v>
      </c>
      <c r="O226" s="21" t="s">
        <v>90</v>
      </c>
      <c r="P226" s="21" t="s">
        <v>309</v>
      </c>
    </row>
    <row r="227" ht="28.5" customHeight="1">
      <c r="A227" s="29">
        <v>42410.0</v>
      </c>
      <c r="B227" s="25" t="s">
        <v>1342</v>
      </c>
      <c r="C227" s="21" t="s">
        <v>1343</v>
      </c>
      <c r="D227" s="21" t="s">
        <v>1344</v>
      </c>
      <c r="E227" s="25" t="s">
        <v>1346</v>
      </c>
      <c r="F227" s="21">
        <v>7.0</v>
      </c>
      <c r="G227" s="21" t="s">
        <v>268</v>
      </c>
      <c r="H227" s="21">
        <v>39.0</v>
      </c>
      <c r="I227" s="21" t="s">
        <v>171</v>
      </c>
      <c r="J227" s="21" t="s">
        <v>274</v>
      </c>
      <c r="K227" s="21">
        <v>39.0</v>
      </c>
      <c r="L227" s="21" t="s">
        <v>88</v>
      </c>
      <c r="M227" s="21">
        <v>39.0</v>
      </c>
      <c r="O227" s="21" t="s">
        <v>90</v>
      </c>
      <c r="P227" s="21" t="s">
        <v>309</v>
      </c>
    </row>
    <row r="228" ht="28.5" customHeight="1">
      <c r="A228" s="29">
        <v>42410.0</v>
      </c>
      <c r="B228" s="25" t="s">
        <v>1342</v>
      </c>
      <c r="C228" s="21" t="s">
        <v>1343</v>
      </c>
      <c r="D228" s="21" t="s">
        <v>1344</v>
      </c>
      <c r="E228" s="25" t="s">
        <v>1346</v>
      </c>
      <c r="F228" s="21">
        <v>9.0</v>
      </c>
      <c r="G228" s="21" t="s">
        <v>268</v>
      </c>
      <c r="H228" s="21">
        <v>13.0</v>
      </c>
      <c r="I228" s="21" t="s">
        <v>90</v>
      </c>
      <c r="J228" s="21" t="s">
        <v>311</v>
      </c>
      <c r="K228" s="21">
        <v>13.0</v>
      </c>
      <c r="M228" s="21">
        <v>13.0</v>
      </c>
      <c r="N228" s="21" t="s">
        <v>88</v>
      </c>
      <c r="O228" s="21" t="s">
        <v>90</v>
      </c>
      <c r="P228" s="21" t="s">
        <v>309</v>
      </c>
    </row>
    <row r="229" ht="28.5" customHeight="1">
      <c r="A229" s="29">
        <v>42410.0</v>
      </c>
      <c r="B229" s="25" t="s">
        <v>1342</v>
      </c>
      <c r="C229" s="21" t="s">
        <v>1343</v>
      </c>
      <c r="D229" s="21" t="s">
        <v>1344</v>
      </c>
      <c r="E229" s="25" t="s">
        <v>1346</v>
      </c>
      <c r="F229" s="21">
        <v>11.0</v>
      </c>
      <c r="G229" s="21" t="s">
        <v>268</v>
      </c>
      <c r="H229" s="21">
        <v>65.0</v>
      </c>
      <c r="I229" s="21" t="s">
        <v>171</v>
      </c>
      <c r="J229" s="21" t="s">
        <v>274</v>
      </c>
      <c r="K229" s="21">
        <v>65.0</v>
      </c>
      <c r="M229" s="21">
        <v>65.0</v>
      </c>
      <c r="N229" s="21" t="s">
        <v>88</v>
      </c>
      <c r="O229" s="21" t="s">
        <v>90</v>
      </c>
      <c r="P229" s="21" t="s">
        <v>309</v>
      </c>
    </row>
    <row r="230" ht="28.5" customHeight="1">
      <c r="A230" s="29">
        <v>42410.0</v>
      </c>
      <c r="B230" s="25" t="s">
        <v>1342</v>
      </c>
      <c r="C230" s="21" t="s">
        <v>1343</v>
      </c>
      <c r="D230" s="21" t="s">
        <v>1344</v>
      </c>
      <c r="E230" s="25" t="s">
        <v>1346</v>
      </c>
      <c r="F230" s="21">
        <v>14.0</v>
      </c>
      <c r="G230" s="21" t="s">
        <v>268</v>
      </c>
      <c r="H230" s="21">
        <v>3.0</v>
      </c>
      <c r="I230" s="21" t="s">
        <v>171</v>
      </c>
      <c r="J230" s="21" t="s">
        <v>274</v>
      </c>
      <c r="K230" s="21">
        <v>3.0</v>
      </c>
      <c r="L230" s="21">
        <v>3.0</v>
      </c>
      <c r="M230" s="21">
        <v>3.0</v>
      </c>
      <c r="N230" s="21" t="s">
        <v>88</v>
      </c>
      <c r="O230" s="21" t="s">
        <v>90</v>
      </c>
      <c r="P230" s="21" t="s">
        <v>309</v>
      </c>
    </row>
    <row r="231" ht="28.5" customHeight="1">
      <c r="A231" s="29">
        <v>42410.0</v>
      </c>
      <c r="B231" s="25" t="s">
        <v>1342</v>
      </c>
      <c r="C231" s="21" t="s">
        <v>1343</v>
      </c>
      <c r="D231" s="21" t="s">
        <v>1344</v>
      </c>
      <c r="E231" s="25" t="s">
        <v>1346</v>
      </c>
      <c r="F231" s="21">
        <v>16.0</v>
      </c>
      <c r="G231" s="21" t="s">
        <v>268</v>
      </c>
      <c r="H231" s="21">
        <v>20.0</v>
      </c>
      <c r="I231" s="21" t="s">
        <v>171</v>
      </c>
      <c r="J231" s="21" t="s">
        <v>274</v>
      </c>
      <c r="K231" s="21">
        <v>20.0</v>
      </c>
      <c r="M231" s="21">
        <v>20.0</v>
      </c>
      <c r="N231" s="21" t="s">
        <v>88</v>
      </c>
      <c r="O231" s="21" t="s">
        <v>90</v>
      </c>
      <c r="P231" s="21" t="s">
        <v>309</v>
      </c>
    </row>
    <row r="232" ht="28.5" customHeight="1">
      <c r="A232" s="29">
        <v>42410.0</v>
      </c>
      <c r="B232" s="25" t="s">
        <v>1342</v>
      </c>
      <c r="C232" s="21" t="s">
        <v>1343</v>
      </c>
      <c r="D232" s="21" t="s">
        <v>1344</v>
      </c>
      <c r="E232" s="25" t="s">
        <v>1346</v>
      </c>
      <c r="F232" s="21">
        <v>18.0</v>
      </c>
      <c r="G232" s="21" t="s">
        <v>268</v>
      </c>
      <c r="H232" s="21" t="s">
        <v>1399</v>
      </c>
      <c r="I232" s="21" t="s">
        <v>171</v>
      </c>
      <c r="J232" s="21" t="s">
        <v>311</v>
      </c>
      <c r="K232" s="21" t="s">
        <v>1399</v>
      </c>
      <c r="L232" s="21" t="s">
        <v>88</v>
      </c>
      <c r="M232" s="21" t="s">
        <v>1399</v>
      </c>
      <c r="O232" s="21" t="s">
        <v>90</v>
      </c>
      <c r="P232" s="21" t="s">
        <v>309</v>
      </c>
    </row>
    <row r="233" ht="28.5" customHeight="1">
      <c r="A233" s="29">
        <v>42411.0</v>
      </c>
      <c r="B233" s="25" t="s">
        <v>494</v>
      </c>
      <c r="C233" s="21" t="s">
        <v>495</v>
      </c>
      <c r="D233" s="21" t="s">
        <v>496</v>
      </c>
      <c r="E233" s="25" t="s">
        <v>1402</v>
      </c>
      <c r="F233" s="21" t="s">
        <v>1403</v>
      </c>
    </row>
    <row r="234" ht="28.5" customHeight="1">
      <c r="A234" s="29">
        <v>42390.0</v>
      </c>
      <c r="B234" s="25" t="s">
        <v>1065</v>
      </c>
      <c r="C234" s="25" t="s">
        <v>1066</v>
      </c>
      <c r="D234" s="25" t="s">
        <v>1068</v>
      </c>
      <c r="E234" s="25" t="s">
        <v>586</v>
      </c>
      <c r="F234" s="21">
        <v>4.0</v>
      </c>
      <c r="G234" s="21" t="s">
        <v>268</v>
      </c>
      <c r="H234" s="21">
        <v>74.0</v>
      </c>
      <c r="I234" s="21" t="s">
        <v>171</v>
      </c>
      <c r="J234" s="21" t="s">
        <v>274</v>
      </c>
      <c r="K234" s="21" t="s">
        <v>1406</v>
      </c>
      <c r="L234" s="21"/>
      <c r="M234" s="21" t="s">
        <v>1406</v>
      </c>
      <c r="N234" s="21" t="s">
        <v>88</v>
      </c>
      <c r="O234" s="21" t="s">
        <v>90</v>
      </c>
    </row>
    <row r="235" ht="28.5" customHeight="1">
      <c r="A235" s="29">
        <v>42410.0</v>
      </c>
      <c r="B235" s="25" t="s">
        <v>1407</v>
      </c>
      <c r="C235" s="21" t="s">
        <v>1408</v>
      </c>
      <c r="D235" s="21" t="s">
        <v>1409</v>
      </c>
      <c r="E235" s="25" t="s">
        <v>184</v>
      </c>
      <c r="F235" s="21">
        <v>1.0</v>
      </c>
      <c r="G235" s="21" t="s">
        <v>115</v>
      </c>
      <c r="H235" s="21" t="s">
        <v>929</v>
      </c>
      <c r="I235" s="21" t="s">
        <v>175</v>
      </c>
      <c r="J235" s="21" t="s">
        <v>311</v>
      </c>
      <c r="K235" s="21" t="s">
        <v>88</v>
      </c>
      <c r="L235" s="21" t="s">
        <v>983</v>
      </c>
      <c r="M235" s="21" t="s">
        <v>175</v>
      </c>
      <c r="N235" s="21" t="s">
        <v>1412</v>
      </c>
      <c r="O235" s="21" t="s">
        <v>90</v>
      </c>
      <c r="P235" s="21" t="s">
        <v>1413</v>
      </c>
    </row>
    <row r="236" ht="28.5" customHeight="1">
      <c r="A236" s="29">
        <v>42411.0</v>
      </c>
      <c r="B236" s="25" t="s">
        <v>189</v>
      </c>
      <c r="C236" s="21" t="s">
        <v>191</v>
      </c>
      <c r="D236" s="21" t="s">
        <v>1152</v>
      </c>
      <c r="E236" s="25" t="s">
        <v>1416</v>
      </c>
      <c r="F236" s="21">
        <v>2.0</v>
      </c>
      <c r="G236" s="21" t="s">
        <v>157</v>
      </c>
      <c r="H236" s="21" t="s">
        <v>929</v>
      </c>
      <c r="I236" s="21" t="s">
        <v>1417</v>
      </c>
      <c r="J236" s="21" t="s">
        <v>1418</v>
      </c>
      <c r="K236" s="21" t="s">
        <v>1419</v>
      </c>
      <c r="N236" s="21" t="s">
        <v>88</v>
      </c>
      <c r="O236" s="21" t="s">
        <v>1420</v>
      </c>
      <c r="P236" s="21" t="s">
        <v>1421</v>
      </c>
    </row>
    <row r="237" ht="28.5" customHeight="1">
      <c r="A237" s="29">
        <v>42411.0</v>
      </c>
      <c r="B237" s="25" t="s">
        <v>189</v>
      </c>
      <c r="C237" s="21" t="s">
        <v>191</v>
      </c>
      <c r="D237" s="21" t="s">
        <v>1152</v>
      </c>
      <c r="E237" s="25" t="s">
        <v>1416</v>
      </c>
      <c r="F237" s="21">
        <v>2.0</v>
      </c>
      <c r="G237" s="21" t="s">
        <v>157</v>
      </c>
      <c r="H237" s="21" t="s">
        <v>929</v>
      </c>
      <c r="I237" s="21" t="s">
        <v>1417</v>
      </c>
      <c r="J237" s="21" t="s">
        <v>1418</v>
      </c>
      <c r="K237" s="21" t="s">
        <v>1419</v>
      </c>
      <c r="N237" s="21" t="s">
        <v>88</v>
      </c>
      <c r="O237" s="21" t="s">
        <v>1420</v>
      </c>
      <c r="P237" s="21" t="s">
        <v>1424</v>
      </c>
    </row>
    <row r="238" ht="28.5" customHeight="1">
      <c r="A238" s="29">
        <v>42411.0</v>
      </c>
      <c r="B238" s="25" t="s">
        <v>189</v>
      </c>
      <c r="C238" s="21" t="s">
        <v>191</v>
      </c>
      <c r="D238" s="21" t="s">
        <v>1152</v>
      </c>
      <c r="E238" s="25" t="s">
        <v>1416</v>
      </c>
      <c r="F238" s="21">
        <v>2.0</v>
      </c>
      <c r="G238" s="21" t="s">
        <v>157</v>
      </c>
      <c r="H238" s="21" t="s">
        <v>1426</v>
      </c>
      <c r="I238" s="21" t="s">
        <v>380</v>
      </c>
      <c r="J238" s="21" t="s">
        <v>1418</v>
      </c>
      <c r="K238" s="21" t="s">
        <v>382</v>
      </c>
      <c r="N238" s="21" t="s">
        <v>88</v>
      </c>
      <c r="O238" s="21" t="s">
        <v>509</v>
      </c>
      <c r="P238" s="21" t="s">
        <v>1430</v>
      </c>
    </row>
    <row r="239" ht="28.5" customHeight="1">
      <c r="A239" s="29">
        <v>42411.0</v>
      </c>
      <c r="B239" s="25" t="s">
        <v>189</v>
      </c>
      <c r="C239" s="21" t="s">
        <v>191</v>
      </c>
      <c r="D239" s="21" t="s">
        <v>1152</v>
      </c>
      <c r="E239" s="25" t="s">
        <v>1416</v>
      </c>
      <c r="F239" s="21">
        <v>3.0</v>
      </c>
      <c r="G239" s="21" t="s">
        <v>449</v>
      </c>
      <c r="I239" s="21"/>
      <c r="J239" s="21"/>
      <c r="L239" s="21" t="s">
        <v>445</v>
      </c>
      <c r="M239" s="21" t="s">
        <v>88</v>
      </c>
      <c r="N239" s="21" t="s">
        <v>302</v>
      </c>
      <c r="O239" s="21" t="s">
        <v>509</v>
      </c>
      <c r="P239" s="21" t="s">
        <v>1434</v>
      </c>
    </row>
    <row r="240" ht="28.5" customHeight="1">
      <c r="A240" s="29">
        <v>42411.0</v>
      </c>
      <c r="B240" s="25" t="s">
        <v>189</v>
      </c>
      <c r="C240" s="21" t="s">
        <v>191</v>
      </c>
      <c r="D240" s="21" t="s">
        <v>1152</v>
      </c>
      <c r="E240" s="25" t="s">
        <v>1416</v>
      </c>
      <c r="F240" s="21">
        <v>4.0</v>
      </c>
      <c r="G240" s="21" t="s">
        <v>115</v>
      </c>
      <c r="H240" s="21" t="s">
        <v>1438</v>
      </c>
      <c r="I240" s="21" t="s">
        <v>369</v>
      </c>
      <c r="J240" s="21" t="s">
        <v>1418</v>
      </c>
      <c r="K240" s="21" t="s">
        <v>88</v>
      </c>
      <c r="L240" s="21" t="s">
        <v>418</v>
      </c>
      <c r="M240" s="21" t="s">
        <v>372</v>
      </c>
      <c r="N240" s="21" t="s">
        <v>706</v>
      </c>
      <c r="O240" s="21" t="s">
        <v>509</v>
      </c>
      <c r="P240" s="21" t="s">
        <v>1439</v>
      </c>
    </row>
    <row r="241" ht="28.5" customHeight="1">
      <c r="A241" s="29">
        <v>42410.0</v>
      </c>
      <c r="B241" s="25" t="s">
        <v>1443</v>
      </c>
      <c r="C241" s="21" t="s">
        <v>1445</v>
      </c>
      <c r="D241" s="21" t="s">
        <v>1446</v>
      </c>
      <c r="E241" s="25" t="s">
        <v>320</v>
      </c>
      <c r="F241" s="21">
        <v>1.0</v>
      </c>
      <c r="G241" s="21" t="s">
        <v>115</v>
      </c>
      <c r="H241" s="21" t="s">
        <v>1447</v>
      </c>
      <c r="I241" s="21" t="s">
        <v>369</v>
      </c>
      <c r="J241" s="21" t="s">
        <v>1418</v>
      </c>
      <c r="K241" s="21" t="s">
        <v>88</v>
      </c>
      <c r="L241" s="21" t="s">
        <v>1448</v>
      </c>
      <c r="M241" s="21" t="s">
        <v>1449</v>
      </c>
      <c r="N241" s="21" t="s">
        <v>445</v>
      </c>
      <c r="O241" s="21" t="s">
        <v>509</v>
      </c>
      <c r="P241" s="21" t="s">
        <v>1450</v>
      </c>
    </row>
    <row r="242" ht="28.5" customHeight="1">
      <c r="A242" s="29">
        <v>42410.0</v>
      </c>
      <c r="B242" s="25" t="s">
        <v>1443</v>
      </c>
      <c r="C242" s="21" t="s">
        <v>1445</v>
      </c>
      <c r="D242" s="21" t="s">
        <v>1446</v>
      </c>
      <c r="E242" s="25" t="s">
        <v>320</v>
      </c>
      <c r="F242" s="21">
        <v>1.0</v>
      </c>
      <c r="G242" s="21" t="s">
        <v>115</v>
      </c>
      <c r="H242" s="21" t="s">
        <v>1452</v>
      </c>
      <c r="I242" s="21" t="s">
        <v>369</v>
      </c>
      <c r="J242" s="21" t="s">
        <v>1418</v>
      </c>
      <c r="K242" s="21" t="s">
        <v>1453</v>
      </c>
      <c r="L242" s="21" t="s">
        <v>645</v>
      </c>
      <c r="M242" s="21" t="s">
        <v>877</v>
      </c>
      <c r="N242" s="21" t="s">
        <v>377</v>
      </c>
      <c r="O242" s="21" t="s">
        <v>509</v>
      </c>
      <c r="P242" s="21" t="s">
        <v>1456</v>
      </c>
    </row>
    <row r="243" ht="28.5" customHeight="1">
      <c r="A243" s="29">
        <v>42410.0</v>
      </c>
      <c r="B243" s="25" t="s">
        <v>1443</v>
      </c>
      <c r="C243" s="21" t="s">
        <v>1445</v>
      </c>
      <c r="D243" s="21" t="s">
        <v>1446</v>
      </c>
      <c r="E243" s="25" t="s">
        <v>320</v>
      </c>
      <c r="F243" s="21">
        <v>1.0</v>
      </c>
      <c r="G243" s="21" t="s">
        <v>115</v>
      </c>
      <c r="I243" s="21" t="s">
        <v>408</v>
      </c>
      <c r="K243" s="21" t="s">
        <v>208</v>
      </c>
      <c r="L243" s="21" t="s">
        <v>523</v>
      </c>
      <c r="M243" s="21" t="s">
        <v>88</v>
      </c>
      <c r="N243" s="21" t="s">
        <v>90</v>
      </c>
      <c r="O243" s="21" t="s">
        <v>509</v>
      </c>
      <c r="P243" s="21" t="s">
        <v>1462</v>
      </c>
    </row>
    <row r="244" ht="28.5" customHeight="1">
      <c r="A244" s="29">
        <v>42410.0</v>
      </c>
      <c r="B244" s="25" t="s">
        <v>1443</v>
      </c>
      <c r="C244" s="21" t="s">
        <v>1445</v>
      </c>
      <c r="D244" s="21" t="s">
        <v>1446</v>
      </c>
      <c r="E244" s="25" t="s">
        <v>320</v>
      </c>
      <c r="F244" s="21">
        <v>1.0</v>
      </c>
      <c r="G244" s="21" t="s">
        <v>115</v>
      </c>
      <c r="I244" s="21" t="s">
        <v>1464</v>
      </c>
      <c r="K244" s="21" t="s">
        <v>88</v>
      </c>
      <c r="L244" s="21" t="s">
        <v>445</v>
      </c>
      <c r="M244" s="21" t="s">
        <v>1480</v>
      </c>
      <c r="N244" s="21" t="s">
        <v>542</v>
      </c>
      <c r="O244" s="21" t="s">
        <v>509</v>
      </c>
      <c r="P244" s="21" t="s">
        <v>1482</v>
      </c>
    </row>
    <row r="245" ht="28.5" customHeight="1">
      <c r="A245" s="29">
        <v>42410.0</v>
      </c>
      <c r="B245" s="25" t="s">
        <v>1443</v>
      </c>
      <c r="C245" s="21" t="s">
        <v>1445</v>
      </c>
      <c r="D245" s="21" t="s">
        <v>1446</v>
      </c>
      <c r="E245" s="25" t="s">
        <v>320</v>
      </c>
      <c r="F245" s="21">
        <v>4.0</v>
      </c>
      <c r="G245" s="21" t="s">
        <v>115</v>
      </c>
      <c r="H245" s="21" t="s">
        <v>1483</v>
      </c>
      <c r="I245" s="21" t="s">
        <v>380</v>
      </c>
      <c r="J245" s="21" t="s">
        <v>1418</v>
      </c>
      <c r="K245" s="21" t="s">
        <v>1484</v>
      </c>
      <c r="L245" s="21" t="s">
        <v>1485</v>
      </c>
      <c r="M245" s="21" t="s">
        <v>167</v>
      </c>
      <c r="N245" s="21" t="s">
        <v>1485</v>
      </c>
      <c r="O245" s="21" t="s">
        <v>509</v>
      </c>
      <c r="P245" s="21" t="s">
        <v>1487</v>
      </c>
    </row>
    <row r="246" ht="28.5" customHeight="1">
      <c r="A246" s="29">
        <v>42410.0</v>
      </c>
      <c r="B246" s="25" t="s">
        <v>1443</v>
      </c>
      <c r="C246" s="21" t="s">
        <v>1445</v>
      </c>
      <c r="D246" s="21" t="s">
        <v>1446</v>
      </c>
      <c r="E246" s="25" t="s">
        <v>320</v>
      </c>
      <c r="F246" s="21">
        <v>4.0</v>
      </c>
      <c r="G246" s="21" t="s">
        <v>115</v>
      </c>
      <c r="I246" s="21" t="s">
        <v>408</v>
      </c>
      <c r="K246" s="21" t="s">
        <v>208</v>
      </c>
      <c r="L246" s="21" t="s">
        <v>292</v>
      </c>
      <c r="M246" s="21" t="s">
        <v>88</v>
      </c>
      <c r="N246" s="21" t="s">
        <v>90</v>
      </c>
      <c r="O246" s="21" t="s">
        <v>509</v>
      </c>
      <c r="P246" s="21" t="s">
        <v>1489</v>
      </c>
    </row>
    <row r="247" ht="28.5" customHeight="1">
      <c r="A247" s="29">
        <v>42410.0</v>
      </c>
      <c r="B247" s="25" t="s">
        <v>1443</v>
      </c>
      <c r="C247" s="21" t="s">
        <v>1445</v>
      </c>
      <c r="D247" s="21" t="s">
        <v>1446</v>
      </c>
      <c r="E247" s="25" t="s">
        <v>320</v>
      </c>
      <c r="F247" s="21">
        <v>4.0</v>
      </c>
      <c r="G247" s="21" t="s">
        <v>115</v>
      </c>
      <c r="H247" s="21" t="s">
        <v>1490</v>
      </c>
      <c r="I247" s="21" t="s">
        <v>380</v>
      </c>
      <c r="J247" s="21" t="s">
        <v>1418</v>
      </c>
      <c r="K247" s="21" t="s">
        <v>1492</v>
      </c>
      <c r="L247" s="21" t="s">
        <v>1485</v>
      </c>
      <c r="M247" s="21" t="s">
        <v>1493</v>
      </c>
      <c r="N247" s="21" t="s">
        <v>1485</v>
      </c>
      <c r="O247" s="21" t="s">
        <v>509</v>
      </c>
      <c r="P247" s="21" t="s">
        <v>1494</v>
      </c>
    </row>
    <row r="248" ht="28.5" customHeight="1">
      <c r="A248" s="29">
        <v>42410.0</v>
      </c>
      <c r="B248" s="25" t="s">
        <v>1443</v>
      </c>
      <c r="C248" s="21" t="s">
        <v>1445</v>
      </c>
      <c r="D248" s="21" t="s">
        <v>1446</v>
      </c>
      <c r="E248" s="25" t="s">
        <v>320</v>
      </c>
      <c r="F248" s="21">
        <v>4.0</v>
      </c>
      <c r="G248" s="21" t="s">
        <v>115</v>
      </c>
      <c r="K248" s="21" t="s">
        <v>1496</v>
      </c>
      <c r="L248" s="21" t="s">
        <v>1497</v>
      </c>
      <c r="M248" s="21" t="s">
        <v>88</v>
      </c>
      <c r="N248" s="21" t="s">
        <v>1485</v>
      </c>
      <c r="O248" s="21" t="s">
        <v>509</v>
      </c>
      <c r="P248" s="21" t="s">
        <v>1498</v>
      </c>
    </row>
    <row r="249" ht="28.5" customHeight="1">
      <c r="A249" s="29">
        <v>42408.0</v>
      </c>
      <c r="B249" s="25" t="s">
        <v>544</v>
      </c>
      <c r="C249" s="21" t="s">
        <v>1500</v>
      </c>
      <c r="D249" s="21" t="s">
        <v>1501</v>
      </c>
      <c r="E249" s="25" t="s">
        <v>547</v>
      </c>
      <c r="F249" s="21">
        <v>9.0</v>
      </c>
      <c r="G249" s="21" t="s">
        <v>268</v>
      </c>
      <c r="H249" s="21">
        <v>27.0</v>
      </c>
      <c r="I249" s="21" t="s">
        <v>171</v>
      </c>
      <c r="J249" s="21" t="s">
        <v>590</v>
      </c>
      <c r="K249" s="21" t="s">
        <v>1502</v>
      </c>
      <c r="L249" s="21" t="s">
        <v>1485</v>
      </c>
      <c r="M249" s="21" t="s">
        <v>1502</v>
      </c>
      <c r="N249" s="21" t="s">
        <v>1485</v>
      </c>
      <c r="O249" s="21" t="s">
        <v>509</v>
      </c>
      <c r="P249" s="21" t="s">
        <v>893</v>
      </c>
    </row>
    <row r="250" ht="28.5" customHeight="1">
      <c r="A250" s="29">
        <v>42408.0</v>
      </c>
      <c r="B250" s="25" t="s">
        <v>544</v>
      </c>
      <c r="C250" s="21" t="s">
        <v>1500</v>
      </c>
      <c r="D250" s="21" t="s">
        <v>1501</v>
      </c>
      <c r="E250" s="25" t="s">
        <v>547</v>
      </c>
      <c r="F250" s="21">
        <v>14.0</v>
      </c>
      <c r="G250" s="21" t="s">
        <v>1504</v>
      </c>
      <c r="I250" s="21" t="s">
        <v>1120</v>
      </c>
      <c r="K250" s="21" t="s">
        <v>1485</v>
      </c>
      <c r="L250" s="21" t="s">
        <v>1485</v>
      </c>
      <c r="M250" s="21" t="s">
        <v>1485</v>
      </c>
      <c r="N250" s="21" t="s">
        <v>1120</v>
      </c>
      <c r="O250" s="21" t="s">
        <v>1420</v>
      </c>
    </row>
    <row r="251" ht="28.5" customHeight="1">
      <c r="A251" s="29">
        <v>42408.0</v>
      </c>
      <c r="B251" s="25" t="s">
        <v>544</v>
      </c>
      <c r="C251" s="21" t="s">
        <v>1500</v>
      </c>
      <c r="D251" s="21" t="s">
        <v>1501</v>
      </c>
      <c r="E251" s="25" t="s">
        <v>547</v>
      </c>
      <c r="F251" s="21">
        <v>15.0</v>
      </c>
      <c r="G251" s="21" t="s">
        <v>268</v>
      </c>
      <c r="H251" s="21">
        <v>63.0</v>
      </c>
      <c r="I251" s="21" t="s">
        <v>171</v>
      </c>
      <c r="J251" s="21" t="s">
        <v>590</v>
      </c>
      <c r="K251" s="21" t="s">
        <v>1505</v>
      </c>
      <c r="L251" s="21" t="s">
        <v>1485</v>
      </c>
      <c r="M251" s="21" t="s">
        <v>1505</v>
      </c>
      <c r="N251" s="21" t="s">
        <v>1485</v>
      </c>
      <c r="O251" s="21" t="s">
        <v>509</v>
      </c>
    </row>
    <row r="252" ht="28.5" customHeight="1">
      <c r="A252" s="29">
        <v>42408.0</v>
      </c>
      <c r="B252" s="25" t="s">
        <v>544</v>
      </c>
      <c r="C252" s="21" t="s">
        <v>1500</v>
      </c>
      <c r="D252" s="21" t="s">
        <v>1501</v>
      </c>
      <c r="E252" s="25" t="s">
        <v>547</v>
      </c>
      <c r="F252" s="21">
        <v>15.0</v>
      </c>
      <c r="G252" s="21" t="s">
        <v>1504</v>
      </c>
      <c r="H252" s="21" t="s">
        <v>1507</v>
      </c>
      <c r="I252" s="21" t="s">
        <v>169</v>
      </c>
      <c r="J252" s="21" t="s">
        <v>478</v>
      </c>
      <c r="K252" s="21" t="s">
        <v>1485</v>
      </c>
      <c r="L252" s="21" t="s">
        <v>1508</v>
      </c>
      <c r="M252" s="21" t="s">
        <v>1485</v>
      </c>
      <c r="N252" s="21" t="s">
        <v>1485</v>
      </c>
      <c r="O252" s="21" t="s">
        <v>509</v>
      </c>
      <c r="P252" s="21" t="s">
        <v>1509</v>
      </c>
    </row>
    <row r="253" ht="28.5" customHeight="1">
      <c r="A253" s="29">
        <v>42408.0</v>
      </c>
      <c r="B253" s="25" t="s">
        <v>544</v>
      </c>
      <c r="C253" s="21" t="s">
        <v>1500</v>
      </c>
      <c r="D253" s="21" t="s">
        <v>1501</v>
      </c>
      <c r="E253" s="25" t="s">
        <v>547</v>
      </c>
      <c r="F253" s="21">
        <v>16.0</v>
      </c>
      <c r="G253" s="21" t="s">
        <v>268</v>
      </c>
      <c r="H253" s="21">
        <v>41.0</v>
      </c>
      <c r="I253" s="21" t="s">
        <v>171</v>
      </c>
      <c r="J253" s="21" t="s">
        <v>590</v>
      </c>
      <c r="K253" s="21" t="s">
        <v>1511</v>
      </c>
      <c r="L253" s="21" t="s">
        <v>1485</v>
      </c>
      <c r="M253" s="21" t="s">
        <v>1511</v>
      </c>
      <c r="N253" s="21" t="s">
        <v>1485</v>
      </c>
      <c r="O253" s="21" t="s">
        <v>509</v>
      </c>
    </row>
    <row r="254" ht="28.5" customHeight="1">
      <c r="A254" s="29">
        <v>42408.0</v>
      </c>
      <c r="B254" s="25" t="s">
        <v>544</v>
      </c>
      <c r="C254" s="21" t="s">
        <v>1500</v>
      </c>
      <c r="D254" s="21" t="s">
        <v>1501</v>
      </c>
      <c r="E254" s="25" t="s">
        <v>547</v>
      </c>
      <c r="F254" s="21" t="s">
        <v>1512</v>
      </c>
      <c r="G254" s="21" t="s">
        <v>268</v>
      </c>
      <c r="H254" s="57" t="s">
        <v>1514</v>
      </c>
      <c r="I254" s="21" t="s">
        <v>171</v>
      </c>
      <c r="J254" s="21" t="s">
        <v>590</v>
      </c>
      <c r="K254" s="21" t="s">
        <v>1529</v>
      </c>
      <c r="L254" s="21" t="s">
        <v>1485</v>
      </c>
      <c r="M254" s="21" t="s">
        <v>1529</v>
      </c>
      <c r="N254" s="21" t="s">
        <v>1485</v>
      </c>
      <c r="O254" s="21" t="s">
        <v>509</v>
      </c>
    </row>
    <row r="255" ht="28.5" customHeight="1">
      <c r="A255" s="29">
        <v>42408.0</v>
      </c>
      <c r="B255" s="25" t="s">
        <v>544</v>
      </c>
      <c r="C255" s="21" t="s">
        <v>1500</v>
      </c>
      <c r="D255" s="21" t="s">
        <v>1501</v>
      </c>
      <c r="E255" s="25" t="s">
        <v>547</v>
      </c>
      <c r="F255" s="21">
        <v>19.0</v>
      </c>
      <c r="G255" s="21" t="s">
        <v>268</v>
      </c>
      <c r="H255" s="21">
        <v>60.0</v>
      </c>
      <c r="I255" s="21" t="s">
        <v>171</v>
      </c>
      <c r="J255" s="21" t="s">
        <v>590</v>
      </c>
      <c r="K255" s="21" t="s">
        <v>1567</v>
      </c>
      <c r="L255" s="21" t="s">
        <v>1485</v>
      </c>
      <c r="M255" s="21" t="s">
        <v>1567</v>
      </c>
      <c r="N255" s="21" t="s">
        <v>1485</v>
      </c>
      <c r="O255" s="21" t="s">
        <v>509</v>
      </c>
    </row>
    <row r="256" ht="28.5" customHeight="1">
      <c r="A256" s="29">
        <v>42408.0</v>
      </c>
      <c r="B256" s="25" t="s">
        <v>544</v>
      </c>
      <c r="C256" s="21" t="s">
        <v>1500</v>
      </c>
      <c r="D256" s="21" t="s">
        <v>1501</v>
      </c>
      <c r="E256" s="25" t="s">
        <v>547</v>
      </c>
      <c r="F256" s="21">
        <v>19.0</v>
      </c>
      <c r="G256" s="21" t="s">
        <v>268</v>
      </c>
      <c r="H256" s="57" t="s">
        <v>1514</v>
      </c>
      <c r="I256" s="21" t="s">
        <v>171</v>
      </c>
      <c r="J256" s="21" t="s">
        <v>590</v>
      </c>
      <c r="K256" s="21" t="s">
        <v>1529</v>
      </c>
      <c r="L256" s="21" t="s">
        <v>1485</v>
      </c>
      <c r="M256" s="21" t="s">
        <v>1529</v>
      </c>
      <c r="N256" s="21" t="s">
        <v>1485</v>
      </c>
      <c r="O256" s="21" t="s">
        <v>509</v>
      </c>
    </row>
    <row r="257" ht="28.5" customHeight="1">
      <c r="A257" s="29">
        <v>42408.0</v>
      </c>
      <c r="B257" s="25" t="s">
        <v>544</v>
      </c>
      <c r="C257" s="21" t="s">
        <v>1500</v>
      </c>
      <c r="D257" s="21" t="s">
        <v>1501</v>
      </c>
      <c r="E257" s="25" t="s">
        <v>547</v>
      </c>
      <c r="F257" s="21">
        <v>19.0</v>
      </c>
      <c r="G257" s="21" t="s">
        <v>268</v>
      </c>
      <c r="H257" s="21" t="s">
        <v>1573</v>
      </c>
      <c r="I257" s="21" t="s">
        <v>90</v>
      </c>
      <c r="J257" s="21" t="s">
        <v>1485</v>
      </c>
      <c r="K257" s="21" t="s">
        <v>1574</v>
      </c>
      <c r="L257" s="21" t="s">
        <v>1485</v>
      </c>
      <c r="M257" s="21" t="s">
        <v>1574</v>
      </c>
      <c r="N257" s="21" t="s">
        <v>1485</v>
      </c>
      <c r="O257" s="21" t="s">
        <v>1420</v>
      </c>
    </row>
    <row r="258" ht="28.5" customHeight="1">
      <c r="A258" s="29">
        <v>42408.0</v>
      </c>
      <c r="B258" s="25" t="s">
        <v>544</v>
      </c>
      <c r="C258" s="21" t="s">
        <v>1500</v>
      </c>
      <c r="D258" s="21" t="s">
        <v>1501</v>
      </c>
      <c r="E258" s="25" t="s">
        <v>547</v>
      </c>
      <c r="F258" s="21">
        <v>19.0</v>
      </c>
      <c r="G258" s="21" t="s">
        <v>268</v>
      </c>
      <c r="I258" s="21" t="s">
        <v>90</v>
      </c>
      <c r="J258" s="21" t="s">
        <v>1485</v>
      </c>
      <c r="K258" s="21" t="s">
        <v>90</v>
      </c>
      <c r="M258" s="21" t="s">
        <v>90</v>
      </c>
      <c r="O258" s="21" t="s">
        <v>1420</v>
      </c>
    </row>
    <row r="259" ht="28.5" customHeight="1">
      <c r="A259" s="29">
        <v>42410.0</v>
      </c>
      <c r="B259" s="25" t="s">
        <v>452</v>
      </c>
      <c r="C259" s="21" t="s">
        <v>1580</v>
      </c>
      <c r="D259" s="21" t="s">
        <v>453</v>
      </c>
      <c r="E259" s="25" t="s">
        <v>436</v>
      </c>
      <c r="F259" s="21">
        <v>1.0</v>
      </c>
      <c r="G259" s="21" t="s">
        <v>1504</v>
      </c>
      <c r="H259" s="21" t="s">
        <v>1583</v>
      </c>
      <c r="L259" s="21" t="s">
        <v>1584</v>
      </c>
      <c r="N259" s="21" t="s">
        <v>88</v>
      </c>
      <c r="O259" s="21" t="s">
        <v>1420</v>
      </c>
      <c r="P259" s="21" t="s">
        <v>1585</v>
      </c>
    </row>
    <row r="260" ht="28.5" customHeight="1">
      <c r="A260" s="29">
        <v>42410.0</v>
      </c>
      <c r="B260" s="25" t="s">
        <v>452</v>
      </c>
      <c r="C260" s="21" t="s">
        <v>1580</v>
      </c>
      <c r="D260" s="21" t="s">
        <v>453</v>
      </c>
      <c r="E260" s="25" t="s">
        <v>436</v>
      </c>
      <c r="F260" s="21">
        <v>1.0</v>
      </c>
      <c r="G260" s="21" t="s">
        <v>1504</v>
      </c>
      <c r="H260" s="21" t="s">
        <v>1583</v>
      </c>
      <c r="L260" s="21" t="s">
        <v>1584</v>
      </c>
      <c r="N260" s="21" t="s">
        <v>88</v>
      </c>
      <c r="O260" s="21" t="s">
        <v>1420</v>
      </c>
    </row>
    <row r="261" ht="28.5" customHeight="1">
      <c r="A261" s="29">
        <v>42410.0</v>
      </c>
      <c r="B261" s="25" t="s">
        <v>452</v>
      </c>
      <c r="C261" s="21" t="s">
        <v>1580</v>
      </c>
      <c r="D261" s="21" t="s">
        <v>453</v>
      </c>
      <c r="E261" s="25" t="s">
        <v>436</v>
      </c>
      <c r="F261" s="21">
        <v>2.0</v>
      </c>
      <c r="G261" s="21" t="s">
        <v>1591</v>
      </c>
      <c r="H261" s="21" t="s">
        <v>1583</v>
      </c>
      <c r="N261" s="21" t="s">
        <v>88</v>
      </c>
      <c r="O261" s="21" t="s">
        <v>1595</v>
      </c>
    </row>
    <row r="262" ht="28.5" customHeight="1">
      <c r="A262" s="32">
        <v>42410.0</v>
      </c>
      <c r="B262" s="25" t="s">
        <v>452</v>
      </c>
      <c r="C262" s="21" t="s">
        <v>1580</v>
      </c>
      <c r="D262" s="21" t="s">
        <v>453</v>
      </c>
      <c r="E262" s="25" t="s">
        <v>436</v>
      </c>
      <c r="F262" s="21">
        <v>2.0</v>
      </c>
      <c r="G262" s="21" t="s">
        <v>1591</v>
      </c>
      <c r="H262" s="21" t="s">
        <v>1583</v>
      </c>
      <c r="I262" s="42"/>
      <c r="J262" s="42"/>
      <c r="K262" s="42"/>
      <c r="L262" s="58"/>
      <c r="M262" s="42"/>
      <c r="N262" s="40" t="s">
        <v>88</v>
      </c>
      <c r="O262" s="40" t="s">
        <v>1420</v>
      </c>
    </row>
    <row r="263" ht="28.5" customHeight="1">
      <c r="A263" s="29">
        <v>42405.0</v>
      </c>
      <c r="B263" s="25" t="s">
        <v>1609</v>
      </c>
      <c r="C263" s="21" t="s">
        <v>1611</v>
      </c>
      <c r="D263" s="21" t="s">
        <v>1612</v>
      </c>
      <c r="E263" s="25" t="s">
        <v>428</v>
      </c>
      <c r="F263" s="21" t="s">
        <v>256</v>
      </c>
    </row>
    <row r="264" ht="28.5" customHeight="1">
      <c r="A264" s="29">
        <v>42411.0</v>
      </c>
      <c r="B264" s="25" t="s">
        <v>665</v>
      </c>
      <c r="C264" s="21" t="s">
        <v>1620</v>
      </c>
      <c r="D264" s="21" t="s">
        <v>668</v>
      </c>
      <c r="E264" s="25" t="s">
        <v>629</v>
      </c>
      <c r="F264" s="21" t="s">
        <v>256</v>
      </c>
    </row>
    <row r="265" ht="28.5" customHeight="1">
      <c r="A265" s="29">
        <v>42411.0</v>
      </c>
      <c r="B265" s="25" t="s">
        <v>665</v>
      </c>
      <c r="C265" s="21" t="s">
        <v>1621</v>
      </c>
      <c r="D265" s="21" t="s">
        <v>679</v>
      </c>
      <c r="E265" s="25" t="s">
        <v>629</v>
      </c>
      <c r="F265" s="21" t="s">
        <v>256</v>
      </c>
    </row>
    <row r="266" ht="28.5" customHeight="1">
      <c r="A266" s="29">
        <v>42411.0</v>
      </c>
      <c r="B266" s="25" t="s">
        <v>665</v>
      </c>
      <c r="C266" s="21" t="s">
        <v>667</v>
      </c>
      <c r="D266" s="21" t="s">
        <v>695</v>
      </c>
      <c r="E266" s="25" t="s">
        <v>629</v>
      </c>
      <c r="F266" s="21" t="s">
        <v>256</v>
      </c>
    </row>
    <row r="267" ht="28.5" customHeight="1">
      <c r="A267" s="29">
        <v>42411.0</v>
      </c>
      <c r="B267" s="25" t="s">
        <v>665</v>
      </c>
      <c r="C267" s="21" t="s">
        <v>667</v>
      </c>
      <c r="D267" s="21" t="s">
        <v>731</v>
      </c>
      <c r="E267" s="25" t="s">
        <v>629</v>
      </c>
      <c r="F267" s="21" t="s">
        <v>256</v>
      </c>
    </row>
    <row r="268" ht="28.5" customHeight="1">
      <c r="A268" s="29">
        <v>42411.0</v>
      </c>
      <c r="B268" s="25" t="s">
        <v>665</v>
      </c>
      <c r="C268" s="21" t="s">
        <v>667</v>
      </c>
      <c r="D268" s="21" t="s">
        <v>1629</v>
      </c>
      <c r="E268" s="25" t="s">
        <v>629</v>
      </c>
      <c r="F268" s="21" t="s">
        <v>256</v>
      </c>
    </row>
    <row r="269" ht="28.5" customHeight="1">
      <c r="A269" s="29">
        <v>42411.0</v>
      </c>
      <c r="B269" s="25" t="s">
        <v>665</v>
      </c>
      <c r="C269" s="21" t="s">
        <v>667</v>
      </c>
      <c r="D269" s="21" t="s">
        <v>709</v>
      </c>
      <c r="E269" s="25" t="s">
        <v>629</v>
      </c>
      <c r="F269" s="21" t="s">
        <v>256</v>
      </c>
    </row>
    <row r="270" ht="28.5" customHeight="1">
      <c r="A270" s="29">
        <v>42411.0</v>
      </c>
      <c r="B270" s="25" t="s">
        <v>665</v>
      </c>
      <c r="C270" s="21" t="s">
        <v>667</v>
      </c>
      <c r="D270" s="21" t="s">
        <v>722</v>
      </c>
      <c r="E270" s="25" t="s">
        <v>629</v>
      </c>
      <c r="F270" s="21" t="s">
        <v>256</v>
      </c>
    </row>
    <row r="271" ht="28.5" customHeight="1">
      <c r="A271" s="29">
        <v>42407.0</v>
      </c>
      <c r="B271" s="25" t="s">
        <v>769</v>
      </c>
      <c r="C271" s="21" t="s">
        <v>771</v>
      </c>
      <c r="D271" s="21" t="s">
        <v>1636</v>
      </c>
      <c r="E271" s="25" t="s">
        <v>291</v>
      </c>
      <c r="F271" s="21">
        <v>1.0</v>
      </c>
      <c r="G271" s="21" t="s">
        <v>282</v>
      </c>
      <c r="H271" s="21" t="s">
        <v>249</v>
      </c>
      <c r="I271" s="21" t="s">
        <v>249</v>
      </c>
      <c r="J271" s="21" t="s">
        <v>249</v>
      </c>
      <c r="K271" s="21" t="s">
        <v>1637</v>
      </c>
      <c r="L271" s="21" t="s">
        <v>249</v>
      </c>
      <c r="M271" s="21" t="s">
        <v>1637</v>
      </c>
      <c r="N271" s="21" t="s">
        <v>249</v>
      </c>
      <c r="O271" s="21" t="s">
        <v>90</v>
      </c>
      <c r="P271" s="21" t="s">
        <v>1638</v>
      </c>
    </row>
    <row r="272" ht="28.5" customHeight="1">
      <c r="A272" s="29">
        <v>42407.0</v>
      </c>
      <c r="B272" s="25" t="s">
        <v>769</v>
      </c>
      <c r="C272" s="21" t="s">
        <v>771</v>
      </c>
      <c r="D272" s="21" t="s">
        <v>1636</v>
      </c>
      <c r="E272" s="25" t="s">
        <v>291</v>
      </c>
      <c r="F272" s="21">
        <v>1.0</v>
      </c>
      <c r="G272" s="21" t="s">
        <v>282</v>
      </c>
      <c r="H272" s="21" t="s">
        <v>249</v>
      </c>
      <c r="I272" s="21" t="s">
        <v>249</v>
      </c>
      <c r="J272" s="21" t="s">
        <v>249</v>
      </c>
      <c r="K272" s="21" t="s">
        <v>748</v>
      </c>
      <c r="L272" s="21" t="s">
        <v>249</v>
      </c>
      <c r="M272" s="21" t="s">
        <v>365</v>
      </c>
      <c r="N272" s="21" t="s">
        <v>249</v>
      </c>
      <c r="O272" s="21" t="s">
        <v>90</v>
      </c>
      <c r="P272" s="21" t="s">
        <v>1642</v>
      </c>
    </row>
    <row r="273" ht="28.5" customHeight="1">
      <c r="A273" s="29">
        <v>42407.0</v>
      </c>
      <c r="B273" s="25" t="s">
        <v>769</v>
      </c>
      <c r="C273" s="21" t="s">
        <v>771</v>
      </c>
      <c r="D273" s="21" t="s">
        <v>1636</v>
      </c>
      <c r="E273" s="25" t="s">
        <v>291</v>
      </c>
      <c r="F273" s="21">
        <v>1.0</v>
      </c>
      <c r="G273" s="21" t="s">
        <v>282</v>
      </c>
      <c r="H273" s="21" t="s">
        <v>249</v>
      </c>
      <c r="I273" s="21" t="s">
        <v>249</v>
      </c>
      <c r="J273" s="21" t="s">
        <v>249</v>
      </c>
      <c r="K273" s="21" t="s">
        <v>443</v>
      </c>
      <c r="L273" s="21" t="s">
        <v>249</v>
      </c>
      <c r="M273" s="21" t="s">
        <v>1644</v>
      </c>
      <c r="N273" s="21" t="s">
        <v>249</v>
      </c>
      <c r="O273" s="21" t="s">
        <v>90</v>
      </c>
      <c r="P273" s="21" t="s">
        <v>1647</v>
      </c>
    </row>
    <row r="274" ht="28.5" customHeight="1">
      <c r="A274" s="29">
        <v>42407.0</v>
      </c>
      <c r="B274" s="25" t="s">
        <v>769</v>
      </c>
      <c r="C274" s="21" t="s">
        <v>771</v>
      </c>
      <c r="D274" s="21" t="s">
        <v>1636</v>
      </c>
      <c r="E274" s="25" t="s">
        <v>291</v>
      </c>
      <c r="F274" s="21">
        <v>2.0</v>
      </c>
      <c r="G274" s="21" t="s">
        <v>282</v>
      </c>
      <c r="H274" s="21" t="s">
        <v>249</v>
      </c>
      <c r="I274" s="21" t="s">
        <v>249</v>
      </c>
      <c r="J274" s="21" t="s">
        <v>249</v>
      </c>
      <c r="K274" s="21" t="s">
        <v>1651</v>
      </c>
      <c r="L274" s="21" t="s">
        <v>249</v>
      </c>
      <c r="M274" s="21" t="s">
        <v>1652</v>
      </c>
      <c r="N274" s="21" t="s">
        <v>249</v>
      </c>
      <c r="O274" s="21" t="s">
        <v>90</v>
      </c>
    </row>
    <row r="275" ht="28.5" customHeight="1">
      <c r="A275" s="29">
        <v>42407.0</v>
      </c>
      <c r="B275" s="25" t="s">
        <v>769</v>
      </c>
      <c r="C275" s="21" t="s">
        <v>771</v>
      </c>
      <c r="D275" s="21" t="s">
        <v>1636</v>
      </c>
      <c r="E275" s="25" t="s">
        <v>291</v>
      </c>
      <c r="F275" s="21">
        <v>3.0</v>
      </c>
      <c r="G275" s="21" t="s">
        <v>282</v>
      </c>
      <c r="H275" s="21" t="s">
        <v>249</v>
      </c>
      <c r="I275" s="21" t="s">
        <v>249</v>
      </c>
      <c r="J275" s="21" t="s">
        <v>249</v>
      </c>
      <c r="K275" s="21" t="s">
        <v>1656</v>
      </c>
      <c r="L275" s="21" t="s">
        <v>249</v>
      </c>
      <c r="M275" s="21" t="s">
        <v>297</v>
      </c>
      <c r="N275" s="21" t="s">
        <v>249</v>
      </c>
      <c r="O275" s="21" t="s">
        <v>90</v>
      </c>
    </row>
    <row r="276" ht="28.5" customHeight="1">
      <c r="A276" s="29">
        <v>42407.0</v>
      </c>
      <c r="B276" s="25" t="s">
        <v>769</v>
      </c>
      <c r="C276" s="21" t="s">
        <v>771</v>
      </c>
      <c r="D276" s="21" t="s">
        <v>1636</v>
      </c>
      <c r="E276" s="25" t="s">
        <v>291</v>
      </c>
      <c r="F276" s="21">
        <v>3.0</v>
      </c>
      <c r="G276" s="21" t="s">
        <v>282</v>
      </c>
      <c r="H276" s="21" t="s">
        <v>249</v>
      </c>
      <c r="I276" s="21" t="s">
        <v>249</v>
      </c>
      <c r="J276" s="21" t="s">
        <v>249</v>
      </c>
      <c r="K276" s="21" t="s">
        <v>1652</v>
      </c>
      <c r="L276" s="21" t="s">
        <v>249</v>
      </c>
      <c r="M276" s="21" t="s">
        <v>508</v>
      </c>
      <c r="N276" s="21" t="s">
        <v>249</v>
      </c>
      <c r="O276" s="21" t="s">
        <v>90</v>
      </c>
    </row>
    <row r="277" ht="28.5" customHeight="1">
      <c r="A277" s="29">
        <v>42407.0</v>
      </c>
      <c r="B277" s="25" t="s">
        <v>769</v>
      </c>
      <c r="C277" s="21" t="s">
        <v>771</v>
      </c>
      <c r="D277" s="21" t="s">
        <v>1636</v>
      </c>
      <c r="E277" s="25" t="s">
        <v>291</v>
      </c>
      <c r="F277" s="21">
        <v>4.0</v>
      </c>
      <c r="G277" s="21" t="s">
        <v>282</v>
      </c>
      <c r="H277" s="21" t="s">
        <v>249</v>
      </c>
      <c r="I277" s="21" t="s">
        <v>249</v>
      </c>
      <c r="J277" s="21" t="s">
        <v>249</v>
      </c>
      <c r="K277" s="21" t="s">
        <v>365</v>
      </c>
      <c r="L277" s="21" t="s">
        <v>249</v>
      </c>
      <c r="M277" s="21" t="s">
        <v>292</v>
      </c>
      <c r="N277" s="21" t="s">
        <v>249</v>
      </c>
      <c r="O277" s="21" t="s">
        <v>90</v>
      </c>
    </row>
    <row r="278" ht="28.5" customHeight="1">
      <c r="A278" s="29">
        <v>42407.0</v>
      </c>
      <c r="B278" s="25" t="s">
        <v>769</v>
      </c>
      <c r="C278" s="21" t="s">
        <v>771</v>
      </c>
      <c r="D278" s="21" t="s">
        <v>1636</v>
      </c>
      <c r="E278" s="25" t="s">
        <v>291</v>
      </c>
      <c r="F278" s="21">
        <v>5.0</v>
      </c>
      <c r="G278" s="21" t="s">
        <v>282</v>
      </c>
      <c r="H278" s="21" t="s">
        <v>249</v>
      </c>
      <c r="I278" s="21" t="s">
        <v>249</v>
      </c>
      <c r="J278" s="21" t="s">
        <v>249</v>
      </c>
      <c r="K278" s="21" t="s">
        <v>1651</v>
      </c>
      <c r="L278" s="21" t="s">
        <v>249</v>
      </c>
      <c r="M278" s="21" t="s">
        <v>443</v>
      </c>
      <c r="N278" s="21" t="s">
        <v>249</v>
      </c>
      <c r="O278" s="21" t="s">
        <v>90</v>
      </c>
    </row>
    <row r="279" ht="28.5" customHeight="1">
      <c r="A279" s="29">
        <v>42407.0</v>
      </c>
      <c r="B279" s="25" t="s">
        <v>769</v>
      </c>
      <c r="C279" s="21" t="s">
        <v>771</v>
      </c>
      <c r="D279" s="21" t="s">
        <v>1636</v>
      </c>
      <c r="E279" s="25" t="s">
        <v>291</v>
      </c>
      <c r="F279" s="21">
        <v>5.0</v>
      </c>
      <c r="G279" s="21" t="s">
        <v>282</v>
      </c>
      <c r="H279" s="21" t="s">
        <v>249</v>
      </c>
      <c r="I279" s="21" t="s">
        <v>249</v>
      </c>
      <c r="J279" s="21" t="s">
        <v>249</v>
      </c>
      <c r="K279" s="21" t="s">
        <v>1664</v>
      </c>
      <c r="L279" s="21" t="s">
        <v>249</v>
      </c>
      <c r="M279" s="21" t="s">
        <v>1665</v>
      </c>
      <c r="N279" s="21" t="s">
        <v>249</v>
      </c>
      <c r="O279" s="21" t="s">
        <v>90</v>
      </c>
    </row>
    <row r="280" ht="28.5" customHeight="1">
      <c r="A280" s="29">
        <v>42407.0</v>
      </c>
      <c r="B280" s="25" t="s">
        <v>769</v>
      </c>
      <c r="C280" s="21" t="s">
        <v>771</v>
      </c>
      <c r="D280" s="21" t="s">
        <v>1636</v>
      </c>
      <c r="E280" s="25" t="s">
        <v>291</v>
      </c>
      <c r="F280" s="21">
        <v>5.0</v>
      </c>
      <c r="G280" s="21" t="s">
        <v>282</v>
      </c>
      <c r="H280" s="21" t="s">
        <v>249</v>
      </c>
      <c r="I280" s="21" t="s">
        <v>249</v>
      </c>
      <c r="J280" s="21" t="s">
        <v>249</v>
      </c>
      <c r="K280" s="21" t="s">
        <v>1318</v>
      </c>
      <c r="L280" s="21" t="s">
        <v>249</v>
      </c>
      <c r="M280" s="21" t="s">
        <v>249</v>
      </c>
      <c r="N280" s="21" t="s">
        <v>249</v>
      </c>
      <c r="O280" s="21" t="s">
        <v>90</v>
      </c>
    </row>
    <row r="281" ht="28.5" customHeight="1">
      <c r="A281" s="29">
        <v>42407.0</v>
      </c>
      <c r="B281" s="25" t="s">
        <v>769</v>
      </c>
      <c r="C281" s="21" t="s">
        <v>771</v>
      </c>
      <c r="D281" s="21" t="s">
        <v>1636</v>
      </c>
      <c r="E281" s="25" t="s">
        <v>291</v>
      </c>
      <c r="F281" s="21">
        <v>5.0</v>
      </c>
      <c r="G281" s="21" t="s">
        <v>282</v>
      </c>
      <c r="H281" s="21" t="s">
        <v>249</v>
      </c>
      <c r="I281" s="21" t="s">
        <v>249</v>
      </c>
      <c r="J281" s="21" t="s">
        <v>249</v>
      </c>
      <c r="K281" s="21" t="s">
        <v>1318</v>
      </c>
      <c r="L281" s="21" t="s">
        <v>249</v>
      </c>
      <c r="M281" s="21" t="s">
        <v>443</v>
      </c>
      <c r="N281" s="21" t="s">
        <v>249</v>
      </c>
      <c r="O281" s="21" t="s">
        <v>90</v>
      </c>
    </row>
    <row r="282" ht="28.5" customHeight="1">
      <c r="A282" s="29">
        <v>42407.0</v>
      </c>
      <c r="B282" s="25" t="s">
        <v>769</v>
      </c>
      <c r="C282" s="21" t="s">
        <v>771</v>
      </c>
      <c r="D282" s="21" t="s">
        <v>1636</v>
      </c>
      <c r="E282" s="25" t="s">
        <v>291</v>
      </c>
      <c r="F282" s="21">
        <v>5.0</v>
      </c>
      <c r="G282" s="21" t="s">
        <v>282</v>
      </c>
      <c r="H282" s="21" t="s">
        <v>249</v>
      </c>
      <c r="I282" s="21" t="s">
        <v>249</v>
      </c>
      <c r="J282" s="21" t="s">
        <v>249</v>
      </c>
      <c r="K282" s="21" t="s">
        <v>1637</v>
      </c>
      <c r="L282" s="21" t="s">
        <v>249</v>
      </c>
      <c r="M282" s="21" t="s">
        <v>445</v>
      </c>
      <c r="N282" s="21" t="s">
        <v>249</v>
      </c>
      <c r="O282" s="21" t="s">
        <v>90</v>
      </c>
    </row>
    <row r="283" ht="28.5" customHeight="1">
      <c r="A283" s="29">
        <v>42407.0</v>
      </c>
      <c r="B283" s="25" t="s">
        <v>769</v>
      </c>
      <c r="C283" s="21" t="s">
        <v>771</v>
      </c>
      <c r="D283" s="21" t="s">
        <v>1636</v>
      </c>
      <c r="E283" s="25" t="s">
        <v>291</v>
      </c>
      <c r="F283" s="21">
        <v>7.0</v>
      </c>
      <c r="G283" s="21" t="s">
        <v>282</v>
      </c>
      <c r="H283" s="21" t="s">
        <v>249</v>
      </c>
      <c r="I283" s="21" t="s">
        <v>249</v>
      </c>
      <c r="J283" s="21" t="s">
        <v>249</v>
      </c>
      <c r="K283" s="21" t="s">
        <v>1652</v>
      </c>
      <c r="L283" s="21" t="s">
        <v>249</v>
      </c>
      <c r="M283" s="21" t="s">
        <v>1664</v>
      </c>
      <c r="N283" s="21" t="s">
        <v>249</v>
      </c>
      <c r="O283" s="21" t="s">
        <v>90</v>
      </c>
    </row>
    <row r="284" ht="28.5" customHeight="1">
      <c r="A284" s="29">
        <v>42407.0</v>
      </c>
      <c r="B284" s="25" t="s">
        <v>769</v>
      </c>
      <c r="C284" s="21" t="s">
        <v>771</v>
      </c>
      <c r="D284" s="21" t="s">
        <v>1636</v>
      </c>
      <c r="E284" s="25" t="s">
        <v>291</v>
      </c>
      <c r="F284" s="21">
        <v>7.0</v>
      </c>
      <c r="G284" s="21" t="s">
        <v>282</v>
      </c>
      <c r="H284" s="21" t="s">
        <v>249</v>
      </c>
      <c r="I284" s="21" t="s">
        <v>249</v>
      </c>
      <c r="J284" s="21" t="s">
        <v>249</v>
      </c>
      <c r="K284" s="21" t="s">
        <v>1686</v>
      </c>
      <c r="L284" s="21" t="s">
        <v>249</v>
      </c>
      <c r="M284" s="21" t="s">
        <v>1686</v>
      </c>
      <c r="N284" s="21" t="s">
        <v>249</v>
      </c>
      <c r="O284" s="21" t="s">
        <v>90</v>
      </c>
    </row>
    <row r="285" ht="28.5" customHeight="1">
      <c r="A285" s="29">
        <v>42407.0</v>
      </c>
      <c r="B285" s="25" t="s">
        <v>769</v>
      </c>
      <c r="C285" s="21" t="s">
        <v>771</v>
      </c>
      <c r="D285" s="21" t="s">
        <v>1636</v>
      </c>
      <c r="E285" s="25" t="s">
        <v>291</v>
      </c>
      <c r="F285" s="21">
        <v>7.0</v>
      </c>
      <c r="G285" s="21" t="s">
        <v>282</v>
      </c>
      <c r="H285" s="21" t="s">
        <v>249</v>
      </c>
      <c r="I285" s="21" t="s">
        <v>249</v>
      </c>
      <c r="J285" s="21" t="s">
        <v>249</v>
      </c>
      <c r="K285" s="21" t="s">
        <v>249</v>
      </c>
      <c r="L285" s="21" t="s">
        <v>405</v>
      </c>
      <c r="M285" s="21" t="s">
        <v>249</v>
      </c>
      <c r="N285" s="21" t="s">
        <v>748</v>
      </c>
      <c r="O285" s="21" t="s">
        <v>90</v>
      </c>
    </row>
    <row r="286" ht="28.5" customHeight="1">
      <c r="A286" s="29">
        <v>42407.0</v>
      </c>
      <c r="B286" s="25" t="s">
        <v>769</v>
      </c>
      <c r="C286" s="21" t="s">
        <v>771</v>
      </c>
      <c r="D286" s="21" t="s">
        <v>1636</v>
      </c>
      <c r="E286" s="25" t="s">
        <v>291</v>
      </c>
      <c r="F286" s="21">
        <v>7.0</v>
      </c>
      <c r="G286" s="21" t="s">
        <v>282</v>
      </c>
      <c r="H286" s="21" t="s">
        <v>249</v>
      </c>
      <c r="I286" s="21" t="s">
        <v>249</v>
      </c>
      <c r="J286" s="21" t="s">
        <v>249</v>
      </c>
      <c r="K286" s="21" t="s">
        <v>249</v>
      </c>
      <c r="L286" s="21" t="s">
        <v>249</v>
      </c>
      <c r="M286" s="21" t="s">
        <v>443</v>
      </c>
      <c r="N286" s="21" t="s">
        <v>249</v>
      </c>
      <c r="O286" s="21" t="s">
        <v>90</v>
      </c>
    </row>
    <row r="287" ht="28.5" customHeight="1">
      <c r="A287" s="29">
        <v>42407.0</v>
      </c>
      <c r="B287" s="25" t="s">
        <v>769</v>
      </c>
      <c r="C287" s="21" t="s">
        <v>771</v>
      </c>
      <c r="D287" s="21" t="s">
        <v>1636</v>
      </c>
      <c r="E287" s="25" t="s">
        <v>291</v>
      </c>
      <c r="F287" s="21">
        <v>10.0</v>
      </c>
      <c r="G287" s="21" t="s">
        <v>282</v>
      </c>
      <c r="H287" s="21" t="s">
        <v>249</v>
      </c>
      <c r="I287" s="21" t="s">
        <v>249</v>
      </c>
      <c r="J287" s="21" t="s">
        <v>249</v>
      </c>
      <c r="K287" s="21" t="s">
        <v>1664</v>
      </c>
      <c r="L287" s="21" t="s">
        <v>249</v>
      </c>
      <c r="M287" s="21" t="s">
        <v>1686</v>
      </c>
      <c r="N287" s="21" t="s">
        <v>249</v>
      </c>
      <c r="O287" s="21" t="s">
        <v>90</v>
      </c>
    </row>
    <row r="288" ht="28.5" customHeight="1">
      <c r="A288" s="29">
        <v>42407.0</v>
      </c>
      <c r="B288" s="21" t="s">
        <v>769</v>
      </c>
      <c r="C288" s="25" t="s">
        <v>771</v>
      </c>
      <c r="D288" s="25" t="s">
        <v>797</v>
      </c>
      <c r="E288" s="21" t="s">
        <v>291</v>
      </c>
      <c r="F288" s="21">
        <v>5.0</v>
      </c>
      <c r="G288" s="21" t="s">
        <v>282</v>
      </c>
      <c r="H288" s="21" t="s">
        <v>249</v>
      </c>
      <c r="I288" s="21" t="s">
        <v>249</v>
      </c>
      <c r="J288" s="21" t="s">
        <v>249</v>
      </c>
      <c r="K288" s="21" t="s">
        <v>88</v>
      </c>
      <c r="L288" s="21" t="s">
        <v>405</v>
      </c>
      <c r="M288" s="21" t="s">
        <v>418</v>
      </c>
      <c r="N288" s="21" t="s">
        <v>249</v>
      </c>
      <c r="O288" s="21" t="s">
        <v>90</v>
      </c>
    </row>
    <row r="289" ht="28.5" customHeight="1">
      <c r="A289" s="29">
        <v>42407.0</v>
      </c>
      <c r="B289" s="21" t="s">
        <v>769</v>
      </c>
      <c r="C289" s="25" t="s">
        <v>771</v>
      </c>
      <c r="D289" s="25" t="s">
        <v>797</v>
      </c>
      <c r="E289" s="21" t="s">
        <v>291</v>
      </c>
      <c r="F289" s="21">
        <v>6.0</v>
      </c>
      <c r="G289" s="21" t="s">
        <v>282</v>
      </c>
      <c r="H289" s="21" t="s">
        <v>249</v>
      </c>
      <c r="I289" s="21" t="s">
        <v>249</v>
      </c>
      <c r="J289" s="21" t="s">
        <v>249</v>
      </c>
      <c r="K289" s="21" t="s">
        <v>249</v>
      </c>
      <c r="L289" s="21" t="s">
        <v>167</v>
      </c>
      <c r="M289" s="21" t="s">
        <v>249</v>
      </c>
      <c r="N289" s="21" t="s">
        <v>298</v>
      </c>
      <c r="O289" s="21" t="s">
        <v>90</v>
      </c>
    </row>
    <row r="290" ht="28.5" customHeight="1">
      <c r="A290" s="29">
        <v>42407.0</v>
      </c>
      <c r="B290" s="21" t="s">
        <v>769</v>
      </c>
      <c r="C290" s="25" t="s">
        <v>771</v>
      </c>
      <c r="D290" s="25" t="s">
        <v>797</v>
      </c>
      <c r="E290" s="21" t="s">
        <v>291</v>
      </c>
      <c r="F290" s="21">
        <v>6.0</v>
      </c>
      <c r="G290" s="21" t="s">
        <v>282</v>
      </c>
      <c r="H290" s="21" t="s">
        <v>249</v>
      </c>
      <c r="I290" s="21" t="s">
        <v>249</v>
      </c>
      <c r="J290" s="21" t="s">
        <v>249</v>
      </c>
      <c r="K290" s="21" t="s">
        <v>1637</v>
      </c>
      <c r="L290" s="21" t="s">
        <v>249</v>
      </c>
      <c r="M290" s="21" t="s">
        <v>1318</v>
      </c>
      <c r="N290" s="21" t="s">
        <v>249</v>
      </c>
      <c r="O290" s="21" t="s">
        <v>90</v>
      </c>
    </row>
    <row r="291" ht="28.5" customHeight="1">
      <c r="A291" s="29">
        <v>42407.0</v>
      </c>
      <c r="B291" s="21" t="s">
        <v>769</v>
      </c>
      <c r="C291" s="25" t="s">
        <v>771</v>
      </c>
      <c r="D291" s="25" t="s">
        <v>797</v>
      </c>
      <c r="E291" s="21" t="s">
        <v>291</v>
      </c>
      <c r="F291" s="21">
        <v>6.0</v>
      </c>
      <c r="G291" s="21" t="s">
        <v>282</v>
      </c>
      <c r="H291" s="21" t="s">
        <v>249</v>
      </c>
      <c r="I291" s="21" t="s">
        <v>249</v>
      </c>
      <c r="J291" s="21" t="s">
        <v>249</v>
      </c>
      <c r="K291" s="21" t="s">
        <v>1644</v>
      </c>
      <c r="L291" s="21" t="s">
        <v>249</v>
      </c>
      <c r="M291" s="21" t="s">
        <v>418</v>
      </c>
      <c r="N291" s="21" t="s">
        <v>249</v>
      </c>
      <c r="O291" s="21" t="s">
        <v>90</v>
      </c>
    </row>
    <row r="292" ht="28.5" customHeight="1">
      <c r="A292" s="29">
        <v>42411.0</v>
      </c>
      <c r="B292" s="21" t="s">
        <v>769</v>
      </c>
      <c r="C292" s="25" t="s">
        <v>771</v>
      </c>
      <c r="D292" s="25" t="s">
        <v>841</v>
      </c>
      <c r="E292" s="21" t="s">
        <v>291</v>
      </c>
      <c r="F292" s="21">
        <v>3.0</v>
      </c>
      <c r="G292" s="21" t="s">
        <v>282</v>
      </c>
      <c r="H292" s="21" t="s">
        <v>249</v>
      </c>
      <c r="I292" s="21" t="s">
        <v>249</v>
      </c>
      <c r="J292" s="21" t="s">
        <v>249</v>
      </c>
      <c r="K292" s="21" t="s">
        <v>167</v>
      </c>
      <c r="L292" s="21" t="s">
        <v>167</v>
      </c>
      <c r="M292" s="21" t="s">
        <v>167</v>
      </c>
      <c r="N292" s="21" t="s">
        <v>307</v>
      </c>
      <c r="O292" s="21" t="s">
        <v>90</v>
      </c>
    </row>
    <row r="293" ht="28.5" customHeight="1">
      <c r="A293" s="29">
        <v>42411.0</v>
      </c>
      <c r="B293" s="21" t="s">
        <v>769</v>
      </c>
      <c r="C293" s="25" t="s">
        <v>771</v>
      </c>
      <c r="D293" s="25" t="s">
        <v>841</v>
      </c>
      <c r="E293" s="21" t="s">
        <v>291</v>
      </c>
      <c r="F293" s="21">
        <v>3.0</v>
      </c>
      <c r="G293" s="21" t="s">
        <v>282</v>
      </c>
      <c r="H293" s="21" t="s">
        <v>249</v>
      </c>
      <c r="I293" s="21" t="s">
        <v>249</v>
      </c>
      <c r="J293" s="21" t="s">
        <v>249</v>
      </c>
      <c r="K293" s="21" t="s">
        <v>365</v>
      </c>
      <c r="L293" s="21" t="s">
        <v>249</v>
      </c>
      <c r="M293" s="21" t="s">
        <v>508</v>
      </c>
      <c r="N293" s="21" t="s">
        <v>249</v>
      </c>
      <c r="O293" s="21" t="s">
        <v>90</v>
      </c>
    </row>
    <row r="294" ht="28.5" customHeight="1">
      <c r="A294" s="29">
        <v>42411.0</v>
      </c>
      <c r="B294" s="25" t="s">
        <v>1748</v>
      </c>
      <c r="C294" s="21" t="s">
        <v>1749</v>
      </c>
      <c r="D294" s="21" t="s">
        <v>1751</v>
      </c>
      <c r="E294" s="25" t="s">
        <v>428</v>
      </c>
      <c r="F294" s="21">
        <v>1.0</v>
      </c>
      <c r="G294" s="21" t="s">
        <v>282</v>
      </c>
      <c r="H294" s="21" t="s">
        <v>249</v>
      </c>
      <c r="I294" s="21" t="s">
        <v>249</v>
      </c>
      <c r="J294" s="21" t="s">
        <v>249</v>
      </c>
      <c r="K294" s="21" t="s">
        <v>249</v>
      </c>
      <c r="L294" s="21" t="s">
        <v>249</v>
      </c>
      <c r="M294" s="21" t="s">
        <v>249</v>
      </c>
      <c r="N294" s="21" t="s">
        <v>249</v>
      </c>
      <c r="O294" s="21" t="s">
        <v>249</v>
      </c>
      <c r="P294" s="21" t="s">
        <v>781</v>
      </c>
    </row>
    <row r="295" ht="28.5" customHeight="1">
      <c r="A295" s="60">
        <v>42775.0</v>
      </c>
      <c r="B295" s="25" t="s">
        <v>1081</v>
      </c>
      <c r="C295" s="21" t="s">
        <v>1766</v>
      </c>
      <c r="D295" s="21" t="s">
        <v>1767</v>
      </c>
      <c r="E295" s="25" t="s">
        <v>1516</v>
      </c>
      <c r="G295" s="21" t="s">
        <v>1768</v>
      </c>
      <c r="L295" s="21" t="s">
        <v>1120</v>
      </c>
      <c r="O295" s="21" t="s">
        <v>90</v>
      </c>
      <c r="P295" s="21" t="s">
        <v>1769</v>
      </c>
    </row>
    <row r="296" ht="28.5" customHeight="1">
      <c r="A296" s="31"/>
      <c r="B296" s="31"/>
      <c r="E296" s="31"/>
    </row>
    <row r="297" ht="28.5" customHeight="1">
      <c r="A297" s="31"/>
      <c r="B297" s="31"/>
      <c r="E297" s="31"/>
    </row>
    <row r="298" ht="28.5" customHeight="1">
      <c r="A298" s="31"/>
      <c r="B298" s="31"/>
      <c r="E298" s="31"/>
    </row>
    <row r="299" ht="28.5" customHeight="1">
      <c r="A299" s="31"/>
      <c r="B299" s="31"/>
      <c r="E299" s="31"/>
    </row>
    <row r="300" ht="28.5" customHeight="1">
      <c r="A300" s="31"/>
      <c r="B300" s="31"/>
      <c r="E300" s="31"/>
    </row>
    <row r="301" ht="28.5" customHeight="1">
      <c r="A301" s="31"/>
      <c r="B301" s="31"/>
      <c r="E301" s="31"/>
    </row>
    <row r="302" ht="28.5" customHeight="1">
      <c r="A302" s="31"/>
      <c r="B302" s="31"/>
      <c r="E302" s="31"/>
    </row>
    <row r="303" ht="28.5" customHeight="1">
      <c r="A303" s="31"/>
      <c r="B303" s="31"/>
      <c r="E303" s="31"/>
    </row>
    <row r="304" ht="28.5" customHeight="1">
      <c r="A304" s="31"/>
      <c r="B304" s="31"/>
      <c r="E304" s="31"/>
    </row>
    <row r="305" ht="28.5" customHeight="1">
      <c r="A305" s="31"/>
      <c r="B305" s="31"/>
      <c r="E305" s="31"/>
    </row>
    <row r="306" ht="28.5" customHeight="1">
      <c r="A306" s="31"/>
      <c r="B306" s="31"/>
      <c r="E306" s="31"/>
    </row>
    <row r="307" ht="28.5" customHeight="1">
      <c r="A307" s="31"/>
      <c r="B307" s="31"/>
      <c r="E307" s="31"/>
    </row>
    <row r="308" ht="28.5" customHeight="1">
      <c r="A308" s="31"/>
      <c r="B308" s="31"/>
      <c r="E308" s="31"/>
    </row>
    <row r="309" ht="28.5" customHeight="1">
      <c r="A309" s="31"/>
      <c r="B309" s="31"/>
      <c r="E309" s="31"/>
    </row>
    <row r="310" ht="28.5" customHeight="1">
      <c r="A310" s="31"/>
      <c r="B310" s="31"/>
      <c r="E310" s="31"/>
    </row>
    <row r="311" ht="28.5" customHeight="1">
      <c r="A311" s="31"/>
      <c r="B311" s="31"/>
      <c r="E311" s="31"/>
    </row>
    <row r="312" ht="28.5" customHeight="1">
      <c r="A312" s="31"/>
      <c r="B312" s="31"/>
      <c r="E312" s="31"/>
    </row>
    <row r="313" ht="28.5" customHeight="1">
      <c r="A313" s="31"/>
      <c r="B313" s="31"/>
      <c r="E313" s="31"/>
    </row>
    <row r="314" ht="28.5" customHeight="1">
      <c r="A314" s="31"/>
      <c r="B314" s="31"/>
      <c r="E314" s="31"/>
    </row>
    <row r="315" ht="28.5" customHeight="1">
      <c r="A315" s="31"/>
      <c r="B315" s="31"/>
      <c r="E315" s="31"/>
    </row>
    <row r="316" ht="28.5" customHeight="1">
      <c r="A316" s="31"/>
      <c r="B316" s="31"/>
      <c r="E316" s="31"/>
    </row>
    <row r="317" ht="28.5" customHeight="1">
      <c r="A317" s="31"/>
      <c r="B317" s="31"/>
      <c r="E317" s="31"/>
    </row>
    <row r="318" ht="28.5" customHeight="1">
      <c r="A318" s="31"/>
      <c r="B318" s="31"/>
      <c r="E318" s="31"/>
    </row>
    <row r="319" ht="28.5" customHeight="1">
      <c r="A319" s="31"/>
      <c r="B319" s="31"/>
      <c r="E319" s="31"/>
    </row>
    <row r="320" ht="28.5" customHeight="1">
      <c r="A320" s="31"/>
      <c r="B320" s="31"/>
      <c r="E320" s="31"/>
    </row>
    <row r="321" ht="28.5" customHeight="1">
      <c r="A321" s="31"/>
      <c r="B321" s="31"/>
      <c r="E321" s="31"/>
    </row>
    <row r="322" ht="28.5" customHeight="1">
      <c r="A322" s="31"/>
      <c r="B322" s="31"/>
      <c r="E322" s="31"/>
    </row>
    <row r="323" ht="28.5" customHeight="1">
      <c r="A323" s="31"/>
      <c r="B323" s="31"/>
      <c r="E323" s="31"/>
    </row>
    <row r="324" ht="28.5" customHeight="1">
      <c r="A324" s="31"/>
      <c r="B324" s="31"/>
      <c r="E324" s="31"/>
    </row>
    <row r="325" ht="28.5" customHeight="1">
      <c r="A325" s="31"/>
      <c r="B325" s="31"/>
      <c r="E325" s="31"/>
    </row>
    <row r="326" ht="28.5" customHeight="1">
      <c r="A326" s="31"/>
      <c r="B326" s="31"/>
      <c r="E326" s="31"/>
    </row>
    <row r="327" ht="28.5" customHeight="1">
      <c r="A327" s="31"/>
      <c r="B327" s="31"/>
      <c r="E327" s="31"/>
    </row>
    <row r="328" ht="28.5" customHeight="1">
      <c r="A328" s="31"/>
      <c r="B328" s="31"/>
      <c r="E328" s="31"/>
    </row>
    <row r="329" ht="28.5" customHeight="1">
      <c r="A329" s="31"/>
      <c r="B329" s="31"/>
      <c r="E329" s="31"/>
    </row>
    <row r="330" ht="28.5" customHeight="1">
      <c r="A330" s="31"/>
      <c r="B330" s="31"/>
      <c r="E330" s="31"/>
    </row>
    <row r="331" ht="28.5" customHeight="1">
      <c r="A331" s="31"/>
      <c r="B331" s="31"/>
      <c r="E331" s="31"/>
    </row>
    <row r="332" ht="28.5" customHeight="1">
      <c r="A332" s="31"/>
      <c r="B332" s="31"/>
      <c r="E332" s="31"/>
    </row>
    <row r="333" ht="28.5" customHeight="1">
      <c r="A333" s="31"/>
      <c r="B333" s="31"/>
      <c r="E333" s="31"/>
    </row>
    <row r="334" ht="28.5" customHeight="1">
      <c r="A334" s="31"/>
      <c r="B334" s="31"/>
      <c r="E334" s="31"/>
    </row>
    <row r="335" ht="28.5" customHeight="1">
      <c r="A335" s="31"/>
      <c r="B335" s="31"/>
      <c r="E335" s="31"/>
    </row>
    <row r="336" ht="28.5" customHeight="1">
      <c r="A336" s="31"/>
      <c r="B336" s="31"/>
      <c r="E336" s="31"/>
    </row>
    <row r="337" ht="28.5" customHeight="1">
      <c r="A337" s="31"/>
      <c r="B337" s="31"/>
      <c r="E337" s="31"/>
    </row>
    <row r="338" ht="28.5" customHeight="1">
      <c r="A338" s="31"/>
      <c r="B338" s="31"/>
      <c r="E338" s="31"/>
    </row>
    <row r="339" ht="28.5" customHeight="1">
      <c r="A339" s="31"/>
      <c r="B339" s="31"/>
      <c r="E339" s="31"/>
    </row>
    <row r="340" ht="28.5" customHeight="1">
      <c r="A340" s="31"/>
      <c r="B340" s="31"/>
      <c r="E340" s="31"/>
    </row>
    <row r="341" ht="28.5" customHeight="1">
      <c r="A341" s="31"/>
      <c r="B341" s="31"/>
      <c r="E341" s="31"/>
    </row>
    <row r="342" ht="28.5" customHeight="1">
      <c r="A342" s="31"/>
      <c r="B342" s="31"/>
      <c r="E342" s="31"/>
    </row>
    <row r="343" ht="28.5" customHeight="1">
      <c r="A343" s="31"/>
      <c r="B343" s="31"/>
      <c r="E343" s="31"/>
    </row>
    <row r="344" ht="28.5" customHeight="1">
      <c r="A344" s="31"/>
      <c r="B344" s="31"/>
      <c r="E344" s="31"/>
    </row>
    <row r="345" ht="28.5" customHeight="1">
      <c r="A345" s="31"/>
      <c r="B345" s="31"/>
      <c r="E345" s="31"/>
    </row>
    <row r="346" ht="28.5" customHeight="1">
      <c r="A346" s="31"/>
      <c r="B346" s="31"/>
      <c r="E346" s="31"/>
    </row>
    <row r="347" ht="28.5" customHeight="1">
      <c r="A347" s="31"/>
      <c r="B347" s="31"/>
      <c r="E347" s="31"/>
    </row>
    <row r="348" ht="28.5" customHeight="1">
      <c r="A348" s="31"/>
      <c r="B348" s="31"/>
      <c r="E348" s="31"/>
    </row>
    <row r="349" ht="28.5" customHeight="1">
      <c r="A349" s="31"/>
      <c r="B349" s="31"/>
      <c r="E349" s="31"/>
    </row>
    <row r="350" ht="28.5" customHeight="1">
      <c r="A350" s="31"/>
      <c r="B350" s="31"/>
      <c r="E350" s="31"/>
    </row>
    <row r="351" ht="28.5" customHeight="1">
      <c r="A351" s="31"/>
      <c r="B351" s="31"/>
      <c r="E351" s="31"/>
    </row>
    <row r="352" ht="28.5" customHeight="1">
      <c r="A352" s="31"/>
      <c r="B352" s="31"/>
      <c r="E352" s="31"/>
    </row>
    <row r="353" ht="28.5" customHeight="1">
      <c r="A353" s="31"/>
      <c r="B353" s="31"/>
      <c r="E353" s="31"/>
    </row>
    <row r="354" ht="28.5" customHeight="1">
      <c r="A354" s="31"/>
      <c r="B354" s="31"/>
      <c r="E354" s="31"/>
    </row>
    <row r="355" ht="28.5" customHeight="1">
      <c r="A355" s="31"/>
      <c r="B355" s="31"/>
      <c r="E355" s="31"/>
    </row>
    <row r="356" ht="28.5" customHeight="1">
      <c r="A356" s="31"/>
      <c r="B356" s="31"/>
      <c r="E356" s="31"/>
    </row>
    <row r="357" ht="28.5" customHeight="1">
      <c r="A357" s="31"/>
      <c r="B357" s="31"/>
      <c r="E357" s="31"/>
    </row>
    <row r="358" ht="28.5" customHeight="1">
      <c r="A358" s="31"/>
      <c r="B358" s="31"/>
      <c r="E358" s="31"/>
    </row>
    <row r="359" ht="28.5" customHeight="1">
      <c r="A359" s="31"/>
      <c r="B359" s="31"/>
      <c r="E359" s="31"/>
    </row>
    <row r="360" ht="28.5" customHeight="1">
      <c r="A360" s="31"/>
      <c r="B360" s="31"/>
      <c r="E360" s="31"/>
    </row>
    <row r="361" ht="28.5" customHeight="1">
      <c r="A361" s="31"/>
      <c r="B361" s="31"/>
      <c r="E361" s="31"/>
    </row>
    <row r="362" ht="28.5" customHeight="1">
      <c r="A362" s="31"/>
      <c r="B362" s="31"/>
      <c r="E362" s="31"/>
    </row>
    <row r="363" ht="28.5" customHeight="1">
      <c r="A363" s="31"/>
      <c r="B363" s="31"/>
      <c r="E363" s="31"/>
    </row>
    <row r="364" ht="28.5" customHeight="1">
      <c r="A364" s="31"/>
      <c r="B364" s="31"/>
      <c r="E364" s="31"/>
    </row>
    <row r="365" ht="28.5" customHeight="1">
      <c r="A365" s="31"/>
      <c r="B365" s="31"/>
      <c r="E365" s="31"/>
    </row>
    <row r="366" ht="28.5" customHeight="1">
      <c r="A366" s="31"/>
      <c r="B366" s="31"/>
      <c r="E366" s="31"/>
    </row>
    <row r="367" ht="28.5" customHeight="1">
      <c r="A367" s="31"/>
      <c r="B367" s="31"/>
      <c r="E367" s="31"/>
    </row>
    <row r="368" ht="28.5" customHeight="1">
      <c r="A368" s="31"/>
      <c r="B368" s="31"/>
      <c r="E368" s="31"/>
    </row>
    <row r="369" ht="28.5" customHeight="1">
      <c r="A369" s="31"/>
      <c r="B369" s="31"/>
      <c r="E369" s="31"/>
    </row>
    <row r="370" ht="28.5" customHeight="1">
      <c r="A370" s="31"/>
      <c r="B370" s="31"/>
      <c r="E370" s="31"/>
    </row>
    <row r="371" ht="28.5" customHeight="1">
      <c r="A371" s="31"/>
      <c r="B371" s="31"/>
      <c r="E371" s="31"/>
    </row>
    <row r="372" ht="28.5" customHeight="1">
      <c r="A372" s="31"/>
      <c r="B372" s="31"/>
      <c r="E372" s="31"/>
    </row>
    <row r="373" ht="28.5" customHeight="1">
      <c r="A373" s="31"/>
      <c r="B373" s="31"/>
      <c r="E373" s="31"/>
    </row>
    <row r="374" ht="28.5" customHeight="1">
      <c r="A374" s="31"/>
      <c r="B374" s="31"/>
      <c r="E374" s="31"/>
    </row>
    <row r="375" ht="28.5" customHeight="1">
      <c r="A375" s="31"/>
      <c r="B375" s="31"/>
      <c r="E375" s="31"/>
    </row>
    <row r="376" ht="28.5" customHeight="1">
      <c r="A376" s="31"/>
      <c r="B376" s="31"/>
      <c r="E376" s="31"/>
    </row>
    <row r="377" ht="28.5" customHeight="1">
      <c r="A377" s="31"/>
      <c r="B377" s="31"/>
      <c r="E377" s="31"/>
    </row>
    <row r="378" ht="28.5" customHeight="1">
      <c r="A378" s="31"/>
      <c r="B378" s="31"/>
      <c r="E378" s="31"/>
    </row>
    <row r="379" ht="28.5" customHeight="1">
      <c r="A379" s="31"/>
      <c r="B379" s="31"/>
      <c r="E379" s="31"/>
    </row>
    <row r="380" ht="28.5" customHeight="1">
      <c r="A380" s="31"/>
      <c r="B380" s="31"/>
      <c r="E380" s="31"/>
    </row>
    <row r="381" ht="28.5" customHeight="1">
      <c r="A381" s="31"/>
      <c r="B381" s="31"/>
      <c r="E381" s="31"/>
    </row>
    <row r="382" ht="28.5" customHeight="1">
      <c r="A382" s="31"/>
      <c r="B382" s="31"/>
      <c r="E382" s="31"/>
    </row>
    <row r="383" ht="28.5" customHeight="1">
      <c r="A383" s="31"/>
      <c r="B383" s="31"/>
      <c r="E383" s="31"/>
    </row>
    <row r="384" ht="28.5" customHeight="1">
      <c r="A384" s="31"/>
      <c r="B384" s="31"/>
      <c r="E384" s="31"/>
    </row>
    <row r="385" ht="28.5" customHeight="1">
      <c r="A385" s="31"/>
      <c r="B385" s="31"/>
      <c r="E385" s="31"/>
    </row>
    <row r="386" ht="28.5" customHeight="1">
      <c r="A386" s="31"/>
      <c r="B386" s="31"/>
      <c r="E386" s="31"/>
    </row>
    <row r="387" ht="28.5" customHeight="1">
      <c r="A387" s="31"/>
      <c r="B387" s="31"/>
      <c r="E387" s="31"/>
    </row>
    <row r="388" ht="28.5" customHeight="1">
      <c r="A388" s="31"/>
      <c r="B388" s="31"/>
      <c r="E388" s="31"/>
    </row>
    <row r="389" ht="28.5" customHeight="1">
      <c r="A389" s="31"/>
      <c r="B389" s="31"/>
      <c r="E389" s="31"/>
    </row>
    <row r="390" ht="28.5" customHeight="1">
      <c r="A390" s="31"/>
      <c r="B390" s="31"/>
      <c r="E390" s="31"/>
    </row>
    <row r="391" ht="28.5" customHeight="1">
      <c r="A391" s="31"/>
      <c r="B391" s="31"/>
      <c r="E391" s="31"/>
    </row>
    <row r="392" ht="28.5" customHeight="1">
      <c r="A392" s="31"/>
      <c r="B392" s="31"/>
      <c r="E392" s="31"/>
    </row>
    <row r="393" ht="28.5" customHeight="1">
      <c r="A393" s="31"/>
      <c r="B393" s="31"/>
      <c r="E393" s="31"/>
    </row>
    <row r="394" ht="28.5" customHeight="1">
      <c r="A394" s="31"/>
      <c r="B394" s="31"/>
      <c r="E394" s="31"/>
    </row>
    <row r="395" ht="28.5" customHeight="1">
      <c r="A395" s="31"/>
      <c r="B395" s="31"/>
      <c r="E395" s="31"/>
    </row>
    <row r="396" ht="28.5" customHeight="1">
      <c r="A396" s="31"/>
      <c r="B396" s="31"/>
      <c r="E396" s="31"/>
    </row>
    <row r="397" ht="28.5" customHeight="1">
      <c r="A397" s="31"/>
      <c r="B397" s="31"/>
      <c r="E397" s="31"/>
    </row>
    <row r="398" ht="28.5" customHeight="1">
      <c r="A398" s="31"/>
      <c r="B398" s="31"/>
      <c r="E398" s="31"/>
    </row>
    <row r="399" ht="28.5" customHeight="1">
      <c r="A399" s="31"/>
      <c r="B399" s="31"/>
      <c r="E399" s="31"/>
    </row>
    <row r="400" ht="28.5" customHeight="1">
      <c r="A400" s="31"/>
      <c r="B400" s="31"/>
      <c r="E400" s="31"/>
    </row>
    <row r="401" ht="28.5" customHeight="1">
      <c r="A401" s="31"/>
      <c r="B401" s="31"/>
      <c r="E401" s="31"/>
    </row>
    <row r="402" ht="28.5" customHeight="1">
      <c r="A402" s="31"/>
      <c r="B402" s="31"/>
      <c r="E402" s="31"/>
    </row>
    <row r="403" ht="28.5" customHeight="1">
      <c r="A403" s="31"/>
      <c r="B403" s="31"/>
      <c r="E403" s="31"/>
    </row>
    <row r="404" ht="28.5" customHeight="1">
      <c r="A404" s="31"/>
      <c r="B404" s="31"/>
      <c r="E404" s="31"/>
    </row>
    <row r="405" ht="28.5" customHeight="1">
      <c r="A405" s="31"/>
      <c r="B405" s="31"/>
      <c r="E405" s="31"/>
    </row>
    <row r="406" ht="28.5" customHeight="1">
      <c r="A406" s="31"/>
      <c r="B406" s="31"/>
      <c r="E406" s="31"/>
    </row>
    <row r="407" ht="28.5" customHeight="1">
      <c r="A407" s="31"/>
      <c r="B407" s="31"/>
      <c r="E407" s="31"/>
    </row>
    <row r="408" ht="28.5" customHeight="1">
      <c r="A408" s="31"/>
      <c r="B408" s="31"/>
      <c r="E408" s="31"/>
    </row>
    <row r="409" ht="28.5" customHeight="1">
      <c r="A409" s="31"/>
      <c r="B409" s="31"/>
      <c r="E409" s="31"/>
    </row>
    <row r="410" ht="28.5" customHeight="1">
      <c r="A410" s="31"/>
      <c r="B410" s="31"/>
      <c r="E410" s="31"/>
    </row>
    <row r="411" ht="28.5" customHeight="1">
      <c r="A411" s="31"/>
      <c r="B411" s="31"/>
      <c r="E411" s="31"/>
    </row>
    <row r="412" ht="28.5" customHeight="1">
      <c r="A412" s="31"/>
      <c r="B412" s="31"/>
      <c r="E412" s="31"/>
    </row>
    <row r="413" ht="28.5" customHeight="1">
      <c r="A413" s="31"/>
      <c r="B413" s="31"/>
      <c r="E413" s="31"/>
    </row>
    <row r="414" ht="28.5" customHeight="1">
      <c r="A414" s="31"/>
      <c r="B414" s="31"/>
      <c r="E414" s="31"/>
    </row>
    <row r="415" ht="28.5" customHeight="1">
      <c r="A415" s="31"/>
      <c r="B415" s="31"/>
      <c r="E415" s="31"/>
    </row>
    <row r="416" ht="28.5" customHeight="1">
      <c r="A416" s="31"/>
      <c r="B416" s="31"/>
      <c r="E416" s="31"/>
    </row>
    <row r="417" ht="28.5" customHeight="1">
      <c r="A417" s="31"/>
      <c r="B417" s="31"/>
      <c r="E417" s="31"/>
    </row>
    <row r="418" ht="28.5" customHeight="1">
      <c r="A418" s="31"/>
      <c r="B418" s="31"/>
      <c r="E418" s="31"/>
    </row>
    <row r="419" ht="28.5" customHeight="1">
      <c r="A419" s="31"/>
      <c r="B419" s="31"/>
      <c r="E419" s="31"/>
    </row>
    <row r="420" ht="28.5" customHeight="1">
      <c r="A420" s="31"/>
      <c r="B420" s="31"/>
      <c r="E420" s="31"/>
    </row>
    <row r="421" ht="28.5" customHeight="1">
      <c r="A421" s="31"/>
      <c r="B421" s="31"/>
      <c r="E421" s="31"/>
    </row>
    <row r="422" ht="28.5" customHeight="1">
      <c r="A422" s="31"/>
      <c r="B422" s="31"/>
      <c r="E422" s="31"/>
    </row>
    <row r="423" ht="28.5" customHeight="1">
      <c r="A423" s="31"/>
      <c r="B423" s="31"/>
      <c r="E423" s="31"/>
    </row>
    <row r="424" ht="28.5" customHeight="1">
      <c r="A424" s="31"/>
      <c r="B424" s="31"/>
      <c r="E424" s="31"/>
    </row>
    <row r="425" ht="28.5" customHeight="1">
      <c r="A425" s="31"/>
      <c r="B425" s="31"/>
      <c r="E425" s="31"/>
    </row>
    <row r="426" ht="28.5" customHeight="1">
      <c r="A426" s="31"/>
      <c r="B426" s="31"/>
      <c r="E426" s="31"/>
    </row>
    <row r="427" ht="28.5" customHeight="1">
      <c r="A427" s="31"/>
      <c r="B427" s="31"/>
      <c r="E427" s="31"/>
    </row>
    <row r="428" ht="28.5" customHeight="1">
      <c r="A428" s="31"/>
      <c r="B428" s="31"/>
      <c r="E428" s="31"/>
    </row>
    <row r="429" ht="28.5" customHeight="1">
      <c r="A429" s="31"/>
      <c r="B429" s="31"/>
      <c r="E429" s="31"/>
    </row>
    <row r="430" ht="28.5" customHeight="1">
      <c r="A430" s="31"/>
      <c r="B430" s="31"/>
      <c r="E430" s="31"/>
    </row>
    <row r="431" ht="28.5" customHeight="1">
      <c r="A431" s="31"/>
      <c r="B431" s="31"/>
      <c r="E431" s="31"/>
    </row>
    <row r="432" ht="28.5" customHeight="1">
      <c r="A432" s="31"/>
      <c r="B432" s="31"/>
      <c r="E432" s="31"/>
    </row>
    <row r="433" ht="28.5" customHeight="1">
      <c r="A433" s="31"/>
      <c r="B433" s="31"/>
      <c r="E433" s="31"/>
    </row>
    <row r="434" ht="28.5" customHeight="1">
      <c r="A434" s="31"/>
      <c r="B434" s="31"/>
      <c r="E434" s="31"/>
    </row>
    <row r="435" ht="28.5" customHeight="1">
      <c r="A435" s="31"/>
      <c r="B435" s="31"/>
      <c r="E435" s="31"/>
    </row>
    <row r="436" ht="28.5" customHeight="1">
      <c r="A436" s="31"/>
      <c r="B436" s="31"/>
      <c r="E436" s="31"/>
    </row>
    <row r="437" ht="28.5" customHeight="1">
      <c r="A437" s="31"/>
      <c r="B437" s="31"/>
      <c r="E437" s="31"/>
    </row>
    <row r="438" ht="28.5" customHeight="1">
      <c r="A438" s="31"/>
      <c r="B438" s="31"/>
      <c r="E438" s="31"/>
    </row>
    <row r="439" ht="28.5" customHeight="1">
      <c r="A439" s="31"/>
      <c r="B439" s="31"/>
      <c r="E439" s="31"/>
    </row>
    <row r="440" ht="28.5" customHeight="1">
      <c r="A440" s="31"/>
      <c r="B440" s="31"/>
      <c r="E440" s="31"/>
    </row>
    <row r="441" ht="28.5" customHeight="1">
      <c r="A441" s="31"/>
      <c r="B441" s="31"/>
      <c r="E441" s="31"/>
    </row>
    <row r="442" ht="28.5" customHeight="1">
      <c r="A442" s="31"/>
      <c r="B442" s="31"/>
      <c r="E442" s="31"/>
    </row>
    <row r="443" ht="28.5" customHeight="1">
      <c r="A443" s="31"/>
      <c r="B443" s="31"/>
      <c r="E443" s="31"/>
    </row>
    <row r="444" ht="28.5" customHeight="1">
      <c r="A444" s="31"/>
      <c r="B444" s="31"/>
      <c r="E444" s="31"/>
    </row>
    <row r="445" ht="28.5" customHeight="1">
      <c r="A445" s="31"/>
      <c r="B445" s="31"/>
      <c r="E445" s="31"/>
    </row>
    <row r="446" ht="28.5" customHeight="1">
      <c r="A446" s="31"/>
      <c r="B446" s="31"/>
      <c r="E446" s="31"/>
    </row>
    <row r="447" ht="28.5" customHeight="1">
      <c r="A447" s="31"/>
      <c r="B447" s="31"/>
      <c r="E447" s="31"/>
    </row>
    <row r="448" ht="28.5" customHeight="1">
      <c r="A448" s="31"/>
      <c r="B448" s="31"/>
      <c r="E448" s="31"/>
    </row>
    <row r="449" ht="28.5" customHeight="1">
      <c r="A449" s="31"/>
      <c r="B449" s="31"/>
      <c r="E449" s="31"/>
    </row>
    <row r="450" ht="28.5" customHeight="1">
      <c r="A450" s="31"/>
      <c r="B450" s="31"/>
      <c r="E450" s="31"/>
    </row>
    <row r="451" ht="28.5" customHeight="1">
      <c r="A451" s="31"/>
      <c r="B451" s="31"/>
      <c r="E451" s="31"/>
    </row>
    <row r="452" ht="28.5" customHeight="1">
      <c r="A452" s="31"/>
      <c r="B452" s="31"/>
      <c r="E452" s="31"/>
    </row>
    <row r="453" ht="28.5" customHeight="1">
      <c r="A453" s="31"/>
      <c r="B453" s="31"/>
      <c r="E453" s="31"/>
    </row>
    <row r="454" ht="28.5" customHeight="1">
      <c r="A454" s="31"/>
      <c r="B454" s="31"/>
      <c r="E454" s="31"/>
    </row>
    <row r="455" ht="28.5" customHeight="1">
      <c r="A455" s="31"/>
      <c r="B455" s="31"/>
      <c r="E455" s="31"/>
    </row>
    <row r="456" ht="28.5" customHeight="1">
      <c r="A456" s="31"/>
      <c r="B456" s="31"/>
      <c r="E456" s="31"/>
    </row>
    <row r="457" ht="28.5" customHeight="1">
      <c r="A457" s="31"/>
      <c r="B457" s="31"/>
      <c r="E457" s="31"/>
    </row>
    <row r="458" ht="28.5" customHeight="1">
      <c r="A458" s="31"/>
      <c r="B458" s="31"/>
      <c r="E458" s="31"/>
    </row>
    <row r="459" ht="28.5" customHeight="1">
      <c r="A459" s="31"/>
      <c r="B459" s="31"/>
      <c r="E459" s="31"/>
    </row>
    <row r="460" ht="28.5" customHeight="1">
      <c r="A460" s="31"/>
      <c r="B460" s="31"/>
      <c r="E460" s="31"/>
    </row>
    <row r="461" ht="28.5" customHeight="1">
      <c r="A461" s="31"/>
      <c r="B461" s="31"/>
      <c r="E461" s="31"/>
    </row>
    <row r="462" ht="28.5" customHeight="1">
      <c r="A462" s="31"/>
      <c r="B462" s="31"/>
      <c r="E462" s="31"/>
    </row>
    <row r="463" ht="28.5" customHeight="1">
      <c r="A463" s="31"/>
      <c r="B463" s="31"/>
      <c r="E463" s="31"/>
    </row>
    <row r="464" ht="28.5" customHeight="1">
      <c r="A464" s="31"/>
      <c r="B464" s="31"/>
      <c r="E464" s="31"/>
    </row>
    <row r="465" ht="28.5" customHeight="1">
      <c r="A465" s="31"/>
      <c r="B465" s="31"/>
      <c r="E465" s="31"/>
    </row>
    <row r="466" ht="28.5" customHeight="1">
      <c r="A466" s="31"/>
      <c r="B466" s="31"/>
      <c r="E466" s="31"/>
    </row>
    <row r="467" ht="28.5" customHeight="1">
      <c r="A467" s="31"/>
      <c r="B467" s="31"/>
      <c r="E467" s="31"/>
    </row>
    <row r="468" ht="28.5" customHeight="1">
      <c r="A468" s="31"/>
      <c r="B468" s="31"/>
      <c r="E468" s="31"/>
    </row>
    <row r="469" ht="28.5" customHeight="1">
      <c r="A469" s="31"/>
      <c r="B469" s="31"/>
      <c r="E469" s="31"/>
    </row>
    <row r="470" ht="28.5" customHeight="1">
      <c r="A470" s="31"/>
      <c r="B470" s="31"/>
      <c r="E470" s="31"/>
    </row>
    <row r="471" ht="28.5" customHeight="1">
      <c r="A471" s="31"/>
      <c r="B471" s="31"/>
      <c r="E471" s="31"/>
    </row>
    <row r="472" ht="28.5" customHeight="1">
      <c r="A472" s="31"/>
      <c r="B472" s="31"/>
      <c r="E472" s="31"/>
    </row>
    <row r="473" ht="28.5" customHeight="1">
      <c r="A473" s="31"/>
      <c r="B473" s="31"/>
      <c r="E473" s="31"/>
    </row>
    <row r="474" ht="28.5" customHeight="1">
      <c r="A474" s="31"/>
      <c r="B474" s="31"/>
      <c r="E474" s="31"/>
    </row>
    <row r="475" ht="28.5" customHeight="1">
      <c r="A475" s="31"/>
      <c r="B475" s="31"/>
      <c r="E475" s="31"/>
    </row>
    <row r="476" ht="28.5" customHeight="1">
      <c r="A476" s="31"/>
      <c r="B476" s="31"/>
      <c r="E476" s="31"/>
    </row>
    <row r="477" ht="28.5" customHeight="1">
      <c r="A477" s="31"/>
      <c r="B477" s="31"/>
      <c r="E477" s="31"/>
    </row>
    <row r="478" ht="28.5" customHeight="1">
      <c r="A478" s="31"/>
      <c r="B478" s="31"/>
      <c r="E478" s="31"/>
    </row>
    <row r="479" ht="28.5" customHeight="1">
      <c r="A479" s="31"/>
      <c r="B479" s="31"/>
      <c r="E479" s="31"/>
    </row>
    <row r="480" ht="28.5" customHeight="1">
      <c r="A480" s="31"/>
      <c r="B480" s="31"/>
      <c r="E480" s="31"/>
    </row>
    <row r="481" ht="28.5" customHeight="1">
      <c r="A481" s="31"/>
      <c r="B481" s="31"/>
      <c r="E481" s="31"/>
    </row>
    <row r="482" ht="28.5" customHeight="1">
      <c r="A482" s="31"/>
      <c r="B482" s="31"/>
      <c r="E482" s="31"/>
    </row>
    <row r="483" ht="28.5" customHeight="1">
      <c r="A483" s="31"/>
      <c r="B483" s="31"/>
      <c r="E483" s="31"/>
    </row>
    <row r="484" ht="28.5" customHeight="1">
      <c r="A484" s="31"/>
      <c r="B484" s="31"/>
      <c r="E484" s="31"/>
    </row>
    <row r="485" ht="28.5" customHeight="1">
      <c r="A485" s="31"/>
      <c r="B485" s="31"/>
      <c r="E485" s="31"/>
    </row>
    <row r="486" ht="28.5" customHeight="1">
      <c r="A486" s="31"/>
      <c r="B486" s="31"/>
      <c r="E486" s="31"/>
    </row>
    <row r="487" ht="28.5" customHeight="1">
      <c r="A487" s="31"/>
      <c r="B487" s="31"/>
      <c r="E487" s="31"/>
    </row>
    <row r="488" ht="28.5" customHeight="1">
      <c r="A488" s="31"/>
      <c r="B488" s="31"/>
      <c r="E488" s="31"/>
    </row>
    <row r="489" ht="28.5" customHeight="1">
      <c r="A489" s="31"/>
      <c r="B489" s="31"/>
      <c r="E489" s="31"/>
    </row>
    <row r="490" ht="28.5" customHeight="1">
      <c r="A490" s="31"/>
      <c r="B490" s="31"/>
      <c r="E490" s="31"/>
    </row>
    <row r="491" ht="28.5" customHeight="1">
      <c r="A491" s="31"/>
      <c r="B491" s="31"/>
      <c r="E491" s="31"/>
    </row>
    <row r="492" ht="28.5" customHeight="1">
      <c r="A492" s="31"/>
      <c r="B492" s="31"/>
      <c r="E492" s="31"/>
    </row>
    <row r="493" ht="28.5" customHeight="1">
      <c r="A493" s="31"/>
      <c r="B493" s="31"/>
      <c r="E493" s="31"/>
    </row>
    <row r="494" ht="28.5" customHeight="1">
      <c r="A494" s="31"/>
      <c r="B494" s="31"/>
      <c r="E494" s="31"/>
    </row>
    <row r="495" ht="28.5" customHeight="1">
      <c r="A495" s="31"/>
      <c r="B495" s="31"/>
      <c r="E495" s="31"/>
    </row>
    <row r="496" ht="28.5" customHeight="1">
      <c r="A496" s="31"/>
      <c r="B496" s="31"/>
      <c r="E496" s="31"/>
    </row>
    <row r="497" ht="28.5" customHeight="1">
      <c r="A497" s="31"/>
      <c r="B497" s="31"/>
      <c r="E497" s="31"/>
    </row>
    <row r="498" ht="28.5" customHeight="1">
      <c r="A498" s="31"/>
      <c r="B498" s="31"/>
      <c r="E498" s="31"/>
    </row>
    <row r="499" ht="28.5" customHeight="1">
      <c r="A499" s="31"/>
      <c r="B499" s="31"/>
      <c r="E499" s="31"/>
    </row>
    <row r="500" ht="28.5" customHeight="1">
      <c r="A500" s="31"/>
      <c r="B500" s="31"/>
      <c r="E500" s="31"/>
    </row>
    <row r="501" ht="28.5" customHeight="1">
      <c r="A501" s="31"/>
      <c r="B501" s="31"/>
      <c r="E501" s="31"/>
    </row>
    <row r="502" ht="28.5" customHeight="1">
      <c r="A502" s="31"/>
      <c r="B502" s="31"/>
      <c r="E502" s="31"/>
    </row>
    <row r="503" ht="28.5" customHeight="1">
      <c r="A503" s="31"/>
      <c r="B503" s="31"/>
      <c r="E503" s="31"/>
    </row>
    <row r="504" ht="28.5" customHeight="1">
      <c r="A504" s="31"/>
      <c r="B504" s="31"/>
      <c r="E504" s="31"/>
    </row>
    <row r="505" ht="28.5" customHeight="1">
      <c r="A505" s="31"/>
      <c r="B505" s="31"/>
      <c r="E505" s="31"/>
    </row>
    <row r="506" ht="28.5" customHeight="1">
      <c r="A506" s="31"/>
      <c r="B506" s="31"/>
      <c r="E506" s="31"/>
    </row>
    <row r="507" ht="28.5" customHeight="1">
      <c r="A507" s="31"/>
      <c r="B507" s="31"/>
      <c r="E507" s="31"/>
    </row>
    <row r="508" ht="28.5" customHeight="1">
      <c r="A508" s="31"/>
      <c r="B508" s="31"/>
      <c r="E508" s="31"/>
    </row>
    <row r="509" ht="28.5" customHeight="1">
      <c r="A509" s="31"/>
      <c r="B509" s="31"/>
      <c r="E509" s="31"/>
    </row>
    <row r="510" ht="28.5" customHeight="1">
      <c r="A510" s="31"/>
      <c r="B510" s="31"/>
      <c r="E510" s="31"/>
    </row>
    <row r="511" ht="28.5" customHeight="1">
      <c r="A511" s="31"/>
      <c r="B511" s="31"/>
      <c r="E511" s="31"/>
    </row>
    <row r="512" ht="28.5" customHeight="1">
      <c r="A512" s="31"/>
      <c r="B512" s="31"/>
      <c r="E512" s="31"/>
    </row>
    <row r="513" ht="28.5" customHeight="1">
      <c r="A513" s="31"/>
      <c r="B513" s="31"/>
      <c r="E513" s="31"/>
    </row>
    <row r="514" ht="28.5" customHeight="1">
      <c r="A514" s="31"/>
      <c r="B514" s="31"/>
      <c r="E514" s="31"/>
    </row>
    <row r="515" ht="28.5" customHeight="1">
      <c r="A515" s="31"/>
      <c r="B515" s="31"/>
      <c r="E515" s="31"/>
    </row>
    <row r="516" ht="28.5" customHeight="1">
      <c r="A516" s="31"/>
      <c r="B516" s="31"/>
      <c r="E516" s="31"/>
    </row>
    <row r="517" ht="28.5" customHeight="1">
      <c r="A517" s="31"/>
      <c r="B517" s="31"/>
      <c r="E517" s="31"/>
    </row>
    <row r="518" ht="28.5" customHeight="1">
      <c r="A518" s="31"/>
      <c r="B518" s="31"/>
      <c r="E518" s="31"/>
    </row>
    <row r="519" ht="28.5" customHeight="1">
      <c r="A519" s="31"/>
      <c r="B519" s="31"/>
      <c r="E519" s="31"/>
    </row>
    <row r="520" ht="28.5" customHeight="1">
      <c r="A520" s="31"/>
      <c r="B520" s="31"/>
      <c r="E520" s="31"/>
    </row>
    <row r="521" ht="28.5" customHeight="1">
      <c r="A521" s="31"/>
      <c r="B521" s="31"/>
      <c r="E521" s="31"/>
    </row>
    <row r="522" ht="28.5" customHeight="1">
      <c r="A522" s="31"/>
      <c r="B522" s="31"/>
      <c r="E522" s="31"/>
    </row>
    <row r="523" ht="28.5" customHeight="1">
      <c r="A523" s="31"/>
      <c r="B523" s="31"/>
      <c r="E523" s="31"/>
    </row>
    <row r="524" ht="28.5" customHeight="1">
      <c r="A524" s="31"/>
      <c r="B524" s="31"/>
      <c r="E524" s="31"/>
    </row>
    <row r="525" ht="28.5" customHeight="1">
      <c r="A525" s="31"/>
      <c r="B525" s="31"/>
      <c r="E525" s="31"/>
    </row>
    <row r="526" ht="28.5" customHeight="1">
      <c r="A526" s="31"/>
      <c r="B526" s="31"/>
      <c r="E526" s="31"/>
    </row>
    <row r="527" ht="28.5" customHeight="1">
      <c r="A527" s="31"/>
      <c r="B527" s="31"/>
      <c r="E527" s="31"/>
    </row>
    <row r="528" ht="28.5" customHeight="1">
      <c r="A528" s="31"/>
      <c r="B528" s="31"/>
      <c r="E528" s="31"/>
    </row>
    <row r="529" ht="28.5" customHeight="1">
      <c r="A529" s="31"/>
      <c r="B529" s="31"/>
      <c r="E529" s="31"/>
    </row>
    <row r="530" ht="28.5" customHeight="1">
      <c r="A530" s="31"/>
      <c r="B530" s="31"/>
      <c r="E530" s="31"/>
    </row>
    <row r="531" ht="28.5" customHeight="1">
      <c r="A531" s="31"/>
      <c r="B531" s="31"/>
      <c r="E531" s="31"/>
    </row>
    <row r="532" ht="28.5" customHeight="1">
      <c r="A532" s="31"/>
      <c r="B532" s="31"/>
      <c r="E532" s="31"/>
    </row>
    <row r="533" ht="28.5" customHeight="1">
      <c r="A533" s="31"/>
      <c r="B533" s="31"/>
      <c r="E533" s="31"/>
    </row>
    <row r="534" ht="28.5" customHeight="1">
      <c r="A534" s="31"/>
      <c r="B534" s="31"/>
      <c r="E534" s="31"/>
    </row>
    <row r="535" ht="28.5" customHeight="1">
      <c r="A535" s="31"/>
      <c r="B535" s="31"/>
      <c r="E535" s="31"/>
    </row>
    <row r="536" ht="28.5" customHeight="1">
      <c r="A536" s="31"/>
      <c r="B536" s="31"/>
      <c r="E536" s="31"/>
    </row>
    <row r="537" ht="28.5" customHeight="1">
      <c r="A537" s="31"/>
      <c r="B537" s="31"/>
      <c r="E537" s="31"/>
    </row>
    <row r="538" ht="28.5" customHeight="1">
      <c r="A538" s="31"/>
      <c r="B538" s="31"/>
      <c r="E538" s="31"/>
    </row>
    <row r="539" ht="28.5" customHeight="1">
      <c r="A539" s="31"/>
      <c r="B539" s="31"/>
      <c r="E539" s="31"/>
    </row>
    <row r="540" ht="28.5" customHeight="1">
      <c r="A540" s="31"/>
      <c r="B540" s="31"/>
      <c r="E540" s="31"/>
    </row>
    <row r="541" ht="28.5" customHeight="1">
      <c r="A541" s="31"/>
      <c r="B541" s="31"/>
      <c r="E541" s="31"/>
    </row>
    <row r="542" ht="28.5" customHeight="1">
      <c r="A542" s="31"/>
      <c r="B542" s="31"/>
      <c r="E542" s="31"/>
    </row>
    <row r="543" ht="28.5" customHeight="1">
      <c r="A543" s="31"/>
      <c r="B543" s="31"/>
      <c r="E543" s="31"/>
    </row>
    <row r="544" ht="28.5" customHeight="1">
      <c r="A544" s="31"/>
      <c r="B544" s="31"/>
      <c r="E544" s="31"/>
    </row>
    <row r="545" ht="28.5" customHeight="1">
      <c r="A545" s="31"/>
      <c r="B545" s="31"/>
      <c r="E545" s="31"/>
    </row>
    <row r="546" ht="28.5" customHeight="1">
      <c r="A546" s="31"/>
      <c r="B546" s="31"/>
      <c r="E546" s="31"/>
    </row>
    <row r="547" ht="28.5" customHeight="1">
      <c r="A547" s="31"/>
      <c r="B547" s="31"/>
      <c r="E547" s="31"/>
    </row>
    <row r="548" ht="28.5" customHeight="1">
      <c r="A548" s="31"/>
      <c r="B548" s="31"/>
      <c r="E548" s="31"/>
    </row>
    <row r="549" ht="28.5" customHeight="1">
      <c r="A549" s="31"/>
      <c r="B549" s="31"/>
      <c r="E549" s="31"/>
    </row>
    <row r="550" ht="28.5" customHeight="1">
      <c r="A550" s="31"/>
      <c r="B550" s="31"/>
      <c r="E550" s="31"/>
    </row>
    <row r="551" ht="28.5" customHeight="1">
      <c r="A551" s="31"/>
      <c r="B551" s="31"/>
      <c r="E551" s="31"/>
    </row>
    <row r="552" ht="28.5" customHeight="1">
      <c r="A552" s="31"/>
      <c r="B552" s="31"/>
      <c r="E552" s="31"/>
    </row>
    <row r="553" ht="28.5" customHeight="1">
      <c r="A553" s="31"/>
      <c r="B553" s="31"/>
      <c r="E553" s="31"/>
    </row>
    <row r="554" ht="28.5" customHeight="1">
      <c r="A554" s="31"/>
      <c r="B554" s="31"/>
      <c r="E554" s="31"/>
    </row>
    <row r="555" ht="28.5" customHeight="1">
      <c r="A555" s="31"/>
      <c r="B555" s="31"/>
      <c r="E555" s="31"/>
    </row>
    <row r="556" ht="28.5" customHeight="1">
      <c r="A556" s="31"/>
      <c r="B556" s="31"/>
      <c r="E556" s="31"/>
    </row>
    <row r="557" ht="28.5" customHeight="1">
      <c r="A557" s="31"/>
      <c r="B557" s="31"/>
      <c r="E557" s="31"/>
    </row>
    <row r="558" ht="28.5" customHeight="1">
      <c r="A558" s="31"/>
      <c r="B558" s="31"/>
      <c r="E558" s="31"/>
    </row>
    <row r="559" ht="28.5" customHeight="1">
      <c r="A559" s="31"/>
      <c r="B559" s="31"/>
      <c r="E559" s="31"/>
    </row>
    <row r="560" ht="28.5" customHeight="1">
      <c r="A560" s="31"/>
      <c r="B560" s="31"/>
      <c r="E560" s="31"/>
    </row>
    <row r="561" ht="28.5" customHeight="1">
      <c r="A561" s="31"/>
      <c r="B561" s="31"/>
      <c r="E561" s="31"/>
    </row>
    <row r="562" ht="28.5" customHeight="1">
      <c r="A562" s="31"/>
      <c r="B562" s="31"/>
      <c r="E562" s="31"/>
    </row>
    <row r="563" ht="28.5" customHeight="1">
      <c r="A563" s="31"/>
      <c r="B563" s="31"/>
      <c r="E563" s="31"/>
    </row>
    <row r="564" ht="28.5" customHeight="1">
      <c r="A564" s="31"/>
      <c r="B564" s="31"/>
      <c r="E564" s="31"/>
    </row>
    <row r="565" ht="28.5" customHeight="1">
      <c r="A565" s="31"/>
      <c r="B565" s="31"/>
      <c r="E565" s="31"/>
    </row>
    <row r="566" ht="28.5" customHeight="1">
      <c r="A566" s="31"/>
      <c r="B566" s="31"/>
      <c r="E566" s="31"/>
    </row>
    <row r="567" ht="28.5" customHeight="1">
      <c r="A567" s="31"/>
      <c r="B567" s="31"/>
      <c r="E567" s="31"/>
    </row>
    <row r="568" ht="28.5" customHeight="1">
      <c r="A568" s="31"/>
      <c r="B568" s="31"/>
      <c r="E568" s="31"/>
    </row>
    <row r="569" ht="28.5" customHeight="1">
      <c r="A569" s="31"/>
      <c r="B569" s="31"/>
      <c r="E569" s="31"/>
    </row>
    <row r="570" ht="28.5" customHeight="1">
      <c r="A570" s="31"/>
      <c r="B570" s="31"/>
      <c r="E570" s="31"/>
    </row>
    <row r="571" ht="28.5" customHeight="1">
      <c r="A571" s="31"/>
      <c r="B571" s="31"/>
      <c r="E571" s="31"/>
    </row>
    <row r="572" ht="28.5" customHeight="1">
      <c r="A572" s="31"/>
      <c r="B572" s="31"/>
      <c r="E572" s="31"/>
    </row>
    <row r="573" ht="28.5" customHeight="1">
      <c r="A573" s="31"/>
      <c r="B573" s="31"/>
      <c r="E573" s="31"/>
    </row>
    <row r="574" ht="28.5" customHeight="1">
      <c r="A574" s="31"/>
      <c r="B574" s="31"/>
      <c r="E574" s="31"/>
    </row>
    <row r="575" ht="28.5" customHeight="1">
      <c r="A575" s="31"/>
      <c r="B575" s="31"/>
      <c r="E575" s="31"/>
    </row>
    <row r="576" ht="28.5" customHeight="1">
      <c r="A576" s="31"/>
      <c r="B576" s="31"/>
      <c r="E576" s="31"/>
    </row>
    <row r="577" ht="28.5" customHeight="1">
      <c r="A577" s="31"/>
      <c r="B577" s="31"/>
      <c r="E577" s="31"/>
    </row>
    <row r="578" ht="28.5" customHeight="1">
      <c r="A578" s="31"/>
      <c r="B578" s="31"/>
      <c r="E578" s="31"/>
    </row>
    <row r="579" ht="28.5" customHeight="1">
      <c r="A579" s="31"/>
      <c r="B579" s="31"/>
      <c r="E579" s="31"/>
    </row>
    <row r="580" ht="28.5" customHeight="1">
      <c r="A580" s="31"/>
      <c r="B580" s="31"/>
      <c r="E580" s="31"/>
    </row>
    <row r="581" ht="28.5" customHeight="1">
      <c r="A581" s="31"/>
      <c r="B581" s="31"/>
      <c r="E581" s="31"/>
    </row>
    <row r="582" ht="28.5" customHeight="1">
      <c r="A582" s="31"/>
      <c r="B582" s="31"/>
      <c r="E582" s="31"/>
    </row>
    <row r="583" ht="28.5" customHeight="1">
      <c r="A583" s="31"/>
      <c r="B583" s="31"/>
      <c r="E583" s="31"/>
    </row>
    <row r="584" ht="28.5" customHeight="1">
      <c r="A584" s="31"/>
      <c r="B584" s="31"/>
      <c r="E584" s="31"/>
    </row>
    <row r="585" ht="28.5" customHeight="1">
      <c r="A585" s="31"/>
      <c r="B585" s="31"/>
      <c r="E585" s="31"/>
    </row>
    <row r="586" ht="28.5" customHeight="1">
      <c r="A586" s="31"/>
      <c r="B586" s="31"/>
      <c r="E586" s="31"/>
    </row>
    <row r="587" ht="28.5" customHeight="1">
      <c r="A587" s="31"/>
      <c r="B587" s="31"/>
      <c r="E587" s="31"/>
    </row>
    <row r="588" ht="28.5" customHeight="1">
      <c r="A588" s="31"/>
      <c r="B588" s="31"/>
      <c r="E588" s="31"/>
    </row>
    <row r="589" ht="28.5" customHeight="1">
      <c r="A589" s="31"/>
      <c r="B589" s="31"/>
      <c r="E589" s="31"/>
    </row>
    <row r="590" ht="28.5" customHeight="1">
      <c r="A590" s="31"/>
      <c r="B590" s="31"/>
      <c r="E590" s="31"/>
    </row>
    <row r="591" ht="28.5" customHeight="1">
      <c r="A591" s="31"/>
      <c r="B591" s="31"/>
      <c r="E591" s="31"/>
    </row>
    <row r="592" ht="28.5" customHeight="1">
      <c r="A592" s="31"/>
      <c r="B592" s="31"/>
      <c r="E592" s="31"/>
    </row>
    <row r="593" ht="28.5" customHeight="1">
      <c r="A593" s="31"/>
      <c r="B593" s="31"/>
      <c r="E593" s="31"/>
    </row>
    <row r="594" ht="28.5" customHeight="1">
      <c r="A594" s="31"/>
      <c r="B594" s="31"/>
      <c r="E594" s="31"/>
    </row>
    <row r="595" ht="28.5" customHeight="1">
      <c r="A595" s="31"/>
      <c r="B595" s="31"/>
      <c r="E595" s="31"/>
    </row>
    <row r="596" ht="28.5" customHeight="1">
      <c r="A596" s="31"/>
      <c r="B596" s="31"/>
      <c r="E596" s="31"/>
    </row>
    <row r="597" ht="28.5" customHeight="1">
      <c r="A597" s="31"/>
      <c r="B597" s="31"/>
      <c r="E597" s="31"/>
    </row>
    <row r="598" ht="28.5" customHeight="1">
      <c r="A598" s="31"/>
      <c r="B598" s="31"/>
      <c r="E598" s="31"/>
    </row>
    <row r="599" ht="28.5" customHeight="1">
      <c r="A599" s="31"/>
      <c r="B599" s="31"/>
      <c r="E599" s="31"/>
    </row>
    <row r="600" ht="28.5" customHeight="1">
      <c r="A600" s="31"/>
      <c r="B600" s="31"/>
      <c r="E600" s="31"/>
    </row>
    <row r="601" ht="28.5" customHeight="1">
      <c r="A601" s="31"/>
      <c r="B601" s="31"/>
      <c r="E601" s="31"/>
    </row>
    <row r="602" ht="28.5" customHeight="1">
      <c r="A602" s="31"/>
      <c r="B602" s="31"/>
      <c r="E602" s="31"/>
    </row>
    <row r="603" ht="28.5" customHeight="1">
      <c r="A603" s="31"/>
      <c r="B603" s="31"/>
      <c r="E603" s="31"/>
    </row>
    <row r="604" ht="28.5" customHeight="1">
      <c r="A604" s="31"/>
      <c r="B604" s="31"/>
      <c r="E604" s="31"/>
    </row>
    <row r="605" ht="28.5" customHeight="1">
      <c r="A605" s="31"/>
      <c r="B605" s="31"/>
      <c r="E605" s="31"/>
    </row>
    <row r="606" ht="28.5" customHeight="1">
      <c r="A606" s="31"/>
      <c r="B606" s="31"/>
      <c r="E606" s="31"/>
    </row>
    <row r="607" ht="28.5" customHeight="1">
      <c r="A607" s="31"/>
      <c r="B607" s="31"/>
      <c r="E607" s="31"/>
    </row>
    <row r="608" ht="28.5" customHeight="1">
      <c r="A608" s="31"/>
      <c r="B608" s="31"/>
      <c r="E608" s="31"/>
    </row>
    <row r="609" ht="28.5" customHeight="1">
      <c r="A609" s="31"/>
      <c r="B609" s="31"/>
      <c r="E609" s="31"/>
    </row>
    <row r="610" ht="28.5" customHeight="1">
      <c r="A610" s="31"/>
      <c r="B610" s="31"/>
      <c r="E610" s="31"/>
    </row>
    <row r="611" ht="28.5" customHeight="1">
      <c r="A611" s="31"/>
      <c r="B611" s="31"/>
      <c r="E611" s="31"/>
    </row>
    <row r="612" ht="28.5" customHeight="1">
      <c r="A612" s="31"/>
      <c r="B612" s="31"/>
      <c r="E612" s="31"/>
    </row>
    <row r="613" ht="28.5" customHeight="1">
      <c r="A613" s="31"/>
      <c r="B613" s="31"/>
      <c r="E613" s="31"/>
    </row>
    <row r="614" ht="28.5" customHeight="1">
      <c r="A614" s="31"/>
      <c r="B614" s="31"/>
      <c r="E614" s="31"/>
    </row>
    <row r="615" ht="28.5" customHeight="1">
      <c r="A615" s="31"/>
      <c r="B615" s="31"/>
      <c r="E615" s="31"/>
    </row>
    <row r="616" ht="28.5" customHeight="1">
      <c r="A616" s="31"/>
      <c r="B616" s="31"/>
      <c r="E616" s="31"/>
    </row>
    <row r="617" ht="28.5" customHeight="1">
      <c r="A617" s="31"/>
      <c r="B617" s="31"/>
      <c r="E617" s="31"/>
    </row>
    <row r="618" ht="28.5" customHeight="1">
      <c r="A618" s="31"/>
      <c r="B618" s="31"/>
      <c r="E618" s="31"/>
    </row>
    <row r="619" ht="28.5" customHeight="1">
      <c r="A619" s="31"/>
      <c r="B619" s="31"/>
      <c r="E619" s="31"/>
    </row>
    <row r="620" ht="28.5" customHeight="1">
      <c r="A620" s="31"/>
      <c r="B620" s="31"/>
      <c r="E620" s="31"/>
    </row>
    <row r="621" ht="28.5" customHeight="1">
      <c r="A621" s="31"/>
      <c r="B621" s="31"/>
      <c r="E621" s="31"/>
    </row>
    <row r="622" ht="28.5" customHeight="1">
      <c r="A622" s="31"/>
      <c r="B622" s="31"/>
      <c r="E622" s="31"/>
    </row>
    <row r="623" ht="28.5" customHeight="1">
      <c r="A623" s="31"/>
      <c r="B623" s="31"/>
      <c r="E623" s="31"/>
    </row>
    <row r="624" ht="28.5" customHeight="1">
      <c r="A624" s="31"/>
      <c r="B624" s="31"/>
      <c r="E624" s="31"/>
    </row>
    <row r="625" ht="28.5" customHeight="1">
      <c r="A625" s="31"/>
      <c r="B625" s="31"/>
      <c r="E625" s="31"/>
    </row>
    <row r="626" ht="28.5" customHeight="1">
      <c r="A626" s="31"/>
      <c r="B626" s="31"/>
      <c r="E626" s="31"/>
    </row>
    <row r="627" ht="28.5" customHeight="1">
      <c r="A627" s="31"/>
      <c r="B627" s="31"/>
      <c r="E627" s="31"/>
    </row>
    <row r="628" ht="28.5" customHeight="1">
      <c r="A628" s="31"/>
      <c r="B628" s="31"/>
      <c r="E628" s="31"/>
    </row>
    <row r="629" ht="28.5" customHeight="1">
      <c r="A629" s="31"/>
      <c r="B629" s="31"/>
      <c r="E629" s="31"/>
    </row>
    <row r="630" ht="28.5" customHeight="1">
      <c r="A630" s="31"/>
      <c r="B630" s="31"/>
      <c r="E630" s="31"/>
    </row>
    <row r="631" ht="28.5" customHeight="1">
      <c r="A631" s="31"/>
      <c r="B631" s="31"/>
      <c r="E631" s="31"/>
    </row>
    <row r="632" ht="28.5" customHeight="1">
      <c r="A632" s="31"/>
      <c r="B632" s="31"/>
      <c r="E632" s="31"/>
    </row>
    <row r="633" ht="28.5" customHeight="1">
      <c r="A633" s="31"/>
      <c r="B633" s="31"/>
      <c r="E633" s="31"/>
    </row>
    <row r="634" ht="28.5" customHeight="1">
      <c r="A634" s="31"/>
      <c r="B634" s="31"/>
      <c r="E634" s="31"/>
    </row>
    <row r="635" ht="28.5" customHeight="1">
      <c r="A635" s="31"/>
      <c r="B635" s="31"/>
      <c r="E635" s="31"/>
    </row>
    <row r="636" ht="28.5" customHeight="1">
      <c r="A636" s="31"/>
      <c r="B636" s="31"/>
      <c r="E636" s="31"/>
    </row>
    <row r="637" ht="28.5" customHeight="1">
      <c r="A637" s="31"/>
      <c r="B637" s="31"/>
      <c r="E637" s="31"/>
    </row>
    <row r="638" ht="28.5" customHeight="1">
      <c r="A638" s="31"/>
      <c r="B638" s="31"/>
      <c r="E638" s="31"/>
    </row>
    <row r="639" ht="28.5" customHeight="1">
      <c r="A639" s="31"/>
      <c r="B639" s="31"/>
      <c r="E639" s="31"/>
    </row>
    <row r="640" ht="28.5" customHeight="1">
      <c r="A640" s="31"/>
      <c r="B640" s="31"/>
      <c r="E640" s="31"/>
    </row>
    <row r="641" ht="28.5" customHeight="1">
      <c r="A641" s="31"/>
      <c r="B641" s="31"/>
      <c r="E641" s="31"/>
    </row>
    <row r="642" ht="28.5" customHeight="1">
      <c r="A642" s="31"/>
      <c r="B642" s="31"/>
      <c r="E642" s="31"/>
    </row>
    <row r="643" ht="28.5" customHeight="1">
      <c r="A643" s="31"/>
      <c r="B643" s="31"/>
      <c r="E643" s="31"/>
    </row>
    <row r="644" ht="28.5" customHeight="1">
      <c r="A644" s="31"/>
      <c r="B644" s="31"/>
      <c r="E644" s="31"/>
    </row>
    <row r="645" ht="28.5" customHeight="1">
      <c r="A645" s="31"/>
      <c r="B645" s="31"/>
      <c r="E645" s="31"/>
    </row>
    <row r="646" ht="28.5" customHeight="1">
      <c r="A646" s="31"/>
      <c r="B646" s="31"/>
      <c r="E646" s="31"/>
    </row>
    <row r="647" ht="28.5" customHeight="1">
      <c r="A647" s="31"/>
      <c r="B647" s="31"/>
      <c r="E647" s="31"/>
    </row>
    <row r="648" ht="28.5" customHeight="1">
      <c r="A648" s="31"/>
      <c r="B648" s="31"/>
      <c r="E648" s="31"/>
    </row>
    <row r="649" ht="28.5" customHeight="1">
      <c r="A649" s="31"/>
      <c r="B649" s="31"/>
      <c r="E649" s="31"/>
    </row>
    <row r="650" ht="28.5" customHeight="1">
      <c r="A650" s="31"/>
      <c r="B650" s="31"/>
      <c r="E650" s="31"/>
    </row>
    <row r="651" ht="28.5" customHeight="1">
      <c r="A651" s="31"/>
      <c r="B651" s="31"/>
      <c r="E651" s="31"/>
    </row>
    <row r="652" ht="28.5" customHeight="1">
      <c r="A652" s="31"/>
      <c r="B652" s="31"/>
      <c r="E652" s="31"/>
    </row>
    <row r="653" ht="28.5" customHeight="1">
      <c r="A653" s="31"/>
      <c r="B653" s="31"/>
      <c r="E653" s="31"/>
    </row>
    <row r="654" ht="28.5" customHeight="1">
      <c r="A654" s="31"/>
      <c r="B654" s="31"/>
      <c r="E654" s="31"/>
    </row>
    <row r="655" ht="28.5" customHeight="1">
      <c r="A655" s="31"/>
      <c r="B655" s="31"/>
      <c r="E655" s="31"/>
    </row>
    <row r="656" ht="28.5" customHeight="1">
      <c r="A656" s="31"/>
      <c r="B656" s="31"/>
      <c r="E656" s="31"/>
    </row>
    <row r="657" ht="28.5" customHeight="1">
      <c r="A657" s="31"/>
      <c r="B657" s="31"/>
      <c r="E657" s="31"/>
    </row>
    <row r="658" ht="28.5" customHeight="1">
      <c r="A658" s="31"/>
      <c r="B658" s="31"/>
      <c r="E658" s="31"/>
    </row>
    <row r="659" ht="28.5" customHeight="1">
      <c r="A659" s="31"/>
      <c r="B659" s="31"/>
      <c r="E659" s="31"/>
    </row>
    <row r="660" ht="28.5" customHeight="1">
      <c r="A660" s="31"/>
      <c r="B660" s="31"/>
      <c r="E660" s="31"/>
    </row>
    <row r="661" ht="28.5" customHeight="1">
      <c r="A661" s="31"/>
      <c r="B661" s="31"/>
      <c r="E661" s="31"/>
    </row>
    <row r="662" ht="28.5" customHeight="1">
      <c r="A662" s="31"/>
      <c r="B662" s="31"/>
      <c r="E662" s="31"/>
    </row>
    <row r="663" ht="28.5" customHeight="1">
      <c r="A663" s="31"/>
      <c r="B663" s="31"/>
      <c r="E663" s="31"/>
    </row>
    <row r="664" ht="28.5" customHeight="1">
      <c r="A664" s="31"/>
      <c r="B664" s="31"/>
      <c r="E664" s="31"/>
    </row>
    <row r="665" ht="28.5" customHeight="1">
      <c r="A665" s="31"/>
      <c r="B665" s="31"/>
      <c r="E665" s="31"/>
    </row>
    <row r="666" ht="28.5" customHeight="1">
      <c r="A666" s="31"/>
      <c r="B666" s="31"/>
      <c r="E666" s="31"/>
    </row>
    <row r="667" ht="28.5" customHeight="1">
      <c r="A667" s="31"/>
      <c r="B667" s="31"/>
      <c r="E667" s="31"/>
    </row>
    <row r="668" ht="28.5" customHeight="1">
      <c r="A668" s="31"/>
      <c r="B668" s="31"/>
      <c r="E668" s="31"/>
    </row>
    <row r="669" ht="28.5" customHeight="1">
      <c r="A669" s="31"/>
      <c r="B669" s="31"/>
      <c r="E669" s="31"/>
    </row>
    <row r="670" ht="28.5" customHeight="1">
      <c r="A670" s="31"/>
      <c r="B670" s="31"/>
      <c r="E670" s="31"/>
    </row>
    <row r="671" ht="28.5" customHeight="1">
      <c r="A671" s="31"/>
      <c r="B671" s="31"/>
      <c r="E671" s="31"/>
    </row>
    <row r="672" ht="28.5" customHeight="1">
      <c r="A672" s="31"/>
      <c r="B672" s="31"/>
      <c r="E672" s="31"/>
    </row>
    <row r="673" ht="28.5" customHeight="1">
      <c r="A673" s="31"/>
      <c r="B673" s="31"/>
      <c r="E673" s="31"/>
    </row>
    <row r="674" ht="28.5" customHeight="1">
      <c r="A674" s="31"/>
      <c r="B674" s="31"/>
      <c r="E674" s="31"/>
    </row>
    <row r="675" ht="28.5" customHeight="1">
      <c r="A675" s="31"/>
      <c r="B675" s="31"/>
      <c r="E675" s="31"/>
    </row>
    <row r="676" ht="28.5" customHeight="1">
      <c r="A676" s="31"/>
      <c r="B676" s="31"/>
      <c r="E676" s="31"/>
    </row>
    <row r="677" ht="28.5" customHeight="1">
      <c r="A677" s="31"/>
      <c r="B677" s="31"/>
      <c r="E677" s="31"/>
    </row>
    <row r="678" ht="28.5" customHeight="1">
      <c r="A678" s="31"/>
      <c r="B678" s="31"/>
      <c r="E678" s="31"/>
    </row>
    <row r="679" ht="28.5" customHeight="1">
      <c r="A679" s="31"/>
      <c r="B679" s="31"/>
      <c r="E679" s="31"/>
    </row>
    <row r="680" ht="28.5" customHeight="1">
      <c r="A680" s="31"/>
      <c r="B680" s="31"/>
      <c r="E680" s="31"/>
    </row>
    <row r="681" ht="28.5" customHeight="1">
      <c r="A681" s="31"/>
      <c r="B681" s="31"/>
      <c r="E681" s="31"/>
    </row>
    <row r="682" ht="28.5" customHeight="1">
      <c r="A682" s="31"/>
      <c r="B682" s="31"/>
      <c r="E682" s="31"/>
    </row>
    <row r="683" ht="28.5" customHeight="1">
      <c r="A683" s="31"/>
      <c r="B683" s="31"/>
      <c r="E683" s="31"/>
    </row>
    <row r="684" ht="28.5" customHeight="1">
      <c r="A684" s="31"/>
      <c r="B684" s="31"/>
      <c r="E684" s="31"/>
    </row>
    <row r="685" ht="28.5" customHeight="1">
      <c r="A685" s="31"/>
      <c r="B685" s="31"/>
      <c r="E685" s="31"/>
    </row>
    <row r="686" ht="28.5" customHeight="1">
      <c r="A686" s="31"/>
      <c r="B686" s="31"/>
      <c r="E686" s="31"/>
    </row>
    <row r="687" ht="28.5" customHeight="1">
      <c r="A687" s="31"/>
      <c r="B687" s="31"/>
      <c r="E687" s="31"/>
    </row>
    <row r="688" ht="28.5" customHeight="1">
      <c r="A688" s="31"/>
      <c r="B688" s="31"/>
      <c r="E688" s="31"/>
    </row>
    <row r="689" ht="28.5" customHeight="1">
      <c r="A689" s="31"/>
      <c r="B689" s="31"/>
      <c r="E689" s="31"/>
    </row>
    <row r="690" ht="28.5" customHeight="1">
      <c r="A690" s="31"/>
      <c r="B690" s="31"/>
      <c r="E690" s="31"/>
    </row>
    <row r="691" ht="28.5" customHeight="1">
      <c r="A691" s="31"/>
      <c r="B691" s="31"/>
      <c r="E691" s="31"/>
    </row>
    <row r="692" ht="28.5" customHeight="1">
      <c r="A692" s="31"/>
      <c r="B692" s="31"/>
      <c r="E692" s="31"/>
    </row>
    <row r="693" ht="28.5" customHeight="1">
      <c r="A693" s="31"/>
      <c r="B693" s="31"/>
      <c r="E693" s="31"/>
    </row>
    <row r="694" ht="28.5" customHeight="1">
      <c r="A694" s="31"/>
      <c r="B694" s="31"/>
      <c r="E694" s="31"/>
    </row>
    <row r="695" ht="28.5" customHeight="1">
      <c r="A695" s="31"/>
      <c r="B695" s="31"/>
      <c r="E695" s="31"/>
    </row>
    <row r="696" ht="28.5" customHeight="1">
      <c r="A696" s="31"/>
      <c r="B696" s="31"/>
      <c r="E696" s="31"/>
    </row>
    <row r="697" ht="28.5" customHeight="1">
      <c r="A697" s="31"/>
      <c r="B697" s="31"/>
      <c r="E697" s="31"/>
    </row>
    <row r="698" ht="28.5" customHeight="1">
      <c r="A698" s="31"/>
      <c r="B698" s="31"/>
      <c r="E698" s="31"/>
    </row>
    <row r="699" ht="28.5" customHeight="1">
      <c r="A699" s="31"/>
      <c r="B699" s="31"/>
      <c r="E699" s="31"/>
    </row>
    <row r="700" ht="28.5" customHeight="1">
      <c r="A700" s="31"/>
      <c r="B700" s="31"/>
      <c r="E700" s="31"/>
    </row>
    <row r="701" ht="28.5" customHeight="1">
      <c r="A701" s="31"/>
      <c r="B701" s="31"/>
      <c r="E701" s="31"/>
    </row>
    <row r="702" ht="28.5" customHeight="1">
      <c r="A702" s="31"/>
      <c r="B702" s="31"/>
      <c r="E702" s="31"/>
    </row>
    <row r="703" ht="28.5" customHeight="1">
      <c r="A703" s="31"/>
      <c r="B703" s="31"/>
      <c r="E703" s="31"/>
    </row>
    <row r="704" ht="28.5" customHeight="1">
      <c r="A704" s="31"/>
      <c r="B704" s="31"/>
      <c r="E704" s="31"/>
    </row>
    <row r="705" ht="28.5" customHeight="1">
      <c r="A705" s="31"/>
      <c r="B705" s="31"/>
      <c r="E705" s="31"/>
    </row>
    <row r="706" ht="28.5" customHeight="1">
      <c r="A706" s="31"/>
      <c r="B706" s="31"/>
      <c r="E706" s="31"/>
    </row>
    <row r="707" ht="28.5" customHeight="1">
      <c r="A707" s="31"/>
      <c r="B707" s="31"/>
      <c r="E707" s="31"/>
    </row>
    <row r="708" ht="28.5" customHeight="1">
      <c r="A708" s="31"/>
      <c r="B708" s="31"/>
      <c r="E708" s="31"/>
    </row>
    <row r="709" ht="28.5" customHeight="1">
      <c r="A709" s="31"/>
      <c r="B709" s="31"/>
      <c r="E709" s="31"/>
    </row>
    <row r="710" ht="28.5" customHeight="1">
      <c r="A710" s="31"/>
      <c r="B710" s="31"/>
      <c r="E710" s="31"/>
    </row>
    <row r="711" ht="28.5" customHeight="1">
      <c r="A711" s="31"/>
      <c r="B711" s="31"/>
      <c r="E711" s="31"/>
    </row>
    <row r="712" ht="28.5" customHeight="1">
      <c r="A712" s="31"/>
      <c r="B712" s="31"/>
      <c r="E712" s="31"/>
    </row>
    <row r="713" ht="28.5" customHeight="1">
      <c r="A713" s="31"/>
      <c r="B713" s="31"/>
      <c r="E713" s="31"/>
    </row>
    <row r="714" ht="28.5" customHeight="1">
      <c r="A714" s="31"/>
      <c r="B714" s="31"/>
      <c r="E714" s="31"/>
    </row>
    <row r="715" ht="28.5" customHeight="1">
      <c r="A715" s="31"/>
      <c r="B715" s="31"/>
      <c r="E715" s="31"/>
    </row>
    <row r="716" ht="28.5" customHeight="1">
      <c r="A716" s="31"/>
      <c r="B716" s="31"/>
      <c r="E716" s="31"/>
    </row>
    <row r="717" ht="28.5" customHeight="1">
      <c r="A717" s="31"/>
      <c r="B717" s="31"/>
      <c r="E717" s="31"/>
    </row>
    <row r="718" ht="28.5" customHeight="1">
      <c r="A718" s="31"/>
      <c r="B718" s="31"/>
      <c r="E718" s="31"/>
    </row>
    <row r="719" ht="28.5" customHeight="1">
      <c r="A719" s="31"/>
      <c r="B719" s="31"/>
      <c r="E719" s="31"/>
    </row>
    <row r="720" ht="28.5" customHeight="1">
      <c r="A720" s="31"/>
      <c r="B720" s="31"/>
      <c r="E720" s="31"/>
    </row>
    <row r="721" ht="28.5" customHeight="1">
      <c r="A721" s="31"/>
      <c r="B721" s="31"/>
      <c r="E721" s="31"/>
    </row>
    <row r="722" ht="28.5" customHeight="1">
      <c r="A722" s="31"/>
      <c r="B722" s="31"/>
      <c r="E722" s="31"/>
    </row>
    <row r="723" ht="28.5" customHeight="1">
      <c r="A723" s="31"/>
      <c r="B723" s="31"/>
      <c r="E723" s="31"/>
    </row>
    <row r="724" ht="28.5" customHeight="1">
      <c r="A724" s="31"/>
      <c r="B724" s="31"/>
      <c r="E724" s="31"/>
    </row>
    <row r="725" ht="28.5" customHeight="1">
      <c r="A725" s="31"/>
      <c r="B725" s="31"/>
      <c r="E725" s="31"/>
    </row>
    <row r="726" ht="28.5" customHeight="1">
      <c r="A726" s="31"/>
      <c r="B726" s="31"/>
      <c r="E726" s="31"/>
    </row>
    <row r="727" ht="28.5" customHeight="1">
      <c r="A727" s="31"/>
      <c r="B727" s="31"/>
      <c r="E727" s="31"/>
    </row>
    <row r="728" ht="28.5" customHeight="1">
      <c r="A728" s="31"/>
      <c r="B728" s="31"/>
      <c r="E728" s="31"/>
    </row>
    <row r="729" ht="28.5" customHeight="1">
      <c r="A729" s="31"/>
      <c r="B729" s="31"/>
      <c r="E729" s="31"/>
    </row>
    <row r="730" ht="28.5" customHeight="1">
      <c r="A730" s="31"/>
      <c r="B730" s="31"/>
      <c r="E730" s="31"/>
    </row>
    <row r="731" ht="28.5" customHeight="1">
      <c r="A731" s="31"/>
      <c r="B731" s="31"/>
      <c r="E731" s="31"/>
    </row>
    <row r="732" ht="28.5" customHeight="1">
      <c r="A732" s="31"/>
      <c r="B732" s="31"/>
      <c r="E732" s="31"/>
    </row>
    <row r="733" ht="28.5" customHeight="1">
      <c r="A733" s="31"/>
      <c r="B733" s="31"/>
      <c r="E733" s="31"/>
    </row>
    <row r="734" ht="28.5" customHeight="1">
      <c r="A734" s="31"/>
      <c r="B734" s="31"/>
      <c r="E734" s="31"/>
    </row>
    <row r="735" ht="28.5" customHeight="1">
      <c r="A735" s="31"/>
      <c r="B735" s="31"/>
      <c r="E735" s="31"/>
    </row>
    <row r="736" ht="28.5" customHeight="1">
      <c r="A736" s="31"/>
      <c r="B736" s="31"/>
      <c r="E736" s="31"/>
    </row>
    <row r="737" ht="28.5" customHeight="1">
      <c r="A737" s="31"/>
      <c r="B737" s="31"/>
      <c r="E737" s="31"/>
    </row>
    <row r="738" ht="28.5" customHeight="1">
      <c r="A738" s="31"/>
      <c r="B738" s="31"/>
      <c r="E738" s="31"/>
    </row>
    <row r="739" ht="28.5" customHeight="1">
      <c r="A739" s="31"/>
      <c r="B739" s="31"/>
      <c r="E739" s="31"/>
    </row>
    <row r="740" ht="28.5" customHeight="1">
      <c r="A740" s="31"/>
      <c r="B740" s="31"/>
      <c r="E740" s="31"/>
    </row>
    <row r="741" ht="28.5" customHeight="1">
      <c r="A741" s="31"/>
      <c r="B741" s="31"/>
      <c r="E741" s="31"/>
    </row>
    <row r="742" ht="28.5" customHeight="1">
      <c r="A742" s="31"/>
      <c r="B742" s="31"/>
      <c r="E742" s="31"/>
    </row>
    <row r="743" ht="28.5" customHeight="1">
      <c r="A743" s="31"/>
      <c r="B743" s="31"/>
      <c r="E743" s="31"/>
    </row>
    <row r="744" ht="28.5" customHeight="1">
      <c r="A744" s="31"/>
      <c r="B744" s="31"/>
      <c r="E744" s="31"/>
    </row>
    <row r="745" ht="28.5" customHeight="1">
      <c r="A745" s="31"/>
      <c r="B745" s="31"/>
      <c r="E745" s="31"/>
    </row>
    <row r="746" ht="28.5" customHeight="1">
      <c r="A746" s="31"/>
      <c r="B746" s="31"/>
      <c r="E746" s="31"/>
    </row>
    <row r="747" ht="28.5" customHeight="1">
      <c r="A747" s="31"/>
      <c r="B747" s="31"/>
      <c r="E747" s="31"/>
    </row>
    <row r="748" ht="28.5" customHeight="1">
      <c r="A748" s="31"/>
      <c r="B748" s="31"/>
      <c r="E748" s="31"/>
    </row>
    <row r="749" ht="28.5" customHeight="1">
      <c r="A749" s="31"/>
      <c r="B749" s="31"/>
      <c r="E749" s="31"/>
    </row>
    <row r="750" ht="28.5" customHeight="1">
      <c r="A750" s="31"/>
      <c r="B750" s="31"/>
      <c r="E750" s="31"/>
    </row>
    <row r="751" ht="28.5" customHeight="1">
      <c r="A751" s="31"/>
      <c r="B751" s="31"/>
      <c r="E751" s="31"/>
    </row>
    <row r="752" ht="28.5" customHeight="1">
      <c r="A752" s="31"/>
      <c r="B752" s="31"/>
      <c r="E752" s="31"/>
    </row>
    <row r="753" ht="28.5" customHeight="1">
      <c r="A753" s="31"/>
      <c r="B753" s="31"/>
      <c r="E753" s="31"/>
    </row>
    <row r="754" ht="28.5" customHeight="1">
      <c r="A754" s="31"/>
      <c r="B754" s="31"/>
      <c r="E754" s="31"/>
    </row>
    <row r="755" ht="28.5" customHeight="1">
      <c r="A755" s="31"/>
      <c r="B755" s="31"/>
      <c r="E755" s="31"/>
    </row>
    <row r="756" ht="28.5" customHeight="1">
      <c r="A756" s="31"/>
      <c r="B756" s="31"/>
      <c r="E756" s="31"/>
    </row>
    <row r="757" ht="28.5" customHeight="1">
      <c r="A757" s="31"/>
      <c r="B757" s="31"/>
      <c r="E757" s="31"/>
    </row>
    <row r="758" ht="28.5" customHeight="1">
      <c r="A758" s="31"/>
      <c r="B758" s="31"/>
      <c r="E758" s="31"/>
    </row>
    <row r="759" ht="28.5" customHeight="1">
      <c r="A759" s="31"/>
      <c r="B759" s="31"/>
      <c r="E759" s="31"/>
    </row>
    <row r="760" ht="28.5" customHeight="1">
      <c r="A760" s="31"/>
      <c r="B760" s="31"/>
      <c r="E760" s="31"/>
    </row>
    <row r="761" ht="28.5" customHeight="1">
      <c r="A761" s="31"/>
      <c r="B761" s="31"/>
      <c r="E761" s="31"/>
    </row>
    <row r="762" ht="28.5" customHeight="1">
      <c r="A762" s="31"/>
      <c r="B762" s="31"/>
      <c r="E762" s="31"/>
    </row>
    <row r="763" ht="28.5" customHeight="1">
      <c r="A763" s="31"/>
      <c r="B763" s="31"/>
      <c r="E763" s="31"/>
    </row>
    <row r="764" ht="28.5" customHeight="1">
      <c r="A764" s="31"/>
      <c r="B764" s="31"/>
      <c r="E764" s="31"/>
    </row>
    <row r="765" ht="28.5" customHeight="1">
      <c r="A765" s="31"/>
      <c r="B765" s="31"/>
      <c r="E765" s="31"/>
    </row>
    <row r="766" ht="28.5" customHeight="1">
      <c r="A766" s="31"/>
      <c r="B766" s="31"/>
      <c r="E766" s="31"/>
    </row>
    <row r="767" ht="28.5" customHeight="1">
      <c r="A767" s="31"/>
      <c r="B767" s="31"/>
      <c r="E767" s="31"/>
    </row>
    <row r="768" ht="28.5" customHeight="1">
      <c r="A768" s="31"/>
      <c r="B768" s="31"/>
      <c r="E768" s="31"/>
    </row>
    <row r="769" ht="28.5" customHeight="1">
      <c r="A769" s="31"/>
      <c r="B769" s="31"/>
      <c r="E769" s="31"/>
    </row>
    <row r="770" ht="28.5" customHeight="1">
      <c r="A770" s="31"/>
      <c r="B770" s="31"/>
      <c r="E770" s="31"/>
    </row>
    <row r="771" ht="28.5" customHeight="1">
      <c r="A771" s="31"/>
      <c r="B771" s="31"/>
      <c r="E771" s="31"/>
    </row>
    <row r="772" ht="28.5" customHeight="1">
      <c r="A772" s="31"/>
      <c r="B772" s="31"/>
      <c r="E772" s="31"/>
    </row>
    <row r="773" ht="28.5" customHeight="1">
      <c r="A773" s="31"/>
      <c r="B773" s="31"/>
      <c r="E773" s="31"/>
    </row>
    <row r="774" ht="28.5" customHeight="1">
      <c r="A774" s="31"/>
      <c r="B774" s="31"/>
      <c r="E774" s="31"/>
    </row>
    <row r="775" ht="28.5" customHeight="1">
      <c r="A775" s="31"/>
      <c r="B775" s="31"/>
      <c r="E775" s="31"/>
    </row>
    <row r="776" ht="28.5" customHeight="1">
      <c r="A776" s="31"/>
      <c r="B776" s="31"/>
      <c r="E776" s="31"/>
    </row>
    <row r="777" ht="28.5" customHeight="1">
      <c r="A777" s="31"/>
      <c r="B777" s="31"/>
      <c r="E777" s="31"/>
    </row>
    <row r="778" ht="28.5" customHeight="1">
      <c r="A778" s="31"/>
      <c r="B778" s="31"/>
      <c r="E778" s="31"/>
    </row>
    <row r="779" ht="28.5" customHeight="1">
      <c r="A779" s="31"/>
      <c r="B779" s="31"/>
      <c r="E779" s="31"/>
    </row>
    <row r="780" ht="28.5" customHeight="1">
      <c r="A780" s="31"/>
      <c r="B780" s="31"/>
      <c r="E780" s="31"/>
    </row>
    <row r="781" ht="28.5" customHeight="1">
      <c r="A781" s="31"/>
      <c r="B781" s="31"/>
      <c r="E781" s="31"/>
    </row>
    <row r="782" ht="28.5" customHeight="1">
      <c r="A782" s="31"/>
      <c r="B782" s="31"/>
      <c r="E782" s="31"/>
    </row>
    <row r="783" ht="28.5" customHeight="1">
      <c r="A783" s="31"/>
      <c r="B783" s="31"/>
      <c r="E783" s="31"/>
    </row>
    <row r="784" ht="28.5" customHeight="1">
      <c r="A784" s="31"/>
      <c r="B784" s="31"/>
      <c r="E784" s="31"/>
    </row>
    <row r="785" ht="28.5" customHeight="1">
      <c r="A785" s="31"/>
      <c r="B785" s="31"/>
      <c r="E785" s="31"/>
    </row>
    <row r="786" ht="28.5" customHeight="1">
      <c r="A786" s="31"/>
      <c r="B786" s="31"/>
      <c r="E786" s="31"/>
    </row>
    <row r="787" ht="28.5" customHeight="1">
      <c r="A787" s="31"/>
      <c r="B787" s="31"/>
      <c r="E787" s="31"/>
    </row>
    <row r="788" ht="28.5" customHeight="1">
      <c r="A788" s="31"/>
      <c r="B788" s="31"/>
      <c r="E788" s="31"/>
    </row>
    <row r="789" ht="28.5" customHeight="1">
      <c r="A789" s="31"/>
      <c r="B789" s="31"/>
      <c r="E789" s="31"/>
    </row>
    <row r="790" ht="28.5" customHeight="1">
      <c r="A790" s="31"/>
      <c r="B790" s="31"/>
      <c r="E790" s="31"/>
    </row>
    <row r="791" ht="28.5" customHeight="1">
      <c r="A791" s="31"/>
      <c r="B791" s="31"/>
      <c r="E791" s="31"/>
    </row>
    <row r="792" ht="28.5" customHeight="1">
      <c r="A792" s="31"/>
      <c r="B792" s="31"/>
      <c r="E792" s="31"/>
    </row>
    <row r="793" ht="28.5" customHeight="1">
      <c r="A793" s="31"/>
      <c r="B793" s="31"/>
      <c r="E793" s="31"/>
    </row>
    <row r="794" ht="28.5" customHeight="1">
      <c r="A794" s="31"/>
      <c r="B794" s="31"/>
      <c r="E794" s="31"/>
    </row>
    <row r="795" ht="28.5" customHeight="1">
      <c r="A795" s="31"/>
      <c r="B795" s="31"/>
      <c r="E795" s="31"/>
    </row>
    <row r="796" ht="28.5" customHeight="1">
      <c r="A796" s="31"/>
      <c r="B796" s="31"/>
      <c r="E796" s="31"/>
    </row>
    <row r="797" ht="28.5" customHeight="1">
      <c r="A797" s="31"/>
      <c r="B797" s="31"/>
      <c r="E797" s="31"/>
    </row>
    <row r="798" ht="28.5" customHeight="1">
      <c r="A798" s="31"/>
      <c r="B798" s="31"/>
      <c r="E798" s="31"/>
    </row>
    <row r="799" ht="28.5" customHeight="1">
      <c r="A799" s="31"/>
      <c r="B799" s="31"/>
      <c r="E799" s="31"/>
    </row>
    <row r="800" ht="28.5" customHeight="1">
      <c r="A800" s="31"/>
      <c r="B800" s="31"/>
      <c r="E800" s="31"/>
    </row>
    <row r="801" ht="28.5" customHeight="1">
      <c r="A801" s="31"/>
      <c r="B801" s="31"/>
      <c r="E801" s="31"/>
    </row>
    <row r="802" ht="28.5" customHeight="1">
      <c r="A802" s="31"/>
      <c r="B802" s="31"/>
      <c r="E802" s="31"/>
    </row>
    <row r="803" ht="28.5" customHeight="1">
      <c r="A803" s="31"/>
      <c r="B803" s="31"/>
      <c r="E803" s="31"/>
    </row>
    <row r="804" ht="28.5" customHeight="1">
      <c r="A804" s="31"/>
      <c r="B804" s="31"/>
      <c r="E804" s="31"/>
    </row>
    <row r="805" ht="28.5" customHeight="1">
      <c r="A805" s="31"/>
      <c r="B805" s="31"/>
      <c r="E805" s="31"/>
    </row>
    <row r="806" ht="28.5" customHeight="1">
      <c r="A806" s="31"/>
      <c r="B806" s="31"/>
      <c r="E806" s="31"/>
    </row>
    <row r="807" ht="28.5" customHeight="1">
      <c r="A807" s="31"/>
      <c r="B807" s="31"/>
      <c r="E807" s="31"/>
    </row>
    <row r="808" ht="28.5" customHeight="1">
      <c r="A808" s="31"/>
      <c r="B808" s="31"/>
      <c r="E808" s="31"/>
    </row>
    <row r="809" ht="28.5" customHeight="1">
      <c r="A809" s="31"/>
      <c r="B809" s="31"/>
      <c r="E809" s="31"/>
    </row>
    <row r="810" ht="28.5" customHeight="1">
      <c r="A810" s="31"/>
      <c r="B810" s="31"/>
      <c r="E810" s="31"/>
    </row>
    <row r="811" ht="28.5" customHeight="1">
      <c r="A811" s="31"/>
      <c r="B811" s="31"/>
      <c r="E811" s="31"/>
    </row>
    <row r="812" ht="28.5" customHeight="1">
      <c r="A812" s="31"/>
      <c r="B812" s="31"/>
      <c r="E812" s="31"/>
    </row>
    <row r="813" ht="28.5" customHeight="1">
      <c r="A813" s="31"/>
      <c r="B813" s="31"/>
      <c r="E813" s="31"/>
    </row>
    <row r="814" ht="28.5" customHeight="1">
      <c r="A814" s="31"/>
      <c r="B814" s="31"/>
      <c r="E814" s="31"/>
    </row>
    <row r="815" ht="28.5" customHeight="1">
      <c r="A815" s="31"/>
      <c r="B815" s="31"/>
      <c r="E815" s="31"/>
    </row>
    <row r="816" ht="28.5" customHeight="1">
      <c r="A816" s="31"/>
      <c r="B816" s="31"/>
      <c r="E816" s="31"/>
    </row>
    <row r="817" ht="28.5" customHeight="1">
      <c r="A817" s="31"/>
      <c r="B817" s="31"/>
      <c r="E817" s="31"/>
    </row>
    <row r="818" ht="28.5" customHeight="1">
      <c r="A818" s="31"/>
      <c r="B818" s="31"/>
      <c r="E818" s="31"/>
    </row>
    <row r="819" ht="28.5" customHeight="1">
      <c r="A819" s="31"/>
      <c r="B819" s="31"/>
      <c r="E819" s="31"/>
    </row>
    <row r="820" ht="28.5" customHeight="1">
      <c r="A820" s="31"/>
      <c r="B820" s="31"/>
      <c r="E820" s="31"/>
    </row>
    <row r="821" ht="28.5" customHeight="1">
      <c r="A821" s="31"/>
      <c r="B821" s="31"/>
      <c r="E821" s="31"/>
    </row>
    <row r="822" ht="28.5" customHeight="1">
      <c r="A822" s="31"/>
      <c r="B822" s="31"/>
      <c r="E822" s="31"/>
    </row>
    <row r="823" ht="28.5" customHeight="1">
      <c r="A823" s="31"/>
      <c r="B823" s="31"/>
      <c r="E823" s="31"/>
    </row>
    <row r="824" ht="28.5" customHeight="1">
      <c r="A824" s="31"/>
      <c r="B824" s="31"/>
      <c r="E824" s="31"/>
    </row>
    <row r="825" ht="28.5" customHeight="1">
      <c r="A825" s="31"/>
      <c r="B825" s="31"/>
      <c r="E825" s="31"/>
    </row>
    <row r="826" ht="28.5" customHeight="1">
      <c r="A826" s="31"/>
      <c r="B826" s="31"/>
      <c r="E826" s="31"/>
    </row>
    <row r="827" ht="28.5" customHeight="1">
      <c r="A827" s="31"/>
      <c r="B827" s="31"/>
      <c r="E827" s="31"/>
    </row>
    <row r="828" ht="28.5" customHeight="1">
      <c r="A828" s="31"/>
      <c r="B828" s="31"/>
      <c r="E828" s="31"/>
    </row>
    <row r="829" ht="28.5" customHeight="1">
      <c r="A829" s="31"/>
      <c r="B829" s="31"/>
      <c r="E829" s="31"/>
    </row>
    <row r="830" ht="28.5" customHeight="1">
      <c r="A830" s="31"/>
      <c r="B830" s="31"/>
      <c r="E830" s="31"/>
    </row>
    <row r="831" ht="28.5" customHeight="1">
      <c r="A831" s="31"/>
      <c r="B831" s="31"/>
      <c r="E831" s="31"/>
    </row>
    <row r="832" ht="28.5" customHeight="1">
      <c r="A832" s="31"/>
      <c r="B832" s="31"/>
      <c r="E832" s="31"/>
    </row>
    <row r="833" ht="28.5" customHeight="1">
      <c r="A833" s="31"/>
      <c r="B833" s="31"/>
      <c r="E833" s="31"/>
    </row>
    <row r="834" ht="28.5" customHeight="1">
      <c r="A834" s="31"/>
      <c r="B834" s="31"/>
      <c r="E834" s="31"/>
    </row>
    <row r="835" ht="28.5" customHeight="1">
      <c r="A835" s="31"/>
      <c r="B835" s="31"/>
      <c r="E835" s="31"/>
    </row>
    <row r="836" ht="28.5" customHeight="1">
      <c r="A836" s="31"/>
      <c r="B836" s="31"/>
      <c r="E836" s="31"/>
    </row>
    <row r="837" ht="28.5" customHeight="1">
      <c r="A837" s="31"/>
      <c r="B837" s="31"/>
      <c r="E837" s="31"/>
    </row>
    <row r="838" ht="28.5" customHeight="1">
      <c r="A838" s="31"/>
      <c r="B838" s="31"/>
      <c r="E838" s="31"/>
    </row>
    <row r="839" ht="28.5" customHeight="1">
      <c r="A839" s="31"/>
      <c r="B839" s="31"/>
      <c r="E839" s="31"/>
    </row>
    <row r="840" ht="28.5" customHeight="1">
      <c r="A840" s="31"/>
      <c r="B840" s="31"/>
      <c r="E840" s="31"/>
    </row>
    <row r="841" ht="28.5" customHeight="1">
      <c r="A841" s="31"/>
      <c r="B841" s="31"/>
      <c r="E841" s="31"/>
    </row>
    <row r="842" ht="28.5" customHeight="1">
      <c r="A842" s="31"/>
      <c r="B842" s="31"/>
      <c r="E842" s="31"/>
    </row>
    <row r="843" ht="28.5" customHeight="1">
      <c r="A843" s="31"/>
      <c r="B843" s="31"/>
      <c r="E843" s="31"/>
    </row>
    <row r="844" ht="28.5" customHeight="1">
      <c r="A844" s="31"/>
      <c r="B844" s="31"/>
      <c r="E844" s="31"/>
    </row>
    <row r="845" ht="28.5" customHeight="1">
      <c r="A845" s="31"/>
      <c r="B845" s="31"/>
      <c r="E845" s="31"/>
    </row>
    <row r="846" ht="28.5" customHeight="1">
      <c r="A846" s="31"/>
      <c r="B846" s="31"/>
      <c r="E846" s="31"/>
    </row>
    <row r="847" ht="28.5" customHeight="1">
      <c r="A847" s="31"/>
      <c r="B847" s="31"/>
      <c r="E847" s="31"/>
    </row>
    <row r="848" ht="28.5" customHeight="1">
      <c r="A848" s="31"/>
      <c r="B848" s="31"/>
      <c r="E848" s="31"/>
    </row>
    <row r="849" ht="28.5" customHeight="1">
      <c r="A849" s="31"/>
      <c r="B849" s="31"/>
      <c r="E849" s="31"/>
    </row>
    <row r="850" ht="28.5" customHeight="1">
      <c r="A850" s="31"/>
      <c r="B850" s="31"/>
      <c r="E850" s="31"/>
    </row>
    <row r="851" ht="28.5" customHeight="1">
      <c r="A851" s="31"/>
      <c r="B851" s="31"/>
      <c r="E851" s="31"/>
    </row>
    <row r="852" ht="28.5" customHeight="1">
      <c r="A852" s="31"/>
      <c r="B852" s="31"/>
      <c r="E852" s="31"/>
    </row>
    <row r="853" ht="28.5" customHeight="1">
      <c r="A853" s="31"/>
      <c r="B853" s="31"/>
      <c r="E853" s="31"/>
    </row>
    <row r="854" ht="28.5" customHeight="1">
      <c r="A854" s="31"/>
      <c r="B854" s="31"/>
      <c r="E854" s="31"/>
    </row>
    <row r="855" ht="28.5" customHeight="1">
      <c r="A855" s="31"/>
      <c r="B855" s="31"/>
      <c r="E855" s="31"/>
    </row>
    <row r="856" ht="28.5" customHeight="1">
      <c r="A856" s="31"/>
      <c r="B856" s="31"/>
      <c r="E856" s="31"/>
    </row>
    <row r="857" ht="28.5" customHeight="1">
      <c r="A857" s="31"/>
      <c r="B857" s="31"/>
      <c r="E857" s="31"/>
    </row>
    <row r="858" ht="28.5" customHeight="1">
      <c r="A858" s="31"/>
      <c r="B858" s="31"/>
      <c r="E858" s="31"/>
    </row>
    <row r="859" ht="28.5" customHeight="1">
      <c r="A859" s="31"/>
      <c r="B859" s="31"/>
      <c r="E859" s="31"/>
    </row>
    <row r="860" ht="28.5" customHeight="1">
      <c r="A860" s="31"/>
      <c r="B860" s="31"/>
      <c r="E860" s="31"/>
    </row>
    <row r="861" ht="28.5" customHeight="1">
      <c r="A861" s="31"/>
      <c r="B861" s="31"/>
      <c r="E861" s="31"/>
    </row>
    <row r="862" ht="28.5" customHeight="1">
      <c r="A862" s="31"/>
      <c r="B862" s="31"/>
      <c r="E862" s="31"/>
    </row>
    <row r="863" ht="28.5" customHeight="1">
      <c r="A863" s="31"/>
      <c r="B863" s="31"/>
      <c r="E863" s="31"/>
    </row>
    <row r="864" ht="28.5" customHeight="1">
      <c r="A864" s="31"/>
      <c r="B864" s="31"/>
      <c r="E864" s="31"/>
    </row>
    <row r="865" ht="28.5" customHeight="1">
      <c r="A865" s="31"/>
      <c r="B865" s="31"/>
      <c r="E865" s="31"/>
    </row>
    <row r="866" ht="28.5" customHeight="1">
      <c r="A866" s="31"/>
      <c r="B866" s="31"/>
      <c r="E866" s="31"/>
    </row>
    <row r="867" ht="28.5" customHeight="1">
      <c r="A867" s="31"/>
      <c r="B867" s="31"/>
      <c r="E867" s="31"/>
    </row>
    <row r="868" ht="28.5" customHeight="1">
      <c r="A868" s="31"/>
      <c r="B868" s="31"/>
      <c r="E868" s="31"/>
    </row>
    <row r="869" ht="28.5" customHeight="1">
      <c r="A869" s="31"/>
      <c r="B869" s="31"/>
      <c r="E869" s="31"/>
    </row>
    <row r="870" ht="28.5" customHeight="1">
      <c r="A870" s="31"/>
      <c r="B870" s="31"/>
      <c r="E870" s="31"/>
    </row>
    <row r="871" ht="28.5" customHeight="1">
      <c r="A871" s="31"/>
      <c r="B871" s="31"/>
      <c r="E871" s="31"/>
    </row>
    <row r="872" ht="28.5" customHeight="1">
      <c r="A872" s="31"/>
      <c r="B872" s="31"/>
      <c r="E872" s="31"/>
    </row>
    <row r="873" ht="28.5" customHeight="1">
      <c r="A873" s="31"/>
      <c r="B873" s="31"/>
      <c r="E873" s="31"/>
    </row>
    <row r="874" ht="28.5" customHeight="1">
      <c r="A874" s="31"/>
      <c r="B874" s="31"/>
      <c r="E874" s="31"/>
    </row>
    <row r="875" ht="28.5" customHeight="1">
      <c r="A875" s="31"/>
      <c r="B875" s="31"/>
      <c r="E875" s="31"/>
    </row>
    <row r="876" ht="28.5" customHeight="1">
      <c r="A876" s="31"/>
      <c r="B876" s="31"/>
      <c r="E876" s="31"/>
    </row>
    <row r="877" ht="28.5" customHeight="1">
      <c r="A877" s="31"/>
      <c r="B877" s="31"/>
      <c r="E877" s="31"/>
    </row>
    <row r="878" ht="28.5" customHeight="1">
      <c r="A878" s="31"/>
      <c r="B878" s="31"/>
      <c r="E878" s="31"/>
    </row>
    <row r="879" ht="28.5" customHeight="1">
      <c r="A879" s="31"/>
      <c r="B879" s="31"/>
      <c r="E879" s="31"/>
    </row>
    <row r="880" ht="28.5" customHeight="1">
      <c r="A880" s="31"/>
      <c r="B880" s="31"/>
      <c r="E880" s="31"/>
    </row>
    <row r="881" ht="28.5" customHeight="1">
      <c r="A881" s="31"/>
      <c r="B881" s="31"/>
      <c r="E881" s="31"/>
    </row>
    <row r="882" ht="28.5" customHeight="1">
      <c r="A882" s="31"/>
      <c r="B882" s="31"/>
      <c r="E882" s="31"/>
    </row>
    <row r="883" ht="28.5" customHeight="1">
      <c r="A883" s="31"/>
      <c r="B883" s="31"/>
      <c r="E883" s="31"/>
    </row>
    <row r="884" ht="28.5" customHeight="1">
      <c r="A884" s="31"/>
      <c r="B884" s="31"/>
      <c r="E884" s="31"/>
    </row>
    <row r="885" ht="28.5" customHeight="1">
      <c r="A885" s="31"/>
      <c r="B885" s="31"/>
      <c r="E885" s="31"/>
    </row>
    <row r="886" ht="28.5" customHeight="1">
      <c r="A886" s="31"/>
      <c r="B886" s="31"/>
      <c r="E886" s="31"/>
    </row>
    <row r="887" ht="28.5" customHeight="1">
      <c r="A887" s="31"/>
      <c r="B887" s="31"/>
      <c r="E887" s="31"/>
    </row>
    <row r="888" ht="28.5" customHeight="1">
      <c r="A888" s="31"/>
      <c r="B888" s="31"/>
      <c r="E888" s="31"/>
    </row>
    <row r="889" ht="28.5" customHeight="1">
      <c r="A889" s="31"/>
      <c r="B889" s="31"/>
      <c r="E889" s="31"/>
    </row>
    <row r="890" ht="28.5" customHeight="1">
      <c r="A890" s="31"/>
      <c r="B890" s="31"/>
      <c r="E890" s="31"/>
    </row>
    <row r="891" ht="28.5" customHeight="1">
      <c r="A891" s="31"/>
      <c r="B891" s="31"/>
      <c r="E891" s="31"/>
    </row>
    <row r="892" ht="28.5" customHeight="1">
      <c r="A892" s="31"/>
      <c r="B892" s="31"/>
      <c r="E892" s="31"/>
    </row>
    <row r="893" ht="28.5" customHeight="1">
      <c r="A893" s="31"/>
      <c r="B893" s="31"/>
      <c r="E893" s="31"/>
    </row>
    <row r="894" ht="28.5" customHeight="1">
      <c r="A894" s="31"/>
      <c r="B894" s="31"/>
      <c r="E894" s="31"/>
    </row>
    <row r="895" ht="28.5" customHeight="1">
      <c r="A895" s="31"/>
      <c r="B895" s="31"/>
      <c r="E895" s="31"/>
    </row>
    <row r="896" ht="28.5" customHeight="1">
      <c r="A896" s="31"/>
      <c r="B896" s="31"/>
      <c r="E896" s="31"/>
    </row>
    <row r="897" ht="28.5" customHeight="1">
      <c r="A897" s="31"/>
      <c r="B897" s="31"/>
      <c r="E897" s="31"/>
    </row>
    <row r="898" ht="28.5" customHeight="1">
      <c r="A898" s="31"/>
      <c r="B898" s="31"/>
      <c r="E898" s="31"/>
    </row>
    <row r="899" ht="28.5" customHeight="1">
      <c r="A899" s="31"/>
      <c r="B899" s="31"/>
      <c r="E899" s="31"/>
    </row>
    <row r="900" ht="28.5" customHeight="1">
      <c r="A900" s="31"/>
      <c r="B900" s="31"/>
      <c r="E900" s="31"/>
    </row>
    <row r="901" ht="28.5" customHeight="1">
      <c r="A901" s="31"/>
      <c r="B901" s="31"/>
      <c r="E901" s="31"/>
    </row>
    <row r="902" ht="28.5" customHeight="1">
      <c r="A902" s="31"/>
      <c r="B902" s="31"/>
      <c r="E902" s="31"/>
    </row>
    <row r="903" ht="28.5" customHeight="1">
      <c r="A903" s="31"/>
      <c r="B903" s="31"/>
      <c r="E903" s="31"/>
    </row>
    <row r="904" ht="28.5" customHeight="1">
      <c r="A904" s="31"/>
      <c r="B904" s="31"/>
      <c r="E904" s="31"/>
    </row>
    <row r="905" ht="28.5" customHeight="1">
      <c r="A905" s="31"/>
      <c r="B905" s="31"/>
      <c r="E905" s="31"/>
    </row>
    <row r="906" ht="28.5" customHeight="1">
      <c r="A906" s="31"/>
      <c r="B906" s="31"/>
      <c r="E906" s="31"/>
    </row>
    <row r="907" ht="28.5" customHeight="1">
      <c r="A907" s="31"/>
      <c r="B907" s="31"/>
      <c r="E907" s="31"/>
    </row>
    <row r="908" ht="28.5" customHeight="1">
      <c r="A908" s="31"/>
      <c r="B908" s="31"/>
      <c r="E908" s="31"/>
    </row>
    <row r="909" ht="28.5" customHeight="1">
      <c r="A909" s="31"/>
      <c r="B909" s="31"/>
      <c r="E909" s="31"/>
    </row>
    <row r="910" ht="28.5" customHeight="1">
      <c r="A910" s="31"/>
      <c r="B910" s="31"/>
      <c r="E910" s="31"/>
    </row>
    <row r="911" ht="28.5" customHeight="1">
      <c r="A911" s="31"/>
      <c r="B911" s="31"/>
      <c r="E911" s="31"/>
    </row>
    <row r="912" ht="28.5" customHeight="1">
      <c r="A912" s="31"/>
      <c r="B912" s="31"/>
      <c r="E912" s="31"/>
    </row>
    <row r="913" ht="28.5" customHeight="1">
      <c r="A913" s="31"/>
      <c r="B913" s="31"/>
      <c r="E913" s="31"/>
    </row>
    <row r="914" ht="28.5" customHeight="1">
      <c r="A914" s="31"/>
      <c r="B914" s="31"/>
      <c r="E914" s="31"/>
    </row>
    <row r="915" ht="28.5" customHeight="1">
      <c r="A915" s="31"/>
      <c r="B915" s="31"/>
      <c r="E915" s="31"/>
    </row>
    <row r="916" ht="28.5" customHeight="1">
      <c r="A916" s="31"/>
      <c r="B916" s="31"/>
      <c r="E916" s="31"/>
    </row>
    <row r="917" ht="28.5" customHeight="1">
      <c r="A917" s="31"/>
      <c r="B917" s="31"/>
      <c r="E917" s="31"/>
    </row>
    <row r="918" ht="28.5" customHeight="1">
      <c r="A918" s="31"/>
      <c r="B918" s="31"/>
      <c r="E918" s="31"/>
    </row>
    <row r="919" ht="28.5" customHeight="1">
      <c r="A919" s="31"/>
      <c r="B919" s="31"/>
      <c r="E919" s="31"/>
    </row>
    <row r="920" ht="28.5" customHeight="1">
      <c r="A920" s="31"/>
      <c r="B920" s="31"/>
      <c r="E920" s="31"/>
    </row>
    <row r="921" ht="28.5" customHeight="1">
      <c r="A921" s="31"/>
      <c r="B921" s="31"/>
      <c r="E921" s="31"/>
    </row>
    <row r="922" ht="28.5" customHeight="1">
      <c r="A922" s="31"/>
      <c r="B922" s="31"/>
      <c r="E922" s="31"/>
    </row>
    <row r="923" ht="28.5" customHeight="1">
      <c r="A923" s="31"/>
      <c r="B923" s="31"/>
      <c r="E923" s="31"/>
    </row>
    <row r="924" ht="28.5" customHeight="1">
      <c r="A924" s="31"/>
      <c r="B924" s="31"/>
      <c r="E924" s="31"/>
    </row>
    <row r="925" ht="28.5" customHeight="1">
      <c r="A925" s="31"/>
      <c r="B925" s="31"/>
      <c r="E925" s="31"/>
    </row>
    <row r="926" ht="28.5" customHeight="1">
      <c r="A926" s="31"/>
      <c r="B926" s="31"/>
      <c r="E926" s="31"/>
    </row>
    <row r="927" ht="28.5" customHeight="1">
      <c r="A927" s="31"/>
      <c r="B927" s="31"/>
      <c r="E927" s="31"/>
    </row>
    <row r="928" ht="28.5" customHeight="1">
      <c r="A928" s="31"/>
      <c r="B928" s="31"/>
      <c r="E928" s="31"/>
    </row>
    <row r="929" ht="28.5" customHeight="1">
      <c r="A929" s="31"/>
      <c r="B929" s="31"/>
      <c r="E929" s="31"/>
    </row>
    <row r="930" ht="28.5" customHeight="1">
      <c r="A930" s="31"/>
      <c r="B930" s="31"/>
      <c r="E930" s="31"/>
    </row>
    <row r="931" ht="28.5" customHeight="1">
      <c r="A931" s="31"/>
      <c r="B931" s="31"/>
      <c r="E931" s="31"/>
    </row>
    <row r="932" ht="28.5" customHeight="1">
      <c r="A932" s="31"/>
      <c r="B932" s="31"/>
      <c r="E932" s="31"/>
    </row>
    <row r="933" ht="28.5" customHeight="1">
      <c r="A933" s="31"/>
      <c r="B933" s="31"/>
      <c r="E933" s="31"/>
    </row>
    <row r="934" ht="28.5" customHeight="1">
      <c r="A934" s="31"/>
      <c r="B934" s="31"/>
      <c r="E934" s="31"/>
    </row>
    <row r="935" ht="28.5" customHeight="1">
      <c r="A935" s="31"/>
      <c r="B935" s="31"/>
      <c r="E935" s="31"/>
    </row>
    <row r="936" ht="28.5" customHeight="1">
      <c r="A936" s="31"/>
      <c r="B936" s="31"/>
      <c r="E936" s="31"/>
    </row>
    <row r="937" ht="28.5" customHeight="1">
      <c r="A937" s="31"/>
      <c r="B937" s="31"/>
      <c r="E937" s="31"/>
    </row>
    <row r="938" ht="28.5" customHeight="1">
      <c r="A938" s="31"/>
      <c r="B938" s="31"/>
      <c r="E938" s="31"/>
    </row>
    <row r="939" ht="28.5" customHeight="1">
      <c r="A939" s="31"/>
      <c r="B939" s="31"/>
      <c r="E939" s="31"/>
    </row>
    <row r="940" ht="28.5" customHeight="1">
      <c r="A940" s="31"/>
      <c r="B940" s="31"/>
      <c r="E940" s="31"/>
    </row>
    <row r="941" ht="28.5" customHeight="1">
      <c r="A941" s="31"/>
      <c r="B941" s="31"/>
      <c r="E941" s="31"/>
    </row>
    <row r="942" ht="28.5" customHeight="1">
      <c r="A942" s="31"/>
      <c r="B942" s="31"/>
      <c r="E942" s="31"/>
    </row>
    <row r="943" ht="28.5" customHeight="1">
      <c r="A943" s="31"/>
      <c r="B943" s="31"/>
      <c r="E943" s="31"/>
    </row>
    <row r="944" ht="28.5" customHeight="1">
      <c r="A944" s="31"/>
      <c r="B944" s="31"/>
      <c r="E944" s="31"/>
    </row>
    <row r="945" ht="28.5" customHeight="1">
      <c r="A945" s="31"/>
      <c r="B945" s="31"/>
      <c r="E945" s="31"/>
    </row>
    <row r="946" ht="28.5" customHeight="1">
      <c r="A946" s="31"/>
      <c r="B946" s="31"/>
      <c r="E946" s="31"/>
    </row>
    <row r="947" ht="28.5" customHeight="1">
      <c r="A947" s="31"/>
      <c r="B947" s="31"/>
      <c r="E947" s="31"/>
    </row>
    <row r="948" ht="28.5" customHeight="1">
      <c r="A948" s="31"/>
      <c r="B948" s="31"/>
      <c r="E948" s="31"/>
    </row>
    <row r="949" ht="28.5" customHeight="1">
      <c r="A949" s="31"/>
      <c r="B949" s="31"/>
      <c r="E949" s="31"/>
    </row>
    <row r="950" ht="28.5" customHeight="1">
      <c r="A950" s="31"/>
      <c r="B950" s="31"/>
      <c r="E950" s="31"/>
    </row>
    <row r="951" ht="28.5" customHeight="1">
      <c r="A951" s="31"/>
      <c r="B951" s="31"/>
      <c r="E951" s="31"/>
    </row>
    <row r="952" ht="28.5" customHeight="1">
      <c r="A952" s="31"/>
      <c r="B952" s="31"/>
      <c r="E952" s="31"/>
    </row>
    <row r="953" ht="28.5" customHeight="1">
      <c r="A953" s="31"/>
      <c r="B953" s="31"/>
      <c r="E953" s="31"/>
    </row>
    <row r="954" ht="28.5" customHeight="1">
      <c r="A954" s="31"/>
      <c r="B954" s="31"/>
      <c r="E954" s="31"/>
    </row>
    <row r="955" ht="28.5" customHeight="1">
      <c r="A955" s="31"/>
      <c r="B955" s="31"/>
      <c r="E955" s="31"/>
    </row>
    <row r="956" ht="28.5" customHeight="1">
      <c r="A956" s="31"/>
      <c r="B956" s="31"/>
      <c r="E956" s="31"/>
    </row>
    <row r="957" ht="28.5" customHeight="1">
      <c r="A957" s="31"/>
      <c r="B957" s="31"/>
      <c r="E957" s="31"/>
    </row>
    <row r="958" ht="28.5" customHeight="1">
      <c r="A958" s="31"/>
      <c r="B958" s="31"/>
      <c r="E958" s="31"/>
    </row>
    <row r="959" ht="28.5" customHeight="1">
      <c r="A959" s="31"/>
      <c r="B959" s="31"/>
      <c r="E959" s="31"/>
    </row>
    <row r="960" ht="28.5" customHeight="1">
      <c r="A960" s="31"/>
      <c r="B960" s="31"/>
      <c r="E960" s="31"/>
    </row>
    <row r="961" ht="28.5" customHeight="1">
      <c r="A961" s="31"/>
      <c r="B961" s="31"/>
      <c r="E961" s="31"/>
    </row>
    <row r="962" ht="28.5" customHeight="1">
      <c r="A962" s="31"/>
      <c r="B962" s="31"/>
      <c r="E962" s="31"/>
    </row>
    <row r="963" ht="28.5" customHeight="1">
      <c r="A963" s="31"/>
      <c r="B963" s="31"/>
      <c r="E963" s="31"/>
    </row>
    <row r="964" ht="28.5" customHeight="1">
      <c r="A964" s="31"/>
      <c r="B964" s="31"/>
      <c r="E964" s="31"/>
    </row>
    <row r="965" ht="28.5" customHeight="1">
      <c r="A965" s="31"/>
      <c r="B965" s="31"/>
      <c r="E965" s="31"/>
    </row>
    <row r="966" ht="28.5" customHeight="1">
      <c r="A966" s="31"/>
      <c r="B966" s="31"/>
      <c r="E966" s="31"/>
    </row>
    <row r="967" ht="28.5" customHeight="1">
      <c r="A967" s="31"/>
      <c r="B967" s="31"/>
      <c r="E967" s="31"/>
    </row>
    <row r="968" ht="28.5" customHeight="1">
      <c r="A968" s="31"/>
      <c r="B968" s="31"/>
      <c r="E968" s="31"/>
    </row>
    <row r="969" ht="28.5" customHeight="1">
      <c r="A969" s="31"/>
      <c r="B969" s="31"/>
      <c r="E969" s="31"/>
    </row>
    <row r="970" ht="28.5" customHeight="1">
      <c r="A970" s="31"/>
      <c r="B970" s="31"/>
      <c r="E970" s="31"/>
    </row>
    <row r="971" ht="28.5" customHeight="1">
      <c r="A971" s="31"/>
      <c r="B971" s="31"/>
      <c r="E971" s="31"/>
    </row>
    <row r="972" ht="28.5" customHeight="1">
      <c r="A972" s="31"/>
      <c r="B972" s="31"/>
      <c r="E972" s="31"/>
    </row>
    <row r="973" ht="28.5" customHeight="1">
      <c r="A973" s="31"/>
      <c r="B973" s="31"/>
      <c r="E973" s="31"/>
    </row>
    <row r="974" ht="28.5" customHeight="1">
      <c r="A974" s="31"/>
      <c r="B974" s="31"/>
      <c r="E974" s="31"/>
    </row>
    <row r="975" ht="28.5" customHeight="1">
      <c r="A975" s="31"/>
      <c r="B975" s="31"/>
      <c r="E975" s="31"/>
    </row>
    <row r="976" ht="28.5" customHeight="1">
      <c r="A976" s="31"/>
      <c r="B976" s="31"/>
      <c r="E976" s="31"/>
    </row>
    <row r="977" ht="28.5" customHeight="1">
      <c r="A977" s="31"/>
      <c r="B977" s="31"/>
      <c r="E977" s="31"/>
    </row>
    <row r="978" ht="28.5" customHeight="1">
      <c r="A978" s="31"/>
      <c r="B978" s="31"/>
      <c r="E978" s="31"/>
    </row>
    <row r="979" ht="28.5" customHeight="1">
      <c r="A979" s="31"/>
      <c r="B979" s="31"/>
      <c r="E979" s="31"/>
    </row>
    <row r="980" ht="28.5" customHeight="1">
      <c r="A980" s="31"/>
      <c r="B980" s="31"/>
      <c r="E980" s="31"/>
    </row>
    <row r="981" ht="28.5" customHeight="1">
      <c r="A981" s="31"/>
      <c r="B981" s="31"/>
      <c r="E981" s="31"/>
    </row>
    <row r="982" ht="28.5" customHeight="1">
      <c r="A982" s="31"/>
      <c r="B982" s="31"/>
      <c r="E982" s="31"/>
    </row>
    <row r="983" ht="28.5" customHeight="1">
      <c r="A983" s="31"/>
      <c r="B983" s="31"/>
      <c r="E983" s="31"/>
    </row>
    <row r="984" ht="28.5" customHeight="1">
      <c r="A984" s="31"/>
      <c r="B984" s="31"/>
      <c r="E984" s="31"/>
    </row>
    <row r="985" ht="28.5" customHeight="1">
      <c r="A985" s="31"/>
      <c r="B985" s="31"/>
      <c r="E985" s="31"/>
    </row>
    <row r="986" ht="28.5" customHeight="1">
      <c r="A986" s="31"/>
      <c r="B986" s="31"/>
      <c r="E986" s="31"/>
    </row>
    <row r="987" ht="28.5" customHeight="1">
      <c r="A987" s="31"/>
      <c r="B987" s="31"/>
      <c r="E987" s="31"/>
    </row>
    <row r="988" ht="28.5" customHeight="1">
      <c r="A988" s="31"/>
      <c r="B988" s="31"/>
      <c r="E988" s="31"/>
    </row>
    <row r="989" ht="28.5" customHeight="1">
      <c r="A989" s="31"/>
      <c r="B989" s="31"/>
      <c r="E989" s="31"/>
    </row>
    <row r="990" ht="28.5" customHeight="1">
      <c r="A990" s="31"/>
      <c r="B990" s="31"/>
      <c r="E990" s="31"/>
    </row>
    <row r="991" ht="28.5" customHeight="1">
      <c r="A991" s="31"/>
      <c r="B991" s="31"/>
      <c r="E991" s="31"/>
    </row>
    <row r="992" ht="28.5" customHeight="1">
      <c r="A992" s="31"/>
      <c r="B992" s="31"/>
      <c r="E992" s="31"/>
    </row>
    <row r="993" ht="28.5" customHeight="1">
      <c r="A993" s="31"/>
      <c r="B993" s="31"/>
      <c r="E993" s="31"/>
    </row>
    <row r="994" ht="28.5" customHeight="1">
      <c r="A994" s="31"/>
      <c r="B994" s="31"/>
      <c r="E994" s="31"/>
    </row>
    <row r="995" ht="28.5" customHeight="1">
      <c r="A995" s="31"/>
      <c r="B995" s="31"/>
      <c r="E995" s="31"/>
    </row>
    <row r="996" ht="28.5" customHeight="1">
      <c r="A996" s="31"/>
      <c r="B996" s="31"/>
      <c r="E996" s="31"/>
    </row>
    <row r="997" ht="28.5" customHeight="1">
      <c r="A997" s="31"/>
      <c r="B997" s="31"/>
      <c r="E997" s="31"/>
    </row>
    <row r="998" ht="28.5" customHeight="1">
      <c r="A998" s="31"/>
      <c r="B998" s="31"/>
      <c r="E998" s="31"/>
    </row>
    <row r="999" ht="28.5" customHeight="1">
      <c r="A999" s="31"/>
      <c r="B999" s="31"/>
      <c r="E999" s="31"/>
    </row>
    <row r="1000" ht="28.5" customHeight="1">
      <c r="A1000" s="31"/>
      <c r="B1000" s="31"/>
      <c r="E1000" s="31"/>
    </row>
    <row r="1001" ht="28.5" customHeight="1">
      <c r="A1001" s="31"/>
      <c r="B1001" s="31"/>
      <c r="E1001" s="31"/>
    </row>
    <row r="1002" ht="28.5" customHeight="1">
      <c r="A1002" s="31"/>
      <c r="B1002" s="31"/>
      <c r="E1002" s="31"/>
    </row>
    <row r="1003" ht="28.5" customHeight="1">
      <c r="A1003" s="31"/>
      <c r="B1003" s="31"/>
      <c r="E1003" s="31"/>
    </row>
    <row r="1004" ht="28.5" customHeight="1">
      <c r="A1004" s="31"/>
      <c r="B1004" s="31"/>
      <c r="E1004" s="31"/>
    </row>
    <row r="1005" ht="28.5" customHeight="1">
      <c r="A1005" s="31"/>
      <c r="B1005" s="31"/>
      <c r="E1005" s="31"/>
    </row>
    <row r="1006" ht="28.5" customHeight="1">
      <c r="A1006" s="31"/>
      <c r="B1006" s="31"/>
      <c r="E1006" s="31"/>
    </row>
    <row r="1007" ht="28.5" customHeight="1">
      <c r="A1007" s="31"/>
      <c r="B1007" s="31"/>
      <c r="E1007" s="31"/>
    </row>
    <row r="1008" ht="28.5" customHeight="1">
      <c r="A1008" s="31"/>
      <c r="B1008" s="31"/>
      <c r="E1008" s="31"/>
    </row>
    <row r="1009" ht="28.5" customHeight="1">
      <c r="A1009" s="31"/>
      <c r="B1009" s="31"/>
      <c r="E1009" s="31"/>
    </row>
    <row r="1010" ht="28.5" customHeight="1">
      <c r="A1010" s="31"/>
      <c r="B1010" s="31"/>
      <c r="E1010" s="31"/>
    </row>
    <row r="1011" ht="28.5" customHeight="1">
      <c r="A1011" s="31"/>
      <c r="B1011" s="31"/>
      <c r="E1011" s="31"/>
    </row>
    <row r="1012" ht="28.5" customHeight="1">
      <c r="A1012" s="31"/>
      <c r="B1012" s="31"/>
      <c r="E1012" s="31"/>
    </row>
    <row r="1013" ht="28.5" customHeight="1">
      <c r="A1013" s="31"/>
      <c r="B1013" s="31"/>
      <c r="E1013" s="31"/>
    </row>
    <row r="1014" ht="28.5" customHeight="1">
      <c r="A1014" s="31"/>
      <c r="B1014" s="31"/>
      <c r="E1014" s="31"/>
    </row>
    <row r="1015" ht="28.5" customHeight="1">
      <c r="A1015" s="31"/>
      <c r="B1015" s="31"/>
      <c r="E1015" s="31"/>
    </row>
    <row r="1016" ht="28.5" customHeight="1">
      <c r="A1016" s="31"/>
      <c r="B1016" s="31"/>
      <c r="E1016" s="31"/>
    </row>
    <row r="1017" ht="28.5" customHeight="1">
      <c r="A1017" s="31"/>
      <c r="B1017" s="31"/>
      <c r="E1017" s="31"/>
    </row>
    <row r="1018" ht="28.5" customHeight="1">
      <c r="A1018" s="31"/>
      <c r="B1018" s="31"/>
      <c r="E1018" s="31"/>
    </row>
    <row r="1019" ht="28.5" customHeight="1">
      <c r="A1019" s="31"/>
      <c r="B1019" s="31"/>
      <c r="E1019" s="31"/>
    </row>
  </sheetData>
  <conditionalFormatting sqref="H254">
    <cfRule type="containsBlanks" dxfId="0" priority="1">
      <formula>LEN(TRIM(H254))=0</formula>
    </cfRule>
  </conditionalFormatting>
  <drawing r:id="rId1"/>
</worksheet>
</file>