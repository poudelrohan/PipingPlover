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janell.brush\Documents\Brush\Shorebird Program\Nonbreeding Data\Mid Winter Shorebird Survey Data All Years\"/>
    </mc:Choice>
  </mc:AlternateContent>
  <xr:revisionPtr revIDLastSave="0" documentId="13_ncr:1_{3E442166-BD93-45F7-819B-8528EA1604ED}" xr6:coauthVersionLast="47" xr6:coauthVersionMax="47" xr10:uidLastSave="{00000000-0000-0000-0000-000000000000}"/>
  <bookViews>
    <workbookView xWindow="-120" yWindow="-120" windowWidth="29040" windowHeight="176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3" i="1" l="1"/>
  <c r="X2" i="1"/>
  <c r="Y3" i="1"/>
  <c r="Y2" i="1"/>
  <c r="Z3" i="1"/>
  <c r="Z2" i="1"/>
  <c r="AH50" i="1"/>
  <c r="AC50" i="1"/>
  <c r="AB50" i="1"/>
  <c r="O50" i="1"/>
</calcChain>
</file>

<file path=xl/sharedStrings.xml><?xml version="1.0" encoding="utf-8"?>
<sst xmlns="http://schemas.openxmlformats.org/spreadsheetml/2006/main" count="2697" uniqueCount="1297">
  <si>
    <t>Transect</t>
  </si>
  <si>
    <t>Start Lat</t>
  </si>
  <si>
    <t>Start Long</t>
  </si>
  <si>
    <t>End Lat</t>
  </si>
  <si>
    <t>End Long</t>
  </si>
  <si>
    <t>Date you did your survey</t>
  </si>
  <si>
    <t>Names of observers</t>
  </si>
  <si>
    <t>Lead observer's email</t>
  </si>
  <si>
    <t>Did you do a complete survey (all birds) or a focal survey?</t>
  </si>
  <si>
    <t>Route Start Time</t>
  </si>
  <si>
    <t>Weather: temperature (optional)</t>
  </si>
  <si>
    <t>Wind (optional)</t>
  </si>
  <si>
    <t>Any additional survey comments?</t>
  </si>
  <si>
    <t>Rain (optional)</t>
  </si>
  <si>
    <t>AMOY</t>
  </si>
  <si>
    <t>American Avocet</t>
  </si>
  <si>
    <t>Back-bellied Plover</t>
  </si>
  <si>
    <t>Dunlin</t>
  </si>
  <si>
    <t>Greater Yellowlegs</t>
  </si>
  <si>
    <t>Killdeer</t>
  </si>
  <si>
    <t>Least Sandpiper</t>
  </si>
  <si>
    <t>Lesser Yellowlegs</t>
  </si>
  <si>
    <t>Long-billed Curlew</t>
  </si>
  <si>
    <t>Long-billed Dowitcher</t>
  </si>
  <si>
    <t>Marbled Godwit</t>
  </si>
  <si>
    <t>PIPL</t>
  </si>
  <si>
    <t>REKN</t>
  </si>
  <si>
    <t>Ruddy Turnstone</t>
  </si>
  <si>
    <t>Sanderling</t>
  </si>
  <si>
    <t>Semi-palmated Plover</t>
  </si>
  <si>
    <t>SEPL</t>
  </si>
  <si>
    <t>SNPL</t>
  </si>
  <si>
    <t>Spotted Sandpiper</t>
  </si>
  <si>
    <t>WESA</t>
  </si>
  <si>
    <t>Whimbrel</t>
  </si>
  <si>
    <t>Willet</t>
  </si>
  <si>
    <t>WIPL</t>
  </si>
  <si>
    <t>Wilson's Snipe</t>
  </si>
  <si>
    <t>Dowitcher (species unknown)</t>
  </si>
  <si>
    <t>Sandpiper (species unknown)</t>
  </si>
  <si>
    <t>Yellowlegs (species unknown)</t>
  </si>
  <si>
    <t>BLSK</t>
  </si>
  <si>
    <t>Bonaparte's Gull</t>
  </si>
  <si>
    <t>Brown Booby</t>
  </si>
  <si>
    <t>Brown Pelican</t>
  </si>
  <si>
    <t>Caspian Tern</t>
  </si>
  <si>
    <t>Common Tern</t>
  </si>
  <si>
    <t>Double-crested Cormorant</t>
  </si>
  <si>
    <t>Forster's Tern</t>
  </si>
  <si>
    <t>Glaucous Gull</t>
  </si>
  <si>
    <t>Great Black-backed Gull</t>
  </si>
  <si>
    <t>Herring Gull</t>
  </si>
  <si>
    <t>Laughing Gull</t>
  </si>
  <si>
    <t>Lesser Black-backed Gull</t>
  </si>
  <si>
    <t>Ring-billed Gull</t>
  </si>
  <si>
    <t>Royal Tern</t>
  </si>
  <si>
    <t>Sandwich Tern</t>
  </si>
  <si>
    <t>Vega Gull</t>
  </si>
  <si>
    <t>White Pelican</t>
  </si>
  <si>
    <t>1AMOY</t>
  </si>
  <si>
    <t>1Amoybands</t>
  </si>
  <si>
    <t>1BLSK</t>
  </si>
  <si>
    <t>1BLSK bands</t>
  </si>
  <si>
    <t>1Lat</t>
  </si>
  <si>
    <t>1Long</t>
  </si>
  <si>
    <t>1PIPL</t>
  </si>
  <si>
    <t>1PIPL ands</t>
  </si>
  <si>
    <t>1REKN</t>
  </si>
  <si>
    <t>1REKNbands</t>
  </si>
  <si>
    <t>1SNPL</t>
  </si>
  <si>
    <t>1SNPLbands</t>
  </si>
  <si>
    <t>1WIPL</t>
  </si>
  <si>
    <t>1WIPLbands</t>
  </si>
  <si>
    <t>2AMOY</t>
  </si>
  <si>
    <t>2AMOYbands</t>
  </si>
  <si>
    <t>2BLSK</t>
  </si>
  <si>
    <t>2BLSKbands</t>
  </si>
  <si>
    <t>2Lat</t>
  </si>
  <si>
    <t>2Long</t>
  </si>
  <si>
    <t>2nonfocals</t>
  </si>
  <si>
    <t>2PIPL</t>
  </si>
  <si>
    <t>2PIPLbands</t>
  </si>
  <si>
    <t>2REKN</t>
  </si>
  <si>
    <t>2REKNbands</t>
  </si>
  <si>
    <t>2SNPL</t>
  </si>
  <si>
    <t>2SNPLbands</t>
  </si>
  <si>
    <t>2WIPL</t>
  </si>
  <si>
    <t>2WIPLbands</t>
  </si>
  <si>
    <t>3AMOY</t>
  </si>
  <si>
    <t>3AMOYbands</t>
  </si>
  <si>
    <t>3BLSK</t>
  </si>
  <si>
    <t>3BLSKbands</t>
  </si>
  <si>
    <t>3Lat</t>
  </si>
  <si>
    <t>3Long</t>
  </si>
  <si>
    <t>3nonfocals</t>
  </si>
  <si>
    <t>3PIPL</t>
  </si>
  <si>
    <t>3PIPLbands</t>
  </si>
  <si>
    <t>3REKN</t>
  </si>
  <si>
    <t>3REKNbands</t>
  </si>
  <si>
    <t>3SNPL</t>
  </si>
  <si>
    <t>3SNPLbands</t>
  </si>
  <si>
    <t>3WIPL</t>
  </si>
  <si>
    <t>3WIPLbands</t>
  </si>
  <si>
    <t>4AMOY</t>
  </si>
  <si>
    <t>4AMOYbands</t>
  </si>
  <si>
    <t>4BLSK</t>
  </si>
  <si>
    <t>4BLSKbands</t>
  </si>
  <si>
    <t>4Lat</t>
  </si>
  <si>
    <t>4Long</t>
  </si>
  <si>
    <t>4nonfocals</t>
  </si>
  <si>
    <t>4PIPL</t>
  </si>
  <si>
    <t>4PIPLbands</t>
  </si>
  <si>
    <t>4REKN</t>
  </si>
  <si>
    <t>4REKNbands</t>
  </si>
  <si>
    <t>4SNPL</t>
  </si>
  <si>
    <t>4SNPLbands</t>
  </si>
  <si>
    <t>4WIPL</t>
  </si>
  <si>
    <t>4WIPLbands</t>
  </si>
  <si>
    <t>5AMOY</t>
  </si>
  <si>
    <t>5AMOYbands</t>
  </si>
  <si>
    <t>5BLSK</t>
  </si>
  <si>
    <t>5BLSKbands</t>
  </si>
  <si>
    <t>5Lat</t>
  </si>
  <si>
    <t>5Long</t>
  </si>
  <si>
    <t>5nonfocals</t>
  </si>
  <si>
    <t>5PIPL</t>
  </si>
  <si>
    <t>5PIPLbands</t>
  </si>
  <si>
    <t>5REKN</t>
  </si>
  <si>
    <t>5REKNbands</t>
  </si>
  <si>
    <t>5SNPL</t>
  </si>
  <si>
    <t>5SNPLbands</t>
  </si>
  <si>
    <t>5WIPL</t>
  </si>
  <si>
    <t>5WIPLbands</t>
  </si>
  <si>
    <t>6AMOY</t>
  </si>
  <si>
    <t>6AMOYbands</t>
  </si>
  <si>
    <t>6BLSK</t>
  </si>
  <si>
    <t>6BLSKbands</t>
  </si>
  <si>
    <t>6Lat</t>
  </si>
  <si>
    <t>6Long</t>
  </si>
  <si>
    <t>6nonfocals</t>
  </si>
  <si>
    <t>6PIPL</t>
  </si>
  <si>
    <t>6PIPLbands</t>
  </si>
  <si>
    <t>6REKN</t>
  </si>
  <si>
    <t>6REKNbands</t>
  </si>
  <si>
    <t>6SNPL</t>
  </si>
  <si>
    <t>6SNPLbands</t>
  </si>
  <si>
    <t>6WIPL</t>
  </si>
  <si>
    <t>6WIPLbands</t>
  </si>
  <si>
    <t>7AMOY</t>
  </si>
  <si>
    <t>7AMOYbands</t>
  </si>
  <si>
    <t>7BLSK</t>
  </si>
  <si>
    <t>7BLSKbands</t>
  </si>
  <si>
    <t>7Lat</t>
  </si>
  <si>
    <t>7Long</t>
  </si>
  <si>
    <t>7nonfocals</t>
  </si>
  <si>
    <t>7PIPL</t>
  </si>
  <si>
    <t>7PIPLbands</t>
  </si>
  <si>
    <t>7REKN</t>
  </si>
  <si>
    <t>7REKNbands</t>
  </si>
  <si>
    <t>7SNPL</t>
  </si>
  <si>
    <t>7SNPLbands</t>
  </si>
  <si>
    <t>7WIPL</t>
  </si>
  <si>
    <t>7WIPLbands</t>
  </si>
  <si>
    <t>8AMOY</t>
  </si>
  <si>
    <t>8AMOYbands</t>
  </si>
  <si>
    <t>8BLSK</t>
  </si>
  <si>
    <t>8BLSKbands</t>
  </si>
  <si>
    <t>8Lat</t>
  </si>
  <si>
    <t>8Long</t>
  </si>
  <si>
    <t>8nonfocals</t>
  </si>
  <si>
    <t>8PIPL</t>
  </si>
  <si>
    <t>8PIPLbands</t>
  </si>
  <si>
    <t>8REKN</t>
  </si>
  <si>
    <t>8REKNbands</t>
  </si>
  <si>
    <t>8SNPL</t>
  </si>
  <si>
    <t>8SNPLbands</t>
  </si>
  <si>
    <t>8WIPL</t>
  </si>
  <si>
    <t>8WIPLbands</t>
  </si>
  <si>
    <t>9AMOY</t>
  </si>
  <si>
    <t>9AMOYbands</t>
  </si>
  <si>
    <t>9BLSK</t>
  </si>
  <si>
    <t>9BLSKbands</t>
  </si>
  <si>
    <t>9Lat</t>
  </si>
  <si>
    <t>9Long</t>
  </si>
  <si>
    <t>9nonfocals</t>
  </si>
  <si>
    <t>9PIPL</t>
  </si>
  <si>
    <t>9PIPLbands</t>
  </si>
  <si>
    <t>9REKN</t>
  </si>
  <si>
    <t>9REKNbands</t>
  </si>
  <si>
    <t>9SNPL</t>
  </si>
  <si>
    <t>9SNPLbands</t>
  </si>
  <si>
    <t>9WIPL</t>
  </si>
  <si>
    <t>9WIPLbands</t>
  </si>
  <si>
    <t>10AMOY</t>
  </si>
  <si>
    <t>10AMOYbands</t>
  </si>
  <si>
    <t>10BLSK</t>
  </si>
  <si>
    <t>10BLSKbands</t>
  </si>
  <si>
    <t>10Lat</t>
  </si>
  <si>
    <t>10Long</t>
  </si>
  <si>
    <t>10nonfocals</t>
  </si>
  <si>
    <t>10PIPL</t>
  </si>
  <si>
    <t>10PIPLbands</t>
  </si>
  <si>
    <t>10REKN</t>
  </si>
  <si>
    <t>10REKNbands</t>
  </si>
  <si>
    <t>10SNPL</t>
  </si>
  <si>
    <t>10SNPLbands</t>
  </si>
  <si>
    <t>10WIPL</t>
  </si>
  <si>
    <t>10WIPLbands</t>
  </si>
  <si>
    <t>11AMOY</t>
  </si>
  <si>
    <t>11AMOYbands</t>
  </si>
  <si>
    <t>11BLSK</t>
  </si>
  <si>
    <t>11BLSKbands</t>
  </si>
  <si>
    <t>11Lat</t>
  </si>
  <si>
    <t>11Long</t>
  </si>
  <si>
    <t>11nonfocals</t>
  </si>
  <si>
    <t>11PIPL</t>
  </si>
  <si>
    <t>11PIPLbands</t>
  </si>
  <si>
    <t>11REKN</t>
  </si>
  <si>
    <t>11REKNbands</t>
  </si>
  <si>
    <t>11SNPL</t>
  </si>
  <si>
    <t>11SNPLbands</t>
  </si>
  <si>
    <t>11WIPL</t>
  </si>
  <si>
    <t>11WIPLbands</t>
  </si>
  <si>
    <t>12AMOY</t>
  </si>
  <si>
    <t>12AMOYbands</t>
  </si>
  <si>
    <t>12BLSK</t>
  </si>
  <si>
    <t>12BLSKbands</t>
  </si>
  <si>
    <t>12Lat</t>
  </si>
  <si>
    <t>12Long</t>
  </si>
  <si>
    <t>12nonfocals</t>
  </si>
  <si>
    <t>12PIPL</t>
  </si>
  <si>
    <t>12PIPLbands</t>
  </si>
  <si>
    <t>12REKN</t>
  </si>
  <si>
    <t>12REKNbands</t>
  </si>
  <si>
    <t>12SNPL</t>
  </si>
  <si>
    <t>12SNPLbands</t>
  </si>
  <si>
    <t>12WIPL</t>
  </si>
  <si>
    <t>12WIPLbands</t>
  </si>
  <si>
    <t>13AMOY</t>
  </si>
  <si>
    <t>13AMOYbands</t>
  </si>
  <si>
    <t>13BLSK</t>
  </si>
  <si>
    <t>13BLSKbands</t>
  </si>
  <si>
    <t>13Lat</t>
  </si>
  <si>
    <t>13Long</t>
  </si>
  <si>
    <t>13nonfocals</t>
  </si>
  <si>
    <t>13PIPL</t>
  </si>
  <si>
    <t>13PIPLbands</t>
  </si>
  <si>
    <t>13REKN</t>
  </si>
  <si>
    <t>13REKNbands</t>
  </si>
  <si>
    <t>13SNPL</t>
  </si>
  <si>
    <t>13SNPLbands</t>
  </si>
  <si>
    <t>13WIPL</t>
  </si>
  <si>
    <t>13WIPLbands</t>
  </si>
  <si>
    <t>14AMOY</t>
  </si>
  <si>
    <t>14AMOYbands</t>
  </si>
  <si>
    <t>14BLSK</t>
  </si>
  <si>
    <t>14BLSKbands</t>
  </si>
  <si>
    <t>14Lat</t>
  </si>
  <si>
    <t>14Long</t>
  </si>
  <si>
    <t>14nonfocals</t>
  </si>
  <si>
    <t>14PIPL</t>
  </si>
  <si>
    <t>14PIPLbands</t>
  </si>
  <si>
    <t>14REKN</t>
  </si>
  <si>
    <t>14REKNbands</t>
  </si>
  <si>
    <t>14SNPL</t>
  </si>
  <si>
    <t>14SNPLbands</t>
  </si>
  <si>
    <t>14WIPL</t>
  </si>
  <si>
    <t>14WIPLbands</t>
  </si>
  <si>
    <t>15AMOY</t>
  </si>
  <si>
    <t>15AMOYbands</t>
  </si>
  <si>
    <t>15BLSK</t>
  </si>
  <si>
    <t>15BLSKbands</t>
  </si>
  <si>
    <t>15Lat</t>
  </si>
  <si>
    <t>15Long</t>
  </si>
  <si>
    <t>15nonfocals</t>
  </si>
  <si>
    <t>15PIPL</t>
  </si>
  <si>
    <t>15PIPLbands</t>
  </si>
  <si>
    <t>15REKN</t>
  </si>
  <si>
    <t>15REKNbands</t>
  </si>
  <si>
    <t>15SNPL</t>
  </si>
  <si>
    <t>15SNPLbands</t>
  </si>
  <si>
    <t>15WIPL</t>
  </si>
  <si>
    <t>15WIPLbands</t>
  </si>
  <si>
    <t>16AMOY</t>
  </si>
  <si>
    <t>16Lat</t>
  </si>
  <si>
    <t>16Long</t>
  </si>
  <si>
    <t>16others</t>
  </si>
  <si>
    <t>16REKN</t>
  </si>
  <si>
    <t>16SNPL</t>
  </si>
  <si>
    <t>16SNPLbands</t>
  </si>
  <si>
    <t>16WIPL</t>
  </si>
  <si>
    <t>16WIPLbands</t>
  </si>
  <si>
    <t>17AMOY</t>
  </si>
  <si>
    <t>17AMOYbands</t>
  </si>
  <si>
    <t>17BLSK</t>
  </si>
  <si>
    <t>17BLSKbands</t>
  </si>
  <si>
    <t>17Lat</t>
  </si>
  <si>
    <t>17Long</t>
  </si>
  <si>
    <t>17nonfocals</t>
  </si>
  <si>
    <t>17PIPL</t>
  </si>
  <si>
    <t>17PIPLbands</t>
  </si>
  <si>
    <t>17REKN</t>
  </si>
  <si>
    <t>17REKNbands</t>
  </si>
  <si>
    <t>17SNPL</t>
  </si>
  <si>
    <t>17SNPLbands</t>
  </si>
  <si>
    <t>17WIPL</t>
  </si>
  <si>
    <t>17WIPLbands</t>
  </si>
  <si>
    <t>19AMOY</t>
  </si>
  <si>
    <t>19AMOYbands</t>
  </si>
  <si>
    <t>19BLSK</t>
  </si>
  <si>
    <t>19BLSKbands</t>
  </si>
  <si>
    <t>19Lat</t>
  </si>
  <si>
    <t>19Long</t>
  </si>
  <si>
    <t>19nonfocals</t>
  </si>
  <si>
    <t>19PIPL</t>
  </si>
  <si>
    <t>19PIPLbands</t>
  </si>
  <si>
    <t>19REKN</t>
  </si>
  <si>
    <t>19REKNbands</t>
  </si>
  <si>
    <t>19SNPL</t>
  </si>
  <si>
    <t>19SNPLbands</t>
  </si>
  <si>
    <t>19WIPL</t>
  </si>
  <si>
    <t>19WIPLbands</t>
  </si>
  <si>
    <t>20lat</t>
  </si>
  <si>
    <t>20long</t>
  </si>
  <si>
    <t>20non-foals</t>
  </si>
  <si>
    <t>Extra</t>
  </si>
  <si>
    <t>Lake Ingraham , Sandy and Carl Ross Keys</t>
  </si>
  <si>
    <t>Lori Oberhofer, Raul Urgelles, John Kipp</t>
  </si>
  <si>
    <t>lori_oberhofer@nps.gov</t>
  </si>
  <si>
    <t>All birds (includes focal and banded</t>
  </si>
  <si>
    <t>70-80F</t>
  </si>
  <si>
    <t>Breezy</t>
  </si>
  <si>
    <t>Surveyed Lake Ingraham and Sandy and Carl Ross Keys. End time was 15:50.</t>
  </si>
  <si>
    <t>No Rain</t>
  </si>
  <si>
    <t>BBPL - 51, ROYT - 45</t>
  </si>
  <si>
    <t>SPSA - 1</t>
  </si>
  <si>
    <t>WHIM - 9</t>
  </si>
  <si>
    <t>BBPL - 35</t>
  </si>
  <si>
    <t>Calidris sp. - 4</t>
  </si>
  <si>
    <t>MAGO - 2, WILL - 95, SBDO - 3</t>
  </si>
  <si>
    <t>BBPL - 28</t>
  </si>
  <si>
    <t>BBPL - 73</t>
  </si>
  <si>
    <t>Calidris sp. - 300</t>
  </si>
  <si>
    <t>LESA - 1280, WESA - 320</t>
  </si>
  <si>
    <t>LESA - 2200</t>
  </si>
  <si>
    <t>LESA - 2050</t>
  </si>
  <si>
    <t>SPSA - 1, LESA - 1300</t>
  </si>
  <si>
    <t>SEPL - 400, WESA - 10, SPSA - 2</t>
  </si>
  <si>
    <t>No bands or flags.</t>
  </si>
  <si>
    <t>WHIM - 4, SPSA - 2</t>
  </si>
  <si>
    <t>LESA - 250, WHIM - 1</t>
  </si>
  <si>
    <t>SPSA - 2, LESA - 130</t>
  </si>
  <si>
    <t>SAND - 90</t>
  </si>
  <si>
    <t>BBPL - 31</t>
  </si>
  <si>
    <t>3-D</t>
  </si>
  <si>
    <t>Morgan Parks, Eric Plage, Lorraine Margeson, Bo Fethe, Jackie Julien, Mark Rachal, Holley Short</t>
  </si>
  <si>
    <t>MORGAN.PARKS@MYFWC.COM</t>
  </si>
  <si>
    <t>Brown Perlicans-14, no bands</t>
  </si>
  <si>
    <t>A1-FEB</t>
  </si>
  <si>
    <t>Rick Schofeld</t>
  </si>
  <si>
    <t>bgarret@sfwmd.gov</t>
  </si>
  <si>
    <t>ACNWR Golden Sands-Ambersands</t>
  </si>
  <si>
    <t>Samantha Pessolano</t>
  </si>
  <si>
    <t>sam@ecological-associates.com</t>
  </si>
  <si>
    <t>Light Wind</t>
  </si>
  <si>
    <t>Alligator Harbor North &amp; South</t>
  </si>
  <si>
    <t>Caity Reiland-Smith, Ezra Thompson</t>
  </si>
  <si>
    <t>Caity.Reiland-smith@myfwc.com</t>
  </si>
  <si>
    <t>50-60F</t>
  </si>
  <si>
    <t>Calm</t>
  </si>
  <si>
    <t>R(88)//:R(88)//S - Vertical</t>
  </si>
  <si>
    <t>WILL-15, BBPL-16, DUNL-39, GRYE-1, SBDO-3, RUTU-8</t>
  </si>
  <si>
    <t>R(89)//:R(89)//S</t>
  </si>
  <si>
    <t>Marvin Friel</t>
  </si>
  <si>
    <t>marvin.friel@myfwc.com</t>
  </si>
  <si>
    <t>60-70F</t>
  </si>
  <si>
    <t>Ended time 1310, by vehicle</t>
  </si>
  <si>
    <t>Alligator Point</t>
  </si>
  <si>
    <t>WALKED</t>
  </si>
  <si>
    <t>gf(CMN)//:S, will report; pics taken, super faded flag code</t>
  </si>
  <si>
    <t>Merlin observed on a closed area post on return in this location</t>
  </si>
  <si>
    <t>3: S//W:BK female, S(K/W)//:WO male, S//WB:R female</t>
  </si>
  <si>
    <t>2: b//K:b//K female, RW:S(G)// male</t>
  </si>
  <si>
    <t>11: Of//GG:S//K, Gf//OO:X//GB, Yf(O64 or O6Y)//WK:S//bW, Of//OB:S//Y, Gf//BB:G(00)//WY, Gf(4EP)//X:O//X, O(yellow dot)//Y:S//Y, O(red dot)//X:S//b, S//X:O//X, O:S//Y(#38), O(green dot?):S//K (#?)</t>
  </si>
  <si>
    <t>Alligator Point Docks</t>
  </si>
  <si>
    <t>Caity Reiland-Smith</t>
  </si>
  <si>
    <t>Caity.reiland-smith@myfwc.com</t>
  </si>
  <si>
    <t>Only focal and banded</t>
  </si>
  <si>
    <t>This is a new route named "Alligator Point Docks"</t>
  </si>
  <si>
    <t>Amelia Island State Park</t>
  </si>
  <si>
    <t>Allison Conboy, Joan Becker, Richard Becker</t>
  </si>
  <si>
    <t>Allison.Conboy@dep.state.fl.us</t>
  </si>
  <si>
    <t>Fair, party cloudy, tall rising, nearest low at 6:55 a.m.</t>
  </si>
  <si>
    <t>n/a</t>
  </si>
  <si>
    <t>None Banded</t>
  </si>
  <si>
    <t>WIPL all roosting in upper dunes/wrack/vegetation sheltering from wind with 120 SEPL, 3 SAND &amp; 6 WESA</t>
  </si>
  <si>
    <t>Anastasia State Park Back Bay</t>
  </si>
  <si>
    <t>S. Killeen, J, DePue, D. Jones</t>
  </si>
  <si>
    <t>mypuffins@gmail.com</t>
  </si>
  <si>
    <t>Anastasia State Park Beach</t>
  </si>
  <si>
    <t>S. Killeen, J. DePue, D. Jones</t>
  </si>
  <si>
    <t>no bands noted</t>
  </si>
  <si>
    <t>not banded</t>
  </si>
  <si>
    <t>none banded</t>
  </si>
  <si>
    <t>Anclote Key North (Pasco)</t>
  </si>
  <si>
    <t>Dan Larremore, Tom Reynolds</t>
  </si>
  <si>
    <t>daniel.larremore@dep.state.fl.us</t>
  </si>
  <si>
    <t>none</t>
  </si>
  <si>
    <t>2 banded. 1) LL=O,splitbandW/O /Y RL=S,Y 2) L9U LL=FG RL=_ photo taken</t>
  </si>
  <si>
    <t>BRPE 60, DCCO 25, ROYT 25, FOTE 20, RBGU 12</t>
  </si>
  <si>
    <t>SAND 70, BRPE 20, DCCO 52</t>
  </si>
  <si>
    <t>Anclote Key South (Pinellas)</t>
  </si>
  <si>
    <t>Lillian Kenney, Brooke Hogrefe</t>
  </si>
  <si>
    <t>likenney@aol.com, besandpinealliance@gmail.com</t>
  </si>
  <si>
    <t>LL= _,O RL=_,O photo taken, sent to RayaP</t>
  </si>
  <si>
    <t>Anna Maria Island</t>
  </si>
  <si>
    <t>Suzi Fox Skip Coyne</t>
  </si>
  <si>
    <t>suziLfox@gmail.com</t>
  </si>
  <si>
    <t>Apalachicola Breakwater</t>
  </si>
  <si>
    <t>Ezra Thompson</t>
  </si>
  <si>
    <t>ezra.thompson@MyFWC.com</t>
  </si>
  <si>
    <t>Archie Carr 1</t>
  </si>
  <si>
    <t>Nichole Perna</t>
  </si>
  <si>
    <t>nichole.perna@brevardfl.gov</t>
  </si>
  <si>
    <t>Archie Carr 2</t>
  </si>
  <si>
    <t>Mike Lee</t>
  </si>
  <si>
    <t>Atlantic Dunes Park to Palm Beach (Monceau Court)</t>
  </si>
  <si>
    <t>Kelly Martin, Jenny Baez</t>
  </si>
  <si>
    <t>kmartin@pbcgov.org</t>
  </si>
  <si>
    <t>Survey routes do not line up exactly with designated start/stop point names due to seawalls and jetties preventing us from passing. However, all stretches that we signed up for were covered.</t>
  </si>
  <si>
    <t>Audubon Island, Bay County</t>
  </si>
  <si>
    <t>Kevin Christman, Marvin Friel, Molly Tuma, BEth Wrigth</t>
  </si>
  <si>
    <t>Kevin.Christman@myfwc.com</t>
  </si>
  <si>
    <t>Audubon Island. Bay County. 85%CC, wind 4-7mph, surf calm, low tide rising at about -0.1ft. People 0, boats 0, predators 0.</t>
  </si>
  <si>
    <t>DCCO 150, BRPE 53, SNEG 3, HERG 8, RBGU 6</t>
  </si>
  <si>
    <t>Avalon State Park</t>
  </si>
  <si>
    <t>Scott Tedford</t>
  </si>
  <si>
    <t>scott.tedford@dep.state.fl.us</t>
  </si>
  <si>
    <t>Bahia Honda State Park</t>
  </si>
  <si>
    <t>Janice Duquesnel, Becky Collins, Mark Lee, Susan Kolterman</t>
  </si>
  <si>
    <t>Janice.Duquesnel@dep.state.fl.us</t>
  </si>
  <si>
    <t>Medium Wind</t>
  </si>
  <si>
    <t>Bald Point South</t>
  </si>
  <si>
    <t>Kevin Christman</t>
  </si>
  <si>
    <t>Bald Point South. Mud Cove to the State Park boundary. 70%CC, wind 4-7mph, surf calm, H tide rising about 1.9ft L0.6 H2.3. River otter 1, opossum 1, coyote 1, dog tracks 6, BAEA 1, AMKE 1, people 1, boats 0. End time 17:05.</t>
  </si>
  <si>
    <t>Bald Point State Park</t>
  </si>
  <si>
    <t>End time: 1656; walked.</t>
  </si>
  <si>
    <t>K(P3)//:K(P3)//S, R(74)//:R(74)//S</t>
  </si>
  <si>
    <t>Barefoot Beach</t>
  </si>
  <si>
    <t>Adam DiNuovo</t>
  </si>
  <si>
    <t>adinuovo@audubon.org</t>
  </si>
  <si>
    <t>844-72187</t>
  </si>
  <si>
    <t>60 Royal Terns, 250 Sanderling, 10 Brown Pelicans</t>
  </si>
  <si>
    <t>50 Royal Terns</t>
  </si>
  <si>
    <t>Bayport Park</t>
  </si>
  <si>
    <t>Bev &amp; Al Hansen</t>
  </si>
  <si>
    <t>bevalhansen@gmail.com</t>
  </si>
  <si>
    <t>Betty Steflik Preserve ICW and marsh</t>
  </si>
  <si>
    <t>Jason Giraulo, Gay Hardy</t>
  </si>
  <si>
    <t>president.flagler.audubon@gmail.com</t>
  </si>
  <si>
    <t>Big Sabine Point</t>
  </si>
  <si>
    <t>Nikki Bennett, Larry Head</t>
  </si>
  <si>
    <t>mpa6@students.uwf.edu</t>
  </si>
  <si>
    <t>Big Talbot Island State Park - North</t>
  </si>
  <si>
    <t>Emily Dunn, Allison Conboy</t>
  </si>
  <si>
    <t>edunn@northfloridalandtrust.org</t>
  </si>
  <si>
    <t>Low tide at 6:55 a.m.</t>
  </si>
  <si>
    <t>Big Talbot Island State Park - South</t>
  </si>
  <si>
    <t>Low tide at 6:55 a.m., rising tide. Other species seen: GBHE 4, HOGR 1, GREG 1</t>
  </si>
  <si>
    <t>Big Talbot Island State Park - Spoonbill</t>
  </si>
  <si>
    <t>Allison Conboy</t>
  </si>
  <si>
    <t>Many birds using mudflats to roost and forage in mixed flocks on rising tide</t>
  </si>
  <si>
    <t>none readable</t>
  </si>
  <si>
    <t>2nd large mixed flock of DUNL, WILL, LBDO, SBDO, GRYL on back/east side roosting and feeding on mudflats</t>
  </si>
  <si>
    <t>none seen</t>
  </si>
  <si>
    <t>Large mixed flock with hundreds of SEPL &amp; DUNL roosting and foraging on mudflats on back/eastern side of Spoonbill pond</t>
  </si>
  <si>
    <t>Bill Baggs Cape Florida State Park</t>
  </si>
  <si>
    <t>Elizabeth Golden</t>
  </si>
  <si>
    <t>Elizabeth.Golden@dep.state.fl.us</t>
  </si>
  <si>
    <t>Light Rain</t>
  </si>
  <si>
    <t>Bird Island</t>
  </si>
  <si>
    <t>Rebekah Augustinowicz, Jamie Scudera, Susan Foley-Pieri, Amy Lemieux, Roger Debruler</t>
  </si>
  <si>
    <t>rebekah.augustinowicz@charlottecountyfl.gov</t>
  </si>
  <si>
    <t>survey done via boat with binoculars</t>
  </si>
  <si>
    <t>Laura Garey and Cait Snyder</t>
  </si>
  <si>
    <t>lgarey@audubon.org</t>
  </si>
  <si>
    <t>Survey combines Bird Island and Towhead Flats. Timed survey for low tide (low @ 14:15), but Towhead Flats were never exposed and no focal species were observed near the flats. Bird Island had a good number of birds.</t>
  </si>
  <si>
    <t>na</t>
  </si>
  <si>
    <t>no</t>
  </si>
  <si>
    <t>Blowing Rocks Preserve, surveyed both the Atlantic shoreline and the Lagoon Shoreline</t>
  </si>
  <si>
    <t>Samuel Howarth, Elizabeth Hailman, Michelle Shorts</t>
  </si>
  <si>
    <t>samuel.howarth@tnc.org</t>
  </si>
  <si>
    <t>Samuel Howarth, Walt Hackenjos, Paul Thomas</t>
  </si>
  <si>
    <t>Group of over 50 sanderlings at Blowing Rocks Preserve Atlantic Shoreline</t>
  </si>
  <si>
    <t>Sarah Martin, Elizabeth Hailman</t>
  </si>
  <si>
    <t>sarah.martin@tnc.org</t>
  </si>
  <si>
    <t>Sarah Martin, Walt Hackenjos</t>
  </si>
  <si>
    <t>Samuel Howarth, Dick Roberts, Lorraine Roberts</t>
  </si>
  <si>
    <t>Boca Raton - North &amp; Central</t>
  </si>
  <si>
    <t>Kirt Rusenko, David Anderson</t>
  </si>
  <si>
    <t>krusenko@myboca.us</t>
  </si>
  <si>
    <t>Boca Raton - South</t>
  </si>
  <si>
    <t>Kirt Rusenko</t>
  </si>
  <si>
    <t>Just 6 ring-bill gulls.</t>
  </si>
  <si>
    <t>Bonfire Beach</t>
  </si>
  <si>
    <t>Barbara Eells</t>
  </si>
  <si>
    <t>pelican@fairpoint.net</t>
  </si>
  <si>
    <t>40-50F</t>
  </si>
  <si>
    <t>Moderate waves, low tide rising, sandy beach , winds were mild and turned breezy near end of hour, 98 % cloudy</t>
  </si>
  <si>
    <t>m XX f //B:SRW</t>
  </si>
  <si>
    <t>S//K:WB m</t>
  </si>
  <si>
    <t>S//R:WB m</t>
  </si>
  <si>
    <t>//B:SGW f m XX</t>
  </si>
  <si>
    <t>Breakers Resort to Palm Beach Inlet</t>
  </si>
  <si>
    <t>Kelly Martin</t>
  </si>
  <si>
    <t>Brookridge Sewage Treatment Facility</t>
  </si>
  <si>
    <t>Bev Hansen, Al Hansen</t>
  </si>
  <si>
    <t>Buck Beach</t>
  </si>
  <si>
    <t>Chris Lipps</t>
  </si>
  <si>
    <t>clipps@audubon.org</t>
  </si>
  <si>
    <t>Of//RB:S//b
 Yf(9C8)//WB:S//bO
 X:X (not banded) 6 total for this point</t>
  </si>
  <si>
    <t>Caladesi Island State Park</t>
  </si>
  <si>
    <t>Frank Brandt, Mike Dyer, Dennis Hunting</t>
  </si>
  <si>
    <t>fbrandt135@gmail.com michael.dyer@dep.state.fl.us</t>
  </si>
  <si>
    <t>LL=FO,G/K RL=_,B photo taken</t>
  </si>
  <si>
    <t>nnone</t>
  </si>
  <si>
    <t>Camp Helen State Park</t>
  </si>
  <si>
    <t>atv-walk; end time:0921</t>
  </si>
  <si>
    <t>4: S/K:GR female, S//R:YB male, Y:S//BB unk, OR:S//W male</t>
  </si>
  <si>
    <t>CANA Apollo beach</t>
  </si>
  <si>
    <t>Michael Cooper, Neil Folsom, Mary Chris</t>
  </si>
  <si>
    <t>michael_cooper@nps.gov</t>
  </si>
  <si>
    <t>CANA Apollo Playalinda</t>
  </si>
  <si>
    <t>Michael Cooper, Neil Folsom, Mary Chris Anderson</t>
  </si>
  <si>
    <t>Cape Canaveral AFS</t>
  </si>
  <si>
    <t>Angy Chambers, Martha Carson</t>
  </si>
  <si>
    <t>angy.chambers@us.af.mil</t>
  </si>
  <si>
    <t>Surveyed 25 minutes before low tide</t>
  </si>
  <si>
    <t>Captiva 1 (Blind Pass to Captiva Dr. SW)</t>
  </si>
  <si>
    <t>Audrey Albrecht, Tayelor Gosselin</t>
  </si>
  <si>
    <t>aalbrecht@sccf.org</t>
  </si>
  <si>
    <t>Routes are same as those used in FSD. Walked North to South.</t>
  </si>
  <si>
    <t>Captiva 2 (Captiva Dr. SW to North tip of Captiva)</t>
  </si>
  <si>
    <t>Routes are same as those used in FSD. Walked north to south.</t>
  </si>
  <si>
    <t>This group is usually on beach, but due to people on beach they were on small sandbar just offshore on this occasion. Group included: 427 BLSK, 39 BRPE, 3 DCCO, 24 LAGU, 4 RBGU, 8 ROYT, and 2 LBBG. (All these numbers are accounted for on survey total tallies).</t>
  </si>
  <si>
    <t>Carrabelle Beach</t>
  </si>
  <si>
    <t>Carrabelle Beach, 95%CC, wind 0-3mph, surf calm, tide low rising about 0.8ft L0.4 H1.9. Dogs Unleashed 5. FICR 2. People 31. Dog tracks 6. Educated 2.</t>
  </si>
  <si>
    <t>all X:X. Flushed by WALK twice. Flushed by DogU once.</t>
  </si>
  <si>
    <t>MAGO 14, GRYE 1, LESA 4, SBDO 3, DUNL 25, SAND 16, WILL 18, BBPL 2, SNEG 1, RUTU 7, FOTE 1, ROYT 1, CATE 1, LAGU 2</t>
  </si>
  <si>
    <t>BBPL 1, SAND 1, SEPL 8, LESA 4, WILL 4, MAGO 1, DUNL 35</t>
  </si>
  <si>
    <t>all X:X</t>
  </si>
  <si>
    <t>WILL 16, RBGU 4, KILL 1, SAND 16.</t>
  </si>
  <si>
    <t>Casperson Beach</t>
  </si>
  <si>
    <t>Peg Magee, Dawn Finnerty</t>
  </si>
  <si>
    <t>z4539pr@msn.com</t>
  </si>
  <si>
    <t>Cat Point</t>
  </si>
  <si>
    <t>This is a new route named "Cat Point"</t>
  </si>
  <si>
    <t>Cayo Costa State Park</t>
  </si>
  <si>
    <t>Karen Rogers, Robert Longo, Austin Monnett</t>
  </si>
  <si>
    <t>karen.m.rogers@dep.state.fl.us</t>
  </si>
  <si>
    <t>We were not able to complete the survey for the entire length of the island due to vehicle trouble.</t>
  </si>
  <si>
    <t>Central Lake Worth Lagoon</t>
  </si>
  <si>
    <t>David Carson, T.J. Steinhoff</t>
  </si>
  <si>
    <t>dcarson@pbcgov.org</t>
  </si>
  <si>
    <t>Route name: Central Lake Worth Lagoon</t>
  </si>
  <si>
    <t>Clam Pass Park</t>
  </si>
  <si>
    <t>Kim Savides</t>
  </si>
  <si>
    <t>kim.savides@gmail.com</t>
  </si>
  <si>
    <t>GE(A43), GE(B10), GE(B15), GE(C15), GE(C22), GE(C45), GE(C65), GE(C70), GE(C90), YE(A41), YE(L12), YE(L13), YE(N19), YE(N24), YE(N71), BE(A18), BE(A20), BE(A31). All reported to Adam DiNuovo and posted on Florida Banded Birds FB page</t>
  </si>
  <si>
    <t>Clearwater Beach - North</t>
  </si>
  <si>
    <t>Jeff Liechty</t>
  </si>
  <si>
    <t>jliechty@audubon.org</t>
  </si>
  <si>
    <t>7 leashed dogs on survey route</t>
  </si>
  <si>
    <t>Courtney Campbell Causeway (Pinellas)</t>
  </si>
  <si>
    <t>Robert Lane, Denise Lane, Jane Mann, Stephen Mann</t>
  </si>
  <si>
    <t>ohiomagpie@hotmail.com</t>
  </si>
  <si>
    <t>Route includes Old Tampa Bay viewed from Bayview in Pinellas to Rocky Point in Hillsborough.</t>
  </si>
  <si>
    <t>BRPE-5,BBPL-5,MAGO-49,WILL-74,LAGU-260,RBGU-35,FOTE-28</t>
  </si>
  <si>
    <t>1) YFC, Orange band black letters, Triangular, upper left band, lower left metal
 2) P4, Black band with white letters, Vertical, upper left band, lower left none. Unseen right leg.</t>
  </si>
  <si>
    <t>BRPE-4,RUTU-3,LAGU-2,RBGU-14</t>
  </si>
  <si>
    <t>1) YAC, Orange band with black letters, Triangular, upper left band, lower left metal.
 2) K6, Black band with yellow letters, Vertical, location of metal band unknown.
 3) YJ6, Orange band with black letters, Triangular, location of metal band unknown.</t>
  </si>
  <si>
    <t>DCCO-12,BRPE-15,SEPL-12, SAND-39,DUNL-35,LESA-15,WILL-1,BOGU-4,LAGU-120,RBGU-50,ROTE-3</t>
  </si>
  <si>
    <t>Crandon Park Beach</t>
  </si>
  <si>
    <t>Robin Diaz, Miriam Avello</t>
  </si>
  <si>
    <t>rd4birds@bellsouth.net</t>
  </si>
  <si>
    <t>1. bf (missing) S, Y/G: -, G/K (photo; 5th winter)
 2. Gf (5TH), -: O, - (photo; 3rd winter)
 3. O (green dot), O/Y: S, - (photo; 3rd winter)
 4. Gf (M9E), -: O, - (photo)
 5. Yf (4Y?), -: S, - (photo)</t>
  </si>
  <si>
    <t>Crooked Island East</t>
  </si>
  <si>
    <t>Kevin Christman, Jared Kwitowski, Molly Tuma</t>
  </si>
  <si>
    <t>kevin.christman@myfwc.com</t>
  </si>
  <si>
    <t>Wind 13-18mph, start at 60F, tide L rising at 0.5ft, only tide on day low at 0.5, 45%CC, surf calm, UTV 1, EDU 2. COY 1, NOHA 1, BAEA 5, LOSH 1. PPL 33</t>
  </si>
  <si>
    <t>S//:WW female, BG:S//K male, reported to bander</t>
  </si>
  <si>
    <t>KO:S//W male, reported to bander</t>
  </si>
  <si>
    <t>DCCO 24</t>
  </si>
  <si>
    <t>bb//:GG// male, X:X male, reported to bander</t>
  </si>
  <si>
    <t>HERG 15, RBGU 200, ROYT 4, BOGU 2, LAGU 1, FOTE 1, GBHE 1</t>
  </si>
  <si>
    <t>KG:S//Y male, reported to bander</t>
  </si>
  <si>
    <t>OK:S//W female, Y:S//YK male, reported to bander</t>
  </si>
  <si>
    <t>OO:S//Y male, GO//:Gb// female, S//W:YG female, X:X male, reported to bander</t>
  </si>
  <si>
    <t>WILL 8, BBPL 3, RBGU 6, HERG 3, SAND 56, DUNL 11</t>
  </si>
  <si>
    <t>RO:S(K/W)// female, X:X male, reported to bander</t>
  </si>
  <si>
    <t>Y:S//YK female, X:S//YR male, WW:S//W male, X:X male, X:X female, reported to bander</t>
  </si>
  <si>
    <t>Y:S//OG male, BY:S(K/W)// female, X:X male, X:X male, reported to bander</t>
  </si>
  <si>
    <t>GR:S//Y male, reported to bander</t>
  </si>
  <si>
    <t>WB:S//Y female, X:X male, X:X female, reported to bander</t>
  </si>
  <si>
    <t>Yb//:YY// female, KB:S//W male, reported to bander, *KB:S//W male may have been seen on Bonfire earlier in day*</t>
  </si>
  <si>
    <t>RBGU 69, HERG 1, BOGU 2, KILL 4, TUVU 10, BBPL 1, BRPE 2, BAEA 2</t>
  </si>
  <si>
    <t>Crooked Island West</t>
  </si>
  <si>
    <t>Chris Lipps, April Clark</t>
  </si>
  <si>
    <t>//R:S(G)//W</t>
  </si>
  <si>
    <t>//WK:S//W
 X:X (not banded) one total for this point
 //WY:S//W
 S//O://KY
 //B:S//GG
 //B:S//YW
 //B:S//GO
 //R://OO</t>
  </si>
  <si>
    <t>S//W://GK
 X:X (not banded) one total for this point</t>
  </si>
  <si>
    <t>//RB:S//W
 //Y:S//OY
 X:X (not banded) one total for this point</t>
  </si>
  <si>
    <t>//YS://OB
 X:X (not banded) one total for this point
 S//O://BB</t>
  </si>
  <si>
    <t>//Y:S//WO
 X:X (not banded) 3 total for this point
 //WK:S//X
 //GK:S//K
 //Y:S//RK
 S(G)//://YB</t>
  </si>
  <si>
    <t>X:S//YB</t>
  </si>
  <si>
    <t>//WR:S//K
 //B:S//WG
 S//K://RB
 X:X (not banded) one total for this point</t>
  </si>
  <si>
    <t>Curry Hammock State Park</t>
  </si>
  <si>
    <t>Janice Duquesnel</t>
  </si>
  <si>
    <t>Dagny Johnson KLHBSP - boat rout</t>
  </si>
  <si>
    <t>Trudy Ferraro</t>
  </si>
  <si>
    <t>Trudy.Ferraro@dep.state.fl.us</t>
  </si>
  <si>
    <t>boat had just driven by and flushed all the birds into the surrounding waters, but still counted the ones not in flight</t>
  </si>
  <si>
    <t>Dagny Johnson KLHBSP - landbase</t>
  </si>
  <si>
    <t>Dayson Basin Dredge Disposal Area Transect - Marine Corps Support Facility Blount Island</t>
  </si>
  <si>
    <t>John Martin, Jesse Brown</t>
  </si>
  <si>
    <t>John.Martin@ch2m.com</t>
  </si>
  <si>
    <t>Active Construction ongoing at Dayson Basin. Limited bird activity atypical of the site likely due to construction activities.</t>
  </si>
  <si>
    <t>Dayson Basin Marsh Transect - Marine Corps Support Facility Blount Island</t>
  </si>
  <si>
    <t>Deer Lake State Park</t>
  </si>
  <si>
    <t>End: 1010 am; walked.</t>
  </si>
  <si>
    <t>3: S//:W//B male, B:S//RK male, S(K/W)//Y:Y female</t>
  </si>
  <si>
    <t>Delnor-Wiggins Pass State Park</t>
  </si>
  <si>
    <t>Karen Rogers</t>
  </si>
  <si>
    <t>80-90F</t>
  </si>
  <si>
    <t>Disney Area Vero Beach, (John's Island to Wabasso Beach)</t>
  </si>
  <si>
    <t>Joseph Scarola</t>
  </si>
  <si>
    <t>joe@ecological-associates.com</t>
  </si>
  <si>
    <t>Dog Island Franklin County</t>
  </si>
  <si>
    <t>Brandon Boehm and John Murphy</t>
  </si>
  <si>
    <t>bboehm@audubon.org</t>
  </si>
  <si>
    <t>S//W:X//W/Y</t>
  </si>
  <si>
    <t>X//B:S//W/Y</t>
  </si>
  <si>
    <t>S//K/K:X//R</t>
  </si>
  <si>
    <t>S(G)//x:x//K/B; x//Y:S//K/Y; S//Y:x//W/W; x//W/G:S(G)//x; S//Y/O:X//R; x//B:S//W/K; x//B:S//G/K; x//B:S//x</t>
  </si>
  <si>
    <t>S//W:x//Y/G</t>
  </si>
  <si>
    <t>Don Pedro Island State Park</t>
  </si>
  <si>
    <t>Robert Longo and Rand Smith</t>
  </si>
  <si>
    <t>Robert.Longo@dep.state.fl.us</t>
  </si>
  <si>
    <t>Don Pedro Island(not the state park). no birds observed</t>
  </si>
  <si>
    <t>Rebekah Augustinowicz, Jamie Scudera, Susan Floey-pieri, Amy Lemieux</t>
  </si>
  <si>
    <t>Dr. Von D. Mizell-Eula Johnson State Park</t>
  </si>
  <si>
    <t>Allison Scheflow</t>
  </si>
  <si>
    <t>contact: John. Frosbutter@dep.state.fl.us</t>
  </si>
  <si>
    <t>Dunlaton Bridge to Ponce Inlet</t>
  </si>
  <si>
    <t>M. Brothers, D. Young, J. Winters, B.OKeefe, A. Stevenson</t>
  </si>
  <si>
    <t>mbrothers@volusia.org</t>
  </si>
  <si>
    <t>None</t>
  </si>
  <si>
    <t>PPI: (UL) FO, (LL) K/O/Y, (UR) S, (LR) Lb (reported to bander); PP2: (UL) S, (LL) Y, (UR) -, (LR) O (reported to bander)</t>
  </si>
  <si>
    <t>PP1: Band/Flag Code: HY: (UL) S, (LL) -, (UR) FK, (LR) -(reported); PP2: (UL) S, (LL) B, (UR) FO, (LR) R/Y (reported); PP3: Band/flag code: LMX: (UL) FG, (LL) -, (UR) B, (LR) - (reported) - Photos available for all PIPLs except "LMX"</t>
  </si>
  <si>
    <t>East Florida Bay, Sandy Key, Ohio Key</t>
  </si>
  <si>
    <t>Lori Oberhofer, Britta Muiznieks, John Kipp</t>
  </si>
  <si>
    <t>Areas with bird counts were Upper Crossbank, Club Key (near), and south of Little Rabbit Key. End time was 15:15.</t>
  </si>
  <si>
    <t>WESA - 1440, SEPL - 390, DUNL - 139</t>
  </si>
  <si>
    <t>DUNL - 1, SBDO - 95</t>
  </si>
  <si>
    <t>BAEA - 1</t>
  </si>
  <si>
    <t>DUNL - 150, WESA - 68, BBPL - 12, SBDO - 48</t>
  </si>
  <si>
    <t>WESA - 653, SEPL - 42, DUNL - 171, SBDO - 12</t>
  </si>
  <si>
    <t>East Point Shoreline Transect - Marine Corps Support Facility Blount Island</t>
  </si>
  <si>
    <t>john.martin@ch2m.com</t>
  </si>
  <si>
    <t>Eastpoint Bars</t>
  </si>
  <si>
    <t>Kayak Survey. This site is now referred to as "Eastpoint Breakwater" just FYI</t>
  </si>
  <si>
    <t>26 RBGU, 1 SPSA, 1 CATE, 27 LAGU, 2 FOTE</t>
  </si>
  <si>
    <t>Eastpoint Causeway</t>
  </si>
  <si>
    <t>caity.reiland-smith@myfwc.com</t>
  </si>
  <si>
    <t>This is a new survey route called "Eastpoint Causeway"</t>
  </si>
  <si>
    <t>Eglin AFB - South Restricted</t>
  </si>
  <si>
    <t>Kathy Gault</t>
  </si>
  <si>
    <t>kathleen.gault@us.af.mil</t>
  </si>
  <si>
    <t>both unbanded - For banded birds // indicates break between upper and lower leg. / indicates break between colors on same section of leg and - indicates different legs.</t>
  </si>
  <si>
    <t>S//O-W/G, lB/K//-lB/Y//, K/Y//-lB/lB// and 2 unbanded</t>
  </si>
  <si>
    <t>S//O-Y/K, B-S//O/G, S//O-R/G, S//lG-W/B, S//O-R/B, -S//, O-lB/O and 2 unbanded</t>
  </si>
  <si>
    <t>5 unbanded and R/W-KW//, and Y-S//O/O and S//O-Y/R</t>
  </si>
  <si>
    <t>Y-S//B/K and Y-S//Y/G</t>
  </si>
  <si>
    <t>3 unbanded and lB-K/O and S//O-B/O</t>
  </si>
  <si>
    <t>unbanded</t>
  </si>
  <si>
    <t>K/Y-S/lG and Y-S//B/O</t>
  </si>
  <si>
    <t>A/Y-S//G</t>
  </si>
  <si>
    <t>unbanded and K//-Y/R</t>
  </si>
  <si>
    <t>2 unbanded and lB//-S//W</t>
  </si>
  <si>
    <t>Chris Lipps, Molly Tuma</t>
  </si>
  <si>
    <t>S//:Bf(A97)//</t>
  </si>
  <si>
    <t>X:X (not banded) 9 total for this point</t>
  </si>
  <si>
    <t>X:X (not banded) 1 total for this point</t>
  </si>
  <si>
    <t>X:X (not banded) 2 total for this point</t>
  </si>
  <si>
    <t>Eglin Public</t>
  </si>
  <si>
    <t>Carrie Gindl</t>
  </si>
  <si>
    <t>carolyn.gindl.ctr@us.af.mil</t>
  </si>
  <si>
    <t>Bird 1: x//Y_G//W (G is wrapped silver band) ... Bird 2: x//Y_x//A/S ... Bird 3: S//Lg_x//B/Lg ... 4 birds not banded</t>
  </si>
  <si>
    <t>15 SAND; 2 RBGU</t>
  </si>
  <si>
    <t>Bird 1: S//K_x//O/W ... Bird 2: x//K/R_KW//x (KW is wrapped silver band) ... Bird 3: x//Y_S//R/R ... Bird 4: x//A/Y_S//A ... Bird 5: x//K/Y_S//W ... 2 birds not banded</t>
  </si>
  <si>
    <t>Bird 1: x//Y_S//R/Y ... 2 birds not banded</t>
  </si>
  <si>
    <t>foleyb@nwfsc.edu</t>
  </si>
  <si>
    <t>Eglin restricted North</t>
  </si>
  <si>
    <t>Estero Island, Ft. Myers Beach</t>
  </si>
  <si>
    <t>Penny Jarrett, Gloria Abramoff</t>
  </si>
  <si>
    <t>pjarrett32@yahoo.com</t>
  </si>
  <si>
    <t>Flag Island</t>
  </si>
  <si>
    <t>Brandon Boehm and Cathy Ricketts</t>
  </si>
  <si>
    <t>X//X:gF(??6)//S Photos taken, all color of the alpha numeric on flag was wore off as well as most of indentation of first two digits.</t>
  </si>
  <si>
    <t>DCCO=2 BRPE=11 RBGU=18 HERG=4 LAGU=9 ROYT=9 FOTE=5 DUNL=18 SBDO=5 BBPL=1 LBCU=</t>
  </si>
  <si>
    <t>ROYT=10 RBGU=17 LAGU=3 WILL=1</t>
  </si>
  <si>
    <t>lG(C63)//X:X//S Photo Taken</t>
  </si>
  <si>
    <t>DUNL=46 SAND=1 BBPL=1 RBGU=1 WILL=1 RUTU=1</t>
  </si>
  <si>
    <t>Flagler Ave to 27th Ave beachside in New Smyrna Beach</t>
  </si>
  <si>
    <t>John Pierce, Mary Schreiber and Richard Fasse</t>
  </si>
  <si>
    <t>cybermail4jmp@mail.com</t>
  </si>
  <si>
    <t>Our route assignment was Flagler Ave to 27th Ave beachside in New Smyrna Beach. Checked "other" above because the route assigned to us was not in the list. Also saw a Roseate Tern but not on this list.</t>
  </si>
  <si>
    <t>Flagler Pier north to Varn park</t>
  </si>
  <si>
    <t>Mary Giraulo, Janet Search</t>
  </si>
  <si>
    <t>maryg3@live.com</t>
  </si>
  <si>
    <t>Flagler Pier south to High Tides Rest.</t>
  </si>
  <si>
    <t>Frank Quin</t>
  </si>
  <si>
    <t>fjquinn@aol.com</t>
  </si>
  <si>
    <t>Flamingo Area, Everglades National Park</t>
  </si>
  <si>
    <t>raul_urgelles@nps.gov</t>
  </si>
  <si>
    <t>LAGU - 165</t>
  </si>
  <si>
    <t>Fort Clinch State Park</t>
  </si>
  <si>
    <t>Brandon Volbrecht, Donna Bear</t>
  </si>
  <si>
    <t>brandon.volbrecht@floridadep.gov</t>
  </si>
  <si>
    <t>Fort De Soto Park North</t>
  </si>
  <si>
    <t>Lorraine Margeson</t>
  </si>
  <si>
    <t>donlocomm@aol.com</t>
  </si>
  <si>
    <t>Lime Flag 2E9-S</t>
  </si>
  <si>
    <t>Fort Matanzas National Monument</t>
  </si>
  <si>
    <t>Peggy Cook, Kurt Foote, Jean Rolke</t>
  </si>
  <si>
    <t>irateparrot@aol.com</t>
  </si>
  <si>
    <t>Fort Pierce Inlet State Park.</t>
  </si>
  <si>
    <t>Sand has increased in area on the inlet side west of the Jetty</t>
  </si>
  <si>
    <t>150 ROTE, 15 LAGU, 16 RIGU, 11 SAND</t>
  </si>
  <si>
    <t>Ft, De Soto Park West</t>
  </si>
  <si>
    <t>Verdnan</t>
  </si>
  <si>
    <t>verdnan23@gmail.com</t>
  </si>
  <si>
    <t>strong waves; lots of knots; 10 dogs at dog beach</t>
  </si>
  <si>
    <t>green bands upper left and upper right with white letters TO</t>
  </si>
  <si>
    <t>13 (1 was missing its left foot)</t>
  </si>
  <si>
    <t>No</t>
  </si>
  <si>
    <t>1)pale green flag upper left; 2)yellow flag upper left, pale green flag upper right + metal lower right; 3) pale green flag upper right, metal lower right; 4)green flag upper left, metal lower right; 5)pale green flag upper left, white band upper right; 6)pale green flag upper right; 7)pale green flag K76 upper right, metal lower right.</t>
  </si>
  <si>
    <t>Ft. Clinch to Peter's Point</t>
  </si>
  <si>
    <t>Bill George and Cathy Ryckman</t>
  </si>
  <si>
    <t>birdbill5@aol.com</t>
  </si>
  <si>
    <t>2 Willets and 3 Sanderlings</t>
  </si>
  <si>
    <t>3 Ruddy Turnstones and 22 Sanderlings</t>
  </si>
  <si>
    <t>Ft. De Soto Park East (Bay Pier to East Beach)</t>
  </si>
  <si>
    <t>Tom and Lindsay Bell</t>
  </si>
  <si>
    <t>tandl1621@gmail.com</t>
  </si>
  <si>
    <t>Ft. Pierce Shore Protection Project</t>
  </si>
  <si>
    <t>Joe@ecological-associates.com</t>
  </si>
  <si>
    <t>Ft. Pierce Shore Protection Project - This survey area was included in the St. Lucie Power Plant survey area in 2017</t>
  </si>
  <si>
    <t>Ft. Taylor State Park</t>
  </si>
  <si>
    <t>Gamble Rogers MSRA south to Flagler County line</t>
  </si>
  <si>
    <t>Sue Killeen, Sandi Cipolloni</t>
  </si>
  <si>
    <t>Gasparilla Island (Charlotte)</t>
  </si>
  <si>
    <t>Rebekah Augustinowicz, Jamie Scudera, Susan Foley-pieri, Amy Lemieux</t>
  </si>
  <si>
    <t>Gasparilla Island State Park</t>
  </si>
  <si>
    <t>Robert Longo, Ruth Fletcher</t>
  </si>
  <si>
    <t>Grayton Beach State Park</t>
  </si>
  <si>
    <t>Marvin Friel, Molly Tuma</t>
  </si>
  <si>
    <t>After rain, slight fog/mist, moderate surf</t>
  </si>
  <si>
    <t>4:s//g:PP unk, X:S//GB male, RK:S//K female, KW:S(K/W)// female</t>
  </si>
  <si>
    <t>Gulf Islands National Seashore - Perdido Key</t>
  </si>
  <si>
    <t>Mark Nicholas, Monica Hardin</t>
  </si>
  <si>
    <t>mark_nicholas@nps.gov</t>
  </si>
  <si>
    <t>North shore survey</t>
  </si>
  <si>
    <t>Monica Hardin</t>
  </si>
  <si>
    <t>hardin6510@gmail.com</t>
  </si>
  <si>
    <t>South shore survey</t>
  </si>
  <si>
    <t>bO/-:OG/- and bY/-:bY/- bands added to GUIS resight database for report to bander; b = light blue</t>
  </si>
  <si>
    <t>GL/-:bL/- recorded in GUIS database for resight report to bander; L=black</t>
  </si>
  <si>
    <t>OY/-:YY/- recorded in GUIS database for report to bander</t>
  </si>
  <si>
    <t>bO/-:GO/-; recorded in GUIS database for report to bander</t>
  </si>
  <si>
    <t>S/LY:bf/LG (bf = light blue flag, no code); reported directly to bander</t>
  </si>
  <si>
    <t>bG/-:LL/-, Yb/-:GG/-, Ob/-:bL/-, YO/-:GY/-, GY/-:LY/-, bO/-:bL/-; all recorded in GUIS database for report to bander</t>
  </si>
  <si>
    <t>Gulf Islands National Seashore - Santa Rosa</t>
  </si>
  <si>
    <t>Phillip Bryars</t>
  </si>
  <si>
    <t>phillip bryars</t>
  </si>
  <si>
    <t>G/Lb:G/- , all others unbanded</t>
  </si>
  <si>
    <t>KO/- : GY/- , LbG/ : LbG/- , LbO/YK:-/- (lower left is a single split color band), 1 unconfirmed banded</t>
  </si>
  <si>
    <t>Gulf Islands National Seashore-Ft. Pickens</t>
  </si>
  <si>
    <t>Michael and Catherine Brower</t>
  </si>
  <si>
    <t>mbrower628@gmail.com</t>
  </si>
  <si>
    <t>south shore survey</t>
  </si>
  <si>
    <t>1 banded, but bands could not be confirmed</t>
  </si>
  <si>
    <t>north shore survey; area was not completely covered, spot checks only</t>
  </si>
  <si>
    <t>Henderson SP</t>
  </si>
  <si>
    <t>walked</t>
  </si>
  <si>
    <t>Highland Beach</t>
  </si>
  <si>
    <t>End time was 13:45</t>
  </si>
  <si>
    <t>One individual. Band/flag code: YX6, color: green, position: upper left". The "O" is for an orange band on the right leg, position: upper right.</t>
  </si>
  <si>
    <t>SEPL - 7, SAND - 3</t>
  </si>
  <si>
    <t>Highland View</t>
  </si>
  <si>
    <t>Barbara Eells, Ezra Thompson</t>
  </si>
  <si>
    <t>St Joseph's Bay with Intercoastal canal outfall/low tide rising/2 creek outfalls/some seaweed along shoreline</t>
  </si>
  <si>
    <t>Hillsboro Inlet Bypass Area</t>
  </si>
  <si>
    <t>Christie Barrett</t>
  </si>
  <si>
    <t>cbarrett@coastalsystemsint.com</t>
  </si>
  <si>
    <t>Hobe Sound NWR</t>
  </si>
  <si>
    <t>Grace Botson</t>
  </si>
  <si>
    <t>grace@ecological-associates.com</t>
  </si>
  <si>
    <t>Honeymoon Island State Park</t>
  </si>
  <si>
    <t>Diana Daniels, Kate Hansen, Doug Edwards</t>
  </si>
  <si>
    <t>diana.daniels@dep.state.fl.us</t>
  </si>
  <si>
    <t>Horseshoe Island</t>
  </si>
  <si>
    <t>90%CC with fog in area, Low tide rising at about 0.95ft L0.4 H1.9. Wind 0-3mph, surf calm, NOHA 1, AMKE 1, People 4, Boats 3. End time 16:10.</t>
  </si>
  <si>
    <t>both X:X</t>
  </si>
  <si>
    <t>X:R//S (JA) photo taken. Reported to banders, and reported to American Oystercatcher Working Group via website.</t>
  </si>
  <si>
    <t>RUTU 1, SEPL 16, SNEG 1, TRHE 1 repeat birds present counted on adjacent site.</t>
  </si>
  <si>
    <t>Huguenot Memorial Park</t>
  </si>
  <si>
    <t>Jolie Schlieper, Hailey Garcia</t>
  </si>
  <si>
    <t>jschlieper@coj.net</t>
  </si>
  <si>
    <t>2 purple sandpiper</t>
  </si>
  <si>
    <t>Indian Lagoon East</t>
  </si>
  <si>
    <t>End time: 1315, kayaked. BAEA on oyster rake on return</t>
  </si>
  <si>
    <t>Indian Lagoon West</t>
  </si>
  <si>
    <t>Janna G Rinehart</t>
  </si>
  <si>
    <t>rinehartjanna@gmail.com</t>
  </si>
  <si>
    <t>Indian Pass Shoreline</t>
  </si>
  <si>
    <t>Large number of people/dogs flushing birds.</t>
  </si>
  <si>
    <t>Indian Rocks Beach 22nd Ave-Whitehurst Ave</t>
  </si>
  <si>
    <t>rruthber@mail.usf.edu</t>
  </si>
  <si>
    <t>Dead juvenile northern gannet found at 27.882067N and -82.851707W</t>
  </si>
  <si>
    <t>Indian Shores</t>
  </si>
  <si>
    <t>Bonnie Jenks &amp; Wendy Meehan</t>
  </si>
  <si>
    <t>sbjenks@hotmail.com</t>
  </si>
  <si>
    <t>More people on beach than expected, along with 1 truck, 2 tractors, and 12 bikes - one of which flushed a group of 6 dark juvenile larger gulls before we could ID.</t>
  </si>
  <si>
    <t>no bands</t>
  </si>
  <si>
    <t>2 ROTE each with a silver band on lower right leg. One partial number was 567.</t>
  </si>
  <si>
    <t>IR1-IR28</t>
  </si>
  <si>
    <t>Matthew R Anderson, Kirk Fusco</t>
  </si>
  <si>
    <t>matthew.r.anderson@dep.state.fl.us</t>
  </si>
  <si>
    <t>Survey Route consolidated this year to: Spoil Islands IR1 to SL6</t>
  </si>
  <si>
    <t>IRL accesses on Riverside Dr and US 1 from South of Brannon Center to Riverbreeze Park</t>
  </si>
  <si>
    <t>Ed Carlson</t>
  </si>
  <si>
    <t>EJCJr7@hotmail.com</t>
  </si>
  <si>
    <t>no band</t>
  </si>
  <si>
    <t>IRL East Sde, CANA to S. Causeway</t>
  </si>
  <si>
    <t>Don Picard</t>
  </si>
  <si>
    <t>president@SEVolusiaAudubon.org</t>
  </si>
  <si>
    <t>I added some routes to the bottom of the spreadsheet, but they are not showing on the list.</t>
  </si>
  <si>
    <t>John D. MacArthur Beach State Park</t>
  </si>
  <si>
    <t>Sarah K. Wadddell</t>
  </si>
  <si>
    <t>sarah.k.waddell@dep.state.fl.us</t>
  </si>
  <si>
    <t>John Pennekamp CRSP - boat route</t>
  </si>
  <si>
    <t>John Pennekamp CRSP - landbase</t>
  </si>
  <si>
    <t>Jupiter &amp; Juno Beach: Jupiter Inlet to northern boundary of John D. MacArthur Beach State Park</t>
  </si>
  <si>
    <t>Adrienne McCracken &amp; Kim Rigano</t>
  </si>
  <si>
    <t>amccracken@marinelife.org</t>
  </si>
  <si>
    <t>Keewaydin Island</t>
  </si>
  <si>
    <t>Kice Island</t>
  </si>
  <si>
    <t>Knight Island</t>
  </si>
  <si>
    <t>Rebekah Augustinowicz, Jamie Scudera, Susan Foley-Pieri, Amy Lemieux</t>
  </si>
  <si>
    <t>no birds observed</t>
  </si>
  <si>
    <t>Kevin Edwards</t>
  </si>
  <si>
    <t>kevinthomasedwards@gmail.com</t>
  </si>
  <si>
    <t>Submitted by Pete Plage. Another survey of Knight Island entered by others found no birds.</t>
  </si>
  <si>
    <t>L-Bar</t>
  </si>
  <si>
    <t>Kayak Survey</t>
  </si>
  <si>
    <t>1 banded. Red(69)//x:Red(69)//Service</t>
  </si>
  <si>
    <t>Lake Okeechobee Buckhead Ridge Marsh 2:50-3:10 by airboat</t>
  </si>
  <si>
    <t>Paul Gray</t>
  </si>
  <si>
    <t>pgray@audubon.org</t>
  </si>
  <si>
    <t>Lake Okeechobee Clif Betts Park 4:15-4:30 by car</t>
  </si>
  <si>
    <t>Lake Okeechobee Indian Prairie 12:30-2:50PM by airboat</t>
  </si>
  <si>
    <t>Lake Okeechobee OkeeTantie Marsh 12:10-12:25 from airboat</t>
  </si>
  <si>
    <t>Lake Tomroy-Pond AA, Pond C Transect - Marine Corps Support Facility Blount Island</t>
  </si>
  <si>
    <t>Lake Worth Lagoon</t>
  </si>
  <si>
    <t>Ricardo Zambrano</t>
  </si>
  <si>
    <t>Ricardo.Zambrano@myfwc.com</t>
  </si>
  <si>
    <t>Lakeside Ranch STA</t>
  </si>
  <si>
    <t>Brian Garrett</t>
  </si>
  <si>
    <t>Lanark Reef</t>
  </si>
  <si>
    <t>Laura Garey, Marvin Friel, and Molly Tuma</t>
  </si>
  <si>
    <t>S//BK:Bf(C63)//YB-reported to bander</t>
  </si>
  <si>
    <t>NA</t>
  </si>
  <si>
    <t>DUNL=120, SAND=22, SBDO=20, MAGO=9, WILL-1, BBPL=1, RUTU=3, SEPL=2, ROYT=4, RBGU=1</t>
  </si>
  <si>
    <t>X//GW:Gf//OO, Yf(J87)//RO:S//YB, S//RY:Yf(E60)//YK- all reported to the banders</t>
  </si>
  <si>
    <t>R(76)//:R(76)//S, horizontal-reported to bander</t>
  </si>
  <si>
    <t>MAGO=16, WILL=45, LESA=1, SBDO=282, DUNL=119, SAND=1, WESA=29</t>
  </si>
  <si>
    <t>B:S//YY, REPORTED TO BANDER</t>
  </si>
  <si>
    <t>Yf(6H1)//:S//, REPORTED TO BANDERS</t>
  </si>
  <si>
    <t>WILL=21, MAGO=32, SAND=13, DUNL=105, BBPL=2, SEPL=12, RUTU=1, SBDO=56</t>
  </si>
  <si>
    <t>Of//OY:S//G, S//YG:Yf(V66)//RO, REPORTED TO BANDERS</t>
  </si>
  <si>
    <t>SAND=10, DUNL=16, RUTU=2, MAGO=18, WILL=1, BBPL=8, SBDO=1, FOTE=1</t>
  </si>
  <si>
    <t>SEPL=2, MAGO=44, WILL=71, SAND=19, BBPL=6, DUNL=7, RUTU=4, RBGU=8</t>
  </si>
  <si>
    <t>DUNL=32, SEPL=2, WESA=11</t>
  </si>
  <si>
    <t>Lassing Park, St Petersburg</t>
  </si>
  <si>
    <t>Beth Forys</t>
  </si>
  <si>
    <t>forysea@eckerd.edu</t>
  </si>
  <si>
    <t>Little Gasparilla Island</t>
  </si>
  <si>
    <t>Roger Debruler, Jamie Scudera, Susan Foley Pieri, Amy Lemieux</t>
  </si>
  <si>
    <t>roger.debruler@charlottecountyfl.gov</t>
  </si>
  <si>
    <t>least terns 2</t>
  </si>
  <si>
    <t>Little St. George Island</t>
  </si>
  <si>
    <t>O//O:O//G Photos Taken</t>
  </si>
  <si>
    <t>DUNL=1 SAND=2 RUTU=1 DCCO=31 RBGU=22 BOGU=6 FOTE=33 ROYT=7 LAGU=1</t>
  </si>
  <si>
    <t>SAND=2 WILL=2 DCCO=72 RBGU=25 BRPE=7 FOTE=10 BOGU=1 ROYT=1</t>
  </si>
  <si>
    <t>ROYT=4 DCCO=22 HERG=12 BOGU=24 RBGU=27 FOTE=199 ROYT=4</t>
  </si>
  <si>
    <t>BRPE=32 DCCO=45 LAGU=5 RBGU=2 HERG=1</t>
  </si>
  <si>
    <t>SAND=4 HERG=197 RBGU=14 LAGU=99 ROYT=40 FOTE=48</t>
  </si>
  <si>
    <t>Little Talbot Island State Park</t>
  </si>
  <si>
    <t>Sunny, fair weather, rising tide, low at 6:55 a.m.</t>
  </si>
  <si>
    <t>AAC, Triangular, red; _, S : AAC, _</t>
  </si>
  <si>
    <t>Icelandic Gull spotted nearby</t>
  </si>
  <si>
    <t>1) FO, Lb/R:S,G 2) FW[MA], _: S, _ 3) S,_: FW[KC],_ 4) FO,_:G,_ 5) S,B[128]:O(b),B/O 6) FG[2K6],_:B,_ 7) FW[VA],_:S,_</t>
  </si>
  <si>
    <t>4 Unbanded, 1 Banded - FK[UN], _ : S, _</t>
  </si>
  <si>
    <t>Long Key State Park</t>
  </si>
  <si>
    <t>Longboat Key North - Manatee</t>
  </si>
  <si>
    <t>Stu Wilson, Kylie Wilson</t>
  </si>
  <si>
    <t>stuwilson@comcast.net</t>
  </si>
  <si>
    <t>neither banded</t>
  </si>
  <si>
    <t>Longboat Key South (Sarasota)</t>
  </si>
  <si>
    <t>Stu Wilson</t>
  </si>
  <si>
    <t>Lovers Key State Park</t>
  </si>
  <si>
    <t>Chris Tretter</t>
  </si>
  <si>
    <t>christoper.tretter@floridadep.gov</t>
  </si>
  <si>
    <t>Manasota Key south from S, Brohard Park to county line. Subdivide if apprpriate but submit as one.</t>
  </si>
  <si>
    <t>Curt Lundeen &amp; Pam Lundeen</t>
  </si>
  <si>
    <t>flalundeens@gmail.com</t>
  </si>
  <si>
    <t>I have combined 2 Coastal Wildlife Club Turtle Patrol Zones 5 &amp; 6. (The only birds observed on Zone 5 were 3 BBPLs.) As far as I know, I am the only surveyor who signed up for CWC Zones from S. Brohard Park to the county line.</t>
  </si>
  <si>
    <t>Marco Island Beach South</t>
  </si>
  <si>
    <t>-,-:-,GE(A43) reported to Adam DiNuovo
 -,-:-,GE(C65) reported to Adam DiNuovo
 -,-:-,X 0844-72179 reported to BBL</t>
  </si>
  <si>
    <t>8 banded ROYTs (-,-:-,X), 2 of which were read complete : 0814-52340 &amp; 1054-60776. Reported to BBL</t>
  </si>
  <si>
    <t>Martin County IRL</t>
  </si>
  <si>
    <t>Ricardo Zambrano, Andrea Pereyra, Dan O'Malley</t>
  </si>
  <si>
    <t>Left leg: Orange flag, upper yellow band, lower green band. Right leg: Upper silver USFWS band, lower Yellow band</t>
  </si>
  <si>
    <t>Martin County southern limit to Hobe Sound National Wildlife Refuge</t>
  </si>
  <si>
    <t>Kelly Martin, Sandra Wallace</t>
  </si>
  <si>
    <t>kelly@floridaleatherbacks.com</t>
  </si>
  <si>
    <t>Survey route was divided. Blowing Rocks (TNC) staff conducted survey from Martin County line to the northern limit of Blowing Rocks Preserve (our starting point). One banded ROYT taken to rehab (federal band - 1054-91767). Banded in NC on June 30, 2017.</t>
  </si>
  <si>
    <t>Mashes Sands Cty Park</t>
  </si>
  <si>
    <t>Beth Wright</t>
  </si>
  <si>
    <t>birdgirl7576@gmail.com</t>
  </si>
  <si>
    <t>No groups of 10+ birds, focal species, or banded individuals observed; surprisingly few birds in general, likely because an narrow inlet formerly uncrossable on foot has filled in with sand, increasing disturbance in the area where I used to observe the most birds in prior visits.</t>
  </si>
  <si>
    <t>Matanzas Inlet South to Flagler County Line</t>
  </si>
  <si>
    <t>Peggy Cook</t>
  </si>
  <si>
    <t>Rattlesnake Island</t>
  </si>
  <si>
    <t>Mayport south to Duval / St. Johns County line</t>
  </si>
  <si>
    <t>Myranda Parker; Rhonda Jones</t>
  </si>
  <si>
    <t>Myranda.parker.ctr@navy.mil</t>
  </si>
  <si>
    <t>Lesley Royce, Theron Golleher</t>
  </si>
  <si>
    <t>lesley_royce@me.com</t>
  </si>
  <si>
    <t>Mexico Beach</t>
  </si>
  <si>
    <t>Wind picked up from light to breezy in 1 hr....100% cloudy/low rising moderate waves</t>
  </si>
  <si>
    <t>Morgan Bay/Cape Romano</t>
  </si>
  <si>
    <t>fY(20E),BO:X,Rb continuing bird, will be batch reported at end of season.
 G,-:fG(K5K),- continuing bird, will be batch reported at end of season.
 X,-:fK(KT),- continuing bird, will be batch reported at end of season.
 X,O/R:O(B.),R(125) reported to Great Lakes Plover coordinators</t>
  </si>
  <si>
    <t>fL(99C),-:-,X reported to bandedbirds.org</t>
  </si>
  <si>
    <t>SAND fL(64L) reported to bandedbirds.org</t>
  </si>
  <si>
    <t>N. Hutchinson Island (north of John Brooks Beachside Park)</t>
  </si>
  <si>
    <t>Tim Towles</t>
  </si>
  <si>
    <t>Tim.Towles@myFWC.com</t>
  </si>
  <si>
    <t>left-- green flag NLP, right-- blue band</t>
  </si>
  <si>
    <t>Navarre Beach Gulf Side</t>
  </si>
  <si>
    <t>Caroline Stahala</t>
  </si>
  <si>
    <t>cstahala@audubon.org</t>
  </si>
  <si>
    <t>Navarre Beach Sound Side</t>
  </si>
  <si>
    <t>Silver band//white : yellow flag//black</t>
  </si>
  <si>
    <t>New Smyrna Beach jetty at Ponce Inlet south to Flagler Avenue ramp</t>
  </si>
  <si>
    <t>Lamont Ingalls; Joe Montpelier</t>
  </si>
  <si>
    <t>Conservation@sevolusiaaudubon.org</t>
  </si>
  <si>
    <t>Route was NSB beach from jetty at Ponce Inlet south to Flagler Avenue ramp</t>
  </si>
  <si>
    <t>N/A</t>
  </si>
  <si>
    <t>Snowy Egrets (50); Osprey (2); Northern Gannet (6)</t>
  </si>
  <si>
    <t>New Smyrna Beach 27th Avenue Park to CANA</t>
  </si>
  <si>
    <t>John Kendall</t>
  </si>
  <si>
    <t>jeffro595@yahoo.com</t>
  </si>
  <si>
    <t>The usual focal species Piping Plovers (1-8), and Red Knots (20-100) seen along New Smyrna Beach have not been present at all this winter due to beach sand loss. We estimate 2' of sand depth across the beach with some small areas actually receiving an upper beach only wash of new sand.</t>
  </si>
  <si>
    <t>North Anclote Bar</t>
  </si>
  <si>
    <t>Dan Larremore</t>
  </si>
  <si>
    <t>LL=_,B/W RL=_,K photo taken, sent to RayaP</t>
  </si>
  <si>
    <t>LL=_,W/K RL=G,_ photo taken, sent to RayaP</t>
  </si>
  <si>
    <t>North Biscayne Bay Islands</t>
  </si>
  <si>
    <t>Laura Eldredge, Claire Burgett, Melissa Gonzalez, Eric Buck</t>
  </si>
  <si>
    <t>laura.eldredge@dep.state.fl.us</t>
  </si>
  <si>
    <t>7 turkey vultures, 50 black vultures, 4 Great Blue Herons, 1 Brown Pelican, 3 cormorants, 2 anhingas, 1 cattle egret</t>
  </si>
  <si>
    <t>2 turkey vultures, 2 frigates, 35 black vultures, 1 osprey, 6 GBH, 5 anhinga, 35 pelicans, 1 kingfisher, 2 white ibis, 12 cattle egret, 1 juv. Little blue heron</t>
  </si>
  <si>
    <t>2 pelicans, 108 laughing gulls</t>
  </si>
  <si>
    <t>1 cormorant, 13 royal terns, 1 herring gull, 18 black-backed gulls, and 79 laughing gulls.</t>
  </si>
  <si>
    <t>North Redington Beach &amp; Redington Shores</t>
  </si>
  <si>
    <t>Lots of people walking and 8 bikes. No one flushed birds.</t>
  </si>
  <si>
    <t>There were 2 ROTE each with a silver (S) band on lower right leg.</t>
  </si>
  <si>
    <t>Only 1 BLSK banded with code A20, color (G), on lower right leg. Wendy will report it on BLSK Resighting Project and Banded Birds.org.</t>
  </si>
  <si>
    <t>None were banded.</t>
  </si>
  <si>
    <t>There were 3 ROTE each with a silver (S) band on lower right leg.</t>
  </si>
  <si>
    <t>North Shore Park, St Petersburg</t>
  </si>
  <si>
    <t>Nubbin Slough STA</t>
  </si>
  <si>
    <t>Outback Key</t>
  </si>
  <si>
    <t>P.Plage, M. Parks, E. Plage L. Margeson, D. Margeson</t>
  </si>
  <si>
    <t>peter_plage@fws.gov</t>
  </si>
  <si>
    <t>Revision. Please delete the earlier entry for Outback Key.</t>
  </si>
  <si>
    <t>569 FGr; -, FGr : -, S Submitted to Banded Birds</t>
  </si>
  <si>
    <t>-, O : S, Y-O split band Reported to Great Lakes researchers</t>
  </si>
  <si>
    <t>Palm Beach (Monceau Court) to Breakers Resort</t>
  </si>
  <si>
    <t>Palm Island resort; only bird observed on route was an osprey</t>
  </si>
  <si>
    <t>Rebekah Augustinowicz, Jamie Scudera, Susan Foley-peiri, Amy Lemieux</t>
  </si>
  <si>
    <t>Pass-a-Grille, St. Pete Beach</t>
  </si>
  <si>
    <t>Passage Key</t>
  </si>
  <si>
    <t>Ashley Scarpa</t>
  </si>
  <si>
    <t>ashleyscarpa@me.com</t>
  </si>
  <si>
    <t>Y:S//OK - Per Raya</t>
  </si>
  <si>
    <t>3 Willet, 15 Black-Bellied Plovers, 21 Semipalmated Plovers, 27 Dunlin, 36 Forster Terns, 19 Herring Gulls, 4 Ring-Billed Gulls, 7 Pelicans, 11 Laughing Gulls, 7 Royal Terns, 200-250 Sanderlings. Sandpipers were present, however I am still learning those.</t>
  </si>
  <si>
    <t>Patrick AFB</t>
  </si>
  <si>
    <t>Richard Brust</t>
  </si>
  <si>
    <t>richard.brust.ctr@us.af.mil</t>
  </si>
  <si>
    <t>Surveyed 2 hours after low tide</t>
  </si>
  <si>
    <t>Patrick Shores/Satellite/ Indian Harbour Beaches</t>
  </si>
  <si>
    <t>Ruth Peipert</t>
  </si>
  <si>
    <t>repeipert@gmail.com</t>
  </si>
  <si>
    <t>active replenishment at starting point</t>
  </si>
  <si>
    <t>0, 3 dead cause unknown</t>
  </si>
  <si>
    <t>1, juvenile</t>
  </si>
  <si>
    <t>Pensacola Beach</t>
  </si>
  <si>
    <t>Miranda Anaya</t>
  </si>
  <si>
    <t>Pine Island Drive</t>
  </si>
  <si>
    <t>It was high tide, so these were the only shorebirds I saw.</t>
  </si>
  <si>
    <t>Pine Island Park</t>
  </si>
  <si>
    <t>Pinellas County Bellaire Causeway Boat Ramp. I observed 20 Ruddy Turnstones where the boats pull into the water. The site has a shell midden where I saw two AMOYS, 5 Dunlin, 5 peeps and a juvenile pelican. Other -1) Crows mobbing and dive bombing. 2)Boat traffic on weekends. 3)There was a single large Ring-billed seagull on one day. 4) flocks of pigeons after a normal summer drydown-they drink pavement water, circling the bait shop at sundown. 5) Laughing gulls, terns. 6) One Roseatte spoonbill took shelter for 2 weeks under the west side of the bridge after Hurricane Irma. 7) A flock of Turkey vultures were scavenging along midden. 8) The off leash dogs dash about along the very very small sandy beach. Drivers take them for a dip and they have a grand time. I wish Kat H. would facilitate signage for the area in order to keep dogs away from the shell midden on the south side. I trust the Ruddy turnstones to build their reserves and keep out of boat and car traffic. They returned and now I can complete my anthropomorphic shorebird book. These days I believe I entertain and educate.</t>
  </si>
  <si>
    <t>cynthia chew</t>
  </si>
  <si>
    <t>choo9ijeat@peoplepc.com</t>
  </si>
  <si>
    <t>A small flock</t>
  </si>
  <si>
    <t>not observed</t>
  </si>
  <si>
    <t>I have seen Green Heron, Ibis, Great Egrets, Blue Heron, Little Blue Heron</t>
  </si>
  <si>
    <t>Pinellas Point</t>
  </si>
  <si>
    <t>Peter Plage</t>
  </si>
  <si>
    <t>Peter_plage@fws.gov</t>
  </si>
  <si>
    <t>Mid tide rising. At this site shorebirds gather on oyster bars at higher tides.</t>
  </si>
  <si>
    <t>Pond A Transect - Marine Corps Support Facility Blount Island</t>
  </si>
  <si>
    <t>Pond B Transect - Marine Corps Support Facility Blount Island</t>
  </si>
  <si>
    <t>Redington Beach &amp; Mediera Beach</t>
  </si>
  <si>
    <t>Winnie White</t>
  </si>
  <si>
    <t>mwwhite99@gmail.com</t>
  </si>
  <si>
    <t>Low tide</t>
  </si>
  <si>
    <t>Route Name- SJC Managed Beach (ASP to FtM)</t>
  </si>
  <si>
    <t>Jean Rolke, Tara Dodson</t>
  </si>
  <si>
    <t>president@stjohnsaudubon.com</t>
  </si>
  <si>
    <t>S. Hutchinson Island, (N End of St. Lucie Inlet, Sailfish Point to St. Lucie/Martin County Line)</t>
  </si>
  <si>
    <t>S. Hutchinson Island, (St. Lucie/Martin County Line to Normandy Beach)</t>
  </si>
  <si>
    <t>Ryan Dulfer</t>
  </si>
  <si>
    <t>ryan@ecological-associates.com</t>
  </si>
  <si>
    <t>Sand Key Park south through Belleair Shore</t>
  </si>
  <si>
    <t>David Hopkins, Paul Ingham</t>
  </si>
  <si>
    <t>dhop166@msn.com</t>
  </si>
  <si>
    <t>90% of non focal birds were at north end at Sheraton motel.</t>
  </si>
  <si>
    <t>Sanibel, Bowman's to Blind Pass</t>
  </si>
  <si>
    <t>Sanibel, lighthouse to Tarpon Bay Rd.</t>
  </si>
  <si>
    <t>S//G:BO (banded by me)</t>
  </si>
  <si>
    <t>2 banded : S//G:OK, and S//G:BB (Both Sanibel banded birds)</t>
  </si>
  <si>
    <t>Banded BRPE S:R code 78Z - reported to BBL and directly to original bander - Deepwater Horizon survivor!!</t>
  </si>
  <si>
    <t>Sanibel, Tarpon Bay Rd. to Bowman's</t>
  </si>
  <si>
    <t>This route is a combination of FSD routes Sanibel 4,5,and 6. The end point corresponds to the end of route 6, which is slightly west of Bowman's beach.</t>
  </si>
  <si>
    <t>all unbanded</t>
  </si>
  <si>
    <t>Group included: 340 SAND, 68 BBPL, 30 DUNL, 16 SBDO, 20 RUTU, 5 REKN, and 6 WILL. (All these numbers are accounted for on survey total tallies)</t>
  </si>
  <si>
    <t>one banded, single metal band lower right, flag missing</t>
  </si>
  <si>
    <t>1 banded: S//G:OO (banded by me)</t>
  </si>
  <si>
    <t>Scrub Pens Road, Highlands County</t>
  </si>
  <si>
    <t>from my car on Scrub Pens Road 8:30 to 9 AM</t>
  </si>
  <si>
    <t>Second Chance CWA</t>
  </si>
  <si>
    <t>Shell Island</t>
  </si>
  <si>
    <t>End time: 1337, atv</t>
  </si>
  <si>
    <t>1: Y:S//GG male</t>
  </si>
  <si>
    <t>6: S//O:YB male, S//K:WB unk, S//O:BG unk, Y:S//BG female, Y:S//WY female, YK:S//K male</t>
  </si>
  <si>
    <t>1: S//K:OK female</t>
  </si>
  <si>
    <t>5: Y:S//GR female, S//K:WO female, S//W:OY female, GB:S//B male, S//R:GY male</t>
  </si>
  <si>
    <t>2: KR:S//W male (K missing), RB:S//B female</t>
  </si>
  <si>
    <t>5: S//Y:GK male, WG:S//R female, S//K:GY female, S//O:GG male, OW:S(K/W)// male</t>
  </si>
  <si>
    <t>1: WO:S//K male</t>
  </si>
  <si>
    <t>Shell Key Preserve</t>
  </si>
  <si>
    <t>Peter Plage, Morgan Parks, Eric Plage, Lorraine Margeson, Don Margeson</t>
  </si>
  <si>
    <t>Surveyed Sand Key spit and nearby flats first at very low tide and returned later to count concentrated birds at mid tide. Totals reflect higher count.</t>
  </si>
  <si>
    <t>S, B-O split : O, B Reported to Great Lakes researcher</t>
  </si>
  <si>
    <t>6EZ; FLg; FLg, S : _, _ 27E; FLg; -, - : FLg, - PKM; FG; -, - :FG, - Reported to Banded Birds</t>
  </si>
  <si>
    <t>S, K : FO, B/Y FTP; Y; FTP, - : -, - reported to Great Lakes area researchers</t>
  </si>
  <si>
    <t>Siesta Beach- North of Public beach to Sunset Point Beach</t>
  </si>
  <si>
    <t>Judi Floyd, Andrea Chong</t>
  </si>
  <si>
    <t>judibfloyd@gmail.com</t>
  </si>
  <si>
    <t>(1 banded, 1 unbanded) Banded SNPL had Upper Left: S, Lower Left: G, Upper Right: , Lower Right: G/W.</t>
  </si>
  <si>
    <t>Not banded.</t>
  </si>
  <si>
    <t>Upper left: K/W, lower left: , Upper right: , lower right: O/R Only 1 of the 2 was banded.</t>
  </si>
  <si>
    <t>Not banded</t>
  </si>
  <si>
    <t>1) Upper left: , lower left: B , upper right: S , lower right: R/B
 2) Upper left: , lower left: Lg , upper right: , lower right: G/S or possibly G/A
 Other 2 were not banded.
 Not reported to another site.</t>
  </si>
  <si>
    <t>Siesta Beach, Point of Rocks through Seiesta Public Beach</t>
  </si>
  <si>
    <t>Claire Herzog, Shawn Bartelt</t>
  </si>
  <si>
    <t>ceherzog@gmail.com</t>
  </si>
  <si>
    <t>Sikes Cut West St George Island Plantation</t>
  </si>
  <si>
    <t>Bonnie Samuelsen</t>
  </si>
  <si>
    <t>bsamuelsen@audubon.org</t>
  </si>
  <si>
    <t>SMNWR Interior Pools</t>
  </si>
  <si>
    <t>Don Morrow</t>
  </si>
  <si>
    <t>donaldcmorrow@gmail.com</t>
  </si>
  <si>
    <t>Snake Bight (Everglades National Park)</t>
  </si>
  <si>
    <t>Krystina Carpenter, Jason Deger</t>
  </si>
  <si>
    <t>Krystina_carpenter@nps.gov</t>
  </si>
  <si>
    <t>South Shore Transect - Marine Corps Support Facility Blount Island</t>
  </si>
  <si>
    <t>St George Island Plantation</t>
  </si>
  <si>
    <t>Vertical R (73) upper left and upper right reported to researchers Ezra Thompson, Marvin Friel</t>
  </si>
  <si>
    <t>St Joe Beach</t>
  </si>
  <si>
    <t>Gulf Beach, 96% cloudy, Low/rising moderate tide</t>
  </si>
  <si>
    <t>St Marks NWR - West</t>
  </si>
  <si>
    <t>Caity.Reiland-Smith@myfwc.com</t>
  </si>
  <si>
    <t>St. Marks West is normally broken down into 4 separate surveys. I will include all of them in this data entry.</t>
  </si>
  <si>
    <t>Y(07)//:Y(07)//S - horizontal</t>
  </si>
  <si>
    <t>RBGU-34, FOTE-1, WILL-19, SBDO-7, DUNL-107, RUTU-34, WESA-26</t>
  </si>
  <si>
    <t>O(YCY)//:O(YCY)//S - Triangle</t>
  </si>
  <si>
    <t>RBGU-13, BBPL-1, FOTE-19, WILL-6, DUNL-33, WESA-2</t>
  </si>
  <si>
    <t>BRPE-31, DCCO-19, RBGU-13, WILL-1, HERG-1, WHIM-2</t>
  </si>
  <si>
    <t>RBGU-119</t>
  </si>
  <si>
    <t>R(Y06)//:R(Y06)//S - Triangle</t>
  </si>
  <si>
    <t>RBGU-88, BBPL-1, LAGU-2</t>
  </si>
  <si>
    <t>RBGU-94, HERG-1, ROYT-6, FOTE-5, SEPL-15, BBPL-2, WILL-1</t>
  </si>
  <si>
    <t>St Pete Beach</t>
  </si>
  <si>
    <t>St Vincent NWR</t>
  </si>
  <si>
    <t>John Murphy</t>
  </si>
  <si>
    <t>southmoonunder@mchsi.com</t>
  </si>
  <si>
    <t>GF (C63)//x:x//S; x//x:GF (code faded)//S; neither reported to another site.</t>
  </si>
  <si>
    <t>S//x:YF(622)//x; not reported to another site.</t>
  </si>
  <si>
    <t>American Avocet - 4; no bands</t>
  </si>
  <si>
    <t>x//B:S//W/O; S//x:x//R/G; neither reported to another site.</t>
  </si>
  <si>
    <t>St. Andrews State Park-main</t>
  </si>
  <si>
    <t>Raya Pruner</t>
  </si>
  <si>
    <t>raya.pruner@myfwc.com</t>
  </si>
  <si>
    <t>BOGU 108, LAGU 42, RBGU 6, HERG 2, ROYT 12, COTE 16, BRPE 2,</t>
  </si>
  <si>
    <t>St. George Island Causeway</t>
  </si>
  <si>
    <t>Ezra Thompson, Chris Matechik</t>
  </si>
  <si>
    <t>Boating and walking survey.</t>
  </si>
  <si>
    <t>unbanded, but scrape observed with pair</t>
  </si>
  <si>
    <t>unbanded, but scrape observed with this pair also.</t>
  </si>
  <si>
    <t>Service : Blue(AKP) BRPE carcass found. service band (0938-78791) was 3 m away from carcass and photos taken. suspect BAEA predation.</t>
  </si>
  <si>
    <t>St. George State Park</t>
  </si>
  <si>
    <t>Caity Reiland-Smith, Molly Tuma</t>
  </si>
  <si>
    <t>S//W:KW</t>
  </si>
  <si>
    <t>S//W:YR</t>
  </si>
  <si>
    <t>B:S//KK, WG:S//K</t>
  </si>
  <si>
    <t>YF(A41)//WK:S//BO</t>
  </si>
  <si>
    <t>YF(59R)//KO:S//YW</t>
  </si>
  <si>
    <t>S//RR:R</t>
  </si>
  <si>
    <t>B:S//RO, WB:S//K</t>
  </si>
  <si>
    <t>S//GR:YF(C00)//WK</t>
  </si>
  <si>
    <t>BB:S//K, B:S//BB</t>
  </si>
  <si>
    <t>S//W:OG</t>
  </si>
  <si>
    <t>YO:GF//WY, KF//R:S//YO</t>
  </si>
  <si>
    <t>S//K:BG</t>
  </si>
  <si>
    <t>S//WO:X</t>
  </si>
  <si>
    <t>B:S//OB</t>
  </si>
  <si>
    <t>GB:S(G)//W, B:S//OY</t>
  </si>
  <si>
    <t>B:S//KB, WK:S//K</t>
  </si>
  <si>
    <t>KO:S//K, S//R:YG</t>
  </si>
  <si>
    <t>B:S//WW</t>
  </si>
  <si>
    <t>R(AL)//:R(AL)//S - Horizontal</t>
  </si>
  <si>
    <t>St. Joseph Bay - SE</t>
  </si>
  <si>
    <t>5%CC, wind 4-7mph, Tide about 0.2ft L0.1 H0.5, surf calm, temp at start 59F rising, People 2 boats 1. NOHA 1, BAEA 1.</t>
  </si>
  <si>
    <t>BBPL 4, LESA 8, SBDO 14, DUNL 72, WILL 11, REEG 1, WHIB 268</t>
  </si>
  <si>
    <t>SBDO 3, DUNL 65, LESA 1, SEPL 10, WILL 12, TRHE 1</t>
  </si>
  <si>
    <t>YG:S//RG male, reported to bander.</t>
  </si>
  <si>
    <t>DUNL 82, WILL 2, SNEG 1</t>
  </si>
  <si>
    <t>St. Joseph Peninsula State Park</t>
  </si>
  <si>
    <t>Caity Reiland-Smith, Laura Garey</t>
  </si>
  <si>
    <t>Group 17: 29.87672, -85.39269, PIPL – 2 unbanded, SNPL – 25 (22 banded) – BG:S(G)//, S(K/W)//:KG, S//W:RR (missing R), S//W:OK, S(K/W)//G:K, B:S//YO, Y:S//WG, B:S//BG, BO:S//W, RB:S//K, S//BB:R, YO:S//W, S//W:RW, S//Y:GW, S:b//Bb, S//YB:R, S//W:GR, B:S//KR, S//W:WB, S//KG:B, RO:S//W, B:S//RB.</t>
  </si>
  <si>
    <t>Unbanded</t>
  </si>
  <si>
    <t>RBGU-134, HERG-4, ROYT-5, FOTE-4, LAGU-2, BOGU-5</t>
  </si>
  <si>
    <t>B:S//GR, B:S//YR</t>
  </si>
  <si>
    <t>GG:S//B, OR:S//K</t>
  </si>
  <si>
    <t>W:S(G)//Y, GR:S//W</t>
  </si>
  <si>
    <t>KW:S//W, S(K/W)//:BB, S(K/W)//:GG, S//R:OW</t>
  </si>
  <si>
    <t>Unband-1, B:S//OO, B:S//KO, S//YR:R</t>
  </si>
  <si>
    <t>K:S(G)//B, B:S//RG</t>
  </si>
  <si>
    <t>S//R:GB, KG:S//B, S//W:YW</t>
  </si>
  <si>
    <t>S//W:BB, S(K/W)//W:B, S//BG:R, S//Y:OW, KO:S//R</t>
  </si>
  <si>
    <t>Y:S//YY, S//W:GO</t>
  </si>
  <si>
    <t>Y:S//KG, S//W:BO</t>
  </si>
  <si>
    <t>S//WY:R, B:S//OR</t>
  </si>
  <si>
    <t>S//YY:R, S//W:RK</t>
  </si>
  <si>
    <t>BRPE-11, RBGU-20, FOTE-23, ROYT-2, HERG-3, WILL-1, RUTU-1</t>
  </si>
  <si>
    <t>BOGU-49, RBGU-4, HERG-1, DCCO-3</t>
  </si>
  <si>
    <t>St. Lucie Inlet State Park (End of Hobe Sound National Wildlife Refuge to the S End of St. Lucie Intlet)</t>
  </si>
  <si>
    <t>St. Lucie Power Plant</t>
  </si>
  <si>
    <t>Ryan Welsh</t>
  </si>
  <si>
    <t>rwelsh@inwater.org</t>
  </si>
  <si>
    <t>St. Marks NWR (East)</t>
  </si>
  <si>
    <t>Kevin Christman, Beth Wright, Joe Reinman</t>
  </si>
  <si>
    <t>25%CC at start, Tide H falling about1.7ft L0.8 H2.0. Surf calm, wind 4-7mph, 45F at start, end at 74F. BEA 7, NOHA 4, 13 people 4 boats, river otter 1, end time 14:20.</t>
  </si>
  <si>
    <t>RBGU 69, DUNL 7</t>
  </si>
  <si>
    <t>DCCO 30, HERG 3, BRPE 1, RBGU 24, BAEA 1</t>
  </si>
  <si>
    <t>DUNL 232, BRPE 1, GRYE 3, WILL 22, BBPL 10, LESA 4, SBDO 1, RBGU 41, ROYT 4, FOTE 1, HERG 1</t>
  </si>
  <si>
    <t>RBGU 1, BBPL 3, WILL 7, DUNL 132, GRYE 5, LESA 10, RUTU 4, GBHE 1</t>
  </si>
  <si>
    <t>LESA 15, DUNL 188, WILL 15, BBPL 4, GRYE 2, SEPL 1, SBDO 8, HERG 1, FOTE 5, BAEA 1, NOHA 2</t>
  </si>
  <si>
    <t>DUNL 99, LESA 10, WILL 18, REEG 1, SBDO 3</t>
  </si>
  <si>
    <t>RBGU 4, HERG 2, FOTE 1, ROYT 1, BBPL 2, WILL 24, SBDO 14, DUNL 327, LESA 41, SEPL 6</t>
  </si>
  <si>
    <t>DCCO 89, BRPE 4, RBGU 1</t>
  </si>
  <si>
    <t>LESA 26, DUNL 79, WILL 19, SBDO 7, HERG 8 ROYT 1, RBGU 7, GBHE 1</t>
  </si>
  <si>
    <t>WILL 1, GRYE 3, DUNL 35, SBDO 12</t>
  </si>
  <si>
    <t>DUNL 85, SBDO 49, LESA 7, WILL 3, BBPL 4, GRYE 2, LBHE 2</t>
  </si>
  <si>
    <t>DUNL 10, SBDO 112, WILL 13, GREG 6, LBHE 2, GBHE 1, BAEA 1</t>
  </si>
  <si>
    <t>DUNL 141, WILL 20, SBDO 151, WHIB 1, TRHE 1</t>
  </si>
  <si>
    <t>DUNL 46, SBDO 82, BBPL 1, WILL 6, RBGU 13, LAGU 1, ROYT 1</t>
  </si>
  <si>
    <t>DUNL 110, WILL 3, BBPL 1, SBDO 87,WHIB 4, GBHE 1</t>
  </si>
  <si>
    <t>SBDO 173, DUNL 195, WILL 31, LBHE 1, TRHE 1</t>
  </si>
  <si>
    <t>DUNL 757, SBDO 502, WILL 63, FOTE 2, GREG 5, RBME 1, HOME 2, WHIB 3, SNEG 2
 *Note: This group should be group 18; group label skipped over 18 and went right to 19.*</t>
  </si>
  <si>
    <t>RBGU 79, HERG 4, WILL 1, RUTU 7, DUNL 11</t>
  </si>
  <si>
    <t>StJosephPen Restoration</t>
  </si>
  <si>
    <t>Barbara Eells &amp; Ezra Thompson</t>
  </si>
  <si>
    <t>S//:OG female reported on Fla Alliance</t>
  </si>
  <si>
    <t>Stormwater Treatment Area-1E</t>
  </si>
  <si>
    <t>Rick Schofield, C. Weber, S. Zuckerman, B Garrett</t>
  </si>
  <si>
    <t>Stormwater Treatment Area-1W</t>
  </si>
  <si>
    <t>Stormwater Treatment Area-2</t>
  </si>
  <si>
    <t>Stormwater Treatment Area-3/4</t>
  </si>
  <si>
    <t>Stormwater Treatment Area-5/6</t>
  </si>
  <si>
    <t>Taylor Creek STA</t>
  </si>
  <si>
    <t>Ten Thousand Islands (Collier)</t>
  </si>
  <si>
    <t>Mark Danaher, Lauren Miller, Clint Perkins, Jessica Sutt, Mary Helen Reuter</t>
  </si>
  <si>
    <t>mark_danaher@fws.gov</t>
  </si>
  <si>
    <t>Lower than normal low tide, .28 ft predicted, excellent exposed areas.</t>
  </si>
  <si>
    <t>Three Rooker North Island</t>
  </si>
  <si>
    <t>Dana Kerstein, Wendy Lichty</t>
  </si>
  <si>
    <t>dana.kerstein@gmail.com</t>
  </si>
  <si>
    <t>Three Rooker South Island</t>
  </si>
  <si>
    <t>Bob Lane, Denise Lane, Jane Mann, Steve Mann</t>
  </si>
  <si>
    <t>Bob Lane ohiomagpie@hotmail.com</t>
  </si>
  <si>
    <t>1)LL=S,Y RL=O,Y 2)LL=Lb,G/R RL=S,K/W 3)LL=FG,_ RL=S,G/G 4)LL=S,_ RL=FK,_ 5)LL=FO,Y/Y RL=S,K 6)TY5 LL=FY,_ RL=S,_ 7)LL=FY,B/R RL=S,O/B photos taken</t>
  </si>
  <si>
    <t>1)K76 LL=GF,_ RL_,_ (maybe R76) 2)A54 LL=GF,_ RL=_,_ photos taken</t>
  </si>
  <si>
    <t>Tolomato River/Julia's Island</t>
  </si>
  <si>
    <t>Joseph Marchionno, Ariam Jimenez, Caroline Poli, Jean Olbert</t>
  </si>
  <si>
    <t>Joseph.Marchionno@MyFWC.com</t>
  </si>
  <si>
    <t>Red 46, Vertical</t>
  </si>
  <si>
    <t>Red 15, Vertical</t>
  </si>
  <si>
    <t>Red 56 Vertical, Red 20 Vertical</t>
  </si>
  <si>
    <t>Red 31 Vertical</t>
  </si>
  <si>
    <t>Red R5, Horizontal</t>
  </si>
  <si>
    <t>Red 34 Vertical, Red X30 Triangle, Red HE Horizontal, Red X31 Triangle, Red X18 Triangle, Red X24 Triangle, Red X23 Triangle, Red MM Horizontal</t>
  </si>
  <si>
    <t>Red X22 Triangle, Red 13 Vertical</t>
  </si>
  <si>
    <t>Red 43 Vertical, Red 02 Vertical</t>
  </si>
  <si>
    <t>Red 19 Vertical</t>
  </si>
  <si>
    <t>Topsail Hill State Park</t>
  </si>
  <si>
    <t>end time:1525; used ATV</t>
  </si>
  <si>
    <t>4: S//K:BR female, Y:S//RW male, OB:S(G)// female, KY:S//W female</t>
  </si>
  <si>
    <t>Treasure Island - North</t>
  </si>
  <si>
    <t>Mid tide dropping.</t>
  </si>
  <si>
    <t>Turkey Point</t>
  </si>
  <si>
    <t>I kayaked this route which is substantially different from prior surveys done on foot under this site name. Paddled east from FSU Coastal and Marine Lab to the the first house east of actual Turkey Point, vs. prior surveys heading west from the lab onto beach that fronts the western portion of the St. Joe Company resort property Summer Camp. Scoped the former route from my start point on this survey and observed zero birds. 
 I also paddled to a sandbar 1+ mi. off Turkey Point visible on satellite images, which was totally submerged and is likely exposed only at extreme negative low tides, if then. This is not included in my route because there was no appropriate habitat.</t>
  </si>
  <si>
    <t>Tyndall Shell</t>
  </si>
  <si>
    <t>End time: 1154</t>
  </si>
  <si>
    <t>4: Of//BB:S//Y, O(blue dot)//Y:S//Y/O, O//b:S//(missing band light blue, LR ), S//KY:Yf(H67)//W (missing band Red, LR),</t>
  </si>
  <si>
    <t>1: S//O:RY male</t>
  </si>
  <si>
    <t>2: B:S//BR female, S//W:WG male</t>
  </si>
  <si>
    <t>1: KB:S//K female</t>
  </si>
  <si>
    <t>1: S//O:OO female</t>
  </si>
  <si>
    <t>1: YW:S//RG female</t>
  </si>
  <si>
    <t>2: X//OG:Gf//KY, Yf(82A)//WB:S//OY</t>
  </si>
  <si>
    <t>1: GO//:YG// male</t>
  </si>
  <si>
    <t>1: S//W:OW female</t>
  </si>
  <si>
    <t>Varn Park North to Washington Oaks SP</t>
  </si>
  <si>
    <t>Joe Dziak, Judie Dziak, K. Brown, B. Nelson</t>
  </si>
  <si>
    <t>jjdziak@att.net</t>
  </si>
  <si>
    <t>Village of Key Biscayne</t>
  </si>
  <si>
    <t>Virginia Key</t>
  </si>
  <si>
    <t>Ricardo Zambrano, Dan O'Malley, Natasha Warraich</t>
  </si>
  <si>
    <t>Ricardo.Zambrano@MyFWC.com</t>
  </si>
  <si>
    <t>15 short-billed dowitchers, 234 BBPL, 6 BRPE, 3 RIBU, 20 RUTU</t>
  </si>
  <si>
    <t>Volusia County Atlantic Coast, Flagler County Line to north side of Ponce Inlet</t>
  </si>
  <si>
    <t>David Hartgrove, Rachel Ramsey, Joan Tague</t>
  </si>
  <si>
    <t>birdman9@earthlink.net</t>
  </si>
  <si>
    <t>Disappointed that we saw no Red Knots. Surprised by the first ever American Avocets I've ever seen at the ocean shoreline.</t>
  </si>
  <si>
    <t>Both were unbanded.</t>
  </si>
  <si>
    <t>Watersound</t>
  </si>
  <si>
    <t>after rain, walked</t>
  </si>
  <si>
    <t>Weff Rd / Palmetto Rd</t>
  </si>
  <si>
    <t>Lydia Schindler, Peggy Cook</t>
  </si>
  <si>
    <t>lydia13621@gmail.com</t>
  </si>
  <si>
    <t>none observed</t>
  </si>
  <si>
    <t>West Bay - Marifarms</t>
  </si>
  <si>
    <t>Kevin Christman, Marvin Friel, Molly Tuma, Beth Wright</t>
  </si>
  <si>
    <t>50%CC, wind 8-12mph, surf calm, only tide on day L at -0.3ft, tide about -0.25ft. People 8, boats 5, kayak 2. BAEA 3, COHA 1, NOHA 1, coyote 1, raccoon 1, otter 1. End 13:48.</t>
  </si>
  <si>
    <t>LESA 33, BBPL 8, GRYE 12, SEPL 14, DUNL 198, GBHE 1, GREG 1, SNEG 1.</t>
  </si>
  <si>
    <t>OO:S//GY male, reported to bander</t>
  </si>
  <si>
    <t>DUNL 104, BBPL 6, KILL 1</t>
  </si>
  <si>
    <t>BBPL 35, DUNL 355, LESA 68, WESA 16, SEPL 1, GREG 11</t>
  </si>
  <si>
    <t>Wild Goose Lagoon</t>
  </si>
  <si>
    <t>Kevin Christman, Molly Tuma</t>
  </si>
  <si>
    <t>20%CC, wind 8-12mph, surf calm, tide about -0.2ft L-0.5 H0.9. Raccoon 2, BAEA 4 (likely repeat from CIE), PPL 0. End time 19:00. Additional birds seen added to Buck Beach Survey.</t>
  </si>
  <si>
    <t>Windmark Beach</t>
  </si>
  <si>
    <t>St Joseph's Bay shoreline with 2 creeks (closed at this time) Snowy Point hang out for SNPL, all resting/sparse to heavy sea weed along shoreline/eroded shoreline in southern areas of beach near Windmark village</t>
  </si>
  <si>
    <t>//B:SBGm, //S:bBbf, SK:RBf, BG:G(S)//m, //O:S//W (was RO:S//Wm 12/29/17), WG:RS//m(bded in 2004 on WM), YO:S//Wm, SKG://Bm, //B:SKRf, S//W:OKm,S//W:GRf</t>
  </si>
  <si>
    <t>Yent Bayou</t>
  </si>
  <si>
    <t>Site was Yent Bayou, which I was assigned to survey but wasn't in dropdown list</t>
  </si>
  <si>
    <t>Gandy</t>
  </si>
  <si>
    <t>Yes</t>
  </si>
  <si>
    <t>KM black band</t>
  </si>
  <si>
    <t>No, I didn't see any focal species</t>
  </si>
  <si>
    <t>SBDO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</si>
</sst>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1"/>
      <color rgb="FF000000"/>
      <name val="Calibri"/>
      <family val="2"/>
    </font>
    <font>
      <sz val="10"/>
      <name val="Arial"/>
      <family val="2"/>
    </font>
    <font>
      <i/>
      <sz val="11"/>
      <name val="Arial"/>
      <family val="2"/>
    </font>
    <font>
      <i/>
      <sz val="11"/>
      <color rgb="FF000000"/>
      <name val="Arial"/>
      <family val="2"/>
    </font>
    <font>
      <sz val="10"/>
      <name val="Arial"/>
      <family val="2"/>
    </font>
  </fonts>
  <fills count="4">
    <fill>
      <patternFill patternType="none"/>
    </fill>
    <fill>
      <patternFill patternType="gray125"/>
    </fill>
    <fill>
      <patternFill patternType="solid">
        <fgColor rgb="FFFFFFFF"/>
        <bgColor rgb="FFFFFFFF"/>
      </patternFill>
    </fill>
    <fill>
      <patternFill patternType="solid">
        <fgColor rgb="FFD9EAD3"/>
        <bgColor rgb="FFD9EAD3"/>
      </patternFill>
    </fill>
  </fills>
  <borders count="1">
    <border>
      <left/>
      <right/>
      <top/>
      <bottom/>
      <diagonal/>
    </border>
  </borders>
  <cellStyleXfs count="1">
    <xf numFmtId="0" fontId="0" fillId="0" borderId="0"/>
  </cellStyleXfs>
  <cellXfs count="19">
    <xf numFmtId="0" fontId="0" fillId="0" borderId="0" xfId="0" applyFont="1" applyAlignment="1"/>
    <xf numFmtId="0" fontId="1" fillId="0" borderId="0" xfId="0" applyFont="1" applyAlignment="1"/>
    <xf numFmtId="0" fontId="1" fillId="0" borderId="0" xfId="0" applyFont="1" applyAlignment="1">
      <alignment horizontal="right"/>
    </xf>
    <xf numFmtId="14" fontId="1" fillId="0" borderId="0" xfId="0" applyNumberFormat="1" applyFont="1" applyAlignment="1">
      <alignment horizontal="right"/>
    </xf>
    <xf numFmtId="19" fontId="1" fillId="0" borderId="0" xfId="0" applyNumberFormat="1" applyFont="1" applyAlignment="1">
      <alignment horizontal="right"/>
    </xf>
    <xf numFmtId="0" fontId="1" fillId="0" borderId="0" xfId="0" applyFont="1" applyAlignment="1"/>
    <xf numFmtId="0" fontId="1" fillId="2" borderId="0" xfId="0" applyFont="1" applyFill="1" applyAlignment="1"/>
    <xf numFmtId="0" fontId="1" fillId="2" borderId="0" xfId="0" applyFont="1" applyFill="1" applyAlignment="1"/>
    <xf numFmtId="0" fontId="1" fillId="0" borderId="0" xfId="0" applyFont="1" applyAlignment="1">
      <alignment wrapText="1"/>
    </xf>
    <xf numFmtId="0" fontId="2" fillId="0" borderId="0" xfId="0" applyFont="1" applyAlignment="1"/>
    <xf numFmtId="0" fontId="3" fillId="3" borderId="0" xfId="0" applyFont="1" applyFill="1" applyAlignment="1">
      <alignment horizontal="right" wrapText="1"/>
    </xf>
    <xf numFmtId="0" fontId="4" fillId="3" borderId="0" xfId="0" applyFont="1" applyFill="1" applyAlignment="1">
      <alignment horizontal="right"/>
    </xf>
    <xf numFmtId="0" fontId="3" fillId="3" borderId="0" xfId="0" applyFont="1" applyFill="1" applyAlignment="1">
      <alignment horizontal="right"/>
    </xf>
    <xf numFmtId="14" fontId="5" fillId="0" borderId="0" xfId="0" applyNumberFormat="1" applyFont="1" applyAlignment="1">
      <alignment horizontal="right"/>
    </xf>
    <xf numFmtId="0" fontId="5" fillId="0" borderId="0" xfId="0" applyFont="1" applyAlignment="1"/>
    <xf numFmtId="19" fontId="5" fillId="0" borderId="0" xfId="0" applyNumberFormat="1" applyFont="1" applyAlignment="1">
      <alignment horizontal="right"/>
    </xf>
    <xf numFmtId="0" fontId="5" fillId="0" borderId="0" xfId="0" applyFont="1" applyAlignment="1"/>
    <xf numFmtId="0" fontId="5" fillId="0" borderId="0" xfId="0" applyFont="1" applyAlignment="1">
      <alignment horizontal="right"/>
    </xf>
    <xf numFmtId="0" fontId="5"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X247"/>
  <sheetViews>
    <sheetView tabSelected="1" workbookViewId="0">
      <pane xSplit="1" ySplit="1" topLeftCell="U2" activePane="bottomRight" state="frozen"/>
      <selection pane="topRight" activeCell="B1" sqref="B1"/>
      <selection pane="bottomLeft" activeCell="A2" sqref="A2"/>
      <selection pane="bottomRight" activeCell="Z10" sqref="Z10"/>
    </sheetView>
  </sheetViews>
  <sheetFormatPr defaultColWidth="14.42578125" defaultRowHeight="15.75" customHeight="1" x14ac:dyDescent="0.2"/>
  <cols>
    <col min="1" max="1" width="42.7109375" customWidth="1"/>
  </cols>
  <sheetData>
    <row r="1" spans="1:336"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1296</v>
      </c>
      <c r="Z1" s="1" t="s">
        <v>38</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283</v>
      </c>
      <c r="KA1" s="1" t="s">
        <v>284</v>
      </c>
      <c r="KB1" s="1" t="s">
        <v>284</v>
      </c>
      <c r="KC1" s="1" t="s">
        <v>285</v>
      </c>
      <c r="KD1" s="1" t="s">
        <v>285</v>
      </c>
      <c r="KE1" s="1" t="s">
        <v>286</v>
      </c>
      <c r="KF1" s="1" t="s">
        <v>286</v>
      </c>
      <c r="KG1" s="1" t="s">
        <v>287</v>
      </c>
      <c r="KH1" s="1" t="s">
        <v>287</v>
      </c>
      <c r="KI1" s="1" t="s">
        <v>288</v>
      </c>
      <c r="KJ1" s="1" t="s">
        <v>288</v>
      </c>
      <c r="KK1" s="1" t="s">
        <v>289</v>
      </c>
      <c r="KL1" s="1" t="s">
        <v>289</v>
      </c>
      <c r="KM1" s="1" t="s">
        <v>290</v>
      </c>
      <c r="KN1" s="1" t="s">
        <v>290</v>
      </c>
      <c r="KO1" s="1" t="s">
        <v>291</v>
      </c>
      <c r="KP1" s="1" t="s">
        <v>291</v>
      </c>
      <c r="KQ1" s="1" t="s">
        <v>292</v>
      </c>
      <c r="KR1" s="1" t="s">
        <v>293</v>
      </c>
      <c r="KS1" s="1" t="s">
        <v>294</v>
      </c>
      <c r="KT1" s="1" t="s">
        <v>295</v>
      </c>
      <c r="KU1" s="1" t="s">
        <v>296</v>
      </c>
      <c r="KV1" s="1" t="s">
        <v>297</v>
      </c>
      <c r="KW1" s="1" t="s">
        <v>298</v>
      </c>
      <c r="KX1" s="1" t="s">
        <v>299</v>
      </c>
      <c r="KY1" s="1" t="s">
        <v>300</v>
      </c>
      <c r="KZ1" s="1" t="s">
        <v>301</v>
      </c>
      <c r="LA1" s="1" t="s">
        <v>302</v>
      </c>
      <c r="LB1" s="1" t="s">
        <v>303</v>
      </c>
      <c r="LC1" s="1" t="s">
        <v>304</v>
      </c>
      <c r="LD1" s="1" t="s">
        <v>305</v>
      </c>
      <c r="LE1" s="1" t="s">
        <v>306</v>
      </c>
      <c r="LF1" s="1" t="s">
        <v>307</v>
      </c>
      <c r="LG1" s="1" t="s">
        <v>308</v>
      </c>
      <c r="LH1" s="1" t="s">
        <v>309</v>
      </c>
      <c r="LI1" s="1" t="s">
        <v>310</v>
      </c>
      <c r="LJ1" s="1" t="s">
        <v>311</v>
      </c>
      <c r="LK1" s="1" t="s">
        <v>312</v>
      </c>
      <c r="LL1" s="1" t="s">
        <v>313</v>
      </c>
      <c r="LM1" s="1" t="s">
        <v>314</v>
      </c>
      <c r="LN1" s="1" t="s">
        <v>315</v>
      </c>
      <c r="LO1" s="1" t="s">
        <v>316</v>
      </c>
      <c r="LP1" s="1" t="s">
        <v>317</v>
      </c>
      <c r="LQ1" s="1" t="s">
        <v>318</v>
      </c>
      <c r="LR1" s="1" t="s">
        <v>319</v>
      </c>
      <c r="LS1" s="1" t="s">
        <v>320</v>
      </c>
      <c r="LT1" s="1" t="s">
        <v>321</v>
      </c>
      <c r="LU1" s="1" t="s">
        <v>322</v>
      </c>
      <c r="LV1" s="1" t="s">
        <v>323</v>
      </c>
      <c r="LW1" s="1" t="s">
        <v>324</v>
      </c>
      <c r="LX1" s="1" t="s">
        <v>325</v>
      </c>
    </row>
    <row r="2" spans="1:336" ht="15" x14ac:dyDescent="0.25">
      <c r="A2" s="5"/>
      <c r="B2" s="5"/>
      <c r="C2" s="5"/>
      <c r="D2" s="5"/>
      <c r="E2" s="5"/>
      <c r="F2" s="5"/>
      <c r="G2" s="5"/>
      <c r="H2" s="5"/>
      <c r="I2" s="5"/>
      <c r="J2" s="5"/>
      <c r="K2" s="5"/>
      <c r="L2" s="5"/>
      <c r="M2" s="5"/>
      <c r="N2" s="5"/>
      <c r="O2" s="5"/>
      <c r="P2" s="5"/>
      <c r="Q2" s="5"/>
      <c r="R2" s="5"/>
      <c r="S2" s="5"/>
      <c r="T2" s="5"/>
      <c r="U2" s="5"/>
      <c r="V2" s="5"/>
      <c r="W2" s="5"/>
      <c r="X2" s="5">
        <f>SUM(X4:X247)</f>
        <v>1508</v>
      </c>
      <c r="Y2" s="5">
        <f>SUM(Y4:Y247)</f>
        <v>3550</v>
      </c>
      <c r="Z2" s="5">
        <f>SUM(Z4:Z247)</f>
        <v>295</v>
      </c>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row>
    <row r="3" spans="1:336" ht="15" x14ac:dyDescent="0.25">
      <c r="A3" s="5"/>
      <c r="B3" s="5"/>
      <c r="C3" s="5"/>
      <c r="D3" s="5"/>
      <c r="E3" s="5"/>
      <c r="F3" s="5"/>
      <c r="G3" s="5"/>
      <c r="H3" s="5"/>
      <c r="I3" s="5"/>
      <c r="J3" s="5"/>
      <c r="K3" s="5"/>
      <c r="L3" s="5"/>
      <c r="M3" s="5"/>
      <c r="N3" s="5"/>
      <c r="O3" s="5"/>
      <c r="P3" s="5"/>
      <c r="Q3" s="5"/>
      <c r="R3" s="5"/>
      <c r="S3" s="5"/>
      <c r="T3" s="5"/>
      <c r="U3" s="5"/>
      <c r="V3" s="5"/>
      <c r="W3" s="5"/>
      <c r="X3" s="5">
        <f>COUNT(X4:X249)</f>
        <v>15</v>
      </c>
      <c r="Y3" s="5">
        <f>COUNT(Y4:Y249)</f>
        <v>30</v>
      </c>
      <c r="Z3" s="5">
        <f>COUNT(Z4:Z249)</f>
        <v>1</v>
      </c>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c r="LP3" s="5"/>
      <c r="LQ3" s="5"/>
      <c r="LR3" s="5"/>
      <c r="LS3" s="5"/>
      <c r="LT3" s="5"/>
      <c r="LU3" s="5"/>
      <c r="LV3" s="5"/>
      <c r="LW3" s="5"/>
      <c r="LX3" s="5"/>
    </row>
    <row r="4" spans="1:336" ht="15" x14ac:dyDescent="0.25">
      <c r="A4" s="1" t="s">
        <v>326</v>
      </c>
      <c r="B4" s="2">
        <v>25.18224</v>
      </c>
      <c r="C4" s="2">
        <v>-81.137900000000002</v>
      </c>
      <c r="D4" s="2">
        <v>25.033280000000001</v>
      </c>
      <c r="E4" s="2">
        <v>-81.010300000000001</v>
      </c>
      <c r="F4" s="3">
        <v>43137</v>
      </c>
      <c r="G4" s="1" t="s">
        <v>327</v>
      </c>
      <c r="H4" s="1" t="s">
        <v>328</v>
      </c>
      <c r="I4" s="1" t="s">
        <v>329</v>
      </c>
      <c r="J4" s="4">
        <v>0.5</v>
      </c>
      <c r="K4" s="1" t="s">
        <v>330</v>
      </c>
      <c r="L4" s="1" t="s">
        <v>331</v>
      </c>
      <c r="M4" s="1" t="s">
        <v>332</v>
      </c>
      <c r="N4" s="1" t="s">
        <v>333</v>
      </c>
      <c r="O4" s="2"/>
      <c r="P4" s="2"/>
      <c r="Q4" s="2">
        <v>218</v>
      </c>
      <c r="R4" s="2"/>
      <c r="S4" s="2"/>
      <c r="T4" s="2"/>
      <c r="U4" s="2">
        <v>7210</v>
      </c>
      <c r="V4" s="2"/>
      <c r="W4" s="2"/>
      <c r="X4" s="2"/>
      <c r="Y4" s="2">
        <v>3</v>
      </c>
      <c r="Z4" s="2"/>
      <c r="AA4" s="2">
        <v>2</v>
      </c>
      <c r="AB4" s="2"/>
      <c r="AC4" s="2"/>
      <c r="AD4" s="2"/>
      <c r="AE4" s="2">
        <v>90</v>
      </c>
      <c r="AF4" s="2">
        <v>400</v>
      </c>
      <c r="AG4" s="2"/>
      <c r="AH4" s="2"/>
      <c r="AI4" s="2">
        <v>8</v>
      </c>
      <c r="AJ4" s="2">
        <v>330</v>
      </c>
      <c r="AK4" s="2">
        <v>14</v>
      </c>
      <c r="AL4" s="2">
        <v>95</v>
      </c>
      <c r="AM4" s="2">
        <v>2</v>
      </c>
      <c r="AN4" s="2"/>
      <c r="AO4" s="2">
        <v>304</v>
      </c>
      <c r="AP4" s="2"/>
      <c r="AQ4" s="2"/>
      <c r="AR4" s="2"/>
      <c r="AS4" s="2"/>
      <c r="AT4" s="2"/>
      <c r="AU4" s="2"/>
      <c r="AV4" s="2"/>
      <c r="AW4" s="2"/>
      <c r="AX4" s="2"/>
      <c r="AY4" s="2"/>
      <c r="AZ4" s="2"/>
      <c r="BA4" s="2"/>
      <c r="BB4" s="2"/>
      <c r="BC4" s="2"/>
      <c r="BD4" s="2"/>
      <c r="BE4" s="2">
        <v>45</v>
      </c>
      <c r="BF4" s="2"/>
      <c r="BG4" s="2"/>
      <c r="BH4" s="2"/>
      <c r="BI4" s="5"/>
      <c r="BJ4" s="5"/>
      <c r="BK4" s="5"/>
      <c r="BL4" s="5"/>
      <c r="BM4" s="1">
        <v>25.17859</v>
      </c>
      <c r="BN4" s="1">
        <v>-81.1357</v>
      </c>
      <c r="BO4" s="5"/>
      <c r="BP4" s="5"/>
      <c r="BQ4" s="5"/>
      <c r="BR4" s="5"/>
      <c r="BS4" s="5"/>
      <c r="BT4" s="5"/>
      <c r="BU4" s="5"/>
      <c r="BV4" s="5"/>
      <c r="BW4" s="5"/>
      <c r="BX4" s="5"/>
      <c r="BY4" s="5"/>
      <c r="BZ4" s="5"/>
      <c r="CA4" s="1">
        <v>25.176670000000001</v>
      </c>
      <c r="CB4" s="1">
        <v>-81.135099999999994</v>
      </c>
      <c r="CC4" s="1" t="s">
        <v>334</v>
      </c>
      <c r="CD4" s="5"/>
      <c r="CE4" s="5"/>
      <c r="CF4" s="5"/>
      <c r="CG4" s="5"/>
      <c r="CH4" s="5"/>
      <c r="CI4" s="5"/>
      <c r="CJ4" s="5"/>
      <c r="CK4" s="5"/>
      <c r="CL4" s="5"/>
      <c r="CM4" s="5"/>
      <c r="CN4" s="5"/>
      <c r="CO4" s="5"/>
      <c r="CP4" s="1">
        <v>25.175809999999998</v>
      </c>
      <c r="CQ4" s="1">
        <v>-81.131200000000007</v>
      </c>
      <c r="CR4" s="1" t="s">
        <v>335</v>
      </c>
      <c r="CS4" s="5"/>
      <c r="CT4" s="5"/>
      <c r="CU4" s="5"/>
      <c r="CV4" s="5"/>
      <c r="CW4" s="5"/>
      <c r="CX4" s="5"/>
      <c r="CY4" s="5"/>
      <c r="CZ4" s="5"/>
      <c r="DA4" s="5"/>
      <c r="DB4" s="5"/>
      <c r="DC4" s="5"/>
      <c r="DD4" s="5"/>
      <c r="DE4" s="1">
        <v>25.173369999999998</v>
      </c>
      <c r="DF4" s="1">
        <v>-81.128399999999999</v>
      </c>
      <c r="DG4" s="1" t="s">
        <v>336</v>
      </c>
      <c r="DH4" s="5"/>
      <c r="DI4" s="5"/>
      <c r="DJ4" s="5"/>
      <c r="DK4" s="5"/>
      <c r="DL4" s="5"/>
      <c r="DM4" s="5"/>
      <c r="DN4" s="5"/>
      <c r="DO4" s="5"/>
      <c r="DP4" s="5"/>
      <c r="DQ4" s="5"/>
      <c r="DR4" s="5"/>
      <c r="DS4" s="5"/>
      <c r="DT4" s="1">
        <v>25.17259</v>
      </c>
      <c r="DU4" s="1">
        <v>-81.127399999999994</v>
      </c>
      <c r="DV4" s="1" t="s">
        <v>337</v>
      </c>
      <c r="DW4" s="5"/>
      <c r="DX4" s="5"/>
      <c r="DY4" s="5"/>
      <c r="DZ4" s="5"/>
      <c r="EA4" s="5"/>
      <c r="EB4" s="5"/>
      <c r="EC4" s="5"/>
      <c r="ED4" s="5"/>
      <c r="EE4" s="5"/>
      <c r="EF4" s="5"/>
      <c r="EG4" s="5"/>
      <c r="EH4" s="5"/>
      <c r="EI4" s="1">
        <v>25.172750000000001</v>
      </c>
      <c r="EJ4" s="1">
        <v>-81.127399999999994</v>
      </c>
      <c r="EK4" s="1" t="s">
        <v>338</v>
      </c>
      <c r="EL4" s="5"/>
      <c r="EM4" s="5"/>
      <c r="EN4" s="5"/>
      <c r="EO4" s="5"/>
      <c r="EP4" s="5"/>
      <c r="EQ4" s="5"/>
      <c r="ER4" s="5"/>
      <c r="ES4" s="5"/>
      <c r="ET4" s="5"/>
      <c r="EU4" s="5"/>
      <c r="EV4" s="5"/>
      <c r="EW4" s="5"/>
      <c r="EX4" s="1">
        <v>25.17118</v>
      </c>
      <c r="EY4" s="1">
        <v>-81.126199999999997</v>
      </c>
      <c r="EZ4" s="1" t="s">
        <v>339</v>
      </c>
      <c r="FA4" s="5"/>
      <c r="FB4" s="5"/>
      <c r="FC4" s="5"/>
      <c r="FD4" s="5"/>
      <c r="FE4" s="5"/>
      <c r="FF4" s="5"/>
      <c r="FG4" s="5"/>
      <c r="FH4" s="5"/>
      <c r="FI4" s="5"/>
      <c r="FJ4" s="5"/>
      <c r="FK4" s="5"/>
      <c r="FL4" s="5"/>
      <c r="FM4" s="1">
        <v>25.17004</v>
      </c>
      <c r="FN4" s="1">
        <v>-81.125299999999996</v>
      </c>
      <c r="FO4" s="1" t="s">
        <v>340</v>
      </c>
      <c r="FP4" s="5"/>
      <c r="FQ4" s="5"/>
      <c r="FR4" s="5"/>
      <c r="FS4" s="5"/>
      <c r="FT4" s="5"/>
      <c r="FU4" s="5"/>
      <c r="FV4" s="5"/>
      <c r="FW4" s="5"/>
      <c r="FX4" s="5"/>
      <c r="FY4" s="5"/>
      <c r="FZ4" s="5"/>
      <c r="GA4" s="5"/>
      <c r="GB4" s="1">
        <v>25.158809999999999</v>
      </c>
      <c r="GC4" s="1">
        <v>-81.110200000000006</v>
      </c>
      <c r="GD4" s="1" t="s">
        <v>341</v>
      </c>
      <c r="GE4" s="5"/>
      <c r="GF4" s="5"/>
      <c r="GG4" s="5"/>
      <c r="GH4" s="5"/>
      <c r="GI4" s="5"/>
      <c r="GJ4" s="5"/>
      <c r="GK4" s="5"/>
      <c r="GL4" s="5"/>
      <c r="GM4" s="5"/>
      <c r="GN4" s="5"/>
      <c r="GO4" s="5"/>
      <c r="GP4" s="5"/>
      <c r="GQ4" s="1">
        <v>25.152629999999998</v>
      </c>
      <c r="GR4" s="1">
        <v>-81.101399999999998</v>
      </c>
      <c r="GS4" s="1" t="s">
        <v>342</v>
      </c>
      <c r="GT4" s="5"/>
      <c r="GU4" s="5"/>
      <c r="GV4" s="5"/>
      <c r="GW4" s="5"/>
      <c r="GX4" s="5"/>
      <c r="GY4" s="5"/>
      <c r="GZ4" s="5"/>
      <c r="HA4" s="5"/>
      <c r="HB4" s="5"/>
      <c r="HC4" s="5"/>
      <c r="HD4" s="5"/>
      <c r="HE4" s="5"/>
      <c r="HF4" s="1">
        <v>25.15157</v>
      </c>
      <c r="HG4" s="1">
        <v>-81.099900000000005</v>
      </c>
      <c r="HH4" s="1" t="s">
        <v>343</v>
      </c>
      <c r="HI4" s="5"/>
      <c r="HJ4" s="5"/>
      <c r="HK4" s="5"/>
      <c r="HL4" s="5"/>
      <c r="HM4" s="5"/>
      <c r="HN4" s="5"/>
      <c r="HO4" s="5"/>
      <c r="HP4" s="5"/>
      <c r="HQ4" s="5"/>
      <c r="HR4" s="5"/>
      <c r="HS4" s="5"/>
      <c r="HT4" s="5"/>
      <c r="HU4" s="1">
        <v>25.150449999999999</v>
      </c>
      <c r="HV4" s="1">
        <v>-81.097800000000007</v>
      </c>
      <c r="HW4" s="1" t="s">
        <v>344</v>
      </c>
      <c r="HX4" s="5"/>
      <c r="HY4" s="5"/>
      <c r="HZ4" s="5"/>
      <c r="IA4" s="5"/>
      <c r="IB4" s="5"/>
      <c r="IC4" s="5"/>
      <c r="ID4" s="5"/>
      <c r="IE4" s="5"/>
      <c r="IF4" s="5"/>
      <c r="IG4" s="5"/>
      <c r="IH4" s="5"/>
      <c r="II4" s="5"/>
      <c r="IJ4" s="1">
        <v>25.148109999999999</v>
      </c>
      <c r="IK4" s="1">
        <v>-81.093800000000002</v>
      </c>
      <c r="IL4" s="1" t="s">
        <v>345</v>
      </c>
      <c r="IM4" s="5"/>
      <c r="IN4" s="5"/>
      <c r="IO4" s="5"/>
      <c r="IP4" s="5"/>
      <c r="IQ4" s="5"/>
      <c r="IR4" s="5"/>
      <c r="IS4" s="5"/>
      <c r="IT4" s="5"/>
      <c r="IU4" s="5"/>
      <c r="IV4" s="5"/>
      <c r="IW4" s="5"/>
      <c r="IX4" s="5"/>
      <c r="IY4" s="1">
        <v>25.146350000000002</v>
      </c>
      <c r="IZ4" s="1">
        <v>-81.090999999999994</v>
      </c>
      <c r="JA4" s="1" t="s">
        <v>346</v>
      </c>
      <c r="JB4" s="5"/>
      <c r="JC4" s="5"/>
      <c r="JD4" s="5"/>
      <c r="JE4" s="5"/>
      <c r="JF4" s="5"/>
      <c r="JG4" s="5"/>
      <c r="JH4" s="5"/>
      <c r="JI4" s="5"/>
      <c r="JJ4" s="5"/>
      <c r="JK4" s="5"/>
      <c r="JL4" s="5"/>
      <c r="JM4" s="5"/>
      <c r="JN4" s="1">
        <v>25.14564</v>
      </c>
      <c r="JO4" s="1">
        <v>-81.086699999999993</v>
      </c>
      <c r="JP4" s="1" t="s">
        <v>347</v>
      </c>
      <c r="JQ4" s="5"/>
      <c r="JR4" s="5"/>
      <c r="JS4" s="5"/>
      <c r="JT4" s="5"/>
      <c r="JU4" s="5"/>
      <c r="JV4" s="5"/>
      <c r="JW4" s="1">
        <v>2</v>
      </c>
      <c r="JX4" s="1" t="s">
        <v>348</v>
      </c>
      <c r="JY4" s="5"/>
      <c r="JZ4" s="5"/>
      <c r="KA4" s="1">
        <v>25.1449</v>
      </c>
      <c r="KB4" s="1">
        <v>25.1449</v>
      </c>
      <c r="KC4" s="1">
        <v>-81.083600000000004</v>
      </c>
      <c r="KD4" s="1">
        <v>-81.083600000000004</v>
      </c>
      <c r="KE4" s="1" t="s">
        <v>349</v>
      </c>
      <c r="KF4" s="1" t="s">
        <v>349</v>
      </c>
      <c r="KG4" s="5"/>
      <c r="KH4" s="5"/>
      <c r="KI4" s="5"/>
      <c r="KJ4" s="5"/>
      <c r="KK4" s="5"/>
      <c r="KL4" s="5"/>
      <c r="KM4" s="5"/>
      <c r="KN4" s="5"/>
      <c r="KO4" s="5"/>
      <c r="KP4" s="5"/>
      <c r="KQ4" s="5"/>
      <c r="KR4" s="5"/>
      <c r="KS4" s="5"/>
      <c r="KT4" s="5"/>
      <c r="KU4" s="1">
        <v>25.14489</v>
      </c>
      <c r="KV4" s="1">
        <v>-81.083299999999994</v>
      </c>
      <c r="KW4" s="1" t="s">
        <v>350</v>
      </c>
      <c r="KX4" s="5"/>
      <c r="KY4" s="5"/>
      <c r="KZ4" s="5"/>
      <c r="LA4" s="5"/>
      <c r="LB4" s="5"/>
      <c r="LC4" s="5"/>
      <c r="LD4" s="5"/>
      <c r="LE4" s="5"/>
      <c r="LF4" s="5"/>
      <c r="LG4" s="5"/>
      <c r="LH4" s="5"/>
      <c r="LI4" s="5"/>
      <c r="LJ4" s="1">
        <v>25.142579999999999</v>
      </c>
      <c r="LK4" s="1">
        <v>-81.083699999999993</v>
      </c>
      <c r="LL4" s="1" t="s">
        <v>351</v>
      </c>
      <c r="LM4" s="5"/>
      <c r="LN4" s="5"/>
      <c r="LO4" s="5"/>
      <c r="LP4" s="5"/>
      <c r="LQ4" s="5"/>
      <c r="LR4" s="5"/>
      <c r="LS4" s="5"/>
      <c r="LT4" s="5"/>
      <c r="LU4" s="1">
        <v>25.045369999999998</v>
      </c>
      <c r="LV4" s="1">
        <v>-81.021900000000002</v>
      </c>
      <c r="LW4" s="1" t="s">
        <v>352</v>
      </c>
      <c r="LX4" s="1" t="s">
        <v>353</v>
      </c>
    </row>
    <row r="5" spans="1:336" ht="15" x14ac:dyDescent="0.25">
      <c r="A5" s="1" t="s">
        <v>354</v>
      </c>
      <c r="B5" s="2">
        <v>27.823530000000002</v>
      </c>
      <c r="C5" s="2">
        <v>-82.433199999999999</v>
      </c>
      <c r="D5" s="2">
        <v>27.838899999999999</v>
      </c>
      <c r="E5" s="2">
        <v>-82.438800000000001</v>
      </c>
      <c r="F5" s="3">
        <v>43138</v>
      </c>
      <c r="G5" s="1" t="s">
        <v>355</v>
      </c>
      <c r="H5" s="1" t="s">
        <v>356</v>
      </c>
      <c r="I5" s="1" t="s">
        <v>329</v>
      </c>
      <c r="J5" s="4">
        <v>0.40625</v>
      </c>
      <c r="K5" s="1" t="s">
        <v>330</v>
      </c>
      <c r="L5" s="1" t="s">
        <v>331</v>
      </c>
      <c r="M5" s="5"/>
      <c r="N5" s="1" t="s">
        <v>333</v>
      </c>
      <c r="O5" s="2">
        <v>2</v>
      </c>
      <c r="P5" s="2">
        <v>70</v>
      </c>
      <c r="Q5" s="2">
        <v>115</v>
      </c>
      <c r="R5" s="2">
        <v>180</v>
      </c>
      <c r="S5" s="2"/>
      <c r="T5" s="2">
        <v>1</v>
      </c>
      <c r="U5" s="2">
        <v>3</v>
      </c>
      <c r="V5" s="2">
        <v>5</v>
      </c>
      <c r="W5" s="2"/>
      <c r="X5" s="2"/>
      <c r="Y5" s="2">
        <v>4</v>
      </c>
      <c r="Z5" s="2"/>
      <c r="AA5" s="2"/>
      <c r="AB5" s="2"/>
      <c r="AC5" s="2"/>
      <c r="AD5" s="2"/>
      <c r="AE5" s="2">
        <v>120</v>
      </c>
      <c r="AF5" s="2">
        <v>24</v>
      </c>
      <c r="AG5" s="2"/>
      <c r="AH5" s="2"/>
      <c r="AI5" s="2"/>
      <c r="AJ5" s="2">
        <v>600</v>
      </c>
      <c r="AK5" s="2"/>
      <c r="AL5" s="2">
        <v>7</v>
      </c>
      <c r="AM5" s="2"/>
      <c r="AN5" s="2"/>
      <c r="AO5" s="2"/>
      <c r="AP5" s="2"/>
      <c r="AQ5" s="2"/>
      <c r="AR5" s="2"/>
      <c r="AS5" s="2"/>
      <c r="AT5" s="2">
        <v>2</v>
      </c>
      <c r="AU5" s="2"/>
      <c r="AV5" s="2"/>
      <c r="AW5" s="2"/>
      <c r="AX5" s="2"/>
      <c r="AY5" s="2"/>
      <c r="AZ5" s="2"/>
      <c r="BA5" s="2">
        <v>1</v>
      </c>
      <c r="BB5" s="2"/>
      <c r="BC5" s="2"/>
      <c r="BD5" s="2">
        <v>3</v>
      </c>
      <c r="BE5" s="2"/>
      <c r="BF5" s="2"/>
      <c r="BG5" s="2"/>
      <c r="BH5" s="2"/>
      <c r="BI5" s="6">
        <v>2</v>
      </c>
      <c r="BJ5" s="6">
        <v>0</v>
      </c>
      <c r="BK5" s="6">
        <v>0</v>
      </c>
      <c r="BL5" s="6">
        <v>0</v>
      </c>
      <c r="BM5" s="6">
        <v>27.823619999999998</v>
      </c>
      <c r="BN5" s="6">
        <v>-82.432199999999995</v>
      </c>
      <c r="BO5" s="6">
        <v>0</v>
      </c>
      <c r="BP5" s="6">
        <v>0</v>
      </c>
      <c r="BQ5" s="6">
        <v>0</v>
      </c>
      <c r="BR5" s="6">
        <v>0</v>
      </c>
      <c r="BS5" s="6">
        <v>0</v>
      </c>
      <c r="BT5" s="6">
        <v>0</v>
      </c>
      <c r="BU5" s="6">
        <v>0</v>
      </c>
      <c r="BV5" s="6">
        <v>0</v>
      </c>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6" t="s">
        <v>357</v>
      </c>
    </row>
    <row r="6" spans="1:336" ht="15" x14ac:dyDescent="0.25">
      <c r="A6" s="1" t="s">
        <v>358</v>
      </c>
      <c r="B6" s="2">
        <v>26.479590000000002</v>
      </c>
      <c r="C6" s="2">
        <v>-80.652299999999997</v>
      </c>
      <c r="D6" s="2">
        <v>26.39649</v>
      </c>
      <c r="E6" s="2">
        <v>-80.684799999999996</v>
      </c>
      <c r="F6" s="3">
        <v>43133</v>
      </c>
      <c r="G6" s="1" t="s">
        <v>359</v>
      </c>
      <c r="H6" s="1" t="s">
        <v>360</v>
      </c>
      <c r="I6" s="1" t="s">
        <v>329</v>
      </c>
      <c r="J6" s="4">
        <v>0.36041666666666666</v>
      </c>
      <c r="K6" s="5"/>
      <c r="L6" s="5"/>
      <c r="M6" s="5"/>
      <c r="N6" s="1" t="s">
        <v>333</v>
      </c>
      <c r="O6" s="2"/>
      <c r="P6" s="2"/>
      <c r="Q6" s="2">
        <v>1</v>
      </c>
      <c r="R6" s="2"/>
      <c r="S6" s="2">
        <v>9</v>
      </c>
      <c r="T6" s="2">
        <v>22</v>
      </c>
      <c r="U6" s="2"/>
      <c r="V6" s="2">
        <v>5</v>
      </c>
      <c r="W6" s="2"/>
      <c r="X6" s="2">
        <v>85</v>
      </c>
      <c r="Y6" s="2"/>
      <c r="Z6" s="2"/>
      <c r="AA6" s="2"/>
      <c r="AB6" s="2"/>
      <c r="AC6" s="2"/>
      <c r="AD6" s="2"/>
      <c r="AE6" s="2"/>
      <c r="AF6" s="2"/>
      <c r="AG6" s="2"/>
      <c r="AH6" s="2"/>
      <c r="AI6" s="2"/>
      <c r="AJ6" s="2"/>
      <c r="AK6" s="2"/>
      <c r="AL6" s="2"/>
      <c r="AM6" s="2"/>
      <c r="AN6" s="2"/>
      <c r="AO6" s="2"/>
      <c r="AP6" s="2"/>
      <c r="AQ6" s="2"/>
      <c r="AR6" s="2"/>
      <c r="AS6" s="2"/>
      <c r="AT6" s="2"/>
      <c r="AU6" s="2">
        <v>7</v>
      </c>
      <c r="AV6" s="2"/>
      <c r="AW6" s="2">
        <v>103</v>
      </c>
      <c r="AX6" s="2"/>
      <c r="AY6" s="2"/>
      <c r="AZ6" s="2"/>
      <c r="BA6" s="2"/>
      <c r="BB6" s="2"/>
      <c r="BC6" s="2"/>
      <c r="BD6" s="2"/>
      <c r="BE6" s="2"/>
      <c r="BF6" s="2"/>
      <c r="BG6" s="2"/>
      <c r="BH6" s="2"/>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row>
    <row r="7" spans="1:336" ht="15" x14ac:dyDescent="0.25">
      <c r="A7" s="1" t="s">
        <v>361</v>
      </c>
      <c r="B7" s="2">
        <v>27.833369999999999</v>
      </c>
      <c r="C7" s="2">
        <v>-80.433300000000003</v>
      </c>
      <c r="D7" s="2">
        <v>27.76868</v>
      </c>
      <c r="E7" s="2">
        <v>-80.388400000000004</v>
      </c>
      <c r="F7" s="3">
        <v>43137</v>
      </c>
      <c r="G7" s="1" t="s">
        <v>362</v>
      </c>
      <c r="H7" s="1" t="s">
        <v>363</v>
      </c>
      <c r="I7" s="1" t="s">
        <v>329</v>
      </c>
      <c r="J7" s="4">
        <v>0.4375</v>
      </c>
      <c r="K7" s="1" t="s">
        <v>330</v>
      </c>
      <c r="L7" s="1" t="s">
        <v>364</v>
      </c>
      <c r="M7" s="5"/>
      <c r="N7" s="1" t="s">
        <v>333</v>
      </c>
      <c r="O7" s="2"/>
      <c r="P7" s="2"/>
      <c r="Q7" s="2"/>
      <c r="R7" s="2"/>
      <c r="S7" s="2"/>
      <c r="T7" s="2"/>
      <c r="U7" s="2"/>
      <c r="V7" s="2"/>
      <c r="W7" s="2"/>
      <c r="X7" s="2"/>
      <c r="Y7" s="2"/>
      <c r="Z7" s="2"/>
      <c r="AA7" s="2"/>
      <c r="AB7" s="2"/>
      <c r="AC7" s="2"/>
      <c r="AD7" s="2"/>
      <c r="AE7" s="2">
        <v>55</v>
      </c>
      <c r="AF7" s="2"/>
      <c r="AG7" s="2"/>
      <c r="AH7" s="2"/>
      <c r="AI7" s="2"/>
      <c r="AJ7" s="2"/>
      <c r="AK7" s="2"/>
      <c r="AL7" s="2">
        <v>4</v>
      </c>
      <c r="AM7" s="2"/>
      <c r="AN7" s="2"/>
      <c r="AO7" s="2"/>
      <c r="AP7" s="2"/>
      <c r="AQ7" s="2"/>
      <c r="AR7" s="2"/>
      <c r="AS7" s="2"/>
      <c r="AT7" s="2"/>
      <c r="AU7" s="2"/>
      <c r="AV7" s="2"/>
      <c r="AW7" s="2"/>
      <c r="AX7" s="2"/>
      <c r="AY7" s="2"/>
      <c r="AZ7" s="2"/>
      <c r="BA7" s="2"/>
      <c r="BB7" s="2"/>
      <c r="BC7" s="2"/>
      <c r="BD7" s="2">
        <v>14</v>
      </c>
      <c r="BE7" s="2"/>
      <c r="BF7" s="2"/>
      <c r="BG7" s="2"/>
      <c r="BH7" s="2"/>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row>
    <row r="8" spans="1:336" ht="15" x14ac:dyDescent="0.25">
      <c r="A8" s="1" t="s">
        <v>365</v>
      </c>
      <c r="B8" s="2">
        <v>29.911100000000001</v>
      </c>
      <c r="C8" s="2">
        <v>-84.367400000000004</v>
      </c>
      <c r="D8" s="2">
        <v>29.908740000000002</v>
      </c>
      <c r="E8" s="2">
        <v>-84.390100000000004</v>
      </c>
      <c r="F8" s="3">
        <v>43137</v>
      </c>
      <c r="G8" s="1" t="s">
        <v>366</v>
      </c>
      <c r="H8" s="1" t="s">
        <v>367</v>
      </c>
      <c r="I8" s="1" t="s">
        <v>329</v>
      </c>
      <c r="J8" s="4">
        <v>0.68125000000000002</v>
      </c>
      <c r="K8" s="1" t="s">
        <v>368</v>
      </c>
      <c r="L8" s="1" t="s">
        <v>369</v>
      </c>
      <c r="M8" s="5"/>
      <c r="N8" s="1" t="s">
        <v>333</v>
      </c>
      <c r="O8" s="2">
        <v>9</v>
      </c>
      <c r="P8" s="2"/>
      <c r="Q8" s="2">
        <v>25</v>
      </c>
      <c r="R8" s="2">
        <v>39</v>
      </c>
      <c r="S8" s="2">
        <v>2</v>
      </c>
      <c r="T8" s="2"/>
      <c r="U8" s="2"/>
      <c r="V8" s="2"/>
      <c r="W8" s="2"/>
      <c r="X8" s="2"/>
      <c r="Y8" s="2">
        <v>6</v>
      </c>
      <c r="Z8" s="2"/>
      <c r="AA8" s="2"/>
      <c r="AB8" s="2"/>
      <c r="AC8" s="2"/>
      <c r="AD8" s="2">
        <v>22</v>
      </c>
      <c r="AE8" s="2"/>
      <c r="AF8" s="2"/>
      <c r="AG8" s="2"/>
      <c r="AH8" s="2"/>
      <c r="AI8" s="2">
        <v>1</v>
      </c>
      <c r="AJ8" s="2"/>
      <c r="AK8" s="2"/>
      <c r="AL8" s="2">
        <v>19</v>
      </c>
      <c r="AM8" s="2"/>
      <c r="AN8" s="2"/>
      <c r="AO8" s="2"/>
      <c r="AP8" s="2"/>
      <c r="AQ8" s="2"/>
      <c r="AR8" s="2"/>
      <c r="AS8" s="2"/>
      <c r="AT8" s="2"/>
      <c r="AU8" s="2"/>
      <c r="AV8" s="2"/>
      <c r="AW8" s="2"/>
      <c r="AX8" s="2"/>
      <c r="AY8" s="2"/>
      <c r="AZ8" s="2"/>
      <c r="BA8" s="2"/>
      <c r="BB8" s="2">
        <v>1</v>
      </c>
      <c r="BC8" s="2"/>
      <c r="BD8" s="2">
        <v>11</v>
      </c>
      <c r="BE8" s="2"/>
      <c r="BF8" s="2"/>
      <c r="BG8" s="2"/>
      <c r="BH8" s="2"/>
      <c r="BI8" s="1">
        <v>2</v>
      </c>
      <c r="BJ8" s="1">
        <v>0</v>
      </c>
      <c r="BK8" s="1">
        <v>0</v>
      </c>
      <c r="BL8" s="1">
        <v>0</v>
      </c>
      <c r="BM8" s="1">
        <v>29.9068</v>
      </c>
      <c r="BN8" s="1">
        <v>-84.365499999999997</v>
      </c>
      <c r="BO8" s="1">
        <v>0</v>
      </c>
      <c r="BP8" s="1">
        <v>0</v>
      </c>
      <c r="BQ8" s="1">
        <v>0</v>
      </c>
      <c r="BR8" s="1">
        <v>0</v>
      </c>
      <c r="BS8" s="1">
        <v>0</v>
      </c>
      <c r="BT8" s="1">
        <v>0</v>
      </c>
      <c r="BU8" s="1">
        <v>0</v>
      </c>
      <c r="BV8" s="1">
        <v>0</v>
      </c>
      <c r="BW8" s="1">
        <v>2</v>
      </c>
      <c r="BX8" s="1" t="s">
        <v>370</v>
      </c>
      <c r="BY8" s="1">
        <v>0</v>
      </c>
      <c r="BZ8" s="1">
        <v>0</v>
      </c>
      <c r="CA8" s="1">
        <v>29.904419999999998</v>
      </c>
      <c r="CB8" s="1">
        <v>-84.367699999999999</v>
      </c>
      <c r="CC8" s="1">
        <v>0</v>
      </c>
      <c r="CD8" s="1">
        <v>0</v>
      </c>
      <c r="CE8" s="1">
        <v>0</v>
      </c>
      <c r="CF8" s="1">
        <v>0</v>
      </c>
      <c r="CG8" s="1">
        <v>0</v>
      </c>
      <c r="CH8" s="1">
        <v>0</v>
      </c>
      <c r="CI8" s="1">
        <v>0</v>
      </c>
      <c r="CJ8" s="1">
        <v>0</v>
      </c>
      <c r="CK8" s="1">
        <v>0</v>
      </c>
      <c r="CL8" s="1">
        <v>0</v>
      </c>
      <c r="CM8" s="1">
        <v>0</v>
      </c>
      <c r="CN8" s="1">
        <v>0</v>
      </c>
      <c r="CO8" s="1">
        <v>0</v>
      </c>
      <c r="CP8" s="1">
        <v>29.903009999999998</v>
      </c>
      <c r="CQ8" s="1">
        <v>-84.369699999999995</v>
      </c>
      <c r="CR8" s="1" t="s">
        <v>371</v>
      </c>
      <c r="CS8" s="1">
        <v>0</v>
      </c>
      <c r="CT8" s="1">
        <v>0</v>
      </c>
      <c r="CU8" s="1">
        <v>0</v>
      </c>
      <c r="CV8" s="1">
        <v>0</v>
      </c>
      <c r="CW8" s="1">
        <v>0</v>
      </c>
      <c r="CX8" s="1">
        <v>0</v>
      </c>
      <c r="CY8" s="1">
        <v>0</v>
      </c>
      <c r="CZ8" s="1">
        <v>0</v>
      </c>
      <c r="DA8" s="1">
        <v>2</v>
      </c>
      <c r="DB8" s="1">
        <v>0</v>
      </c>
      <c r="DC8" s="1">
        <v>0</v>
      </c>
      <c r="DD8" s="1">
        <v>0</v>
      </c>
      <c r="DE8" s="1">
        <v>29.900169999999999</v>
      </c>
      <c r="DF8" s="1">
        <v>-84.372500000000002</v>
      </c>
      <c r="DG8" s="1">
        <v>0</v>
      </c>
      <c r="DH8" s="1">
        <v>0</v>
      </c>
      <c r="DI8" s="1">
        <v>0</v>
      </c>
      <c r="DJ8" s="1">
        <v>0</v>
      </c>
      <c r="DK8" s="1">
        <v>0</v>
      </c>
      <c r="DL8" s="1">
        <v>0</v>
      </c>
      <c r="DM8" s="1">
        <v>0</v>
      </c>
      <c r="DN8" s="1">
        <v>0</v>
      </c>
      <c r="DO8" s="1">
        <v>0</v>
      </c>
      <c r="DP8" s="1">
        <v>2</v>
      </c>
      <c r="DQ8" s="1">
        <v>0</v>
      </c>
      <c r="DR8" s="1">
        <v>0</v>
      </c>
      <c r="DS8" s="1">
        <v>0</v>
      </c>
      <c r="DT8" s="1">
        <v>29.91057</v>
      </c>
      <c r="DU8" s="1">
        <v>-84.384600000000006</v>
      </c>
      <c r="DV8" s="1">
        <v>0</v>
      </c>
      <c r="DW8" s="1">
        <v>0</v>
      </c>
      <c r="DX8" s="1">
        <v>0</v>
      </c>
      <c r="DY8" s="1">
        <v>0</v>
      </c>
      <c r="DZ8" s="1">
        <v>0</v>
      </c>
      <c r="EA8" s="1">
        <v>0</v>
      </c>
      <c r="EB8" s="1">
        <v>0</v>
      </c>
      <c r="EC8" s="1">
        <v>0</v>
      </c>
      <c r="ED8" s="1">
        <v>0</v>
      </c>
      <c r="EE8" s="1">
        <v>1</v>
      </c>
      <c r="EF8" s="1" t="s">
        <v>372</v>
      </c>
      <c r="EG8" s="1">
        <v>0</v>
      </c>
      <c r="EH8" s="1">
        <v>0</v>
      </c>
      <c r="EI8" s="1">
        <v>29.91281</v>
      </c>
      <c r="EJ8" s="1">
        <v>-84.377499999999998</v>
      </c>
      <c r="EK8" s="1">
        <v>0</v>
      </c>
      <c r="EL8" s="1">
        <v>0</v>
      </c>
      <c r="EM8" s="1">
        <v>0</v>
      </c>
      <c r="EN8" s="1">
        <v>0</v>
      </c>
      <c r="EO8" s="1">
        <v>0</v>
      </c>
      <c r="EP8" s="1">
        <v>0</v>
      </c>
      <c r="EQ8" s="1">
        <v>0</v>
      </c>
      <c r="ER8" s="1">
        <v>0</v>
      </c>
      <c r="ES8" s="1">
        <v>0</v>
      </c>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1">
        <v>0</v>
      </c>
    </row>
    <row r="9" spans="1:336" ht="15" x14ac:dyDescent="0.25">
      <c r="A9" s="1" t="s">
        <v>365</v>
      </c>
      <c r="B9" s="2">
        <v>29.903400000000001</v>
      </c>
      <c r="C9" s="2">
        <v>-84.415700000000001</v>
      </c>
      <c r="D9" s="2">
        <v>29.900729999999999</v>
      </c>
      <c r="E9" s="2">
        <v>-84.398799999999994</v>
      </c>
      <c r="F9" s="3">
        <v>43137</v>
      </c>
      <c r="G9" s="1" t="s">
        <v>373</v>
      </c>
      <c r="H9" s="1" t="s">
        <v>374</v>
      </c>
      <c r="I9" s="1" t="s">
        <v>329</v>
      </c>
      <c r="J9" s="4">
        <v>0.54583333333333328</v>
      </c>
      <c r="K9" s="1" t="s">
        <v>375</v>
      </c>
      <c r="L9" s="1" t="s">
        <v>369</v>
      </c>
      <c r="M9" s="1" t="s">
        <v>376</v>
      </c>
      <c r="N9" s="1" t="s">
        <v>333</v>
      </c>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v>12</v>
      </c>
      <c r="AU9" s="2"/>
      <c r="AV9" s="2"/>
      <c r="AW9" s="2">
        <v>22</v>
      </c>
      <c r="AX9" s="2"/>
      <c r="AY9" s="2"/>
      <c r="AZ9" s="2"/>
      <c r="BA9" s="2"/>
      <c r="BB9" s="2"/>
      <c r="BC9" s="2"/>
      <c r="BD9" s="2">
        <v>1</v>
      </c>
      <c r="BE9" s="2"/>
      <c r="BF9" s="2"/>
      <c r="BG9" s="2"/>
      <c r="BH9" s="2"/>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row>
    <row r="10" spans="1:336" ht="15" x14ac:dyDescent="0.25">
      <c r="A10" s="1" t="s">
        <v>377</v>
      </c>
      <c r="B10" s="2">
        <v>29.903919999999999</v>
      </c>
      <c r="C10" s="2">
        <v>-84.424300000000002</v>
      </c>
      <c r="D10" s="2">
        <v>29.91723</v>
      </c>
      <c r="E10" s="2">
        <v>-84.440700000000007</v>
      </c>
      <c r="F10" s="3">
        <v>43137</v>
      </c>
      <c r="G10" s="1" t="s">
        <v>373</v>
      </c>
      <c r="H10" s="1" t="s">
        <v>374</v>
      </c>
      <c r="I10" s="1" t="s">
        <v>329</v>
      </c>
      <c r="J10" s="4">
        <v>0.5541666666666667</v>
      </c>
      <c r="K10" s="1" t="s">
        <v>375</v>
      </c>
      <c r="L10" s="1" t="s">
        <v>364</v>
      </c>
      <c r="M10" s="1" t="s">
        <v>378</v>
      </c>
      <c r="N10" s="1" t="s">
        <v>333</v>
      </c>
      <c r="O10" s="2">
        <v>5</v>
      </c>
      <c r="P10" s="2"/>
      <c r="Q10" s="2">
        <v>31</v>
      </c>
      <c r="R10" s="2">
        <v>54</v>
      </c>
      <c r="S10" s="2"/>
      <c r="T10" s="2">
        <v>3</v>
      </c>
      <c r="U10" s="2"/>
      <c r="V10" s="2"/>
      <c r="W10" s="2"/>
      <c r="X10" s="2"/>
      <c r="Y10" s="2">
        <v>44</v>
      </c>
      <c r="Z10" s="2"/>
      <c r="AA10" s="2">
        <v>4</v>
      </c>
      <c r="AB10" s="2">
        <v>27</v>
      </c>
      <c r="AC10" s="2">
        <v>9</v>
      </c>
      <c r="AD10" s="2">
        <v>6</v>
      </c>
      <c r="AE10" s="2">
        <v>40</v>
      </c>
      <c r="AF10" s="2">
        <v>22</v>
      </c>
      <c r="AG10" s="2"/>
      <c r="AH10" s="2">
        <v>11</v>
      </c>
      <c r="AI10" s="2"/>
      <c r="AJ10" s="2"/>
      <c r="AK10" s="2"/>
      <c r="AL10" s="2">
        <v>101</v>
      </c>
      <c r="AM10" s="2"/>
      <c r="AN10" s="2"/>
      <c r="AO10" s="2"/>
      <c r="AP10" s="2"/>
      <c r="AQ10" s="2">
        <v>5</v>
      </c>
      <c r="AR10" s="2">
        <v>1</v>
      </c>
      <c r="AS10" s="2"/>
      <c r="AT10" s="2">
        <v>12</v>
      </c>
      <c r="AU10" s="2">
        <v>3</v>
      </c>
      <c r="AV10" s="2"/>
      <c r="AW10" s="2">
        <v>36</v>
      </c>
      <c r="AX10" s="2">
        <v>50</v>
      </c>
      <c r="AY10" s="2"/>
      <c r="AZ10" s="2"/>
      <c r="BA10" s="2">
        <v>11</v>
      </c>
      <c r="BB10" s="2">
        <v>1</v>
      </c>
      <c r="BC10" s="2"/>
      <c r="BD10" s="2">
        <v>87</v>
      </c>
      <c r="BE10" s="2">
        <v>15</v>
      </c>
      <c r="BF10" s="2"/>
      <c r="BG10" s="2"/>
      <c r="BH10" s="2"/>
      <c r="BI10" s="5"/>
      <c r="BJ10" s="5"/>
      <c r="BK10" s="5"/>
      <c r="BL10" s="5"/>
      <c r="BM10" s="1">
        <v>29.904409999999999</v>
      </c>
      <c r="BN10" s="1">
        <v>-84.4255</v>
      </c>
      <c r="BO10" s="5"/>
      <c r="BP10" s="5"/>
      <c r="BQ10" s="1">
        <v>4</v>
      </c>
      <c r="BR10" s="1" t="s">
        <v>379</v>
      </c>
      <c r="BS10" s="5"/>
      <c r="BT10" s="5"/>
      <c r="BU10" s="5"/>
      <c r="BV10" s="5"/>
      <c r="BW10" s="5"/>
      <c r="BX10" s="5"/>
      <c r="BY10" s="5"/>
      <c r="BZ10" s="5"/>
      <c r="CA10" s="1">
        <v>29.907620000000001</v>
      </c>
      <c r="CB10" s="1">
        <v>-84.4298</v>
      </c>
      <c r="CC10" s="5"/>
      <c r="CD10" s="1">
        <v>1</v>
      </c>
      <c r="CE10" s="5"/>
      <c r="CF10" s="5"/>
      <c r="CG10" s="5"/>
      <c r="CH10" s="5"/>
      <c r="CI10" s="5"/>
      <c r="CJ10" s="5"/>
      <c r="CK10" s="5"/>
      <c r="CL10" s="5"/>
      <c r="CM10" s="5"/>
      <c r="CN10" s="5"/>
      <c r="CO10" s="5"/>
      <c r="CP10" s="1">
        <v>29.907419999999998</v>
      </c>
      <c r="CQ10" s="1">
        <v>-84.4315</v>
      </c>
      <c r="CR10" s="5"/>
      <c r="CS10" s="5"/>
      <c r="CT10" s="5"/>
      <c r="CU10" s="1">
        <v>5</v>
      </c>
      <c r="CV10" s="5"/>
      <c r="CW10" s="5"/>
      <c r="CX10" s="5"/>
      <c r="CY10" s="5"/>
      <c r="CZ10" s="5"/>
      <c r="DA10" s="1">
        <v>2</v>
      </c>
      <c r="DB10" s="5"/>
      <c r="DC10" s="5"/>
      <c r="DD10" s="5"/>
      <c r="DE10" s="1">
        <v>29.90795</v>
      </c>
      <c r="DF10" s="1">
        <v>-84.431299999999993</v>
      </c>
      <c r="DG10" s="5"/>
      <c r="DH10" s="5"/>
      <c r="DI10" s="5"/>
      <c r="DJ10" s="5"/>
      <c r="DK10" s="5"/>
      <c r="DL10" s="5"/>
      <c r="DM10" s="5"/>
      <c r="DN10" s="5"/>
      <c r="DO10" s="5"/>
      <c r="DP10" s="5"/>
      <c r="DQ10" s="5"/>
      <c r="DR10" s="5"/>
      <c r="DS10" s="5"/>
      <c r="DT10" s="1">
        <v>29.909929999999999</v>
      </c>
      <c r="DU10" s="1">
        <v>-84.434399999999997</v>
      </c>
      <c r="DV10" s="1" t="s">
        <v>380</v>
      </c>
      <c r="DW10" s="1">
        <v>1</v>
      </c>
      <c r="DX10" s="5"/>
      <c r="DY10" s="5"/>
      <c r="DZ10" s="5"/>
      <c r="EA10" s="5"/>
      <c r="EB10" s="5"/>
      <c r="EC10" s="5"/>
      <c r="ED10" s="5"/>
      <c r="EE10" s="5"/>
      <c r="EF10" s="5"/>
      <c r="EG10" s="5"/>
      <c r="EH10" s="5"/>
      <c r="EI10" s="1">
        <v>29.914149999999999</v>
      </c>
      <c r="EJ10" s="1">
        <v>-84.441400000000002</v>
      </c>
      <c r="EK10" s="5"/>
      <c r="EL10" s="5"/>
      <c r="EM10" s="5"/>
      <c r="EN10" s="5"/>
      <c r="EO10" s="5"/>
      <c r="EP10" s="1">
        <v>6</v>
      </c>
      <c r="EQ10" s="1" t="s">
        <v>381</v>
      </c>
      <c r="ER10" s="5"/>
      <c r="ES10" s="5"/>
      <c r="ET10" s="1">
        <v>1</v>
      </c>
      <c r="EU10" s="5"/>
      <c r="EV10" s="5"/>
      <c r="EW10" s="5"/>
      <c r="EX10" s="1">
        <v>29.914760000000001</v>
      </c>
      <c r="EY10" s="1">
        <v>-84.441900000000004</v>
      </c>
      <c r="EZ10" s="5"/>
      <c r="FA10" s="5"/>
      <c r="FB10" s="5"/>
      <c r="FC10" s="5"/>
      <c r="FD10" s="5"/>
      <c r="FE10" s="1">
        <v>2</v>
      </c>
      <c r="FF10" s="1" t="s">
        <v>382</v>
      </c>
      <c r="FG10" s="5"/>
      <c r="FH10" s="5"/>
      <c r="FI10" s="1">
        <v>2</v>
      </c>
      <c r="FJ10" s="5"/>
      <c r="FK10" s="5"/>
      <c r="FL10" s="5"/>
      <c r="FM10" s="1">
        <v>29.917300000000001</v>
      </c>
      <c r="FN10" s="1">
        <v>-84.442099999999996</v>
      </c>
      <c r="FO10" s="5"/>
      <c r="FP10" s="1">
        <v>25</v>
      </c>
      <c r="FQ10" s="1" t="s">
        <v>383</v>
      </c>
      <c r="FR10" s="5"/>
      <c r="FS10" s="5"/>
      <c r="FT10" s="1">
        <v>3</v>
      </c>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row>
    <row r="11" spans="1:336" ht="15" x14ac:dyDescent="0.25">
      <c r="A11" s="1" t="s">
        <v>384</v>
      </c>
      <c r="B11" s="2">
        <v>29.899239999999999</v>
      </c>
      <c r="C11" s="2">
        <v>-84.392300000000006</v>
      </c>
      <c r="D11" s="2">
        <v>29.906179999999999</v>
      </c>
      <c r="E11" s="2">
        <v>-84.422300000000007</v>
      </c>
      <c r="F11" s="3">
        <v>43137</v>
      </c>
      <c r="G11" s="1" t="s">
        <v>385</v>
      </c>
      <c r="H11" s="1" t="s">
        <v>386</v>
      </c>
      <c r="I11" s="1" t="s">
        <v>387</v>
      </c>
      <c r="J11" s="4">
        <v>0.71875</v>
      </c>
      <c r="K11" s="1" t="s">
        <v>368</v>
      </c>
      <c r="L11" s="1" t="s">
        <v>369</v>
      </c>
      <c r="M11" s="1" t="s">
        <v>388</v>
      </c>
      <c r="N11" s="1" t="s">
        <v>333</v>
      </c>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6">
        <v>2</v>
      </c>
      <c r="BJ11" s="6">
        <v>0</v>
      </c>
      <c r="BK11" s="6">
        <v>0</v>
      </c>
      <c r="BL11" s="6">
        <v>0</v>
      </c>
      <c r="BM11" s="6">
        <v>29.90399</v>
      </c>
      <c r="BN11" s="6">
        <v>-84.414699999999996</v>
      </c>
      <c r="BO11" s="6">
        <v>0</v>
      </c>
      <c r="BP11" s="6">
        <v>0</v>
      </c>
      <c r="BQ11" s="6">
        <v>0</v>
      </c>
      <c r="BR11" s="6">
        <v>0</v>
      </c>
      <c r="BS11" s="6">
        <v>0</v>
      </c>
      <c r="BT11" s="6">
        <v>0</v>
      </c>
      <c r="BU11" s="6">
        <v>0</v>
      </c>
      <c r="BV11" s="6">
        <v>0</v>
      </c>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6">
        <v>0</v>
      </c>
    </row>
    <row r="12" spans="1:336" ht="15" x14ac:dyDescent="0.25">
      <c r="A12" s="1" t="s">
        <v>389</v>
      </c>
      <c r="B12" s="2">
        <v>30.522120000000001</v>
      </c>
      <c r="C12" s="2">
        <v>-81.444699999999997</v>
      </c>
      <c r="D12" s="2">
        <v>30.529520000000002</v>
      </c>
      <c r="E12" s="2">
        <v>-81.420100000000005</v>
      </c>
      <c r="F12" s="3">
        <v>43137</v>
      </c>
      <c r="G12" s="1" t="s">
        <v>390</v>
      </c>
      <c r="H12" s="1" t="s">
        <v>391</v>
      </c>
      <c r="I12" s="1" t="s">
        <v>329</v>
      </c>
      <c r="J12" s="4">
        <v>0.47638888888888886</v>
      </c>
      <c r="K12" s="1" t="s">
        <v>375</v>
      </c>
      <c r="L12" s="1" t="s">
        <v>364</v>
      </c>
      <c r="M12" s="1" t="s">
        <v>392</v>
      </c>
      <c r="N12" s="1" t="s">
        <v>333</v>
      </c>
      <c r="O12" s="2"/>
      <c r="P12" s="2"/>
      <c r="Q12" s="2">
        <v>1</v>
      </c>
      <c r="R12" s="2"/>
      <c r="S12" s="2"/>
      <c r="T12" s="2"/>
      <c r="U12" s="2">
        <v>1</v>
      </c>
      <c r="V12" s="2"/>
      <c r="W12" s="2"/>
      <c r="X12" s="2"/>
      <c r="Y12" s="2"/>
      <c r="Z12" s="2"/>
      <c r="AA12" s="2"/>
      <c r="AB12" s="2"/>
      <c r="AC12" s="2"/>
      <c r="AD12" s="2">
        <v>1</v>
      </c>
      <c r="AE12" s="2">
        <v>31</v>
      </c>
      <c r="AF12" s="2">
        <v>120</v>
      </c>
      <c r="AG12" s="2"/>
      <c r="AH12" s="2"/>
      <c r="AI12" s="2"/>
      <c r="AJ12" s="2">
        <v>6</v>
      </c>
      <c r="AK12" s="2"/>
      <c r="AL12" s="2">
        <v>3</v>
      </c>
      <c r="AM12" s="2">
        <v>31</v>
      </c>
      <c r="AN12" s="2"/>
      <c r="AO12" s="2"/>
      <c r="AP12" s="2"/>
      <c r="AQ12" s="2"/>
      <c r="AR12" s="2">
        <v>1</v>
      </c>
      <c r="AS12" s="2"/>
      <c r="AT12" s="2">
        <v>2</v>
      </c>
      <c r="AU12" s="2"/>
      <c r="AV12" s="2"/>
      <c r="AW12" s="2">
        <v>1</v>
      </c>
      <c r="AX12" s="2">
        <v>2</v>
      </c>
      <c r="AY12" s="2"/>
      <c r="AZ12" s="2">
        <v>1</v>
      </c>
      <c r="BA12" s="2"/>
      <c r="BB12" s="2">
        <v>2</v>
      </c>
      <c r="BC12" s="2"/>
      <c r="BD12" s="2">
        <v>8</v>
      </c>
      <c r="BE12" s="2">
        <v>11</v>
      </c>
      <c r="BF12" s="2"/>
      <c r="BG12" s="2"/>
      <c r="BH12" s="2"/>
      <c r="BI12" s="1">
        <v>0</v>
      </c>
      <c r="BJ12" s="1" t="s">
        <v>393</v>
      </c>
      <c r="BK12" s="1">
        <v>0</v>
      </c>
      <c r="BL12" s="1" t="s">
        <v>393</v>
      </c>
      <c r="BM12" s="1">
        <v>30.517109999999999</v>
      </c>
      <c r="BN12" s="1">
        <v>-81.435199999999995</v>
      </c>
      <c r="BO12" s="1">
        <v>0</v>
      </c>
      <c r="BP12" s="1" t="s">
        <v>393</v>
      </c>
      <c r="BQ12" s="1">
        <v>0</v>
      </c>
      <c r="BR12" s="1" t="s">
        <v>393</v>
      </c>
      <c r="BS12" s="1">
        <v>0</v>
      </c>
      <c r="BT12" s="1" t="s">
        <v>393</v>
      </c>
      <c r="BU12" s="1">
        <v>31</v>
      </c>
      <c r="BV12" s="1" t="s">
        <v>394</v>
      </c>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1" t="s">
        <v>395</v>
      </c>
    </row>
    <row r="13" spans="1:336" ht="15" x14ac:dyDescent="0.25">
      <c r="A13" s="1" t="s">
        <v>396</v>
      </c>
      <c r="B13" s="2">
        <v>29.906140000000001</v>
      </c>
      <c r="C13" s="2">
        <v>-81.291300000000007</v>
      </c>
      <c r="D13" s="2">
        <v>29.898790000000002</v>
      </c>
      <c r="E13" s="2">
        <v>-81.289500000000004</v>
      </c>
      <c r="F13" s="3">
        <v>43138</v>
      </c>
      <c r="G13" s="1" t="s">
        <v>397</v>
      </c>
      <c r="H13" s="1" t="s">
        <v>398</v>
      </c>
      <c r="I13" s="1" t="s">
        <v>329</v>
      </c>
      <c r="J13" s="4">
        <v>0.46388888888888891</v>
      </c>
      <c r="K13" s="1" t="s">
        <v>330</v>
      </c>
      <c r="L13" s="1" t="s">
        <v>364</v>
      </c>
      <c r="M13" s="5"/>
      <c r="N13" s="1" t="s">
        <v>333</v>
      </c>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v>1</v>
      </c>
      <c r="AU13" s="2"/>
      <c r="AV13" s="2"/>
      <c r="AW13" s="2">
        <v>2</v>
      </c>
      <c r="AX13" s="2"/>
      <c r="AY13" s="2"/>
      <c r="AZ13" s="2"/>
      <c r="BA13" s="2"/>
      <c r="BB13" s="2">
        <v>10</v>
      </c>
      <c r="BC13" s="2"/>
      <c r="BD13" s="2"/>
      <c r="BE13" s="2">
        <v>1</v>
      </c>
      <c r="BF13" s="2"/>
      <c r="BG13" s="2"/>
      <c r="BH13" s="2"/>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row>
    <row r="14" spans="1:336" ht="15" x14ac:dyDescent="0.25">
      <c r="A14" s="1" t="s">
        <v>399</v>
      </c>
      <c r="B14" s="2">
        <v>29.858779999999999</v>
      </c>
      <c r="C14" s="2">
        <v>-81.263499999999993</v>
      </c>
      <c r="D14" s="2">
        <v>29.90521</v>
      </c>
      <c r="E14" s="2">
        <v>-81.293800000000005</v>
      </c>
      <c r="F14" s="3">
        <v>43138</v>
      </c>
      <c r="G14" s="1" t="s">
        <v>400</v>
      </c>
      <c r="H14" s="1" t="s">
        <v>398</v>
      </c>
      <c r="I14" s="1" t="s">
        <v>329</v>
      </c>
      <c r="J14" s="4">
        <v>0.37847222222222221</v>
      </c>
      <c r="K14" s="1" t="s">
        <v>375</v>
      </c>
      <c r="L14" s="1" t="s">
        <v>364</v>
      </c>
      <c r="M14" s="5"/>
      <c r="N14" s="1" t="s">
        <v>333</v>
      </c>
      <c r="O14" s="2"/>
      <c r="P14" s="2"/>
      <c r="Q14" s="2">
        <v>10</v>
      </c>
      <c r="R14" s="2">
        <v>546</v>
      </c>
      <c r="S14" s="2"/>
      <c r="T14" s="2"/>
      <c r="U14" s="2"/>
      <c r="V14" s="2"/>
      <c r="W14" s="2"/>
      <c r="X14" s="2"/>
      <c r="Y14" s="2"/>
      <c r="Z14" s="2"/>
      <c r="AA14" s="2"/>
      <c r="AB14" s="2"/>
      <c r="AC14" s="2"/>
      <c r="AD14" s="2">
        <v>10</v>
      </c>
      <c r="AE14" s="2">
        <v>86</v>
      </c>
      <c r="AF14" s="2">
        <v>155</v>
      </c>
      <c r="AG14" s="2"/>
      <c r="AH14" s="2"/>
      <c r="AI14" s="2"/>
      <c r="AJ14" s="2">
        <v>26</v>
      </c>
      <c r="AK14" s="2"/>
      <c r="AL14" s="2">
        <v>3</v>
      </c>
      <c r="AM14" s="2">
        <v>9</v>
      </c>
      <c r="AN14" s="2"/>
      <c r="AO14" s="2"/>
      <c r="AP14" s="2"/>
      <c r="AQ14" s="2">
        <v>68</v>
      </c>
      <c r="AR14" s="2">
        <v>6</v>
      </c>
      <c r="AS14" s="2"/>
      <c r="AT14" s="2">
        <v>41</v>
      </c>
      <c r="AU14" s="2"/>
      <c r="AV14" s="2"/>
      <c r="AW14" s="2">
        <v>6</v>
      </c>
      <c r="AX14" s="2">
        <v>285</v>
      </c>
      <c r="AY14" s="2"/>
      <c r="AZ14" s="2">
        <v>3</v>
      </c>
      <c r="BA14" s="2">
        <v>67</v>
      </c>
      <c r="BB14" s="2">
        <v>183</v>
      </c>
      <c r="BC14" s="2"/>
      <c r="BD14" s="2">
        <v>50</v>
      </c>
      <c r="BE14" s="2">
        <v>129</v>
      </c>
      <c r="BF14" s="2">
        <v>9</v>
      </c>
      <c r="BG14" s="2"/>
      <c r="BH14" s="2"/>
      <c r="BI14" s="5"/>
      <c r="BJ14" s="5"/>
      <c r="BK14" s="1">
        <v>48</v>
      </c>
      <c r="BL14" s="1" t="s">
        <v>401</v>
      </c>
      <c r="BM14" s="1">
        <v>29.858779999999999</v>
      </c>
      <c r="BN14" s="1">
        <v>-81.263499999999993</v>
      </c>
      <c r="BO14" s="5"/>
      <c r="BP14" s="5"/>
      <c r="BQ14" s="5"/>
      <c r="BR14" s="5"/>
      <c r="BS14" s="5"/>
      <c r="BT14" s="5"/>
      <c r="BU14" s="5"/>
      <c r="BV14" s="5"/>
      <c r="BW14" s="5"/>
      <c r="BX14" s="5"/>
      <c r="BY14" s="1">
        <v>20</v>
      </c>
      <c r="BZ14" s="1" t="s">
        <v>402</v>
      </c>
      <c r="CA14" s="1">
        <v>29.866589999999999</v>
      </c>
      <c r="CB14" s="1">
        <v>-81.267399999999995</v>
      </c>
      <c r="CC14" s="5"/>
      <c r="CD14" s="5"/>
      <c r="CE14" s="5"/>
      <c r="CF14" s="5"/>
      <c r="CG14" s="5"/>
      <c r="CH14" s="5"/>
      <c r="CI14" s="5"/>
      <c r="CJ14" s="5"/>
      <c r="CK14" s="5"/>
      <c r="CL14" s="5"/>
      <c r="CM14" s="5"/>
      <c r="CN14" s="5"/>
      <c r="CO14" s="5"/>
      <c r="CP14" s="1">
        <v>29.87379</v>
      </c>
      <c r="CQ14" s="1">
        <v>-81.269800000000004</v>
      </c>
      <c r="CR14" s="5"/>
      <c r="CS14" s="5"/>
      <c r="CT14" s="5"/>
      <c r="CU14" s="5"/>
      <c r="CV14" s="5"/>
      <c r="CW14" s="5"/>
      <c r="CX14" s="5"/>
      <c r="CY14" s="1">
        <v>6</v>
      </c>
      <c r="CZ14" s="1" t="s">
        <v>403</v>
      </c>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row>
    <row r="15" spans="1:336" ht="15" x14ac:dyDescent="0.25">
      <c r="A15" s="1" t="s">
        <v>404</v>
      </c>
      <c r="B15" s="2">
        <v>28.213360000000002</v>
      </c>
      <c r="C15" s="2">
        <v>-82.845500000000001</v>
      </c>
      <c r="D15" s="2">
        <v>28.174130000000002</v>
      </c>
      <c r="E15" s="2">
        <v>-82.850099999999998</v>
      </c>
      <c r="F15" s="3">
        <v>43133</v>
      </c>
      <c r="G15" s="1" t="s">
        <v>405</v>
      </c>
      <c r="H15" s="1" t="s">
        <v>406</v>
      </c>
      <c r="I15" s="1" t="s">
        <v>329</v>
      </c>
      <c r="J15" s="4">
        <v>0.4375</v>
      </c>
      <c r="K15" s="1" t="s">
        <v>368</v>
      </c>
      <c r="L15" s="1" t="s">
        <v>369</v>
      </c>
      <c r="M15" s="5"/>
      <c r="N15" s="1" t="s">
        <v>333</v>
      </c>
      <c r="O15" s="2"/>
      <c r="P15" s="2"/>
      <c r="Q15" s="2">
        <v>4</v>
      </c>
      <c r="R15" s="2"/>
      <c r="S15" s="2"/>
      <c r="T15" s="2"/>
      <c r="U15" s="2"/>
      <c r="V15" s="2"/>
      <c r="W15" s="2"/>
      <c r="X15" s="2"/>
      <c r="Y15" s="2"/>
      <c r="Z15" s="2"/>
      <c r="AA15" s="2"/>
      <c r="AB15" s="2">
        <v>3</v>
      </c>
      <c r="AC15" s="2"/>
      <c r="AD15" s="2">
        <v>20</v>
      </c>
      <c r="AE15" s="2">
        <v>82</v>
      </c>
      <c r="AF15" s="2"/>
      <c r="AG15" s="2"/>
      <c r="AH15" s="2">
        <v>1</v>
      </c>
      <c r="AI15" s="2"/>
      <c r="AJ15" s="2"/>
      <c r="AK15" s="2"/>
      <c r="AL15" s="2">
        <v>10</v>
      </c>
      <c r="AM15" s="2"/>
      <c r="AN15" s="2"/>
      <c r="AO15" s="2"/>
      <c r="AP15" s="2"/>
      <c r="AQ15" s="2"/>
      <c r="AR15" s="2"/>
      <c r="AS15" s="2"/>
      <c r="AT15" s="2">
        <v>80</v>
      </c>
      <c r="AU15" s="2"/>
      <c r="AV15" s="2"/>
      <c r="AW15" s="2">
        <v>77</v>
      </c>
      <c r="AX15" s="2">
        <v>20</v>
      </c>
      <c r="AY15" s="2"/>
      <c r="AZ15" s="2"/>
      <c r="BA15" s="2"/>
      <c r="BB15" s="2"/>
      <c r="BC15" s="2"/>
      <c r="BD15" s="2">
        <v>62</v>
      </c>
      <c r="BE15" s="2">
        <v>25</v>
      </c>
      <c r="BF15" s="2"/>
      <c r="BG15" s="2"/>
      <c r="BH15" s="2"/>
      <c r="BI15" s="1">
        <v>0</v>
      </c>
      <c r="BJ15" s="1" t="s">
        <v>407</v>
      </c>
      <c r="BK15" s="1">
        <v>0</v>
      </c>
      <c r="BL15" s="1" t="s">
        <v>407</v>
      </c>
      <c r="BM15" s="1">
        <v>28.213360000000002</v>
      </c>
      <c r="BN15" s="1">
        <v>-82.845500000000001</v>
      </c>
      <c r="BO15" s="1">
        <v>3</v>
      </c>
      <c r="BP15" s="1" t="s">
        <v>408</v>
      </c>
      <c r="BQ15" s="1">
        <v>0</v>
      </c>
      <c r="BR15" s="1" t="s">
        <v>407</v>
      </c>
      <c r="BS15" s="1">
        <v>0</v>
      </c>
      <c r="BT15" s="1" t="s">
        <v>407</v>
      </c>
      <c r="BU15" s="1">
        <v>0</v>
      </c>
      <c r="BV15" s="1" t="s">
        <v>407</v>
      </c>
      <c r="BW15" s="1">
        <v>0</v>
      </c>
      <c r="BX15" s="1" t="s">
        <v>407</v>
      </c>
      <c r="BY15" s="1">
        <v>0</v>
      </c>
      <c r="BZ15" s="1" t="s">
        <v>407</v>
      </c>
      <c r="CA15" s="1">
        <v>28.21583</v>
      </c>
      <c r="CB15" s="1">
        <v>-82.848500000000001</v>
      </c>
      <c r="CC15" s="1" t="s">
        <v>409</v>
      </c>
      <c r="CD15" s="1">
        <v>0</v>
      </c>
      <c r="CE15" s="1" t="s">
        <v>407</v>
      </c>
      <c r="CF15" s="1">
        <v>0</v>
      </c>
      <c r="CG15" s="1" t="s">
        <v>407</v>
      </c>
      <c r="CH15" s="1">
        <v>0</v>
      </c>
      <c r="CI15" s="1" t="s">
        <v>407</v>
      </c>
      <c r="CJ15" s="1">
        <v>0</v>
      </c>
      <c r="CK15" s="1" t="s">
        <v>407</v>
      </c>
      <c r="CL15" s="1">
        <v>0</v>
      </c>
      <c r="CM15" s="1" t="s">
        <v>407</v>
      </c>
      <c r="CN15" s="1">
        <v>0</v>
      </c>
      <c r="CO15" s="1" t="s">
        <v>407</v>
      </c>
      <c r="CP15" s="1">
        <v>28.19115</v>
      </c>
      <c r="CQ15" s="1">
        <v>-82.851100000000002</v>
      </c>
      <c r="CR15" s="1" t="s">
        <v>410</v>
      </c>
      <c r="CS15" s="1">
        <v>0</v>
      </c>
      <c r="CT15" s="1" t="s">
        <v>407</v>
      </c>
      <c r="CU15" s="1">
        <v>0</v>
      </c>
      <c r="CV15" s="1" t="s">
        <v>407</v>
      </c>
      <c r="CW15" s="1">
        <v>1</v>
      </c>
      <c r="CX15" s="1" t="s">
        <v>407</v>
      </c>
      <c r="CY15" s="1">
        <v>0</v>
      </c>
      <c r="CZ15" s="1" t="s">
        <v>407</v>
      </c>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row>
    <row r="16" spans="1:336" ht="15" x14ac:dyDescent="0.25">
      <c r="A16" s="1" t="s">
        <v>411</v>
      </c>
      <c r="B16" s="2">
        <v>28.157039999999999</v>
      </c>
      <c r="C16" s="2">
        <v>-82.836100000000002</v>
      </c>
      <c r="D16" s="2">
        <v>28.174130000000002</v>
      </c>
      <c r="E16" s="2">
        <v>-82.850099999999998</v>
      </c>
      <c r="F16" s="3">
        <v>43133</v>
      </c>
      <c r="G16" s="1" t="s">
        <v>412</v>
      </c>
      <c r="H16" s="1" t="s">
        <v>413</v>
      </c>
      <c r="I16" s="1" t="s">
        <v>329</v>
      </c>
      <c r="J16" s="4">
        <v>0.37152777777777779</v>
      </c>
      <c r="K16" s="1" t="s">
        <v>368</v>
      </c>
      <c r="L16" s="1" t="s">
        <v>369</v>
      </c>
      <c r="M16" s="5"/>
      <c r="N16" s="1" t="s">
        <v>333</v>
      </c>
      <c r="O16" s="2">
        <v>7</v>
      </c>
      <c r="P16" s="2"/>
      <c r="Q16" s="2">
        <v>16</v>
      </c>
      <c r="R16" s="2">
        <v>23</v>
      </c>
      <c r="S16" s="2"/>
      <c r="T16" s="2"/>
      <c r="U16" s="2">
        <v>25</v>
      </c>
      <c r="V16" s="2"/>
      <c r="W16" s="2"/>
      <c r="X16" s="2"/>
      <c r="Y16" s="2">
        <v>20</v>
      </c>
      <c r="Z16" s="2"/>
      <c r="AA16" s="2"/>
      <c r="AB16" s="2">
        <v>8</v>
      </c>
      <c r="AC16" s="2">
        <v>19</v>
      </c>
      <c r="AD16" s="2">
        <v>57</v>
      </c>
      <c r="AE16" s="2">
        <v>91</v>
      </c>
      <c r="AF16" s="2">
        <v>16</v>
      </c>
      <c r="AG16" s="2"/>
      <c r="AH16" s="2">
        <v>22</v>
      </c>
      <c r="AI16" s="2"/>
      <c r="AJ16" s="2">
        <v>4</v>
      </c>
      <c r="AK16" s="2"/>
      <c r="AL16" s="2">
        <v>1</v>
      </c>
      <c r="AM16" s="2">
        <v>13</v>
      </c>
      <c r="AN16" s="2"/>
      <c r="AO16" s="2"/>
      <c r="AP16" s="2"/>
      <c r="AQ16" s="2">
        <v>165</v>
      </c>
      <c r="AR16" s="2"/>
      <c r="AS16" s="2"/>
      <c r="AT16" s="2">
        <v>7</v>
      </c>
      <c r="AU16" s="2">
        <v>5</v>
      </c>
      <c r="AV16" s="2"/>
      <c r="AW16" s="2">
        <v>310</v>
      </c>
      <c r="AX16" s="2"/>
      <c r="AY16" s="2"/>
      <c r="AZ16" s="2"/>
      <c r="BA16" s="2">
        <v>24</v>
      </c>
      <c r="BB16" s="2">
        <v>62</v>
      </c>
      <c r="BC16" s="2"/>
      <c r="BD16" s="2">
        <v>84</v>
      </c>
      <c r="BE16" s="2">
        <v>159</v>
      </c>
      <c r="BF16" s="2"/>
      <c r="BG16" s="2"/>
      <c r="BH16" s="2"/>
      <c r="BI16" s="1">
        <v>0</v>
      </c>
      <c r="BJ16" s="5"/>
      <c r="BK16" s="1">
        <v>0</v>
      </c>
      <c r="BL16" s="5"/>
      <c r="BM16" s="1">
        <v>28.157039999999999</v>
      </c>
      <c r="BN16" s="1">
        <v>-82.836100000000002</v>
      </c>
      <c r="BO16" s="1">
        <v>0</v>
      </c>
      <c r="BP16" s="5"/>
      <c r="BQ16" s="1">
        <v>0</v>
      </c>
      <c r="BR16" s="5"/>
      <c r="BS16" s="1">
        <v>0</v>
      </c>
      <c r="BT16" s="5"/>
      <c r="BU16" s="1">
        <v>3</v>
      </c>
      <c r="BV16" s="1" t="s">
        <v>407</v>
      </c>
      <c r="BW16" s="1">
        <v>0</v>
      </c>
      <c r="BX16" s="5"/>
      <c r="BY16" s="1">
        <v>45</v>
      </c>
      <c r="BZ16" s="1" t="s">
        <v>407</v>
      </c>
      <c r="CA16" s="1">
        <v>28.15691</v>
      </c>
      <c r="CB16" s="1">
        <v>-82.836100000000002</v>
      </c>
      <c r="CC16" s="5"/>
      <c r="CD16" s="1">
        <v>0</v>
      </c>
      <c r="CE16" s="5"/>
      <c r="CF16" s="1">
        <v>0</v>
      </c>
      <c r="CG16" s="5"/>
      <c r="CH16" s="1">
        <v>0</v>
      </c>
      <c r="CI16" s="5"/>
      <c r="CJ16" s="1">
        <v>0</v>
      </c>
      <c r="CK16" s="5"/>
      <c r="CL16" s="1">
        <v>0</v>
      </c>
      <c r="CM16" s="5"/>
      <c r="CN16" s="1">
        <v>0</v>
      </c>
      <c r="CO16" s="5"/>
      <c r="CP16" s="1">
        <v>28.156749999999999</v>
      </c>
      <c r="CQ16" s="1">
        <v>-82.837400000000002</v>
      </c>
      <c r="CR16" s="5"/>
      <c r="CS16" s="1">
        <v>0</v>
      </c>
      <c r="CT16" s="5"/>
      <c r="CU16" s="1">
        <v>0</v>
      </c>
      <c r="CV16" s="5"/>
      <c r="CW16" s="1">
        <v>0</v>
      </c>
      <c r="CX16" s="5"/>
      <c r="CY16" s="1">
        <v>2</v>
      </c>
      <c r="CZ16" s="1" t="s">
        <v>407</v>
      </c>
      <c r="DA16" s="1">
        <v>4</v>
      </c>
      <c r="DB16" s="1" t="s">
        <v>407</v>
      </c>
      <c r="DC16" s="1">
        <v>20</v>
      </c>
      <c r="DD16" s="1" t="s">
        <v>407</v>
      </c>
      <c r="DE16" s="1">
        <v>28.15569</v>
      </c>
      <c r="DF16" s="1">
        <v>-82.838499999999996</v>
      </c>
      <c r="DG16" s="5"/>
      <c r="DH16" s="1">
        <v>0</v>
      </c>
      <c r="DI16" s="5"/>
      <c r="DJ16" s="1">
        <v>0</v>
      </c>
      <c r="DK16" s="5"/>
      <c r="DL16" s="1">
        <v>0</v>
      </c>
      <c r="DM16" s="5"/>
      <c r="DN16" s="1">
        <v>0</v>
      </c>
      <c r="DO16" s="5"/>
      <c r="DP16" s="1">
        <v>0</v>
      </c>
      <c r="DQ16" s="5"/>
      <c r="DR16" s="1">
        <v>0</v>
      </c>
      <c r="DS16" s="5"/>
      <c r="DT16" s="1">
        <v>28.15663</v>
      </c>
      <c r="DU16" s="1">
        <v>-82.839600000000004</v>
      </c>
      <c r="DV16" s="5"/>
      <c r="DW16" s="1">
        <v>0</v>
      </c>
      <c r="DX16" s="5"/>
      <c r="DY16" s="1">
        <v>0</v>
      </c>
      <c r="DZ16" s="5"/>
      <c r="EA16" s="1">
        <v>0</v>
      </c>
      <c r="EB16" s="5"/>
      <c r="EC16" s="1">
        <v>2</v>
      </c>
      <c r="ED16" s="1" t="s">
        <v>407</v>
      </c>
      <c r="EE16" s="1">
        <v>0</v>
      </c>
      <c r="EF16" s="5"/>
      <c r="EG16" s="1">
        <v>0</v>
      </c>
      <c r="EH16" s="5"/>
      <c r="EI16" s="1">
        <v>28.156580000000002</v>
      </c>
      <c r="EJ16" s="1">
        <v>-82.839600000000004</v>
      </c>
      <c r="EK16" s="5"/>
      <c r="EL16" s="1">
        <v>3</v>
      </c>
      <c r="EM16" s="1" t="s">
        <v>407</v>
      </c>
      <c r="EN16" s="1">
        <v>0</v>
      </c>
      <c r="EO16" s="5"/>
      <c r="EP16" s="1">
        <v>0</v>
      </c>
      <c r="EQ16" s="5"/>
      <c r="ER16" s="1">
        <v>0</v>
      </c>
      <c r="ES16" s="5"/>
      <c r="ET16" s="1">
        <v>0</v>
      </c>
      <c r="EU16" s="5"/>
      <c r="EV16" s="1">
        <v>0</v>
      </c>
      <c r="EW16" s="5"/>
      <c r="EX16" s="1">
        <v>28.1571</v>
      </c>
      <c r="EY16" s="1">
        <v>-82.840800000000002</v>
      </c>
      <c r="EZ16" s="5"/>
      <c r="FA16" s="1">
        <v>0</v>
      </c>
      <c r="FB16" s="5"/>
      <c r="FC16" s="1">
        <v>0</v>
      </c>
      <c r="FD16" s="5"/>
      <c r="FE16" s="1">
        <v>1</v>
      </c>
      <c r="FF16" s="1" t="s">
        <v>407</v>
      </c>
      <c r="FG16" s="1">
        <v>0</v>
      </c>
      <c r="FH16" s="5"/>
      <c r="FI16" s="1">
        <v>0</v>
      </c>
      <c r="FJ16" s="5"/>
      <c r="FK16" s="1">
        <v>0</v>
      </c>
      <c r="FL16" s="5"/>
      <c r="FM16" s="1">
        <v>28.157070000000001</v>
      </c>
      <c r="FN16" s="1">
        <v>-82.841200000000001</v>
      </c>
      <c r="FO16" s="5"/>
      <c r="FP16" s="1">
        <v>0</v>
      </c>
      <c r="FQ16" s="5"/>
      <c r="FR16" s="1">
        <v>0</v>
      </c>
      <c r="FS16" s="5"/>
      <c r="FT16" s="1">
        <v>8</v>
      </c>
      <c r="FU16" s="1" t="s">
        <v>414</v>
      </c>
      <c r="FV16" s="1">
        <v>2</v>
      </c>
      <c r="FW16" s="5"/>
      <c r="FX16" s="1">
        <v>2</v>
      </c>
      <c r="FY16" s="1" t="s">
        <v>407</v>
      </c>
      <c r="FZ16" s="1">
        <v>0</v>
      </c>
      <c r="GA16" s="5"/>
      <c r="GB16" s="1">
        <v>28.157029999999999</v>
      </c>
      <c r="GC16" s="1">
        <v>-82.841499999999996</v>
      </c>
      <c r="GD16" s="5"/>
      <c r="GE16" s="1">
        <v>0</v>
      </c>
      <c r="GF16" s="5"/>
      <c r="GG16" s="1">
        <v>0</v>
      </c>
      <c r="GH16" s="5"/>
      <c r="GI16" s="1">
        <v>0</v>
      </c>
      <c r="GJ16" s="5"/>
      <c r="GK16" s="1">
        <v>0</v>
      </c>
      <c r="GL16" s="5"/>
      <c r="GM16" s="1">
        <v>0</v>
      </c>
      <c r="GN16" s="5"/>
      <c r="GO16" s="1">
        <v>0</v>
      </c>
      <c r="GP16" s="5"/>
      <c r="GQ16" s="1">
        <v>28.157160000000001</v>
      </c>
      <c r="GR16" s="1">
        <v>-82.841999999999999</v>
      </c>
      <c r="GS16" s="5"/>
      <c r="GT16" s="1">
        <v>0</v>
      </c>
      <c r="GU16" s="5"/>
      <c r="GV16" s="1">
        <v>4</v>
      </c>
      <c r="GW16" s="1" t="s">
        <v>407</v>
      </c>
      <c r="GX16" s="1">
        <v>0</v>
      </c>
      <c r="GY16" s="5"/>
      <c r="GZ16" s="1">
        <v>0</v>
      </c>
      <c r="HA16" s="5"/>
      <c r="HB16" s="1">
        <v>0</v>
      </c>
      <c r="HC16" s="5"/>
      <c r="HD16" s="1">
        <v>0</v>
      </c>
      <c r="HE16" s="5"/>
      <c r="HF16" s="1">
        <v>28.159179999999999</v>
      </c>
      <c r="HG16" s="1">
        <v>-82.840599999999995</v>
      </c>
      <c r="HH16" s="5"/>
      <c r="HI16" s="1">
        <v>2</v>
      </c>
      <c r="HJ16" s="1" t="s">
        <v>407</v>
      </c>
      <c r="HK16" s="1">
        <v>8</v>
      </c>
      <c r="HL16" s="1" t="s">
        <v>407</v>
      </c>
      <c r="HM16" s="1">
        <v>0</v>
      </c>
      <c r="HN16" s="5"/>
      <c r="HO16" s="1">
        <v>0</v>
      </c>
      <c r="HP16" s="5"/>
      <c r="HQ16" s="1">
        <v>0</v>
      </c>
      <c r="HR16" s="5"/>
      <c r="HS16" s="1">
        <v>0</v>
      </c>
      <c r="HT16" s="5"/>
      <c r="HU16" s="1">
        <v>28.158619999999999</v>
      </c>
      <c r="HV16" s="1">
        <v>-82.84</v>
      </c>
      <c r="HW16" s="5"/>
      <c r="HX16" s="1">
        <v>1</v>
      </c>
      <c r="HY16" s="1" t="s">
        <v>407</v>
      </c>
      <c r="HZ16" s="1">
        <v>0</v>
      </c>
      <c r="IA16" s="5"/>
      <c r="IB16" s="1">
        <v>0</v>
      </c>
      <c r="IC16" s="5"/>
      <c r="ID16" s="1">
        <v>0</v>
      </c>
      <c r="IE16" s="5"/>
      <c r="IF16" s="1">
        <v>0</v>
      </c>
      <c r="IG16" s="5"/>
      <c r="IH16" s="1">
        <v>0</v>
      </c>
      <c r="II16" s="5"/>
      <c r="IJ16" s="1">
        <v>28.15887</v>
      </c>
      <c r="IK16" s="1">
        <v>-82.839500000000001</v>
      </c>
      <c r="IL16" s="5"/>
      <c r="IM16" s="1">
        <v>2</v>
      </c>
      <c r="IN16" s="1" t="s">
        <v>407</v>
      </c>
      <c r="IO16" s="1">
        <v>0</v>
      </c>
      <c r="IP16" s="5"/>
      <c r="IQ16" s="1">
        <v>0</v>
      </c>
      <c r="IR16" s="5"/>
      <c r="IS16" s="1">
        <v>1</v>
      </c>
      <c r="IT16" s="1" t="s">
        <v>407</v>
      </c>
      <c r="IU16" s="1">
        <v>0</v>
      </c>
      <c r="IV16" s="5"/>
      <c r="IW16" s="1">
        <v>0</v>
      </c>
      <c r="IX16" s="5"/>
      <c r="IY16" s="1">
        <v>28.158829999999998</v>
      </c>
      <c r="IZ16" s="1">
        <v>-82.839699999999993</v>
      </c>
      <c r="JA16" s="5"/>
      <c r="JB16" s="1">
        <v>0</v>
      </c>
      <c r="JC16" s="5"/>
      <c r="JD16" s="1">
        <v>0</v>
      </c>
      <c r="JE16" s="5"/>
      <c r="JF16" s="1">
        <v>2</v>
      </c>
      <c r="JG16" s="1" t="s">
        <v>407</v>
      </c>
      <c r="JH16" s="1">
        <v>1</v>
      </c>
      <c r="JI16" s="1" t="s">
        <v>407</v>
      </c>
      <c r="JJ16" s="1">
        <v>0</v>
      </c>
      <c r="JK16" s="5"/>
      <c r="JL16" s="1">
        <v>0</v>
      </c>
      <c r="JM16" s="5"/>
      <c r="JN16" s="1">
        <v>28.157820000000001</v>
      </c>
      <c r="JO16" s="1">
        <v>-82.843400000000003</v>
      </c>
      <c r="JP16" s="5"/>
      <c r="JQ16" s="1">
        <v>0</v>
      </c>
      <c r="JR16" s="5"/>
      <c r="JS16" s="1">
        <v>6</v>
      </c>
      <c r="JT16" s="1" t="s">
        <v>407</v>
      </c>
      <c r="JU16" s="1">
        <v>6</v>
      </c>
      <c r="JV16" s="1" t="s">
        <v>407</v>
      </c>
      <c r="JW16" s="1">
        <v>2</v>
      </c>
      <c r="JX16" s="1" t="s">
        <v>407</v>
      </c>
      <c r="JY16" s="1">
        <v>1</v>
      </c>
      <c r="JZ16" s="1">
        <v>1</v>
      </c>
      <c r="KA16" s="1">
        <v>28.15842</v>
      </c>
      <c r="KB16" s="1">
        <v>28.15842</v>
      </c>
      <c r="KC16" s="1">
        <v>-82.844300000000004</v>
      </c>
      <c r="KD16" s="1">
        <v>-82.844300000000004</v>
      </c>
      <c r="KE16" s="5"/>
      <c r="KF16" s="5"/>
      <c r="KG16" s="1">
        <v>1</v>
      </c>
      <c r="KH16" s="1">
        <v>1</v>
      </c>
      <c r="KI16" s="1">
        <v>5</v>
      </c>
      <c r="KJ16" s="1">
        <v>5</v>
      </c>
      <c r="KK16" s="1" t="s">
        <v>407</v>
      </c>
      <c r="KL16" s="1" t="s">
        <v>407</v>
      </c>
      <c r="KM16" s="1">
        <v>0</v>
      </c>
      <c r="KN16" s="1">
        <v>0</v>
      </c>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row>
    <row r="17" spans="1:336" ht="15" x14ac:dyDescent="0.25">
      <c r="A17" s="1" t="s">
        <v>415</v>
      </c>
      <c r="B17" s="2">
        <v>27.539370000000002</v>
      </c>
      <c r="C17" s="2">
        <v>-82.741</v>
      </c>
      <c r="D17" s="2">
        <v>27.44436</v>
      </c>
      <c r="E17" s="2">
        <v>-82.690299999999993</v>
      </c>
      <c r="F17" s="3">
        <v>43138</v>
      </c>
      <c r="G17" s="1" t="s">
        <v>416</v>
      </c>
      <c r="H17" s="1" t="s">
        <v>417</v>
      </c>
      <c r="I17" s="1" t="s">
        <v>387</v>
      </c>
      <c r="J17" s="4">
        <v>0.33333333333333331</v>
      </c>
      <c r="K17" s="5"/>
      <c r="L17" s="5"/>
      <c r="M17" s="5"/>
      <c r="N17" s="5"/>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1">
        <v>2</v>
      </c>
      <c r="BJ17" s="5"/>
      <c r="BK17" s="1">
        <v>0</v>
      </c>
      <c r="BL17" s="1">
        <v>0</v>
      </c>
      <c r="BM17" s="1">
        <v>27.463229999999999</v>
      </c>
      <c r="BN17" s="1">
        <v>-82.698800000000006</v>
      </c>
      <c r="BO17" s="1">
        <v>0</v>
      </c>
      <c r="BP17" s="5"/>
      <c r="BQ17" s="1">
        <v>0</v>
      </c>
      <c r="BR17" s="1">
        <v>0</v>
      </c>
      <c r="BS17" s="1">
        <v>0</v>
      </c>
      <c r="BT17" s="1">
        <v>0</v>
      </c>
      <c r="BU17" s="1">
        <v>0</v>
      </c>
      <c r="BV17" s="1">
        <v>0</v>
      </c>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1">
        <v>0</v>
      </c>
    </row>
    <row r="18" spans="1:336" ht="15" x14ac:dyDescent="0.25">
      <c r="A18" s="1" t="s">
        <v>418</v>
      </c>
      <c r="B18" s="2">
        <v>29.710819999999998</v>
      </c>
      <c r="C18" s="2">
        <v>-85.005399999999995</v>
      </c>
      <c r="D18" s="2">
        <v>29.710540000000002</v>
      </c>
      <c r="E18" s="2">
        <v>-85.022900000000007</v>
      </c>
      <c r="F18" s="3">
        <v>43138</v>
      </c>
      <c r="G18" s="1" t="s">
        <v>419</v>
      </c>
      <c r="H18" s="1" t="s">
        <v>420</v>
      </c>
      <c r="I18" s="1" t="s">
        <v>329</v>
      </c>
      <c r="J18" s="4">
        <v>0.69513888888888886</v>
      </c>
      <c r="K18" s="5"/>
      <c r="L18" s="1" t="s">
        <v>369</v>
      </c>
      <c r="M18" s="1" t="s">
        <v>418</v>
      </c>
      <c r="N18" s="1" t="s">
        <v>333</v>
      </c>
      <c r="O18" s="2">
        <v>2</v>
      </c>
      <c r="P18" s="2"/>
      <c r="Q18" s="2"/>
      <c r="R18" s="2"/>
      <c r="S18" s="2"/>
      <c r="T18" s="2"/>
      <c r="U18" s="2"/>
      <c r="V18" s="2"/>
      <c r="W18" s="2"/>
      <c r="X18" s="2"/>
      <c r="Y18" s="2"/>
      <c r="Z18" s="2"/>
      <c r="AA18" s="2"/>
      <c r="AB18" s="2"/>
      <c r="AC18" s="2"/>
      <c r="AD18" s="2">
        <v>12</v>
      </c>
      <c r="AE18" s="2"/>
      <c r="AF18" s="2"/>
      <c r="AG18" s="2"/>
      <c r="AH18" s="2"/>
      <c r="AI18" s="2"/>
      <c r="AJ18" s="2"/>
      <c r="AK18" s="2"/>
      <c r="AL18" s="2"/>
      <c r="AM18" s="2"/>
      <c r="AN18" s="2"/>
      <c r="AO18" s="2"/>
      <c r="AP18" s="2"/>
      <c r="AQ18" s="2"/>
      <c r="AR18" s="2"/>
      <c r="AS18" s="2"/>
      <c r="AT18" s="2">
        <v>3</v>
      </c>
      <c r="AU18" s="2"/>
      <c r="AV18" s="2"/>
      <c r="AW18" s="2">
        <v>2</v>
      </c>
      <c r="AX18" s="2">
        <v>2</v>
      </c>
      <c r="AY18" s="2"/>
      <c r="AZ18" s="2"/>
      <c r="BA18" s="2"/>
      <c r="BB18" s="2"/>
      <c r="BC18" s="2"/>
      <c r="BD18" s="2"/>
      <c r="BE18" s="2"/>
      <c r="BF18" s="2"/>
      <c r="BG18" s="2"/>
      <c r="BH18" s="2"/>
      <c r="BI18" s="6">
        <v>2</v>
      </c>
      <c r="BJ18" s="6">
        <v>0</v>
      </c>
      <c r="BK18" s="6">
        <v>0</v>
      </c>
      <c r="BL18" s="6">
        <v>0</v>
      </c>
      <c r="BM18" s="6">
        <v>29.7088</v>
      </c>
      <c r="BN18" s="6">
        <v>-85.011700000000005</v>
      </c>
      <c r="BO18" s="6">
        <v>0</v>
      </c>
      <c r="BP18" s="6">
        <v>0</v>
      </c>
      <c r="BQ18" s="6">
        <v>0</v>
      </c>
      <c r="BR18" s="6">
        <v>0</v>
      </c>
      <c r="BS18" s="6">
        <v>0</v>
      </c>
      <c r="BT18" s="6">
        <v>0</v>
      </c>
      <c r="BU18" s="6">
        <v>0</v>
      </c>
      <c r="BV18" s="6">
        <v>0</v>
      </c>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6">
        <v>0</v>
      </c>
    </row>
    <row r="19" spans="1:336" ht="15" x14ac:dyDescent="0.25">
      <c r="A19" s="1" t="s">
        <v>421</v>
      </c>
      <c r="B19" s="2">
        <v>28.038550000000001</v>
      </c>
      <c r="C19" s="2">
        <v>-80.543300000000002</v>
      </c>
      <c r="D19" s="2">
        <v>27.983339999999998</v>
      </c>
      <c r="E19" s="2">
        <v>-80.515600000000006</v>
      </c>
      <c r="F19" s="3">
        <v>43138</v>
      </c>
      <c r="G19" s="1" t="s">
        <v>422</v>
      </c>
      <c r="H19" s="1" t="s">
        <v>423</v>
      </c>
      <c r="I19" s="1" t="s">
        <v>329</v>
      </c>
      <c r="J19" s="4">
        <v>0.375</v>
      </c>
      <c r="K19" s="5"/>
      <c r="L19" s="5"/>
      <c r="M19" s="5"/>
      <c r="N19" s="5"/>
      <c r="O19" s="2"/>
      <c r="P19" s="2"/>
      <c r="Q19" s="2"/>
      <c r="R19" s="2"/>
      <c r="S19" s="2"/>
      <c r="T19" s="2"/>
      <c r="U19" s="2"/>
      <c r="V19" s="2"/>
      <c r="W19" s="2"/>
      <c r="X19" s="2"/>
      <c r="Y19" s="2"/>
      <c r="Z19" s="2"/>
      <c r="AA19" s="2"/>
      <c r="AB19" s="2"/>
      <c r="AC19" s="2"/>
      <c r="AD19" s="2">
        <v>2</v>
      </c>
      <c r="AE19" s="2">
        <v>210</v>
      </c>
      <c r="AF19" s="2"/>
      <c r="AG19" s="2"/>
      <c r="AH19" s="2"/>
      <c r="AI19" s="2"/>
      <c r="AJ19" s="2"/>
      <c r="AK19" s="2"/>
      <c r="AL19" s="2">
        <v>9</v>
      </c>
      <c r="AM19" s="2"/>
      <c r="AN19" s="2"/>
      <c r="AO19" s="2"/>
      <c r="AP19" s="2"/>
      <c r="AQ19" s="2"/>
      <c r="AR19" s="2"/>
      <c r="AS19" s="2"/>
      <c r="AT19" s="2">
        <v>3</v>
      </c>
      <c r="AU19" s="2"/>
      <c r="AV19" s="2"/>
      <c r="AW19" s="2"/>
      <c r="AX19" s="2"/>
      <c r="AY19" s="2"/>
      <c r="AZ19" s="2"/>
      <c r="BA19" s="2"/>
      <c r="BB19" s="2"/>
      <c r="BC19" s="2"/>
      <c r="BD19" s="2">
        <v>29</v>
      </c>
      <c r="BE19" s="2">
        <v>28</v>
      </c>
      <c r="BF19" s="2">
        <v>4</v>
      </c>
      <c r="BG19" s="2"/>
      <c r="BH19" s="2"/>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row>
    <row r="20" spans="1:336" ht="15" x14ac:dyDescent="0.25">
      <c r="A20" s="1" t="s">
        <v>424</v>
      </c>
      <c r="B20" s="2">
        <v>27.983329999999999</v>
      </c>
      <c r="C20" s="2">
        <v>-80.515600000000006</v>
      </c>
      <c r="D20" s="2">
        <v>27.936060000000001</v>
      </c>
      <c r="E20" s="2">
        <v>-80.489900000000006</v>
      </c>
      <c r="F20" s="3">
        <v>43138</v>
      </c>
      <c r="G20" s="1" t="s">
        <v>425</v>
      </c>
      <c r="H20" s="1" t="s">
        <v>423</v>
      </c>
      <c r="I20" s="1" t="s">
        <v>329</v>
      </c>
      <c r="J20" s="4">
        <v>0.375</v>
      </c>
      <c r="K20" s="5"/>
      <c r="L20" s="5"/>
      <c r="M20" s="5"/>
      <c r="N20" s="5"/>
      <c r="O20" s="2"/>
      <c r="P20" s="2"/>
      <c r="Q20" s="2">
        <v>1</v>
      </c>
      <c r="R20" s="2"/>
      <c r="S20" s="2"/>
      <c r="T20" s="2"/>
      <c r="U20" s="2"/>
      <c r="V20" s="2"/>
      <c r="W20" s="2"/>
      <c r="X20" s="2"/>
      <c r="Y20" s="2"/>
      <c r="Z20" s="2"/>
      <c r="AA20" s="2"/>
      <c r="AB20" s="2"/>
      <c r="AC20" s="2"/>
      <c r="AD20" s="2"/>
      <c r="AE20" s="2"/>
      <c r="AF20" s="2"/>
      <c r="AG20" s="2"/>
      <c r="AH20" s="2"/>
      <c r="AI20" s="2"/>
      <c r="AJ20" s="2"/>
      <c r="AK20" s="2"/>
      <c r="AL20" s="2">
        <v>24</v>
      </c>
      <c r="AM20" s="2"/>
      <c r="AN20" s="2"/>
      <c r="AO20" s="2"/>
      <c r="AP20" s="2"/>
      <c r="AQ20" s="2"/>
      <c r="AR20" s="2"/>
      <c r="AS20" s="2"/>
      <c r="AT20" s="2">
        <v>2</v>
      </c>
      <c r="AU20" s="2"/>
      <c r="AV20" s="2"/>
      <c r="AW20" s="2"/>
      <c r="AX20" s="2"/>
      <c r="AY20" s="2"/>
      <c r="AZ20" s="2"/>
      <c r="BA20" s="2"/>
      <c r="BB20" s="2"/>
      <c r="BC20" s="2"/>
      <c r="BD20" s="2">
        <v>38</v>
      </c>
      <c r="BE20" s="2">
        <v>19</v>
      </c>
      <c r="BF20" s="2"/>
      <c r="BG20" s="2"/>
      <c r="BH20" s="2"/>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row>
    <row r="21" spans="1:336" ht="15" x14ac:dyDescent="0.25">
      <c r="A21" s="1" t="s">
        <v>426</v>
      </c>
      <c r="B21" s="2">
        <v>26.441520000000001</v>
      </c>
      <c r="C21" s="2">
        <v>-80.061599999999999</v>
      </c>
      <c r="D21" s="2">
        <v>26.614699999999999</v>
      </c>
      <c r="E21" s="2">
        <v>-80.0364</v>
      </c>
      <c r="F21" s="3">
        <v>43136</v>
      </c>
      <c r="G21" s="1" t="s">
        <v>427</v>
      </c>
      <c r="H21" s="1" t="s">
        <v>428</v>
      </c>
      <c r="I21" s="1" t="s">
        <v>329</v>
      </c>
      <c r="J21" s="4">
        <v>0.36666666666666664</v>
      </c>
      <c r="K21" s="1" t="s">
        <v>330</v>
      </c>
      <c r="L21" s="1" t="s">
        <v>364</v>
      </c>
      <c r="M21" s="1" t="s">
        <v>429</v>
      </c>
      <c r="N21" s="1" t="s">
        <v>333</v>
      </c>
      <c r="O21" s="2"/>
      <c r="P21" s="2"/>
      <c r="Q21" s="2">
        <v>56</v>
      </c>
      <c r="R21" s="2"/>
      <c r="S21" s="2"/>
      <c r="T21" s="2"/>
      <c r="U21" s="2"/>
      <c r="V21" s="2"/>
      <c r="W21" s="2"/>
      <c r="X21" s="2"/>
      <c r="Y21" s="2"/>
      <c r="Z21" s="2"/>
      <c r="AA21" s="2"/>
      <c r="AB21" s="2"/>
      <c r="AC21" s="2"/>
      <c r="AD21" s="2">
        <v>14</v>
      </c>
      <c r="AE21" s="2">
        <v>206</v>
      </c>
      <c r="AF21" s="2"/>
      <c r="AG21" s="2"/>
      <c r="AH21" s="2"/>
      <c r="AI21" s="2"/>
      <c r="AJ21" s="2"/>
      <c r="AK21" s="2"/>
      <c r="AL21" s="2"/>
      <c r="AM21" s="2"/>
      <c r="AN21" s="2"/>
      <c r="AO21" s="2"/>
      <c r="AP21" s="2"/>
      <c r="AQ21" s="2"/>
      <c r="AR21" s="2"/>
      <c r="AS21" s="2"/>
      <c r="AT21" s="2"/>
      <c r="AU21" s="2"/>
      <c r="AV21" s="2"/>
      <c r="AW21" s="2"/>
      <c r="AX21" s="2"/>
      <c r="AY21" s="2"/>
      <c r="AZ21" s="2"/>
      <c r="BA21" s="2"/>
      <c r="BB21" s="2">
        <v>279</v>
      </c>
      <c r="BC21" s="2">
        <v>14</v>
      </c>
      <c r="BD21" s="2">
        <v>126</v>
      </c>
      <c r="BE21" s="2">
        <v>50</v>
      </c>
      <c r="BF21" s="2">
        <v>44</v>
      </c>
      <c r="BG21" s="2"/>
      <c r="BH21" s="2"/>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row>
    <row r="22" spans="1:336" ht="15" x14ac:dyDescent="0.25">
      <c r="A22" s="1" t="s">
        <v>430</v>
      </c>
      <c r="B22" s="2">
        <v>30.177230000000002</v>
      </c>
      <c r="C22" s="2">
        <v>-85.7333</v>
      </c>
      <c r="D22" s="2">
        <v>30.176539999999999</v>
      </c>
      <c r="E22" s="2">
        <v>-85.735399999999998</v>
      </c>
      <c r="F22" s="3">
        <v>43134</v>
      </c>
      <c r="G22" s="1" t="s">
        <v>431</v>
      </c>
      <c r="H22" s="1" t="s">
        <v>432</v>
      </c>
      <c r="I22" s="1" t="s">
        <v>329</v>
      </c>
      <c r="J22" s="4">
        <v>0.59861111111111109</v>
      </c>
      <c r="K22" s="1" t="s">
        <v>375</v>
      </c>
      <c r="L22" s="1" t="s">
        <v>369</v>
      </c>
      <c r="M22" s="1" t="s">
        <v>433</v>
      </c>
      <c r="N22" s="1" t="s">
        <v>333</v>
      </c>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v>54</v>
      </c>
      <c r="AU22" s="2"/>
      <c r="AV22" s="2"/>
      <c r="AW22" s="2">
        <v>160</v>
      </c>
      <c r="AX22" s="2"/>
      <c r="AY22" s="2"/>
      <c r="AZ22" s="2"/>
      <c r="BA22" s="2">
        <v>8</v>
      </c>
      <c r="BB22" s="2"/>
      <c r="BC22" s="2"/>
      <c r="BD22" s="2">
        <v>6</v>
      </c>
      <c r="BE22" s="2"/>
      <c r="BF22" s="2"/>
      <c r="BG22" s="2"/>
      <c r="BH22" s="2"/>
      <c r="BI22" s="6">
        <v>0</v>
      </c>
      <c r="BJ22" s="7"/>
      <c r="BK22" s="6">
        <v>0</v>
      </c>
      <c r="BL22" s="7"/>
      <c r="BM22" s="6">
        <v>30.17689</v>
      </c>
      <c r="BN22" s="6">
        <v>-85.735299999999995</v>
      </c>
      <c r="BO22" s="6">
        <v>0</v>
      </c>
      <c r="BP22" s="7"/>
      <c r="BQ22" s="6">
        <v>0</v>
      </c>
      <c r="BR22" s="7"/>
      <c r="BS22" s="6">
        <v>0</v>
      </c>
      <c r="BT22" s="7"/>
      <c r="BU22" s="6">
        <v>0</v>
      </c>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6" t="s">
        <v>434</v>
      </c>
    </row>
    <row r="23" spans="1:336" ht="15" x14ac:dyDescent="0.25">
      <c r="A23" s="1" t="s">
        <v>435</v>
      </c>
      <c r="B23" s="2">
        <v>27.534590000000001</v>
      </c>
      <c r="C23" s="2">
        <v>-80.314400000000006</v>
      </c>
      <c r="D23" s="2">
        <v>27.479050000000001</v>
      </c>
      <c r="E23" s="2">
        <v>-80.2928</v>
      </c>
      <c r="F23" s="3">
        <v>43138</v>
      </c>
      <c r="G23" s="1" t="s">
        <v>436</v>
      </c>
      <c r="H23" s="1" t="s">
        <v>437</v>
      </c>
      <c r="I23" s="1" t="s">
        <v>329</v>
      </c>
      <c r="J23" s="4">
        <v>0.45833333333333331</v>
      </c>
      <c r="K23" s="1" t="s">
        <v>330</v>
      </c>
      <c r="L23" s="1" t="s">
        <v>364</v>
      </c>
      <c r="M23" s="1" t="s">
        <v>435</v>
      </c>
      <c r="N23" s="5"/>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v>1</v>
      </c>
      <c r="BE23" s="2"/>
      <c r="BF23" s="2"/>
      <c r="BG23" s="2"/>
      <c r="BH23" s="2"/>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row>
    <row r="24" spans="1:336" ht="15" x14ac:dyDescent="0.25">
      <c r="A24" s="1" t="s">
        <v>438</v>
      </c>
      <c r="B24" s="2">
        <v>24.654430000000001</v>
      </c>
      <c r="C24" s="2">
        <v>-81.280799999999999</v>
      </c>
      <c r="D24" s="2">
        <v>24.668389999999999</v>
      </c>
      <c r="E24" s="2">
        <v>-81.249799999999993</v>
      </c>
      <c r="F24" s="3">
        <v>43137</v>
      </c>
      <c r="G24" s="1" t="s">
        <v>439</v>
      </c>
      <c r="H24" s="1" t="s">
        <v>440</v>
      </c>
      <c r="I24" s="1" t="s">
        <v>329</v>
      </c>
      <c r="J24" s="4">
        <v>0.46805555555555556</v>
      </c>
      <c r="K24" s="1" t="s">
        <v>330</v>
      </c>
      <c r="L24" s="1" t="s">
        <v>441</v>
      </c>
      <c r="M24" s="5"/>
      <c r="N24" s="1" t="s">
        <v>333</v>
      </c>
      <c r="O24" s="2"/>
      <c r="P24" s="2"/>
      <c r="Q24" s="2"/>
      <c r="R24" s="2"/>
      <c r="S24" s="2"/>
      <c r="T24" s="2">
        <v>2</v>
      </c>
      <c r="U24" s="2"/>
      <c r="V24" s="2"/>
      <c r="W24" s="2"/>
      <c r="X24" s="2"/>
      <c r="Y24" s="2"/>
      <c r="Z24" s="2"/>
      <c r="AA24" s="2"/>
      <c r="AB24" s="2">
        <v>6</v>
      </c>
      <c r="AC24" s="2"/>
      <c r="AD24" s="2">
        <v>8</v>
      </c>
      <c r="AE24" s="2">
        <v>140</v>
      </c>
      <c r="AF24" s="2"/>
      <c r="AG24" s="2">
        <v>29</v>
      </c>
      <c r="AH24" s="2"/>
      <c r="AI24" s="2"/>
      <c r="AJ24" s="2"/>
      <c r="AK24" s="2"/>
      <c r="AL24" s="2"/>
      <c r="AM24" s="2"/>
      <c r="AN24" s="2"/>
      <c r="AO24" s="2"/>
      <c r="AP24" s="2"/>
      <c r="AQ24" s="2"/>
      <c r="AR24" s="2"/>
      <c r="AS24" s="2"/>
      <c r="AT24" s="2">
        <v>1</v>
      </c>
      <c r="AU24" s="2"/>
      <c r="AV24" s="2"/>
      <c r="AW24" s="2"/>
      <c r="AX24" s="2"/>
      <c r="AY24" s="2"/>
      <c r="AZ24" s="2"/>
      <c r="BA24" s="2"/>
      <c r="BB24" s="2"/>
      <c r="BC24" s="2"/>
      <c r="BD24" s="2"/>
      <c r="BE24" s="2"/>
      <c r="BF24" s="2"/>
      <c r="BG24" s="2"/>
      <c r="BH24" s="2"/>
      <c r="BI24" s="5"/>
      <c r="BJ24" s="5"/>
      <c r="BK24" s="5"/>
      <c r="BL24" s="5"/>
      <c r="BM24" s="1">
        <v>24.663350000000001</v>
      </c>
      <c r="BN24" s="1">
        <v>-81.259799999999998</v>
      </c>
      <c r="BO24" s="1">
        <v>6</v>
      </c>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row>
    <row r="25" spans="1:336" ht="15" x14ac:dyDescent="0.25">
      <c r="A25" s="1" t="s">
        <v>442</v>
      </c>
      <c r="B25" s="2">
        <v>29.89845</v>
      </c>
      <c r="C25" s="2">
        <v>-84.346000000000004</v>
      </c>
      <c r="D25" s="2">
        <v>29.937889999999999</v>
      </c>
      <c r="E25" s="2">
        <v>-84.335800000000006</v>
      </c>
      <c r="F25" s="3">
        <v>43137</v>
      </c>
      <c r="G25" s="1" t="s">
        <v>443</v>
      </c>
      <c r="H25" s="1" t="s">
        <v>432</v>
      </c>
      <c r="I25" s="1" t="s">
        <v>329</v>
      </c>
      <c r="J25" s="4">
        <v>0.65138888888888891</v>
      </c>
      <c r="K25" s="1" t="s">
        <v>330</v>
      </c>
      <c r="L25" s="1" t="s">
        <v>369</v>
      </c>
      <c r="M25" s="1" t="s">
        <v>444</v>
      </c>
      <c r="N25" s="1" t="s">
        <v>333</v>
      </c>
      <c r="O25" s="2"/>
      <c r="P25" s="2"/>
      <c r="Q25" s="2"/>
      <c r="R25" s="2"/>
      <c r="S25" s="2"/>
      <c r="T25" s="2">
        <v>7</v>
      </c>
      <c r="U25" s="2"/>
      <c r="V25" s="2"/>
      <c r="W25" s="2"/>
      <c r="X25" s="2"/>
      <c r="Y25" s="2"/>
      <c r="Z25" s="2"/>
      <c r="AA25" s="2"/>
      <c r="AB25" s="2"/>
      <c r="AC25" s="2"/>
      <c r="AD25" s="2">
        <v>1</v>
      </c>
      <c r="AE25" s="2"/>
      <c r="AF25" s="2"/>
      <c r="AG25" s="2"/>
      <c r="AH25" s="2"/>
      <c r="AI25" s="2"/>
      <c r="AJ25" s="2"/>
      <c r="AK25" s="2"/>
      <c r="AL25" s="2">
        <v>22</v>
      </c>
      <c r="AM25" s="2"/>
      <c r="AN25" s="2"/>
      <c r="AO25" s="2"/>
      <c r="AP25" s="2"/>
      <c r="AQ25" s="2"/>
      <c r="AR25" s="2"/>
      <c r="AS25" s="2"/>
      <c r="AT25" s="2">
        <v>6</v>
      </c>
      <c r="AU25" s="2"/>
      <c r="AV25" s="2"/>
      <c r="AW25" s="2">
        <v>1</v>
      </c>
      <c r="AX25" s="2"/>
      <c r="AY25" s="2"/>
      <c r="AZ25" s="2"/>
      <c r="BA25" s="2">
        <v>1</v>
      </c>
      <c r="BB25" s="2"/>
      <c r="BC25" s="2"/>
      <c r="BD25" s="2">
        <v>7</v>
      </c>
      <c r="BE25" s="2"/>
      <c r="BF25" s="2"/>
      <c r="BG25" s="2"/>
      <c r="BH25" s="2"/>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row>
    <row r="26" spans="1:336" ht="15" x14ac:dyDescent="0.25">
      <c r="A26" s="1" t="s">
        <v>445</v>
      </c>
      <c r="B26" s="2">
        <v>29.947769999999998</v>
      </c>
      <c r="C26" s="2">
        <v>-84.341099999999997</v>
      </c>
      <c r="D26" s="2">
        <v>29.937889999999999</v>
      </c>
      <c r="E26" s="2">
        <v>-84.335700000000003</v>
      </c>
      <c r="F26" s="3">
        <v>43137</v>
      </c>
      <c r="G26" s="1" t="s">
        <v>373</v>
      </c>
      <c r="H26" s="1" t="s">
        <v>374</v>
      </c>
      <c r="I26" s="1" t="s">
        <v>329</v>
      </c>
      <c r="J26" s="4">
        <v>0.67083333333333328</v>
      </c>
      <c r="K26" s="1" t="s">
        <v>375</v>
      </c>
      <c r="L26" s="1" t="s">
        <v>369</v>
      </c>
      <c r="M26" s="1" t="s">
        <v>446</v>
      </c>
      <c r="N26" s="1" t="s">
        <v>333</v>
      </c>
      <c r="O26" s="2">
        <v>18</v>
      </c>
      <c r="P26" s="2"/>
      <c r="Q26" s="2">
        <v>7</v>
      </c>
      <c r="R26" s="2"/>
      <c r="S26" s="2"/>
      <c r="T26" s="2">
        <v>5</v>
      </c>
      <c r="U26" s="2"/>
      <c r="V26" s="2"/>
      <c r="W26" s="2"/>
      <c r="X26" s="2"/>
      <c r="Y26" s="2"/>
      <c r="Z26" s="2"/>
      <c r="AA26" s="2">
        <v>1</v>
      </c>
      <c r="AB26" s="2"/>
      <c r="AC26" s="2"/>
      <c r="AD26" s="2">
        <v>31</v>
      </c>
      <c r="AE26" s="2">
        <v>69</v>
      </c>
      <c r="AF26" s="2"/>
      <c r="AG26" s="2"/>
      <c r="AH26" s="2"/>
      <c r="AI26" s="2"/>
      <c r="AJ26" s="2"/>
      <c r="AK26" s="2"/>
      <c r="AL26" s="2">
        <v>10</v>
      </c>
      <c r="AM26" s="2"/>
      <c r="AN26" s="2"/>
      <c r="AO26" s="2"/>
      <c r="AP26" s="2"/>
      <c r="AQ26" s="2"/>
      <c r="AR26" s="2"/>
      <c r="AS26" s="2"/>
      <c r="AT26" s="2">
        <v>8</v>
      </c>
      <c r="AU26" s="2"/>
      <c r="AV26" s="2"/>
      <c r="AW26" s="2"/>
      <c r="AX26" s="2">
        <v>3</v>
      </c>
      <c r="AY26" s="2"/>
      <c r="AZ26" s="2"/>
      <c r="BA26" s="2">
        <v>1</v>
      </c>
      <c r="BB26" s="2"/>
      <c r="BC26" s="2"/>
      <c r="BD26" s="2">
        <v>1</v>
      </c>
      <c r="BE26" s="2"/>
      <c r="BF26" s="2"/>
      <c r="BG26" s="2"/>
      <c r="BH26" s="2"/>
      <c r="BI26" s="1">
        <v>18</v>
      </c>
      <c r="BJ26" s="1" t="s">
        <v>447</v>
      </c>
      <c r="BK26" s="5"/>
      <c r="BL26" s="5"/>
      <c r="BM26" s="1">
        <v>29.94924</v>
      </c>
      <c r="BN26" s="1">
        <v>-84.340500000000006</v>
      </c>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row>
    <row r="27" spans="1:336" ht="15" x14ac:dyDescent="0.25">
      <c r="A27" s="1" t="s">
        <v>448</v>
      </c>
      <c r="B27" s="2">
        <v>26.309059999999999</v>
      </c>
      <c r="C27" s="2">
        <v>-81.837500000000006</v>
      </c>
      <c r="D27" s="2">
        <v>26.290289999999999</v>
      </c>
      <c r="E27" s="2">
        <v>-81.829899999999995</v>
      </c>
      <c r="F27" s="3">
        <v>43136</v>
      </c>
      <c r="G27" s="1" t="s">
        <v>449</v>
      </c>
      <c r="H27" s="1" t="s">
        <v>450</v>
      </c>
      <c r="I27" s="1" t="s">
        <v>329</v>
      </c>
      <c r="J27" s="4">
        <v>0.35416666666666669</v>
      </c>
      <c r="K27" s="1" t="s">
        <v>330</v>
      </c>
      <c r="L27" s="1" t="s">
        <v>369</v>
      </c>
      <c r="M27" s="5"/>
      <c r="N27" s="1" t="s">
        <v>333</v>
      </c>
      <c r="O27" s="2"/>
      <c r="P27" s="2"/>
      <c r="Q27" s="2">
        <v>2</v>
      </c>
      <c r="R27" s="2"/>
      <c r="S27" s="2"/>
      <c r="T27" s="2"/>
      <c r="U27" s="2"/>
      <c r="V27" s="2"/>
      <c r="W27" s="2"/>
      <c r="X27" s="2"/>
      <c r="Y27" s="2"/>
      <c r="Z27" s="2"/>
      <c r="AA27" s="2"/>
      <c r="AB27" s="2"/>
      <c r="AC27" s="2"/>
      <c r="AD27" s="2"/>
      <c r="AE27" s="2">
        <v>250</v>
      </c>
      <c r="AF27" s="2"/>
      <c r="AG27" s="2"/>
      <c r="AH27" s="2"/>
      <c r="AI27" s="2"/>
      <c r="AJ27" s="2"/>
      <c r="AK27" s="2"/>
      <c r="AL27" s="2">
        <v>6</v>
      </c>
      <c r="AM27" s="2"/>
      <c r="AN27" s="2"/>
      <c r="AO27" s="2"/>
      <c r="AP27" s="2"/>
      <c r="AQ27" s="2">
        <v>60</v>
      </c>
      <c r="AR27" s="2"/>
      <c r="AS27" s="2"/>
      <c r="AT27" s="2">
        <v>10</v>
      </c>
      <c r="AU27" s="2"/>
      <c r="AV27" s="2"/>
      <c r="AW27" s="2"/>
      <c r="AX27" s="2">
        <v>2</v>
      </c>
      <c r="AY27" s="2"/>
      <c r="AZ27" s="2"/>
      <c r="BA27" s="2">
        <v>2</v>
      </c>
      <c r="BB27" s="2">
        <v>9</v>
      </c>
      <c r="BC27" s="2"/>
      <c r="BD27" s="2">
        <v>11</v>
      </c>
      <c r="BE27" s="2">
        <v>110</v>
      </c>
      <c r="BF27" s="2"/>
      <c r="BG27" s="2"/>
      <c r="BH27" s="2"/>
      <c r="BI27" s="1">
        <v>0</v>
      </c>
      <c r="BJ27" s="5"/>
      <c r="BK27" s="1">
        <v>0</v>
      </c>
      <c r="BL27" s="5"/>
      <c r="BM27" s="1">
        <v>26.30491</v>
      </c>
      <c r="BN27" s="1">
        <v>-81.835999999999999</v>
      </c>
      <c r="BO27" s="1">
        <v>0</v>
      </c>
      <c r="BP27" s="5"/>
      <c r="BQ27" s="1">
        <v>0</v>
      </c>
      <c r="BR27" s="5"/>
      <c r="BS27" s="1">
        <v>0</v>
      </c>
      <c r="BT27" s="5"/>
      <c r="BU27" s="1">
        <v>0</v>
      </c>
      <c r="BV27" s="5"/>
      <c r="BW27" s="1">
        <v>0</v>
      </c>
      <c r="BX27" s="5"/>
      <c r="BY27" s="1">
        <v>60</v>
      </c>
      <c r="BZ27" s="1" t="s">
        <v>451</v>
      </c>
      <c r="CA27" s="1">
        <v>26.289259999999999</v>
      </c>
      <c r="CB27" s="1">
        <v>-81.831299999999999</v>
      </c>
      <c r="CC27" s="1" t="s">
        <v>452</v>
      </c>
      <c r="CD27" s="1">
        <v>0</v>
      </c>
      <c r="CE27" s="5"/>
      <c r="CF27" s="1">
        <v>0</v>
      </c>
      <c r="CG27" s="5"/>
      <c r="CH27" s="1">
        <v>0</v>
      </c>
      <c r="CI27" s="5"/>
      <c r="CJ27" s="1">
        <v>0</v>
      </c>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1" t="s">
        <v>453</v>
      </c>
    </row>
    <row r="28" spans="1:336" ht="15" x14ac:dyDescent="0.25">
      <c r="A28" s="1" t="s">
        <v>454</v>
      </c>
      <c r="B28" s="2">
        <v>28.535710000000002</v>
      </c>
      <c r="C28" s="2">
        <v>-82.652000000000001</v>
      </c>
      <c r="D28" s="2">
        <v>28.53398</v>
      </c>
      <c r="E28" s="2">
        <v>-82.649900000000002</v>
      </c>
      <c r="F28" s="3">
        <v>43138</v>
      </c>
      <c r="G28" s="1" t="s">
        <v>455</v>
      </c>
      <c r="H28" s="1" t="s">
        <v>456</v>
      </c>
      <c r="I28" s="1" t="s">
        <v>329</v>
      </c>
      <c r="J28" s="4">
        <v>0.3923611111111111</v>
      </c>
      <c r="K28" s="1" t="s">
        <v>330</v>
      </c>
      <c r="L28" s="1" t="s">
        <v>364</v>
      </c>
      <c r="M28" s="5"/>
      <c r="N28" s="1" t="s">
        <v>333</v>
      </c>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v>8</v>
      </c>
      <c r="AU28" s="2"/>
      <c r="AV28" s="2"/>
      <c r="AW28" s="2">
        <v>12</v>
      </c>
      <c r="AX28" s="2"/>
      <c r="AY28" s="2"/>
      <c r="AZ28" s="2"/>
      <c r="BA28" s="2"/>
      <c r="BB28" s="2">
        <v>84</v>
      </c>
      <c r="BC28" s="2"/>
      <c r="BD28" s="2">
        <v>3</v>
      </c>
      <c r="BE28" s="2"/>
      <c r="BF28" s="2"/>
      <c r="BG28" s="2"/>
      <c r="BH28" s="2"/>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row>
    <row r="29" spans="1:336" ht="15" x14ac:dyDescent="0.25">
      <c r="A29" s="1" t="s">
        <v>457</v>
      </c>
      <c r="B29" s="2">
        <v>29.283200000000001</v>
      </c>
      <c r="C29" s="2">
        <v>-81.81</v>
      </c>
      <c r="D29" s="2">
        <v>29.283300000000001</v>
      </c>
      <c r="E29" s="2">
        <v>-81.741</v>
      </c>
      <c r="F29" s="3">
        <v>43135</v>
      </c>
      <c r="G29" s="1" t="s">
        <v>458</v>
      </c>
      <c r="H29" s="1" t="s">
        <v>459</v>
      </c>
      <c r="I29" s="1" t="s">
        <v>329</v>
      </c>
      <c r="J29" s="4">
        <v>0.34027777777777779</v>
      </c>
      <c r="K29" s="1" t="s">
        <v>368</v>
      </c>
      <c r="L29" s="1" t="s">
        <v>441</v>
      </c>
      <c r="M29" s="5"/>
      <c r="N29" s="1" t="s">
        <v>333</v>
      </c>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v>3</v>
      </c>
      <c r="AU29" s="2"/>
      <c r="AV29" s="2"/>
      <c r="AW29" s="2"/>
      <c r="AX29" s="2"/>
      <c r="AY29" s="2"/>
      <c r="AZ29" s="2"/>
      <c r="BA29" s="2"/>
      <c r="BB29" s="2"/>
      <c r="BC29" s="2"/>
      <c r="BD29" s="2">
        <v>3</v>
      </c>
      <c r="BE29" s="2"/>
      <c r="BF29" s="2"/>
      <c r="BG29" s="2"/>
      <c r="BH29" s="2"/>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row>
    <row r="30" spans="1:336" ht="15" x14ac:dyDescent="0.25">
      <c r="A30" s="1" t="s">
        <v>460</v>
      </c>
      <c r="B30" s="2">
        <v>30.358599999999999</v>
      </c>
      <c r="C30" s="2">
        <v>-87.044700000000006</v>
      </c>
      <c r="D30" s="2">
        <v>30.35155</v>
      </c>
      <c r="E30" s="2">
        <v>-87.055300000000003</v>
      </c>
      <c r="F30" s="3">
        <v>43137</v>
      </c>
      <c r="G30" s="1" t="s">
        <v>461</v>
      </c>
      <c r="H30" s="1" t="s">
        <v>462</v>
      </c>
      <c r="I30" s="1" t="s">
        <v>329</v>
      </c>
      <c r="J30" s="4">
        <v>0.64583333333333337</v>
      </c>
      <c r="K30" s="1" t="s">
        <v>375</v>
      </c>
      <c r="L30" s="1" t="s">
        <v>441</v>
      </c>
      <c r="M30" s="5"/>
      <c r="N30" s="1" t="s">
        <v>333</v>
      </c>
      <c r="O30" s="2"/>
      <c r="P30" s="2"/>
      <c r="Q30" s="2"/>
      <c r="R30" s="2">
        <v>11</v>
      </c>
      <c r="S30" s="2"/>
      <c r="T30" s="2"/>
      <c r="U30" s="2"/>
      <c r="V30" s="2"/>
      <c r="W30" s="2"/>
      <c r="X30" s="2"/>
      <c r="Y30" s="2"/>
      <c r="Z30" s="2"/>
      <c r="AA30" s="2"/>
      <c r="AB30" s="2">
        <v>6</v>
      </c>
      <c r="AC30" s="2">
        <v>1</v>
      </c>
      <c r="AD30" s="2"/>
      <c r="AE30" s="2">
        <v>13</v>
      </c>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1">
        <v>0</v>
      </c>
      <c r="BJ30" s="1">
        <v>0</v>
      </c>
      <c r="BK30" s="1">
        <v>0</v>
      </c>
      <c r="BL30" s="1">
        <v>0</v>
      </c>
      <c r="BM30" s="1">
        <v>30.358599999999999</v>
      </c>
      <c r="BN30" s="1">
        <v>-87.044700000000006</v>
      </c>
      <c r="BO30" s="1">
        <v>6</v>
      </c>
      <c r="BP30" s="1" t="s">
        <v>407</v>
      </c>
      <c r="BQ30" s="1">
        <v>1</v>
      </c>
      <c r="BR30" s="1" t="s">
        <v>407</v>
      </c>
      <c r="BS30" s="1">
        <v>0</v>
      </c>
      <c r="BT30" s="5"/>
      <c r="BU30" s="1">
        <v>0</v>
      </c>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row>
    <row r="31" spans="1:336" ht="15" x14ac:dyDescent="0.25">
      <c r="A31" s="1" t="s">
        <v>463</v>
      </c>
      <c r="B31" s="2">
        <v>30.512239999999998</v>
      </c>
      <c r="C31" s="2">
        <v>-81.459599999999995</v>
      </c>
      <c r="D31" s="2">
        <v>30.507180000000002</v>
      </c>
      <c r="E31" s="2">
        <v>-81.454099999999997</v>
      </c>
      <c r="F31" s="3">
        <v>43137</v>
      </c>
      <c r="G31" s="1" t="s">
        <v>464</v>
      </c>
      <c r="H31" s="1" t="s">
        <v>465</v>
      </c>
      <c r="I31" s="1" t="s">
        <v>329</v>
      </c>
      <c r="J31" s="4">
        <v>0.40208333333333335</v>
      </c>
      <c r="K31" s="1" t="s">
        <v>375</v>
      </c>
      <c r="L31" s="1" t="s">
        <v>364</v>
      </c>
      <c r="M31" s="1" t="s">
        <v>466</v>
      </c>
      <c r="N31" s="1" t="s">
        <v>333</v>
      </c>
      <c r="O31" s="2"/>
      <c r="P31" s="2"/>
      <c r="Q31" s="2"/>
      <c r="R31" s="2"/>
      <c r="S31" s="2"/>
      <c r="T31" s="2"/>
      <c r="U31" s="2"/>
      <c r="V31" s="2"/>
      <c r="W31" s="2"/>
      <c r="X31" s="2"/>
      <c r="Y31" s="2"/>
      <c r="Z31" s="2"/>
      <c r="AA31" s="2"/>
      <c r="AB31" s="2"/>
      <c r="AC31" s="2"/>
      <c r="AD31" s="2"/>
      <c r="AE31" s="2">
        <v>18</v>
      </c>
      <c r="AF31" s="2"/>
      <c r="AG31" s="2"/>
      <c r="AH31" s="2"/>
      <c r="AI31" s="2"/>
      <c r="AJ31" s="2"/>
      <c r="AK31" s="2"/>
      <c r="AL31" s="2"/>
      <c r="AM31" s="2"/>
      <c r="AN31" s="2"/>
      <c r="AO31" s="2"/>
      <c r="AP31" s="2"/>
      <c r="AQ31" s="2"/>
      <c r="AR31" s="2"/>
      <c r="AS31" s="2"/>
      <c r="AT31" s="2">
        <v>2</v>
      </c>
      <c r="AU31" s="2"/>
      <c r="AV31" s="2"/>
      <c r="AW31" s="2"/>
      <c r="AX31" s="2"/>
      <c r="AY31" s="2"/>
      <c r="AZ31" s="2"/>
      <c r="BA31" s="2"/>
      <c r="BB31" s="2"/>
      <c r="BC31" s="2"/>
      <c r="BD31" s="2">
        <v>8</v>
      </c>
      <c r="BE31" s="2">
        <v>2</v>
      </c>
      <c r="BF31" s="2"/>
      <c r="BG31" s="2"/>
      <c r="BH31" s="2"/>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row>
    <row r="32" spans="1:336" ht="15" x14ac:dyDescent="0.25">
      <c r="A32" s="1" t="s">
        <v>467</v>
      </c>
      <c r="B32" s="2">
        <v>30.493929999999999</v>
      </c>
      <c r="C32" s="2">
        <v>-81.438500000000005</v>
      </c>
      <c r="D32" s="2">
        <v>30.484639999999999</v>
      </c>
      <c r="E32" s="2">
        <v>-81.430700000000002</v>
      </c>
      <c r="F32" s="3">
        <v>43137</v>
      </c>
      <c r="G32" s="1" t="s">
        <v>464</v>
      </c>
      <c r="H32" s="1" t="s">
        <v>465</v>
      </c>
      <c r="I32" s="1" t="s">
        <v>329</v>
      </c>
      <c r="J32" s="4">
        <v>0.34652777777777777</v>
      </c>
      <c r="K32" s="1" t="s">
        <v>368</v>
      </c>
      <c r="L32" s="1" t="s">
        <v>364</v>
      </c>
      <c r="M32" s="1" t="s">
        <v>468</v>
      </c>
      <c r="N32" s="1" t="s">
        <v>333</v>
      </c>
      <c r="O32" s="2"/>
      <c r="P32" s="2"/>
      <c r="Q32" s="2">
        <v>1</v>
      </c>
      <c r="R32" s="2"/>
      <c r="S32" s="2"/>
      <c r="T32" s="2"/>
      <c r="U32" s="2"/>
      <c r="V32" s="2"/>
      <c r="W32" s="2"/>
      <c r="X32" s="2"/>
      <c r="Y32" s="2"/>
      <c r="Z32" s="2"/>
      <c r="AA32" s="2"/>
      <c r="AB32" s="2">
        <v>2</v>
      </c>
      <c r="AC32" s="2"/>
      <c r="AD32" s="2">
        <v>1</v>
      </c>
      <c r="AE32" s="2">
        <v>34</v>
      </c>
      <c r="AF32" s="2"/>
      <c r="AG32" s="2"/>
      <c r="AH32" s="2"/>
      <c r="AI32" s="2"/>
      <c r="AJ32" s="2"/>
      <c r="AK32" s="2"/>
      <c r="AL32" s="2"/>
      <c r="AM32" s="2"/>
      <c r="AN32" s="2"/>
      <c r="AO32" s="2"/>
      <c r="AP32" s="2"/>
      <c r="AQ32" s="2"/>
      <c r="AR32" s="2"/>
      <c r="AS32" s="2"/>
      <c r="AT32" s="2">
        <v>2</v>
      </c>
      <c r="AU32" s="2"/>
      <c r="AV32" s="2"/>
      <c r="AW32" s="2">
        <v>1</v>
      </c>
      <c r="AX32" s="2"/>
      <c r="AY32" s="2"/>
      <c r="AZ32" s="2"/>
      <c r="BA32" s="2"/>
      <c r="BB32" s="2"/>
      <c r="BC32" s="2"/>
      <c r="BD32" s="2">
        <v>1</v>
      </c>
      <c r="BE32" s="2">
        <v>3</v>
      </c>
      <c r="BF32" s="2"/>
      <c r="BG32" s="2"/>
      <c r="BH32" s="2"/>
      <c r="BI32" s="1">
        <v>0</v>
      </c>
      <c r="BJ32" s="1" t="s">
        <v>393</v>
      </c>
      <c r="BK32" s="1">
        <v>0</v>
      </c>
      <c r="BL32" s="1" t="s">
        <v>393</v>
      </c>
      <c r="BM32" s="1">
        <v>30.48677</v>
      </c>
      <c r="BN32" s="1">
        <v>-81.431100000000001</v>
      </c>
      <c r="BO32" s="1">
        <v>2</v>
      </c>
      <c r="BP32" s="1" t="s">
        <v>394</v>
      </c>
      <c r="BQ32" s="1">
        <v>0</v>
      </c>
      <c r="BR32" s="1" t="s">
        <v>393</v>
      </c>
      <c r="BS32" s="1">
        <v>0</v>
      </c>
      <c r="BT32" s="1" t="s">
        <v>393</v>
      </c>
      <c r="BU32" s="1">
        <v>0</v>
      </c>
      <c r="BV32" s="1" t="s">
        <v>393</v>
      </c>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row>
    <row r="33" spans="1:336" ht="15" x14ac:dyDescent="0.25">
      <c r="A33" s="1" t="s">
        <v>469</v>
      </c>
      <c r="B33" s="2">
        <v>30.511389999999999</v>
      </c>
      <c r="C33" s="2">
        <v>-81.457599999999999</v>
      </c>
      <c r="D33" s="2">
        <v>30.505189999999999</v>
      </c>
      <c r="E33" s="2">
        <v>-81.455299999999994</v>
      </c>
      <c r="F33" s="3">
        <v>43136</v>
      </c>
      <c r="G33" s="1" t="s">
        <v>470</v>
      </c>
      <c r="H33" s="1" t="s">
        <v>391</v>
      </c>
      <c r="I33" s="1" t="s">
        <v>329</v>
      </c>
      <c r="J33" s="4">
        <v>0.4375</v>
      </c>
      <c r="K33" s="1" t="s">
        <v>368</v>
      </c>
      <c r="L33" s="1" t="s">
        <v>441</v>
      </c>
      <c r="M33" s="1" t="s">
        <v>471</v>
      </c>
      <c r="N33" s="1" t="s">
        <v>333</v>
      </c>
      <c r="O33" s="2"/>
      <c r="P33" s="2"/>
      <c r="Q33" s="2">
        <v>62</v>
      </c>
      <c r="R33" s="2">
        <v>1086</v>
      </c>
      <c r="S33" s="2">
        <v>11</v>
      </c>
      <c r="T33" s="2">
        <v>6</v>
      </c>
      <c r="U33" s="2">
        <v>2</v>
      </c>
      <c r="V33" s="2"/>
      <c r="W33" s="2"/>
      <c r="X33" s="2">
        <v>12</v>
      </c>
      <c r="Y33" s="2">
        <v>46</v>
      </c>
      <c r="Z33" s="2"/>
      <c r="AA33" s="2"/>
      <c r="AB33" s="2">
        <v>17</v>
      </c>
      <c r="AC33" s="2"/>
      <c r="AD33" s="2"/>
      <c r="AE33" s="2">
        <v>76</v>
      </c>
      <c r="AF33" s="2">
        <v>256</v>
      </c>
      <c r="AG33" s="2"/>
      <c r="AH33" s="2"/>
      <c r="AI33" s="2"/>
      <c r="AJ33" s="2"/>
      <c r="AK33" s="2"/>
      <c r="AL33" s="2">
        <v>78</v>
      </c>
      <c r="AM33" s="2">
        <v>111</v>
      </c>
      <c r="AN33" s="2"/>
      <c r="AO33" s="2"/>
      <c r="AP33" s="2"/>
      <c r="AQ33" s="2"/>
      <c r="AR33" s="2"/>
      <c r="AS33" s="2"/>
      <c r="AT33" s="2"/>
      <c r="AU33" s="2"/>
      <c r="AV33" s="2"/>
      <c r="AW33" s="2"/>
      <c r="AX33" s="2"/>
      <c r="AY33" s="2"/>
      <c r="AZ33" s="2"/>
      <c r="BA33" s="2"/>
      <c r="BB33" s="2"/>
      <c r="BC33" s="2"/>
      <c r="BD33" s="2"/>
      <c r="BE33" s="2"/>
      <c r="BF33" s="2"/>
      <c r="BG33" s="2"/>
      <c r="BH33" s="2"/>
      <c r="BI33" s="1">
        <v>0</v>
      </c>
      <c r="BJ33" s="1" t="s">
        <v>393</v>
      </c>
      <c r="BK33" s="1">
        <v>0</v>
      </c>
      <c r="BL33" s="1" t="s">
        <v>393</v>
      </c>
      <c r="BM33" s="1">
        <v>30.50892</v>
      </c>
      <c r="BN33" s="1">
        <v>-81.478499999999997</v>
      </c>
      <c r="BO33" s="1">
        <v>17</v>
      </c>
      <c r="BP33" s="1" t="s">
        <v>472</v>
      </c>
      <c r="BQ33" s="1">
        <v>0</v>
      </c>
      <c r="BR33" s="1" t="s">
        <v>393</v>
      </c>
      <c r="BS33" s="1">
        <v>0</v>
      </c>
      <c r="BT33" s="1" t="s">
        <v>393</v>
      </c>
      <c r="BU33" s="1">
        <v>101</v>
      </c>
      <c r="BV33" s="1" t="s">
        <v>393</v>
      </c>
      <c r="BW33" s="1">
        <v>0</v>
      </c>
      <c r="BX33" s="1" t="s">
        <v>393</v>
      </c>
      <c r="BY33" s="1">
        <v>0</v>
      </c>
      <c r="BZ33" s="1" t="s">
        <v>393</v>
      </c>
      <c r="CA33" s="1">
        <v>30.506930000000001</v>
      </c>
      <c r="CB33" s="1">
        <v>-81.456999999999994</v>
      </c>
      <c r="CC33" s="1" t="s">
        <v>473</v>
      </c>
      <c r="CD33" s="1">
        <v>0</v>
      </c>
      <c r="CE33" s="1" t="s">
        <v>393</v>
      </c>
      <c r="CF33" s="1">
        <v>0</v>
      </c>
      <c r="CG33" s="1" t="s">
        <v>393</v>
      </c>
      <c r="CH33" s="1">
        <v>0</v>
      </c>
      <c r="CI33" s="1" t="s">
        <v>393</v>
      </c>
      <c r="CJ33" s="1">
        <v>10</v>
      </c>
      <c r="CK33" s="1" t="s">
        <v>474</v>
      </c>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1" t="s">
        <v>475</v>
      </c>
    </row>
    <row r="34" spans="1:336" ht="15" x14ac:dyDescent="0.25">
      <c r="A34" s="1" t="s">
        <v>476</v>
      </c>
      <c r="B34" s="2">
        <v>25.666650000000001</v>
      </c>
      <c r="C34" s="2">
        <v>-80.155699999999996</v>
      </c>
      <c r="D34" s="2">
        <v>25.683029999999999</v>
      </c>
      <c r="E34" s="2">
        <v>-80.155299999999997</v>
      </c>
      <c r="F34" s="3">
        <v>43134</v>
      </c>
      <c r="G34" s="1" t="s">
        <v>477</v>
      </c>
      <c r="H34" s="1" t="s">
        <v>478</v>
      </c>
      <c r="I34" s="1" t="s">
        <v>329</v>
      </c>
      <c r="J34" s="4">
        <v>0.33680555555555558</v>
      </c>
      <c r="K34" s="1" t="s">
        <v>375</v>
      </c>
      <c r="L34" s="1" t="s">
        <v>441</v>
      </c>
      <c r="M34" s="5"/>
      <c r="N34" s="1" t="s">
        <v>479</v>
      </c>
      <c r="O34" s="2"/>
      <c r="P34" s="2"/>
      <c r="Q34" s="2"/>
      <c r="R34" s="2"/>
      <c r="S34" s="2"/>
      <c r="T34" s="2"/>
      <c r="U34" s="2"/>
      <c r="V34" s="2"/>
      <c r="W34" s="2"/>
      <c r="X34" s="2"/>
      <c r="Y34" s="2"/>
      <c r="Z34" s="2"/>
      <c r="AA34" s="2"/>
      <c r="AB34" s="2"/>
      <c r="AC34" s="2"/>
      <c r="AD34" s="2">
        <v>4</v>
      </c>
      <c r="AE34" s="2">
        <v>28</v>
      </c>
      <c r="AF34" s="2">
        <v>7</v>
      </c>
      <c r="AG34" s="2"/>
      <c r="AH34" s="2"/>
      <c r="AI34" s="2"/>
      <c r="AJ34" s="2"/>
      <c r="AK34" s="2"/>
      <c r="AL34" s="2"/>
      <c r="AM34" s="2"/>
      <c r="AN34" s="2"/>
      <c r="AO34" s="2"/>
      <c r="AP34" s="2"/>
      <c r="AQ34" s="2"/>
      <c r="AR34" s="2"/>
      <c r="AS34" s="2"/>
      <c r="AT34" s="2"/>
      <c r="AU34" s="2"/>
      <c r="AV34" s="2"/>
      <c r="AW34" s="2"/>
      <c r="AX34" s="2"/>
      <c r="AY34" s="2"/>
      <c r="AZ34" s="2"/>
      <c r="BA34" s="2"/>
      <c r="BB34" s="2"/>
      <c r="BC34" s="2"/>
      <c r="BD34" s="2">
        <v>5</v>
      </c>
      <c r="BE34" s="2"/>
      <c r="BF34" s="2"/>
      <c r="BG34" s="2"/>
      <c r="BH34" s="2"/>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row>
    <row r="35" spans="1:336" ht="15" x14ac:dyDescent="0.25">
      <c r="A35" s="1" t="s">
        <v>480</v>
      </c>
      <c r="B35" s="2">
        <v>26.789619999999999</v>
      </c>
      <c r="C35" s="2">
        <v>-82.246600000000001</v>
      </c>
      <c r="D35" s="2">
        <v>26.789619999999999</v>
      </c>
      <c r="E35" s="2">
        <v>-82.246600000000001</v>
      </c>
      <c r="F35" s="3">
        <v>43137</v>
      </c>
      <c r="G35" s="1" t="s">
        <v>481</v>
      </c>
      <c r="H35" s="1" t="s">
        <v>482</v>
      </c>
      <c r="I35" s="1" t="s">
        <v>329</v>
      </c>
      <c r="J35" s="4">
        <v>0.60069444444444442</v>
      </c>
      <c r="K35" s="5"/>
      <c r="L35" s="1" t="s">
        <v>369</v>
      </c>
      <c r="M35" s="1" t="s">
        <v>483</v>
      </c>
      <c r="N35" s="1" t="s">
        <v>333</v>
      </c>
      <c r="O35" s="2"/>
      <c r="P35" s="2"/>
      <c r="Q35" s="2"/>
      <c r="R35" s="2"/>
      <c r="S35" s="2"/>
      <c r="T35" s="2"/>
      <c r="U35" s="2"/>
      <c r="V35" s="2"/>
      <c r="W35" s="2"/>
      <c r="X35" s="2"/>
      <c r="Y35" s="2"/>
      <c r="Z35" s="2"/>
      <c r="AA35" s="2"/>
      <c r="AB35" s="2"/>
      <c r="AC35" s="2"/>
      <c r="AD35" s="2">
        <v>2</v>
      </c>
      <c r="AE35" s="2">
        <v>5</v>
      </c>
      <c r="AF35" s="2"/>
      <c r="AG35" s="2"/>
      <c r="AH35" s="2"/>
      <c r="AI35" s="2"/>
      <c r="AJ35" s="2"/>
      <c r="AK35" s="2"/>
      <c r="AL35" s="2"/>
      <c r="AM35" s="2"/>
      <c r="AN35" s="2"/>
      <c r="AO35" s="2"/>
      <c r="AP35" s="2"/>
      <c r="AQ35" s="2"/>
      <c r="AR35" s="2"/>
      <c r="AS35" s="2"/>
      <c r="AT35" s="2">
        <v>5</v>
      </c>
      <c r="AU35" s="2"/>
      <c r="AV35" s="2"/>
      <c r="AW35" s="2">
        <v>161</v>
      </c>
      <c r="AX35" s="2"/>
      <c r="AY35" s="2"/>
      <c r="AZ35" s="2"/>
      <c r="BA35" s="2"/>
      <c r="BB35" s="2">
        <v>4</v>
      </c>
      <c r="BC35" s="2"/>
      <c r="BD35" s="2"/>
      <c r="BE35" s="2">
        <v>1</v>
      </c>
      <c r="BF35" s="2"/>
      <c r="BG35" s="2"/>
      <c r="BH35" s="2">
        <v>330</v>
      </c>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row>
    <row r="36" spans="1:336" ht="15" x14ac:dyDescent="0.25">
      <c r="A36" s="1" t="s">
        <v>480</v>
      </c>
      <c r="B36" s="2">
        <v>29.71125</v>
      </c>
      <c r="C36" s="2">
        <v>-84.974800000000002</v>
      </c>
      <c r="D36" s="2">
        <v>29.725000000000001</v>
      </c>
      <c r="E36" s="2">
        <v>-84.9739</v>
      </c>
      <c r="F36" s="3">
        <v>43138</v>
      </c>
      <c r="G36" s="1" t="s">
        <v>484</v>
      </c>
      <c r="H36" s="1" t="s">
        <v>485</v>
      </c>
      <c r="I36" s="1" t="s">
        <v>329</v>
      </c>
      <c r="J36" s="4">
        <v>0.47222222222222221</v>
      </c>
      <c r="K36" s="1" t="s">
        <v>375</v>
      </c>
      <c r="L36" s="1" t="s">
        <v>369</v>
      </c>
      <c r="M36" s="1" t="s">
        <v>486</v>
      </c>
      <c r="N36" s="1" t="s">
        <v>333</v>
      </c>
      <c r="O36" s="2">
        <v>2</v>
      </c>
      <c r="P36" s="2"/>
      <c r="Q36" s="2">
        <v>32</v>
      </c>
      <c r="R36" s="2">
        <v>249</v>
      </c>
      <c r="S36" s="2">
        <v>1</v>
      </c>
      <c r="T36" s="2">
        <v>2</v>
      </c>
      <c r="U36" s="2">
        <v>55</v>
      </c>
      <c r="V36" s="2"/>
      <c r="W36" s="2"/>
      <c r="X36" s="2"/>
      <c r="Y36" s="2"/>
      <c r="Z36" s="2"/>
      <c r="AA36" s="2"/>
      <c r="AB36" s="2"/>
      <c r="AC36" s="2">
        <v>5</v>
      </c>
      <c r="AD36" s="2">
        <v>2</v>
      </c>
      <c r="AE36" s="2">
        <v>37</v>
      </c>
      <c r="AF36" s="2">
        <v>24</v>
      </c>
      <c r="AG36" s="2"/>
      <c r="AH36" s="2"/>
      <c r="AI36" s="2"/>
      <c r="AJ36" s="2">
        <v>13</v>
      </c>
      <c r="AK36" s="2"/>
      <c r="AL36" s="2">
        <v>11</v>
      </c>
      <c r="AM36" s="2"/>
      <c r="AN36" s="2"/>
      <c r="AO36" s="2"/>
      <c r="AP36" s="2"/>
      <c r="AQ36" s="2">
        <v>35</v>
      </c>
      <c r="AR36" s="2">
        <v>6</v>
      </c>
      <c r="AS36" s="2"/>
      <c r="AT36" s="2">
        <v>5</v>
      </c>
      <c r="AU36" s="2">
        <v>12</v>
      </c>
      <c r="AV36" s="2"/>
      <c r="AW36" s="2">
        <v>2</v>
      </c>
      <c r="AX36" s="2">
        <v>27</v>
      </c>
      <c r="AY36" s="2"/>
      <c r="AZ36" s="2"/>
      <c r="BA36" s="2">
        <v>16</v>
      </c>
      <c r="BB36" s="2">
        <v>21</v>
      </c>
      <c r="BC36" s="2"/>
      <c r="BD36" s="2">
        <v>21</v>
      </c>
      <c r="BE36" s="2">
        <v>62</v>
      </c>
      <c r="BF36" s="2"/>
      <c r="BG36" s="2"/>
      <c r="BH36" s="2">
        <v>2</v>
      </c>
      <c r="BI36" s="1">
        <v>2</v>
      </c>
      <c r="BJ36" s="1" t="s">
        <v>487</v>
      </c>
      <c r="BK36" s="1">
        <v>35</v>
      </c>
      <c r="BL36" s="1" t="s">
        <v>487</v>
      </c>
      <c r="BM36" s="1">
        <v>29.717680000000001</v>
      </c>
      <c r="BN36" s="1">
        <v>-84.976699999999994</v>
      </c>
      <c r="BO36" s="1">
        <v>0</v>
      </c>
      <c r="BP36" s="1" t="s">
        <v>487</v>
      </c>
      <c r="BQ36" s="1">
        <v>0</v>
      </c>
      <c r="BR36" s="1" t="s">
        <v>487</v>
      </c>
      <c r="BS36" s="1">
        <v>0</v>
      </c>
      <c r="BT36" s="1" t="s">
        <v>487</v>
      </c>
      <c r="BU36" s="1">
        <v>0</v>
      </c>
      <c r="BV36" s="1" t="s">
        <v>487</v>
      </c>
      <c r="BW36" s="1">
        <v>0</v>
      </c>
      <c r="BX36" s="1" t="s">
        <v>487</v>
      </c>
      <c r="BY36" s="1">
        <v>0</v>
      </c>
      <c r="BZ36" s="1" t="s">
        <v>487</v>
      </c>
      <c r="CA36" s="1">
        <v>29.711449999999999</v>
      </c>
      <c r="CB36" s="1">
        <v>-84.974999999999994</v>
      </c>
      <c r="CC36" s="1" t="s">
        <v>488</v>
      </c>
      <c r="CD36" s="1">
        <v>0</v>
      </c>
      <c r="CE36" s="1" t="s">
        <v>487</v>
      </c>
      <c r="CF36" s="1">
        <v>5</v>
      </c>
      <c r="CG36" s="1" t="s">
        <v>487</v>
      </c>
      <c r="CH36" s="1">
        <v>0</v>
      </c>
      <c r="CI36" s="1" t="s">
        <v>487</v>
      </c>
      <c r="CJ36" s="1">
        <v>0</v>
      </c>
      <c r="CK36" s="1" t="s">
        <v>487</v>
      </c>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1" t="s">
        <v>488</v>
      </c>
    </row>
    <row r="37" spans="1:336" ht="15" x14ac:dyDescent="0.25">
      <c r="A37" s="1" t="s">
        <v>489</v>
      </c>
      <c r="B37" s="2">
        <v>26.99052</v>
      </c>
      <c r="C37" s="2">
        <v>-80.086799999999997</v>
      </c>
      <c r="D37" s="2">
        <v>26.97353</v>
      </c>
      <c r="E37" s="2">
        <v>-80.081100000000006</v>
      </c>
      <c r="F37" s="3">
        <v>43133</v>
      </c>
      <c r="G37" s="1" t="s">
        <v>490</v>
      </c>
      <c r="H37" s="1" t="s">
        <v>491</v>
      </c>
      <c r="I37" s="1" t="s">
        <v>329</v>
      </c>
      <c r="J37" s="4">
        <v>0.3125</v>
      </c>
      <c r="K37" s="1" t="s">
        <v>330</v>
      </c>
      <c r="L37" s="1" t="s">
        <v>369</v>
      </c>
      <c r="M37" s="1" t="s">
        <v>489</v>
      </c>
      <c r="N37" s="1" t="s">
        <v>333</v>
      </c>
      <c r="O37" s="2"/>
      <c r="P37" s="2"/>
      <c r="Q37" s="2">
        <v>15</v>
      </c>
      <c r="R37" s="2"/>
      <c r="S37" s="2"/>
      <c r="T37" s="2">
        <v>9</v>
      </c>
      <c r="U37" s="2"/>
      <c r="V37" s="2"/>
      <c r="W37" s="2"/>
      <c r="X37" s="2"/>
      <c r="Y37" s="2"/>
      <c r="Z37" s="2"/>
      <c r="AA37" s="2"/>
      <c r="AB37" s="2"/>
      <c r="AC37" s="2"/>
      <c r="AD37" s="2">
        <v>7</v>
      </c>
      <c r="AE37" s="2">
        <v>20</v>
      </c>
      <c r="AF37" s="2"/>
      <c r="AG37" s="2"/>
      <c r="AH37" s="2"/>
      <c r="AI37" s="2"/>
      <c r="AJ37" s="2"/>
      <c r="AK37" s="2"/>
      <c r="AL37" s="2"/>
      <c r="AM37" s="2"/>
      <c r="AN37" s="2"/>
      <c r="AO37" s="2">
        <v>1</v>
      </c>
      <c r="AP37" s="2"/>
      <c r="AQ37" s="2"/>
      <c r="AR37" s="2"/>
      <c r="AS37" s="2"/>
      <c r="AT37" s="2"/>
      <c r="AU37" s="2"/>
      <c r="AV37" s="2"/>
      <c r="AW37" s="2"/>
      <c r="AX37" s="2"/>
      <c r="AY37" s="2"/>
      <c r="AZ37" s="2">
        <v>1</v>
      </c>
      <c r="BA37" s="2">
        <v>1</v>
      </c>
      <c r="BB37" s="2"/>
      <c r="BC37" s="2"/>
      <c r="BD37" s="2">
        <v>5</v>
      </c>
      <c r="BE37" s="2"/>
      <c r="BF37" s="2"/>
      <c r="BG37" s="2"/>
      <c r="BH37" s="2"/>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row>
    <row r="38" spans="1:336" ht="15" x14ac:dyDescent="0.25">
      <c r="A38" s="1" t="s">
        <v>489</v>
      </c>
      <c r="B38" s="2">
        <v>26.99052</v>
      </c>
      <c r="C38" s="2">
        <v>-80.086799999999997</v>
      </c>
      <c r="D38" s="2">
        <v>26.97353</v>
      </c>
      <c r="E38" s="2">
        <v>-80.081100000000006</v>
      </c>
      <c r="F38" s="3">
        <v>43134</v>
      </c>
      <c r="G38" s="1" t="s">
        <v>492</v>
      </c>
      <c r="H38" s="1" t="s">
        <v>491</v>
      </c>
      <c r="I38" s="1" t="s">
        <v>329</v>
      </c>
      <c r="J38" s="4">
        <v>0.3125</v>
      </c>
      <c r="K38" s="1" t="s">
        <v>375</v>
      </c>
      <c r="L38" s="1" t="s">
        <v>441</v>
      </c>
      <c r="M38" s="1" t="s">
        <v>489</v>
      </c>
      <c r="N38" s="1" t="s">
        <v>479</v>
      </c>
      <c r="O38" s="2"/>
      <c r="P38" s="2"/>
      <c r="Q38" s="2">
        <v>32</v>
      </c>
      <c r="R38" s="2"/>
      <c r="S38" s="2"/>
      <c r="T38" s="2">
        <v>11</v>
      </c>
      <c r="U38" s="2"/>
      <c r="V38" s="2"/>
      <c r="W38" s="2"/>
      <c r="X38" s="2"/>
      <c r="Y38" s="2"/>
      <c r="Z38" s="2"/>
      <c r="AA38" s="2"/>
      <c r="AB38" s="2"/>
      <c r="AC38" s="2"/>
      <c r="AD38" s="2">
        <v>37</v>
      </c>
      <c r="AE38" s="2">
        <v>70</v>
      </c>
      <c r="AF38" s="2"/>
      <c r="AG38" s="2"/>
      <c r="AH38" s="2"/>
      <c r="AI38" s="2"/>
      <c r="AJ38" s="2"/>
      <c r="AK38" s="2"/>
      <c r="AL38" s="2">
        <v>10</v>
      </c>
      <c r="AM38" s="2"/>
      <c r="AN38" s="2"/>
      <c r="AO38" s="2"/>
      <c r="AP38" s="2"/>
      <c r="AQ38" s="2"/>
      <c r="AR38" s="2"/>
      <c r="AS38" s="2"/>
      <c r="AT38" s="2">
        <v>4</v>
      </c>
      <c r="AU38" s="2"/>
      <c r="AV38" s="2"/>
      <c r="AW38" s="2">
        <v>1</v>
      </c>
      <c r="AX38" s="2"/>
      <c r="AY38" s="2"/>
      <c r="AZ38" s="2"/>
      <c r="BA38" s="2">
        <v>5</v>
      </c>
      <c r="BB38" s="2"/>
      <c r="BC38" s="2"/>
      <c r="BD38" s="2">
        <v>10</v>
      </c>
      <c r="BE38" s="2">
        <v>1</v>
      </c>
      <c r="BF38" s="2">
        <v>1</v>
      </c>
      <c r="BG38" s="2"/>
      <c r="BH38" s="2"/>
      <c r="BI38" s="5"/>
      <c r="BJ38" s="5"/>
      <c r="BK38" s="5"/>
      <c r="BL38" s="5"/>
      <c r="BM38" s="1">
        <v>26.985199999999999</v>
      </c>
      <c r="BN38" s="1">
        <v>-80.084900000000005</v>
      </c>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1" t="s">
        <v>493</v>
      </c>
    </row>
    <row r="39" spans="1:336" ht="15" x14ac:dyDescent="0.25">
      <c r="A39" s="1" t="s">
        <v>489</v>
      </c>
      <c r="B39" s="2">
        <v>26.99052</v>
      </c>
      <c r="C39" s="2">
        <v>-80.086799999999997</v>
      </c>
      <c r="D39" s="2">
        <v>26.97353</v>
      </c>
      <c r="E39" s="2">
        <v>-80.081100000000006</v>
      </c>
      <c r="F39" s="3">
        <v>43135</v>
      </c>
      <c r="G39" s="1" t="s">
        <v>492</v>
      </c>
      <c r="H39" s="1" t="s">
        <v>491</v>
      </c>
      <c r="I39" s="1" t="s">
        <v>329</v>
      </c>
      <c r="J39" s="4">
        <v>0.3125</v>
      </c>
      <c r="K39" s="1" t="s">
        <v>330</v>
      </c>
      <c r="L39" s="1" t="s">
        <v>441</v>
      </c>
      <c r="M39" s="1" t="s">
        <v>489</v>
      </c>
      <c r="N39" s="1" t="s">
        <v>333</v>
      </c>
      <c r="O39" s="2"/>
      <c r="P39" s="2"/>
      <c r="Q39" s="2">
        <v>16</v>
      </c>
      <c r="R39" s="2"/>
      <c r="S39" s="2"/>
      <c r="T39" s="2">
        <v>23</v>
      </c>
      <c r="U39" s="2"/>
      <c r="V39" s="2"/>
      <c r="W39" s="2"/>
      <c r="X39" s="2"/>
      <c r="Y39" s="2"/>
      <c r="Z39" s="2"/>
      <c r="AA39" s="2"/>
      <c r="AB39" s="2"/>
      <c r="AC39" s="2"/>
      <c r="AD39" s="2">
        <v>18</v>
      </c>
      <c r="AE39" s="2">
        <v>75</v>
      </c>
      <c r="AF39" s="2"/>
      <c r="AG39" s="2"/>
      <c r="AH39" s="2"/>
      <c r="AI39" s="2"/>
      <c r="AJ39" s="2"/>
      <c r="AK39" s="2"/>
      <c r="AL39" s="2"/>
      <c r="AM39" s="2"/>
      <c r="AN39" s="2"/>
      <c r="AO39" s="2"/>
      <c r="AP39" s="2"/>
      <c r="AQ39" s="2"/>
      <c r="AR39" s="2"/>
      <c r="AS39" s="2"/>
      <c r="AT39" s="2"/>
      <c r="AU39" s="2"/>
      <c r="AV39" s="2"/>
      <c r="AW39" s="2"/>
      <c r="AX39" s="2"/>
      <c r="AY39" s="2"/>
      <c r="AZ39" s="2"/>
      <c r="BA39" s="2">
        <v>3</v>
      </c>
      <c r="BB39" s="2"/>
      <c r="BC39" s="2"/>
      <c r="BD39" s="2">
        <v>2</v>
      </c>
      <c r="BE39" s="2"/>
      <c r="BF39" s="2"/>
      <c r="BG39" s="2"/>
      <c r="BH39" s="2"/>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row>
    <row r="40" spans="1:336" ht="15" x14ac:dyDescent="0.25">
      <c r="A40" s="1" t="s">
        <v>489</v>
      </c>
      <c r="B40" s="2">
        <v>26.99052</v>
      </c>
      <c r="C40" s="2">
        <v>-80.086799999999997</v>
      </c>
      <c r="D40" s="2">
        <v>26.97353</v>
      </c>
      <c r="E40" s="2">
        <v>-80.081100000000006</v>
      </c>
      <c r="F40" s="3">
        <v>43136</v>
      </c>
      <c r="G40" s="1" t="s">
        <v>494</v>
      </c>
      <c r="H40" s="1" t="s">
        <v>495</v>
      </c>
      <c r="I40" s="1" t="s">
        <v>329</v>
      </c>
      <c r="J40" s="4">
        <v>0.3125</v>
      </c>
      <c r="K40" s="1" t="s">
        <v>375</v>
      </c>
      <c r="L40" s="1" t="s">
        <v>369</v>
      </c>
      <c r="M40" s="1" t="s">
        <v>489</v>
      </c>
      <c r="N40" s="1" t="s">
        <v>333</v>
      </c>
      <c r="O40" s="2"/>
      <c r="P40" s="2"/>
      <c r="Q40" s="2">
        <v>11</v>
      </c>
      <c r="R40" s="2"/>
      <c r="S40" s="2"/>
      <c r="T40" s="2">
        <v>4</v>
      </c>
      <c r="U40" s="2"/>
      <c r="V40" s="2"/>
      <c r="W40" s="2"/>
      <c r="X40" s="2"/>
      <c r="Y40" s="2"/>
      <c r="Z40" s="2"/>
      <c r="AA40" s="2"/>
      <c r="AB40" s="2"/>
      <c r="AC40" s="2"/>
      <c r="AD40" s="2">
        <v>14</v>
      </c>
      <c r="AE40" s="2">
        <v>16</v>
      </c>
      <c r="AF40" s="2"/>
      <c r="AG40" s="2"/>
      <c r="AH40" s="2"/>
      <c r="AI40" s="2">
        <v>1</v>
      </c>
      <c r="AJ40" s="2"/>
      <c r="AK40" s="2"/>
      <c r="AL40" s="2"/>
      <c r="AM40" s="2"/>
      <c r="AN40" s="2"/>
      <c r="AO40" s="2"/>
      <c r="AP40" s="2"/>
      <c r="AQ40" s="2"/>
      <c r="AR40" s="2"/>
      <c r="AS40" s="2"/>
      <c r="AT40" s="2"/>
      <c r="AU40" s="2"/>
      <c r="AV40" s="2"/>
      <c r="AW40" s="2"/>
      <c r="AX40" s="2"/>
      <c r="AY40" s="2"/>
      <c r="AZ40" s="2"/>
      <c r="BA40" s="2"/>
      <c r="BB40" s="2"/>
      <c r="BC40" s="2"/>
      <c r="BD40" s="2">
        <v>1</v>
      </c>
      <c r="BE40" s="2"/>
      <c r="BF40" s="2">
        <v>2</v>
      </c>
      <c r="BG40" s="2"/>
      <c r="BH40" s="2"/>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row>
    <row r="41" spans="1:336" ht="15" x14ac:dyDescent="0.25">
      <c r="A41" s="1" t="s">
        <v>489</v>
      </c>
      <c r="B41" s="2">
        <v>26.99052</v>
      </c>
      <c r="C41" s="2">
        <v>-80.086799999999997</v>
      </c>
      <c r="D41" s="2">
        <v>26.97353</v>
      </c>
      <c r="E41" s="2">
        <v>-80.081100000000006</v>
      </c>
      <c r="F41" s="3">
        <v>43137</v>
      </c>
      <c r="G41" s="1" t="s">
        <v>496</v>
      </c>
      <c r="H41" s="1" t="s">
        <v>495</v>
      </c>
      <c r="I41" s="1" t="s">
        <v>329</v>
      </c>
      <c r="J41" s="4">
        <v>0.3125</v>
      </c>
      <c r="K41" s="1" t="s">
        <v>375</v>
      </c>
      <c r="L41" s="1" t="s">
        <v>369</v>
      </c>
      <c r="M41" s="1" t="s">
        <v>489</v>
      </c>
      <c r="N41" s="1" t="s">
        <v>333</v>
      </c>
      <c r="O41" s="2"/>
      <c r="P41" s="2"/>
      <c r="Q41" s="2">
        <v>18</v>
      </c>
      <c r="R41" s="2"/>
      <c r="S41" s="2"/>
      <c r="T41" s="2">
        <v>13</v>
      </c>
      <c r="U41" s="2"/>
      <c r="V41" s="2"/>
      <c r="W41" s="2"/>
      <c r="X41" s="2"/>
      <c r="Y41" s="2"/>
      <c r="Z41" s="2"/>
      <c r="AA41" s="2"/>
      <c r="AB41" s="2"/>
      <c r="AC41" s="2"/>
      <c r="AD41" s="2">
        <v>11</v>
      </c>
      <c r="AE41" s="2">
        <v>18</v>
      </c>
      <c r="AF41" s="2"/>
      <c r="AG41" s="2"/>
      <c r="AH41" s="2"/>
      <c r="AI41" s="2">
        <v>2</v>
      </c>
      <c r="AJ41" s="2"/>
      <c r="AK41" s="2"/>
      <c r="AL41" s="2">
        <v>1</v>
      </c>
      <c r="AM41" s="2"/>
      <c r="AN41" s="2"/>
      <c r="AO41" s="2"/>
      <c r="AP41" s="2"/>
      <c r="AQ41" s="2"/>
      <c r="AR41" s="2"/>
      <c r="AS41" s="2"/>
      <c r="AT41" s="2"/>
      <c r="AU41" s="2"/>
      <c r="AV41" s="2"/>
      <c r="AW41" s="2"/>
      <c r="AX41" s="2"/>
      <c r="AY41" s="2"/>
      <c r="AZ41" s="2"/>
      <c r="BA41" s="2"/>
      <c r="BB41" s="2"/>
      <c r="BC41" s="2"/>
      <c r="BD41" s="2"/>
      <c r="BE41" s="2"/>
      <c r="BF41" s="2"/>
      <c r="BG41" s="2"/>
      <c r="BH41" s="2"/>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row>
    <row r="42" spans="1:336" ht="15" x14ac:dyDescent="0.25">
      <c r="A42" s="1" t="s">
        <v>489</v>
      </c>
      <c r="B42" s="2">
        <v>26.99052</v>
      </c>
      <c r="C42" s="2">
        <v>-80.086799999999997</v>
      </c>
      <c r="D42" s="2">
        <v>26.97353</v>
      </c>
      <c r="E42" s="2">
        <v>-80.081100000000006</v>
      </c>
      <c r="F42" s="3">
        <v>43138</v>
      </c>
      <c r="G42" s="1" t="s">
        <v>494</v>
      </c>
      <c r="H42" s="1" t="s">
        <v>495</v>
      </c>
      <c r="I42" s="1" t="s">
        <v>329</v>
      </c>
      <c r="J42" s="4">
        <v>0.3125</v>
      </c>
      <c r="K42" s="1" t="s">
        <v>375</v>
      </c>
      <c r="L42" s="1" t="s">
        <v>369</v>
      </c>
      <c r="M42" s="1" t="s">
        <v>489</v>
      </c>
      <c r="N42" s="1" t="s">
        <v>333</v>
      </c>
      <c r="O42" s="2"/>
      <c r="P42" s="2"/>
      <c r="Q42" s="2">
        <v>4</v>
      </c>
      <c r="R42" s="2"/>
      <c r="S42" s="2"/>
      <c r="T42" s="2">
        <v>4</v>
      </c>
      <c r="U42" s="2"/>
      <c r="V42" s="2"/>
      <c r="W42" s="2"/>
      <c r="X42" s="2"/>
      <c r="Y42" s="2"/>
      <c r="Z42" s="2"/>
      <c r="AA42" s="2"/>
      <c r="AB42" s="2"/>
      <c r="AC42" s="2"/>
      <c r="AD42" s="2">
        <v>3</v>
      </c>
      <c r="AE42" s="2">
        <v>16</v>
      </c>
      <c r="AF42" s="2"/>
      <c r="AG42" s="2"/>
      <c r="AH42" s="2"/>
      <c r="AI42" s="2"/>
      <c r="AJ42" s="2"/>
      <c r="AK42" s="2"/>
      <c r="AL42" s="2"/>
      <c r="AM42" s="2"/>
      <c r="AN42" s="2"/>
      <c r="AO42" s="2"/>
      <c r="AP42" s="2"/>
      <c r="AQ42" s="2"/>
      <c r="AR42" s="2"/>
      <c r="AS42" s="2"/>
      <c r="AT42" s="2"/>
      <c r="AU42" s="2"/>
      <c r="AV42" s="2"/>
      <c r="AW42" s="2"/>
      <c r="AX42" s="2"/>
      <c r="AY42" s="2"/>
      <c r="AZ42" s="2"/>
      <c r="BA42" s="2"/>
      <c r="BB42" s="2">
        <v>4</v>
      </c>
      <c r="BC42" s="2"/>
      <c r="BD42" s="2">
        <v>1</v>
      </c>
      <c r="BE42" s="2"/>
      <c r="BF42" s="2"/>
      <c r="BG42" s="2"/>
      <c r="BH42" s="2"/>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row>
    <row r="43" spans="1:336" ht="15" x14ac:dyDescent="0.25">
      <c r="A43" s="1" t="s">
        <v>489</v>
      </c>
      <c r="B43" s="2">
        <v>26.99052</v>
      </c>
      <c r="C43" s="2">
        <v>-80.086799999999997</v>
      </c>
      <c r="D43" s="2">
        <v>26.97353</v>
      </c>
      <c r="E43" s="2">
        <v>-80.081100000000006</v>
      </c>
      <c r="F43" s="3">
        <v>43139</v>
      </c>
      <c r="G43" s="1" t="s">
        <v>497</v>
      </c>
      <c r="H43" s="1" t="s">
        <v>491</v>
      </c>
      <c r="I43" s="1" t="s">
        <v>329</v>
      </c>
      <c r="J43" s="4">
        <v>0.3125</v>
      </c>
      <c r="K43" s="1" t="s">
        <v>375</v>
      </c>
      <c r="L43" s="1" t="s">
        <v>369</v>
      </c>
      <c r="M43" s="1" t="s">
        <v>489</v>
      </c>
      <c r="N43" s="1" t="s">
        <v>333</v>
      </c>
      <c r="O43" s="2"/>
      <c r="P43" s="2"/>
      <c r="Q43" s="2">
        <v>2</v>
      </c>
      <c r="R43" s="2"/>
      <c r="S43" s="2"/>
      <c r="T43" s="2">
        <v>6</v>
      </c>
      <c r="U43" s="2"/>
      <c r="V43" s="2"/>
      <c r="W43" s="2"/>
      <c r="X43" s="2"/>
      <c r="Y43" s="2"/>
      <c r="Z43" s="2"/>
      <c r="AA43" s="2"/>
      <c r="AB43" s="2"/>
      <c r="AC43" s="2"/>
      <c r="AD43" s="2"/>
      <c r="AE43" s="2">
        <v>15</v>
      </c>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row>
    <row r="44" spans="1:336" ht="15" x14ac:dyDescent="0.25">
      <c r="A44" s="1" t="s">
        <v>498</v>
      </c>
      <c r="B44" s="2">
        <v>26.390889999999999</v>
      </c>
      <c r="C44" s="2">
        <v>-80.066199999999995</v>
      </c>
      <c r="D44" s="2">
        <v>26.33616</v>
      </c>
      <c r="E44" s="2">
        <v>-80.070499999999996</v>
      </c>
      <c r="F44" s="3">
        <v>43138</v>
      </c>
      <c r="G44" s="1" t="s">
        <v>499</v>
      </c>
      <c r="H44" s="1" t="s">
        <v>500</v>
      </c>
      <c r="I44" s="1" t="s">
        <v>329</v>
      </c>
      <c r="J44" s="4">
        <v>0.375</v>
      </c>
      <c r="K44" s="1" t="s">
        <v>330</v>
      </c>
      <c r="L44" s="1" t="s">
        <v>441</v>
      </c>
      <c r="M44" s="5"/>
      <c r="N44" s="1" t="s">
        <v>333</v>
      </c>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v>3</v>
      </c>
      <c r="BB44" s="2">
        <v>7</v>
      </c>
      <c r="BC44" s="2">
        <v>4</v>
      </c>
      <c r="BD44" s="2">
        <v>67</v>
      </c>
      <c r="BE44" s="2">
        <v>19</v>
      </c>
      <c r="BF44" s="2"/>
      <c r="BG44" s="2"/>
      <c r="BH44" s="2"/>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row>
    <row r="45" spans="1:336" ht="15" x14ac:dyDescent="0.25">
      <c r="A45" s="1" t="s">
        <v>501</v>
      </c>
      <c r="B45" s="2">
        <v>26.335529999999999</v>
      </c>
      <c r="C45" s="2">
        <v>-80.072100000000006</v>
      </c>
      <c r="D45" s="2">
        <v>26.320979999999999</v>
      </c>
      <c r="E45" s="2">
        <v>-80.0745</v>
      </c>
      <c r="F45" s="3">
        <v>43139</v>
      </c>
      <c r="G45" s="1" t="s">
        <v>502</v>
      </c>
      <c r="H45" s="1" t="s">
        <v>500</v>
      </c>
      <c r="I45" s="1" t="s">
        <v>329</v>
      </c>
      <c r="J45" s="4">
        <v>0.31944444444444442</v>
      </c>
      <c r="K45" s="1" t="s">
        <v>330</v>
      </c>
      <c r="L45" s="1" t="s">
        <v>369</v>
      </c>
      <c r="M45" s="1" t="s">
        <v>503</v>
      </c>
      <c r="N45" s="1" t="s">
        <v>333</v>
      </c>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row>
    <row r="46" spans="1:336" ht="15" x14ac:dyDescent="0.25">
      <c r="A46" s="1" t="s">
        <v>504</v>
      </c>
      <c r="B46" s="2">
        <v>29.95</v>
      </c>
      <c r="C46" s="2">
        <v>-85.430800000000005</v>
      </c>
      <c r="D46" s="2">
        <v>29.953700000000001</v>
      </c>
      <c r="E46" s="2">
        <v>-85.449100000000001</v>
      </c>
      <c r="F46" s="3">
        <v>43133</v>
      </c>
      <c r="G46" s="1" t="s">
        <v>505</v>
      </c>
      <c r="H46" s="1" t="s">
        <v>506</v>
      </c>
      <c r="I46" s="1" t="s">
        <v>329</v>
      </c>
      <c r="J46" s="4">
        <v>0.41319444444444442</v>
      </c>
      <c r="K46" s="1" t="s">
        <v>507</v>
      </c>
      <c r="L46" s="1" t="s">
        <v>331</v>
      </c>
      <c r="M46" s="1" t="s">
        <v>508</v>
      </c>
      <c r="N46" s="1" t="s">
        <v>333</v>
      </c>
      <c r="O46" s="2"/>
      <c r="P46" s="2"/>
      <c r="Q46" s="2"/>
      <c r="R46" s="2"/>
      <c r="S46" s="2"/>
      <c r="T46" s="2"/>
      <c r="U46" s="2"/>
      <c r="V46" s="2"/>
      <c r="W46" s="2"/>
      <c r="X46" s="2"/>
      <c r="Y46" s="2"/>
      <c r="Z46" s="2"/>
      <c r="AA46" s="2"/>
      <c r="AB46" s="2"/>
      <c r="AC46" s="2"/>
      <c r="AD46" s="2"/>
      <c r="AE46" s="2">
        <v>11</v>
      </c>
      <c r="AF46" s="2"/>
      <c r="AG46" s="2"/>
      <c r="AH46" s="2">
        <v>7</v>
      </c>
      <c r="AI46" s="2"/>
      <c r="AJ46" s="2"/>
      <c r="AK46" s="2"/>
      <c r="AL46" s="2">
        <v>1</v>
      </c>
      <c r="AM46" s="2"/>
      <c r="AN46" s="2"/>
      <c r="AO46" s="2"/>
      <c r="AP46" s="2"/>
      <c r="AQ46" s="2"/>
      <c r="AR46" s="2"/>
      <c r="AS46" s="2"/>
      <c r="AT46" s="2">
        <v>1</v>
      </c>
      <c r="AU46" s="2"/>
      <c r="AV46" s="2"/>
      <c r="AW46" s="2"/>
      <c r="AX46" s="2">
        <v>2</v>
      </c>
      <c r="AY46" s="2"/>
      <c r="AZ46" s="2"/>
      <c r="BA46" s="2">
        <v>1</v>
      </c>
      <c r="BB46" s="2"/>
      <c r="BC46" s="2"/>
      <c r="BD46" s="2">
        <v>6</v>
      </c>
      <c r="BE46" s="2">
        <v>1</v>
      </c>
      <c r="BF46" s="2"/>
      <c r="BG46" s="2"/>
      <c r="BH46" s="2"/>
      <c r="BI46" s="1">
        <v>0</v>
      </c>
      <c r="BJ46" s="1">
        <v>0</v>
      </c>
      <c r="BK46" s="1">
        <v>0</v>
      </c>
      <c r="BL46" s="1">
        <v>0</v>
      </c>
      <c r="BM46" s="1">
        <v>29.951360000000001</v>
      </c>
      <c r="BN46" s="1">
        <v>-85.438299999999998</v>
      </c>
      <c r="BO46" s="1">
        <v>0</v>
      </c>
      <c r="BP46" s="1">
        <v>0</v>
      </c>
      <c r="BQ46" s="1">
        <v>0</v>
      </c>
      <c r="BR46" s="1">
        <v>0</v>
      </c>
      <c r="BS46" s="1">
        <v>2</v>
      </c>
      <c r="BT46" s="1" t="s">
        <v>509</v>
      </c>
      <c r="BU46" s="1">
        <v>0</v>
      </c>
      <c r="BV46" s="1">
        <v>0</v>
      </c>
      <c r="BW46" s="1">
        <v>0</v>
      </c>
      <c r="BX46" s="1">
        <v>0</v>
      </c>
      <c r="BY46" s="1">
        <v>0</v>
      </c>
      <c r="BZ46" s="1">
        <v>0</v>
      </c>
      <c r="CA46" s="1">
        <v>29.952750000000002</v>
      </c>
      <c r="CB46" s="1">
        <v>-85.443100000000001</v>
      </c>
      <c r="CC46" s="1">
        <v>0</v>
      </c>
      <c r="CD46" s="1">
        <v>0</v>
      </c>
      <c r="CE46" s="1">
        <v>0</v>
      </c>
      <c r="CF46" s="1">
        <v>0</v>
      </c>
      <c r="CG46" s="1">
        <v>0</v>
      </c>
      <c r="CH46" s="1">
        <v>1</v>
      </c>
      <c r="CI46" s="1" t="s">
        <v>510</v>
      </c>
      <c r="CJ46" s="1">
        <v>0</v>
      </c>
      <c r="CK46" s="1">
        <v>0</v>
      </c>
      <c r="CL46" s="1">
        <v>0</v>
      </c>
      <c r="CM46" s="1">
        <v>0</v>
      </c>
      <c r="CN46" s="1">
        <v>0</v>
      </c>
      <c r="CO46" s="1">
        <v>0</v>
      </c>
      <c r="CP46" s="1">
        <v>29.95336</v>
      </c>
      <c r="CQ46" s="1">
        <v>-85.444599999999994</v>
      </c>
      <c r="CR46" s="1">
        <v>0</v>
      </c>
      <c r="CS46" s="1">
        <v>0</v>
      </c>
      <c r="CT46" s="1">
        <v>0</v>
      </c>
      <c r="CU46" s="1">
        <v>0</v>
      </c>
      <c r="CV46" s="1">
        <v>0</v>
      </c>
      <c r="CW46" s="1">
        <v>1</v>
      </c>
      <c r="CX46" s="1" t="s">
        <v>511</v>
      </c>
      <c r="CY46" s="1">
        <v>0</v>
      </c>
      <c r="CZ46" s="1">
        <v>0</v>
      </c>
      <c r="DA46" s="1">
        <v>0</v>
      </c>
      <c r="DB46" s="1">
        <v>0</v>
      </c>
      <c r="DC46" s="1">
        <v>0</v>
      </c>
      <c r="DD46" s="1">
        <v>0</v>
      </c>
      <c r="DE46" s="1">
        <v>29.950299999999999</v>
      </c>
      <c r="DF46" s="1">
        <v>-85.433199999999999</v>
      </c>
      <c r="DG46" s="1">
        <v>0</v>
      </c>
      <c r="DH46" s="1">
        <v>0</v>
      </c>
      <c r="DI46" s="1">
        <v>0</v>
      </c>
      <c r="DJ46" s="1">
        <v>0</v>
      </c>
      <c r="DK46" s="1">
        <v>0</v>
      </c>
      <c r="DL46" s="1">
        <v>2</v>
      </c>
      <c r="DM46" s="1" t="s">
        <v>512</v>
      </c>
      <c r="DN46" s="1">
        <v>0</v>
      </c>
      <c r="DO46" s="1">
        <v>0</v>
      </c>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1">
        <v>0</v>
      </c>
    </row>
    <row r="47" spans="1:336" ht="15" x14ac:dyDescent="0.25">
      <c r="A47" s="1" t="s">
        <v>513</v>
      </c>
      <c r="B47" s="2">
        <v>26.770630000000001</v>
      </c>
      <c r="C47" s="2">
        <v>-80.034999999999997</v>
      </c>
      <c r="D47" s="2">
        <v>26.71321</v>
      </c>
      <c r="E47" s="2">
        <v>-80.033000000000001</v>
      </c>
      <c r="F47" s="3">
        <v>43138</v>
      </c>
      <c r="G47" s="1" t="s">
        <v>514</v>
      </c>
      <c r="H47" s="1" t="s">
        <v>428</v>
      </c>
      <c r="I47" s="1" t="s">
        <v>329</v>
      </c>
      <c r="J47" s="4">
        <v>0.2986111111111111</v>
      </c>
      <c r="K47" s="1" t="s">
        <v>330</v>
      </c>
      <c r="L47" s="1" t="s">
        <v>364</v>
      </c>
      <c r="M47" s="5"/>
      <c r="N47" s="1" t="s">
        <v>333</v>
      </c>
      <c r="O47" s="2"/>
      <c r="P47" s="2"/>
      <c r="Q47" s="2"/>
      <c r="R47" s="2"/>
      <c r="S47" s="2"/>
      <c r="T47" s="2"/>
      <c r="U47" s="2"/>
      <c r="V47" s="2"/>
      <c r="W47" s="2"/>
      <c r="X47" s="2"/>
      <c r="Y47" s="2"/>
      <c r="Z47" s="2"/>
      <c r="AA47" s="2"/>
      <c r="AB47" s="2"/>
      <c r="AC47" s="2"/>
      <c r="AD47" s="2"/>
      <c r="AE47" s="2">
        <v>20</v>
      </c>
      <c r="AF47" s="2"/>
      <c r="AG47" s="2"/>
      <c r="AH47" s="2"/>
      <c r="AI47" s="2"/>
      <c r="AJ47" s="2"/>
      <c r="AK47" s="2"/>
      <c r="AL47" s="2"/>
      <c r="AM47" s="2"/>
      <c r="AN47" s="2"/>
      <c r="AO47" s="2"/>
      <c r="AP47" s="2"/>
      <c r="AQ47" s="2"/>
      <c r="AR47" s="2"/>
      <c r="AS47" s="2"/>
      <c r="AT47" s="2"/>
      <c r="AU47" s="2"/>
      <c r="AV47" s="2"/>
      <c r="AW47" s="2"/>
      <c r="AX47" s="2"/>
      <c r="AY47" s="2"/>
      <c r="AZ47" s="2"/>
      <c r="BA47" s="2"/>
      <c r="BB47" s="2"/>
      <c r="BC47" s="2">
        <v>28</v>
      </c>
      <c r="BD47" s="2">
        <v>27</v>
      </c>
      <c r="BE47" s="2">
        <v>1</v>
      </c>
      <c r="BF47" s="2"/>
      <c r="BG47" s="2"/>
      <c r="BH47" s="2"/>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row>
    <row r="48" spans="1:336" ht="15" x14ac:dyDescent="0.25">
      <c r="A48" s="1" t="s">
        <v>515</v>
      </c>
      <c r="B48" s="2">
        <v>28.551010000000002</v>
      </c>
      <c r="C48" s="2">
        <v>-82.483599999999996</v>
      </c>
      <c r="D48" s="2">
        <v>28.552900000000001</v>
      </c>
      <c r="E48" s="2">
        <v>-82.483699999999999</v>
      </c>
      <c r="F48" s="3">
        <v>43134</v>
      </c>
      <c r="G48" s="1" t="s">
        <v>516</v>
      </c>
      <c r="H48" s="1" t="s">
        <v>456</v>
      </c>
      <c r="I48" s="1" t="s">
        <v>329</v>
      </c>
      <c r="J48" s="4">
        <v>0.40625</v>
      </c>
      <c r="K48" s="5"/>
      <c r="L48" s="1" t="s">
        <v>369</v>
      </c>
      <c r="M48" s="5"/>
      <c r="N48" s="1" t="s">
        <v>333</v>
      </c>
      <c r="O48" s="2"/>
      <c r="P48" s="2"/>
      <c r="Q48" s="2"/>
      <c r="R48" s="2"/>
      <c r="S48" s="2">
        <v>3</v>
      </c>
      <c r="T48" s="2">
        <v>17</v>
      </c>
      <c r="U48" s="2">
        <v>32</v>
      </c>
      <c r="V48" s="2">
        <v>13</v>
      </c>
      <c r="W48" s="2"/>
      <c r="X48" s="2">
        <v>40</v>
      </c>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v>17</v>
      </c>
      <c r="BE48" s="2"/>
      <c r="BF48" s="2"/>
      <c r="BG48" s="2"/>
      <c r="BH48" s="2"/>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row>
    <row r="49" spans="1:336" ht="15" x14ac:dyDescent="0.25">
      <c r="A49" s="1" t="s">
        <v>517</v>
      </c>
      <c r="B49" s="2">
        <v>29.990130000000001</v>
      </c>
      <c r="C49" s="2">
        <v>-85.502099999999999</v>
      </c>
      <c r="D49" s="2">
        <v>30.021509999999999</v>
      </c>
      <c r="E49" s="2">
        <v>-85.540099999999995</v>
      </c>
      <c r="F49" s="3">
        <v>43133</v>
      </c>
      <c r="G49" s="1" t="s">
        <v>518</v>
      </c>
      <c r="H49" s="1" t="s">
        <v>519</v>
      </c>
      <c r="I49" s="1" t="s">
        <v>329</v>
      </c>
      <c r="J49" s="4">
        <v>0.50763888888888886</v>
      </c>
      <c r="K49" s="5"/>
      <c r="L49" s="1" t="s">
        <v>441</v>
      </c>
      <c r="M49" s="5"/>
      <c r="N49" s="1" t="s">
        <v>333</v>
      </c>
      <c r="O49" s="2"/>
      <c r="P49" s="2"/>
      <c r="Q49" s="2">
        <v>23</v>
      </c>
      <c r="R49" s="2">
        <v>132</v>
      </c>
      <c r="S49" s="2">
        <v>4</v>
      </c>
      <c r="T49" s="2">
        <v>10</v>
      </c>
      <c r="U49" s="2">
        <v>3</v>
      </c>
      <c r="V49" s="2">
        <v>2</v>
      </c>
      <c r="W49" s="2"/>
      <c r="X49" s="2"/>
      <c r="Y49" s="2"/>
      <c r="Z49" s="2"/>
      <c r="AA49" s="2"/>
      <c r="AB49" s="2">
        <v>6</v>
      </c>
      <c r="AC49" s="2"/>
      <c r="AD49" s="2">
        <v>3</v>
      </c>
      <c r="AE49" s="2">
        <v>48</v>
      </c>
      <c r="AF49" s="2">
        <v>24</v>
      </c>
      <c r="AG49" s="2"/>
      <c r="AH49" s="2"/>
      <c r="AI49" s="2"/>
      <c r="AJ49" s="2"/>
      <c r="AK49" s="2"/>
      <c r="AL49" s="2">
        <v>11</v>
      </c>
      <c r="AM49" s="2"/>
      <c r="AN49" s="2"/>
      <c r="AO49" s="2"/>
      <c r="AP49" s="2"/>
      <c r="AQ49" s="2"/>
      <c r="AR49" s="2"/>
      <c r="AS49" s="2"/>
      <c r="AT49" s="2"/>
      <c r="AU49" s="2"/>
      <c r="AV49" s="2"/>
      <c r="AW49" s="2"/>
      <c r="AX49" s="2">
        <v>2</v>
      </c>
      <c r="AY49" s="2"/>
      <c r="AZ49" s="2"/>
      <c r="BA49" s="2">
        <v>1</v>
      </c>
      <c r="BB49" s="2">
        <v>2</v>
      </c>
      <c r="BC49" s="2"/>
      <c r="BD49" s="2">
        <v>14</v>
      </c>
      <c r="BE49" s="2">
        <v>15</v>
      </c>
      <c r="BF49" s="2"/>
      <c r="BG49" s="2"/>
      <c r="BH49" s="2"/>
      <c r="BI49" s="1">
        <v>0</v>
      </c>
      <c r="BJ49" s="5"/>
      <c r="BK49" s="1">
        <v>0</v>
      </c>
      <c r="BL49" s="5"/>
      <c r="BM49" s="1">
        <v>29.990919999999999</v>
      </c>
      <c r="BN49" s="1">
        <v>-85.501999999999995</v>
      </c>
      <c r="BO49" s="1">
        <v>6</v>
      </c>
      <c r="BP49" s="1" t="s">
        <v>520</v>
      </c>
      <c r="BQ49" s="1">
        <v>0</v>
      </c>
      <c r="BR49" s="5"/>
      <c r="BS49" s="1">
        <v>0</v>
      </c>
      <c r="BT49" s="5"/>
      <c r="BU49" s="1">
        <v>0</v>
      </c>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row>
    <row r="50" spans="1:336" ht="15" x14ac:dyDescent="0.25">
      <c r="A50" s="1" t="s">
        <v>521</v>
      </c>
      <c r="B50" s="2">
        <v>28.051359999999999</v>
      </c>
      <c r="C50" s="2">
        <v>-82.816299999999998</v>
      </c>
      <c r="D50" s="2">
        <v>28.020240000000001</v>
      </c>
      <c r="E50" s="2">
        <v>-82.826599999999999</v>
      </c>
      <c r="F50" s="3">
        <v>43133</v>
      </c>
      <c r="G50" s="1" t="s">
        <v>522</v>
      </c>
      <c r="H50" s="1" t="s">
        <v>523</v>
      </c>
      <c r="I50" s="1" t="s">
        <v>387</v>
      </c>
      <c r="J50" s="4">
        <v>0.49236111111111114</v>
      </c>
      <c r="K50" s="1" t="s">
        <v>375</v>
      </c>
      <c r="L50" s="1" t="s">
        <v>369</v>
      </c>
      <c r="M50" s="5"/>
      <c r="N50" s="1" t="s">
        <v>333</v>
      </c>
      <c r="O50" s="2">
        <f>BW50+DP50+EE50+ET50</f>
        <v>11</v>
      </c>
      <c r="P50" s="2"/>
      <c r="Q50" s="2"/>
      <c r="R50" s="2"/>
      <c r="S50" s="2"/>
      <c r="T50" s="2"/>
      <c r="U50" s="2"/>
      <c r="V50" s="2"/>
      <c r="W50" s="2"/>
      <c r="X50" s="2"/>
      <c r="Y50" s="2"/>
      <c r="Z50" s="2"/>
      <c r="AA50" s="2"/>
      <c r="AB50" s="2">
        <f>BO50+CD50+CS50+DH50</f>
        <v>28</v>
      </c>
      <c r="AC50" s="2">
        <f>SUM(BQ50+CF50+DJ50+EO50)</f>
        <v>65</v>
      </c>
      <c r="AD50" s="2"/>
      <c r="AE50" s="2"/>
      <c r="AF50" s="2"/>
      <c r="AG50" s="2"/>
      <c r="AH50" s="2">
        <f>SUM(CH50+CW50)</f>
        <v>5</v>
      </c>
      <c r="AI50" s="2"/>
      <c r="AJ50" s="2"/>
      <c r="AK50" s="2"/>
      <c r="AL50" s="2"/>
      <c r="AM50" s="2"/>
      <c r="AN50" s="2"/>
      <c r="AO50" s="2"/>
      <c r="AP50" s="2"/>
      <c r="AQ50" s="2">
        <v>172</v>
      </c>
      <c r="AR50" s="2"/>
      <c r="AS50" s="2"/>
      <c r="AT50" s="2"/>
      <c r="AU50" s="2"/>
      <c r="AV50" s="2"/>
      <c r="AW50" s="2"/>
      <c r="AX50" s="2"/>
      <c r="AY50" s="2"/>
      <c r="AZ50" s="2"/>
      <c r="BA50" s="2"/>
      <c r="BB50" s="2"/>
      <c r="BC50" s="2"/>
      <c r="BD50" s="2"/>
      <c r="BE50" s="2"/>
      <c r="BF50" s="2"/>
      <c r="BG50" s="2"/>
      <c r="BH50" s="2"/>
      <c r="BI50" s="1">
        <v>0</v>
      </c>
      <c r="BJ50" s="5"/>
      <c r="BK50" s="1">
        <v>82</v>
      </c>
      <c r="BL50" s="1" t="s">
        <v>407</v>
      </c>
      <c r="BM50" s="1">
        <v>28.051359999999999</v>
      </c>
      <c r="BN50" s="1">
        <v>-82.816299999999998</v>
      </c>
      <c r="BO50" s="1">
        <v>0</v>
      </c>
      <c r="BP50" s="5"/>
      <c r="BQ50" s="1">
        <v>40</v>
      </c>
      <c r="BR50" s="1" t="s">
        <v>407</v>
      </c>
      <c r="BS50" s="1">
        <v>0</v>
      </c>
      <c r="BT50" s="5"/>
      <c r="BU50" s="1">
        <v>0</v>
      </c>
      <c r="BV50" s="5"/>
      <c r="BW50" s="1">
        <v>2</v>
      </c>
      <c r="BX50" s="1" t="s">
        <v>407</v>
      </c>
      <c r="BY50" s="1">
        <v>90</v>
      </c>
      <c r="BZ50" s="1" t="s">
        <v>407</v>
      </c>
      <c r="CA50" s="1">
        <v>28.050989999999999</v>
      </c>
      <c r="CB50" s="1">
        <v>-82.819699999999997</v>
      </c>
      <c r="CC50" s="5"/>
      <c r="CD50" s="1">
        <v>28</v>
      </c>
      <c r="CE50" s="1" t="s">
        <v>524</v>
      </c>
      <c r="CF50" s="1">
        <v>0</v>
      </c>
      <c r="CG50" s="5"/>
      <c r="CH50" s="1">
        <v>2</v>
      </c>
      <c r="CI50" s="1" t="s">
        <v>525</v>
      </c>
      <c r="CJ50" s="1">
        <v>0</v>
      </c>
      <c r="CK50" s="5"/>
      <c r="CL50" s="1">
        <v>0</v>
      </c>
      <c r="CM50" s="5"/>
      <c r="CN50" s="1">
        <v>0</v>
      </c>
      <c r="CO50" s="5"/>
      <c r="CP50" s="1">
        <v>28.049119999999998</v>
      </c>
      <c r="CQ50" s="1">
        <v>-82.820499999999996</v>
      </c>
      <c r="CR50" s="5"/>
      <c r="CS50" s="1">
        <v>0</v>
      </c>
      <c r="CT50" s="5"/>
      <c r="CU50" s="1">
        <v>0</v>
      </c>
      <c r="CV50" s="5"/>
      <c r="CW50" s="1">
        <v>3</v>
      </c>
      <c r="CX50" s="1" t="s">
        <v>407</v>
      </c>
      <c r="CY50" s="1">
        <v>0</v>
      </c>
      <c r="CZ50" s="5"/>
      <c r="DA50" s="1">
        <v>0</v>
      </c>
      <c r="DB50" s="5"/>
      <c r="DC50" s="1">
        <v>0</v>
      </c>
      <c r="DD50" s="5"/>
      <c r="DE50" s="1">
        <v>28.0489</v>
      </c>
      <c r="DF50" s="1">
        <v>-82.820599999999999</v>
      </c>
      <c r="DG50" s="5"/>
      <c r="DH50" s="1">
        <v>0</v>
      </c>
      <c r="DI50" s="5"/>
      <c r="DJ50" s="1">
        <v>25</v>
      </c>
      <c r="DK50" s="1" t="s">
        <v>407</v>
      </c>
      <c r="DL50" s="1">
        <v>0</v>
      </c>
      <c r="DM50" s="5"/>
      <c r="DN50" s="1">
        <v>0</v>
      </c>
      <c r="DO50" s="5"/>
      <c r="DP50" s="1">
        <v>2</v>
      </c>
      <c r="DQ50" s="1" t="s">
        <v>407</v>
      </c>
      <c r="DR50" s="1">
        <v>0</v>
      </c>
      <c r="DS50" s="5"/>
      <c r="DT50" s="1">
        <v>28.046240000000001</v>
      </c>
      <c r="DU50" s="1">
        <v>-82.820499999999996</v>
      </c>
      <c r="DV50" s="5"/>
      <c r="DW50" s="1">
        <v>0</v>
      </c>
      <c r="DX50" s="5"/>
      <c r="DY50" s="1">
        <v>0</v>
      </c>
      <c r="DZ50" s="5"/>
      <c r="EA50" s="1">
        <v>0</v>
      </c>
      <c r="EB50" s="5"/>
      <c r="EC50" s="1">
        <v>0</v>
      </c>
      <c r="ED50" s="5"/>
      <c r="EE50" s="1">
        <v>2</v>
      </c>
      <c r="EF50" s="1" t="s">
        <v>407</v>
      </c>
      <c r="EG50" s="1">
        <v>0</v>
      </c>
      <c r="EH50" s="5"/>
      <c r="EI50" s="1">
        <v>28.042960000000001</v>
      </c>
      <c r="EJ50" s="1">
        <v>-82.820599999999999</v>
      </c>
      <c r="EK50" s="5"/>
      <c r="EL50" s="1">
        <v>0</v>
      </c>
      <c r="EM50" s="5"/>
      <c r="EN50" s="1">
        <v>0</v>
      </c>
      <c r="EO50" s="5"/>
      <c r="EP50" s="1">
        <v>0</v>
      </c>
      <c r="EQ50" s="5"/>
      <c r="ER50" s="1">
        <v>0</v>
      </c>
      <c r="ES50" s="5"/>
      <c r="ET50" s="1">
        <v>5</v>
      </c>
      <c r="EU50" s="1" t="s">
        <v>407</v>
      </c>
      <c r="EV50" s="1">
        <v>0</v>
      </c>
      <c r="EW50" s="5"/>
      <c r="EX50" s="1">
        <v>28.031330000000001</v>
      </c>
      <c r="EY50" s="1">
        <v>-82.823099999999997</v>
      </c>
      <c r="EZ50" s="5"/>
      <c r="FA50" s="1">
        <v>0</v>
      </c>
      <c r="FB50" s="5"/>
      <c r="FC50" s="1">
        <v>0</v>
      </c>
      <c r="FD50" s="5"/>
      <c r="FE50" s="1">
        <v>0</v>
      </c>
      <c r="FF50" s="5"/>
      <c r="FG50" s="1">
        <v>0</v>
      </c>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row>
    <row r="51" spans="1:336" ht="15" x14ac:dyDescent="0.25">
      <c r="A51" s="1" t="s">
        <v>526</v>
      </c>
      <c r="B51" s="2">
        <v>30.269349999999999</v>
      </c>
      <c r="C51" s="2">
        <v>-85.995900000000006</v>
      </c>
      <c r="D51" s="2">
        <v>30.266310000000001</v>
      </c>
      <c r="E51" s="2">
        <v>-85.9893</v>
      </c>
      <c r="F51" s="3">
        <v>43136</v>
      </c>
      <c r="G51" s="1" t="s">
        <v>373</v>
      </c>
      <c r="H51" s="1" t="s">
        <v>374</v>
      </c>
      <c r="I51" s="1" t="s">
        <v>329</v>
      </c>
      <c r="J51" s="4">
        <v>0.37916666666666665</v>
      </c>
      <c r="K51" s="1" t="s">
        <v>368</v>
      </c>
      <c r="L51" s="1" t="s">
        <v>369</v>
      </c>
      <c r="M51" s="1" t="s">
        <v>527</v>
      </c>
      <c r="N51" s="1" t="s">
        <v>333</v>
      </c>
      <c r="O51" s="2"/>
      <c r="P51" s="2"/>
      <c r="Q51" s="2"/>
      <c r="R51" s="2"/>
      <c r="S51" s="2"/>
      <c r="T51" s="2"/>
      <c r="U51" s="2"/>
      <c r="V51" s="2"/>
      <c r="W51" s="2"/>
      <c r="X51" s="2"/>
      <c r="Y51" s="2"/>
      <c r="Z51" s="2"/>
      <c r="AA51" s="2"/>
      <c r="AB51" s="2"/>
      <c r="AC51" s="2"/>
      <c r="AD51" s="2"/>
      <c r="AE51" s="2"/>
      <c r="AF51" s="2"/>
      <c r="AG51" s="2"/>
      <c r="AH51" s="2">
        <v>5</v>
      </c>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5"/>
      <c r="BJ51" s="5"/>
      <c r="BK51" s="5"/>
      <c r="BL51" s="5"/>
      <c r="BM51" s="1">
        <v>30.266819999999999</v>
      </c>
      <c r="BN51" s="1">
        <v>-85.266800000000003</v>
      </c>
      <c r="BO51" s="5"/>
      <c r="BP51" s="5"/>
      <c r="BQ51" s="5"/>
      <c r="BR51" s="5"/>
      <c r="BS51" s="1">
        <v>5</v>
      </c>
      <c r="BT51" s="1" t="s">
        <v>528</v>
      </c>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row>
    <row r="52" spans="1:336" ht="15" x14ac:dyDescent="0.25">
      <c r="A52" s="1" t="s">
        <v>529</v>
      </c>
      <c r="B52" s="2">
        <v>28.939029999999999</v>
      </c>
      <c r="C52" s="2">
        <v>-80.830500000000001</v>
      </c>
      <c r="D52" s="2">
        <v>28.794129999999999</v>
      </c>
      <c r="E52" s="2">
        <v>-80.735100000000003</v>
      </c>
      <c r="F52" s="3">
        <v>43138</v>
      </c>
      <c r="G52" s="1" t="s">
        <v>530</v>
      </c>
      <c r="H52" s="1" t="s">
        <v>531</v>
      </c>
      <c r="I52" s="1" t="s">
        <v>329</v>
      </c>
      <c r="J52" s="4">
        <v>0.36458333333333331</v>
      </c>
      <c r="K52" s="1" t="s">
        <v>330</v>
      </c>
      <c r="L52" s="1" t="s">
        <v>369</v>
      </c>
      <c r="M52" s="5"/>
      <c r="N52" s="1" t="s">
        <v>333</v>
      </c>
      <c r="O52" s="2"/>
      <c r="P52" s="2"/>
      <c r="Q52" s="2">
        <v>2</v>
      </c>
      <c r="R52" s="2"/>
      <c r="S52" s="2"/>
      <c r="T52" s="2"/>
      <c r="U52" s="2"/>
      <c r="V52" s="2"/>
      <c r="W52" s="2"/>
      <c r="X52" s="2"/>
      <c r="Y52" s="2"/>
      <c r="Z52" s="2"/>
      <c r="AA52" s="2"/>
      <c r="AB52" s="2"/>
      <c r="AC52" s="2"/>
      <c r="AD52" s="2">
        <v>20</v>
      </c>
      <c r="AE52" s="2">
        <v>366</v>
      </c>
      <c r="AF52" s="2"/>
      <c r="AG52" s="2"/>
      <c r="AH52" s="2"/>
      <c r="AI52" s="2"/>
      <c r="AJ52" s="2"/>
      <c r="AK52" s="2"/>
      <c r="AL52" s="2">
        <v>156</v>
      </c>
      <c r="AM52" s="2">
        <v>3</v>
      </c>
      <c r="AN52" s="2"/>
      <c r="AO52" s="2"/>
      <c r="AP52" s="2"/>
      <c r="AQ52" s="2"/>
      <c r="AR52" s="2"/>
      <c r="AS52" s="2"/>
      <c r="AT52" s="2"/>
      <c r="AU52" s="2"/>
      <c r="AV52" s="2"/>
      <c r="AW52" s="2"/>
      <c r="AX52" s="2">
        <v>14</v>
      </c>
      <c r="AY52" s="2"/>
      <c r="AZ52" s="2"/>
      <c r="BA52" s="2">
        <v>5</v>
      </c>
      <c r="BB52" s="2"/>
      <c r="BC52" s="2">
        <v>1</v>
      </c>
      <c r="BD52" s="2">
        <v>31</v>
      </c>
      <c r="BE52" s="2">
        <v>191</v>
      </c>
      <c r="BF52" s="2"/>
      <c r="BG52" s="2"/>
      <c r="BH52" s="2"/>
      <c r="BI52" s="5"/>
      <c r="BJ52" s="5"/>
      <c r="BK52" s="5"/>
      <c r="BL52" s="5"/>
      <c r="BM52" s="1">
        <v>28.905100000000001</v>
      </c>
      <c r="BN52" s="1">
        <v>-80.807400000000001</v>
      </c>
      <c r="BO52" s="5"/>
      <c r="BP52" s="5"/>
      <c r="BQ52" s="5"/>
      <c r="BR52" s="5"/>
      <c r="BS52" s="5"/>
      <c r="BT52" s="5"/>
      <c r="BU52" s="1">
        <v>1</v>
      </c>
      <c r="BV52" s="5"/>
      <c r="BW52" s="5"/>
      <c r="BX52" s="5"/>
      <c r="BY52" s="5"/>
      <c r="BZ52" s="5"/>
      <c r="CA52" s="1">
        <v>28.913080000000001</v>
      </c>
      <c r="CB52" s="1">
        <v>-80.812899999999999</v>
      </c>
      <c r="CC52" s="5"/>
      <c r="CD52" s="5"/>
      <c r="CE52" s="5"/>
      <c r="CF52" s="5"/>
      <c r="CG52" s="5"/>
      <c r="CH52" s="5"/>
      <c r="CI52" s="5"/>
      <c r="CJ52" s="1">
        <v>2</v>
      </c>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row>
    <row r="53" spans="1:336" ht="15" x14ac:dyDescent="0.25">
      <c r="A53" s="1" t="s">
        <v>532</v>
      </c>
      <c r="B53" s="2">
        <v>28.794129999999999</v>
      </c>
      <c r="C53" s="2">
        <v>-80.735100000000003</v>
      </c>
      <c r="D53" s="2">
        <v>28.64359</v>
      </c>
      <c r="E53" s="2">
        <v>-80.623500000000007</v>
      </c>
      <c r="F53" s="3">
        <v>43138</v>
      </c>
      <c r="G53" s="1" t="s">
        <v>533</v>
      </c>
      <c r="H53" s="1" t="s">
        <v>531</v>
      </c>
      <c r="I53" s="1" t="s">
        <v>329</v>
      </c>
      <c r="J53" s="4">
        <v>0.3611111111111111</v>
      </c>
      <c r="K53" s="1" t="s">
        <v>330</v>
      </c>
      <c r="L53" s="1" t="s">
        <v>364</v>
      </c>
      <c r="M53" s="5"/>
      <c r="N53" s="1" t="s">
        <v>333</v>
      </c>
      <c r="O53" s="2"/>
      <c r="P53" s="2"/>
      <c r="Q53" s="2">
        <v>2</v>
      </c>
      <c r="R53" s="2"/>
      <c r="S53" s="2"/>
      <c r="T53" s="2"/>
      <c r="U53" s="2"/>
      <c r="V53" s="2"/>
      <c r="W53" s="2"/>
      <c r="X53" s="2"/>
      <c r="Y53" s="2"/>
      <c r="Z53" s="2"/>
      <c r="AA53" s="2"/>
      <c r="AB53" s="2"/>
      <c r="AC53" s="2"/>
      <c r="AD53" s="2">
        <v>11</v>
      </c>
      <c r="AE53" s="2">
        <v>91</v>
      </c>
      <c r="AF53" s="2"/>
      <c r="AG53" s="2"/>
      <c r="AH53" s="2"/>
      <c r="AI53" s="2"/>
      <c r="AJ53" s="2"/>
      <c r="AK53" s="2"/>
      <c r="AL53" s="2">
        <v>92</v>
      </c>
      <c r="AM53" s="2">
        <v>3</v>
      </c>
      <c r="AN53" s="2"/>
      <c r="AO53" s="2"/>
      <c r="AP53" s="2"/>
      <c r="AQ53" s="2"/>
      <c r="AR53" s="2"/>
      <c r="AS53" s="2"/>
      <c r="AT53" s="2"/>
      <c r="AU53" s="2"/>
      <c r="AV53" s="2">
        <v>15</v>
      </c>
      <c r="AW53" s="2"/>
      <c r="AX53" s="2">
        <v>12</v>
      </c>
      <c r="AY53" s="2"/>
      <c r="AZ53" s="2">
        <v>1</v>
      </c>
      <c r="BA53" s="2">
        <v>11</v>
      </c>
      <c r="BB53" s="2">
        <v>10</v>
      </c>
      <c r="BC53" s="2"/>
      <c r="BD53" s="2">
        <v>54</v>
      </c>
      <c r="BE53" s="2">
        <v>240</v>
      </c>
      <c r="BF53" s="2"/>
      <c r="BG53" s="2"/>
      <c r="BH53" s="2"/>
      <c r="BI53" s="5"/>
      <c r="BJ53" s="5"/>
      <c r="BK53" s="5"/>
      <c r="BL53" s="5"/>
      <c r="BM53" s="1">
        <v>28.728760000000001</v>
      </c>
      <c r="BN53" s="1">
        <v>-80.688400000000001</v>
      </c>
      <c r="BO53" s="5"/>
      <c r="BP53" s="5"/>
      <c r="BQ53" s="5"/>
      <c r="BR53" s="5"/>
      <c r="BS53" s="5"/>
      <c r="BT53" s="5"/>
      <c r="BU53" s="1">
        <v>2</v>
      </c>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row>
    <row r="54" spans="1:336" ht="15" x14ac:dyDescent="0.25">
      <c r="A54" s="1" t="s">
        <v>534</v>
      </c>
      <c r="B54" s="2">
        <v>28.411269999999998</v>
      </c>
      <c r="C54" s="2">
        <v>-80.583200000000005</v>
      </c>
      <c r="D54" s="2">
        <v>28.568729999999999</v>
      </c>
      <c r="E54" s="2">
        <v>-80.569299999999998</v>
      </c>
      <c r="F54" s="3">
        <v>43139</v>
      </c>
      <c r="G54" s="1" t="s">
        <v>535</v>
      </c>
      <c r="H54" s="1" t="s">
        <v>536</v>
      </c>
      <c r="I54" s="1" t="s">
        <v>329</v>
      </c>
      <c r="J54" s="4">
        <v>0.3125</v>
      </c>
      <c r="K54" s="1" t="s">
        <v>375</v>
      </c>
      <c r="L54" s="1" t="s">
        <v>369</v>
      </c>
      <c r="M54" s="1" t="s">
        <v>537</v>
      </c>
      <c r="N54" s="1" t="s">
        <v>333</v>
      </c>
      <c r="O54" s="2"/>
      <c r="P54" s="2"/>
      <c r="Q54" s="2">
        <v>26</v>
      </c>
      <c r="R54" s="2"/>
      <c r="S54" s="2"/>
      <c r="T54" s="2">
        <v>26</v>
      </c>
      <c r="U54" s="2"/>
      <c r="V54" s="2"/>
      <c r="W54" s="2"/>
      <c r="X54" s="2"/>
      <c r="Y54" s="2"/>
      <c r="Z54" s="2"/>
      <c r="AA54" s="2"/>
      <c r="AB54" s="2"/>
      <c r="AC54" s="2"/>
      <c r="AD54" s="2">
        <v>5</v>
      </c>
      <c r="AE54" s="2">
        <v>234</v>
      </c>
      <c r="AF54" s="2">
        <v>34</v>
      </c>
      <c r="AG54" s="2"/>
      <c r="AH54" s="2"/>
      <c r="AI54" s="2"/>
      <c r="AJ54" s="2"/>
      <c r="AK54" s="2"/>
      <c r="AL54" s="2"/>
      <c r="AM54" s="2"/>
      <c r="AN54" s="2"/>
      <c r="AO54" s="2"/>
      <c r="AP54" s="2"/>
      <c r="AQ54" s="2"/>
      <c r="AR54" s="2">
        <v>1</v>
      </c>
      <c r="AS54" s="2"/>
      <c r="AT54" s="2">
        <v>99</v>
      </c>
      <c r="AU54" s="2"/>
      <c r="AV54" s="2"/>
      <c r="AW54" s="2">
        <v>13</v>
      </c>
      <c r="AX54" s="2"/>
      <c r="AY54" s="2"/>
      <c r="AZ54" s="2">
        <v>1</v>
      </c>
      <c r="BA54" s="2">
        <v>116</v>
      </c>
      <c r="BB54" s="2">
        <v>42</v>
      </c>
      <c r="BC54" s="2"/>
      <c r="BD54" s="2">
        <v>86</v>
      </c>
      <c r="BE54" s="2">
        <v>135</v>
      </c>
      <c r="BF54" s="2"/>
      <c r="BG54" s="2"/>
      <c r="BH54" s="2"/>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row>
    <row r="55" spans="1:336" ht="15" x14ac:dyDescent="0.25">
      <c r="A55" s="1" t="s">
        <v>538</v>
      </c>
      <c r="B55" s="2">
        <v>26.517759999999999</v>
      </c>
      <c r="C55" s="2">
        <v>-82.192800000000005</v>
      </c>
      <c r="D55" s="2">
        <v>26.482479999999999</v>
      </c>
      <c r="E55" s="2">
        <v>-82.187399999999997</v>
      </c>
      <c r="F55" s="3">
        <v>43133</v>
      </c>
      <c r="G55" s="1" t="s">
        <v>539</v>
      </c>
      <c r="H55" s="1" t="s">
        <v>540</v>
      </c>
      <c r="I55" s="1" t="s">
        <v>329</v>
      </c>
      <c r="J55" s="4">
        <v>0.39166666666666666</v>
      </c>
      <c r="K55" s="5"/>
      <c r="L55" s="5"/>
      <c r="M55" s="1" t="s">
        <v>541</v>
      </c>
      <c r="N55" s="1" t="s">
        <v>333</v>
      </c>
      <c r="O55" s="2"/>
      <c r="P55" s="2"/>
      <c r="Q55" s="2"/>
      <c r="R55" s="2"/>
      <c r="S55" s="2"/>
      <c r="T55" s="2"/>
      <c r="U55" s="2"/>
      <c r="V55" s="2"/>
      <c r="W55" s="2"/>
      <c r="X55" s="2"/>
      <c r="Y55" s="2"/>
      <c r="Z55" s="2"/>
      <c r="AA55" s="2"/>
      <c r="AB55" s="2"/>
      <c r="AC55" s="2"/>
      <c r="AD55" s="2"/>
      <c r="AE55" s="2">
        <v>9</v>
      </c>
      <c r="AF55" s="2"/>
      <c r="AG55" s="2"/>
      <c r="AH55" s="2"/>
      <c r="AI55" s="2"/>
      <c r="AJ55" s="2"/>
      <c r="AK55" s="2"/>
      <c r="AL55" s="2">
        <v>1</v>
      </c>
      <c r="AM55" s="2"/>
      <c r="AN55" s="2"/>
      <c r="AO55" s="2"/>
      <c r="AP55" s="2"/>
      <c r="AQ55" s="2"/>
      <c r="AR55" s="2"/>
      <c r="AS55" s="2"/>
      <c r="AT55" s="2">
        <v>9</v>
      </c>
      <c r="AU55" s="2"/>
      <c r="AV55" s="2"/>
      <c r="AW55" s="2">
        <v>2</v>
      </c>
      <c r="AX55" s="2"/>
      <c r="AY55" s="2"/>
      <c r="AZ55" s="2"/>
      <c r="BA55" s="2"/>
      <c r="BB55" s="2">
        <v>12</v>
      </c>
      <c r="BC55" s="2">
        <v>2</v>
      </c>
      <c r="BD55" s="2">
        <v>7</v>
      </c>
      <c r="BE55" s="2">
        <v>14</v>
      </c>
      <c r="BF55" s="2"/>
      <c r="BG55" s="2"/>
      <c r="BH55" s="2"/>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row>
    <row r="56" spans="1:336" ht="15" x14ac:dyDescent="0.25">
      <c r="A56" s="1" t="s">
        <v>542</v>
      </c>
      <c r="B56" s="2">
        <v>26.551600000000001</v>
      </c>
      <c r="C56" s="2">
        <v>-82.201300000000003</v>
      </c>
      <c r="D56" s="2">
        <v>26.517759999999999</v>
      </c>
      <c r="E56" s="2">
        <v>-82.192800000000005</v>
      </c>
      <c r="F56" s="3">
        <v>43133</v>
      </c>
      <c r="G56" s="1" t="s">
        <v>539</v>
      </c>
      <c r="H56" s="1" t="s">
        <v>540</v>
      </c>
      <c r="I56" s="1" t="s">
        <v>329</v>
      </c>
      <c r="J56" s="4">
        <v>0.33402777777777776</v>
      </c>
      <c r="K56" s="5"/>
      <c r="L56" s="1" t="s">
        <v>369</v>
      </c>
      <c r="M56" s="1" t="s">
        <v>543</v>
      </c>
      <c r="N56" s="1" t="s">
        <v>333</v>
      </c>
      <c r="O56" s="2"/>
      <c r="P56" s="2"/>
      <c r="Q56" s="2"/>
      <c r="R56" s="2"/>
      <c r="S56" s="2"/>
      <c r="T56" s="2">
        <v>19</v>
      </c>
      <c r="U56" s="2"/>
      <c r="V56" s="2"/>
      <c r="W56" s="2"/>
      <c r="X56" s="2"/>
      <c r="Y56" s="2"/>
      <c r="Z56" s="2"/>
      <c r="AA56" s="2"/>
      <c r="AB56" s="2"/>
      <c r="AC56" s="2"/>
      <c r="AD56" s="2"/>
      <c r="AE56" s="2">
        <v>5</v>
      </c>
      <c r="AF56" s="2"/>
      <c r="AG56" s="2"/>
      <c r="AH56" s="2"/>
      <c r="AI56" s="2"/>
      <c r="AJ56" s="2"/>
      <c r="AK56" s="2"/>
      <c r="AL56" s="2"/>
      <c r="AM56" s="2"/>
      <c r="AN56" s="2"/>
      <c r="AO56" s="2"/>
      <c r="AP56" s="2"/>
      <c r="AQ56" s="2">
        <v>427</v>
      </c>
      <c r="AR56" s="2"/>
      <c r="AS56" s="2"/>
      <c r="AT56" s="2">
        <v>48</v>
      </c>
      <c r="AU56" s="2"/>
      <c r="AV56" s="2"/>
      <c r="AW56" s="2">
        <v>7</v>
      </c>
      <c r="AX56" s="2"/>
      <c r="AY56" s="2"/>
      <c r="AZ56" s="2"/>
      <c r="BA56" s="2"/>
      <c r="BB56" s="2">
        <v>59</v>
      </c>
      <c r="BC56" s="2">
        <v>4</v>
      </c>
      <c r="BD56" s="2">
        <v>26</v>
      </c>
      <c r="BE56" s="2">
        <v>23</v>
      </c>
      <c r="BF56" s="2"/>
      <c r="BG56" s="2"/>
      <c r="BH56" s="2"/>
      <c r="BI56" s="1">
        <v>0</v>
      </c>
      <c r="BJ56" s="5"/>
      <c r="BK56" s="1">
        <v>427</v>
      </c>
      <c r="BL56" s="5"/>
      <c r="BM56" s="1">
        <v>26.551490000000001</v>
      </c>
      <c r="BN56" s="1">
        <v>-82.203699999999998</v>
      </c>
      <c r="BO56" s="1">
        <v>0</v>
      </c>
      <c r="BP56" s="5"/>
      <c r="BQ56" s="1">
        <v>0</v>
      </c>
      <c r="BR56" s="5"/>
      <c r="BS56" s="1">
        <v>0</v>
      </c>
      <c r="BT56" s="5"/>
      <c r="BU56" s="1">
        <v>0</v>
      </c>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1" t="s">
        <v>544</v>
      </c>
    </row>
    <row r="57" spans="1:336" ht="15" x14ac:dyDescent="0.25">
      <c r="A57" s="1" t="s">
        <v>545</v>
      </c>
      <c r="B57" s="2">
        <v>29.825800000000001</v>
      </c>
      <c r="C57" s="2">
        <v>-84.699299999999994</v>
      </c>
      <c r="D57" s="2">
        <v>29.83371</v>
      </c>
      <c r="E57" s="2">
        <v>-84.675200000000004</v>
      </c>
      <c r="F57" s="3">
        <v>43138</v>
      </c>
      <c r="G57" s="1" t="s">
        <v>443</v>
      </c>
      <c r="H57" s="1" t="s">
        <v>432</v>
      </c>
      <c r="I57" s="1" t="s">
        <v>329</v>
      </c>
      <c r="J57" s="4">
        <v>0.53472222222222221</v>
      </c>
      <c r="K57" s="1" t="s">
        <v>375</v>
      </c>
      <c r="L57" s="1" t="s">
        <v>369</v>
      </c>
      <c r="M57" s="1" t="s">
        <v>546</v>
      </c>
      <c r="N57" s="1" t="s">
        <v>333</v>
      </c>
      <c r="O57" s="2"/>
      <c r="P57" s="2"/>
      <c r="Q57" s="2">
        <v>3</v>
      </c>
      <c r="R57" s="2">
        <v>60</v>
      </c>
      <c r="S57" s="2">
        <v>1</v>
      </c>
      <c r="T57" s="2">
        <v>2</v>
      </c>
      <c r="U57" s="2">
        <v>8</v>
      </c>
      <c r="V57" s="2"/>
      <c r="W57" s="2"/>
      <c r="X57" s="2"/>
      <c r="Y57" s="2">
        <v>3</v>
      </c>
      <c r="Z57" s="2"/>
      <c r="AA57" s="2">
        <v>15</v>
      </c>
      <c r="AB57" s="2"/>
      <c r="AC57" s="2">
        <v>38</v>
      </c>
      <c r="AD57" s="2">
        <v>7</v>
      </c>
      <c r="AE57" s="2">
        <v>37</v>
      </c>
      <c r="AF57" s="2">
        <v>8</v>
      </c>
      <c r="AG57" s="2"/>
      <c r="AH57" s="2"/>
      <c r="AI57" s="2"/>
      <c r="AJ57" s="2"/>
      <c r="AK57" s="2"/>
      <c r="AL57" s="2">
        <v>52</v>
      </c>
      <c r="AM57" s="2"/>
      <c r="AN57" s="2"/>
      <c r="AO57" s="2"/>
      <c r="AP57" s="2"/>
      <c r="AQ57" s="2"/>
      <c r="AR57" s="2"/>
      <c r="AS57" s="2"/>
      <c r="AT57" s="2">
        <v>2</v>
      </c>
      <c r="AU57" s="2">
        <v>1</v>
      </c>
      <c r="AV57" s="2"/>
      <c r="AW57" s="2">
        <v>7</v>
      </c>
      <c r="AX57" s="2">
        <v>6</v>
      </c>
      <c r="AY57" s="2"/>
      <c r="AZ57" s="2"/>
      <c r="BA57" s="2"/>
      <c r="BB57" s="2">
        <v>3</v>
      </c>
      <c r="BC57" s="2"/>
      <c r="BD57" s="2">
        <v>19</v>
      </c>
      <c r="BE57" s="2">
        <v>1</v>
      </c>
      <c r="BF57" s="2"/>
      <c r="BG57" s="2"/>
      <c r="BH57" s="2"/>
      <c r="BI57" s="6">
        <v>0</v>
      </c>
      <c r="BJ57" s="7"/>
      <c r="BK57" s="6">
        <v>0</v>
      </c>
      <c r="BL57" s="7"/>
      <c r="BM57" s="6">
        <v>29.830770000000001</v>
      </c>
      <c r="BN57" s="6">
        <v>-84.680199999999999</v>
      </c>
      <c r="BO57" s="6">
        <v>0</v>
      </c>
      <c r="BP57" s="7"/>
      <c r="BQ57" s="6">
        <v>16</v>
      </c>
      <c r="BR57" s="6" t="s">
        <v>547</v>
      </c>
      <c r="BS57" s="6">
        <v>0</v>
      </c>
      <c r="BT57" s="7"/>
      <c r="BU57" s="6">
        <v>0</v>
      </c>
      <c r="BV57" s="7"/>
      <c r="BW57" s="6">
        <v>0</v>
      </c>
      <c r="BX57" s="7"/>
      <c r="BY57" s="6">
        <v>0</v>
      </c>
      <c r="BZ57" s="7"/>
      <c r="CA57" s="6">
        <v>29.829989999999999</v>
      </c>
      <c r="CB57" s="6">
        <v>-84.677300000000002</v>
      </c>
      <c r="CC57" s="6" t="s">
        <v>548</v>
      </c>
      <c r="CD57" s="6">
        <v>0</v>
      </c>
      <c r="CE57" s="7"/>
      <c r="CF57" s="6">
        <v>0</v>
      </c>
      <c r="CG57" s="7"/>
      <c r="CH57" s="6">
        <v>0</v>
      </c>
      <c r="CI57" s="7"/>
      <c r="CJ57" s="6">
        <v>0</v>
      </c>
      <c r="CK57" s="7"/>
      <c r="CL57" s="6">
        <v>0</v>
      </c>
      <c r="CM57" s="7"/>
      <c r="CN57" s="6">
        <v>0</v>
      </c>
      <c r="CO57" s="7"/>
      <c r="CP57" s="6">
        <v>29.830349999999999</v>
      </c>
      <c r="CQ57" s="6">
        <v>-84.674899999999994</v>
      </c>
      <c r="CR57" s="6" t="s">
        <v>549</v>
      </c>
      <c r="CS57" s="6">
        <v>0</v>
      </c>
      <c r="CT57" s="7"/>
      <c r="CU57" s="6">
        <v>22</v>
      </c>
      <c r="CV57" s="6" t="s">
        <v>550</v>
      </c>
      <c r="CW57" s="6">
        <v>0</v>
      </c>
      <c r="CX57" s="7"/>
      <c r="CY57" s="6">
        <v>0</v>
      </c>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6" t="s">
        <v>551</v>
      </c>
    </row>
    <row r="58" spans="1:336" ht="15" x14ac:dyDescent="0.25">
      <c r="A58" s="1" t="s">
        <v>552</v>
      </c>
      <c r="B58" s="2">
        <v>27.05538</v>
      </c>
      <c r="C58" s="2">
        <v>-82.441999999999993</v>
      </c>
      <c r="D58" s="2">
        <v>27.044609999999999</v>
      </c>
      <c r="E58" s="2">
        <v>-82.434700000000007</v>
      </c>
      <c r="F58" s="3">
        <v>43140</v>
      </c>
      <c r="G58" s="1" t="s">
        <v>553</v>
      </c>
      <c r="H58" s="1" t="s">
        <v>554</v>
      </c>
      <c r="I58" s="1" t="s">
        <v>329</v>
      </c>
      <c r="J58" s="4">
        <v>0.41666666666666669</v>
      </c>
      <c r="K58" s="1" t="s">
        <v>330</v>
      </c>
      <c r="L58" s="1" t="s">
        <v>364</v>
      </c>
      <c r="M58" s="5"/>
      <c r="N58" s="1" t="s">
        <v>333</v>
      </c>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v>2</v>
      </c>
      <c r="AU58" s="2"/>
      <c r="AV58" s="2"/>
      <c r="AW58" s="2"/>
      <c r="AX58" s="2"/>
      <c r="AY58" s="2"/>
      <c r="AZ58" s="2"/>
      <c r="BA58" s="2"/>
      <c r="BB58" s="2"/>
      <c r="BC58" s="2"/>
      <c r="BD58" s="2"/>
      <c r="BE58" s="2"/>
      <c r="BF58" s="2"/>
      <c r="BG58" s="2"/>
      <c r="BH58" s="2"/>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row>
    <row r="59" spans="1:336" ht="15" x14ac:dyDescent="0.25">
      <c r="A59" s="1" t="s">
        <v>555</v>
      </c>
      <c r="B59" s="2">
        <v>29.726780000000002</v>
      </c>
      <c r="C59" s="2">
        <v>-84.894000000000005</v>
      </c>
      <c r="D59" s="2">
        <v>29.731950000000001</v>
      </c>
      <c r="E59" s="2">
        <v>-84.883799999999994</v>
      </c>
      <c r="F59" s="3">
        <v>43138</v>
      </c>
      <c r="G59" s="1" t="s">
        <v>385</v>
      </c>
      <c r="H59" s="1" t="s">
        <v>386</v>
      </c>
      <c r="I59" s="1" t="s">
        <v>329</v>
      </c>
      <c r="J59" s="4">
        <v>0.63402777777777775</v>
      </c>
      <c r="K59" s="1" t="s">
        <v>375</v>
      </c>
      <c r="L59" s="1" t="s">
        <v>369</v>
      </c>
      <c r="M59" s="1" t="s">
        <v>556</v>
      </c>
      <c r="N59" s="1" t="s">
        <v>333</v>
      </c>
      <c r="O59" s="2">
        <v>2</v>
      </c>
      <c r="P59" s="2"/>
      <c r="Q59" s="2"/>
      <c r="R59" s="2">
        <v>14</v>
      </c>
      <c r="S59" s="2"/>
      <c r="T59" s="2">
        <v>1</v>
      </c>
      <c r="U59" s="2"/>
      <c r="V59" s="2"/>
      <c r="W59" s="2"/>
      <c r="X59" s="2"/>
      <c r="Y59" s="2"/>
      <c r="Z59" s="2"/>
      <c r="AA59" s="2"/>
      <c r="AB59" s="2"/>
      <c r="AC59" s="2"/>
      <c r="AD59" s="2"/>
      <c r="AE59" s="2">
        <v>9</v>
      </c>
      <c r="AF59" s="2"/>
      <c r="AG59" s="2"/>
      <c r="AH59" s="2"/>
      <c r="AI59" s="2"/>
      <c r="AJ59" s="2"/>
      <c r="AK59" s="2"/>
      <c r="AL59" s="2">
        <v>1</v>
      </c>
      <c r="AM59" s="2"/>
      <c r="AN59" s="2"/>
      <c r="AO59" s="2"/>
      <c r="AP59" s="2"/>
      <c r="AQ59" s="2"/>
      <c r="AR59" s="2"/>
      <c r="AS59" s="2"/>
      <c r="AT59" s="2"/>
      <c r="AU59" s="2"/>
      <c r="AV59" s="2"/>
      <c r="AW59" s="2"/>
      <c r="AX59" s="2">
        <v>1</v>
      </c>
      <c r="AY59" s="2"/>
      <c r="AZ59" s="2"/>
      <c r="BA59" s="2"/>
      <c r="BB59" s="2"/>
      <c r="BC59" s="2"/>
      <c r="BD59" s="2"/>
      <c r="BE59" s="2"/>
      <c r="BF59" s="2"/>
      <c r="BG59" s="2"/>
      <c r="BH59" s="2"/>
      <c r="BI59" s="6">
        <v>2</v>
      </c>
      <c r="BJ59" s="6">
        <v>0</v>
      </c>
      <c r="BK59" s="6">
        <v>0</v>
      </c>
      <c r="BL59" s="6">
        <v>0</v>
      </c>
      <c r="BM59" s="6">
        <v>29.722429999999999</v>
      </c>
      <c r="BN59" s="6">
        <v>-84.890199999999993</v>
      </c>
      <c r="BO59" s="6">
        <v>0</v>
      </c>
      <c r="BP59" s="6">
        <v>0</v>
      </c>
      <c r="BQ59" s="6">
        <v>0</v>
      </c>
      <c r="BR59" s="6">
        <v>0</v>
      </c>
      <c r="BS59" s="6">
        <v>0</v>
      </c>
      <c r="BT59" s="6">
        <v>0</v>
      </c>
      <c r="BU59" s="6">
        <v>0</v>
      </c>
      <c r="BV59" s="6">
        <v>0</v>
      </c>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6">
        <v>0</v>
      </c>
    </row>
    <row r="60" spans="1:336" ht="15" x14ac:dyDescent="0.25">
      <c r="A60" s="1" t="s">
        <v>557</v>
      </c>
      <c r="B60" s="2">
        <v>26.705939999999998</v>
      </c>
      <c r="C60" s="2">
        <v>-82.253</v>
      </c>
      <c r="D60" s="2">
        <v>26.671250000000001</v>
      </c>
      <c r="E60" s="2">
        <v>-82.233599999999996</v>
      </c>
      <c r="F60" s="3">
        <v>43137</v>
      </c>
      <c r="G60" s="1" t="s">
        <v>558</v>
      </c>
      <c r="H60" s="1" t="s">
        <v>559</v>
      </c>
      <c r="I60" s="1" t="s">
        <v>329</v>
      </c>
      <c r="J60" s="4">
        <v>0.42152777777777778</v>
      </c>
      <c r="K60" s="1" t="s">
        <v>330</v>
      </c>
      <c r="L60" s="1" t="s">
        <v>364</v>
      </c>
      <c r="M60" s="1" t="s">
        <v>560</v>
      </c>
      <c r="N60" s="1" t="s">
        <v>333</v>
      </c>
      <c r="O60" s="2"/>
      <c r="P60" s="2"/>
      <c r="Q60" s="2">
        <v>9</v>
      </c>
      <c r="R60" s="2">
        <v>75</v>
      </c>
      <c r="S60" s="2"/>
      <c r="T60" s="2"/>
      <c r="U60" s="2"/>
      <c r="V60" s="2"/>
      <c r="W60" s="2"/>
      <c r="X60" s="2"/>
      <c r="Y60" s="2"/>
      <c r="Z60" s="2"/>
      <c r="AA60" s="2"/>
      <c r="AB60" s="2"/>
      <c r="AC60" s="2"/>
      <c r="AD60" s="2">
        <v>8</v>
      </c>
      <c r="AE60" s="2">
        <v>129</v>
      </c>
      <c r="AF60" s="2"/>
      <c r="AG60" s="2"/>
      <c r="AH60" s="2">
        <v>2</v>
      </c>
      <c r="AI60" s="2"/>
      <c r="AJ60" s="2"/>
      <c r="AK60" s="2"/>
      <c r="AL60" s="2">
        <v>9</v>
      </c>
      <c r="AM60" s="2">
        <v>11</v>
      </c>
      <c r="AN60" s="2"/>
      <c r="AO60" s="2"/>
      <c r="AP60" s="2"/>
      <c r="AQ60" s="2"/>
      <c r="AR60" s="2"/>
      <c r="AS60" s="2"/>
      <c r="AT60" s="2">
        <v>28</v>
      </c>
      <c r="AU60" s="2"/>
      <c r="AV60" s="2"/>
      <c r="AW60" s="2"/>
      <c r="AX60" s="2"/>
      <c r="AY60" s="2"/>
      <c r="AZ60" s="2"/>
      <c r="BA60" s="2">
        <v>37</v>
      </c>
      <c r="BB60" s="2">
        <v>2</v>
      </c>
      <c r="BC60" s="2"/>
      <c r="BD60" s="2">
        <v>19</v>
      </c>
      <c r="BE60" s="2">
        <v>223</v>
      </c>
      <c r="BF60" s="2">
        <v>80</v>
      </c>
      <c r="BG60" s="2"/>
      <c r="BH60" s="2"/>
      <c r="BI60" s="1">
        <v>0</v>
      </c>
      <c r="BJ60" s="1">
        <v>0</v>
      </c>
      <c r="BK60" s="1">
        <v>0</v>
      </c>
      <c r="BL60" s="5"/>
      <c r="BM60" s="1">
        <v>26.674520000000001</v>
      </c>
      <c r="BN60" s="1">
        <v>-82.260300000000001</v>
      </c>
      <c r="BO60" s="1">
        <v>0</v>
      </c>
      <c r="BP60" s="5"/>
      <c r="BQ60" s="1">
        <v>0</v>
      </c>
      <c r="BR60" s="5"/>
      <c r="BS60" s="1">
        <v>0</v>
      </c>
      <c r="BT60" s="5"/>
      <c r="BU60" s="1">
        <v>2</v>
      </c>
      <c r="BV60" s="5"/>
      <c r="BW60" s="1">
        <v>0</v>
      </c>
      <c r="BX60" s="5"/>
      <c r="BY60" s="1">
        <v>0</v>
      </c>
      <c r="BZ60" s="5"/>
      <c r="CA60" s="1">
        <v>26.67408</v>
      </c>
      <c r="CB60" s="1">
        <v>-82.260099999999994</v>
      </c>
      <c r="CC60" s="5"/>
      <c r="CD60" s="1">
        <v>0</v>
      </c>
      <c r="CE60" s="5"/>
      <c r="CF60" s="1">
        <v>0</v>
      </c>
      <c r="CG60" s="5"/>
      <c r="CH60" s="1">
        <v>1</v>
      </c>
      <c r="CI60" s="5"/>
      <c r="CJ60" s="1">
        <v>6</v>
      </c>
      <c r="CK60" s="5"/>
      <c r="CL60" s="1">
        <v>0</v>
      </c>
      <c r="CM60" s="5"/>
      <c r="CN60" s="1">
        <v>0</v>
      </c>
      <c r="CO60" s="5"/>
      <c r="CP60" s="1">
        <v>26.672190000000001</v>
      </c>
      <c r="CQ60" s="1">
        <v>-82.2577</v>
      </c>
      <c r="CR60" s="5"/>
      <c r="CS60" s="1">
        <v>0</v>
      </c>
      <c r="CT60" s="5"/>
      <c r="CU60" s="1">
        <v>0</v>
      </c>
      <c r="CV60" s="5"/>
      <c r="CW60" s="1">
        <v>0</v>
      </c>
      <c r="CX60" s="5"/>
      <c r="CY60" s="1">
        <v>3</v>
      </c>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row>
    <row r="61" spans="1:336" ht="15" x14ac:dyDescent="0.25">
      <c r="A61" s="1" t="s">
        <v>561</v>
      </c>
      <c r="B61" s="2">
        <v>26.613630000000001</v>
      </c>
      <c r="C61" s="2">
        <v>-80.044700000000006</v>
      </c>
      <c r="D61" s="2">
        <v>26.04035</v>
      </c>
      <c r="E61" s="2">
        <v>-80.044700000000006</v>
      </c>
      <c r="F61" s="3">
        <v>43137</v>
      </c>
      <c r="G61" s="1" t="s">
        <v>562</v>
      </c>
      <c r="H61" s="1" t="s">
        <v>563</v>
      </c>
      <c r="I61" s="1" t="s">
        <v>329</v>
      </c>
      <c r="J61" s="4">
        <v>0.45833333333333331</v>
      </c>
      <c r="K61" s="5"/>
      <c r="L61" s="1" t="s">
        <v>441</v>
      </c>
      <c r="M61" s="1" t="s">
        <v>564</v>
      </c>
      <c r="N61" s="5"/>
      <c r="O61" s="2">
        <v>14</v>
      </c>
      <c r="P61" s="2"/>
      <c r="Q61" s="2"/>
      <c r="R61" s="2"/>
      <c r="S61" s="2"/>
      <c r="T61" s="2">
        <v>6</v>
      </c>
      <c r="U61" s="2"/>
      <c r="V61" s="2"/>
      <c r="W61" s="2"/>
      <c r="X61" s="2"/>
      <c r="Y61" s="2"/>
      <c r="Z61" s="2"/>
      <c r="AA61" s="2"/>
      <c r="AB61" s="2"/>
      <c r="AC61" s="2"/>
      <c r="AD61" s="2">
        <v>13</v>
      </c>
      <c r="AE61" s="2"/>
      <c r="AF61" s="2"/>
      <c r="AG61" s="2">
        <v>50</v>
      </c>
      <c r="AH61" s="2"/>
      <c r="AI61" s="2">
        <v>6</v>
      </c>
      <c r="AJ61" s="2"/>
      <c r="AK61" s="2"/>
      <c r="AL61" s="2">
        <v>1</v>
      </c>
      <c r="AM61" s="2"/>
      <c r="AN61" s="2"/>
      <c r="AO61" s="2"/>
      <c r="AP61" s="2"/>
      <c r="AQ61" s="2"/>
      <c r="AR61" s="2"/>
      <c r="AS61" s="2"/>
      <c r="AT61" s="2"/>
      <c r="AU61" s="2"/>
      <c r="AV61" s="2"/>
      <c r="AW61" s="2"/>
      <c r="AX61" s="2">
        <v>2</v>
      </c>
      <c r="AY61" s="2"/>
      <c r="AZ61" s="2"/>
      <c r="BA61" s="2"/>
      <c r="BB61" s="2"/>
      <c r="BC61" s="2"/>
      <c r="BD61" s="2">
        <v>6</v>
      </c>
      <c r="BE61" s="2"/>
      <c r="BF61" s="2"/>
      <c r="BG61" s="2"/>
      <c r="BH61" s="2"/>
      <c r="BI61" s="1">
        <v>2</v>
      </c>
      <c r="BJ61" s="5"/>
      <c r="BK61" s="5"/>
      <c r="BL61" s="5"/>
      <c r="BM61" s="1">
        <v>26.61429</v>
      </c>
      <c r="BN61" s="1">
        <v>-80.046300000000002</v>
      </c>
      <c r="BO61" s="5"/>
      <c r="BP61" s="5"/>
      <c r="BQ61" s="5"/>
      <c r="BR61" s="5"/>
      <c r="BS61" s="5"/>
      <c r="BT61" s="5"/>
      <c r="BU61" s="5"/>
      <c r="BV61" s="5"/>
      <c r="BW61" s="1">
        <v>1</v>
      </c>
      <c r="BX61" s="5"/>
      <c r="BY61" s="5"/>
      <c r="BZ61" s="5"/>
      <c r="CA61" s="1">
        <v>26.618110000000001</v>
      </c>
      <c r="CB61" s="1">
        <v>-80.046300000000002</v>
      </c>
      <c r="CC61" s="5"/>
      <c r="CD61" s="5"/>
      <c r="CE61" s="5"/>
      <c r="CF61" s="5"/>
      <c r="CG61" s="5"/>
      <c r="CH61" s="5"/>
      <c r="CI61" s="5"/>
      <c r="CJ61" s="5"/>
      <c r="CK61" s="5"/>
      <c r="CL61" s="1">
        <v>2</v>
      </c>
      <c r="CM61" s="5"/>
      <c r="CN61" s="5"/>
      <c r="CO61" s="5"/>
      <c r="CP61" s="1">
        <v>26.631620000000002</v>
      </c>
      <c r="CQ61" s="1">
        <v>-80.040199999999999</v>
      </c>
      <c r="CR61" s="5"/>
      <c r="CS61" s="5"/>
      <c r="CT61" s="5"/>
      <c r="CU61" s="5"/>
      <c r="CV61" s="5"/>
      <c r="CW61" s="5"/>
      <c r="CX61" s="5"/>
      <c r="CY61" s="5"/>
      <c r="CZ61" s="5"/>
      <c r="DA61" s="1">
        <v>2</v>
      </c>
      <c r="DB61" s="5"/>
      <c r="DC61" s="5"/>
      <c r="DD61" s="5"/>
      <c r="DE61" s="1">
        <v>26.643820000000002</v>
      </c>
      <c r="DF61" s="1">
        <v>-80.041399999999996</v>
      </c>
      <c r="DG61" s="5"/>
      <c r="DH61" s="5"/>
      <c r="DI61" s="5"/>
      <c r="DJ61" s="5"/>
      <c r="DK61" s="5"/>
      <c r="DL61" s="5"/>
      <c r="DM61" s="5"/>
      <c r="DN61" s="5"/>
      <c r="DO61" s="5"/>
      <c r="DP61" s="1">
        <v>3</v>
      </c>
      <c r="DQ61" s="5"/>
      <c r="DR61" s="5"/>
      <c r="DS61" s="5"/>
      <c r="DT61" s="1">
        <v>26.645189999999999</v>
      </c>
      <c r="DU61" s="1">
        <v>-80.040700000000001</v>
      </c>
      <c r="DV61" s="5"/>
      <c r="DW61" s="5"/>
      <c r="DX61" s="5"/>
      <c r="DY61" s="5"/>
      <c r="DZ61" s="5"/>
      <c r="EA61" s="5"/>
      <c r="EB61" s="5"/>
      <c r="EC61" s="5"/>
      <c r="ED61" s="5"/>
      <c r="EE61" s="1">
        <v>4</v>
      </c>
      <c r="EF61" s="5"/>
      <c r="EG61" s="5"/>
      <c r="EH61" s="5"/>
      <c r="EI61" s="1">
        <v>26.647639999999999</v>
      </c>
      <c r="EJ61" s="1">
        <v>-80.040300000000002</v>
      </c>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row>
    <row r="62" spans="1:336" ht="15" x14ac:dyDescent="0.25">
      <c r="A62" s="1" t="s">
        <v>565</v>
      </c>
      <c r="B62" s="2">
        <v>26.215299999999999</v>
      </c>
      <c r="C62" s="2">
        <v>-81.817599999999999</v>
      </c>
      <c r="D62" s="2">
        <v>26.220739999999999</v>
      </c>
      <c r="E62" s="2">
        <v>-81.8185</v>
      </c>
      <c r="F62" s="3">
        <v>43134</v>
      </c>
      <c r="G62" s="1" t="s">
        <v>566</v>
      </c>
      <c r="H62" s="1" t="s">
        <v>567</v>
      </c>
      <c r="I62" s="1" t="s">
        <v>329</v>
      </c>
      <c r="J62" s="4">
        <v>0.33333333333333331</v>
      </c>
      <c r="K62" s="1" t="s">
        <v>368</v>
      </c>
      <c r="L62" s="1" t="s">
        <v>364</v>
      </c>
      <c r="M62" s="5"/>
      <c r="N62" s="1" t="s">
        <v>333</v>
      </c>
      <c r="O62" s="2"/>
      <c r="P62" s="2"/>
      <c r="Q62" s="2">
        <v>5</v>
      </c>
      <c r="R62" s="2"/>
      <c r="S62" s="2"/>
      <c r="T62" s="2"/>
      <c r="U62" s="2"/>
      <c r="V62" s="2"/>
      <c r="W62" s="2"/>
      <c r="X62" s="2"/>
      <c r="Y62" s="2"/>
      <c r="Z62" s="2"/>
      <c r="AA62" s="2"/>
      <c r="AB62" s="2"/>
      <c r="AC62" s="2"/>
      <c r="AD62" s="2"/>
      <c r="AE62" s="2">
        <v>18</v>
      </c>
      <c r="AF62" s="2"/>
      <c r="AG62" s="2"/>
      <c r="AH62" s="2"/>
      <c r="AI62" s="2"/>
      <c r="AJ62" s="2"/>
      <c r="AK62" s="2"/>
      <c r="AL62" s="2">
        <v>70</v>
      </c>
      <c r="AM62" s="2"/>
      <c r="AN62" s="2"/>
      <c r="AO62" s="2"/>
      <c r="AP62" s="2"/>
      <c r="AQ62" s="2">
        <v>2545</v>
      </c>
      <c r="AR62" s="2"/>
      <c r="AS62" s="2"/>
      <c r="AT62" s="2">
        <v>7</v>
      </c>
      <c r="AU62" s="2"/>
      <c r="AV62" s="2"/>
      <c r="AW62" s="2"/>
      <c r="AX62" s="2"/>
      <c r="AY62" s="2"/>
      <c r="AZ62" s="2"/>
      <c r="BA62" s="2"/>
      <c r="BB62" s="2">
        <v>78</v>
      </c>
      <c r="BC62" s="2"/>
      <c r="BD62" s="2"/>
      <c r="BE62" s="2">
        <v>265</v>
      </c>
      <c r="BF62" s="2">
        <v>30</v>
      </c>
      <c r="BG62" s="2"/>
      <c r="BH62" s="2"/>
      <c r="BI62" s="1">
        <v>0</v>
      </c>
      <c r="BJ62" s="5"/>
      <c r="BK62" s="1">
        <v>2545</v>
      </c>
      <c r="BL62" s="1" t="s">
        <v>568</v>
      </c>
      <c r="BM62" s="1">
        <v>26.219830000000002</v>
      </c>
      <c r="BN62" s="1">
        <v>-81.818600000000004</v>
      </c>
      <c r="BO62" s="1">
        <v>0</v>
      </c>
      <c r="BP62" s="5"/>
      <c r="BQ62" s="1">
        <v>0</v>
      </c>
      <c r="BR62" s="5"/>
      <c r="BS62" s="1">
        <v>0</v>
      </c>
      <c r="BT62" s="5"/>
      <c r="BU62" s="1">
        <v>0</v>
      </c>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row>
    <row r="63" spans="1:336" ht="15" x14ac:dyDescent="0.25">
      <c r="A63" s="1" t="s">
        <v>569</v>
      </c>
      <c r="B63" s="2">
        <v>27.998059999999999</v>
      </c>
      <c r="C63" s="2">
        <v>-82.828699999999998</v>
      </c>
      <c r="D63" s="2">
        <v>28.020990000000001</v>
      </c>
      <c r="E63" s="2">
        <v>-82.826499999999996</v>
      </c>
      <c r="F63" s="3">
        <v>43139</v>
      </c>
      <c r="G63" s="1" t="s">
        <v>570</v>
      </c>
      <c r="H63" s="1" t="s">
        <v>571</v>
      </c>
      <c r="I63" s="1" t="s">
        <v>329</v>
      </c>
      <c r="J63" s="4">
        <v>0.40625</v>
      </c>
      <c r="K63" s="1" t="s">
        <v>330</v>
      </c>
      <c r="L63" s="1" t="s">
        <v>369</v>
      </c>
      <c r="M63" s="1" t="s">
        <v>572</v>
      </c>
      <c r="N63" s="1" t="s">
        <v>333</v>
      </c>
      <c r="O63" s="2"/>
      <c r="P63" s="2"/>
      <c r="Q63" s="2"/>
      <c r="R63" s="2"/>
      <c r="S63" s="2"/>
      <c r="T63" s="2"/>
      <c r="U63" s="2"/>
      <c r="V63" s="2"/>
      <c r="W63" s="2"/>
      <c r="X63" s="2"/>
      <c r="Y63" s="2"/>
      <c r="Z63" s="2"/>
      <c r="AA63" s="2"/>
      <c r="AB63" s="2"/>
      <c r="AC63" s="2"/>
      <c r="AD63" s="2">
        <v>1</v>
      </c>
      <c r="AE63" s="2">
        <v>2</v>
      </c>
      <c r="AF63" s="2"/>
      <c r="AG63" s="2"/>
      <c r="AH63" s="2"/>
      <c r="AI63" s="2"/>
      <c r="AJ63" s="2"/>
      <c r="AK63" s="2"/>
      <c r="AL63" s="2">
        <v>19</v>
      </c>
      <c r="AM63" s="2"/>
      <c r="AN63" s="2"/>
      <c r="AO63" s="2"/>
      <c r="AP63" s="2"/>
      <c r="AQ63" s="2"/>
      <c r="AR63" s="2"/>
      <c r="AS63" s="2"/>
      <c r="AT63" s="2"/>
      <c r="AU63" s="2"/>
      <c r="AV63" s="2"/>
      <c r="AW63" s="2"/>
      <c r="AX63" s="2"/>
      <c r="AY63" s="2"/>
      <c r="AZ63" s="2"/>
      <c r="BA63" s="2">
        <v>2</v>
      </c>
      <c r="BB63" s="2"/>
      <c r="BC63" s="2"/>
      <c r="BD63" s="2">
        <v>1</v>
      </c>
      <c r="BE63" s="2"/>
      <c r="BF63" s="2"/>
      <c r="BG63" s="2"/>
      <c r="BH63" s="2"/>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row>
    <row r="64" spans="1:336" ht="15" x14ac:dyDescent="0.25">
      <c r="A64" s="1" t="s">
        <v>573</v>
      </c>
      <c r="B64" s="2">
        <v>27.957080000000001</v>
      </c>
      <c r="C64" s="2">
        <v>-82.711100000000002</v>
      </c>
      <c r="D64" s="2">
        <v>27.962119999999999</v>
      </c>
      <c r="E64" s="2">
        <v>-82.570599999999999</v>
      </c>
      <c r="F64" s="3">
        <v>43134</v>
      </c>
      <c r="G64" s="1" t="s">
        <v>574</v>
      </c>
      <c r="H64" s="1" t="s">
        <v>575</v>
      </c>
      <c r="I64" s="1" t="s">
        <v>329</v>
      </c>
      <c r="J64" s="4">
        <v>0.28819444444444442</v>
      </c>
      <c r="K64" s="1" t="s">
        <v>368</v>
      </c>
      <c r="L64" s="1" t="s">
        <v>369</v>
      </c>
      <c r="M64" s="1" t="s">
        <v>576</v>
      </c>
      <c r="N64" s="1" t="s">
        <v>333</v>
      </c>
      <c r="O64" s="2">
        <v>53</v>
      </c>
      <c r="P64" s="2"/>
      <c r="Q64" s="2">
        <v>51</v>
      </c>
      <c r="R64" s="2">
        <v>167</v>
      </c>
      <c r="S64" s="2"/>
      <c r="T64" s="2">
        <v>6</v>
      </c>
      <c r="U64" s="2">
        <v>60</v>
      </c>
      <c r="V64" s="2"/>
      <c r="W64" s="2"/>
      <c r="X64" s="2"/>
      <c r="Y64" s="2">
        <v>68</v>
      </c>
      <c r="Z64" s="2"/>
      <c r="AA64" s="2">
        <v>53</v>
      </c>
      <c r="AB64" s="2"/>
      <c r="AC64" s="2"/>
      <c r="AD64" s="2">
        <v>65</v>
      </c>
      <c r="AE64" s="2">
        <v>47</v>
      </c>
      <c r="AF64" s="2">
        <v>24</v>
      </c>
      <c r="AG64" s="2"/>
      <c r="AH64" s="2"/>
      <c r="AI64" s="2">
        <v>7</v>
      </c>
      <c r="AJ64" s="2">
        <v>60</v>
      </c>
      <c r="AK64" s="2"/>
      <c r="AL64" s="2">
        <v>93</v>
      </c>
      <c r="AM64" s="2">
        <v>4</v>
      </c>
      <c r="AN64" s="2"/>
      <c r="AO64" s="2"/>
      <c r="AP64" s="2"/>
      <c r="AQ64" s="2">
        <v>199</v>
      </c>
      <c r="AR64" s="2">
        <v>10</v>
      </c>
      <c r="AS64" s="2">
        <v>3</v>
      </c>
      <c r="AT64" s="2">
        <v>145</v>
      </c>
      <c r="AU64" s="2"/>
      <c r="AV64" s="2"/>
      <c r="AW64" s="2">
        <v>553</v>
      </c>
      <c r="AX64" s="2">
        <v>35</v>
      </c>
      <c r="AY64" s="2"/>
      <c r="AZ64" s="2"/>
      <c r="BA64" s="2"/>
      <c r="BB64" s="2">
        <v>525</v>
      </c>
      <c r="BC64" s="2"/>
      <c r="BD64" s="2">
        <v>148</v>
      </c>
      <c r="BE64" s="2">
        <v>21</v>
      </c>
      <c r="BF64" s="2"/>
      <c r="BG64" s="2"/>
      <c r="BH64" s="2"/>
      <c r="BI64" s="1">
        <v>0</v>
      </c>
      <c r="BJ64" s="5"/>
      <c r="BK64" s="1">
        <v>87</v>
      </c>
      <c r="BL64" s="1" t="s">
        <v>407</v>
      </c>
      <c r="BM64" s="1">
        <v>27.961030000000001</v>
      </c>
      <c r="BN64" s="1">
        <v>-82.696700000000007</v>
      </c>
      <c r="BO64" s="1">
        <v>0</v>
      </c>
      <c r="BP64" s="5"/>
      <c r="BQ64" s="1">
        <v>0</v>
      </c>
      <c r="BR64" s="5"/>
      <c r="BS64" s="1">
        <v>0</v>
      </c>
      <c r="BT64" s="5"/>
      <c r="BU64" s="1">
        <v>4</v>
      </c>
      <c r="BV64" s="1" t="s">
        <v>403</v>
      </c>
      <c r="BW64" s="1">
        <v>2</v>
      </c>
      <c r="BX64" s="1" t="s">
        <v>403</v>
      </c>
      <c r="BY64" s="1">
        <v>112</v>
      </c>
      <c r="BZ64" s="1" t="s">
        <v>403</v>
      </c>
      <c r="CA64" s="1">
        <v>27.968299999999999</v>
      </c>
      <c r="CB64" s="1">
        <v>-82.573599999999999</v>
      </c>
      <c r="CC64" s="1" t="s">
        <v>577</v>
      </c>
      <c r="CD64" s="1">
        <v>0</v>
      </c>
      <c r="CE64" s="5"/>
      <c r="CF64" s="1">
        <v>0</v>
      </c>
      <c r="CG64" s="5"/>
      <c r="CH64" s="1">
        <v>0</v>
      </c>
      <c r="CI64" s="5"/>
      <c r="CJ64" s="1">
        <v>0</v>
      </c>
      <c r="CK64" s="5"/>
      <c r="CL64" s="1">
        <v>2</v>
      </c>
      <c r="CM64" s="1" t="s">
        <v>403</v>
      </c>
      <c r="CN64" s="1">
        <v>0</v>
      </c>
      <c r="CO64" s="5"/>
      <c r="CP64" s="1">
        <v>27.957080000000001</v>
      </c>
      <c r="CQ64" s="1">
        <v>-82.711100000000002</v>
      </c>
      <c r="CR64" s="5"/>
      <c r="CS64" s="1">
        <v>0</v>
      </c>
      <c r="CT64" s="5"/>
      <c r="CU64" s="1">
        <v>0</v>
      </c>
      <c r="CV64" s="5"/>
      <c r="CW64" s="1">
        <v>0</v>
      </c>
      <c r="CX64" s="5"/>
      <c r="CY64" s="1">
        <v>0</v>
      </c>
      <c r="CZ64" s="5"/>
      <c r="DA64" s="1">
        <v>33</v>
      </c>
      <c r="DB64" s="1" t="s">
        <v>578</v>
      </c>
      <c r="DC64" s="1">
        <v>0</v>
      </c>
      <c r="DD64" s="5"/>
      <c r="DE64" s="1">
        <v>27.969180000000001</v>
      </c>
      <c r="DF64" s="1">
        <v>-82.633600000000001</v>
      </c>
      <c r="DG64" s="1" t="s">
        <v>579</v>
      </c>
      <c r="DH64" s="1">
        <v>0</v>
      </c>
      <c r="DI64" s="5"/>
      <c r="DJ64" s="1">
        <v>0</v>
      </c>
      <c r="DK64" s="5"/>
      <c r="DL64" s="1">
        <v>0</v>
      </c>
      <c r="DM64" s="5"/>
      <c r="DN64" s="1">
        <v>0</v>
      </c>
      <c r="DO64" s="5"/>
      <c r="DP64" s="1">
        <v>16</v>
      </c>
      <c r="DQ64" s="1" t="s">
        <v>580</v>
      </c>
      <c r="DR64" s="1">
        <v>0</v>
      </c>
      <c r="DS64" s="5"/>
      <c r="DT64" s="1">
        <v>27.965440000000001</v>
      </c>
      <c r="DU64" s="1">
        <v>-82.664100000000005</v>
      </c>
      <c r="DV64" s="5"/>
      <c r="DW64" s="1">
        <v>0</v>
      </c>
      <c r="DX64" s="5"/>
      <c r="DY64" s="1">
        <v>0</v>
      </c>
      <c r="DZ64" s="5"/>
      <c r="EA64" s="1">
        <v>0</v>
      </c>
      <c r="EB64" s="5"/>
      <c r="EC64" s="1">
        <v>0</v>
      </c>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1" t="s">
        <v>581</v>
      </c>
    </row>
    <row r="65" spans="1:336" ht="15" x14ac:dyDescent="0.25">
      <c r="A65" s="1" t="s">
        <v>582</v>
      </c>
      <c r="B65" s="2">
        <v>25.700119999999998</v>
      </c>
      <c r="C65" s="2">
        <v>-80.155299999999997</v>
      </c>
      <c r="D65" s="2">
        <v>25.713529999999999</v>
      </c>
      <c r="E65" s="2">
        <v>-80.1511</v>
      </c>
      <c r="F65" s="3">
        <v>43134</v>
      </c>
      <c r="G65" s="1" t="s">
        <v>583</v>
      </c>
      <c r="H65" s="1" t="s">
        <v>584</v>
      </c>
      <c r="I65" s="1" t="s">
        <v>329</v>
      </c>
      <c r="J65" s="4">
        <v>0.37222222222222223</v>
      </c>
      <c r="K65" s="1" t="s">
        <v>375</v>
      </c>
      <c r="L65" s="1" t="s">
        <v>441</v>
      </c>
      <c r="M65" s="5"/>
      <c r="N65" s="1" t="s">
        <v>333</v>
      </c>
      <c r="O65" s="2"/>
      <c r="P65" s="2"/>
      <c r="Q65" s="2">
        <v>61</v>
      </c>
      <c r="R65" s="2">
        <v>3</v>
      </c>
      <c r="S65" s="2"/>
      <c r="T65" s="2"/>
      <c r="U65" s="2">
        <v>27</v>
      </c>
      <c r="V65" s="2"/>
      <c r="W65" s="2"/>
      <c r="X65" s="2"/>
      <c r="Y65" s="2">
        <v>1</v>
      </c>
      <c r="Z65" s="2"/>
      <c r="AA65" s="2"/>
      <c r="AB65" s="2">
        <v>34</v>
      </c>
      <c r="AC65" s="2"/>
      <c r="AD65" s="2">
        <v>6</v>
      </c>
      <c r="AE65" s="2">
        <v>227</v>
      </c>
      <c r="AF65" s="2">
        <v>130</v>
      </c>
      <c r="AG65" s="2"/>
      <c r="AH65" s="2"/>
      <c r="AI65" s="2"/>
      <c r="AJ65" s="2">
        <v>1</v>
      </c>
      <c r="AK65" s="2"/>
      <c r="AL65" s="2"/>
      <c r="AM65" s="2"/>
      <c r="AN65" s="2"/>
      <c r="AO65" s="2"/>
      <c r="AP65" s="2"/>
      <c r="AQ65" s="2"/>
      <c r="AR65" s="2"/>
      <c r="AS65" s="2"/>
      <c r="AT65" s="2">
        <v>8</v>
      </c>
      <c r="AU65" s="2"/>
      <c r="AV65" s="2"/>
      <c r="AW65" s="2">
        <v>34</v>
      </c>
      <c r="AX65" s="2"/>
      <c r="AY65" s="2"/>
      <c r="AZ65" s="2"/>
      <c r="BA65" s="2"/>
      <c r="BB65" s="2">
        <v>70</v>
      </c>
      <c r="BC65" s="2">
        <v>9</v>
      </c>
      <c r="BD65" s="2">
        <v>14</v>
      </c>
      <c r="BE65" s="2">
        <v>80</v>
      </c>
      <c r="BF65" s="2"/>
      <c r="BG65" s="2"/>
      <c r="BH65" s="2"/>
      <c r="BI65" s="6">
        <v>0</v>
      </c>
      <c r="BJ65" s="7"/>
      <c r="BK65" s="6">
        <v>0</v>
      </c>
      <c r="BL65" s="7"/>
      <c r="BM65" s="6">
        <v>25.700759999999999</v>
      </c>
      <c r="BN65" s="6">
        <v>-80.154899999999998</v>
      </c>
      <c r="BO65" s="6">
        <v>32</v>
      </c>
      <c r="BP65" s="6" t="s">
        <v>585</v>
      </c>
      <c r="BQ65" s="6">
        <v>0</v>
      </c>
      <c r="BR65" s="7"/>
      <c r="BS65" s="6">
        <v>0</v>
      </c>
      <c r="BT65" s="7"/>
      <c r="BU65" s="6">
        <v>0</v>
      </c>
      <c r="BV65" s="7"/>
      <c r="BW65" s="6">
        <v>0</v>
      </c>
      <c r="BX65" s="7"/>
      <c r="BY65" s="6">
        <v>0</v>
      </c>
      <c r="BZ65" s="7"/>
      <c r="CA65" s="6">
        <v>25.701709999999999</v>
      </c>
      <c r="CB65" s="6">
        <v>-80.154399999999995</v>
      </c>
      <c r="CC65" s="7"/>
      <c r="CD65" s="6">
        <v>2</v>
      </c>
      <c r="CE65" s="7"/>
      <c r="CF65" s="6">
        <v>0</v>
      </c>
      <c r="CG65" s="7"/>
      <c r="CH65" s="6">
        <v>0</v>
      </c>
      <c r="CI65" s="7"/>
      <c r="CJ65" s="6">
        <v>0</v>
      </c>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row>
    <row r="66" spans="1:336" ht="15" x14ac:dyDescent="0.25">
      <c r="A66" s="1" t="s">
        <v>586</v>
      </c>
      <c r="B66" s="2">
        <v>29.954820000000002</v>
      </c>
      <c r="C66" s="2">
        <v>-85.449200000000005</v>
      </c>
      <c r="D66" s="2">
        <v>30.001940000000001</v>
      </c>
      <c r="E66" s="2">
        <v>-85.527900000000002</v>
      </c>
      <c r="F66" s="3">
        <v>43133</v>
      </c>
      <c r="G66" s="1" t="s">
        <v>587</v>
      </c>
      <c r="H66" s="1" t="s">
        <v>588</v>
      </c>
      <c r="I66" s="1" t="s">
        <v>329</v>
      </c>
      <c r="J66" s="4">
        <v>0.37638888888888888</v>
      </c>
      <c r="K66" s="1" t="s">
        <v>375</v>
      </c>
      <c r="L66" s="1" t="s">
        <v>331</v>
      </c>
      <c r="M66" s="1" t="s">
        <v>589</v>
      </c>
      <c r="N66" s="1" t="s">
        <v>333</v>
      </c>
      <c r="O66" s="2"/>
      <c r="P66" s="2"/>
      <c r="Q66" s="2">
        <v>6</v>
      </c>
      <c r="R66" s="2">
        <v>11</v>
      </c>
      <c r="S66" s="2">
        <v>2</v>
      </c>
      <c r="T66" s="2">
        <v>7</v>
      </c>
      <c r="U66" s="2"/>
      <c r="V66" s="2"/>
      <c r="W66" s="2"/>
      <c r="X66" s="2"/>
      <c r="Y66" s="2"/>
      <c r="Z66" s="2"/>
      <c r="AA66" s="2"/>
      <c r="AB66" s="2"/>
      <c r="AC66" s="2"/>
      <c r="AD66" s="2">
        <v>3</v>
      </c>
      <c r="AE66" s="2">
        <v>106</v>
      </c>
      <c r="AF66" s="2"/>
      <c r="AG66" s="2"/>
      <c r="AH66" s="2">
        <v>29</v>
      </c>
      <c r="AI66" s="2"/>
      <c r="AJ66" s="2"/>
      <c r="AK66" s="2"/>
      <c r="AL66" s="2">
        <v>8</v>
      </c>
      <c r="AM66" s="2"/>
      <c r="AN66" s="2"/>
      <c r="AO66" s="2"/>
      <c r="AP66" s="2"/>
      <c r="AQ66" s="2"/>
      <c r="AR66" s="2">
        <v>8</v>
      </c>
      <c r="AS66" s="2"/>
      <c r="AT66" s="2">
        <v>8</v>
      </c>
      <c r="AU66" s="2"/>
      <c r="AV66" s="2"/>
      <c r="AW66" s="2">
        <v>25</v>
      </c>
      <c r="AX66" s="2">
        <v>19</v>
      </c>
      <c r="AY66" s="2"/>
      <c r="AZ66" s="2"/>
      <c r="BA66" s="2">
        <v>27</v>
      </c>
      <c r="BB66" s="2">
        <v>3</v>
      </c>
      <c r="BC66" s="2"/>
      <c r="BD66" s="2">
        <v>298</v>
      </c>
      <c r="BE66" s="2">
        <v>4</v>
      </c>
      <c r="BF66" s="2"/>
      <c r="BG66" s="2"/>
      <c r="BH66" s="2"/>
      <c r="BI66" s="1">
        <v>0</v>
      </c>
      <c r="BJ66" s="5"/>
      <c r="BK66" s="1">
        <v>0</v>
      </c>
      <c r="BL66" s="1">
        <v>0</v>
      </c>
      <c r="BM66" s="1">
        <v>29.962440000000001</v>
      </c>
      <c r="BN66" s="1">
        <v>-85.457999999999998</v>
      </c>
      <c r="BO66" s="1">
        <v>0</v>
      </c>
      <c r="BP66" s="5"/>
      <c r="BQ66" s="1">
        <v>0</v>
      </c>
      <c r="BR66" s="5"/>
      <c r="BS66" s="1">
        <v>0</v>
      </c>
      <c r="BT66" s="5"/>
      <c r="BU66" s="1">
        <v>0</v>
      </c>
      <c r="BV66" s="5"/>
      <c r="BW66" s="1">
        <v>0</v>
      </c>
      <c r="BX66" s="5"/>
      <c r="BY66" s="1">
        <v>0</v>
      </c>
      <c r="BZ66" s="5"/>
      <c r="CA66" s="1">
        <v>29.955919999999999</v>
      </c>
      <c r="CB66" s="1">
        <v>-85.453900000000004</v>
      </c>
      <c r="CC66" s="5"/>
      <c r="CD66" s="1">
        <v>0</v>
      </c>
      <c r="CE66" s="5"/>
      <c r="CF66" s="1">
        <v>0</v>
      </c>
      <c r="CG66" s="5"/>
      <c r="CH66" s="1">
        <v>2</v>
      </c>
      <c r="CI66" s="1" t="s">
        <v>590</v>
      </c>
      <c r="CJ66" s="1">
        <v>0</v>
      </c>
      <c r="CK66" s="5"/>
      <c r="CL66" s="1">
        <v>0</v>
      </c>
      <c r="CM66" s="5"/>
      <c r="CN66" s="1">
        <v>0</v>
      </c>
      <c r="CO66" s="5"/>
      <c r="CP66" s="1">
        <v>29.95654</v>
      </c>
      <c r="CQ66" s="1">
        <v>-85.458399999999997</v>
      </c>
      <c r="CR66" s="5"/>
      <c r="CS66" s="1">
        <v>0</v>
      </c>
      <c r="CT66" s="5"/>
      <c r="CU66" s="1">
        <v>0</v>
      </c>
      <c r="CV66" s="5"/>
      <c r="CW66" s="1">
        <v>1</v>
      </c>
      <c r="CX66" s="1" t="s">
        <v>591</v>
      </c>
      <c r="CY66" s="1">
        <v>0</v>
      </c>
      <c r="CZ66" s="5"/>
      <c r="DA66" s="1">
        <v>0</v>
      </c>
      <c r="DB66" s="5"/>
      <c r="DC66" s="1">
        <v>0</v>
      </c>
      <c r="DD66" s="5"/>
      <c r="DE66" s="1">
        <v>29.956379999999999</v>
      </c>
      <c r="DF66" s="1">
        <v>-85.463200000000001</v>
      </c>
      <c r="DG66" s="1" t="s">
        <v>592</v>
      </c>
      <c r="DH66" s="1">
        <v>0</v>
      </c>
      <c r="DI66" s="5"/>
      <c r="DJ66" s="1">
        <v>0</v>
      </c>
      <c r="DK66" s="5"/>
      <c r="DL66" s="1">
        <v>2</v>
      </c>
      <c r="DM66" s="1" t="s">
        <v>593</v>
      </c>
      <c r="DN66" s="1">
        <v>0</v>
      </c>
      <c r="DO66" s="5"/>
      <c r="DP66" s="1">
        <v>0</v>
      </c>
      <c r="DQ66" s="5"/>
      <c r="DR66" s="1">
        <v>0</v>
      </c>
      <c r="DS66" s="5"/>
      <c r="DT66" s="1">
        <v>29.956130000000002</v>
      </c>
      <c r="DU66" s="1">
        <v>-85.4696</v>
      </c>
      <c r="DV66" s="1" t="s">
        <v>594</v>
      </c>
      <c r="DW66" s="1">
        <v>0</v>
      </c>
      <c r="DX66" s="5"/>
      <c r="DY66" s="1">
        <v>0</v>
      </c>
      <c r="DZ66" s="5"/>
      <c r="EA66" s="1">
        <v>1</v>
      </c>
      <c r="EB66" s="1" t="s">
        <v>595</v>
      </c>
      <c r="EC66" s="1">
        <v>0</v>
      </c>
      <c r="ED66" s="5"/>
      <c r="EE66" s="1">
        <v>0</v>
      </c>
      <c r="EF66" s="5"/>
      <c r="EG66" s="1">
        <v>0</v>
      </c>
      <c r="EH66" s="5"/>
      <c r="EI66" s="1">
        <v>29.958649999999999</v>
      </c>
      <c r="EJ66" s="1">
        <v>-85.484200000000001</v>
      </c>
      <c r="EK66" s="5"/>
      <c r="EL66" s="1">
        <v>0</v>
      </c>
      <c r="EM66" s="5"/>
      <c r="EN66" s="1">
        <v>0</v>
      </c>
      <c r="EO66" s="5"/>
      <c r="EP66" s="1">
        <v>2</v>
      </c>
      <c r="EQ66" s="1" t="s">
        <v>596</v>
      </c>
      <c r="ER66" s="1">
        <v>0</v>
      </c>
      <c r="ES66" s="5"/>
      <c r="ET66" s="1">
        <v>0</v>
      </c>
      <c r="EU66" s="5"/>
      <c r="EV66" s="1">
        <v>0</v>
      </c>
      <c r="EW66" s="5"/>
      <c r="EX66" s="1">
        <v>29.959389999999999</v>
      </c>
      <c r="EY66" s="1">
        <v>-85.485900000000001</v>
      </c>
      <c r="EZ66" s="5"/>
      <c r="FA66" s="1">
        <v>0</v>
      </c>
      <c r="FB66" s="5"/>
      <c r="FC66" s="1">
        <v>0</v>
      </c>
      <c r="FD66" s="5"/>
      <c r="FE66" s="1">
        <v>4</v>
      </c>
      <c r="FF66" s="1" t="s">
        <v>597</v>
      </c>
      <c r="FG66" s="5"/>
      <c r="FH66" s="5"/>
      <c r="FI66" s="1">
        <v>0</v>
      </c>
      <c r="FJ66" s="5"/>
      <c r="FK66" s="1">
        <v>0</v>
      </c>
      <c r="FL66" s="5"/>
      <c r="FM66" s="1">
        <v>29.983319999999999</v>
      </c>
      <c r="FN66" s="1">
        <v>-85.509799999999998</v>
      </c>
      <c r="FO66" s="1" t="s">
        <v>598</v>
      </c>
      <c r="FP66" s="1">
        <v>0</v>
      </c>
      <c r="FQ66" s="5"/>
      <c r="FR66" s="1">
        <v>0</v>
      </c>
      <c r="FS66" s="5"/>
      <c r="FT66" s="1">
        <v>0</v>
      </c>
      <c r="FU66" s="5"/>
      <c r="FV66" s="1">
        <v>0</v>
      </c>
      <c r="FW66" s="5"/>
      <c r="FX66" s="1">
        <v>0</v>
      </c>
      <c r="FY66" s="5"/>
      <c r="FZ66" s="1">
        <v>0</v>
      </c>
      <c r="GA66" s="5"/>
      <c r="GB66" s="1">
        <v>29.987880000000001</v>
      </c>
      <c r="GC66" s="1">
        <v>-85.523399999999995</v>
      </c>
      <c r="GD66" s="5"/>
      <c r="GE66" s="1">
        <v>0</v>
      </c>
      <c r="GF66" s="5"/>
      <c r="GG66" s="1">
        <v>0</v>
      </c>
      <c r="GH66" s="5"/>
      <c r="GI66" s="1">
        <v>2</v>
      </c>
      <c r="GJ66" s="1" t="s">
        <v>599</v>
      </c>
      <c r="GK66" s="1">
        <v>0</v>
      </c>
      <c r="GL66" s="5"/>
      <c r="GM66" s="1">
        <v>0</v>
      </c>
      <c r="GN66" s="5"/>
      <c r="GO66" s="1">
        <v>0</v>
      </c>
      <c r="GP66" s="5"/>
      <c r="GQ66" s="1">
        <v>29.992529999999999</v>
      </c>
      <c r="GR66" s="1">
        <v>-85.528099999999995</v>
      </c>
      <c r="GS66" s="5"/>
      <c r="GT66" s="1">
        <v>0</v>
      </c>
      <c r="GU66" s="5"/>
      <c r="GV66" s="1">
        <v>0</v>
      </c>
      <c r="GW66" s="5"/>
      <c r="GX66" s="1">
        <v>5</v>
      </c>
      <c r="GY66" s="1" t="s">
        <v>600</v>
      </c>
      <c r="GZ66" s="1">
        <v>0</v>
      </c>
      <c r="HA66" s="5"/>
      <c r="HB66" s="1">
        <v>0</v>
      </c>
      <c r="HC66" s="5"/>
      <c r="HD66" s="1">
        <v>0</v>
      </c>
      <c r="HE66" s="5"/>
      <c r="HF66" s="1">
        <v>29.995909999999999</v>
      </c>
      <c r="HG66" s="1">
        <v>-85.528899999999993</v>
      </c>
      <c r="HH66" s="5"/>
      <c r="HI66" s="1">
        <v>0</v>
      </c>
      <c r="HJ66" s="5"/>
      <c r="HK66" s="1">
        <v>0</v>
      </c>
      <c r="HL66" s="5"/>
      <c r="HM66" s="1">
        <v>4</v>
      </c>
      <c r="HN66" s="1" t="s">
        <v>601</v>
      </c>
      <c r="HO66" s="1">
        <v>0</v>
      </c>
      <c r="HP66" s="5"/>
      <c r="HQ66" s="1">
        <v>0</v>
      </c>
      <c r="HR66" s="5"/>
      <c r="HS66" s="1">
        <v>0</v>
      </c>
      <c r="HT66" s="5"/>
      <c r="HU66" s="1">
        <v>29.999569999999999</v>
      </c>
      <c r="HV66" s="1">
        <v>-85.5291</v>
      </c>
      <c r="HW66" s="5"/>
      <c r="HX66" s="1">
        <v>0</v>
      </c>
      <c r="HY66" s="5"/>
      <c r="HZ66" s="1">
        <v>0</v>
      </c>
      <c r="IA66" s="5"/>
      <c r="IB66" s="1">
        <v>1</v>
      </c>
      <c r="IC66" s="1" t="s">
        <v>602</v>
      </c>
      <c r="ID66" s="1">
        <v>0</v>
      </c>
      <c r="IE66" s="5"/>
      <c r="IF66" s="1">
        <v>0</v>
      </c>
      <c r="IG66" s="5"/>
      <c r="IH66" s="1">
        <v>0</v>
      </c>
      <c r="II66" s="5"/>
      <c r="IJ66" s="1">
        <v>30.001169999999998</v>
      </c>
      <c r="IK66" s="1">
        <v>-85.528599999999997</v>
      </c>
      <c r="IL66" s="5"/>
      <c r="IM66" s="1">
        <v>0</v>
      </c>
      <c r="IN66" s="5"/>
      <c r="IO66" s="1">
        <v>0</v>
      </c>
      <c r="IP66" s="5"/>
      <c r="IQ66" s="1">
        <v>3</v>
      </c>
      <c r="IR66" s="1" t="s">
        <v>603</v>
      </c>
      <c r="IS66" s="1">
        <v>0</v>
      </c>
      <c r="IT66" s="5"/>
      <c r="IU66" s="1">
        <v>0</v>
      </c>
      <c r="IV66" s="5"/>
      <c r="IW66" s="1">
        <v>0</v>
      </c>
      <c r="IX66" s="5"/>
      <c r="IY66" s="1">
        <v>29.956489999999999</v>
      </c>
      <c r="IZ66" s="1">
        <v>-85.460300000000004</v>
      </c>
      <c r="JA66" s="5"/>
      <c r="JB66" s="1">
        <v>0</v>
      </c>
      <c r="JC66" s="5"/>
      <c r="JD66" s="1">
        <v>0</v>
      </c>
      <c r="JE66" s="5"/>
      <c r="JF66" s="1">
        <v>2</v>
      </c>
      <c r="JG66" s="1" t="s">
        <v>604</v>
      </c>
      <c r="JH66" s="1">
        <v>0</v>
      </c>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1" t="s">
        <v>605</v>
      </c>
    </row>
    <row r="67" spans="1:336" ht="15" x14ac:dyDescent="0.25">
      <c r="A67" s="1" t="s">
        <v>606</v>
      </c>
      <c r="B67" s="2">
        <v>30.05303</v>
      </c>
      <c r="C67" s="2">
        <v>-85.600399999999993</v>
      </c>
      <c r="D67" s="2">
        <v>30.00562</v>
      </c>
      <c r="E67" s="2">
        <v>-85.538499999999999</v>
      </c>
      <c r="F67" s="3">
        <v>43133</v>
      </c>
      <c r="G67" s="1" t="s">
        <v>607</v>
      </c>
      <c r="H67" s="1" t="s">
        <v>519</v>
      </c>
      <c r="I67" s="1" t="s">
        <v>329</v>
      </c>
      <c r="J67" s="4">
        <v>0.34097222222222223</v>
      </c>
      <c r="K67" s="5"/>
      <c r="L67" s="1" t="s">
        <v>331</v>
      </c>
      <c r="M67" s="5"/>
      <c r="N67" s="1" t="s">
        <v>333</v>
      </c>
      <c r="O67" s="2"/>
      <c r="P67" s="2"/>
      <c r="Q67" s="2">
        <v>7</v>
      </c>
      <c r="R67" s="2"/>
      <c r="S67" s="2"/>
      <c r="T67" s="2">
        <v>1</v>
      </c>
      <c r="U67" s="2"/>
      <c r="V67" s="2"/>
      <c r="W67" s="2"/>
      <c r="X67" s="2"/>
      <c r="Y67" s="2"/>
      <c r="Z67" s="2"/>
      <c r="AA67" s="2"/>
      <c r="AB67" s="2"/>
      <c r="AC67" s="2"/>
      <c r="AD67" s="2">
        <v>3</v>
      </c>
      <c r="AE67" s="2">
        <v>60</v>
      </c>
      <c r="AF67" s="2"/>
      <c r="AG67" s="2"/>
      <c r="AH67" s="2">
        <v>30</v>
      </c>
      <c r="AI67" s="2"/>
      <c r="AJ67" s="2"/>
      <c r="AK67" s="2"/>
      <c r="AL67" s="2">
        <v>4</v>
      </c>
      <c r="AM67" s="2"/>
      <c r="AN67" s="2"/>
      <c r="AO67" s="2"/>
      <c r="AP67" s="2"/>
      <c r="AQ67" s="2"/>
      <c r="AR67" s="2">
        <v>2</v>
      </c>
      <c r="AS67" s="2"/>
      <c r="AT67" s="2"/>
      <c r="AU67" s="2"/>
      <c r="AV67" s="2"/>
      <c r="AW67" s="2"/>
      <c r="AX67" s="2">
        <v>2</v>
      </c>
      <c r="AY67" s="2"/>
      <c r="AZ67" s="2"/>
      <c r="BA67" s="2">
        <v>30</v>
      </c>
      <c r="BB67" s="2"/>
      <c r="BC67" s="2"/>
      <c r="BD67" s="2">
        <v>84</v>
      </c>
      <c r="BE67" s="2">
        <v>4</v>
      </c>
      <c r="BF67" s="2"/>
      <c r="BG67" s="2"/>
      <c r="BH67" s="2"/>
      <c r="BI67" s="1">
        <v>0</v>
      </c>
      <c r="BJ67" s="5"/>
      <c r="BK67" s="1">
        <v>0</v>
      </c>
      <c r="BL67" s="5"/>
      <c r="BM67" s="1">
        <v>30.051010000000002</v>
      </c>
      <c r="BN67" s="1">
        <v>-85.598500000000001</v>
      </c>
      <c r="BO67" s="1">
        <v>0</v>
      </c>
      <c r="BP67" s="5"/>
      <c r="BQ67" s="1">
        <v>0</v>
      </c>
      <c r="BR67" s="5"/>
      <c r="BS67" s="1">
        <v>1</v>
      </c>
      <c r="BT67" s="1" t="s">
        <v>608</v>
      </c>
      <c r="BU67" s="1">
        <v>0</v>
      </c>
      <c r="BV67" s="5"/>
      <c r="BW67" s="1">
        <v>0</v>
      </c>
      <c r="BX67" s="5"/>
      <c r="BY67" s="1">
        <v>0</v>
      </c>
      <c r="BZ67" s="5"/>
      <c r="CA67" s="1">
        <v>30.027750000000001</v>
      </c>
      <c r="CB67" s="1">
        <v>-85.570599999999999</v>
      </c>
      <c r="CC67" s="5"/>
      <c r="CD67" s="1">
        <v>0</v>
      </c>
      <c r="CE67" s="5"/>
      <c r="CF67" s="1">
        <v>0</v>
      </c>
      <c r="CG67" s="5"/>
      <c r="CH67" s="1">
        <v>8</v>
      </c>
      <c r="CI67" s="1" t="s">
        <v>609</v>
      </c>
      <c r="CJ67" s="1">
        <v>0</v>
      </c>
      <c r="CK67" s="5"/>
      <c r="CL67" s="1">
        <v>0</v>
      </c>
      <c r="CM67" s="5"/>
      <c r="CN67" s="1">
        <v>0</v>
      </c>
      <c r="CO67" s="5"/>
      <c r="CP67" s="1">
        <v>30.004650000000002</v>
      </c>
      <c r="CQ67" s="1">
        <v>-85.5428</v>
      </c>
      <c r="CR67" s="5"/>
      <c r="CS67" s="1">
        <v>0</v>
      </c>
      <c r="CT67" s="5"/>
      <c r="CU67" s="1">
        <v>0</v>
      </c>
      <c r="CV67" s="5"/>
      <c r="CW67" s="1">
        <v>2</v>
      </c>
      <c r="CX67" s="1" t="s">
        <v>610</v>
      </c>
      <c r="CY67" s="1">
        <v>0</v>
      </c>
      <c r="CZ67" s="5"/>
      <c r="DA67" s="1">
        <v>0</v>
      </c>
      <c r="DB67" s="5"/>
      <c r="DC67" s="1">
        <v>0</v>
      </c>
      <c r="DD67" s="5"/>
      <c r="DE67" s="1">
        <v>30.003550000000001</v>
      </c>
      <c r="DF67" s="1">
        <v>-85.538200000000003</v>
      </c>
      <c r="DG67" s="5"/>
      <c r="DH67" s="1">
        <v>0</v>
      </c>
      <c r="DI67" s="5"/>
      <c r="DJ67" s="1">
        <v>0</v>
      </c>
      <c r="DK67" s="5"/>
      <c r="DL67" s="1">
        <v>3</v>
      </c>
      <c r="DM67" s="1" t="s">
        <v>611</v>
      </c>
      <c r="DN67" s="1">
        <v>0</v>
      </c>
      <c r="DO67" s="5"/>
      <c r="DP67" s="1">
        <v>0</v>
      </c>
      <c r="DQ67" s="5"/>
      <c r="DR67" s="1">
        <v>0</v>
      </c>
      <c r="DS67" s="5"/>
      <c r="DT67" s="1">
        <v>30.00386</v>
      </c>
      <c r="DU67" s="1">
        <v>-85.535700000000006</v>
      </c>
      <c r="DV67" s="5"/>
      <c r="DW67" s="1">
        <v>0</v>
      </c>
      <c r="DX67" s="5"/>
      <c r="DY67" s="1">
        <v>0</v>
      </c>
      <c r="DZ67" s="5"/>
      <c r="EA67" s="1">
        <v>3</v>
      </c>
      <c r="EB67" s="1" t="s">
        <v>612</v>
      </c>
      <c r="EC67" s="1">
        <v>0</v>
      </c>
      <c r="ED67" s="5"/>
      <c r="EE67" s="1">
        <v>0</v>
      </c>
      <c r="EF67" s="5"/>
      <c r="EG67" s="1">
        <v>0</v>
      </c>
      <c r="EH67" s="5"/>
      <c r="EI67" s="1">
        <v>30.00543</v>
      </c>
      <c r="EJ67" s="1">
        <v>-85.534700000000001</v>
      </c>
      <c r="EK67" s="5"/>
      <c r="EL67" s="1">
        <v>0</v>
      </c>
      <c r="EM67" s="5"/>
      <c r="EN67" s="1">
        <v>0</v>
      </c>
      <c r="EO67" s="5"/>
      <c r="EP67" s="1">
        <v>8</v>
      </c>
      <c r="EQ67" s="1" t="s">
        <v>613</v>
      </c>
      <c r="ER67" s="1">
        <v>0</v>
      </c>
      <c r="ES67" s="5"/>
      <c r="ET67" s="1">
        <v>0</v>
      </c>
      <c r="EU67" s="5"/>
      <c r="EV67" s="1">
        <v>0</v>
      </c>
      <c r="EW67" s="5"/>
      <c r="EX67" s="1">
        <v>30.006029999999999</v>
      </c>
      <c r="EY67" s="1">
        <v>-85.542100000000005</v>
      </c>
      <c r="EZ67" s="5"/>
      <c r="FA67" s="1">
        <v>0</v>
      </c>
      <c r="FB67" s="5"/>
      <c r="FC67" s="1">
        <v>0</v>
      </c>
      <c r="FD67" s="5"/>
      <c r="FE67" s="1">
        <v>1</v>
      </c>
      <c r="FF67" s="1" t="s">
        <v>614</v>
      </c>
      <c r="FG67" s="1">
        <v>0</v>
      </c>
      <c r="FH67" s="5"/>
      <c r="FI67" s="1">
        <v>0</v>
      </c>
      <c r="FJ67" s="5"/>
      <c r="FK67" s="1">
        <v>0</v>
      </c>
      <c r="FL67" s="5"/>
      <c r="FM67" s="1">
        <v>30.037109999999998</v>
      </c>
      <c r="FN67" s="1">
        <v>-85.581199999999995</v>
      </c>
      <c r="FO67" s="5"/>
      <c r="FP67" s="1">
        <v>0</v>
      </c>
      <c r="FQ67" s="5"/>
      <c r="FR67" s="1">
        <v>0</v>
      </c>
      <c r="FS67" s="5"/>
      <c r="FT67" s="1">
        <v>4</v>
      </c>
      <c r="FU67" s="1" t="s">
        <v>615</v>
      </c>
      <c r="FV67" s="1">
        <v>0</v>
      </c>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row>
    <row r="68" spans="1:336" ht="15" x14ac:dyDescent="0.25">
      <c r="A68" s="1" t="s">
        <v>616</v>
      </c>
      <c r="B68" s="2">
        <v>24.741420000000002</v>
      </c>
      <c r="C68" s="2">
        <v>-80.98</v>
      </c>
      <c r="D68" s="2">
        <v>24.73997</v>
      </c>
      <c r="E68" s="2">
        <v>-80.983400000000003</v>
      </c>
      <c r="F68" s="3">
        <v>43133</v>
      </c>
      <c r="G68" s="1" t="s">
        <v>617</v>
      </c>
      <c r="H68" s="1" t="s">
        <v>440</v>
      </c>
      <c r="I68" s="1" t="s">
        <v>329</v>
      </c>
      <c r="J68" s="4">
        <v>0.33888888888888891</v>
      </c>
      <c r="K68" s="1" t="s">
        <v>330</v>
      </c>
      <c r="L68" s="1" t="s">
        <v>369</v>
      </c>
      <c r="M68" s="5"/>
      <c r="N68" s="1" t="s">
        <v>333</v>
      </c>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v>1</v>
      </c>
      <c r="BC68" s="2"/>
      <c r="BD68" s="2"/>
      <c r="BE68" s="2"/>
      <c r="BF68" s="2"/>
      <c r="BG68" s="2"/>
      <c r="BH68" s="2"/>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row>
    <row r="69" spans="1:336" ht="15" x14ac:dyDescent="0.25">
      <c r="A69" s="1" t="s">
        <v>618</v>
      </c>
      <c r="B69" s="2">
        <v>25.274760000000001</v>
      </c>
      <c r="C69" s="2">
        <v>-80.292000000000002</v>
      </c>
      <c r="D69" s="2">
        <v>25.27487</v>
      </c>
      <c r="E69" s="2">
        <v>-80.291700000000006</v>
      </c>
      <c r="F69" s="3">
        <v>43133</v>
      </c>
      <c r="G69" s="1" t="s">
        <v>619</v>
      </c>
      <c r="H69" s="1" t="s">
        <v>620</v>
      </c>
      <c r="I69" s="1" t="s">
        <v>329</v>
      </c>
      <c r="J69" s="4">
        <v>0.4826388888888889</v>
      </c>
      <c r="K69" s="5"/>
      <c r="L69" s="5"/>
      <c r="M69" s="1" t="s">
        <v>621</v>
      </c>
      <c r="N69" s="5"/>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v>49</v>
      </c>
      <c r="AX69" s="2"/>
      <c r="AY69" s="2"/>
      <c r="AZ69" s="2"/>
      <c r="BA69" s="2"/>
      <c r="BB69" s="2"/>
      <c r="BC69" s="2"/>
      <c r="BD69" s="2"/>
      <c r="BE69" s="2"/>
      <c r="BF69" s="2"/>
      <c r="BG69" s="2"/>
      <c r="BH69" s="2"/>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row>
    <row r="70" spans="1:336" ht="15" x14ac:dyDescent="0.25">
      <c r="A70" s="1" t="s">
        <v>622</v>
      </c>
      <c r="B70" s="2">
        <v>25.180050000000001</v>
      </c>
      <c r="C70" s="2">
        <v>-80.361599999999996</v>
      </c>
      <c r="D70" s="2">
        <v>25.176189999999998</v>
      </c>
      <c r="E70" s="2">
        <v>-80.364099999999993</v>
      </c>
      <c r="F70" s="3">
        <v>43133</v>
      </c>
      <c r="G70" s="1" t="s">
        <v>619</v>
      </c>
      <c r="H70" s="1" t="s">
        <v>620</v>
      </c>
      <c r="I70" s="1" t="s">
        <v>329</v>
      </c>
      <c r="J70" s="4">
        <v>0.40277777777777779</v>
      </c>
      <c r="K70" s="5"/>
      <c r="L70" s="5"/>
      <c r="M70" s="5"/>
      <c r="N70" s="5"/>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row>
    <row r="71" spans="1:336" ht="15" x14ac:dyDescent="0.25">
      <c r="A71" s="1" t="s">
        <v>623</v>
      </c>
      <c r="B71" s="2">
        <v>30.4054</v>
      </c>
      <c r="C71" s="2">
        <v>-81.505700000000004</v>
      </c>
      <c r="D71" s="2">
        <v>30.404699999999998</v>
      </c>
      <c r="E71" s="2">
        <v>-81.505600000000001</v>
      </c>
      <c r="F71" s="3">
        <v>43138</v>
      </c>
      <c r="G71" s="1" t="s">
        <v>624</v>
      </c>
      <c r="H71" s="1" t="s">
        <v>625</v>
      </c>
      <c r="I71" s="1" t="s">
        <v>329</v>
      </c>
      <c r="J71" s="4">
        <v>0.35416666666666669</v>
      </c>
      <c r="K71" s="1" t="s">
        <v>330</v>
      </c>
      <c r="L71" s="1" t="s">
        <v>331</v>
      </c>
      <c r="M71" s="1" t="s">
        <v>626</v>
      </c>
      <c r="N71" s="1" t="s">
        <v>333</v>
      </c>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v>3</v>
      </c>
      <c r="AU71" s="2"/>
      <c r="AV71" s="2"/>
      <c r="AW71" s="2">
        <v>3</v>
      </c>
      <c r="AX71" s="2">
        <v>2</v>
      </c>
      <c r="AY71" s="2"/>
      <c r="AZ71" s="2"/>
      <c r="BA71" s="2"/>
      <c r="BB71" s="2">
        <v>6</v>
      </c>
      <c r="BC71" s="2"/>
      <c r="BD71" s="2"/>
      <c r="BE71" s="2"/>
      <c r="BF71" s="2"/>
      <c r="BG71" s="2"/>
      <c r="BH71" s="2">
        <v>2</v>
      </c>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row>
    <row r="72" spans="1:336" ht="15" x14ac:dyDescent="0.25">
      <c r="A72" s="1" t="s">
        <v>627</v>
      </c>
      <c r="B72" s="2">
        <v>30.4054</v>
      </c>
      <c r="C72" s="2">
        <v>-81.505700000000004</v>
      </c>
      <c r="D72" s="2">
        <v>30.3994</v>
      </c>
      <c r="E72" s="2">
        <v>-81.493600000000001</v>
      </c>
      <c r="F72" s="3">
        <v>43138</v>
      </c>
      <c r="G72" s="1" t="s">
        <v>624</v>
      </c>
      <c r="H72" s="1" t="s">
        <v>625</v>
      </c>
      <c r="I72" s="1" t="s">
        <v>329</v>
      </c>
      <c r="J72" s="4">
        <v>0.35416666666666669</v>
      </c>
      <c r="K72" s="1" t="s">
        <v>330</v>
      </c>
      <c r="L72" s="1" t="s">
        <v>331</v>
      </c>
      <c r="M72" s="5"/>
      <c r="N72" s="1" t="s">
        <v>333</v>
      </c>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v>2</v>
      </c>
      <c r="AU72" s="2"/>
      <c r="AV72" s="2"/>
      <c r="AW72" s="2"/>
      <c r="AX72" s="2"/>
      <c r="AY72" s="2"/>
      <c r="AZ72" s="2"/>
      <c r="BA72" s="2"/>
      <c r="BB72" s="2">
        <v>1</v>
      </c>
      <c r="BC72" s="2"/>
      <c r="BD72" s="2"/>
      <c r="BE72" s="2">
        <v>1</v>
      </c>
      <c r="BF72" s="2"/>
      <c r="BG72" s="2"/>
      <c r="BH72" s="2"/>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row>
    <row r="73" spans="1:336" ht="15" x14ac:dyDescent="0.25">
      <c r="A73" s="1" t="s">
        <v>628</v>
      </c>
      <c r="B73" s="2">
        <v>30.30227</v>
      </c>
      <c r="C73" s="2">
        <v>-86.085099999999997</v>
      </c>
      <c r="D73" s="2">
        <v>30.299289999999999</v>
      </c>
      <c r="E73" s="2">
        <v>-86.077399999999997</v>
      </c>
      <c r="F73" s="3">
        <v>43136</v>
      </c>
      <c r="G73" s="1" t="s">
        <v>373</v>
      </c>
      <c r="H73" s="1" t="s">
        <v>374</v>
      </c>
      <c r="I73" s="1" t="s">
        <v>329</v>
      </c>
      <c r="J73" s="4">
        <v>0.39930555555555558</v>
      </c>
      <c r="K73" s="1" t="s">
        <v>368</v>
      </c>
      <c r="L73" s="1" t="s">
        <v>364</v>
      </c>
      <c r="M73" s="1" t="s">
        <v>629</v>
      </c>
      <c r="N73" s="1" t="s">
        <v>333</v>
      </c>
      <c r="O73" s="2"/>
      <c r="P73" s="2"/>
      <c r="Q73" s="2"/>
      <c r="R73" s="2"/>
      <c r="S73" s="2"/>
      <c r="T73" s="2"/>
      <c r="U73" s="2"/>
      <c r="V73" s="2"/>
      <c r="W73" s="2"/>
      <c r="X73" s="2"/>
      <c r="Y73" s="2"/>
      <c r="Z73" s="2"/>
      <c r="AA73" s="2"/>
      <c r="AB73" s="2"/>
      <c r="AC73" s="2"/>
      <c r="AD73" s="2"/>
      <c r="AE73" s="2">
        <v>10</v>
      </c>
      <c r="AF73" s="2"/>
      <c r="AG73" s="2"/>
      <c r="AH73" s="2">
        <v>3</v>
      </c>
      <c r="AI73" s="2"/>
      <c r="AJ73" s="2"/>
      <c r="AK73" s="2"/>
      <c r="AL73" s="2"/>
      <c r="AM73" s="2"/>
      <c r="AN73" s="2"/>
      <c r="AO73" s="2"/>
      <c r="AP73" s="2"/>
      <c r="AQ73" s="2"/>
      <c r="AR73" s="2"/>
      <c r="AS73" s="2"/>
      <c r="AT73" s="2"/>
      <c r="AU73" s="2"/>
      <c r="AV73" s="2"/>
      <c r="AW73" s="2"/>
      <c r="AX73" s="2"/>
      <c r="AY73" s="2"/>
      <c r="AZ73" s="2"/>
      <c r="BA73" s="2"/>
      <c r="BB73" s="2"/>
      <c r="BC73" s="2"/>
      <c r="BD73" s="2">
        <v>2</v>
      </c>
      <c r="BE73" s="2"/>
      <c r="BF73" s="2"/>
      <c r="BG73" s="2"/>
      <c r="BH73" s="2"/>
      <c r="BI73" s="5"/>
      <c r="BJ73" s="5"/>
      <c r="BK73" s="5"/>
      <c r="BL73" s="5"/>
      <c r="BM73" s="1">
        <v>30.301680000000001</v>
      </c>
      <c r="BN73" s="1">
        <v>-86.084199999999996</v>
      </c>
      <c r="BO73" s="5"/>
      <c r="BP73" s="5"/>
      <c r="BQ73" s="5"/>
      <c r="BR73" s="5"/>
      <c r="BS73" s="1">
        <v>3</v>
      </c>
      <c r="BT73" s="1" t="s">
        <v>630</v>
      </c>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row>
    <row r="74" spans="1:336" ht="15" x14ac:dyDescent="0.25">
      <c r="A74" s="1" t="s">
        <v>631</v>
      </c>
      <c r="B74" s="2">
        <v>26.273019999999999</v>
      </c>
      <c r="C74" s="2">
        <v>-81.828000000000003</v>
      </c>
      <c r="D74" s="2">
        <v>26.288720000000001</v>
      </c>
      <c r="E74" s="2">
        <v>-81.828999999999994</v>
      </c>
      <c r="F74" s="3">
        <v>43138</v>
      </c>
      <c r="G74" s="1" t="s">
        <v>632</v>
      </c>
      <c r="H74" s="1" t="s">
        <v>559</v>
      </c>
      <c r="I74" s="1" t="s">
        <v>329</v>
      </c>
      <c r="J74" s="4">
        <v>0.47152777777777777</v>
      </c>
      <c r="K74" s="1" t="s">
        <v>633</v>
      </c>
      <c r="L74" s="1" t="s">
        <v>364</v>
      </c>
      <c r="M74" s="5"/>
      <c r="N74" s="1" t="s">
        <v>333</v>
      </c>
      <c r="O74" s="2"/>
      <c r="P74" s="2"/>
      <c r="Q74" s="2"/>
      <c r="R74" s="2"/>
      <c r="S74" s="2"/>
      <c r="T74" s="2"/>
      <c r="U74" s="2"/>
      <c r="V74" s="2"/>
      <c r="W74" s="2"/>
      <c r="X74" s="2"/>
      <c r="Y74" s="2"/>
      <c r="Z74" s="2"/>
      <c r="AA74" s="2"/>
      <c r="AB74" s="2"/>
      <c r="AC74" s="2"/>
      <c r="AD74" s="2">
        <v>4</v>
      </c>
      <c r="AE74" s="2">
        <v>4</v>
      </c>
      <c r="AF74" s="2"/>
      <c r="AG74" s="2"/>
      <c r="AH74" s="2"/>
      <c r="AI74" s="2"/>
      <c r="AJ74" s="2"/>
      <c r="AK74" s="2"/>
      <c r="AL74" s="2">
        <v>2</v>
      </c>
      <c r="AM74" s="2"/>
      <c r="AN74" s="2"/>
      <c r="AO74" s="2"/>
      <c r="AP74" s="2"/>
      <c r="AQ74" s="2"/>
      <c r="AR74" s="2"/>
      <c r="AS74" s="2"/>
      <c r="AT74" s="2">
        <v>8</v>
      </c>
      <c r="AU74" s="2"/>
      <c r="AV74" s="2"/>
      <c r="AW74" s="2"/>
      <c r="AX74" s="2"/>
      <c r="AY74" s="2"/>
      <c r="AZ74" s="2"/>
      <c r="BA74" s="2"/>
      <c r="BB74" s="2">
        <v>16</v>
      </c>
      <c r="BC74" s="2"/>
      <c r="BD74" s="2">
        <v>9</v>
      </c>
      <c r="BE74" s="2"/>
      <c r="BF74" s="2"/>
      <c r="BG74" s="2"/>
      <c r="BH74" s="2"/>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row>
    <row r="75" spans="1:336" ht="15" x14ac:dyDescent="0.25">
      <c r="A75" s="1" t="s">
        <v>634</v>
      </c>
      <c r="B75" s="2">
        <v>27.76868</v>
      </c>
      <c r="C75" s="2">
        <v>-80.388400000000004</v>
      </c>
      <c r="D75" s="2">
        <v>27.711749999999999</v>
      </c>
      <c r="E75" s="2">
        <v>-80.374399999999994</v>
      </c>
      <c r="F75" s="3">
        <v>43137</v>
      </c>
      <c r="G75" s="1" t="s">
        <v>635</v>
      </c>
      <c r="H75" s="1" t="s">
        <v>636</v>
      </c>
      <c r="I75" s="1" t="s">
        <v>329</v>
      </c>
      <c r="J75" s="4">
        <v>0.42291666666666666</v>
      </c>
      <c r="K75" s="1" t="s">
        <v>330</v>
      </c>
      <c r="L75" s="1" t="s">
        <v>364</v>
      </c>
      <c r="M75" s="5"/>
      <c r="N75" s="1" t="s">
        <v>333</v>
      </c>
      <c r="O75" s="2"/>
      <c r="P75" s="2"/>
      <c r="Q75" s="2"/>
      <c r="R75" s="2"/>
      <c r="S75" s="2"/>
      <c r="T75" s="2"/>
      <c r="U75" s="2"/>
      <c r="V75" s="2"/>
      <c r="W75" s="2"/>
      <c r="X75" s="2"/>
      <c r="Y75" s="2"/>
      <c r="Z75" s="2"/>
      <c r="AA75" s="2"/>
      <c r="AB75" s="2"/>
      <c r="AC75" s="2"/>
      <c r="AD75" s="2"/>
      <c r="AE75" s="2">
        <v>25</v>
      </c>
      <c r="AF75" s="2"/>
      <c r="AG75" s="2"/>
      <c r="AH75" s="2"/>
      <c r="AI75" s="2"/>
      <c r="AJ75" s="2"/>
      <c r="AK75" s="2"/>
      <c r="AL75" s="2">
        <v>2</v>
      </c>
      <c r="AM75" s="2"/>
      <c r="AN75" s="2"/>
      <c r="AO75" s="2"/>
      <c r="AP75" s="2"/>
      <c r="AQ75" s="2"/>
      <c r="AR75" s="2"/>
      <c r="AS75" s="2"/>
      <c r="AT75" s="2"/>
      <c r="AU75" s="2"/>
      <c r="AV75" s="2"/>
      <c r="AW75" s="2"/>
      <c r="AX75" s="2"/>
      <c r="AY75" s="2"/>
      <c r="AZ75" s="2"/>
      <c r="BA75" s="2"/>
      <c r="BB75" s="2"/>
      <c r="BC75" s="2">
        <v>1</v>
      </c>
      <c r="BD75" s="2">
        <v>19</v>
      </c>
      <c r="BE75" s="2">
        <v>1</v>
      </c>
      <c r="BF75" s="2"/>
      <c r="BG75" s="2"/>
      <c r="BH75" s="2"/>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row>
    <row r="76" spans="1:336" ht="15" x14ac:dyDescent="0.25">
      <c r="A76" s="1" t="s">
        <v>637</v>
      </c>
      <c r="B76" s="2">
        <v>29.826550000000001</v>
      </c>
      <c r="C76" s="2">
        <v>-84.578100000000006</v>
      </c>
      <c r="D76" s="2">
        <v>29.783329999999999</v>
      </c>
      <c r="E76" s="2">
        <v>-84.674700000000001</v>
      </c>
      <c r="F76" s="3">
        <v>43137</v>
      </c>
      <c r="G76" s="1" t="s">
        <v>638</v>
      </c>
      <c r="H76" s="1" t="s">
        <v>639</v>
      </c>
      <c r="I76" s="1" t="s">
        <v>329</v>
      </c>
      <c r="J76" s="4">
        <v>0.39583333333333331</v>
      </c>
      <c r="K76" s="1" t="s">
        <v>375</v>
      </c>
      <c r="L76" s="1" t="s">
        <v>364</v>
      </c>
      <c r="M76" s="1" t="s">
        <v>637</v>
      </c>
      <c r="N76" s="1" t="s">
        <v>333</v>
      </c>
      <c r="O76" s="2">
        <v>12</v>
      </c>
      <c r="P76" s="2"/>
      <c r="Q76" s="2">
        <v>8</v>
      </c>
      <c r="R76" s="2"/>
      <c r="S76" s="2">
        <v>1</v>
      </c>
      <c r="T76" s="2">
        <v>9</v>
      </c>
      <c r="U76" s="2"/>
      <c r="V76" s="2"/>
      <c r="W76" s="2"/>
      <c r="X76" s="2"/>
      <c r="Y76" s="2"/>
      <c r="Z76" s="2"/>
      <c r="AA76" s="2"/>
      <c r="AB76" s="2"/>
      <c r="AC76" s="2"/>
      <c r="AD76" s="2">
        <v>30</v>
      </c>
      <c r="AE76" s="2">
        <v>67</v>
      </c>
      <c r="AF76" s="2"/>
      <c r="AG76" s="2"/>
      <c r="AH76" s="2">
        <v>24</v>
      </c>
      <c r="AI76" s="2"/>
      <c r="AJ76" s="2"/>
      <c r="AK76" s="2"/>
      <c r="AL76" s="2">
        <v>87</v>
      </c>
      <c r="AM76" s="2"/>
      <c r="AN76" s="2"/>
      <c r="AO76" s="2"/>
      <c r="AP76" s="2"/>
      <c r="AQ76" s="2"/>
      <c r="AR76" s="2"/>
      <c r="AS76" s="2"/>
      <c r="AT76" s="2">
        <v>5</v>
      </c>
      <c r="AU76" s="2"/>
      <c r="AV76" s="2"/>
      <c r="AW76" s="2">
        <v>7</v>
      </c>
      <c r="AX76" s="2">
        <v>6</v>
      </c>
      <c r="AY76" s="2"/>
      <c r="AZ76" s="2"/>
      <c r="BA76" s="2">
        <v>10</v>
      </c>
      <c r="BB76" s="2">
        <v>1</v>
      </c>
      <c r="BC76" s="2"/>
      <c r="BD76" s="2">
        <v>19</v>
      </c>
      <c r="BE76" s="2">
        <v>17</v>
      </c>
      <c r="BF76" s="2"/>
      <c r="BG76" s="2"/>
      <c r="BH76" s="2"/>
      <c r="BI76" s="6">
        <v>2</v>
      </c>
      <c r="BJ76" s="7"/>
      <c r="BK76" s="7"/>
      <c r="BL76" s="7"/>
      <c r="BM76" s="6">
        <v>29.799790000000002</v>
      </c>
      <c r="BN76" s="6">
        <v>-84.597800000000007</v>
      </c>
      <c r="BO76" s="7"/>
      <c r="BP76" s="7"/>
      <c r="BQ76" s="7"/>
      <c r="BR76" s="7"/>
      <c r="BS76" s="7"/>
      <c r="BT76" s="7"/>
      <c r="BU76" s="7"/>
      <c r="BV76" s="7"/>
      <c r="BW76" s="6">
        <v>2</v>
      </c>
      <c r="BX76" s="7"/>
      <c r="BY76" s="7"/>
      <c r="BZ76" s="7"/>
      <c r="CA76" s="6">
        <v>29.78801</v>
      </c>
      <c r="CB76" s="6">
        <v>-84.631799999999998</v>
      </c>
      <c r="CC76" s="7"/>
      <c r="CD76" s="7"/>
      <c r="CE76" s="7"/>
      <c r="CF76" s="7"/>
      <c r="CG76" s="7"/>
      <c r="CH76" s="7"/>
      <c r="CI76" s="7"/>
      <c r="CJ76" s="7"/>
      <c r="CK76" s="7"/>
      <c r="CL76" s="6">
        <v>2</v>
      </c>
      <c r="CM76" s="7"/>
      <c r="CN76" s="7"/>
      <c r="CO76" s="7"/>
      <c r="CP76" s="6">
        <v>29.78238</v>
      </c>
      <c r="CQ76" s="6">
        <v>-84.649500000000003</v>
      </c>
      <c r="CR76" s="7"/>
      <c r="CS76" s="7"/>
      <c r="CT76" s="7"/>
      <c r="CU76" s="7"/>
      <c r="CV76" s="7"/>
      <c r="CW76" s="7"/>
      <c r="CX76" s="7"/>
      <c r="CY76" s="7"/>
      <c r="CZ76" s="7"/>
      <c r="DA76" s="6">
        <v>2</v>
      </c>
      <c r="DB76" s="7"/>
      <c r="DC76" s="7"/>
      <c r="DD76" s="7"/>
      <c r="DE76" s="6">
        <v>29.780529999999999</v>
      </c>
      <c r="DF76" s="6">
        <v>-84.658100000000005</v>
      </c>
      <c r="DG76" s="7"/>
      <c r="DH76" s="7"/>
      <c r="DI76" s="7"/>
      <c r="DJ76" s="7"/>
      <c r="DK76" s="7"/>
      <c r="DL76" s="7"/>
      <c r="DM76" s="7"/>
      <c r="DN76" s="7"/>
      <c r="DO76" s="7"/>
      <c r="DP76" s="6">
        <v>2</v>
      </c>
      <c r="DQ76" s="7"/>
      <c r="DR76" s="7"/>
      <c r="DS76" s="7"/>
      <c r="DT76" s="6">
        <v>29.778780000000001</v>
      </c>
      <c r="DU76" s="6">
        <v>-84.672799999999995</v>
      </c>
      <c r="DV76" s="7"/>
      <c r="DW76" s="7"/>
      <c r="DX76" s="7"/>
      <c r="DY76" s="7"/>
      <c r="DZ76" s="7"/>
      <c r="EA76" s="6">
        <v>2</v>
      </c>
      <c r="EB76" s="6" t="s">
        <v>640</v>
      </c>
      <c r="EC76" s="7"/>
      <c r="ED76" s="7"/>
      <c r="EE76" s="7"/>
      <c r="EF76" s="7"/>
      <c r="EG76" s="7"/>
      <c r="EH76" s="7"/>
      <c r="EI76" s="6">
        <v>29.781580000000002</v>
      </c>
      <c r="EJ76" s="6">
        <v>-84.652500000000003</v>
      </c>
      <c r="EK76" s="7"/>
      <c r="EL76" s="7"/>
      <c r="EM76" s="7"/>
      <c r="EN76" s="7"/>
      <c r="EO76" s="7"/>
      <c r="EP76" s="6">
        <v>2</v>
      </c>
      <c r="EQ76" s="6" t="s">
        <v>641</v>
      </c>
      <c r="ER76" s="7"/>
      <c r="ES76" s="7"/>
      <c r="ET76" s="7"/>
      <c r="EU76" s="7"/>
      <c r="EV76" s="7"/>
      <c r="EW76" s="7"/>
      <c r="EX76" s="6">
        <v>29.781680000000001</v>
      </c>
      <c r="EY76" s="6">
        <v>-84.651700000000005</v>
      </c>
      <c r="EZ76" s="7"/>
      <c r="FA76" s="7"/>
      <c r="FB76" s="7"/>
      <c r="FC76" s="7"/>
      <c r="FD76" s="7"/>
      <c r="FE76" s="6">
        <v>3</v>
      </c>
      <c r="FF76" s="6" t="s">
        <v>642</v>
      </c>
      <c r="FG76" s="7"/>
      <c r="FH76" s="7"/>
      <c r="FI76" s="7"/>
      <c r="FJ76" s="7"/>
      <c r="FK76" s="7"/>
      <c r="FL76" s="7"/>
      <c r="FM76" s="6">
        <v>29.819510000000001</v>
      </c>
      <c r="FN76" s="6">
        <v>-84.572000000000003</v>
      </c>
      <c r="FO76" s="7"/>
      <c r="FP76" s="7"/>
      <c r="FQ76" s="7"/>
      <c r="FR76" s="7"/>
      <c r="FS76" s="7"/>
      <c r="FT76" s="6">
        <v>13</v>
      </c>
      <c r="FU76" s="6" t="s">
        <v>643</v>
      </c>
      <c r="FV76" s="7"/>
      <c r="FW76" s="7"/>
      <c r="FX76" s="6">
        <v>2</v>
      </c>
      <c r="FY76" s="7"/>
      <c r="FZ76" s="7"/>
      <c r="GA76" s="7"/>
      <c r="GB76" s="6">
        <v>29.811240000000002</v>
      </c>
      <c r="GC76" s="6">
        <v>-84.576099999999997</v>
      </c>
      <c r="GD76" s="7"/>
      <c r="GE76" s="7"/>
      <c r="GF76" s="7"/>
      <c r="GG76" s="7"/>
      <c r="GH76" s="7"/>
      <c r="GI76" s="7"/>
      <c r="GJ76" s="7"/>
      <c r="GK76" s="7"/>
      <c r="GL76" s="7"/>
      <c r="GM76" s="7"/>
      <c r="GN76" s="7"/>
      <c r="GO76" s="7"/>
      <c r="GP76" s="7"/>
      <c r="GQ76" s="6">
        <v>29.787980000000001</v>
      </c>
      <c r="GR76" s="6">
        <v>-84.629800000000003</v>
      </c>
      <c r="GS76" s="7"/>
      <c r="GT76" s="7"/>
      <c r="GU76" s="7"/>
      <c r="GV76" s="7"/>
      <c r="GW76" s="7"/>
      <c r="GX76" s="6">
        <v>2</v>
      </c>
      <c r="GY76" s="6" t="s">
        <v>644</v>
      </c>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row>
    <row r="77" spans="1:336" ht="15" x14ac:dyDescent="0.25">
      <c r="A77" s="1" t="s">
        <v>645</v>
      </c>
      <c r="B77" s="2">
        <v>26.853960000000001</v>
      </c>
      <c r="C77" s="2">
        <v>-82.3095</v>
      </c>
      <c r="D77" s="2">
        <v>26.839690000000001</v>
      </c>
      <c r="E77" s="2">
        <v>-82.299000000000007</v>
      </c>
      <c r="F77" s="3">
        <v>43136</v>
      </c>
      <c r="G77" s="1" t="s">
        <v>646</v>
      </c>
      <c r="H77" s="1" t="s">
        <v>647</v>
      </c>
      <c r="I77" s="1" t="s">
        <v>329</v>
      </c>
      <c r="J77" s="4">
        <v>0.39583333333333331</v>
      </c>
      <c r="K77" s="1" t="s">
        <v>375</v>
      </c>
      <c r="L77" s="1" t="s">
        <v>369</v>
      </c>
      <c r="M77" s="5"/>
      <c r="N77" s="1" t="s">
        <v>333</v>
      </c>
      <c r="O77" s="2"/>
      <c r="P77" s="2"/>
      <c r="Q77" s="2"/>
      <c r="R77" s="2"/>
      <c r="S77" s="2"/>
      <c r="T77" s="2"/>
      <c r="U77" s="2"/>
      <c r="V77" s="2"/>
      <c r="W77" s="2"/>
      <c r="X77" s="2"/>
      <c r="Y77" s="2"/>
      <c r="Z77" s="2"/>
      <c r="AA77" s="2"/>
      <c r="AB77" s="2"/>
      <c r="AC77" s="2"/>
      <c r="AD77" s="2">
        <v>1</v>
      </c>
      <c r="AE77" s="2">
        <v>37</v>
      </c>
      <c r="AF77" s="2"/>
      <c r="AG77" s="2"/>
      <c r="AH77" s="2"/>
      <c r="AI77" s="2"/>
      <c r="AJ77" s="2"/>
      <c r="AK77" s="2"/>
      <c r="AL77" s="2">
        <v>2</v>
      </c>
      <c r="AM77" s="2"/>
      <c r="AN77" s="2"/>
      <c r="AO77" s="2"/>
      <c r="AP77" s="2"/>
      <c r="AQ77" s="2"/>
      <c r="AR77" s="2"/>
      <c r="AS77" s="2"/>
      <c r="AT77" s="2">
        <v>1</v>
      </c>
      <c r="AU77" s="2"/>
      <c r="AV77" s="2"/>
      <c r="AW77" s="2"/>
      <c r="AX77" s="2"/>
      <c r="AY77" s="2"/>
      <c r="AZ77" s="2"/>
      <c r="BA77" s="2"/>
      <c r="BB77" s="2"/>
      <c r="BC77" s="2"/>
      <c r="BD77" s="2"/>
      <c r="BE77" s="2"/>
      <c r="BF77" s="2"/>
      <c r="BG77" s="2"/>
      <c r="BH77" s="2"/>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row>
    <row r="78" spans="1:336" ht="15" x14ac:dyDescent="0.25">
      <c r="A78" s="1" t="s">
        <v>648</v>
      </c>
      <c r="B78" s="2">
        <v>26.871639999999999</v>
      </c>
      <c r="C78" s="2">
        <v>-82.322000000000003</v>
      </c>
      <c r="D78" s="2">
        <v>26.854310000000002</v>
      </c>
      <c r="E78" s="2">
        <v>-82.309700000000007</v>
      </c>
      <c r="F78" s="3">
        <v>43133</v>
      </c>
      <c r="G78" s="1" t="s">
        <v>649</v>
      </c>
      <c r="H78" s="1" t="s">
        <v>482</v>
      </c>
      <c r="I78" s="1" t="s">
        <v>329</v>
      </c>
      <c r="J78" s="4">
        <v>0.4375</v>
      </c>
      <c r="K78" s="5"/>
      <c r="L78" s="1" t="s">
        <v>441</v>
      </c>
      <c r="M78" s="1" t="s">
        <v>648</v>
      </c>
      <c r="N78" s="1" t="s">
        <v>333</v>
      </c>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row>
    <row r="79" spans="1:336" ht="15" x14ac:dyDescent="0.25">
      <c r="A79" s="1" t="s">
        <v>650</v>
      </c>
      <c r="B79" s="2">
        <v>26.060600000000001</v>
      </c>
      <c r="C79" s="2">
        <v>-80.111400000000003</v>
      </c>
      <c r="D79" s="2">
        <v>26.092500000000001</v>
      </c>
      <c r="E79" s="2">
        <v>-80.107900000000001</v>
      </c>
      <c r="F79" s="3">
        <v>43137</v>
      </c>
      <c r="G79" s="1" t="s">
        <v>651</v>
      </c>
      <c r="H79" s="1" t="s">
        <v>652</v>
      </c>
      <c r="I79" s="1" t="s">
        <v>329</v>
      </c>
      <c r="J79" s="4">
        <v>0.33333333333333331</v>
      </c>
      <c r="K79" s="1" t="s">
        <v>330</v>
      </c>
      <c r="L79" s="1" t="s">
        <v>441</v>
      </c>
      <c r="M79" s="5"/>
      <c r="N79" s="1" t="s">
        <v>333</v>
      </c>
      <c r="O79" s="2"/>
      <c r="P79" s="2"/>
      <c r="Q79" s="2">
        <v>28</v>
      </c>
      <c r="R79" s="2"/>
      <c r="S79" s="2"/>
      <c r="T79" s="2"/>
      <c r="U79" s="2"/>
      <c r="V79" s="2"/>
      <c r="W79" s="2"/>
      <c r="X79" s="2"/>
      <c r="Y79" s="2"/>
      <c r="Z79" s="2"/>
      <c r="AA79" s="2"/>
      <c r="AB79" s="2"/>
      <c r="AC79" s="2"/>
      <c r="AD79" s="2"/>
      <c r="AE79" s="2">
        <v>52</v>
      </c>
      <c r="AF79" s="2">
        <v>1</v>
      </c>
      <c r="AG79" s="2">
        <v>10</v>
      </c>
      <c r="AH79" s="2"/>
      <c r="AI79" s="2"/>
      <c r="AJ79" s="2"/>
      <c r="AK79" s="2"/>
      <c r="AL79" s="2">
        <v>5</v>
      </c>
      <c r="AM79" s="2"/>
      <c r="AN79" s="2"/>
      <c r="AO79" s="2"/>
      <c r="AP79" s="2"/>
      <c r="AQ79" s="2"/>
      <c r="AR79" s="2"/>
      <c r="AS79" s="2"/>
      <c r="AT79" s="2"/>
      <c r="AU79" s="2"/>
      <c r="AV79" s="2"/>
      <c r="AW79" s="2"/>
      <c r="AX79" s="2"/>
      <c r="AY79" s="2"/>
      <c r="AZ79" s="2"/>
      <c r="BA79" s="2"/>
      <c r="BB79" s="2"/>
      <c r="BC79" s="2">
        <v>1</v>
      </c>
      <c r="BD79" s="2">
        <v>11</v>
      </c>
      <c r="BE79" s="2">
        <v>1</v>
      </c>
      <c r="BF79" s="2"/>
      <c r="BG79" s="2"/>
      <c r="BH79" s="2"/>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row>
    <row r="80" spans="1:336" ht="15" x14ac:dyDescent="0.25">
      <c r="A80" s="1" t="s">
        <v>653</v>
      </c>
      <c r="B80" s="2">
        <v>29.146260000000002</v>
      </c>
      <c r="C80" s="2">
        <v>-80.976799999999997</v>
      </c>
      <c r="D80" s="2">
        <v>29.065010000000001</v>
      </c>
      <c r="E80" s="2">
        <v>-80.916499999999999</v>
      </c>
      <c r="F80" s="3">
        <v>43137</v>
      </c>
      <c r="G80" s="1" t="s">
        <v>654</v>
      </c>
      <c r="H80" s="1" t="s">
        <v>655</v>
      </c>
      <c r="I80" s="1" t="s">
        <v>329</v>
      </c>
      <c r="J80" s="4">
        <v>0.38541666666666669</v>
      </c>
      <c r="K80" s="1" t="s">
        <v>330</v>
      </c>
      <c r="L80" s="5"/>
      <c r="M80" s="5"/>
      <c r="N80" s="1" t="s">
        <v>333</v>
      </c>
      <c r="O80" s="2">
        <v>4</v>
      </c>
      <c r="P80" s="2"/>
      <c r="Q80" s="2">
        <v>66</v>
      </c>
      <c r="R80" s="2">
        <v>105</v>
      </c>
      <c r="S80" s="2">
        <v>9</v>
      </c>
      <c r="T80" s="2"/>
      <c r="U80" s="2"/>
      <c r="V80" s="2">
        <v>1</v>
      </c>
      <c r="W80" s="2"/>
      <c r="X80" s="2"/>
      <c r="Y80" s="2"/>
      <c r="Z80" s="2"/>
      <c r="AA80" s="2"/>
      <c r="AB80" s="2">
        <v>22</v>
      </c>
      <c r="AC80" s="2"/>
      <c r="AD80" s="2">
        <v>34</v>
      </c>
      <c r="AE80" s="2">
        <v>239</v>
      </c>
      <c r="AF80" s="2">
        <v>52</v>
      </c>
      <c r="AG80" s="2"/>
      <c r="AH80" s="2"/>
      <c r="AI80" s="2">
        <v>2</v>
      </c>
      <c r="AJ80" s="2"/>
      <c r="AK80" s="2"/>
      <c r="AL80" s="2">
        <v>6</v>
      </c>
      <c r="AM80" s="2">
        <v>2</v>
      </c>
      <c r="AN80" s="2"/>
      <c r="AO80" s="2"/>
      <c r="AP80" s="2"/>
      <c r="AQ80" s="2">
        <v>233</v>
      </c>
      <c r="AR80" s="2">
        <v>7</v>
      </c>
      <c r="AS80" s="2"/>
      <c r="AT80" s="2">
        <v>180</v>
      </c>
      <c r="AU80" s="2">
        <v>2</v>
      </c>
      <c r="AV80" s="2"/>
      <c r="AW80" s="2">
        <v>174</v>
      </c>
      <c r="AX80" s="2">
        <v>140</v>
      </c>
      <c r="AY80" s="2"/>
      <c r="AZ80" s="2">
        <v>1</v>
      </c>
      <c r="BA80" s="2">
        <v>51</v>
      </c>
      <c r="BB80" s="2">
        <v>332</v>
      </c>
      <c r="BC80" s="2">
        <v>1</v>
      </c>
      <c r="BD80" s="2">
        <v>80</v>
      </c>
      <c r="BE80" s="2">
        <v>102</v>
      </c>
      <c r="BF80" s="2">
        <v>5</v>
      </c>
      <c r="BG80" s="2"/>
      <c r="BH80" s="2">
        <v>35</v>
      </c>
      <c r="BI80" s="1">
        <v>1</v>
      </c>
      <c r="BJ80" s="1" t="s">
        <v>656</v>
      </c>
      <c r="BK80" s="1">
        <v>0</v>
      </c>
      <c r="BL80" s="5"/>
      <c r="BM80" s="1">
        <v>29.137530000000002</v>
      </c>
      <c r="BN80" s="1">
        <v>-80.965800000000002</v>
      </c>
      <c r="BO80" s="1">
        <v>0</v>
      </c>
      <c r="BP80" s="5"/>
      <c r="BQ80" s="1">
        <v>0</v>
      </c>
      <c r="BR80" s="5"/>
      <c r="BS80" s="1">
        <v>0</v>
      </c>
      <c r="BT80" s="5"/>
      <c r="BU80" s="1">
        <v>0</v>
      </c>
      <c r="BV80" s="5"/>
      <c r="BW80" s="1">
        <v>1</v>
      </c>
      <c r="BX80" s="5"/>
      <c r="BY80" s="1">
        <v>0</v>
      </c>
      <c r="BZ80" s="5"/>
      <c r="CA80" s="1">
        <v>29.118729999999999</v>
      </c>
      <c r="CB80" s="1">
        <v>-80.962199999999996</v>
      </c>
      <c r="CC80" s="5"/>
      <c r="CD80" s="1">
        <v>0</v>
      </c>
      <c r="CE80" s="5"/>
      <c r="CF80" s="1">
        <v>0</v>
      </c>
      <c r="CG80" s="5"/>
      <c r="CH80" s="1">
        <v>0</v>
      </c>
      <c r="CI80" s="5"/>
      <c r="CJ80" s="1">
        <v>0</v>
      </c>
      <c r="CK80" s="5"/>
      <c r="CL80" s="1">
        <v>0</v>
      </c>
      <c r="CM80" s="5"/>
      <c r="CN80" s="1">
        <v>56</v>
      </c>
      <c r="CO80" s="5"/>
      <c r="CP80" s="1">
        <v>29.091449999999998</v>
      </c>
      <c r="CQ80" s="1">
        <v>-80.944400000000002</v>
      </c>
      <c r="CR80" s="5"/>
      <c r="CS80" s="1">
        <v>0</v>
      </c>
      <c r="CT80" s="5"/>
      <c r="CU80" s="1">
        <v>0</v>
      </c>
      <c r="CV80" s="5"/>
      <c r="CW80" s="1">
        <v>0</v>
      </c>
      <c r="CX80" s="5"/>
      <c r="CY80" s="1">
        <v>0</v>
      </c>
      <c r="CZ80" s="5"/>
      <c r="DA80" s="1">
        <v>0</v>
      </c>
      <c r="DB80" s="5"/>
      <c r="DC80" s="1">
        <v>177</v>
      </c>
      <c r="DD80" s="5"/>
      <c r="DE80" s="1">
        <v>29.077249999999999</v>
      </c>
      <c r="DF80" s="1">
        <v>-80.927099999999996</v>
      </c>
      <c r="DG80" s="5"/>
      <c r="DH80" s="1">
        <v>0</v>
      </c>
      <c r="DI80" s="5"/>
      <c r="DJ80" s="1">
        <v>0</v>
      </c>
      <c r="DK80" s="5"/>
      <c r="DL80" s="1">
        <v>0</v>
      </c>
      <c r="DM80" s="5"/>
      <c r="DN80" s="1">
        <v>0</v>
      </c>
      <c r="DO80" s="5"/>
      <c r="DP80" s="1">
        <v>0</v>
      </c>
      <c r="DQ80" s="5"/>
      <c r="DR80" s="1">
        <v>0</v>
      </c>
      <c r="DS80" s="5"/>
      <c r="DT80" s="1">
        <v>29.071000000000002</v>
      </c>
      <c r="DU80" s="1">
        <v>-80.926299999999998</v>
      </c>
      <c r="DV80" s="5"/>
      <c r="DW80" s="1">
        <v>2</v>
      </c>
      <c r="DX80" s="1" t="s">
        <v>657</v>
      </c>
      <c r="DY80" s="1">
        <v>0</v>
      </c>
      <c r="DZ80" s="5"/>
      <c r="EA80" s="1">
        <v>0</v>
      </c>
      <c r="EB80" s="5"/>
      <c r="EC80" s="1">
        <v>2</v>
      </c>
      <c r="ED80" s="5"/>
      <c r="EE80" s="1">
        <v>2</v>
      </c>
      <c r="EF80" s="5"/>
      <c r="EG80" s="1">
        <v>0</v>
      </c>
      <c r="EH80" s="5"/>
      <c r="EI80" s="1">
        <v>29.147030000000001</v>
      </c>
      <c r="EJ80" s="1">
        <v>-80.973799999999997</v>
      </c>
      <c r="EK80" s="5"/>
      <c r="EL80" s="1">
        <v>0</v>
      </c>
      <c r="EM80" s="5"/>
      <c r="EN80" s="1">
        <v>0</v>
      </c>
      <c r="EO80" s="5"/>
      <c r="EP80" s="1">
        <v>0</v>
      </c>
      <c r="EQ80" s="5"/>
      <c r="ER80" s="1">
        <v>0</v>
      </c>
      <c r="ES80" s="5"/>
      <c r="ET80" s="1">
        <v>0</v>
      </c>
      <c r="EU80" s="5"/>
      <c r="EV80" s="1">
        <v>0</v>
      </c>
      <c r="EW80" s="5"/>
      <c r="EX80" s="1">
        <v>29.07028</v>
      </c>
      <c r="EY80" s="1">
        <v>-80.925799999999995</v>
      </c>
      <c r="EZ80" s="5"/>
      <c r="FA80" s="1">
        <v>20</v>
      </c>
      <c r="FB80" s="1" t="s">
        <v>658</v>
      </c>
      <c r="FC80" s="1">
        <v>0</v>
      </c>
      <c r="FD80" s="5"/>
      <c r="FE80" s="1">
        <v>0</v>
      </c>
      <c r="FF80" s="5"/>
      <c r="FG80" s="1">
        <v>0</v>
      </c>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row>
    <row r="81" spans="1:336" ht="15" x14ac:dyDescent="0.25">
      <c r="A81" s="1" t="s">
        <v>659</v>
      </c>
      <c r="B81" s="2">
        <v>25.002970000000001</v>
      </c>
      <c r="C81" s="2">
        <v>-80.753799999999998</v>
      </c>
      <c r="D81" s="2">
        <v>24.945699999999999</v>
      </c>
      <c r="E81" s="2">
        <v>-80.787999999999997</v>
      </c>
      <c r="F81" s="3">
        <v>43133</v>
      </c>
      <c r="G81" s="1" t="s">
        <v>660</v>
      </c>
      <c r="H81" s="1" t="s">
        <v>328</v>
      </c>
      <c r="I81" s="1" t="s">
        <v>329</v>
      </c>
      <c r="J81" s="4">
        <v>0.39583333333333331</v>
      </c>
      <c r="K81" s="1" t="s">
        <v>330</v>
      </c>
      <c r="L81" s="1" t="s">
        <v>364</v>
      </c>
      <c r="M81" s="1" t="s">
        <v>661</v>
      </c>
      <c r="N81" s="1" t="s">
        <v>333</v>
      </c>
      <c r="O81" s="2"/>
      <c r="P81" s="2"/>
      <c r="Q81" s="2">
        <v>12</v>
      </c>
      <c r="R81" s="2">
        <v>461</v>
      </c>
      <c r="S81" s="2"/>
      <c r="T81" s="2"/>
      <c r="U81" s="2"/>
      <c r="V81" s="2"/>
      <c r="W81" s="2"/>
      <c r="X81" s="2"/>
      <c r="Y81" s="2">
        <v>155</v>
      </c>
      <c r="Z81" s="2"/>
      <c r="AA81" s="2"/>
      <c r="AB81" s="2"/>
      <c r="AC81" s="2"/>
      <c r="AD81" s="2"/>
      <c r="AE81" s="2"/>
      <c r="AF81" s="2">
        <v>432</v>
      </c>
      <c r="AG81" s="2"/>
      <c r="AH81" s="2"/>
      <c r="AI81" s="2"/>
      <c r="AJ81" s="2">
        <v>2161</v>
      </c>
      <c r="AK81" s="2"/>
      <c r="AL81" s="2"/>
      <c r="AM81" s="2"/>
      <c r="AN81" s="2"/>
      <c r="AO81" s="2"/>
      <c r="AP81" s="2"/>
      <c r="AQ81" s="2"/>
      <c r="AR81" s="2"/>
      <c r="AS81" s="2"/>
      <c r="AT81" s="2"/>
      <c r="AU81" s="2"/>
      <c r="AV81" s="2"/>
      <c r="AW81" s="2"/>
      <c r="AX81" s="2"/>
      <c r="AY81" s="2"/>
      <c r="AZ81" s="2"/>
      <c r="BA81" s="2"/>
      <c r="BB81" s="2"/>
      <c r="BC81" s="2"/>
      <c r="BD81" s="2"/>
      <c r="BE81" s="2"/>
      <c r="BF81" s="2"/>
      <c r="BG81" s="2"/>
      <c r="BH81" s="2"/>
      <c r="BI81" s="5"/>
      <c r="BJ81" s="5"/>
      <c r="BK81" s="5"/>
      <c r="BL81" s="5"/>
      <c r="BM81" s="1">
        <v>25.01746</v>
      </c>
      <c r="BN81" s="1">
        <v>-80.604299999999995</v>
      </c>
      <c r="BO81" s="5"/>
      <c r="BP81" s="5"/>
      <c r="BQ81" s="5"/>
      <c r="BR81" s="5"/>
      <c r="BS81" s="5"/>
      <c r="BT81" s="5"/>
      <c r="BU81" s="5"/>
      <c r="BV81" s="5"/>
      <c r="BW81" s="5"/>
      <c r="BX81" s="5"/>
      <c r="BY81" s="5"/>
      <c r="BZ81" s="5"/>
      <c r="CA81" s="1">
        <v>25.025169999999999</v>
      </c>
      <c r="CB81" s="1">
        <v>-80.610200000000006</v>
      </c>
      <c r="CC81" s="1" t="s">
        <v>662</v>
      </c>
      <c r="CD81" s="5"/>
      <c r="CE81" s="5"/>
      <c r="CF81" s="5"/>
      <c r="CG81" s="5"/>
      <c r="CH81" s="5"/>
      <c r="CI81" s="5"/>
      <c r="CJ81" s="5"/>
      <c r="CK81" s="5"/>
      <c r="CL81" s="5"/>
      <c r="CM81" s="5"/>
      <c r="CN81" s="5"/>
      <c r="CO81" s="5"/>
      <c r="CP81" s="1">
        <v>25.09891</v>
      </c>
      <c r="CQ81" s="1">
        <v>-80.662599999999998</v>
      </c>
      <c r="CR81" s="1" t="s">
        <v>663</v>
      </c>
      <c r="CS81" s="5"/>
      <c r="CT81" s="5"/>
      <c r="CU81" s="5"/>
      <c r="CV81" s="5"/>
      <c r="CW81" s="5"/>
      <c r="CX81" s="5"/>
      <c r="CY81" s="5"/>
      <c r="CZ81" s="5"/>
      <c r="DA81" s="5"/>
      <c r="DB81" s="5"/>
      <c r="DC81" s="5"/>
      <c r="DD81" s="5"/>
      <c r="DE81" s="5"/>
      <c r="DF81" s="5"/>
      <c r="DG81" s="1" t="s">
        <v>664</v>
      </c>
      <c r="DH81" s="5"/>
      <c r="DI81" s="5"/>
      <c r="DJ81" s="5"/>
      <c r="DK81" s="5"/>
      <c r="DL81" s="5"/>
      <c r="DM81" s="5"/>
      <c r="DN81" s="5"/>
      <c r="DO81" s="5"/>
      <c r="DP81" s="5"/>
      <c r="DQ81" s="5"/>
      <c r="DR81" s="5"/>
      <c r="DS81" s="5"/>
      <c r="DT81" s="1">
        <v>25.974589999999999</v>
      </c>
      <c r="DU81" s="1">
        <v>-80.822599999999994</v>
      </c>
      <c r="DV81" s="1" t="s">
        <v>665</v>
      </c>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1" t="s">
        <v>666</v>
      </c>
    </row>
    <row r="82" spans="1:336" ht="15" x14ac:dyDescent="0.25">
      <c r="A82" s="1" t="s">
        <v>667</v>
      </c>
      <c r="B82" s="2">
        <v>30.3977</v>
      </c>
      <c r="C82" s="2">
        <v>-81.517099999999999</v>
      </c>
      <c r="D82" s="2">
        <v>30.407599999999999</v>
      </c>
      <c r="E82" s="2">
        <v>-81.521699999999996</v>
      </c>
      <c r="F82" s="3">
        <v>43138</v>
      </c>
      <c r="G82" s="1" t="s">
        <v>624</v>
      </c>
      <c r="H82" s="1" t="s">
        <v>668</v>
      </c>
      <c r="I82" s="1" t="s">
        <v>329</v>
      </c>
      <c r="J82" s="4">
        <v>0.5</v>
      </c>
      <c r="K82" s="1" t="s">
        <v>330</v>
      </c>
      <c r="L82" s="1" t="s">
        <v>364</v>
      </c>
      <c r="M82" s="5"/>
      <c r="N82" s="1" t="s">
        <v>333</v>
      </c>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v>2</v>
      </c>
      <c r="AS82" s="2"/>
      <c r="AT82" s="2"/>
      <c r="AU82" s="2"/>
      <c r="AV82" s="2"/>
      <c r="AW82" s="2">
        <v>86</v>
      </c>
      <c r="AX82" s="2">
        <v>1</v>
      </c>
      <c r="AY82" s="2"/>
      <c r="AZ82" s="2"/>
      <c r="BA82" s="2">
        <v>1</v>
      </c>
      <c r="BB82" s="2">
        <v>2</v>
      </c>
      <c r="BC82" s="2"/>
      <c r="BD82" s="2">
        <v>5</v>
      </c>
      <c r="BE82" s="2">
        <v>2</v>
      </c>
      <c r="BF82" s="2"/>
      <c r="BG82" s="2"/>
      <c r="BH82" s="2"/>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row>
    <row r="83" spans="1:336" ht="15" x14ac:dyDescent="0.25">
      <c r="A83" s="1" t="s">
        <v>669</v>
      </c>
      <c r="B83" s="2">
        <v>29.74174</v>
      </c>
      <c r="C83" s="2">
        <v>-84.866600000000005</v>
      </c>
      <c r="D83" s="2">
        <v>29.733239999999999</v>
      </c>
      <c r="E83" s="2">
        <v>-84.880399999999995</v>
      </c>
      <c r="F83" s="3">
        <v>43138</v>
      </c>
      <c r="G83" s="1" t="s">
        <v>419</v>
      </c>
      <c r="H83" s="1" t="s">
        <v>420</v>
      </c>
      <c r="I83" s="1" t="s">
        <v>329</v>
      </c>
      <c r="J83" s="4">
        <v>0.63402777777777775</v>
      </c>
      <c r="K83" s="5"/>
      <c r="L83" s="1" t="s">
        <v>364</v>
      </c>
      <c r="M83" s="1" t="s">
        <v>670</v>
      </c>
      <c r="N83" s="1" t="s">
        <v>333</v>
      </c>
      <c r="O83" s="2">
        <v>11</v>
      </c>
      <c r="P83" s="2"/>
      <c r="Q83" s="2">
        <v>19</v>
      </c>
      <c r="R83" s="2"/>
      <c r="S83" s="2"/>
      <c r="T83" s="2"/>
      <c r="U83" s="2"/>
      <c r="V83" s="2"/>
      <c r="W83" s="2"/>
      <c r="X83" s="2"/>
      <c r="Y83" s="2"/>
      <c r="Z83" s="2"/>
      <c r="AA83" s="2"/>
      <c r="AB83" s="2"/>
      <c r="AC83" s="2"/>
      <c r="AD83" s="2">
        <v>3</v>
      </c>
      <c r="AE83" s="2"/>
      <c r="AF83" s="2"/>
      <c r="AG83" s="2"/>
      <c r="AH83" s="2"/>
      <c r="AI83" s="2">
        <v>2</v>
      </c>
      <c r="AJ83" s="2"/>
      <c r="AK83" s="2"/>
      <c r="AL83" s="2">
        <v>2</v>
      </c>
      <c r="AM83" s="2"/>
      <c r="AN83" s="2"/>
      <c r="AO83" s="2"/>
      <c r="AP83" s="2"/>
      <c r="AQ83" s="2"/>
      <c r="AR83" s="2"/>
      <c r="AS83" s="2"/>
      <c r="AT83" s="2">
        <v>11</v>
      </c>
      <c r="AU83" s="2">
        <v>1</v>
      </c>
      <c r="AV83" s="2"/>
      <c r="AW83" s="2">
        <v>3</v>
      </c>
      <c r="AX83" s="2">
        <v>4</v>
      </c>
      <c r="AY83" s="2"/>
      <c r="AZ83" s="2"/>
      <c r="BA83" s="2"/>
      <c r="BB83" s="2">
        <v>27</v>
      </c>
      <c r="BC83" s="2"/>
      <c r="BD83" s="2">
        <v>27</v>
      </c>
      <c r="BE83" s="2"/>
      <c r="BF83" s="2"/>
      <c r="BG83" s="2"/>
      <c r="BH83" s="2"/>
      <c r="BI83" s="1">
        <v>2</v>
      </c>
      <c r="BJ83" s="1">
        <v>0</v>
      </c>
      <c r="BK83" s="1">
        <v>0</v>
      </c>
      <c r="BL83" s="1">
        <v>0</v>
      </c>
      <c r="BM83" s="1">
        <v>29.738589999999999</v>
      </c>
      <c r="BN83" s="1">
        <v>-84.872399999999999</v>
      </c>
      <c r="BO83" s="1">
        <v>0</v>
      </c>
      <c r="BP83" s="1">
        <v>0</v>
      </c>
      <c r="BQ83" s="1">
        <v>0</v>
      </c>
      <c r="BR83" s="1">
        <v>0</v>
      </c>
      <c r="BS83" s="1">
        <v>0</v>
      </c>
      <c r="BT83" s="1">
        <v>0</v>
      </c>
      <c r="BU83" s="1">
        <v>0</v>
      </c>
      <c r="BV83" s="1">
        <v>0</v>
      </c>
      <c r="BW83" s="1">
        <v>0</v>
      </c>
      <c r="BX83" s="1">
        <v>0</v>
      </c>
      <c r="BY83" s="1">
        <v>0</v>
      </c>
      <c r="BZ83" s="1">
        <v>0</v>
      </c>
      <c r="CA83" s="1">
        <v>29.740269999999999</v>
      </c>
      <c r="CB83" s="1">
        <v>-84.869399999999999</v>
      </c>
      <c r="CC83" s="1" t="s">
        <v>671</v>
      </c>
      <c r="CD83" s="1">
        <v>0</v>
      </c>
      <c r="CE83" s="1">
        <v>0</v>
      </c>
      <c r="CF83" s="1">
        <v>0</v>
      </c>
      <c r="CG83" s="1">
        <v>0</v>
      </c>
      <c r="CH83" s="1">
        <v>0</v>
      </c>
      <c r="CI83" s="1">
        <v>0</v>
      </c>
      <c r="CJ83" s="1">
        <v>0</v>
      </c>
      <c r="CK83" s="1">
        <v>0</v>
      </c>
      <c r="CL83" s="1">
        <v>1</v>
      </c>
      <c r="CM83" s="1">
        <v>0</v>
      </c>
      <c r="CN83" s="1">
        <v>0</v>
      </c>
      <c r="CO83" s="1">
        <v>0</v>
      </c>
      <c r="CP83" s="1">
        <v>29.741320000000002</v>
      </c>
      <c r="CQ83" s="1">
        <v>-84.867500000000007</v>
      </c>
      <c r="CR83" s="1">
        <v>0</v>
      </c>
      <c r="CS83" s="1">
        <v>0</v>
      </c>
      <c r="CT83" s="1">
        <v>0</v>
      </c>
      <c r="CU83" s="1">
        <v>0</v>
      </c>
      <c r="CV83" s="1">
        <v>0</v>
      </c>
      <c r="CW83" s="1">
        <v>0</v>
      </c>
      <c r="CX83" s="1">
        <v>0</v>
      </c>
      <c r="CY83" s="1">
        <v>0</v>
      </c>
      <c r="CZ83" s="1">
        <v>0</v>
      </c>
      <c r="DA83" s="1">
        <v>2</v>
      </c>
      <c r="DB83" s="1">
        <v>0</v>
      </c>
      <c r="DC83" s="1">
        <v>0</v>
      </c>
      <c r="DD83" s="1">
        <v>0</v>
      </c>
      <c r="DE83" s="1">
        <v>29.737300000000001</v>
      </c>
      <c r="DF83" s="1">
        <v>-84.872100000000003</v>
      </c>
      <c r="DG83" s="1">
        <v>0</v>
      </c>
      <c r="DH83" s="1">
        <v>0</v>
      </c>
      <c r="DI83" s="1">
        <v>0</v>
      </c>
      <c r="DJ83" s="1">
        <v>0</v>
      </c>
      <c r="DK83" s="1">
        <v>0</v>
      </c>
      <c r="DL83" s="1">
        <v>0</v>
      </c>
      <c r="DM83" s="1">
        <v>0</v>
      </c>
      <c r="DN83" s="1">
        <v>0</v>
      </c>
      <c r="DO83" s="1">
        <v>0</v>
      </c>
      <c r="DP83" s="1">
        <v>1</v>
      </c>
      <c r="DQ83" s="1">
        <v>0</v>
      </c>
      <c r="DR83" s="1">
        <v>0</v>
      </c>
      <c r="DS83" s="1">
        <v>0</v>
      </c>
      <c r="DT83" s="1">
        <v>29.736450000000001</v>
      </c>
      <c r="DU83" s="1">
        <v>-84.873900000000006</v>
      </c>
      <c r="DV83" s="1">
        <v>0</v>
      </c>
      <c r="DW83" s="1">
        <v>0</v>
      </c>
      <c r="DX83" s="1">
        <v>0</v>
      </c>
      <c r="DY83" s="1">
        <v>0</v>
      </c>
      <c r="DZ83" s="1">
        <v>0</v>
      </c>
      <c r="EA83" s="1">
        <v>0</v>
      </c>
      <c r="EB83" s="1">
        <v>0</v>
      </c>
      <c r="EC83" s="1">
        <v>0</v>
      </c>
      <c r="ED83" s="1">
        <v>0</v>
      </c>
      <c r="EE83" s="1">
        <v>3</v>
      </c>
      <c r="EF83" s="1">
        <v>0</v>
      </c>
      <c r="EG83" s="1">
        <v>0</v>
      </c>
      <c r="EH83" s="1">
        <v>0</v>
      </c>
      <c r="EI83" s="1">
        <v>29.733560000000001</v>
      </c>
      <c r="EJ83" s="1">
        <v>-84.879199999999997</v>
      </c>
      <c r="EK83" s="1">
        <v>0</v>
      </c>
      <c r="EL83" s="1">
        <v>0</v>
      </c>
      <c r="EM83" s="1">
        <v>0</v>
      </c>
      <c r="EN83" s="1">
        <v>0</v>
      </c>
      <c r="EO83" s="1">
        <v>0</v>
      </c>
      <c r="EP83" s="1">
        <v>0</v>
      </c>
      <c r="EQ83" s="1">
        <v>0</v>
      </c>
      <c r="ER83" s="1">
        <v>0</v>
      </c>
      <c r="ES83" s="1">
        <v>0</v>
      </c>
      <c r="ET83" s="1">
        <v>2</v>
      </c>
      <c r="EU83" s="1">
        <v>0</v>
      </c>
      <c r="EV83" s="1">
        <v>0</v>
      </c>
      <c r="EW83" s="1">
        <v>0</v>
      </c>
      <c r="EX83" s="1">
        <v>29.735949999999999</v>
      </c>
      <c r="EY83" s="1">
        <v>-84.877300000000005</v>
      </c>
      <c r="EZ83" s="1">
        <v>0</v>
      </c>
      <c r="FA83" s="1">
        <v>0</v>
      </c>
      <c r="FB83" s="1">
        <v>0</v>
      </c>
      <c r="FC83" s="1">
        <v>0</v>
      </c>
      <c r="FD83" s="1">
        <v>0</v>
      </c>
      <c r="FE83" s="1">
        <v>0</v>
      </c>
      <c r="FF83" s="1">
        <v>0</v>
      </c>
      <c r="FG83" s="1">
        <v>0</v>
      </c>
      <c r="FH83" s="1">
        <v>0</v>
      </c>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1">
        <v>0</v>
      </c>
    </row>
    <row r="84" spans="1:336" ht="15" x14ac:dyDescent="0.25">
      <c r="A84" s="1" t="s">
        <v>672</v>
      </c>
      <c r="B84" s="2">
        <v>29.73357</v>
      </c>
      <c r="C84" s="2">
        <v>-84.915899999999993</v>
      </c>
      <c r="D84" s="2">
        <v>29.73508</v>
      </c>
      <c r="E84" s="2">
        <v>-84.902600000000007</v>
      </c>
      <c r="F84" s="3">
        <v>43138</v>
      </c>
      <c r="G84" s="1" t="s">
        <v>385</v>
      </c>
      <c r="H84" s="1" t="s">
        <v>673</v>
      </c>
      <c r="I84" s="1" t="s">
        <v>329</v>
      </c>
      <c r="J84" s="4">
        <v>0.34444444444444444</v>
      </c>
      <c r="K84" s="1" t="s">
        <v>375</v>
      </c>
      <c r="L84" s="1" t="s">
        <v>369</v>
      </c>
      <c r="M84" s="1" t="s">
        <v>674</v>
      </c>
      <c r="N84" s="1" t="s">
        <v>333</v>
      </c>
      <c r="O84" s="2">
        <v>7</v>
      </c>
      <c r="P84" s="2"/>
      <c r="Q84" s="2"/>
      <c r="R84" s="2"/>
      <c r="S84" s="2"/>
      <c r="T84" s="2"/>
      <c r="U84" s="2"/>
      <c r="V84" s="2"/>
      <c r="W84" s="2"/>
      <c r="X84" s="2"/>
      <c r="Y84" s="2"/>
      <c r="Z84" s="2"/>
      <c r="AA84" s="2"/>
      <c r="AB84" s="2"/>
      <c r="AC84" s="2"/>
      <c r="AD84" s="2">
        <v>4</v>
      </c>
      <c r="AE84" s="2"/>
      <c r="AF84" s="2"/>
      <c r="AG84" s="2"/>
      <c r="AH84" s="2"/>
      <c r="AI84" s="2">
        <v>3</v>
      </c>
      <c r="AJ84" s="2"/>
      <c r="AK84" s="2"/>
      <c r="AL84" s="2"/>
      <c r="AM84" s="2"/>
      <c r="AN84" s="2"/>
      <c r="AO84" s="2"/>
      <c r="AP84" s="2"/>
      <c r="AQ84" s="2"/>
      <c r="AR84" s="2"/>
      <c r="AS84" s="2"/>
      <c r="AT84" s="2">
        <v>25</v>
      </c>
      <c r="AU84" s="2"/>
      <c r="AV84" s="2"/>
      <c r="AW84" s="2">
        <v>3</v>
      </c>
      <c r="AX84" s="2"/>
      <c r="AY84" s="2"/>
      <c r="AZ84" s="2"/>
      <c r="BA84" s="2"/>
      <c r="BB84" s="2"/>
      <c r="BC84" s="2"/>
      <c r="BD84" s="2"/>
      <c r="BE84" s="2"/>
      <c r="BF84" s="2"/>
      <c r="BG84" s="2"/>
      <c r="BH84" s="2"/>
      <c r="BI84" s="6">
        <v>1</v>
      </c>
      <c r="BJ84" s="6">
        <v>0</v>
      </c>
      <c r="BK84" s="6">
        <v>0</v>
      </c>
      <c r="BL84" s="6">
        <v>0</v>
      </c>
      <c r="BM84" s="6">
        <v>29.733529999999998</v>
      </c>
      <c r="BN84" s="6">
        <v>-84.915400000000005</v>
      </c>
      <c r="BO84" s="6">
        <v>0</v>
      </c>
      <c r="BP84" s="6">
        <v>0</v>
      </c>
      <c r="BQ84" s="6">
        <v>0</v>
      </c>
      <c r="BR84" s="6">
        <v>0</v>
      </c>
      <c r="BS84" s="6">
        <v>0</v>
      </c>
      <c r="BT84" s="6">
        <v>0</v>
      </c>
      <c r="BU84" s="6">
        <v>0</v>
      </c>
      <c r="BV84" s="6">
        <v>0</v>
      </c>
      <c r="BW84" s="6">
        <v>3</v>
      </c>
      <c r="BX84" s="6">
        <v>0</v>
      </c>
      <c r="BY84" s="7"/>
      <c r="BZ84" s="6">
        <v>0</v>
      </c>
      <c r="CA84" s="6">
        <v>29.73415</v>
      </c>
      <c r="CB84" s="6">
        <v>-84.911699999999996</v>
      </c>
      <c r="CC84" s="6">
        <v>0</v>
      </c>
      <c r="CD84" s="6">
        <v>0</v>
      </c>
      <c r="CE84" s="6">
        <v>0</v>
      </c>
      <c r="CF84" s="6">
        <v>0</v>
      </c>
      <c r="CG84" s="6">
        <v>0</v>
      </c>
      <c r="CH84" s="6">
        <v>0</v>
      </c>
      <c r="CI84" s="6">
        <v>0</v>
      </c>
      <c r="CJ84" s="6">
        <v>0</v>
      </c>
      <c r="CK84" s="6">
        <v>0</v>
      </c>
      <c r="CL84" s="6">
        <v>3</v>
      </c>
      <c r="CM84" s="6">
        <v>0</v>
      </c>
      <c r="CN84" s="6">
        <v>0</v>
      </c>
      <c r="CO84" s="6">
        <v>0</v>
      </c>
      <c r="CP84" s="6">
        <v>29.73451</v>
      </c>
      <c r="CQ84" s="6">
        <v>-84.909000000000006</v>
      </c>
      <c r="CR84" s="6">
        <v>0</v>
      </c>
      <c r="CS84" s="6">
        <v>0</v>
      </c>
      <c r="CT84" s="6">
        <v>0</v>
      </c>
      <c r="CU84" s="6">
        <v>0</v>
      </c>
      <c r="CV84" s="6">
        <v>0</v>
      </c>
      <c r="CW84" s="6">
        <v>0</v>
      </c>
      <c r="CX84" s="6">
        <v>0</v>
      </c>
      <c r="CY84" s="6">
        <v>0</v>
      </c>
      <c r="CZ84" s="6">
        <v>0</v>
      </c>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7"/>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6">
        <v>0</v>
      </c>
    </row>
    <row r="85" spans="1:336" ht="15" x14ac:dyDescent="0.25">
      <c r="A85" s="1" t="s">
        <v>675</v>
      </c>
      <c r="B85" s="2">
        <v>30.396809999999999</v>
      </c>
      <c r="C85" s="2">
        <v>-86.633300000000006</v>
      </c>
      <c r="D85" s="2">
        <v>30.381430000000002</v>
      </c>
      <c r="E85" s="2">
        <v>-86.849199999999996</v>
      </c>
      <c r="F85" s="3">
        <v>43137</v>
      </c>
      <c r="G85" s="1" t="s">
        <v>676</v>
      </c>
      <c r="H85" s="1" t="s">
        <v>677</v>
      </c>
      <c r="I85" s="1" t="s">
        <v>329</v>
      </c>
      <c r="J85" s="4">
        <v>0.34027777777777779</v>
      </c>
      <c r="K85" s="1" t="s">
        <v>368</v>
      </c>
      <c r="L85" s="1" t="s">
        <v>441</v>
      </c>
      <c r="M85" s="5"/>
      <c r="N85" s="1" t="s">
        <v>333</v>
      </c>
      <c r="O85" s="2"/>
      <c r="P85" s="2"/>
      <c r="Q85" s="2">
        <v>13</v>
      </c>
      <c r="R85" s="2"/>
      <c r="S85" s="2"/>
      <c r="T85" s="2"/>
      <c r="U85" s="2"/>
      <c r="V85" s="2"/>
      <c r="W85" s="2"/>
      <c r="X85" s="2"/>
      <c r="Y85" s="2"/>
      <c r="Z85" s="2"/>
      <c r="AA85" s="2"/>
      <c r="AB85" s="2"/>
      <c r="AC85" s="2"/>
      <c r="AD85" s="2">
        <v>2</v>
      </c>
      <c r="AE85" s="2">
        <v>399</v>
      </c>
      <c r="AF85" s="2"/>
      <c r="AG85" s="2"/>
      <c r="AH85" s="2">
        <v>39</v>
      </c>
      <c r="AI85" s="2"/>
      <c r="AJ85" s="2"/>
      <c r="AK85" s="2"/>
      <c r="AL85" s="2">
        <v>43</v>
      </c>
      <c r="AM85" s="2"/>
      <c r="AN85" s="2"/>
      <c r="AO85" s="2"/>
      <c r="AP85" s="2"/>
      <c r="AQ85" s="2"/>
      <c r="AR85" s="2">
        <v>429</v>
      </c>
      <c r="AS85" s="2"/>
      <c r="AT85" s="2">
        <v>17</v>
      </c>
      <c r="AU85" s="2"/>
      <c r="AV85" s="2"/>
      <c r="AW85" s="2"/>
      <c r="AX85" s="2">
        <v>4</v>
      </c>
      <c r="AY85" s="2"/>
      <c r="AZ85" s="2"/>
      <c r="BA85" s="2"/>
      <c r="BB85" s="2">
        <v>1</v>
      </c>
      <c r="BC85" s="2"/>
      <c r="BD85" s="2">
        <v>20</v>
      </c>
      <c r="BE85" s="2">
        <v>1</v>
      </c>
      <c r="BF85" s="2"/>
      <c r="BG85" s="2"/>
      <c r="BH85" s="2"/>
      <c r="BI85" s="5"/>
      <c r="BJ85" s="5"/>
      <c r="BK85" s="5"/>
      <c r="BL85" s="5"/>
      <c r="BM85" s="1">
        <v>30.396909999999998</v>
      </c>
      <c r="BN85" s="1">
        <v>-86.637600000000006</v>
      </c>
      <c r="BO85" s="5"/>
      <c r="BP85" s="5"/>
      <c r="BQ85" s="5"/>
      <c r="BR85" s="5"/>
      <c r="BS85" s="1">
        <v>2</v>
      </c>
      <c r="BT85" s="1" t="s">
        <v>678</v>
      </c>
      <c r="BU85" s="5"/>
      <c r="BV85" s="5"/>
      <c r="BW85" s="5"/>
      <c r="BX85" s="5"/>
      <c r="BY85" s="5"/>
      <c r="BZ85" s="5"/>
      <c r="CA85" s="1">
        <v>30.396920000000001</v>
      </c>
      <c r="CB85" s="1">
        <v>-86.639099999999999</v>
      </c>
      <c r="CC85" s="5"/>
      <c r="CD85" s="5"/>
      <c r="CE85" s="5"/>
      <c r="CF85" s="5"/>
      <c r="CG85" s="5"/>
      <c r="CH85" s="1">
        <v>5</v>
      </c>
      <c r="CI85" s="1" t="s">
        <v>679</v>
      </c>
      <c r="CJ85" s="5"/>
      <c r="CK85" s="5"/>
      <c r="CL85" s="5"/>
      <c r="CM85" s="5"/>
      <c r="CN85" s="5"/>
      <c r="CO85" s="5"/>
      <c r="CP85" s="1">
        <v>30.396570000000001</v>
      </c>
      <c r="CQ85" s="1">
        <v>-86.663899999999998</v>
      </c>
      <c r="CR85" s="5"/>
      <c r="CS85" s="5"/>
      <c r="CT85" s="5"/>
      <c r="CU85" s="5"/>
      <c r="CV85" s="5"/>
      <c r="CW85" s="1">
        <v>9</v>
      </c>
      <c r="CX85" s="1" t="s">
        <v>680</v>
      </c>
      <c r="CY85" s="5"/>
      <c r="CZ85" s="5"/>
      <c r="DA85" s="5"/>
      <c r="DB85" s="5"/>
      <c r="DC85" s="5"/>
      <c r="DD85" s="5"/>
      <c r="DE85" s="1">
        <v>30.396070000000002</v>
      </c>
      <c r="DF85" s="1">
        <v>-86.676400000000001</v>
      </c>
      <c r="DG85" s="5"/>
      <c r="DH85" s="5"/>
      <c r="DI85" s="5"/>
      <c r="DJ85" s="5"/>
      <c r="DK85" s="5"/>
      <c r="DL85" s="1">
        <v>8</v>
      </c>
      <c r="DM85" s="1" t="s">
        <v>681</v>
      </c>
      <c r="DN85" s="5"/>
      <c r="DO85" s="5"/>
      <c r="DP85" s="5"/>
      <c r="DQ85" s="5"/>
      <c r="DR85" s="5"/>
      <c r="DS85" s="5"/>
      <c r="DT85" s="1">
        <v>30.389949999999999</v>
      </c>
      <c r="DU85" s="1">
        <v>-86.773700000000005</v>
      </c>
      <c r="DV85" s="5"/>
      <c r="DW85" s="5"/>
      <c r="DX85" s="5"/>
      <c r="DY85" s="5"/>
      <c r="DZ85" s="5"/>
      <c r="EA85" s="1">
        <v>2</v>
      </c>
      <c r="EB85" s="1" t="s">
        <v>682</v>
      </c>
      <c r="EC85" s="5"/>
      <c r="ED85" s="5"/>
      <c r="EE85" s="5"/>
      <c r="EF85" s="5"/>
      <c r="EG85" s="5"/>
      <c r="EH85" s="5"/>
      <c r="EI85" s="1">
        <v>30.388069999999999</v>
      </c>
      <c r="EJ85" s="1">
        <v>-86.792000000000002</v>
      </c>
      <c r="EK85" s="5"/>
      <c r="EL85" s="5"/>
      <c r="EM85" s="5"/>
      <c r="EN85" s="5"/>
      <c r="EO85" s="5"/>
      <c r="EP85" s="1">
        <v>5</v>
      </c>
      <c r="EQ85" s="1" t="s">
        <v>683</v>
      </c>
      <c r="ER85" s="5"/>
      <c r="ES85" s="5"/>
      <c r="ET85" s="5"/>
      <c r="EU85" s="5"/>
      <c r="EV85" s="5"/>
      <c r="EW85" s="5"/>
      <c r="EX85" s="1">
        <v>30.38758</v>
      </c>
      <c r="EY85" s="1">
        <v>-86.796800000000005</v>
      </c>
      <c r="EZ85" s="5"/>
      <c r="FA85" s="5"/>
      <c r="FB85" s="5"/>
      <c r="FC85" s="5"/>
      <c r="FD85" s="5"/>
      <c r="FE85" s="1">
        <v>1</v>
      </c>
      <c r="FF85" s="1" t="s">
        <v>684</v>
      </c>
      <c r="FG85" s="5"/>
      <c r="FH85" s="5"/>
      <c r="FI85" s="5"/>
      <c r="FJ85" s="5"/>
      <c r="FK85" s="5"/>
      <c r="FL85" s="5"/>
      <c r="FM85" s="1">
        <v>30.38533</v>
      </c>
      <c r="FN85" s="1">
        <v>-86.816400000000002</v>
      </c>
      <c r="FO85" s="5"/>
      <c r="FP85" s="5"/>
      <c r="FQ85" s="5"/>
      <c r="FR85" s="5"/>
      <c r="FS85" s="5"/>
      <c r="FT85" s="1">
        <v>2</v>
      </c>
      <c r="FU85" s="1" t="s">
        <v>685</v>
      </c>
      <c r="FV85" s="5"/>
      <c r="FW85" s="5"/>
      <c r="FX85" s="5"/>
      <c r="FY85" s="5"/>
      <c r="FZ85" s="5"/>
      <c r="GA85" s="5"/>
      <c r="GB85" s="1">
        <v>30.385210000000001</v>
      </c>
      <c r="GC85" s="1">
        <v>-86.817700000000002</v>
      </c>
      <c r="GD85" s="5"/>
      <c r="GE85" s="5"/>
      <c r="GF85" s="5"/>
      <c r="GG85" s="5"/>
      <c r="GH85" s="5"/>
      <c r="GI85" s="1">
        <v>1</v>
      </c>
      <c r="GJ85" s="1" t="s">
        <v>686</v>
      </c>
      <c r="GK85" s="5"/>
      <c r="GL85" s="5"/>
      <c r="GM85" s="5"/>
      <c r="GN85" s="5"/>
      <c r="GO85" s="5"/>
      <c r="GP85" s="5"/>
      <c r="GQ85" s="1">
        <v>30.383410000000001</v>
      </c>
      <c r="GR85" s="1">
        <v>-86.834400000000002</v>
      </c>
      <c r="GS85" s="5"/>
      <c r="GT85" s="5"/>
      <c r="GU85" s="5"/>
      <c r="GV85" s="5"/>
      <c r="GW85" s="5"/>
      <c r="GX85" s="1">
        <v>2</v>
      </c>
      <c r="GY85" s="1" t="s">
        <v>687</v>
      </c>
      <c r="GZ85" s="5"/>
      <c r="HA85" s="5"/>
      <c r="HB85" s="5"/>
      <c r="HC85" s="5"/>
      <c r="HD85" s="5"/>
      <c r="HE85" s="5"/>
      <c r="HF85" s="1">
        <v>30.382359999999998</v>
      </c>
      <c r="HG85" s="1">
        <v>-86.841800000000006</v>
      </c>
      <c r="HH85" s="5"/>
      <c r="HI85" s="5"/>
      <c r="HJ85" s="5"/>
      <c r="HK85" s="5"/>
      <c r="HL85" s="5"/>
      <c r="HM85" s="1">
        <v>3</v>
      </c>
      <c r="HN85" s="1" t="s">
        <v>688</v>
      </c>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row>
    <row r="86" spans="1:336" ht="15" x14ac:dyDescent="0.25">
      <c r="A86" s="1" t="s">
        <v>675</v>
      </c>
      <c r="B86" s="2">
        <v>29.669799999999999</v>
      </c>
      <c r="C86" s="2">
        <v>-85.356399999999994</v>
      </c>
      <c r="D86" s="2">
        <v>29.67597</v>
      </c>
      <c r="E86" s="2">
        <v>-85.333699999999993</v>
      </c>
      <c r="F86" s="3">
        <v>43136</v>
      </c>
      <c r="G86" s="1" t="s">
        <v>689</v>
      </c>
      <c r="H86" s="1" t="s">
        <v>519</v>
      </c>
      <c r="I86" s="1" t="s">
        <v>329</v>
      </c>
      <c r="J86" s="4">
        <v>0.43958333333333333</v>
      </c>
      <c r="K86" s="5"/>
      <c r="L86" s="1" t="s">
        <v>364</v>
      </c>
      <c r="M86" s="5"/>
      <c r="N86" s="1" t="s">
        <v>333</v>
      </c>
      <c r="O86" s="2"/>
      <c r="P86" s="2"/>
      <c r="Q86" s="2">
        <v>8</v>
      </c>
      <c r="R86" s="2">
        <v>43</v>
      </c>
      <c r="S86" s="2"/>
      <c r="T86" s="2"/>
      <c r="U86" s="2">
        <v>9</v>
      </c>
      <c r="V86" s="2"/>
      <c r="W86" s="2"/>
      <c r="X86" s="2"/>
      <c r="Y86" s="2"/>
      <c r="Z86" s="2"/>
      <c r="AA86" s="2"/>
      <c r="AB86" s="2">
        <v>1</v>
      </c>
      <c r="AC86" s="2">
        <v>9</v>
      </c>
      <c r="AD86" s="2">
        <v>29</v>
      </c>
      <c r="AE86" s="2">
        <v>44</v>
      </c>
      <c r="AF86" s="2">
        <v>8</v>
      </c>
      <c r="AG86" s="2"/>
      <c r="AH86" s="2">
        <v>2</v>
      </c>
      <c r="AI86" s="2"/>
      <c r="AJ86" s="2"/>
      <c r="AK86" s="2"/>
      <c r="AL86" s="2">
        <v>9</v>
      </c>
      <c r="AM86" s="2">
        <v>1</v>
      </c>
      <c r="AN86" s="2"/>
      <c r="AO86" s="2"/>
      <c r="AP86" s="2"/>
      <c r="AQ86" s="2"/>
      <c r="AR86" s="2">
        <v>44</v>
      </c>
      <c r="AS86" s="2"/>
      <c r="AT86" s="2"/>
      <c r="AU86" s="2"/>
      <c r="AV86" s="2"/>
      <c r="AW86" s="2"/>
      <c r="AX86" s="2">
        <v>83</v>
      </c>
      <c r="AY86" s="2"/>
      <c r="AZ86" s="2"/>
      <c r="BA86" s="2">
        <v>2</v>
      </c>
      <c r="BB86" s="2">
        <v>11</v>
      </c>
      <c r="BC86" s="2"/>
      <c r="BD86" s="2">
        <v>38</v>
      </c>
      <c r="BE86" s="2">
        <v>43</v>
      </c>
      <c r="BF86" s="2"/>
      <c r="BG86" s="2"/>
      <c r="BH86" s="2"/>
      <c r="BI86" s="1">
        <v>0</v>
      </c>
      <c r="BJ86" s="5"/>
      <c r="BK86" s="1">
        <v>0</v>
      </c>
      <c r="BL86" s="5"/>
      <c r="BM86" s="1">
        <v>29.665489999999998</v>
      </c>
      <c r="BN86" s="1">
        <v>-85.348799999999997</v>
      </c>
      <c r="BO86" s="1">
        <v>1</v>
      </c>
      <c r="BP86" s="1" t="s">
        <v>690</v>
      </c>
      <c r="BQ86" s="1">
        <v>0</v>
      </c>
      <c r="BR86" s="5"/>
      <c r="BS86" s="1">
        <v>0</v>
      </c>
      <c r="BT86" s="5"/>
      <c r="BU86" s="1">
        <v>0</v>
      </c>
      <c r="BV86" s="5"/>
      <c r="BW86" s="1">
        <v>0</v>
      </c>
      <c r="BX86" s="5"/>
      <c r="BY86" s="1">
        <v>0</v>
      </c>
      <c r="BZ86" s="5"/>
      <c r="CA86" s="1">
        <v>29.664680000000001</v>
      </c>
      <c r="CB86" s="1">
        <v>-85.346199999999996</v>
      </c>
      <c r="CC86" s="5"/>
      <c r="CD86" s="1">
        <v>0</v>
      </c>
      <c r="CE86" s="5"/>
      <c r="CF86" s="1">
        <v>9</v>
      </c>
      <c r="CG86" s="1" t="s">
        <v>691</v>
      </c>
      <c r="CH86" s="1">
        <v>0</v>
      </c>
      <c r="CI86" s="5"/>
      <c r="CJ86" s="1">
        <v>0</v>
      </c>
      <c r="CK86" s="5"/>
      <c r="CL86" s="1">
        <v>0</v>
      </c>
      <c r="CM86" s="5"/>
      <c r="CN86" s="1">
        <v>0</v>
      </c>
      <c r="CO86" s="5"/>
      <c r="CP86" s="1">
        <v>29.66667</v>
      </c>
      <c r="CQ86" s="1">
        <v>-85.346400000000003</v>
      </c>
      <c r="CR86" s="5"/>
      <c r="CS86" s="1">
        <v>0</v>
      </c>
      <c r="CT86" s="5"/>
      <c r="CU86" s="1">
        <v>0</v>
      </c>
      <c r="CV86" s="5"/>
      <c r="CW86" s="1">
        <v>0</v>
      </c>
      <c r="CX86" s="5"/>
      <c r="CY86" s="1">
        <v>1</v>
      </c>
      <c r="CZ86" s="1" t="s">
        <v>692</v>
      </c>
      <c r="DA86" s="1">
        <v>0</v>
      </c>
      <c r="DB86" s="5"/>
      <c r="DC86" s="1">
        <v>0</v>
      </c>
      <c r="DD86" s="5"/>
      <c r="DE86" s="1">
        <v>29.66581</v>
      </c>
      <c r="DF86" s="1">
        <v>-85.346299999999999</v>
      </c>
      <c r="DG86" s="5"/>
      <c r="DH86" s="1">
        <v>0</v>
      </c>
      <c r="DI86" s="5"/>
      <c r="DJ86" s="1">
        <v>0</v>
      </c>
      <c r="DK86" s="5"/>
      <c r="DL86" s="1">
        <v>2</v>
      </c>
      <c r="DM86" s="1" t="s">
        <v>693</v>
      </c>
      <c r="DN86" s="1">
        <v>0</v>
      </c>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row>
    <row r="87" spans="1:336" ht="15" x14ac:dyDescent="0.25">
      <c r="A87" s="1" t="s">
        <v>694</v>
      </c>
      <c r="B87" s="2">
        <v>30.39284</v>
      </c>
      <c r="C87" s="2">
        <v>-86.582899999999995</v>
      </c>
      <c r="D87" s="2">
        <v>30.391649999999998</v>
      </c>
      <c r="E87" s="2">
        <v>-86.523600000000002</v>
      </c>
      <c r="F87" s="3">
        <v>43137</v>
      </c>
      <c r="G87" s="1" t="s">
        <v>695</v>
      </c>
      <c r="H87" s="1" t="s">
        <v>696</v>
      </c>
      <c r="I87" s="1" t="s">
        <v>329</v>
      </c>
      <c r="J87" s="4">
        <v>0.34166666666666667</v>
      </c>
      <c r="K87" s="1" t="s">
        <v>375</v>
      </c>
      <c r="L87" s="5"/>
      <c r="M87" s="5"/>
      <c r="N87" s="1" t="s">
        <v>333</v>
      </c>
      <c r="O87" s="2"/>
      <c r="P87" s="2"/>
      <c r="Q87" s="2"/>
      <c r="R87" s="2"/>
      <c r="S87" s="2"/>
      <c r="T87" s="2"/>
      <c r="U87" s="2"/>
      <c r="V87" s="2"/>
      <c r="W87" s="2"/>
      <c r="X87" s="2"/>
      <c r="Y87" s="2"/>
      <c r="Z87" s="2"/>
      <c r="AA87" s="2"/>
      <c r="AB87" s="2"/>
      <c r="AC87" s="2"/>
      <c r="AD87" s="2">
        <v>1</v>
      </c>
      <c r="AE87" s="2">
        <v>94</v>
      </c>
      <c r="AF87" s="2"/>
      <c r="AG87" s="2"/>
      <c r="AH87" s="2">
        <v>17</v>
      </c>
      <c r="AI87" s="2"/>
      <c r="AJ87" s="2"/>
      <c r="AK87" s="2"/>
      <c r="AL87" s="2">
        <v>3</v>
      </c>
      <c r="AM87" s="2"/>
      <c r="AN87" s="2"/>
      <c r="AO87" s="2"/>
      <c r="AP87" s="2"/>
      <c r="AQ87" s="2"/>
      <c r="AR87" s="2">
        <v>35</v>
      </c>
      <c r="AS87" s="2"/>
      <c r="AT87" s="2"/>
      <c r="AU87" s="2"/>
      <c r="AV87" s="2"/>
      <c r="AW87" s="2"/>
      <c r="AX87" s="2"/>
      <c r="AY87" s="2"/>
      <c r="AZ87" s="2"/>
      <c r="BA87" s="2"/>
      <c r="BB87" s="2">
        <v>6</v>
      </c>
      <c r="BC87" s="2"/>
      <c r="BD87" s="2">
        <v>16</v>
      </c>
      <c r="BE87" s="2"/>
      <c r="BF87" s="2"/>
      <c r="BG87" s="2"/>
      <c r="BH87" s="2"/>
      <c r="BI87" s="1">
        <v>0</v>
      </c>
      <c r="BJ87" s="5"/>
      <c r="BK87" s="1">
        <v>0</v>
      </c>
      <c r="BL87" s="5"/>
      <c r="BM87" s="1">
        <v>30.392299999999999</v>
      </c>
      <c r="BN87" s="1">
        <v>-86.575999999999993</v>
      </c>
      <c r="BO87" s="1">
        <v>0</v>
      </c>
      <c r="BP87" s="5"/>
      <c r="BQ87" s="1">
        <v>0</v>
      </c>
      <c r="BR87" s="5"/>
      <c r="BS87" s="1">
        <v>7</v>
      </c>
      <c r="BT87" s="1" t="s">
        <v>697</v>
      </c>
      <c r="BU87" s="1">
        <v>0</v>
      </c>
      <c r="BV87" s="5"/>
      <c r="BW87" s="1">
        <v>0</v>
      </c>
      <c r="BX87" s="5"/>
      <c r="BY87" s="1">
        <v>0</v>
      </c>
      <c r="BZ87" s="5"/>
      <c r="CA87" s="1">
        <v>30.389410000000002</v>
      </c>
      <c r="CB87" s="1">
        <v>-86.5488</v>
      </c>
      <c r="CC87" s="1" t="s">
        <v>698</v>
      </c>
      <c r="CD87" s="1">
        <v>0</v>
      </c>
      <c r="CE87" s="5"/>
      <c r="CF87" s="1">
        <v>0</v>
      </c>
      <c r="CG87" s="5"/>
      <c r="CH87" s="1">
        <v>7</v>
      </c>
      <c r="CI87" s="1" t="s">
        <v>699</v>
      </c>
      <c r="CJ87" s="1">
        <v>0</v>
      </c>
      <c r="CK87" s="5"/>
      <c r="CL87" s="1">
        <v>0</v>
      </c>
      <c r="CM87" s="5"/>
      <c r="CN87" s="1">
        <v>0</v>
      </c>
      <c r="CO87" s="5"/>
      <c r="CP87" s="1">
        <v>30.387530000000002</v>
      </c>
      <c r="CQ87" s="1">
        <v>-86.525599999999997</v>
      </c>
      <c r="CR87" s="5"/>
      <c r="CS87" s="1">
        <v>0</v>
      </c>
      <c r="CT87" s="5"/>
      <c r="CU87" s="1">
        <v>0</v>
      </c>
      <c r="CV87" s="5"/>
      <c r="CW87" s="1">
        <v>3</v>
      </c>
      <c r="CX87" s="1" t="s">
        <v>700</v>
      </c>
      <c r="CY87" s="1">
        <v>0</v>
      </c>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row>
    <row r="88" spans="1:336" ht="15" x14ac:dyDescent="0.25">
      <c r="A88" s="1" t="s">
        <v>694</v>
      </c>
      <c r="B88" s="2">
        <v>30.390999999999998</v>
      </c>
      <c r="C88" s="2">
        <v>-86.522000000000006</v>
      </c>
      <c r="D88" s="2">
        <v>30.390999999999998</v>
      </c>
      <c r="E88" s="2">
        <v>-86.522000000000006</v>
      </c>
      <c r="F88" s="3">
        <v>43139</v>
      </c>
      <c r="G88" s="2">
        <v>1</v>
      </c>
      <c r="H88" s="1" t="s">
        <v>701</v>
      </c>
      <c r="I88" s="1" t="s">
        <v>329</v>
      </c>
      <c r="J88" s="4">
        <v>0.29722222222222222</v>
      </c>
      <c r="K88" s="1" t="s">
        <v>507</v>
      </c>
      <c r="L88" s="1" t="s">
        <v>331</v>
      </c>
      <c r="M88" s="5"/>
      <c r="N88" s="1" t="s">
        <v>333</v>
      </c>
      <c r="O88" s="2"/>
      <c r="P88" s="2"/>
      <c r="Q88" s="2"/>
      <c r="R88" s="2"/>
      <c r="S88" s="2"/>
      <c r="T88" s="2"/>
      <c r="U88" s="2"/>
      <c r="V88" s="2"/>
      <c r="W88" s="2"/>
      <c r="X88" s="2"/>
      <c r="Y88" s="2"/>
      <c r="Z88" s="2"/>
      <c r="AA88" s="2"/>
      <c r="AB88" s="2"/>
      <c r="AC88" s="2"/>
      <c r="AD88" s="2"/>
      <c r="AE88" s="2"/>
      <c r="AF88" s="2"/>
      <c r="AG88" s="2"/>
      <c r="AH88" s="2"/>
      <c r="AI88" s="2"/>
      <c r="AJ88" s="2"/>
      <c r="AK88" s="2"/>
      <c r="AL88" s="2">
        <v>1</v>
      </c>
      <c r="AM88" s="2"/>
      <c r="AN88" s="2"/>
      <c r="AO88" s="2"/>
      <c r="AP88" s="2"/>
      <c r="AQ88" s="2"/>
      <c r="AR88" s="2"/>
      <c r="AS88" s="2"/>
      <c r="AT88" s="2">
        <v>10</v>
      </c>
      <c r="AU88" s="2"/>
      <c r="AV88" s="2">
        <v>2</v>
      </c>
      <c r="AW88" s="2">
        <v>1</v>
      </c>
      <c r="AX88" s="2"/>
      <c r="AY88" s="2"/>
      <c r="AZ88" s="2"/>
      <c r="BA88" s="2"/>
      <c r="BB88" s="2">
        <v>10</v>
      </c>
      <c r="BC88" s="2"/>
      <c r="BD88" s="2">
        <v>2</v>
      </c>
      <c r="BE88" s="2">
        <v>3</v>
      </c>
      <c r="BF88" s="2"/>
      <c r="BG88" s="2"/>
      <c r="BH88" s="2"/>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row>
    <row r="89" spans="1:336" ht="15" x14ac:dyDescent="0.25">
      <c r="A89" s="1" t="s">
        <v>702</v>
      </c>
      <c r="B89" s="2">
        <v>30.400120000000001</v>
      </c>
      <c r="C89" s="2">
        <v>-86.700900000000004</v>
      </c>
      <c r="D89" s="2">
        <v>30.385960000000001</v>
      </c>
      <c r="E89" s="2">
        <v>-86.847499999999997</v>
      </c>
      <c r="F89" s="3">
        <v>43137</v>
      </c>
      <c r="G89" s="1" t="s">
        <v>695</v>
      </c>
      <c r="H89" s="1" t="s">
        <v>696</v>
      </c>
      <c r="I89" s="1" t="s">
        <v>329</v>
      </c>
      <c r="J89" s="4">
        <v>0.43888888888888888</v>
      </c>
      <c r="K89" s="1" t="s">
        <v>375</v>
      </c>
      <c r="L89" s="5"/>
      <c r="M89" s="5"/>
      <c r="N89" s="1" t="s">
        <v>333</v>
      </c>
      <c r="O89" s="2"/>
      <c r="P89" s="2"/>
      <c r="Q89" s="2">
        <v>4</v>
      </c>
      <c r="R89" s="2">
        <v>9</v>
      </c>
      <c r="S89" s="2"/>
      <c r="T89" s="2">
        <v>19</v>
      </c>
      <c r="U89" s="2"/>
      <c r="V89" s="2"/>
      <c r="W89" s="2"/>
      <c r="X89" s="2"/>
      <c r="Y89" s="2"/>
      <c r="Z89" s="2"/>
      <c r="AA89" s="2"/>
      <c r="AB89" s="2"/>
      <c r="AC89" s="2"/>
      <c r="AD89" s="2"/>
      <c r="AE89" s="2">
        <v>22</v>
      </c>
      <c r="AF89" s="2"/>
      <c r="AG89" s="2"/>
      <c r="AH89" s="2"/>
      <c r="AI89" s="2"/>
      <c r="AJ89" s="2"/>
      <c r="AK89" s="2"/>
      <c r="AL89" s="2">
        <v>3</v>
      </c>
      <c r="AM89" s="2"/>
      <c r="AN89" s="2"/>
      <c r="AO89" s="2"/>
      <c r="AP89" s="2"/>
      <c r="AQ89" s="2"/>
      <c r="AR89" s="2">
        <v>2</v>
      </c>
      <c r="AS89" s="2"/>
      <c r="AT89" s="2"/>
      <c r="AU89" s="2"/>
      <c r="AV89" s="2"/>
      <c r="AW89" s="2"/>
      <c r="AX89" s="2"/>
      <c r="AY89" s="2"/>
      <c r="AZ89" s="2"/>
      <c r="BA89" s="2"/>
      <c r="BB89" s="2"/>
      <c r="BC89" s="2"/>
      <c r="BD89" s="2">
        <v>1</v>
      </c>
      <c r="BE89" s="2"/>
      <c r="BF89" s="2"/>
      <c r="BG89" s="2"/>
      <c r="BH89" s="2"/>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row>
    <row r="90" spans="1:336" ht="15" x14ac:dyDescent="0.25">
      <c r="A90" s="1" t="s">
        <v>703</v>
      </c>
      <c r="B90" s="2">
        <v>26.464259999999999</v>
      </c>
      <c r="C90" s="2">
        <v>-81.966800000000006</v>
      </c>
      <c r="D90" s="2">
        <v>26.41658</v>
      </c>
      <c r="E90" s="2">
        <v>-81.904499999999999</v>
      </c>
      <c r="F90" s="3">
        <v>43136</v>
      </c>
      <c r="G90" s="1" t="s">
        <v>704</v>
      </c>
      <c r="H90" s="1" t="s">
        <v>705</v>
      </c>
      <c r="I90" s="1" t="s">
        <v>329</v>
      </c>
      <c r="J90" s="4">
        <v>0.60416666666666663</v>
      </c>
      <c r="K90" s="1" t="s">
        <v>375</v>
      </c>
      <c r="L90" s="1" t="s">
        <v>364</v>
      </c>
      <c r="M90" s="5"/>
      <c r="N90" s="1" t="s">
        <v>333</v>
      </c>
      <c r="O90" s="2"/>
      <c r="P90" s="2"/>
      <c r="Q90" s="2"/>
      <c r="R90" s="2"/>
      <c r="S90" s="2"/>
      <c r="T90" s="2"/>
      <c r="U90" s="2"/>
      <c r="V90" s="2"/>
      <c r="W90" s="2"/>
      <c r="X90" s="2"/>
      <c r="Y90" s="2"/>
      <c r="Z90" s="2"/>
      <c r="AA90" s="2"/>
      <c r="AB90" s="2"/>
      <c r="AC90" s="2"/>
      <c r="AD90" s="2"/>
      <c r="AE90" s="2">
        <v>110</v>
      </c>
      <c r="AF90" s="2"/>
      <c r="AG90" s="2"/>
      <c r="AH90" s="2">
        <v>8</v>
      </c>
      <c r="AI90" s="2"/>
      <c r="AJ90" s="2">
        <v>1</v>
      </c>
      <c r="AK90" s="2"/>
      <c r="AL90" s="2">
        <v>9</v>
      </c>
      <c r="AM90" s="2"/>
      <c r="AN90" s="2"/>
      <c r="AO90" s="2"/>
      <c r="AP90" s="2"/>
      <c r="AQ90" s="2"/>
      <c r="AR90" s="2"/>
      <c r="AS90" s="2"/>
      <c r="AT90" s="2">
        <v>1</v>
      </c>
      <c r="AU90" s="2"/>
      <c r="AV90" s="2"/>
      <c r="AW90" s="2">
        <v>3</v>
      </c>
      <c r="AX90" s="2"/>
      <c r="AY90" s="2"/>
      <c r="AZ90" s="2"/>
      <c r="BA90" s="2">
        <v>3</v>
      </c>
      <c r="BB90" s="2">
        <v>122</v>
      </c>
      <c r="BC90" s="2"/>
      <c r="BD90" s="2">
        <v>44</v>
      </c>
      <c r="BE90" s="2">
        <v>45</v>
      </c>
      <c r="BF90" s="2">
        <v>10</v>
      </c>
      <c r="BG90" s="2"/>
      <c r="BH90" s="2"/>
      <c r="BI90" s="1">
        <v>0</v>
      </c>
      <c r="BJ90" s="5"/>
      <c r="BK90" s="1">
        <v>0</v>
      </c>
      <c r="BL90" s="5"/>
      <c r="BM90" s="1">
        <v>26.464390000000002</v>
      </c>
      <c r="BN90" s="1">
        <v>-81.968699999999998</v>
      </c>
      <c r="BO90" s="1">
        <v>0</v>
      </c>
      <c r="BP90" s="5"/>
      <c r="BQ90" s="1">
        <v>0</v>
      </c>
      <c r="BR90" s="5"/>
      <c r="BS90" s="1">
        <v>8</v>
      </c>
      <c r="BT90" s="5"/>
      <c r="BU90" s="1">
        <v>0</v>
      </c>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row>
    <row r="91" spans="1:336" ht="15" x14ac:dyDescent="0.25">
      <c r="A91" s="1" t="s">
        <v>706</v>
      </c>
      <c r="B91" s="2">
        <v>29.62567</v>
      </c>
      <c r="C91" s="2">
        <v>-85.1464</v>
      </c>
      <c r="D91" s="2">
        <v>29.642869999999998</v>
      </c>
      <c r="E91" s="2">
        <v>-85.154899999999998</v>
      </c>
      <c r="F91" s="3">
        <v>43138</v>
      </c>
      <c r="G91" s="1" t="s">
        <v>707</v>
      </c>
      <c r="H91" s="1" t="s">
        <v>639</v>
      </c>
      <c r="I91" s="1" t="s">
        <v>329</v>
      </c>
      <c r="J91" s="4">
        <v>0.61805555555555558</v>
      </c>
      <c r="K91" s="1" t="s">
        <v>375</v>
      </c>
      <c r="L91" s="1" t="s">
        <v>364</v>
      </c>
      <c r="M91" s="5"/>
      <c r="N91" s="1" t="s">
        <v>333</v>
      </c>
      <c r="O91" s="2">
        <v>2</v>
      </c>
      <c r="P91" s="2"/>
      <c r="Q91" s="2">
        <v>8</v>
      </c>
      <c r="R91" s="2">
        <v>85</v>
      </c>
      <c r="S91" s="2"/>
      <c r="T91" s="2"/>
      <c r="U91" s="2"/>
      <c r="V91" s="2"/>
      <c r="W91" s="2">
        <v>1</v>
      </c>
      <c r="X91" s="2"/>
      <c r="Y91" s="2">
        <v>11</v>
      </c>
      <c r="Z91" s="2"/>
      <c r="AA91" s="2"/>
      <c r="AB91" s="2"/>
      <c r="AC91" s="2">
        <v>31</v>
      </c>
      <c r="AD91" s="2">
        <v>3</v>
      </c>
      <c r="AE91" s="2">
        <v>8</v>
      </c>
      <c r="AF91" s="2">
        <v>1</v>
      </c>
      <c r="AG91" s="2"/>
      <c r="AH91" s="2"/>
      <c r="AI91" s="2"/>
      <c r="AJ91" s="2"/>
      <c r="AK91" s="2"/>
      <c r="AL91" s="2">
        <v>6</v>
      </c>
      <c r="AM91" s="2"/>
      <c r="AN91" s="2"/>
      <c r="AO91" s="2"/>
      <c r="AP91" s="2"/>
      <c r="AQ91" s="2">
        <v>113</v>
      </c>
      <c r="AR91" s="2"/>
      <c r="AS91" s="2"/>
      <c r="AT91" s="2">
        <v>11</v>
      </c>
      <c r="AU91" s="2"/>
      <c r="AV91" s="2"/>
      <c r="AW91" s="2">
        <v>2</v>
      </c>
      <c r="AX91" s="2">
        <v>5</v>
      </c>
      <c r="AY91" s="2"/>
      <c r="AZ91" s="2"/>
      <c r="BA91" s="2">
        <v>4</v>
      </c>
      <c r="BB91" s="2">
        <v>12</v>
      </c>
      <c r="BC91" s="2"/>
      <c r="BD91" s="2">
        <v>48</v>
      </c>
      <c r="BE91" s="2">
        <v>20</v>
      </c>
      <c r="BF91" s="2"/>
      <c r="BG91" s="2"/>
      <c r="BH91" s="2"/>
      <c r="BI91" s="5"/>
      <c r="BJ91" s="5"/>
      <c r="BK91" s="5"/>
      <c r="BL91" s="5"/>
      <c r="BM91" s="1">
        <v>29.62602</v>
      </c>
      <c r="BN91" s="1">
        <v>-85.151700000000005</v>
      </c>
      <c r="BO91" s="5"/>
      <c r="BP91" s="5"/>
      <c r="BQ91" s="5"/>
      <c r="BR91" s="5"/>
      <c r="BS91" s="5"/>
      <c r="BT91" s="5"/>
      <c r="BU91" s="5"/>
      <c r="BV91" s="5"/>
      <c r="BW91" s="5"/>
      <c r="BX91" s="5"/>
      <c r="BY91" s="5"/>
      <c r="BZ91" s="5"/>
      <c r="CA91" s="1">
        <v>29.625050000000002</v>
      </c>
      <c r="CB91" s="1">
        <v>-85.1511</v>
      </c>
      <c r="CC91" s="5"/>
      <c r="CD91" s="5"/>
      <c r="CE91" s="5"/>
      <c r="CF91" s="1">
        <v>6</v>
      </c>
      <c r="CG91" s="1" t="s">
        <v>708</v>
      </c>
      <c r="CH91" s="5"/>
      <c r="CI91" s="5"/>
      <c r="CJ91" s="5"/>
      <c r="CK91" s="5"/>
      <c r="CL91" s="1">
        <v>2</v>
      </c>
      <c r="CM91" s="5"/>
      <c r="CN91" s="5"/>
      <c r="CO91" s="5"/>
      <c r="CP91" s="1">
        <v>29.62509</v>
      </c>
      <c r="CQ91" s="1">
        <v>-85.150700000000001</v>
      </c>
      <c r="CR91" s="5"/>
      <c r="CS91" s="5"/>
      <c r="CT91" s="5"/>
      <c r="CU91" s="5"/>
      <c r="CV91" s="5"/>
      <c r="CW91" s="5"/>
      <c r="CX91" s="5"/>
      <c r="CY91" s="5"/>
      <c r="CZ91" s="5"/>
      <c r="DA91" s="5"/>
      <c r="DB91" s="5"/>
      <c r="DC91" s="5"/>
      <c r="DD91" s="1">
        <v>45</v>
      </c>
      <c r="DE91" s="1">
        <v>29.62481</v>
      </c>
      <c r="DF91" s="1">
        <v>-85.147099999999995</v>
      </c>
      <c r="DG91" s="1" t="s">
        <v>709</v>
      </c>
      <c r="DH91" s="5"/>
      <c r="DI91" s="5"/>
      <c r="DJ91" s="5"/>
      <c r="DK91" s="5"/>
      <c r="DL91" s="5"/>
      <c r="DM91" s="5"/>
      <c r="DN91" s="5"/>
      <c r="DO91" s="5"/>
      <c r="DP91" s="5"/>
      <c r="DQ91" s="5"/>
      <c r="DR91" s="1">
        <v>68</v>
      </c>
      <c r="DS91" s="5"/>
      <c r="DT91" s="1">
        <v>29.63992</v>
      </c>
      <c r="DU91" s="1">
        <v>-85.154899999999998</v>
      </c>
      <c r="DV91" s="1" t="s">
        <v>710</v>
      </c>
      <c r="DW91" s="5"/>
      <c r="DX91" s="5"/>
      <c r="DY91" s="5"/>
      <c r="DZ91" s="5"/>
      <c r="EA91" s="5"/>
      <c r="EB91" s="5"/>
      <c r="EC91" s="5"/>
      <c r="ED91" s="5"/>
      <c r="EE91" s="5"/>
      <c r="EF91" s="5"/>
      <c r="EG91" s="5"/>
      <c r="EH91" s="5"/>
      <c r="EI91" s="1">
        <v>29.639970000000002</v>
      </c>
      <c r="EJ91" s="1">
        <v>-85.155500000000004</v>
      </c>
      <c r="EK91" s="5"/>
      <c r="EL91" s="5"/>
      <c r="EM91" s="5"/>
      <c r="EN91" s="1">
        <v>25</v>
      </c>
      <c r="EO91" s="1" t="s">
        <v>711</v>
      </c>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1" t="s">
        <v>712</v>
      </c>
    </row>
    <row r="92" spans="1:336" ht="15" x14ac:dyDescent="0.25">
      <c r="A92" s="1" t="s">
        <v>713</v>
      </c>
      <c r="B92" s="2">
        <v>29.03839</v>
      </c>
      <c r="C92" s="2">
        <v>-80.895600000000002</v>
      </c>
      <c r="D92" s="2">
        <v>29.009689999999999</v>
      </c>
      <c r="E92" s="2">
        <v>-80.877899999999997</v>
      </c>
      <c r="F92" s="3">
        <v>43139</v>
      </c>
      <c r="G92" s="1" t="s">
        <v>714</v>
      </c>
      <c r="H92" s="1" t="s">
        <v>715</v>
      </c>
      <c r="I92" s="1" t="s">
        <v>329</v>
      </c>
      <c r="J92" s="4">
        <v>0.35416666666666669</v>
      </c>
      <c r="K92" s="1" t="s">
        <v>375</v>
      </c>
      <c r="L92" s="1" t="s">
        <v>369</v>
      </c>
      <c r="M92" s="1" t="s">
        <v>716</v>
      </c>
      <c r="N92" s="1" t="s">
        <v>333</v>
      </c>
      <c r="O92" s="2"/>
      <c r="P92" s="2"/>
      <c r="Q92" s="2"/>
      <c r="R92" s="2"/>
      <c r="S92" s="2"/>
      <c r="T92" s="2"/>
      <c r="U92" s="2"/>
      <c r="V92" s="2"/>
      <c r="W92" s="2"/>
      <c r="X92" s="2"/>
      <c r="Y92" s="2"/>
      <c r="Z92" s="2"/>
      <c r="AA92" s="2"/>
      <c r="AB92" s="2"/>
      <c r="AC92" s="2"/>
      <c r="AD92" s="2">
        <v>17</v>
      </c>
      <c r="AE92" s="2">
        <v>42</v>
      </c>
      <c r="AF92" s="2"/>
      <c r="AG92" s="2"/>
      <c r="AH92" s="2"/>
      <c r="AI92" s="2"/>
      <c r="AJ92" s="2"/>
      <c r="AK92" s="2"/>
      <c r="AL92" s="2">
        <v>6</v>
      </c>
      <c r="AM92" s="2"/>
      <c r="AN92" s="2"/>
      <c r="AO92" s="2"/>
      <c r="AP92" s="2"/>
      <c r="AQ92" s="2"/>
      <c r="AR92" s="2"/>
      <c r="AS92" s="2"/>
      <c r="AT92" s="2">
        <v>1</v>
      </c>
      <c r="AU92" s="2"/>
      <c r="AV92" s="2"/>
      <c r="AW92" s="2"/>
      <c r="AX92" s="2">
        <v>14</v>
      </c>
      <c r="AY92" s="2"/>
      <c r="AZ92" s="2"/>
      <c r="BA92" s="2"/>
      <c r="BB92" s="2">
        <v>224</v>
      </c>
      <c r="BC92" s="2"/>
      <c r="BD92" s="2">
        <v>106</v>
      </c>
      <c r="BE92" s="2">
        <v>62</v>
      </c>
      <c r="BF92" s="2">
        <v>18</v>
      </c>
      <c r="BG92" s="2"/>
      <c r="BH92" s="2"/>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7"/>
      <c r="IN92" s="7"/>
      <c r="IO92" s="7"/>
      <c r="IP92" s="7"/>
      <c r="IQ92" s="7"/>
      <c r="IR92" s="7"/>
      <c r="IS92" s="7"/>
      <c r="IT92" s="7"/>
      <c r="IU92" s="7"/>
      <c r="IV92" s="7"/>
      <c r="IW92" s="7"/>
      <c r="IX92" s="7"/>
      <c r="IY92" s="7"/>
      <c r="IZ92" s="7"/>
      <c r="JA92" s="7"/>
      <c r="JB92" s="7"/>
      <c r="JC92" s="7"/>
      <c r="JD92" s="7"/>
      <c r="JE92" s="7"/>
      <c r="JF92" s="7"/>
      <c r="JG92" s="7"/>
      <c r="JH92" s="7"/>
      <c r="JI92" s="7"/>
      <c r="JJ92" s="7"/>
      <c r="JK92" s="7"/>
      <c r="JL92" s="7"/>
      <c r="JM92" s="7"/>
      <c r="JN92" s="7"/>
      <c r="JO92" s="7"/>
      <c r="JP92" s="7"/>
      <c r="JQ92" s="7"/>
      <c r="JR92" s="7"/>
      <c r="JS92" s="7"/>
      <c r="JT92" s="7"/>
      <c r="JU92" s="7"/>
      <c r="JV92" s="7"/>
      <c r="JW92" s="7"/>
      <c r="JX92" s="7"/>
      <c r="JY92" s="7"/>
      <c r="JZ92" s="7"/>
      <c r="KA92" s="7"/>
      <c r="KB92" s="7"/>
      <c r="KC92" s="7"/>
      <c r="KD92" s="7"/>
      <c r="KE92" s="7"/>
      <c r="KF92" s="7"/>
      <c r="KG92" s="7"/>
      <c r="KH92" s="7"/>
      <c r="KI92" s="7"/>
      <c r="KJ92" s="7"/>
      <c r="KK92" s="7"/>
      <c r="KL92" s="7"/>
      <c r="KM92" s="7"/>
      <c r="KN92" s="7"/>
      <c r="KO92" s="7"/>
      <c r="KP92" s="7"/>
      <c r="KQ92" s="7"/>
      <c r="KR92" s="7"/>
      <c r="KS92" s="7"/>
      <c r="KT92" s="7"/>
      <c r="KU92" s="7"/>
      <c r="KV92" s="7"/>
      <c r="KW92" s="7"/>
      <c r="KX92" s="7"/>
      <c r="KY92" s="7"/>
      <c r="KZ92" s="7"/>
      <c r="LA92" s="7"/>
      <c r="LB92" s="7"/>
      <c r="LC92" s="7"/>
      <c r="LD92" s="7"/>
      <c r="LE92" s="7"/>
      <c r="LF92" s="7"/>
      <c r="LG92" s="7"/>
      <c r="LH92" s="7"/>
      <c r="LI92" s="7"/>
      <c r="LJ92" s="7"/>
      <c r="LK92" s="7"/>
      <c r="LL92" s="7"/>
      <c r="LM92" s="7"/>
      <c r="LN92" s="7"/>
      <c r="LO92" s="7"/>
      <c r="LP92" s="7"/>
      <c r="LQ92" s="7"/>
      <c r="LR92" s="7"/>
      <c r="LS92" s="7"/>
      <c r="LT92" s="7"/>
      <c r="LU92" s="7"/>
      <c r="LV92" s="7"/>
      <c r="LW92" s="7"/>
      <c r="LX92" s="7"/>
    </row>
    <row r="93" spans="1:336" ht="15" x14ac:dyDescent="0.25">
      <c r="A93" s="1" t="s">
        <v>717</v>
      </c>
      <c r="B93" s="2">
        <v>29.479900000000001</v>
      </c>
      <c r="C93" s="2">
        <v>-81.126400000000004</v>
      </c>
      <c r="D93" s="2">
        <v>29.5198</v>
      </c>
      <c r="E93" s="2">
        <v>-81.146299999999997</v>
      </c>
      <c r="F93" s="3">
        <v>43135</v>
      </c>
      <c r="G93" s="1" t="s">
        <v>718</v>
      </c>
      <c r="H93" s="1" t="s">
        <v>719</v>
      </c>
      <c r="I93" s="1" t="s">
        <v>329</v>
      </c>
      <c r="J93" s="4">
        <v>0.33333333333333331</v>
      </c>
      <c r="K93" s="1" t="s">
        <v>368</v>
      </c>
      <c r="L93" s="1" t="s">
        <v>441</v>
      </c>
      <c r="M93" s="5"/>
      <c r="N93" s="1" t="s">
        <v>333</v>
      </c>
      <c r="O93" s="2"/>
      <c r="P93" s="2"/>
      <c r="Q93" s="2">
        <v>15</v>
      </c>
      <c r="R93" s="2"/>
      <c r="S93" s="2"/>
      <c r="T93" s="2"/>
      <c r="U93" s="2"/>
      <c r="V93" s="2"/>
      <c r="W93" s="2"/>
      <c r="X93" s="2"/>
      <c r="Y93" s="2"/>
      <c r="Z93" s="2"/>
      <c r="AA93" s="2"/>
      <c r="AB93" s="2"/>
      <c r="AC93" s="2"/>
      <c r="AD93" s="2">
        <v>44</v>
      </c>
      <c r="AE93" s="2">
        <v>225</v>
      </c>
      <c r="AF93" s="2"/>
      <c r="AG93" s="2"/>
      <c r="AH93" s="2"/>
      <c r="AI93" s="2"/>
      <c r="AJ93" s="2"/>
      <c r="AK93" s="2"/>
      <c r="AL93" s="2">
        <v>36</v>
      </c>
      <c r="AM93" s="2"/>
      <c r="AN93" s="2"/>
      <c r="AO93" s="2"/>
      <c r="AP93" s="2"/>
      <c r="AQ93" s="2">
        <v>9</v>
      </c>
      <c r="AR93" s="2"/>
      <c r="AS93" s="2"/>
      <c r="AT93" s="2"/>
      <c r="AU93" s="2"/>
      <c r="AV93" s="2"/>
      <c r="AW93" s="2"/>
      <c r="AX93" s="2">
        <v>65</v>
      </c>
      <c r="AY93" s="2"/>
      <c r="AZ93" s="2"/>
      <c r="BA93" s="2">
        <v>4</v>
      </c>
      <c r="BB93" s="2">
        <v>112</v>
      </c>
      <c r="BC93" s="2"/>
      <c r="BD93" s="2">
        <v>71</v>
      </c>
      <c r="BE93" s="2">
        <v>23</v>
      </c>
      <c r="BF93" s="2"/>
      <c r="BG93" s="2"/>
      <c r="BH93" s="2"/>
      <c r="BI93" s="1">
        <v>0</v>
      </c>
      <c r="BJ93" s="5"/>
      <c r="BK93" s="1">
        <v>9</v>
      </c>
      <c r="BL93" s="1" t="s">
        <v>656</v>
      </c>
      <c r="BM93" s="1">
        <v>29.483149999999998</v>
      </c>
      <c r="BN93" s="1">
        <v>-81.127700000000004</v>
      </c>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row>
    <row r="94" spans="1:336" ht="15" x14ac:dyDescent="0.25">
      <c r="A94" s="1" t="s">
        <v>720</v>
      </c>
      <c r="B94" s="2">
        <v>29.479579999999999</v>
      </c>
      <c r="C94" s="2">
        <v>-81.126800000000003</v>
      </c>
      <c r="D94" s="2">
        <v>29.4438</v>
      </c>
      <c r="E94" s="2">
        <v>-81.11</v>
      </c>
      <c r="F94" s="3">
        <v>43135</v>
      </c>
      <c r="G94" s="1" t="s">
        <v>721</v>
      </c>
      <c r="H94" s="1" t="s">
        <v>722</v>
      </c>
      <c r="I94" s="1" t="s">
        <v>329</v>
      </c>
      <c r="J94" s="4">
        <v>0.33333333333333331</v>
      </c>
      <c r="K94" s="1" t="s">
        <v>368</v>
      </c>
      <c r="L94" s="1" t="s">
        <v>441</v>
      </c>
      <c r="M94" s="5"/>
      <c r="N94" s="1" t="s">
        <v>333</v>
      </c>
      <c r="O94" s="2"/>
      <c r="P94" s="2"/>
      <c r="Q94" s="2"/>
      <c r="R94" s="2"/>
      <c r="S94" s="2"/>
      <c r="T94" s="2"/>
      <c r="U94" s="2"/>
      <c r="V94" s="2"/>
      <c r="W94" s="2"/>
      <c r="X94" s="2"/>
      <c r="Y94" s="2"/>
      <c r="Z94" s="2"/>
      <c r="AA94" s="2"/>
      <c r="AB94" s="2"/>
      <c r="AC94" s="2"/>
      <c r="AD94" s="2">
        <v>7</v>
      </c>
      <c r="AE94" s="2">
        <v>34</v>
      </c>
      <c r="AF94" s="2"/>
      <c r="AG94" s="2"/>
      <c r="AH94" s="2"/>
      <c r="AI94" s="2"/>
      <c r="AJ94" s="2">
        <v>1</v>
      </c>
      <c r="AK94" s="2"/>
      <c r="AL94" s="2">
        <v>8</v>
      </c>
      <c r="AM94" s="2"/>
      <c r="AN94" s="2"/>
      <c r="AO94" s="2"/>
      <c r="AP94" s="2"/>
      <c r="AQ94" s="2">
        <v>5</v>
      </c>
      <c r="AR94" s="2"/>
      <c r="AS94" s="2"/>
      <c r="AT94" s="2"/>
      <c r="AU94" s="2"/>
      <c r="AV94" s="2"/>
      <c r="AW94" s="2"/>
      <c r="AX94" s="2">
        <v>21</v>
      </c>
      <c r="AY94" s="2"/>
      <c r="AZ94" s="2"/>
      <c r="BA94" s="2">
        <v>2</v>
      </c>
      <c r="BB94" s="2">
        <v>41</v>
      </c>
      <c r="BC94" s="2"/>
      <c r="BD94" s="2">
        <v>31</v>
      </c>
      <c r="BE94" s="2">
        <v>18</v>
      </c>
      <c r="BF94" s="2"/>
      <c r="BG94" s="2"/>
      <c r="BH94" s="2"/>
      <c r="BI94" s="1">
        <v>0</v>
      </c>
      <c r="BJ94" s="5"/>
      <c r="BK94" s="1">
        <v>4</v>
      </c>
      <c r="BL94" s="1" t="s">
        <v>394</v>
      </c>
      <c r="BM94" s="1">
        <v>29.477699999999999</v>
      </c>
      <c r="BN94" s="1">
        <v>-81.126099999999994</v>
      </c>
      <c r="BO94" s="1">
        <v>0</v>
      </c>
      <c r="BP94" s="5"/>
      <c r="BQ94" s="1">
        <v>0</v>
      </c>
      <c r="BR94" s="5"/>
      <c r="BS94" s="1">
        <v>0</v>
      </c>
      <c r="BT94" s="5"/>
      <c r="BU94" s="1">
        <v>0</v>
      </c>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row>
    <row r="95" spans="1:336" ht="15" x14ac:dyDescent="0.25">
      <c r="A95" s="1" t="s">
        <v>723</v>
      </c>
      <c r="B95" s="2">
        <v>25.136130000000001</v>
      </c>
      <c r="C95" s="2">
        <v>-80.935100000000006</v>
      </c>
      <c r="D95" s="2">
        <v>25.141210000000001</v>
      </c>
      <c r="E95" s="2">
        <v>-80.923900000000003</v>
      </c>
      <c r="F95" s="3">
        <v>43133</v>
      </c>
      <c r="G95" s="2">
        <v>2</v>
      </c>
      <c r="H95" s="1" t="s">
        <v>724</v>
      </c>
      <c r="I95" s="1" t="s">
        <v>329</v>
      </c>
      <c r="J95" s="4">
        <v>0.52152777777777781</v>
      </c>
      <c r="K95" s="1" t="s">
        <v>330</v>
      </c>
      <c r="L95" s="1" t="s">
        <v>364</v>
      </c>
      <c r="M95" s="1" t="s">
        <v>723</v>
      </c>
      <c r="N95" s="1" t="s">
        <v>333</v>
      </c>
      <c r="O95" s="2"/>
      <c r="P95" s="2"/>
      <c r="Q95" s="2"/>
      <c r="R95" s="2"/>
      <c r="S95" s="2"/>
      <c r="T95" s="2"/>
      <c r="U95" s="2"/>
      <c r="V95" s="2"/>
      <c r="W95" s="2"/>
      <c r="X95" s="2"/>
      <c r="Y95" s="2"/>
      <c r="Z95" s="2"/>
      <c r="AA95" s="2"/>
      <c r="AB95" s="2"/>
      <c r="AC95" s="2"/>
      <c r="AD95" s="2"/>
      <c r="AE95" s="2"/>
      <c r="AF95" s="2"/>
      <c r="AG95" s="2"/>
      <c r="AH95" s="2"/>
      <c r="AI95" s="2">
        <v>1</v>
      </c>
      <c r="AJ95" s="2"/>
      <c r="AK95" s="2"/>
      <c r="AL95" s="2"/>
      <c r="AM95" s="2"/>
      <c r="AN95" s="2"/>
      <c r="AO95" s="2"/>
      <c r="AP95" s="2"/>
      <c r="AQ95" s="2">
        <v>250</v>
      </c>
      <c r="AR95" s="2"/>
      <c r="AS95" s="2"/>
      <c r="AT95" s="2">
        <v>12</v>
      </c>
      <c r="AU95" s="2">
        <v>28</v>
      </c>
      <c r="AV95" s="2"/>
      <c r="AW95" s="2">
        <v>29</v>
      </c>
      <c r="AX95" s="2"/>
      <c r="AY95" s="2"/>
      <c r="AZ95" s="2"/>
      <c r="BA95" s="2"/>
      <c r="BB95" s="2">
        <v>165</v>
      </c>
      <c r="BC95" s="2"/>
      <c r="BD95" s="2"/>
      <c r="BE95" s="2">
        <v>2</v>
      </c>
      <c r="BF95" s="2"/>
      <c r="BG95" s="2"/>
      <c r="BH95" s="2">
        <v>16</v>
      </c>
      <c r="BI95" s="5"/>
      <c r="BJ95" s="5"/>
      <c r="BK95" s="1">
        <v>250</v>
      </c>
      <c r="BL95" s="5"/>
      <c r="BM95" s="1">
        <v>25.138950000000001</v>
      </c>
      <c r="BN95" s="1">
        <v>-80.920900000000003</v>
      </c>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1" t="s">
        <v>725</v>
      </c>
    </row>
    <row r="96" spans="1:336" ht="15" x14ac:dyDescent="0.25">
      <c r="A96" s="1" t="s">
        <v>726</v>
      </c>
      <c r="B96" s="2">
        <v>30.70271</v>
      </c>
      <c r="C96" s="2">
        <v>-81.432199999999995</v>
      </c>
      <c r="D96" s="2">
        <v>30.699190000000002</v>
      </c>
      <c r="E96" s="2">
        <v>-81.426199999999994</v>
      </c>
      <c r="F96" s="3">
        <v>43133</v>
      </c>
      <c r="G96" s="1" t="s">
        <v>727</v>
      </c>
      <c r="H96" s="1" t="s">
        <v>728</v>
      </c>
      <c r="I96" s="1" t="s">
        <v>329</v>
      </c>
      <c r="J96" s="4">
        <v>0.47916666666666669</v>
      </c>
      <c r="K96" s="1" t="s">
        <v>368</v>
      </c>
      <c r="L96" s="1" t="s">
        <v>364</v>
      </c>
      <c r="M96" s="5"/>
      <c r="N96" s="1" t="s">
        <v>333</v>
      </c>
      <c r="O96" s="2"/>
      <c r="P96" s="2"/>
      <c r="Q96" s="2"/>
      <c r="R96" s="2"/>
      <c r="S96" s="2"/>
      <c r="T96" s="2"/>
      <c r="U96" s="2"/>
      <c r="V96" s="2"/>
      <c r="W96" s="2"/>
      <c r="X96" s="2"/>
      <c r="Y96" s="2"/>
      <c r="Z96" s="2"/>
      <c r="AA96" s="2"/>
      <c r="AB96" s="2"/>
      <c r="AC96" s="2"/>
      <c r="AD96" s="2">
        <v>17</v>
      </c>
      <c r="AE96" s="2">
        <v>49</v>
      </c>
      <c r="AF96" s="2"/>
      <c r="AG96" s="2"/>
      <c r="AH96" s="2"/>
      <c r="AI96" s="2"/>
      <c r="AJ96" s="2"/>
      <c r="AK96" s="2"/>
      <c r="AL96" s="2">
        <v>2</v>
      </c>
      <c r="AM96" s="2"/>
      <c r="AN96" s="2"/>
      <c r="AO96" s="2"/>
      <c r="AP96" s="2"/>
      <c r="AQ96" s="2">
        <v>161</v>
      </c>
      <c r="AR96" s="2"/>
      <c r="AS96" s="2"/>
      <c r="AT96" s="2">
        <v>2</v>
      </c>
      <c r="AU96" s="2"/>
      <c r="AV96" s="2"/>
      <c r="AW96" s="2">
        <v>16</v>
      </c>
      <c r="AX96" s="2"/>
      <c r="AY96" s="2"/>
      <c r="AZ96" s="2">
        <v>1</v>
      </c>
      <c r="BA96" s="2">
        <v>3</v>
      </c>
      <c r="BB96" s="2">
        <v>20</v>
      </c>
      <c r="BC96" s="2"/>
      <c r="BD96" s="2">
        <v>27</v>
      </c>
      <c r="BE96" s="2">
        <v>17</v>
      </c>
      <c r="BF96" s="2"/>
      <c r="BG96" s="2"/>
      <c r="BH96" s="2"/>
      <c r="BI96" s="5"/>
      <c r="BJ96" s="5"/>
      <c r="BK96" s="1">
        <v>161</v>
      </c>
      <c r="BL96" s="5"/>
      <c r="BM96" s="1">
        <v>30.700849999999999</v>
      </c>
      <c r="BN96" s="1">
        <v>-81.426100000000005</v>
      </c>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row>
    <row r="97" spans="1:336" ht="15" x14ac:dyDescent="0.25">
      <c r="A97" s="1" t="s">
        <v>729</v>
      </c>
      <c r="B97" s="2">
        <v>27.38007</v>
      </c>
      <c r="C97" s="2">
        <v>-82.442400000000006</v>
      </c>
      <c r="D97" s="2">
        <v>27.38561</v>
      </c>
      <c r="E97" s="2">
        <v>-82.443799999999996</v>
      </c>
      <c r="F97" s="3">
        <v>43133</v>
      </c>
      <c r="G97" s="1" t="s">
        <v>730</v>
      </c>
      <c r="H97" s="1" t="s">
        <v>731</v>
      </c>
      <c r="I97" s="1" t="s">
        <v>329</v>
      </c>
      <c r="J97" s="4">
        <v>0.38541666666666669</v>
      </c>
      <c r="K97" s="5"/>
      <c r="L97" s="5"/>
      <c r="M97" s="5"/>
      <c r="N97" s="5"/>
      <c r="O97" s="2"/>
      <c r="P97" s="2"/>
      <c r="Q97" s="2">
        <v>6</v>
      </c>
      <c r="R97" s="2"/>
      <c r="S97" s="2"/>
      <c r="T97" s="2"/>
      <c r="U97" s="2"/>
      <c r="V97" s="2"/>
      <c r="W97" s="2"/>
      <c r="X97" s="2"/>
      <c r="Y97" s="2"/>
      <c r="Z97" s="2"/>
      <c r="AA97" s="2"/>
      <c r="AB97" s="2"/>
      <c r="AC97" s="2">
        <v>214</v>
      </c>
      <c r="AD97" s="2"/>
      <c r="AE97" s="2">
        <v>39</v>
      </c>
      <c r="AF97" s="2"/>
      <c r="AG97" s="2"/>
      <c r="AH97" s="2"/>
      <c r="AI97" s="2"/>
      <c r="AJ97" s="2"/>
      <c r="AK97" s="2"/>
      <c r="AL97" s="2">
        <v>47</v>
      </c>
      <c r="AM97" s="2"/>
      <c r="AN97" s="2"/>
      <c r="AO97" s="2"/>
      <c r="AP97" s="2"/>
      <c r="AQ97" s="2"/>
      <c r="AR97" s="2"/>
      <c r="AS97" s="2"/>
      <c r="AT97" s="2"/>
      <c r="AU97" s="2"/>
      <c r="AV97" s="2"/>
      <c r="AW97" s="2"/>
      <c r="AX97" s="2">
        <v>2</v>
      </c>
      <c r="AY97" s="2"/>
      <c r="AZ97" s="2"/>
      <c r="BA97" s="2"/>
      <c r="BB97" s="2">
        <v>16</v>
      </c>
      <c r="BC97" s="2"/>
      <c r="BD97" s="2">
        <v>8</v>
      </c>
      <c r="BE97" s="2"/>
      <c r="BF97" s="2"/>
      <c r="BG97" s="2"/>
      <c r="BH97" s="2"/>
      <c r="BI97" s="1">
        <v>0</v>
      </c>
      <c r="BJ97" s="1">
        <v>0</v>
      </c>
      <c r="BK97" s="1">
        <v>0</v>
      </c>
      <c r="BL97" s="1">
        <v>0</v>
      </c>
      <c r="BM97" s="1">
        <v>27.635380000000001</v>
      </c>
      <c r="BN97" s="1">
        <v>-82.739900000000006</v>
      </c>
      <c r="BO97" s="1">
        <v>0</v>
      </c>
      <c r="BP97" s="1">
        <v>0</v>
      </c>
      <c r="BQ97" s="1">
        <v>214</v>
      </c>
      <c r="BR97" s="1" t="s">
        <v>732</v>
      </c>
      <c r="BS97" s="1">
        <v>0</v>
      </c>
      <c r="BT97" s="1">
        <v>0</v>
      </c>
      <c r="BU97" s="1">
        <v>2</v>
      </c>
      <c r="BV97" s="1">
        <v>0</v>
      </c>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row>
    <row r="98" spans="1:336" ht="15" x14ac:dyDescent="0.25">
      <c r="A98" s="1" t="s">
        <v>733</v>
      </c>
      <c r="B98" s="2">
        <v>29.717929999999999</v>
      </c>
      <c r="C98" s="2">
        <v>-81.230699999999999</v>
      </c>
      <c r="D98" s="2">
        <v>29.704899999999999</v>
      </c>
      <c r="E98" s="2">
        <v>-81.226799999999997</v>
      </c>
      <c r="F98" s="3">
        <v>43139</v>
      </c>
      <c r="G98" s="1" t="s">
        <v>734</v>
      </c>
      <c r="H98" s="1" t="s">
        <v>735</v>
      </c>
      <c r="I98" s="1" t="s">
        <v>329</v>
      </c>
      <c r="J98" s="4">
        <v>0.375</v>
      </c>
      <c r="K98" s="1" t="s">
        <v>368</v>
      </c>
      <c r="L98" s="1" t="s">
        <v>441</v>
      </c>
      <c r="M98" s="5"/>
      <c r="N98" s="1" t="s">
        <v>479</v>
      </c>
      <c r="O98" s="2"/>
      <c r="P98" s="2"/>
      <c r="Q98" s="2">
        <v>2</v>
      </c>
      <c r="R98" s="2">
        <v>21</v>
      </c>
      <c r="S98" s="2"/>
      <c r="T98" s="2"/>
      <c r="U98" s="2"/>
      <c r="V98" s="2"/>
      <c r="W98" s="2"/>
      <c r="X98" s="2"/>
      <c r="Y98" s="2"/>
      <c r="Z98" s="2"/>
      <c r="AA98" s="2"/>
      <c r="AB98" s="2"/>
      <c r="AC98" s="2"/>
      <c r="AD98" s="2">
        <v>1</v>
      </c>
      <c r="AE98" s="2">
        <v>1</v>
      </c>
      <c r="AF98" s="2">
        <v>25</v>
      </c>
      <c r="AG98" s="2"/>
      <c r="AH98" s="2"/>
      <c r="AI98" s="2"/>
      <c r="AJ98" s="2"/>
      <c r="AK98" s="2"/>
      <c r="AL98" s="2">
        <v>1</v>
      </c>
      <c r="AM98" s="2"/>
      <c r="AN98" s="2"/>
      <c r="AO98" s="2"/>
      <c r="AP98" s="2"/>
      <c r="AQ98" s="2">
        <v>611</v>
      </c>
      <c r="AR98" s="2">
        <v>1</v>
      </c>
      <c r="AS98" s="2"/>
      <c r="AT98" s="2">
        <v>29</v>
      </c>
      <c r="AU98" s="2"/>
      <c r="AV98" s="2"/>
      <c r="AW98" s="2">
        <v>12</v>
      </c>
      <c r="AX98" s="2">
        <v>33</v>
      </c>
      <c r="AY98" s="2"/>
      <c r="AZ98" s="2">
        <v>5</v>
      </c>
      <c r="BA98" s="2">
        <v>10</v>
      </c>
      <c r="BB98" s="2">
        <v>15</v>
      </c>
      <c r="BC98" s="2"/>
      <c r="BD98" s="2">
        <v>95</v>
      </c>
      <c r="BE98" s="2">
        <v>34</v>
      </c>
      <c r="BF98" s="2"/>
      <c r="BG98" s="2"/>
      <c r="BH98" s="2"/>
      <c r="BI98" s="1">
        <v>0</v>
      </c>
      <c r="BJ98" s="1">
        <v>0</v>
      </c>
      <c r="BK98" s="1">
        <v>611</v>
      </c>
      <c r="BL98" s="1">
        <v>0</v>
      </c>
      <c r="BM98" s="1">
        <v>29.706029999999998</v>
      </c>
      <c r="BN98" s="1">
        <v>-81.230500000000006</v>
      </c>
      <c r="BO98" s="1">
        <v>0</v>
      </c>
      <c r="BP98" s="1">
        <v>0</v>
      </c>
      <c r="BQ98" s="1">
        <v>0</v>
      </c>
      <c r="BR98" s="1">
        <v>0</v>
      </c>
      <c r="BS98" s="1">
        <v>0</v>
      </c>
      <c r="BT98" s="1">
        <v>0</v>
      </c>
      <c r="BU98" s="1">
        <v>0</v>
      </c>
      <c r="BV98" s="1">
        <v>0</v>
      </c>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1">
        <v>0</v>
      </c>
    </row>
    <row r="99" spans="1:336" ht="15" x14ac:dyDescent="0.25">
      <c r="A99" s="1" t="s">
        <v>736</v>
      </c>
      <c r="B99" s="2">
        <v>27.47222</v>
      </c>
      <c r="C99" s="2">
        <v>-80.295699999999997</v>
      </c>
      <c r="D99" s="2">
        <v>27.479050000000001</v>
      </c>
      <c r="E99" s="2">
        <v>-80.2928</v>
      </c>
      <c r="F99" s="3">
        <v>43138</v>
      </c>
      <c r="G99" s="1" t="s">
        <v>436</v>
      </c>
      <c r="H99" s="1" t="s">
        <v>437</v>
      </c>
      <c r="I99" s="1" t="s">
        <v>329</v>
      </c>
      <c r="J99" s="4">
        <v>0.41666666666666669</v>
      </c>
      <c r="K99" s="1" t="s">
        <v>330</v>
      </c>
      <c r="L99" s="1" t="s">
        <v>364</v>
      </c>
      <c r="M99" s="1" t="s">
        <v>737</v>
      </c>
      <c r="N99" s="5"/>
      <c r="O99" s="2"/>
      <c r="P99" s="2"/>
      <c r="Q99" s="2"/>
      <c r="R99" s="2"/>
      <c r="S99" s="2"/>
      <c r="T99" s="2"/>
      <c r="U99" s="2"/>
      <c r="V99" s="2"/>
      <c r="W99" s="2"/>
      <c r="X99" s="2"/>
      <c r="Y99" s="2"/>
      <c r="Z99" s="2"/>
      <c r="AA99" s="2"/>
      <c r="AB99" s="2"/>
      <c r="AC99" s="2"/>
      <c r="AD99" s="2"/>
      <c r="AE99" s="2">
        <v>13</v>
      </c>
      <c r="AF99" s="2"/>
      <c r="AG99" s="2"/>
      <c r="AH99" s="2"/>
      <c r="AI99" s="2"/>
      <c r="AJ99" s="2"/>
      <c r="AK99" s="2"/>
      <c r="AL99" s="2">
        <v>1</v>
      </c>
      <c r="AM99" s="2"/>
      <c r="AN99" s="2"/>
      <c r="AO99" s="2"/>
      <c r="AP99" s="2"/>
      <c r="AQ99" s="2"/>
      <c r="AR99" s="2"/>
      <c r="AS99" s="2"/>
      <c r="AT99" s="2"/>
      <c r="AU99" s="2"/>
      <c r="AV99" s="2"/>
      <c r="AW99" s="2"/>
      <c r="AX99" s="2"/>
      <c r="AY99" s="2"/>
      <c r="AZ99" s="2"/>
      <c r="BA99" s="2"/>
      <c r="BB99" s="2">
        <v>15</v>
      </c>
      <c r="BC99" s="2"/>
      <c r="BD99" s="2">
        <v>16</v>
      </c>
      <c r="BE99" s="2">
        <v>150</v>
      </c>
      <c r="BF99" s="2"/>
      <c r="BG99" s="2"/>
      <c r="BH99" s="2"/>
      <c r="BI99" s="6">
        <v>0</v>
      </c>
      <c r="BJ99" s="6">
        <v>0</v>
      </c>
      <c r="BK99" s="6">
        <v>0</v>
      </c>
      <c r="BL99" s="6">
        <v>0</v>
      </c>
      <c r="BM99" s="6">
        <v>27.47363</v>
      </c>
      <c r="BN99" s="6">
        <v>-80.289900000000003</v>
      </c>
      <c r="BO99" s="6">
        <v>0</v>
      </c>
      <c r="BP99" s="6">
        <v>0</v>
      </c>
      <c r="BQ99" s="6">
        <v>0</v>
      </c>
      <c r="BR99" s="6">
        <v>0</v>
      </c>
      <c r="BS99" s="6">
        <v>0</v>
      </c>
      <c r="BT99" s="6">
        <v>0</v>
      </c>
      <c r="BU99" s="6">
        <v>0</v>
      </c>
      <c r="BV99" s="6">
        <v>0</v>
      </c>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6" t="s">
        <v>738</v>
      </c>
    </row>
    <row r="100" spans="1:336" ht="15" x14ac:dyDescent="0.25">
      <c r="A100" s="1" t="s">
        <v>739</v>
      </c>
      <c r="B100" s="2">
        <v>27.63287</v>
      </c>
      <c r="C100" s="2">
        <v>-82.740700000000004</v>
      </c>
      <c r="D100" s="2">
        <v>27.616209999999999</v>
      </c>
      <c r="E100" s="2">
        <v>-82.726299999999995</v>
      </c>
      <c r="F100" s="3">
        <v>43136</v>
      </c>
      <c r="G100" s="1" t="s">
        <v>740</v>
      </c>
      <c r="H100" s="1" t="s">
        <v>741</v>
      </c>
      <c r="I100" s="1" t="s">
        <v>329</v>
      </c>
      <c r="J100" s="4">
        <v>0.29166666666666669</v>
      </c>
      <c r="K100" s="1" t="s">
        <v>375</v>
      </c>
      <c r="L100" s="1" t="s">
        <v>364</v>
      </c>
      <c r="M100" s="1" t="s">
        <v>742</v>
      </c>
      <c r="N100" s="1" t="s">
        <v>333</v>
      </c>
      <c r="O100" s="2">
        <v>2</v>
      </c>
      <c r="P100" s="2"/>
      <c r="Q100" s="2">
        <v>6</v>
      </c>
      <c r="R100" s="2"/>
      <c r="S100" s="2"/>
      <c r="T100" s="2"/>
      <c r="U100" s="2"/>
      <c r="V100" s="2"/>
      <c r="W100" s="2"/>
      <c r="X100" s="2"/>
      <c r="Y100" s="2"/>
      <c r="Z100" s="2"/>
      <c r="AA100" s="2"/>
      <c r="AB100" s="2"/>
      <c r="AC100" s="2">
        <v>400</v>
      </c>
      <c r="AD100" s="2">
        <v>2</v>
      </c>
      <c r="AE100" s="2">
        <v>41</v>
      </c>
      <c r="AF100" s="2"/>
      <c r="AG100" s="2"/>
      <c r="AH100" s="2"/>
      <c r="AI100" s="2"/>
      <c r="AJ100" s="2"/>
      <c r="AK100" s="2"/>
      <c r="AL100" s="2">
        <v>23</v>
      </c>
      <c r="AM100" s="2"/>
      <c r="AN100" s="2"/>
      <c r="AO100" s="2"/>
      <c r="AP100" s="2"/>
      <c r="AQ100" s="2">
        <v>2</v>
      </c>
      <c r="AR100" s="2">
        <v>1</v>
      </c>
      <c r="AS100" s="2"/>
      <c r="AT100" s="2">
        <v>6</v>
      </c>
      <c r="AU100" s="2"/>
      <c r="AV100" s="2"/>
      <c r="AW100" s="2"/>
      <c r="AX100" s="2">
        <v>29</v>
      </c>
      <c r="AY100" s="2"/>
      <c r="AZ100" s="2"/>
      <c r="BA100" s="2">
        <v>2</v>
      </c>
      <c r="BB100" s="2">
        <v>93</v>
      </c>
      <c r="BC100" s="2"/>
      <c r="BD100" s="2">
        <v>22</v>
      </c>
      <c r="BE100" s="2">
        <v>10</v>
      </c>
      <c r="BF100" s="2">
        <v>19</v>
      </c>
      <c r="BG100" s="2"/>
      <c r="BH100" s="2"/>
      <c r="BI100" s="1">
        <v>2</v>
      </c>
      <c r="BJ100" s="1" t="s">
        <v>743</v>
      </c>
      <c r="BK100" s="1">
        <v>2</v>
      </c>
      <c r="BL100" s="5"/>
      <c r="BM100" s="1">
        <v>27.61223</v>
      </c>
      <c r="BN100" s="1">
        <v>-82.736800000000002</v>
      </c>
      <c r="BO100" s="5"/>
      <c r="BP100" s="5"/>
      <c r="BQ100" s="1" t="s">
        <v>744</v>
      </c>
      <c r="BR100" s="5"/>
      <c r="BS100" s="5"/>
      <c r="BT100" s="5"/>
      <c r="BU100" s="5"/>
      <c r="BV100" s="5"/>
      <c r="BW100" s="5"/>
      <c r="BX100" s="5"/>
      <c r="BY100" s="5"/>
      <c r="BZ100" s="5"/>
      <c r="CA100" s="1">
        <v>27.627970000000001</v>
      </c>
      <c r="CB100" s="1">
        <v>-82.739800000000002</v>
      </c>
      <c r="CC100" s="1" t="s">
        <v>745</v>
      </c>
      <c r="CD100" s="5"/>
      <c r="CE100" s="5"/>
      <c r="CF100" s="1">
        <v>380</v>
      </c>
      <c r="CG100" s="1" t="s">
        <v>746</v>
      </c>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row>
    <row r="101" spans="1:336" ht="15" x14ac:dyDescent="0.25">
      <c r="A101" s="1" t="s">
        <v>747</v>
      </c>
      <c r="B101" s="2">
        <v>30.598929999999999</v>
      </c>
      <c r="C101" s="2">
        <v>-81.442300000000003</v>
      </c>
      <c r="D101" s="2">
        <v>30.690809999999999</v>
      </c>
      <c r="E101" s="2">
        <v>-81.428200000000004</v>
      </c>
      <c r="F101" s="3">
        <v>43136</v>
      </c>
      <c r="G101" s="1" t="s">
        <v>748</v>
      </c>
      <c r="H101" s="1" t="s">
        <v>749</v>
      </c>
      <c r="I101" s="1" t="s">
        <v>329</v>
      </c>
      <c r="J101" s="4">
        <v>0.375</v>
      </c>
      <c r="K101" s="1" t="s">
        <v>368</v>
      </c>
      <c r="L101" s="1" t="s">
        <v>364</v>
      </c>
      <c r="M101" s="5"/>
      <c r="N101" s="1" t="s">
        <v>333</v>
      </c>
      <c r="O101" s="2"/>
      <c r="P101" s="2"/>
      <c r="Q101" s="2"/>
      <c r="R101" s="2"/>
      <c r="S101" s="2"/>
      <c r="T101" s="2"/>
      <c r="U101" s="2"/>
      <c r="V101" s="2"/>
      <c r="W101" s="2"/>
      <c r="X101" s="2"/>
      <c r="Y101" s="2"/>
      <c r="Z101" s="2"/>
      <c r="AA101" s="2"/>
      <c r="AB101" s="2"/>
      <c r="AC101" s="2"/>
      <c r="AD101" s="2">
        <v>9</v>
      </c>
      <c r="AE101" s="2">
        <v>30</v>
      </c>
      <c r="AF101" s="2"/>
      <c r="AG101" s="2"/>
      <c r="AH101" s="2"/>
      <c r="AI101" s="2"/>
      <c r="AJ101" s="2"/>
      <c r="AK101" s="2"/>
      <c r="AL101" s="2">
        <v>2</v>
      </c>
      <c r="AM101" s="2"/>
      <c r="AN101" s="2"/>
      <c r="AO101" s="2"/>
      <c r="AP101" s="2"/>
      <c r="AQ101" s="2">
        <v>235</v>
      </c>
      <c r="AR101" s="2"/>
      <c r="AS101" s="2"/>
      <c r="AT101" s="2"/>
      <c r="AU101" s="2"/>
      <c r="AV101" s="2"/>
      <c r="AW101" s="2"/>
      <c r="AX101" s="2"/>
      <c r="AY101" s="2"/>
      <c r="AZ101" s="2"/>
      <c r="BA101" s="2"/>
      <c r="BB101" s="2"/>
      <c r="BC101" s="2"/>
      <c r="BD101" s="2"/>
      <c r="BE101" s="2"/>
      <c r="BF101" s="2"/>
      <c r="BG101" s="2"/>
      <c r="BH101" s="2"/>
      <c r="BI101" s="7"/>
      <c r="BJ101" s="7"/>
      <c r="BK101" s="6">
        <v>35</v>
      </c>
      <c r="BL101" s="7"/>
      <c r="BM101" s="6">
        <v>30.598929999999999</v>
      </c>
      <c r="BN101" s="6">
        <v>-81.442300000000003</v>
      </c>
      <c r="BO101" s="7"/>
      <c r="BP101" s="7"/>
      <c r="BQ101" s="7"/>
      <c r="BR101" s="7"/>
      <c r="BS101" s="7"/>
      <c r="BT101" s="7"/>
      <c r="BU101" s="7"/>
      <c r="BV101" s="7"/>
      <c r="BW101" s="7"/>
      <c r="BX101" s="7"/>
      <c r="BY101" s="6">
        <v>200</v>
      </c>
      <c r="BZ101" s="7"/>
      <c r="CA101" s="6">
        <v>30.64574</v>
      </c>
      <c r="CB101" s="6">
        <v>-81.4345</v>
      </c>
      <c r="CC101" s="6" t="s">
        <v>750</v>
      </c>
      <c r="CD101" s="7"/>
      <c r="CE101" s="7"/>
      <c r="CF101" s="7"/>
      <c r="CG101" s="7"/>
      <c r="CH101" s="7"/>
      <c r="CI101" s="7"/>
      <c r="CJ101" s="7"/>
      <c r="CK101" s="7"/>
      <c r="CL101" s="7"/>
      <c r="CM101" s="7"/>
      <c r="CN101" s="7"/>
      <c r="CO101" s="7"/>
      <c r="CP101" s="6">
        <v>30.690809999999999</v>
      </c>
      <c r="CQ101" s="6">
        <v>-81.428200000000004</v>
      </c>
      <c r="CR101" s="6" t="s">
        <v>751</v>
      </c>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row>
    <row r="102" spans="1:336" ht="15" x14ac:dyDescent="0.25">
      <c r="A102" s="1" t="s">
        <v>752</v>
      </c>
      <c r="B102" s="2">
        <v>27.637329999999999</v>
      </c>
      <c r="C102" s="2">
        <v>-82.698400000000007</v>
      </c>
      <c r="D102" s="2">
        <v>27.616150000000001</v>
      </c>
      <c r="E102" s="2">
        <v>-82.729600000000005</v>
      </c>
      <c r="F102" s="3">
        <v>43133</v>
      </c>
      <c r="G102" s="1" t="s">
        <v>753</v>
      </c>
      <c r="H102" s="1" t="s">
        <v>754</v>
      </c>
      <c r="I102" s="1" t="s">
        <v>329</v>
      </c>
      <c r="J102" s="4">
        <v>0.3923611111111111</v>
      </c>
      <c r="K102" s="1" t="s">
        <v>375</v>
      </c>
      <c r="L102" s="1" t="s">
        <v>364</v>
      </c>
      <c r="M102" s="5"/>
      <c r="N102" s="1" t="s">
        <v>333</v>
      </c>
      <c r="O102" s="2"/>
      <c r="P102" s="2"/>
      <c r="Q102" s="2">
        <v>2</v>
      </c>
      <c r="R102" s="2">
        <v>50</v>
      </c>
      <c r="S102" s="2"/>
      <c r="T102" s="2">
        <v>4</v>
      </c>
      <c r="U102" s="2"/>
      <c r="V102" s="2"/>
      <c r="W102" s="2"/>
      <c r="X102" s="2"/>
      <c r="Y102" s="2"/>
      <c r="Z102" s="2"/>
      <c r="AA102" s="2"/>
      <c r="AB102" s="2"/>
      <c r="AC102" s="2"/>
      <c r="AD102" s="2">
        <v>8</v>
      </c>
      <c r="AE102" s="2">
        <v>23</v>
      </c>
      <c r="AF102" s="2">
        <v>45</v>
      </c>
      <c r="AG102" s="2"/>
      <c r="AH102" s="2"/>
      <c r="AI102" s="2"/>
      <c r="AJ102" s="2"/>
      <c r="AK102" s="2"/>
      <c r="AL102" s="2">
        <v>2</v>
      </c>
      <c r="AM102" s="2"/>
      <c r="AN102" s="2"/>
      <c r="AO102" s="2"/>
      <c r="AP102" s="2"/>
      <c r="AQ102" s="2"/>
      <c r="AR102" s="2"/>
      <c r="AS102" s="2"/>
      <c r="AT102" s="2">
        <v>10</v>
      </c>
      <c r="AU102" s="2"/>
      <c r="AV102" s="2"/>
      <c r="AW102" s="2">
        <v>5</v>
      </c>
      <c r="AX102" s="2">
        <v>7</v>
      </c>
      <c r="AY102" s="2"/>
      <c r="AZ102" s="2"/>
      <c r="BA102" s="2"/>
      <c r="BB102" s="2">
        <v>62</v>
      </c>
      <c r="BC102" s="2"/>
      <c r="BD102" s="2">
        <v>2</v>
      </c>
      <c r="BE102" s="2">
        <v>4</v>
      </c>
      <c r="BF102" s="2"/>
      <c r="BG102" s="2"/>
      <c r="BH102" s="2"/>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row>
    <row r="103" spans="1:336" ht="15" x14ac:dyDescent="0.25">
      <c r="A103" s="1" t="s">
        <v>755</v>
      </c>
      <c r="B103" s="2">
        <v>27.470600000000001</v>
      </c>
      <c r="C103" s="2">
        <v>-80.290199999999999</v>
      </c>
      <c r="D103" s="2">
        <v>27.435510000000001</v>
      </c>
      <c r="E103" s="2">
        <v>-80.277600000000007</v>
      </c>
      <c r="F103" s="3">
        <v>43138</v>
      </c>
      <c r="G103" s="1" t="s">
        <v>635</v>
      </c>
      <c r="H103" s="1" t="s">
        <v>756</v>
      </c>
      <c r="I103" s="1" t="s">
        <v>329</v>
      </c>
      <c r="J103" s="4">
        <v>0.33541666666666664</v>
      </c>
      <c r="K103" s="1" t="s">
        <v>330</v>
      </c>
      <c r="L103" s="1" t="s">
        <v>441</v>
      </c>
      <c r="M103" s="1" t="s">
        <v>757</v>
      </c>
      <c r="N103" s="1" t="s">
        <v>333</v>
      </c>
      <c r="O103" s="2"/>
      <c r="P103" s="2"/>
      <c r="Q103" s="2"/>
      <c r="R103" s="2"/>
      <c r="S103" s="2"/>
      <c r="T103" s="2"/>
      <c r="U103" s="2"/>
      <c r="V103" s="2"/>
      <c r="W103" s="2"/>
      <c r="X103" s="2"/>
      <c r="Y103" s="2"/>
      <c r="Z103" s="2"/>
      <c r="AA103" s="2"/>
      <c r="AB103" s="2"/>
      <c r="AC103" s="2"/>
      <c r="AD103" s="2">
        <v>2</v>
      </c>
      <c r="AE103" s="2">
        <v>4</v>
      </c>
      <c r="AF103" s="2"/>
      <c r="AG103" s="2"/>
      <c r="AH103" s="2"/>
      <c r="AI103" s="2"/>
      <c r="AJ103" s="2"/>
      <c r="AK103" s="2"/>
      <c r="AL103" s="2">
        <v>1</v>
      </c>
      <c r="AM103" s="2"/>
      <c r="AN103" s="2"/>
      <c r="AO103" s="2"/>
      <c r="AP103" s="2"/>
      <c r="AQ103" s="2"/>
      <c r="AR103" s="2"/>
      <c r="AS103" s="2"/>
      <c r="AT103" s="2"/>
      <c r="AU103" s="2"/>
      <c r="AV103" s="2"/>
      <c r="AW103" s="2"/>
      <c r="AX103" s="2"/>
      <c r="AY103" s="2"/>
      <c r="AZ103" s="2"/>
      <c r="BA103" s="2"/>
      <c r="BB103" s="2">
        <v>3</v>
      </c>
      <c r="BC103" s="2"/>
      <c r="BD103" s="2">
        <v>12</v>
      </c>
      <c r="BE103" s="2"/>
      <c r="BF103" s="2"/>
      <c r="BG103" s="2"/>
      <c r="BH103" s="2"/>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row>
    <row r="104" spans="1:336" ht="15" x14ac:dyDescent="0.25">
      <c r="A104" s="1" t="s">
        <v>758</v>
      </c>
      <c r="B104" s="2">
        <v>24.545359999999999</v>
      </c>
      <c r="C104" s="2">
        <v>-81.808300000000003</v>
      </c>
      <c r="D104" s="2">
        <v>24.545760000000001</v>
      </c>
      <c r="E104" s="2">
        <v>-81.812399999999997</v>
      </c>
      <c r="F104" s="3">
        <v>43133</v>
      </c>
      <c r="G104" s="1" t="s">
        <v>617</v>
      </c>
      <c r="H104" s="1" t="s">
        <v>440</v>
      </c>
      <c r="I104" s="1" t="s">
        <v>329</v>
      </c>
      <c r="J104" s="4">
        <v>0.4236111111111111</v>
      </c>
      <c r="K104" s="1" t="s">
        <v>330</v>
      </c>
      <c r="L104" s="1" t="s">
        <v>369</v>
      </c>
      <c r="M104" s="5"/>
      <c r="N104" s="1" t="s">
        <v>333</v>
      </c>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v>1</v>
      </c>
      <c r="AX104" s="2"/>
      <c r="AY104" s="2"/>
      <c r="AZ104" s="2"/>
      <c r="BA104" s="2"/>
      <c r="BB104" s="2"/>
      <c r="BC104" s="2"/>
      <c r="BD104" s="2"/>
      <c r="BE104" s="2"/>
      <c r="BF104" s="2"/>
      <c r="BG104" s="2"/>
      <c r="BH104" s="2"/>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row>
    <row r="105" spans="1:336" ht="15" x14ac:dyDescent="0.25">
      <c r="A105" s="1" t="s">
        <v>759</v>
      </c>
      <c r="B105" s="2">
        <v>29.441700000000001</v>
      </c>
      <c r="C105" s="2">
        <v>-81.108900000000006</v>
      </c>
      <c r="D105" s="2">
        <v>29.435700000000001</v>
      </c>
      <c r="E105" s="2">
        <v>-81.106300000000005</v>
      </c>
      <c r="F105" s="3">
        <v>43135</v>
      </c>
      <c r="G105" s="1" t="s">
        <v>760</v>
      </c>
      <c r="H105" s="1" t="s">
        <v>398</v>
      </c>
      <c r="I105" s="1" t="s">
        <v>329</v>
      </c>
      <c r="J105" s="4">
        <v>0.33333333333333331</v>
      </c>
      <c r="K105" s="1" t="s">
        <v>368</v>
      </c>
      <c r="L105" s="1" t="s">
        <v>441</v>
      </c>
      <c r="M105" s="5"/>
      <c r="N105" s="1" t="s">
        <v>333</v>
      </c>
      <c r="O105" s="2"/>
      <c r="P105" s="2"/>
      <c r="Q105" s="2">
        <v>5</v>
      </c>
      <c r="R105" s="2">
        <v>5</v>
      </c>
      <c r="S105" s="2"/>
      <c r="T105" s="2"/>
      <c r="U105" s="2"/>
      <c r="V105" s="2"/>
      <c r="W105" s="2"/>
      <c r="X105" s="2"/>
      <c r="Y105" s="2"/>
      <c r="Z105" s="2"/>
      <c r="AA105" s="2"/>
      <c r="AB105" s="2"/>
      <c r="AC105" s="2"/>
      <c r="AD105" s="2">
        <v>8</v>
      </c>
      <c r="AE105" s="2">
        <v>7</v>
      </c>
      <c r="AF105" s="2"/>
      <c r="AG105" s="2"/>
      <c r="AH105" s="2"/>
      <c r="AI105" s="2"/>
      <c r="AJ105" s="2"/>
      <c r="AK105" s="2"/>
      <c r="AL105" s="2">
        <v>4</v>
      </c>
      <c r="AM105" s="2"/>
      <c r="AN105" s="2"/>
      <c r="AO105" s="2"/>
      <c r="AP105" s="2"/>
      <c r="AQ105" s="2">
        <v>1</v>
      </c>
      <c r="AR105" s="2"/>
      <c r="AS105" s="2"/>
      <c r="AT105" s="2"/>
      <c r="AU105" s="2"/>
      <c r="AV105" s="2"/>
      <c r="AW105" s="2"/>
      <c r="AX105" s="2">
        <v>22</v>
      </c>
      <c r="AY105" s="2"/>
      <c r="AZ105" s="2"/>
      <c r="BA105" s="2"/>
      <c r="BB105" s="2">
        <v>9</v>
      </c>
      <c r="BC105" s="2"/>
      <c r="BD105" s="2">
        <v>14</v>
      </c>
      <c r="BE105" s="2">
        <v>9</v>
      </c>
      <c r="BF105" s="2"/>
      <c r="BG105" s="2"/>
      <c r="BH105" s="2"/>
      <c r="BI105" s="1">
        <v>0</v>
      </c>
      <c r="BJ105" s="5"/>
      <c r="BK105" s="1">
        <v>1</v>
      </c>
      <c r="BL105" s="1" t="s">
        <v>394</v>
      </c>
      <c r="BM105" s="1">
        <v>29.44051</v>
      </c>
      <c r="BN105" s="1">
        <v>-81.108500000000006</v>
      </c>
      <c r="BO105" s="1">
        <v>0</v>
      </c>
      <c r="BP105" s="5"/>
      <c r="BQ105" s="1">
        <v>0</v>
      </c>
      <c r="BR105" s="5"/>
      <c r="BS105" s="1">
        <v>0</v>
      </c>
      <c r="BT105" s="5"/>
      <c r="BU105" s="1">
        <v>0</v>
      </c>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5"/>
      <c r="LU105" s="5"/>
      <c r="LV105" s="5"/>
      <c r="LW105" s="5"/>
      <c r="LX105" s="5"/>
    </row>
    <row r="106" spans="1:336" ht="15" x14ac:dyDescent="0.25">
      <c r="A106" s="1" t="s">
        <v>761</v>
      </c>
      <c r="B106" s="2">
        <v>26.80986</v>
      </c>
      <c r="C106" s="2">
        <v>-82.283500000000004</v>
      </c>
      <c r="D106" s="2">
        <v>26.78969</v>
      </c>
      <c r="E106" s="2">
        <v>-82.272099999999995</v>
      </c>
      <c r="F106" s="3">
        <v>43137</v>
      </c>
      <c r="G106" s="1" t="s">
        <v>762</v>
      </c>
      <c r="H106" s="1" t="s">
        <v>482</v>
      </c>
      <c r="I106" s="1" t="s">
        <v>329</v>
      </c>
      <c r="J106" s="4">
        <v>0.41666666666666669</v>
      </c>
      <c r="K106" s="5"/>
      <c r="L106" s="1" t="s">
        <v>369</v>
      </c>
      <c r="M106" s="5"/>
      <c r="N106" s="1" t="s">
        <v>333</v>
      </c>
      <c r="O106" s="2"/>
      <c r="P106" s="2"/>
      <c r="Q106" s="2">
        <v>1</v>
      </c>
      <c r="R106" s="2"/>
      <c r="S106" s="2"/>
      <c r="T106" s="2"/>
      <c r="U106" s="2"/>
      <c r="V106" s="2"/>
      <c r="W106" s="2"/>
      <c r="X106" s="2"/>
      <c r="Y106" s="2"/>
      <c r="Z106" s="2"/>
      <c r="AA106" s="2"/>
      <c r="AB106" s="2"/>
      <c r="AC106" s="2"/>
      <c r="AD106" s="2"/>
      <c r="AE106" s="2">
        <v>17</v>
      </c>
      <c r="AF106" s="2"/>
      <c r="AG106" s="2"/>
      <c r="AH106" s="2">
        <v>2</v>
      </c>
      <c r="AI106" s="2"/>
      <c r="AJ106" s="2"/>
      <c r="AK106" s="2"/>
      <c r="AL106" s="2">
        <v>5</v>
      </c>
      <c r="AM106" s="2">
        <v>7</v>
      </c>
      <c r="AN106" s="2"/>
      <c r="AO106" s="2"/>
      <c r="AP106" s="2"/>
      <c r="AQ106" s="2"/>
      <c r="AR106" s="2"/>
      <c r="AS106" s="2"/>
      <c r="AT106" s="2"/>
      <c r="AU106" s="2"/>
      <c r="AV106" s="2"/>
      <c r="AW106" s="2"/>
      <c r="AX106" s="2"/>
      <c r="AY106" s="2"/>
      <c r="AZ106" s="2"/>
      <c r="BA106" s="2"/>
      <c r="BB106" s="2"/>
      <c r="BC106" s="2"/>
      <c r="BD106" s="2"/>
      <c r="BE106" s="2"/>
      <c r="BF106" s="2"/>
      <c r="BG106" s="2"/>
      <c r="BH106" s="2"/>
      <c r="BI106" s="1">
        <v>0</v>
      </c>
      <c r="BJ106" s="1">
        <v>0</v>
      </c>
      <c r="BK106" s="1">
        <v>0</v>
      </c>
      <c r="BL106" s="1">
        <v>0</v>
      </c>
      <c r="BM106" s="1">
        <v>26.80031</v>
      </c>
      <c r="BN106" s="1">
        <v>-82.280100000000004</v>
      </c>
      <c r="BO106" s="1">
        <v>0</v>
      </c>
      <c r="BP106" s="1">
        <v>0</v>
      </c>
      <c r="BQ106" s="1">
        <v>0</v>
      </c>
      <c r="BR106" s="1">
        <v>0</v>
      </c>
      <c r="BS106" s="1">
        <v>2</v>
      </c>
      <c r="BT106" s="1" t="s">
        <v>487</v>
      </c>
      <c r="BU106" s="1">
        <v>7</v>
      </c>
      <c r="BV106" s="1" t="s">
        <v>487</v>
      </c>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1" t="s">
        <v>487</v>
      </c>
    </row>
    <row r="107" spans="1:336" ht="15" x14ac:dyDescent="0.25">
      <c r="A107" s="1" t="s">
        <v>763</v>
      </c>
      <c r="B107" s="2">
        <v>26.719550000000002</v>
      </c>
      <c r="C107" s="2">
        <v>-82.258700000000005</v>
      </c>
      <c r="D107" s="2">
        <v>26.7272</v>
      </c>
      <c r="E107" s="2">
        <v>-82.263999999999996</v>
      </c>
      <c r="F107" s="3">
        <v>43136</v>
      </c>
      <c r="G107" s="1" t="s">
        <v>764</v>
      </c>
      <c r="H107" s="1" t="s">
        <v>647</v>
      </c>
      <c r="I107" s="1" t="s">
        <v>329</v>
      </c>
      <c r="J107" s="4">
        <v>0.47916666666666669</v>
      </c>
      <c r="K107" s="1" t="s">
        <v>330</v>
      </c>
      <c r="L107" s="1" t="s">
        <v>369</v>
      </c>
      <c r="M107" s="5"/>
      <c r="N107" s="1" t="s">
        <v>333</v>
      </c>
      <c r="O107" s="2"/>
      <c r="P107" s="2"/>
      <c r="Q107" s="2"/>
      <c r="R107" s="2"/>
      <c r="S107" s="2"/>
      <c r="T107" s="2"/>
      <c r="U107" s="2"/>
      <c r="V107" s="2"/>
      <c r="W107" s="2"/>
      <c r="X107" s="2"/>
      <c r="Y107" s="2"/>
      <c r="Z107" s="2"/>
      <c r="AA107" s="2"/>
      <c r="AB107" s="2"/>
      <c r="AC107" s="2"/>
      <c r="AD107" s="2">
        <v>1</v>
      </c>
      <c r="AE107" s="2"/>
      <c r="AF107" s="2"/>
      <c r="AG107" s="2"/>
      <c r="AH107" s="2"/>
      <c r="AI107" s="2"/>
      <c r="AJ107" s="2"/>
      <c r="AK107" s="2"/>
      <c r="AL107" s="2"/>
      <c r="AM107" s="2"/>
      <c r="AN107" s="2"/>
      <c r="AO107" s="2"/>
      <c r="AP107" s="2"/>
      <c r="AQ107" s="2"/>
      <c r="AR107" s="2"/>
      <c r="AS107" s="2"/>
      <c r="AT107" s="2">
        <v>16</v>
      </c>
      <c r="AU107" s="2"/>
      <c r="AV107" s="2"/>
      <c r="AW107" s="2"/>
      <c r="AX107" s="2"/>
      <c r="AY107" s="2"/>
      <c r="AZ107" s="2"/>
      <c r="BA107" s="2">
        <v>11</v>
      </c>
      <c r="BB107" s="2">
        <v>3</v>
      </c>
      <c r="BC107" s="2"/>
      <c r="BD107" s="2">
        <v>1</v>
      </c>
      <c r="BE107" s="2">
        <v>53</v>
      </c>
      <c r="BF107" s="2"/>
      <c r="BG107" s="2"/>
      <c r="BH107" s="2"/>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row>
    <row r="108" spans="1:336" ht="15" x14ac:dyDescent="0.25">
      <c r="A108" s="1" t="s">
        <v>765</v>
      </c>
      <c r="B108" s="2">
        <v>30.333760000000002</v>
      </c>
      <c r="C108" s="2">
        <v>-86.187100000000001</v>
      </c>
      <c r="D108" s="2">
        <v>30.321259999999999</v>
      </c>
      <c r="E108" s="2">
        <v>-86.146299999999997</v>
      </c>
      <c r="F108" s="3">
        <v>43135</v>
      </c>
      <c r="G108" s="1" t="s">
        <v>766</v>
      </c>
      <c r="H108" s="1" t="s">
        <v>374</v>
      </c>
      <c r="I108" s="1" t="s">
        <v>329</v>
      </c>
      <c r="J108" s="4">
        <v>0.51597222222222228</v>
      </c>
      <c r="K108" s="1" t="s">
        <v>375</v>
      </c>
      <c r="L108" s="1" t="s">
        <v>441</v>
      </c>
      <c r="M108" s="1" t="s">
        <v>767</v>
      </c>
      <c r="N108" s="1" t="s">
        <v>333</v>
      </c>
      <c r="O108" s="2"/>
      <c r="P108" s="2"/>
      <c r="Q108" s="2"/>
      <c r="R108" s="2"/>
      <c r="S108" s="2"/>
      <c r="T108" s="2"/>
      <c r="U108" s="2"/>
      <c r="V108" s="2"/>
      <c r="W108" s="2"/>
      <c r="X108" s="2"/>
      <c r="Y108" s="2"/>
      <c r="Z108" s="2"/>
      <c r="AA108" s="2"/>
      <c r="AB108" s="2"/>
      <c r="AC108" s="2"/>
      <c r="AD108" s="2"/>
      <c r="AE108" s="2">
        <v>27</v>
      </c>
      <c r="AF108" s="2"/>
      <c r="AG108" s="2"/>
      <c r="AH108" s="2">
        <v>4</v>
      </c>
      <c r="AI108" s="2"/>
      <c r="AJ108" s="2"/>
      <c r="AK108" s="2"/>
      <c r="AL108" s="2">
        <v>1</v>
      </c>
      <c r="AM108" s="2"/>
      <c r="AN108" s="2"/>
      <c r="AO108" s="2"/>
      <c r="AP108" s="2"/>
      <c r="AQ108" s="2"/>
      <c r="AR108" s="2">
        <v>32</v>
      </c>
      <c r="AS108" s="2"/>
      <c r="AT108" s="2"/>
      <c r="AU108" s="2"/>
      <c r="AV108" s="2"/>
      <c r="AW108" s="2"/>
      <c r="AX108" s="2">
        <v>32</v>
      </c>
      <c r="AY108" s="2"/>
      <c r="AZ108" s="2"/>
      <c r="BA108" s="2">
        <v>2</v>
      </c>
      <c r="BB108" s="2">
        <v>3</v>
      </c>
      <c r="BC108" s="2"/>
      <c r="BD108" s="2">
        <v>5</v>
      </c>
      <c r="BE108" s="2">
        <v>3</v>
      </c>
      <c r="BF108" s="2"/>
      <c r="BG108" s="2"/>
      <c r="BH108" s="2"/>
      <c r="BI108" s="5"/>
      <c r="BJ108" s="5"/>
      <c r="BK108" s="5"/>
      <c r="BL108" s="5"/>
      <c r="BM108" s="1">
        <v>30.326740000000001</v>
      </c>
      <c r="BN108" s="1">
        <v>-86.163300000000007</v>
      </c>
      <c r="BO108" s="5"/>
      <c r="BP108" s="5"/>
      <c r="BQ108" s="5"/>
      <c r="BR108" s="5"/>
      <c r="BS108" s="1">
        <v>4</v>
      </c>
      <c r="BT108" s="1" t="s">
        <v>768</v>
      </c>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row>
    <row r="109" spans="1:336" ht="15" x14ac:dyDescent="0.25">
      <c r="A109" s="1" t="s">
        <v>769</v>
      </c>
      <c r="B109" s="2">
        <v>30.303439999999998</v>
      </c>
      <c r="C109" s="2">
        <v>-87.415000000000006</v>
      </c>
      <c r="D109" s="2">
        <v>30.3291</v>
      </c>
      <c r="E109" s="2">
        <v>-87.315700000000007</v>
      </c>
      <c r="F109" s="3">
        <v>43137</v>
      </c>
      <c r="G109" s="1" t="s">
        <v>770</v>
      </c>
      <c r="H109" s="1" t="s">
        <v>771</v>
      </c>
      <c r="I109" s="1" t="s">
        <v>329</v>
      </c>
      <c r="J109" s="4">
        <v>0.33055555555555555</v>
      </c>
      <c r="K109" s="1" t="s">
        <v>375</v>
      </c>
      <c r="L109" s="1" t="s">
        <v>441</v>
      </c>
      <c r="M109" s="1" t="s">
        <v>772</v>
      </c>
      <c r="N109" s="1" t="s">
        <v>333</v>
      </c>
      <c r="O109" s="2"/>
      <c r="P109" s="2"/>
      <c r="Q109" s="2">
        <v>2</v>
      </c>
      <c r="R109" s="2"/>
      <c r="S109" s="2"/>
      <c r="T109" s="2">
        <v>2</v>
      </c>
      <c r="U109" s="2"/>
      <c r="V109" s="2"/>
      <c r="W109" s="2"/>
      <c r="X109" s="2"/>
      <c r="Y109" s="2"/>
      <c r="Z109" s="2"/>
      <c r="AA109" s="2"/>
      <c r="AB109" s="2"/>
      <c r="AC109" s="2"/>
      <c r="AD109" s="2">
        <v>2</v>
      </c>
      <c r="AE109" s="2">
        <v>17</v>
      </c>
      <c r="AF109" s="2"/>
      <c r="AG109" s="2"/>
      <c r="AH109" s="2"/>
      <c r="AI109" s="2"/>
      <c r="AJ109" s="2"/>
      <c r="AK109" s="2"/>
      <c r="AL109" s="2">
        <v>1</v>
      </c>
      <c r="AM109" s="2"/>
      <c r="AN109" s="2"/>
      <c r="AO109" s="2"/>
      <c r="AP109" s="2"/>
      <c r="AQ109" s="2"/>
      <c r="AR109" s="2"/>
      <c r="AS109" s="2"/>
      <c r="AT109" s="2"/>
      <c r="AU109" s="2"/>
      <c r="AV109" s="2"/>
      <c r="AW109" s="2"/>
      <c r="AX109" s="2">
        <v>2</v>
      </c>
      <c r="AY109" s="2"/>
      <c r="AZ109" s="2"/>
      <c r="BA109" s="2">
        <v>1</v>
      </c>
      <c r="BB109" s="2">
        <v>1</v>
      </c>
      <c r="BC109" s="2"/>
      <c r="BD109" s="2"/>
      <c r="BE109" s="2"/>
      <c r="BF109" s="2"/>
      <c r="BG109" s="2"/>
      <c r="BH109" s="2"/>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row>
    <row r="110" spans="1:336" ht="15" x14ac:dyDescent="0.25">
      <c r="A110" s="1" t="s">
        <v>769</v>
      </c>
      <c r="B110" s="2">
        <v>30.32976</v>
      </c>
      <c r="C110" s="2">
        <v>-87.419200000000004</v>
      </c>
      <c r="D110" s="2">
        <v>30.3291</v>
      </c>
      <c r="E110" s="2">
        <v>-87.315399999999997</v>
      </c>
      <c r="F110" s="3">
        <v>43137</v>
      </c>
      <c r="G110" s="1" t="s">
        <v>773</v>
      </c>
      <c r="H110" s="1" t="s">
        <v>774</v>
      </c>
      <c r="I110" s="1" t="s">
        <v>329</v>
      </c>
      <c r="J110" s="4">
        <v>0.3263888888888889</v>
      </c>
      <c r="K110" s="1" t="s">
        <v>375</v>
      </c>
      <c r="L110" s="1" t="s">
        <v>441</v>
      </c>
      <c r="M110" s="1" t="s">
        <v>775</v>
      </c>
      <c r="N110" s="1" t="s">
        <v>333</v>
      </c>
      <c r="O110" s="2"/>
      <c r="P110" s="2"/>
      <c r="Q110" s="2">
        <v>19</v>
      </c>
      <c r="R110" s="2"/>
      <c r="S110" s="2"/>
      <c r="T110" s="2"/>
      <c r="U110" s="2"/>
      <c r="V110" s="2"/>
      <c r="W110" s="2"/>
      <c r="X110" s="2"/>
      <c r="Y110" s="2"/>
      <c r="Z110" s="2"/>
      <c r="AA110" s="2"/>
      <c r="AB110" s="2">
        <v>1</v>
      </c>
      <c r="AC110" s="2"/>
      <c r="AD110" s="2">
        <v>19</v>
      </c>
      <c r="AE110" s="2">
        <v>116</v>
      </c>
      <c r="AF110" s="2"/>
      <c r="AG110" s="2"/>
      <c r="AH110" s="2">
        <v>34</v>
      </c>
      <c r="AI110" s="2"/>
      <c r="AJ110" s="2"/>
      <c r="AK110" s="2"/>
      <c r="AL110" s="2">
        <v>26</v>
      </c>
      <c r="AM110" s="2"/>
      <c r="AN110" s="2"/>
      <c r="AO110" s="2"/>
      <c r="AP110" s="2"/>
      <c r="AQ110" s="2">
        <v>21</v>
      </c>
      <c r="AR110" s="2">
        <v>219</v>
      </c>
      <c r="AS110" s="2"/>
      <c r="AT110" s="2">
        <v>107</v>
      </c>
      <c r="AU110" s="2"/>
      <c r="AV110" s="2"/>
      <c r="AW110" s="2">
        <v>1</v>
      </c>
      <c r="AX110" s="2">
        <v>29</v>
      </c>
      <c r="AY110" s="2"/>
      <c r="AZ110" s="2"/>
      <c r="BA110" s="2">
        <v>10</v>
      </c>
      <c r="BB110" s="2">
        <v>231</v>
      </c>
      <c r="BC110" s="2"/>
      <c r="BD110" s="2">
        <v>15</v>
      </c>
      <c r="BE110" s="2">
        <v>19</v>
      </c>
      <c r="BF110" s="2"/>
      <c r="BG110" s="2"/>
      <c r="BH110" s="2"/>
      <c r="BI110" s="1">
        <v>0</v>
      </c>
      <c r="BJ110" s="5"/>
      <c r="BK110" s="1">
        <v>0</v>
      </c>
      <c r="BL110" s="5"/>
      <c r="BM110" s="1">
        <v>30.30416</v>
      </c>
      <c r="BN110" s="1">
        <v>-87.391199999999998</v>
      </c>
      <c r="BO110" s="1">
        <v>0</v>
      </c>
      <c r="BP110" s="5"/>
      <c r="BQ110" s="1">
        <v>0</v>
      </c>
      <c r="BR110" s="5"/>
      <c r="BS110" s="1">
        <v>2</v>
      </c>
      <c r="BT110" s="1" t="s">
        <v>776</v>
      </c>
      <c r="BU110" s="1">
        <v>0</v>
      </c>
      <c r="BV110" s="5"/>
      <c r="BW110" s="1">
        <v>0</v>
      </c>
      <c r="BX110" s="5"/>
      <c r="BY110" s="1">
        <v>0</v>
      </c>
      <c r="BZ110" s="5"/>
      <c r="CA110" s="1">
        <v>30.305</v>
      </c>
      <c r="CB110" s="1">
        <v>-87.387699999999995</v>
      </c>
      <c r="CC110" s="5"/>
      <c r="CD110" s="1">
        <v>0</v>
      </c>
      <c r="CE110" s="5"/>
      <c r="CF110" s="1">
        <v>0</v>
      </c>
      <c r="CG110" s="5"/>
      <c r="CH110" s="1">
        <v>1</v>
      </c>
      <c r="CI110" s="1" t="s">
        <v>402</v>
      </c>
      <c r="CJ110" s="1">
        <v>0</v>
      </c>
      <c r="CK110" s="5"/>
      <c r="CL110" s="1">
        <v>0</v>
      </c>
      <c r="CM110" s="5"/>
      <c r="CN110" s="1">
        <v>0</v>
      </c>
      <c r="CO110" s="5"/>
      <c r="CP110" s="1">
        <v>30.306180000000001</v>
      </c>
      <c r="CQ110" s="1">
        <v>-87.382999999999996</v>
      </c>
      <c r="CR110" s="5"/>
      <c r="CS110" s="1">
        <v>0</v>
      </c>
      <c r="CT110" s="5"/>
      <c r="CU110" s="1">
        <v>0</v>
      </c>
      <c r="CV110" s="5"/>
      <c r="CW110" s="1">
        <v>1</v>
      </c>
      <c r="CX110" s="1" t="s">
        <v>402</v>
      </c>
      <c r="CY110" s="1">
        <v>0</v>
      </c>
      <c r="CZ110" s="5"/>
      <c r="DA110" s="1">
        <v>0</v>
      </c>
      <c r="DB110" s="5"/>
      <c r="DC110" s="1">
        <v>0</v>
      </c>
      <c r="DD110" s="5"/>
      <c r="DE110" s="1">
        <v>30.30697</v>
      </c>
      <c r="DF110" s="1">
        <v>-87.379800000000003</v>
      </c>
      <c r="DG110" s="5"/>
      <c r="DH110" s="1">
        <v>0</v>
      </c>
      <c r="DI110" s="5"/>
      <c r="DJ110" s="1">
        <v>0</v>
      </c>
      <c r="DK110" s="5"/>
      <c r="DL110" s="1">
        <v>4</v>
      </c>
      <c r="DM110" s="1" t="s">
        <v>777</v>
      </c>
      <c r="DN110" s="1">
        <v>0</v>
      </c>
      <c r="DO110" s="5"/>
      <c r="DP110" s="1">
        <v>0</v>
      </c>
      <c r="DQ110" s="5"/>
      <c r="DR110" s="1">
        <v>0</v>
      </c>
      <c r="DS110" s="5"/>
      <c r="DT110" s="1">
        <v>30.3079</v>
      </c>
      <c r="DU110" s="1">
        <v>-87.375299999999996</v>
      </c>
      <c r="DV110" s="5"/>
      <c r="DW110" s="1">
        <v>0</v>
      </c>
      <c r="DX110" s="5"/>
      <c r="DY110" s="1">
        <v>0</v>
      </c>
      <c r="DZ110" s="5"/>
      <c r="EA110" s="1">
        <v>1</v>
      </c>
      <c r="EB110" s="1" t="s">
        <v>402</v>
      </c>
      <c r="EC110" s="1">
        <v>0</v>
      </c>
      <c r="ED110" s="5"/>
      <c r="EE110" s="1">
        <v>0</v>
      </c>
      <c r="EF110" s="5"/>
      <c r="EG110" s="1">
        <v>0</v>
      </c>
      <c r="EH110" s="5"/>
      <c r="EI110" s="1">
        <v>30.30904</v>
      </c>
      <c r="EJ110" s="1">
        <v>-87.369399999999999</v>
      </c>
      <c r="EK110" s="5"/>
      <c r="EL110" s="1">
        <v>0</v>
      </c>
      <c r="EM110" s="5"/>
      <c r="EN110" s="1">
        <v>0</v>
      </c>
      <c r="EO110" s="5"/>
      <c r="EP110" s="1">
        <v>4</v>
      </c>
      <c r="EQ110" s="1" t="s">
        <v>778</v>
      </c>
      <c r="ER110" s="1">
        <v>0</v>
      </c>
      <c r="ES110" s="5"/>
      <c r="ET110" s="1">
        <v>0</v>
      </c>
      <c r="EU110" s="5"/>
      <c r="EV110" s="1">
        <v>0</v>
      </c>
      <c r="EW110" s="5"/>
      <c r="EX110" s="1">
        <v>30.31514</v>
      </c>
      <c r="EY110" s="1">
        <v>-87.339600000000004</v>
      </c>
      <c r="EZ110" s="5"/>
      <c r="FA110" s="1">
        <v>0</v>
      </c>
      <c r="FB110" s="5"/>
      <c r="FC110" s="1">
        <v>0</v>
      </c>
      <c r="FD110" s="5"/>
      <c r="FE110" s="1">
        <v>1</v>
      </c>
      <c r="FF110" s="1" t="s">
        <v>402</v>
      </c>
      <c r="FG110" s="1">
        <v>0</v>
      </c>
      <c r="FH110" s="5"/>
      <c r="FI110" s="1">
        <v>0</v>
      </c>
      <c r="FJ110" s="5"/>
      <c r="FK110" s="1">
        <v>0</v>
      </c>
      <c r="FL110" s="5"/>
      <c r="FM110" s="1">
        <v>30.31889</v>
      </c>
      <c r="FN110" s="1">
        <v>-87.325199999999995</v>
      </c>
      <c r="FO110" s="5"/>
      <c r="FP110" s="1">
        <v>0</v>
      </c>
      <c r="FQ110" s="5"/>
      <c r="FR110" s="1">
        <v>0</v>
      </c>
      <c r="FS110" s="5"/>
      <c r="FT110" s="1">
        <v>2</v>
      </c>
      <c r="FU110" s="1" t="s">
        <v>402</v>
      </c>
      <c r="FV110" s="1">
        <v>0</v>
      </c>
      <c r="FW110" s="5"/>
      <c r="FX110" s="1">
        <v>0</v>
      </c>
      <c r="FY110" s="5"/>
      <c r="FZ110" s="1">
        <v>0</v>
      </c>
      <c r="GA110" s="5"/>
      <c r="GB110" s="1">
        <v>30.320599999999999</v>
      </c>
      <c r="GC110" s="1">
        <v>-87.315799999999996</v>
      </c>
      <c r="GD110" s="5"/>
      <c r="GE110" s="1">
        <v>0</v>
      </c>
      <c r="GF110" s="5"/>
      <c r="GG110" s="1">
        <v>0</v>
      </c>
      <c r="GH110" s="5"/>
      <c r="GI110" s="1">
        <v>2</v>
      </c>
      <c r="GJ110" s="1" t="s">
        <v>779</v>
      </c>
      <c r="GK110" s="1">
        <v>0</v>
      </c>
      <c r="GL110" s="5"/>
      <c r="GM110" s="1">
        <v>0</v>
      </c>
      <c r="GN110" s="5"/>
      <c r="GO110" s="1">
        <v>0</v>
      </c>
      <c r="GP110" s="5"/>
      <c r="GQ110" s="1">
        <v>30.32741</v>
      </c>
      <c r="GR110" s="1">
        <v>-87.313699999999997</v>
      </c>
      <c r="GS110" s="5"/>
      <c r="GT110" s="1">
        <v>1</v>
      </c>
      <c r="GU110" s="1" t="s">
        <v>780</v>
      </c>
      <c r="GV110" s="1">
        <v>0</v>
      </c>
      <c r="GW110" s="5"/>
      <c r="GX110" s="1">
        <v>16</v>
      </c>
      <c r="GY110" s="1" t="s">
        <v>781</v>
      </c>
      <c r="GZ110" s="1">
        <v>0</v>
      </c>
      <c r="HA110" s="5"/>
      <c r="HB110" s="1">
        <v>0</v>
      </c>
      <c r="HC110" s="5"/>
      <c r="HD110" s="1">
        <v>21</v>
      </c>
      <c r="HE110" s="1" t="s">
        <v>403</v>
      </c>
      <c r="HF110" s="1">
        <v>30.329180000000001</v>
      </c>
      <c r="HG110" s="1">
        <v>-87.315399999999997</v>
      </c>
      <c r="HH110" s="5"/>
      <c r="HI110" s="1">
        <v>0</v>
      </c>
      <c r="HJ110" s="5"/>
      <c r="HK110" s="1">
        <v>0</v>
      </c>
      <c r="HL110" s="5"/>
      <c r="HM110" s="1">
        <v>0</v>
      </c>
      <c r="HN110" s="5"/>
      <c r="HO110" s="1">
        <v>0</v>
      </c>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row>
    <row r="111" spans="1:336" ht="15" x14ac:dyDescent="0.25">
      <c r="A111" s="1" t="s">
        <v>782</v>
      </c>
      <c r="B111" s="2">
        <v>30.371040000000001</v>
      </c>
      <c r="C111" s="2">
        <v>-86.918499999999995</v>
      </c>
      <c r="D111" s="2">
        <v>30.351030000000002</v>
      </c>
      <c r="E111" s="2">
        <v>-87.0334</v>
      </c>
      <c r="F111" s="3">
        <v>43137</v>
      </c>
      <c r="G111" s="1" t="s">
        <v>783</v>
      </c>
      <c r="H111" s="1" t="s">
        <v>784</v>
      </c>
      <c r="I111" s="1" t="s">
        <v>387</v>
      </c>
      <c r="J111" s="4">
        <v>0.30208333333333331</v>
      </c>
      <c r="K111" s="1" t="s">
        <v>368</v>
      </c>
      <c r="L111" s="1" t="s">
        <v>364</v>
      </c>
      <c r="M111" s="5"/>
      <c r="N111" s="1" t="s">
        <v>333</v>
      </c>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1">
        <v>0</v>
      </c>
      <c r="BJ111" s="5"/>
      <c r="BK111" s="1">
        <v>0</v>
      </c>
      <c r="BL111" s="5"/>
      <c r="BM111" s="1">
        <v>30.367599999999999</v>
      </c>
      <c r="BN111" s="1">
        <v>-86.939099999999996</v>
      </c>
      <c r="BO111" s="1">
        <v>0</v>
      </c>
      <c r="BP111" s="5"/>
      <c r="BQ111" s="1">
        <v>0</v>
      </c>
      <c r="BR111" s="5"/>
      <c r="BS111" s="1">
        <v>5</v>
      </c>
      <c r="BT111" s="1" t="s">
        <v>785</v>
      </c>
      <c r="BU111" s="1">
        <v>0</v>
      </c>
      <c r="BV111" s="5"/>
      <c r="BW111" s="1">
        <v>0</v>
      </c>
      <c r="BX111" s="5"/>
      <c r="BY111" s="1">
        <v>0</v>
      </c>
      <c r="BZ111" s="5"/>
      <c r="CA111" s="1">
        <v>30.356200000000001</v>
      </c>
      <c r="CB111" s="1">
        <v>-87.005200000000002</v>
      </c>
      <c r="CC111" s="5"/>
      <c r="CD111" s="1">
        <v>0</v>
      </c>
      <c r="CE111" s="5"/>
      <c r="CF111" s="1">
        <v>0</v>
      </c>
      <c r="CG111" s="5"/>
      <c r="CH111" s="1">
        <v>17</v>
      </c>
      <c r="CI111" s="1" t="s">
        <v>786</v>
      </c>
      <c r="CJ111" s="1">
        <v>0</v>
      </c>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row>
    <row r="112" spans="1:336" ht="15" x14ac:dyDescent="0.25">
      <c r="A112" s="1" t="s">
        <v>787</v>
      </c>
      <c r="B112" s="2">
        <v>30.324590000000001</v>
      </c>
      <c r="C112" s="2">
        <v>-87.181700000000006</v>
      </c>
      <c r="D112" s="2">
        <v>30.331240000000001</v>
      </c>
      <c r="E112" s="2">
        <v>-87.295900000000003</v>
      </c>
      <c r="F112" s="3">
        <v>43137</v>
      </c>
      <c r="G112" s="1" t="s">
        <v>788</v>
      </c>
      <c r="H112" s="1" t="s">
        <v>789</v>
      </c>
      <c r="I112" s="1" t="s">
        <v>329</v>
      </c>
      <c r="J112" s="4">
        <v>0.29166666666666669</v>
      </c>
      <c r="K112" s="1" t="s">
        <v>368</v>
      </c>
      <c r="L112" s="1" t="s">
        <v>441</v>
      </c>
      <c r="M112" s="1" t="s">
        <v>790</v>
      </c>
      <c r="N112" s="1" t="s">
        <v>333</v>
      </c>
      <c r="O112" s="2"/>
      <c r="P112" s="2"/>
      <c r="Q112" s="2"/>
      <c r="R112" s="2"/>
      <c r="S112" s="2"/>
      <c r="T112" s="2"/>
      <c r="U112" s="2"/>
      <c r="V112" s="2"/>
      <c r="W112" s="2"/>
      <c r="X112" s="2"/>
      <c r="Y112" s="2"/>
      <c r="Z112" s="2"/>
      <c r="AA112" s="2"/>
      <c r="AB112" s="2"/>
      <c r="AC112" s="2"/>
      <c r="AD112" s="2">
        <v>9</v>
      </c>
      <c r="AE112" s="2">
        <v>101</v>
      </c>
      <c r="AF112" s="2"/>
      <c r="AG112" s="2"/>
      <c r="AH112" s="2">
        <v>5</v>
      </c>
      <c r="AI112" s="2"/>
      <c r="AJ112" s="2"/>
      <c r="AK112" s="2"/>
      <c r="AL112" s="2">
        <v>35</v>
      </c>
      <c r="AM112" s="2"/>
      <c r="AN112" s="2"/>
      <c r="AO112" s="2"/>
      <c r="AP112" s="2"/>
      <c r="AQ112" s="2">
        <v>1</v>
      </c>
      <c r="AR112" s="2">
        <v>24</v>
      </c>
      <c r="AS112" s="2"/>
      <c r="AT112" s="2">
        <v>333</v>
      </c>
      <c r="AU112" s="2"/>
      <c r="AV112" s="2"/>
      <c r="AW112" s="2">
        <v>62</v>
      </c>
      <c r="AX112" s="2">
        <v>48</v>
      </c>
      <c r="AY112" s="2"/>
      <c r="AZ112" s="2"/>
      <c r="BA112" s="2">
        <v>37</v>
      </c>
      <c r="BB112" s="2">
        <v>560</v>
      </c>
      <c r="BC112" s="2"/>
      <c r="BD112" s="2">
        <v>413</v>
      </c>
      <c r="BE112" s="2">
        <v>2</v>
      </c>
      <c r="BF112" s="2"/>
      <c r="BG112" s="2"/>
      <c r="BH112" s="2"/>
      <c r="BI112" s="1">
        <v>0</v>
      </c>
      <c r="BJ112" s="5"/>
      <c r="BK112" s="1">
        <v>0</v>
      </c>
      <c r="BL112" s="5"/>
      <c r="BM112" s="1">
        <v>30.323650000000001</v>
      </c>
      <c r="BN112" s="1">
        <v>-87.191999999999993</v>
      </c>
      <c r="BO112" s="1">
        <v>0</v>
      </c>
      <c r="BP112" s="5"/>
      <c r="BQ112" s="1">
        <v>0</v>
      </c>
      <c r="BR112" s="5"/>
      <c r="BS112" s="1">
        <v>5</v>
      </c>
      <c r="BT112" s="1" t="s">
        <v>791</v>
      </c>
      <c r="BU112" s="1">
        <v>0</v>
      </c>
      <c r="BV112" s="5"/>
      <c r="BW112" s="1">
        <v>0</v>
      </c>
      <c r="BX112" s="5"/>
      <c r="BY112" s="1">
        <v>1</v>
      </c>
      <c r="BZ112" s="1" t="s">
        <v>402</v>
      </c>
      <c r="CA112" s="1">
        <v>30.322949999999999</v>
      </c>
      <c r="CB112" s="1">
        <v>-87.195599999999999</v>
      </c>
      <c r="CC112" s="5"/>
      <c r="CD112" s="1">
        <v>0</v>
      </c>
      <c r="CE112" s="5"/>
      <c r="CF112" s="1">
        <v>0</v>
      </c>
      <c r="CG112" s="5"/>
      <c r="CH112" s="1">
        <v>0</v>
      </c>
      <c r="CI112" s="5"/>
      <c r="CJ112" s="1">
        <v>0</v>
      </c>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row>
    <row r="113" spans="1:336" ht="15" x14ac:dyDescent="0.25">
      <c r="A113" s="1" t="s">
        <v>787</v>
      </c>
      <c r="B113" s="2">
        <v>30.331209999999999</v>
      </c>
      <c r="C113" s="2">
        <v>-87.2958</v>
      </c>
      <c r="D113" s="2">
        <v>30.327190000000002</v>
      </c>
      <c r="E113" s="2">
        <v>-87.182599999999994</v>
      </c>
      <c r="F113" s="3">
        <v>43137</v>
      </c>
      <c r="G113" s="1" t="s">
        <v>788</v>
      </c>
      <c r="H113" s="1" t="s">
        <v>789</v>
      </c>
      <c r="I113" s="1" t="s">
        <v>329</v>
      </c>
      <c r="J113" s="4">
        <v>0.4375</v>
      </c>
      <c r="K113" s="1" t="s">
        <v>375</v>
      </c>
      <c r="L113" s="1" t="s">
        <v>441</v>
      </c>
      <c r="M113" s="1" t="s">
        <v>792</v>
      </c>
      <c r="N113" s="1" t="s">
        <v>333</v>
      </c>
      <c r="O113" s="2"/>
      <c r="P113" s="2"/>
      <c r="Q113" s="2"/>
      <c r="R113" s="2"/>
      <c r="S113" s="2"/>
      <c r="T113" s="2"/>
      <c r="U113" s="2"/>
      <c r="V113" s="2"/>
      <c r="W113" s="2"/>
      <c r="X113" s="2"/>
      <c r="Y113" s="2"/>
      <c r="Z113" s="2"/>
      <c r="AA113" s="2"/>
      <c r="AB113" s="2"/>
      <c r="AC113" s="2"/>
      <c r="AD113" s="2"/>
      <c r="AE113" s="2">
        <v>10</v>
      </c>
      <c r="AF113" s="2"/>
      <c r="AG113" s="2"/>
      <c r="AH113" s="2"/>
      <c r="AI113" s="2"/>
      <c r="AJ113" s="2"/>
      <c r="AK113" s="2"/>
      <c r="AL113" s="2">
        <v>1</v>
      </c>
      <c r="AM113" s="2"/>
      <c r="AN113" s="2"/>
      <c r="AO113" s="2"/>
      <c r="AP113" s="2"/>
      <c r="AQ113" s="2"/>
      <c r="AR113" s="2"/>
      <c r="AS113" s="2"/>
      <c r="AT113" s="2">
        <v>200</v>
      </c>
      <c r="AU113" s="2"/>
      <c r="AV113" s="2"/>
      <c r="AW113" s="2"/>
      <c r="AX113" s="2">
        <v>25</v>
      </c>
      <c r="AY113" s="2"/>
      <c r="AZ113" s="2"/>
      <c r="BA113" s="2">
        <v>6</v>
      </c>
      <c r="BB113" s="2">
        <v>7</v>
      </c>
      <c r="BC113" s="2"/>
      <c r="BD113" s="2"/>
      <c r="BE113" s="2"/>
      <c r="BF113" s="2"/>
      <c r="BG113" s="2"/>
      <c r="BH113" s="2"/>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row>
    <row r="114" spans="1:336" ht="15" x14ac:dyDescent="0.25">
      <c r="A114" s="1" t="s">
        <v>793</v>
      </c>
      <c r="B114" s="2">
        <v>30.383420000000001</v>
      </c>
      <c r="C114" s="2">
        <v>-86.453599999999994</v>
      </c>
      <c r="D114" s="2">
        <v>30.382300000000001</v>
      </c>
      <c r="E114" s="2">
        <v>-86.432500000000005</v>
      </c>
      <c r="F114" s="3">
        <v>43136</v>
      </c>
      <c r="G114" s="1" t="s">
        <v>373</v>
      </c>
      <c r="H114" s="1" t="s">
        <v>374</v>
      </c>
      <c r="I114" s="1" t="s">
        <v>329</v>
      </c>
      <c r="J114" s="4">
        <v>3.6805555555555557E-2</v>
      </c>
      <c r="K114" s="1" t="s">
        <v>368</v>
      </c>
      <c r="L114" s="1" t="s">
        <v>364</v>
      </c>
      <c r="M114" s="1" t="s">
        <v>794</v>
      </c>
      <c r="N114" s="1" t="s">
        <v>333</v>
      </c>
      <c r="O114" s="2"/>
      <c r="P114" s="2"/>
      <c r="Q114" s="2"/>
      <c r="R114" s="2"/>
      <c r="S114" s="2"/>
      <c r="T114" s="2"/>
      <c r="U114" s="2"/>
      <c r="V114" s="2"/>
      <c r="W114" s="2"/>
      <c r="X114" s="2"/>
      <c r="Y114" s="2"/>
      <c r="Z114" s="2"/>
      <c r="AA114" s="2"/>
      <c r="AB114" s="2"/>
      <c r="AC114" s="2"/>
      <c r="AD114" s="2"/>
      <c r="AE114" s="2">
        <v>80</v>
      </c>
      <c r="AF114" s="2"/>
      <c r="AG114" s="2"/>
      <c r="AH114" s="2"/>
      <c r="AI114" s="2"/>
      <c r="AJ114" s="2"/>
      <c r="AK114" s="2"/>
      <c r="AL114" s="2">
        <v>2</v>
      </c>
      <c r="AM114" s="2"/>
      <c r="AN114" s="2"/>
      <c r="AO114" s="2"/>
      <c r="AP114" s="2"/>
      <c r="AQ114" s="2"/>
      <c r="AR114" s="2"/>
      <c r="AS114" s="2"/>
      <c r="AT114" s="2">
        <v>8</v>
      </c>
      <c r="AU114" s="2"/>
      <c r="AV114" s="2"/>
      <c r="AW114" s="2">
        <v>1</v>
      </c>
      <c r="AX114" s="2"/>
      <c r="AY114" s="2"/>
      <c r="AZ114" s="2"/>
      <c r="BA114" s="2">
        <v>2</v>
      </c>
      <c r="BB114" s="2">
        <v>3</v>
      </c>
      <c r="BC114" s="2"/>
      <c r="BD114" s="2">
        <v>13</v>
      </c>
      <c r="BE114" s="2"/>
      <c r="BF114" s="2"/>
      <c r="BG114" s="2"/>
      <c r="BH114" s="2"/>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row>
    <row r="115" spans="1:336" ht="15" x14ac:dyDescent="0.25">
      <c r="A115" s="1" t="s">
        <v>795</v>
      </c>
      <c r="B115" s="2">
        <v>25.033280000000001</v>
      </c>
      <c r="C115" s="2">
        <v>-81.010300000000001</v>
      </c>
      <c r="D115" s="2">
        <v>25.519159999999999</v>
      </c>
      <c r="E115" s="2">
        <v>-81.209299999999999</v>
      </c>
      <c r="F115" s="3">
        <v>43144</v>
      </c>
      <c r="G115" s="1" t="s">
        <v>660</v>
      </c>
      <c r="H115" s="1" t="s">
        <v>328</v>
      </c>
      <c r="I115" s="1" t="s">
        <v>329</v>
      </c>
      <c r="J115" s="4">
        <v>0.4861111111111111</v>
      </c>
      <c r="K115" s="1" t="s">
        <v>633</v>
      </c>
      <c r="L115" s="1" t="s">
        <v>441</v>
      </c>
      <c r="M115" s="1" t="s">
        <v>796</v>
      </c>
      <c r="N115" s="1" t="s">
        <v>333</v>
      </c>
      <c r="O115" s="2">
        <v>2</v>
      </c>
      <c r="P115" s="2"/>
      <c r="Q115" s="2"/>
      <c r="R115" s="2"/>
      <c r="S115" s="2"/>
      <c r="T115" s="2"/>
      <c r="U115" s="2"/>
      <c r="V115" s="2"/>
      <c r="W115" s="2"/>
      <c r="X115" s="2"/>
      <c r="Y115" s="2"/>
      <c r="Z115" s="2"/>
      <c r="AA115" s="2"/>
      <c r="AB115" s="2">
        <v>11</v>
      </c>
      <c r="AC115" s="2"/>
      <c r="AD115" s="2"/>
      <c r="AE115" s="2">
        <v>3</v>
      </c>
      <c r="AF115" s="2">
        <v>7</v>
      </c>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5"/>
      <c r="BJ115" s="5"/>
      <c r="BK115" s="5"/>
      <c r="BL115" s="5"/>
      <c r="BM115" s="1">
        <v>25.479199999999999</v>
      </c>
      <c r="BN115" s="1">
        <v>-81.186800000000005</v>
      </c>
      <c r="BO115" s="1">
        <v>9</v>
      </c>
      <c r="BP115" s="1" t="s">
        <v>797</v>
      </c>
      <c r="BQ115" s="5"/>
      <c r="BR115" s="5"/>
      <c r="BS115" s="5"/>
      <c r="BT115" s="5"/>
      <c r="BU115" s="5"/>
      <c r="BV115" s="5"/>
      <c r="BW115" s="5"/>
      <c r="BX115" s="5"/>
      <c r="BY115" s="5"/>
      <c r="BZ115" s="5"/>
      <c r="CA115" s="1">
        <v>25.489989999999999</v>
      </c>
      <c r="CB115" s="1">
        <v>-81.196299999999994</v>
      </c>
      <c r="CC115" s="1" t="s">
        <v>798</v>
      </c>
      <c r="CD115" s="5"/>
      <c r="CE115" s="5"/>
      <c r="CF115" s="5"/>
      <c r="CG115" s="5"/>
      <c r="CH115" s="5"/>
      <c r="CI115" s="5"/>
      <c r="CJ115" s="5"/>
      <c r="CK115" s="5"/>
      <c r="CL115" s="5"/>
      <c r="CM115" s="5"/>
      <c r="CN115" s="5"/>
      <c r="CO115" s="5"/>
      <c r="CP115" s="1">
        <v>25.509930000000001</v>
      </c>
      <c r="CQ115" s="1">
        <v>-81.209500000000006</v>
      </c>
      <c r="CR115" s="5"/>
      <c r="CS115" s="1">
        <v>2</v>
      </c>
      <c r="CT115" s="1" t="s">
        <v>348</v>
      </c>
      <c r="CU115" s="5"/>
      <c r="CV115" s="5"/>
      <c r="CW115" s="5"/>
      <c r="CX115" s="5"/>
      <c r="CY115" s="5"/>
      <c r="CZ115" s="5"/>
      <c r="DA115" s="1">
        <v>2</v>
      </c>
      <c r="DB115" s="1" t="s">
        <v>348</v>
      </c>
      <c r="DC115" s="5"/>
      <c r="DD115" s="5"/>
      <c r="DE115" s="1">
        <v>25.500530000000001</v>
      </c>
      <c r="DF115" s="1">
        <v>-81.204999999999998</v>
      </c>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row>
    <row r="116" spans="1:336" ht="15" x14ac:dyDescent="0.25">
      <c r="A116" s="1" t="s">
        <v>799</v>
      </c>
      <c r="B116" s="2">
        <v>29.845590000000001</v>
      </c>
      <c r="C116" s="2">
        <v>-85.329899999999995</v>
      </c>
      <c r="D116" s="2">
        <v>29.830490000000001</v>
      </c>
      <c r="E116" s="2">
        <v>-85.313999999999993</v>
      </c>
      <c r="F116" s="3">
        <v>43136</v>
      </c>
      <c r="G116" s="1" t="s">
        <v>800</v>
      </c>
      <c r="H116" s="1" t="s">
        <v>506</v>
      </c>
      <c r="I116" s="1" t="s">
        <v>329</v>
      </c>
      <c r="J116" s="4">
        <v>0.41666666666666669</v>
      </c>
      <c r="K116" s="1" t="s">
        <v>368</v>
      </c>
      <c r="L116" s="1" t="s">
        <v>369</v>
      </c>
      <c r="M116" s="1" t="s">
        <v>801</v>
      </c>
      <c r="N116" s="1" t="s">
        <v>333</v>
      </c>
      <c r="O116" s="2"/>
      <c r="P116" s="2"/>
      <c r="Q116" s="2">
        <v>1</v>
      </c>
      <c r="R116" s="2">
        <v>2</v>
      </c>
      <c r="S116" s="2"/>
      <c r="T116" s="2">
        <v>1</v>
      </c>
      <c r="U116" s="2">
        <v>2</v>
      </c>
      <c r="V116" s="2"/>
      <c r="W116" s="2"/>
      <c r="X116" s="2"/>
      <c r="Y116" s="2"/>
      <c r="Z116" s="2"/>
      <c r="AA116" s="2"/>
      <c r="AB116" s="2"/>
      <c r="AC116" s="2"/>
      <c r="AD116" s="2">
        <v>6</v>
      </c>
      <c r="AE116" s="2">
        <v>13</v>
      </c>
      <c r="AF116" s="2">
        <v>1</v>
      </c>
      <c r="AG116" s="2"/>
      <c r="AH116" s="2"/>
      <c r="AI116" s="2"/>
      <c r="AJ116" s="2"/>
      <c r="AK116" s="2"/>
      <c r="AL116" s="2">
        <v>7</v>
      </c>
      <c r="AM116" s="2"/>
      <c r="AN116" s="2"/>
      <c r="AO116" s="2"/>
      <c r="AP116" s="2"/>
      <c r="AQ116" s="2"/>
      <c r="AR116" s="2">
        <v>6</v>
      </c>
      <c r="AS116" s="2"/>
      <c r="AT116" s="2">
        <v>1</v>
      </c>
      <c r="AU116" s="2"/>
      <c r="AV116" s="2"/>
      <c r="AW116" s="2">
        <v>4</v>
      </c>
      <c r="AX116" s="2">
        <v>51</v>
      </c>
      <c r="AY116" s="2"/>
      <c r="AZ116" s="2"/>
      <c r="BA116" s="2"/>
      <c r="BB116" s="2">
        <v>14</v>
      </c>
      <c r="BC116" s="2"/>
      <c r="BD116" s="2">
        <v>13</v>
      </c>
      <c r="BE116" s="2"/>
      <c r="BF116" s="2"/>
      <c r="BG116" s="2"/>
      <c r="BH116" s="2"/>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row>
    <row r="117" spans="1:336" ht="15" x14ac:dyDescent="0.25">
      <c r="A117" s="1" t="s">
        <v>802</v>
      </c>
      <c r="B117" s="2">
        <v>26.252590000000001</v>
      </c>
      <c r="C117" s="2">
        <v>-80.084199999999996</v>
      </c>
      <c r="D117" s="2">
        <v>26.258030000000002</v>
      </c>
      <c r="E117" s="2">
        <v>-80.081900000000005</v>
      </c>
      <c r="F117" s="3">
        <v>43133</v>
      </c>
      <c r="G117" s="1" t="s">
        <v>803</v>
      </c>
      <c r="H117" s="1" t="s">
        <v>804</v>
      </c>
      <c r="I117" s="1" t="s">
        <v>329</v>
      </c>
      <c r="J117" s="4">
        <v>0.40972222222222221</v>
      </c>
      <c r="K117" s="1" t="s">
        <v>330</v>
      </c>
      <c r="L117" s="1" t="s">
        <v>369</v>
      </c>
      <c r="M117" s="5"/>
      <c r="N117" s="1" t="s">
        <v>333</v>
      </c>
      <c r="O117" s="2"/>
      <c r="P117" s="2"/>
      <c r="Q117" s="2"/>
      <c r="R117" s="2"/>
      <c r="S117" s="2"/>
      <c r="T117" s="2"/>
      <c r="U117" s="2"/>
      <c r="V117" s="2"/>
      <c r="W117" s="2"/>
      <c r="X117" s="2"/>
      <c r="Y117" s="2"/>
      <c r="Z117" s="2"/>
      <c r="AA117" s="2"/>
      <c r="AB117" s="2"/>
      <c r="AC117" s="2"/>
      <c r="AD117" s="2">
        <v>13</v>
      </c>
      <c r="AE117" s="2">
        <v>7</v>
      </c>
      <c r="AF117" s="2"/>
      <c r="AG117" s="2"/>
      <c r="AH117" s="2"/>
      <c r="AI117" s="2"/>
      <c r="AJ117" s="2"/>
      <c r="AK117" s="2"/>
      <c r="AL117" s="2"/>
      <c r="AM117" s="2"/>
      <c r="AN117" s="2"/>
      <c r="AO117" s="2"/>
      <c r="AP117" s="2"/>
      <c r="AQ117" s="2"/>
      <c r="AR117" s="2"/>
      <c r="AS117" s="2"/>
      <c r="AT117" s="2"/>
      <c r="AU117" s="2"/>
      <c r="AV117" s="2"/>
      <c r="AW117" s="2"/>
      <c r="AX117" s="2"/>
      <c r="AY117" s="2"/>
      <c r="AZ117" s="2"/>
      <c r="BA117" s="2">
        <v>1</v>
      </c>
      <c r="BB117" s="2"/>
      <c r="BC117" s="2"/>
      <c r="BD117" s="2">
        <v>9</v>
      </c>
      <c r="BE117" s="2"/>
      <c r="BF117" s="2"/>
      <c r="BG117" s="2"/>
      <c r="BH117" s="2"/>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c r="IJ117" s="7"/>
      <c r="IK117" s="7"/>
      <c r="IL117" s="7"/>
      <c r="IM117" s="7"/>
      <c r="IN117" s="7"/>
      <c r="IO117" s="7"/>
      <c r="IP117" s="7"/>
      <c r="IQ117" s="7"/>
      <c r="IR117" s="7"/>
      <c r="IS117" s="7"/>
      <c r="IT117" s="7"/>
      <c r="IU117" s="7"/>
      <c r="IV117" s="7"/>
      <c r="IW117" s="7"/>
      <c r="IX117" s="7"/>
      <c r="IY117" s="7"/>
      <c r="IZ117" s="7"/>
      <c r="JA117" s="7"/>
      <c r="JB117" s="7"/>
      <c r="JC117" s="7"/>
      <c r="JD117" s="7"/>
      <c r="JE117" s="7"/>
      <c r="JF117" s="7"/>
      <c r="JG117" s="7"/>
      <c r="JH117" s="7"/>
      <c r="JI117" s="7"/>
      <c r="JJ117" s="7"/>
      <c r="JK117" s="7"/>
      <c r="JL117" s="7"/>
      <c r="JM117" s="7"/>
      <c r="JN117" s="7"/>
      <c r="JO117" s="7"/>
      <c r="JP117" s="7"/>
      <c r="JQ117" s="7"/>
      <c r="JR117" s="7"/>
      <c r="JS117" s="7"/>
      <c r="JT117" s="7"/>
      <c r="JU117" s="7"/>
      <c r="JV117" s="7"/>
      <c r="JW117" s="7"/>
      <c r="JX117" s="7"/>
      <c r="JY117" s="7"/>
      <c r="JZ117" s="7"/>
      <c r="KA117" s="7"/>
      <c r="KB117" s="7"/>
      <c r="KC117" s="7"/>
      <c r="KD117" s="7"/>
      <c r="KE117" s="7"/>
      <c r="KF117" s="7"/>
      <c r="KG117" s="7"/>
      <c r="KH117" s="7"/>
      <c r="KI117" s="7"/>
      <c r="KJ117" s="7"/>
      <c r="KK117" s="7"/>
      <c r="KL117" s="7"/>
      <c r="KM117" s="7"/>
      <c r="KN117" s="7"/>
      <c r="KO117" s="7"/>
      <c r="KP117" s="7"/>
      <c r="KQ117" s="7"/>
      <c r="KR117" s="7"/>
      <c r="KS117" s="7"/>
      <c r="KT117" s="7"/>
      <c r="KU117" s="7"/>
      <c r="KV117" s="7"/>
      <c r="KW117" s="7"/>
      <c r="KX117" s="7"/>
      <c r="KY117" s="7"/>
      <c r="KZ117" s="7"/>
      <c r="LA117" s="7"/>
      <c r="LB117" s="7"/>
      <c r="LC117" s="7"/>
      <c r="LD117" s="7"/>
      <c r="LE117" s="7"/>
      <c r="LF117" s="7"/>
      <c r="LG117" s="7"/>
      <c r="LH117" s="7"/>
      <c r="LI117" s="7"/>
      <c r="LJ117" s="7"/>
      <c r="LK117" s="7"/>
      <c r="LL117" s="7"/>
      <c r="LM117" s="7"/>
      <c r="LN117" s="7"/>
      <c r="LO117" s="7"/>
      <c r="LP117" s="7"/>
      <c r="LQ117" s="7"/>
      <c r="LR117" s="7"/>
      <c r="LS117" s="7"/>
      <c r="LT117" s="7"/>
      <c r="LU117" s="7"/>
      <c r="LV117" s="7"/>
      <c r="LW117" s="7"/>
      <c r="LX117" s="7"/>
    </row>
    <row r="118" spans="1:336" ht="15" x14ac:dyDescent="0.25">
      <c r="A118" s="1" t="s">
        <v>805</v>
      </c>
      <c r="B118" s="2">
        <v>27.086490000000001</v>
      </c>
      <c r="C118" s="2">
        <v>-80.124600000000001</v>
      </c>
      <c r="D118" s="2">
        <v>27.130880000000001</v>
      </c>
      <c r="E118" s="2">
        <v>-80.145099999999999</v>
      </c>
      <c r="F118" s="3">
        <v>43139</v>
      </c>
      <c r="G118" s="1" t="s">
        <v>806</v>
      </c>
      <c r="H118" s="1" t="s">
        <v>807</v>
      </c>
      <c r="I118" s="1" t="s">
        <v>329</v>
      </c>
      <c r="J118" s="4">
        <v>0.32777777777777778</v>
      </c>
      <c r="K118" s="1" t="s">
        <v>375</v>
      </c>
      <c r="L118" s="1" t="s">
        <v>364</v>
      </c>
      <c r="M118" s="5"/>
      <c r="N118" s="1" t="s">
        <v>333</v>
      </c>
      <c r="O118" s="2">
        <v>2</v>
      </c>
      <c r="P118" s="2">
        <v>2</v>
      </c>
      <c r="Q118" s="2">
        <v>2</v>
      </c>
      <c r="R118" s="2">
        <v>2</v>
      </c>
      <c r="S118" s="2">
        <v>2</v>
      </c>
      <c r="T118" s="2">
        <v>2</v>
      </c>
      <c r="U118" s="2">
        <v>2</v>
      </c>
      <c r="V118" s="2">
        <v>2</v>
      </c>
      <c r="W118" s="2">
        <v>2</v>
      </c>
      <c r="X118" s="2">
        <v>2</v>
      </c>
      <c r="Y118" s="2"/>
      <c r="Z118" s="2"/>
      <c r="AA118" s="2">
        <v>2</v>
      </c>
      <c r="AB118" s="2">
        <v>2</v>
      </c>
      <c r="AC118" s="2">
        <v>2</v>
      </c>
      <c r="AD118" s="2">
        <v>7</v>
      </c>
      <c r="AE118" s="2">
        <v>7</v>
      </c>
      <c r="AF118" s="2"/>
      <c r="AG118" s="2"/>
      <c r="AH118" s="2"/>
      <c r="AI118" s="2"/>
      <c r="AJ118" s="2"/>
      <c r="AK118" s="2"/>
      <c r="AL118" s="2"/>
      <c r="AM118" s="2"/>
      <c r="AN118" s="2"/>
      <c r="AO118" s="2"/>
      <c r="AP118" s="2"/>
      <c r="AQ118" s="2"/>
      <c r="AR118" s="2">
        <v>3</v>
      </c>
      <c r="AS118" s="2"/>
      <c r="AT118" s="2"/>
      <c r="AU118" s="2"/>
      <c r="AV118" s="2"/>
      <c r="AW118" s="2"/>
      <c r="AX118" s="2"/>
      <c r="AY118" s="2"/>
      <c r="AZ118" s="2"/>
      <c r="BA118" s="2"/>
      <c r="BB118" s="2">
        <v>24</v>
      </c>
      <c r="BC118" s="2"/>
      <c r="BD118" s="2">
        <v>68</v>
      </c>
      <c r="BE118" s="2">
        <v>11</v>
      </c>
      <c r="BF118" s="2"/>
      <c r="BG118" s="2"/>
      <c r="BH118" s="2"/>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row>
    <row r="119" spans="1:336" ht="15" x14ac:dyDescent="0.25">
      <c r="A119" s="1" t="s">
        <v>808</v>
      </c>
      <c r="B119" s="2">
        <v>28.0945</v>
      </c>
      <c r="C119" s="2">
        <v>-82.833500000000001</v>
      </c>
      <c r="D119" s="2">
        <v>28.056000000000001</v>
      </c>
      <c r="E119" s="2">
        <v>-82.816100000000006</v>
      </c>
      <c r="F119" s="3">
        <v>43133</v>
      </c>
      <c r="G119" s="1" t="s">
        <v>809</v>
      </c>
      <c r="H119" s="1" t="s">
        <v>810</v>
      </c>
      <c r="I119" s="1" t="s">
        <v>329</v>
      </c>
      <c r="J119" s="4">
        <v>0.47916666666666669</v>
      </c>
      <c r="K119" s="1" t="s">
        <v>375</v>
      </c>
      <c r="L119" s="1" t="s">
        <v>369</v>
      </c>
      <c r="M119" s="5"/>
      <c r="N119" s="1" t="s">
        <v>333</v>
      </c>
      <c r="O119" s="2">
        <v>4</v>
      </c>
      <c r="P119" s="2"/>
      <c r="Q119" s="2"/>
      <c r="R119" s="2"/>
      <c r="S119" s="2"/>
      <c r="T119" s="2"/>
      <c r="U119" s="2"/>
      <c r="V119" s="2"/>
      <c r="W119" s="2"/>
      <c r="X119" s="2"/>
      <c r="Y119" s="2"/>
      <c r="Z119" s="2"/>
      <c r="AA119" s="2"/>
      <c r="AB119" s="2"/>
      <c r="AC119" s="2"/>
      <c r="AD119" s="2">
        <v>39</v>
      </c>
      <c r="AE119" s="2">
        <v>45</v>
      </c>
      <c r="AF119" s="2">
        <v>1</v>
      </c>
      <c r="AG119" s="2"/>
      <c r="AH119" s="2"/>
      <c r="AI119" s="2"/>
      <c r="AJ119" s="2">
        <v>1</v>
      </c>
      <c r="AK119" s="2"/>
      <c r="AL119" s="2">
        <v>11</v>
      </c>
      <c r="AM119" s="2"/>
      <c r="AN119" s="2"/>
      <c r="AO119" s="2"/>
      <c r="AP119" s="2"/>
      <c r="AQ119" s="2"/>
      <c r="AR119" s="2"/>
      <c r="AS119" s="2"/>
      <c r="AT119" s="2">
        <v>13</v>
      </c>
      <c r="AU119" s="2"/>
      <c r="AV119" s="2"/>
      <c r="AW119" s="2">
        <v>19</v>
      </c>
      <c r="AX119" s="2"/>
      <c r="AY119" s="2"/>
      <c r="AZ119" s="2"/>
      <c r="BA119" s="2">
        <v>4</v>
      </c>
      <c r="BB119" s="2">
        <v>68</v>
      </c>
      <c r="BC119" s="2"/>
      <c r="BD119" s="2">
        <v>44</v>
      </c>
      <c r="BE119" s="2">
        <v>43</v>
      </c>
      <c r="BF119" s="2"/>
      <c r="BG119" s="2"/>
      <c r="BH119" s="2"/>
      <c r="BI119" s="1">
        <v>3</v>
      </c>
      <c r="BJ119" s="1" t="s">
        <v>407</v>
      </c>
      <c r="BK119" s="1">
        <v>0</v>
      </c>
      <c r="BL119" s="1" t="s">
        <v>407</v>
      </c>
      <c r="BM119" s="1">
        <v>28.0945</v>
      </c>
      <c r="BN119" s="1">
        <v>-82.233500000000006</v>
      </c>
      <c r="BO119" s="1">
        <v>0</v>
      </c>
      <c r="BP119" s="1" t="s">
        <v>407</v>
      </c>
      <c r="BQ119" s="1">
        <v>0</v>
      </c>
      <c r="BR119" s="1" t="s">
        <v>407</v>
      </c>
      <c r="BS119" s="1">
        <v>0</v>
      </c>
      <c r="BT119" s="1" t="s">
        <v>407</v>
      </c>
      <c r="BU119" s="1">
        <v>0</v>
      </c>
      <c r="BV119" s="1" t="s">
        <v>407</v>
      </c>
      <c r="BW119" s="1">
        <v>1</v>
      </c>
      <c r="BX119" s="1" t="s">
        <v>407</v>
      </c>
      <c r="BY119" s="1">
        <v>0</v>
      </c>
      <c r="BZ119" s="1" t="s">
        <v>407</v>
      </c>
      <c r="CA119" s="1">
        <v>28.066199999999998</v>
      </c>
      <c r="CB119" s="1">
        <v>-82.833699999999993</v>
      </c>
      <c r="CC119" s="5"/>
      <c r="CD119" s="1">
        <v>0</v>
      </c>
      <c r="CE119" s="1" t="s">
        <v>407</v>
      </c>
      <c r="CF119" s="1">
        <v>0</v>
      </c>
      <c r="CG119" s="1" t="s">
        <v>407</v>
      </c>
      <c r="CH119" s="1">
        <v>0</v>
      </c>
      <c r="CI119" s="1" t="s">
        <v>407</v>
      </c>
      <c r="CJ119" s="1">
        <v>0</v>
      </c>
      <c r="CK119" s="1" t="s">
        <v>407</v>
      </c>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row>
    <row r="120" spans="1:336" ht="15" x14ac:dyDescent="0.25">
      <c r="A120" s="1" t="s">
        <v>811</v>
      </c>
      <c r="B120" s="2">
        <v>29.828769999999999</v>
      </c>
      <c r="C120" s="2">
        <v>-84.670599999999993</v>
      </c>
      <c r="D120" s="2">
        <v>29.839320000000001</v>
      </c>
      <c r="E120" s="2">
        <v>-84.651600000000002</v>
      </c>
      <c r="F120" s="3">
        <v>43138</v>
      </c>
      <c r="G120" s="1" t="s">
        <v>443</v>
      </c>
      <c r="H120" s="1" t="s">
        <v>432</v>
      </c>
      <c r="I120" s="1" t="s">
        <v>329</v>
      </c>
      <c r="J120" s="4">
        <v>0.60833333333333328</v>
      </c>
      <c r="K120" s="1" t="s">
        <v>375</v>
      </c>
      <c r="L120" s="1" t="s">
        <v>369</v>
      </c>
      <c r="M120" s="1" t="s">
        <v>812</v>
      </c>
      <c r="N120" s="1" t="s">
        <v>333</v>
      </c>
      <c r="O120" s="2">
        <v>11</v>
      </c>
      <c r="P120" s="2"/>
      <c r="Q120" s="2"/>
      <c r="R120" s="2"/>
      <c r="S120" s="2"/>
      <c r="T120" s="2">
        <v>7</v>
      </c>
      <c r="U120" s="2"/>
      <c r="V120" s="2"/>
      <c r="W120" s="2"/>
      <c r="X120" s="2"/>
      <c r="Y120" s="2"/>
      <c r="Z120" s="2"/>
      <c r="AA120" s="2"/>
      <c r="AB120" s="2"/>
      <c r="AC120" s="2"/>
      <c r="AD120" s="2">
        <v>5</v>
      </c>
      <c r="AE120" s="2">
        <v>1</v>
      </c>
      <c r="AF120" s="2">
        <v>26</v>
      </c>
      <c r="AG120" s="2"/>
      <c r="AH120" s="2"/>
      <c r="AI120" s="2"/>
      <c r="AJ120" s="2"/>
      <c r="AK120" s="2"/>
      <c r="AL120" s="2">
        <v>1</v>
      </c>
      <c r="AM120" s="2"/>
      <c r="AN120" s="2"/>
      <c r="AO120" s="2"/>
      <c r="AP120" s="2"/>
      <c r="AQ120" s="2"/>
      <c r="AR120" s="2"/>
      <c r="AS120" s="2"/>
      <c r="AT120" s="2">
        <v>12</v>
      </c>
      <c r="AU120" s="2"/>
      <c r="AV120" s="2"/>
      <c r="AW120" s="2">
        <v>16</v>
      </c>
      <c r="AX120" s="2">
        <v>1</v>
      </c>
      <c r="AY120" s="2"/>
      <c r="AZ120" s="2"/>
      <c r="BA120" s="2">
        <v>1</v>
      </c>
      <c r="BB120" s="2">
        <v>1</v>
      </c>
      <c r="BC120" s="2"/>
      <c r="BD120" s="2">
        <v>5</v>
      </c>
      <c r="BE120" s="2"/>
      <c r="BF120" s="2"/>
      <c r="BG120" s="2"/>
      <c r="BH120" s="2"/>
      <c r="BI120" s="1">
        <v>2</v>
      </c>
      <c r="BJ120" s="1" t="s">
        <v>813</v>
      </c>
      <c r="BK120" s="1">
        <v>0</v>
      </c>
      <c r="BL120" s="5"/>
      <c r="BM120" s="1">
        <v>29.839310000000001</v>
      </c>
      <c r="BN120" s="1">
        <v>-84.662999999999997</v>
      </c>
      <c r="BO120" s="1">
        <v>0</v>
      </c>
      <c r="BP120" s="5"/>
      <c r="BQ120" s="1">
        <v>0</v>
      </c>
      <c r="BR120" s="5"/>
      <c r="BS120" s="1">
        <v>0</v>
      </c>
      <c r="BT120" s="5"/>
      <c r="BU120" s="1">
        <v>0</v>
      </c>
      <c r="BV120" s="5"/>
      <c r="BW120" s="1">
        <v>9</v>
      </c>
      <c r="BX120" s="1" t="s">
        <v>814</v>
      </c>
      <c r="BY120" s="1">
        <v>0</v>
      </c>
      <c r="BZ120" s="5"/>
      <c r="CA120" s="1">
        <v>29.833909999999999</v>
      </c>
      <c r="CB120" s="1">
        <v>-84.662999999999997</v>
      </c>
      <c r="CC120" s="5"/>
      <c r="CD120" s="1">
        <v>0</v>
      </c>
      <c r="CE120" s="5"/>
      <c r="CF120" s="1">
        <v>0</v>
      </c>
      <c r="CG120" s="5"/>
      <c r="CH120" s="1">
        <v>0</v>
      </c>
      <c r="CI120" s="5"/>
      <c r="CJ120" s="1">
        <v>0</v>
      </c>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1" t="s">
        <v>815</v>
      </c>
    </row>
    <row r="121" spans="1:336" ht="15" x14ac:dyDescent="0.25">
      <c r="A121" s="1" t="s">
        <v>816</v>
      </c>
      <c r="B121" s="5"/>
      <c r="C121" s="5"/>
      <c r="D121" s="5"/>
      <c r="E121" s="5"/>
      <c r="F121" s="3">
        <v>43139</v>
      </c>
      <c r="G121" s="1" t="s">
        <v>817</v>
      </c>
      <c r="H121" s="1" t="s">
        <v>818</v>
      </c>
      <c r="I121" s="1" t="s">
        <v>329</v>
      </c>
      <c r="J121" s="4">
        <v>0.375</v>
      </c>
      <c r="K121" s="1" t="s">
        <v>368</v>
      </c>
      <c r="L121" s="1" t="s">
        <v>364</v>
      </c>
      <c r="M121" s="5"/>
      <c r="N121" s="1" t="s">
        <v>479</v>
      </c>
      <c r="O121" s="2">
        <v>2</v>
      </c>
      <c r="P121" s="2"/>
      <c r="Q121" s="2">
        <v>21</v>
      </c>
      <c r="R121" s="2">
        <v>771</v>
      </c>
      <c r="S121" s="2"/>
      <c r="T121" s="2"/>
      <c r="U121" s="2"/>
      <c r="V121" s="2"/>
      <c r="W121" s="2"/>
      <c r="X121" s="2"/>
      <c r="Y121" s="2">
        <v>51</v>
      </c>
      <c r="Z121" s="2"/>
      <c r="AA121" s="2"/>
      <c r="AB121" s="2">
        <v>1</v>
      </c>
      <c r="AC121" s="2"/>
      <c r="AD121" s="2">
        <v>57</v>
      </c>
      <c r="AE121" s="2">
        <v>83</v>
      </c>
      <c r="AF121" s="2">
        <v>648</v>
      </c>
      <c r="AG121" s="2"/>
      <c r="AH121" s="2"/>
      <c r="AI121" s="2"/>
      <c r="AJ121" s="2"/>
      <c r="AK121" s="2"/>
      <c r="AL121" s="2">
        <v>1</v>
      </c>
      <c r="AM121" s="2">
        <v>1</v>
      </c>
      <c r="AN121" s="2"/>
      <c r="AO121" s="1" t="s">
        <v>819</v>
      </c>
      <c r="AP121" s="2"/>
      <c r="AQ121" s="2">
        <v>276</v>
      </c>
      <c r="AR121" s="2">
        <v>9</v>
      </c>
      <c r="AS121" s="2"/>
      <c r="AT121" s="2">
        <v>25</v>
      </c>
      <c r="AU121" s="2"/>
      <c r="AV121" s="2"/>
      <c r="AW121" s="2">
        <v>12</v>
      </c>
      <c r="AX121" s="2">
        <v>64</v>
      </c>
      <c r="AY121" s="2"/>
      <c r="AZ121" s="2">
        <v>8</v>
      </c>
      <c r="BA121" s="2">
        <v>28</v>
      </c>
      <c r="BB121" s="2">
        <v>398</v>
      </c>
      <c r="BC121" s="2"/>
      <c r="BD121" s="2">
        <v>17</v>
      </c>
      <c r="BE121" s="2">
        <v>80</v>
      </c>
      <c r="BF121" s="2">
        <v>6</v>
      </c>
      <c r="BG121" s="2"/>
      <c r="BH121" s="2"/>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1">
        <v>2</v>
      </c>
      <c r="CM121" s="5"/>
      <c r="CN121" s="1">
        <v>276</v>
      </c>
      <c r="CO121" s="5"/>
      <c r="CP121" s="5"/>
      <c r="CQ121" s="5"/>
      <c r="CR121" s="1" t="s">
        <v>819</v>
      </c>
      <c r="CS121" s="1">
        <v>1</v>
      </c>
      <c r="CT121" s="5"/>
      <c r="CU121" s="1">
        <v>0</v>
      </c>
      <c r="CV121" s="5"/>
      <c r="CW121" s="1">
        <v>0</v>
      </c>
      <c r="CX121" s="5"/>
      <c r="CY121" s="1">
        <v>1</v>
      </c>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row>
    <row r="122" spans="1:336" ht="15" x14ac:dyDescent="0.25">
      <c r="A122" s="1" t="s">
        <v>820</v>
      </c>
      <c r="B122" s="2">
        <v>29.698979999999999</v>
      </c>
      <c r="C122" s="2">
        <v>-85.188999999999993</v>
      </c>
      <c r="D122" s="2">
        <v>29.686679999999999</v>
      </c>
      <c r="E122" s="2">
        <v>-85.173900000000003</v>
      </c>
      <c r="F122" s="3">
        <v>43138</v>
      </c>
      <c r="G122" s="1" t="s">
        <v>373</v>
      </c>
      <c r="H122" s="1" t="s">
        <v>374</v>
      </c>
      <c r="I122" s="1" t="s">
        <v>329</v>
      </c>
      <c r="J122" s="4">
        <v>0.48541666666666666</v>
      </c>
      <c r="K122" s="1" t="s">
        <v>375</v>
      </c>
      <c r="L122" s="1" t="s">
        <v>441</v>
      </c>
      <c r="M122" s="1" t="s">
        <v>821</v>
      </c>
      <c r="N122" s="1" t="s">
        <v>333</v>
      </c>
      <c r="O122" s="2"/>
      <c r="P122" s="2"/>
      <c r="Q122" s="2"/>
      <c r="R122" s="2"/>
      <c r="S122" s="2"/>
      <c r="T122" s="2"/>
      <c r="U122" s="2"/>
      <c r="V122" s="2"/>
      <c r="W122" s="2"/>
      <c r="X122" s="2"/>
      <c r="Y122" s="2"/>
      <c r="Z122" s="2"/>
      <c r="AA122" s="2"/>
      <c r="AB122" s="2"/>
      <c r="AC122" s="2"/>
      <c r="AD122" s="2">
        <v>2</v>
      </c>
      <c r="AE122" s="2">
        <v>6</v>
      </c>
      <c r="AF122" s="2"/>
      <c r="AG122" s="2"/>
      <c r="AH122" s="2"/>
      <c r="AI122" s="2"/>
      <c r="AJ122" s="2"/>
      <c r="AK122" s="2"/>
      <c r="AL122" s="2"/>
      <c r="AM122" s="2"/>
      <c r="AN122" s="2"/>
      <c r="AO122" s="2"/>
      <c r="AP122" s="2"/>
      <c r="AQ122" s="2"/>
      <c r="AR122" s="2"/>
      <c r="AS122" s="2"/>
      <c r="AT122" s="2">
        <v>17</v>
      </c>
      <c r="AU122" s="2">
        <v>2</v>
      </c>
      <c r="AV122" s="2"/>
      <c r="AW122" s="2">
        <v>131</v>
      </c>
      <c r="AX122" s="2">
        <v>7</v>
      </c>
      <c r="AY122" s="2"/>
      <c r="AZ122" s="2"/>
      <c r="BA122" s="2">
        <v>1</v>
      </c>
      <c r="BB122" s="2"/>
      <c r="BC122" s="2"/>
      <c r="BD122" s="2">
        <v>1</v>
      </c>
      <c r="BE122" s="2">
        <v>1</v>
      </c>
      <c r="BF122" s="2"/>
      <c r="BG122" s="2"/>
      <c r="BH122" s="2">
        <v>40</v>
      </c>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row>
    <row r="123" spans="1:336" ht="15" x14ac:dyDescent="0.25">
      <c r="A123" s="1" t="s">
        <v>822</v>
      </c>
      <c r="B123" s="2">
        <v>29.682009999999998</v>
      </c>
      <c r="C123" s="2">
        <v>-85.242099999999994</v>
      </c>
      <c r="D123" s="2">
        <v>29.696670000000001</v>
      </c>
      <c r="E123" s="2">
        <v>-85.196700000000007</v>
      </c>
      <c r="F123" s="3">
        <v>43138</v>
      </c>
      <c r="G123" s="1" t="s">
        <v>823</v>
      </c>
      <c r="H123" s="1" t="s">
        <v>824</v>
      </c>
      <c r="I123" s="1" t="s">
        <v>329</v>
      </c>
      <c r="J123" s="4">
        <v>0.42708333333333331</v>
      </c>
      <c r="K123" s="1" t="s">
        <v>375</v>
      </c>
      <c r="L123" s="1" t="s">
        <v>369</v>
      </c>
      <c r="M123" s="5"/>
      <c r="N123" s="1" t="s">
        <v>333</v>
      </c>
      <c r="O123" s="2">
        <v>17</v>
      </c>
      <c r="P123" s="2"/>
      <c r="Q123" s="2">
        <v>2</v>
      </c>
      <c r="R123" s="2">
        <v>34</v>
      </c>
      <c r="S123" s="2">
        <v>12</v>
      </c>
      <c r="T123" s="2"/>
      <c r="U123" s="2"/>
      <c r="V123" s="2">
        <v>2</v>
      </c>
      <c r="W123" s="2"/>
      <c r="X123" s="2">
        <v>11</v>
      </c>
      <c r="Y123" s="2"/>
      <c r="Z123" s="2"/>
      <c r="AA123" s="2"/>
      <c r="AB123" s="2"/>
      <c r="AC123" s="2"/>
      <c r="AD123" s="2">
        <v>3</v>
      </c>
      <c r="AE123" s="2"/>
      <c r="AF123" s="2"/>
      <c r="AG123" s="2"/>
      <c r="AH123" s="2"/>
      <c r="AI123" s="2"/>
      <c r="AJ123" s="2"/>
      <c r="AK123" s="2"/>
      <c r="AL123" s="2">
        <v>13</v>
      </c>
      <c r="AM123" s="2"/>
      <c r="AN123" s="2"/>
      <c r="AO123" s="2"/>
      <c r="AP123" s="2"/>
      <c r="AQ123" s="2"/>
      <c r="AR123" s="2">
        <v>3</v>
      </c>
      <c r="AS123" s="2"/>
      <c r="AT123" s="2">
        <v>14</v>
      </c>
      <c r="AU123" s="2"/>
      <c r="AV123" s="2"/>
      <c r="AW123" s="2"/>
      <c r="AX123" s="2">
        <v>35</v>
      </c>
      <c r="AY123" s="2"/>
      <c r="AZ123" s="2"/>
      <c r="BA123" s="2"/>
      <c r="BB123" s="2">
        <v>3</v>
      </c>
      <c r="BC123" s="2"/>
      <c r="BD123" s="2"/>
      <c r="BE123" s="2"/>
      <c r="BF123" s="2"/>
      <c r="BG123" s="2"/>
      <c r="BH123" s="2">
        <v>8</v>
      </c>
      <c r="BI123" s="1">
        <v>5</v>
      </c>
      <c r="BJ123" s="1">
        <v>0</v>
      </c>
      <c r="BK123" s="1">
        <v>0</v>
      </c>
      <c r="BL123" s="1">
        <v>0</v>
      </c>
      <c r="BM123" s="1">
        <v>29.690550000000002</v>
      </c>
      <c r="BN123" s="1">
        <v>-85.209699999999998</v>
      </c>
      <c r="BO123" s="1">
        <v>0</v>
      </c>
      <c r="BP123" s="1">
        <v>0</v>
      </c>
      <c r="BQ123" s="1">
        <v>0</v>
      </c>
      <c r="BR123" s="1">
        <v>0</v>
      </c>
      <c r="BS123" s="1">
        <v>0</v>
      </c>
      <c r="BT123" s="1">
        <v>0</v>
      </c>
      <c r="BU123" s="1">
        <v>0</v>
      </c>
      <c r="BV123" s="1">
        <v>0</v>
      </c>
      <c r="BW123" s="1">
        <v>3</v>
      </c>
      <c r="BX123" s="1">
        <v>0</v>
      </c>
      <c r="BY123" s="1">
        <v>0</v>
      </c>
      <c r="BZ123" s="1">
        <v>0</v>
      </c>
      <c r="CA123" s="1">
        <v>29.69436</v>
      </c>
      <c r="CB123" s="1">
        <v>-85.203599999999994</v>
      </c>
      <c r="CC123" s="1">
        <v>0</v>
      </c>
      <c r="CD123" s="1">
        <v>0</v>
      </c>
      <c r="CE123" s="1">
        <v>0</v>
      </c>
      <c r="CF123" s="1">
        <v>0</v>
      </c>
      <c r="CG123" s="1">
        <v>0</v>
      </c>
      <c r="CH123" s="1">
        <v>0</v>
      </c>
      <c r="CI123" s="1">
        <v>0</v>
      </c>
      <c r="CJ123" s="1">
        <v>0</v>
      </c>
      <c r="CK123" s="1">
        <v>0</v>
      </c>
      <c r="CL123" s="1">
        <v>2</v>
      </c>
      <c r="CM123" s="1">
        <v>0</v>
      </c>
      <c r="CN123" s="1">
        <v>0</v>
      </c>
      <c r="CO123" s="1">
        <v>0</v>
      </c>
      <c r="CP123" s="1">
        <v>29.693629999999999</v>
      </c>
      <c r="CQ123" s="1">
        <v>-85.208699999999993</v>
      </c>
      <c r="CR123" s="1">
        <v>0</v>
      </c>
      <c r="CS123" s="1">
        <v>0</v>
      </c>
      <c r="CT123" s="1">
        <v>0</v>
      </c>
      <c r="CU123" s="1">
        <v>0</v>
      </c>
      <c r="CV123" s="1">
        <v>0</v>
      </c>
      <c r="CW123" s="1">
        <v>0</v>
      </c>
      <c r="CX123" s="1">
        <v>0</v>
      </c>
      <c r="CY123" s="1">
        <v>0</v>
      </c>
      <c r="CZ123" s="1">
        <v>0</v>
      </c>
      <c r="DA123" s="1">
        <v>6</v>
      </c>
      <c r="DB123" s="1">
        <v>0</v>
      </c>
      <c r="DC123" s="1">
        <v>0</v>
      </c>
      <c r="DD123" s="1">
        <v>0</v>
      </c>
      <c r="DE123" s="1">
        <v>29.69059</v>
      </c>
      <c r="DF123" s="1">
        <v>-85.221100000000007</v>
      </c>
      <c r="DG123" s="1">
        <v>0</v>
      </c>
      <c r="DH123" s="1">
        <v>0</v>
      </c>
      <c r="DI123" s="1">
        <v>0</v>
      </c>
      <c r="DJ123" s="1">
        <v>0</v>
      </c>
      <c r="DK123" s="1">
        <v>0</v>
      </c>
      <c r="DL123" s="1">
        <v>0</v>
      </c>
      <c r="DM123" s="1">
        <v>0</v>
      </c>
      <c r="DN123" s="1">
        <v>0</v>
      </c>
      <c r="DO123" s="1">
        <v>0</v>
      </c>
      <c r="DP123" s="1">
        <v>1</v>
      </c>
      <c r="DQ123" s="1">
        <v>0</v>
      </c>
      <c r="DR123" s="1">
        <v>0</v>
      </c>
      <c r="DS123" s="1">
        <v>0</v>
      </c>
      <c r="DT123" s="1">
        <v>29.68749</v>
      </c>
      <c r="DU123" s="1">
        <v>-85.196700000000007</v>
      </c>
      <c r="DV123" s="1">
        <v>0</v>
      </c>
      <c r="DW123" s="1">
        <v>0</v>
      </c>
      <c r="DX123" s="1">
        <v>0</v>
      </c>
      <c r="DY123" s="1">
        <v>0</v>
      </c>
      <c r="DZ123" s="1">
        <v>0</v>
      </c>
      <c r="EA123" s="1">
        <v>0</v>
      </c>
      <c r="EB123" s="1">
        <v>0</v>
      </c>
      <c r="EC123" s="1">
        <v>0</v>
      </c>
      <c r="ED123" s="1">
        <v>0</v>
      </c>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1">
        <v>0</v>
      </c>
    </row>
    <row r="124" spans="1:336" ht="15" x14ac:dyDescent="0.25">
      <c r="A124" s="1" t="s">
        <v>825</v>
      </c>
      <c r="B124" s="2">
        <v>29.683520000000001</v>
      </c>
      <c r="C124" s="2">
        <v>-85.2226</v>
      </c>
      <c r="D124" s="2">
        <v>29.675909999999998</v>
      </c>
      <c r="E124" s="2">
        <v>-85.333699999999993</v>
      </c>
      <c r="F124" s="3">
        <v>43136</v>
      </c>
      <c r="G124" s="1" t="s">
        <v>823</v>
      </c>
      <c r="H124" s="1" t="s">
        <v>824</v>
      </c>
      <c r="I124" s="1" t="s">
        <v>329</v>
      </c>
      <c r="J124" s="4">
        <v>0.375</v>
      </c>
      <c r="K124" s="1" t="s">
        <v>368</v>
      </c>
      <c r="L124" s="1" t="s">
        <v>364</v>
      </c>
      <c r="M124" s="1" t="s">
        <v>826</v>
      </c>
      <c r="N124" s="1" t="s">
        <v>333</v>
      </c>
      <c r="O124" s="2"/>
      <c r="P124" s="2"/>
      <c r="Q124" s="2"/>
      <c r="R124" s="2"/>
      <c r="S124" s="2"/>
      <c r="T124" s="2">
        <v>2</v>
      </c>
      <c r="U124" s="2"/>
      <c r="V124" s="2"/>
      <c r="W124" s="2"/>
      <c r="X124" s="2"/>
      <c r="Y124" s="2"/>
      <c r="Z124" s="2"/>
      <c r="AA124" s="2"/>
      <c r="AB124" s="2"/>
      <c r="AC124" s="2"/>
      <c r="AD124" s="2">
        <v>13</v>
      </c>
      <c r="AE124" s="2">
        <v>50</v>
      </c>
      <c r="AF124" s="2"/>
      <c r="AG124" s="2"/>
      <c r="AH124" s="2"/>
      <c r="AI124" s="2"/>
      <c r="AJ124" s="2"/>
      <c r="AK124" s="2"/>
      <c r="AL124" s="2">
        <v>14</v>
      </c>
      <c r="AM124" s="2"/>
      <c r="AN124" s="2"/>
      <c r="AO124" s="2"/>
      <c r="AP124" s="2"/>
      <c r="AQ124" s="2"/>
      <c r="AR124" s="2">
        <v>1</v>
      </c>
      <c r="AS124" s="2"/>
      <c r="AT124" s="2">
        <v>1</v>
      </c>
      <c r="AU124" s="2"/>
      <c r="AV124" s="2"/>
      <c r="AW124" s="2"/>
      <c r="AX124" s="2">
        <v>10</v>
      </c>
      <c r="AY124" s="2"/>
      <c r="AZ124" s="2"/>
      <c r="BA124" s="2">
        <v>1</v>
      </c>
      <c r="BB124" s="2">
        <v>4</v>
      </c>
      <c r="BC124" s="2"/>
      <c r="BD124" s="2">
        <v>53</v>
      </c>
      <c r="BE124" s="2"/>
      <c r="BF124" s="2"/>
      <c r="BG124" s="2"/>
      <c r="BH124" s="2"/>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row>
    <row r="125" spans="1:336" ht="15" x14ac:dyDescent="0.25">
      <c r="A125" s="1" t="s">
        <v>827</v>
      </c>
      <c r="B125" s="2">
        <v>27.904199999999999</v>
      </c>
      <c r="C125" s="2">
        <v>-82.8489</v>
      </c>
      <c r="D125" s="2">
        <v>27.871700000000001</v>
      </c>
      <c r="E125" s="2">
        <v>-82.850800000000007</v>
      </c>
      <c r="F125" s="3">
        <v>43133</v>
      </c>
      <c r="G125" s="2">
        <v>2</v>
      </c>
      <c r="H125" s="1" t="s">
        <v>828</v>
      </c>
      <c r="I125" s="1" t="s">
        <v>329</v>
      </c>
      <c r="J125" s="4">
        <v>0.33333333333333331</v>
      </c>
      <c r="K125" s="1" t="s">
        <v>375</v>
      </c>
      <c r="L125" s="1" t="s">
        <v>441</v>
      </c>
      <c r="M125" s="1" t="s">
        <v>829</v>
      </c>
      <c r="N125" s="1" t="s">
        <v>333</v>
      </c>
      <c r="O125" s="2"/>
      <c r="P125" s="2"/>
      <c r="Q125" s="2"/>
      <c r="R125" s="2"/>
      <c r="S125" s="2"/>
      <c r="T125" s="2"/>
      <c r="U125" s="2"/>
      <c r="V125" s="2"/>
      <c r="W125" s="2"/>
      <c r="X125" s="2"/>
      <c r="Y125" s="2"/>
      <c r="Z125" s="2"/>
      <c r="AA125" s="2"/>
      <c r="AB125" s="2"/>
      <c r="AC125" s="2"/>
      <c r="AD125" s="2">
        <v>1</v>
      </c>
      <c r="AE125" s="2">
        <v>1</v>
      </c>
      <c r="AF125" s="2"/>
      <c r="AG125" s="2"/>
      <c r="AH125" s="2"/>
      <c r="AI125" s="2"/>
      <c r="AJ125" s="2"/>
      <c r="AK125" s="2"/>
      <c r="AL125" s="2"/>
      <c r="AM125" s="2"/>
      <c r="AN125" s="2"/>
      <c r="AO125" s="2"/>
      <c r="AP125" s="2"/>
      <c r="AQ125" s="2"/>
      <c r="AR125" s="2">
        <v>21</v>
      </c>
      <c r="AS125" s="2"/>
      <c r="AT125" s="2">
        <v>3</v>
      </c>
      <c r="AU125" s="2"/>
      <c r="AV125" s="2"/>
      <c r="AW125" s="2">
        <v>10</v>
      </c>
      <c r="AX125" s="2">
        <v>7</v>
      </c>
      <c r="AY125" s="2"/>
      <c r="AZ125" s="2"/>
      <c r="BA125" s="2">
        <v>2</v>
      </c>
      <c r="BB125" s="2">
        <v>83</v>
      </c>
      <c r="BC125" s="2">
        <v>1</v>
      </c>
      <c r="BD125" s="2">
        <v>27</v>
      </c>
      <c r="BE125" s="2">
        <v>33</v>
      </c>
      <c r="BF125" s="2"/>
      <c r="BG125" s="2"/>
      <c r="BH125" s="2"/>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row>
    <row r="126" spans="1:336" ht="15" x14ac:dyDescent="0.25">
      <c r="A126" s="1" t="s">
        <v>830</v>
      </c>
      <c r="B126" s="2">
        <v>27.871670000000002</v>
      </c>
      <c r="C126" s="2">
        <v>-82.850700000000003</v>
      </c>
      <c r="D126" s="2">
        <v>27.843129999999999</v>
      </c>
      <c r="E126" s="2">
        <v>-82.841700000000003</v>
      </c>
      <c r="F126" s="3">
        <v>43136</v>
      </c>
      <c r="G126" s="1" t="s">
        <v>831</v>
      </c>
      <c r="H126" s="1" t="s">
        <v>832</v>
      </c>
      <c r="I126" s="1" t="s">
        <v>329</v>
      </c>
      <c r="J126" s="4">
        <v>0.35069444444444442</v>
      </c>
      <c r="K126" s="1" t="s">
        <v>368</v>
      </c>
      <c r="L126" s="1" t="s">
        <v>441</v>
      </c>
      <c r="M126" s="1" t="s">
        <v>833</v>
      </c>
      <c r="N126" s="1" t="s">
        <v>333</v>
      </c>
      <c r="O126" s="2"/>
      <c r="P126" s="2"/>
      <c r="Q126" s="2">
        <v>6</v>
      </c>
      <c r="R126" s="2"/>
      <c r="S126" s="2"/>
      <c r="T126" s="2"/>
      <c r="U126" s="2"/>
      <c r="V126" s="2"/>
      <c r="W126" s="2"/>
      <c r="X126" s="2"/>
      <c r="Y126" s="2"/>
      <c r="Z126" s="2"/>
      <c r="AA126" s="2"/>
      <c r="AB126" s="2"/>
      <c r="AC126" s="2">
        <v>4</v>
      </c>
      <c r="AD126" s="2"/>
      <c r="AE126" s="2">
        <v>53</v>
      </c>
      <c r="AF126" s="2"/>
      <c r="AG126" s="2"/>
      <c r="AH126" s="2"/>
      <c r="AI126" s="2"/>
      <c r="AJ126" s="2"/>
      <c r="AK126" s="2"/>
      <c r="AL126" s="2">
        <v>4</v>
      </c>
      <c r="AM126" s="2"/>
      <c r="AN126" s="2"/>
      <c r="AO126" s="2"/>
      <c r="AP126" s="2"/>
      <c r="AQ126" s="2"/>
      <c r="AR126" s="2">
        <v>50</v>
      </c>
      <c r="AS126" s="2"/>
      <c r="AT126" s="2">
        <v>2</v>
      </c>
      <c r="AU126" s="2"/>
      <c r="AV126" s="2">
        <v>2</v>
      </c>
      <c r="AW126" s="2"/>
      <c r="AX126" s="2">
        <v>22</v>
      </c>
      <c r="AY126" s="2"/>
      <c r="AZ126" s="2"/>
      <c r="BA126" s="2">
        <v>4</v>
      </c>
      <c r="BB126" s="2">
        <v>76</v>
      </c>
      <c r="BC126" s="2">
        <v>5</v>
      </c>
      <c r="BD126" s="2">
        <v>26</v>
      </c>
      <c r="BE126" s="2">
        <v>66</v>
      </c>
      <c r="BF126" s="2">
        <v>3</v>
      </c>
      <c r="BG126" s="2"/>
      <c r="BH126" s="2"/>
      <c r="BI126" s="1">
        <v>0</v>
      </c>
      <c r="BJ126" s="5"/>
      <c r="BK126" s="1">
        <v>0</v>
      </c>
      <c r="BL126" s="5"/>
      <c r="BM126" s="1">
        <v>27.866</v>
      </c>
      <c r="BN126" s="1">
        <v>-82.85</v>
      </c>
      <c r="BO126" s="1">
        <v>0</v>
      </c>
      <c r="BP126" s="5"/>
      <c r="BQ126" s="1">
        <v>4</v>
      </c>
      <c r="BR126" s="1" t="s">
        <v>834</v>
      </c>
      <c r="BS126" s="1">
        <v>0</v>
      </c>
      <c r="BT126" s="5"/>
      <c r="BU126" s="1">
        <v>0</v>
      </c>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1" t="s">
        <v>835</v>
      </c>
    </row>
    <row r="127" spans="1:336" ht="15" x14ac:dyDescent="0.25">
      <c r="A127" s="1" t="s">
        <v>836</v>
      </c>
      <c r="B127" s="2">
        <v>27.845030000000001</v>
      </c>
      <c r="C127" s="2">
        <v>-80.476299999999995</v>
      </c>
      <c r="D127" s="2">
        <v>27.51915</v>
      </c>
      <c r="E127" s="2">
        <v>-80.334900000000005</v>
      </c>
      <c r="F127" s="3">
        <v>43138</v>
      </c>
      <c r="G127" s="1" t="s">
        <v>837</v>
      </c>
      <c r="H127" s="1" t="s">
        <v>838</v>
      </c>
      <c r="I127" s="1" t="s">
        <v>387</v>
      </c>
      <c r="J127" s="4">
        <v>0.47916666666666669</v>
      </c>
      <c r="K127" s="1" t="s">
        <v>375</v>
      </c>
      <c r="L127" s="1" t="s">
        <v>364</v>
      </c>
      <c r="M127" s="1" t="s">
        <v>839</v>
      </c>
      <c r="N127" s="1" t="s">
        <v>333</v>
      </c>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1">
        <v>1</v>
      </c>
      <c r="BJ127" s="5"/>
      <c r="BK127" s="5"/>
      <c r="BL127" s="5"/>
      <c r="BM127" s="1">
        <v>27.834420000000001</v>
      </c>
      <c r="BN127" s="1">
        <v>-80.471500000000006</v>
      </c>
      <c r="BO127" s="5"/>
      <c r="BP127" s="5"/>
      <c r="BQ127" s="5"/>
      <c r="BR127" s="5"/>
      <c r="BS127" s="5"/>
      <c r="BT127" s="5"/>
      <c r="BU127" s="5"/>
      <c r="BV127" s="5"/>
      <c r="BW127" s="5"/>
      <c r="BX127" s="5"/>
      <c r="BY127" s="1">
        <v>2</v>
      </c>
      <c r="BZ127" s="5"/>
      <c r="CA127" s="1">
        <v>27.609459999999999</v>
      </c>
      <c r="CB127" s="1">
        <v>-80.364800000000002</v>
      </c>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row>
    <row r="128" spans="1:336" ht="15" x14ac:dyDescent="0.25">
      <c r="A128" s="1" t="s">
        <v>840</v>
      </c>
      <c r="B128" s="2">
        <v>29.122430000000001</v>
      </c>
      <c r="C128" s="2">
        <v>-80.551000000000002</v>
      </c>
      <c r="D128" s="2">
        <v>28.53511</v>
      </c>
      <c r="E128" s="2">
        <v>-80.510499999999993</v>
      </c>
      <c r="F128" s="3">
        <v>43137</v>
      </c>
      <c r="G128" s="1" t="s">
        <v>841</v>
      </c>
      <c r="H128" s="1" t="s">
        <v>842</v>
      </c>
      <c r="I128" s="1" t="s">
        <v>329</v>
      </c>
      <c r="J128" s="4">
        <v>0.39652777777777776</v>
      </c>
      <c r="K128" s="1" t="s">
        <v>375</v>
      </c>
      <c r="L128" s="1" t="s">
        <v>364</v>
      </c>
      <c r="M128" s="5"/>
      <c r="N128" s="1" t="s">
        <v>333</v>
      </c>
      <c r="O128" s="2">
        <v>1</v>
      </c>
      <c r="P128" s="2"/>
      <c r="Q128" s="2">
        <v>6</v>
      </c>
      <c r="R128" s="2">
        <v>300</v>
      </c>
      <c r="S128" s="2">
        <v>20</v>
      </c>
      <c r="T128" s="2">
        <v>5</v>
      </c>
      <c r="U128" s="2">
        <v>100</v>
      </c>
      <c r="V128" s="2"/>
      <c r="W128" s="2"/>
      <c r="X128" s="2"/>
      <c r="Y128" s="2"/>
      <c r="Z128" s="2"/>
      <c r="AA128" s="2"/>
      <c r="AB128" s="2"/>
      <c r="AC128" s="2"/>
      <c r="AD128" s="2">
        <v>10</v>
      </c>
      <c r="AE128" s="2"/>
      <c r="AF128" s="2">
        <v>2</v>
      </c>
      <c r="AG128" s="2"/>
      <c r="AH128" s="2"/>
      <c r="AI128" s="2"/>
      <c r="AJ128" s="2"/>
      <c r="AK128" s="2"/>
      <c r="AL128" s="2">
        <v>4</v>
      </c>
      <c r="AM128" s="2"/>
      <c r="AN128" s="2"/>
      <c r="AO128" s="2">
        <v>300</v>
      </c>
      <c r="AP128" s="2"/>
      <c r="AQ128" s="2">
        <v>9</v>
      </c>
      <c r="AR128" s="2"/>
      <c r="AS128" s="2"/>
      <c r="AT128" s="2">
        <v>75</v>
      </c>
      <c r="AU128" s="2">
        <v>1</v>
      </c>
      <c r="AV128" s="2"/>
      <c r="AW128" s="2">
        <v>45</v>
      </c>
      <c r="AX128" s="2">
        <v>8</v>
      </c>
      <c r="AY128" s="2"/>
      <c r="AZ128" s="2"/>
      <c r="BA128" s="2"/>
      <c r="BB128" s="2">
        <v>53</v>
      </c>
      <c r="BC128" s="2"/>
      <c r="BD128" s="2">
        <v>67</v>
      </c>
      <c r="BE128" s="2">
        <v>8</v>
      </c>
      <c r="BF128" s="2"/>
      <c r="BG128" s="2"/>
      <c r="BH128" s="2">
        <v>2</v>
      </c>
      <c r="BI128" s="6">
        <v>1</v>
      </c>
      <c r="BJ128" s="6" t="s">
        <v>843</v>
      </c>
      <c r="BK128" s="6">
        <v>0</v>
      </c>
      <c r="BL128" s="7"/>
      <c r="BM128" s="6">
        <v>28.989000000000001</v>
      </c>
      <c r="BN128" s="6">
        <v>-80.900999999999996</v>
      </c>
      <c r="BO128" s="6">
        <v>0</v>
      </c>
      <c r="BP128" s="7"/>
      <c r="BQ128" s="6">
        <v>0</v>
      </c>
      <c r="BR128" s="6">
        <v>0</v>
      </c>
      <c r="BS128" s="6">
        <v>0</v>
      </c>
      <c r="BT128" s="7"/>
      <c r="BU128" s="6">
        <v>0</v>
      </c>
      <c r="BV128" s="6">
        <v>0</v>
      </c>
      <c r="BW128" s="6">
        <v>0</v>
      </c>
      <c r="BX128" s="6">
        <v>0</v>
      </c>
      <c r="BY128" s="6">
        <v>0</v>
      </c>
      <c r="BZ128" s="6">
        <v>0</v>
      </c>
      <c r="CA128" s="6">
        <v>28.53509</v>
      </c>
      <c r="CB128" s="6">
        <v>-80.510499999999993</v>
      </c>
      <c r="CC128" s="6">
        <v>0</v>
      </c>
      <c r="CD128" s="6">
        <v>0</v>
      </c>
      <c r="CE128" s="6">
        <v>0</v>
      </c>
      <c r="CF128" s="6">
        <v>0</v>
      </c>
      <c r="CG128" s="6">
        <v>0</v>
      </c>
      <c r="CH128" s="6">
        <v>0</v>
      </c>
      <c r="CI128" s="6">
        <v>0</v>
      </c>
      <c r="CJ128" s="6">
        <v>0</v>
      </c>
      <c r="CK128" s="6">
        <v>0</v>
      </c>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c r="GO128" s="7"/>
      <c r="GP128" s="7"/>
      <c r="GQ128" s="7"/>
      <c r="GR128" s="7"/>
      <c r="GS128" s="7"/>
      <c r="GT128" s="7"/>
      <c r="GU128" s="7"/>
      <c r="GV128" s="7"/>
      <c r="GW128" s="7"/>
      <c r="GX128" s="7"/>
      <c r="GY128" s="7"/>
      <c r="GZ128" s="7"/>
      <c r="HA128" s="7"/>
      <c r="HB128" s="7"/>
      <c r="HC128" s="7"/>
      <c r="HD128" s="7"/>
      <c r="HE128" s="7"/>
      <c r="HF128" s="7"/>
      <c r="HG128" s="7"/>
      <c r="HH128" s="7"/>
      <c r="HI128" s="7"/>
      <c r="HJ128" s="7"/>
      <c r="HK128" s="7"/>
      <c r="HL128" s="7"/>
      <c r="HM128" s="7"/>
      <c r="HN128" s="7"/>
      <c r="HO128" s="7"/>
      <c r="HP128" s="7"/>
      <c r="HQ128" s="7"/>
      <c r="HR128" s="7"/>
      <c r="HS128" s="7"/>
      <c r="HT128" s="7"/>
      <c r="HU128" s="7"/>
      <c r="HV128" s="7"/>
      <c r="HW128" s="7"/>
      <c r="HX128" s="7"/>
      <c r="HY128" s="7"/>
      <c r="HZ128" s="7"/>
      <c r="IA128" s="7"/>
      <c r="IB128" s="7"/>
      <c r="IC128" s="7"/>
      <c r="ID128" s="7"/>
      <c r="IE128" s="7"/>
      <c r="IF128" s="7"/>
      <c r="IG128" s="7"/>
      <c r="IH128" s="7"/>
      <c r="II128" s="7"/>
      <c r="IJ128" s="7"/>
      <c r="IK128" s="7"/>
      <c r="IL128" s="7"/>
      <c r="IM128" s="7"/>
      <c r="IN128" s="7"/>
      <c r="IO128" s="7"/>
      <c r="IP128" s="7"/>
      <c r="IQ128" s="7"/>
      <c r="IR128" s="7"/>
      <c r="IS128" s="7"/>
      <c r="IT128" s="7"/>
      <c r="IU128" s="7"/>
      <c r="IV128" s="7"/>
      <c r="IW128" s="7"/>
      <c r="IX128" s="7"/>
      <c r="IY128" s="7"/>
      <c r="IZ128" s="7"/>
      <c r="JA128" s="7"/>
      <c r="JB128" s="7"/>
      <c r="JC128" s="7"/>
      <c r="JD128" s="7"/>
      <c r="JE128" s="7"/>
      <c r="JF128" s="7"/>
      <c r="JG128" s="7"/>
      <c r="JH128" s="7"/>
      <c r="JI128" s="7"/>
      <c r="JJ128" s="7"/>
      <c r="JK128" s="7"/>
      <c r="JL128" s="7"/>
      <c r="JM128" s="7"/>
      <c r="JN128" s="7"/>
      <c r="JO128" s="7"/>
      <c r="JP128" s="7"/>
      <c r="JQ128" s="7"/>
      <c r="JR128" s="7"/>
      <c r="JS128" s="7"/>
      <c r="JT128" s="7"/>
      <c r="JU128" s="7"/>
      <c r="JV128" s="7"/>
      <c r="JW128" s="7"/>
      <c r="JX128" s="7"/>
      <c r="JY128" s="7"/>
      <c r="JZ128" s="7"/>
      <c r="KA128" s="7"/>
      <c r="KB128" s="7"/>
      <c r="KC128" s="7"/>
      <c r="KD128" s="7"/>
      <c r="KE128" s="7"/>
      <c r="KF128" s="7"/>
      <c r="KG128" s="7"/>
      <c r="KH128" s="7"/>
      <c r="KI128" s="7"/>
      <c r="KJ128" s="7"/>
      <c r="KK128" s="7"/>
      <c r="KL128" s="7"/>
      <c r="KM128" s="7"/>
      <c r="KN128" s="7"/>
      <c r="KO128" s="7"/>
      <c r="KP128" s="7"/>
      <c r="KQ128" s="7"/>
      <c r="KR128" s="7"/>
      <c r="KS128" s="7"/>
      <c r="KT128" s="7"/>
      <c r="KU128" s="7"/>
      <c r="KV128" s="7"/>
      <c r="KW128" s="7"/>
      <c r="KX128" s="7"/>
      <c r="KY128" s="7"/>
      <c r="KZ128" s="7"/>
      <c r="LA128" s="7"/>
      <c r="LB128" s="7"/>
      <c r="LC128" s="7"/>
      <c r="LD128" s="7"/>
      <c r="LE128" s="7"/>
      <c r="LF128" s="7"/>
      <c r="LG128" s="7"/>
      <c r="LH128" s="7"/>
      <c r="LI128" s="7"/>
      <c r="LJ128" s="7"/>
      <c r="LK128" s="7"/>
      <c r="LL128" s="7"/>
      <c r="LM128" s="7"/>
      <c r="LN128" s="7"/>
      <c r="LO128" s="7"/>
      <c r="LP128" s="7"/>
      <c r="LQ128" s="7"/>
      <c r="LR128" s="7"/>
      <c r="LS128" s="7"/>
      <c r="LT128" s="7"/>
      <c r="LU128" s="7"/>
      <c r="LV128" s="7"/>
      <c r="LW128" s="7"/>
      <c r="LX128" s="6">
        <v>0</v>
      </c>
    </row>
    <row r="129" spans="1:336" ht="15" x14ac:dyDescent="0.25">
      <c r="A129" s="1" t="s">
        <v>844</v>
      </c>
      <c r="B129" s="2">
        <v>29.022110000000001</v>
      </c>
      <c r="C129" s="2">
        <v>-80.921800000000005</v>
      </c>
      <c r="D129" s="2">
        <v>29.938610000000001</v>
      </c>
      <c r="E129" s="2">
        <v>-80.831699999999998</v>
      </c>
      <c r="F129" s="3">
        <v>43137</v>
      </c>
      <c r="G129" s="1" t="s">
        <v>845</v>
      </c>
      <c r="H129" s="1" t="s">
        <v>846</v>
      </c>
      <c r="I129" s="1" t="s">
        <v>329</v>
      </c>
      <c r="J129" s="4">
        <v>0.375</v>
      </c>
      <c r="K129" s="1" t="s">
        <v>368</v>
      </c>
      <c r="L129" s="1" t="s">
        <v>364</v>
      </c>
      <c r="M129" s="1" t="s">
        <v>847</v>
      </c>
      <c r="N129" s="1" t="s">
        <v>333</v>
      </c>
      <c r="O129" s="2"/>
      <c r="P129" s="2"/>
      <c r="Q129" s="2">
        <v>2</v>
      </c>
      <c r="R129" s="2"/>
      <c r="S129" s="2"/>
      <c r="T129" s="2"/>
      <c r="U129" s="2"/>
      <c r="V129" s="2">
        <v>2</v>
      </c>
      <c r="W129" s="2"/>
      <c r="X129" s="2"/>
      <c r="Y129" s="2"/>
      <c r="Z129" s="2"/>
      <c r="AA129" s="2"/>
      <c r="AB129" s="2"/>
      <c r="AC129" s="2"/>
      <c r="AD129" s="2">
        <v>20</v>
      </c>
      <c r="AE129" s="2">
        <v>50</v>
      </c>
      <c r="AF129" s="2">
        <v>25</v>
      </c>
      <c r="AG129" s="2"/>
      <c r="AH129" s="2"/>
      <c r="AI129" s="2">
        <v>1</v>
      </c>
      <c r="AJ129" s="2">
        <v>100</v>
      </c>
      <c r="AK129" s="2"/>
      <c r="AL129" s="2">
        <v>18</v>
      </c>
      <c r="AM129" s="2"/>
      <c r="AN129" s="2"/>
      <c r="AO129" s="2"/>
      <c r="AP129" s="2"/>
      <c r="AQ129" s="2"/>
      <c r="AR129" s="2"/>
      <c r="AS129" s="2"/>
      <c r="AT129" s="2">
        <v>21</v>
      </c>
      <c r="AU129" s="2"/>
      <c r="AV129" s="2"/>
      <c r="AW129" s="2"/>
      <c r="AX129" s="2"/>
      <c r="AY129" s="2"/>
      <c r="AZ129" s="2"/>
      <c r="BA129" s="2">
        <v>2</v>
      </c>
      <c r="BB129" s="2">
        <v>25</v>
      </c>
      <c r="BC129" s="2"/>
      <c r="BD129" s="2">
        <v>90</v>
      </c>
      <c r="BE129" s="2">
        <v>75</v>
      </c>
      <c r="BF129" s="2">
        <v>15</v>
      </c>
      <c r="BG129" s="2"/>
      <c r="BH129" s="2"/>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row>
    <row r="130" spans="1:336" ht="15" x14ac:dyDescent="0.25">
      <c r="A130" s="1" t="s">
        <v>848</v>
      </c>
      <c r="B130" s="2">
        <v>26.81429</v>
      </c>
      <c r="C130" s="2">
        <v>-80.035600000000002</v>
      </c>
      <c r="D130" s="2">
        <v>26.836310000000001</v>
      </c>
      <c r="E130" s="2">
        <v>-80.041200000000003</v>
      </c>
      <c r="F130" s="3">
        <v>43139</v>
      </c>
      <c r="G130" s="1" t="s">
        <v>849</v>
      </c>
      <c r="H130" s="1" t="s">
        <v>850</v>
      </c>
      <c r="I130" s="1" t="s">
        <v>329</v>
      </c>
      <c r="J130" s="4">
        <v>0.53125</v>
      </c>
      <c r="K130" s="1" t="s">
        <v>633</v>
      </c>
      <c r="L130" s="1" t="s">
        <v>441</v>
      </c>
      <c r="M130" s="5"/>
      <c r="N130" s="1" t="s">
        <v>333</v>
      </c>
      <c r="O130" s="2"/>
      <c r="P130" s="2"/>
      <c r="Q130" s="2"/>
      <c r="R130" s="2"/>
      <c r="S130" s="2"/>
      <c r="T130" s="2"/>
      <c r="U130" s="2"/>
      <c r="V130" s="2"/>
      <c r="W130" s="2"/>
      <c r="X130" s="2"/>
      <c r="Y130" s="2"/>
      <c r="Z130" s="2"/>
      <c r="AA130" s="2"/>
      <c r="AB130" s="2"/>
      <c r="AC130" s="2"/>
      <c r="AD130" s="2">
        <v>4</v>
      </c>
      <c r="AE130" s="2">
        <v>9</v>
      </c>
      <c r="AF130" s="2"/>
      <c r="AG130" s="2"/>
      <c r="AH130" s="2"/>
      <c r="AI130" s="2"/>
      <c r="AJ130" s="2"/>
      <c r="AK130" s="2"/>
      <c r="AL130" s="2">
        <v>4</v>
      </c>
      <c r="AM130" s="2"/>
      <c r="AN130" s="2"/>
      <c r="AO130" s="2"/>
      <c r="AP130" s="2"/>
      <c r="AQ130" s="2"/>
      <c r="AR130" s="2"/>
      <c r="AS130" s="2"/>
      <c r="AT130" s="2"/>
      <c r="AU130" s="2"/>
      <c r="AV130" s="2"/>
      <c r="AW130" s="2"/>
      <c r="AX130" s="2"/>
      <c r="AY130" s="2"/>
      <c r="AZ130" s="2"/>
      <c r="BA130" s="2">
        <v>37</v>
      </c>
      <c r="BB130" s="2"/>
      <c r="BC130" s="2">
        <v>29</v>
      </c>
      <c r="BD130" s="2">
        <v>28</v>
      </c>
      <c r="BE130" s="2">
        <v>1</v>
      </c>
      <c r="BF130" s="2"/>
      <c r="BG130" s="2"/>
      <c r="BH130" s="2"/>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c r="GO130" s="7"/>
      <c r="GP130" s="7"/>
      <c r="GQ130" s="7"/>
      <c r="GR130" s="7"/>
      <c r="GS130" s="7"/>
      <c r="GT130" s="7"/>
      <c r="GU130" s="7"/>
      <c r="GV130" s="7"/>
      <c r="GW130" s="7"/>
      <c r="GX130" s="7"/>
      <c r="GY130" s="7"/>
      <c r="GZ130" s="7"/>
      <c r="HA130" s="7"/>
      <c r="HB130" s="7"/>
      <c r="HC130" s="7"/>
      <c r="HD130" s="7"/>
      <c r="HE130" s="7"/>
      <c r="HF130" s="7"/>
      <c r="HG130" s="7"/>
      <c r="HH130" s="7"/>
      <c r="HI130" s="7"/>
      <c r="HJ130" s="7"/>
      <c r="HK130" s="7"/>
      <c r="HL130" s="7"/>
      <c r="HM130" s="7"/>
      <c r="HN130" s="7"/>
      <c r="HO130" s="7"/>
      <c r="HP130" s="7"/>
      <c r="HQ130" s="7"/>
      <c r="HR130" s="7"/>
      <c r="HS130" s="7"/>
      <c r="HT130" s="7"/>
      <c r="HU130" s="7"/>
      <c r="HV130" s="7"/>
      <c r="HW130" s="7"/>
      <c r="HX130" s="7"/>
      <c r="HY130" s="7"/>
      <c r="HZ130" s="7"/>
      <c r="IA130" s="7"/>
      <c r="IB130" s="7"/>
      <c r="IC130" s="7"/>
      <c r="ID130" s="7"/>
      <c r="IE130" s="7"/>
      <c r="IF130" s="7"/>
      <c r="IG130" s="7"/>
      <c r="IH130" s="7"/>
      <c r="II130" s="7"/>
      <c r="IJ130" s="7"/>
      <c r="IK130" s="7"/>
      <c r="IL130" s="7"/>
      <c r="IM130" s="7"/>
      <c r="IN130" s="7"/>
      <c r="IO130" s="7"/>
      <c r="IP130" s="7"/>
      <c r="IQ130" s="7"/>
      <c r="IR130" s="7"/>
      <c r="IS130" s="7"/>
      <c r="IT130" s="7"/>
      <c r="IU130" s="7"/>
      <c r="IV130" s="7"/>
      <c r="IW130" s="7"/>
      <c r="IX130" s="7"/>
      <c r="IY130" s="7"/>
      <c r="IZ130" s="7"/>
      <c r="JA130" s="7"/>
      <c r="JB130" s="7"/>
      <c r="JC130" s="7"/>
      <c r="JD130" s="7"/>
      <c r="JE130" s="7"/>
      <c r="JF130" s="7"/>
      <c r="JG130" s="7"/>
      <c r="JH130" s="7"/>
      <c r="JI130" s="7"/>
      <c r="JJ130" s="7"/>
      <c r="JK130" s="7"/>
      <c r="JL130" s="7"/>
      <c r="JM130" s="7"/>
      <c r="JN130" s="7"/>
      <c r="JO130" s="7"/>
      <c r="JP130" s="7"/>
      <c r="JQ130" s="7"/>
      <c r="JR130" s="7"/>
      <c r="JS130" s="7"/>
      <c r="JT130" s="7"/>
      <c r="JU130" s="7"/>
      <c r="JV130" s="7"/>
      <c r="JW130" s="7"/>
      <c r="JX130" s="7"/>
      <c r="JY130" s="7"/>
      <c r="JZ130" s="7"/>
      <c r="KA130" s="7"/>
      <c r="KB130" s="7"/>
      <c r="KC130" s="7"/>
      <c r="KD130" s="7"/>
      <c r="KE130" s="7"/>
      <c r="KF130" s="7"/>
      <c r="KG130" s="7"/>
      <c r="KH130" s="7"/>
      <c r="KI130" s="7"/>
      <c r="KJ130" s="7"/>
      <c r="KK130" s="7"/>
      <c r="KL130" s="7"/>
      <c r="KM130" s="7"/>
      <c r="KN130" s="7"/>
      <c r="KO130" s="7"/>
      <c r="KP130" s="7"/>
      <c r="KQ130" s="7"/>
      <c r="KR130" s="7"/>
      <c r="KS130" s="7"/>
      <c r="KT130" s="7"/>
      <c r="KU130" s="7"/>
      <c r="KV130" s="7"/>
      <c r="KW130" s="7"/>
      <c r="KX130" s="7"/>
      <c r="KY130" s="7"/>
      <c r="KZ130" s="7"/>
      <c r="LA130" s="7"/>
      <c r="LB130" s="7"/>
      <c r="LC130" s="7"/>
      <c r="LD130" s="7"/>
      <c r="LE130" s="7"/>
      <c r="LF130" s="7"/>
      <c r="LG130" s="7"/>
      <c r="LH130" s="7"/>
      <c r="LI130" s="7"/>
      <c r="LJ130" s="7"/>
      <c r="LK130" s="7"/>
      <c r="LL130" s="7"/>
      <c r="LM130" s="7"/>
      <c r="LN130" s="7"/>
      <c r="LO130" s="7"/>
      <c r="LP130" s="7"/>
      <c r="LQ130" s="7"/>
      <c r="LR130" s="7"/>
      <c r="LS130" s="7"/>
      <c r="LT130" s="7"/>
      <c r="LU130" s="7"/>
      <c r="LV130" s="7"/>
      <c r="LW130" s="7"/>
      <c r="LX130" s="7"/>
    </row>
    <row r="131" spans="1:336" ht="15" x14ac:dyDescent="0.25">
      <c r="A131" s="1" t="s">
        <v>851</v>
      </c>
      <c r="B131" s="2">
        <v>25.25216</v>
      </c>
      <c r="C131" s="2">
        <v>-80.313699999999997</v>
      </c>
      <c r="D131" s="2">
        <v>25.253270000000001</v>
      </c>
      <c r="E131" s="2">
        <v>-80.311400000000006</v>
      </c>
      <c r="F131" s="3">
        <v>43133</v>
      </c>
      <c r="G131" s="1" t="s">
        <v>619</v>
      </c>
      <c r="H131" s="1" t="s">
        <v>620</v>
      </c>
      <c r="I131" s="1" t="s">
        <v>329</v>
      </c>
      <c r="J131" s="4">
        <v>0.38750000000000001</v>
      </c>
      <c r="K131" s="5"/>
      <c r="L131" s="1" t="s">
        <v>364</v>
      </c>
      <c r="M131" s="5"/>
      <c r="N131" s="1" t="s">
        <v>333</v>
      </c>
      <c r="O131" s="2"/>
      <c r="P131" s="2"/>
      <c r="Q131" s="2"/>
      <c r="R131" s="2"/>
      <c r="S131" s="2"/>
      <c r="T131" s="2"/>
      <c r="U131" s="2">
        <v>1</v>
      </c>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c r="GO131" s="7"/>
      <c r="GP131" s="7"/>
      <c r="GQ131" s="7"/>
      <c r="GR131" s="7"/>
      <c r="GS131" s="7"/>
      <c r="GT131" s="7"/>
      <c r="GU131" s="7"/>
      <c r="GV131" s="7"/>
      <c r="GW131" s="7"/>
      <c r="GX131" s="7"/>
      <c r="GY131" s="7"/>
      <c r="GZ131" s="7"/>
      <c r="HA131" s="7"/>
      <c r="HB131" s="7"/>
      <c r="HC131" s="7"/>
      <c r="HD131" s="7"/>
      <c r="HE131" s="7"/>
      <c r="HF131" s="7"/>
      <c r="HG131" s="7"/>
      <c r="HH131" s="7"/>
      <c r="HI131" s="7"/>
      <c r="HJ131" s="7"/>
      <c r="HK131" s="7"/>
      <c r="HL131" s="7"/>
      <c r="HM131" s="7"/>
      <c r="HN131" s="7"/>
      <c r="HO131" s="7"/>
      <c r="HP131" s="7"/>
      <c r="HQ131" s="7"/>
      <c r="HR131" s="7"/>
      <c r="HS131" s="7"/>
      <c r="HT131" s="7"/>
      <c r="HU131" s="7"/>
      <c r="HV131" s="7"/>
      <c r="HW131" s="7"/>
      <c r="HX131" s="7"/>
      <c r="HY131" s="7"/>
      <c r="HZ131" s="7"/>
      <c r="IA131" s="7"/>
      <c r="IB131" s="7"/>
      <c r="IC131" s="7"/>
      <c r="ID131" s="7"/>
      <c r="IE131" s="7"/>
      <c r="IF131" s="7"/>
      <c r="IG131" s="7"/>
      <c r="IH131" s="7"/>
      <c r="II131" s="7"/>
      <c r="IJ131" s="7"/>
      <c r="IK131" s="7"/>
      <c r="IL131" s="7"/>
      <c r="IM131" s="7"/>
      <c r="IN131" s="7"/>
      <c r="IO131" s="7"/>
      <c r="IP131" s="7"/>
      <c r="IQ131" s="7"/>
      <c r="IR131" s="7"/>
      <c r="IS131" s="7"/>
      <c r="IT131" s="7"/>
      <c r="IU131" s="7"/>
      <c r="IV131" s="7"/>
      <c r="IW131" s="7"/>
      <c r="IX131" s="7"/>
      <c r="IY131" s="7"/>
      <c r="IZ131" s="7"/>
      <c r="JA131" s="7"/>
      <c r="JB131" s="7"/>
      <c r="JC131" s="7"/>
      <c r="JD131" s="7"/>
      <c r="JE131" s="7"/>
      <c r="JF131" s="7"/>
      <c r="JG131" s="7"/>
      <c r="JH131" s="7"/>
      <c r="JI131" s="7"/>
      <c r="JJ131" s="7"/>
      <c r="JK131" s="7"/>
      <c r="JL131" s="7"/>
      <c r="JM131" s="7"/>
      <c r="JN131" s="7"/>
      <c r="JO131" s="7"/>
      <c r="JP131" s="7"/>
      <c r="JQ131" s="7"/>
      <c r="JR131" s="7"/>
      <c r="JS131" s="7"/>
      <c r="JT131" s="7"/>
      <c r="JU131" s="7"/>
      <c r="JV131" s="7"/>
      <c r="JW131" s="7"/>
      <c r="JX131" s="7"/>
      <c r="JY131" s="7"/>
      <c r="JZ131" s="7"/>
      <c r="KA131" s="7"/>
      <c r="KB131" s="7"/>
      <c r="KC131" s="7"/>
      <c r="KD131" s="7"/>
      <c r="KE131" s="7"/>
      <c r="KF131" s="7"/>
      <c r="KG131" s="7"/>
      <c r="KH131" s="7"/>
      <c r="KI131" s="7"/>
      <c r="KJ131" s="7"/>
      <c r="KK131" s="7"/>
      <c r="KL131" s="7"/>
      <c r="KM131" s="7"/>
      <c r="KN131" s="7"/>
      <c r="KO131" s="7"/>
      <c r="KP131" s="7"/>
      <c r="KQ131" s="7"/>
      <c r="KR131" s="7"/>
      <c r="KS131" s="7"/>
      <c r="KT131" s="7"/>
      <c r="KU131" s="7"/>
      <c r="KV131" s="7"/>
      <c r="KW131" s="7"/>
      <c r="KX131" s="7"/>
      <c r="KY131" s="7"/>
      <c r="KZ131" s="7"/>
      <c r="LA131" s="7"/>
      <c r="LB131" s="7"/>
      <c r="LC131" s="7"/>
      <c r="LD131" s="7"/>
      <c r="LE131" s="7"/>
      <c r="LF131" s="7"/>
      <c r="LG131" s="7"/>
      <c r="LH131" s="7"/>
      <c r="LI131" s="7"/>
      <c r="LJ131" s="7"/>
      <c r="LK131" s="7"/>
      <c r="LL131" s="7"/>
      <c r="LM131" s="7"/>
      <c r="LN131" s="7"/>
      <c r="LO131" s="7"/>
      <c r="LP131" s="7"/>
      <c r="LQ131" s="7"/>
      <c r="LR131" s="7"/>
      <c r="LS131" s="7"/>
      <c r="LT131" s="7"/>
      <c r="LU131" s="7"/>
      <c r="LV131" s="7"/>
      <c r="LW131" s="7"/>
      <c r="LX131" s="7"/>
    </row>
    <row r="132" spans="1:336" ht="15" x14ac:dyDescent="0.25">
      <c r="A132" s="1" t="s">
        <v>852</v>
      </c>
      <c r="B132" s="2">
        <v>25.124549999999999</v>
      </c>
      <c r="C132" s="2">
        <v>-80.402600000000007</v>
      </c>
      <c r="D132" s="2">
        <v>25.126059999999999</v>
      </c>
      <c r="E132" s="2">
        <v>-80.405500000000004</v>
      </c>
      <c r="F132" s="3">
        <v>43133</v>
      </c>
      <c r="G132" s="1" t="s">
        <v>619</v>
      </c>
      <c r="H132" s="1" t="s">
        <v>620</v>
      </c>
      <c r="I132" s="1" t="s">
        <v>329</v>
      </c>
      <c r="J132" s="4">
        <v>0.34652777777777777</v>
      </c>
      <c r="K132" s="5"/>
      <c r="L132" s="5"/>
      <c r="M132" s="5"/>
      <c r="N132" s="5"/>
      <c r="O132" s="2"/>
      <c r="P132" s="2"/>
      <c r="Q132" s="2"/>
      <c r="R132" s="2"/>
      <c r="S132" s="2"/>
      <c r="T132" s="2"/>
      <c r="U132" s="2">
        <v>1</v>
      </c>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c r="GO132" s="7"/>
      <c r="GP132" s="7"/>
      <c r="GQ132" s="7"/>
      <c r="GR132" s="7"/>
      <c r="GS132" s="7"/>
      <c r="GT132" s="7"/>
      <c r="GU132" s="7"/>
      <c r="GV132" s="7"/>
      <c r="GW132" s="7"/>
      <c r="GX132" s="7"/>
      <c r="GY132" s="7"/>
      <c r="GZ132" s="7"/>
      <c r="HA132" s="7"/>
      <c r="HB132" s="7"/>
      <c r="HC132" s="7"/>
      <c r="HD132" s="7"/>
      <c r="HE132" s="7"/>
      <c r="HF132" s="7"/>
      <c r="HG132" s="7"/>
      <c r="HH132" s="7"/>
      <c r="HI132" s="7"/>
      <c r="HJ132" s="7"/>
      <c r="HK132" s="7"/>
      <c r="HL132" s="7"/>
      <c r="HM132" s="7"/>
      <c r="HN132" s="7"/>
      <c r="HO132" s="7"/>
      <c r="HP132" s="7"/>
      <c r="HQ132" s="7"/>
      <c r="HR132" s="7"/>
      <c r="HS132" s="7"/>
      <c r="HT132" s="7"/>
      <c r="HU132" s="7"/>
      <c r="HV132" s="7"/>
      <c r="HW132" s="7"/>
      <c r="HX132" s="7"/>
      <c r="HY132" s="7"/>
      <c r="HZ132" s="7"/>
      <c r="IA132" s="7"/>
      <c r="IB132" s="7"/>
      <c r="IC132" s="7"/>
      <c r="ID132" s="7"/>
      <c r="IE132" s="7"/>
      <c r="IF132" s="7"/>
      <c r="IG132" s="7"/>
      <c r="IH132" s="7"/>
      <c r="II132" s="7"/>
      <c r="IJ132" s="7"/>
      <c r="IK132" s="7"/>
      <c r="IL132" s="7"/>
      <c r="IM132" s="7"/>
      <c r="IN132" s="7"/>
      <c r="IO132" s="7"/>
      <c r="IP132" s="7"/>
      <c r="IQ132" s="7"/>
      <c r="IR132" s="7"/>
      <c r="IS132" s="7"/>
      <c r="IT132" s="7"/>
      <c r="IU132" s="7"/>
      <c r="IV132" s="7"/>
      <c r="IW132" s="7"/>
      <c r="IX132" s="7"/>
      <c r="IY132" s="7"/>
      <c r="IZ132" s="7"/>
      <c r="JA132" s="7"/>
      <c r="JB132" s="7"/>
      <c r="JC132" s="7"/>
      <c r="JD132" s="7"/>
      <c r="JE132" s="7"/>
      <c r="JF132" s="7"/>
      <c r="JG132" s="7"/>
      <c r="JH132" s="7"/>
      <c r="JI132" s="7"/>
      <c r="JJ132" s="7"/>
      <c r="JK132" s="7"/>
      <c r="JL132" s="7"/>
      <c r="JM132" s="7"/>
      <c r="JN132" s="7"/>
      <c r="JO132" s="7"/>
      <c r="JP132" s="7"/>
      <c r="JQ132" s="7"/>
      <c r="JR132" s="7"/>
      <c r="JS132" s="7"/>
      <c r="JT132" s="7"/>
      <c r="JU132" s="7"/>
      <c r="JV132" s="7"/>
      <c r="JW132" s="7"/>
      <c r="JX132" s="7"/>
      <c r="JY132" s="7"/>
      <c r="JZ132" s="7"/>
      <c r="KA132" s="7"/>
      <c r="KB132" s="7"/>
      <c r="KC132" s="7"/>
      <c r="KD132" s="7"/>
      <c r="KE132" s="7"/>
      <c r="KF132" s="7"/>
      <c r="KG132" s="7"/>
      <c r="KH132" s="7"/>
      <c r="KI132" s="7"/>
      <c r="KJ132" s="7"/>
      <c r="KK132" s="7"/>
      <c r="KL132" s="7"/>
      <c r="KM132" s="7"/>
      <c r="KN132" s="7"/>
      <c r="KO132" s="7"/>
      <c r="KP132" s="7"/>
      <c r="KQ132" s="7"/>
      <c r="KR132" s="7"/>
      <c r="KS132" s="7"/>
      <c r="KT132" s="7"/>
      <c r="KU132" s="7"/>
      <c r="KV132" s="7"/>
      <c r="KW132" s="7"/>
      <c r="KX132" s="7"/>
      <c r="KY132" s="7"/>
      <c r="KZ132" s="7"/>
      <c r="LA132" s="7"/>
      <c r="LB132" s="7"/>
      <c r="LC132" s="7"/>
      <c r="LD132" s="7"/>
      <c r="LE132" s="7"/>
      <c r="LF132" s="7"/>
      <c r="LG132" s="7"/>
      <c r="LH132" s="7"/>
      <c r="LI132" s="7"/>
      <c r="LJ132" s="7"/>
      <c r="LK132" s="7"/>
      <c r="LL132" s="7"/>
      <c r="LM132" s="7"/>
      <c r="LN132" s="7"/>
      <c r="LO132" s="7"/>
      <c r="LP132" s="7"/>
      <c r="LQ132" s="7"/>
      <c r="LR132" s="7"/>
      <c r="LS132" s="7"/>
      <c r="LT132" s="7"/>
      <c r="LU132" s="7"/>
      <c r="LV132" s="7"/>
      <c r="LW132" s="7"/>
      <c r="LX132" s="7"/>
    </row>
    <row r="133" spans="1:336" ht="15" x14ac:dyDescent="0.25">
      <c r="A133" s="1" t="s">
        <v>853</v>
      </c>
      <c r="B133" s="2">
        <v>26.943429999999999</v>
      </c>
      <c r="C133" s="2">
        <v>-80.071299999999994</v>
      </c>
      <c r="D133" s="2">
        <v>26.836500000000001</v>
      </c>
      <c r="E133" s="2">
        <v>-80.041200000000003</v>
      </c>
      <c r="F133" s="3">
        <v>43137</v>
      </c>
      <c r="G133" s="1" t="s">
        <v>854</v>
      </c>
      <c r="H133" s="1" t="s">
        <v>855</v>
      </c>
      <c r="I133" s="1" t="s">
        <v>329</v>
      </c>
      <c r="J133" s="4">
        <v>0.35069444444444442</v>
      </c>
      <c r="K133" s="1" t="s">
        <v>330</v>
      </c>
      <c r="L133" s="1" t="s">
        <v>331</v>
      </c>
      <c r="M133" s="5"/>
      <c r="N133" s="1" t="s">
        <v>333</v>
      </c>
      <c r="O133" s="2"/>
      <c r="P133" s="2"/>
      <c r="Q133" s="2">
        <v>14</v>
      </c>
      <c r="R133" s="2"/>
      <c r="S133" s="2"/>
      <c r="T133" s="2"/>
      <c r="U133" s="2"/>
      <c r="V133" s="2"/>
      <c r="W133" s="2"/>
      <c r="X133" s="2"/>
      <c r="Y133" s="2"/>
      <c r="Z133" s="2"/>
      <c r="AA133" s="2"/>
      <c r="AB133" s="2">
        <v>1</v>
      </c>
      <c r="AC133" s="2"/>
      <c r="AD133" s="2">
        <v>44</v>
      </c>
      <c r="AE133" s="2">
        <v>151</v>
      </c>
      <c r="AF133" s="2"/>
      <c r="AG133" s="2"/>
      <c r="AH133" s="2"/>
      <c r="AI133" s="2"/>
      <c r="AJ133" s="2"/>
      <c r="AK133" s="2"/>
      <c r="AL133" s="2">
        <v>9</v>
      </c>
      <c r="AM133" s="2"/>
      <c r="AN133" s="2"/>
      <c r="AO133" s="2"/>
      <c r="AP133" s="2"/>
      <c r="AQ133" s="2"/>
      <c r="AR133" s="2"/>
      <c r="AS133" s="2"/>
      <c r="AT133" s="2"/>
      <c r="AU133" s="2"/>
      <c r="AV133" s="2"/>
      <c r="AW133" s="2"/>
      <c r="AX133" s="2"/>
      <c r="AY133" s="2"/>
      <c r="AZ133" s="2"/>
      <c r="BA133" s="2"/>
      <c r="BB133" s="2">
        <v>9</v>
      </c>
      <c r="BC133" s="2"/>
      <c r="BD133" s="2">
        <v>50</v>
      </c>
      <c r="BE133" s="2">
        <v>3</v>
      </c>
      <c r="BF133" s="2"/>
      <c r="BG133" s="2"/>
      <c r="BH133" s="2"/>
      <c r="BI133" s="5"/>
      <c r="BJ133" s="5"/>
      <c r="BK133" s="5"/>
      <c r="BL133" s="5"/>
      <c r="BM133" s="1">
        <v>26.863510000000002</v>
      </c>
      <c r="BN133" s="1">
        <v>-80.047499999999999</v>
      </c>
      <c r="BO133" s="1">
        <v>1</v>
      </c>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c r="LV133" s="5"/>
      <c r="LW133" s="5"/>
      <c r="LX133" s="5"/>
    </row>
    <row r="134" spans="1:336" ht="15" x14ac:dyDescent="0.25">
      <c r="A134" s="1" t="s">
        <v>856</v>
      </c>
      <c r="B134" s="2">
        <v>25.987939999999998</v>
      </c>
      <c r="C134" s="2">
        <v>-81.749200000000002</v>
      </c>
      <c r="D134" s="2">
        <v>26.091729999999998</v>
      </c>
      <c r="E134" s="2">
        <v>-81.802599999999998</v>
      </c>
      <c r="F134" s="3">
        <v>43137</v>
      </c>
      <c r="G134" s="1" t="s">
        <v>566</v>
      </c>
      <c r="H134" s="1" t="s">
        <v>567</v>
      </c>
      <c r="I134" s="1" t="s">
        <v>329</v>
      </c>
      <c r="J134" s="4">
        <v>0.34722222222222221</v>
      </c>
      <c r="K134" s="1" t="s">
        <v>375</v>
      </c>
      <c r="L134" s="1" t="s">
        <v>364</v>
      </c>
      <c r="M134" s="5"/>
      <c r="N134" s="1" t="s">
        <v>333</v>
      </c>
      <c r="O134" s="2"/>
      <c r="P134" s="2"/>
      <c r="Q134" s="2">
        <v>32</v>
      </c>
      <c r="R134" s="2"/>
      <c r="S134" s="2"/>
      <c r="T134" s="2"/>
      <c r="U134" s="2"/>
      <c r="V134" s="2"/>
      <c r="W134" s="2"/>
      <c r="X134" s="2"/>
      <c r="Y134" s="2"/>
      <c r="Z134" s="2"/>
      <c r="AA134" s="2"/>
      <c r="AB134" s="2"/>
      <c r="AC134" s="2"/>
      <c r="AD134" s="2">
        <v>24</v>
      </c>
      <c r="AE134" s="2">
        <v>378</v>
      </c>
      <c r="AF134" s="2"/>
      <c r="AG134" s="2"/>
      <c r="AH134" s="2"/>
      <c r="AI134" s="2"/>
      <c r="AJ134" s="2"/>
      <c r="AK134" s="2"/>
      <c r="AL134" s="2">
        <v>5</v>
      </c>
      <c r="AM134" s="2"/>
      <c r="AN134" s="2"/>
      <c r="AO134" s="2"/>
      <c r="AP134" s="2"/>
      <c r="AQ134" s="2">
        <v>10</v>
      </c>
      <c r="AR134" s="2"/>
      <c r="AS134" s="2"/>
      <c r="AT134" s="2">
        <v>240</v>
      </c>
      <c r="AU134" s="2"/>
      <c r="AV134" s="2"/>
      <c r="AW134" s="2">
        <v>64</v>
      </c>
      <c r="AX134" s="2"/>
      <c r="AY134" s="2"/>
      <c r="AZ134" s="2"/>
      <c r="BA134" s="2">
        <v>26</v>
      </c>
      <c r="BB134" s="2">
        <v>17</v>
      </c>
      <c r="BC134" s="2"/>
      <c r="BD134" s="2">
        <v>6</v>
      </c>
      <c r="BE134" s="2">
        <v>190</v>
      </c>
      <c r="BF134" s="2"/>
      <c r="BG134" s="2"/>
      <c r="BH134" s="2"/>
      <c r="BI134" s="1">
        <v>0</v>
      </c>
      <c r="BJ134" s="5"/>
      <c r="BK134" s="1">
        <v>10</v>
      </c>
      <c r="BL134" s="5"/>
      <c r="BM134" s="1">
        <v>25.991299999999999</v>
      </c>
      <c r="BN134" s="1">
        <v>-81.752200000000002</v>
      </c>
      <c r="BO134" s="1">
        <v>0</v>
      </c>
      <c r="BP134" s="5"/>
      <c r="BQ134" s="1">
        <v>0</v>
      </c>
      <c r="BR134" s="5"/>
      <c r="BS134" s="1">
        <v>0</v>
      </c>
      <c r="BT134" s="5"/>
      <c r="BU134" s="1">
        <v>0</v>
      </c>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5"/>
      <c r="LI134" s="5"/>
      <c r="LJ134" s="5"/>
      <c r="LK134" s="5"/>
      <c r="LL134" s="5"/>
      <c r="LM134" s="5"/>
      <c r="LN134" s="5"/>
      <c r="LO134" s="5"/>
      <c r="LP134" s="5"/>
      <c r="LQ134" s="5"/>
      <c r="LR134" s="5"/>
      <c r="LS134" s="5"/>
      <c r="LT134" s="5"/>
      <c r="LU134" s="5"/>
      <c r="LV134" s="5"/>
      <c r="LW134" s="5"/>
      <c r="LX134" s="5"/>
    </row>
    <row r="135" spans="1:336" ht="15" x14ac:dyDescent="0.25">
      <c r="A135" s="1" t="s">
        <v>857</v>
      </c>
      <c r="B135" s="2">
        <v>25.89508</v>
      </c>
      <c r="C135" s="2">
        <v>-81.711100000000002</v>
      </c>
      <c r="D135" s="2">
        <v>25.906590000000001</v>
      </c>
      <c r="E135" s="2">
        <v>-81.695099999999996</v>
      </c>
      <c r="F135" s="3">
        <v>43138</v>
      </c>
      <c r="G135" s="1" t="s">
        <v>566</v>
      </c>
      <c r="H135" s="1" t="s">
        <v>567</v>
      </c>
      <c r="I135" s="1" t="s">
        <v>329</v>
      </c>
      <c r="J135" s="4">
        <v>0.46875</v>
      </c>
      <c r="K135" s="1" t="s">
        <v>375</v>
      </c>
      <c r="L135" s="1" t="s">
        <v>369</v>
      </c>
      <c r="M135" s="5"/>
      <c r="N135" s="1" t="s">
        <v>333</v>
      </c>
      <c r="O135" s="2">
        <v>6</v>
      </c>
      <c r="P135" s="2"/>
      <c r="Q135" s="2">
        <v>1</v>
      </c>
      <c r="R135" s="2">
        <v>220</v>
      </c>
      <c r="S135" s="2"/>
      <c r="T135" s="2"/>
      <c r="U135" s="2"/>
      <c r="V135" s="2"/>
      <c r="W135" s="2"/>
      <c r="X135" s="2"/>
      <c r="Y135" s="2">
        <v>114</v>
      </c>
      <c r="Z135" s="2"/>
      <c r="AA135" s="2">
        <v>16</v>
      </c>
      <c r="AB135" s="2"/>
      <c r="AC135" s="2"/>
      <c r="AD135" s="2">
        <v>1</v>
      </c>
      <c r="AE135" s="2">
        <v>100</v>
      </c>
      <c r="AF135" s="2"/>
      <c r="AG135" s="2"/>
      <c r="AH135" s="2"/>
      <c r="AI135" s="2"/>
      <c r="AJ135" s="2"/>
      <c r="AK135" s="2"/>
      <c r="AL135" s="2">
        <v>758</v>
      </c>
      <c r="AM135" s="2"/>
      <c r="AN135" s="2"/>
      <c r="AO135" s="2"/>
      <c r="AP135" s="2"/>
      <c r="AQ135" s="2">
        <v>181</v>
      </c>
      <c r="AR135" s="2"/>
      <c r="AS135" s="2"/>
      <c r="AT135" s="2">
        <v>114</v>
      </c>
      <c r="AU135" s="2"/>
      <c r="AV135" s="2"/>
      <c r="AW135" s="2"/>
      <c r="AX135" s="2"/>
      <c r="AY135" s="2"/>
      <c r="AZ135" s="2"/>
      <c r="BA135" s="2">
        <v>1</v>
      </c>
      <c r="BB135" s="2">
        <v>11</v>
      </c>
      <c r="BC135" s="2">
        <v>1</v>
      </c>
      <c r="BD135" s="2">
        <v>2</v>
      </c>
      <c r="BE135" s="2">
        <v>670</v>
      </c>
      <c r="BF135" s="2"/>
      <c r="BG135" s="2"/>
      <c r="BH135" s="2">
        <v>9</v>
      </c>
      <c r="BI135" s="1">
        <v>6</v>
      </c>
      <c r="BJ135" s="5"/>
      <c r="BK135" s="1">
        <v>0</v>
      </c>
      <c r="BL135" s="5"/>
      <c r="BM135" s="1">
        <v>25.907450000000001</v>
      </c>
      <c r="BN135" s="1">
        <v>-81.696299999999994</v>
      </c>
      <c r="BO135" s="1">
        <v>0</v>
      </c>
      <c r="BP135" s="5"/>
      <c r="BQ135" s="1">
        <v>0</v>
      </c>
      <c r="BR135" s="5"/>
      <c r="BS135" s="1">
        <v>0</v>
      </c>
      <c r="BT135" s="5"/>
      <c r="BU135" s="1">
        <v>0</v>
      </c>
      <c r="BV135" s="5"/>
      <c r="BW135" s="1">
        <v>0</v>
      </c>
      <c r="BX135" s="5"/>
      <c r="BY135" s="1">
        <v>138</v>
      </c>
      <c r="BZ135" s="5"/>
      <c r="CA135" s="1">
        <v>25.901140000000002</v>
      </c>
      <c r="CB135" s="1">
        <v>-81.723500000000001</v>
      </c>
      <c r="CC135" s="5"/>
      <c r="CD135" s="1">
        <v>0</v>
      </c>
      <c r="CE135" s="5"/>
      <c r="CF135" s="1">
        <v>0</v>
      </c>
      <c r="CG135" s="5"/>
      <c r="CH135" s="1">
        <v>0</v>
      </c>
      <c r="CI135" s="5"/>
      <c r="CJ135" s="1">
        <v>0</v>
      </c>
      <c r="CK135" s="5"/>
      <c r="CL135" s="1">
        <v>0</v>
      </c>
      <c r="CM135" s="5"/>
      <c r="CN135" s="1">
        <v>43</v>
      </c>
      <c r="CO135" s="5"/>
      <c r="CP135" s="1">
        <v>25.89565</v>
      </c>
      <c r="CQ135" s="1">
        <v>-81.712199999999996</v>
      </c>
      <c r="CR135" s="5"/>
      <c r="CS135" s="1">
        <v>0</v>
      </c>
      <c r="CT135" s="5"/>
      <c r="CU135" s="1">
        <v>0</v>
      </c>
      <c r="CV135" s="5"/>
      <c r="CW135" s="1">
        <v>0</v>
      </c>
      <c r="CX135" s="5"/>
      <c r="CY135" s="1">
        <v>0</v>
      </c>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c r="LV135" s="5"/>
      <c r="LW135" s="5"/>
      <c r="LX135" s="5"/>
    </row>
    <row r="136" spans="1:336" ht="15" x14ac:dyDescent="0.25">
      <c r="A136" s="1" t="s">
        <v>858</v>
      </c>
      <c r="B136" s="2">
        <v>26.884989999999998</v>
      </c>
      <c r="C136" s="2">
        <v>-82.335400000000007</v>
      </c>
      <c r="D136" s="2">
        <v>26.871639999999999</v>
      </c>
      <c r="E136" s="2">
        <v>-82.322000000000003</v>
      </c>
      <c r="F136" s="3">
        <v>43133</v>
      </c>
      <c r="G136" s="1" t="s">
        <v>859</v>
      </c>
      <c r="H136" s="1" t="s">
        <v>482</v>
      </c>
      <c r="I136" s="1" t="s">
        <v>329</v>
      </c>
      <c r="J136" s="4">
        <v>0.44791666666666669</v>
      </c>
      <c r="K136" s="5"/>
      <c r="L136" s="1" t="s">
        <v>441</v>
      </c>
      <c r="M136" s="1" t="s">
        <v>860</v>
      </c>
      <c r="N136" s="1" t="s">
        <v>333</v>
      </c>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row>
    <row r="137" spans="1:336" ht="15" x14ac:dyDescent="0.25">
      <c r="A137" s="1" t="s">
        <v>858</v>
      </c>
      <c r="B137" s="2">
        <v>26.898040000000002</v>
      </c>
      <c r="C137" s="2">
        <v>-82.338700000000003</v>
      </c>
      <c r="D137" s="2">
        <v>26.880759999999999</v>
      </c>
      <c r="E137" s="2">
        <v>-82.329800000000006</v>
      </c>
      <c r="F137" s="3">
        <v>43139</v>
      </c>
      <c r="G137" s="1" t="s">
        <v>861</v>
      </c>
      <c r="H137" s="1" t="s">
        <v>862</v>
      </c>
      <c r="I137" s="1" t="s">
        <v>329</v>
      </c>
      <c r="J137" s="4">
        <v>0.29166666666666669</v>
      </c>
      <c r="K137" s="5"/>
      <c r="L137" s="5"/>
      <c r="M137" s="1" t="s">
        <v>863</v>
      </c>
      <c r="N137" s="5"/>
      <c r="O137" s="2"/>
      <c r="P137" s="2"/>
      <c r="Q137" s="2">
        <v>18</v>
      </c>
      <c r="R137" s="2">
        <v>4</v>
      </c>
      <c r="S137" s="2">
        <v>1</v>
      </c>
      <c r="T137" s="2"/>
      <c r="U137" s="2"/>
      <c r="V137" s="2"/>
      <c r="W137" s="2"/>
      <c r="X137" s="2"/>
      <c r="Y137" s="2"/>
      <c r="Z137" s="2"/>
      <c r="AA137" s="2"/>
      <c r="AB137" s="2"/>
      <c r="AC137" s="2"/>
      <c r="AD137" s="2">
        <v>4</v>
      </c>
      <c r="AE137" s="2">
        <v>117</v>
      </c>
      <c r="AF137" s="2">
        <v>3</v>
      </c>
      <c r="AG137" s="2"/>
      <c r="AH137" s="2"/>
      <c r="AI137" s="2"/>
      <c r="AJ137" s="2">
        <v>4</v>
      </c>
      <c r="AK137" s="2"/>
      <c r="AL137" s="2">
        <v>14</v>
      </c>
      <c r="AM137" s="2">
        <v>9</v>
      </c>
      <c r="AN137" s="2"/>
      <c r="AO137" s="2"/>
      <c r="AP137" s="2"/>
      <c r="AQ137" s="2">
        <v>291</v>
      </c>
      <c r="AR137" s="2">
        <v>1</v>
      </c>
      <c r="AS137" s="2"/>
      <c r="AT137" s="2">
        <v>101</v>
      </c>
      <c r="AU137" s="2"/>
      <c r="AV137" s="2"/>
      <c r="AW137" s="2"/>
      <c r="AX137" s="2">
        <v>7</v>
      </c>
      <c r="AY137" s="2"/>
      <c r="AZ137" s="2"/>
      <c r="BA137" s="2">
        <v>27</v>
      </c>
      <c r="BB137" s="2">
        <v>7</v>
      </c>
      <c r="BC137" s="2"/>
      <c r="BD137" s="2">
        <v>4</v>
      </c>
      <c r="BE137" s="2">
        <v>45</v>
      </c>
      <c r="BF137" s="2"/>
      <c r="BG137" s="2"/>
      <c r="BH137" s="2"/>
      <c r="BI137" s="5"/>
      <c r="BJ137" s="5"/>
      <c r="BK137" s="5"/>
      <c r="BL137" s="5"/>
      <c r="BM137" s="1">
        <v>26.891279999999998</v>
      </c>
      <c r="BN137" s="1">
        <v>-82.338700000000003</v>
      </c>
      <c r="BO137" s="5"/>
      <c r="BP137" s="5"/>
      <c r="BQ137" s="5"/>
      <c r="BR137" s="5"/>
      <c r="BS137" s="5"/>
      <c r="BT137" s="5"/>
      <c r="BU137" s="1">
        <v>4</v>
      </c>
      <c r="BV137" s="5"/>
      <c r="BW137" s="5"/>
      <c r="BX137" s="5"/>
      <c r="BY137" s="5"/>
      <c r="BZ137" s="5"/>
      <c r="CA137" s="1">
        <v>26.889230000000001</v>
      </c>
      <c r="CB137" s="1">
        <v>-82.338300000000004</v>
      </c>
      <c r="CC137" s="5"/>
      <c r="CD137" s="5"/>
      <c r="CE137" s="5"/>
      <c r="CF137" s="5"/>
      <c r="CG137" s="5"/>
      <c r="CH137" s="5"/>
      <c r="CI137" s="5"/>
      <c r="CJ137" s="1">
        <v>5</v>
      </c>
      <c r="CK137" s="5"/>
      <c r="CL137" s="5"/>
      <c r="CM137" s="5"/>
      <c r="CN137" s="1">
        <v>210</v>
      </c>
      <c r="CO137" s="5"/>
      <c r="CP137" s="1">
        <v>26.885950000000001</v>
      </c>
      <c r="CQ137" s="1">
        <v>-82.339200000000005</v>
      </c>
      <c r="CR137" s="5"/>
      <c r="CS137" s="5"/>
      <c r="CT137" s="5"/>
      <c r="CU137" s="5"/>
      <c r="CV137" s="5"/>
      <c r="CW137" s="5"/>
      <c r="CX137" s="5"/>
      <c r="CY137" s="5"/>
      <c r="CZ137" s="5"/>
      <c r="DA137" s="5"/>
      <c r="DB137" s="5"/>
      <c r="DC137" s="1">
        <v>55</v>
      </c>
      <c r="DD137" s="5"/>
      <c r="DE137" s="1">
        <v>26.890650000000001</v>
      </c>
      <c r="DF137" s="1">
        <v>-82.342500000000001</v>
      </c>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row>
    <row r="138" spans="1:336" ht="15" x14ac:dyDescent="0.25">
      <c r="A138" s="1" t="s">
        <v>864</v>
      </c>
      <c r="B138" s="2">
        <v>29.67155</v>
      </c>
      <c r="C138" s="2">
        <v>-84.861699999999999</v>
      </c>
      <c r="D138" s="2">
        <v>29.670639999999999</v>
      </c>
      <c r="E138" s="2">
        <v>-84.856200000000001</v>
      </c>
      <c r="F138" s="3">
        <v>43138</v>
      </c>
      <c r="G138" s="1" t="s">
        <v>419</v>
      </c>
      <c r="H138" s="1" t="s">
        <v>420</v>
      </c>
      <c r="I138" s="1" t="s">
        <v>329</v>
      </c>
      <c r="J138" s="4">
        <v>0.59722222222222221</v>
      </c>
      <c r="K138" s="5"/>
      <c r="L138" s="1" t="s">
        <v>441</v>
      </c>
      <c r="M138" s="1" t="s">
        <v>865</v>
      </c>
      <c r="N138" s="1" t="s">
        <v>333</v>
      </c>
      <c r="O138" s="2">
        <v>3</v>
      </c>
      <c r="P138" s="2"/>
      <c r="Q138" s="2">
        <v>1</v>
      </c>
      <c r="R138" s="2"/>
      <c r="S138" s="2"/>
      <c r="T138" s="2"/>
      <c r="U138" s="2"/>
      <c r="V138" s="2"/>
      <c r="W138" s="2"/>
      <c r="X138" s="2"/>
      <c r="Y138" s="2"/>
      <c r="Z138" s="2"/>
      <c r="AA138" s="2"/>
      <c r="AB138" s="2"/>
      <c r="AC138" s="2"/>
      <c r="AD138" s="2">
        <v>13</v>
      </c>
      <c r="AE138" s="2"/>
      <c r="AF138" s="2">
        <v>4</v>
      </c>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1">
        <v>2</v>
      </c>
      <c r="BJ138" s="1" t="s">
        <v>866</v>
      </c>
      <c r="BK138" s="1">
        <v>0</v>
      </c>
      <c r="BL138" s="1">
        <v>0</v>
      </c>
      <c r="BM138" s="1">
        <v>29.672059999999998</v>
      </c>
      <c r="BN138" s="1">
        <v>-84.859399999999994</v>
      </c>
      <c r="BO138" s="1">
        <v>0</v>
      </c>
      <c r="BP138" s="1">
        <v>0</v>
      </c>
      <c r="BQ138" s="1">
        <v>0</v>
      </c>
      <c r="BR138" s="1">
        <v>0</v>
      </c>
      <c r="BS138" s="1">
        <v>0</v>
      </c>
      <c r="BT138" s="1">
        <v>0</v>
      </c>
      <c r="BU138" s="1">
        <v>0</v>
      </c>
      <c r="BV138" s="1">
        <v>0</v>
      </c>
      <c r="BW138" s="1">
        <v>1</v>
      </c>
      <c r="BX138" s="1">
        <v>0</v>
      </c>
      <c r="BY138" s="1">
        <v>0</v>
      </c>
      <c r="BZ138" s="1">
        <v>0</v>
      </c>
      <c r="CA138" s="1">
        <v>29.671289999999999</v>
      </c>
      <c r="CB138" s="1">
        <v>-84.856200000000001</v>
      </c>
      <c r="CC138" s="1">
        <v>0</v>
      </c>
      <c r="CD138" s="1">
        <v>0</v>
      </c>
      <c r="CE138" s="1">
        <v>0</v>
      </c>
      <c r="CF138" s="1">
        <v>0</v>
      </c>
      <c r="CG138" s="1">
        <v>0</v>
      </c>
      <c r="CH138" s="1">
        <v>0</v>
      </c>
      <c r="CI138" s="1">
        <v>0</v>
      </c>
      <c r="CJ138" s="1">
        <v>0</v>
      </c>
      <c r="CK138" s="1">
        <v>0</v>
      </c>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1">
        <v>0</v>
      </c>
    </row>
    <row r="139" spans="1:336" ht="15" x14ac:dyDescent="0.25">
      <c r="A139" s="1" t="s">
        <v>867</v>
      </c>
      <c r="B139" s="2">
        <v>27.1417</v>
      </c>
      <c r="C139" s="2">
        <v>-80.857699999999994</v>
      </c>
      <c r="D139" s="2">
        <v>27.0914</v>
      </c>
      <c r="E139" s="2">
        <v>-80.858900000000006</v>
      </c>
      <c r="F139" s="3">
        <v>43139</v>
      </c>
      <c r="G139" s="1" t="s">
        <v>868</v>
      </c>
      <c r="H139" s="1" t="s">
        <v>869</v>
      </c>
      <c r="I139" s="1" t="s">
        <v>329</v>
      </c>
      <c r="J139" s="4">
        <v>0.61805555555555558</v>
      </c>
      <c r="K139" s="1" t="s">
        <v>330</v>
      </c>
      <c r="L139" s="1" t="s">
        <v>369</v>
      </c>
      <c r="M139" s="1" t="s">
        <v>867</v>
      </c>
      <c r="N139" s="1" t="s">
        <v>333</v>
      </c>
      <c r="O139" s="2"/>
      <c r="P139" s="2"/>
      <c r="Q139" s="2">
        <v>13</v>
      </c>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v>1</v>
      </c>
      <c r="AS139" s="2"/>
      <c r="AT139" s="2"/>
      <c r="AU139" s="2"/>
      <c r="AV139" s="2"/>
      <c r="AW139" s="2">
        <v>2</v>
      </c>
      <c r="AX139" s="2">
        <v>1</v>
      </c>
      <c r="AY139" s="2"/>
      <c r="AZ139" s="2"/>
      <c r="BA139" s="2"/>
      <c r="BB139" s="2">
        <v>11</v>
      </c>
      <c r="BC139" s="2"/>
      <c r="BD139" s="2">
        <v>4</v>
      </c>
      <c r="BE139" s="2"/>
      <c r="BF139" s="2"/>
      <c r="BG139" s="2"/>
      <c r="BH139" s="2"/>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row>
    <row r="140" spans="1:336" ht="15" x14ac:dyDescent="0.25">
      <c r="A140" s="1" t="s">
        <v>870</v>
      </c>
      <c r="B140" s="2">
        <v>27.1968</v>
      </c>
      <c r="C140" s="2">
        <v>-80.828999999999994</v>
      </c>
      <c r="D140" s="2">
        <v>27.188099999999999</v>
      </c>
      <c r="E140" s="2">
        <v>-80.837900000000005</v>
      </c>
      <c r="F140" s="3">
        <v>43139</v>
      </c>
      <c r="G140" s="1" t="s">
        <v>868</v>
      </c>
      <c r="H140" s="1" t="s">
        <v>869</v>
      </c>
      <c r="I140" s="1" t="s">
        <v>329</v>
      </c>
      <c r="J140" s="4">
        <v>0.67708333333333337</v>
      </c>
      <c r="K140" s="1" t="s">
        <v>330</v>
      </c>
      <c r="L140" s="1" t="s">
        <v>369</v>
      </c>
      <c r="M140" s="1" t="s">
        <v>870</v>
      </c>
      <c r="N140" s="1" t="s">
        <v>333</v>
      </c>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v>110</v>
      </c>
      <c r="AR140" s="2"/>
      <c r="AS140" s="2"/>
      <c r="AT140" s="2">
        <v>14</v>
      </c>
      <c r="AU140" s="2"/>
      <c r="AV140" s="2"/>
      <c r="AW140" s="2">
        <v>7</v>
      </c>
      <c r="AX140" s="2"/>
      <c r="AY140" s="2"/>
      <c r="AZ140" s="2"/>
      <c r="BA140" s="2"/>
      <c r="BB140" s="2">
        <v>55</v>
      </c>
      <c r="BC140" s="2"/>
      <c r="BD140" s="2">
        <v>42</v>
      </c>
      <c r="BE140" s="2"/>
      <c r="BF140" s="2"/>
      <c r="BG140" s="2"/>
      <c r="BH140" s="2"/>
      <c r="BI140" s="5"/>
      <c r="BJ140" s="5"/>
      <c r="BK140" s="1">
        <v>110</v>
      </c>
      <c r="BL140" s="5"/>
      <c r="BM140" s="1">
        <v>27.159700000000001</v>
      </c>
      <c r="BN140" s="1">
        <v>-80.830399999999997</v>
      </c>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row>
    <row r="141" spans="1:336" ht="15" x14ac:dyDescent="0.25">
      <c r="A141" s="1" t="s">
        <v>871</v>
      </c>
      <c r="B141" s="2">
        <v>27.121200000000002</v>
      </c>
      <c r="C141" s="2">
        <v>-80.896299999999997</v>
      </c>
      <c r="D141" s="2">
        <v>27.032699999999998</v>
      </c>
      <c r="E141" s="2">
        <v>-80.934600000000003</v>
      </c>
      <c r="F141" s="3">
        <v>43139</v>
      </c>
      <c r="G141" s="1" t="s">
        <v>868</v>
      </c>
      <c r="H141" s="1" t="s">
        <v>869</v>
      </c>
      <c r="I141" s="1" t="s">
        <v>329</v>
      </c>
      <c r="J141" s="4">
        <v>0.52083333333333337</v>
      </c>
      <c r="K141" s="1" t="s">
        <v>330</v>
      </c>
      <c r="L141" s="1" t="s">
        <v>369</v>
      </c>
      <c r="M141" s="1" t="s">
        <v>871</v>
      </c>
      <c r="N141" s="1" t="s">
        <v>333</v>
      </c>
      <c r="O141" s="2"/>
      <c r="P141" s="2"/>
      <c r="Q141" s="2">
        <v>45</v>
      </c>
      <c r="R141" s="2">
        <v>5</v>
      </c>
      <c r="S141" s="2">
        <v>121</v>
      </c>
      <c r="T141" s="2">
        <v>22</v>
      </c>
      <c r="U141" s="2">
        <v>224</v>
      </c>
      <c r="V141" s="2">
        <v>271</v>
      </c>
      <c r="W141" s="2"/>
      <c r="X141" s="2">
        <v>111</v>
      </c>
      <c r="Y141" s="2"/>
      <c r="Z141" s="2"/>
      <c r="AA141" s="2"/>
      <c r="AB141" s="2"/>
      <c r="AC141" s="2"/>
      <c r="AD141" s="2"/>
      <c r="AE141" s="2"/>
      <c r="AF141" s="2"/>
      <c r="AG141" s="2"/>
      <c r="AH141" s="2"/>
      <c r="AI141" s="2"/>
      <c r="AJ141" s="2"/>
      <c r="AK141" s="2"/>
      <c r="AL141" s="2"/>
      <c r="AM141" s="2"/>
      <c r="AN141" s="2">
        <v>24</v>
      </c>
      <c r="AO141" s="2"/>
      <c r="AP141" s="2"/>
      <c r="AQ141" s="2">
        <v>30</v>
      </c>
      <c r="AR141" s="2">
        <v>2</v>
      </c>
      <c r="AS141" s="2"/>
      <c r="AT141" s="2"/>
      <c r="AU141" s="2">
        <v>26</v>
      </c>
      <c r="AV141" s="2"/>
      <c r="AW141" s="2">
        <v>18</v>
      </c>
      <c r="AX141" s="2">
        <v>11</v>
      </c>
      <c r="AY141" s="2"/>
      <c r="AZ141" s="2"/>
      <c r="BA141" s="2">
        <v>1</v>
      </c>
      <c r="BB141" s="2">
        <v>5</v>
      </c>
      <c r="BC141" s="2"/>
      <c r="BD141" s="2"/>
      <c r="BE141" s="2"/>
      <c r="BF141" s="2"/>
      <c r="BG141" s="2"/>
      <c r="BH141" s="2">
        <v>5</v>
      </c>
      <c r="BI141" s="5"/>
      <c r="BJ141" s="5"/>
      <c r="BK141" s="1">
        <v>30</v>
      </c>
      <c r="BL141" s="5"/>
      <c r="BM141" s="1">
        <v>27.063199999999998</v>
      </c>
      <c r="BN141" s="1">
        <v>-80.901899999999998</v>
      </c>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row>
    <row r="142" spans="1:336" ht="15" x14ac:dyDescent="0.25">
      <c r="A142" s="1" t="s">
        <v>872</v>
      </c>
      <c r="B142" s="2">
        <v>27.151599999999998</v>
      </c>
      <c r="C142" s="2">
        <v>-80.864699999999999</v>
      </c>
      <c r="D142" s="2">
        <v>27.1435</v>
      </c>
      <c r="E142" s="2">
        <v>-80.855900000000005</v>
      </c>
      <c r="F142" s="3">
        <v>43139</v>
      </c>
      <c r="G142" s="1" t="s">
        <v>868</v>
      </c>
      <c r="H142" s="1" t="s">
        <v>869</v>
      </c>
      <c r="I142" s="1" t="s">
        <v>329</v>
      </c>
      <c r="J142" s="4">
        <v>0.50694444444444442</v>
      </c>
      <c r="K142" s="1" t="s">
        <v>330</v>
      </c>
      <c r="L142" s="1" t="s">
        <v>369</v>
      </c>
      <c r="M142" s="1" t="s">
        <v>872</v>
      </c>
      <c r="N142" s="1" t="s">
        <v>333</v>
      </c>
      <c r="O142" s="2"/>
      <c r="P142" s="2"/>
      <c r="Q142" s="2"/>
      <c r="R142" s="2"/>
      <c r="S142" s="2">
        <v>8</v>
      </c>
      <c r="T142" s="2">
        <v>2</v>
      </c>
      <c r="U142" s="2"/>
      <c r="V142" s="2">
        <v>4</v>
      </c>
      <c r="W142" s="2"/>
      <c r="X142" s="2"/>
      <c r="Y142" s="2"/>
      <c r="Z142" s="2"/>
      <c r="AA142" s="2"/>
      <c r="AB142" s="2"/>
      <c r="AC142" s="2"/>
      <c r="AD142" s="2"/>
      <c r="AE142" s="2"/>
      <c r="AF142" s="2"/>
      <c r="AG142" s="2"/>
      <c r="AH142" s="2"/>
      <c r="AI142" s="2"/>
      <c r="AJ142" s="2"/>
      <c r="AK142" s="2"/>
      <c r="AL142" s="2"/>
      <c r="AM142" s="2"/>
      <c r="AN142" s="2"/>
      <c r="AO142" s="2"/>
      <c r="AP142" s="2"/>
      <c r="AQ142" s="2"/>
      <c r="AR142" s="2">
        <v>2</v>
      </c>
      <c r="AS142" s="2"/>
      <c r="AT142" s="2">
        <v>3</v>
      </c>
      <c r="AU142" s="2"/>
      <c r="AV142" s="2"/>
      <c r="AW142" s="2"/>
      <c r="AX142" s="2">
        <v>3</v>
      </c>
      <c r="AY142" s="2"/>
      <c r="AZ142" s="2"/>
      <c r="BA142" s="2">
        <v>1</v>
      </c>
      <c r="BB142" s="2">
        <v>6</v>
      </c>
      <c r="BC142" s="2"/>
      <c r="BD142" s="2">
        <v>2</v>
      </c>
      <c r="BE142" s="2"/>
      <c r="BF142" s="2"/>
      <c r="BG142" s="2"/>
      <c r="BH142" s="2"/>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row>
    <row r="143" spans="1:336" ht="15" x14ac:dyDescent="0.25">
      <c r="A143" s="1" t="s">
        <v>873</v>
      </c>
      <c r="B143" s="2">
        <v>30.4071</v>
      </c>
      <c r="C143" s="2">
        <v>-81.527000000000001</v>
      </c>
      <c r="D143" s="2">
        <v>30.413699999999999</v>
      </c>
      <c r="E143" s="2">
        <v>-81.531999999999996</v>
      </c>
      <c r="F143" s="3">
        <v>43138</v>
      </c>
      <c r="G143" s="1" t="s">
        <v>624</v>
      </c>
      <c r="H143" s="1" t="s">
        <v>668</v>
      </c>
      <c r="I143" s="1" t="s">
        <v>329</v>
      </c>
      <c r="J143" s="4">
        <v>0.58333333333333337</v>
      </c>
      <c r="K143" s="1" t="s">
        <v>330</v>
      </c>
      <c r="L143" s="1" t="s">
        <v>364</v>
      </c>
      <c r="M143" s="5"/>
      <c r="N143" s="1" t="s">
        <v>333</v>
      </c>
      <c r="O143" s="2"/>
      <c r="P143" s="2"/>
      <c r="Q143" s="2"/>
      <c r="R143" s="2"/>
      <c r="S143" s="2"/>
      <c r="T143" s="2"/>
      <c r="U143" s="2"/>
      <c r="V143" s="2"/>
      <c r="W143" s="2"/>
      <c r="X143" s="2">
        <v>80</v>
      </c>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v>2</v>
      </c>
      <c r="AX143" s="2"/>
      <c r="AY143" s="2"/>
      <c r="AZ143" s="2"/>
      <c r="BA143" s="2"/>
      <c r="BB143" s="2"/>
      <c r="BC143" s="2"/>
      <c r="BD143" s="2"/>
      <c r="BE143" s="2"/>
      <c r="BF143" s="2"/>
      <c r="BG143" s="2"/>
      <c r="BH143" s="2"/>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row>
    <row r="144" spans="1:336" ht="15" x14ac:dyDescent="0.25">
      <c r="A144" s="1" t="s">
        <v>874</v>
      </c>
      <c r="B144" s="2">
        <v>26.614170000000001</v>
      </c>
      <c r="C144" s="2">
        <v>-80.046099999999996</v>
      </c>
      <c r="D144" s="2">
        <v>26.673400000000001</v>
      </c>
      <c r="E144" s="2">
        <v>-80.049000000000007</v>
      </c>
      <c r="F144" s="3">
        <v>43135</v>
      </c>
      <c r="G144" s="1" t="s">
        <v>875</v>
      </c>
      <c r="H144" s="1" t="s">
        <v>876</v>
      </c>
      <c r="I144" s="1" t="s">
        <v>329</v>
      </c>
      <c r="J144" s="4">
        <v>0.62291666666666667</v>
      </c>
      <c r="K144" s="1" t="s">
        <v>633</v>
      </c>
      <c r="L144" s="1" t="s">
        <v>441</v>
      </c>
      <c r="M144" s="5"/>
      <c r="N144" s="1" t="s">
        <v>333</v>
      </c>
      <c r="O144" s="2">
        <v>6</v>
      </c>
      <c r="P144" s="2"/>
      <c r="Q144" s="2"/>
      <c r="R144" s="2"/>
      <c r="S144" s="2"/>
      <c r="T144" s="2">
        <v>2</v>
      </c>
      <c r="U144" s="2">
        <v>3</v>
      </c>
      <c r="V144" s="2"/>
      <c r="W144" s="2"/>
      <c r="X144" s="2"/>
      <c r="Y144" s="2"/>
      <c r="Z144" s="2"/>
      <c r="AA144" s="2"/>
      <c r="AB144" s="2">
        <v>1</v>
      </c>
      <c r="AC144" s="2"/>
      <c r="AD144" s="2">
        <v>6</v>
      </c>
      <c r="AE144" s="2">
        <v>48</v>
      </c>
      <c r="AF144" s="2"/>
      <c r="AG144" s="2"/>
      <c r="AH144" s="2"/>
      <c r="AI144" s="2">
        <v>2</v>
      </c>
      <c r="AJ144" s="2"/>
      <c r="AK144" s="2"/>
      <c r="AL144" s="2"/>
      <c r="AM144" s="2"/>
      <c r="AN144" s="2"/>
      <c r="AO144" s="2"/>
      <c r="AP144" s="2"/>
      <c r="AQ144" s="2"/>
      <c r="AR144" s="2"/>
      <c r="AS144" s="2"/>
      <c r="AT144" s="2">
        <v>10</v>
      </c>
      <c r="AU144" s="2"/>
      <c r="AV144" s="2"/>
      <c r="AW144" s="2">
        <v>4</v>
      </c>
      <c r="AX144" s="2">
        <v>4</v>
      </c>
      <c r="AY144" s="2"/>
      <c r="AZ144" s="2"/>
      <c r="BA144" s="2">
        <v>2</v>
      </c>
      <c r="BB144" s="2"/>
      <c r="BC144" s="2"/>
      <c r="BD144" s="2"/>
      <c r="BE144" s="2"/>
      <c r="BF144" s="2"/>
      <c r="BG144" s="2"/>
      <c r="BH144" s="2"/>
      <c r="BI144" s="6">
        <v>1</v>
      </c>
      <c r="BJ144" s="7"/>
      <c r="BK144" s="7"/>
      <c r="BL144" s="7"/>
      <c r="BM144" s="6">
        <v>26.6233</v>
      </c>
      <c r="BN144" s="6">
        <v>-80.045699999999997</v>
      </c>
      <c r="BO144" s="7"/>
      <c r="BP144" s="7"/>
      <c r="BQ144" s="7"/>
      <c r="BR144" s="7"/>
      <c r="BS144" s="7"/>
      <c r="BT144" s="7"/>
      <c r="BU144" s="7"/>
      <c r="BV144" s="7"/>
      <c r="BW144" s="6">
        <v>2</v>
      </c>
      <c r="BX144" s="7"/>
      <c r="BY144" s="7"/>
      <c r="BZ144" s="7"/>
      <c r="CA144" s="6">
        <v>26.63</v>
      </c>
      <c r="CB144" s="6">
        <v>-80.045500000000004</v>
      </c>
      <c r="CC144" s="7"/>
      <c r="CD144" s="7"/>
      <c r="CE144" s="7"/>
      <c r="CF144" s="7"/>
      <c r="CG144" s="7"/>
      <c r="CH144" s="7"/>
      <c r="CI144" s="7"/>
      <c r="CJ144" s="7"/>
      <c r="CK144" s="7"/>
      <c r="CL144" s="6">
        <v>2</v>
      </c>
      <c r="CM144" s="7"/>
      <c r="CN144" s="7"/>
      <c r="CO144" s="7"/>
      <c r="CP144" s="6">
        <v>26.623200000000001</v>
      </c>
      <c r="CQ144" s="6">
        <v>-80.040599999999998</v>
      </c>
      <c r="CR144" s="7"/>
      <c r="CS144" s="6">
        <v>1</v>
      </c>
      <c r="CT144" s="7"/>
      <c r="CU144" s="7"/>
      <c r="CV144" s="7"/>
      <c r="CW144" s="7"/>
      <c r="CX144" s="7"/>
      <c r="CY144" s="7"/>
      <c r="CZ144" s="7"/>
      <c r="DA144" s="6">
        <v>1</v>
      </c>
      <c r="DB144" s="7"/>
      <c r="DC144" s="7"/>
      <c r="DD144" s="7"/>
      <c r="DE144" s="6">
        <v>26.645700000000001</v>
      </c>
      <c r="DF144" s="6">
        <v>-80.0398</v>
      </c>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c r="GO144" s="7"/>
      <c r="GP144" s="7"/>
      <c r="GQ144" s="7"/>
      <c r="GR144" s="7"/>
      <c r="GS144" s="7"/>
      <c r="GT144" s="7"/>
      <c r="GU144" s="7"/>
      <c r="GV144" s="7"/>
      <c r="GW144" s="7"/>
      <c r="GX144" s="7"/>
      <c r="GY144" s="7"/>
      <c r="GZ144" s="7"/>
      <c r="HA144" s="7"/>
      <c r="HB144" s="7"/>
      <c r="HC144" s="7"/>
      <c r="HD144" s="7"/>
      <c r="HE144" s="7"/>
      <c r="HF144" s="7"/>
      <c r="HG144" s="7"/>
      <c r="HH144" s="7"/>
      <c r="HI144" s="7"/>
      <c r="HJ144" s="7"/>
      <c r="HK144" s="7"/>
      <c r="HL144" s="7"/>
      <c r="HM144" s="7"/>
      <c r="HN144" s="7"/>
      <c r="HO144" s="7"/>
      <c r="HP144" s="7"/>
      <c r="HQ144" s="7"/>
      <c r="HR144" s="7"/>
      <c r="HS144" s="7"/>
      <c r="HT144" s="7"/>
      <c r="HU144" s="7"/>
      <c r="HV144" s="7"/>
      <c r="HW144" s="7"/>
      <c r="HX144" s="7"/>
      <c r="HY144" s="7"/>
      <c r="HZ144" s="7"/>
      <c r="IA144" s="7"/>
      <c r="IB144" s="7"/>
      <c r="IC144" s="7"/>
      <c r="ID144" s="7"/>
      <c r="IE144" s="7"/>
      <c r="IF144" s="7"/>
      <c r="IG144" s="7"/>
      <c r="IH144" s="7"/>
      <c r="II144" s="7"/>
      <c r="IJ144" s="7"/>
      <c r="IK144" s="7"/>
      <c r="IL144" s="7"/>
      <c r="IM144" s="7"/>
      <c r="IN144" s="7"/>
      <c r="IO144" s="7"/>
      <c r="IP144" s="7"/>
      <c r="IQ144" s="7"/>
      <c r="IR144" s="7"/>
      <c r="IS144" s="7"/>
      <c r="IT144" s="7"/>
      <c r="IU144" s="7"/>
      <c r="IV144" s="7"/>
      <c r="IW144" s="7"/>
      <c r="IX144" s="7"/>
      <c r="IY144" s="7"/>
      <c r="IZ144" s="7"/>
      <c r="JA144" s="7"/>
      <c r="JB144" s="7"/>
      <c r="JC144" s="7"/>
      <c r="JD144" s="7"/>
      <c r="JE144" s="7"/>
      <c r="JF144" s="7"/>
      <c r="JG144" s="7"/>
      <c r="JH144" s="7"/>
      <c r="JI144" s="7"/>
      <c r="JJ144" s="7"/>
      <c r="JK144" s="7"/>
      <c r="JL144" s="7"/>
      <c r="JM144" s="7"/>
      <c r="JN144" s="7"/>
      <c r="JO144" s="7"/>
      <c r="JP144" s="7"/>
      <c r="JQ144" s="7"/>
      <c r="JR144" s="7"/>
      <c r="JS144" s="7"/>
      <c r="JT144" s="7"/>
      <c r="JU144" s="7"/>
      <c r="JV144" s="7"/>
      <c r="JW144" s="7"/>
      <c r="JX144" s="7"/>
      <c r="JY144" s="7"/>
      <c r="JZ144" s="7"/>
      <c r="KA144" s="7"/>
      <c r="KB144" s="7"/>
      <c r="KC144" s="7"/>
      <c r="KD144" s="7"/>
      <c r="KE144" s="7"/>
      <c r="KF144" s="7"/>
      <c r="KG144" s="7"/>
      <c r="KH144" s="7"/>
      <c r="KI144" s="7"/>
      <c r="KJ144" s="7"/>
      <c r="KK144" s="7"/>
      <c r="KL144" s="7"/>
      <c r="KM144" s="7"/>
      <c r="KN144" s="7"/>
      <c r="KO144" s="7"/>
      <c r="KP144" s="7"/>
      <c r="KQ144" s="7"/>
      <c r="KR144" s="7"/>
      <c r="KS144" s="7"/>
      <c r="KT144" s="7"/>
      <c r="KU144" s="7"/>
      <c r="KV144" s="7"/>
      <c r="KW144" s="7"/>
      <c r="KX144" s="7"/>
      <c r="KY144" s="7"/>
      <c r="KZ144" s="7"/>
      <c r="LA144" s="7"/>
      <c r="LB144" s="7"/>
      <c r="LC144" s="7"/>
      <c r="LD144" s="7"/>
      <c r="LE144" s="7"/>
      <c r="LF144" s="7"/>
      <c r="LG144" s="7"/>
      <c r="LH144" s="7"/>
      <c r="LI144" s="7"/>
      <c r="LJ144" s="7"/>
      <c r="LK144" s="7"/>
      <c r="LL144" s="7"/>
      <c r="LM144" s="7"/>
      <c r="LN144" s="7"/>
      <c r="LO144" s="7"/>
      <c r="LP144" s="7"/>
      <c r="LQ144" s="7"/>
      <c r="LR144" s="7"/>
      <c r="LS144" s="7"/>
      <c r="LT144" s="7"/>
      <c r="LU144" s="7"/>
      <c r="LV144" s="7"/>
      <c r="LW144" s="7"/>
      <c r="LX144" s="7"/>
    </row>
    <row r="145" spans="1:336" ht="15" x14ac:dyDescent="0.25">
      <c r="A145" s="1" t="s">
        <v>877</v>
      </c>
      <c r="B145" s="2">
        <v>27.157019999999999</v>
      </c>
      <c r="C145" s="2">
        <v>-80.677000000000007</v>
      </c>
      <c r="D145" s="2">
        <v>27.130299999999998</v>
      </c>
      <c r="E145" s="2">
        <v>-80.6584</v>
      </c>
      <c r="F145" s="3">
        <v>43134</v>
      </c>
      <c r="G145" s="1" t="s">
        <v>878</v>
      </c>
      <c r="H145" s="1" t="s">
        <v>360</v>
      </c>
      <c r="I145" s="1" t="s">
        <v>329</v>
      </c>
      <c r="J145" s="4">
        <v>0.49027777777777776</v>
      </c>
      <c r="K145" s="5"/>
      <c r="L145" s="5"/>
      <c r="M145" s="5"/>
      <c r="N145" s="1" t="s">
        <v>333</v>
      </c>
      <c r="O145" s="2"/>
      <c r="P145" s="2"/>
      <c r="Q145" s="2"/>
      <c r="R145" s="2"/>
      <c r="S145" s="2">
        <v>1</v>
      </c>
      <c r="T145" s="2">
        <v>3</v>
      </c>
      <c r="U145" s="2"/>
      <c r="V145" s="2"/>
      <c r="W145" s="2"/>
      <c r="X145" s="2"/>
      <c r="Y145" s="2"/>
      <c r="Z145" s="2"/>
      <c r="AA145" s="2"/>
      <c r="AB145" s="2"/>
      <c r="AC145" s="2"/>
      <c r="AD145" s="2"/>
      <c r="AE145" s="2"/>
      <c r="AF145" s="2"/>
      <c r="AG145" s="2"/>
      <c r="AH145" s="2"/>
      <c r="AI145" s="2"/>
      <c r="AJ145" s="2"/>
      <c r="AK145" s="2"/>
      <c r="AL145" s="2"/>
      <c r="AM145" s="2"/>
      <c r="AN145" s="2"/>
      <c r="AO145" s="2">
        <v>2</v>
      </c>
      <c r="AP145" s="2"/>
      <c r="AQ145" s="2"/>
      <c r="AR145" s="2"/>
      <c r="AS145" s="2"/>
      <c r="AT145" s="2"/>
      <c r="AU145" s="2"/>
      <c r="AV145" s="2"/>
      <c r="AW145" s="2">
        <v>9</v>
      </c>
      <c r="AX145" s="2"/>
      <c r="AY145" s="2"/>
      <c r="AZ145" s="2"/>
      <c r="BA145" s="2"/>
      <c r="BB145" s="2"/>
      <c r="BC145" s="2"/>
      <c r="BD145" s="2"/>
      <c r="BE145" s="2"/>
      <c r="BF145" s="2"/>
      <c r="BG145" s="2"/>
      <c r="BH145" s="2"/>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row>
    <row r="146" spans="1:336" ht="15" x14ac:dyDescent="0.25">
      <c r="A146" s="1" t="s">
        <v>879</v>
      </c>
      <c r="B146" s="2">
        <v>29.87753</v>
      </c>
      <c r="C146" s="2">
        <v>-84.571100000000001</v>
      </c>
      <c r="D146" s="2">
        <v>29.866849999999999</v>
      </c>
      <c r="E146" s="2">
        <v>-84.597800000000007</v>
      </c>
      <c r="F146" s="3">
        <v>43137</v>
      </c>
      <c r="G146" s="1" t="s">
        <v>880</v>
      </c>
      <c r="H146" s="1" t="s">
        <v>485</v>
      </c>
      <c r="I146" s="1" t="s">
        <v>329</v>
      </c>
      <c r="J146" s="4">
        <v>0.4375</v>
      </c>
      <c r="K146" s="1" t="s">
        <v>368</v>
      </c>
      <c r="L146" s="1" t="s">
        <v>369</v>
      </c>
      <c r="M146" s="5"/>
      <c r="N146" s="1" t="s">
        <v>333</v>
      </c>
      <c r="O146" s="2">
        <v>29</v>
      </c>
      <c r="P146" s="2"/>
      <c r="Q146" s="2">
        <v>41</v>
      </c>
      <c r="R146" s="2">
        <v>497</v>
      </c>
      <c r="S146" s="2">
        <v>1</v>
      </c>
      <c r="T146" s="2">
        <v>1</v>
      </c>
      <c r="U146" s="2">
        <v>2</v>
      </c>
      <c r="V146" s="2"/>
      <c r="W146" s="2"/>
      <c r="X146" s="2"/>
      <c r="Y146" s="2">
        <v>419</v>
      </c>
      <c r="Z146" s="2"/>
      <c r="AA146" s="2">
        <v>272</v>
      </c>
      <c r="AB146" s="2">
        <v>16</v>
      </c>
      <c r="AC146" s="2">
        <v>54</v>
      </c>
      <c r="AD146" s="2">
        <v>26</v>
      </c>
      <c r="AE146" s="2">
        <v>155</v>
      </c>
      <c r="AF146" s="2">
        <v>47</v>
      </c>
      <c r="AG146" s="2"/>
      <c r="AH146" s="2">
        <v>2</v>
      </c>
      <c r="AI146" s="2"/>
      <c r="AJ146" s="2">
        <v>49</v>
      </c>
      <c r="AK146" s="2"/>
      <c r="AL146" s="2">
        <v>170</v>
      </c>
      <c r="AM146" s="2"/>
      <c r="AN146" s="2"/>
      <c r="AO146" s="2"/>
      <c r="AP146" s="2"/>
      <c r="AQ146" s="2"/>
      <c r="AR146" s="2"/>
      <c r="AS146" s="2"/>
      <c r="AT146" s="2">
        <v>1</v>
      </c>
      <c r="AU146" s="2"/>
      <c r="AV146" s="2"/>
      <c r="AW146" s="2">
        <v>1</v>
      </c>
      <c r="AX146" s="2">
        <v>2</v>
      </c>
      <c r="AY146" s="2"/>
      <c r="AZ146" s="2"/>
      <c r="BA146" s="2">
        <v>1</v>
      </c>
      <c r="BB146" s="2">
        <v>10</v>
      </c>
      <c r="BC146" s="2"/>
      <c r="BD146" s="2">
        <v>13</v>
      </c>
      <c r="BE146" s="2">
        <v>4</v>
      </c>
      <c r="BF146" s="2"/>
      <c r="BG146" s="2"/>
      <c r="BH146" s="2"/>
      <c r="BI146" s="1">
        <v>0</v>
      </c>
      <c r="BJ146" s="1" t="s">
        <v>487</v>
      </c>
      <c r="BK146" s="1">
        <v>0</v>
      </c>
      <c r="BL146" s="1" t="s">
        <v>487</v>
      </c>
      <c r="BM146" s="1">
        <v>29.87753</v>
      </c>
      <c r="BN146" s="1">
        <v>-84.571100000000001</v>
      </c>
      <c r="BO146" s="1">
        <v>2</v>
      </c>
      <c r="BP146" s="1" t="s">
        <v>881</v>
      </c>
      <c r="BQ146" s="1">
        <v>6</v>
      </c>
      <c r="BR146" s="1" t="s">
        <v>487</v>
      </c>
      <c r="BS146" s="1">
        <v>0</v>
      </c>
      <c r="BT146" s="1" t="s">
        <v>487</v>
      </c>
      <c r="BU146" s="1">
        <v>0</v>
      </c>
      <c r="BV146" s="1" t="s">
        <v>487</v>
      </c>
      <c r="BW146" s="1">
        <v>4</v>
      </c>
      <c r="BX146" s="1" t="s">
        <v>882</v>
      </c>
      <c r="BY146" s="1">
        <v>0</v>
      </c>
      <c r="BZ146" s="1" t="s">
        <v>882</v>
      </c>
      <c r="CA146" s="1">
        <v>29.877829999999999</v>
      </c>
      <c r="CB146" s="1">
        <v>-84.567800000000005</v>
      </c>
      <c r="CC146" s="5"/>
      <c r="CD146" s="1">
        <v>0</v>
      </c>
      <c r="CE146" s="1" t="s">
        <v>882</v>
      </c>
      <c r="CF146" s="1">
        <v>0</v>
      </c>
      <c r="CG146" s="1" t="s">
        <v>882</v>
      </c>
      <c r="CH146" s="1">
        <v>0</v>
      </c>
      <c r="CI146" s="1" t="s">
        <v>882</v>
      </c>
      <c r="CJ146" s="1">
        <v>0</v>
      </c>
      <c r="CK146" s="1" t="s">
        <v>882</v>
      </c>
      <c r="CL146" s="1">
        <v>0</v>
      </c>
      <c r="CM146" s="1" t="s">
        <v>882</v>
      </c>
      <c r="CN146" s="1">
        <v>0</v>
      </c>
      <c r="CO146" s="1" t="s">
        <v>882</v>
      </c>
      <c r="CP146" s="1">
        <v>29.877140000000001</v>
      </c>
      <c r="CQ146" s="1">
        <v>-84.568899999999999</v>
      </c>
      <c r="CR146" s="1" t="s">
        <v>883</v>
      </c>
      <c r="CS146" s="1">
        <v>0</v>
      </c>
      <c r="CT146" s="1" t="s">
        <v>882</v>
      </c>
      <c r="CU146" s="1">
        <v>2</v>
      </c>
      <c r="CV146" s="1" t="s">
        <v>882</v>
      </c>
      <c r="CW146" s="1">
        <v>0</v>
      </c>
      <c r="CX146" s="1" t="s">
        <v>882</v>
      </c>
      <c r="CY146" s="1">
        <v>0</v>
      </c>
      <c r="CZ146" s="1" t="s">
        <v>882</v>
      </c>
      <c r="DA146" s="1">
        <v>2</v>
      </c>
      <c r="DB146" s="1" t="s">
        <v>882</v>
      </c>
      <c r="DC146" s="1">
        <v>0</v>
      </c>
      <c r="DD146" s="1" t="s">
        <v>882</v>
      </c>
      <c r="DE146" s="1">
        <v>29.877359999999999</v>
      </c>
      <c r="DF146" s="1">
        <v>-84.566599999999994</v>
      </c>
      <c r="DG146" s="5"/>
      <c r="DH146" s="1">
        <v>0</v>
      </c>
      <c r="DI146" s="1" t="s">
        <v>882</v>
      </c>
      <c r="DJ146" s="1">
        <v>0</v>
      </c>
      <c r="DK146" s="1" t="s">
        <v>882</v>
      </c>
      <c r="DL146" s="1">
        <v>0</v>
      </c>
      <c r="DM146" s="1" t="s">
        <v>882</v>
      </c>
      <c r="DN146" s="1">
        <v>0</v>
      </c>
      <c r="DO146" s="1" t="s">
        <v>882</v>
      </c>
      <c r="DP146" s="1">
        <v>2</v>
      </c>
      <c r="DQ146" s="1" t="s">
        <v>882</v>
      </c>
      <c r="DR146" s="1">
        <v>0</v>
      </c>
      <c r="DS146" s="1" t="s">
        <v>882</v>
      </c>
      <c r="DT146" s="1">
        <v>29.876470000000001</v>
      </c>
      <c r="DU146" s="1">
        <v>-84.589399999999998</v>
      </c>
      <c r="DV146" s="5"/>
      <c r="DW146" s="1">
        <v>0</v>
      </c>
      <c r="DX146" s="1" t="s">
        <v>882</v>
      </c>
      <c r="DY146" s="1">
        <v>0</v>
      </c>
      <c r="DZ146" s="1" t="s">
        <v>882</v>
      </c>
      <c r="EA146" s="1">
        <v>0</v>
      </c>
      <c r="EB146" s="1" t="s">
        <v>882</v>
      </c>
      <c r="EC146" s="1">
        <v>0</v>
      </c>
      <c r="ED146" s="1" t="s">
        <v>882</v>
      </c>
      <c r="EE146" s="1">
        <v>0</v>
      </c>
      <c r="EF146" s="1" t="s">
        <v>882</v>
      </c>
      <c r="EG146" s="1">
        <v>0</v>
      </c>
      <c r="EH146" s="1" t="s">
        <v>882</v>
      </c>
      <c r="EI146" s="1">
        <v>29.877009999999999</v>
      </c>
      <c r="EJ146" s="1">
        <v>-84.572699999999998</v>
      </c>
      <c r="EK146" s="5"/>
      <c r="EL146" s="1">
        <v>5</v>
      </c>
      <c r="EM146" s="1" t="s">
        <v>884</v>
      </c>
      <c r="EN146" s="1">
        <v>0</v>
      </c>
      <c r="EO146" s="1" t="s">
        <v>487</v>
      </c>
      <c r="EP146" s="1">
        <v>0</v>
      </c>
      <c r="EQ146" s="1" t="s">
        <v>487</v>
      </c>
      <c r="ER146" s="1">
        <v>0</v>
      </c>
      <c r="ES146" s="1" t="s">
        <v>487</v>
      </c>
      <c r="ET146" s="1">
        <v>3</v>
      </c>
      <c r="EU146" s="1" t="s">
        <v>885</v>
      </c>
      <c r="EV146" s="1">
        <v>0</v>
      </c>
      <c r="EW146" s="1" t="s">
        <v>487</v>
      </c>
      <c r="EX146" s="1">
        <v>29.877079999999999</v>
      </c>
      <c r="EY146" s="1">
        <v>-84.574100000000001</v>
      </c>
      <c r="EZ146" s="1" t="s">
        <v>886</v>
      </c>
      <c r="FA146" s="1">
        <v>0</v>
      </c>
      <c r="FB146" s="1" t="s">
        <v>487</v>
      </c>
      <c r="FC146" s="1">
        <v>3</v>
      </c>
      <c r="FD146" s="1" t="s">
        <v>487</v>
      </c>
      <c r="FE146" s="1">
        <v>0</v>
      </c>
      <c r="FF146" s="1" t="s">
        <v>487</v>
      </c>
      <c r="FG146" s="1">
        <v>0</v>
      </c>
      <c r="FH146" s="1" t="s">
        <v>487</v>
      </c>
      <c r="FI146" s="1">
        <v>0</v>
      </c>
      <c r="FJ146" s="1" t="s">
        <v>882</v>
      </c>
      <c r="FK146" s="1">
        <v>0</v>
      </c>
      <c r="FL146" s="1" t="s">
        <v>882</v>
      </c>
      <c r="FM146" s="1">
        <v>29.875779999999999</v>
      </c>
      <c r="FN146" s="1">
        <v>-84.571600000000004</v>
      </c>
      <c r="FO146" s="5"/>
      <c r="FP146" s="1">
        <v>0</v>
      </c>
      <c r="FQ146" s="1" t="s">
        <v>882</v>
      </c>
      <c r="FR146" s="1">
        <v>0</v>
      </c>
      <c r="FS146" s="1" t="s">
        <v>882</v>
      </c>
      <c r="FT146" s="1">
        <v>2</v>
      </c>
      <c r="FU146" s="1" t="s">
        <v>887</v>
      </c>
      <c r="FV146" s="1">
        <v>0</v>
      </c>
      <c r="FW146" s="1" t="s">
        <v>882</v>
      </c>
      <c r="FX146" s="1">
        <v>1</v>
      </c>
      <c r="FY146" s="1" t="s">
        <v>882</v>
      </c>
      <c r="FZ146" s="1">
        <v>0</v>
      </c>
      <c r="GA146" s="1" t="s">
        <v>882</v>
      </c>
      <c r="GB146" s="1">
        <v>29.87547</v>
      </c>
      <c r="GC146" s="1">
        <v>-84.574100000000001</v>
      </c>
      <c r="GD146" s="5"/>
      <c r="GE146" s="1">
        <v>3</v>
      </c>
      <c r="GF146" s="1" t="s">
        <v>888</v>
      </c>
      <c r="GG146" s="1">
        <v>0</v>
      </c>
      <c r="GH146" s="1" t="s">
        <v>882</v>
      </c>
      <c r="GI146" s="1">
        <v>0</v>
      </c>
      <c r="GJ146" s="1" t="s">
        <v>882</v>
      </c>
      <c r="GK146" s="1">
        <v>0</v>
      </c>
      <c r="GL146" s="1" t="s">
        <v>882</v>
      </c>
      <c r="GM146" s="1">
        <v>0</v>
      </c>
      <c r="GN146" s="1" t="s">
        <v>882</v>
      </c>
      <c r="GO146" s="1">
        <v>0</v>
      </c>
      <c r="GP146" s="1" t="s">
        <v>882</v>
      </c>
      <c r="GQ146" s="1">
        <v>29.875399999999999</v>
      </c>
      <c r="GR146" s="1">
        <v>-84.577299999999994</v>
      </c>
      <c r="GS146" s="5"/>
      <c r="GT146" s="1">
        <v>2</v>
      </c>
      <c r="GU146" s="1" t="s">
        <v>882</v>
      </c>
      <c r="GV146" s="1">
        <v>12</v>
      </c>
      <c r="GW146" s="1" t="s">
        <v>882</v>
      </c>
      <c r="GX146" s="1">
        <v>0</v>
      </c>
      <c r="GY146" s="1" t="s">
        <v>882</v>
      </c>
      <c r="GZ146" s="1">
        <v>0</v>
      </c>
      <c r="HA146" s="1" t="s">
        <v>882</v>
      </c>
      <c r="HB146" s="1">
        <v>4</v>
      </c>
      <c r="HC146" s="1" t="s">
        <v>882</v>
      </c>
      <c r="HD146" s="1">
        <v>0</v>
      </c>
      <c r="HE146" s="1" t="s">
        <v>882</v>
      </c>
      <c r="HF146" s="1">
        <v>29.874669999999998</v>
      </c>
      <c r="HG146" s="1">
        <v>-84.578699999999998</v>
      </c>
      <c r="HH146" s="1" t="s">
        <v>889</v>
      </c>
      <c r="HI146" s="1">
        <v>4</v>
      </c>
      <c r="HJ146" s="1" t="s">
        <v>890</v>
      </c>
      <c r="HK146" s="1">
        <v>30</v>
      </c>
      <c r="HL146" s="1" t="s">
        <v>882</v>
      </c>
      <c r="HM146" s="1">
        <v>0</v>
      </c>
      <c r="HN146" s="1" t="s">
        <v>882</v>
      </c>
      <c r="HO146" s="1">
        <v>0</v>
      </c>
      <c r="HP146" s="1" t="s">
        <v>882</v>
      </c>
      <c r="HQ146" s="1">
        <v>1</v>
      </c>
      <c r="HR146" s="1" t="s">
        <v>882</v>
      </c>
      <c r="HS146" s="1">
        <v>0</v>
      </c>
      <c r="HT146" s="1" t="s">
        <v>882</v>
      </c>
      <c r="HU146" s="1">
        <v>29.873830000000002</v>
      </c>
      <c r="HV146" s="1">
        <v>-84.584100000000007</v>
      </c>
      <c r="HW146" s="5"/>
      <c r="HX146" s="1">
        <v>0</v>
      </c>
      <c r="HY146" s="1" t="s">
        <v>882</v>
      </c>
      <c r="HZ146" s="1">
        <v>0</v>
      </c>
      <c r="IA146" s="1" t="s">
        <v>882</v>
      </c>
      <c r="IB146" s="1">
        <v>0</v>
      </c>
      <c r="IC146" s="1" t="s">
        <v>882</v>
      </c>
      <c r="ID146" s="1">
        <v>0</v>
      </c>
      <c r="IE146" s="1" t="s">
        <v>882</v>
      </c>
      <c r="IF146" s="1">
        <v>4</v>
      </c>
      <c r="IG146" s="1" t="s">
        <v>882</v>
      </c>
      <c r="IH146" s="1">
        <v>0</v>
      </c>
      <c r="II146" s="1" t="s">
        <v>882</v>
      </c>
      <c r="IJ146" s="1">
        <v>29.872399999999999</v>
      </c>
      <c r="IK146" s="1">
        <v>-84.586100000000002</v>
      </c>
      <c r="IL146" s="5"/>
      <c r="IM146" s="1">
        <v>0</v>
      </c>
      <c r="IN146" s="1" t="s">
        <v>882</v>
      </c>
      <c r="IO146" s="1">
        <v>0</v>
      </c>
      <c r="IP146" s="1" t="s">
        <v>882</v>
      </c>
      <c r="IQ146" s="1">
        <v>0</v>
      </c>
      <c r="IR146" s="1" t="s">
        <v>882</v>
      </c>
      <c r="IS146" s="1">
        <v>0</v>
      </c>
      <c r="IT146" s="1" t="s">
        <v>882</v>
      </c>
      <c r="IU146" s="1">
        <v>0</v>
      </c>
      <c r="IV146" s="1" t="s">
        <v>882</v>
      </c>
      <c r="IW146" s="1">
        <v>0</v>
      </c>
      <c r="IX146" s="1" t="s">
        <v>882</v>
      </c>
      <c r="IY146" s="1">
        <v>29.870149999999999</v>
      </c>
      <c r="IZ146" s="1">
        <v>-84.593199999999996</v>
      </c>
      <c r="JA146" s="5"/>
      <c r="JB146" s="1">
        <v>0</v>
      </c>
      <c r="JC146" s="1" t="s">
        <v>882</v>
      </c>
      <c r="JD146" s="1">
        <v>1</v>
      </c>
      <c r="JE146" s="1" t="s">
        <v>882</v>
      </c>
      <c r="JF146" s="1">
        <v>0</v>
      </c>
      <c r="JG146" s="1" t="s">
        <v>882</v>
      </c>
      <c r="JH146" s="1">
        <v>0</v>
      </c>
      <c r="JI146" s="1" t="s">
        <v>882</v>
      </c>
      <c r="JJ146" s="1">
        <v>2</v>
      </c>
      <c r="JK146" s="1" t="s">
        <v>882</v>
      </c>
      <c r="JL146" s="1">
        <v>0</v>
      </c>
      <c r="JM146" s="1" t="s">
        <v>882</v>
      </c>
      <c r="JN146" s="1">
        <v>29.86919</v>
      </c>
      <c r="JO146" s="1">
        <v>-84.595600000000005</v>
      </c>
      <c r="JP146" s="1" t="s">
        <v>891</v>
      </c>
      <c r="JQ146" s="1">
        <v>0</v>
      </c>
      <c r="JR146" s="1" t="s">
        <v>882</v>
      </c>
      <c r="JS146" s="1">
        <v>0</v>
      </c>
      <c r="JT146" s="1" t="s">
        <v>882</v>
      </c>
      <c r="JU146" s="1">
        <v>0</v>
      </c>
      <c r="JV146" s="1" t="s">
        <v>882</v>
      </c>
      <c r="JW146" s="1">
        <v>0</v>
      </c>
      <c r="JX146" s="1" t="s">
        <v>882</v>
      </c>
      <c r="JY146" s="1">
        <v>2</v>
      </c>
      <c r="JZ146" s="1">
        <v>2</v>
      </c>
      <c r="KA146" s="1">
        <v>29.86863</v>
      </c>
      <c r="KB146" s="1">
        <v>29.86863</v>
      </c>
      <c r="KC146" s="1">
        <v>-84.596299999999999</v>
      </c>
      <c r="KD146" s="1">
        <v>-84.596299999999999</v>
      </c>
      <c r="KE146" s="1" t="s">
        <v>892</v>
      </c>
      <c r="KF146" s="1" t="s">
        <v>892</v>
      </c>
      <c r="KG146" s="1">
        <v>0</v>
      </c>
      <c r="KH146" s="1">
        <v>0</v>
      </c>
      <c r="KI146" s="1">
        <v>0</v>
      </c>
      <c r="KJ146" s="1">
        <v>0</v>
      </c>
      <c r="KK146" s="1" t="s">
        <v>882</v>
      </c>
      <c r="KL146" s="1" t="s">
        <v>882</v>
      </c>
      <c r="KM146" s="1">
        <v>0</v>
      </c>
      <c r="KN146" s="1">
        <v>0</v>
      </c>
      <c r="KO146" s="1" t="s">
        <v>882</v>
      </c>
      <c r="KP146" s="1" t="s">
        <v>882</v>
      </c>
      <c r="KQ146" s="1">
        <v>2</v>
      </c>
      <c r="KR146" s="1" t="s">
        <v>882</v>
      </c>
      <c r="KS146" s="1">
        <v>0</v>
      </c>
      <c r="KT146" s="1" t="s">
        <v>882</v>
      </c>
      <c r="KU146" s="1">
        <v>29.870940000000001</v>
      </c>
      <c r="KV146" s="1">
        <v>-84.591399999999993</v>
      </c>
      <c r="KW146" s="5"/>
      <c r="KX146" s="1">
        <v>0</v>
      </c>
      <c r="KY146" s="1" t="s">
        <v>882</v>
      </c>
      <c r="KZ146" s="1">
        <v>0</v>
      </c>
      <c r="LA146" s="1" t="s">
        <v>882</v>
      </c>
      <c r="LB146" s="1">
        <v>0</v>
      </c>
      <c r="LC146" s="1" t="s">
        <v>882</v>
      </c>
      <c r="LD146" s="1">
        <v>0</v>
      </c>
      <c r="LE146" s="1" t="s">
        <v>882</v>
      </c>
      <c r="LF146" s="5"/>
      <c r="LG146" s="5"/>
      <c r="LH146" s="5"/>
      <c r="LI146" s="5"/>
      <c r="LJ146" s="5"/>
      <c r="LK146" s="5"/>
      <c r="LL146" s="5"/>
      <c r="LM146" s="5"/>
      <c r="LN146" s="5"/>
      <c r="LO146" s="5"/>
      <c r="LP146" s="5"/>
      <c r="LQ146" s="5"/>
      <c r="LR146" s="5"/>
      <c r="LS146" s="5"/>
      <c r="LT146" s="5"/>
      <c r="LU146" s="5"/>
      <c r="LV146" s="5"/>
      <c r="LW146" s="5"/>
      <c r="LX146" s="1" t="s">
        <v>893</v>
      </c>
    </row>
    <row r="147" spans="1:336" ht="15" x14ac:dyDescent="0.25">
      <c r="A147" s="1" t="s">
        <v>894</v>
      </c>
      <c r="B147" s="2">
        <v>27.74878</v>
      </c>
      <c r="C147" s="2">
        <v>-82.629199999999997</v>
      </c>
      <c r="D147" s="2">
        <v>27.75591</v>
      </c>
      <c r="E147" s="2">
        <v>-82.629499999999993</v>
      </c>
      <c r="F147" s="3">
        <v>43133</v>
      </c>
      <c r="G147" s="1" t="s">
        <v>895</v>
      </c>
      <c r="H147" s="1" t="s">
        <v>896</v>
      </c>
      <c r="I147" s="1" t="s">
        <v>329</v>
      </c>
      <c r="J147" s="4">
        <v>0.68819444444444444</v>
      </c>
      <c r="K147" s="1" t="s">
        <v>375</v>
      </c>
      <c r="L147" s="1" t="s">
        <v>441</v>
      </c>
      <c r="M147" s="5"/>
      <c r="N147" s="1" t="s">
        <v>333</v>
      </c>
      <c r="O147" s="2"/>
      <c r="P147" s="2"/>
      <c r="Q147" s="2"/>
      <c r="R147" s="2"/>
      <c r="S147" s="2"/>
      <c r="T147" s="2"/>
      <c r="U147" s="2"/>
      <c r="V147" s="2"/>
      <c r="W147" s="2"/>
      <c r="X147" s="2"/>
      <c r="Y147" s="2"/>
      <c r="Z147" s="2"/>
      <c r="AA147" s="2"/>
      <c r="AB147" s="2"/>
      <c r="AC147" s="2"/>
      <c r="AD147" s="2"/>
      <c r="AE147" s="2"/>
      <c r="AF147" s="2"/>
      <c r="AG147" s="2"/>
      <c r="AH147" s="2"/>
      <c r="AI147" s="2"/>
      <c r="AJ147" s="2"/>
      <c r="AK147" s="2"/>
      <c r="AL147" s="2">
        <v>5</v>
      </c>
      <c r="AM147" s="2"/>
      <c r="AN147" s="2"/>
      <c r="AO147" s="2"/>
      <c r="AP147" s="2"/>
      <c r="AQ147" s="2"/>
      <c r="AR147" s="2"/>
      <c r="AS147" s="2"/>
      <c r="AT147" s="2">
        <v>3</v>
      </c>
      <c r="AU147" s="2"/>
      <c r="AV147" s="2"/>
      <c r="AW147" s="2"/>
      <c r="AX147" s="2">
        <v>1</v>
      </c>
      <c r="AY147" s="2"/>
      <c r="AZ147" s="2"/>
      <c r="BA147" s="2"/>
      <c r="BB147" s="2">
        <v>68</v>
      </c>
      <c r="BC147" s="2"/>
      <c r="BD147" s="2"/>
      <c r="BE147" s="2"/>
      <c r="BF147" s="2"/>
      <c r="BG147" s="2"/>
      <c r="BH147" s="2"/>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row>
    <row r="148" spans="1:336" ht="15" x14ac:dyDescent="0.25">
      <c r="A148" s="1" t="s">
        <v>897</v>
      </c>
      <c r="B148" s="2">
        <v>26.83943</v>
      </c>
      <c r="C148" s="2">
        <v>-82.2988</v>
      </c>
      <c r="D148" s="2">
        <v>26.815909999999999</v>
      </c>
      <c r="E148" s="2">
        <v>-82.281400000000005</v>
      </c>
      <c r="F148" s="3">
        <v>43137</v>
      </c>
      <c r="G148" s="1" t="s">
        <v>898</v>
      </c>
      <c r="H148" s="1" t="s">
        <v>899</v>
      </c>
      <c r="I148" s="1" t="s">
        <v>329</v>
      </c>
      <c r="J148" s="4">
        <v>0.5</v>
      </c>
      <c r="K148" s="5"/>
      <c r="L148" s="1" t="s">
        <v>369</v>
      </c>
      <c r="M148" s="5"/>
      <c r="N148" s="1" t="s">
        <v>333</v>
      </c>
      <c r="O148" s="2"/>
      <c r="P148" s="2"/>
      <c r="Q148" s="2">
        <v>1</v>
      </c>
      <c r="R148" s="2"/>
      <c r="S148" s="2"/>
      <c r="T148" s="2"/>
      <c r="U148" s="2"/>
      <c r="V148" s="2"/>
      <c r="W148" s="2"/>
      <c r="X148" s="2"/>
      <c r="Y148" s="2"/>
      <c r="Z148" s="2"/>
      <c r="AA148" s="2"/>
      <c r="AB148" s="2"/>
      <c r="AC148" s="2"/>
      <c r="AD148" s="2">
        <v>4</v>
      </c>
      <c r="AE148" s="2">
        <v>76</v>
      </c>
      <c r="AF148" s="2">
        <v>12</v>
      </c>
      <c r="AG148" s="2"/>
      <c r="AH148" s="2"/>
      <c r="AI148" s="2"/>
      <c r="AJ148" s="2"/>
      <c r="AK148" s="2"/>
      <c r="AL148" s="2">
        <v>31</v>
      </c>
      <c r="AM148" s="2"/>
      <c r="AN148" s="2"/>
      <c r="AO148" s="2"/>
      <c r="AP148" s="2"/>
      <c r="AQ148" s="2">
        <v>34</v>
      </c>
      <c r="AR148" s="2"/>
      <c r="AS148" s="2"/>
      <c r="AT148" s="2">
        <v>2</v>
      </c>
      <c r="AU148" s="2"/>
      <c r="AV148" s="2"/>
      <c r="AW148" s="2"/>
      <c r="AX148" s="2"/>
      <c r="AY148" s="2"/>
      <c r="AZ148" s="2"/>
      <c r="BA148" s="2"/>
      <c r="BB148" s="2"/>
      <c r="BC148" s="2"/>
      <c r="BD148" s="2">
        <v>4</v>
      </c>
      <c r="BE148" s="2">
        <v>1</v>
      </c>
      <c r="BF148" s="2">
        <v>4</v>
      </c>
      <c r="BG148" s="2"/>
      <c r="BH148" s="2"/>
      <c r="BI148" s="1">
        <v>0</v>
      </c>
      <c r="BJ148" s="1">
        <v>0</v>
      </c>
      <c r="BK148" s="1">
        <v>34</v>
      </c>
      <c r="BL148" s="1">
        <v>0</v>
      </c>
      <c r="BM148" s="1">
        <v>26.815290000000001</v>
      </c>
      <c r="BN148" s="1">
        <v>-82.282399999999996</v>
      </c>
      <c r="BO148" s="1">
        <v>0</v>
      </c>
      <c r="BP148" s="1">
        <v>0</v>
      </c>
      <c r="BQ148" s="1">
        <v>0</v>
      </c>
      <c r="BR148" s="1">
        <v>0</v>
      </c>
      <c r="BS148" s="1">
        <v>0</v>
      </c>
      <c r="BT148" s="1">
        <v>0</v>
      </c>
      <c r="BU148" s="1">
        <v>0</v>
      </c>
      <c r="BV148" s="1">
        <v>0</v>
      </c>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1" t="s">
        <v>900</v>
      </c>
    </row>
    <row r="149" spans="1:336" ht="15" x14ac:dyDescent="0.25">
      <c r="A149" s="1" t="s">
        <v>901</v>
      </c>
      <c r="B149" s="2">
        <v>29.625769999999999</v>
      </c>
      <c r="C149" s="2">
        <v>-85.091300000000004</v>
      </c>
      <c r="D149" s="2">
        <v>29.616119999999999</v>
      </c>
      <c r="E149" s="2">
        <v>-84.962400000000002</v>
      </c>
      <c r="F149" s="3">
        <v>43138</v>
      </c>
      <c r="G149" s="1" t="s">
        <v>707</v>
      </c>
      <c r="H149" s="1" t="s">
        <v>639</v>
      </c>
      <c r="I149" s="1" t="s">
        <v>329</v>
      </c>
      <c r="J149" s="4">
        <v>0.41319444444444442</v>
      </c>
      <c r="K149" s="1" t="s">
        <v>375</v>
      </c>
      <c r="L149" s="1" t="s">
        <v>364</v>
      </c>
      <c r="M149" s="5"/>
      <c r="N149" s="1" t="s">
        <v>333</v>
      </c>
      <c r="O149" s="2"/>
      <c r="P149" s="2"/>
      <c r="Q149" s="2">
        <v>13</v>
      </c>
      <c r="R149" s="2">
        <v>29</v>
      </c>
      <c r="S149" s="2"/>
      <c r="T149" s="2">
        <v>10</v>
      </c>
      <c r="U149" s="2"/>
      <c r="V149" s="2"/>
      <c r="W149" s="2"/>
      <c r="X149" s="2"/>
      <c r="Y149" s="2"/>
      <c r="Z149" s="2"/>
      <c r="AA149" s="2"/>
      <c r="AB149" s="2"/>
      <c r="AC149" s="2">
        <v>1</v>
      </c>
      <c r="AD149" s="2">
        <v>43</v>
      </c>
      <c r="AE149" s="2">
        <v>171</v>
      </c>
      <c r="AF149" s="2">
        <v>11</v>
      </c>
      <c r="AG149" s="2"/>
      <c r="AH149" s="2">
        <v>11</v>
      </c>
      <c r="AI149" s="2"/>
      <c r="AJ149" s="2"/>
      <c r="AK149" s="2"/>
      <c r="AL149" s="2">
        <v>41</v>
      </c>
      <c r="AM149" s="2"/>
      <c r="AN149" s="2"/>
      <c r="AO149" s="2"/>
      <c r="AP149" s="2"/>
      <c r="AQ149" s="2">
        <v>3</v>
      </c>
      <c r="AR149" s="2">
        <v>31</v>
      </c>
      <c r="AS149" s="2"/>
      <c r="AT149" s="2">
        <v>79</v>
      </c>
      <c r="AU149" s="2"/>
      <c r="AV149" s="2"/>
      <c r="AW149" s="2">
        <v>186</v>
      </c>
      <c r="AX149" s="2">
        <v>291</v>
      </c>
      <c r="AY149" s="2"/>
      <c r="AZ149" s="2"/>
      <c r="BA149" s="2">
        <v>210</v>
      </c>
      <c r="BB149" s="2">
        <v>107</v>
      </c>
      <c r="BC149" s="2"/>
      <c r="BD149" s="2">
        <v>120</v>
      </c>
      <c r="BE149" s="2">
        <v>64</v>
      </c>
      <c r="BF149" s="2"/>
      <c r="BG149" s="2"/>
      <c r="BH149" s="2"/>
      <c r="BI149" s="5"/>
      <c r="BJ149" s="5"/>
      <c r="BK149" s="5"/>
      <c r="BL149" s="5"/>
      <c r="BM149" s="1">
        <v>29.594930000000002</v>
      </c>
      <c r="BN149" s="1">
        <v>-85.056299999999993</v>
      </c>
      <c r="BO149" s="5"/>
      <c r="BP149" s="5"/>
      <c r="BQ149" s="5"/>
      <c r="BR149" s="5"/>
      <c r="BS149" s="1">
        <v>2</v>
      </c>
      <c r="BT149" s="5"/>
      <c r="BU149" s="5"/>
      <c r="BV149" s="5"/>
      <c r="BW149" s="5"/>
      <c r="BX149" s="5"/>
      <c r="BY149" s="5"/>
      <c r="BZ149" s="5"/>
      <c r="CA149" s="1">
        <v>29.60371</v>
      </c>
      <c r="CB149" s="1">
        <v>-85.067499999999995</v>
      </c>
      <c r="CC149" s="5"/>
      <c r="CD149" s="5"/>
      <c r="CE149" s="5"/>
      <c r="CF149" s="5"/>
      <c r="CG149" s="5"/>
      <c r="CH149" s="1">
        <v>2</v>
      </c>
      <c r="CI149" s="1" t="s">
        <v>902</v>
      </c>
      <c r="CJ149" s="5"/>
      <c r="CK149" s="5"/>
      <c r="CL149" s="5"/>
      <c r="CM149" s="5"/>
      <c r="CN149" s="5"/>
      <c r="CO149" s="5"/>
      <c r="CP149" s="1">
        <v>29.60707</v>
      </c>
      <c r="CQ149" s="1">
        <v>-85.072199999999995</v>
      </c>
      <c r="CR149" s="1" t="s">
        <v>903</v>
      </c>
      <c r="CS149" s="5"/>
      <c r="CT149" s="5"/>
      <c r="CU149" s="5"/>
      <c r="CV149" s="5"/>
      <c r="CW149" s="5"/>
      <c r="CX149" s="5"/>
      <c r="CY149" s="5"/>
      <c r="CZ149" s="5"/>
      <c r="DA149" s="5"/>
      <c r="DB149" s="5"/>
      <c r="DC149" s="5"/>
      <c r="DD149" s="5"/>
      <c r="DE149" s="1">
        <v>29.61768</v>
      </c>
      <c r="DF149" s="1">
        <v>-85.089399999999998</v>
      </c>
      <c r="DG149" s="5"/>
      <c r="DH149" s="5"/>
      <c r="DI149" s="5"/>
      <c r="DJ149" s="5"/>
      <c r="DK149" s="5"/>
      <c r="DL149" s="1">
        <v>6</v>
      </c>
      <c r="DM149" s="5"/>
      <c r="DN149" s="5"/>
      <c r="DO149" s="5"/>
      <c r="DP149" s="5"/>
      <c r="DQ149" s="5"/>
      <c r="DR149" s="5"/>
      <c r="DS149" s="5"/>
      <c r="DT149" s="1">
        <v>29.61983</v>
      </c>
      <c r="DU149" s="1">
        <v>-85.093500000000006</v>
      </c>
      <c r="DV149" s="1" t="s">
        <v>904</v>
      </c>
      <c r="DW149" s="5"/>
      <c r="DX149" s="5"/>
      <c r="DY149" s="5"/>
      <c r="DZ149" s="5"/>
      <c r="EA149" s="5"/>
      <c r="EB149" s="5"/>
      <c r="EC149" s="5"/>
      <c r="ED149" s="5"/>
      <c r="EE149" s="5"/>
      <c r="EF149" s="5"/>
      <c r="EG149" s="5"/>
      <c r="EH149" s="5"/>
      <c r="EI149" s="1">
        <v>29.625430000000001</v>
      </c>
      <c r="EJ149" s="1">
        <v>-85.093500000000006</v>
      </c>
      <c r="EK149" s="5"/>
      <c r="EL149" s="5"/>
      <c r="EM149" s="5"/>
      <c r="EN149" s="1">
        <v>1</v>
      </c>
      <c r="EO149" s="5"/>
      <c r="EP149" s="5"/>
      <c r="EQ149" s="5"/>
      <c r="ER149" s="5"/>
      <c r="ES149" s="5"/>
      <c r="ET149" s="5"/>
      <c r="EU149" s="5"/>
      <c r="EV149" s="5"/>
      <c r="EW149" s="5"/>
      <c r="EX149" s="1">
        <v>29.587399999999999</v>
      </c>
      <c r="EY149" s="1">
        <v>-85.0441</v>
      </c>
      <c r="EZ149" s="1" t="s">
        <v>905</v>
      </c>
      <c r="FA149" s="5"/>
      <c r="FB149" s="5"/>
      <c r="FC149" s="5"/>
      <c r="FD149" s="5"/>
      <c r="FE149" s="5"/>
      <c r="FF149" s="5"/>
      <c r="FG149" s="5"/>
      <c r="FH149" s="5"/>
      <c r="FI149" s="5"/>
      <c r="FJ149" s="5"/>
      <c r="FK149" s="5"/>
      <c r="FL149" s="5"/>
      <c r="FM149" s="1">
        <v>29.587389999999999</v>
      </c>
      <c r="FN149" s="1">
        <v>-85.043899999999994</v>
      </c>
      <c r="FO149" s="5"/>
      <c r="FP149" s="5"/>
      <c r="FQ149" s="5"/>
      <c r="FR149" s="5"/>
      <c r="FS149" s="5"/>
      <c r="FT149" s="1">
        <v>1</v>
      </c>
      <c r="FU149" s="5"/>
      <c r="FV149" s="5"/>
      <c r="FW149" s="5"/>
      <c r="FX149" s="5"/>
      <c r="FY149" s="5"/>
      <c r="FZ149" s="5"/>
      <c r="GA149" s="5"/>
      <c r="GB149" s="1">
        <v>29.61177</v>
      </c>
      <c r="GC149" s="1">
        <v>-84.958699999999993</v>
      </c>
      <c r="GD149" s="1" t="s">
        <v>906</v>
      </c>
      <c r="GE149" s="5"/>
      <c r="GF149" s="5"/>
      <c r="GG149" s="5"/>
      <c r="GH149" s="5"/>
      <c r="GI149" s="5"/>
      <c r="GJ149" s="5"/>
      <c r="GK149" s="5"/>
      <c r="GL149" s="5"/>
      <c r="GM149" s="5"/>
      <c r="GN149" s="5"/>
      <c r="GO149" s="1">
        <v>3</v>
      </c>
      <c r="GP149" s="5"/>
      <c r="GQ149" s="1">
        <v>29.612760000000002</v>
      </c>
      <c r="GR149" s="1">
        <v>-84.960300000000004</v>
      </c>
      <c r="GS149" s="1" t="s">
        <v>907</v>
      </c>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row>
    <row r="150" spans="1:336" ht="15" x14ac:dyDescent="0.25">
      <c r="A150" s="1" t="s">
        <v>908</v>
      </c>
      <c r="B150" s="2">
        <v>30.486599999999999</v>
      </c>
      <c r="C150" s="2">
        <v>-81.425799999999995</v>
      </c>
      <c r="D150" s="2">
        <v>30.425940000000001</v>
      </c>
      <c r="E150" s="2">
        <v>-81.410700000000006</v>
      </c>
      <c r="F150" s="3">
        <v>43137</v>
      </c>
      <c r="G150" s="1" t="s">
        <v>390</v>
      </c>
      <c r="H150" s="1" t="s">
        <v>391</v>
      </c>
      <c r="I150" s="1" t="s">
        <v>329</v>
      </c>
      <c r="J150" s="4">
        <v>0.35069444444444442</v>
      </c>
      <c r="K150" s="1" t="s">
        <v>368</v>
      </c>
      <c r="L150" s="1" t="s">
        <v>364</v>
      </c>
      <c r="M150" s="1" t="s">
        <v>909</v>
      </c>
      <c r="N150" s="1" t="s">
        <v>333</v>
      </c>
      <c r="O150" s="2">
        <v>3</v>
      </c>
      <c r="P150" s="2"/>
      <c r="Q150" s="2">
        <v>27</v>
      </c>
      <c r="R150" s="2">
        <v>155</v>
      </c>
      <c r="S150" s="2">
        <v>1</v>
      </c>
      <c r="T150" s="2"/>
      <c r="U150" s="2">
        <v>1</v>
      </c>
      <c r="V150" s="2"/>
      <c r="W150" s="2"/>
      <c r="X150" s="2"/>
      <c r="Y150" s="2">
        <v>50</v>
      </c>
      <c r="Z150" s="2"/>
      <c r="AA150" s="2"/>
      <c r="AB150" s="2">
        <v>22</v>
      </c>
      <c r="AC150" s="2">
        <v>5</v>
      </c>
      <c r="AD150" s="2">
        <v>1</v>
      </c>
      <c r="AE150" s="2">
        <v>43</v>
      </c>
      <c r="AF150" s="2">
        <v>2</v>
      </c>
      <c r="AG150" s="2"/>
      <c r="AH150" s="2"/>
      <c r="AI150" s="2"/>
      <c r="AJ150" s="2">
        <v>5</v>
      </c>
      <c r="AK150" s="2"/>
      <c r="AL150" s="2">
        <v>3</v>
      </c>
      <c r="AM150" s="2">
        <v>2</v>
      </c>
      <c r="AN150" s="2"/>
      <c r="AO150" s="2"/>
      <c r="AP150" s="2"/>
      <c r="AQ150" s="2"/>
      <c r="AR150" s="2">
        <v>10</v>
      </c>
      <c r="AS150" s="2"/>
      <c r="AT150" s="2">
        <v>3</v>
      </c>
      <c r="AU150" s="2"/>
      <c r="AV150" s="2"/>
      <c r="AW150" s="2">
        <v>3</v>
      </c>
      <c r="AX150" s="2">
        <v>13</v>
      </c>
      <c r="AY150" s="2"/>
      <c r="AZ150" s="2"/>
      <c r="BA150" s="2">
        <v>6</v>
      </c>
      <c r="BB150" s="2">
        <v>30</v>
      </c>
      <c r="BC150" s="2">
        <v>2</v>
      </c>
      <c r="BD150" s="2">
        <v>37</v>
      </c>
      <c r="BE150" s="2">
        <v>18</v>
      </c>
      <c r="BF150" s="2"/>
      <c r="BG150" s="2"/>
      <c r="BH150" s="2"/>
      <c r="BI150" s="1">
        <v>2</v>
      </c>
      <c r="BJ150" s="1" t="s">
        <v>394</v>
      </c>
      <c r="BK150" s="1">
        <v>0</v>
      </c>
      <c r="BL150" s="1" t="s">
        <v>393</v>
      </c>
      <c r="BM150" s="1">
        <v>30.48582</v>
      </c>
      <c r="BN150" s="1">
        <v>-81.424499999999995</v>
      </c>
      <c r="BO150" s="1">
        <v>0</v>
      </c>
      <c r="BP150" s="1" t="s">
        <v>393</v>
      </c>
      <c r="BQ150" s="1">
        <v>0</v>
      </c>
      <c r="BR150" s="1" t="s">
        <v>393</v>
      </c>
      <c r="BS150" s="1">
        <v>0</v>
      </c>
      <c r="BT150" s="1" t="s">
        <v>393</v>
      </c>
      <c r="BU150" s="1">
        <v>0</v>
      </c>
      <c r="BV150" s="1" t="s">
        <v>393</v>
      </c>
      <c r="BW150" s="1">
        <v>1</v>
      </c>
      <c r="BX150" s="1" t="s">
        <v>910</v>
      </c>
      <c r="BY150" s="1">
        <v>0</v>
      </c>
      <c r="BZ150" s="1" t="s">
        <v>393</v>
      </c>
      <c r="CA150" s="1">
        <v>30.487690000000001</v>
      </c>
      <c r="CB150" s="1">
        <v>-81.418400000000005</v>
      </c>
      <c r="CC150" s="1" t="s">
        <v>911</v>
      </c>
      <c r="CD150" s="1">
        <v>0</v>
      </c>
      <c r="CE150" s="1" t="s">
        <v>393</v>
      </c>
      <c r="CF150" s="1">
        <v>0</v>
      </c>
      <c r="CG150" s="1" t="s">
        <v>393</v>
      </c>
      <c r="CH150" s="1">
        <v>0</v>
      </c>
      <c r="CI150" s="1" t="s">
        <v>393</v>
      </c>
      <c r="CJ150" s="1">
        <v>0</v>
      </c>
      <c r="CK150" s="1" t="s">
        <v>393</v>
      </c>
      <c r="CL150" s="1">
        <v>0</v>
      </c>
      <c r="CM150" s="1" t="s">
        <v>393</v>
      </c>
      <c r="CN150" s="1">
        <v>0</v>
      </c>
      <c r="CO150" s="1" t="s">
        <v>393</v>
      </c>
      <c r="CP150" s="1">
        <v>30.48678</v>
      </c>
      <c r="CQ150" s="1">
        <v>-81.4178</v>
      </c>
      <c r="CR150" s="5"/>
      <c r="CS150" s="1">
        <v>0</v>
      </c>
      <c r="CT150" s="1" t="s">
        <v>393</v>
      </c>
      <c r="CU150" s="1">
        <v>0</v>
      </c>
      <c r="CV150" s="1" t="s">
        <v>393</v>
      </c>
      <c r="CW150" s="1">
        <v>0</v>
      </c>
      <c r="CX150" s="1" t="s">
        <v>393</v>
      </c>
      <c r="CY150" s="1">
        <v>2</v>
      </c>
      <c r="CZ150" s="1" t="s">
        <v>394</v>
      </c>
      <c r="DA150" s="1">
        <v>0</v>
      </c>
      <c r="DB150" s="1" t="s">
        <v>393</v>
      </c>
      <c r="DC150" s="1">
        <v>0</v>
      </c>
      <c r="DD150" s="1" t="s">
        <v>393</v>
      </c>
      <c r="DE150" s="1">
        <v>30.4847</v>
      </c>
      <c r="DF150" s="1">
        <v>-81.415300000000002</v>
      </c>
      <c r="DG150" s="5"/>
      <c r="DH150" s="1">
        <v>16</v>
      </c>
      <c r="DI150" s="1" t="s">
        <v>912</v>
      </c>
      <c r="DJ150" s="1">
        <v>5</v>
      </c>
      <c r="DK150" s="1" t="s">
        <v>394</v>
      </c>
      <c r="DL150" s="1">
        <v>0</v>
      </c>
      <c r="DM150" s="1" t="s">
        <v>393</v>
      </c>
      <c r="DN150" s="1">
        <v>0</v>
      </c>
      <c r="DO150" s="1" t="s">
        <v>393</v>
      </c>
      <c r="DP150" s="1">
        <v>0</v>
      </c>
      <c r="DQ150" s="1" t="s">
        <v>393</v>
      </c>
      <c r="DR150" s="1">
        <v>0</v>
      </c>
      <c r="DS150" s="1" t="s">
        <v>393</v>
      </c>
      <c r="DT150" s="1">
        <v>30.439769999999999</v>
      </c>
      <c r="DU150" s="1">
        <v>-81.408100000000005</v>
      </c>
      <c r="DV150" s="5"/>
      <c r="DW150" s="1">
        <v>5</v>
      </c>
      <c r="DX150" s="1" t="s">
        <v>913</v>
      </c>
      <c r="DY150" s="1">
        <v>0</v>
      </c>
      <c r="DZ150" s="1" t="s">
        <v>393</v>
      </c>
      <c r="EA150" s="1">
        <v>0</v>
      </c>
      <c r="EB150" s="1" t="s">
        <v>393</v>
      </c>
      <c r="EC150" s="1">
        <v>0</v>
      </c>
      <c r="ED150" s="1" t="s">
        <v>393</v>
      </c>
      <c r="EE150" s="1">
        <v>0</v>
      </c>
      <c r="EF150" s="1" t="s">
        <v>393</v>
      </c>
      <c r="EG150" s="1">
        <v>0</v>
      </c>
      <c r="EH150" s="1" t="s">
        <v>393</v>
      </c>
      <c r="EI150" s="1">
        <v>30.4329</v>
      </c>
      <c r="EJ150" s="1">
        <v>-81.406999999999996</v>
      </c>
      <c r="EK150" s="1" t="s">
        <v>393</v>
      </c>
      <c r="EL150" s="1">
        <v>1</v>
      </c>
      <c r="EM150" s="1" t="s">
        <v>394</v>
      </c>
      <c r="EN150" s="1">
        <v>0</v>
      </c>
      <c r="EO150" s="1" t="s">
        <v>393</v>
      </c>
      <c r="EP150" s="1">
        <v>0</v>
      </c>
      <c r="EQ150" s="1" t="s">
        <v>393</v>
      </c>
      <c r="ER150" s="1">
        <v>0</v>
      </c>
      <c r="ES150" s="1" t="s">
        <v>393</v>
      </c>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c r="LV150" s="5"/>
      <c r="LW150" s="5"/>
      <c r="LX150" s="1" t="s">
        <v>393</v>
      </c>
    </row>
    <row r="151" spans="1:336" ht="15" x14ac:dyDescent="0.25">
      <c r="A151" s="1" t="s">
        <v>914</v>
      </c>
      <c r="B151" s="2">
        <v>24.811789999999998</v>
      </c>
      <c r="C151" s="2">
        <v>-80.826099999999997</v>
      </c>
      <c r="D151" s="2">
        <v>24.80584</v>
      </c>
      <c r="E151" s="2">
        <v>-80.841300000000004</v>
      </c>
      <c r="F151" s="3">
        <v>43137</v>
      </c>
      <c r="G151" s="1" t="s">
        <v>439</v>
      </c>
      <c r="H151" s="1" t="s">
        <v>440</v>
      </c>
      <c r="I151" s="1" t="s">
        <v>329</v>
      </c>
      <c r="J151" s="4">
        <v>0.32777777777777778</v>
      </c>
      <c r="K151" s="1" t="s">
        <v>330</v>
      </c>
      <c r="L151" s="1" t="s">
        <v>441</v>
      </c>
      <c r="M151" s="5"/>
      <c r="N151" s="1" t="s">
        <v>333</v>
      </c>
      <c r="O151" s="2"/>
      <c r="P151" s="2"/>
      <c r="Q151" s="2">
        <v>4</v>
      </c>
      <c r="R151" s="2"/>
      <c r="S151" s="2"/>
      <c r="T151" s="2"/>
      <c r="U151" s="2"/>
      <c r="V151" s="2"/>
      <c r="W151" s="2"/>
      <c r="X151" s="2"/>
      <c r="Y151" s="2">
        <v>26</v>
      </c>
      <c r="Z151" s="2"/>
      <c r="AA151" s="2"/>
      <c r="AB151" s="2">
        <v>4</v>
      </c>
      <c r="AC151" s="2"/>
      <c r="AD151" s="2">
        <v>6</v>
      </c>
      <c r="AE151" s="2">
        <v>99</v>
      </c>
      <c r="AF151" s="2">
        <v>44</v>
      </c>
      <c r="AG151" s="2">
        <v>36</v>
      </c>
      <c r="AH151" s="2"/>
      <c r="AI151" s="2">
        <v>3</v>
      </c>
      <c r="AJ151" s="2"/>
      <c r="AK151" s="2"/>
      <c r="AL151" s="2">
        <v>3</v>
      </c>
      <c r="AM151" s="2"/>
      <c r="AN151" s="2"/>
      <c r="AO151" s="2"/>
      <c r="AP151" s="2"/>
      <c r="AQ151" s="2"/>
      <c r="AR151" s="2"/>
      <c r="AS151" s="2"/>
      <c r="AT151" s="2">
        <v>16</v>
      </c>
      <c r="AU151" s="2"/>
      <c r="AV151" s="2"/>
      <c r="AW151" s="2">
        <v>1</v>
      </c>
      <c r="AX151" s="2"/>
      <c r="AY151" s="2"/>
      <c r="AZ151" s="2"/>
      <c r="BA151" s="2"/>
      <c r="BB151" s="2">
        <v>4</v>
      </c>
      <c r="BC151" s="2">
        <v>2</v>
      </c>
      <c r="BD151" s="2"/>
      <c r="BE151" s="2">
        <v>29</v>
      </c>
      <c r="BF151" s="2"/>
      <c r="BG151" s="2"/>
      <c r="BH151" s="2"/>
      <c r="BI151" s="5"/>
      <c r="BJ151" s="5"/>
      <c r="BK151" s="5"/>
      <c r="BL151" s="5"/>
      <c r="BM151" s="1">
        <v>24.807860000000002</v>
      </c>
      <c r="BN151" s="1">
        <v>-80.834999999999994</v>
      </c>
      <c r="BO151" s="1">
        <v>1</v>
      </c>
      <c r="BP151" s="5"/>
      <c r="BQ151" s="5"/>
      <c r="BR151" s="5"/>
      <c r="BS151" s="5"/>
      <c r="BT151" s="5"/>
      <c r="BU151" s="5"/>
      <c r="BV151" s="5"/>
      <c r="BW151" s="5"/>
      <c r="BX151" s="5"/>
      <c r="BY151" s="5"/>
      <c r="BZ151" s="5"/>
      <c r="CA151" s="1">
        <v>24.80772</v>
      </c>
      <c r="CB151" s="1">
        <v>-80.835499999999996</v>
      </c>
      <c r="CC151" s="5"/>
      <c r="CD151" s="1">
        <v>3</v>
      </c>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row>
    <row r="152" spans="1:336" ht="15" x14ac:dyDescent="0.25">
      <c r="A152" s="1" t="s">
        <v>915</v>
      </c>
      <c r="B152" s="2">
        <v>27.389379999999999</v>
      </c>
      <c r="C152" s="2">
        <v>-82.642600000000002</v>
      </c>
      <c r="D152" s="2">
        <v>27.440650000000002</v>
      </c>
      <c r="E152" s="2">
        <v>-82.686499999999995</v>
      </c>
      <c r="F152" s="3">
        <v>43133</v>
      </c>
      <c r="G152" s="1" t="s">
        <v>916</v>
      </c>
      <c r="H152" s="1" t="s">
        <v>917</v>
      </c>
      <c r="I152" s="1" t="s">
        <v>329</v>
      </c>
      <c r="J152" s="4">
        <v>0.2951388888888889</v>
      </c>
      <c r="K152" s="1" t="s">
        <v>368</v>
      </c>
      <c r="L152" s="1" t="s">
        <v>369</v>
      </c>
      <c r="M152" s="5"/>
      <c r="N152" s="1" t="s">
        <v>333</v>
      </c>
      <c r="O152" s="2"/>
      <c r="P152" s="2"/>
      <c r="Q152" s="2"/>
      <c r="R152" s="2"/>
      <c r="S152" s="2"/>
      <c r="T152" s="2"/>
      <c r="U152" s="2"/>
      <c r="V152" s="2"/>
      <c r="W152" s="2"/>
      <c r="X152" s="2"/>
      <c r="Y152" s="2"/>
      <c r="Z152" s="2"/>
      <c r="AA152" s="2"/>
      <c r="AB152" s="2"/>
      <c r="AC152" s="2"/>
      <c r="AD152" s="2"/>
      <c r="AE152" s="2"/>
      <c r="AF152" s="2"/>
      <c r="AG152" s="2"/>
      <c r="AH152" s="2">
        <v>2</v>
      </c>
      <c r="AI152" s="2"/>
      <c r="AJ152" s="2"/>
      <c r="AK152" s="2"/>
      <c r="AL152" s="2"/>
      <c r="AM152" s="2"/>
      <c r="AN152" s="2"/>
      <c r="AO152" s="2"/>
      <c r="AP152" s="2"/>
      <c r="AQ152" s="2">
        <v>9</v>
      </c>
      <c r="AR152" s="2"/>
      <c r="AS152" s="2"/>
      <c r="AT152" s="2">
        <v>2</v>
      </c>
      <c r="AU152" s="2"/>
      <c r="AV152" s="2"/>
      <c r="AW152" s="2">
        <v>15</v>
      </c>
      <c r="AX152" s="2">
        <v>17</v>
      </c>
      <c r="AY152" s="2"/>
      <c r="AZ152" s="2"/>
      <c r="BA152" s="2">
        <v>1</v>
      </c>
      <c r="BB152" s="2">
        <v>240</v>
      </c>
      <c r="BC152" s="2">
        <v>2</v>
      </c>
      <c r="BD152" s="2">
        <v>87</v>
      </c>
      <c r="BE152" s="2">
        <v>82</v>
      </c>
      <c r="BF152" s="2">
        <v>2</v>
      </c>
      <c r="BG152" s="2"/>
      <c r="BH152" s="2"/>
      <c r="BI152" s="5"/>
      <c r="BJ152" s="5"/>
      <c r="BK152" s="5"/>
      <c r="BL152" s="5"/>
      <c r="BM152" s="1">
        <v>27.431570000000001</v>
      </c>
      <c r="BN152" s="1">
        <v>-82.685400000000001</v>
      </c>
      <c r="BO152" s="5"/>
      <c r="BP152" s="5"/>
      <c r="BQ152" s="5"/>
      <c r="BR152" s="5"/>
      <c r="BS152" s="1">
        <v>2</v>
      </c>
      <c r="BT152" s="1" t="s">
        <v>918</v>
      </c>
      <c r="BU152" s="5"/>
      <c r="BV152" s="5"/>
      <c r="BW152" s="5"/>
      <c r="BX152" s="5"/>
      <c r="BY152" s="1">
        <v>9</v>
      </c>
      <c r="BZ152" s="1" t="s">
        <v>403</v>
      </c>
      <c r="CA152" s="1">
        <v>27.43357</v>
      </c>
      <c r="CB152" s="1">
        <v>-82.687899999999999</v>
      </c>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row>
    <row r="153" spans="1:336" ht="15" x14ac:dyDescent="0.25">
      <c r="A153" s="1" t="s">
        <v>919</v>
      </c>
      <c r="B153" s="2">
        <v>27.32846</v>
      </c>
      <c r="C153" s="2">
        <v>-82.588999999999999</v>
      </c>
      <c r="D153" s="2">
        <v>27.38926</v>
      </c>
      <c r="E153" s="2">
        <v>-82.642600000000002</v>
      </c>
      <c r="F153" s="3">
        <v>43136</v>
      </c>
      <c r="G153" s="1" t="s">
        <v>920</v>
      </c>
      <c r="H153" s="1" t="s">
        <v>917</v>
      </c>
      <c r="I153" s="1" t="s">
        <v>329</v>
      </c>
      <c r="J153" s="4">
        <v>0.30208333333333331</v>
      </c>
      <c r="K153" s="1" t="s">
        <v>375</v>
      </c>
      <c r="L153" s="1" t="s">
        <v>441</v>
      </c>
      <c r="M153" s="5"/>
      <c r="N153" s="1" t="s">
        <v>333</v>
      </c>
      <c r="O153" s="2"/>
      <c r="P153" s="2"/>
      <c r="Q153" s="2">
        <v>5</v>
      </c>
      <c r="R153" s="2"/>
      <c r="S153" s="2"/>
      <c r="T153" s="2"/>
      <c r="U153" s="2"/>
      <c r="V153" s="2"/>
      <c r="W153" s="2"/>
      <c r="X153" s="2"/>
      <c r="Y153" s="2"/>
      <c r="Z153" s="2"/>
      <c r="AA153" s="2"/>
      <c r="AB153" s="2"/>
      <c r="AC153" s="2"/>
      <c r="AD153" s="2">
        <v>13</v>
      </c>
      <c r="AE153" s="2">
        <v>110</v>
      </c>
      <c r="AF153" s="2"/>
      <c r="AG153" s="2"/>
      <c r="AH153" s="2"/>
      <c r="AI153" s="2"/>
      <c r="AJ153" s="2"/>
      <c r="AK153" s="2"/>
      <c r="AL153" s="2">
        <v>11</v>
      </c>
      <c r="AM153" s="2"/>
      <c r="AN153" s="2"/>
      <c r="AO153" s="2"/>
      <c r="AP153" s="2"/>
      <c r="AQ153" s="2"/>
      <c r="AR153" s="2"/>
      <c r="AS153" s="2"/>
      <c r="AT153" s="2">
        <v>9</v>
      </c>
      <c r="AU153" s="2"/>
      <c r="AV153" s="2"/>
      <c r="AW153" s="2">
        <v>61</v>
      </c>
      <c r="AX153" s="2">
        <v>30</v>
      </c>
      <c r="AY153" s="2"/>
      <c r="AZ153" s="2"/>
      <c r="BA153" s="2">
        <v>10</v>
      </c>
      <c r="BB153" s="2">
        <v>48</v>
      </c>
      <c r="BC153" s="2">
        <v>3</v>
      </c>
      <c r="BD153" s="2">
        <v>40</v>
      </c>
      <c r="BE153" s="2">
        <v>130</v>
      </c>
      <c r="BF153" s="2">
        <v>1</v>
      </c>
      <c r="BG153" s="2"/>
      <c r="BH153" s="2"/>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row>
    <row r="154" spans="1:336" ht="15" x14ac:dyDescent="0.25">
      <c r="A154" s="1" t="s">
        <v>921</v>
      </c>
      <c r="B154" s="2">
        <v>26.403690000000001</v>
      </c>
      <c r="C154" s="2">
        <v>-81.878299999999996</v>
      </c>
      <c r="D154" s="2">
        <v>26.379180000000002</v>
      </c>
      <c r="E154" s="2">
        <v>-81.869100000000003</v>
      </c>
      <c r="F154" s="3">
        <v>43139</v>
      </c>
      <c r="G154" s="1" t="s">
        <v>922</v>
      </c>
      <c r="H154" s="1" t="s">
        <v>923</v>
      </c>
      <c r="I154" s="1" t="s">
        <v>329</v>
      </c>
      <c r="J154" s="4">
        <v>0.30555555555555558</v>
      </c>
      <c r="K154" s="5"/>
      <c r="L154" s="5"/>
      <c r="M154" s="5"/>
      <c r="N154" s="1" t="s">
        <v>333</v>
      </c>
      <c r="O154" s="2"/>
      <c r="P154" s="2"/>
      <c r="Q154" s="2"/>
      <c r="R154" s="2"/>
      <c r="S154" s="2"/>
      <c r="T154" s="2"/>
      <c r="U154" s="2"/>
      <c r="V154" s="2"/>
      <c r="W154" s="2"/>
      <c r="X154" s="2"/>
      <c r="Y154" s="2"/>
      <c r="Z154" s="2"/>
      <c r="AA154" s="2"/>
      <c r="AB154" s="2"/>
      <c r="AC154" s="2"/>
      <c r="AD154" s="2">
        <v>10</v>
      </c>
      <c r="AE154" s="2">
        <v>50</v>
      </c>
      <c r="AF154" s="2"/>
      <c r="AG154" s="2"/>
      <c r="AH154" s="2">
        <v>1</v>
      </c>
      <c r="AI154" s="2"/>
      <c r="AJ154" s="2"/>
      <c r="AK154" s="2"/>
      <c r="AL154" s="2">
        <v>50</v>
      </c>
      <c r="AM154" s="2"/>
      <c r="AN154" s="2"/>
      <c r="AO154" s="2"/>
      <c r="AP154" s="2"/>
      <c r="AQ154" s="2"/>
      <c r="AR154" s="2"/>
      <c r="AS154" s="2"/>
      <c r="AT154" s="2">
        <v>3</v>
      </c>
      <c r="AU154" s="2"/>
      <c r="AV154" s="2"/>
      <c r="AW154" s="2"/>
      <c r="AX154" s="2"/>
      <c r="AY154" s="2"/>
      <c r="AZ154" s="2"/>
      <c r="BA154" s="2"/>
      <c r="BB154" s="2">
        <v>5</v>
      </c>
      <c r="BC154" s="2"/>
      <c r="BD154" s="2"/>
      <c r="BE154" s="2"/>
      <c r="BF154" s="2"/>
      <c r="BG154" s="2"/>
      <c r="BH154" s="2"/>
      <c r="BI154" s="5"/>
      <c r="BJ154" s="5"/>
      <c r="BK154" s="5"/>
      <c r="BL154" s="5"/>
      <c r="BM154" s="1">
        <v>26.389530000000001</v>
      </c>
      <c r="BN154" s="1">
        <v>-81.879199999999997</v>
      </c>
      <c r="BO154" s="5"/>
      <c r="BP154" s="5"/>
      <c r="BQ154" s="5"/>
      <c r="BR154" s="5"/>
      <c r="BS154" s="1">
        <v>1</v>
      </c>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row>
    <row r="155" spans="1:336" ht="45" x14ac:dyDescent="0.25">
      <c r="A155" s="8" t="s">
        <v>924</v>
      </c>
      <c r="B155" s="2">
        <v>27.010110000000001</v>
      </c>
      <c r="C155" s="2">
        <v>-82.412599999999998</v>
      </c>
      <c r="D155" s="2">
        <v>27.021699999999999</v>
      </c>
      <c r="E155" s="2">
        <v>-82.419799999999995</v>
      </c>
      <c r="F155" s="3">
        <v>43138</v>
      </c>
      <c r="G155" s="1" t="s">
        <v>925</v>
      </c>
      <c r="H155" s="1" t="s">
        <v>926</v>
      </c>
      <c r="I155" s="1" t="s">
        <v>329</v>
      </c>
      <c r="J155" s="4">
        <v>0.39930555555555558</v>
      </c>
      <c r="K155" s="1" t="s">
        <v>330</v>
      </c>
      <c r="L155" s="1" t="s">
        <v>364</v>
      </c>
      <c r="M155" s="1" t="s">
        <v>927</v>
      </c>
      <c r="N155" s="1" t="s">
        <v>333</v>
      </c>
      <c r="O155" s="2"/>
      <c r="P155" s="2"/>
      <c r="Q155" s="2">
        <v>3</v>
      </c>
      <c r="R155" s="2"/>
      <c r="S155" s="2"/>
      <c r="T155" s="2"/>
      <c r="U155" s="2"/>
      <c r="V155" s="2"/>
      <c r="W155" s="2"/>
      <c r="X155" s="2"/>
      <c r="Y155" s="2"/>
      <c r="Z155" s="2"/>
      <c r="AA155" s="2"/>
      <c r="AB155" s="2"/>
      <c r="AC155" s="2"/>
      <c r="AD155" s="2"/>
      <c r="AE155" s="2"/>
      <c r="AF155" s="2"/>
      <c r="AG155" s="2"/>
      <c r="AH155" s="2"/>
      <c r="AI155" s="2"/>
      <c r="AJ155" s="2"/>
      <c r="AK155" s="2"/>
      <c r="AL155" s="2">
        <v>1</v>
      </c>
      <c r="AM155" s="2"/>
      <c r="AN155" s="2"/>
      <c r="AO155" s="2"/>
      <c r="AP155" s="2"/>
      <c r="AQ155" s="2"/>
      <c r="AR155" s="2"/>
      <c r="AS155" s="2"/>
      <c r="AT155" s="2"/>
      <c r="AU155" s="2"/>
      <c r="AV155" s="2"/>
      <c r="AW155" s="2"/>
      <c r="AX155" s="2">
        <v>6</v>
      </c>
      <c r="AY155" s="2"/>
      <c r="AZ155" s="2"/>
      <c r="BA155" s="2"/>
      <c r="BB155" s="2">
        <v>17</v>
      </c>
      <c r="BC155" s="2"/>
      <c r="BD155" s="2">
        <v>7</v>
      </c>
      <c r="BE155" s="2">
        <v>42</v>
      </c>
      <c r="BF155" s="2"/>
      <c r="BG155" s="2"/>
      <c r="BH155" s="2"/>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row>
    <row r="156" spans="1:336" ht="15" x14ac:dyDescent="0.25">
      <c r="A156" s="1" t="s">
        <v>928</v>
      </c>
      <c r="B156" s="2">
        <v>25.941320000000001</v>
      </c>
      <c r="C156" s="2">
        <v>-81.741600000000005</v>
      </c>
      <c r="D156" s="2">
        <v>25.908560000000001</v>
      </c>
      <c r="E156" s="2">
        <v>-81.729299999999995</v>
      </c>
      <c r="F156" s="3">
        <v>43136</v>
      </c>
      <c r="G156" s="1" t="s">
        <v>566</v>
      </c>
      <c r="H156" s="1" t="s">
        <v>567</v>
      </c>
      <c r="I156" s="1" t="s">
        <v>329</v>
      </c>
      <c r="J156" s="4">
        <v>0.32222222222222224</v>
      </c>
      <c r="K156" s="1" t="s">
        <v>330</v>
      </c>
      <c r="L156" s="1" t="s">
        <v>369</v>
      </c>
      <c r="M156" s="5"/>
      <c r="N156" s="1" t="s">
        <v>333</v>
      </c>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v>160</v>
      </c>
      <c r="AR156" s="2"/>
      <c r="AS156" s="2"/>
      <c r="AT156" s="2">
        <v>51</v>
      </c>
      <c r="AU156" s="2"/>
      <c r="AV156" s="2"/>
      <c r="AW156" s="2">
        <v>68</v>
      </c>
      <c r="AX156" s="2"/>
      <c r="AY156" s="2"/>
      <c r="AZ156" s="2"/>
      <c r="BA156" s="2"/>
      <c r="BB156" s="2">
        <v>49</v>
      </c>
      <c r="BC156" s="2"/>
      <c r="BD156" s="2">
        <v>19</v>
      </c>
      <c r="BE156" s="2">
        <v>144</v>
      </c>
      <c r="BF156" s="2"/>
      <c r="BG156" s="2"/>
      <c r="BH156" s="2"/>
      <c r="BI156" s="1">
        <v>0</v>
      </c>
      <c r="BJ156" s="5"/>
      <c r="BK156" s="1">
        <v>160</v>
      </c>
      <c r="BL156" s="1" t="s">
        <v>929</v>
      </c>
      <c r="BM156" s="1">
        <v>25.928339999999999</v>
      </c>
      <c r="BN156" s="1">
        <v>-81.7316</v>
      </c>
      <c r="BO156" s="1">
        <v>0</v>
      </c>
      <c r="BP156" s="5"/>
      <c r="BQ156" s="1">
        <v>0</v>
      </c>
      <c r="BR156" s="5"/>
      <c r="BS156" s="1">
        <v>0</v>
      </c>
      <c r="BT156" s="5"/>
      <c r="BU156" s="1">
        <v>0</v>
      </c>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1" t="s">
        <v>930</v>
      </c>
    </row>
    <row r="157" spans="1:336" ht="15" x14ac:dyDescent="0.25">
      <c r="A157" s="1" t="s">
        <v>931</v>
      </c>
      <c r="B157" s="2">
        <v>27.166699999999999</v>
      </c>
      <c r="C157" s="2">
        <v>-80.190700000000007</v>
      </c>
      <c r="D157" s="2">
        <v>27.204830000000001</v>
      </c>
      <c r="E157" s="2">
        <v>-80.195300000000003</v>
      </c>
      <c r="F157" s="3">
        <v>43137</v>
      </c>
      <c r="G157" s="1" t="s">
        <v>932</v>
      </c>
      <c r="H157" s="1" t="s">
        <v>876</v>
      </c>
      <c r="I157" s="1" t="s">
        <v>329</v>
      </c>
      <c r="J157" s="4">
        <v>0.3888888888888889</v>
      </c>
      <c r="K157" s="1" t="s">
        <v>633</v>
      </c>
      <c r="L157" s="1" t="s">
        <v>331</v>
      </c>
      <c r="M157" s="5"/>
      <c r="N157" s="5"/>
      <c r="O157" s="2"/>
      <c r="P157" s="2"/>
      <c r="Q157" s="2">
        <v>17</v>
      </c>
      <c r="R157" s="2">
        <v>24</v>
      </c>
      <c r="S157" s="2"/>
      <c r="T157" s="2">
        <v>12</v>
      </c>
      <c r="U157" s="2">
        <v>6</v>
      </c>
      <c r="V157" s="2"/>
      <c r="W157" s="2"/>
      <c r="X157" s="2"/>
      <c r="Y157" s="2"/>
      <c r="Z157" s="2"/>
      <c r="AA157" s="2"/>
      <c r="AB157" s="2">
        <v>3</v>
      </c>
      <c r="AC157" s="2"/>
      <c r="AD157" s="2">
        <v>10</v>
      </c>
      <c r="AE157" s="2">
        <v>58</v>
      </c>
      <c r="AF157" s="2"/>
      <c r="AG157" s="2"/>
      <c r="AH157" s="2"/>
      <c r="AI157" s="2"/>
      <c r="AJ157" s="2"/>
      <c r="AK157" s="2"/>
      <c r="AL157" s="2">
        <v>4</v>
      </c>
      <c r="AM157" s="2">
        <v>1</v>
      </c>
      <c r="AN157" s="2"/>
      <c r="AO157" s="2"/>
      <c r="AP157" s="2"/>
      <c r="AQ157" s="2"/>
      <c r="AR157" s="2"/>
      <c r="AS157" s="2"/>
      <c r="AT157" s="2">
        <v>9</v>
      </c>
      <c r="AU157" s="2"/>
      <c r="AV157" s="2"/>
      <c r="AW157" s="2">
        <v>15</v>
      </c>
      <c r="AX157" s="2"/>
      <c r="AY157" s="2"/>
      <c r="AZ157" s="2"/>
      <c r="BA157" s="2"/>
      <c r="BB157" s="2"/>
      <c r="BC157" s="2"/>
      <c r="BD157" s="2">
        <v>2</v>
      </c>
      <c r="BE157" s="2"/>
      <c r="BF157" s="2"/>
      <c r="BG157" s="2"/>
      <c r="BH157" s="2"/>
      <c r="BI157" s="5"/>
      <c r="BJ157" s="5"/>
      <c r="BK157" s="5"/>
      <c r="BL157" s="5"/>
      <c r="BM157" s="1">
        <v>27.171679999999999</v>
      </c>
      <c r="BN157" s="1">
        <v>-80.183300000000003</v>
      </c>
      <c r="BO157" s="1">
        <v>2</v>
      </c>
      <c r="BP157" s="1" t="s">
        <v>933</v>
      </c>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row>
    <row r="158" spans="1:336" ht="15" x14ac:dyDescent="0.25">
      <c r="A158" s="1" t="s">
        <v>934</v>
      </c>
      <c r="B158" s="2">
        <v>26.986719999999998</v>
      </c>
      <c r="C158" s="2">
        <v>-80.085400000000007</v>
      </c>
      <c r="D158" s="2">
        <v>27.087399999999999</v>
      </c>
      <c r="E158" s="2">
        <v>-80.125200000000007</v>
      </c>
      <c r="F158" s="3">
        <v>43135</v>
      </c>
      <c r="G158" s="1" t="s">
        <v>935</v>
      </c>
      <c r="H158" s="1" t="s">
        <v>936</v>
      </c>
      <c r="I158" s="1" t="s">
        <v>329</v>
      </c>
      <c r="J158" s="4">
        <v>0.6</v>
      </c>
      <c r="K158" s="1" t="s">
        <v>330</v>
      </c>
      <c r="L158" s="1" t="s">
        <v>441</v>
      </c>
      <c r="M158" s="1" t="s">
        <v>937</v>
      </c>
      <c r="N158" s="1" t="s">
        <v>333</v>
      </c>
      <c r="O158" s="2"/>
      <c r="P158" s="2"/>
      <c r="Q158" s="2">
        <v>19</v>
      </c>
      <c r="R158" s="2"/>
      <c r="S158" s="2"/>
      <c r="T158" s="2">
        <v>16</v>
      </c>
      <c r="U158" s="2"/>
      <c r="V158" s="2"/>
      <c r="W158" s="2"/>
      <c r="X158" s="2"/>
      <c r="Y158" s="2"/>
      <c r="Z158" s="2"/>
      <c r="AA158" s="2"/>
      <c r="AB158" s="2"/>
      <c r="AC158" s="2"/>
      <c r="AD158" s="2">
        <v>22</v>
      </c>
      <c r="AE158" s="2">
        <v>60</v>
      </c>
      <c r="AF158" s="2"/>
      <c r="AG158" s="2"/>
      <c r="AH158" s="2"/>
      <c r="AI158" s="2"/>
      <c r="AJ158" s="2"/>
      <c r="AK158" s="2"/>
      <c r="AL158" s="2">
        <v>9</v>
      </c>
      <c r="AM158" s="2"/>
      <c r="AN158" s="2"/>
      <c r="AO158" s="2"/>
      <c r="AP158" s="2"/>
      <c r="AQ158" s="2"/>
      <c r="AR158" s="2"/>
      <c r="AS158" s="2"/>
      <c r="AT158" s="2"/>
      <c r="AU158" s="2"/>
      <c r="AV158" s="2"/>
      <c r="AW158" s="2"/>
      <c r="AX158" s="2"/>
      <c r="AY158" s="2"/>
      <c r="AZ158" s="2"/>
      <c r="BA158" s="2">
        <v>1</v>
      </c>
      <c r="BB158" s="2"/>
      <c r="BC158" s="2">
        <v>6</v>
      </c>
      <c r="BD158" s="2">
        <v>26</v>
      </c>
      <c r="BE158" s="2">
        <v>11</v>
      </c>
      <c r="BF158" s="2"/>
      <c r="BG158" s="2"/>
      <c r="BH158" s="2"/>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row>
    <row r="159" spans="1:336" ht="15" x14ac:dyDescent="0.25">
      <c r="A159" s="1" t="s">
        <v>938</v>
      </c>
      <c r="B159" s="2">
        <v>29.978100000000001</v>
      </c>
      <c r="C159" s="2">
        <v>-84.341899999999995</v>
      </c>
      <c r="D159" s="2">
        <v>29.971029999999999</v>
      </c>
      <c r="E159" s="2">
        <v>-84.343100000000007</v>
      </c>
      <c r="F159" s="3">
        <v>43137</v>
      </c>
      <c r="G159" s="1" t="s">
        <v>939</v>
      </c>
      <c r="H159" s="1" t="s">
        <v>940</v>
      </c>
      <c r="I159" s="1" t="s">
        <v>329</v>
      </c>
      <c r="J159" s="4">
        <v>0.69444444444444442</v>
      </c>
      <c r="K159" s="1" t="s">
        <v>375</v>
      </c>
      <c r="L159" s="1" t="s">
        <v>364</v>
      </c>
      <c r="M159" s="1" t="s">
        <v>941</v>
      </c>
      <c r="N159" s="1" t="s">
        <v>333</v>
      </c>
      <c r="O159" s="2"/>
      <c r="P159" s="2"/>
      <c r="Q159" s="2"/>
      <c r="R159" s="2"/>
      <c r="S159" s="2"/>
      <c r="T159" s="2">
        <v>1</v>
      </c>
      <c r="U159" s="2"/>
      <c r="V159" s="2"/>
      <c r="W159" s="2"/>
      <c r="X159" s="2"/>
      <c r="Y159" s="2"/>
      <c r="Z159" s="2"/>
      <c r="AA159" s="2"/>
      <c r="AB159" s="2"/>
      <c r="AC159" s="2"/>
      <c r="AD159" s="2">
        <v>2</v>
      </c>
      <c r="AE159" s="2"/>
      <c r="AF159" s="2"/>
      <c r="AG159" s="2"/>
      <c r="AH159" s="2"/>
      <c r="AI159" s="2"/>
      <c r="AJ159" s="2"/>
      <c r="AK159" s="2"/>
      <c r="AL159" s="2">
        <v>12</v>
      </c>
      <c r="AM159" s="2"/>
      <c r="AN159" s="2"/>
      <c r="AO159" s="2"/>
      <c r="AP159" s="2"/>
      <c r="AQ159" s="2"/>
      <c r="AR159" s="2"/>
      <c r="AS159" s="2"/>
      <c r="AT159" s="2"/>
      <c r="AU159" s="2"/>
      <c r="AV159" s="2"/>
      <c r="AW159" s="2"/>
      <c r="AX159" s="2"/>
      <c r="AY159" s="2"/>
      <c r="AZ159" s="2"/>
      <c r="BA159" s="2"/>
      <c r="BB159" s="2">
        <v>3</v>
      </c>
      <c r="BC159" s="2"/>
      <c r="BD159" s="2">
        <v>3</v>
      </c>
      <c r="BE159" s="2"/>
      <c r="BF159" s="2"/>
      <c r="BG159" s="2"/>
      <c r="BH159" s="2"/>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row>
    <row r="160" spans="1:336" ht="15" x14ac:dyDescent="0.25">
      <c r="A160" s="1" t="s">
        <v>942</v>
      </c>
      <c r="B160" s="2">
        <v>29.704899999999999</v>
      </c>
      <c r="C160" s="2">
        <v>-81.226799999999997</v>
      </c>
      <c r="D160" s="2">
        <v>29.67886</v>
      </c>
      <c r="E160" s="2">
        <v>-81.212900000000005</v>
      </c>
      <c r="F160" s="3">
        <v>43137</v>
      </c>
      <c r="G160" s="1" t="s">
        <v>943</v>
      </c>
      <c r="H160" s="1" t="s">
        <v>735</v>
      </c>
      <c r="I160" s="1" t="s">
        <v>329</v>
      </c>
      <c r="J160" s="4">
        <v>0.375</v>
      </c>
      <c r="K160" s="1" t="s">
        <v>375</v>
      </c>
      <c r="L160" s="1" t="s">
        <v>364</v>
      </c>
      <c r="M160" s="1" t="s">
        <v>942</v>
      </c>
      <c r="N160" s="1" t="s">
        <v>333</v>
      </c>
      <c r="O160" s="2"/>
      <c r="P160" s="2"/>
      <c r="Q160" s="2">
        <v>2</v>
      </c>
      <c r="R160" s="2"/>
      <c r="S160" s="2"/>
      <c r="T160" s="2"/>
      <c r="U160" s="2"/>
      <c r="V160" s="2"/>
      <c r="W160" s="2"/>
      <c r="X160" s="2"/>
      <c r="Y160" s="2"/>
      <c r="Z160" s="2"/>
      <c r="AA160" s="2"/>
      <c r="AB160" s="2"/>
      <c r="AC160" s="2"/>
      <c r="AD160" s="2"/>
      <c r="AE160" s="2">
        <v>15</v>
      </c>
      <c r="AF160" s="2"/>
      <c r="AG160" s="2"/>
      <c r="AH160" s="2"/>
      <c r="AI160" s="2"/>
      <c r="AJ160" s="2">
        <v>12</v>
      </c>
      <c r="AK160" s="2"/>
      <c r="AL160" s="2">
        <v>1</v>
      </c>
      <c r="AM160" s="2"/>
      <c r="AN160" s="2"/>
      <c r="AO160" s="2"/>
      <c r="AP160" s="2"/>
      <c r="AQ160" s="2"/>
      <c r="AR160" s="2">
        <v>5</v>
      </c>
      <c r="AS160" s="2"/>
      <c r="AT160" s="2">
        <v>15</v>
      </c>
      <c r="AU160" s="2"/>
      <c r="AV160" s="2"/>
      <c r="AW160" s="2"/>
      <c r="AX160" s="2">
        <v>73</v>
      </c>
      <c r="AY160" s="2"/>
      <c r="AZ160" s="2"/>
      <c r="BA160" s="2">
        <v>1</v>
      </c>
      <c r="BB160" s="2">
        <v>17</v>
      </c>
      <c r="BC160" s="2"/>
      <c r="BD160" s="2">
        <v>15</v>
      </c>
      <c r="BE160" s="2">
        <v>8</v>
      </c>
      <c r="BF160" s="2"/>
      <c r="BG160" s="2"/>
      <c r="BH160" s="2"/>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c r="GO160" s="7"/>
      <c r="GP160" s="7"/>
      <c r="GQ160" s="7"/>
      <c r="GR160" s="7"/>
      <c r="GS160" s="7"/>
      <c r="GT160" s="7"/>
      <c r="GU160" s="7"/>
      <c r="GV160" s="7"/>
      <c r="GW160" s="7"/>
      <c r="GX160" s="7"/>
      <c r="GY160" s="7"/>
      <c r="GZ160" s="7"/>
      <c r="HA160" s="7"/>
      <c r="HB160" s="7"/>
      <c r="HC160" s="7"/>
      <c r="HD160" s="7"/>
      <c r="HE160" s="7"/>
      <c r="HF160" s="7"/>
      <c r="HG160" s="7"/>
      <c r="HH160" s="7"/>
      <c r="HI160" s="7"/>
      <c r="HJ160" s="7"/>
      <c r="HK160" s="7"/>
      <c r="HL160" s="7"/>
      <c r="HM160" s="7"/>
      <c r="HN160" s="7"/>
      <c r="HO160" s="7"/>
      <c r="HP160" s="7"/>
      <c r="HQ160" s="7"/>
      <c r="HR160" s="7"/>
      <c r="HS160" s="7"/>
      <c r="HT160" s="7"/>
      <c r="HU160" s="7"/>
      <c r="HV160" s="7"/>
      <c r="HW160" s="7"/>
      <c r="HX160" s="7"/>
      <c r="HY160" s="7"/>
      <c r="HZ160" s="7"/>
      <c r="IA160" s="7"/>
      <c r="IB160" s="7"/>
      <c r="IC160" s="7"/>
      <c r="ID160" s="7"/>
      <c r="IE160" s="7"/>
      <c r="IF160" s="7"/>
      <c r="IG160" s="7"/>
      <c r="IH160" s="7"/>
      <c r="II160" s="7"/>
      <c r="IJ160" s="7"/>
      <c r="IK160" s="7"/>
      <c r="IL160" s="7"/>
      <c r="IM160" s="7"/>
      <c r="IN160" s="7"/>
      <c r="IO160" s="7"/>
      <c r="IP160" s="7"/>
      <c r="IQ160" s="7"/>
      <c r="IR160" s="7"/>
      <c r="IS160" s="7"/>
      <c r="IT160" s="7"/>
      <c r="IU160" s="7"/>
      <c r="IV160" s="7"/>
      <c r="IW160" s="7"/>
      <c r="IX160" s="7"/>
      <c r="IY160" s="7"/>
      <c r="IZ160" s="7"/>
      <c r="JA160" s="7"/>
      <c r="JB160" s="7"/>
      <c r="JC160" s="7"/>
      <c r="JD160" s="7"/>
      <c r="JE160" s="7"/>
      <c r="JF160" s="7"/>
      <c r="JG160" s="7"/>
      <c r="JH160" s="7"/>
      <c r="JI160" s="7"/>
      <c r="JJ160" s="7"/>
      <c r="JK160" s="7"/>
      <c r="JL160" s="7"/>
      <c r="JM160" s="7"/>
      <c r="JN160" s="7"/>
      <c r="JO160" s="7"/>
      <c r="JP160" s="7"/>
      <c r="JQ160" s="7"/>
      <c r="JR160" s="7"/>
      <c r="JS160" s="7"/>
      <c r="JT160" s="7"/>
      <c r="JU160" s="7"/>
      <c r="JV160" s="7"/>
      <c r="JW160" s="7"/>
      <c r="JX160" s="7"/>
      <c r="JY160" s="7"/>
      <c r="JZ160" s="7"/>
      <c r="KA160" s="7"/>
      <c r="KB160" s="7"/>
      <c r="KC160" s="7"/>
      <c r="KD160" s="7"/>
      <c r="KE160" s="7"/>
      <c r="KF160" s="7"/>
      <c r="KG160" s="7"/>
      <c r="KH160" s="7"/>
      <c r="KI160" s="7"/>
      <c r="KJ160" s="7"/>
      <c r="KK160" s="7"/>
      <c r="KL160" s="7"/>
      <c r="KM160" s="7"/>
      <c r="KN160" s="7"/>
      <c r="KO160" s="7"/>
      <c r="KP160" s="7"/>
      <c r="KQ160" s="7"/>
      <c r="KR160" s="7"/>
      <c r="KS160" s="7"/>
      <c r="KT160" s="7"/>
      <c r="KU160" s="7"/>
      <c r="KV160" s="7"/>
      <c r="KW160" s="7"/>
      <c r="KX160" s="7"/>
      <c r="KY160" s="7"/>
      <c r="KZ160" s="7"/>
      <c r="LA160" s="7"/>
      <c r="LB160" s="7"/>
      <c r="LC160" s="7"/>
      <c r="LD160" s="7"/>
      <c r="LE160" s="7"/>
      <c r="LF160" s="7"/>
      <c r="LG160" s="7"/>
      <c r="LH160" s="7"/>
      <c r="LI160" s="7"/>
      <c r="LJ160" s="7"/>
      <c r="LK160" s="7"/>
      <c r="LL160" s="7"/>
      <c r="LM160" s="7"/>
      <c r="LN160" s="7"/>
      <c r="LO160" s="7"/>
      <c r="LP160" s="7"/>
      <c r="LQ160" s="7"/>
      <c r="LR160" s="7"/>
      <c r="LS160" s="7"/>
      <c r="LT160" s="7"/>
      <c r="LU160" s="7"/>
      <c r="LV160" s="7"/>
      <c r="LW160" s="7"/>
      <c r="LX160" s="7"/>
    </row>
    <row r="161" spans="1:336" ht="15" x14ac:dyDescent="0.25">
      <c r="A161" s="1" t="s">
        <v>942</v>
      </c>
      <c r="B161" s="2">
        <v>29.709409999999998</v>
      </c>
      <c r="C161" s="2">
        <v>-81.239900000000006</v>
      </c>
      <c r="D161" s="2">
        <v>29.692789999999999</v>
      </c>
      <c r="E161" s="2">
        <v>-81.227000000000004</v>
      </c>
      <c r="F161" s="3">
        <v>43139</v>
      </c>
      <c r="G161" s="1" t="s">
        <v>943</v>
      </c>
      <c r="H161" s="1" t="s">
        <v>735</v>
      </c>
      <c r="I161" s="1" t="s">
        <v>329</v>
      </c>
      <c r="J161" s="4">
        <v>0.5</v>
      </c>
      <c r="K161" s="1" t="s">
        <v>368</v>
      </c>
      <c r="L161" s="1" t="s">
        <v>364</v>
      </c>
      <c r="M161" s="1" t="s">
        <v>944</v>
      </c>
      <c r="N161" s="1" t="s">
        <v>479</v>
      </c>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v>5</v>
      </c>
      <c r="AU161" s="2">
        <v>2</v>
      </c>
      <c r="AV161" s="2"/>
      <c r="AW161" s="2">
        <v>17</v>
      </c>
      <c r="AX161" s="2">
        <v>6</v>
      </c>
      <c r="AY161" s="2"/>
      <c r="AZ161" s="2"/>
      <c r="BA161" s="2"/>
      <c r="BB161" s="2">
        <v>210</v>
      </c>
      <c r="BC161" s="2"/>
      <c r="BD161" s="2">
        <v>20</v>
      </c>
      <c r="BE161" s="2">
        <v>4</v>
      </c>
      <c r="BF161" s="2"/>
      <c r="BG161" s="2"/>
      <c r="BH161" s="2"/>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c r="GO161" s="7"/>
      <c r="GP161" s="7"/>
      <c r="GQ161" s="7"/>
      <c r="GR161" s="7"/>
      <c r="GS161" s="7"/>
      <c r="GT161" s="7"/>
      <c r="GU161" s="7"/>
      <c r="GV161" s="7"/>
      <c r="GW161" s="7"/>
      <c r="GX161" s="7"/>
      <c r="GY161" s="7"/>
      <c r="GZ161" s="7"/>
      <c r="HA161" s="7"/>
      <c r="HB161" s="7"/>
      <c r="HC161" s="7"/>
      <c r="HD161" s="7"/>
      <c r="HE161" s="7"/>
      <c r="HF161" s="7"/>
      <c r="HG161" s="7"/>
      <c r="HH161" s="7"/>
      <c r="HI161" s="7"/>
      <c r="HJ161" s="7"/>
      <c r="HK161" s="7"/>
      <c r="HL161" s="7"/>
      <c r="HM161" s="7"/>
      <c r="HN161" s="7"/>
      <c r="HO161" s="7"/>
      <c r="HP161" s="7"/>
      <c r="HQ161" s="7"/>
      <c r="HR161" s="7"/>
      <c r="HS161" s="7"/>
      <c r="HT161" s="7"/>
      <c r="HU161" s="7"/>
      <c r="HV161" s="7"/>
      <c r="HW161" s="7"/>
      <c r="HX161" s="7"/>
      <c r="HY161" s="7"/>
      <c r="HZ161" s="7"/>
      <c r="IA161" s="7"/>
      <c r="IB161" s="7"/>
      <c r="IC161" s="7"/>
      <c r="ID161" s="7"/>
      <c r="IE161" s="7"/>
      <c r="IF161" s="7"/>
      <c r="IG161" s="7"/>
      <c r="IH161" s="7"/>
      <c r="II161" s="7"/>
      <c r="IJ161" s="7"/>
      <c r="IK161" s="7"/>
      <c r="IL161" s="7"/>
      <c r="IM161" s="7"/>
      <c r="IN161" s="7"/>
      <c r="IO161" s="7"/>
      <c r="IP161" s="7"/>
      <c r="IQ161" s="7"/>
      <c r="IR161" s="7"/>
      <c r="IS161" s="7"/>
      <c r="IT161" s="7"/>
      <c r="IU161" s="7"/>
      <c r="IV161" s="7"/>
      <c r="IW161" s="7"/>
      <c r="IX161" s="7"/>
      <c r="IY161" s="7"/>
      <c r="IZ161" s="7"/>
      <c r="JA161" s="7"/>
      <c r="JB161" s="7"/>
      <c r="JC161" s="7"/>
      <c r="JD161" s="7"/>
      <c r="JE161" s="7"/>
      <c r="JF161" s="7"/>
      <c r="JG161" s="7"/>
      <c r="JH161" s="7"/>
      <c r="JI161" s="7"/>
      <c r="JJ161" s="7"/>
      <c r="JK161" s="7"/>
      <c r="JL161" s="7"/>
      <c r="JM161" s="7"/>
      <c r="JN161" s="7"/>
      <c r="JO161" s="7"/>
      <c r="JP161" s="7"/>
      <c r="JQ161" s="7"/>
      <c r="JR161" s="7"/>
      <c r="JS161" s="7"/>
      <c r="JT161" s="7"/>
      <c r="JU161" s="7"/>
      <c r="JV161" s="7"/>
      <c r="JW161" s="7"/>
      <c r="JX161" s="7"/>
      <c r="JY161" s="7"/>
      <c r="JZ161" s="7"/>
      <c r="KA161" s="7"/>
      <c r="KB161" s="7"/>
      <c r="KC161" s="7"/>
      <c r="KD161" s="7"/>
      <c r="KE161" s="7"/>
      <c r="KF161" s="7"/>
      <c r="KG161" s="7"/>
      <c r="KH161" s="7"/>
      <c r="KI161" s="7"/>
      <c r="KJ161" s="7"/>
      <c r="KK161" s="7"/>
      <c r="KL161" s="7"/>
      <c r="KM161" s="7"/>
      <c r="KN161" s="7"/>
      <c r="KO161" s="7"/>
      <c r="KP161" s="7"/>
      <c r="KQ161" s="7"/>
      <c r="KR161" s="7"/>
      <c r="KS161" s="7"/>
      <c r="KT161" s="7"/>
      <c r="KU161" s="7"/>
      <c r="KV161" s="7"/>
      <c r="KW161" s="7"/>
      <c r="KX161" s="7"/>
      <c r="KY161" s="7"/>
      <c r="KZ161" s="7"/>
      <c r="LA161" s="7"/>
      <c r="LB161" s="7"/>
      <c r="LC161" s="7"/>
      <c r="LD161" s="7"/>
      <c r="LE161" s="7"/>
      <c r="LF161" s="7"/>
      <c r="LG161" s="7"/>
      <c r="LH161" s="7"/>
      <c r="LI161" s="7"/>
      <c r="LJ161" s="7"/>
      <c r="LK161" s="7"/>
      <c r="LL161" s="7"/>
      <c r="LM161" s="7"/>
      <c r="LN161" s="7"/>
      <c r="LO161" s="7"/>
      <c r="LP161" s="7"/>
      <c r="LQ161" s="7"/>
      <c r="LR161" s="7"/>
      <c r="LS161" s="7"/>
      <c r="LT161" s="7"/>
      <c r="LU161" s="7"/>
      <c r="LV161" s="7"/>
      <c r="LW161" s="7"/>
      <c r="LX161" s="7"/>
    </row>
    <row r="162" spans="1:336" ht="15" x14ac:dyDescent="0.25">
      <c r="A162" s="1" t="s">
        <v>945</v>
      </c>
      <c r="B162" s="5"/>
      <c r="C162" s="5"/>
      <c r="D162" s="5"/>
      <c r="E162" s="5"/>
      <c r="F162" s="3">
        <v>43137</v>
      </c>
      <c r="G162" s="1" t="s">
        <v>946</v>
      </c>
      <c r="H162" s="1" t="s">
        <v>947</v>
      </c>
      <c r="I162" s="1" t="s">
        <v>329</v>
      </c>
      <c r="J162" s="4">
        <v>0.30208333333333331</v>
      </c>
      <c r="K162" s="5"/>
      <c r="L162" s="5"/>
      <c r="M162" s="5"/>
      <c r="N162" s="5"/>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v>161</v>
      </c>
      <c r="AR162" s="2">
        <v>1</v>
      </c>
      <c r="AS162" s="2"/>
      <c r="AT162" s="2">
        <v>5</v>
      </c>
      <c r="AU162" s="2"/>
      <c r="AV162" s="2"/>
      <c r="AW162" s="2">
        <v>33</v>
      </c>
      <c r="AX162" s="2">
        <v>10</v>
      </c>
      <c r="AY162" s="2"/>
      <c r="AZ162" s="2"/>
      <c r="BA162" s="2">
        <v>3</v>
      </c>
      <c r="BB162" s="2">
        <v>137</v>
      </c>
      <c r="BC162" s="2"/>
      <c r="BD162" s="2">
        <v>18</v>
      </c>
      <c r="BE162" s="2">
        <v>22</v>
      </c>
      <c r="BF162" s="2"/>
      <c r="BG162" s="2"/>
      <c r="BH162" s="2"/>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row>
    <row r="163" spans="1:336" ht="15" x14ac:dyDescent="0.25">
      <c r="A163" s="1" t="s">
        <v>945</v>
      </c>
      <c r="B163" s="2">
        <v>30.397169999999999</v>
      </c>
      <c r="C163" s="2">
        <v>-81.391499999999994</v>
      </c>
      <c r="D163" s="2">
        <v>30.252700000000001</v>
      </c>
      <c r="E163" s="2">
        <v>-81.379199999999997</v>
      </c>
      <c r="F163" s="3">
        <v>43133</v>
      </c>
      <c r="G163" s="1" t="s">
        <v>948</v>
      </c>
      <c r="H163" s="1" t="s">
        <v>949</v>
      </c>
      <c r="I163" s="1" t="s">
        <v>329</v>
      </c>
      <c r="J163" s="4">
        <v>0.47083333333333333</v>
      </c>
      <c r="K163" s="1" t="s">
        <v>375</v>
      </c>
      <c r="L163" s="1" t="s">
        <v>364</v>
      </c>
      <c r="M163" s="5"/>
      <c r="N163" s="1" t="s">
        <v>333</v>
      </c>
      <c r="O163" s="2">
        <v>1</v>
      </c>
      <c r="P163" s="2"/>
      <c r="Q163" s="2"/>
      <c r="R163" s="2"/>
      <c r="S163" s="2"/>
      <c r="T163" s="2"/>
      <c r="U163" s="2"/>
      <c r="V163" s="2"/>
      <c r="W163" s="2"/>
      <c r="X163" s="2"/>
      <c r="Y163" s="2"/>
      <c r="Z163" s="2"/>
      <c r="AA163" s="2"/>
      <c r="AB163" s="2"/>
      <c r="AC163" s="2"/>
      <c r="AD163" s="2">
        <v>9</v>
      </c>
      <c r="AE163" s="2">
        <v>75</v>
      </c>
      <c r="AF163" s="2"/>
      <c r="AG163" s="2"/>
      <c r="AH163" s="2"/>
      <c r="AI163" s="2"/>
      <c r="AJ163" s="2"/>
      <c r="AK163" s="2"/>
      <c r="AL163" s="2">
        <v>9</v>
      </c>
      <c r="AM163" s="2"/>
      <c r="AN163" s="2"/>
      <c r="AO163" s="2"/>
      <c r="AP163" s="2"/>
      <c r="AQ163" s="2"/>
      <c r="AR163" s="2">
        <v>16</v>
      </c>
      <c r="AS163" s="2"/>
      <c r="AT163" s="2">
        <v>47</v>
      </c>
      <c r="AU163" s="2"/>
      <c r="AV163" s="2"/>
      <c r="AW163" s="2">
        <v>218</v>
      </c>
      <c r="AX163" s="2">
        <v>44</v>
      </c>
      <c r="AY163" s="2"/>
      <c r="AZ163" s="2"/>
      <c r="BA163" s="2"/>
      <c r="BB163" s="2">
        <v>240</v>
      </c>
      <c r="BC163" s="2"/>
      <c r="BD163" s="2">
        <v>345</v>
      </c>
      <c r="BE163" s="2">
        <v>18</v>
      </c>
      <c r="BF163" s="2"/>
      <c r="BG163" s="2"/>
      <c r="BH163" s="2"/>
      <c r="BI163" s="1">
        <v>1</v>
      </c>
      <c r="BJ163" s="5"/>
      <c r="BK163" s="5"/>
      <c r="BL163" s="5"/>
      <c r="BM163" s="1">
        <v>30.397390000000001</v>
      </c>
      <c r="BN163" s="1">
        <v>-81.387500000000003</v>
      </c>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c r="LV163" s="5"/>
      <c r="LW163" s="5"/>
      <c r="LX163" s="5"/>
    </row>
    <row r="164" spans="1:336" ht="15" x14ac:dyDescent="0.25">
      <c r="A164" s="1" t="s">
        <v>950</v>
      </c>
      <c r="B164" s="2">
        <v>29.950500000000002</v>
      </c>
      <c r="C164" s="2">
        <v>-85.430400000000006</v>
      </c>
      <c r="D164" s="2">
        <v>29.091699999999999</v>
      </c>
      <c r="E164" s="2">
        <v>-85.389399999999995</v>
      </c>
      <c r="F164" s="3">
        <v>43133</v>
      </c>
      <c r="G164" s="1" t="s">
        <v>505</v>
      </c>
      <c r="H164" s="1" t="s">
        <v>506</v>
      </c>
      <c r="I164" s="1" t="s">
        <v>329</v>
      </c>
      <c r="J164" s="4">
        <v>0.45833333333333331</v>
      </c>
      <c r="K164" s="1" t="s">
        <v>368</v>
      </c>
      <c r="L164" s="1" t="s">
        <v>331</v>
      </c>
      <c r="M164" s="1" t="s">
        <v>951</v>
      </c>
      <c r="N164" s="1" t="s">
        <v>333</v>
      </c>
      <c r="O164" s="2"/>
      <c r="P164" s="2"/>
      <c r="Q164" s="2"/>
      <c r="R164" s="2"/>
      <c r="S164" s="2"/>
      <c r="T164" s="2">
        <v>1</v>
      </c>
      <c r="U164" s="2"/>
      <c r="V164" s="2"/>
      <c r="W164" s="2"/>
      <c r="X164" s="2"/>
      <c r="Y164" s="2"/>
      <c r="Z164" s="2"/>
      <c r="AA164" s="2"/>
      <c r="AB164" s="2"/>
      <c r="AC164" s="2"/>
      <c r="AD164" s="2"/>
      <c r="AE164" s="2">
        <v>14</v>
      </c>
      <c r="AF164" s="2"/>
      <c r="AG164" s="2"/>
      <c r="AH164" s="2"/>
      <c r="AI164" s="2"/>
      <c r="AJ164" s="2"/>
      <c r="AK164" s="2"/>
      <c r="AL164" s="2">
        <v>1</v>
      </c>
      <c r="AM164" s="2"/>
      <c r="AN164" s="2"/>
      <c r="AO164" s="2"/>
      <c r="AP164" s="2"/>
      <c r="AQ164" s="2"/>
      <c r="AR164" s="2"/>
      <c r="AS164" s="2"/>
      <c r="AT164" s="2"/>
      <c r="AU164" s="2"/>
      <c r="AV164" s="2"/>
      <c r="AW164" s="2"/>
      <c r="AX164" s="2">
        <v>7</v>
      </c>
      <c r="AY164" s="2"/>
      <c r="AZ164" s="2"/>
      <c r="BA164" s="2">
        <v>2</v>
      </c>
      <c r="BB164" s="2">
        <v>239</v>
      </c>
      <c r="BC164" s="2"/>
      <c r="BD164" s="2">
        <v>24</v>
      </c>
      <c r="BE164" s="2"/>
      <c r="BF164" s="2"/>
      <c r="BG164" s="2"/>
      <c r="BH164" s="2"/>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row>
    <row r="165" spans="1:336" ht="15" x14ac:dyDescent="0.25">
      <c r="A165" s="1" t="s">
        <v>952</v>
      </c>
      <c r="B165" s="2">
        <v>25.845420000000001</v>
      </c>
      <c r="C165" s="2">
        <v>-81.679199999999994</v>
      </c>
      <c r="D165" s="2">
        <v>25.857119999999998</v>
      </c>
      <c r="E165" s="2">
        <v>-81.683700000000002</v>
      </c>
      <c r="F165" s="3">
        <v>43138</v>
      </c>
      <c r="G165" s="1" t="s">
        <v>566</v>
      </c>
      <c r="H165" s="1" t="s">
        <v>567</v>
      </c>
      <c r="I165" s="1" t="s">
        <v>329</v>
      </c>
      <c r="J165" s="4">
        <v>0.38541666666666669</v>
      </c>
      <c r="K165" s="1" t="s">
        <v>375</v>
      </c>
      <c r="L165" s="1" t="s">
        <v>369</v>
      </c>
      <c r="M165" s="5"/>
      <c r="N165" s="1" t="s">
        <v>333</v>
      </c>
      <c r="O165" s="2"/>
      <c r="P165" s="2"/>
      <c r="Q165" s="2">
        <v>8</v>
      </c>
      <c r="R165" s="2">
        <v>758</v>
      </c>
      <c r="S165" s="2">
        <v>1</v>
      </c>
      <c r="T165" s="2"/>
      <c r="U165" s="2"/>
      <c r="V165" s="2"/>
      <c r="W165" s="2"/>
      <c r="X165" s="2"/>
      <c r="Y165" s="2">
        <v>256</v>
      </c>
      <c r="Z165" s="2"/>
      <c r="AA165" s="2"/>
      <c r="AB165" s="2">
        <v>8</v>
      </c>
      <c r="AC165" s="2">
        <v>7</v>
      </c>
      <c r="AD165" s="2">
        <v>3</v>
      </c>
      <c r="AE165" s="2">
        <v>9</v>
      </c>
      <c r="AF165" s="2">
        <v>23</v>
      </c>
      <c r="AG165" s="2"/>
      <c r="AH165" s="2"/>
      <c r="AI165" s="2"/>
      <c r="AJ165" s="2">
        <v>814</v>
      </c>
      <c r="AK165" s="2"/>
      <c r="AL165" s="2">
        <v>1</v>
      </c>
      <c r="AM165" s="2">
        <v>17</v>
      </c>
      <c r="AN165" s="2"/>
      <c r="AO165" s="2"/>
      <c r="AP165" s="2"/>
      <c r="AQ165" s="2"/>
      <c r="AR165" s="2"/>
      <c r="AS165" s="2"/>
      <c r="AT165" s="2"/>
      <c r="AU165" s="2"/>
      <c r="AV165" s="2"/>
      <c r="AW165" s="2"/>
      <c r="AX165" s="2"/>
      <c r="AY165" s="2"/>
      <c r="AZ165" s="2"/>
      <c r="BA165" s="2"/>
      <c r="BB165" s="2"/>
      <c r="BC165" s="2"/>
      <c r="BD165" s="2"/>
      <c r="BE165" s="2"/>
      <c r="BF165" s="2"/>
      <c r="BG165" s="2"/>
      <c r="BH165" s="2">
        <v>217</v>
      </c>
      <c r="BI165" s="1">
        <v>0</v>
      </c>
      <c r="BJ165" s="5"/>
      <c r="BK165" s="1">
        <v>0</v>
      </c>
      <c r="BL165" s="5"/>
      <c r="BM165" s="1">
        <v>25.855889999999999</v>
      </c>
      <c r="BN165" s="1">
        <v>-81.683400000000006</v>
      </c>
      <c r="BO165" s="1">
        <v>8</v>
      </c>
      <c r="BP165" s="1" t="s">
        <v>953</v>
      </c>
      <c r="BQ165" s="1">
        <v>7</v>
      </c>
      <c r="BR165" s="1" t="s">
        <v>954</v>
      </c>
      <c r="BS165" s="1">
        <v>0</v>
      </c>
      <c r="BT165" s="5"/>
      <c r="BU165" s="1">
        <v>17</v>
      </c>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1" t="s">
        <v>955</v>
      </c>
    </row>
    <row r="166" spans="1:336" ht="15" x14ac:dyDescent="0.25">
      <c r="A166" s="1" t="s">
        <v>956</v>
      </c>
      <c r="B166" s="2">
        <v>27.420169999999999</v>
      </c>
      <c r="C166" s="2">
        <v>-80.272099999999995</v>
      </c>
      <c r="D166" s="2">
        <v>27.43665</v>
      </c>
      <c r="E166" s="2">
        <v>-80.278099999999995</v>
      </c>
      <c r="F166" s="3">
        <v>43139</v>
      </c>
      <c r="G166" s="1" t="s">
        <v>957</v>
      </c>
      <c r="H166" s="1" t="s">
        <v>958</v>
      </c>
      <c r="I166" s="1" t="s">
        <v>329</v>
      </c>
      <c r="J166" s="4">
        <v>0.35347222222222224</v>
      </c>
      <c r="K166" s="5"/>
      <c r="L166" s="5"/>
      <c r="M166" s="5"/>
      <c r="N166" s="5"/>
      <c r="O166" s="2"/>
      <c r="P166" s="2"/>
      <c r="Q166" s="2"/>
      <c r="R166" s="2"/>
      <c r="S166" s="2"/>
      <c r="T166" s="2">
        <v>6</v>
      </c>
      <c r="U166" s="2"/>
      <c r="V166" s="2"/>
      <c r="W166" s="2"/>
      <c r="X166" s="2"/>
      <c r="Y166" s="2"/>
      <c r="Z166" s="2"/>
      <c r="AA166" s="2"/>
      <c r="AB166" s="2">
        <v>3</v>
      </c>
      <c r="AC166" s="2"/>
      <c r="AD166" s="2"/>
      <c r="AE166" s="2">
        <v>11</v>
      </c>
      <c r="AF166" s="2"/>
      <c r="AG166" s="2"/>
      <c r="AH166" s="2"/>
      <c r="AI166" s="2"/>
      <c r="AJ166" s="2"/>
      <c r="AK166" s="2"/>
      <c r="AL166" s="2"/>
      <c r="AM166" s="2"/>
      <c r="AN166" s="2"/>
      <c r="AO166" s="2"/>
      <c r="AP166" s="2"/>
      <c r="AQ166" s="2"/>
      <c r="AR166" s="2"/>
      <c r="AS166" s="2"/>
      <c r="AT166" s="2">
        <v>3</v>
      </c>
      <c r="AU166" s="2"/>
      <c r="AV166" s="2"/>
      <c r="AW166" s="2"/>
      <c r="AX166" s="2"/>
      <c r="AY166" s="2"/>
      <c r="AZ166" s="2"/>
      <c r="BA166" s="2"/>
      <c r="BB166" s="2"/>
      <c r="BC166" s="2"/>
      <c r="BD166" s="2">
        <v>2</v>
      </c>
      <c r="BE166" s="2"/>
      <c r="BF166" s="2"/>
      <c r="BG166" s="2"/>
      <c r="BH166" s="2"/>
      <c r="BI166" s="5"/>
      <c r="BJ166" s="5"/>
      <c r="BK166" s="5"/>
      <c r="BL166" s="5"/>
      <c r="BM166" s="1">
        <v>27.431609999999999</v>
      </c>
      <c r="BN166" s="1">
        <v>-80.276300000000006</v>
      </c>
      <c r="BO166" s="1">
        <v>2</v>
      </c>
      <c r="BP166" s="5"/>
      <c r="BQ166" s="5"/>
      <c r="BR166" s="5"/>
      <c r="BS166" s="5"/>
      <c r="BT166" s="5"/>
      <c r="BU166" s="5"/>
      <c r="BV166" s="5"/>
      <c r="BW166" s="5"/>
      <c r="BX166" s="5"/>
      <c r="BY166" s="5"/>
      <c r="BZ166" s="5"/>
      <c r="CA166" s="1">
        <v>27.432549999999999</v>
      </c>
      <c r="CB166" s="1">
        <v>-80.276700000000005</v>
      </c>
      <c r="CC166" s="5"/>
      <c r="CD166" s="1">
        <v>1</v>
      </c>
      <c r="CE166" s="1" t="s">
        <v>959</v>
      </c>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c r="LI166" s="5"/>
      <c r="LJ166" s="5"/>
      <c r="LK166" s="5"/>
      <c r="LL166" s="5"/>
      <c r="LM166" s="5"/>
      <c r="LN166" s="5"/>
      <c r="LO166" s="5"/>
      <c r="LP166" s="5"/>
      <c r="LQ166" s="5"/>
      <c r="LR166" s="5"/>
      <c r="LS166" s="5"/>
      <c r="LT166" s="5"/>
      <c r="LU166" s="5"/>
      <c r="LV166" s="5"/>
      <c r="LW166" s="5"/>
      <c r="LX166" s="5"/>
    </row>
    <row r="167" spans="1:336" ht="15" x14ac:dyDescent="0.25">
      <c r="A167" s="1" t="s">
        <v>960</v>
      </c>
      <c r="B167" s="2">
        <v>30.381399999999999</v>
      </c>
      <c r="C167" s="2">
        <v>-86.849400000000003</v>
      </c>
      <c r="D167" s="2">
        <v>30.3797</v>
      </c>
      <c r="E167" s="2">
        <v>-86.860799999999998</v>
      </c>
      <c r="F167" s="3">
        <v>43137</v>
      </c>
      <c r="G167" s="1" t="s">
        <v>961</v>
      </c>
      <c r="H167" s="1" t="s">
        <v>962</v>
      </c>
      <c r="I167" s="1" t="s">
        <v>329</v>
      </c>
      <c r="J167" s="4">
        <v>0.59027777777777779</v>
      </c>
      <c r="K167" s="1" t="s">
        <v>330</v>
      </c>
      <c r="L167" s="1" t="s">
        <v>441</v>
      </c>
      <c r="M167" s="5"/>
      <c r="N167" s="5"/>
      <c r="O167" s="2"/>
      <c r="P167" s="2"/>
      <c r="Q167" s="2"/>
      <c r="R167" s="2"/>
      <c r="S167" s="2"/>
      <c r="T167" s="2"/>
      <c r="U167" s="2"/>
      <c r="V167" s="2"/>
      <c r="W167" s="2"/>
      <c r="X167" s="2"/>
      <c r="Y167" s="2"/>
      <c r="Z167" s="2"/>
      <c r="AA167" s="2"/>
      <c r="AB167" s="2"/>
      <c r="AC167" s="2"/>
      <c r="AD167" s="2"/>
      <c r="AE167" s="2">
        <v>4</v>
      </c>
      <c r="AF167" s="2"/>
      <c r="AG167" s="2"/>
      <c r="AH167" s="2"/>
      <c r="AI167" s="2"/>
      <c r="AJ167" s="2"/>
      <c r="AK167" s="2"/>
      <c r="AL167" s="2"/>
      <c r="AM167" s="2"/>
      <c r="AN167" s="2"/>
      <c r="AO167" s="2"/>
      <c r="AP167" s="2"/>
      <c r="AQ167" s="2"/>
      <c r="AR167" s="2"/>
      <c r="AS167" s="2"/>
      <c r="AT167" s="2"/>
      <c r="AU167" s="2"/>
      <c r="AV167" s="2"/>
      <c r="AW167" s="2"/>
      <c r="AX167" s="2"/>
      <c r="AY167" s="2"/>
      <c r="AZ167" s="2"/>
      <c r="BA167" s="2"/>
      <c r="BB167" s="2">
        <v>10</v>
      </c>
      <c r="BC167" s="2"/>
      <c r="BD167" s="2"/>
      <c r="BE167" s="2"/>
      <c r="BF167" s="2"/>
      <c r="BG167" s="2"/>
      <c r="BH167" s="2"/>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row>
    <row r="168" spans="1:336" ht="15" x14ac:dyDescent="0.25">
      <c r="A168" s="1" t="s">
        <v>963</v>
      </c>
      <c r="B168" s="2">
        <v>30.38496</v>
      </c>
      <c r="C168" s="2">
        <v>-86.861900000000006</v>
      </c>
      <c r="D168" s="2">
        <v>30.386189999999999</v>
      </c>
      <c r="E168" s="2">
        <v>-86.849699999999999</v>
      </c>
      <c r="F168" s="3">
        <v>43137</v>
      </c>
      <c r="G168" s="1" t="s">
        <v>961</v>
      </c>
      <c r="H168" s="1" t="s">
        <v>962</v>
      </c>
      <c r="I168" s="1" t="s">
        <v>329</v>
      </c>
      <c r="J168" s="4">
        <v>0.5625</v>
      </c>
      <c r="K168" s="1" t="s">
        <v>330</v>
      </c>
      <c r="L168" s="1" t="s">
        <v>441</v>
      </c>
      <c r="M168" s="5"/>
      <c r="N168" s="1" t="s">
        <v>333</v>
      </c>
      <c r="O168" s="2"/>
      <c r="P168" s="2"/>
      <c r="Q168" s="2">
        <v>2</v>
      </c>
      <c r="R168" s="2">
        <v>6</v>
      </c>
      <c r="S168" s="2"/>
      <c r="T168" s="2">
        <v>1</v>
      </c>
      <c r="U168" s="2"/>
      <c r="V168" s="2"/>
      <c r="W168" s="2"/>
      <c r="X168" s="2"/>
      <c r="Y168" s="2"/>
      <c r="Z168" s="2"/>
      <c r="AA168" s="2"/>
      <c r="AB168" s="2">
        <v>1</v>
      </c>
      <c r="AC168" s="2"/>
      <c r="AD168" s="2"/>
      <c r="AE168" s="2"/>
      <c r="AF168" s="2"/>
      <c r="AG168" s="2"/>
      <c r="AH168" s="2"/>
      <c r="AI168" s="2"/>
      <c r="AJ168" s="2"/>
      <c r="AK168" s="2"/>
      <c r="AL168" s="2">
        <v>1</v>
      </c>
      <c r="AM168" s="2"/>
      <c r="AN168" s="2"/>
      <c r="AO168" s="2"/>
      <c r="AP168" s="2"/>
      <c r="AQ168" s="2"/>
      <c r="AR168" s="2"/>
      <c r="AS168" s="2"/>
      <c r="AT168" s="2"/>
      <c r="AU168" s="2"/>
      <c r="AV168" s="2"/>
      <c r="AW168" s="2"/>
      <c r="AX168" s="2"/>
      <c r="AY168" s="2"/>
      <c r="AZ168" s="2"/>
      <c r="BA168" s="2"/>
      <c r="BB168" s="2"/>
      <c r="BC168" s="2"/>
      <c r="BD168" s="2"/>
      <c r="BE168" s="2"/>
      <c r="BF168" s="2"/>
      <c r="BG168" s="2"/>
      <c r="BH168" s="2"/>
      <c r="BI168" s="1">
        <v>0</v>
      </c>
      <c r="BJ168" s="1">
        <v>0</v>
      </c>
      <c r="BK168" s="1">
        <v>0</v>
      </c>
      <c r="BL168" s="1">
        <v>0</v>
      </c>
      <c r="BM168" s="1">
        <v>30.3858</v>
      </c>
      <c r="BN168" s="1">
        <v>-86.8536</v>
      </c>
      <c r="BO168" s="1">
        <v>1</v>
      </c>
      <c r="BP168" s="1" t="s">
        <v>964</v>
      </c>
      <c r="BQ168" s="1">
        <v>0</v>
      </c>
      <c r="BR168" s="1">
        <v>0</v>
      </c>
      <c r="BS168" s="1">
        <v>0</v>
      </c>
      <c r="BT168" s="1">
        <v>0</v>
      </c>
      <c r="BU168" s="1">
        <v>0</v>
      </c>
      <c r="BV168" s="1">
        <v>0</v>
      </c>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1">
        <v>0</v>
      </c>
    </row>
    <row r="169" spans="1:336" ht="15" x14ac:dyDescent="0.25">
      <c r="A169" s="1" t="s">
        <v>965</v>
      </c>
      <c r="B169" s="2">
        <v>29.072780000000002</v>
      </c>
      <c r="C169" s="2">
        <v>-80.912499999999994</v>
      </c>
      <c r="D169" s="2">
        <v>29.038609999999998</v>
      </c>
      <c r="E169" s="2">
        <v>-80.899199999999993</v>
      </c>
      <c r="F169" s="3">
        <v>43137</v>
      </c>
      <c r="G169" s="1" t="s">
        <v>966</v>
      </c>
      <c r="H169" s="1" t="s">
        <v>967</v>
      </c>
      <c r="I169" s="1" t="s">
        <v>329</v>
      </c>
      <c r="J169" s="4">
        <v>0.375</v>
      </c>
      <c r="K169" s="1" t="s">
        <v>375</v>
      </c>
      <c r="L169" s="1" t="s">
        <v>364</v>
      </c>
      <c r="M169" s="1" t="s">
        <v>968</v>
      </c>
      <c r="N169" s="1" t="s">
        <v>333</v>
      </c>
      <c r="O169" s="2"/>
      <c r="P169" s="2"/>
      <c r="Q169" s="2"/>
      <c r="R169" s="2"/>
      <c r="S169" s="2"/>
      <c r="T169" s="2"/>
      <c r="U169" s="2"/>
      <c r="V169" s="2"/>
      <c r="W169" s="2"/>
      <c r="X169" s="2"/>
      <c r="Y169" s="2"/>
      <c r="Z169" s="2"/>
      <c r="AA169" s="2"/>
      <c r="AB169" s="2"/>
      <c r="AC169" s="2"/>
      <c r="AD169" s="2">
        <v>56</v>
      </c>
      <c r="AE169" s="2">
        <v>122</v>
      </c>
      <c r="AF169" s="2"/>
      <c r="AG169" s="2"/>
      <c r="AH169" s="2"/>
      <c r="AI169" s="2"/>
      <c r="AJ169" s="2"/>
      <c r="AK169" s="2"/>
      <c r="AL169" s="2">
        <v>1</v>
      </c>
      <c r="AM169" s="2"/>
      <c r="AN169" s="2"/>
      <c r="AO169" s="2"/>
      <c r="AP169" s="2"/>
      <c r="AQ169" s="2">
        <v>1</v>
      </c>
      <c r="AR169" s="2"/>
      <c r="AS169" s="2"/>
      <c r="AT169" s="2">
        <v>24</v>
      </c>
      <c r="AU169" s="2"/>
      <c r="AV169" s="2"/>
      <c r="AW169" s="2"/>
      <c r="AX169" s="2">
        <v>67</v>
      </c>
      <c r="AY169" s="2"/>
      <c r="AZ169" s="2"/>
      <c r="BA169" s="2">
        <v>5</v>
      </c>
      <c r="BB169" s="2">
        <v>186</v>
      </c>
      <c r="BC169" s="2"/>
      <c r="BD169" s="2">
        <v>68</v>
      </c>
      <c r="BE169" s="2">
        <v>102</v>
      </c>
      <c r="BF169" s="2">
        <v>75</v>
      </c>
      <c r="BG169" s="2"/>
      <c r="BH169" s="2"/>
      <c r="BI169" s="1">
        <v>0</v>
      </c>
      <c r="BJ169" s="1" t="s">
        <v>969</v>
      </c>
      <c r="BK169" s="1">
        <v>1</v>
      </c>
      <c r="BL169" s="1" t="s">
        <v>969</v>
      </c>
      <c r="BM169" s="1">
        <v>29.06</v>
      </c>
      <c r="BN169" s="1">
        <v>-80.908299999999997</v>
      </c>
      <c r="BO169" s="1">
        <v>0</v>
      </c>
      <c r="BP169" s="1" t="s">
        <v>969</v>
      </c>
      <c r="BQ169" s="1">
        <v>0</v>
      </c>
      <c r="BR169" s="1" t="s">
        <v>969</v>
      </c>
      <c r="BS169" s="1">
        <v>0</v>
      </c>
      <c r="BT169" s="1" t="s">
        <v>969</v>
      </c>
      <c r="BU169" s="1">
        <v>0</v>
      </c>
      <c r="BV169" s="1" t="s">
        <v>969</v>
      </c>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1" t="s">
        <v>970</v>
      </c>
    </row>
    <row r="170" spans="1:336" ht="15" x14ac:dyDescent="0.25">
      <c r="A170" s="1" t="s">
        <v>971</v>
      </c>
      <c r="B170" s="2">
        <v>29.009150000000002</v>
      </c>
      <c r="C170" s="2">
        <v>-80.878299999999996</v>
      </c>
      <c r="D170" s="2">
        <v>28.940740000000002</v>
      </c>
      <c r="E170" s="2">
        <v>-80.831599999999995</v>
      </c>
      <c r="F170" s="3">
        <v>43137</v>
      </c>
      <c r="G170" s="1" t="s">
        <v>972</v>
      </c>
      <c r="H170" s="1" t="s">
        <v>973</v>
      </c>
      <c r="I170" s="1" t="s">
        <v>387</v>
      </c>
      <c r="J170" s="4">
        <v>0.3125</v>
      </c>
      <c r="K170" s="1" t="s">
        <v>375</v>
      </c>
      <c r="L170" s="1" t="s">
        <v>364</v>
      </c>
      <c r="M170" s="1" t="s">
        <v>974</v>
      </c>
      <c r="N170" s="1" t="s">
        <v>333</v>
      </c>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1">
        <v>0</v>
      </c>
      <c r="BJ170" s="5"/>
      <c r="BK170" s="1">
        <v>4</v>
      </c>
      <c r="BL170" s="5"/>
      <c r="BM170" s="1">
        <v>28.950959999999998</v>
      </c>
      <c r="BN170" s="1">
        <v>-80.838999999999999</v>
      </c>
      <c r="BO170" s="1">
        <v>0</v>
      </c>
      <c r="BP170" s="5"/>
      <c r="BQ170" s="1">
        <v>0</v>
      </c>
      <c r="BR170" s="5"/>
      <c r="BS170" s="1">
        <v>0</v>
      </c>
      <c r="BT170" s="5"/>
      <c r="BU170" s="1">
        <v>0</v>
      </c>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c r="LI170" s="5"/>
      <c r="LJ170" s="5"/>
      <c r="LK170" s="5"/>
      <c r="LL170" s="5"/>
      <c r="LM170" s="5"/>
      <c r="LN170" s="5"/>
      <c r="LO170" s="5"/>
      <c r="LP170" s="5"/>
      <c r="LQ170" s="5"/>
      <c r="LR170" s="5"/>
      <c r="LS170" s="5"/>
      <c r="LT170" s="5"/>
      <c r="LU170" s="5"/>
      <c r="LV170" s="5"/>
      <c r="LW170" s="5"/>
      <c r="LX170" s="5"/>
    </row>
    <row r="171" spans="1:336" ht="15" x14ac:dyDescent="0.25">
      <c r="A171" s="1" t="s">
        <v>975</v>
      </c>
      <c r="B171" s="2">
        <v>28.23582</v>
      </c>
      <c r="C171" s="2">
        <v>-82.835099999999997</v>
      </c>
      <c r="D171" s="2">
        <v>28.234249999999999</v>
      </c>
      <c r="E171" s="2">
        <v>-82.837000000000003</v>
      </c>
      <c r="F171" s="3">
        <v>43133</v>
      </c>
      <c r="G171" s="1" t="s">
        <v>976</v>
      </c>
      <c r="H171" s="1" t="s">
        <v>406</v>
      </c>
      <c r="I171" s="1" t="s">
        <v>329</v>
      </c>
      <c r="J171" s="4">
        <v>0.39583333333333331</v>
      </c>
      <c r="K171" s="1" t="s">
        <v>368</v>
      </c>
      <c r="L171" s="1" t="s">
        <v>369</v>
      </c>
      <c r="M171" s="5"/>
      <c r="N171" s="5"/>
      <c r="O171" s="2">
        <v>2</v>
      </c>
      <c r="P171" s="2"/>
      <c r="Q171" s="2"/>
      <c r="R171" s="2"/>
      <c r="S171" s="2"/>
      <c r="T171" s="2"/>
      <c r="U171" s="2"/>
      <c r="V171" s="2"/>
      <c r="W171" s="2"/>
      <c r="X171" s="2"/>
      <c r="Y171" s="2"/>
      <c r="Z171" s="2"/>
      <c r="AA171" s="2"/>
      <c r="AB171" s="2"/>
      <c r="AC171" s="2"/>
      <c r="AD171" s="2"/>
      <c r="AE171" s="2">
        <v>12</v>
      </c>
      <c r="AF171" s="2"/>
      <c r="AG171" s="2"/>
      <c r="AH171" s="2">
        <v>4</v>
      </c>
      <c r="AI171" s="2"/>
      <c r="AJ171" s="2"/>
      <c r="AK171" s="2"/>
      <c r="AL171" s="2"/>
      <c r="AM171" s="2"/>
      <c r="AN171" s="2"/>
      <c r="AO171" s="2"/>
      <c r="AP171" s="2"/>
      <c r="AQ171" s="2"/>
      <c r="AR171" s="2"/>
      <c r="AS171" s="2"/>
      <c r="AT171" s="2"/>
      <c r="AU171" s="2"/>
      <c r="AV171" s="2"/>
      <c r="AW171" s="2">
        <v>900</v>
      </c>
      <c r="AX171" s="2"/>
      <c r="AY171" s="2"/>
      <c r="AZ171" s="2"/>
      <c r="BA171" s="2">
        <v>16</v>
      </c>
      <c r="BB171" s="2"/>
      <c r="BC171" s="2"/>
      <c r="BD171" s="2">
        <v>60</v>
      </c>
      <c r="BE171" s="2">
        <v>40</v>
      </c>
      <c r="BF171" s="2"/>
      <c r="BG171" s="2"/>
      <c r="BH171" s="2"/>
      <c r="BI171" s="1">
        <v>2</v>
      </c>
      <c r="BJ171" s="1" t="s">
        <v>407</v>
      </c>
      <c r="BK171" s="1">
        <v>0</v>
      </c>
      <c r="BL171" s="1" t="s">
        <v>407</v>
      </c>
      <c r="BM171" s="1">
        <v>28.234249999999999</v>
      </c>
      <c r="BN171" s="1">
        <v>-82.837000000000003</v>
      </c>
      <c r="BO171" s="1">
        <v>0</v>
      </c>
      <c r="BP171" s="1" t="s">
        <v>407</v>
      </c>
      <c r="BQ171" s="1">
        <v>0</v>
      </c>
      <c r="BR171" s="1" t="s">
        <v>407</v>
      </c>
      <c r="BS171" s="1">
        <v>3</v>
      </c>
      <c r="BT171" s="1" t="s">
        <v>977</v>
      </c>
      <c r="BU171" s="1">
        <v>0</v>
      </c>
      <c r="BV171" s="1" t="s">
        <v>407</v>
      </c>
      <c r="BW171" s="1">
        <v>0</v>
      </c>
      <c r="BX171" s="1" t="s">
        <v>407</v>
      </c>
      <c r="BY171" s="1">
        <v>0</v>
      </c>
      <c r="BZ171" s="1" t="s">
        <v>407</v>
      </c>
      <c r="CA171" s="1">
        <v>28.23582</v>
      </c>
      <c r="CB171" s="1">
        <v>-82.835099999999997</v>
      </c>
      <c r="CC171" s="5"/>
      <c r="CD171" s="1">
        <v>0</v>
      </c>
      <c r="CE171" s="1" t="s">
        <v>407</v>
      </c>
      <c r="CF171" s="1">
        <v>0</v>
      </c>
      <c r="CG171" s="1" t="s">
        <v>407</v>
      </c>
      <c r="CH171" s="1">
        <v>1</v>
      </c>
      <c r="CI171" s="1" t="s">
        <v>978</v>
      </c>
      <c r="CJ171" s="1">
        <v>0</v>
      </c>
      <c r="CK171" s="1" t="s">
        <v>407</v>
      </c>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c r="JW171" s="5"/>
      <c r="JX171" s="5"/>
      <c r="JY171" s="5"/>
      <c r="JZ171" s="5"/>
      <c r="KA171" s="5"/>
      <c r="KB171" s="5"/>
      <c r="KC171" s="5"/>
      <c r="KD171" s="5"/>
      <c r="KE171" s="5"/>
      <c r="KF171" s="5"/>
      <c r="KG171" s="5"/>
      <c r="KH171" s="5"/>
      <c r="KI171" s="5"/>
      <c r="KJ171" s="5"/>
      <c r="KK171" s="5"/>
      <c r="KL171" s="5"/>
      <c r="KM171" s="5"/>
      <c r="KN171" s="5"/>
      <c r="KO171" s="5"/>
      <c r="KP171" s="5"/>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5"/>
      <c r="LS171" s="5"/>
      <c r="LT171" s="5"/>
      <c r="LU171" s="5"/>
      <c r="LV171" s="5"/>
      <c r="LW171" s="5"/>
      <c r="LX171" s="5"/>
    </row>
    <row r="172" spans="1:336" ht="15" x14ac:dyDescent="0.25">
      <c r="A172" s="1" t="s">
        <v>979</v>
      </c>
      <c r="B172" s="2">
        <v>25.908180000000002</v>
      </c>
      <c r="C172" s="2">
        <v>-80.132999999999996</v>
      </c>
      <c r="D172" s="2">
        <v>25.76275</v>
      </c>
      <c r="E172" s="2">
        <v>-80.150800000000004</v>
      </c>
      <c r="F172" s="3">
        <v>43133</v>
      </c>
      <c r="G172" s="1" t="s">
        <v>980</v>
      </c>
      <c r="H172" s="1" t="s">
        <v>981</v>
      </c>
      <c r="I172" s="1" t="s">
        <v>329</v>
      </c>
      <c r="J172" s="4">
        <v>0.36458333333333331</v>
      </c>
      <c r="K172" s="1" t="s">
        <v>330</v>
      </c>
      <c r="L172" s="1" t="s">
        <v>441</v>
      </c>
      <c r="M172" s="5"/>
      <c r="N172" s="1" t="s">
        <v>333</v>
      </c>
      <c r="O172" s="2"/>
      <c r="P172" s="2"/>
      <c r="Q172" s="2"/>
      <c r="R172" s="2"/>
      <c r="S172" s="2"/>
      <c r="T172" s="2">
        <v>7</v>
      </c>
      <c r="U172" s="2"/>
      <c r="V172" s="2"/>
      <c r="W172" s="2"/>
      <c r="X172" s="2"/>
      <c r="Y172" s="2"/>
      <c r="Z172" s="2"/>
      <c r="AA172" s="2"/>
      <c r="AB172" s="2"/>
      <c r="AC172" s="2"/>
      <c r="AD172" s="2">
        <v>3</v>
      </c>
      <c r="AE172" s="2"/>
      <c r="AF172" s="2"/>
      <c r="AG172" s="2"/>
      <c r="AH172" s="2"/>
      <c r="AI172" s="2">
        <v>2</v>
      </c>
      <c r="AJ172" s="2"/>
      <c r="AK172" s="2"/>
      <c r="AL172" s="2"/>
      <c r="AM172" s="2"/>
      <c r="AN172" s="2"/>
      <c r="AO172" s="2"/>
      <c r="AP172" s="2"/>
      <c r="AQ172" s="2">
        <v>119</v>
      </c>
      <c r="AR172" s="2"/>
      <c r="AS172" s="2"/>
      <c r="AT172" s="2">
        <v>42</v>
      </c>
      <c r="AU172" s="2"/>
      <c r="AV172" s="2"/>
      <c r="AW172" s="2">
        <v>29</v>
      </c>
      <c r="AX172" s="2"/>
      <c r="AY172" s="2"/>
      <c r="AZ172" s="2">
        <v>18</v>
      </c>
      <c r="BA172" s="2">
        <v>3</v>
      </c>
      <c r="BB172" s="2">
        <v>203</v>
      </c>
      <c r="BC172" s="2"/>
      <c r="BD172" s="2"/>
      <c r="BE172" s="2">
        <v>13</v>
      </c>
      <c r="BF172" s="2"/>
      <c r="BG172" s="2"/>
      <c r="BH172" s="2"/>
      <c r="BI172" s="7"/>
      <c r="BJ172" s="7"/>
      <c r="BK172" s="6">
        <v>119</v>
      </c>
      <c r="BL172" s="6">
        <v>0</v>
      </c>
      <c r="BM172" s="6">
        <v>25.76275</v>
      </c>
      <c r="BN172" s="6">
        <v>-80.150800000000004</v>
      </c>
      <c r="BO172" s="7"/>
      <c r="BP172" s="7"/>
      <c r="BQ172" s="7"/>
      <c r="BR172" s="7"/>
      <c r="BS172" s="7"/>
      <c r="BT172" s="7"/>
      <c r="BU172" s="7"/>
      <c r="BV172" s="7"/>
      <c r="BW172" s="7"/>
      <c r="BX172" s="7"/>
      <c r="BY172" s="7"/>
      <c r="BZ172" s="7"/>
      <c r="CA172" s="6">
        <v>25.828320000000001</v>
      </c>
      <c r="CB172" s="6">
        <v>-80.176400000000001</v>
      </c>
      <c r="CC172" s="6" t="s">
        <v>982</v>
      </c>
      <c r="CD172" s="7"/>
      <c r="CE172" s="7"/>
      <c r="CF172" s="7"/>
      <c r="CG172" s="7"/>
      <c r="CH172" s="7"/>
      <c r="CI172" s="7"/>
      <c r="CJ172" s="7"/>
      <c r="CK172" s="7"/>
      <c r="CL172" s="7"/>
      <c r="CM172" s="7"/>
      <c r="CN172" s="7"/>
      <c r="CO172" s="7"/>
      <c r="CP172" s="6">
        <v>25.838740000000001</v>
      </c>
      <c r="CQ172" s="6">
        <v>-80.168400000000005</v>
      </c>
      <c r="CR172" s="6" t="s">
        <v>983</v>
      </c>
      <c r="CS172" s="7"/>
      <c r="CT172" s="7"/>
      <c r="CU172" s="7"/>
      <c r="CV172" s="7"/>
      <c r="CW172" s="7"/>
      <c r="CX172" s="7"/>
      <c r="CY172" s="7"/>
      <c r="CZ172" s="7"/>
      <c r="DA172" s="7"/>
      <c r="DB172" s="7"/>
      <c r="DC172" s="7"/>
      <c r="DD172" s="7"/>
      <c r="DE172" s="6">
        <v>25.84797</v>
      </c>
      <c r="DF172" s="6">
        <v>-80.171300000000002</v>
      </c>
      <c r="DG172" s="6" t="s">
        <v>984</v>
      </c>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c r="GO172" s="7"/>
      <c r="GP172" s="7"/>
      <c r="GQ172" s="7"/>
      <c r="GR172" s="7"/>
      <c r="GS172" s="7"/>
      <c r="GT172" s="7"/>
      <c r="GU172" s="7"/>
      <c r="GV172" s="7"/>
      <c r="GW172" s="7"/>
      <c r="GX172" s="7"/>
      <c r="GY172" s="7"/>
      <c r="GZ172" s="7"/>
      <c r="HA172" s="7"/>
      <c r="HB172" s="7"/>
      <c r="HC172" s="7"/>
      <c r="HD172" s="7"/>
      <c r="HE172" s="7"/>
      <c r="HF172" s="7"/>
      <c r="HG172" s="7"/>
      <c r="HH172" s="7"/>
      <c r="HI172" s="7"/>
      <c r="HJ172" s="7"/>
      <c r="HK172" s="7"/>
      <c r="HL172" s="7"/>
      <c r="HM172" s="7"/>
      <c r="HN172" s="7"/>
      <c r="HO172" s="7"/>
      <c r="HP172" s="7"/>
      <c r="HQ172" s="7"/>
      <c r="HR172" s="7"/>
      <c r="HS172" s="7"/>
      <c r="HT172" s="7"/>
      <c r="HU172" s="7"/>
      <c r="HV172" s="7"/>
      <c r="HW172" s="7"/>
      <c r="HX172" s="7"/>
      <c r="HY172" s="7"/>
      <c r="HZ172" s="7"/>
      <c r="IA172" s="7"/>
      <c r="IB172" s="7"/>
      <c r="IC172" s="7"/>
      <c r="ID172" s="7"/>
      <c r="IE172" s="7"/>
      <c r="IF172" s="7"/>
      <c r="IG172" s="7"/>
      <c r="IH172" s="7"/>
      <c r="II172" s="7"/>
      <c r="IJ172" s="7"/>
      <c r="IK172" s="7"/>
      <c r="IL172" s="7"/>
      <c r="IM172" s="7"/>
      <c r="IN172" s="7"/>
      <c r="IO172" s="7"/>
      <c r="IP172" s="7"/>
      <c r="IQ172" s="7"/>
      <c r="IR172" s="7"/>
      <c r="IS172" s="7"/>
      <c r="IT172" s="7"/>
      <c r="IU172" s="7"/>
      <c r="IV172" s="7"/>
      <c r="IW172" s="7"/>
      <c r="IX172" s="7"/>
      <c r="IY172" s="7"/>
      <c r="IZ172" s="7"/>
      <c r="JA172" s="7"/>
      <c r="JB172" s="7"/>
      <c r="JC172" s="7"/>
      <c r="JD172" s="7"/>
      <c r="JE172" s="7"/>
      <c r="JF172" s="7"/>
      <c r="JG172" s="7"/>
      <c r="JH172" s="7"/>
      <c r="JI172" s="7"/>
      <c r="JJ172" s="7"/>
      <c r="JK172" s="7"/>
      <c r="JL172" s="7"/>
      <c r="JM172" s="7"/>
      <c r="JN172" s="7"/>
      <c r="JO172" s="7"/>
      <c r="JP172" s="7"/>
      <c r="JQ172" s="7"/>
      <c r="JR172" s="7"/>
      <c r="JS172" s="7"/>
      <c r="JT172" s="7"/>
      <c r="JU172" s="7"/>
      <c r="JV172" s="7"/>
      <c r="JW172" s="7"/>
      <c r="JX172" s="7"/>
      <c r="JY172" s="7"/>
      <c r="JZ172" s="7"/>
      <c r="KA172" s="7"/>
      <c r="KB172" s="7"/>
      <c r="KC172" s="7"/>
      <c r="KD172" s="7"/>
      <c r="KE172" s="7"/>
      <c r="KF172" s="7"/>
      <c r="KG172" s="7"/>
      <c r="KH172" s="7"/>
      <c r="KI172" s="7"/>
      <c r="KJ172" s="7"/>
      <c r="KK172" s="7"/>
      <c r="KL172" s="7"/>
      <c r="KM172" s="7"/>
      <c r="KN172" s="7"/>
      <c r="KO172" s="7"/>
      <c r="KP172" s="7"/>
      <c r="KQ172" s="7"/>
      <c r="KR172" s="7"/>
      <c r="KS172" s="7"/>
      <c r="KT172" s="7"/>
      <c r="KU172" s="7"/>
      <c r="KV172" s="7"/>
      <c r="KW172" s="7"/>
      <c r="KX172" s="7"/>
      <c r="KY172" s="7"/>
      <c r="KZ172" s="7"/>
      <c r="LA172" s="7"/>
      <c r="LB172" s="7"/>
      <c r="LC172" s="7"/>
      <c r="LD172" s="7"/>
      <c r="LE172" s="7"/>
      <c r="LF172" s="7"/>
      <c r="LG172" s="7"/>
      <c r="LH172" s="7"/>
      <c r="LI172" s="7"/>
      <c r="LJ172" s="7"/>
      <c r="LK172" s="7"/>
      <c r="LL172" s="7"/>
      <c r="LM172" s="7"/>
      <c r="LN172" s="7"/>
      <c r="LO172" s="7"/>
      <c r="LP172" s="7"/>
      <c r="LQ172" s="7"/>
      <c r="LR172" s="7"/>
      <c r="LS172" s="7"/>
      <c r="LT172" s="7"/>
      <c r="LU172" s="7"/>
      <c r="LV172" s="7"/>
      <c r="LW172" s="7"/>
      <c r="LX172" s="6" t="s">
        <v>985</v>
      </c>
    </row>
    <row r="173" spans="1:336" ht="15" x14ac:dyDescent="0.25">
      <c r="A173" s="1" t="s">
        <v>986</v>
      </c>
      <c r="B173" s="2">
        <v>27.843129999999999</v>
      </c>
      <c r="C173" s="2">
        <v>-82.841700000000003</v>
      </c>
      <c r="D173" s="2">
        <v>27.811869999999999</v>
      </c>
      <c r="E173" s="2">
        <v>-82.817700000000002</v>
      </c>
      <c r="F173" s="3">
        <v>43137</v>
      </c>
      <c r="G173" s="1" t="s">
        <v>831</v>
      </c>
      <c r="H173" s="1" t="s">
        <v>832</v>
      </c>
      <c r="I173" s="1" t="s">
        <v>329</v>
      </c>
      <c r="J173" s="4">
        <v>0.34722222222222221</v>
      </c>
      <c r="K173" s="1" t="s">
        <v>375</v>
      </c>
      <c r="L173" s="1" t="s">
        <v>331</v>
      </c>
      <c r="M173" s="1" t="s">
        <v>987</v>
      </c>
      <c r="N173" s="1" t="s">
        <v>333</v>
      </c>
      <c r="O173" s="2"/>
      <c r="P173" s="2"/>
      <c r="Q173" s="2"/>
      <c r="R173" s="2"/>
      <c r="S173" s="2"/>
      <c r="T173" s="2"/>
      <c r="U173" s="2"/>
      <c r="V173" s="2"/>
      <c r="W173" s="2"/>
      <c r="X173" s="2"/>
      <c r="Y173" s="2"/>
      <c r="Z173" s="2"/>
      <c r="AA173" s="2"/>
      <c r="AB173" s="2"/>
      <c r="AC173" s="2"/>
      <c r="AD173" s="2">
        <v>12</v>
      </c>
      <c r="AE173" s="2">
        <v>3</v>
      </c>
      <c r="AF173" s="2"/>
      <c r="AG173" s="2"/>
      <c r="AH173" s="2"/>
      <c r="AI173" s="2"/>
      <c r="AJ173" s="2"/>
      <c r="AK173" s="2"/>
      <c r="AL173" s="2">
        <v>32</v>
      </c>
      <c r="AM173" s="2"/>
      <c r="AN173" s="2"/>
      <c r="AO173" s="2"/>
      <c r="AP173" s="2"/>
      <c r="AQ173" s="2">
        <v>162</v>
      </c>
      <c r="AR173" s="2"/>
      <c r="AS173" s="2"/>
      <c r="AT173" s="2">
        <v>10</v>
      </c>
      <c r="AU173" s="2"/>
      <c r="AV173" s="2"/>
      <c r="AW173" s="2">
        <v>22</v>
      </c>
      <c r="AX173" s="2">
        <v>5</v>
      </c>
      <c r="AY173" s="2"/>
      <c r="AZ173" s="2"/>
      <c r="BA173" s="2">
        <v>4</v>
      </c>
      <c r="BB173" s="2">
        <v>176</v>
      </c>
      <c r="BC173" s="2">
        <v>6</v>
      </c>
      <c r="BD173" s="2">
        <v>315</v>
      </c>
      <c r="BE173" s="2">
        <v>171</v>
      </c>
      <c r="BF173" s="2">
        <v>10</v>
      </c>
      <c r="BG173" s="2"/>
      <c r="BH173" s="2"/>
      <c r="BI173" s="1">
        <v>0</v>
      </c>
      <c r="BJ173" s="1">
        <v>0</v>
      </c>
      <c r="BK173" s="1">
        <v>1</v>
      </c>
      <c r="BL173" s="1" t="s">
        <v>843</v>
      </c>
      <c r="BM173" s="1">
        <v>27.835819999999998</v>
      </c>
      <c r="BN173" s="1">
        <v>-82.837599999999995</v>
      </c>
      <c r="BO173" s="1">
        <v>0</v>
      </c>
      <c r="BP173" s="1">
        <v>0</v>
      </c>
      <c r="BQ173" s="1">
        <v>0</v>
      </c>
      <c r="BR173" s="1">
        <v>0</v>
      </c>
      <c r="BS173" s="1">
        <v>0</v>
      </c>
      <c r="BT173" s="1">
        <v>0</v>
      </c>
      <c r="BU173" s="1">
        <v>0</v>
      </c>
      <c r="BV173" s="1">
        <v>0</v>
      </c>
      <c r="BW173" s="1">
        <v>0</v>
      </c>
      <c r="BX173" s="1">
        <v>0</v>
      </c>
      <c r="BY173" s="1">
        <v>0</v>
      </c>
      <c r="BZ173" s="1">
        <v>0</v>
      </c>
      <c r="CA173" s="1">
        <v>27.821120000000001</v>
      </c>
      <c r="CB173" s="1">
        <v>-82.828100000000006</v>
      </c>
      <c r="CC173" s="1" t="s">
        <v>988</v>
      </c>
      <c r="CD173" s="1">
        <v>0</v>
      </c>
      <c r="CE173" s="1">
        <v>0</v>
      </c>
      <c r="CF173" s="1">
        <v>0</v>
      </c>
      <c r="CG173" s="1">
        <v>0</v>
      </c>
      <c r="CH173" s="1">
        <v>0</v>
      </c>
      <c r="CI173" s="1">
        <v>0</v>
      </c>
      <c r="CJ173" s="1">
        <v>0</v>
      </c>
      <c r="CK173" s="1">
        <v>0</v>
      </c>
      <c r="CL173" s="1">
        <v>0</v>
      </c>
      <c r="CM173" s="1">
        <v>0</v>
      </c>
      <c r="CN173" s="1">
        <v>108</v>
      </c>
      <c r="CO173" s="1" t="s">
        <v>989</v>
      </c>
      <c r="CP173" s="1">
        <v>27.82085</v>
      </c>
      <c r="CQ173" s="1">
        <v>-82.827799999999996</v>
      </c>
      <c r="CR173" s="1" t="s">
        <v>745</v>
      </c>
      <c r="CS173" s="1">
        <v>0</v>
      </c>
      <c r="CT173" s="1">
        <v>0</v>
      </c>
      <c r="CU173" s="1">
        <v>0</v>
      </c>
      <c r="CV173" s="1">
        <v>0</v>
      </c>
      <c r="CW173" s="1">
        <v>0</v>
      </c>
      <c r="CX173" s="1">
        <v>0</v>
      </c>
      <c r="CY173" s="1">
        <v>0</v>
      </c>
      <c r="CZ173" s="1">
        <v>0</v>
      </c>
      <c r="DA173" s="1">
        <v>0</v>
      </c>
      <c r="DB173" s="1">
        <v>0</v>
      </c>
      <c r="DC173" s="1">
        <v>53</v>
      </c>
      <c r="DD173" s="1" t="s">
        <v>990</v>
      </c>
      <c r="DE173" s="1">
        <v>27.8202</v>
      </c>
      <c r="DF173" s="1">
        <v>-82.827100000000002</v>
      </c>
      <c r="DG173" s="1" t="s">
        <v>745</v>
      </c>
      <c r="DH173" s="1">
        <v>0</v>
      </c>
      <c r="DI173" s="1">
        <v>0</v>
      </c>
      <c r="DJ173" s="1">
        <v>0</v>
      </c>
      <c r="DK173" s="1">
        <v>0</v>
      </c>
      <c r="DL173" s="1">
        <v>0</v>
      </c>
      <c r="DM173" s="1">
        <v>0</v>
      </c>
      <c r="DN173" s="1">
        <v>0</v>
      </c>
      <c r="DO173" s="1">
        <v>0</v>
      </c>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1" t="s">
        <v>991</v>
      </c>
    </row>
    <row r="174" spans="1:336" ht="15" x14ac:dyDescent="0.25">
      <c r="A174" s="1" t="s">
        <v>992</v>
      </c>
      <c r="B174" s="2">
        <v>27.780729999999998</v>
      </c>
      <c r="C174" s="2">
        <v>-82.625600000000006</v>
      </c>
      <c r="D174" s="2">
        <v>27.780729999999998</v>
      </c>
      <c r="E174" s="2">
        <v>-82.625600000000006</v>
      </c>
      <c r="F174" s="3">
        <v>43134</v>
      </c>
      <c r="G174" s="1" t="s">
        <v>895</v>
      </c>
      <c r="H174" s="1" t="s">
        <v>896</v>
      </c>
      <c r="I174" s="1" t="s">
        <v>329</v>
      </c>
      <c r="J174" s="4">
        <v>0.35416666666666669</v>
      </c>
      <c r="K174" s="1" t="s">
        <v>375</v>
      </c>
      <c r="L174" s="1" t="s">
        <v>331</v>
      </c>
      <c r="M174" s="5"/>
      <c r="N174" s="1" t="s">
        <v>333</v>
      </c>
      <c r="O174" s="2"/>
      <c r="P174" s="2"/>
      <c r="Q174" s="2"/>
      <c r="R174" s="2"/>
      <c r="S174" s="2"/>
      <c r="T174" s="2"/>
      <c r="U174" s="2"/>
      <c r="V174" s="2"/>
      <c r="W174" s="2"/>
      <c r="X174" s="2"/>
      <c r="Y174" s="2"/>
      <c r="Z174" s="2"/>
      <c r="AA174" s="2">
        <v>31</v>
      </c>
      <c r="AB174" s="2"/>
      <c r="AC174" s="2"/>
      <c r="AD174" s="2"/>
      <c r="AE174" s="2"/>
      <c r="AF174" s="2"/>
      <c r="AG174" s="2"/>
      <c r="AH174" s="2"/>
      <c r="AI174" s="2"/>
      <c r="AJ174" s="2"/>
      <c r="AK174" s="2"/>
      <c r="AL174" s="2">
        <v>1</v>
      </c>
      <c r="AM174" s="2"/>
      <c r="AN174" s="2"/>
      <c r="AO174" s="2"/>
      <c r="AP174" s="2"/>
      <c r="AQ174" s="2">
        <v>185</v>
      </c>
      <c r="AR174" s="2">
        <v>14</v>
      </c>
      <c r="AS174" s="2"/>
      <c r="AT174" s="2">
        <v>19</v>
      </c>
      <c r="AU174" s="2"/>
      <c r="AV174" s="2"/>
      <c r="AW174" s="2">
        <v>3</v>
      </c>
      <c r="AX174" s="2">
        <v>17</v>
      </c>
      <c r="AY174" s="2"/>
      <c r="AZ174" s="2"/>
      <c r="BA174" s="2"/>
      <c r="BB174" s="2">
        <v>42</v>
      </c>
      <c r="BC174" s="2"/>
      <c r="BD174" s="2">
        <v>8</v>
      </c>
      <c r="BE174" s="2">
        <v>2</v>
      </c>
      <c r="BF174" s="2"/>
      <c r="BG174" s="2"/>
      <c r="BH174" s="2"/>
      <c r="BI174" s="5"/>
      <c r="BJ174" s="5"/>
      <c r="BK174" s="1">
        <v>185</v>
      </c>
      <c r="BL174" s="5"/>
      <c r="BM174" s="1">
        <v>27.78556</v>
      </c>
      <c r="BN174" s="1">
        <v>-82.622900000000001</v>
      </c>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row>
    <row r="175" spans="1:336" ht="15" x14ac:dyDescent="0.25">
      <c r="A175" s="1" t="s">
        <v>993</v>
      </c>
      <c r="B175" s="2">
        <v>27.20551</v>
      </c>
      <c r="C175" s="2">
        <v>-80.739500000000007</v>
      </c>
      <c r="D175" s="2">
        <v>27.212990000000001</v>
      </c>
      <c r="E175" s="2">
        <v>-80.716499999999996</v>
      </c>
      <c r="F175" s="3">
        <v>43134</v>
      </c>
      <c r="G175" s="1" t="s">
        <v>878</v>
      </c>
      <c r="H175" s="1" t="s">
        <v>360</v>
      </c>
      <c r="I175" s="1" t="s">
        <v>329</v>
      </c>
      <c r="J175" s="4">
        <v>0.36041666666666666</v>
      </c>
      <c r="K175" s="5"/>
      <c r="L175" s="5"/>
      <c r="M175" s="5"/>
      <c r="N175" s="1" t="s">
        <v>333</v>
      </c>
      <c r="O175" s="2"/>
      <c r="P175" s="2"/>
      <c r="Q175" s="2"/>
      <c r="R175" s="2"/>
      <c r="S175" s="2">
        <v>1</v>
      </c>
      <c r="T175" s="2">
        <v>4</v>
      </c>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v>49</v>
      </c>
      <c r="AX175" s="2"/>
      <c r="AY175" s="2"/>
      <c r="AZ175" s="2"/>
      <c r="BA175" s="2"/>
      <c r="BB175" s="2"/>
      <c r="BC175" s="2"/>
      <c r="BD175" s="2"/>
      <c r="BE175" s="2"/>
      <c r="BF175" s="2"/>
      <c r="BG175" s="2"/>
      <c r="BH175" s="2"/>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row>
    <row r="176" spans="1:336" ht="15" x14ac:dyDescent="0.25">
      <c r="A176" s="1" t="s">
        <v>994</v>
      </c>
      <c r="B176" s="2">
        <v>27.6465</v>
      </c>
      <c r="C176" s="2">
        <v>-82.746799999999993</v>
      </c>
      <c r="D176" s="2">
        <v>27.652709999999999</v>
      </c>
      <c r="E176" s="2">
        <v>-82.751099999999994</v>
      </c>
      <c r="F176" s="3">
        <v>43134</v>
      </c>
      <c r="G176" s="1" t="s">
        <v>995</v>
      </c>
      <c r="H176" s="1" t="s">
        <v>996</v>
      </c>
      <c r="I176" s="1" t="s">
        <v>329</v>
      </c>
      <c r="J176" s="4">
        <v>0.4375</v>
      </c>
      <c r="K176" s="1" t="s">
        <v>375</v>
      </c>
      <c r="L176" s="1" t="s">
        <v>441</v>
      </c>
      <c r="M176" s="1" t="s">
        <v>997</v>
      </c>
      <c r="N176" s="1" t="s">
        <v>333</v>
      </c>
      <c r="O176" s="2"/>
      <c r="P176" s="2"/>
      <c r="Q176" s="2">
        <v>14</v>
      </c>
      <c r="R176" s="2">
        <v>3</v>
      </c>
      <c r="S176" s="2"/>
      <c r="T176" s="2"/>
      <c r="U176" s="2"/>
      <c r="V176" s="2"/>
      <c r="W176" s="2"/>
      <c r="X176" s="2"/>
      <c r="Y176" s="2">
        <v>20</v>
      </c>
      <c r="Z176" s="2"/>
      <c r="AA176" s="2"/>
      <c r="AB176" s="2">
        <v>10</v>
      </c>
      <c r="AC176" s="2">
        <v>160</v>
      </c>
      <c r="AD176" s="2">
        <v>30</v>
      </c>
      <c r="AE176" s="2">
        <v>40</v>
      </c>
      <c r="AF176" s="2">
        <v>20</v>
      </c>
      <c r="AG176" s="2"/>
      <c r="AH176" s="2">
        <v>7</v>
      </c>
      <c r="AI176" s="2"/>
      <c r="AJ176" s="2"/>
      <c r="AK176" s="2"/>
      <c r="AL176" s="2"/>
      <c r="AM176" s="2">
        <v>3</v>
      </c>
      <c r="AN176" s="2"/>
      <c r="AO176" s="2"/>
      <c r="AP176" s="2"/>
      <c r="AQ176" s="2"/>
      <c r="AR176" s="2"/>
      <c r="AS176" s="2"/>
      <c r="AT176" s="2">
        <v>10</v>
      </c>
      <c r="AU176" s="2"/>
      <c r="AV176" s="2"/>
      <c r="AW176" s="2">
        <v>3</v>
      </c>
      <c r="AX176" s="2">
        <v>15</v>
      </c>
      <c r="AY176" s="2"/>
      <c r="AZ176" s="2"/>
      <c r="BA176" s="2">
        <v>10</v>
      </c>
      <c r="BB176" s="2">
        <v>10</v>
      </c>
      <c r="BC176" s="2">
        <v>1</v>
      </c>
      <c r="BD176" s="2">
        <v>15</v>
      </c>
      <c r="BE176" s="2">
        <v>90</v>
      </c>
      <c r="BF176" s="2">
        <v>15</v>
      </c>
      <c r="BG176" s="2"/>
      <c r="BH176" s="2"/>
      <c r="BI176" s="5"/>
      <c r="BJ176" s="5"/>
      <c r="BK176" s="5"/>
      <c r="BL176" s="5"/>
      <c r="BM176" s="1">
        <v>27.648499999999999</v>
      </c>
      <c r="BN176" s="1">
        <v>-82.748800000000003</v>
      </c>
      <c r="BO176" s="5"/>
      <c r="BP176" s="5"/>
      <c r="BQ176" s="1">
        <v>160</v>
      </c>
      <c r="BR176" s="1" t="s">
        <v>998</v>
      </c>
      <c r="BS176" s="5"/>
      <c r="BT176" s="5"/>
      <c r="BU176" s="5"/>
      <c r="BV176" s="5"/>
      <c r="BW176" s="5"/>
      <c r="BX176" s="5"/>
      <c r="BY176" s="5"/>
      <c r="BZ176" s="5"/>
      <c r="CA176" s="1">
        <v>27.6495</v>
      </c>
      <c r="CB176" s="1">
        <v>-82.750100000000003</v>
      </c>
      <c r="CC176" s="5"/>
      <c r="CD176" s="1">
        <v>10</v>
      </c>
      <c r="CE176" s="1" t="s">
        <v>999</v>
      </c>
      <c r="CF176" s="5"/>
      <c r="CG176" s="5"/>
      <c r="CH176" s="1">
        <v>7</v>
      </c>
      <c r="CI176" s="5"/>
      <c r="CJ176" s="1">
        <v>3</v>
      </c>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row>
    <row r="177" spans="1:336" ht="15" x14ac:dyDescent="0.25">
      <c r="A177" s="1" t="s">
        <v>1000</v>
      </c>
      <c r="B177" s="2">
        <v>26.614699999999999</v>
      </c>
      <c r="C177" s="2">
        <v>-80.0364</v>
      </c>
      <c r="D177" s="2">
        <v>26.71321</v>
      </c>
      <c r="E177" s="2">
        <v>-80.033000000000001</v>
      </c>
      <c r="F177" s="3">
        <v>43138</v>
      </c>
      <c r="G177" s="1" t="s">
        <v>514</v>
      </c>
      <c r="H177" s="1" t="s">
        <v>428</v>
      </c>
      <c r="I177" s="1" t="s">
        <v>329</v>
      </c>
      <c r="J177" s="4">
        <v>0.37083333333333335</v>
      </c>
      <c r="K177" s="1" t="s">
        <v>330</v>
      </c>
      <c r="L177" s="1" t="s">
        <v>364</v>
      </c>
      <c r="M177" s="1" t="s">
        <v>429</v>
      </c>
      <c r="N177" s="1" t="s">
        <v>333</v>
      </c>
      <c r="O177" s="2"/>
      <c r="P177" s="2"/>
      <c r="Q177" s="2"/>
      <c r="R177" s="2"/>
      <c r="S177" s="2"/>
      <c r="T177" s="2"/>
      <c r="U177" s="2"/>
      <c r="V177" s="2"/>
      <c r="W177" s="2"/>
      <c r="X177" s="2"/>
      <c r="Y177" s="2"/>
      <c r="Z177" s="2"/>
      <c r="AA177" s="2"/>
      <c r="AB177" s="2"/>
      <c r="AC177" s="2"/>
      <c r="AD177" s="2">
        <v>12</v>
      </c>
      <c r="AE177" s="2">
        <v>36</v>
      </c>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v>38</v>
      </c>
      <c r="BD177" s="2">
        <v>30</v>
      </c>
      <c r="BE177" s="2">
        <v>16</v>
      </c>
      <c r="BF177" s="2"/>
      <c r="BG177" s="2"/>
      <c r="BH177" s="2"/>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row>
    <row r="178" spans="1:336" ht="15" x14ac:dyDescent="0.25">
      <c r="A178" s="1" t="s">
        <v>1001</v>
      </c>
      <c r="B178" s="2">
        <v>26.884989999999998</v>
      </c>
      <c r="C178" s="2">
        <v>-82.335400000000007</v>
      </c>
      <c r="D178" s="2">
        <v>26.88504</v>
      </c>
      <c r="E178" s="2">
        <v>-82.335400000000007</v>
      </c>
      <c r="F178" s="3">
        <v>43133</v>
      </c>
      <c r="G178" s="1" t="s">
        <v>1002</v>
      </c>
      <c r="H178" s="1" t="s">
        <v>482</v>
      </c>
      <c r="I178" s="1" t="s">
        <v>329</v>
      </c>
      <c r="J178" s="4">
        <v>0.45833333333333331</v>
      </c>
      <c r="K178" s="5"/>
      <c r="L178" s="1" t="s">
        <v>441</v>
      </c>
      <c r="M178" s="1" t="s">
        <v>1001</v>
      </c>
      <c r="N178" s="1" t="s">
        <v>333</v>
      </c>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c r="GO178" s="7"/>
      <c r="GP178" s="7"/>
      <c r="GQ178" s="7"/>
      <c r="GR178" s="7"/>
      <c r="GS178" s="7"/>
      <c r="GT178" s="7"/>
      <c r="GU178" s="7"/>
      <c r="GV178" s="7"/>
      <c r="GW178" s="7"/>
      <c r="GX178" s="7"/>
      <c r="GY178" s="7"/>
      <c r="GZ178" s="7"/>
      <c r="HA178" s="7"/>
      <c r="HB178" s="7"/>
      <c r="HC178" s="7"/>
      <c r="HD178" s="7"/>
      <c r="HE178" s="7"/>
      <c r="HF178" s="7"/>
      <c r="HG178" s="7"/>
      <c r="HH178" s="7"/>
      <c r="HI178" s="7"/>
      <c r="HJ178" s="7"/>
      <c r="HK178" s="7"/>
      <c r="HL178" s="7"/>
      <c r="HM178" s="7"/>
      <c r="HN178" s="7"/>
      <c r="HO178" s="7"/>
      <c r="HP178" s="7"/>
      <c r="HQ178" s="7"/>
      <c r="HR178" s="7"/>
      <c r="HS178" s="7"/>
      <c r="HT178" s="7"/>
      <c r="HU178" s="7"/>
      <c r="HV178" s="7"/>
      <c r="HW178" s="7"/>
      <c r="HX178" s="7"/>
      <c r="HY178" s="7"/>
      <c r="HZ178" s="7"/>
      <c r="IA178" s="7"/>
      <c r="IB178" s="7"/>
      <c r="IC178" s="7"/>
      <c r="ID178" s="7"/>
      <c r="IE178" s="7"/>
      <c r="IF178" s="7"/>
      <c r="IG178" s="7"/>
      <c r="IH178" s="7"/>
      <c r="II178" s="7"/>
      <c r="IJ178" s="7"/>
      <c r="IK178" s="7"/>
      <c r="IL178" s="7"/>
      <c r="IM178" s="7"/>
      <c r="IN178" s="7"/>
      <c r="IO178" s="7"/>
      <c r="IP178" s="7"/>
      <c r="IQ178" s="7"/>
      <c r="IR178" s="7"/>
      <c r="IS178" s="7"/>
      <c r="IT178" s="7"/>
      <c r="IU178" s="7"/>
      <c r="IV178" s="7"/>
      <c r="IW178" s="7"/>
      <c r="IX178" s="7"/>
      <c r="IY178" s="7"/>
      <c r="IZ178" s="7"/>
      <c r="JA178" s="7"/>
      <c r="JB178" s="7"/>
      <c r="JC178" s="7"/>
      <c r="JD178" s="7"/>
      <c r="JE178" s="7"/>
      <c r="JF178" s="7"/>
      <c r="JG178" s="7"/>
      <c r="JH178" s="7"/>
      <c r="JI178" s="7"/>
      <c r="JJ178" s="7"/>
      <c r="JK178" s="7"/>
      <c r="JL178" s="7"/>
      <c r="JM178" s="7"/>
      <c r="JN178" s="7"/>
      <c r="JO178" s="7"/>
      <c r="JP178" s="7"/>
      <c r="JQ178" s="7"/>
      <c r="JR178" s="7"/>
      <c r="JS178" s="7"/>
      <c r="JT178" s="7"/>
      <c r="JU178" s="7"/>
      <c r="JV178" s="7"/>
      <c r="JW178" s="7"/>
      <c r="JX178" s="7"/>
      <c r="JY178" s="7"/>
      <c r="JZ178" s="7"/>
      <c r="KA178" s="7"/>
      <c r="KB178" s="7"/>
      <c r="KC178" s="7"/>
      <c r="KD178" s="7"/>
      <c r="KE178" s="7"/>
      <c r="KF178" s="7"/>
      <c r="KG178" s="7"/>
      <c r="KH178" s="7"/>
      <c r="KI178" s="7"/>
      <c r="KJ178" s="7"/>
      <c r="KK178" s="7"/>
      <c r="KL178" s="7"/>
      <c r="KM178" s="7"/>
      <c r="KN178" s="7"/>
      <c r="KO178" s="7"/>
      <c r="KP178" s="7"/>
      <c r="KQ178" s="7"/>
      <c r="KR178" s="7"/>
      <c r="KS178" s="7"/>
      <c r="KT178" s="7"/>
      <c r="KU178" s="7"/>
      <c r="KV178" s="7"/>
      <c r="KW178" s="7"/>
      <c r="KX178" s="7"/>
      <c r="KY178" s="7"/>
      <c r="KZ178" s="7"/>
      <c r="LA178" s="7"/>
      <c r="LB178" s="7"/>
      <c r="LC178" s="7"/>
      <c r="LD178" s="7"/>
      <c r="LE178" s="7"/>
      <c r="LF178" s="7"/>
      <c r="LG178" s="7"/>
      <c r="LH178" s="7"/>
      <c r="LI178" s="7"/>
      <c r="LJ178" s="7"/>
      <c r="LK178" s="7"/>
      <c r="LL178" s="7"/>
      <c r="LM178" s="7"/>
      <c r="LN178" s="7"/>
      <c r="LO178" s="7"/>
      <c r="LP178" s="7"/>
      <c r="LQ178" s="7"/>
      <c r="LR178" s="7"/>
      <c r="LS178" s="7"/>
      <c r="LT178" s="7"/>
      <c r="LU178" s="7"/>
      <c r="LV178" s="7"/>
      <c r="LW178" s="7"/>
      <c r="LX178" s="7"/>
    </row>
    <row r="179" spans="1:336" ht="15" x14ac:dyDescent="0.25">
      <c r="A179" s="1" t="s">
        <v>1003</v>
      </c>
      <c r="B179" s="2">
        <v>27.683219999999999</v>
      </c>
      <c r="C179" s="2">
        <v>-82.738799999999998</v>
      </c>
      <c r="D179" s="2">
        <v>27.709</v>
      </c>
      <c r="E179" s="2">
        <v>-82.738900000000001</v>
      </c>
      <c r="F179" s="3">
        <v>43138</v>
      </c>
      <c r="G179" s="1" t="s">
        <v>570</v>
      </c>
      <c r="H179" s="1" t="s">
        <v>571</v>
      </c>
      <c r="I179" s="1" t="s">
        <v>329</v>
      </c>
      <c r="J179" s="4">
        <v>0.3888888888888889</v>
      </c>
      <c r="K179" s="1" t="s">
        <v>330</v>
      </c>
      <c r="L179" s="1" t="s">
        <v>364</v>
      </c>
      <c r="M179" s="5"/>
      <c r="N179" s="1" t="s">
        <v>333</v>
      </c>
      <c r="O179" s="2"/>
      <c r="P179" s="2"/>
      <c r="Q179" s="2"/>
      <c r="R179" s="2"/>
      <c r="S179" s="2"/>
      <c r="T179" s="2"/>
      <c r="U179" s="2"/>
      <c r="V179" s="2"/>
      <c r="W179" s="2"/>
      <c r="X179" s="2"/>
      <c r="Y179" s="2"/>
      <c r="Z179" s="2"/>
      <c r="AA179" s="2"/>
      <c r="AB179" s="2"/>
      <c r="AC179" s="2"/>
      <c r="AD179" s="2"/>
      <c r="AE179" s="2"/>
      <c r="AF179" s="2"/>
      <c r="AG179" s="2"/>
      <c r="AH179" s="2"/>
      <c r="AI179" s="2"/>
      <c r="AJ179" s="2"/>
      <c r="AK179" s="2"/>
      <c r="AL179" s="2">
        <v>92</v>
      </c>
      <c r="AM179" s="2"/>
      <c r="AN179" s="2"/>
      <c r="AO179" s="2"/>
      <c r="AP179" s="2"/>
      <c r="AQ179" s="2"/>
      <c r="AR179" s="2"/>
      <c r="AS179" s="2"/>
      <c r="AT179" s="2"/>
      <c r="AU179" s="2"/>
      <c r="AV179" s="2"/>
      <c r="AW179" s="2"/>
      <c r="AX179" s="2">
        <v>2</v>
      </c>
      <c r="AY179" s="2"/>
      <c r="AZ179" s="2"/>
      <c r="BA179" s="2"/>
      <c r="BB179" s="2">
        <v>202</v>
      </c>
      <c r="BC179" s="2"/>
      <c r="BD179" s="2">
        <v>71</v>
      </c>
      <c r="BE179" s="2">
        <v>221</v>
      </c>
      <c r="BF179" s="2">
        <v>5</v>
      </c>
      <c r="BG179" s="2"/>
      <c r="BH179" s="2"/>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row>
    <row r="180" spans="1:336" ht="15" x14ac:dyDescent="0.25">
      <c r="A180" s="1" t="s">
        <v>1004</v>
      </c>
      <c r="B180" s="5"/>
      <c r="C180" s="5"/>
      <c r="D180" s="5"/>
      <c r="E180" s="5"/>
      <c r="F180" s="3">
        <v>43138</v>
      </c>
      <c r="G180" s="1" t="s">
        <v>1005</v>
      </c>
      <c r="H180" s="1" t="s">
        <v>1006</v>
      </c>
      <c r="I180" s="1" t="s">
        <v>387</v>
      </c>
      <c r="J180" s="4">
        <v>0.57638888888888884</v>
      </c>
      <c r="K180" s="1" t="s">
        <v>330</v>
      </c>
      <c r="L180" s="1" t="s">
        <v>364</v>
      </c>
      <c r="M180" s="5"/>
      <c r="N180" s="1" t="s">
        <v>333</v>
      </c>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1">
        <v>2</v>
      </c>
      <c r="BJ180" s="1" t="s">
        <v>882</v>
      </c>
      <c r="BK180" s="1">
        <v>0</v>
      </c>
      <c r="BL180" s="1" t="s">
        <v>882</v>
      </c>
      <c r="BM180" s="5"/>
      <c r="BN180" s="5"/>
      <c r="BO180" s="1">
        <v>0</v>
      </c>
      <c r="BP180" s="1" t="s">
        <v>882</v>
      </c>
      <c r="BQ180" s="1">
        <v>18</v>
      </c>
      <c r="BR180" s="1" t="s">
        <v>882</v>
      </c>
      <c r="BS180" s="1">
        <v>2</v>
      </c>
      <c r="BT180" s="1" t="s">
        <v>1007</v>
      </c>
      <c r="BU180" s="1">
        <v>3</v>
      </c>
      <c r="BV180" s="1" t="s">
        <v>882</v>
      </c>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c r="KO180" s="5"/>
      <c r="KP180" s="5"/>
      <c r="KQ180" s="5"/>
      <c r="KR180" s="5"/>
      <c r="KS180" s="5"/>
      <c r="KT180" s="5"/>
      <c r="KU180" s="5"/>
      <c r="KV180" s="5"/>
      <c r="KW180" s="5"/>
      <c r="KX180" s="5"/>
      <c r="KY180" s="5"/>
      <c r="KZ180" s="5"/>
      <c r="LA180" s="5"/>
      <c r="LB180" s="5"/>
      <c r="LC180" s="5"/>
      <c r="LD180" s="5"/>
      <c r="LE180" s="5"/>
      <c r="LF180" s="5"/>
      <c r="LG180" s="5"/>
      <c r="LH180" s="5"/>
      <c r="LI180" s="5"/>
      <c r="LJ180" s="5"/>
      <c r="LK180" s="5"/>
      <c r="LL180" s="5"/>
      <c r="LM180" s="5"/>
      <c r="LN180" s="5"/>
      <c r="LO180" s="5"/>
      <c r="LP180" s="5"/>
      <c r="LQ180" s="5"/>
      <c r="LR180" s="5"/>
      <c r="LS180" s="5"/>
      <c r="LT180" s="5"/>
      <c r="LU180" s="5"/>
      <c r="LV180" s="5"/>
      <c r="LW180" s="5"/>
      <c r="LX180" s="1" t="s">
        <v>1008</v>
      </c>
    </row>
    <row r="181" spans="1:336" ht="15" x14ac:dyDescent="0.25">
      <c r="A181" s="1" t="s">
        <v>1009</v>
      </c>
      <c r="B181" s="2">
        <v>28.212820000000001</v>
      </c>
      <c r="C181" s="2">
        <v>-80.596900000000005</v>
      </c>
      <c r="D181" s="2">
        <v>28.27195</v>
      </c>
      <c r="E181" s="2">
        <v>-80.6053</v>
      </c>
      <c r="F181" s="3">
        <v>43137</v>
      </c>
      <c r="G181" s="1" t="s">
        <v>1010</v>
      </c>
      <c r="H181" s="1" t="s">
        <v>1011</v>
      </c>
      <c r="I181" s="1" t="s">
        <v>329</v>
      </c>
      <c r="J181" s="4">
        <v>0.36249999999999999</v>
      </c>
      <c r="K181" s="1" t="s">
        <v>375</v>
      </c>
      <c r="L181" s="1" t="s">
        <v>369</v>
      </c>
      <c r="M181" s="1" t="s">
        <v>1012</v>
      </c>
      <c r="N181" s="1" t="s">
        <v>333</v>
      </c>
      <c r="O181" s="2"/>
      <c r="P181" s="2"/>
      <c r="Q181" s="2">
        <v>8</v>
      </c>
      <c r="R181" s="2"/>
      <c r="S181" s="2"/>
      <c r="T181" s="2"/>
      <c r="U181" s="2"/>
      <c r="V181" s="2"/>
      <c r="W181" s="2"/>
      <c r="X181" s="2"/>
      <c r="Y181" s="2"/>
      <c r="Z181" s="2"/>
      <c r="AA181" s="2"/>
      <c r="AB181" s="2"/>
      <c r="AC181" s="2"/>
      <c r="AD181" s="2">
        <v>32</v>
      </c>
      <c r="AE181" s="2">
        <v>120</v>
      </c>
      <c r="AF181" s="2"/>
      <c r="AG181" s="2"/>
      <c r="AH181" s="2"/>
      <c r="AI181" s="2"/>
      <c r="AJ181" s="2"/>
      <c r="AK181" s="2"/>
      <c r="AL181" s="2">
        <v>11</v>
      </c>
      <c r="AM181" s="2"/>
      <c r="AN181" s="2"/>
      <c r="AO181" s="2"/>
      <c r="AP181" s="2"/>
      <c r="AQ181" s="2"/>
      <c r="AR181" s="2"/>
      <c r="AS181" s="2"/>
      <c r="AT181" s="2"/>
      <c r="AU181" s="2"/>
      <c r="AV181" s="2"/>
      <c r="AW181" s="2"/>
      <c r="AX181" s="2"/>
      <c r="AY181" s="2"/>
      <c r="AZ181" s="2"/>
      <c r="BA181" s="2">
        <v>30</v>
      </c>
      <c r="BB181" s="2">
        <v>22</v>
      </c>
      <c r="BC181" s="2"/>
      <c r="BD181" s="2">
        <v>49</v>
      </c>
      <c r="BE181" s="2">
        <v>45</v>
      </c>
      <c r="BF181" s="2">
        <v>23</v>
      </c>
      <c r="BG181" s="2"/>
      <c r="BH181" s="2"/>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c r="LI181" s="5"/>
      <c r="LJ181" s="5"/>
      <c r="LK181" s="5"/>
      <c r="LL181" s="5"/>
      <c r="LM181" s="5"/>
      <c r="LN181" s="5"/>
      <c r="LO181" s="5"/>
      <c r="LP181" s="5"/>
      <c r="LQ181" s="5"/>
      <c r="LR181" s="5"/>
      <c r="LS181" s="5"/>
      <c r="LT181" s="5"/>
      <c r="LU181" s="5"/>
      <c r="LV181" s="5"/>
      <c r="LW181" s="5"/>
      <c r="LX181" s="5"/>
    </row>
    <row r="182" spans="1:336" ht="15" x14ac:dyDescent="0.25">
      <c r="A182" s="1" t="s">
        <v>1013</v>
      </c>
      <c r="B182" s="2">
        <v>28.13984</v>
      </c>
      <c r="C182" s="2">
        <v>-80.580100000000002</v>
      </c>
      <c r="D182" s="2">
        <v>28.24164</v>
      </c>
      <c r="E182" s="2">
        <v>-80.597499999999997</v>
      </c>
      <c r="F182" s="3">
        <v>43136</v>
      </c>
      <c r="G182" s="1" t="s">
        <v>1014</v>
      </c>
      <c r="H182" s="1" t="s">
        <v>1015</v>
      </c>
      <c r="I182" s="1" t="s">
        <v>329</v>
      </c>
      <c r="J182" s="4">
        <v>0.30208333333333331</v>
      </c>
      <c r="K182" s="1" t="s">
        <v>375</v>
      </c>
      <c r="L182" s="1" t="s">
        <v>364</v>
      </c>
      <c r="M182" s="1" t="s">
        <v>1016</v>
      </c>
      <c r="N182" s="1" t="s">
        <v>333</v>
      </c>
      <c r="O182" s="2"/>
      <c r="P182" s="2"/>
      <c r="Q182" s="2">
        <v>11</v>
      </c>
      <c r="R182" s="2"/>
      <c r="S182" s="2"/>
      <c r="T182" s="2"/>
      <c r="U182" s="2"/>
      <c r="V182" s="2"/>
      <c r="W182" s="2"/>
      <c r="X182" s="2"/>
      <c r="Y182" s="2"/>
      <c r="Z182" s="2"/>
      <c r="AA182" s="2"/>
      <c r="AB182" s="2"/>
      <c r="AC182" s="2"/>
      <c r="AD182" s="2">
        <v>46</v>
      </c>
      <c r="AE182" s="2">
        <v>88</v>
      </c>
      <c r="AF182" s="2"/>
      <c r="AG182" s="2"/>
      <c r="AH182" s="2"/>
      <c r="AI182" s="2"/>
      <c r="AJ182" s="2"/>
      <c r="AK182" s="2"/>
      <c r="AL182" s="2">
        <v>15</v>
      </c>
      <c r="AM182" s="2"/>
      <c r="AN182" s="2"/>
      <c r="AO182" s="2"/>
      <c r="AP182" s="2"/>
      <c r="AQ182" s="2"/>
      <c r="AR182" s="2">
        <v>1</v>
      </c>
      <c r="AS182" s="2"/>
      <c r="AT182" s="1" t="s">
        <v>1017</v>
      </c>
      <c r="AU182" s="2"/>
      <c r="AV182" s="2"/>
      <c r="AW182" s="2"/>
      <c r="AX182" s="2">
        <v>2</v>
      </c>
      <c r="AY182" s="1" t="s">
        <v>1018</v>
      </c>
      <c r="AZ182" s="2"/>
      <c r="BA182" s="2"/>
      <c r="BB182" s="2">
        <v>36</v>
      </c>
      <c r="BC182" s="2">
        <v>2</v>
      </c>
      <c r="BD182" s="2">
        <v>64</v>
      </c>
      <c r="BE182" s="2">
        <v>87</v>
      </c>
      <c r="BF182" s="2">
        <v>15</v>
      </c>
      <c r="BG182" s="2"/>
      <c r="BH182" s="2"/>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row>
    <row r="183" spans="1:336" ht="15" x14ac:dyDescent="0.25">
      <c r="A183" s="1" t="s">
        <v>1019</v>
      </c>
      <c r="B183" s="2">
        <v>30.325150000000001</v>
      </c>
      <c r="C183" s="2">
        <v>-87.180499999999995</v>
      </c>
      <c r="D183" s="2">
        <v>30.33033</v>
      </c>
      <c r="E183" s="2">
        <v>-87.143100000000004</v>
      </c>
      <c r="F183" s="3">
        <v>43133</v>
      </c>
      <c r="G183" s="1" t="s">
        <v>1020</v>
      </c>
      <c r="H183" s="1" t="s">
        <v>462</v>
      </c>
      <c r="I183" s="1" t="s">
        <v>329</v>
      </c>
      <c r="J183" s="4">
        <v>6.9444444444444448E-2</v>
      </c>
      <c r="K183" s="5"/>
      <c r="L183" s="1" t="s">
        <v>331</v>
      </c>
      <c r="M183" s="5"/>
      <c r="N183" s="1" t="s">
        <v>333</v>
      </c>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c r="LI183" s="5"/>
      <c r="LJ183" s="5"/>
      <c r="LK183" s="5"/>
      <c r="LL183" s="5"/>
      <c r="LM183" s="5"/>
      <c r="LN183" s="5"/>
      <c r="LO183" s="5"/>
      <c r="LP183" s="5"/>
      <c r="LQ183" s="5"/>
      <c r="LR183" s="5"/>
      <c r="LS183" s="5"/>
      <c r="LT183" s="5"/>
      <c r="LU183" s="5"/>
      <c r="LV183" s="5"/>
      <c r="LW183" s="5"/>
      <c r="LX183" s="5"/>
    </row>
    <row r="184" spans="1:336" ht="15" x14ac:dyDescent="0.25">
      <c r="A184" s="1" t="s">
        <v>1021</v>
      </c>
      <c r="B184" s="2">
        <v>28.574090000000002</v>
      </c>
      <c r="C184" s="2">
        <v>-82.649299999999997</v>
      </c>
      <c r="D184" s="2">
        <v>28.574090000000002</v>
      </c>
      <c r="E184" s="2">
        <v>-82.649299999999997</v>
      </c>
      <c r="F184" s="3">
        <v>43138</v>
      </c>
      <c r="G184" s="1" t="s">
        <v>455</v>
      </c>
      <c r="H184" s="1" t="s">
        <v>456</v>
      </c>
      <c r="I184" s="1" t="s">
        <v>329</v>
      </c>
      <c r="J184" s="4">
        <v>0.375</v>
      </c>
      <c r="K184" s="1" t="s">
        <v>375</v>
      </c>
      <c r="L184" s="1" t="s">
        <v>364</v>
      </c>
      <c r="M184" s="1" t="s">
        <v>1022</v>
      </c>
      <c r="N184" s="1" t="s">
        <v>333</v>
      </c>
      <c r="O184" s="2"/>
      <c r="P184" s="2"/>
      <c r="Q184" s="2"/>
      <c r="R184" s="2"/>
      <c r="S184" s="2">
        <v>3</v>
      </c>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c r="LI184" s="5"/>
      <c r="LJ184" s="5"/>
      <c r="LK184" s="5"/>
      <c r="LL184" s="5"/>
      <c r="LM184" s="5"/>
      <c r="LN184" s="5"/>
      <c r="LO184" s="5"/>
      <c r="LP184" s="5"/>
      <c r="LQ184" s="5"/>
      <c r="LR184" s="5"/>
      <c r="LS184" s="5"/>
      <c r="LT184" s="5"/>
      <c r="LU184" s="5"/>
      <c r="LV184" s="5"/>
      <c r="LW184" s="5"/>
      <c r="LX184" s="5"/>
    </row>
    <row r="185" spans="1:336" ht="15" x14ac:dyDescent="0.25">
      <c r="A185" s="1" t="s">
        <v>1023</v>
      </c>
      <c r="B185" s="2">
        <v>28.56832</v>
      </c>
      <c r="C185" s="2">
        <v>-82.655100000000004</v>
      </c>
      <c r="D185" s="2">
        <v>28.56907</v>
      </c>
      <c r="E185" s="2">
        <v>-82.656599999999997</v>
      </c>
      <c r="F185" s="3">
        <v>43138</v>
      </c>
      <c r="G185" s="1" t="s">
        <v>455</v>
      </c>
      <c r="H185" s="1" t="s">
        <v>456</v>
      </c>
      <c r="I185" s="1" t="s">
        <v>329</v>
      </c>
      <c r="J185" s="4">
        <v>0.34375</v>
      </c>
      <c r="K185" s="1" t="s">
        <v>375</v>
      </c>
      <c r="L185" s="1" t="s">
        <v>331</v>
      </c>
      <c r="M185" s="5"/>
      <c r="N185" s="1" t="s">
        <v>333</v>
      </c>
      <c r="O185" s="2"/>
      <c r="P185" s="2"/>
      <c r="Q185" s="2"/>
      <c r="R185" s="2">
        <v>3</v>
      </c>
      <c r="S185" s="2"/>
      <c r="T185" s="2"/>
      <c r="U185" s="2"/>
      <c r="V185" s="2"/>
      <c r="W185" s="2"/>
      <c r="X185" s="2"/>
      <c r="Y185" s="2"/>
      <c r="Z185" s="2"/>
      <c r="AA185" s="2"/>
      <c r="AB185" s="2"/>
      <c r="AC185" s="2"/>
      <c r="AD185" s="2">
        <v>4</v>
      </c>
      <c r="AE185" s="2">
        <v>3</v>
      </c>
      <c r="AF185" s="2"/>
      <c r="AG185" s="2"/>
      <c r="AH185" s="2"/>
      <c r="AI185" s="2"/>
      <c r="AJ185" s="2"/>
      <c r="AK185" s="2"/>
      <c r="AL185" s="2">
        <v>6</v>
      </c>
      <c r="AM185" s="2"/>
      <c r="AN185" s="2"/>
      <c r="AO185" s="2"/>
      <c r="AP185" s="2"/>
      <c r="AQ185" s="2">
        <v>52</v>
      </c>
      <c r="AR185" s="2"/>
      <c r="AS185" s="2"/>
      <c r="AT185" s="2"/>
      <c r="AU185" s="2"/>
      <c r="AV185" s="2"/>
      <c r="AW185" s="2">
        <v>2</v>
      </c>
      <c r="AX185" s="2"/>
      <c r="AY185" s="2"/>
      <c r="AZ185" s="2"/>
      <c r="BA185" s="2">
        <v>2</v>
      </c>
      <c r="BB185" s="2">
        <v>862</v>
      </c>
      <c r="BC185" s="2"/>
      <c r="BD185" s="2">
        <v>276</v>
      </c>
      <c r="BE185" s="2">
        <v>7</v>
      </c>
      <c r="BF185" s="2"/>
      <c r="BG185" s="2"/>
      <c r="BH185" s="2">
        <v>1</v>
      </c>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row>
    <row r="186" spans="1:336" ht="15" x14ac:dyDescent="0.25">
      <c r="A186" s="1" t="s">
        <v>1024</v>
      </c>
      <c r="B186" s="2">
        <v>27.916910000000001</v>
      </c>
      <c r="C186" s="2">
        <v>-82.827799999999996</v>
      </c>
      <c r="D186" s="5"/>
      <c r="E186" s="5"/>
      <c r="F186" s="3">
        <v>43132</v>
      </c>
      <c r="G186" s="1" t="s">
        <v>1025</v>
      </c>
      <c r="H186" s="1" t="s">
        <v>1026</v>
      </c>
      <c r="I186" s="1" t="s">
        <v>329</v>
      </c>
      <c r="J186" s="4">
        <v>0.35416666666666669</v>
      </c>
      <c r="K186" s="1" t="s">
        <v>375</v>
      </c>
      <c r="L186" s="1" t="s">
        <v>369</v>
      </c>
      <c r="M186" s="1" t="s">
        <v>1024</v>
      </c>
      <c r="N186" s="1" t="s">
        <v>333</v>
      </c>
      <c r="O186" s="2">
        <v>2</v>
      </c>
      <c r="P186" s="2"/>
      <c r="Q186" s="2"/>
      <c r="R186" s="1" t="s">
        <v>1027</v>
      </c>
      <c r="S186" s="2"/>
      <c r="T186" s="2"/>
      <c r="U186" s="2"/>
      <c r="V186" s="2"/>
      <c r="W186" s="2"/>
      <c r="X186" s="2"/>
      <c r="Y186" s="2"/>
      <c r="Z186" s="2"/>
      <c r="AA186" s="2"/>
      <c r="AB186" s="2"/>
      <c r="AC186" s="2"/>
      <c r="AD186" s="2">
        <v>20</v>
      </c>
      <c r="AE186" s="2"/>
      <c r="AF186" s="2"/>
      <c r="AG186" s="2">
        <v>2</v>
      </c>
      <c r="AH186" s="2"/>
      <c r="AI186" s="2"/>
      <c r="AJ186" s="2"/>
      <c r="AK186" s="2"/>
      <c r="AL186" s="2"/>
      <c r="AM186" s="2"/>
      <c r="AN186" s="2"/>
      <c r="AO186" s="2">
        <v>5</v>
      </c>
      <c r="AP186" s="2"/>
      <c r="AQ186" s="2"/>
      <c r="AR186" s="2"/>
      <c r="AS186" s="2"/>
      <c r="AT186" s="2">
        <v>25</v>
      </c>
      <c r="AU186" s="2"/>
      <c r="AV186" s="2">
        <v>5</v>
      </c>
      <c r="AW186" s="2"/>
      <c r="AX186" s="2"/>
      <c r="AY186" s="2"/>
      <c r="AZ186" s="2"/>
      <c r="BA186" s="2"/>
      <c r="BB186" s="2">
        <v>100</v>
      </c>
      <c r="BC186" s="2"/>
      <c r="BD186" s="2"/>
      <c r="BE186" s="2"/>
      <c r="BF186" s="2"/>
      <c r="BG186" s="2"/>
      <c r="BH186" s="2"/>
      <c r="BI186" s="1">
        <v>2</v>
      </c>
      <c r="BJ186" s="1" t="s">
        <v>1028</v>
      </c>
      <c r="BK186" s="1" t="s">
        <v>407</v>
      </c>
      <c r="BL186" s="1" t="s">
        <v>393</v>
      </c>
      <c r="BM186" s="1">
        <v>27.916910000000001</v>
      </c>
      <c r="BN186" s="1">
        <v>-82.827799999999996</v>
      </c>
      <c r="BO186" s="1">
        <v>0</v>
      </c>
      <c r="BP186" s="5"/>
      <c r="BQ186" s="1">
        <v>0</v>
      </c>
      <c r="BR186" s="5"/>
      <c r="BS186" s="1">
        <v>0</v>
      </c>
      <c r="BT186" s="5"/>
      <c r="BU186" s="1">
        <v>0</v>
      </c>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1" t="s">
        <v>1029</v>
      </c>
    </row>
    <row r="187" spans="1:336" ht="15" x14ac:dyDescent="0.25">
      <c r="A187" s="1" t="s">
        <v>1030</v>
      </c>
      <c r="B187" s="2">
        <v>27.703440000000001</v>
      </c>
      <c r="C187" s="2">
        <v>-82.668499999999995</v>
      </c>
      <c r="D187" s="2">
        <v>27.699590000000001</v>
      </c>
      <c r="E187" s="2">
        <v>-82.652000000000001</v>
      </c>
      <c r="F187" s="3">
        <v>43133</v>
      </c>
      <c r="G187" s="1" t="s">
        <v>1031</v>
      </c>
      <c r="H187" s="1" t="s">
        <v>1032</v>
      </c>
      <c r="I187" s="1" t="s">
        <v>329</v>
      </c>
      <c r="J187" s="4">
        <v>0.59722222222222221</v>
      </c>
      <c r="K187" s="1" t="s">
        <v>375</v>
      </c>
      <c r="L187" s="1" t="s">
        <v>441</v>
      </c>
      <c r="M187" s="1" t="s">
        <v>1033</v>
      </c>
      <c r="N187" s="1" t="s">
        <v>333</v>
      </c>
      <c r="O187" s="2">
        <v>1</v>
      </c>
      <c r="P187" s="2"/>
      <c r="Q187" s="2">
        <v>40</v>
      </c>
      <c r="R187" s="2"/>
      <c r="S187" s="2"/>
      <c r="T187" s="2"/>
      <c r="U187" s="2"/>
      <c r="V187" s="2"/>
      <c r="W187" s="2"/>
      <c r="X187" s="2"/>
      <c r="Y187" s="2">
        <v>3</v>
      </c>
      <c r="Z187" s="2"/>
      <c r="AA187" s="2"/>
      <c r="AB187" s="2"/>
      <c r="AC187" s="2"/>
      <c r="AD187" s="2">
        <v>16</v>
      </c>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1">
        <v>1</v>
      </c>
      <c r="BJ187" s="5"/>
      <c r="BK187" s="5"/>
      <c r="BL187" s="5"/>
      <c r="BM187" s="1">
        <v>27.7014</v>
      </c>
      <c r="BN187" s="1">
        <v>-82.662700000000001</v>
      </c>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row>
    <row r="188" spans="1:336" ht="15" x14ac:dyDescent="0.25">
      <c r="A188" s="1" t="s">
        <v>1034</v>
      </c>
      <c r="B188" s="2">
        <v>30.409800000000001</v>
      </c>
      <c r="C188" s="2">
        <v>-81.532300000000006</v>
      </c>
      <c r="D188" s="2">
        <v>30.408200000000001</v>
      </c>
      <c r="E188" s="2">
        <v>-81.527699999999996</v>
      </c>
      <c r="F188" s="3">
        <v>43138</v>
      </c>
      <c r="G188" s="1" t="s">
        <v>624</v>
      </c>
      <c r="H188" s="1" t="s">
        <v>625</v>
      </c>
      <c r="I188" s="1" t="s">
        <v>329</v>
      </c>
      <c r="J188" s="4">
        <v>0.13541666666666666</v>
      </c>
      <c r="K188" s="1" t="s">
        <v>330</v>
      </c>
      <c r="L188" s="1" t="s">
        <v>331</v>
      </c>
      <c r="M188" s="5"/>
      <c r="N188" s="1" t="s">
        <v>333</v>
      </c>
      <c r="O188" s="2"/>
      <c r="P188" s="2"/>
      <c r="Q188" s="2"/>
      <c r="R188" s="2"/>
      <c r="S188" s="2"/>
      <c r="T188" s="2">
        <v>2</v>
      </c>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v>1</v>
      </c>
      <c r="AX188" s="2"/>
      <c r="AY188" s="2"/>
      <c r="AZ188" s="2"/>
      <c r="BA188" s="2"/>
      <c r="BB188" s="2"/>
      <c r="BC188" s="2"/>
      <c r="BD188" s="2"/>
      <c r="BE188" s="2"/>
      <c r="BF188" s="2"/>
      <c r="BG188" s="2"/>
      <c r="BH188" s="2"/>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row>
    <row r="189" spans="1:336" ht="15" x14ac:dyDescent="0.25">
      <c r="A189" s="1" t="s">
        <v>1035</v>
      </c>
      <c r="B189" s="2">
        <v>30.399000000000001</v>
      </c>
      <c r="C189" s="2">
        <v>-81.5167</v>
      </c>
      <c r="D189" s="2">
        <v>30.401399999999999</v>
      </c>
      <c r="E189" s="2">
        <v>-81.515900000000002</v>
      </c>
      <c r="F189" s="3">
        <v>43138</v>
      </c>
      <c r="G189" s="1" t="s">
        <v>624</v>
      </c>
      <c r="H189" s="1" t="s">
        <v>625</v>
      </c>
      <c r="I189" s="1" t="s">
        <v>329</v>
      </c>
      <c r="J189" s="4">
        <v>0.5625</v>
      </c>
      <c r="K189" s="1" t="s">
        <v>330</v>
      </c>
      <c r="L189" s="1" t="s">
        <v>441</v>
      </c>
      <c r="M189" s="5"/>
      <c r="N189" s="1" t="s">
        <v>333</v>
      </c>
      <c r="O189" s="2"/>
      <c r="P189" s="2"/>
      <c r="Q189" s="2"/>
      <c r="R189" s="2"/>
      <c r="S189" s="2"/>
      <c r="T189" s="2">
        <v>7</v>
      </c>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v>2</v>
      </c>
      <c r="AU189" s="2"/>
      <c r="AV189" s="2"/>
      <c r="AW189" s="2"/>
      <c r="AX189" s="2"/>
      <c r="AY189" s="2"/>
      <c r="AZ189" s="2"/>
      <c r="BA189" s="2"/>
      <c r="BB189" s="2"/>
      <c r="BC189" s="2"/>
      <c r="BD189" s="2"/>
      <c r="BE189" s="2"/>
      <c r="BF189" s="2"/>
      <c r="BG189" s="2"/>
      <c r="BH189" s="2"/>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row>
    <row r="190" spans="1:336" ht="15" x14ac:dyDescent="0.25">
      <c r="A190" s="1" t="s">
        <v>1036</v>
      </c>
      <c r="B190" s="2">
        <v>27.783059999999999</v>
      </c>
      <c r="C190" s="2">
        <v>-82.784099999999995</v>
      </c>
      <c r="D190" s="2">
        <v>27.811869999999999</v>
      </c>
      <c r="E190" s="2">
        <v>-82.817599999999999</v>
      </c>
      <c r="F190" s="3">
        <v>43137</v>
      </c>
      <c r="G190" s="1" t="s">
        <v>1037</v>
      </c>
      <c r="H190" s="1" t="s">
        <v>1038</v>
      </c>
      <c r="I190" s="1" t="s">
        <v>329</v>
      </c>
      <c r="J190" s="4">
        <v>0.375</v>
      </c>
      <c r="K190" s="1" t="s">
        <v>330</v>
      </c>
      <c r="L190" s="1" t="s">
        <v>364</v>
      </c>
      <c r="M190" s="1" t="s">
        <v>1039</v>
      </c>
      <c r="N190" s="1" t="s">
        <v>333</v>
      </c>
      <c r="O190" s="2"/>
      <c r="P190" s="2"/>
      <c r="Q190" s="2">
        <v>5</v>
      </c>
      <c r="R190" s="2"/>
      <c r="S190" s="2"/>
      <c r="T190" s="2"/>
      <c r="U190" s="2"/>
      <c r="V190" s="2"/>
      <c r="W190" s="2"/>
      <c r="X190" s="2"/>
      <c r="Y190" s="2"/>
      <c r="Z190" s="2"/>
      <c r="AA190" s="2"/>
      <c r="AB190" s="2"/>
      <c r="AC190" s="2">
        <v>7</v>
      </c>
      <c r="AD190" s="2">
        <v>16</v>
      </c>
      <c r="AE190" s="2">
        <v>176</v>
      </c>
      <c r="AF190" s="2"/>
      <c r="AG190" s="2"/>
      <c r="AH190" s="2"/>
      <c r="AI190" s="2"/>
      <c r="AJ190" s="2"/>
      <c r="AK190" s="2"/>
      <c r="AL190" s="2">
        <v>32</v>
      </c>
      <c r="AM190" s="2"/>
      <c r="AN190" s="2"/>
      <c r="AO190" s="2"/>
      <c r="AP190" s="2"/>
      <c r="AQ190" s="2">
        <v>41</v>
      </c>
      <c r="AR190" s="2">
        <v>3</v>
      </c>
      <c r="AS190" s="2"/>
      <c r="AT190" s="2"/>
      <c r="AU190" s="2"/>
      <c r="AV190" s="2"/>
      <c r="AW190" s="2">
        <v>4</v>
      </c>
      <c r="AX190" s="2">
        <v>2</v>
      </c>
      <c r="AY190" s="2"/>
      <c r="AZ190" s="2"/>
      <c r="BA190" s="2">
        <v>3</v>
      </c>
      <c r="BB190" s="2">
        <v>123</v>
      </c>
      <c r="BC190" s="2"/>
      <c r="BD190" s="2">
        <v>51</v>
      </c>
      <c r="BE190" s="2">
        <v>33</v>
      </c>
      <c r="BF190" s="2">
        <v>9</v>
      </c>
      <c r="BG190" s="2"/>
      <c r="BH190" s="2"/>
      <c r="BI190" s="1">
        <v>0</v>
      </c>
      <c r="BJ190" s="5"/>
      <c r="BK190" s="1">
        <v>41</v>
      </c>
      <c r="BL190" s="5"/>
      <c r="BM190" s="1">
        <v>27.791129999999999</v>
      </c>
      <c r="BN190" s="1">
        <v>-82.790400000000005</v>
      </c>
      <c r="BO190" s="1">
        <v>0</v>
      </c>
      <c r="BP190" s="5"/>
      <c r="BQ190" s="1">
        <v>0</v>
      </c>
      <c r="BR190" s="5"/>
      <c r="BS190" s="1">
        <v>0</v>
      </c>
      <c r="BT190" s="5"/>
      <c r="BU190" s="1">
        <v>0</v>
      </c>
      <c r="BV190" s="5"/>
      <c r="BW190" s="1">
        <v>0</v>
      </c>
      <c r="BX190" s="5"/>
      <c r="BY190" s="1">
        <v>0</v>
      </c>
      <c r="BZ190" s="5"/>
      <c r="CA190" s="1">
        <v>27.808969999999999</v>
      </c>
      <c r="CB190" s="1">
        <v>-82.813400000000001</v>
      </c>
      <c r="CC190" s="5"/>
      <c r="CD190" s="1">
        <v>0</v>
      </c>
      <c r="CE190" s="5"/>
      <c r="CF190" s="1">
        <v>3</v>
      </c>
      <c r="CG190" s="5"/>
      <c r="CH190" s="1">
        <v>0</v>
      </c>
      <c r="CI190" s="5"/>
      <c r="CJ190" s="1">
        <v>0</v>
      </c>
      <c r="CK190" s="5"/>
      <c r="CL190" s="1">
        <v>0</v>
      </c>
      <c r="CM190" s="5"/>
      <c r="CN190" s="1">
        <v>0</v>
      </c>
      <c r="CO190" s="5"/>
      <c r="CP190" s="1">
        <v>27.809480000000001</v>
      </c>
      <c r="CQ190" s="1">
        <v>-82.841300000000004</v>
      </c>
      <c r="CR190" s="5"/>
      <c r="CS190" s="1">
        <v>0</v>
      </c>
      <c r="CT190" s="5"/>
      <c r="CU190" s="1">
        <v>4</v>
      </c>
      <c r="CV190" s="5"/>
      <c r="CW190" s="1">
        <v>0</v>
      </c>
      <c r="CX190" s="5"/>
      <c r="CY190" s="1">
        <v>0</v>
      </c>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row>
    <row r="191" spans="1:336" ht="15" x14ac:dyDescent="0.25">
      <c r="A191" s="1" t="s">
        <v>1040</v>
      </c>
      <c r="B191" s="2">
        <v>29.85941</v>
      </c>
      <c r="C191" s="2">
        <v>-81.265199999999993</v>
      </c>
      <c r="D191" s="2">
        <v>29.718170000000001</v>
      </c>
      <c r="E191" s="2">
        <v>-81.230900000000005</v>
      </c>
      <c r="F191" s="3">
        <v>43138</v>
      </c>
      <c r="G191" s="1" t="s">
        <v>1041</v>
      </c>
      <c r="H191" s="1" t="s">
        <v>1042</v>
      </c>
      <c r="I191" s="1" t="s">
        <v>329</v>
      </c>
      <c r="J191" s="4">
        <v>0.38541666666666669</v>
      </c>
      <c r="K191" s="1" t="s">
        <v>375</v>
      </c>
      <c r="L191" s="1" t="s">
        <v>331</v>
      </c>
      <c r="M191" s="1" t="s">
        <v>1040</v>
      </c>
      <c r="N191" s="1" t="s">
        <v>333</v>
      </c>
      <c r="O191" s="2"/>
      <c r="P191" s="2"/>
      <c r="Q191" s="2"/>
      <c r="R191" s="2"/>
      <c r="S191" s="2"/>
      <c r="T191" s="2"/>
      <c r="U191" s="2"/>
      <c r="V191" s="2"/>
      <c r="W191" s="2"/>
      <c r="X191" s="2"/>
      <c r="Y191" s="2"/>
      <c r="Z191" s="2"/>
      <c r="AA191" s="2"/>
      <c r="AB191" s="2"/>
      <c r="AC191" s="2"/>
      <c r="AD191" s="2">
        <v>2</v>
      </c>
      <c r="AE191" s="2">
        <v>161</v>
      </c>
      <c r="AF191" s="2"/>
      <c r="AG191" s="2"/>
      <c r="AH191" s="2"/>
      <c r="AI191" s="2"/>
      <c r="AJ191" s="2"/>
      <c r="AK191" s="2"/>
      <c r="AL191" s="2">
        <v>12</v>
      </c>
      <c r="AM191" s="2"/>
      <c r="AN191" s="2"/>
      <c r="AO191" s="2"/>
      <c r="AP191" s="2"/>
      <c r="AQ191" s="2">
        <v>152</v>
      </c>
      <c r="AR191" s="2"/>
      <c r="AS191" s="2"/>
      <c r="AT191" s="2"/>
      <c r="AU191" s="2"/>
      <c r="AV191" s="2"/>
      <c r="AW191" s="2"/>
      <c r="AX191" s="2">
        <v>342</v>
      </c>
      <c r="AY191" s="2"/>
      <c r="AZ191" s="2">
        <v>1</v>
      </c>
      <c r="BA191" s="2">
        <v>1</v>
      </c>
      <c r="BB191" s="2">
        <v>211</v>
      </c>
      <c r="BC191" s="2"/>
      <c r="BD191" s="2">
        <v>627</v>
      </c>
      <c r="BE191" s="2">
        <v>56</v>
      </c>
      <c r="BF191" s="2"/>
      <c r="BG191" s="2"/>
      <c r="BH191" s="2"/>
      <c r="BI191" s="6">
        <v>0</v>
      </c>
      <c r="BJ191" s="6">
        <v>0</v>
      </c>
      <c r="BK191" s="6">
        <v>2</v>
      </c>
      <c r="BL191" s="6">
        <v>0</v>
      </c>
      <c r="BM191" s="6">
        <v>29.76895</v>
      </c>
      <c r="BN191" s="6">
        <v>-81.251900000000006</v>
      </c>
      <c r="BO191" s="6">
        <v>0</v>
      </c>
      <c r="BP191" s="6">
        <v>0</v>
      </c>
      <c r="BQ191" s="6">
        <v>0</v>
      </c>
      <c r="BR191" s="6">
        <v>0</v>
      </c>
      <c r="BS191" s="6">
        <v>0</v>
      </c>
      <c r="BT191" s="6">
        <v>0</v>
      </c>
      <c r="BU191" s="6">
        <v>0</v>
      </c>
      <c r="BV191" s="6">
        <v>0</v>
      </c>
      <c r="BW191" s="6">
        <v>0</v>
      </c>
      <c r="BX191" s="6">
        <v>0</v>
      </c>
      <c r="BY191" s="6">
        <v>150</v>
      </c>
      <c r="BZ191" s="6">
        <v>0</v>
      </c>
      <c r="CA191" s="6">
        <v>29.737259999999999</v>
      </c>
      <c r="CB191" s="6">
        <v>-81.239800000000002</v>
      </c>
      <c r="CC191" s="6">
        <v>0</v>
      </c>
      <c r="CD191" s="6">
        <v>0</v>
      </c>
      <c r="CE191" s="6">
        <v>0</v>
      </c>
      <c r="CF191" s="6">
        <v>0</v>
      </c>
      <c r="CG191" s="6">
        <v>0</v>
      </c>
      <c r="CH191" s="6">
        <v>0</v>
      </c>
      <c r="CI191" s="6">
        <v>0</v>
      </c>
      <c r="CJ191" s="6">
        <v>0</v>
      </c>
      <c r="CK191" s="6">
        <v>0</v>
      </c>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c r="DR191" s="7"/>
      <c r="DS191" s="7"/>
      <c r="DT191" s="7"/>
      <c r="DU191" s="7"/>
      <c r="DV191" s="7"/>
      <c r="DW191" s="7"/>
      <c r="DX191" s="7"/>
      <c r="DY191" s="7"/>
      <c r="DZ191" s="7"/>
      <c r="EA191" s="7"/>
      <c r="EB191" s="7"/>
      <c r="EC191" s="7"/>
      <c r="ED191" s="7"/>
      <c r="EE191" s="7"/>
      <c r="EF191" s="7"/>
      <c r="EG191" s="7"/>
      <c r="EH191" s="7"/>
      <c r="EI191" s="7"/>
      <c r="EJ191" s="7"/>
      <c r="EK191" s="7"/>
      <c r="EL191" s="7"/>
      <c r="EM191" s="7"/>
      <c r="EN191" s="7"/>
      <c r="EO191" s="7"/>
      <c r="EP191" s="7"/>
      <c r="EQ191" s="7"/>
      <c r="ER191" s="7"/>
      <c r="ES191" s="7"/>
      <c r="ET191" s="7"/>
      <c r="EU191" s="7"/>
      <c r="EV191" s="7"/>
      <c r="EW191" s="7"/>
      <c r="EX191" s="7"/>
      <c r="EY191" s="7"/>
      <c r="EZ191" s="7"/>
      <c r="FA191" s="7"/>
      <c r="FB191" s="7"/>
      <c r="FC191" s="7"/>
      <c r="FD191" s="7"/>
      <c r="FE191" s="7"/>
      <c r="FF191" s="7"/>
      <c r="FG191" s="7"/>
      <c r="FH191" s="7"/>
      <c r="FI191" s="7"/>
      <c r="FJ191" s="7"/>
      <c r="FK191" s="7"/>
      <c r="FL191" s="7"/>
      <c r="FM191" s="7"/>
      <c r="FN191" s="7"/>
      <c r="FO191" s="7"/>
      <c r="FP191" s="7"/>
      <c r="FQ191" s="7"/>
      <c r="FR191" s="7"/>
      <c r="FS191" s="7"/>
      <c r="FT191" s="7"/>
      <c r="FU191" s="7"/>
      <c r="FV191" s="7"/>
      <c r="FW191" s="7"/>
      <c r="FX191" s="7"/>
      <c r="FY191" s="7"/>
      <c r="FZ191" s="7"/>
      <c r="GA191" s="7"/>
      <c r="GB191" s="7"/>
      <c r="GC191" s="7"/>
      <c r="GD191" s="7"/>
      <c r="GE191" s="7"/>
      <c r="GF191" s="7"/>
      <c r="GG191" s="7"/>
      <c r="GH191" s="7"/>
      <c r="GI191" s="7"/>
      <c r="GJ191" s="7"/>
      <c r="GK191" s="7"/>
      <c r="GL191" s="7"/>
      <c r="GM191" s="7"/>
      <c r="GN191" s="7"/>
      <c r="GO191" s="7"/>
      <c r="GP191" s="7"/>
      <c r="GQ191" s="7"/>
      <c r="GR191" s="7"/>
      <c r="GS191" s="7"/>
      <c r="GT191" s="7"/>
      <c r="GU191" s="7"/>
      <c r="GV191" s="7"/>
      <c r="GW191" s="7"/>
      <c r="GX191" s="7"/>
      <c r="GY191" s="7"/>
      <c r="GZ191" s="7"/>
      <c r="HA191" s="7"/>
      <c r="HB191" s="7"/>
      <c r="HC191" s="7"/>
      <c r="HD191" s="7"/>
      <c r="HE191" s="7"/>
      <c r="HF191" s="7"/>
      <c r="HG191" s="7"/>
      <c r="HH191" s="7"/>
      <c r="HI191" s="7"/>
      <c r="HJ191" s="7"/>
      <c r="HK191" s="7"/>
      <c r="HL191" s="7"/>
      <c r="HM191" s="7"/>
      <c r="HN191" s="7"/>
      <c r="HO191" s="7"/>
      <c r="HP191" s="7"/>
      <c r="HQ191" s="7"/>
      <c r="HR191" s="7"/>
      <c r="HS191" s="7"/>
      <c r="HT191" s="7"/>
      <c r="HU191" s="7"/>
      <c r="HV191" s="7"/>
      <c r="HW191" s="7"/>
      <c r="HX191" s="7"/>
      <c r="HY191" s="7"/>
      <c r="HZ191" s="7"/>
      <c r="IA191" s="7"/>
      <c r="IB191" s="7"/>
      <c r="IC191" s="7"/>
      <c r="ID191" s="7"/>
      <c r="IE191" s="7"/>
      <c r="IF191" s="7"/>
      <c r="IG191" s="7"/>
      <c r="IH191" s="7"/>
      <c r="II191" s="7"/>
      <c r="IJ191" s="7"/>
      <c r="IK191" s="7"/>
      <c r="IL191" s="7"/>
      <c r="IM191" s="7"/>
      <c r="IN191" s="7"/>
      <c r="IO191" s="7"/>
      <c r="IP191" s="7"/>
      <c r="IQ191" s="7"/>
      <c r="IR191" s="7"/>
      <c r="IS191" s="7"/>
      <c r="IT191" s="7"/>
      <c r="IU191" s="7"/>
      <c r="IV191" s="7"/>
      <c r="IW191" s="7"/>
      <c r="IX191" s="7"/>
      <c r="IY191" s="7"/>
      <c r="IZ191" s="7"/>
      <c r="JA191" s="7"/>
      <c r="JB191" s="7"/>
      <c r="JC191" s="7"/>
      <c r="JD191" s="7"/>
      <c r="JE191" s="7"/>
      <c r="JF191" s="7"/>
      <c r="JG191" s="7"/>
      <c r="JH191" s="7"/>
      <c r="JI191" s="7"/>
      <c r="JJ191" s="7"/>
      <c r="JK191" s="7"/>
      <c r="JL191" s="7"/>
      <c r="JM191" s="7"/>
      <c r="JN191" s="7"/>
      <c r="JO191" s="7"/>
      <c r="JP191" s="7"/>
      <c r="JQ191" s="7"/>
      <c r="JR191" s="7"/>
      <c r="JS191" s="7"/>
      <c r="JT191" s="7"/>
      <c r="JU191" s="7"/>
      <c r="JV191" s="7"/>
      <c r="JW191" s="7"/>
      <c r="JX191" s="7"/>
      <c r="JY191" s="7"/>
      <c r="JZ191" s="7"/>
      <c r="KA191" s="7"/>
      <c r="KB191" s="7"/>
      <c r="KC191" s="7"/>
      <c r="KD191" s="7"/>
      <c r="KE191" s="7"/>
      <c r="KF191" s="7"/>
      <c r="KG191" s="7"/>
      <c r="KH191" s="7"/>
      <c r="KI191" s="7"/>
      <c r="KJ191" s="7"/>
      <c r="KK191" s="7"/>
      <c r="KL191" s="7"/>
      <c r="KM191" s="7"/>
      <c r="KN191" s="7"/>
      <c r="KO191" s="7"/>
      <c r="KP191" s="7"/>
      <c r="KQ191" s="7"/>
      <c r="KR191" s="7"/>
      <c r="KS191" s="7"/>
      <c r="KT191" s="7"/>
      <c r="KU191" s="7"/>
      <c r="KV191" s="7"/>
      <c r="KW191" s="7"/>
      <c r="KX191" s="7"/>
      <c r="KY191" s="7"/>
      <c r="KZ191" s="7"/>
      <c r="LA191" s="7"/>
      <c r="LB191" s="7"/>
      <c r="LC191" s="7"/>
      <c r="LD191" s="7"/>
      <c r="LE191" s="7"/>
      <c r="LF191" s="7"/>
      <c r="LG191" s="7"/>
      <c r="LH191" s="7"/>
      <c r="LI191" s="7"/>
      <c r="LJ191" s="7"/>
      <c r="LK191" s="7"/>
      <c r="LL191" s="7"/>
      <c r="LM191" s="7"/>
      <c r="LN191" s="7"/>
      <c r="LO191" s="7"/>
      <c r="LP191" s="7"/>
      <c r="LQ191" s="7"/>
      <c r="LR191" s="7"/>
      <c r="LS191" s="7"/>
      <c r="LT191" s="7"/>
      <c r="LU191" s="7"/>
      <c r="LV191" s="7"/>
      <c r="LW191" s="7"/>
      <c r="LX191" s="6">
        <v>0</v>
      </c>
    </row>
    <row r="192" spans="1:336" ht="15" x14ac:dyDescent="0.25">
      <c r="A192" s="1" t="s">
        <v>1043</v>
      </c>
      <c r="B192" s="2">
        <v>27.168949999999999</v>
      </c>
      <c r="C192" s="2">
        <v>-80.157300000000006</v>
      </c>
      <c r="D192" s="2">
        <v>27.26305</v>
      </c>
      <c r="E192" s="2">
        <v>-80.199700000000007</v>
      </c>
      <c r="F192" s="3">
        <v>43138</v>
      </c>
      <c r="G192" s="1" t="s">
        <v>362</v>
      </c>
      <c r="H192" s="1" t="s">
        <v>363</v>
      </c>
      <c r="I192" s="1" t="s">
        <v>329</v>
      </c>
      <c r="J192" s="4">
        <v>0.31736111111111109</v>
      </c>
      <c r="K192" s="1" t="s">
        <v>330</v>
      </c>
      <c r="L192" s="1" t="s">
        <v>441</v>
      </c>
      <c r="M192" s="5"/>
      <c r="N192" s="1" t="s">
        <v>333</v>
      </c>
      <c r="O192" s="2"/>
      <c r="P192" s="2"/>
      <c r="Q192" s="2"/>
      <c r="R192" s="2"/>
      <c r="S192" s="2"/>
      <c r="T192" s="2">
        <v>6</v>
      </c>
      <c r="U192" s="2"/>
      <c r="V192" s="2"/>
      <c r="W192" s="2"/>
      <c r="X192" s="2"/>
      <c r="Y192" s="2"/>
      <c r="Z192" s="2"/>
      <c r="AA192" s="2"/>
      <c r="AB192" s="2"/>
      <c r="AC192" s="2"/>
      <c r="AD192" s="2">
        <v>6</v>
      </c>
      <c r="AE192" s="2">
        <v>30</v>
      </c>
      <c r="AF192" s="2"/>
      <c r="AG192" s="2"/>
      <c r="AH192" s="2"/>
      <c r="AI192" s="2"/>
      <c r="AJ192" s="2"/>
      <c r="AK192" s="2"/>
      <c r="AL192" s="2">
        <v>1</v>
      </c>
      <c r="AM192" s="2"/>
      <c r="AN192" s="2"/>
      <c r="AO192" s="2"/>
      <c r="AP192" s="2"/>
      <c r="AQ192" s="2"/>
      <c r="AR192" s="2"/>
      <c r="AS192" s="2"/>
      <c r="AT192" s="2">
        <v>1</v>
      </c>
      <c r="AU192" s="2"/>
      <c r="AV192" s="2"/>
      <c r="AW192" s="2"/>
      <c r="AX192" s="2"/>
      <c r="AY192" s="2"/>
      <c r="AZ192" s="2"/>
      <c r="BA192" s="2">
        <v>1</v>
      </c>
      <c r="BB192" s="2">
        <v>21</v>
      </c>
      <c r="BC192" s="2"/>
      <c r="BD192" s="2">
        <v>41</v>
      </c>
      <c r="BE192" s="2">
        <v>56</v>
      </c>
      <c r="BF192" s="2"/>
      <c r="BG192" s="2"/>
      <c r="BH192" s="2"/>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row>
    <row r="193" spans="1:336" ht="15" x14ac:dyDescent="0.25">
      <c r="A193" s="1" t="s">
        <v>1044</v>
      </c>
      <c r="B193" s="2">
        <v>27.308240000000001</v>
      </c>
      <c r="C193" s="2">
        <v>-80.220500000000001</v>
      </c>
      <c r="D193" s="2">
        <v>27.26305</v>
      </c>
      <c r="E193" s="2">
        <v>-80.199700000000007</v>
      </c>
      <c r="F193" s="3">
        <v>43138</v>
      </c>
      <c r="G193" s="1" t="s">
        <v>1045</v>
      </c>
      <c r="H193" s="1" t="s">
        <v>1046</v>
      </c>
      <c r="I193" s="1" t="s">
        <v>329</v>
      </c>
      <c r="J193" s="4">
        <v>0.3263888888888889</v>
      </c>
      <c r="K193" s="1" t="s">
        <v>330</v>
      </c>
      <c r="L193" s="1" t="s">
        <v>441</v>
      </c>
      <c r="M193" s="5"/>
      <c r="N193" s="1" t="s">
        <v>333</v>
      </c>
      <c r="O193" s="2"/>
      <c r="P193" s="2"/>
      <c r="Q193" s="2"/>
      <c r="R193" s="2"/>
      <c r="S193" s="2"/>
      <c r="T193" s="2"/>
      <c r="U193" s="2"/>
      <c r="V193" s="2"/>
      <c r="W193" s="2"/>
      <c r="X193" s="2"/>
      <c r="Y193" s="2"/>
      <c r="Z193" s="2"/>
      <c r="AA193" s="2"/>
      <c r="AB193" s="2"/>
      <c r="AC193" s="2"/>
      <c r="AD193" s="2">
        <v>9</v>
      </c>
      <c r="AE193" s="2">
        <v>50</v>
      </c>
      <c r="AF193" s="2"/>
      <c r="AG193" s="2"/>
      <c r="AH193" s="2"/>
      <c r="AI193" s="2"/>
      <c r="AJ193" s="2"/>
      <c r="AK193" s="2"/>
      <c r="AL193" s="2"/>
      <c r="AM193" s="2"/>
      <c r="AN193" s="2"/>
      <c r="AO193" s="2"/>
      <c r="AP193" s="2"/>
      <c r="AQ193" s="2"/>
      <c r="AR193" s="2">
        <v>1</v>
      </c>
      <c r="AS193" s="2"/>
      <c r="AT193" s="2"/>
      <c r="AU193" s="2"/>
      <c r="AV193" s="2"/>
      <c r="AW193" s="2"/>
      <c r="AX193" s="2"/>
      <c r="AY193" s="2"/>
      <c r="AZ193" s="2"/>
      <c r="BA193" s="2"/>
      <c r="BB193" s="2">
        <v>1</v>
      </c>
      <c r="BC193" s="2"/>
      <c r="BD193" s="2">
        <v>40</v>
      </c>
      <c r="BE193" s="2">
        <v>7</v>
      </c>
      <c r="BF193" s="2"/>
      <c r="BG193" s="2"/>
      <c r="BH193" s="2"/>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row>
    <row r="194" spans="1:336" ht="15" x14ac:dyDescent="0.25">
      <c r="A194" s="1" t="s">
        <v>1047</v>
      </c>
      <c r="B194" s="2">
        <v>27.910499999999999</v>
      </c>
      <c r="C194" s="2">
        <v>-82.846900000000005</v>
      </c>
      <c r="D194" s="2">
        <v>27.963740000000001</v>
      </c>
      <c r="E194" s="2">
        <v>-82.630899999999997</v>
      </c>
      <c r="F194" s="3">
        <v>43138</v>
      </c>
      <c r="G194" s="1" t="s">
        <v>1048</v>
      </c>
      <c r="H194" s="1" t="s">
        <v>1049</v>
      </c>
      <c r="I194" s="1" t="s">
        <v>329</v>
      </c>
      <c r="J194" s="4">
        <v>0.39583333333333331</v>
      </c>
      <c r="K194" s="1" t="s">
        <v>330</v>
      </c>
      <c r="L194" s="1" t="s">
        <v>364</v>
      </c>
      <c r="M194" s="1" t="s">
        <v>1050</v>
      </c>
      <c r="N194" s="1" t="s">
        <v>333</v>
      </c>
      <c r="O194" s="2">
        <v>8</v>
      </c>
      <c r="P194" s="2"/>
      <c r="Q194" s="2"/>
      <c r="R194" s="2"/>
      <c r="S194" s="2"/>
      <c r="T194" s="2"/>
      <c r="U194" s="2"/>
      <c r="V194" s="2"/>
      <c r="W194" s="2"/>
      <c r="X194" s="2"/>
      <c r="Y194" s="2"/>
      <c r="Z194" s="2"/>
      <c r="AA194" s="2"/>
      <c r="AB194" s="2"/>
      <c r="AC194" s="2"/>
      <c r="AD194" s="2"/>
      <c r="AE194" s="2">
        <v>20</v>
      </c>
      <c r="AF194" s="2"/>
      <c r="AG194" s="2"/>
      <c r="AH194" s="2"/>
      <c r="AI194" s="2"/>
      <c r="AJ194" s="2"/>
      <c r="AK194" s="2"/>
      <c r="AL194" s="2">
        <v>21</v>
      </c>
      <c r="AM194" s="2"/>
      <c r="AN194" s="2"/>
      <c r="AO194" s="2"/>
      <c r="AP194" s="2"/>
      <c r="AQ194" s="2"/>
      <c r="AR194" s="2"/>
      <c r="AS194" s="2"/>
      <c r="AT194" s="2">
        <v>1</v>
      </c>
      <c r="AU194" s="2"/>
      <c r="AV194" s="2"/>
      <c r="AW194" s="2">
        <v>9</v>
      </c>
      <c r="AX194" s="2"/>
      <c r="AY194" s="2"/>
      <c r="AZ194" s="2"/>
      <c r="BA194" s="2">
        <v>4</v>
      </c>
      <c r="BB194" s="2">
        <v>75</v>
      </c>
      <c r="BC194" s="2"/>
      <c r="BD194" s="2">
        <v>64</v>
      </c>
      <c r="BE194" s="2">
        <v>106</v>
      </c>
      <c r="BF194" s="2"/>
      <c r="BG194" s="2"/>
      <c r="BH194" s="2"/>
      <c r="BI194" s="1">
        <v>3</v>
      </c>
      <c r="BJ194" s="5"/>
      <c r="BK194" s="5"/>
      <c r="BL194" s="5"/>
      <c r="BM194" s="1">
        <v>27.916640000000001</v>
      </c>
      <c r="BN194" s="1">
        <v>-82.845799999999997</v>
      </c>
      <c r="BO194" s="5"/>
      <c r="BP194" s="5"/>
      <c r="BQ194" s="5"/>
      <c r="BR194" s="5"/>
      <c r="BS194" s="5"/>
      <c r="BT194" s="5"/>
      <c r="BU194" s="5"/>
      <c r="BV194" s="5"/>
      <c r="BW194" s="1">
        <v>1</v>
      </c>
      <c r="BX194" s="5"/>
      <c r="BY194" s="5"/>
      <c r="BZ194" s="5"/>
      <c r="CA194" s="1">
        <v>27.924160000000001</v>
      </c>
      <c r="CB194" s="1">
        <v>-82.843999999999994</v>
      </c>
      <c r="CC194" s="5"/>
      <c r="CD194" s="5"/>
      <c r="CE194" s="5"/>
      <c r="CF194" s="5"/>
      <c r="CG194" s="5"/>
      <c r="CH194" s="5"/>
      <c r="CI194" s="5"/>
      <c r="CJ194" s="5"/>
      <c r="CK194" s="5"/>
      <c r="CL194" s="1">
        <v>2</v>
      </c>
      <c r="CM194" s="5"/>
      <c r="CN194" s="5"/>
      <c r="CO194" s="5"/>
      <c r="CP194" s="1">
        <v>27.93167</v>
      </c>
      <c r="CQ194" s="1">
        <v>-82.842299999999994</v>
      </c>
      <c r="CR194" s="5"/>
      <c r="CS194" s="5"/>
      <c r="CT194" s="5"/>
      <c r="CU194" s="5"/>
      <c r="CV194" s="5"/>
      <c r="CW194" s="5"/>
      <c r="CX194" s="5"/>
      <c r="CY194" s="5"/>
      <c r="CZ194" s="5"/>
      <c r="DA194" s="1">
        <v>2</v>
      </c>
      <c r="DB194" s="5"/>
      <c r="DC194" s="5"/>
      <c r="DD194" s="5"/>
      <c r="DE194" s="1">
        <v>27.952780000000001</v>
      </c>
      <c r="DF194" s="1">
        <v>-82.833699999999993</v>
      </c>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row>
    <row r="195" spans="1:336" ht="15" x14ac:dyDescent="0.25">
      <c r="A195" s="1" t="s">
        <v>1051</v>
      </c>
      <c r="B195" s="2">
        <v>26.464020000000001</v>
      </c>
      <c r="C195" s="2">
        <v>-82.165599999999998</v>
      </c>
      <c r="D195" s="2">
        <v>26.482669999999999</v>
      </c>
      <c r="E195" s="2">
        <v>-82.182299999999998</v>
      </c>
      <c r="F195" s="3">
        <v>43138</v>
      </c>
      <c r="G195" s="1" t="s">
        <v>539</v>
      </c>
      <c r="H195" s="1" t="s">
        <v>540</v>
      </c>
      <c r="I195" s="1" t="s">
        <v>329</v>
      </c>
      <c r="J195" s="4">
        <v>0.52083333333333337</v>
      </c>
      <c r="K195" s="5"/>
      <c r="L195" s="5"/>
      <c r="M195" s="5"/>
      <c r="N195" s="5"/>
      <c r="O195" s="2"/>
      <c r="P195" s="2"/>
      <c r="Q195" s="2"/>
      <c r="R195" s="2"/>
      <c r="S195" s="2"/>
      <c r="T195" s="2"/>
      <c r="U195" s="2"/>
      <c r="V195" s="2"/>
      <c r="W195" s="2"/>
      <c r="X195" s="2"/>
      <c r="Y195" s="2"/>
      <c r="Z195" s="2"/>
      <c r="AA195" s="2"/>
      <c r="AB195" s="2"/>
      <c r="AC195" s="2"/>
      <c r="AD195" s="2">
        <v>11</v>
      </c>
      <c r="AE195" s="2">
        <v>10</v>
      </c>
      <c r="AF195" s="2"/>
      <c r="AG195" s="2"/>
      <c r="AH195" s="2"/>
      <c r="AI195" s="2"/>
      <c r="AJ195" s="2"/>
      <c r="AK195" s="2"/>
      <c r="AL195" s="2">
        <v>16</v>
      </c>
      <c r="AM195" s="2"/>
      <c r="AN195" s="2"/>
      <c r="AO195" s="2"/>
      <c r="AP195" s="2"/>
      <c r="AQ195" s="2"/>
      <c r="AR195" s="2">
        <v>3</v>
      </c>
      <c r="AS195" s="2"/>
      <c r="AT195" s="2">
        <v>6</v>
      </c>
      <c r="AU195" s="2"/>
      <c r="AV195" s="2"/>
      <c r="AW195" s="2">
        <v>3</v>
      </c>
      <c r="AX195" s="2">
        <v>2</v>
      </c>
      <c r="AY195" s="2"/>
      <c r="AZ195" s="2"/>
      <c r="BA195" s="2"/>
      <c r="BB195" s="2">
        <v>51</v>
      </c>
      <c r="BC195" s="2">
        <v>1</v>
      </c>
      <c r="BD195" s="2">
        <v>1</v>
      </c>
      <c r="BE195" s="2">
        <v>9</v>
      </c>
      <c r="BF195" s="2">
        <v>8</v>
      </c>
      <c r="BG195" s="2"/>
      <c r="BH195" s="2"/>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row>
    <row r="196" spans="1:336" ht="15" x14ac:dyDescent="0.25">
      <c r="A196" s="1" t="s">
        <v>1052</v>
      </c>
      <c r="B196" s="2">
        <v>26.453620000000001</v>
      </c>
      <c r="C196" s="2">
        <v>-82.014099999999999</v>
      </c>
      <c r="D196" s="2">
        <v>26.421959999999999</v>
      </c>
      <c r="E196" s="2">
        <v>-82.080100000000002</v>
      </c>
      <c r="F196" s="3">
        <v>43136</v>
      </c>
      <c r="G196" s="1" t="s">
        <v>539</v>
      </c>
      <c r="H196" s="1" t="s">
        <v>540</v>
      </c>
      <c r="I196" s="1" t="s">
        <v>329</v>
      </c>
      <c r="J196" s="4">
        <v>0.32916666666666666</v>
      </c>
      <c r="K196" s="5"/>
      <c r="L196" s="1" t="s">
        <v>369</v>
      </c>
      <c r="M196" s="5"/>
      <c r="N196" s="1" t="s">
        <v>333</v>
      </c>
      <c r="O196" s="2"/>
      <c r="P196" s="2"/>
      <c r="Q196" s="2">
        <v>3</v>
      </c>
      <c r="R196" s="2"/>
      <c r="S196" s="2"/>
      <c r="T196" s="2"/>
      <c r="U196" s="2"/>
      <c r="V196" s="2"/>
      <c r="W196" s="2"/>
      <c r="X196" s="2"/>
      <c r="Y196" s="2"/>
      <c r="Z196" s="2"/>
      <c r="AA196" s="2"/>
      <c r="AB196" s="2"/>
      <c r="AC196" s="2"/>
      <c r="AD196" s="2">
        <v>37</v>
      </c>
      <c r="AE196" s="2">
        <v>164</v>
      </c>
      <c r="AF196" s="2"/>
      <c r="AG196" s="2"/>
      <c r="AH196" s="2">
        <v>7</v>
      </c>
      <c r="AI196" s="2"/>
      <c r="AJ196" s="2"/>
      <c r="AK196" s="2"/>
      <c r="AL196" s="2">
        <v>18</v>
      </c>
      <c r="AM196" s="2"/>
      <c r="AN196" s="2"/>
      <c r="AO196" s="2"/>
      <c r="AP196" s="2"/>
      <c r="AQ196" s="2"/>
      <c r="AR196" s="2">
        <v>7</v>
      </c>
      <c r="AS196" s="2"/>
      <c r="AT196" s="2">
        <v>103</v>
      </c>
      <c r="AU196" s="2"/>
      <c r="AV196" s="2">
        <v>1</v>
      </c>
      <c r="AW196" s="2">
        <v>1</v>
      </c>
      <c r="AX196" s="2">
        <v>23</v>
      </c>
      <c r="AY196" s="2"/>
      <c r="AZ196" s="2"/>
      <c r="BA196" s="2"/>
      <c r="BB196" s="2">
        <v>103</v>
      </c>
      <c r="BC196" s="2">
        <v>32</v>
      </c>
      <c r="BD196" s="2">
        <v>48</v>
      </c>
      <c r="BE196" s="2">
        <v>64</v>
      </c>
      <c r="BF196" s="2">
        <v>93</v>
      </c>
      <c r="BG196" s="2"/>
      <c r="BH196" s="2"/>
      <c r="BI196" s="1">
        <v>0</v>
      </c>
      <c r="BJ196" s="5"/>
      <c r="BK196" s="1">
        <v>0</v>
      </c>
      <c r="BL196" s="5"/>
      <c r="BM196" s="1">
        <v>26.44312</v>
      </c>
      <c r="BN196" s="1">
        <v>-82.028000000000006</v>
      </c>
      <c r="BO196" s="1">
        <v>0</v>
      </c>
      <c r="BP196" s="5"/>
      <c r="BQ196" s="1">
        <v>0</v>
      </c>
      <c r="BR196" s="5"/>
      <c r="BS196" s="1">
        <v>3</v>
      </c>
      <c r="BT196" s="1" t="s">
        <v>1053</v>
      </c>
      <c r="BU196" s="1">
        <v>0</v>
      </c>
      <c r="BV196" s="5"/>
      <c r="BW196" s="1">
        <v>0</v>
      </c>
      <c r="BX196" s="5"/>
      <c r="BY196" s="1">
        <v>0</v>
      </c>
      <c r="BZ196" s="5"/>
      <c r="CA196" s="1">
        <v>26.425560000000001</v>
      </c>
      <c r="CB196" s="1">
        <v>-82.061899999999994</v>
      </c>
      <c r="CC196" s="5"/>
      <c r="CD196" s="1">
        <v>0</v>
      </c>
      <c r="CE196" s="5"/>
      <c r="CF196" s="1">
        <v>0</v>
      </c>
      <c r="CG196" s="5"/>
      <c r="CH196" s="1">
        <v>4</v>
      </c>
      <c r="CI196" s="1" t="s">
        <v>1054</v>
      </c>
      <c r="CJ196" s="1">
        <v>0</v>
      </c>
      <c r="CK196" s="5"/>
      <c r="CL196" s="1">
        <v>0</v>
      </c>
      <c r="CM196" s="5"/>
      <c r="CN196" s="1">
        <v>0</v>
      </c>
      <c r="CO196" s="5"/>
      <c r="CP196" s="1">
        <v>26.422789999999999</v>
      </c>
      <c r="CQ196" s="1">
        <v>-82.071600000000004</v>
      </c>
      <c r="CR196" s="1" t="s">
        <v>1055</v>
      </c>
      <c r="CS196" s="1">
        <v>0</v>
      </c>
      <c r="CT196" s="5"/>
      <c r="CU196" s="1">
        <v>0</v>
      </c>
      <c r="CV196" s="5"/>
      <c r="CW196" s="1">
        <v>0</v>
      </c>
      <c r="CX196" s="5"/>
      <c r="CY196" s="1">
        <v>0</v>
      </c>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row>
    <row r="197" spans="1:336" ht="15" x14ac:dyDescent="0.25">
      <c r="A197" s="1" t="s">
        <v>1056</v>
      </c>
      <c r="B197" s="2">
        <v>26.421959999999999</v>
      </c>
      <c r="C197" s="2">
        <v>-82.080100000000002</v>
      </c>
      <c r="D197" s="2">
        <v>26.464020000000001</v>
      </c>
      <c r="E197" s="2">
        <v>-82.165599999999998</v>
      </c>
      <c r="F197" s="3">
        <v>43138</v>
      </c>
      <c r="G197" s="1" t="s">
        <v>539</v>
      </c>
      <c r="H197" s="1" t="s">
        <v>540</v>
      </c>
      <c r="I197" s="1" t="s">
        <v>329</v>
      </c>
      <c r="J197" s="4">
        <v>0.33541666666666664</v>
      </c>
      <c r="K197" s="5"/>
      <c r="L197" s="5"/>
      <c r="M197" s="1" t="s">
        <v>1057</v>
      </c>
      <c r="N197" s="5"/>
      <c r="O197" s="2"/>
      <c r="P197" s="2"/>
      <c r="Q197" s="2">
        <v>79</v>
      </c>
      <c r="R197" s="2">
        <v>30</v>
      </c>
      <c r="S197" s="2"/>
      <c r="T197" s="2"/>
      <c r="U197" s="2"/>
      <c r="V197" s="2"/>
      <c r="W197" s="2"/>
      <c r="X197" s="2"/>
      <c r="Y197" s="2">
        <v>16</v>
      </c>
      <c r="Z197" s="2"/>
      <c r="AA197" s="2"/>
      <c r="AB197" s="2"/>
      <c r="AC197" s="2">
        <v>5</v>
      </c>
      <c r="AD197" s="2">
        <v>90</v>
      </c>
      <c r="AE197" s="2">
        <v>409</v>
      </c>
      <c r="AF197" s="2"/>
      <c r="AG197" s="2"/>
      <c r="AH197" s="2">
        <v>9</v>
      </c>
      <c r="AI197" s="2"/>
      <c r="AJ197" s="2"/>
      <c r="AK197" s="2"/>
      <c r="AL197" s="2">
        <v>69</v>
      </c>
      <c r="AM197" s="2"/>
      <c r="AN197" s="2"/>
      <c r="AO197" s="2"/>
      <c r="AP197" s="2"/>
      <c r="AQ197" s="2"/>
      <c r="AR197" s="2">
        <v>1</v>
      </c>
      <c r="AS197" s="2"/>
      <c r="AT197" s="2">
        <v>1</v>
      </c>
      <c r="AU197" s="2"/>
      <c r="AV197" s="2"/>
      <c r="AW197" s="2">
        <v>2</v>
      </c>
      <c r="AX197" s="2">
        <v>20</v>
      </c>
      <c r="AY197" s="2"/>
      <c r="AZ197" s="2"/>
      <c r="BA197" s="2"/>
      <c r="BB197" s="2">
        <v>124</v>
      </c>
      <c r="BC197" s="2">
        <v>11</v>
      </c>
      <c r="BD197" s="2">
        <v>41</v>
      </c>
      <c r="BE197" s="2">
        <v>27</v>
      </c>
      <c r="BF197" s="2">
        <v>74</v>
      </c>
      <c r="BG197" s="2"/>
      <c r="BH197" s="2"/>
      <c r="BI197" s="1">
        <v>0</v>
      </c>
      <c r="BJ197" s="5"/>
      <c r="BK197" s="1">
        <v>0</v>
      </c>
      <c r="BL197" s="5"/>
      <c r="BM197" s="1">
        <v>26.42277</v>
      </c>
      <c r="BN197" s="1">
        <v>-82.090999999999994</v>
      </c>
      <c r="BO197" s="1">
        <v>0</v>
      </c>
      <c r="BP197" s="5"/>
      <c r="BQ197" s="1">
        <v>0</v>
      </c>
      <c r="BR197" s="5"/>
      <c r="BS197" s="1">
        <v>4</v>
      </c>
      <c r="BT197" s="1" t="s">
        <v>1058</v>
      </c>
      <c r="BU197" s="1">
        <v>0</v>
      </c>
      <c r="BV197" s="5"/>
      <c r="BW197" s="1">
        <v>0</v>
      </c>
      <c r="BX197" s="5"/>
      <c r="BY197" s="1">
        <v>0</v>
      </c>
      <c r="BZ197" s="5"/>
      <c r="CA197" s="1">
        <v>26.44774</v>
      </c>
      <c r="CB197" s="1">
        <v>-82.141300000000001</v>
      </c>
      <c r="CC197" s="1" t="s">
        <v>1059</v>
      </c>
      <c r="CD197" s="1">
        <v>0</v>
      </c>
      <c r="CE197" s="5"/>
      <c r="CF197" s="1">
        <v>5</v>
      </c>
      <c r="CG197" s="1" t="s">
        <v>1060</v>
      </c>
      <c r="CH197" s="1">
        <v>0</v>
      </c>
      <c r="CI197" s="5"/>
      <c r="CJ197" s="1">
        <v>0</v>
      </c>
      <c r="CK197" s="5"/>
      <c r="CL197" s="1">
        <v>0</v>
      </c>
      <c r="CM197" s="5"/>
      <c r="CN197" s="1">
        <v>0</v>
      </c>
      <c r="CO197" s="5"/>
      <c r="CP197" s="1">
        <v>26.462510000000002</v>
      </c>
      <c r="CQ197" s="1">
        <v>-82.164199999999994</v>
      </c>
      <c r="CR197" s="5"/>
      <c r="CS197" s="1">
        <v>0</v>
      </c>
      <c r="CT197" s="5"/>
      <c r="CU197" s="1">
        <v>0</v>
      </c>
      <c r="CV197" s="5"/>
      <c r="CW197" s="1">
        <v>5</v>
      </c>
      <c r="CX197" s="1" t="s">
        <v>1061</v>
      </c>
      <c r="CY197" s="1">
        <v>0</v>
      </c>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row>
    <row r="198" spans="1:336" ht="15" x14ac:dyDescent="0.25">
      <c r="A198" s="1" t="s">
        <v>1062</v>
      </c>
      <c r="B198" s="2">
        <v>27.470199999999998</v>
      </c>
      <c r="C198" s="2">
        <v>-81.2727</v>
      </c>
      <c r="D198" s="2">
        <v>27.507200000000001</v>
      </c>
      <c r="E198" s="2">
        <v>-81.271799999999999</v>
      </c>
      <c r="F198" s="3">
        <v>43133</v>
      </c>
      <c r="G198" s="1" t="s">
        <v>868</v>
      </c>
      <c r="H198" s="1" t="s">
        <v>869</v>
      </c>
      <c r="I198" s="1" t="s">
        <v>329</v>
      </c>
      <c r="J198" s="4">
        <v>0.35416666666666669</v>
      </c>
      <c r="K198" s="1" t="s">
        <v>330</v>
      </c>
      <c r="L198" s="1" t="s">
        <v>369</v>
      </c>
      <c r="M198" s="1" t="s">
        <v>1063</v>
      </c>
      <c r="N198" s="1" t="s">
        <v>333</v>
      </c>
      <c r="O198" s="2"/>
      <c r="P198" s="2"/>
      <c r="Q198" s="2"/>
      <c r="R198" s="2"/>
      <c r="S198" s="2">
        <v>4</v>
      </c>
      <c r="T198" s="2">
        <v>26</v>
      </c>
      <c r="U198" s="2">
        <v>13</v>
      </c>
      <c r="V198" s="2">
        <v>18</v>
      </c>
      <c r="W198" s="2"/>
      <c r="X198" s="2">
        <v>17</v>
      </c>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c r="FZ198" s="7"/>
      <c r="GA198" s="7"/>
      <c r="GB198" s="7"/>
      <c r="GC198" s="7"/>
      <c r="GD198" s="7"/>
      <c r="GE198" s="7"/>
      <c r="GF198" s="7"/>
      <c r="GG198" s="7"/>
      <c r="GH198" s="7"/>
      <c r="GI198" s="7"/>
      <c r="GJ198" s="7"/>
      <c r="GK198" s="7"/>
      <c r="GL198" s="7"/>
      <c r="GM198" s="7"/>
      <c r="GN198" s="7"/>
      <c r="GO198" s="7"/>
      <c r="GP198" s="7"/>
      <c r="GQ198" s="7"/>
      <c r="GR198" s="7"/>
      <c r="GS198" s="7"/>
      <c r="GT198" s="7"/>
      <c r="GU198" s="7"/>
      <c r="GV198" s="7"/>
      <c r="GW198" s="7"/>
      <c r="GX198" s="7"/>
      <c r="GY198" s="7"/>
      <c r="GZ198" s="7"/>
      <c r="HA198" s="7"/>
      <c r="HB198" s="7"/>
      <c r="HC198" s="7"/>
      <c r="HD198" s="7"/>
      <c r="HE198" s="7"/>
      <c r="HF198" s="7"/>
      <c r="HG198" s="7"/>
      <c r="HH198" s="7"/>
      <c r="HI198" s="7"/>
      <c r="HJ198" s="7"/>
      <c r="HK198" s="7"/>
      <c r="HL198" s="7"/>
      <c r="HM198" s="7"/>
      <c r="HN198" s="7"/>
      <c r="HO198" s="7"/>
      <c r="HP198" s="7"/>
      <c r="HQ198" s="7"/>
      <c r="HR198" s="7"/>
      <c r="HS198" s="7"/>
      <c r="HT198" s="7"/>
      <c r="HU198" s="7"/>
      <c r="HV198" s="7"/>
      <c r="HW198" s="7"/>
      <c r="HX198" s="7"/>
      <c r="HY198" s="7"/>
      <c r="HZ198" s="7"/>
      <c r="IA198" s="7"/>
      <c r="IB198" s="7"/>
      <c r="IC198" s="7"/>
      <c r="ID198" s="7"/>
      <c r="IE198" s="7"/>
      <c r="IF198" s="7"/>
      <c r="IG198" s="7"/>
      <c r="IH198" s="7"/>
      <c r="II198" s="7"/>
      <c r="IJ198" s="7"/>
      <c r="IK198" s="7"/>
      <c r="IL198" s="7"/>
      <c r="IM198" s="7"/>
      <c r="IN198" s="7"/>
      <c r="IO198" s="7"/>
      <c r="IP198" s="7"/>
      <c r="IQ198" s="7"/>
      <c r="IR198" s="7"/>
      <c r="IS198" s="7"/>
      <c r="IT198" s="7"/>
      <c r="IU198" s="7"/>
      <c r="IV198" s="7"/>
      <c r="IW198" s="7"/>
      <c r="IX198" s="7"/>
      <c r="IY198" s="7"/>
      <c r="IZ198" s="7"/>
      <c r="JA198" s="7"/>
      <c r="JB198" s="7"/>
      <c r="JC198" s="7"/>
      <c r="JD198" s="7"/>
      <c r="JE198" s="7"/>
      <c r="JF198" s="7"/>
      <c r="JG198" s="7"/>
      <c r="JH198" s="7"/>
      <c r="JI198" s="7"/>
      <c r="JJ198" s="7"/>
      <c r="JK198" s="7"/>
      <c r="JL198" s="7"/>
      <c r="JM198" s="7"/>
      <c r="JN198" s="7"/>
      <c r="JO198" s="7"/>
      <c r="JP198" s="7"/>
      <c r="JQ198" s="7"/>
      <c r="JR198" s="7"/>
      <c r="JS198" s="7"/>
      <c r="JT198" s="7"/>
      <c r="JU198" s="7"/>
      <c r="JV198" s="7"/>
      <c r="JW198" s="7"/>
      <c r="JX198" s="7"/>
      <c r="JY198" s="7"/>
      <c r="JZ198" s="7"/>
      <c r="KA198" s="7"/>
      <c r="KB198" s="7"/>
      <c r="KC198" s="7"/>
      <c r="KD198" s="7"/>
      <c r="KE198" s="7"/>
      <c r="KF198" s="7"/>
      <c r="KG198" s="7"/>
      <c r="KH198" s="7"/>
      <c r="KI198" s="7"/>
      <c r="KJ198" s="7"/>
      <c r="KK198" s="7"/>
      <c r="KL198" s="7"/>
      <c r="KM198" s="7"/>
      <c r="KN198" s="7"/>
      <c r="KO198" s="7"/>
      <c r="KP198" s="7"/>
      <c r="KQ198" s="7"/>
      <c r="KR198" s="7"/>
      <c r="KS198" s="7"/>
      <c r="KT198" s="7"/>
      <c r="KU198" s="7"/>
      <c r="KV198" s="7"/>
      <c r="KW198" s="7"/>
      <c r="KX198" s="7"/>
      <c r="KY198" s="7"/>
      <c r="KZ198" s="7"/>
      <c r="LA198" s="7"/>
      <c r="LB198" s="7"/>
      <c r="LC198" s="7"/>
      <c r="LD198" s="7"/>
      <c r="LE198" s="7"/>
      <c r="LF198" s="7"/>
      <c r="LG198" s="7"/>
      <c r="LH198" s="7"/>
      <c r="LI198" s="7"/>
      <c r="LJ198" s="7"/>
      <c r="LK198" s="7"/>
      <c r="LL198" s="7"/>
      <c r="LM198" s="7"/>
      <c r="LN198" s="7"/>
      <c r="LO198" s="7"/>
      <c r="LP198" s="7"/>
      <c r="LQ198" s="7"/>
      <c r="LR198" s="7"/>
      <c r="LS198" s="7"/>
      <c r="LT198" s="7"/>
      <c r="LU198" s="7"/>
      <c r="LV198" s="7"/>
      <c r="LW198" s="7"/>
      <c r="LX198" s="7"/>
    </row>
    <row r="199" spans="1:336" ht="15" x14ac:dyDescent="0.25">
      <c r="A199" s="1" t="s">
        <v>1064</v>
      </c>
      <c r="B199" s="2">
        <v>25.839040000000001</v>
      </c>
      <c r="C199" s="2">
        <v>-81.665400000000005</v>
      </c>
      <c r="D199" s="2">
        <v>25.84685</v>
      </c>
      <c r="E199" s="2">
        <v>-81.665000000000006</v>
      </c>
      <c r="F199" s="3">
        <v>43138</v>
      </c>
      <c r="G199" s="1" t="s">
        <v>566</v>
      </c>
      <c r="H199" s="1" t="s">
        <v>567</v>
      </c>
      <c r="I199" s="1" t="s">
        <v>329</v>
      </c>
      <c r="J199" s="4">
        <v>0.35069444444444442</v>
      </c>
      <c r="K199" s="1" t="s">
        <v>330</v>
      </c>
      <c r="L199" s="1" t="s">
        <v>369</v>
      </c>
      <c r="M199" s="5"/>
      <c r="N199" s="1" t="s">
        <v>333</v>
      </c>
      <c r="O199" s="2"/>
      <c r="P199" s="2"/>
      <c r="Q199" s="2"/>
      <c r="R199" s="2"/>
      <c r="S199" s="2"/>
      <c r="T199" s="2"/>
      <c r="U199" s="2"/>
      <c r="V199" s="2"/>
      <c r="W199" s="2"/>
      <c r="X199" s="2"/>
      <c r="Y199" s="2"/>
      <c r="Z199" s="2"/>
      <c r="AA199" s="2"/>
      <c r="AB199" s="2"/>
      <c r="AC199" s="2"/>
      <c r="AD199" s="2">
        <v>27</v>
      </c>
      <c r="AE199" s="2">
        <v>183</v>
      </c>
      <c r="AF199" s="2"/>
      <c r="AG199" s="2"/>
      <c r="AH199" s="2">
        <v>1</v>
      </c>
      <c r="AI199" s="2"/>
      <c r="AJ199" s="2"/>
      <c r="AK199" s="2"/>
      <c r="AL199" s="2"/>
      <c r="AM199" s="2">
        <v>3</v>
      </c>
      <c r="AN199" s="2"/>
      <c r="AO199" s="2"/>
      <c r="AP199" s="2"/>
      <c r="AQ199" s="2"/>
      <c r="AR199" s="2"/>
      <c r="AS199" s="2"/>
      <c r="AT199" s="2"/>
      <c r="AU199" s="2"/>
      <c r="AV199" s="2"/>
      <c r="AW199" s="2"/>
      <c r="AX199" s="2"/>
      <c r="AY199" s="2"/>
      <c r="AZ199" s="2"/>
      <c r="BA199" s="2"/>
      <c r="BB199" s="2"/>
      <c r="BC199" s="2"/>
      <c r="BD199" s="2"/>
      <c r="BE199" s="2"/>
      <c r="BF199" s="2"/>
      <c r="BG199" s="2"/>
      <c r="BH199" s="2">
        <v>324</v>
      </c>
      <c r="BI199" s="1">
        <v>0</v>
      </c>
      <c r="BJ199" s="5"/>
      <c r="BK199" s="1">
        <v>0</v>
      </c>
      <c r="BL199" s="5"/>
      <c r="BM199" s="1">
        <v>25.839469999999999</v>
      </c>
      <c r="BN199" s="1">
        <v>-81.665599999999998</v>
      </c>
      <c r="BO199" s="1">
        <v>0</v>
      </c>
      <c r="BP199" s="5"/>
      <c r="BQ199" s="1">
        <v>0</v>
      </c>
      <c r="BR199" s="5"/>
      <c r="BS199" s="1">
        <v>1</v>
      </c>
      <c r="BT199" s="5"/>
      <c r="BU199" s="1">
        <v>3</v>
      </c>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row>
    <row r="200" spans="1:336" ht="15" x14ac:dyDescent="0.25">
      <c r="A200" s="1" t="s">
        <v>1065</v>
      </c>
      <c r="B200" s="2">
        <v>30.119109999999999</v>
      </c>
      <c r="C200" s="2">
        <v>-85.726100000000002</v>
      </c>
      <c r="D200" s="2">
        <v>30.089189999999999</v>
      </c>
      <c r="E200" s="2">
        <v>-85.678899999999999</v>
      </c>
      <c r="F200" s="3">
        <v>43133</v>
      </c>
      <c r="G200" s="1" t="s">
        <v>373</v>
      </c>
      <c r="H200" s="1" t="s">
        <v>374</v>
      </c>
      <c r="I200" s="1" t="s">
        <v>329</v>
      </c>
      <c r="J200" s="4">
        <v>0.49652777777777779</v>
      </c>
      <c r="K200" s="1" t="s">
        <v>368</v>
      </c>
      <c r="L200" s="1" t="s">
        <v>331</v>
      </c>
      <c r="M200" s="1" t="s">
        <v>1066</v>
      </c>
      <c r="N200" s="1" t="s">
        <v>333</v>
      </c>
      <c r="O200" s="2"/>
      <c r="P200" s="2"/>
      <c r="Q200" s="2">
        <v>1</v>
      </c>
      <c r="R200" s="2">
        <v>1</v>
      </c>
      <c r="S200" s="2"/>
      <c r="T200" s="2"/>
      <c r="U200" s="2"/>
      <c r="V200" s="2"/>
      <c r="W200" s="2"/>
      <c r="X200" s="2"/>
      <c r="Y200" s="2"/>
      <c r="Z200" s="2"/>
      <c r="AA200" s="2"/>
      <c r="AB200" s="2"/>
      <c r="AC200" s="2"/>
      <c r="AD200" s="2"/>
      <c r="AE200" s="2">
        <v>8</v>
      </c>
      <c r="AF200" s="2"/>
      <c r="AG200" s="2"/>
      <c r="AH200" s="2">
        <v>24</v>
      </c>
      <c r="AI200" s="2"/>
      <c r="AJ200" s="2"/>
      <c r="AK200" s="2"/>
      <c r="AL200" s="2"/>
      <c r="AM200" s="2"/>
      <c r="AN200" s="2"/>
      <c r="AO200" s="2"/>
      <c r="AP200" s="2"/>
      <c r="AQ200" s="2"/>
      <c r="AR200" s="2"/>
      <c r="AS200" s="2"/>
      <c r="AT200" s="2">
        <v>63</v>
      </c>
      <c r="AU200" s="2"/>
      <c r="AV200" s="2"/>
      <c r="AW200" s="2">
        <v>3</v>
      </c>
      <c r="AX200" s="2"/>
      <c r="AY200" s="2"/>
      <c r="AZ200" s="2"/>
      <c r="BA200" s="2">
        <v>3</v>
      </c>
      <c r="BB200" s="2"/>
      <c r="BC200" s="2"/>
      <c r="BD200" s="2">
        <v>4</v>
      </c>
      <c r="BE200" s="2"/>
      <c r="BF200" s="2"/>
      <c r="BG200" s="2"/>
      <c r="BH200" s="2"/>
      <c r="BI200" s="5"/>
      <c r="BJ200" s="5"/>
      <c r="BK200" s="5"/>
      <c r="BL200" s="5"/>
      <c r="BM200" s="1">
        <v>30.10295</v>
      </c>
      <c r="BN200" s="1">
        <v>-85.706000000000003</v>
      </c>
      <c r="BO200" s="5"/>
      <c r="BP200" s="5"/>
      <c r="BQ200" s="5"/>
      <c r="BR200" s="5"/>
      <c r="BS200" s="1">
        <v>1</v>
      </c>
      <c r="BT200" s="1" t="s">
        <v>1067</v>
      </c>
      <c r="BU200" s="5"/>
      <c r="BV200" s="5"/>
      <c r="BW200" s="5"/>
      <c r="BX200" s="5"/>
      <c r="BY200" s="5"/>
      <c r="BZ200" s="5"/>
      <c r="CA200" s="1">
        <v>30.10388</v>
      </c>
      <c r="CB200" s="1">
        <v>-85.707499999999996</v>
      </c>
      <c r="CC200" s="5"/>
      <c r="CD200" s="5"/>
      <c r="CE200" s="5"/>
      <c r="CF200" s="5"/>
      <c r="CG200" s="5"/>
      <c r="CH200" s="1">
        <v>7</v>
      </c>
      <c r="CI200" s="1" t="s">
        <v>1068</v>
      </c>
      <c r="CJ200" s="5"/>
      <c r="CK200" s="5"/>
      <c r="CL200" s="5"/>
      <c r="CM200" s="5"/>
      <c r="CN200" s="5"/>
      <c r="CO200" s="5"/>
      <c r="CP200" s="1">
        <v>30.106359999999999</v>
      </c>
      <c r="CQ200" s="1">
        <v>-85.711500000000001</v>
      </c>
      <c r="CR200" s="5"/>
      <c r="CS200" s="5"/>
      <c r="CT200" s="5"/>
      <c r="CU200" s="5"/>
      <c r="CV200" s="5"/>
      <c r="CW200" s="1">
        <v>1</v>
      </c>
      <c r="CX200" s="1" t="s">
        <v>1069</v>
      </c>
      <c r="CY200" s="5"/>
      <c r="CZ200" s="5"/>
      <c r="DA200" s="5"/>
      <c r="DB200" s="5"/>
      <c r="DC200" s="5"/>
      <c r="DD200" s="5"/>
      <c r="DE200" s="1">
        <v>30.114730000000002</v>
      </c>
      <c r="DF200" s="1">
        <v>-85.724199999999996</v>
      </c>
      <c r="DG200" s="5"/>
      <c r="DH200" s="5"/>
      <c r="DI200" s="5"/>
      <c r="DJ200" s="5"/>
      <c r="DK200" s="5"/>
      <c r="DL200" s="1">
        <v>5</v>
      </c>
      <c r="DM200" s="1" t="s">
        <v>1070</v>
      </c>
      <c r="DN200" s="5"/>
      <c r="DO200" s="5"/>
      <c r="DP200" s="5"/>
      <c r="DQ200" s="5"/>
      <c r="DR200" s="5"/>
      <c r="DS200" s="5"/>
      <c r="DT200" s="1">
        <v>30.104579999999999</v>
      </c>
      <c r="DU200" s="1">
        <v>-85.708399999999997</v>
      </c>
      <c r="DV200" s="5"/>
      <c r="DW200" s="5"/>
      <c r="DX200" s="5"/>
      <c r="DY200" s="5"/>
      <c r="DZ200" s="5"/>
      <c r="EA200" s="1">
        <v>2</v>
      </c>
      <c r="EB200" s="1" t="s">
        <v>1071</v>
      </c>
      <c r="EC200" s="5"/>
      <c r="ED200" s="5"/>
      <c r="EE200" s="5"/>
      <c r="EF200" s="5"/>
      <c r="EG200" s="5"/>
      <c r="EH200" s="5"/>
      <c r="EI200" s="1">
        <v>30.093029999999999</v>
      </c>
      <c r="EJ200" s="1">
        <v>-85.686400000000006</v>
      </c>
      <c r="EK200" s="5"/>
      <c r="EL200" s="5"/>
      <c r="EM200" s="5"/>
      <c r="EN200" s="5"/>
      <c r="EO200" s="5"/>
      <c r="EP200" s="1">
        <v>7</v>
      </c>
      <c r="EQ200" s="1" t="s">
        <v>1072</v>
      </c>
      <c r="ER200" s="5"/>
      <c r="ES200" s="5"/>
      <c r="ET200" s="5"/>
      <c r="EU200" s="5"/>
      <c r="EV200" s="5"/>
      <c r="EW200" s="5"/>
      <c r="EX200" s="1">
        <v>30.09018</v>
      </c>
      <c r="EY200" s="1">
        <v>-85.681399999999996</v>
      </c>
      <c r="EZ200" s="5"/>
      <c r="FA200" s="5"/>
      <c r="FB200" s="5"/>
      <c r="FC200" s="5"/>
      <c r="FD200" s="5"/>
      <c r="FE200" s="1">
        <v>1</v>
      </c>
      <c r="FF200" s="1" t="s">
        <v>1073</v>
      </c>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row>
    <row r="201" spans="1:336" ht="15" x14ac:dyDescent="0.25">
      <c r="A201" s="1" t="s">
        <v>1074</v>
      </c>
      <c r="B201" s="2">
        <v>27.646660000000001</v>
      </c>
      <c r="C201" s="2">
        <v>-82.734800000000007</v>
      </c>
      <c r="D201" s="2">
        <v>27.676400000000001</v>
      </c>
      <c r="E201" s="2">
        <v>-82.728399999999993</v>
      </c>
      <c r="F201" s="3">
        <v>43134</v>
      </c>
      <c r="G201" s="1" t="s">
        <v>1075</v>
      </c>
      <c r="H201" s="1" t="s">
        <v>996</v>
      </c>
      <c r="I201" s="1" t="s">
        <v>329</v>
      </c>
      <c r="J201" s="4">
        <v>0.34375</v>
      </c>
      <c r="K201" s="1" t="s">
        <v>375</v>
      </c>
      <c r="L201" s="1" t="s">
        <v>441</v>
      </c>
      <c r="M201" s="1" t="s">
        <v>1076</v>
      </c>
      <c r="N201" s="1" t="s">
        <v>333</v>
      </c>
      <c r="O201" s="2"/>
      <c r="P201" s="2"/>
      <c r="Q201" s="2">
        <v>70</v>
      </c>
      <c r="R201" s="2">
        <v>800</v>
      </c>
      <c r="S201" s="2"/>
      <c r="T201" s="2"/>
      <c r="U201" s="2">
        <v>50</v>
      </c>
      <c r="V201" s="2"/>
      <c r="W201" s="2"/>
      <c r="X201" s="2"/>
      <c r="Y201" s="2">
        <v>500</v>
      </c>
      <c r="Z201" s="2"/>
      <c r="AA201" s="2"/>
      <c r="AB201" s="2">
        <v>15</v>
      </c>
      <c r="AC201" s="2">
        <v>300</v>
      </c>
      <c r="AD201" s="2">
        <v>30</v>
      </c>
      <c r="AE201" s="2">
        <v>600</v>
      </c>
      <c r="AF201" s="2">
        <v>125</v>
      </c>
      <c r="AG201" s="2"/>
      <c r="AH201" s="2"/>
      <c r="AI201" s="2"/>
      <c r="AJ201" s="2">
        <v>200</v>
      </c>
      <c r="AK201" s="2"/>
      <c r="AL201" s="2">
        <v>450</v>
      </c>
      <c r="AM201" s="2">
        <v>3</v>
      </c>
      <c r="AN201" s="2"/>
      <c r="AO201" s="2"/>
      <c r="AP201" s="2"/>
      <c r="AQ201" s="2">
        <v>27</v>
      </c>
      <c r="AR201" s="2"/>
      <c r="AS201" s="2"/>
      <c r="AT201" s="2">
        <v>20</v>
      </c>
      <c r="AU201" s="2">
        <v>5</v>
      </c>
      <c r="AV201" s="2"/>
      <c r="AW201" s="2">
        <v>27</v>
      </c>
      <c r="AX201" s="2">
        <v>2</v>
      </c>
      <c r="AY201" s="2"/>
      <c r="AZ201" s="2"/>
      <c r="BA201" s="2">
        <v>9</v>
      </c>
      <c r="BB201" s="2">
        <v>40</v>
      </c>
      <c r="BC201" s="2">
        <v>1</v>
      </c>
      <c r="BD201" s="2">
        <v>15</v>
      </c>
      <c r="BE201" s="2">
        <v>200</v>
      </c>
      <c r="BF201" s="2">
        <v>10</v>
      </c>
      <c r="BG201" s="2"/>
      <c r="BH201" s="2">
        <v>30</v>
      </c>
      <c r="BI201" s="5"/>
      <c r="BJ201" s="5"/>
      <c r="BK201" s="1">
        <v>27</v>
      </c>
      <c r="BL201" s="5"/>
      <c r="BM201" s="1">
        <v>27.6479</v>
      </c>
      <c r="BN201" s="1">
        <v>-82.733999999999995</v>
      </c>
      <c r="BO201" s="5"/>
      <c r="BP201" s="5"/>
      <c r="BQ201" s="5"/>
      <c r="BR201" s="5"/>
      <c r="BS201" s="5"/>
      <c r="BT201" s="5"/>
      <c r="BU201" s="5"/>
      <c r="BV201" s="5"/>
      <c r="BW201" s="5"/>
      <c r="BX201" s="5"/>
      <c r="BY201" s="5"/>
      <c r="BZ201" s="5"/>
      <c r="CA201" s="1">
        <v>27.655899999999999</v>
      </c>
      <c r="CB201" s="1">
        <v>-82.7393</v>
      </c>
      <c r="CC201" s="5"/>
      <c r="CD201" s="1">
        <v>2</v>
      </c>
      <c r="CE201" s="1" t="s">
        <v>1077</v>
      </c>
      <c r="CF201" s="1">
        <v>140</v>
      </c>
      <c r="CG201" s="1" t="s">
        <v>1078</v>
      </c>
      <c r="CH201" s="5"/>
      <c r="CI201" s="5"/>
      <c r="CJ201" s="1">
        <v>3</v>
      </c>
      <c r="CK201" s="5"/>
      <c r="CL201" s="5"/>
      <c r="CM201" s="5"/>
      <c r="CN201" s="5"/>
      <c r="CO201" s="5"/>
      <c r="CP201" s="1">
        <v>27.650099999999998</v>
      </c>
      <c r="CQ201" s="1">
        <v>-82.734700000000004</v>
      </c>
      <c r="CR201" s="5"/>
      <c r="CS201" s="1">
        <v>15</v>
      </c>
      <c r="CT201" s="1" t="s">
        <v>1079</v>
      </c>
      <c r="CU201" s="1">
        <v>300</v>
      </c>
      <c r="CV201" s="5"/>
      <c r="CW201" s="5"/>
      <c r="CX201" s="5"/>
      <c r="CY201" s="1">
        <v>2</v>
      </c>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row>
    <row r="202" spans="1:336" ht="15" x14ac:dyDescent="0.25">
      <c r="A202" s="1" t="s">
        <v>1080</v>
      </c>
      <c r="B202" s="2">
        <v>27.26623</v>
      </c>
      <c r="C202" s="2">
        <v>-82.556600000000003</v>
      </c>
      <c r="D202" s="2">
        <v>27.279029999999999</v>
      </c>
      <c r="E202" s="2">
        <v>-82.570099999999996</v>
      </c>
      <c r="F202" s="3">
        <v>43133</v>
      </c>
      <c r="G202" s="1" t="s">
        <v>1081</v>
      </c>
      <c r="H202" s="1" t="s">
        <v>1082</v>
      </c>
      <c r="I202" s="1" t="s">
        <v>329</v>
      </c>
      <c r="J202" s="4">
        <v>0.30833333333333335</v>
      </c>
      <c r="K202" s="1" t="s">
        <v>375</v>
      </c>
      <c r="L202" s="1" t="s">
        <v>369</v>
      </c>
      <c r="M202" s="5"/>
      <c r="N202" s="1" t="s">
        <v>333</v>
      </c>
      <c r="O202" s="2"/>
      <c r="P202" s="2"/>
      <c r="Q202" s="2"/>
      <c r="R202" s="2"/>
      <c r="S202" s="2"/>
      <c r="T202" s="2"/>
      <c r="U202" s="2"/>
      <c r="V202" s="2"/>
      <c r="W202" s="2"/>
      <c r="X202" s="2"/>
      <c r="Y202" s="2"/>
      <c r="Z202" s="2"/>
      <c r="AA202" s="2"/>
      <c r="AB202" s="2"/>
      <c r="AC202" s="2"/>
      <c r="AD202" s="2"/>
      <c r="AE202" s="2">
        <v>21</v>
      </c>
      <c r="AF202" s="2"/>
      <c r="AG202" s="2"/>
      <c r="AH202" s="2">
        <v>15</v>
      </c>
      <c r="AI202" s="2"/>
      <c r="AJ202" s="2"/>
      <c r="AK202" s="2"/>
      <c r="AL202" s="2"/>
      <c r="AM202" s="2"/>
      <c r="AN202" s="2"/>
      <c r="AO202" s="2"/>
      <c r="AP202" s="2"/>
      <c r="AQ202" s="2"/>
      <c r="AR202" s="2"/>
      <c r="AS202" s="2"/>
      <c r="AT202" s="2">
        <v>6</v>
      </c>
      <c r="AU202" s="2"/>
      <c r="AV202" s="2"/>
      <c r="AW202" s="2">
        <v>3</v>
      </c>
      <c r="AX202" s="2"/>
      <c r="AY202" s="2"/>
      <c r="AZ202" s="2"/>
      <c r="BA202" s="2"/>
      <c r="BB202" s="2">
        <v>1</v>
      </c>
      <c r="BC202" s="2"/>
      <c r="BD202" s="2">
        <v>9</v>
      </c>
      <c r="BE202" s="2"/>
      <c r="BF202" s="2"/>
      <c r="BG202" s="2"/>
      <c r="BH202" s="2"/>
      <c r="BI202" s="5"/>
      <c r="BJ202" s="5"/>
      <c r="BK202" s="5"/>
      <c r="BL202" s="5"/>
      <c r="BM202" s="1">
        <v>27.266739999999999</v>
      </c>
      <c r="BN202" s="1">
        <v>-82.557599999999994</v>
      </c>
      <c r="BO202" s="5"/>
      <c r="BP202" s="5"/>
      <c r="BQ202" s="5"/>
      <c r="BR202" s="5"/>
      <c r="BS202" s="1">
        <v>2</v>
      </c>
      <c r="BT202" s="6" t="s">
        <v>1083</v>
      </c>
      <c r="BU202" s="5"/>
      <c r="BV202" s="5"/>
      <c r="BW202" s="5"/>
      <c r="BX202" s="5"/>
      <c r="BY202" s="5"/>
      <c r="BZ202" s="5"/>
      <c r="CA202" s="1">
        <v>27.266940000000002</v>
      </c>
      <c r="CB202" s="1">
        <v>-82.557900000000004</v>
      </c>
      <c r="CC202" s="5"/>
      <c r="CD202" s="5"/>
      <c r="CE202" s="5"/>
      <c r="CF202" s="5"/>
      <c r="CG202" s="5"/>
      <c r="CH202" s="1">
        <v>1</v>
      </c>
      <c r="CI202" s="1" t="s">
        <v>1084</v>
      </c>
      <c r="CJ202" s="5"/>
      <c r="CK202" s="5"/>
      <c r="CL202" s="5"/>
      <c r="CM202" s="5"/>
      <c r="CN202" s="5"/>
      <c r="CO202" s="5"/>
      <c r="CP202" s="1">
        <v>27.267140000000001</v>
      </c>
      <c r="CQ202" s="1">
        <v>-82.558800000000005</v>
      </c>
      <c r="CR202" s="5"/>
      <c r="CS202" s="5"/>
      <c r="CT202" s="5"/>
      <c r="CU202" s="5"/>
      <c r="CV202" s="5"/>
      <c r="CW202" s="1">
        <v>2</v>
      </c>
      <c r="CX202" s="1" t="s">
        <v>1085</v>
      </c>
      <c r="CY202" s="5"/>
      <c r="CZ202" s="5"/>
      <c r="DA202" s="5"/>
      <c r="DB202" s="5"/>
      <c r="DC202" s="5"/>
      <c r="DD202" s="5"/>
      <c r="DE202" s="1">
        <v>27.26736</v>
      </c>
      <c r="DF202" s="1">
        <v>-82.559700000000007</v>
      </c>
      <c r="DG202" s="5"/>
      <c r="DH202" s="5"/>
      <c r="DI202" s="5"/>
      <c r="DJ202" s="5"/>
      <c r="DK202" s="5"/>
      <c r="DL202" s="1">
        <v>2</v>
      </c>
      <c r="DM202" s="1" t="s">
        <v>1084</v>
      </c>
      <c r="DN202" s="5"/>
      <c r="DO202" s="5"/>
      <c r="DP202" s="5"/>
      <c r="DQ202" s="5"/>
      <c r="DR202" s="5"/>
      <c r="DS202" s="5"/>
      <c r="DT202" s="1">
        <v>27.26878</v>
      </c>
      <c r="DU202" s="1">
        <v>-82.563599999999994</v>
      </c>
      <c r="DV202" s="5"/>
      <c r="DW202" s="5"/>
      <c r="DX202" s="5"/>
      <c r="DY202" s="5"/>
      <c r="DZ202" s="5"/>
      <c r="EA202" s="1">
        <v>4</v>
      </c>
      <c r="EB202" s="1" t="s">
        <v>1086</v>
      </c>
      <c r="EC202" s="5"/>
      <c r="ED202" s="5"/>
      <c r="EE202" s="5"/>
      <c r="EF202" s="5"/>
      <c r="EG202" s="5"/>
      <c r="EH202" s="5"/>
      <c r="EI202" s="1">
        <v>27.269310000000001</v>
      </c>
      <c r="EJ202" s="1">
        <v>-82.564599999999999</v>
      </c>
      <c r="EK202" s="5"/>
      <c r="EL202" s="5"/>
      <c r="EM202" s="5"/>
      <c r="EN202" s="5"/>
      <c r="EO202" s="5"/>
      <c r="EP202" s="1">
        <v>4</v>
      </c>
      <c r="EQ202" s="1" t="s">
        <v>1087</v>
      </c>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row>
    <row r="203" spans="1:336" ht="15" x14ac:dyDescent="0.25">
      <c r="A203" s="1" t="s">
        <v>1088</v>
      </c>
      <c r="B203" s="2">
        <v>27.247160000000001</v>
      </c>
      <c r="C203" s="2">
        <v>-87.536000000000001</v>
      </c>
      <c r="D203" s="2">
        <v>27.266760000000001</v>
      </c>
      <c r="E203" s="2">
        <v>-82.556100000000001</v>
      </c>
      <c r="F203" s="3">
        <v>43133</v>
      </c>
      <c r="G203" s="1" t="s">
        <v>1089</v>
      </c>
      <c r="H203" s="1" t="s">
        <v>1090</v>
      </c>
      <c r="I203" s="1" t="s">
        <v>329</v>
      </c>
      <c r="J203" s="4">
        <v>0.3125</v>
      </c>
      <c r="K203" s="1" t="s">
        <v>375</v>
      </c>
      <c r="L203" s="1" t="s">
        <v>369</v>
      </c>
      <c r="M203" s="5"/>
      <c r="N203" s="1" t="s">
        <v>333</v>
      </c>
      <c r="O203" s="2"/>
      <c r="P203" s="2"/>
      <c r="Q203" s="2">
        <v>1</v>
      </c>
      <c r="R203" s="2"/>
      <c r="S203" s="2"/>
      <c r="T203" s="2"/>
      <c r="U203" s="2"/>
      <c r="V203" s="2"/>
      <c r="W203" s="2"/>
      <c r="X203" s="2"/>
      <c r="Y203" s="2"/>
      <c r="Z203" s="2"/>
      <c r="AA203" s="2"/>
      <c r="AB203" s="2"/>
      <c r="AC203" s="2"/>
      <c r="AD203" s="2"/>
      <c r="AE203" s="2">
        <v>6</v>
      </c>
      <c r="AF203" s="2"/>
      <c r="AG203" s="2"/>
      <c r="AH203" s="2"/>
      <c r="AI203" s="2"/>
      <c r="AJ203" s="2"/>
      <c r="AK203" s="2"/>
      <c r="AL203" s="2"/>
      <c r="AM203" s="2"/>
      <c r="AN203" s="2"/>
      <c r="AO203" s="2"/>
      <c r="AP203" s="2"/>
      <c r="AQ203" s="2">
        <v>100</v>
      </c>
      <c r="AR203" s="2"/>
      <c r="AS203" s="2"/>
      <c r="AT203" s="2">
        <v>5</v>
      </c>
      <c r="AU203" s="2"/>
      <c r="AV203" s="2"/>
      <c r="AW203" s="2"/>
      <c r="AX203" s="2">
        <v>16</v>
      </c>
      <c r="AY203" s="2"/>
      <c r="AZ203" s="2"/>
      <c r="BA203" s="2">
        <v>119</v>
      </c>
      <c r="BB203" s="2">
        <v>377</v>
      </c>
      <c r="BC203" s="2"/>
      <c r="BD203" s="2">
        <v>172</v>
      </c>
      <c r="BE203" s="2">
        <v>64</v>
      </c>
      <c r="BF203" s="2"/>
      <c r="BG203" s="2"/>
      <c r="BH203" s="2"/>
      <c r="BI203" s="5"/>
      <c r="BJ203" s="5"/>
      <c r="BK203" s="1">
        <v>9</v>
      </c>
      <c r="BL203" s="5"/>
      <c r="BM203" s="1">
        <v>27.246659999999999</v>
      </c>
      <c r="BN203" s="1">
        <v>-82.535799999999995</v>
      </c>
      <c r="BO203" s="5"/>
      <c r="BP203" s="5"/>
      <c r="BQ203" s="5"/>
      <c r="BR203" s="5"/>
      <c r="BS203" s="5"/>
      <c r="BT203" s="5"/>
      <c r="BU203" s="5"/>
      <c r="BV203" s="5"/>
      <c r="BW203" s="5"/>
      <c r="BX203" s="5"/>
      <c r="BY203" s="1">
        <v>84</v>
      </c>
      <c r="BZ203" s="5"/>
      <c r="CA203" s="1">
        <v>27.26388</v>
      </c>
      <c r="CB203" s="1">
        <v>-82.551699999999997</v>
      </c>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row>
    <row r="204" spans="1:336" ht="15" x14ac:dyDescent="0.25">
      <c r="A204" s="1" t="s">
        <v>1091</v>
      </c>
      <c r="B204" s="2">
        <v>29.61459</v>
      </c>
      <c r="C204" s="2">
        <v>-84.9559</v>
      </c>
      <c r="D204" s="2">
        <v>29.615069999999999</v>
      </c>
      <c r="E204" s="2">
        <v>-84.958299999999994</v>
      </c>
      <c r="F204" s="3">
        <v>43138</v>
      </c>
      <c r="G204" s="1" t="s">
        <v>1092</v>
      </c>
      <c r="H204" s="1" t="s">
        <v>1093</v>
      </c>
      <c r="I204" s="1" t="s">
        <v>329</v>
      </c>
      <c r="J204" s="4">
        <v>0.61875000000000002</v>
      </c>
      <c r="K204" s="5"/>
      <c r="L204" s="5"/>
      <c r="M204" s="1" t="s">
        <v>1091</v>
      </c>
      <c r="N204" s="5"/>
      <c r="O204" s="2"/>
      <c r="P204" s="2"/>
      <c r="Q204" s="2"/>
      <c r="R204" s="2"/>
      <c r="S204" s="2"/>
      <c r="T204" s="2">
        <v>2</v>
      </c>
      <c r="U204" s="2"/>
      <c r="V204" s="2"/>
      <c r="W204" s="2"/>
      <c r="X204" s="2"/>
      <c r="Y204" s="2"/>
      <c r="Z204" s="2"/>
      <c r="AA204" s="2"/>
      <c r="AB204" s="2"/>
      <c r="AC204" s="2"/>
      <c r="AD204" s="2">
        <v>2</v>
      </c>
      <c r="AE204" s="2">
        <v>2</v>
      </c>
      <c r="AF204" s="2"/>
      <c r="AG204" s="2"/>
      <c r="AH204" s="2">
        <v>1</v>
      </c>
      <c r="AI204" s="2"/>
      <c r="AJ204" s="2"/>
      <c r="AK204" s="2"/>
      <c r="AL204" s="2">
        <v>1</v>
      </c>
      <c r="AM204" s="2"/>
      <c r="AN204" s="2"/>
      <c r="AO204" s="2"/>
      <c r="AP204" s="2"/>
      <c r="AQ204" s="2"/>
      <c r="AR204" s="2"/>
      <c r="AS204" s="2"/>
      <c r="AT204" s="2">
        <v>3</v>
      </c>
      <c r="AU204" s="2"/>
      <c r="AV204" s="2"/>
      <c r="AW204" s="2"/>
      <c r="AX204" s="2"/>
      <c r="AY204" s="2"/>
      <c r="AZ204" s="2"/>
      <c r="BA204" s="2"/>
      <c r="BB204" s="2"/>
      <c r="BC204" s="2"/>
      <c r="BD204" s="2"/>
      <c r="BE204" s="2"/>
      <c r="BF204" s="2"/>
      <c r="BG204" s="2"/>
      <c r="BH204" s="2"/>
      <c r="BI204" s="1">
        <v>0</v>
      </c>
      <c r="BJ204" s="1">
        <v>0</v>
      </c>
      <c r="BK204" s="1">
        <v>0</v>
      </c>
      <c r="BL204" s="1">
        <v>0</v>
      </c>
      <c r="BM204" s="1">
        <v>29.613499999999998</v>
      </c>
      <c r="BN204" s="1">
        <v>-84.957999999999998</v>
      </c>
      <c r="BO204" s="1">
        <v>0</v>
      </c>
      <c r="BP204" s="1">
        <v>0</v>
      </c>
      <c r="BQ204" s="1">
        <v>0</v>
      </c>
      <c r="BR204" s="1">
        <v>0</v>
      </c>
      <c r="BS204" s="1">
        <v>1</v>
      </c>
      <c r="BT204" s="1" t="s">
        <v>684</v>
      </c>
      <c r="BU204" s="1">
        <v>0</v>
      </c>
      <c r="BV204" s="1">
        <v>0</v>
      </c>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1">
        <v>0</v>
      </c>
    </row>
    <row r="205" spans="1:336" ht="15" x14ac:dyDescent="0.25">
      <c r="A205" s="1" t="s">
        <v>1094</v>
      </c>
      <c r="B205" s="2">
        <v>30.11375</v>
      </c>
      <c r="C205" s="2">
        <v>-84.118899999999996</v>
      </c>
      <c r="D205" s="2">
        <v>30.074390000000001</v>
      </c>
      <c r="E205" s="2">
        <v>-84.179699999999997</v>
      </c>
      <c r="F205" s="3">
        <v>43137</v>
      </c>
      <c r="G205" s="1" t="s">
        <v>1095</v>
      </c>
      <c r="H205" s="1" t="s">
        <v>1096</v>
      </c>
      <c r="I205" s="1" t="s">
        <v>329</v>
      </c>
      <c r="J205" s="4">
        <v>0.50763888888888886</v>
      </c>
      <c r="K205" s="1" t="s">
        <v>375</v>
      </c>
      <c r="L205" s="1" t="s">
        <v>364</v>
      </c>
      <c r="M205" s="5"/>
      <c r="N205" s="1" t="s">
        <v>333</v>
      </c>
      <c r="O205" s="2"/>
      <c r="P205" s="2"/>
      <c r="Q205" s="2">
        <v>39</v>
      </c>
      <c r="R205" s="2">
        <v>1413</v>
      </c>
      <c r="S205" s="2">
        <v>34</v>
      </c>
      <c r="T205" s="2">
        <v>18</v>
      </c>
      <c r="U205" s="2">
        <v>3</v>
      </c>
      <c r="V205" s="2">
        <v>2</v>
      </c>
      <c r="W205" s="2"/>
      <c r="X205" s="2">
        <v>35</v>
      </c>
      <c r="Y205" s="2">
        <v>361</v>
      </c>
      <c r="Z205" s="2"/>
      <c r="AA205" s="2"/>
      <c r="AB205" s="2"/>
      <c r="AC205" s="2"/>
      <c r="AD205" s="2"/>
      <c r="AE205" s="2"/>
      <c r="AF205" s="2">
        <v>15</v>
      </c>
      <c r="AG205" s="2"/>
      <c r="AH205" s="2"/>
      <c r="AI205" s="2"/>
      <c r="AJ205" s="2">
        <v>131</v>
      </c>
      <c r="AK205" s="2"/>
      <c r="AL205" s="2">
        <v>132</v>
      </c>
      <c r="AM205" s="2"/>
      <c r="AN205" s="2"/>
      <c r="AO205" s="2"/>
      <c r="AP205" s="2"/>
      <c r="AQ205" s="2"/>
      <c r="AR205" s="2"/>
      <c r="AS205" s="2"/>
      <c r="AT205" s="2">
        <v>1</v>
      </c>
      <c r="AU205" s="2"/>
      <c r="AV205" s="2"/>
      <c r="AW205" s="2">
        <v>64</v>
      </c>
      <c r="AX205" s="2">
        <v>5</v>
      </c>
      <c r="AY205" s="2"/>
      <c r="AZ205" s="2"/>
      <c r="BA205" s="2"/>
      <c r="BB205" s="2">
        <v>1</v>
      </c>
      <c r="BC205" s="2"/>
      <c r="BD205" s="2">
        <v>16</v>
      </c>
      <c r="BE205" s="2"/>
      <c r="BF205" s="2"/>
      <c r="BG205" s="2"/>
      <c r="BH205" s="2">
        <v>3</v>
      </c>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row>
    <row r="206" spans="1:336" ht="15" x14ac:dyDescent="0.25">
      <c r="A206" s="1" t="s">
        <v>1097</v>
      </c>
      <c r="B206" s="2">
        <v>25.139800000000001</v>
      </c>
      <c r="C206" s="2">
        <v>-80.899799999999999</v>
      </c>
      <c r="D206" s="2">
        <v>25.159400000000002</v>
      </c>
      <c r="E206" s="2">
        <v>-80.826499999999996</v>
      </c>
      <c r="F206" s="3">
        <v>43139</v>
      </c>
      <c r="G206" s="1" t="s">
        <v>1098</v>
      </c>
      <c r="H206" s="1" t="s">
        <v>1099</v>
      </c>
      <c r="I206" s="1" t="s">
        <v>329</v>
      </c>
      <c r="J206" s="4">
        <v>0.375</v>
      </c>
      <c r="K206" s="1" t="s">
        <v>330</v>
      </c>
      <c r="L206" s="1" t="s">
        <v>364</v>
      </c>
      <c r="M206" s="5"/>
      <c r="N206" s="1" t="s">
        <v>333</v>
      </c>
      <c r="O206" s="2"/>
      <c r="P206" s="2"/>
      <c r="Q206" s="2"/>
      <c r="R206" s="2"/>
      <c r="S206" s="2">
        <v>9</v>
      </c>
      <c r="T206" s="2"/>
      <c r="U206" s="2"/>
      <c r="V206" s="2">
        <v>2</v>
      </c>
      <c r="W206" s="2"/>
      <c r="X206" s="2"/>
      <c r="Y206" s="2"/>
      <c r="Z206" s="2"/>
      <c r="AA206" s="2"/>
      <c r="AB206" s="2"/>
      <c r="AC206" s="2"/>
      <c r="AD206" s="2"/>
      <c r="AE206" s="2"/>
      <c r="AF206" s="2"/>
      <c r="AG206" s="2"/>
      <c r="AH206" s="2"/>
      <c r="AI206" s="2"/>
      <c r="AJ206" s="2"/>
      <c r="AK206" s="2"/>
      <c r="AL206" s="2">
        <v>4</v>
      </c>
      <c r="AM206" s="2"/>
      <c r="AN206" s="2"/>
      <c r="AO206" s="2"/>
      <c r="AP206" s="2"/>
      <c r="AQ206" s="2"/>
      <c r="AR206" s="2"/>
      <c r="AS206" s="2"/>
      <c r="AT206" s="2"/>
      <c r="AU206" s="2">
        <v>6</v>
      </c>
      <c r="AV206" s="2"/>
      <c r="AW206" s="2">
        <v>14</v>
      </c>
      <c r="AX206" s="2"/>
      <c r="AY206" s="2"/>
      <c r="AZ206" s="2">
        <v>22</v>
      </c>
      <c r="BA206" s="2"/>
      <c r="BB206" s="2"/>
      <c r="BC206" s="2"/>
      <c r="BD206" s="2"/>
      <c r="BE206" s="2">
        <v>22</v>
      </c>
      <c r="BF206" s="2"/>
      <c r="BG206" s="2"/>
      <c r="BH206" s="2">
        <v>174</v>
      </c>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row>
    <row r="207" spans="1:336" ht="15" x14ac:dyDescent="0.25">
      <c r="A207" s="1" t="s">
        <v>1100</v>
      </c>
      <c r="B207" s="2">
        <v>30.3918</v>
      </c>
      <c r="C207" s="2">
        <v>-81.524900000000002</v>
      </c>
      <c r="D207" s="2">
        <v>30.392900000000001</v>
      </c>
      <c r="E207" s="2">
        <v>-81.517700000000005</v>
      </c>
      <c r="F207" s="3">
        <v>43138</v>
      </c>
      <c r="G207" s="1" t="s">
        <v>624</v>
      </c>
      <c r="H207" s="1" t="s">
        <v>625</v>
      </c>
      <c r="I207" s="1" t="s">
        <v>329</v>
      </c>
      <c r="J207" s="4">
        <v>0.53125</v>
      </c>
      <c r="K207" s="1" t="s">
        <v>330</v>
      </c>
      <c r="L207" s="1" t="s">
        <v>364</v>
      </c>
      <c r="M207" s="5"/>
      <c r="N207" s="1" t="s">
        <v>333</v>
      </c>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v>2</v>
      </c>
      <c r="AX207" s="2"/>
      <c r="AY207" s="2"/>
      <c r="AZ207" s="2"/>
      <c r="BA207" s="2"/>
      <c r="BB207" s="2"/>
      <c r="BC207" s="2"/>
      <c r="BD207" s="2">
        <v>1</v>
      </c>
      <c r="BE207" s="2">
        <v>1</v>
      </c>
      <c r="BF207" s="2"/>
      <c r="BG207" s="2"/>
      <c r="BH207" s="2"/>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row>
    <row r="208" spans="1:336" ht="15" x14ac:dyDescent="0.25">
      <c r="A208" s="1" t="s">
        <v>1101</v>
      </c>
      <c r="B208" s="2">
        <v>29.645479999999999</v>
      </c>
      <c r="C208" s="2">
        <v>-84.924599999999998</v>
      </c>
      <c r="D208" s="2">
        <v>29.64622</v>
      </c>
      <c r="E208" s="2">
        <v>-84.924300000000002</v>
      </c>
      <c r="F208" s="3">
        <v>43138</v>
      </c>
      <c r="G208" s="1" t="s">
        <v>1092</v>
      </c>
      <c r="H208" s="1" t="s">
        <v>1093</v>
      </c>
      <c r="I208" s="1" t="s">
        <v>329</v>
      </c>
      <c r="J208" s="4">
        <v>0.51111111111111107</v>
      </c>
      <c r="K208" s="5"/>
      <c r="L208" s="5"/>
      <c r="M208" s="5"/>
      <c r="N208" s="5"/>
      <c r="O208" s="2">
        <v>1</v>
      </c>
      <c r="P208" s="2"/>
      <c r="Q208" s="2">
        <v>1</v>
      </c>
      <c r="R208" s="2"/>
      <c r="S208" s="2"/>
      <c r="T208" s="2"/>
      <c r="U208" s="2"/>
      <c r="V208" s="2"/>
      <c r="W208" s="2"/>
      <c r="X208" s="2"/>
      <c r="Y208" s="2"/>
      <c r="Z208" s="2"/>
      <c r="AA208" s="2"/>
      <c r="AB208" s="2"/>
      <c r="AC208" s="2"/>
      <c r="AD208" s="2">
        <v>2</v>
      </c>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1">
        <v>1</v>
      </c>
      <c r="BJ208" s="1" t="s">
        <v>1102</v>
      </c>
      <c r="BK208" s="5"/>
      <c r="BL208" s="5"/>
      <c r="BM208" s="1">
        <v>29.64594</v>
      </c>
      <c r="BN208" s="1">
        <v>-84.924400000000006</v>
      </c>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row>
    <row r="209" spans="1:336" ht="15" x14ac:dyDescent="0.25">
      <c r="A209" s="1" t="s">
        <v>1103</v>
      </c>
      <c r="B209" s="2">
        <v>29.091699999999999</v>
      </c>
      <c r="C209" s="2">
        <v>-85.389399999999995</v>
      </c>
      <c r="D209" s="2">
        <v>29.8934</v>
      </c>
      <c r="E209" s="2">
        <v>-85.360200000000006</v>
      </c>
      <c r="F209" s="3">
        <v>43133</v>
      </c>
      <c r="G209" s="1" t="s">
        <v>505</v>
      </c>
      <c r="H209" s="1" t="s">
        <v>506</v>
      </c>
      <c r="I209" s="1" t="s">
        <v>329</v>
      </c>
      <c r="J209" s="4">
        <v>0.47916666666666669</v>
      </c>
      <c r="K209" s="1" t="s">
        <v>368</v>
      </c>
      <c r="L209" s="1" t="s">
        <v>441</v>
      </c>
      <c r="M209" s="1" t="s">
        <v>1104</v>
      </c>
      <c r="N209" s="1" t="s">
        <v>333</v>
      </c>
      <c r="O209" s="2"/>
      <c r="P209" s="2"/>
      <c r="Q209" s="2"/>
      <c r="R209" s="2"/>
      <c r="S209" s="2"/>
      <c r="T209" s="2"/>
      <c r="U209" s="2"/>
      <c r="V209" s="2"/>
      <c r="W209" s="2"/>
      <c r="X209" s="2"/>
      <c r="Y209" s="2"/>
      <c r="Z209" s="2"/>
      <c r="AA209" s="2"/>
      <c r="AB209" s="2"/>
      <c r="AC209" s="2"/>
      <c r="AD209" s="2"/>
      <c r="AE209" s="2">
        <v>38</v>
      </c>
      <c r="AF209" s="2"/>
      <c r="AG209" s="2"/>
      <c r="AH209" s="2"/>
      <c r="AI209" s="2"/>
      <c r="AJ209" s="2"/>
      <c r="AK209" s="2"/>
      <c r="AL209" s="2">
        <v>2</v>
      </c>
      <c r="AM209" s="2"/>
      <c r="AN209" s="2"/>
      <c r="AO209" s="2"/>
      <c r="AP209" s="2"/>
      <c r="AQ209" s="2"/>
      <c r="AR209" s="2"/>
      <c r="AS209" s="2"/>
      <c r="AT209" s="2">
        <v>1</v>
      </c>
      <c r="AU209" s="2"/>
      <c r="AV209" s="2"/>
      <c r="AW209" s="2"/>
      <c r="AX209" s="2">
        <v>9</v>
      </c>
      <c r="AY209" s="2"/>
      <c r="AZ209" s="2"/>
      <c r="BA209" s="2"/>
      <c r="BB209" s="2">
        <v>64</v>
      </c>
      <c r="BC209" s="2"/>
      <c r="BD209" s="2">
        <v>51</v>
      </c>
      <c r="BE209" s="2"/>
      <c r="BF209" s="2"/>
      <c r="BG209" s="2"/>
      <c r="BH209" s="2"/>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row>
    <row r="210" spans="1:336" ht="15" x14ac:dyDescent="0.25">
      <c r="A210" s="1" t="s">
        <v>1105</v>
      </c>
      <c r="B210" s="2">
        <v>30.07601</v>
      </c>
      <c r="C210" s="2">
        <v>-84.184200000000004</v>
      </c>
      <c r="D210" s="2">
        <v>30.02177</v>
      </c>
      <c r="E210" s="2">
        <v>-84.363500000000002</v>
      </c>
      <c r="F210" s="3">
        <v>43137</v>
      </c>
      <c r="G210" s="1" t="s">
        <v>366</v>
      </c>
      <c r="H210" s="1" t="s">
        <v>1106</v>
      </c>
      <c r="I210" s="1" t="s">
        <v>329</v>
      </c>
      <c r="J210" s="4">
        <v>0.37222222222222223</v>
      </c>
      <c r="K210" s="1" t="s">
        <v>368</v>
      </c>
      <c r="L210" s="1" t="s">
        <v>369</v>
      </c>
      <c r="M210" s="1" t="s">
        <v>1107</v>
      </c>
      <c r="N210" s="1" t="s">
        <v>333</v>
      </c>
      <c r="O210" s="2">
        <v>144</v>
      </c>
      <c r="P210" s="2"/>
      <c r="Q210" s="2">
        <v>11</v>
      </c>
      <c r="R210" s="2">
        <v>295</v>
      </c>
      <c r="S210" s="2"/>
      <c r="T210" s="2"/>
      <c r="U210" s="2">
        <v>29</v>
      </c>
      <c r="V210" s="2"/>
      <c r="W210" s="2"/>
      <c r="X210" s="2"/>
      <c r="Y210" s="2">
        <v>27</v>
      </c>
      <c r="Z210" s="2"/>
      <c r="AA210" s="2">
        <v>9</v>
      </c>
      <c r="AB210" s="2"/>
      <c r="AC210" s="2"/>
      <c r="AD210" s="2">
        <v>106</v>
      </c>
      <c r="AE210" s="2">
        <v>1</v>
      </c>
      <c r="AF210" s="2">
        <v>15</v>
      </c>
      <c r="AG210" s="2"/>
      <c r="AH210" s="2"/>
      <c r="AI210" s="2"/>
      <c r="AJ210" s="2">
        <v>31</v>
      </c>
      <c r="AK210" s="2">
        <v>2</v>
      </c>
      <c r="AL210" s="2">
        <v>255</v>
      </c>
      <c r="AM210" s="2"/>
      <c r="AN210" s="2"/>
      <c r="AO210" s="2"/>
      <c r="AP210" s="2"/>
      <c r="AQ210" s="2"/>
      <c r="AR210" s="2"/>
      <c r="AS210" s="2"/>
      <c r="AT210" s="2">
        <v>74</v>
      </c>
      <c r="AU210" s="2">
        <v>2</v>
      </c>
      <c r="AV210" s="2"/>
      <c r="AW210" s="2">
        <v>59</v>
      </c>
      <c r="AX210" s="2">
        <v>30</v>
      </c>
      <c r="AY210" s="2"/>
      <c r="AZ210" s="2"/>
      <c r="BA210" s="2">
        <v>9</v>
      </c>
      <c r="BB210" s="2">
        <v>17</v>
      </c>
      <c r="BC210" s="2"/>
      <c r="BD210" s="2">
        <v>788</v>
      </c>
      <c r="BE210" s="2">
        <v>8</v>
      </c>
      <c r="BF210" s="2"/>
      <c r="BG210" s="2"/>
      <c r="BH210" s="2">
        <v>4</v>
      </c>
      <c r="BI210" s="1">
        <v>3</v>
      </c>
      <c r="BJ210" s="1" t="s">
        <v>1108</v>
      </c>
      <c r="BK210" s="1">
        <v>0</v>
      </c>
      <c r="BL210" s="1">
        <v>0</v>
      </c>
      <c r="BM210" s="1">
        <v>30.072800000000001</v>
      </c>
      <c r="BN210" s="1">
        <v>-84.184200000000004</v>
      </c>
      <c r="BO210" s="1">
        <v>0</v>
      </c>
      <c r="BP210" s="1">
        <v>0</v>
      </c>
      <c r="BQ210" s="1">
        <v>0</v>
      </c>
      <c r="BR210" s="1">
        <v>0</v>
      </c>
      <c r="BS210" s="1">
        <v>0</v>
      </c>
      <c r="BT210" s="1">
        <v>0</v>
      </c>
      <c r="BU210" s="1">
        <v>0</v>
      </c>
      <c r="BV210" s="1">
        <v>0</v>
      </c>
      <c r="BW210" s="1">
        <v>2</v>
      </c>
      <c r="BX210" s="1">
        <v>0</v>
      </c>
      <c r="BY210" s="1">
        <v>0</v>
      </c>
      <c r="BZ210" s="1">
        <v>0</v>
      </c>
      <c r="CA210" s="1">
        <v>30.080829999999999</v>
      </c>
      <c r="CB210" s="1">
        <v>-84.195599999999999</v>
      </c>
      <c r="CC210" s="1">
        <v>0</v>
      </c>
      <c r="CD210" s="1">
        <v>0</v>
      </c>
      <c r="CE210" s="1">
        <v>0</v>
      </c>
      <c r="CF210" s="1">
        <v>0</v>
      </c>
      <c r="CG210" s="1">
        <v>0</v>
      </c>
      <c r="CH210" s="1">
        <v>0</v>
      </c>
      <c r="CI210" s="1">
        <v>0</v>
      </c>
      <c r="CJ210" s="1">
        <v>0</v>
      </c>
      <c r="CK210" s="1">
        <v>0</v>
      </c>
      <c r="CL210" s="1">
        <v>5</v>
      </c>
      <c r="CM210" s="1">
        <v>0</v>
      </c>
      <c r="CN210" s="1">
        <v>0</v>
      </c>
      <c r="CO210" s="1">
        <v>0</v>
      </c>
      <c r="CP210" s="1">
        <v>30.084800000000001</v>
      </c>
      <c r="CQ210" s="1">
        <v>-84.199700000000007</v>
      </c>
      <c r="CR210" s="1" t="s">
        <v>1109</v>
      </c>
      <c r="CS210" s="1">
        <v>0</v>
      </c>
      <c r="CT210" s="1">
        <v>0</v>
      </c>
      <c r="CU210" s="1">
        <v>0</v>
      </c>
      <c r="CV210" s="1">
        <v>0</v>
      </c>
      <c r="CW210" s="1">
        <v>0</v>
      </c>
      <c r="CX210" s="1">
        <v>0</v>
      </c>
      <c r="CY210" s="1">
        <v>0</v>
      </c>
      <c r="CZ210" s="1">
        <v>0</v>
      </c>
      <c r="DA210" s="1">
        <v>3</v>
      </c>
      <c r="DB210" s="1">
        <v>0</v>
      </c>
      <c r="DC210" s="1">
        <v>0</v>
      </c>
      <c r="DD210" s="1">
        <v>0</v>
      </c>
      <c r="DE210" s="1">
        <v>30.08605</v>
      </c>
      <c r="DF210" s="1">
        <v>-84.180199999999999</v>
      </c>
      <c r="DG210" s="1">
        <v>0</v>
      </c>
      <c r="DH210" s="1">
        <v>0</v>
      </c>
      <c r="DI210" s="1">
        <v>0</v>
      </c>
      <c r="DJ210" s="1">
        <v>0</v>
      </c>
      <c r="DK210" s="1">
        <v>0</v>
      </c>
      <c r="DL210" s="1">
        <v>0</v>
      </c>
      <c r="DM210" s="1">
        <v>0</v>
      </c>
      <c r="DN210" s="1">
        <v>0</v>
      </c>
      <c r="DO210" s="1">
        <v>0</v>
      </c>
      <c r="DP210" s="1">
        <v>7</v>
      </c>
      <c r="DQ210" s="1" t="s">
        <v>1110</v>
      </c>
      <c r="DR210" s="1">
        <v>0</v>
      </c>
      <c r="DS210" s="1">
        <v>0</v>
      </c>
      <c r="DT210" s="1">
        <v>30.09018</v>
      </c>
      <c r="DU210" s="1">
        <v>-84.180599999999998</v>
      </c>
      <c r="DV210" s="1" t="s">
        <v>1111</v>
      </c>
      <c r="DW210" s="1">
        <v>0</v>
      </c>
      <c r="DX210" s="1">
        <v>0</v>
      </c>
      <c r="DY210" s="1">
        <v>0</v>
      </c>
      <c r="DZ210" s="1">
        <v>0</v>
      </c>
      <c r="EA210" s="1">
        <v>0</v>
      </c>
      <c r="EB210" s="1">
        <v>0</v>
      </c>
      <c r="EC210" s="1">
        <v>0</v>
      </c>
      <c r="ED210" s="1">
        <v>0</v>
      </c>
      <c r="EE210" s="1">
        <v>4</v>
      </c>
      <c r="EF210" s="1">
        <v>0</v>
      </c>
      <c r="EG210" s="1">
        <v>0</v>
      </c>
      <c r="EH210" s="1">
        <v>0</v>
      </c>
      <c r="EI210" s="1">
        <v>30.087869999999999</v>
      </c>
      <c r="EJ210" s="1">
        <v>-84.182699999999997</v>
      </c>
      <c r="EK210" s="1">
        <v>0</v>
      </c>
      <c r="EL210" s="1">
        <v>0</v>
      </c>
      <c r="EM210" s="1">
        <v>0</v>
      </c>
      <c r="EN210" s="1">
        <v>0</v>
      </c>
      <c r="EO210" s="1">
        <v>0</v>
      </c>
      <c r="EP210" s="1">
        <v>0</v>
      </c>
      <c r="EQ210" s="1">
        <v>0</v>
      </c>
      <c r="ER210" s="1">
        <v>0</v>
      </c>
      <c r="ES210" s="1">
        <v>0</v>
      </c>
      <c r="ET210" s="1">
        <v>14</v>
      </c>
      <c r="EU210" s="1">
        <v>0</v>
      </c>
      <c r="EV210" s="1">
        <v>0</v>
      </c>
      <c r="EW210" s="1">
        <v>0</v>
      </c>
      <c r="EX210" s="1">
        <v>30.088889999999999</v>
      </c>
      <c r="EY210" s="1">
        <v>-84.183400000000006</v>
      </c>
      <c r="EZ210" s="1">
        <v>0</v>
      </c>
      <c r="FA210" s="1">
        <v>0</v>
      </c>
      <c r="FB210" s="1">
        <v>0</v>
      </c>
      <c r="FC210" s="1">
        <v>0</v>
      </c>
      <c r="FD210" s="1">
        <v>0</v>
      </c>
      <c r="FE210" s="1">
        <v>0</v>
      </c>
      <c r="FF210" s="1">
        <v>0</v>
      </c>
      <c r="FG210" s="1">
        <v>0</v>
      </c>
      <c r="FH210" s="1">
        <v>0</v>
      </c>
      <c r="FI210" s="1">
        <v>1</v>
      </c>
      <c r="FJ210" s="1">
        <v>0</v>
      </c>
      <c r="FK210" s="1">
        <v>0</v>
      </c>
      <c r="FL210" s="1">
        <v>0</v>
      </c>
      <c r="FM210" s="1">
        <v>30.087199999999999</v>
      </c>
      <c r="FN210" s="1">
        <v>-84.191100000000006</v>
      </c>
      <c r="FO210" s="1">
        <v>0</v>
      </c>
      <c r="FP210" s="1">
        <v>0</v>
      </c>
      <c r="FQ210" s="1">
        <v>0</v>
      </c>
      <c r="FR210" s="1">
        <v>0</v>
      </c>
      <c r="FS210" s="1">
        <v>0</v>
      </c>
      <c r="FT210" s="1">
        <v>0</v>
      </c>
      <c r="FU210" s="1">
        <v>0</v>
      </c>
      <c r="FV210" s="1">
        <v>0</v>
      </c>
      <c r="FW210" s="1">
        <v>0</v>
      </c>
      <c r="FX210" s="1">
        <v>5</v>
      </c>
      <c r="FY210" s="1">
        <v>0</v>
      </c>
      <c r="FZ210" s="1">
        <v>0</v>
      </c>
      <c r="GA210" s="1">
        <v>0</v>
      </c>
      <c r="GB210" s="1">
        <v>30.092130000000001</v>
      </c>
      <c r="GC210" s="1">
        <v>-84.1858</v>
      </c>
      <c r="GD210" s="1">
        <v>0</v>
      </c>
      <c r="GE210" s="1">
        <v>0</v>
      </c>
      <c r="GF210" s="1">
        <v>0</v>
      </c>
      <c r="GG210" s="1">
        <v>0</v>
      </c>
      <c r="GH210" s="1">
        <v>0</v>
      </c>
      <c r="GI210" s="1">
        <v>0</v>
      </c>
      <c r="GJ210" s="1">
        <v>0</v>
      </c>
      <c r="GK210" s="1">
        <v>0</v>
      </c>
      <c r="GL210" s="1">
        <v>0</v>
      </c>
      <c r="GM210" s="1">
        <v>0</v>
      </c>
      <c r="GN210" s="1">
        <v>0</v>
      </c>
      <c r="GO210" s="1">
        <v>0</v>
      </c>
      <c r="GP210" s="1">
        <v>0</v>
      </c>
      <c r="GQ210" s="1">
        <v>30.092929999999999</v>
      </c>
      <c r="GR210" s="1">
        <v>-84.191599999999994</v>
      </c>
      <c r="GS210" s="1" t="s">
        <v>1112</v>
      </c>
      <c r="GT210" s="1">
        <v>0</v>
      </c>
      <c r="GU210" s="1">
        <v>0</v>
      </c>
      <c r="GV210" s="1">
        <v>0</v>
      </c>
      <c r="GW210" s="1">
        <v>0</v>
      </c>
      <c r="GX210" s="1">
        <v>0</v>
      </c>
      <c r="GY210" s="1">
        <v>0</v>
      </c>
      <c r="GZ210" s="1">
        <v>0</v>
      </c>
      <c r="HA210" s="1">
        <v>0</v>
      </c>
      <c r="HB210" s="1">
        <v>0</v>
      </c>
      <c r="HC210" s="1">
        <v>0</v>
      </c>
      <c r="HD210" s="1">
        <v>0</v>
      </c>
      <c r="HE210" s="1">
        <v>0</v>
      </c>
      <c r="HF210" s="1">
        <v>30.0901</v>
      </c>
      <c r="HG210" s="1">
        <v>-84.212500000000006</v>
      </c>
      <c r="HH210" s="1" t="s">
        <v>1113</v>
      </c>
      <c r="HI210" s="1">
        <v>0</v>
      </c>
      <c r="HJ210" s="1">
        <v>0</v>
      </c>
      <c r="HK210" s="1">
        <v>0</v>
      </c>
      <c r="HL210" s="1">
        <v>0</v>
      </c>
      <c r="HM210" s="1">
        <v>0</v>
      </c>
      <c r="HN210" s="1">
        <v>0</v>
      </c>
      <c r="HO210" s="1">
        <v>0</v>
      </c>
      <c r="HP210" s="1">
        <v>0</v>
      </c>
      <c r="HQ210" s="1">
        <v>7</v>
      </c>
      <c r="HR210" s="1" t="s">
        <v>1114</v>
      </c>
      <c r="HS210" s="1">
        <v>0</v>
      </c>
      <c r="HT210" s="1">
        <v>0</v>
      </c>
      <c r="HU210" s="1">
        <v>30.083780000000001</v>
      </c>
      <c r="HV210" s="1">
        <v>-84.213499999999996</v>
      </c>
      <c r="HW210" s="1">
        <v>0</v>
      </c>
      <c r="HX210" s="1">
        <v>0</v>
      </c>
      <c r="HY210" s="1">
        <v>0</v>
      </c>
      <c r="HZ210" s="1">
        <v>0</v>
      </c>
      <c r="IA210" s="1">
        <v>0</v>
      </c>
      <c r="IB210" s="1">
        <v>0</v>
      </c>
      <c r="IC210" s="1">
        <v>0</v>
      </c>
      <c r="ID210" s="1">
        <v>0</v>
      </c>
      <c r="IE210" s="1">
        <v>0</v>
      </c>
      <c r="IF210" s="1">
        <v>0</v>
      </c>
      <c r="IG210" s="1">
        <v>0</v>
      </c>
      <c r="IH210" s="1">
        <v>0</v>
      </c>
      <c r="II210" s="1">
        <v>0</v>
      </c>
      <c r="IJ210" s="1">
        <v>30.089130000000001</v>
      </c>
      <c r="IK210" s="1">
        <v>-84.222899999999996</v>
      </c>
      <c r="IL210" s="1" t="s">
        <v>1115</v>
      </c>
      <c r="IM210" s="1">
        <v>0</v>
      </c>
      <c r="IN210" s="1">
        <v>0</v>
      </c>
      <c r="IO210" s="1">
        <v>0</v>
      </c>
      <c r="IP210" s="1">
        <v>0</v>
      </c>
      <c r="IQ210" s="1">
        <v>0</v>
      </c>
      <c r="IR210" s="1">
        <v>0</v>
      </c>
      <c r="IS210" s="1">
        <v>0</v>
      </c>
      <c r="IT210" s="1">
        <v>0</v>
      </c>
      <c r="IU210" s="1">
        <v>2</v>
      </c>
      <c r="IV210" s="1">
        <v>0</v>
      </c>
      <c r="IW210" s="1">
        <v>0</v>
      </c>
      <c r="IX210" s="1">
        <v>0</v>
      </c>
      <c r="IY210" s="1">
        <v>30.09337</v>
      </c>
      <c r="IZ210" s="1">
        <v>-84.262200000000007</v>
      </c>
      <c r="JA210" s="1">
        <v>0</v>
      </c>
      <c r="JB210" s="1">
        <v>0</v>
      </c>
      <c r="JC210" s="1">
        <v>0</v>
      </c>
      <c r="JD210" s="1">
        <v>0</v>
      </c>
      <c r="JE210" s="1">
        <v>0</v>
      </c>
      <c r="JF210" s="1">
        <v>0</v>
      </c>
      <c r="JG210" s="1">
        <v>0</v>
      </c>
      <c r="JH210" s="1">
        <v>0</v>
      </c>
      <c r="JI210" s="1">
        <v>0</v>
      </c>
      <c r="JJ210" s="1">
        <v>0</v>
      </c>
      <c r="JK210" s="1">
        <v>0</v>
      </c>
      <c r="JL210" s="1">
        <v>0</v>
      </c>
      <c r="JM210" s="1">
        <v>0</v>
      </c>
      <c r="JN210" s="1">
        <v>30.09929</v>
      </c>
      <c r="JO210" s="1">
        <v>-84.269000000000005</v>
      </c>
      <c r="JP210" s="1" t="s">
        <v>1116</v>
      </c>
      <c r="JQ210" s="1">
        <v>0</v>
      </c>
      <c r="JR210" s="1">
        <v>0</v>
      </c>
      <c r="JS210" s="1">
        <v>0</v>
      </c>
      <c r="JT210" s="1">
        <v>0</v>
      </c>
      <c r="JU210" s="1">
        <v>0</v>
      </c>
      <c r="JV210" s="1">
        <v>0</v>
      </c>
      <c r="JW210" s="1">
        <v>0</v>
      </c>
      <c r="JX210" s="1">
        <v>0</v>
      </c>
      <c r="JY210" s="1">
        <v>2</v>
      </c>
      <c r="JZ210" s="1">
        <v>2</v>
      </c>
      <c r="KA210" s="1">
        <v>30.049410000000002</v>
      </c>
      <c r="KB210" s="1">
        <v>30.049410000000002</v>
      </c>
      <c r="KC210" s="1">
        <v>-84.311800000000005</v>
      </c>
      <c r="KD210" s="1">
        <v>-84.311800000000005</v>
      </c>
      <c r="KE210" s="1">
        <v>0</v>
      </c>
      <c r="KF210" s="1">
        <v>0</v>
      </c>
      <c r="KG210" s="1">
        <v>0</v>
      </c>
      <c r="KH210" s="1">
        <v>0</v>
      </c>
      <c r="KI210" s="1">
        <v>0</v>
      </c>
      <c r="KJ210" s="1">
        <v>0</v>
      </c>
      <c r="KK210" s="1">
        <v>0</v>
      </c>
      <c r="KL210" s="1">
        <v>0</v>
      </c>
      <c r="KM210" s="1">
        <v>0</v>
      </c>
      <c r="KN210" s="1">
        <v>0</v>
      </c>
      <c r="KO210" s="1">
        <v>0</v>
      </c>
      <c r="KP210" s="1">
        <v>0</v>
      </c>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1">
        <v>0</v>
      </c>
    </row>
    <row r="211" spans="1:336" ht="15" x14ac:dyDescent="0.25">
      <c r="A211" s="1" t="s">
        <v>1117</v>
      </c>
      <c r="B211" s="2">
        <v>27.709</v>
      </c>
      <c r="C211" s="2">
        <v>-82.738900000000001</v>
      </c>
      <c r="D211" s="2">
        <v>27.737400000000001</v>
      </c>
      <c r="E211" s="2">
        <v>-82.754800000000003</v>
      </c>
      <c r="F211" s="3">
        <v>43138</v>
      </c>
      <c r="G211" s="1" t="s">
        <v>570</v>
      </c>
      <c r="H211" s="1" t="s">
        <v>571</v>
      </c>
      <c r="I211" s="1" t="s">
        <v>329</v>
      </c>
      <c r="J211" s="4">
        <v>0.44027777777777777</v>
      </c>
      <c r="K211" s="1" t="s">
        <v>330</v>
      </c>
      <c r="L211" s="1" t="s">
        <v>364</v>
      </c>
      <c r="M211" s="5"/>
      <c r="N211" s="1" t="s">
        <v>333</v>
      </c>
      <c r="O211" s="2"/>
      <c r="P211" s="2"/>
      <c r="Q211" s="2"/>
      <c r="R211" s="2"/>
      <c r="S211" s="2"/>
      <c r="T211" s="2"/>
      <c r="U211" s="2"/>
      <c r="V211" s="2"/>
      <c r="W211" s="2"/>
      <c r="X211" s="2"/>
      <c r="Y211" s="2"/>
      <c r="Z211" s="2"/>
      <c r="AA211" s="2"/>
      <c r="AB211" s="2"/>
      <c r="AC211" s="2"/>
      <c r="AD211" s="2"/>
      <c r="AE211" s="2">
        <v>1</v>
      </c>
      <c r="AF211" s="2"/>
      <c r="AG211" s="2"/>
      <c r="AH211" s="2"/>
      <c r="AI211" s="2"/>
      <c r="AJ211" s="2"/>
      <c r="AK211" s="2"/>
      <c r="AL211" s="2">
        <v>117</v>
      </c>
      <c r="AM211" s="2"/>
      <c r="AN211" s="2"/>
      <c r="AO211" s="2"/>
      <c r="AP211" s="2"/>
      <c r="AQ211" s="2"/>
      <c r="AR211" s="2"/>
      <c r="AS211" s="2"/>
      <c r="AT211" s="2">
        <v>3</v>
      </c>
      <c r="AU211" s="2"/>
      <c r="AV211" s="2"/>
      <c r="AW211" s="2"/>
      <c r="AX211" s="2">
        <v>7</v>
      </c>
      <c r="AY211" s="2"/>
      <c r="AZ211" s="2"/>
      <c r="BA211" s="2">
        <v>1</v>
      </c>
      <c r="BB211" s="2">
        <v>179</v>
      </c>
      <c r="BC211" s="2"/>
      <c r="BD211" s="2">
        <v>52</v>
      </c>
      <c r="BE211" s="2">
        <v>411</v>
      </c>
      <c r="BF211" s="2"/>
      <c r="BG211" s="2"/>
      <c r="BH211" s="2"/>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row>
    <row r="212" spans="1:336" ht="15" x14ac:dyDescent="0.25">
      <c r="A212" s="1" t="s">
        <v>1118</v>
      </c>
      <c r="B212" s="2">
        <v>29.681080000000001</v>
      </c>
      <c r="C212" s="2">
        <v>-85.216700000000003</v>
      </c>
      <c r="D212" s="2">
        <v>29.67503</v>
      </c>
      <c r="E212" s="2">
        <v>-85.082400000000007</v>
      </c>
      <c r="F212" s="3">
        <v>43138</v>
      </c>
      <c r="G212" s="1" t="s">
        <v>1119</v>
      </c>
      <c r="H212" s="1" t="s">
        <v>1120</v>
      </c>
      <c r="I212" s="1" t="s">
        <v>329</v>
      </c>
      <c r="J212" s="4">
        <v>0.34375</v>
      </c>
      <c r="K212" s="1" t="s">
        <v>375</v>
      </c>
      <c r="L212" s="1" t="s">
        <v>441</v>
      </c>
      <c r="M212" s="5"/>
      <c r="N212" s="1" t="s">
        <v>333</v>
      </c>
      <c r="O212" s="2"/>
      <c r="P212" s="2">
        <v>4</v>
      </c>
      <c r="Q212" s="2">
        <v>11</v>
      </c>
      <c r="R212" s="2">
        <v>21</v>
      </c>
      <c r="S212" s="2"/>
      <c r="T212" s="2">
        <v>2</v>
      </c>
      <c r="U212" s="2"/>
      <c r="V212" s="2"/>
      <c r="W212" s="2"/>
      <c r="X212" s="2"/>
      <c r="Y212" s="2">
        <v>2</v>
      </c>
      <c r="Z212" s="2"/>
      <c r="AA212" s="2"/>
      <c r="AB212" s="2">
        <v>2</v>
      </c>
      <c r="AC212" s="2">
        <v>62</v>
      </c>
      <c r="AD212" s="2">
        <v>23</v>
      </c>
      <c r="AE212" s="2">
        <v>79</v>
      </c>
      <c r="AF212" s="2">
        <v>5</v>
      </c>
      <c r="AG212" s="2"/>
      <c r="AH212" s="2">
        <v>7</v>
      </c>
      <c r="AI212" s="2">
        <v>2</v>
      </c>
      <c r="AJ212" s="2"/>
      <c r="AK212" s="2"/>
      <c r="AL212" s="2">
        <v>113</v>
      </c>
      <c r="AM212" s="2"/>
      <c r="AN212" s="2"/>
      <c r="AO212" s="2"/>
      <c r="AP212" s="2"/>
      <c r="AQ212" s="2">
        <v>52</v>
      </c>
      <c r="AR212" s="2">
        <v>7</v>
      </c>
      <c r="AS212" s="2"/>
      <c r="AT212" s="2">
        <v>7</v>
      </c>
      <c r="AU212" s="2">
        <v>1</v>
      </c>
      <c r="AV212" s="2"/>
      <c r="AW212" s="2">
        <v>115</v>
      </c>
      <c r="AX212" s="2">
        <v>27</v>
      </c>
      <c r="AY212" s="2"/>
      <c r="AZ212" s="2"/>
      <c r="BA212" s="2">
        <v>3</v>
      </c>
      <c r="BB212" s="2">
        <v>13</v>
      </c>
      <c r="BC212" s="2"/>
      <c r="BD212" s="2">
        <v>35</v>
      </c>
      <c r="BE212" s="2">
        <v>31</v>
      </c>
      <c r="BF212" s="2"/>
      <c r="BG212" s="2"/>
      <c r="BH212" s="2">
        <v>62</v>
      </c>
      <c r="BI212" s="1">
        <v>0</v>
      </c>
      <c r="BJ212" s="5"/>
      <c r="BK212" s="1">
        <v>0</v>
      </c>
      <c r="BL212" s="5"/>
      <c r="BM212" s="1">
        <v>29.677440000000001</v>
      </c>
      <c r="BN212" s="1">
        <v>-85.221900000000005</v>
      </c>
      <c r="BO212" s="1">
        <v>0</v>
      </c>
      <c r="BP212" s="5"/>
      <c r="BQ212" s="1">
        <v>1</v>
      </c>
      <c r="BR212" s="1" t="s">
        <v>393</v>
      </c>
      <c r="BS212" s="1">
        <v>3</v>
      </c>
      <c r="BT212" s="1" t="s">
        <v>393</v>
      </c>
      <c r="BU212" s="1">
        <v>0</v>
      </c>
      <c r="BV212" s="5"/>
      <c r="BW212" s="1">
        <v>0</v>
      </c>
      <c r="BX212" s="5"/>
      <c r="BY212" s="1">
        <v>52</v>
      </c>
      <c r="BZ212" s="1" t="s">
        <v>393</v>
      </c>
      <c r="CA212" s="1">
        <v>29.67848</v>
      </c>
      <c r="CB212" s="1">
        <v>-85.223399999999998</v>
      </c>
      <c r="CC212" s="5"/>
      <c r="CD212" s="1">
        <v>0</v>
      </c>
      <c r="CE212" s="5"/>
      <c r="CF212" s="1">
        <v>0</v>
      </c>
      <c r="CG212" s="5"/>
      <c r="CH212" s="1">
        <v>0</v>
      </c>
      <c r="CI212" s="5"/>
      <c r="CJ212" s="1">
        <v>0</v>
      </c>
      <c r="CK212" s="5"/>
      <c r="CL212" s="1">
        <v>0</v>
      </c>
      <c r="CM212" s="5"/>
      <c r="CN212" s="1">
        <v>0</v>
      </c>
      <c r="CO212" s="5"/>
      <c r="CP212" s="1">
        <v>29.672809999999998</v>
      </c>
      <c r="CQ212" s="1">
        <v>-85.205699999999993</v>
      </c>
      <c r="CR212" s="5"/>
      <c r="CS212" s="1">
        <v>0</v>
      </c>
      <c r="CT212" s="5"/>
      <c r="CU212" s="1">
        <v>1</v>
      </c>
      <c r="CV212" s="1" t="s">
        <v>393</v>
      </c>
      <c r="CW212" s="1">
        <v>0</v>
      </c>
      <c r="CX212" s="5"/>
      <c r="CY212" s="1">
        <v>0</v>
      </c>
      <c r="CZ212" s="5"/>
      <c r="DA212" s="1">
        <v>0</v>
      </c>
      <c r="DB212" s="5"/>
      <c r="DC212" s="1">
        <v>0</v>
      </c>
      <c r="DD212" s="5"/>
      <c r="DE212" s="1">
        <v>29.670770000000001</v>
      </c>
      <c r="DF212" s="1">
        <v>-85.199700000000007</v>
      </c>
      <c r="DG212" s="5"/>
      <c r="DH212" s="1">
        <v>0</v>
      </c>
      <c r="DI212" s="5"/>
      <c r="DJ212" s="1">
        <v>56</v>
      </c>
      <c r="DK212" s="1" t="s">
        <v>1121</v>
      </c>
      <c r="DL212" s="1">
        <v>0</v>
      </c>
      <c r="DM212" s="5"/>
      <c r="DN212" s="1">
        <v>0</v>
      </c>
      <c r="DO212" s="5"/>
      <c r="DP212" s="1">
        <v>0</v>
      </c>
      <c r="DQ212" s="5"/>
      <c r="DR212" s="1">
        <v>0</v>
      </c>
      <c r="DS212" s="5"/>
      <c r="DT212" s="1">
        <v>29.64274</v>
      </c>
      <c r="DU212" s="1">
        <v>-85.151499999999999</v>
      </c>
      <c r="DV212" s="5"/>
      <c r="DW212" s="1">
        <v>0</v>
      </c>
      <c r="DX212" s="5"/>
      <c r="DY212" s="1">
        <v>4</v>
      </c>
      <c r="DZ212" s="1" t="s">
        <v>393</v>
      </c>
      <c r="EA212" s="1">
        <v>0</v>
      </c>
      <c r="EB212" s="5"/>
      <c r="EC212" s="1">
        <v>0</v>
      </c>
      <c r="ED212" s="5"/>
      <c r="EE212" s="1">
        <v>0</v>
      </c>
      <c r="EF212" s="5"/>
      <c r="EG212" s="1">
        <v>0</v>
      </c>
      <c r="EH212" s="5"/>
      <c r="EI212" s="1">
        <v>29.638020000000001</v>
      </c>
      <c r="EJ212" s="1">
        <v>-85.147999999999996</v>
      </c>
      <c r="EK212" s="5"/>
      <c r="EL212" s="1">
        <v>2</v>
      </c>
      <c r="EM212" s="1" t="s">
        <v>1122</v>
      </c>
      <c r="EN212" s="1">
        <v>0</v>
      </c>
      <c r="EO212" s="5"/>
      <c r="EP212" s="1">
        <v>0</v>
      </c>
      <c r="EQ212" s="5"/>
      <c r="ER212" s="1">
        <v>0</v>
      </c>
      <c r="ES212" s="5"/>
      <c r="ET212" s="1">
        <v>0</v>
      </c>
      <c r="EU212" s="5"/>
      <c r="EV212" s="1">
        <v>0</v>
      </c>
      <c r="EW212" s="5"/>
      <c r="EX212" s="1">
        <v>29.637589999999999</v>
      </c>
      <c r="EY212" s="1">
        <v>-85.150899999999993</v>
      </c>
      <c r="EZ212" s="1" t="s">
        <v>1123</v>
      </c>
      <c r="FA212" s="1">
        <v>0</v>
      </c>
      <c r="FB212" s="5"/>
      <c r="FC212" s="1">
        <v>0</v>
      </c>
      <c r="FD212" s="5"/>
      <c r="FE212" s="1">
        <v>2</v>
      </c>
      <c r="FF212" s="1" t="s">
        <v>1124</v>
      </c>
      <c r="FG212" s="1">
        <v>0</v>
      </c>
      <c r="FH212" s="5"/>
      <c r="FI212" s="1">
        <v>0</v>
      </c>
      <c r="FJ212" s="5"/>
      <c r="FK212" s="1">
        <v>0</v>
      </c>
      <c r="FL212" s="5"/>
      <c r="FM212" s="1">
        <v>29.63608</v>
      </c>
      <c r="FN212" s="1">
        <v>-85.149100000000004</v>
      </c>
      <c r="FO212" s="5"/>
      <c r="FP212" s="1">
        <v>0</v>
      </c>
      <c r="FQ212" s="5"/>
      <c r="FR212" s="1">
        <v>0</v>
      </c>
      <c r="FS212" s="5"/>
      <c r="FT212" s="1">
        <v>2</v>
      </c>
      <c r="FU212" s="1" t="s">
        <v>393</v>
      </c>
      <c r="FV212" s="1">
        <v>0</v>
      </c>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row>
    <row r="213" spans="1:336" ht="15" x14ac:dyDescent="0.25">
      <c r="A213" s="1" t="s">
        <v>1125</v>
      </c>
      <c r="B213" s="2">
        <v>30.130389999999998</v>
      </c>
      <c r="C213" s="2">
        <v>-85.7209</v>
      </c>
      <c r="D213" s="2">
        <v>30.132809999999999</v>
      </c>
      <c r="E213" s="2">
        <v>-85.7453</v>
      </c>
      <c r="F213" s="3">
        <v>43133</v>
      </c>
      <c r="G213" s="1" t="s">
        <v>1126</v>
      </c>
      <c r="H213" s="1" t="s">
        <v>1127</v>
      </c>
      <c r="I213" s="1" t="s">
        <v>329</v>
      </c>
      <c r="J213" s="4">
        <v>0.38333333333333336</v>
      </c>
      <c r="K213" s="1" t="s">
        <v>368</v>
      </c>
      <c r="L213" s="1" t="s">
        <v>331</v>
      </c>
      <c r="M213" s="5"/>
      <c r="N213" s="1" t="s">
        <v>333</v>
      </c>
      <c r="O213" s="2"/>
      <c r="P213" s="2"/>
      <c r="Q213" s="2"/>
      <c r="R213" s="2"/>
      <c r="S213" s="2"/>
      <c r="T213" s="2">
        <v>5</v>
      </c>
      <c r="U213" s="2"/>
      <c r="V213" s="2"/>
      <c r="W213" s="2"/>
      <c r="X213" s="2"/>
      <c r="Y213" s="2"/>
      <c r="Z213" s="2"/>
      <c r="AA213" s="2"/>
      <c r="AB213" s="2"/>
      <c r="AC213" s="2"/>
      <c r="AD213" s="2">
        <v>3</v>
      </c>
      <c r="AE213" s="2">
        <v>2</v>
      </c>
      <c r="AF213" s="2"/>
      <c r="AG213" s="2"/>
      <c r="AH213" s="2"/>
      <c r="AI213" s="2"/>
      <c r="AJ213" s="2"/>
      <c r="AK213" s="2"/>
      <c r="AL213" s="2"/>
      <c r="AM213" s="2"/>
      <c r="AN213" s="2"/>
      <c r="AO213" s="2"/>
      <c r="AP213" s="2"/>
      <c r="AQ213" s="2"/>
      <c r="AR213" s="2">
        <v>108</v>
      </c>
      <c r="AS213" s="2"/>
      <c r="AT213" s="2">
        <v>6</v>
      </c>
      <c r="AU213" s="2"/>
      <c r="AV213" s="2">
        <v>16</v>
      </c>
      <c r="AW213" s="2">
        <v>36</v>
      </c>
      <c r="AX213" s="2"/>
      <c r="AY213" s="2"/>
      <c r="AZ213" s="2"/>
      <c r="BA213" s="2">
        <v>2</v>
      </c>
      <c r="BB213" s="2">
        <v>42</v>
      </c>
      <c r="BC213" s="2"/>
      <c r="BD213" s="2">
        <v>17</v>
      </c>
      <c r="BE213" s="2">
        <v>15</v>
      </c>
      <c r="BF213" s="2"/>
      <c r="BG213" s="2"/>
      <c r="BH213" s="2"/>
      <c r="BI213" s="5"/>
      <c r="BJ213" s="5"/>
      <c r="BK213" s="5"/>
      <c r="BL213" s="5"/>
      <c r="BM213" s="1">
        <v>30.126280000000001</v>
      </c>
      <c r="BN213" s="1">
        <v>-85.730500000000006</v>
      </c>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1" t="s">
        <v>1128</v>
      </c>
    </row>
    <row r="214" spans="1:336" ht="15" x14ac:dyDescent="0.25">
      <c r="A214" s="1" t="s">
        <v>1129</v>
      </c>
      <c r="B214" s="2">
        <v>29.68723</v>
      </c>
      <c r="C214" s="2">
        <v>-84.876800000000003</v>
      </c>
      <c r="D214" s="2">
        <v>29.703250000000001</v>
      </c>
      <c r="E214" s="2">
        <v>-84.886899999999997</v>
      </c>
      <c r="F214" s="3">
        <v>43138</v>
      </c>
      <c r="G214" s="1" t="s">
        <v>1130</v>
      </c>
      <c r="H214" s="1" t="s">
        <v>420</v>
      </c>
      <c r="I214" s="1" t="s">
        <v>329</v>
      </c>
      <c r="J214" s="4">
        <v>0.40694444444444444</v>
      </c>
      <c r="K214" s="5"/>
      <c r="L214" s="1" t="s">
        <v>364</v>
      </c>
      <c r="M214" s="1" t="s">
        <v>1131</v>
      </c>
      <c r="N214" s="1" t="s">
        <v>333</v>
      </c>
      <c r="O214" s="2">
        <v>8</v>
      </c>
      <c r="P214" s="2"/>
      <c r="Q214" s="2">
        <v>1</v>
      </c>
      <c r="R214" s="2"/>
      <c r="S214" s="2"/>
      <c r="T214" s="2">
        <v>1</v>
      </c>
      <c r="U214" s="2"/>
      <c r="V214" s="2"/>
      <c r="W214" s="2"/>
      <c r="X214" s="2"/>
      <c r="Y214" s="2"/>
      <c r="Z214" s="2"/>
      <c r="AA214" s="2"/>
      <c r="AB214" s="2"/>
      <c r="AC214" s="2"/>
      <c r="AD214" s="2">
        <v>7</v>
      </c>
      <c r="AE214" s="2"/>
      <c r="AF214" s="2"/>
      <c r="AG214" s="2"/>
      <c r="AH214" s="2"/>
      <c r="AI214" s="2">
        <v>3</v>
      </c>
      <c r="AJ214" s="2"/>
      <c r="AK214" s="2"/>
      <c r="AL214" s="2">
        <v>1</v>
      </c>
      <c r="AM214" s="2"/>
      <c r="AN214" s="2"/>
      <c r="AO214" s="2"/>
      <c r="AP214" s="2"/>
      <c r="AQ214" s="2"/>
      <c r="AR214" s="2"/>
      <c r="AS214" s="2"/>
      <c r="AT214" s="2">
        <v>1</v>
      </c>
      <c r="AU214" s="2"/>
      <c r="AV214" s="2"/>
      <c r="AW214" s="2">
        <v>1</v>
      </c>
      <c r="AX214" s="2"/>
      <c r="AY214" s="2"/>
      <c r="AZ214" s="2"/>
      <c r="BA214" s="2"/>
      <c r="BB214" s="2"/>
      <c r="BC214" s="2"/>
      <c r="BD214" s="2">
        <v>1</v>
      </c>
      <c r="BE214" s="2"/>
      <c r="BF214" s="2"/>
      <c r="BG214" s="2"/>
      <c r="BH214" s="2"/>
      <c r="BI214" s="1">
        <v>2</v>
      </c>
      <c r="BJ214" s="1">
        <v>0</v>
      </c>
      <c r="BK214" s="1">
        <v>0</v>
      </c>
      <c r="BL214" s="1">
        <v>0</v>
      </c>
      <c r="BM214" s="1">
        <v>29.688829999999999</v>
      </c>
      <c r="BN214" s="1">
        <v>-84.876900000000006</v>
      </c>
      <c r="BO214" s="1">
        <v>0</v>
      </c>
      <c r="BP214" s="1">
        <v>0</v>
      </c>
      <c r="BQ214" s="1">
        <v>0</v>
      </c>
      <c r="BR214" s="1">
        <v>0</v>
      </c>
      <c r="BS214" s="1">
        <v>0</v>
      </c>
      <c r="BT214" s="1">
        <v>0</v>
      </c>
      <c r="BU214" s="1">
        <v>0</v>
      </c>
      <c r="BV214" s="1">
        <v>0</v>
      </c>
      <c r="BW214" s="1">
        <v>2</v>
      </c>
      <c r="BX214" s="1" t="s">
        <v>1132</v>
      </c>
      <c r="BY214" s="1">
        <v>0</v>
      </c>
      <c r="BZ214" s="1">
        <v>0</v>
      </c>
      <c r="CA214" s="1">
        <v>29.70082</v>
      </c>
      <c r="CB214" s="1">
        <v>-84.886700000000005</v>
      </c>
      <c r="CC214" s="1">
        <v>0</v>
      </c>
      <c r="CD214" s="1">
        <v>0</v>
      </c>
      <c r="CE214" s="1">
        <v>0</v>
      </c>
      <c r="CF214" s="1">
        <v>0</v>
      </c>
      <c r="CG214" s="1">
        <v>0</v>
      </c>
      <c r="CH214" s="1">
        <v>0</v>
      </c>
      <c r="CI214" s="1">
        <v>0</v>
      </c>
      <c r="CJ214" s="1">
        <v>0</v>
      </c>
      <c r="CK214" s="1">
        <v>0</v>
      </c>
      <c r="CL214" s="1">
        <v>2</v>
      </c>
      <c r="CM214" s="1" t="s">
        <v>1133</v>
      </c>
      <c r="CN214" s="1">
        <v>0</v>
      </c>
      <c r="CO214" s="1">
        <v>0</v>
      </c>
      <c r="CP214" s="1">
        <v>29.700589999999998</v>
      </c>
      <c r="CQ214" s="1">
        <v>-84.886799999999994</v>
      </c>
      <c r="CR214" s="1">
        <v>0</v>
      </c>
      <c r="CS214" s="1">
        <v>0</v>
      </c>
      <c r="CT214" s="1">
        <v>0</v>
      </c>
      <c r="CU214" s="1">
        <v>0</v>
      </c>
      <c r="CV214" s="1">
        <v>0</v>
      </c>
      <c r="CW214" s="5"/>
      <c r="CX214" s="1">
        <v>0</v>
      </c>
      <c r="CY214" s="1">
        <v>0</v>
      </c>
      <c r="CZ214" s="1">
        <v>0</v>
      </c>
      <c r="DA214" s="1">
        <v>2</v>
      </c>
      <c r="DB214" s="1">
        <v>0</v>
      </c>
      <c r="DC214" s="1">
        <v>0</v>
      </c>
      <c r="DD214" s="1">
        <v>0</v>
      </c>
      <c r="DE214" s="1">
        <v>29.69003</v>
      </c>
      <c r="DF214" s="1">
        <v>-84.8797</v>
      </c>
      <c r="DG214" s="1">
        <v>0</v>
      </c>
      <c r="DH214" s="1">
        <v>0</v>
      </c>
      <c r="DI214" s="1">
        <v>0</v>
      </c>
      <c r="DJ214" s="1">
        <v>0</v>
      </c>
      <c r="DK214" s="1">
        <v>0</v>
      </c>
      <c r="DL214" s="1">
        <v>0</v>
      </c>
      <c r="DM214" s="1">
        <v>0</v>
      </c>
      <c r="DN214" s="1">
        <v>0</v>
      </c>
      <c r="DO214" s="1">
        <v>0</v>
      </c>
      <c r="DP214" s="1">
        <v>0</v>
      </c>
      <c r="DQ214" s="1">
        <v>0</v>
      </c>
      <c r="DR214" s="1">
        <v>0</v>
      </c>
      <c r="DS214" s="1">
        <v>0</v>
      </c>
      <c r="DT214" s="1">
        <v>29.6921</v>
      </c>
      <c r="DU214" s="1">
        <v>-84.880300000000005</v>
      </c>
      <c r="DV214" s="1" t="s">
        <v>1134</v>
      </c>
      <c r="DW214" s="1">
        <v>0</v>
      </c>
      <c r="DX214" s="1">
        <v>0</v>
      </c>
      <c r="DY214" s="1">
        <v>0</v>
      </c>
      <c r="DZ214" s="1">
        <v>0</v>
      </c>
      <c r="EA214" s="1">
        <v>0</v>
      </c>
      <c r="EB214" s="1">
        <v>0</v>
      </c>
      <c r="EC214" s="1">
        <v>0</v>
      </c>
      <c r="ED214" s="1">
        <v>0</v>
      </c>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1">
        <v>0</v>
      </c>
    </row>
    <row r="215" spans="1:336" ht="15" x14ac:dyDescent="0.25">
      <c r="A215" s="1" t="s">
        <v>1135</v>
      </c>
      <c r="B215" s="2">
        <v>29.68289</v>
      </c>
      <c r="C215" s="2">
        <v>-84.796599999999998</v>
      </c>
      <c r="D215" s="2">
        <v>29.772449999999999</v>
      </c>
      <c r="E215" s="2">
        <v>-84.694199999999995</v>
      </c>
      <c r="F215" s="3">
        <v>43138</v>
      </c>
      <c r="G215" s="1" t="s">
        <v>1136</v>
      </c>
      <c r="H215" s="1" t="s">
        <v>386</v>
      </c>
      <c r="I215" s="1" t="s">
        <v>329</v>
      </c>
      <c r="J215" s="4">
        <v>0.38750000000000001</v>
      </c>
      <c r="K215" s="1" t="s">
        <v>375</v>
      </c>
      <c r="L215" s="1" t="s">
        <v>369</v>
      </c>
      <c r="M215" s="5"/>
      <c r="N215" s="1" t="s">
        <v>333</v>
      </c>
      <c r="O215" s="2">
        <v>2</v>
      </c>
      <c r="P215" s="2"/>
      <c r="Q215" s="2">
        <v>15</v>
      </c>
      <c r="R215" s="2"/>
      <c r="S215" s="2"/>
      <c r="T215" s="2">
        <v>13</v>
      </c>
      <c r="U215" s="2"/>
      <c r="V215" s="2"/>
      <c r="W215" s="2"/>
      <c r="X215" s="2"/>
      <c r="Y215" s="2"/>
      <c r="Z215" s="2"/>
      <c r="AA215" s="2"/>
      <c r="AB215" s="2">
        <v>7</v>
      </c>
      <c r="AC215" s="2"/>
      <c r="AD215" s="2">
        <v>46</v>
      </c>
      <c r="AE215" s="2">
        <v>181</v>
      </c>
      <c r="AF215" s="2">
        <v>1</v>
      </c>
      <c r="AG215" s="2"/>
      <c r="AH215" s="2">
        <v>23</v>
      </c>
      <c r="AI215" s="2"/>
      <c r="AJ215" s="2"/>
      <c r="AK215" s="2"/>
      <c r="AL215" s="2">
        <v>26</v>
      </c>
      <c r="AM215" s="2"/>
      <c r="AN215" s="2"/>
      <c r="AO215" s="2"/>
      <c r="AP215" s="2"/>
      <c r="AQ215" s="2"/>
      <c r="AR215" s="2"/>
      <c r="AS215" s="2"/>
      <c r="AT215" s="2">
        <v>1</v>
      </c>
      <c r="AU215" s="2"/>
      <c r="AV215" s="2"/>
      <c r="AW215" s="2">
        <v>2</v>
      </c>
      <c r="AX215" s="2">
        <v>3</v>
      </c>
      <c r="AY215" s="2"/>
      <c r="AZ215" s="2"/>
      <c r="BA215" s="2">
        <v>11</v>
      </c>
      <c r="BB215" s="2">
        <v>1</v>
      </c>
      <c r="BC215" s="2"/>
      <c r="BD215" s="2">
        <v>48</v>
      </c>
      <c r="BE215" s="2"/>
      <c r="BF215" s="2"/>
      <c r="BG215" s="2"/>
      <c r="BH215" s="2"/>
      <c r="BI215" s="1">
        <v>0</v>
      </c>
      <c r="BJ215" s="1">
        <v>0</v>
      </c>
      <c r="BK215" s="1">
        <v>0</v>
      </c>
      <c r="BL215" s="1">
        <v>0</v>
      </c>
      <c r="BM215" s="1">
        <v>29.697890000000001</v>
      </c>
      <c r="BN215" s="1">
        <v>-84.7667</v>
      </c>
      <c r="BO215" s="1">
        <v>0</v>
      </c>
      <c r="BP215" s="1">
        <v>0</v>
      </c>
      <c r="BQ215" s="1">
        <v>0</v>
      </c>
      <c r="BR215" s="1">
        <v>0</v>
      </c>
      <c r="BS215" s="1">
        <v>1</v>
      </c>
      <c r="BT215" s="1" t="s">
        <v>1137</v>
      </c>
      <c r="BU215" s="1">
        <v>0</v>
      </c>
      <c r="BV215" s="1">
        <v>0</v>
      </c>
      <c r="BW215" s="1">
        <v>0</v>
      </c>
      <c r="BX215" s="1">
        <v>0</v>
      </c>
      <c r="BY215" s="1">
        <v>0</v>
      </c>
      <c r="BZ215" s="1">
        <v>0</v>
      </c>
      <c r="CA215" s="1">
        <v>29.709379999999999</v>
      </c>
      <c r="CB215" s="1">
        <v>-84.754400000000004</v>
      </c>
      <c r="CC215" s="1">
        <v>0</v>
      </c>
      <c r="CD215" s="1">
        <v>0</v>
      </c>
      <c r="CE215" s="1">
        <v>0</v>
      </c>
      <c r="CF215" s="1">
        <v>0</v>
      </c>
      <c r="CG215" s="1">
        <v>0</v>
      </c>
      <c r="CH215" s="1">
        <v>1</v>
      </c>
      <c r="CI215" s="1" t="s">
        <v>1138</v>
      </c>
      <c r="CJ215" s="1">
        <v>0</v>
      </c>
      <c r="CK215" s="1">
        <v>0</v>
      </c>
      <c r="CL215" s="1">
        <v>0</v>
      </c>
      <c r="CM215" s="1">
        <v>0</v>
      </c>
      <c r="CN215" s="1">
        <v>0</v>
      </c>
      <c r="CO215" s="1">
        <v>0</v>
      </c>
      <c r="CP215" s="1">
        <v>29.71256</v>
      </c>
      <c r="CQ215" s="1">
        <v>-84.750900000000001</v>
      </c>
      <c r="CR215" s="1">
        <v>0</v>
      </c>
      <c r="CS215" s="1">
        <v>0</v>
      </c>
      <c r="CT215" s="1">
        <v>0</v>
      </c>
      <c r="CU215" s="1">
        <v>0</v>
      </c>
      <c r="CV215" s="1">
        <v>0</v>
      </c>
      <c r="CW215" s="1">
        <v>2</v>
      </c>
      <c r="CX215" s="1" t="s">
        <v>1139</v>
      </c>
      <c r="CY215" s="1">
        <v>0</v>
      </c>
      <c r="CZ215" s="1">
        <v>0</v>
      </c>
      <c r="DA215" s="1">
        <v>0</v>
      </c>
      <c r="DB215" s="1">
        <v>0</v>
      </c>
      <c r="DC215" s="1">
        <v>0</v>
      </c>
      <c r="DD215" s="1">
        <v>0</v>
      </c>
      <c r="DE215" s="1">
        <v>29.713429999999999</v>
      </c>
      <c r="DF215" s="1">
        <v>-84.749899999999997</v>
      </c>
      <c r="DG215" s="1">
        <v>0</v>
      </c>
      <c r="DH215" s="1">
        <v>1</v>
      </c>
      <c r="DI215" s="1" t="s">
        <v>1140</v>
      </c>
      <c r="DJ215" s="1">
        <v>0</v>
      </c>
      <c r="DK215" s="1">
        <v>0</v>
      </c>
      <c r="DL215" s="1">
        <v>0</v>
      </c>
      <c r="DM215" s="1">
        <v>0</v>
      </c>
      <c r="DN215" s="1">
        <v>0</v>
      </c>
      <c r="DO215" s="1">
        <v>0</v>
      </c>
      <c r="DP215" s="1">
        <v>0</v>
      </c>
      <c r="DQ215" s="1">
        <v>0</v>
      </c>
      <c r="DR215" s="1">
        <v>0</v>
      </c>
      <c r="DS215" s="1">
        <v>0</v>
      </c>
      <c r="DT215" s="1">
        <v>29.716239999999999</v>
      </c>
      <c r="DU215" s="1">
        <v>-84.746600000000001</v>
      </c>
      <c r="DV215" s="1">
        <v>0</v>
      </c>
      <c r="DW215" s="1">
        <v>1</v>
      </c>
      <c r="DX215" s="1">
        <v>0</v>
      </c>
      <c r="DY215" s="1">
        <v>0</v>
      </c>
      <c r="DZ215" s="1">
        <v>0</v>
      </c>
      <c r="EA215" s="1">
        <v>0</v>
      </c>
      <c r="EB215" s="1">
        <v>0</v>
      </c>
      <c r="EC215" s="1">
        <v>0</v>
      </c>
      <c r="ED215" s="1">
        <v>0</v>
      </c>
      <c r="EE215" s="1">
        <v>0</v>
      </c>
      <c r="EF215" s="1">
        <v>0</v>
      </c>
      <c r="EG215" s="1">
        <v>0</v>
      </c>
      <c r="EH215" s="1">
        <v>0</v>
      </c>
      <c r="EI215" s="1">
        <v>29.718309999999999</v>
      </c>
      <c r="EJ215" s="1">
        <v>-84.744</v>
      </c>
      <c r="EK215" s="1">
        <v>0</v>
      </c>
      <c r="EL215" s="1">
        <v>1</v>
      </c>
      <c r="EM215" s="1" t="s">
        <v>1141</v>
      </c>
      <c r="EN215" s="1">
        <v>0</v>
      </c>
      <c r="EO215" s="1">
        <v>0</v>
      </c>
      <c r="EP215" s="1">
        <v>1</v>
      </c>
      <c r="EQ215" s="1" t="s">
        <v>1142</v>
      </c>
      <c r="ER215" s="1">
        <v>0</v>
      </c>
      <c r="ES215" s="1">
        <v>0</v>
      </c>
      <c r="ET215" s="1">
        <v>0</v>
      </c>
      <c r="EU215" s="1">
        <v>0</v>
      </c>
      <c r="EV215" s="1">
        <v>0</v>
      </c>
      <c r="EW215" s="1">
        <v>0</v>
      </c>
      <c r="EX215" s="1">
        <v>29.7301</v>
      </c>
      <c r="EY215" s="1">
        <v>-84.730099999999993</v>
      </c>
      <c r="EZ215" s="1">
        <v>0</v>
      </c>
      <c r="FA215" s="1">
        <v>0</v>
      </c>
      <c r="FB215" s="1">
        <v>0</v>
      </c>
      <c r="FC215" s="1">
        <v>0</v>
      </c>
      <c r="FD215" s="1">
        <v>0</v>
      </c>
      <c r="FE215" s="1">
        <v>3</v>
      </c>
      <c r="FF215" s="1" t="s">
        <v>1143</v>
      </c>
      <c r="FG215" s="1">
        <v>0</v>
      </c>
      <c r="FH215" s="1">
        <v>0</v>
      </c>
      <c r="FI215" s="1">
        <v>0</v>
      </c>
      <c r="FJ215" s="1">
        <v>0</v>
      </c>
      <c r="FK215" s="1">
        <v>0</v>
      </c>
      <c r="FL215" s="1">
        <v>0</v>
      </c>
      <c r="FM215" s="1">
        <v>29.736270000000001</v>
      </c>
      <c r="FN215" s="1">
        <v>-84.722899999999996</v>
      </c>
      <c r="FO215" s="1">
        <v>0</v>
      </c>
      <c r="FP215" s="1">
        <v>1</v>
      </c>
      <c r="FQ215" s="1" t="s">
        <v>1144</v>
      </c>
      <c r="FR215" s="1">
        <v>0</v>
      </c>
      <c r="FS215" s="1">
        <v>0</v>
      </c>
      <c r="FT215" s="1">
        <v>0</v>
      </c>
      <c r="FU215" s="1">
        <v>0</v>
      </c>
      <c r="FV215" s="1">
        <v>0</v>
      </c>
      <c r="FW215" s="1">
        <v>0</v>
      </c>
      <c r="FX215" s="1">
        <v>0</v>
      </c>
      <c r="FY215" s="1">
        <v>0</v>
      </c>
      <c r="FZ215" s="1">
        <v>0</v>
      </c>
      <c r="GA215" s="1">
        <v>0</v>
      </c>
      <c r="GB215" s="1">
        <v>29.73733</v>
      </c>
      <c r="GC215" s="1">
        <v>-84.721599999999995</v>
      </c>
      <c r="GD215" s="1">
        <v>0</v>
      </c>
      <c r="GE215" s="1">
        <v>0</v>
      </c>
      <c r="GF215" s="1">
        <v>0</v>
      </c>
      <c r="GG215" s="1">
        <v>0</v>
      </c>
      <c r="GH215" s="1">
        <v>0</v>
      </c>
      <c r="GI215" s="1">
        <v>2</v>
      </c>
      <c r="GJ215" s="1" t="s">
        <v>1145</v>
      </c>
      <c r="GK215" s="1">
        <v>0</v>
      </c>
      <c r="GL215" s="1">
        <v>0</v>
      </c>
      <c r="GM215" s="1">
        <v>0</v>
      </c>
      <c r="GN215" s="1">
        <v>0</v>
      </c>
      <c r="GO215" s="1">
        <v>0</v>
      </c>
      <c r="GP215" s="1">
        <v>0</v>
      </c>
      <c r="GQ215" s="1">
        <v>29.73873</v>
      </c>
      <c r="GR215" s="1">
        <v>-84.720100000000002</v>
      </c>
      <c r="GS215" s="1">
        <v>0</v>
      </c>
      <c r="GT215" s="1">
        <v>0</v>
      </c>
      <c r="GU215" s="1">
        <v>0</v>
      </c>
      <c r="GV215" s="1">
        <v>0</v>
      </c>
      <c r="GW215" s="1">
        <v>0</v>
      </c>
      <c r="GX215" s="1">
        <v>1</v>
      </c>
      <c r="GY215" s="1" t="s">
        <v>1146</v>
      </c>
      <c r="GZ215" s="1">
        <v>0</v>
      </c>
      <c r="HA215" s="1">
        <v>0</v>
      </c>
      <c r="HB215" s="1">
        <v>0</v>
      </c>
      <c r="HC215" s="1">
        <v>0</v>
      </c>
      <c r="HD215" s="1">
        <v>0</v>
      </c>
      <c r="HE215" s="1">
        <v>0</v>
      </c>
      <c r="HF215" s="1">
        <v>29.746400000000001</v>
      </c>
      <c r="HG215" s="1">
        <v>-84.712299999999999</v>
      </c>
      <c r="HH215" s="1">
        <v>0</v>
      </c>
      <c r="HI215" s="1">
        <v>3</v>
      </c>
      <c r="HJ215" s="1" t="s">
        <v>1147</v>
      </c>
      <c r="HK215" s="1">
        <v>0</v>
      </c>
      <c r="HL215" s="1">
        <v>0</v>
      </c>
      <c r="HM215" s="1">
        <v>1</v>
      </c>
      <c r="HN215" s="1" t="s">
        <v>1148</v>
      </c>
      <c r="HO215" s="1">
        <v>0</v>
      </c>
      <c r="HP215" s="1">
        <v>0</v>
      </c>
      <c r="HQ215" s="1">
        <v>0</v>
      </c>
      <c r="HR215" s="1">
        <v>0</v>
      </c>
      <c r="HS215" s="1">
        <v>0</v>
      </c>
      <c r="HT215" s="1">
        <v>0</v>
      </c>
      <c r="HU215" s="1">
        <v>29.750440000000001</v>
      </c>
      <c r="HV215" s="1">
        <v>-84.707899999999995</v>
      </c>
      <c r="HW215" s="1">
        <v>0</v>
      </c>
      <c r="HX215" s="1">
        <v>0</v>
      </c>
      <c r="HY215" s="1">
        <v>0</v>
      </c>
      <c r="HZ215" s="1">
        <v>0</v>
      </c>
      <c r="IA215" s="1">
        <v>0</v>
      </c>
      <c r="IB215" s="1">
        <v>2</v>
      </c>
      <c r="IC215" s="1" t="s">
        <v>1149</v>
      </c>
      <c r="ID215" s="1">
        <v>0</v>
      </c>
      <c r="IE215" s="1">
        <v>0</v>
      </c>
      <c r="IF215" s="1">
        <v>0</v>
      </c>
      <c r="IG215" s="1">
        <v>0</v>
      </c>
      <c r="IH215" s="1">
        <v>0</v>
      </c>
      <c r="II215" s="1">
        <v>0</v>
      </c>
      <c r="IJ215" s="1">
        <v>29.755199999999999</v>
      </c>
      <c r="IK215" s="1">
        <v>-84.702399999999997</v>
      </c>
      <c r="IL215" s="1">
        <v>0</v>
      </c>
      <c r="IM215" s="1">
        <v>0</v>
      </c>
      <c r="IN215" s="1">
        <v>0</v>
      </c>
      <c r="IO215" s="1">
        <v>0</v>
      </c>
      <c r="IP215" s="1">
        <v>0</v>
      </c>
      <c r="IQ215" s="1">
        <v>1</v>
      </c>
      <c r="IR215" s="1" t="s">
        <v>1150</v>
      </c>
      <c r="IS215" s="1">
        <v>0</v>
      </c>
      <c r="IT215" s="1">
        <v>0</v>
      </c>
      <c r="IU215" s="1">
        <v>0</v>
      </c>
      <c r="IV215" s="1">
        <v>0</v>
      </c>
      <c r="IW215" s="1">
        <v>0</v>
      </c>
      <c r="IX215" s="1">
        <v>0</v>
      </c>
      <c r="IY215" s="1">
        <v>29.761430000000001</v>
      </c>
      <c r="IZ215" s="1">
        <v>-84.694800000000001</v>
      </c>
      <c r="JA215" s="1">
        <v>0</v>
      </c>
      <c r="JB215" s="1">
        <v>0</v>
      </c>
      <c r="JC215" s="1">
        <v>0</v>
      </c>
      <c r="JD215" s="1">
        <v>0</v>
      </c>
      <c r="JE215" s="1">
        <v>0</v>
      </c>
      <c r="JF215" s="1">
        <v>2</v>
      </c>
      <c r="JG215" s="1" t="s">
        <v>1151</v>
      </c>
      <c r="JH215" s="1">
        <v>0</v>
      </c>
      <c r="JI215" s="1">
        <v>0</v>
      </c>
      <c r="JJ215" s="1">
        <v>0</v>
      </c>
      <c r="JK215" s="1">
        <v>0</v>
      </c>
      <c r="JL215" s="1">
        <v>0</v>
      </c>
      <c r="JM215" s="1">
        <v>0</v>
      </c>
      <c r="JN215" s="1">
        <v>29.771049999999999</v>
      </c>
      <c r="JO215" s="1">
        <v>-84.692999999999998</v>
      </c>
      <c r="JP215" s="1">
        <v>0</v>
      </c>
      <c r="JQ215" s="1">
        <v>0</v>
      </c>
      <c r="JR215" s="1">
        <v>0</v>
      </c>
      <c r="JS215" s="1">
        <v>0</v>
      </c>
      <c r="JT215" s="1">
        <v>0</v>
      </c>
      <c r="JU215" s="1">
        <v>2</v>
      </c>
      <c r="JV215" s="1" t="s">
        <v>1152</v>
      </c>
      <c r="JW215" s="1">
        <v>0</v>
      </c>
      <c r="JX215" s="1">
        <v>0</v>
      </c>
      <c r="JY215" s="1">
        <v>0</v>
      </c>
      <c r="JZ215" s="1">
        <v>0</v>
      </c>
      <c r="KA215" s="1">
        <v>29.727070000000001</v>
      </c>
      <c r="KB215" s="1">
        <v>29.727070000000001</v>
      </c>
      <c r="KC215" s="1">
        <v>-84.733500000000006</v>
      </c>
      <c r="KD215" s="1">
        <v>-84.733500000000006</v>
      </c>
      <c r="KE215" s="1">
        <v>0</v>
      </c>
      <c r="KF215" s="1">
        <v>0</v>
      </c>
      <c r="KG215" s="1">
        <v>0</v>
      </c>
      <c r="KH215" s="1">
        <v>0</v>
      </c>
      <c r="KI215" s="1">
        <v>2</v>
      </c>
      <c r="KJ215" s="1">
        <v>2</v>
      </c>
      <c r="KK215" s="1" t="s">
        <v>1153</v>
      </c>
      <c r="KL215" s="1" t="s">
        <v>1153</v>
      </c>
      <c r="KM215" s="1">
        <v>0</v>
      </c>
      <c r="KN215" s="1">
        <v>0</v>
      </c>
      <c r="KO215" s="1">
        <v>0</v>
      </c>
      <c r="KP215" s="1">
        <v>0</v>
      </c>
      <c r="KQ215" s="1">
        <v>0</v>
      </c>
      <c r="KR215" s="1">
        <v>0</v>
      </c>
      <c r="KS215" s="1">
        <v>0</v>
      </c>
      <c r="KT215" s="1">
        <v>0</v>
      </c>
      <c r="KU215" s="1">
        <v>29.72588</v>
      </c>
      <c r="KV215" s="1">
        <v>-84.734899999999996</v>
      </c>
      <c r="KW215" s="1">
        <v>0</v>
      </c>
      <c r="KX215" s="1">
        <v>0</v>
      </c>
      <c r="KY215" s="1">
        <v>0</v>
      </c>
      <c r="KZ215" s="1">
        <v>0</v>
      </c>
      <c r="LA215" s="1">
        <v>0</v>
      </c>
      <c r="LB215" s="1">
        <v>2</v>
      </c>
      <c r="LC215" s="1" t="s">
        <v>1154</v>
      </c>
      <c r="LD215" s="1">
        <v>0</v>
      </c>
      <c r="LE215" s="1">
        <v>0</v>
      </c>
      <c r="LF215" s="1">
        <v>2</v>
      </c>
      <c r="LG215" s="1" t="s">
        <v>1155</v>
      </c>
      <c r="LH215" s="1">
        <v>0</v>
      </c>
      <c r="LI215" s="1">
        <v>0</v>
      </c>
      <c r="LJ215" s="1">
        <v>29.699480000000001</v>
      </c>
      <c r="LK215" s="1">
        <v>-84.769599999999997</v>
      </c>
      <c r="LL215" s="1">
        <v>0</v>
      </c>
      <c r="LM215" s="1">
        <v>0</v>
      </c>
      <c r="LN215" s="1">
        <v>0</v>
      </c>
      <c r="LO215" s="1">
        <v>0</v>
      </c>
      <c r="LP215" s="1">
        <v>0</v>
      </c>
      <c r="LQ215" s="1">
        <v>0</v>
      </c>
      <c r="LR215" s="1">
        <v>0</v>
      </c>
      <c r="LS215" s="1">
        <v>0</v>
      </c>
      <c r="LT215" s="1">
        <v>0</v>
      </c>
      <c r="LU215" s="5"/>
      <c r="LV215" s="5"/>
      <c r="LW215" s="5"/>
      <c r="LX215" s="1">
        <v>0</v>
      </c>
    </row>
    <row r="216" spans="1:336" ht="15" x14ac:dyDescent="0.25">
      <c r="A216" s="1" t="s">
        <v>1156</v>
      </c>
      <c r="B216" s="2">
        <v>29.72298</v>
      </c>
      <c r="C216" s="2">
        <v>-85.307400000000001</v>
      </c>
      <c r="D216" s="2">
        <v>29.68703</v>
      </c>
      <c r="E216" s="2">
        <v>-85.324299999999994</v>
      </c>
      <c r="F216" s="3">
        <v>43136</v>
      </c>
      <c r="G216" s="1" t="s">
        <v>443</v>
      </c>
      <c r="H216" s="1" t="s">
        <v>432</v>
      </c>
      <c r="I216" s="1" t="s">
        <v>329</v>
      </c>
      <c r="J216" s="4">
        <v>0.49305555555555558</v>
      </c>
      <c r="K216" s="1" t="s">
        <v>375</v>
      </c>
      <c r="L216" s="1" t="s">
        <v>369</v>
      </c>
      <c r="M216" s="1" t="s">
        <v>1157</v>
      </c>
      <c r="N216" s="1" t="s">
        <v>333</v>
      </c>
      <c r="O216" s="2"/>
      <c r="P216" s="2"/>
      <c r="Q216" s="2">
        <v>20</v>
      </c>
      <c r="R216" s="2">
        <v>254</v>
      </c>
      <c r="S216" s="2">
        <v>3</v>
      </c>
      <c r="T216" s="2">
        <v>6</v>
      </c>
      <c r="U216" s="2">
        <v>12</v>
      </c>
      <c r="V216" s="2"/>
      <c r="W216" s="2"/>
      <c r="X216" s="2"/>
      <c r="Y216" s="2">
        <v>32</v>
      </c>
      <c r="Z216" s="2"/>
      <c r="AA216" s="2"/>
      <c r="AB216" s="2"/>
      <c r="AC216" s="2">
        <v>2</v>
      </c>
      <c r="AD216" s="2">
        <v>1</v>
      </c>
      <c r="AE216" s="2"/>
      <c r="AF216" s="2">
        <v>17</v>
      </c>
      <c r="AG216" s="2"/>
      <c r="AH216" s="2"/>
      <c r="AI216" s="2"/>
      <c r="AJ216" s="2"/>
      <c r="AK216" s="2">
        <v>1</v>
      </c>
      <c r="AL216" s="2">
        <v>60</v>
      </c>
      <c r="AM216" s="2">
        <v>1</v>
      </c>
      <c r="AN216" s="2"/>
      <c r="AO216" s="2"/>
      <c r="AP216" s="2"/>
      <c r="AQ216" s="2"/>
      <c r="AR216" s="2">
        <v>1</v>
      </c>
      <c r="AS216" s="2"/>
      <c r="AT216" s="2">
        <v>3</v>
      </c>
      <c r="AU216" s="2"/>
      <c r="AV216" s="2"/>
      <c r="AW216" s="2">
        <v>2</v>
      </c>
      <c r="AX216" s="2">
        <v>8</v>
      </c>
      <c r="AY216" s="2"/>
      <c r="AZ216" s="2"/>
      <c r="BA216" s="2">
        <v>1</v>
      </c>
      <c r="BB216" s="2">
        <v>1</v>
      </c>
      <c r="BC216" s="2"/>
      <c r="BD216" s="2">
        <v>5</v>
      </c>
      <c r="BE216" s="2">
        <v>3</v>
      </c>
      <c r="BF216" s="2"/>
      <c r="BG216" s="2"/>
      <c r="BH216" s="2">
        <v>16</v>
      </c>
      <c r="BI216" s="1">
        <v>0</v>
      </c>
      <c r="BJ216" s="5"/>
      <c r="BK216" s="1">
        <v>0</v>
      </c>
      <c r="BL216" s="5"/>
      <c r="BM216" s="1">
        <v>29.716059999999999</v>
      </c>
      <c r="BN216" s="1">
        <v>-85.310599999999994</v>
      </c>
      <c r="BO216" s="1">
        <v>0</v>
      </c>
      <c r="BP216" s="5"/>
      <c r="BQ216" s="1">
        <v>0</v>
      </c>
      <c r="BR216" s="5"/>
      <c r="BS216" s="1">
        <v>0</v>
      </c>
      <c r="BT216" s="5"/>
      <c r="BU216" s="1">
        <v>0</v>
      </c>
      <c r="BV216" s="5"/>
      <c r="BW216" s="1">
        <v>0</v>
      </c>
      <c r="BX216" s="5"/>
      <c r="BY216" s="1">
        <v>0</v>
      </c>
      <c r="BZ216" s="5"/>
      <c r="CA216" s="1">
        <v>29.71088</v>
      </c>
      <c r="CB216" s="1">
        <v>-85.311499999999995</v>
      </c>
      <c r="CC216" s="1" t="s">
        <v>1158</v>
      </c>
      <c r="CD216" s="1">
        <v>0</v>
      </c>
      <c r="CE216" s="5"/>
      <c r="CF216" s="1">
        <v>0</v>
      </c>
      <c r="CG216" s="5"/>
      <c r="CH216" s="1">
        <v>0</v>
      </c>
      <c r="CI216" s="5"/>
      <c r="CJ216" s="1">
        <v>0</v>
      </c>
      <c r="CK216" s="5"/>
      <c r="CL216" s="1">
        <v>0</v>
      </c>
      <c r="CM216" s="5"/>
      <c r="CN216" s="1">
        <v>0</v>
      </c>
      <c r="CO216" s="5"/>
      <c r="CP216" s="1">
        <v>29.697710000000001</v>
      </c>
      <c r="CQ216" s="1">
        <v>-85.311499999999995</v>
      </c>
      <c r="CR216" s="1" t="s">
        <v>1159</v>
      </c>
      <c r="CS216" s="1">
        <v>0</v>
      </c>
      <c r="CT216" s="5"/>
      <c r="CU216" s="1">
        <v>2</v>
      </c>
      <c r="CV216" s="1" t="s">
        <v>813</v>
      </c>
      <c r="CW216" s="1">
        <v>0</v>
      </c>
      <c r="CX216" s="5"/>
      <c r="CY216" s="1">
        <v>1</v>
      </c>
      <c r="CZ216" s="1" t="s">
        <v>1160</v>
      </c>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1" t="s">
        <v>1161</v>
      </c>
    </row>
    <row r="217" spans="1:336" ht="15" x14ac:dyDescent="0.25">
      <c r="A217" s="1" t="s">
        <v>1162</v>
      </c>
      <c r="B217" s="2">
        <v>29.75929</v>
      </c>
      <c r="C217" s="2">
        <v>-85.403400000000005</v>
      </c>
      <c r="D217" s="2">
        <v>29.874919999999999</v>
      </c>
      <c r="E217" s="2">
        <v>-85.387500000000003</v>
      </c>
      <c r="F217" s="3">
        <v>43136</v>
      </c>
      <c r="G217" s="1" t="s">
        <v>1163</v>
      </c>
      <c r="H217" s="1" t="s">
        <v>673</v>
      </c>
      <c r="I217" s="1" t="s">
        <v>329</v>
      </c>
      <c r="J217" s="4">
        <v>0.41388888888888886</v>
      </c>
      <c r="K217" s="1" t="s">
        <v>375</v>
      </c>
      <c r="L217" s="1" t="s">
        <v>369</v>
      </c>
      <c r="M217" s="1" t="s">
        <v>1164</v>
      </c>
      <c r="N217" s="1" t="s">
        <v>333</v>
      </c>
      <c r="O217" s="2"/>
      <c r="P217" s="2"/>
      <c r="Q217" s="2">
        <v>6</v>
      </c>
      <c r="R217" s="2">
        <v>4</v>
      </c>
      <c r="S217" s="2">
        <v>2</v>
      </c>
      <c r="T217" s="2">
        <v>4</v>
      </c>
      <c r="U217" s="2">
        <v>3</v>
      </c>
      <c r="V217" s="2"/>
      <c r="W217" s="2"/>
      <c r="X217" s="2"/>
      <c r="Y217" s="2"/>
      <c r="Z217" s="2"/>
      <c r="AA217" s="2"/>
      <c r="AB217" s="2">
        <v>2</v>
      </c>
      <c r="AC217" s="2"/>
      <c r="AD217" s="2">
        <v>6</v>
      </c>
      <c r="AE217" s="2">
        <v>121</v>
      </c>
      <c r="AF217" s="2">
        <v>7</v>
      </c>
      <c r="AG217" s="2"/>
      <c r="AH217" s="2">
        <v>58</v>
      </c>
      <c r="AI217" s="2"/>
      <c r="AJ217" s="2"/>
      <c r="AK217" s="2"/>
      <c r="AL217" s="2">
        <v>69</v>
      </c>
      <c r="AM217" s="2"/>
      <c r="AN217" s="2"/>
      <c r="AO217" s="2"/>
      <c r="AP217" s="2"/>
      <c r="AQ217" s="2"/>
      <c r="AR217" s="2">
        <v>59</v>
      </c>
      <c r="AS217" s="2"/>
      <c r="AT217" s="2">
        <v>12</v>
      </c>
      <c r="AU217" s="2"/>
      <c r="AV217" s="2"/>
      <c r="AW217" s="2">
        <v>6</v>
      </c>
      <c r="AX217" s="2">
        <v>29</v>
      </c>
      <c r="AY217" s="2"/>
      <c r="AZ217" s="2"/>
      <c r="BA217" s="2">
        <v>9</v>
      </c>
      <c r="BB217" s="2">
        <v>6</v>
      </c>
      <c r="BC217" s="2"/>
      <c r="BD217" s="2">
        <v>172</v>
      </c>
      <c r="BE217" s="2">
        <v>9</v>
      </c>
      <c r="BF217" s="2"/>
      <c r="BG217" s="2"/>
      <c r="BH217" s="2"/>
      <c r="BI217" s="1">
        <v>0</v>
      </c>
      <c r="BJ217" s="1">
        <v>0</v>
      </c>
      <c r="BK217" s="1">
        <v>0</v>
      </c>
      <c r="BL217" s="1">
        <v>0</v>
      </c>
      <c r="BM217" s="1">
        <v>29.767230000000001</v>
      </c>
      <c r="BN217" s="1">
        <v>-85.402900000000002</v>
      </c>
      <c r="BO217" s="1">
        <v>0</v>
      </c>
      <c r="BP217" s="1">
        <v>0</v>
      </c>
      <c r="BQ217" s="1">
        <v>0</v>
      </c>
      <c r="BR217" s="1">
        <v>0</v>
      </c>
      <c r="BS217" s="1">
        <v>0</v>
      </c>
      <c r="BT217" s="1">
        <v>0</v>
      </c>
      <c r="BU217" s="1">
        <v>0</v>
      </c>
      <c r="BV217" s="1">
        <v>0</v>
      </c>
      <c r="BW217" s="1">
        <v>0</v>
      </c>
      <c r="BX217" s="1">
        <v>0</v>
      </c>
      <c r="BY217" s="1">
        <v>0</v>
      </c>
      <c r="BZ217" s="1">
        <v>0</v>
      </c>
      <c r="CA217" s="1">
        <v>29.762979999999999</v>
      </c>
      <c r="CB217" s="1">
        <v>-85.404499999999999</v>
      </c>
      <c r="CC217" s="1">
        <v>0</v>
      </c>
      <c r="CD217" s="1">
        <v>0</v>
      </c>
      <c r="CE217" s="1">
        <v>0</v>
      </c>
      <c r="CF217" s="1">
        <v>0</v>
      </c>
      <c r="CG217" s="1">
        <v>0</v>
      </c>
      <c r="CH217" s="1">
        <v>1</v>
      </c>
      <c r="CI217" s="1" t="s">
        <v>1165</v>
      </c>
      <c r="CJ217" s="1">
        <v>0</v>
      </c>
      <c r="CK217" s="1">
        <v>0</v>
      </c>
      <c r="CL217" s="1">
        <v>0</v>
      </c>
      <c r="CM217" s="1">
        <v>0</v>
      </c>
      <c r="CN217" s="1">
        <v>0</v>
      </c>
      <c r="CO217" s="1">
        <v>0</v>
      </c>
      <c r="CP217" s="1">
        <v>29.765339999999998</v>
      </c>
      <c r="CQ217" s="1">
        <v>-85.405000000000001</v>
      </c>
      <c r="CR217" s="1" t="s">
        <v>1166</v>
      </c>
      <c r="CS217" s="1">
        <v>0</v>
      </c>
      <c r="CT217" s="1">
        <v>0</v>
      </c>
      <c r="CU217" s="1">
        <v>0</v>
      </c>
      <c r="CV217" s="1">
        <v>0</v>
      </c>
      <c r="CW217" s="1">
        <v>0</v>
      </c>
      <c r="CX217" s="1">
        <v>0</v>
      </c>
      <c r="CY217" s="1">
        <v>0</v>
      </c>
      <c r="CZ217" s="1">
        <v>0</v>
      </c>
      <c r="DA217" s="1">
        <v>0</v>
      </c>
      <c r="DB217" s="1">
        <v>0</v>
      </c>
      <c r="DC217" s="1">
        <v>0</v>
      </c>
      <c r="DD217" s="1">
        <v>0</v>
      </c>
      <c r="DE217" s="1">
        <v>29.792840000000002</v>
      </c>
      <c r="DF217" s="1">
        <v>-85.411900000000003</v>
      </c>
      <c r="DG217" s="1">
        <v>0</v>
      </c>
      <c r="DH217" s="1">
        <v>0</v>
      </c>
      <c r="DI217" s="1">
        <v>0</v>
      </c>
      <c r="DJ217" s="1">
        <v>0</v>
      </c>
      <c r="DK217" s="1">
        <v>0</v>
      </c>
      <c r="DL217" s="1">
        <v>2</v>
      </c>
      <c r="DM217" s="1" t="s">
        <v>1167</v>
      </c>
      <c r="DN217" s="1">
        <v>0</v>
      </c>
      <c r="DO217" s="1">
        <v>0</v>
      </c>
      <c r="DP217" s="1">
        <v>0</v>
      </c>
      <c r="DQ217" s="1">
        <v>0</v>
      </c>
      <c r="DR217" s="1">
        <v>0</v>
      </c>
      <c r="DS217" s="1">
        <v>0</v>
      </c>
      <c r="DT217" s="1">
        <v>29.814509999999999</v>
      </c>
      <c r="DU217" s="1">
        <v>-85.415800000000004</v>
      </c>
      <c r="DV217" s="1">
        <v>0</v>
      </c>
      <c r="DW217" s="1">
        <v>0</v>
      </c>
      <c r="DX217" s="1">
        <v>0</v>
      </c>
      <c r="DY217" s="1">
        <v>0</v>
      </c>
      <c r="DZ217" s="1">
        <v>0</v>
      </c>
      <c r="EA217" s="1">
        <v>2</v>
      </c>
      <c r="EB217" s="1" t="s">
        <v>1168</v>
      </c>
      <c r="EC217" s="1">
        <v>0</v>
      </c>
      <c r="ED217" s="1">
        <v>0</v>
      </c>
      <c r="EE217" s="1">
        <v>0</v>
      </c>
      <c r="EF217" s="1">
        <v>0</v>
      </c>
      <c r="EG217" s="1">
        <v>0</v>
      </c>
      <c r="EH217" s="1">
        <v>0</v>
      </c>
      <c r="EI217" s="1">
        <v>29.82159</v>
      </c>
      <c r="EJ217" s="1">
        <v>-85.416399999999996</v>
      </c>
      <c r="EK217" s="1">
        <v>0</v>
      </c>
      <c r="EL217" s="1">
        <v>0</v>
      </c>
      <c r="EM217" s="1">
        <v>0</v>
      </c>
      <c r="EN217" s="1">
        <v>0</v>
      </c>
      <c r="EO217" s="1">
        <v>0</v>
      </c>
      <c r="EP217" s="1">
        <v>2</v>
      </c>
      <c r="EQ217" s="1" t="s">
        <v>1169</v>
      </c>
      <c r="ER217" s="1">
        <v>0</v>
      </c>
      <c r="ES217" s="1">
        <v>0</v>
      </c>
      <c r="ET217" s="1">
        <v>0</v>
      </c>
      <c r="EU217" s="1">
        <v>0</v>
      </c>
      <c r="EV217" s="1">
        <v>0</v>
      </c>
      <c r="EW217" s="1">
        <v>0</v>
      </c>
      <c r="EX217" s="1">
        <v>29.828800000000001</v>
      </c>
      <c r="EY217" s="1">
        <v>-85.417100000000005</v>
      </c>
      <c r="EZ217" s="1">
        <v>0</v>
      </c>
      <c r="FA217" s="1">
        <v>0</v>
      </c>
      <c r="FB217" s="1">
        <v>0</v>
      </c>
      <c r="FC217" s="1">
        <v>0</v>
      </c>
      <c r="FD217" s="1">
        <v>0</v>
      </c>
      <c r="FE217" s="1">
        <v>4</v>
      </c>
      <c r="FF217" s="1" t="s">
        <v>1170</v>
      </c>
      <c r="FG217" s="1">
        <v>0</v>
      </c>
      <c r="FH217" s="1">
        <v>0</v>
      </c>
      <c r="FI217" s="1">
        <v>0</v>
      </c>
      <c r="FJ217" s="1">
        <v>0</v>
      </c>
      <c r="FK217" s="1">
        <v>0</v>
      </c>
      <c r="FL217" s="1">
        <v>0</v>
      </c>
      <c r="FM217" s="1">
        <v>29.840859999999999</v>
      </c>
      <c r="FN217" s="1">
        <v>-85.416200000000003</v>
      </c>
      <c r="FO217" s="1">
        <v>0</v>
      </c>
      <c r="FP217" s="1">
        <v>0</v>
      </c>
      <c r="FQ217" s="1">
        <v>0</v>
      </c>
      <c r="FR217" s="1">
        <v>0</v>
      </c>
      <c r="FS217" s="1">
        <v>0</v>
      </c>
      <c r="FT217" s="1">
        <v>4</v>
      </c>
      <c r="FU217" s="1" t="s">
        <v>1171</v>
      </c>
      <c r="FV217" s="1">
        <v>0</v>
      </c>
      <c r="FW217" s="1">
        <v>0</v>
      </c>
      <c r="FX217" s="1">
        <v>0</v>
      </c>
      <c r="FY217" s="1">
        <v>0</v>
      </c>
      <c r="FZ217" s="1">
        <v>0</v>
      </c>
      <c r="GA217" s="1">
        <v>0</v>
      </c>
      <c r="GB217" s="1">
        <v>29.854420000000001</v>
      </c>
      <c r="GC217" s="1">
        <v>-85.413899999999998</v>
      </c>
      <c r="GD217" s="1">
        <v>0</v>
      </c>
      <c r="GE217" s="1">
        <v>0</v>
      </c>
      <c r="GF217" s="1">
        <v>0</v>
      </c>
      <c r="GG217" s="1">
        <v>0</v>
      </c>
      <c r="GH217" s="1">
        <v>0</v>
      </c>
      <c r="GI217" s="1">
        <v>2</v>
      </c>
      <c r="GJ217" s="1" t="s">
        <v>1172</v>
      </c>
      <c r="GK217" s="1">
        <v>0</v>
      </c>
      <c r="GL217" s="1">
        <v>0</v>
      </c>
      <c r="GM217" s="1">
        <v>0</v>
      </c>
      <c r="GN217" s="1">
        <v>0</v>
      </c>
      <c r="GO217" s="1">
        <v>0</v>
      </c>
      <c r="GP217" s="1">
        <v>0</v>
      </c>
      <c r="GQ217" s="1">
        <v>29.85652</v>
      </c>
      <c r="GR217" s="1">
        <v>-85.413300000000007</v>
      </c>
      <c r="GS217" s="1">
        <v>0</v>
      </c>
      <c r="GT217" s="1">
        <v>0</v>
      </c>
      <c r="GU217" s="1">
        <v>0</v>
      </c>
      <c r="GV217" s="1">
        <v>0</v>
      </c>
      <c r="GW217" s="1">
        <v>0</v>
      </c>
      <c r="GX217" s="1">
        <v>3</v>
      </c>
      <c r="GY217" s="1" t="s">
        <v>1173</v>
      </c>
      <c r="GZ217" s="1">
        <v>0</v>
      </c>
      <c r="HA217" s="1">
        <v>0</v>
      </c>
      <c r="HB217" s="1">
        <v>0</v>
      </c>
      <c r="HC217" s="1">
        <v>0</v>
      </c>
      <c r="HD217" s="1">
        <v>0</v>
      </c>
      <c r="HE217" s="1">
        <v>0</v>
      </c>
      <c r="HF217" s="1">
        <v>29.85829</v>
      </c>
      <c r="HG217" s="1">
        <v>-85.412400000000005</v>
      </c>
      <c r="HH217" s="1">
        <v>0</v>
      </c>
      <c r="HI217" s="1">
        <v>0</v>
      </c>
      <c r="HJ217" s="1">
        <v>0</v>
      </c>
      <c r="HK217" s="1">
        <v>0</v>
      </c>
      <c r="HL217" s="1">
        <v>0</v>
      </c>
      <c r="HM217" s="1">
        <v>5</v>
      </c>
      <c r="HN217" s="1" t="s">
        <v>1174</v>
      </c>
      <c r="HO217" s="1">
        <v>0</v>
      </c>
      <c r="HP217" s="1">
        <v>0</v>
      </c>
      <c r="HQ217" s="1">
        <v>0</v>
      </c>
      <c r="HR217" s="1">
        <v>0</v>
      </c>
      <c r="HS217" s="1">
        <v>0</v>
      </c>
      <c r="HT217" s="1">
        <v>0</v>
      </c>
      <c r="HU217" s="1">
        <v>29.87219</v>
      </c>
      <c r="HV217" s="1">
        <v>-85.402500000000003</v>
      </c>
      <c r="HW217" s="1">
        <v>0</v>
      </c>
      <c r="HX217" s="1">
        <v>0</v>
      </c>
      <c r="HY217" s="1">
        <v>0</v>
      </c>
      <c r="HZ217" s="1">
        <v>0</v>
      </c>
      <c r="IA217" s="1">
        <v>0</v>
      </c>
      <c r="IB217" s="1">
        <v>2</v>
      </c>
      <c r="IC217" s="1" t="s">
        <v>1175</v>
      </c>
      <c r="ID217" s="1">
        <v>0</v>
      </c>
      <c r="IE217" s="1">
        <v>0</v>
      </c>
      <c r="IF217" s="1">
        <v>0</v>
      </c>
      <c r="IG217" s="1">
        <v>0</v>
      </c>
      <c r="IH217" s="1">
        <v>0</v>
      </c>
      <c r="II217" s="1">
        <v>0</v>
      </c>
      <c r="IJ217" s="1">
        <v>29.87303</v>
      </c>
      <c r="IK217" s="1">
        <v>-85.401399999999995</v>
      </c>
      <c r="IL217" s="1">
        <v>0</v>
      </c>
      <c r="IM217" s="1">
        <v>0</v>
      </c>
      <c r="IN217" s="1">
        <v>0</v>
      </c>
      <c r="IO217" s="1">
        <v>0</v>
      </c>
      <c r="IP217" s="1">
        <v>0</v>
      </c>
      <c r="IQ217" s="1">
        <v>2</v>
      </c>
      <c r="IR217" s="1" t="s">
        <v>1176</v>
      </c>
      <c r="IS217" s="1">
        <v>0</v>
      </c>
      <c r="IT217" s="1">
        <v>0</v>
      </c>
      <c r="IU217" s="1">
        <v>0</v>
      </c>
      <c r="IV217" s="1">
        <v>0</v>
      </c>
      <c r="IW217" s="1">
        <v>0</v>
      </c>
      <c r="IX217" s="1">
        <v>0</v>
      </c>
      <c r="IY217" s="1">
        <v>29.874669999999998</v>
      </c>
      <c r="IZ217" s="1">
        <v>-85.399000000000001</v>
      </c>
      <c r="JA217" s="1">
        <v>0</v>
      </c>
      <c r="JB217" s="1">
        <v>0</v>
      </c>
      <c r="JC217" s="1">
        <v>0</v>
      </c>
      <c r="JD217" s="1">
        <v>0</v>
      </c>
      <c r="JE217" s="1">
        <v>0</v>
      </c>
      <c r="JF217" s="1">
        <v>2</v>
      </c>
      <c r="JG217" s="1" t="s">
        <v>1177</v>
      </c>
      <c r="JH217" s="1">
        <v>0</v>
      </c>
      <c r="JI217" s="1">
        <v>0</v>
      </c>
      <c r="JJ217" s="1">
        <v>0</v>
      </c>
      <c r="JK217" s="1">
        <v>0</v>
      </c>
      <c r="JL217" s="1">
        <v>0</v>
      </c>
      <c r="JM217" s="1">
        <v>0</v>
      </c>
      <c r="JN217" s="1">
        <v>29.875530000000001</v>
      </c>
      <c r="JO217" s="1">
        <v>-85.3977</v>
      </c>
      <c r="JP217" s="1">
        <v>0</v>
      </c>
      <c r="JQ217" s="1">
        <v>0</v>
      </c>
      <c r="JR217" s="1">
        <v>0</v>
      </c>
      <c r="JS217" s="1">
        <v>0</v>
      </c>
      <c r="JT217" s="1">
        <v>0</v>
      </c>
      <c r="JU217" s="1">
        <v>2</v>
      </c>
      <c r="JV217" s="1" t="s">
        <v>1178</v>
      </c>
      <c r="JW217" s="1">
        <v>0</v>
      </c>
      <c r="JX217" s="1">
        <v>0</v>
      </c>
      <c r="JY217" s="1">
        <v>0</v>
      </c>
      <c r="JZ217" s="1">
        <v>0</v>
      </c>
      <c r="KA217" s="1">
        <v>29.87735</v>
      </c>
      <c r="KB217" s="1">
        <v>29.87735</v>
      </c>
      <c r="KC217" s="1">
        <v>-85.394599999999997</v>
      </c>
      <c r="KD217" s="1">
        <v>-85.394599999999997</v>
      </c>
      <c r="KE217" s="1" t="s">
        <v>1179</v>
      </c>
      <c r="KF217" s="1" t="s">
        <v>1179</v>
      </c>
      <c r="KG217" s="1">
        <v>0</v>
      </c>
      <c r="KH217" s="1">
        <v>0</v>
      </c>
      <c r="KI217" s="1">
        <v>0</v>
      </c>
      <c r="KJ217" s="1">
        <v>0</v>
      </c>
      <c r="KK217" s="1">
        <v>0</v>
      </c>
      <c r="KL217" s="1">
        <v>0</v>
      </c>
      <c r="KM217" s="1">
        <v>0</v>
      </c>
      <c r="KN217" s="1">
        <v>0</v>
      </c>
      <c r="KO217" s="1">
        <v>0</v>
      </c>
      <c r="KP217" s="1">
        <v>0</v>
      </c>
      <c r="KQ217" s="7"/>
      <c r="KR217" s="7"/>
      <c r="KS217" s="7"/>
      <c r="KT217" s="7"/>
      <c r="KU217" s="7"/>
      <c r="KV217" s="7"/>
      <c r="KW217" s="7"/>
      <c r="KX217" s="7"/>
      <c r="KY217" s="7"/>
      <c r="KZ217" s="7"/>
      <c r="LA217" s="7"/>
      <c r="LB217" s="7"/>
      <c r="LC217" s="7"/>
      <c r="LD217" s="7"/>
      <c r="LE217" s="7"/>
      <c r="LF217" s="7"/>
      <c r="LG217" s="7"/>
      <c r="LH217" s="7"/>
      <c r="LI217" s="7"/>
      <c r="LJ217" s="7"/>
      <c r="LK217" s="7"/>
      <c r="LL217" s="7"/>
      <c r="LM217" s="7"/>
      <c r="LN217" s="7"/>
      <c r="LO217" s="7"/>
      <c r="LP217" s="7"/>
      <c r="LQ217" s="7"/>
      <c r="LR217" s="7"/>
      <c r="LS217" s="7"/>
      <c r="LT217" s="7"/>
      <c r="LU217" s="7"/>
      <c r="LV217" s="7"/>
      <c r="LW217" s="7"/>
      <c r="LX217" s="1" t="s">
        <v>1180</v>
      </c>
    </row>
    <row r="218" spans="1:336" ht="15" x14ac:dyDescent="0.25">
      <c r="A218" s="1" t="s">
        <v>1181</v>
      </c>
      <c r="B218" s="2">
        <v>27.16311</v>
      </c>
      <c r="C218" s="2">
        <v>-80.167400000000001</v>
      </c>
      <c r="D218" s="2">
        <v>27.555160000000001</v>
      </c>
      <c r="E218" s="2">
        <v>-80.142099999999999</v>
      </c>
      <c r="F218" s="3">
        <v>43139</v>
      </c>
      <c r="G218" s="1" t="s">
        <v>436</v>
      </c>
      <c r="H218" s="1" t="s">
        <v>437</v>
      </c>
      <c r="I218" s="1" t="s">
        <v>329</v>
      </c>
      <c r="J218" s="4">
        <v>0.40625</v>
      </c>
      <c r="K218" s="1" t="s">
        <v>330</v>
      </c>
      <c r="L218" s="1" t="s">
        <v>364</v>
      </c>
      <c r="M218" s="5"/>
      <c r="N218" s="5"/>
      <c r="O218" s="2"/>
      <c r="P218" s="2"/>
      <c r="Q218" s="2">
        <v>3</v>
      </c>
      <c r="R218" s="2"/>
      <c r="S218" s="2"/>
      <c r="T218" s="2"/>
      <c r="U218" s="2"/>
      <c r="V218" s="2"/>
      <c r="W218" s="2"/>
      <c r="X218" s="2"/>
      <c r="Y218" s="2"/>
      <c r="Z218" s="2"/>
      <c r="AA218" s="2"/>
      <c r="AB218" s="2"/>
      <c r="AC218" s="2"/>
      <c r="AD218" s="2">
        <v>1</v>
      </c>
      <c r="AE218" s="2">
        <v>4</v>
      </c>
      <c r="AF218" s="2"/>
      <c r="AG218" s="2"/>
      <c r="AH218" s="2"/>
      <c r="AI218" s="2"/>
      <c r="AJ218" s="2"/>
      <c r="AK218" s="2"/>
      <c r="AL218" s="2">
        <v>1</v>
      </c>
      <c r="AM218" s="2"/>
      <c r="AN218" s="2"/>
      <c r="AO218" s="2"/>
      <c r="AP218" s="2"/>
      <c r="AQ218" s="2"/>
      <c r="AR218" s="2"/>
      <c r="AS218" s="2"/>
      <c r="AT218" s="2"/>
      <c r="AU218" s="2"/>
      <c r="AV218" s="2"/>
      <c r="AW218" s="2"/>
      <c r="AX218" s="2"/>
      <c r="AY218" s="2"/>
      <c r="AZ218" s="2"/>
      <c r="BA218" s="2"/>
      <c r="BB218" s="2"/>
      <c r="BC218" s="2"/>
      <c r="BD218" s="2">
        <v>1</v>
      </c>
      <c r="BE218" s="2"/>
      <c r="BF218" s="2"/>
      <c r="BG218" s="2"/>
      <c r="BH218" s="2"/>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row>
    <row r="219" spans="1:336" ht="15" x14ac:dyDescent="0.25">
      <c r="A219" s="1" t="s">
        <v>1182</v>
      </c>
      <c r="B219" s="2">
        <v>27.43535</v>
      </c>
      <c r="C219" s="2">
        <v>-80.278199999999998</v>
      </c>
      <c r="D219" s="2">
        <v>27.309000000000001</v>
      </c>
      <c r="E219" s="2">
        <v>-80.221100000000007</v>
      </c>
      <c r="F219" s="3">
        <v>43139</v>
      </c>
      <c r="G219" s="1" t="s">
        <v>1183</v>
      </c>
      <c r="H219" s="1" t="s">
        <v>1184</v>
      </c>
      <c r="I219" s="1" t="s">
        <v>329</v>
      </c>
      <c r="J219" s="4">
        <v>0.30763888888888891</v>
      </c>
      <c r="K219" s="1" t="s">
        <v>375</v>
      </c>
      <c r="L219" s="1" t="s">
        <v>369</v>
      </c>
      <c r="M219" s="5"/>
      <c r="N219" s="1" t="s">
        <v>333</v>
      </c>
      <c r="O219" s="2"/>
      <c r="P219" s="2"/>
      <c r="Q219" s="2">
        <v>1</v>
      </c>
      <c r="R219" s="2"/>
      <c r="S219" s="2"/>
      <c r="T219" s="2"/>
      <c r="U219" s="2"/>
      <c r="V219" s="2"/>
      <c r="W219" s="2"/>
      <c r="X219" s="2"/>
      <c r="Y219" s="2"/>
      <c r="Z219" s="2"/>
      <c r="AA219" s="2"/>
      <c r="AB219" s="2"/>
      <c r="AC219" s="2"/>
      <c r="AD219" s="2"/>
      <c r="AE219" s="2">
        <v>81</v>
      </c>
      <c r="AF219" s="2"/>
      <c r="AG219" s="2"/>
      <c r="AH219" s="2"/>
      <c r="AI219" s="2"/>
      <c r="AJ219" s="2"/>
      <c r="AK219" s="2"/>
      <c r="AL219" s="2">
        <v>4</v>
      </c>
      <c r="AM219" s="2"/>
      <c r="AN219" s="2"/>
      <c r="AO219" s="2"/>
      <c r="AP219" s="2"/>
      <c r="AQ219" s="2"/>
      <c r="AR219" s="2"/>
      <c r="AS219" s="2"/>
      <c r="AT219" s="2"/>
      <c r="AU219" s="2"/>
      <c r="AV219" s="2"/>
      <c r="AW219" s="2"/>
      <c r="AX219" s="2"/>
      <c r="AY219" s="2"/>
      <c r="AZ219" s="2"/>
      <c r="BA219" s="2">
        <v>10</v>
      </c>
      <c r="BB219" s="2"/>
      <c r="BC219" s="2"/>
      <c r="BD219" s="2">
        <v>26</v>
      </c>
      <c r="BE219" s="2">
        <v>4</v>
      </c>
      <c r="BF219" s="2"/>
      <c r="BG219" s="2"/>
      <c r="BH219" s="2"/>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c r="DU219" s="7"/>
      <c r="DV219" s="7"/>
      <c r="DW219" s="7"/>
      <c r="DX219" s="7"/>
      <c r="DY219" s="7"/>
      <c r="DZ219" s="7"/>
      <c r="EA219" s="7"/>
      <c r="EB219" s="7"/>
      <c r="EC219" s="7"/>
      <c r="ED219" s="7"/>
      <c r="EE219" s="7"/>
      <c r="EF219" s="7"/>
      <c r="EG219" s="7"/>
      <c r="EH219" s="7"/>
      <c r="EI219" s="7"/>
      <c r="EJ219" s="7"/>
      <c r="EK219" s="7"/>
      <c r="EL219" s="7"/>
      <c r="EM219" s="7"/>
      <c r="EN219" s="7"/>
      <c r="EO219" s="7"/>
      <c r="EP219" s="7"/>
      <c r="EQ219" s="7"/>
      <c r="ER219" s="7"/>
      <c r="ES219" s="7"/>
      <c r="ET219" s="7"/>
      <c r="EU219" s="7"/>
      <c r="EV219" s="7"/>
      <c r="EW219" s="7"/>
      <c r="EX219" s="7"/>
      <c r="EY219" s="7"/>
      <c r="EZ219" s="7"/>
      <c r="FA219" s="7"/>
      <c r="FB219" s="7"/>
      <c r="FC219" s="7"/>
      <c r="FD219" s="7"/>
      <c r="FE219" s="7"/>
      <c r="FF219" s="7"/>
      <c r="FG219" s="7"/>
      <c r="FH219" s="7"/>
      <c r="FI219" s="7"/>
      <c r="FJ219" s="7"/>
      <c r="FK219" s="7"/>
      <c r="FL219" s="7"/>
      <c r="FM219" s="7"/>
      <c r="FN219" s="7"/>
      <c r="FO219" s="7"/>
      <c r="FP219" s="7"/>
      <c r="FQ219" s="7"/>
      <c r="FR219" s="7"/>
      <c r="FS219" s="7"/>
      <c r="FT219" s="7"/>
      <c r="FU219" s="7"/>
      <c r="FV219" s="7"/>
      <c r="FW219" s="7"/>
      <c r="FX219" s="7"/>
      <c r="FY219" s="7"/>
      <c r="FZ219" s="7"/>
      <c r="GA219" s="7"/>
      <c r="GB219" s="7"/>
      <c r="GC219" s="7"/>
      <c r="GD219" s="7"/>
      <c r="GE219" s="7"/>
      <c r="GF219" s="7"/>
      <c r="GG219" s="7"/>
      <c r="GH219" s="7"/>
      <c r="GI219" s="7"/>
      <c r="GJ219" s="7"/>
      <c r="GK219" s="7"/>
      <c r="GL219" s="7"/>
      <c r="GM219" s="7"/>
      <c r="GN219" s="7"/>
      <c r="GO219" s="7"/>
      <c r="GP219" s="7"/>
      <c r="GQ219" s="7"/>
      <c r="GR219" s="7"/>
      <c r="GS219" s="7"/>
      <c r="GT219" s="7"/>
      <c r="GU219" s="7"/>
      <c r="GV219" s="7"/>
      <c r="GW219" s="7"/>
      <c r="GX219" s="7"/>
      <c r="GY219" s="7"/>
      <c r="GZ219" s="7"/>
      <c r="HA219" s="7"/>
      <c r="HB219" s="7"/>
      <c r="HC219" s="7"/>
      <c r="HD219" s="7"/>
      <c r="HE219" s="7"/>
      <c r="HF219" s="7"/>
      <c r="HG219" s="7"/>
      <c r="HH219" s="7"/>
      <c r="HI219" s="7"/>
      <c r="HJ219" s="7"/>
      <c r="HK219" s="7"/>
      <c r="HL219" s="7"/>
      <c r="HM219" s="7"/>
      <c r="HN219" s="7"/>
      <c r="HO219" s="7"/>
      <c r="HP219" s="7"/>
      <c r="HQ219" s="7"/>
      <c r="HR219" s="7"/>
      <c r="HS219" s="7"/>
      <c r="HT219" s="7"/>
      <c r="HU219" s="7"/>
      <c r="HV219" s="7"/>
      <c r="HW219" s="7"/>
      <c r="HX219" s="7"/>
      <c r="HY219" s="7"/>
      <c r="HZ219" s="7"/>
      <c r="IA219" s="7"/>
      <c r="IB219" s="7"/>
      <c r="IC219" s="7"/>
      <c r="ID219" s="7"/>
      <c r="IE219" s="7"/>
      <c r="IF219" s="7"/>
      <c r="IG219" s="7"/>
      <c r="IH219" s="7"/>
      <c r="II219" s="7"/>
      <c r="IJ219" s="7"/>
      <c r="IK219" s="7"/>
      <c r="IL219" s="7"/>
      <c r="IM219" s="7"/>
      <c r="IN219" s="7"/>
      <c r="IO219" s="7"/>
      <c r="IP219" s="7"/>
      <c r="IQ219" s="7"/>
      <c r="IR219" s="7"/>
      <c r="IS219" s="7"/>
      <c r="IT219" s="7"/>
      <c r="IU219" s="7"/>
      <c r="IV219" s="7"/>
      <c r="IW219" s="7"/>
      <c r="IX219" s="7"/>
      <c r="IY219" s="7"/>
      <c r="IZ219" s="7"/>
      <c r="JA219" s="7"/>
      <c r="JB219" s="7"/>
      <c r="JC219" s="7"/>
      <c r="JD219" s="7"/>
      <c r="JE219" s="7"/>
      <c r="JF219" s="7"/>
      <c r="JG219" s="7"/>
      <c r="JH219" s="7"/>
      <c r="JI219" s="7"/>
      <c r="JJ219" s="7"/>
      <c r="JK219" s="7"/>
      <c r="JL219" s="7"/>
      <c r="JM219" s="7"/>
      <c r="JN219" s="7"/>
      <c r="JO219" s="7"/>
      <c r="JP219" s="7"/>
      <c r="JQ219" s="7"/>
      <c r="JR219" s="7"/>
      <c r="JS219" s="7"/>
      <c r="JT219" s="7"/>
      <c r="JU219" s="7"/>
      <c r="JV219" s="7"/>
      <c r="JW219" s="7"/>
      <c r="JX219" s="7"/>
      <c r="JY219" s="7"/>
      <c r="JZ219" s="7"/>
      <c r="KA219" s="7"/>
      <c r="KB219" s="7"/>
      <c r="KC219" s="7"/>
      <c r="KD219" s="7"/>
      <c r="KE219" s="7"/>
      <c r="KF219" s="7"/>
      <c r="KG219" s="7"/>
      <c r="KH219" s="7"/>
      <c r="KI219" s="7"/>
      <c r="KJ219" s="7"/>
      <c r="KK219" s="7"/>
      <c r="KL219" s="7"/>
      <c r="KM219" s="7"/>
      <c r="KN219" s="7"/>
      <c r="KO219" s="7"/>
      <c r="KP219" s="7"/>
      <c r="KQ219" s="7"/>
      <c r="KR219" s="7"/>
      <c r="KS219" s="7"/>
      <c r="KT219" s="7"/>
      <c r="KU219" s="7"/>
      <c r="KV219" s="7"/>
      <c r="KW219" s="7"/>
      <c r="KX219" s="7"/>
      <c r="KY219" s="7"/>
      <c r="KZ219" s="7"/>
      <c r="LA219" s="7"/>
      <c r="LB219" s="7"/>
      <c r="LC219" s="7"/>
      <c r="LD219" s="7"/>
      <c r="LE219" s="7"/>
      <c r="LF219" s="7"/>
      <c r="LG219" s="7"/>
      <c r="LH219" s="7"/>
      <c r="LI219" s="7"/>
      <c r="LJ219" s="7"/>
      <c r="LK219" s="7"/>
      <c r="LL219" s="7"/>
      <c r="LM219" s="7"/>
      <c r="LN219" s="7"/>
      <c r="LO219" s="7"/>
      <c r="LP219" s="7"/>
      <c r="LQ219" s="7"/>
      <c r="LR219" s="7"/>
      <c r="LS219" s="7"/>
      <c r="LT219" s="7"/>
      <c r="LU219" s="7"/>
      <c r="LV219" s="7"/>
      <c r="LW219" s="7"/>
      <c r="LX219" s="7"/>
    </row>
    <row r="220" spans="1:336" ht="15" x14ac:dyDescent="0.25">
      <c r="A220" s="1" t="s">
        <v>1185</v>
      </c>
      <c r="B220" s="2">
        <v>30.104880000000001</v>
      </c>
      <c r="C220" s="2">
        <v>-83.9846</v>
      </c>
      <c r="D220" s="2">
        <v>30.078050000000001</v>
      </c>
      <c r="E220" s="2">
        <v>-84.182299999999998</v>
      </c>
      <c r="F220" s="3">
        <v>43137</v>
      </c>
      <c r="G220" s="1" t="s">
        <v>1186</v>
      </c>
      <c r="H220" s="1" t="s">
        <v>432</v>
      </c>
      <c r="I220" s="1" t="s">
        <v>329</v>
      </c>
      <c r="J220" s="4">
        <v>0.32361111111111113</v>
      </c>
      <c r="K220" s="1" t="s">
        <v>375</v>
      </c>
      <c r="L220" s="1" t="s">
        <v>369</v>
      </c>
      <c r="M220" s="1" t="s">
        <v>1187</v>
      </c>
      <c r="N220" s="1" t="s">
        <v>333</v>
      </c>
      <c r="O220" s="2"/>
      <c r="P220" s="2"/>
      <c r="Q220" s="2">
        <v>29</v>
      </c>
      <c r="R220" s="2">
        <v>2482</v>
      </c>
      <c r="S220" s="2">
        <v>16</v>
      </c>
      <c r="T220" s="2">
        <v>5</v>
      </c>
      <c r="U220" s="2">
        <v>118</v>
      </c>
      <c r="V220" s="2"/>
      <c r="W220" s="2"/>
      <c r="X220" s="2"/>
      <c r="Y220" s="2">
        <v>1201</v>
      </c>
      <c r="Z220" s="2"/>
      <c r="AA220" s="2"/>
      <c r="AB220" s="2"/>
      <c r="AC220" s="2"/>
      <c r="AD220" s="2">
        <v>32</v>
      </c>
      <c r="AE220" s="2"/>
      <c r="AF220" s="2">
        <v>17</v>
      </c>
      <c r="AG220" s="2"/>
      <c r="AH220" s="2"/>
      <c r="AI220" s="2"/>
      <c r="AJ220" s="2"/>
      <c r="AK220" s="2"/>
      <c r="AL220" s="2">
        <v>295</v>
      </c>
      <c r="AM220" s="2"/>
      <c r="AN220" s="2"/>
      <c r="AO220" s="2"/>
      <c r="AP220" s="2"/>
      <c r="AQ220" s="2"/>
      <c r="AR220" s="2"/>
      <c r="AS220" s="2"/>
      <c r="AT220" s="2">
        <v>14</v>
      </c>
      <c r="AU220" s="2"/>
      <c r="AV220" s="2"/>
      <c r="AW220" s="2">
        <v>168</v>
      </c>
      <c r="AX220" s="2">
        <v>27</v>
      </c>
      <c r="AY220" s="2"/>
      <c r="AZ220" s="2"/>
      <c r="BA220" s="2">
        <v>24</v>
      </c>
      <c r="BB220" s="2">
        <v>2</v>
      </c>
      <c r="BC220" s="2"/>
      <c r="BD220" s="2">
        <v>321</v>
      </c>
      <c r="BE220" s="2">
        <v>10</v>
      </c>
      <c r="BF220" s="2"/>
      <c r="BG220" s="2"/>
      <c r="BH220" s="2">
        <v>3</v>
      </c>
      <c r="BI220" s="1">
        <v>0</v>
      </c>
      <c r="BJ220" s="5"/>
      <c r="BK220" s="1">
        <v>0</v>
      </c>
      <c r="BL220" s="5"/>
      <c r="BM220" s="1">
        <v>30.093969999999999</v>
      </c>
      <c r="BN220" s="1">
        <v>-84.002099999999999</v>
      </c>
      <c r="BO220" s="1">
        <v>0</v>
      </c>
      <c r="BP220" s="5"/>
      <c r="BQ220" s="1">
        <v>0</v>
      </c>
      <c r="BR220" s="5"/>
      <c r="BS220" s="1">
        <v>0</v>
      </c>
      <c r="BT220" s="5"/>
      <c r="BU220" s="1">
        <v>0</v>
      </c>
      <c r="BV220" s="5"/>
      <c r="BW220" s="1">
        <v>0</v>
      </c>
      <c r="BX220" s="5"/>
      <c r="BY220" s="1">
        <v>0</v>
      </c>
      <c r="BZ220" s="5"/>
      <c r="CA220" s="1">
        <v>30.097909999999999</v>
      </c>
      <c r="CB220" s="1">
        <v>-84.013999999999996</v>
      </c>
      <c r="CC220" s="1" t="s">
        <v>1188</v>
      </c>
      <c r="CD220" s="1">
        <v>0</v>
      </c>
      <c r="CE220" s="5"/>
      <c r="CF220" s="1">
        <v>0</v>
      </c>
      <c r="CG220" s="5"/>
      <c r="CH220" s="1">
        <v>0</v>
      </c>
      <c r="CI220" s="5"/>
      <c r="CJ220" s="1">
        <v>0</v>
      </c>
      <c r="CK220" s="5"/>
      <c r="CL220" s="1">
        <v>0</v>
      </c>
      <c r="CM220" s="5"/>
      <c r="CN220" s="1">
        <v>0</v>
      </c>
      <c r="CO220" s="5"/>
      <c r="CP220" s="1">
        <v>30.097200000000001</v>
      </c>
      <c r="CQ220" s="1">
        <v>-84.026600000000002</v>
      </c>
      <c r="CR220" s="1" t="s">
        <v>1189</v>
      </c>
      <c r="CS220" s="1">
        <v>0</v>
      </c>
      <c r="CT220" s="5"/>
      <c r="CU220" s="1">
        <v>0</v>
      </c>
      <c r="CV220" s="5"/>
      <c r="CW220" s="1">
        <v>0</v>
      </c>
      <c r="CX220" s="5"/>
      <c r="CY220" s="1">
        <v>0</v>
      </c>
      <c r="CZ220" s="5"/>
      <c r="DA220" s="1">
        <v>0</v>
      </c>
      <c r="DB220" s="5"/>
      <c r="DC220" s="1">
        <v>0</v>
      </c>
      <c r="DD220" s="5"/>
      <c r="DE220" s="1">
        <v>30.098870000000002</v>
      </c>
      <c r="DF220" s="1">
        <v>-84.063400000000001</v>
      </c>
      <c r="DG220" s="1" t="s">
        <v>1190</v>
      </c>
      <c r="DH220" s="1">
        <v>0</v>
      </c>
      <c r="DI220" s="5"/>
      <c r="DJ220" s="1">
        <v>0</v>
      </c>
      <c r="DK220" s="5"/>
      <c r="DL220" s="1">
        <v>0</v>
      </c>
      <c r="DM220" s="5"/>
      <c r="DN220" s="1">
        <v>0</v>
      </c>
      <c r="DO220" s="5"/>
      <c r="DP220" s="1">
        <v>0</v>
      </c>
      <c r="DQ220" s="5"/>
      <c r="DR220" s="1">
        <v>0</v>
      </c>
      <c r="DS220" s="5"/>
      <c r="DT220" s="1">
        <v>30.096399999999999</v>
      </c>
      <c r="DU220" s="1">
        <v>-84.069699999999997</v>
      </c>
      <c r="DV220" s="1" t="s">
        <v>1191</v>
      </c>
      <c r="DW220" s="1">
        <v>0</v>
      </c>
      <c r="DX220" s="5"/>
      <c r="DY220" s="1">
        <v>0</v>
      </c>
      <c r="DZ220" s="5"/>
      <c r="EA220" s="1">
        <v>0</v>
      </c>
      <c r="EB220" s="5"/>
      <c r="EC220" s="1">
        <v>0</v>
      </c>
      <c r="ED220" s="5"/>
      <c r="EE220" s="1">
        <v>0</v>
      </c>
      <c r="EF220" s="5"/>
      <c r="EG220" s="1">
        <v>0</v>
      </c>
      <c r="EH220" s="5"/>
      <c r="EI220" s="1">
        <v>30.095459999999999</v>
      </c>
      <c r="EJ220" s="1">
        <v>-84.074600000000004</v>
      </c>
      <c r="EK220" s="1" t="s">
        <v>1192</v>
      </c>
      <c r="EL220" s="1">
        <v>0</v>
      </c>
      <c r="EM220" s="5"/>
      <c r="EN220" s="1">
        <v>0</v>
      </c>
      <c r="EO220" s="5"/>
      <c r="EP220" s="1">
        <v>0</v>
      </c>
      <c r="EQ220" s="5"/>
      <c r="ER220" s="1">
        <v>0</v>
      </c>
      <c r="ES220" s="5"/>
      <c r="ET220" s="1">
        <v>0</v>
      </c>
      <c r="EU220" s="5"/>
      <c r="EV220" s="1">
        <v>0</v>
      </c>
      <c r="EW220" s="5"/>
      <c r="EX220" s="1">
        <v>30.092610000000001</v>
      </c>
      <c r="EY220" s="1">
        <v>-84.081599999999995</v>
      </c>
      <c r="EZ220" s="1" t="s">
        <v>1193</v>
      </c>
      <c r="FA220" s="1">
        <v>0</v>
      </c>
      <c r="FB220" s="5"/>
      <c r="FC220" s="1">
        <v>0</v>
      </c>
      <c r="FD220" s="5"/>
      <c r="FE220" s="1">
        <v>0</v>
      </c>
      <c r="FF220" s="5"/>
      <c r="FG220" s="1">
        <v>0</v>
      </c>
      <c r="FH220" s="5"/>
      <c r="FI220" s="1">
        <v>0</v>
      </c>
      <c r="FJ220" s="5"/>
      <c r="FK220" s="1">
        <v>0</v>
      </c>
      <c r="FL220" s="5"/>
      <c r="FM220" s="1">
        <v>30.091429999999999</v>
      </c>
      <c r="FN220" s="1">
        <v>-84.087000000000003</v>
      </c>
      <c r="FO220" s="1" t="s">
        <v>1194</v>
      </c>
      <c r="FP220" s="1">
        <v>0</v>
      </c>
      <c r="FQ220" s="5"/>
      <c r="FR220" s="1">
        <v>0</v>
      </c>
      <c r="FS220" s="5"/>
      <c r="FT220" s="1">
        <v>0</v>
      </c>
      <c r="FU220" s="5"/>
      <c r="FV220" s="1">
        <v>0</v>
      </c>
      <c r="FW220" s="5"/>
      <c r="FX220" s="1">
        <v>0</v>
      </c>
      <c r="FY220" s="5"/>
      <c r="FZ220" s="1">
        <v>0</v>
      </c>
      <c r="GA220" s="5"/>
      <c r="GB220" s="1">
        <v>30.080380000000002</v>
      </c>
      <c r="GC220" s="1">
        <v>-84.089699999999993</v>
      </c>
      <c r="GD220" s="1" t="s">
        <v>1195</v>
      </c>
      <c r="GE220" s="1">
        <v>0</v>
      </c>
      <c r="GF220" s="5"/>
      <c r="GG220" s="1">
        <v>0</v>
      </c>
      <c r="GH220" s="5"/>
      <c r="GI220" s="1">
        <v>0</v>
      </c>
      <c r="GJ220" s="5"/>
      <c r="GK220" s="1">
        <v>0</v>
      </c>
      <c r="GL220" s="5"/>
      <c r="GM220" s="1">
        <v>0</v>
      </c>
      <c r="GN220" s="5"/>
      <c r="GO220" s="1">
        <v>0</v>
      </c>
      <c r="GP220" s="5"/>
      <c r="GQ220" s="1">
        <v>30.090720000000001</v>
      </c>
      <c r="GR220" s="1">
        <v>-84.096599999999995</v>
      </c>
      <c r="GS220" s="1" t="s">
        <v>1196</v>
      </c>
      <c r="GT220" s="1">
        <v>0</v>
      </c>
      <c r="GU220" s="5"/>
      <c r="GV220" s="1">
        <v>0</v>
      </c>
      <c r="GW220" s="5"/>
      <c r="GX220" s="1">
        <v>0</v>
      </c>
      <c r="GY220" s="5"/>
      <c r="GZ220" s="1">
        <v>0</v>
      </c>
      <c r="HA220" s="5"/>
      <c r="HB220" s="1">
        <v>0</v>
      </c>
      <c r="HC220" s="5"/>
      <c r="HD220" s="1">
        <v>0</v>
      </c>
      <c r="HE220" s="5"/>
      <c r="HF220" s="1">
        <v>30.088950000000001</v>
      </c>
      <c r="HG220" s="1">
        <v>-84.118700000000004</v>
      </c>
      <c r="HH220" s="1" t="s">
        <v>1197</v>
      </c>
      <c r="HI220" s="1">
        <v>0</v>
      </c>
      <c r="HJ220" s="5"/>
      <c r="HK220" s="1">
        <v>0</v>
      </c>
      <c r="HL220" s="5"/>
      <c r="HM220" s="1">
        <v>0</v>
      </c>
      <c r="HN220" s="5"/>
      <c r="HO220" s="1">
        <v>0</v>
      </c>
      <c r="HP220" s="5"/>
      <c r="HQ220" s="1">
        <v>0</v>
      </c>
      <c r="HR220" s="5"/>
      <c r="HS220" s="1">
        <v>0</v>
      </c>
      <c r="HT220" s="5"/>
      <c r="HU220" s="1">
        <v>30.090479999999999</v>
      </c>
      <c r="HV220" s="1">
        <v>-84.120999999999995</v>
      </c>
      <c r="HW220" s="1" t="s">
        <v>1198</v>
      </c>
      <c r="HX220" s="1">
        <v>0</v>
      </c>
      <c r="HY220" s="5"/>
      <c r="HZ220" s="1">
        <v>0</v>
      </c>
      <c r="IA220" s="5"/>
      <c r="IB220" s="1">
        <v>0</v>
      </c>
      <c r="IC220" s="5"/>
      <c r="ID220" s="1">
        <v>0</v>
      </c>
      <c r="IE220" s="5"/>
      <c r="IF220" s="1">
        <v>0</v>
      </c>
      <c r="IG220" s="5"/>
      <c r="IH220" s="1">
        <v>0</v>
      </c>
      <c r="II220" s="5"/>
      <c r="IJ220" s="1">
        <v>30.088789999999999</v>
      </c>
      <c r="IK220" s="1">
        <v>-84.125699999999995</v>
      </c>
      <c r="IL220" s="1" t="s">
        <v>1199</v>
      </c>
      <c r="IM220" s="1">
        <v>0</v>
      </c>
      <c r="IN220" s="5"/>
      <c r="IO220" s="1">
        <v>0</v>
      </c>
      <c r="IP220" s="5"/>
      <c r="IQ220" s="1">
        <v>0</v>
      </c>
      <c r="IR220" s="5"/>
      <c r="IS220" s="1">
        <v>0</v>
      </c>
      <c r="IT220" s="5"/>
      <c r="IU220" s="1">
        <v>0</v>
      </c>
      <c r="IV220" s="5"/>
      <c r="IW220" s="1">
        <v>0</v>
      </c>
      <c r="IX220" s="5"/>
      <c r="IY220" s="1">
        <v>30.0883</v>
      </c>
      <c r="IZ220" s="1">
        <v>-84.128</v>
      </c>
      <c r="JA220" s="1" t="s">
        <v>1200</v>
      </c>
      <c r="JB220" s="1">
        <v>0</v>
      </c>
      <c r="JC220" s="5"/>
      <c r="JD220" s="1">
        <v>0</v>
      </c>
      <c r="JE220" s="5"/>
      <c r="JF220" s="1">
        <v>0</v>
      </c>
      <c r="JG220" s="5"/>
      <c r="JH220" s="1">
        <v>0</v>
      </c>
      <c r="JI220" s="5"/>
      <c r="JJ220" s="1">
        <v>0</v>
      </c>
      <c r="JK220" s="5"/>
      <c r="JL220" s="1">
        <v>0</v>
      </c>
      <c r="JM220" s="5"/>
      <c r="JN220" s="1">
        <v>30.08625</v>
      </c>
      <c r="JO220" s="1">
        <v>-84.128699999999995</v>
      </c>
      <c r="JP220" s="1" t="s">
        <v>1201</v>
      </c>
      <c r="JQ220" s="1">
        <v>0</v>
      </c>
      <c r="JR220" s="5"/>
      <c r="JS220" s="1">
        <v>0</v>
      </c>
      <c r="JT220" s="5"/>
      <c r="JU220" s="1">
        <v>0</v>
      </c>
      <c r="JV220" s="5"/>
      <c r="JW220" s="1">
        <v>0</v>
      </c>
      <c r="JX220" s="5"/>
      <c r="JY220" s="1">
        <v>0</v>
      </c>
      <c r="JZ220" s="1">
        <v>0</v>
      </c>
      <c r="KA220" s="1">
        <v>30.084980000000002</v>
      </c>
      <c r="KB220" s="1">
        <v>30.084980000000002</v>
      </c>
      <c r="KC220" s="1">
        <v>-84.135900000000007</v>
      </c>
      <c r="KD220" s="1">
        <v>-84.135900000000007</v>
      </c>
      <c r="KE220" s="1" t="s">
        <v>1202</v>
      </c>
      <c r="KF220" s="1" t="s">
        <v>1202</v>
      </c>
      <c r="KG220" s="1">
        <v>0</v>
      </c>
      <c r="KH220" s="1">
        <v>0</v>
      </c>
      <c r="KI220" s="1">
        <v>0</v>
      </c>
      <c r="KJ220" s="1">
        <v>0</v>
      </c>
      <c r="KK220" s="5"/>
      <c r="KL220" s="5"/>
      <c r="KM220" s="1">
        <v>0</v>
      </c>
      <c r="KN220" s="1">
        <v>0</v>
      </c>
      <c r="KO220" s="5"/>
      <c r="KP220" s="5"/>
      <c r="KQ220" s="1">
        <v>0</v>
      </c>
      <c r="KR220" s="5"/>
      <c r="KS220" s="1">
        <v>0</v>
      </c>
      <c r="KT220" s="5"/>
      <c r="KU220" s="1">
        <v>30.079070000000002</v>
      </c>
      <c r="KV220" s="1">
        <v>-84.152000000000001</v>
      </c>
      <c r="KW220" s="1" t="s">
        <v>1203</v>
      </c>
      <c r="KX220" s="1">
        <v>0</v>
      </c>
      <c r="KY220" s="5"/>
      <c r="KZ220" s="1">
        <v>0</v>
      </c>
      <c r="LA220" s="5"/>
      <c r="LB220" s="1">
        <v>0</v>
      </c>
      <c r="LC220" s="5"/>
      <c r="LD220" s="1">
        <v>0</v>
      </c>
      <c r="LE220" s="5"/>
      <c r="LF220" s="1">
        <v>0</v>
      </c>
      <c r="LG220" s="5"/>
      <c r="LH220" s="1">
        <v>0</v>
      </c>
      <c r="LI220" s="5"/>
      <c r="LJ220" s="1">
        <v>30.079969999999999</v>
      </c>
      <c r="LK220" s="1">
        <v>-84.155199999999994</v>
      </c>
      <c r="LL220" s="1" t="s">
        <v>1204</v>
      </c>
      <c r="LM220" s="1">
        <v>0</v>
      </c>
      <c r="LN220" s="5"/>
      <c r="LO220" s="1">
        <v>0</v>
      </c>
      <c r="LP220" s="5"/>
      <c r="LQ220" s="1">
        <v>0</v>
      </c>
      <c r="LR220" s="5"/>
      <c r="LS220" s="1">
        <v>0</v>
      </c>
      <c r="LT220" s="5"/>
      <c r="LU220" s="5"/>
      <c r="LV220" s="5"/>
      <c r="LW220" s="5"/>
      <c r="LX220" s="1" t="s">
        <v>1205</v>
      </c>
    </row>
    <row r="221" spans="1:336" ht="15" x14ac:dyDescent="0.25">
      <c r="A221" s="1" t="s">
        <v>1206</v>
      </c>
      <c r="B221" s="2">
        <v>29.759270000000001</v>
      </c>
      <c r="C221" s="2">
        <v>-85.403599999999997</v>
      </c>
      <c r="D221" s="2">
        <v>29.688020000000002</v>
      </c>
      <c r="E221" s="2">
        <v>-85.371899999999997</v>
      </c>
      <c r="F221" s="3">
        <v>43136</v>
      </c>
      <c r="G221" s="1" t="s">
        <v>1207</v>
      </c>
      <c r="H221" s="1" t="s">
        <v>505</v>
      </c>
      <c r="I221" s="1" t="s">
        <v>329</v>
      </c>
      <c r="J221" s="4">
        <v>0.60763888888888884</v>
      </c>
      <c r="K221" s="1" t="s">
        <v>368</v>
      </c>
      <c r="L221" s="1" t="s">
        <v>369</v>
      </c>
      <c r="M221" s="5"/>
      <c r="N221" s="1" t="s">
        <v>333</v>
      </c>
      <c r="O221" s="2"/>
      <c r="P221" s="2"/>
      <c r="Q221" s="2">
        <v>1</v>
      </c>
      <c r="R221" s="2"/>
      <c r="S221" s="2"/>
      <c r="T221" s="2">
        <v>3</v>
      </c>
      <c r="U221" s="2"/>
      <c r="V221" s="2"/>
      <c r="W221" s="2"/>
      <c r="X221" s="2"/>
      <c r="Y221" s="2"/>
      <c r="Z221" s="2"/>
      <c r="AA221" s="2"/>
      <c r="AB221" s="2"/>
      <c r="AC221" s="2"/>
      <c r="AD221" s="2">
        <v>6</v>
      </c>
      <c r="AE221" s="2">
        <v>64</v>
      </c>
      <c r="AF221" s="2">
        <v>2</v>
      </c>
      <c r="AG221" s="2"/>
      <c r="AH221" s="2">
        <v>2</v>
      </c>
      <c r="AI221" s="2"/>
      <c r="AJ221" s="2"/>
      <c r="AK221" s="2"/>
      <c r="AL221" s="2">
        <v>44</v>
      </c>
      <c r="AM221" s="2"/>
      <c r="AN221" s="2"/>
      <c r="AO221" s="2"/>
      <c r="AP221" s="2"/>
      <c r="AQ221" s="2"/>
      <c r="AR221" s="2">
        <v>3</v>
      </c>
      <c r="AS221" s="2"/>
      <c r="AT221" s="2">
        <v>1</v>
      </c>
      <c r="AU221" s="2"/>
      <c r="AV221" s="2"/>
      <c r="AW221" s="2">
        <v>1</v>
      </c>
      <c r="AX221" s="2">
        <v>4</v>
      </c>
      <c r="AY221" s="2"/>
      <c r="AZ221" s="2"/>
      <c r="BA221" s="2">
        <v>3</v>
      </c>
      <c r="BB221" s="2">
        <v>2</v>
      </c>
      <c r="BC221" s="2"/>
      <c r="BD221" s="2">
        <v>55</v>
      </c>
      <c r="BE221" s="2">
        <v>1</v>
      </c>
      <c r="BF221" s="2"/>
      <c r="BG221" s="2"/>
      <c r="BH221" s="2"/>
      <c r="BI221" s="1">
        <v>0</v>
      </c>
      <c r="BJ221" s="1">
        <v>0</v>
      </c>
      <c r="BK221" s="1">
        <v>0</v>
      </c>
      <c r="BL221" s="1">
        <v>0</v>
      </c>
      <c r="BM221" s="1">
        <v>29.72533</v>
      </c>
      <c r="BN221" s="1">
        <v>-85.390900000000002</v>
      </c>
      <c r="BO221" s="1">
        <v>0</v>
      </c>
      <c r="BP221" s="1">
        <v>0</v>
      </c>
      <c r="BQ221" s="1">
        <v>0</v>
      </c>
      <c r="BR221" s="1">
        <v>0</v>
      </c>
      <c r="BS221" s="1">
        <v>2</v>
      </c>
      <c r="BT221" s="1" t="s">
        <v>1208</v>
      </c>
      <c r="BU221" s="1">
        <v>0</v>
      </c>
      <c r="BV221" s="1">
        <v>0</v>
      </c>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1">
        <v>0</v>
      </c>
    </row>
    <row r="222" spans="1:336" ht="15" x14ac:dyDescent="0.25">
      <c r="A222" s="1" t="s">
        <v>1209</v>
      </c>
      <c r="B222" s="2">
        <v>26.682659999999998</v>
      </c>
      <c r="C222" s="2">
        <v>-80.301699999999997</v>
      </c>
      <c r="D222" s="2">
        <v>26.63456</v>
      </c>
      <c r="E222" s="2">
        <v>-80.332499999999996</v>
      </c>
      <c r="F222" s="3">
        <v>43134</v>
      </c>
      <c r="G222" s="1" t="s">
        <v>1210</v>
      </c>
      <c r="H222" s="1" t="s">
        <v>360</v>
      </c>
      <c r="I222" s="1" t="s">
        <v>329</v>
      </c>
      <c r="J222" s="4">
        <v>0.30694444444444446</v>
      </c>
      <c r="K222" s="5"/>
      <c r="L222" s="5"/>
      <c r="M222" s="5"/>
      <c r="N222" s="1" t="s">
        <v>333</v>
      </c>
      <c r="O222" s="2"/>
      <c r="P222" s="2"/>
      <c r="Q222" s="2"/>
      <c r="R222" s="2"/>
      <c r="S222" s="2">
        <v>1</v>
      </c>
      <c r="T222" s="2">
        <v>25</v>
      </c>
      <c r="U222" s="2"/>
      <c r="V222" s="2">
        <v>2</v>
      </c>
      <c r="W222" s="2"/>
      <c r="X222" s="2">
        <v>24</v>
      </c>
      <c r="Y222" s="2"/>
      <c r="Z222" s="2"/>
      <c r="AA222" s="2"/>
      <c r="AB222" s="2"/>
      <c r="AC222" s="2"/>
      <c r="AD222" s="2"/>
      <c r="AE222" s="2"/>
      <c r="AF222" s="2"/>
      <c r="AG222" s="2"/>
      <c r="AH222" s="2"/>
      <c r="AI222" s="2">
        <v>1</v>
      </c>
      <c r="AJ222" s="2"/>
      <c r="AK222" s="2"/>
      <c r="AL222" s="2"/>
      <c r="AM222" s="2"/>
      <c r="AN222" s="2">
        <v>1</v>
      </c>
      <c r="AO222" s="2"/>
      <c r="AP222" s="2">
        <v>11</v>
      </c>
      <c r="AQ222" s="2">
        <v>170</v>
      </c>
      <c r="AR222" s="2"/>
      <c r="AS222" s="2"/>
      <c r="AT222" s="2"/>
      <c r="AU222" s="2">
        <v>18</v>
      </c>
      <c r="AV222" s="2"/>
      <c r="AW222" s="2">
        <v>22</v>
      </c>
      <c r="AX222" s="2"/>
      <c r="AY222" s="2"/>
      <c r="AZ222" s="2"/>
      <c r="BA222" s="2"/>
      <c r="BB222" s="2"/>
      <c r="BC222" s="2"/>
      <c r="BD222" s="2">
        <v>6</v>
      </c>
      <c r="BE222" s="2">
        <v>1</v>
      </c>
      <c r="BF222" s="2"/>
      <c r="BG222" s="2"/>
      <c r="BH222" s="2"/>
      <c r="BI222" s="5"/>
      <c r="BJ222" s="5"/>
      <c r="BK222" s="1">
        <v>170</v>
      </c>
      <c r="BL222" s="5"/>
      <c r="BM222" s="1">
        <v>26.66301</v>
      </c>
      <c r="BN222" s="1">
        <v>-80.315200000000004</v>
      </c>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row>
    <row r="223" spans="1:336" ht="15" x14ac:dyDescent="0.25">
      <c r="A223" s="1" t="s">
        <v>1211</v>
      </c>
      <c r="B223" s="2">
        <v>26.5945</v>
      </c>
      <c r="C223" s="2">
        <v>-80.444500000000005</v>
      </c>
      <c r="D223" s="2">
        <v>26.676860000000001</v>
      </c>
      <c r="E223" s="2">
        <v>-80.380799999999994</v>
      </c>
      <c r="F223" s="3">
        <v>43133</v>
      </c>
      <c r="G223" s="1" t="s">
        <v>878</v>
      </c>
      <c r="H223" s="1" t="s">
        <v>360</v>
      </c>
      <c r="I223" s="1" t="s">
        <v>329</v>
      </c>
      <c r="J223" s="4">
        <v>0.56388888888888888</v>
      </c>
      <c r="K223" s="5"/>
      <c r="L223" s="5"/>
      <c r="M223" s="5"/>
      <c r="N223" s="1" t="s">
        <v>333</v>
      </c>
      <c r="O223" s="2"/>
      <c r="P223" s="2"/>
      <c r="Q223" s="2"/>
      <c r="R223" s="2"/>
      <c r="S223" s="2">
        <v>105</v>
      </c>
      <c r="T223" s="2"/>
      <c r="U223" s="2"/>
      <c r="V223" s="2">
        <v>5</v>
      </c>
      <c r="W223" s="2"/>
      <c r="X223" s="2">
        <v>1080</v>
      </c>
      <c r="Y223" s="2"/>
      <c r="Z223" s="2"/>
      <c r="AA223" s="2"/>
      <c r="AB223" s="2"/>
      <c r="AC223" s="2"/>
      <c r="AD223" s="2"/>
      <c r="AE223" s="2"/>
      <c r="AF223" s="2"/>
      <c r="AG223" s="2"/>
      <c r="AH223" s="2"/>
      <c r="AI223" s="2"/>
      <c r="AJ223" s="2"/>
      <c r="AK223" s="2"/>
      <c r="AL223" s="2"/>
      <c r="AM223" s="2"/>
      <c r="AN223" s="2"/>
      <c r="AO223" s="2"/>
      <c r="AP223" s="2"/>
      <c r="AQ223" s="2">
        <v>39</v>
      </c>
      <c r="AR223" s="2"/>
      <c r="AS223" s="2"/>
      <c r="AT223" s="2"/>
      <c r="AU223" s="2">
        <v>4</v>
      </c>
      <c r="AV223" s="2"/>
      <c r="AW223" s="2">
        <v>52</v>
      </c>
      <c r="AX223" s="2"/>
      <c r="AY223" s="2"/>
      <c r="AZ223" s="2"/>
      <c r="BA223" s="2"/>
      <c r="BB223" s="2"/>
      <c r="BC223" s="2"/>
      <c r="BD223" s="2"/>
      <c r="BE223" s="2"/>
      <c r="BF223" s="2"/>
      <c r="BG223" s="2"/>
      <c r="BH223" s="2">
        <v>13</v>
      </c>
      <c r="BI223" s="5"/>
      <c r="BJ223" s="5"/>
      <c r="BK223" s="1">
        <v>39</v>
      </c>
      <c r="BL223" s="5"/>
      <c r="BM223" s="1">
        <v>26.67671</v>
      </c>
      <c r="BN223" s="1">
        <v>-80.417000000000002</v>
      </c>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row>
    <row r="224" spans="1:336" ht="15" x14ac:dyDescent="0.25">
      <c r="A224" s="1" t="s">
        <v>1212</v>
      </c>
      <c r="B224" s="2">
        <v>26.37771</v>
      </c>
      <c r="C224" s="2">
        <v>-80.568799999999996</v>
      </c>
      <c r="D224" s="2">
        <v>26.449639999999999</v>
      </c>
      <c r="E224" s="2">
        <v>-80.464500000000001</v>
      </c>
      <c r="F224" s="3">
        <v>43133</v>
      </c>
      <c r="G224" s="1" t="s">
        <v>878</v>
      </c>
      <c r="H224" s="1" t="s">
        <v>360</v>
      </c>
      <c r="I224" s="1" t="s">
        <v>329</v>
      </c>
      <c r="J224" s="4">
        <v>0.43333333333333335</v>
      </c>
      <c r="K224" s="5"/>
      <c r="L224" s="5"/>
      <c r="M224" s="5"/>
      <c r="N224" s="1" t="s">
        <v>333</v>
      </c>
      <c r="O224" s="2"/>
      <c r="P224" s="2">
        <v>7</v>
      </c>
      <c r="Q224" s="2"/>
      <c r="R224" s="2"/>
      <c r="S224" s="2">
        <v>1</v>
      </c>
      <c r="T224" s="2">
        <v>3</v>
      </c>
      <c r="U224" s="2"/>
      <c r="V224" s="2"/>
      <c r="W224" s="2"/>
      <c r="X224" s="2">
        <v>4</v>
      </c>
      <c r="Y224" s="2"/>
      <c r="Z224" s="2"/>
      <c r="AA224" s="2"/>
      <c r="AB224" s="2"/>
      <c r="AC224" s="2"/>
      <c r="AD224" s="2"/>
      <c r="AE224" s="2"/>
      <c r="AF224" s="2"/>
      <c r="AG224" s="2"/>
      <c r="AH224" s="2"/>
      <c r="AI224" s="2"/>
      <c r="AJ224" s="2"/>
      <c r="AK224" s="2"/>
      <c r="AL224" s="2"/>
      <c r="AM224" s="2"/>
      <c r="AN224" s="2"/>
      <c r="AO224" s="2"/>
      <c r="AP224" s="2"/>
      <c r="AQ224" s="2">
        <v>182</v>
      </c>
      <c r="AR224" s="2"/>
      <c r="AS224" s="2"/>
      <c r="AT224" s="2"/>
      <c r="AU224" s="2">
        <v>207</v>
      </c>
      <c r="AV224" s="2"/>
      <c r="AW224" s="2">
        <v>168</v>
      </c>
      <c r="AX224" s="2">
        <v>1</v>
      </c>
      <c r="AY224" s="2"/>
      <c r="AZ224" s="2"/>
      <c r="BA224" s="2"/>
      <c r="BB224" s="2"/>
      <c r="BC224" s="2"/>
      <c r="BD224" s="2"/>
      <c r="BE224" s="2"/>
      <c r="BF224" s="2"/>
      <c r="BG224" s="2"/>
      <c r="BH224" s="2">
        <v>3</v>
      </c>
      <c r="BI224" s="5"/>
      <c r="BJ224" s="5"/>
      <c r="BK224" s="1">
        <v>182</v>
      </c>
      <c r="BL224" s="5"/>
      <c r="BM224" s="1">
        <v>26.38813</v>
      </c>
      <c r="BN224" s="1">
        <v>-80.555000000000007</v>
      </c>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row>
    <row r="225" spans="1:336" ht="15" x14ac:dyDescent="0.25">
      <c r="A225" s="1" t="s">
        <v>1213</v>
      </c>
      <c r="B225" s="2">
        <v>26.38</v>
      </c>
      <c r="C225" s="2">
        <v>-80.611599999999996</v>
      </c>
      <c r="D225" s="2">
        <v>26.36354</v>
      </c>
      <c r="E225" s="2">
        <v>-80.683400000000006</v>
      </c>
      <c r="F225" s="3">
        <v>43133</v>
      </c>
      <c r="G225" s="1" t="s">
        <v>878</v>
      </c>
      <c r="H225" s="1" t="s">
        <v>360</v>
      </c>
      <c r="I225" s="1" t="s">
        <v>329</v>
      </c>
      <c r="J225" s="4">
        <v>0.30902777777777779</v>
      </c>
      <c r="K225" s="5"/>
      <c r="L225" s="5"/>
      <c r="M225" s="5"/>
      <c r="N225" s="1" t="s">
        <v>333</v>
      </c>
      <c r="O225" s="2"/>
      <c r="P225" s="2"/>
      <c r="Q225" s="2"/>
      <c r="R225" s="2"/>
      <c r="S225" s="2"/>
      <c r="T225" s="2">
        <v>2</v>
      </c>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v>45</v>
      </c>
      <c r="AX225" s="2"/>
      <c r="AY225" s="2"/>
      <c r="AZ225" s="2"/>
      <c r="BA225" s="2"/>
      <c r="BB225" s="2"/>
      <c r="BC225" s="2"/>
      <c r="BD225" s="2"/>
      <c r="BE225" s="2"/>
      <c r="BF225" s="2"/>
      <c r="BG225" s="2"/>
      <c r="BH225" s="2">
        <v>65</v>
      </c>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row>
    <row r="226" spans="1:336" ht="15" x14ac:dyDescent="0.25">
      <c r="A226" s="1" t="s">
        <v>1214</v>
      </c>
      <c r="B226" s="2">
        <v>26.433350000000001</v>
      </c>
      <c r="C226" s="2">
        <v>-80.940700000000007</v>
      </c>
      <c r="D226" s="2">
        <v>26.360209999999999</v>
      </c>
      <c r="E226" s="2">
        <v>-80.880799999999994</v>
      </c>
      <c r="F226" s="3">
        <v>43139</v>
      </c>
      <c r="G226" s="1" t="s">
        <v>878</v>
      </c>
      <c r="H226" s="1" t="s">
        <v>360</v>
      </c>
      <c r="I226" s="1" t="s">
        <v>329</v>
      </c>
      <c r="J226" s="4">
        <v>0.36736111111111114</v>
      </c>
      <c r="K226" s="5"/>
      <c r="L226" s="5"/>
      <c r="M226" s="5"/>
      <c r="N226" s="1" t="s">
        <v>479</v>
      </c>
      <c r="O226" s="2"/>
      <c r="P226" s="2"/>
      <c r="Q226" s="2"/>
      <c r="R226" s="2"/>
      <c r="S226" s="2">
        <v>15</v>
      </c>
      <c r="T226" s="2">
        <v>50</v>
      </c>
      <c r="U226" s="2">
        <v>9</v>
      </c>
      <c r="V226" s="2">
        <v>18</v>
      </c>
      <c r="W226" s="2"/>
      <c r="X226" s="2">
        <v>5</v>
      </c>
      <c r="Y226" s="2"/>
      <c r="Z226" s="2"/>
      <c r="AA226" s="2"/>
      <c r="AB226" s="2"/>
      <c r="AC226" s="2"/>
      <c r="AD226" s="2"/>
      <c r="AE226" s="2"/>
      <c r="AF226" s="2"/>
      <c r="AG226" s="2"/>
      <c r="AH226" s="2"/>
      <c r="AI226" s="2"/>
      <c r="AJ226" s="2"/>
      <c r="AK226" s="2"/>
      <c r="AL226" s="2">
        <v>2</v>
      </c>
      <c r="AM226" s="2"/>
      <c r="AN226" s="2"/>
      <c r="AO226" s="2"/>
      <c r="AP226" s="2">
        <v>5</v>
      </c>
      <c r="AQ226" s="2"/>
      <c r="AR226" s="2"/>
      <c r="AS226" s="2"/>
      <c r="AT226" s="2"/>
      <c r="AU226" s="2">
        <v>36</v>
      </c>
      <c r="AV226" s="2"/>
      <c r="AW226" s="2">
        <v>255</v>
      </c>
      <c r="AX226" s="2"/>
      <c r="AY226" s="2"/>
      <c r="AZ226" s="2"/>
      <c r="BA226" s="2"/>
      <c r="BB226" s="2"/>
      <c r="BC226" s="2"/>
      <c r="BD226" s="2"/>
      <c r="BE226" s="2"/>
      <c r="BF226" s="2"/>
      <c r="BG226" s="2"/>
      <c r="BH226" s="2"/>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c r="LI226" s="5"/>
      <c r="LJ226" s="5"/>
      <c r="LK226" s="5"/>
      <c r="LL226" s="5"/>
      <c r="LM226" s="5"/>
      <c r="LN226" s="5"/>
      <c r="LO226" s="5"/>
      <c r="LP226" s="5"/>
      <c r="LQ226" s="5"/>
      <c r="LR226" s="5"/>
      <c r="LS226" s="5"/>
      <c r="LT226" s="5"/>
      <c r="LU226" s="5"/>
      <c r="LV226" s="5"/>
      <c r="LW226" s="5"/>
      <c r="LX226" s="5"/>
    </row>
    <row r="227" spans="1:336" ht="15" x14ac:dyDescent="0.25">
      <c r="A227" s="1" t="s">
        <v>1215</v>
      </c>
      <c r="B227" s="2">
        <v>27.305</v>
      </c>
      <c r="C227" s="2">
        <v>-80.827799999999996</v>
      </c>
      <c r="D227" s="2">
        <v>27.313700000000001</v>
      </c>
      <c r="E227" s="2">
        <v>-80.837599999999995</v>
      </c>
      <c r="F227" s="3">
        <v>43134</v>
      </c>
      <c r="G227" s="1" t="s">
        <v>878</v>
      </c>
      <c r="H227" s="1" t="s">
        <v>360</v>
      </c>
      <c r="I227" s="1" t="s">
        <v>329</v>
      </c>
      <c r="J227" s="4">
        <v>0.44166666666666665</v>
      </c>
      <c r="K227" s="5"/>
      <c r="L227" s="5"/>
      <c r="M227" s="5"/>
      <c r="N227" s="1" t="s">
        <v>333</v>
      </c>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v>5</v>
      </c>
      <c r="AX227" s="2"/>
      <c r="AY227" s="2"/>
      <c r="AZ227" s="2"/>
      <c r="BA227" s="2"/>
      <c r="BB227" s="2"/>
      <c r="BC227" s="2"/>
      <c r="BD227" s="2"/>
      <c r="BE227" s="2"/>
      <c r="BF227" s="2"/>
      <c r="BG227" s="2"/>
      <c r="BH227" s="2"/>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5"/>
      <c r="KY227" s="5"/>
      <c r="KZ227" s="5"/>
      <c r="LA227" s="5"/>
      <c r="LB227" s="5"/>
      <c r="LC227" s="5"/>
      <c r="LD227" s="5"/>
      <c r="LE227" s="5"/>
      <c r="LF227" s="5"/>
      <c r="LG227" s="5"/>
      <c r="LH227" s="5"/>
      <c r="LI227" s="5"/>
      <c r="LJ227" s="5"/>
      <c r="LK227" s="5"/>
      <c r="LL227" s="5"/>
      <c r="LM227" s="5"/>
      <c r="LN227" s="5"/>
      <c r="LO227" s="5"/>
      <c r="LP227" s="5"/>
      <c r="LQ227" s="5"/>
      <c r="LR227" s="5"/>
      <c r="LS227" s="5"/>
      <c r="LT227" s="5"/>
      <c r="LU227" s="5"/>
      <c r="LV227" s="5"/>
      <c r="LW227" s="5"/>
      <c r="LX227" s="5"/>
    </row>
    <row r="228" spans="1:336" ht="15" x14ac:dyDescent="0.25">
      <c r="A228" s="1" t="s">
        <v>1216</v>
      </c>
      <c r="B228" s="2">
        <v>25.89677</v>
      </c>
      <c r="C228" s="2">
        <v>-81.641300000000001</v>
      </c>
      <c r="D228" s="2">
        <v>25.916419999999999</v>
      </c>
      <c r="E228" s="2">
        <v>-81.606099999999998</v>
      </c>
      <c r="F228" s="3">
        <v>43136</v>
      </c>
      <c r="G228" s="1" t="s">
        <v>1217</v>
      </c>
      <c r="H228" s="1" t="s">
        <v>1218</v>
      </c>
      <c r="I228" s="1" t="s">
        <v>329</v>
      </c>
      <c r="J228" s="4">
        <v>0.40972222222222221</v>
      </c>
      <c r="K228" s="5"/>
      <c r="L228" s="1" t="s">
        <v>364</v>
      </c>
      <c r="M228" s="1" t="s">
        <v>1219</v>
      </c>
      <c r="N228" s="1" t="s">
        <v>333</v>
      </c>
      <c r="O228" s="2">
        <v>16</v>
      </c>
      <c r="P228" s="2"/>
      <c r="Q228" s="2">
        <v>3</v>
      </c>
      <c r="R228" s="2">
        <v>1</v>
      </c>
      <c r="S228" s="2"/>
      <c r="T228" s="2"/>
      <c r="U228" s="2">
        <v>7</v>
      </c>
      <c r="V228" s="2"/>
      <c r="W228" s="2"/>
      <c r="X228" s="2"/>
      <c r="Y228" s="2"/>
      <c r="Z228" s="2"/>
      <c r="AA228" s="2"/>
      <c r="AB228" s="2"/>
      <c r="AC228" s="2"/>
      <c r="AD228" s="2">
        <v>36</v>
      </c>
      <c r="AE228" s="2">
        <v>22</v>
      </c>
      <c r="AF228" s="2">
        <v>36</v>
      </c>
      <c r="AG228" s="2"/>
      <c r="AH228" s="2"/>
      <c r="AI228" s="2"/>
      <c r="AJ228" s="2"/>
      <c r="AK228" s="2"/>
      <c r="AL228" s="2"/>
      <c r="AM228" s="2">
        <v>7</v>
      </c>
      <c r="AN228" s="2"/>
      <c r="AO228" s="2"/>
      <c r="AP228" s="2"/>
      <c r="AQ228" s="2"/>
      <c r="AR228" s="2"/>
      <c r="AS228" s="2"/>
      <c r="AT228" s="2">
        <v>66</v>
      </c>
      <c r="AU228" s="2"/>
      <c r="AV228" s="2"/>
      <c r="AW228" s="2">
        <v>23</v>
      </c>
      <c r="AX228" s="2"/>
      <c r="AY228" s="2"/>
      <c r="AZ228" s="2"/>
      <c r="BA228" s="2"/>
      <c r="BB228" s="2">
        <v>4</v>
      </c>
      <c r="BC228" s="2"/>
      <c r="BD228" s="2">
        <v>1</v>
      </c>
      <c r="BE228" s="2">
        <v>108</v>
      </c>
      <c r="BF228" s="2"/>
      <c r="BG228" s="2"/>
      <c r="BH228" s="2">
        <v>24</v>
      </c>
      <c r="BI228" s="1">
        <v>15</v>
      </c>
      <c r="BJ228" s="1">
        <v>0</v>
      </c>
      <c r="BK228" s="1">
        <v>0</v>
      </c>
      <c r="BL228" s="1">
        <v>0</v>
      </c>
      <c r="BM228" s="1">
        <v>25.88682</v>
      </c>
      <c r="BN228" s="1">
        <v>-81.654499999999999</v>
      </c>
      <c r="BO228" s="5"/>
      <c r="BP228" s="5"/>
      <c r="BQ228" s="1">
        <v>0</v>
      </c>
      <c r="BR228" s="1">
        <v>0</v>
      </c>
      <c r="BS228" s="1">
        <v>0</v>
      </c>
      <c r="BT228" s="5"/>
      <c r="BU228" s="1">
        <v>0</v>
      </c>
      <c r="BV228" s="1">
        <v>0</v>
      </c>
      <c r="BW228" s="1">
        <v>1</v>
      </c>
      <c r="BX228" s="1">
        <v>0</v>
      </c>
      <c r="BY228" s="5"/>
      <c r="BZ228" s="5"/>
      <c r="CA228" s="1">
        <v>25.887180000000001</v>
      </c>
      <c r="CB228" s="1">
        <v>-81.602400000000003</v>
      </c>
      <c r="CC228" s="5"/>
      <c r="CD228" s="5"/>
      <c r="CE228" s="5"/>
      <c r="CF228" s="5"/>
      <c r="CG228" s="5"/>
      <c r="CH228" s="5"/>
      <c r="CI228" s="5"/>
      <c r="CJ228" s="5"/>
      <c r="CK228" s="5"/>
      <c r="CL228" s="5"/>
      <c r="CM228" s="5"/>
      <c r="CN228" s="5"/>
      <c r="CO228" s="5"/>
      <c r="CP228" s="1">
        <v>25.916730000000001</v>
      </c>
      <c r="CQ228" s="1">
        <v>-81.605900000000005</v>
      </c>
      <c r="CR228" s="5"/>
      <c r="CS228" s="5"/>
      <c r="CT228" s="5"/>
      <c r="CU228" s="5"/>
      <c r="CV228" s="5"/>
      <c r="CW228" s="5"/>
      <c r="CX228" s="5"/>
      <c r="CY228" s="1">
        <v>7</v>
      </c>
      <c r="CZ228" s="1">
        <v>0</v>
      </c>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c r="JW228" s="5"/>
      <c r="JX228" s="5"/>
      <c r="JY228" s="5"/>
      <c r="JZ228" s="5"/>
      <c r="KA228" s="5"/>
      <c r="KB228" s="5"/>
      <c r="KC228" s="5"/>
      <c r="KD228" s="5"/>
      <c r="KE228" s="5"/>
      <c r="KF228" s="5"/>
      <c r="KG228" s="5"/>
      <c r="KH228" s="5"/>
      <c r="KI228" s="5"/>
      <c r="KJ228" s="5"/>
      <c r="KK228" s="5"/>
      <c r="KL228" s="5"/>
      <c r="KM228" s="5"/>
      <c r="KN228" s="5"/>
      <c r="KO228" s="5"/>
      <c r="KP228" s="5"/>
      <c r="KQ228" s="5"/>
      <c r="KR228" s="5"/>
      <c r="KS228" s="5"/>
      <c r="KT228" s="5"/>
      <c r="KU228" s="5"/>
      <c r="KV228" s="5"/>
      <c r="KW228" s="5"/>
      <c r="KX228" s="5"/>
      <c r="KY228" s="5"/>
      <c r="KZ228" s="5"/>
      <c r="LA228" s="5"/>
      <c r="LB228" s="5"/>
      <c r="LC228" s="5"/>
      <c r="LD228" s="5"/>
      <c r="LE228" s="5"/>
      <c r="LF228" s="5"/>
      <c r="LG228" s="5"/>
      <c r="LH228" s="5"/>
      <c r="LI228" s="5"/>
      <c r="LJ228" s="5"/>
      <c r="LK228" s="5"/>
      <c r="LL228" s="5"/>
      <c r="LM228" s="5"/>
      <c r="LN228" s="5"/>
      <c r="LO228" s="5"/>
      <c r="LP228" s="5"/>
      <c r="LQ228" s="5"/>
      <c r="LR228" s="5"/>
      <c r="LS228" s="5"/>
      <c r="LT228" s="5"/>
      <c r="LU228" s="5"/>
      <c r="LV228" s="5"/>
      <c r="LW228" s="5"/>
      <c r="LX228" s="5"/>
    </row>
    <row r="229" spans="1:336" ht="15" x14ac:dyDescent="0.25">
      <c r="A229" s="1" t="s">
        <v>1220</v>
      </c>
      <c r="B229" s="2">
        <v>28.126460000000002</v>
      </c>
      <c r="C229" s="2">
        <v>-82.834500000000006</v>
      </c>
      <c r="D229" s="2">
        <v>28.131830000000001</v>
      </c>
      <c r="E229" s="2">
        <v>-82.827399999999997</v>
      </c>
      <c r="F229" s="3">
        <v>43133</v>
      </c>
      <c r="G229" s="1" t="s">
        <v>1221</v>
      </c>
      <c r="H229" s="1" t="s">
        <v>1222</v>
      </c>
      <c r="I229" s="1" t="s">
        <v>329</v>
      </c>
      <c r="J229" s="4">
        <v>0.41666666666666669</v>
      </c>
      <c r="K229" s="1" t="s">
        <v>375</v>
      </c>
      <c r="L229" s="1" t="s">
        <v>369</v>
      </c>
      <c r="M229" s="5"/>
      <c r="N229" s="1" t="s">
        <v>333</v>
      </c>
      <c r="O229" s="2">
        <v>2</v>
      </c>
      <c r="P229" s="2"/>
      <c r="Q229" s="2">
        <v>10</v>
      </c>
      <c r="R229" s="2">
        <v>12</v>
      </c>
      <c r="S229" s="2"/>
      <c r="T229" s="2"/>
      <c r="U229" s="2">
        <v>7</v>
      </c>
      <c r="V229" s="2"/>
      <c r="W229" s="2"/>
      <c r="X229" s="2"/>
      <c r="Y229" s="2"/>
      <c r="Z229" s="2"/>
      <c r="AA229" s="2"/>
      <c r="AB229" s="2">
        <v>1</v>
      </c>
      <c r="AC229" s="2"/>
      <c r="AD229" s="2">
        <v>8</v>
      </c>
      <c r="AE229" s="2">
        <v>25</v>
      </c>
      <c r="AF229" s="2"/>
      <c r="AG229" s="2"/>
      <c r="AH229" s="2"/>
      <c r="AI229" s="2"/>
      <c r="AJ229" s="2"/>
      <c r="AK229" s="2"/>
      <c r="AL229" s="2"/>
      <c r="AM229" s="2"/>
      <c r="AN229" s="2"/>
      <c r="AO229" s="2"/>
      <c r="AP229" s="2"/>
      <c r="AQ229" s="2"/>
      <c r="AR229" s="2"/>
      <c r="AS229" s="2"/>
      <c r="AT229" s="2">
        <v>51</v>
      </c>
      <c r="AU229" s="2"/>
      <c r="AV229" s="2"/>
      <c r="AW229" s="2">
        <v>369</v>
      </c>
      <c r="AX229" s="2"/>
      <c r="AY229" s="2"/>
      <c r="AZ229" s="2"/>
      <c r="BA229" s="2">
        <v>19</v>
      </c>
      <c r="BB229" s="2">
        <v>53</v>
      </c>
      <c r="BC229" s="2"/>
      <c r="BD229" s="2">
        <v>19</v>
      </c>
      <c r="BE229" s="2"/>
      <c r="BF229" s="2"/>
      <c r="BG229" s="2"/>
      <c r="BH229" s="2"/>
      <c r="BI229" s="1">
        <v>0</v>
      </c>
      <c r="BJ229" s="5"/>
      <c r="BK229" s="1">
        <v>0</v>
      </c>
      <c r="BL229" s="5"/>
      <c r="BM229" s="1">
        <v>28.132079999999998</v>
      </c>
      <c r="BN229" s="1">
        <v>-82.828199999999995</v>
      </c>
      <c r="BO229" s="1">
        <v>1</v>
      </c>
      <c r="BP229" s="1" t="s">
        <v>407</v>
      </c>
      <c r="BQ229" s="1">
        <v>0</v>
      </c>
      <c r="BR229" s="5"/>
      <c r="BS229" s="1">
        <v>0</v>
      </c>
      <c r="BT229" s="5"/>
      <c r="BU229" s="1">
        <v>0</v>
      </c>
      <c r="BV229" s="5"/>
      <c r="BW229" s="1">
        <v>2</v>
      </c>
      <c r="BX229" s="1" t="s">
        <v>407</v>
      </c>
      <c r="BY229" s="1">
        <v>0</v>
      </c>
      <c r="BZ229" s="5"/>
      <c r="CA229" s="1">
        <v>28.126729999999998</v>
      </c>
      <c r="CB229" s="1">
        <v>-82.834400000000002</v>
      </c>
      <c r="CC229" s="5"/>
      <c r="CD229" s="1">
        <v>0</v>
      </c>
      <c r="CE229" s="5"/>
      <c r="CF229" s="1">
        <v>0</v>
      </c>
      <c r="CG229" s="5"/>
      <c r="CH229" s="1">
        <v>0</v>
      </c>
      <c r="CI229" s="5"/>
      <c r="CJ229" s="1">
        <v>0</v>
      </c>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5"/>
      <c r="KY229" s="5"/>
      <c r="KZ229" s="5"/>
      <c r="LA229" s="5"/>
      <c r="LB229" s="5"/>
      <c r="LC229" s="5"/>
      <c r="LD229" s="5"/>
      <c r="LE229" s="5"/>
      <c r="LF229" s="5"/>
      <c r="LG229" s="5"/>
      <c r="LH229" s="5"/>
      <c r="LI229" s="5"/>
      <c r="LJ229" s="5"/>
      <c r="LK229" s="5"/>
      <c r="LL229" s="5"/>
      <c r="LM229" s="5"/>
      <c r="LN229" s="5"/>
      <c r="LO229" s="5"/>
      <c r="LP229" s="5"/>
      <c r="LQ229" s="5"/>
      <c r="LR229" s="5"/>
      <c r="LS229" s="5"/>
      <c r="LT229" s="5"/>
      <c r="LU229" s="5"/>
      <c r="LV229" s="5"/>
      <c r="LW229" s="5"/>
      <c r="LX229" s="5"/>
    </row>
    <row r="230" spans="1:336" ht="15" x14ac:dyDescent="0.25">
      <c r="A230" s="1" t="s">
        <v>1223</v>
      </c>
      <c r="B230" s="2">
        <v>28.105740000000001</v>
      </c>
      <c r="C230" s="2">
        <v>-82.828500000000005</v>
      </c>
      <c r="D230" s="2">
        <v>28.113589999999999</v>
      </c>
      <c r="E230" s="2">
        <v>-82.837000000000003</v>
      </c>
      <c r="F230" s="3">
        <v>43133</v>
      </c>
      <c r="G230" s="1" t="s">
        <v>1224</v>
      </c>
      <c r="H230" s="1" t="s">
        <v>1225</v>
      </c>
      <c r="I230" s="1" t="s">
        <v>329</v>
      </c>
      <c r="J230" s="4">
        <v>0.39583333333333331</v>
      </c>
      <c r="K230" s="1" t="s">
        <v>368</v>
      </c>
      <c r="L230" s="1" t="s">
        <v>369</v>
      </c>
      <c r="M230" s="5"/>
      <c r="N230" s="1" t="s">
        <v>333</v>
      </c>
      <c r="O230" s="2">
        <v>5</v>
      </c>
      <c r="P230" s="2"/>
      <c r="Q230" s="2">
        <v>39</v>
      </c>
      <c r="R230" s="2">
        <v>130</v>
      </c>
      <c r="S230" s="2"/>
      <c r="T230" s="2"/>
      <c r="U230" s="2">
        <v>48</v>
      </c>
      <c r="V230" s="2"/>
      <c r="W230" s="2"/>
      <c r="X230" s="2"/>
      <c r="Y230" s="2">
        <v>80</v>
      </c>
      <c r="Z230" s="2"/>
      <c r="AA230" s="2"/>
      <c r="AB230" s="2">
        <v>37</v>
      </c>
      <c r="AC230" s="2">
        <v>79</v>
      </c>
      <c r="AD230" s="2">
        <v>42</v>
      </c>
      <c r="AE230" s="2">
        <v>62</v>
      </c>
      <c r="AF230" s="2">
        <v>64</v>
      </c>
      <c r="AG230" s="2"/>
      <c r="AH230" s="2">
        <v>7</v>
      </c>
      <c r="AI230" s="2"/>
      <c r="AJ230" s="2">
        <v>23</v>
      </c>
      <c r="AK230" s="2"/>
      <c r="AL230" s="2">
        <v>2</v>
      </c>
      <c r="AM230" s="2">
        <v>9</v>
      </c>
      <c r="AN230" s="2"/>
      <c r="AO230" s="2"/>
      <c r="AP230" s="2"/>
      <c r="AQ230" s="2"/>
      <c r="AR230" s="2"/>
      <c r="AS230" s="2"/>
      <c r="AT230" s="2">
        <v>35</v>
      </c>
      <c r="AU230" s="2"/>
      <c r="AV230" s="2"/>
      <c r="AW230" s="2">
        <v>150</v>
      </c>
      <c r="AX230" s="2">
        <v>3</v>
      </c>
      <c r="AY230" s="2"/>
      <c r="AZ230" s="2"/>
      <c r="BA230" s="2">
        <v>7</v>
      </c>
      <c r="BB230" s="2">
        <v>109</v>
      </c>
      <c r="BC230" s="2"/>
      <c r="BD230" s="2">
        <v>33</v>
      </c>
      <c r="BE230" s="2">
        <v>10</v>
      </c>
      <c r="BF230" s="2"/>
      <c r="BG230" s="2"/>
      <c r="BH230" s="2"/>
      <c r="BI230" s="1">
        <v>2</v>
      </c>
      <c r="BJ230" s="1" t="s">
        <v>407</v>
      </c>
      <c r="BK230" s="1">
        <v>0</v>
      </c>
      <c r="BL230" s="5"/>
      <c r="BM230" s="1">
        <v>28.108920000000001</v>
      </c>
      <c r="BN230" s="1">
        <v>-82.834199999999996</v>
      </c>
      <c r="BO230" s="1">
        <v>0</v>
      </c>
      <c r="BP230" s="5"/>
      <c r="BQ230" s="1">
        <v>0</v>
      </c>
      <c r="BR230" s="5"/>
      <c r="BS230" s="1">
        <v>0</v>
      </c>
      <c r="BT230" s="5"/>
      <c r="BU230" s="1">
        <v>0</v>
      </c>
      <c r="BV230" s="5"/>
      <c r="BW230" s="1">
        <v>0</v>
      </c>
      <c r="BX230" s="5"/>
      <c r="BY230" s="1">
        <v>0</v>
      </c>
      <c r="BZ230" s="5"/>
      <c r="CA230" s="1">
        <v>28.111709999999999</v>
      </c>
      <c r="CB230" s="1">
        <v>-82.837000000000003</v>
      </c>
      <c r="CC230" s="5"/>
      <c r="CD230" s="1">
        <v>29</v>
      </c>
      <c r="CE230" s="1" t="s">
        <v>1226</v>
      </c>
      <c r="CF230" s="1">
        <v>0</v>
      </c>
      <c r="CG230" s="5"/>
      <c r="CH230" s="1">
        <v>0</v>
      </c>
      <c r="CI230" s="5"/>
      <c r="CJ230" s="1">
        <v>0</v>
      </c>
      <c r="CK230" s="5"/>
      <c r="CL230" s="1">
        <v>0</v>
      </c>
      <c r="CM230" s="5"/>
      <c r="CN230" s="1">
        <v>0</v>
      </c>
      <c r="CO230" s="5"/>
      <c r="CP230" s="1">
        <v>28.105329999999999</v>
      </c>
      <c r="CQ230" s="1">
        <v>-82.832599999999999</v>
      </c>
      <c r="CR230" s="5"/>
      <c r="CS230" s="1">
        <v>0</v>
      </c>
      <c r="CT230" s="5"/>
      <c r="CU230" s="1">
        <v>79</v>
      </c>
      <c r="CV230" s="1" t="s">
        <v>1227</v>
      </c>
      <c r="CW230" s="1">
        <v>0</v>
      </c>
      <c r="CX230" s="5"/>
      <c r="CY230" s="1">
        <v>9</v>
      </c>
      <c r="CZ230" s="1" t="s">
        <v>407</v>
      </c>
      <c r="DA230" s="1">
        <v>0</v>
      </c>
      <c r="DB230" s="5"/>
      <c r="DC230" s="1">
        <v>0</v>
      </c>
      <c r="DD230" s="5"/>
      <c r="DE230" s="1">
        <v>28.113589999999999</v>
      </c>
      <c r="DF230" s="1">
        <v>-82.837000000000003</v>
      </c>
      <c r="DG230" s="5"/>
      <c r="DH230" s="1">
        <v>0</v>
      </c>
      <c r="DI230" s="5"/>
      <c r="DJ230" s="1">
        <v>0</v>
      </c>
      <c r="DK230" s="5"/>
      <c r="DL230" s="1">
        <v>7</v>
      </c>
      <c r="DM230" s="1" t="s">
        <v>407</v>
      </c>
      <c r="DN230" s="1">
        <v>0</v>
      </c>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c r="JW230" s="5"/>
      <c r="JX230" s="5"/>
      <c r="JY230" s="5"/>
      <c r="JZ230" s="5"/>
      <c r="KA230" s="5"/>
      <c r="KB230" s="5"/>
      <c r="KC230" s="5"/>
      <c r="KD230" s="5"/>
      <c r="KE230" s="5"/>
      <c r="KF230" s="5"/>
      <c r="KG230" s="5"/>
      <c r="KH230" s="5"/>
      <c r="KI230" s="5"/>
      <c r="KJ230" s="5"/>
      <c r="KK230" s="5"/>
      <c r="KL230" s="5"/>
      <c r="KM230" s="5"/>
      <c r="KN230" s="5"/>
      <c r="KO230" s="5"/>
      <c r="KP230" s="5"/>
      <c r="KQ230" s="5"/>
      <c r="KR230" s="5"/>
      <c r="KS230" s="5"/>
      <c r="KT230" s="5"/>
      <c r="KU230" s="5"/>
      <c r="KV230" s="5"/>
      <c r="KW230" s="5"/>
      <c r="KX230" s="5"/>
      <c r="KY230" s="5"/>
      <c r="KZ230" s="5"/>
      <c r="LA230" s="5"/>
      <c r="LB230" s="5"/>
      <c r="LC230" s="5"/>
      <c r="LD230" s="5"/>
      <c r="LE230" s="5"/>
      <c r="LF230" s="5"/>
      <c r="LG230" s="5"/>
      <c r="LH230" s="5"/>
      <c r="LI230" s="5"/>
      <c r="LJ230" s="5"/>
      <c r="LK230" s="5"/>
      <c r="LL230" s="5"/>
      <c r="LM230" s="5"/>
      <c r="LN230" s="5"/>
      <c r="LO230" s="5"/>
      <c r="LP230" s="5"/>
      <c r="LQ230" s="5"/>
      <c r="LR230" s="5"/>
      <c r="LS230" s="5"/>
      <c r="LT230" s="5"/>
      <c r="LU230" s="5"/>
      <c r="LV230" s="5"/>
      <c r="LW230" s="5"/>
      <c r="LX230" s="5"/>
    </row>
    <row r="231" spans="1:336" ht="15" x14ac:dyDescent="0.25">
      <c r="A231" s="1" t="s">
        <v>1228</v>
      </c>
      <c r="B231" s="2">
        <v>29.88824</v>
      </c>
      <c r="C231" s="2">
        <v>-81.286699999999996</v>
      </c>
      <c r="D231" s="2">
        <v>29.90361</v>
      </c>
      <c r="E231" s="2">
        <v>-81.307699999999997</v>
      </c>
      <c r="F231" s="3">
        <v>43139</v>
      </c>
      <c r="G231" s="1" t="s">
        <v>1229</v>
      </c>
      <c r="H231" s="1" t="s">
        <v>1230</v>
      </c>
      <c r="I231" s="1" t="s">
        <v>387</v>
      </c>
      <c r="J231" s="4">
        <v>0.54652777777777772</v>
      </c>
      <c r="K231" s="1" t="s">
        <v>368</v>
      </c>
      <c r="L231" s="1" t="s">
        <v>331</v>
      </c>
      <c r="M231" s="5"/>
      <c r="N231" s="1" t="s">
        <v>479</v>
      </c>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1">
        <v>1</v>
      </c>
      <c r="BJ231" s="5"/>
      <c r="BK231" s="5"/>
      <c r="BL231" s="5"/>
      <c r="BM231" s="1">
        <v>29.96453</v>
      </c>
      <c r="BN231" s="1">
        <v>-81.324799999999996</v>
      </c>
      <c r="BO231" s="5"/>
      <c r="BP231" s="5"/>
      <c r="BQ231" s="5"/>
      <c r="BR231" s="5"/>
      <c r="BS231" s="5"/>
      <c r="BT231" s="5"/>
      <c r="BU231" s="5"/>
      <c r="BV231" s="5"/>
      <c r="BW231" s="1">
        <v>2</v>
      </c>
      <c r="BX231" s="1" t="s">
        <v>1231</v>
      </c>
      <c r="BY231" s="5"/>
      <c r="BZ231" s="5"/>
      <c r="CA231" s="1">
        <v>29.981660000000002</v>
      </c>
      <c r="CB231" s="1">
        <v>-81.327200000000005</v>
      </c>
      <c r="CC231" s="5"/>
      <c r="CD231" s="5"/>
      <c r="CE231" s="5"/>
      <c r="CF231" s="5"/>
      <c r="CG231" s="5"/>
      <c r="CH231" s="5"/>
      <c r="CI231" s="5"/>
      <c r="CJ231" s="5"/>
      <c r="CK231" s="5"/>
      <c r="CL231" s="1">
        <v>2</v>
      </c>
      <c r="CM231" s="1" t="s">
        <v>1232</v>
      </c>
      <c r="CN231" s="5"/>
      <c r="CO231" s="5"/>
      <c r="CP231" s="1">
        <v>30.022290000000002</v>
      </c>
      <c r="CQ231" s="1">
        <v>-81.355400000000003</v>
      </c>
      <c r="CR231" s="5"/>
      <c r="CS231" s="5"/>
      <c r="CT231" s="5"/>
      <c r="CU231" s="5"/>
      <c r="CV231" s="5"/>
      <c r="CW231" s="5"/>
      <c r="CX231" s="5"/>
      <c r="CY231" s="5"/>
      <c r="CZ231" s="5"/>
      <c r="DA231" s="1">
        <v>2</v>
      </c>
      <c r="DB231" s="1" t="s">
        <v>1233</v>
      </c>
      <c r="DC231" s="5"/>
      <c r="DD231" s="5"/>
      <c r="DE231" s="1">
        <v>30.000820000000001</v>
      </c>
      <c r="DF231" s="1">
        <v>-81.342600000000004</v>
      </c>
      <c r="DG231" s="5"/>
      <c r="DH231" s="5"/>
      <c r="DI231" s="5"/>
      <c r="DJ231" s="5"/>
      <c r="DK231" s="5"/>
      <c r="DL231" s="5"/>
      <c r="DM231" s="5"/>
      <c r="DN231" s="5"/>
      <c r="DO231" s="5"/>
      <c r="DP231" s="1">
        <v>1</v>
      </c>
      <c r="DQ231" s="5"/>
      <c r="DR231" s="5"/>
      <c r="DS231" s="5"/>
      <c r="DT231" s="1">
        <v>30.00882</v>
      </c>
      <c r="DU231" s="1">
        <v>-81.347700000000003</v>
      </c>
      <c r="DV231" s="5"/>
      <c r="DW231" s="5"/>
      <c r="DX231" s="5"/>
      <c r="DY231" s="5"/>
      <c r="DZ231" s="5"/>
      <c r="EA231" s="5"/>
      <c r="EB231" s="5"/>
      <c r="EC231" s="5"/>
      <c r="ED231" s="5"/>
      <c r="EE231" s="1">
        <v>2</v>
      </c>
      <c r="EF231" s="1" t="s">
        <v>1234</v>
      </c>
      <c r="EG231" s="5"/>
      <c r="EH231" s="5"/>
      <c r="EI231" s="1">
        <v>30.005500000000001</v>
      </c>
      <c r="EJ231" s="1">
        <v>-81.346800000000002</v>
      </c>
      <c r="EK231" s="5"/>
      <c r="EL231" s="5"/>
      <c r="EM231" s="5"/>
      <c r="EN231" s="5"/>
      <c r="EO231" s="5"/>
      <c r="EP231" s="5"/>
      <c r="EQ231" s="5"/>
      <c r="ER231" s="5"/>
      <c r="ES231" s="5"/>
      <c r="ET231" s="1">
        <v>2</v>
      </c>
      <c r="EU231" s="1" t="s">
        <v>1235</v>
      </c>
      <c r="EV231" s="5"/>
      <c r="EW231" s="5"/>
      <c r="EX231" s="1">
        <v>29.997610000000002</v>
      </c>
      <c r="EY231" s="1">
        <v>-81.3369</v>
      </c>
      <c r="EZ231" s="5"/>
      <c r="FA231" s="5"/>
      <c r="FB231" s="5"/>
      <c r="FC231" s="5"/>
      <c r="FD231" s="5"/>
      <c r="FE231" s="5"/>
      <c r="FF231" s="5"/>
      <c r="FG231" s="5"/>
      <c r="FH231" s="5"/>
      <c r="FI231" s="1">
        <v>2</v>
      </c>
      <c r="FJ231" s="5"/>
      <c r="FK231" s="5"/>
      <c r="FL231" s="5"/>
      <c r="FM231" s="1">
        <v>29.987100000000002</v>
      </c>
      <c r="FN231" s="1">
        <v>-81.331999999999994</v>
      </c>
      <c r="FO231" s="5"/>
      <c r="FP231" s="5"/>
      <c r="FQ231" s="5"/>
      <c r="FR231" s="5"/>
      <c r="FS231" s="5"/>
      <c r="FT231" s="5"/>
      <c r="FU231" s="5"/>
      <c r="FV231" s="5"/>
      <c r="FW231" s="5"/>
      <c r="FX231" s="1">
        <v>2</v>
      </c>
      <c r="FY231" s="5"/>
      <c r="FZ231" s="5"/>
      <c r="GA231" s="5"/>
      <c r="GB231" s="1">
        <v>29.97878</v>
      </c>
      <c r="GC231" s="1">
        <v>-81.332300000000004</v>
      </c>
      <c r="GD231" s="5"/>
      <c r="GE231" s="5"/>
      <c r="GF231" s="5"/>
      <c r="GG231" s="5"/>
      <c r="GH231" s="5"/>
      <c r="GI231" s="5"/>
      <c r="GJ231" s="5"/>
      <c r="GK231" s="5"/>
      <c r="GL231" s="5"/>
      <c r="GM231" s="1">
        <v>18</v>
      </c>
      <c r="GN231" s="1" t="s">
        <v>1236</v>
      </c>
      <c r="GO231" s="5"/>
      <c r="GP231" s="5"/>
      <c r="GQ231" s="1">
        <v>29.969259999999998</v>
      </c>
      <c r="GR231" s="1">
        <v>-81.331100000000006</v>
      </c>
      <c r="GS231" s="5"/>
      <c r="GT231" s="5"/>
      <c r="GU231" s="5"/>
      <c r="GV231" s="5"/>
      <c r="GW231" s="5"/>
      <c r="GX231" s="5"/>
      <c r="GY231" s="5"/>
      <c r="GZ231" s="5"/>
      <c r="HA231" s="5"/>
      <c r="HB231" s="1">
        <v>2</v>
      </c>
      <c r="HC231" s="5"/>
      <c r="HD231" s="5"/>
      <c r="HE231" s="5"/>
      <c r="HF231" s="1">
        <v>29.96349</v>
      </c>
      <c r="HG231" s="1">
        <v>-81.330299999999994</v>
      </c>
      <c r="HH231" s="5"/>
      <c r="HI231" s="5"/>
      <c r="HJ231" s="5"/>
      <c r="HK231" s="5"/>
      <c r="HL231" s="5"/>
      <c r="HM231" s="5"/>
      <c r="HN231" s="5"/>
      <c r="HO231" s="5"/>
      <c r="HP231" s="5"/>
      <c r="HQ231" s="1">
        <v>5</v>
      </c>
      <c r="HR231" s="1" t="s">
        <v>1237</v>
      </c>
      <c r="HS231" s="5"/>
      <c r="HT231" s="5"/>
      <c r="HU231" s="1">
        <v>29.956330000000001</v>
      </c>
      <c r="HV231" s="1">
        <v>-81.320499999999996</v>
      </c>
      <c r="HW231" s="5"/>
      <c r="HX231" s="5"/>
      <c r="HY231" s="5"/>
      <c r="HZ231" s="5"/>
      <c r="IA231" s="5"/>
      <c r="IB231" s="5"/>
      <c r="IC231" s="5"/>
      <c r="ID231" s="5"/>
      <c r="IE231" s="5"/>
      <c r="IF231" s="1">
        <v>2</v>
      </c>
      <c r="IG231" s="1" t="s">
        <v>1238</v>
      </c>
      <c r="IH231" s="5"/>
      <c r="II231" s="5"/>
      <c r="IJ231" s="1">
        <v>29.951750000000001</v>
      </c>
      <c r="IK231" s="1">
        <v>-81.315600000000003</v>
      </c>
      <c r="IL231" s="5"/>
      <c r="IM231" s="5"/>
      <c r="IN231" s="5"/>
      <c r="IO231" s="5"/>
      <c r="IP231" s="5"/>
      <c r="IQ231" s="5"/>
      <c r="IR231" s="5"/>
      <c r="IS231" s="5"/>
      <c r="IT231" s="5"/>
      <c r="IU231" s="1">
        <v>2</v>
      </c>
      <c r="IV231" s="5"/>
      <c r="IW231" s="5"/>
      <c r="IX231" s="5"/>
      <c r="IY231" s="1">
        <v>29.909600000000001</v>
      </c>
      <c r="IZ231" s="1">
        <v>-81.304599999999994</v>
      </c>
      <c r="JA231" s="5"/>
      <c r="JB231" s="5"/>
      <c r="JC231" s="5"/>
      <c r="JD231" s="5"/>
      <c r="JE231" s="5"/>
      <c r="JF231" s="5"/>
      <c r="JG231" s="5"/>
      <c r="JH231" s="5"/>
      <c r="JI231" s="5"/>
      <c r="JJ231" s="1">
        <v>2</v>
      </c>
      <c r="JK231" s="1" t="s">
        <v>1239</v>
      </c>
      <c r="JL231" s="1">
        <v>35</v>
      </c>
      <c r="JM231" s="5"/>
      <c r="JN231" s="1">
        <v>29.902049999999999</v>
      </c>
      <c r="JO231" s="1">
        <v>-81.307699999999997</v>
      </c>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5"/>
      <c r="KY231" s="5"/>
      <c r="KZ231" s="5"/>
      <c r="LA231" s="5"/>
      <c r="LB231" s="5"/>
      <c r="LC231" s="5"/>
      <c r="LD231" s="5"/>
      <c r="LE231" s="5"/>
      <c r="LF231" s="5"/>
      <c r="LG231" s="5"/>
      <c r="LH231" s="5"/>
      <c r="LI231" s="5"/>
      <c r="LJ231" s="5"/>
      <c r="LK231" s="5"/>
      <c r="LL231" s="5"/>
      <c r="LM231" s="5"/>
      <c r="LN231" s="5"/>
      <c r="LO231" s="5"/>
      <c r="LP231" s="5"/>
      <c r="LQ231" s="5"/>
      <c r="LR231" s="5"/>
      <c r="LS231" s="5"/>
      <c r="LT231" s="5"/>
      <c r="LU231" s="5"/>
      <c r="LV231" s="5"/>
      <c r="LW231" s="5"/>
      <c r="LX231" s="5"/>
    </row>
    <row r="232" spans="1:336" ht="15" x14ac:dyDescent="0.25">
      <c r="A232" s="1" t="s">
        <v>1240</v>
      </c>
      <c r="B232" s="2">
        <v>30.366679999999999</v>
      </c>
      <c r="C232" s="2">
        <v>-86.316800000000001</v>
      </c>
      <c r="D232" s="2">
        <v>30.35502</v>
      </c>
      <c r="E232" s="2">
        <v>-86.263900000000007</v>
      </c>
      <c r="F232" s="3">
        <v>43136</v>
      </c>
      <c r="G232" s="1" t="s">
        <v>373</v>
      </c>
      <c r="H232" s="1" t="s">
        <v>374</v>
      </c>
      <c r="I232" s="1" t="s">
        <v>329</v>
      </c>
      <c r="J232" s="4">
        <v>0.59166666666666667</v>
      </c>
      <c r="K232" s="1" t="s">
        <v>368</v>
      </c>
      <c r="L232" s="1" t="s">
        <v>364</v>
      </c>
      <c r="M232" s="1" t="s">
        <v>1241</v>
      </c>
      <c r="N232" s="1" t="s">
        <v>333</v>
      </c>
      <c r="O232" s="2"/>
      <c r="P232" s="2"/>
      <c r="Q232" s="2"/>
      <c r="R232" s="2">
        <v>2</v>
      </c>
      <c r="S232" s="2"/>
      <c r="T232" s="2"/>
      <c r="U232" s="2"/>
      <c r="V232" s="2"/>
      <c r="W232" s="2"/>
      <c r="X232" s="2"/>
      <c r="Y232" s="2"/>
      <c r="Z232" s="2"/>
      <c r="AA232" s="2"/>
      <c r="AB232" s="2"/>
      <c r="AC232" s="2"/>
      <c r="AD232" s="2"/>
      <c r="AE232" s="2">
        <v>59</v>
      </c>
      <c r="AF232" s="2"/>
      <c r="AG232" s="2"/>
      <c r="AH232" s="2">
        <v>5</v>
      </c>
      <c r="AI232" s="2"/>
      <c r="AJ232" s="2"/>
      <c r="AK232" s="2"/>
      <c r="AL232" s="2">
        <v>3</v>
      </c>
      <c r="AM232" s="2"/>
      <c r="AN232" s="2"/>
      <c r="AO232" s="2"/>
      <c r="AP232" s="2"/>
      <c r="AQ232" s="2"/>
      <c r="AR232" s="2">
        <v>299</v>
      </c>
      <c r="AS232" s="2"/>
      <c r="AT232" s="2"/>
      <c r="AU232" s="2"/>
      <c r="AV232" s="2"/>
      <c r="AW232" s="2"/>
      <c r="AX232" s="2"/>
      <c r="AY232" s="2"/>
      <c r="AZ232" s="2"/>
      <c r="BA232" s="2"/>
      <c r="BB232" s="2"/>
      <c r="BC232" s="2"/>
      <c r="BD232" s="2">
        <v>4</v>
      </c>
      <c r="BE232" s="2"/>
      <c r="BF232" s="2"/>
      <c r="BG232" s="2"/>
      <c r="BH232" s="2"/>
      <c r="BI232" s="5"/>
      <c r="BJ232" s="5"/>
      <c r="BK232" s="5"/>
      <c r="BL232" s="5"/>
      <c r="BM232" s="1">
        <v>30.365729999999999</v>
      </c>
      <c r="BN232" s="1">
        <v>-86.310100000000006</v>
      </c>
      <c r="BO232" s="5"/>
      <c r="BP232" s="5"/>
      <c r="BQ232" s="5"/>
      <c r="BR232" s="5"/>
      <c r="BS232" s="1">
        <v>5</v>
      </c>
      <c r="BT232" s="1" t="s">
        <v>1242</v>
      </c>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c r="JW232" s="5"/>
      <c r="JX232" s="5"/>
      <c r="JY232" s="5"/>
      <c r="JZ232" s="5"/>
      <c r="KA232" s="5"/>
      <c r="KB232" s="5"/>
      <c r="KC232" s="5"/>
      <c r="KD232" s="5"/>
      <c r="KE232" s="5"/>
      <c r="KF232" s="5"/>
      <c r="KG232" s="5"/>
      <c r="KH232" s="5"/>
      <c r="KI232" s="5"/>
      <c r="KJ232" s="5"/>
      <c r="KK232" s="5"/>
      <c r="KL232" s="5"/>
      <c r="KM232" s="5"/>
      <c r="KN232" s="5"/>
      <c r="KO232" s="5"/>
      <c r="KP232" s="5"/>
      <c r="KQ232" s="5"/>
      <c r="KR232" s="5"/>
      <c r="KS232" s="5"/>
      <c r="KT232" s="5"/>
      <c r="KU232" s="5"/>
      <c r="KV232" s="5"/>
      <c r="KW232" s="5"/>
      <c r="KX232" s="5"/>
      <c r="KY232" s="5"/>
      <c r="KZ232" s="5"/>
      <c r="LA232" s="5"/>
      <c r="LB232" s="5"/>
      <c r="LC232" s="5"/>
      <c r="LD232" s="5"/>
      <c r="LE232" s="5"/>
      <c r="LF232" s="5"/>
      <c r="LG232" s="5"/>
      <c r="LH232" s="5"/>
      <c r="LI232" s="5"/>
      <c r="LJ232" s="5"/>
      <c r="LK232" s="5"/>
      <c r="LL232" s="5"/>
      <c r="LM232" s="5"/>
      <c r="LN232" s="5"/>
      <c r="LO232" s="5"/>
      <c r="LP232" s="5"/>
      <c r="LQ232" s="5"/>
      <c r="LR232" s="5"/>
      <c r="LS232" s="5"/>
      <c r="LT232" s="5"/>
      <c r="LU232" s="5"/>
      <c r="LV232" s="5"/>
      <c r="LW232" s="5"/>
      <c r="LX232" s="5"/>
    </row>
    <row r="233" spans="1:336" ht="15" x14ac:dyDescent="0.25">
      <c r="A233" s="1" t="s">
        <v>1243</v>
      </c>
      <c r="B233" s="2">
        <v>27.7805</v>
      </c>
      <c r="C233" s="2">
        <v>-82.783500000000004</v>
      </c>
      <c r="D233" s="2">
        <v>27.755800000000001</v>
      </c>
      <c r="E233" s="2">
        <v>-82.765500000000003</v>
      </c>
      <c r="F233" s="3">
        <v>43137</v>
      </c>
      <c r="G233" s="1" t="s">
        <v>1031</v>
      </c>
      <c r="H233" s="1" t="s">
        <v>996</v>
      </c>
      <c r="I233" s="1" t="s">
        <v>329</v>
      </c>
      <c r="J233" s="4">
        <v>0.31597222222222221</v>
      </c>
      <c r="K233" s="1" t="s">
        <v>375</v>
      </c>
      <c r="L233" s="1" t="s">
        <v>369</v>
      </c>
      <c r="M233" s="1" t="s">
        <v>1244</v>
      </c>
      <c r="N233" s="1" t="s">
        <v>333</v>
      </c>
      <c r="O233" s="2"/>
      <c r="P233" s="2"/>
      <c r="Q233" s="2"/>
      <c r="R233" s="2"/>
      <c r="S233" s="2"/>
      <c r="T233" s="2"/>
      <c r="U233" s="2"/>
      <c r="V233" s="2"/>
      <c r="W233" s="2"/>
      <c r="X233" s="2"/>
      <c r="Y233" s="2"/>
      <c r="Z233" s="2"/>
      <c r="AA233" s="2"/>
      <c r="AB233" s="2"/>
      <c r="AC233" s="2"/>
      <c r="AD233" s="2">
        <v>1</v>
      </c>
      <c r="AE233" s="2">
        <v>42</v>
      </c>
      <c r="AF233" s="2"/>
      <c r="AG233" s="2"/>
      <c r="AH233" s="2"/>
      <c r="AI233" s="2"/>
      <c r="AJ233" s="2"/>
      <c r="AK233" s="2"/>
      <c r="AL233" s="2">
        <v>32</v>
      </c>
      <c r="AM233" s="2"/>
      <c r="AN233" s="2"/>
      <c r="AO233" s="2"/>
      <c r="AP233" s="2"/>
      <c r="AQ233" s="2">
        <v>3</v>
      </c>
      <c r="AR233" s="2"/>
      <c r="AS233" s="2"/>
      <c r="AT233" s="2"/>
      <c r="AU233" s="2"/>
      <c r="AV233" s="2"/>
      <c r="AW233" s="2"/>
      <c r="AX233" s="2">
        <v>2</v>
      </c>
      <c r="AY233" s="2"/>
      <c r="AZ233" s="2"/>
      <c r="BA233" s="2">
        <v>1</v>
      </c>
      <c r="BB233" s="2">
        <v>132</v>
      </c>
      <c r="BC233" s="2">
        <v>2</v>
      </c>
      <c r="BD233" s="2">
        <v>157</v>
      </c>
      <c r="BE233" s="2">
        <v>204</v>
      </c>
      <c r="BF233" s="2">
        <v>7</v>
      </c>
      <c r="BG233" s="2"/>
      <c r="BH233" s="2"/>
      <c r="BI233" s="5"/>
      <c r="BJ233" s="5"/>
      <c r="BK233" s="1">
        <v>3</v>
      </c>
      <c r="BL233" s="5"/>
      <c r="BM233" s="1">
        <v>27.773599999999998</v>
      </c>
      <c r="BN233" s="1">
        <v>-82.779300000000006</v>
      </c>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5"/>
      <c r="KY233" s="5"/>
      <c r="KZ233" s="5"/>
      <c r="LA233" s="5"/>
      <c r="LB233" s="5"/>
      <c r="LC233" s="5"/>
      <c r="LD233" s="5"/>
      <c r="LE233" s="5"/>
      <c r="LF233" s="5"/>
      <c r="LG233" s="5"/>
      <c r="LH233" s="5"/>
      <c r="LI233" s="5"/>
      <c r="LJ233" s="5"/>
      <c r="LK233" s="5"/>
      <c r="LL233" s="5"/>
      <c r="LM233" s="5"/>
      <c r="LN233" s="5"/>
      <c r="LO233" s="5"/>
      <c r="LP233" s="5"/>
      <c r="LQ233" s="5"/>
      <c r="LR233" s="5"/>
      <c r="LS233" s="5"/>
      <c r="LT233" s="5"/>
      <c r="LU233" s="5"/>
      <c r="LV233" s="5"/>
      <c r="LW233" s="5"/>
      <c r="LX233" s="5"/>
    </row>
    <row r="234" spans="1:336" ht="15" x14ac:dyDescent="0.25">
      <c r="A234" s="1" t="s">
        <v>1245</v>
      </c>
      <c r="B234" s="2">
        <v>29.914999999999999</v>
      </c>
      <c r="C234" s="2">
        <v>-84.511600000000001</v>
      </c>
      <c r="D234" s="2">
        <v>29.912230000000001</v>
      </c>
      <c r="E234" s="2">
        <v>-84.488</v>
      </c>
      <c r="F234" s="3">
        <v>43138</v>
      </c>
      <c r="G234" s="1" t="s">
        <v>939</v>
      </c>
      <c r="H234" s="1" t="s">
        <v>940</v>
      </c>
      <c r="I234" s="1" t="s">
        <v>387</v>
      </c>
      <c r="J234" s="4">
        <v>0.57986111111111116</v>
      </c>
      <c r="K234" s="1" t="s">
        <v>375</v>
      </c>
      <c r="L234" s="1" t="s">
        <v>369</v>
      </c>
      <c r="M234" s="1" t="s">
        <v>1246</v>
      </c>
      <c r="N234" s="1" t="s">
        <v>333</v>
      </c>
      <c r="O234" s="2">
        <v>1</v>
      </c>
      <c r="P234" s="2"/>
      <c r="Q234" s="2">
        <v>1</v>
      </c>
      <c r="R234" s="2">
        <v>4</v>
      </c>
      <c r="S234" s="2"/>
      <c r="T234" s="2"/>
      <c r="U234" s="2"/>
      <c r="V234" s="2"/>
      <c r="W234" s="2"/>
      <c r="X234" s="2"/>
      <c r="Y234" s="2"/>
      <c r="Z234" s="2"/>
      <c r="AA234" s="2"/>
      <c r="AB234" s="2"/>
      <c r="AC234" s="2"/>
      <c r="AD234" s="2"/>
      <c r="AE234" s="2"/>
      <c r="AF234" s="2"/>
      <c r="AG234" s="2"/>
      <c r="AH234" s="2"/>
      <c r="AI234" s="2"/>
      <c r="AJ234" s="2"/>
      <c r="AK234" s="2"/>
      <c r="AL234" s="2">
        <v>3</v>
      </c>
      <c r="AM234" s="2"/>
      <c r="AN234" s="2"/>
      <c r="AO234" s="2"/>
      <c r="AP234" s="2"/>
      <c r="AQ234" s="2"/>
      <c r="AR234" s="2"/>
      <c r="AS234" s="2"/>
      <c r="AT234" s="2"/>
      <c r="AU234" s="2"/>
      <c r="AV234" s="2"/>
      <c r="AW234" s="2"/>
      <c r="AX234" s="2"/>
      <c r="AY234" s="2"/>
      <c r="AZ234" s="2"/>
      <c r="BA234" s="2"/>
      <c r="BB234" s="2"/>
      <c r="BC234" s="2"/>
      <c r="BD234" s="2"/>
      <c r="BE234" s="2"/>
      <c r="BF234" s="2"/>
      <c r="BG234" s="2"/>
      <c r="BH234" s="2"/>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c r="LI234" s="5"/>
      <c r="LJ234" s="5"/>
      <c r="LK234" s="5"/>
      <c r="LL234" s="5"/>
      <c r="LM234" s="5"/>
      <c r="LN234" s="5"/>
      <c r="LO234" s="5"/>
      <c r="LP234" s="5"/>
      <c r="LQ234" s="5"/>
      <c r="LR234" s="5"/>
      <c r="LS234" s="5"/>
      <c r="LT234" s="5"/>
      <c r="LU234" s="5"/>
      <c r="LV234" s="5"/>
      <c r="LW234" s="5"/>
      <c r="LX234" s="5"/>
    </row>
    <row r="235" spans="1:336" ht="15" x14ac:dyDescent="0.25">
      <c r="A235" s="1" t="s">
        <v>1247</v>
      </c>
      <c r="B235" s="2">
        <v>30.052910000000001</v>
      </c>
      <c r="C235" s="2">
        <v>-85.600700000000003</v>
      </c>
      <c r="D235" s="2">
        <v>30.089189999999999</v>
      </c>
      <c r="E235" s="2">
        <v>-85.678899999999999</v>
      </c>
      <c r="F235" s="3">
        <v>43133</v>
      </c>
      <c r="G235" s="1" t="s">
        <v>373</v>
      </c>
      <c r="H235" s="1" t="s">
        <v>374</v>
      </c>
      <c r="I235" s="1" t="s">
        <v>329</v>
      </c>
      <c r="J235" s="4">
        <v>0.3527777777777778</v>
      </c>
      <c r="K235" s="1" t="s">
        <v>368</v>
      </c>
      <c r="L235" s="1" t="s">
        <v>331</v>
      </c>
      <c r="M235" s="1" t="s">
        <v>1248</v>
      </c>
      <c r="N235" s="1" t="s">
        <v>333</v>
      </c>
      <c r="O235" s="2"/>
      <c r="P235" s="2"/>
      <c r="Q235" s="2">
        <v>17</v>
      </c>
      <c r="R235" s="2">
        <v>61</v>
      </c>
      <c r="S235" s="2"/>
      <c r="T235" s="2">
        <v>2</v>
      </c>
      <c r="U235" s="2"/>
      <c r="V235" s="2"/>
      <c r="W235" s="2"/>
      <c r="X235" s="2"/>
      <c r="Y235" s="2"/>
      <c r="Z235" s="2"/>
      <c r="AA235" s="2"/>
      <c r="AB235" s="2">
        <v>7</v>
      </c>
      <c r="AC235" s="2"/>
      <c r="AD235" s="2"/>
      <c r="AE235" s="2">
        <v>130</v>
      </c>
      <c r="AF235" s="2">
        <v>4</v>
      </c>
      <c r="AG235" s="2"/>
      <c r="AH235" s="2">
        <v>9</v>
      </c>
      <c r="AI235" s="2"/>
      <c r="AJ235" s="2"/>
      <c r="AK235" s="2"/>
      <c r="AL235" s="2">
        <v>5</v>
      </c>
      <c r="AM235" s="2">
        <v>1</v>
      </c>
      <c r="AN235" s="2"/>
      <c r="AO235" s="2"/>
      <c r="AP235" s="2"/>
      <c r="AQ235" s="2"/>
      <c r="AR235" s="2"/>
      <c r="AS235" s="2"/>
      <c r="AT235" s="2">
        <v>2</v>
      </c>
      <c r="AU235" s="2"/>
      <c r="AV235" s="2"/>
      <c r="AW235" s="2">
        <v>11</v>
      </c>
      <c r="AX235" s="2">
        <v>2</v>
      </c>
      <c r="AY235" s="2"/>
      <c r="AZ235" s="2"/>
      <c r="BA235" s="2">
        <v>2</v>
      </c>
      <c r="BB235" s="2">
        <v>3</v>
      </c>
      <c r="BC235" s="2"/>
      <c r="BD235" s="2">
        <v>38</v>
      </c>
      <c r="BE235" s="2">
        <v>4</v>
      </c>
      <c r="BF235" s="2"/>
      <c r="BG235" s="2"/>
      <c r="BH235" s="2"/>
      <c r="BI235" s="5"/>
      <c r="BJ235" s="5"/>
      <c r="BK235" s="5"/>
      <c r="BL235" s="5"/>
      <c r="BM235" s="1">
        <v>30.066089999999999</v>
      </c>
      <c r="BN235" s="1">
        <v>-85.616100000000003</v>
      </c>
      <c r="BO235" s="1">
        <v>5</v>
      </c>
      <c r="BP235" s="1" t="s">
        <v>1249</v>
      </c>
      <c r="BQ235" s="5"/>
      <c r="BR235" s="5"/>
      <c r="BS235" s="1">
        <v>1</v>
      </c>
      <c r="BT235" s="1" t="s">
        <v>1250</v>
      </c>
      <c r="BU235" s="5"/>
      <c r="BV235" s="5"/>
      <c r="BW235" s="5"/>
      <c r="BX235" s="5"/>
      <c r="BY235" s="5"/>
      <c r="BZ235" s="5"/>
      <c r="CA235" s="1">
        <v>30.070589999999999</v>
      </c>
      <c r="CB235" s="1">
        <v>-85.619799999999998</v>
      </c>
      <c r="CC235" s="5"/>
      <c r="CD235" s="5"/>
      <c r="CE235" s="5"/>
      <c r="CF235" s="5"/>
      <c r="CG235" s="5"/>
      <c r="CH235" s="1">
        <v>2</v>
      </c>
      <c r="CI235" s="1" t="s">
        <v>1251</v>
      </c>
      <c r="CJ235" s="5"/>
      <c r="CK235" s="5"/>
      <c r="CL235" s="5"/>
      <c r="CM235" s="5"/>
      <c r="CN235" s="5"/>
      <c r="CO235" s="5"/>
      <c r="CP235" s="1">
        <v>30.072130000000001</v>
      </c>
      <c r="CQ235" s="1">
        <v>-85.639499999999998</v>
      </c>
      <c r="CR235" s="5"/>
      <c r="CS235" s="5"/>
      <c r="CT235" s="5"/>
      <c r="CU235" s="5"/>
      <c r="CV235" s="5"/>
      <c r="CW235" s="1">
        <v>1</v>
      </c>
      <c r="CX235" s="5"/>
      <c r="CY235" s="5"/>
      <c r="CZ235" s="5"/>
      <c r="DA235" s="5"/>
      <c r="DB235" s="5"/>
      <c r="DC235" s="5"/>
      <c r="DD235" s="5"/>
      <c r="DE235" s="1">
        <v>30.072929999999999</v>
      </c>
      <c r="DF235" s="1">
        <v>-85.640600000000006</v>
      </c>
      <c r="DG235" s="5"/>
      <c r="DH235" s="5"/>
      <c r="DI235" s="5"/>
      <c r="DJ235" s="5"/>
      <c r="DK235" s="5"/>
      <c r="DL235" s="1">
        <v>1</v>
      </c>
      <c r="DM235" s="1" t="s">
        <v>1252</v>
      </c>
      <c r="DN235" s="5"/>
      <c r="DO235" s="5"/>
      <c r="DP235" s="5"/>
      <c r="DQ235" s="5"/>
      <c r="DR235" s="5"/>
      <c r="DS235" s="5"/>
      <c r="DT235" s="1">
        <v>30.078489999999999</v>
      </c>
      <c r="DU235" s="1">
        <v>-85.653599999999997</v>
      </c>
      <c r="DV235" s="5"/>
      <c r="DW235" s="5"/>
      <c r="DX235" s="5"/>
      <c r="DY235" s="5"/>
      <c r="DZ235" s="5"/>
      <c r="EA235" s="1">
        <v>1</v>
      </c>
      <c r="EB235" s="1" t="s">
        <v>1253</v>
      </c>
      <c r="EC235" s="5"/>
      <c r="ED235" s="5"/>
      <c r="EE235" s="5"/>
      <c r="EF235" s="5"/>
      <c r="EG235" s="5"/>
      <c r="EH235" s="5"/>
      <c r="EI235" s="1">
        <v>30.080100000000002</v>
      </c>
      <c r="EJ235" s="1">
        <v>-85.6571</v>
      </c>
      <c r="EK235" s="5"/>
      <c r="EL235" s="5"/>
      <c r="EM235" s="5"/>
      <c r="EN235" s="5"/>
      <c r="EO235" s="5"/>
      <c r="EP235" s="5"/>
      <c r="EQ235" s="5"/>
      <c r="ER235" s="1">
        <v>1</v>
      </c>
      <c r="ES235" s="1" t="s">
        <v>1254</v>
      </c>
      <c r="ET235" s="5"/>
      <c r="EU235" s="5"/>
      <c r="EV235" s="5"/>
      <c r="EW235" s="5"/>
      <c r="EX235" s="1">
        <v>30.08727</v>
      </c>
      <c r="EY235" s="1">
        <v>-85.660200000000003</v>
      </c>
      <c r="EZ235" s="5"/>
      <c r="FA235" s="1">
        <v>2</v>
      </c>
      <c r="FB235" s="1" t="s">
        <v>1255</v>
      </c>
      <c r="FC235" s="5"/>
      <c r="FD235" s="5"/>
      <c r="FE235" s="5"/>
      <c r="FF235" s="5"/>
      <c r="FG235" s="5"/>
      <c r="FH235" s="5"/>
      <c r="FI235" s="5"/>
      <c r="FJ235" s="5"/>
      <c r="FK235" s="5"/>
      <c r="FL235" s="5"/>
      <c r="FM235" s="1">
        <v>30.079630000000002</v>
      </c>
      <c r="FN235" s="1">
        <v>-85.656099999999995</v>
      </c>
      <c r="FO235" s="5"/>
      <c r="FP235" s="5"/>
      <c r="FQ235" s="5"/>
      <c r="FR235" s="5"/>
      <c r="FS235" s="5"/>
      <c r="FT235" s="1">
        <v>2</v>
      </c>
      <c r="FU235" s="1" t="s">
        <v>1256</v>
      </c>
      <c r="FV235" s="5"/>
      <c r="FW235" s="5"/>
      <c r="FX235" s="5"/>
      <c r="FY235" s="5"/>
      <c r="FZ235" s="5"/>
      <c r="GA235" s="5"/>
      <c r="GB235" s="1">
        <v>30.057410000000001</v>
      </c>
      <c r="GC235" s="1">
        <v>-85.608699999999999</v>
      </c>
      <c r="GD235" s="5"/>
      <c r="GE235" s="5"/>
      <c r="GF235" s="5"/>
      <c r="GG235" s="5"/>
      <c r="GH235" s="5"/>
      <c r="GI235" s="1">
        <v>1</v>
      </c>
      <c r="GJ235" s="1" t="s">
        <v>1257</v>
      </c>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c r="LI235" s="5"/>
      <c r="LJ235" s="5"/>
      <c r="LK235" s="5"/>
      <c r="LL235" s="5"/>
      <c r="LM235" s="5"/>
      <c r="LN235" s="5"/>
      <c r="LO235" s="5"/>
      <c r="LP235" s="5"/>
      <c r="LQ235" s="5"/>
      <c r="LR235" s="5"/>
      <c r="LS235" s="5"/>
      <c r="LT235" s="5"/>
      <c r="LU235" s="5"/>
      <c r="LV235" s="5"/>
      <c r="LW235" s="5"/>
      <c r="LX235" s="5"/>
    </row>
    <row r="236" spans="1:336" ht="15" x14ac:dyDescent="0.25">
      <c r="A236" s="1" t="s">
        <v>1258</v>
      </c>
      <c r="B236" s="2">
        <v>29.3812</v>
      </c>
      <c r="C236" s="2">
        <v>-81.121499999999997</v>
      </c>
      <c r="D236" s="2">
        <v>29.373899999999999</v>
      </c>
      <c r="E236" s="2">
        <v>-81.123199999999997</v>
      </c>
      <c r="F236" s="3">
        <v>43134</v>
      </c>
      <c r="G236" s="1" t="s">
        <v>1259</v>
      </c>
      <c r="H236" s="1" t="s">
        <v>1260</v>
      </c>
      <c r="I236" s="1" t="s">
        <v>329</v>
      </c>
      <c r="J236" s="4">
        <v>0.34375</v>
      </c>
      <c r="K236" s="1" t="s">
        <v>368</v>
      </c>
      <c r="L236" s="1" t="s">
        <v>441</v>
      </c>
      <c r="M236" s="5"/>
      <c r="N236" s="1" t="s">
        <v>333</v>
      </c>
      <c r="O236" s="2"/>
      <c r="P236" s="2"/>
      <c r="Q236" s="2"/>
      <c r="R236" s="2"/>
      <c r="S236" s="2"/>
      <c r="T236" s="2"/>
      <c r="U236" s="2"/>
      <c r="V236" s="2"/>
      <c r="W236" s="2"/>
      <c r="X236" s="2"/>
      <c r="Y236" s="2"/>
      <c r="Z236" s="2"/>
      <c r="AA236" s="2"/>
      <c r="AB236" s="2"/>
      <c r="AC236" s="2"/>
      <c r="AD236" s="2"/>
      <c r="AE236" s="2">
        <v>15</v>
      </c>
      <c r="AF236" s="2"/>
      <c r="AG236" s="2"/>
      <c r="AH236" s="2"/>
      <c r="AI236" s="2"/>
      <c r="AJ236" s="2"/>
      <c r="AK236" s="2"/>
      <c r="AL236" s="2"/>
      <c r="AM236" s="2"/>
      <c r="AN236" s="2"/>
      <c r="AO236" s="2"/>
      <c r="AP236" s="2"/>
      <c r="AQ236" s="2"/>
      <c r="AR236" s="2"/>
      <c r="AS236" s="2"/>
      <c r="AT236" s="2">
        <v>13</v>
      </c>
      <c r="AU236" s="2"/>
      <c r="AV236" s="2"/>
      <c r="AW236" s="2"/>
      <c r="AX236" s="2">
        <v>1</v>
      </c>
      <c r="AY236" s="2"/>
      <c r="AZ236" s="2"/>
      <c r="BA236" s="2"/>
      <c r="BB236" s="2">
        <v>1</v>
      </c>
      <c r="BC236" s="2"/>
      <c r="BD236" s="2">
        <v>12</v>
      </c>
      <c r="BE236" s="2"/>
      <c r="BF236" s="2"/>
      <c r="BG236" s="2"/>
      <c r="BH236" s="2"/>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c r="LI236" s="5"/>
      <c r="LJ236" s="5"/>
      <c r="LK236" s="5"/>
      <c r="LL236" s="5"/>
      <c r="LM236" s="5"/>
      <c r="LN236" s="5"/>
      <c r="LO236" s="5"/>
      <c r="LP236" s="5"/>
      <c r="LQ236" s="5"/>
      <c r="LR236" s="5"/>
      <c r="LS236" s="5"/>
      <c r="LT236" s="5"/>
      <c r="LU236" s="5"/>
      <c r="LV236" s="5"/>
      <c r="LW236" s="5"/>
      <c r="LX236" s="5"/>
    </row>
    <row r="237" spans="1:336" ht="15" x14ac:dyDescent="0.25">
      <c r="A237" s="1" t="s">
        <v>1261</v>
      </c>
      <c r="B237" s="2">
        <v>25.683029999999999</v>
      </c>
      <c r="C237" s="2">
        <v>-80.155299999999997</v>
      </c>
      <c r="D237" s="2">
        <v>25.70036</v>
      </c>
      <c r="E237" s="2">
        <v>-80.155199999999994</v>
      </c>
      <c r="F237" s="3">
        <v>43134</v>
      </c>
      <c r="G237" s="1" t="s">
        <v>477</v>
      </c>
      <c r="H237" s="1" t="s">
        <v>478</v>
      </c>
      <c r="I237" s="1" t="s">
        <v>329</v>
      </c>
      <c r="J237" s="4">
        <v>0.3576388888888889</v>
      </c>
      <c r="K237" s="1" t="s">
        <v>375</v>
      </c>
      <c r="L237" s="1" t="s">
        <v>375</v>
      </c>
      <c r="M237" s="5"/>
      <c r="N237" s="1" t="s">
        <v>375</v>
      </c>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v>7</v>
      </c>
      <c r="AX237" s="2"/>
      <c r="AY237" s="2"/>
      <c r="AZ237" s="2"/>
      <c r="BA237" s="2"/>
      <c r="BB237" s="2">
        <v>13</v>
      </c>
      <c r="BC237" s="2">
        <v>1</v>
      </c>
      <c r="BD237" s="2">
        <v>34</v>
      </c>
      <c r="BE237" s="2">
        <v>21</v>
      </c>
      <c r="BF237" s="2"/>
      <c r="BG237" s="2"/>
      <c r="BH237" s="2"/>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c r="LI237" s="5"/>
      <c r="LJ237" s="5"/>
      <c r="LK237" s="5"/>
      <c r="LL237" s="5"/>
      <c r="LM237" s="5"/>
      <c r="LN237" s="5"/>
      <c r="LO237" s="5"/>
      <c r="LP237" s="5"/>
      <c r="LQ237" s="5"/>
      <c r="LR237" s="5"/>
      <c r="LS237" s="5"/>
      <c r="LT237" s="5"/>
      <c r="LU237" s="5"/>
      <c r="LV237" s="5"/>
      <c r="LW237" s="5"/>
      <c r="LX237" s="5"/>
    </row>
    <row r="238" spans="1:336" ht="15" x14ac:dyDescent="0.25">
      <c r="A238" s="1" t="s">
        <v>1262</v>
      </c>
      <c r="B238" s="2">
        <v>25.762029999999999</v>
      </c>
      <c r="C238" s="2">
        <v>-80.148700000000005</v>
      </c>
      <c r="D238" s="2">
        <v>25.750720000000001</v>
      </c>
      <c r="E238" s="2">
        <v>-80.158299999999997</v>
      </c>
      <c r="F238" s="3">
        <v>43136</v>
      </c>
      <c r="G238" s="1" t="s">
        <v>1263</v>
      </c>
      <c r="H238" s="1" t="s">
        <v>1264</v>
      </c>
      <c r="I238" s="1" t="s">
        <v>329</v>
      </c>
      <c r="J238" s="4">
        <v>0.45347222222222222</v>
      </c>
      <c r="K238" s="1" t="s">
        <v>633</v>
      </c>
      <c r="L238" s="1" t="s">
        <v>369</v>
      </c>
      <c r="M238" s="5"/>
      <c r="N238" s="1" t="s">
        <v>333</v>
      </c>
      <c r="O238" s="2"/>
      <c r="P238" s="2"/>
      <c r="Q238" s="2">
        <v>234</v>
      </c>
      <c r="R238" s="2"/>
      <c r="S238" s="2">
        <v>6</v>
      </c>
      <c r="T238" s="2"/>
      <c r="U238" s="2"/>
      <c r="V238" s="2"/>
      <c r="W238" s="2"/>
      <c r="X238" s="2">
        <v>1</v>
      </c>
      <c r="Y238" s="2">
        <v>15</v>
      </c>
      <c r="Z238" s="2"/>
      <c r="AA238" s="2"/>
      <c r="AB238" s="2"/>
      <c r="AC238" s="2"/>
      <c r="AD238" s="2">
        <v>20</v>
      </c>
      <c r="AE238" s="2">
        <v>4</v>
      </c>
      <c r="AF238" s="2"/>
      <c r="AG238" s="2"/>
      <c r="AH238" s="2"/>
      <c r="AI238" s="2">
        <v>1</v>
      </c>
      <c r="AJ238" s="2"/>
      <c r="AK238" s="2"/>
      <c r="AL238" s="2">
        <v>4</v>
      </c>
      <c r="AM238" s="2"/>
      <c r="AN238" s="2"/>
      <c r="AO238" s="2"/>
      <c r="AP238" s="2"/>
      <c r="AQ238" s="2"/>
      <c r="AR238" s="2"/>
      <c r="AS238" s="2"/>
      <c r="AT238" s="2">
        <v>25</v>
      </c>
      <c r="AU238" s="2"/>
      <c r="AV238" s="2"/>
      <c r="AW238" s="2">
        <v>86</v>
      </c>
      <c r="AX238" s="2"/>
      <c r="AY238" s="2"/>
      <c r="AZ238" s="2"/>
      <c r="BA238" s="2">
        <v>1</v>
      </c>
      <c r="BB238" s="2">
        <v>126</v>
      </c>
      <c r="BC238" s="2"/>
      <c r="BD238" s="2">
        <v>11</v>
      </c>
      <c r="BE238" s="2">
        <v>10</v>
      </c>
      <c r="BF238" s="2"/>
      <c r="BG238" s="2"/>
      <c r="BH238" s="2"/>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5"/>
      <c r="KY238" s="5"/>
      <c r="KZ238" s="5"/>
      <c r="LA238" s="5"/>
      <c r="LB238" s="5"/>
      <c r="LC238" s="5"/>
      <c r="LD238" s="5"/>
      <c r="LE238" s="5"/>
      <c r="LF238" s="5"/>
      <c r="LG238" s="5"/>
      <c r="LH238" s="5"/>
      <c r="LI238" s="5"/>
      <c r="LJ238" s="5"/>
      <c r="LK238" s="5"/>
      <c r="LL238" s="5"/>
      <c r="LM238" s="5"/>
      <c r="LN238" s="5"/>
      <c r="LO238" s="5"/>
      <c r="LP238" s="5"/>
      <c r="LQ238" s="5"/>
      <c r="LR238" s="5"/>
      <c r="LS238" s="5"/>
      <c r="LT238" s="5"/>
      <c r="LU238" s="5"/>
      <c r="LV238" s="5"/>
      <c r="LW238" s="5"/>
      <c r="LX238" s="5"/>
    </row>
    <row r="239" spans="1:336" ht="15" x14ac:dyDescent="0.25">
      <c r="A239" s="1" t="s">
        <v>1262</v>
      </c>
      <c r="B239" s="2">
        <v>27.762029999999999</v>
      </c>
      <c r="C239" s="2">
        <v>-80.148700000000005</v>
      </c>
      <c r="D239" s="2">
        <v>25.750720000000001</v>
      </c>
      <c r="E239" s="2">
        <v>-80.158299999999997</v>
      </c>
      <c r="F239" s="3">
        <v>43136</v>
      </c>
      <c r="G239" s="1" t="s">
        <v>1263</v>
      </c>
      <c r="H239" s="1" t="s">
        <v>876</v>
      </c>
      <c r="I239" s="1" t="s">
        <v>329</v>
      </c>
      <c r="J239" s="4">
        <v>0.45347222222222222</v>
      </c>
      <c r="K239" s="1" t="s">
        <v>633</v>
      </c>
      <c r="L239" s="1" t="s">
        <v>369</v>
      </c>
      <c r="M239" s="5"/>
      <c r="N239" s="1" t="s">
        <v>333</v>
      </c>
      <c r="O239" s="2"/>
      <c r="P239" s="2"/>
      <c r="Q239" s="2">
        <v>234</v>
      </c>
      <c r="R239" s="2"/>
      <c r="S239" s="2">
        <v>6</v>
      </c>
      <c r="T239" s="2"/>
      <c r="U239" s="2"/>
      <c r="V239" s="2"/>
      <c r="W239" s="2"/>
      <c r="X239" s="2">
        <v>1</v>
      </c>
      <c r="Y239" s="2">
        <v>15</v>
      </c>
      <c r="Z239" s="2"/>
      <c r="AA239" s="2"/>
      <c r="AB239" s="2"/>
      <c r="AC239" s="2"/>
      <c r="AD239" s="2">
        <v>20</v>
      </c>
      <c r="AE239" s="2">
        <v>4</v>
      </c>
      <c r="AF239" s="2"/>
      <c r="AG239" s="2"/>
      <c r="AH239" s="2"/>
      <c r="AI239" s="2">
        <v>1</v>
      </c>
      <c r="AJ239" s="2"/>
      <c r="AK239" s="2"/>
      <c r="AL239" s="2">
        <v>4</v>
      </c>
      <c r="AM239" s="2"/>
      <c r="AN239" s="2"/>
      <c r="AO239" s="2"/>
      <c r="AP239" s="2"/>
      <c r="AQ239" s="2"/>
      <c r="AR239" s="2"/>
      <c r="AS239" s="2"/>
      <c r="AT239" s="2">
        <v>25</v>
      </c>
      <c r="AU239" s="2"/>
      <c r="AV239" s="2"/>
      <c r="AW239" s="2">
        <v>86</v>
      </c>
      <c r="AX239" s="2"/>
      <c r="AY239" s="2"/>
      <c r="AZ239" s="2"/>
      <c r="BA239" s="2">
        <v>1</v>
      </c>
      <c r="BB239" s="2">
        <v>115</v>
      </c>
      <c r="BC239" s="2"/>
      <c r="BD239" s="2">
        <v>11</v>
      </c>
      <c r="BE239" s="2">
        <v>10</v>
      </c>
      <c r="BF239" s="2"/>
      <c r="BG239" s="2"/>
      <c r="BH239" s="2"/>
      <c r="BI239" s="5"/>
      <c r="BJ239" s="5"/>
      <c r="BK239" s="5"/>
      <c r="BL239" s="5"/>
      <c r="BM239" s="1">
        <v>25.760149999999999</v>
      </c>
      <c r="BN239" s="1">
        <v>-80.128900000000002</v>
      </c>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c r="LI239" s="5"/>
      <c r="LJ239" s="5"/>
      <c r="LK239" s="5"/>
      <c r="LL239" s="5"/>
      <c r="LM239" s="5"/>
      <c r="LN239" s="5"/>
      <c r="LO239" s="5"/>
      <c r="LP239" s="5"/>
      <c r="LQ239" s="5"/>
      <c r="LR239" s="5"/>
      <c r="LS239" s="5"/>
      <c r="LT239" s="5"/>
      <c r="LU239" s="5"/>
      <c r="LV239" s="5"/>
      <c r="LW239" s="5"/>
      <c r="LX239" s="1" t="s">
        <v>1265</v>
      </c>
    </row>
    <row r="240" spans="1:336" ht="15" x14ac:dyDescent="0.25">
      <c r="A240" s="1" t="s">
        <v>1266</v>
      </c>
      <c r="B240" s="2">
        <v>29.427219999999998</v>
      </c>
      <c r="C240" s="2">
        <v>-81.102500000000006</v>
      </c>
      <c r="D240" s="2">
        <v>29.077220000000001</v>
      </c>
      <c r="E240" s="2">
        <v>-80.9178</v>
      </c>
      <c r="F240" s="3">
        <v>43137</v>
      </c>
      <c r="G240" s="1" t="s">
        <v>1267</v>
      </c>
      <c r="H240" s="1" t="s">
        <v>1268</v>
      </c>
      <c r="I240" s="1" t="s">
        <v>329</v>
      </c>
      <c r="J240" s="4">
        <v>0.29166666666666669</v>
      </c>
      <c r="K240" s="1" t="s">
        <v>375</v>
      </c>
      <c r="L240" s="1" t="s">
        <v>441</v>
      </c>
      <c r="M240" s="1" t="s">
        <v>1269</v>
      </c>
      <c r="N240" s="1" t="s">
        <v>333</v>
      </c>
      <c r="O240" s="2"/>
      <c r="P240" s="2">
        <v>6</v>
      </c>
      <c r="Q240" s="2">
        <v>21</v>
      </c>
      <c r="R240" s="2"/>
      <c r="S240" s="2"/>
      <c r="T240" s="2"/>
      <c r="U240" s="2"/>
      <c r="V240" s="2"/>
      <c r="W240" s="2"/>
      <c r="X240" s="2"/>
      <c r="Y240" s="2"/>
      <c r="Z240" s="2"/>
      <c r="AA240" s="2"/>
      <c r="AB240" s="2">
        <v>2</v>
      </c>
      <c r="AC240" s="2"/>
      <c r="AD240" s="2">
        <v>55</v>
      </c>
      <c r="AE240" s="2">
        <v>620</v>
      </c>
      <c r="AF240" s="2"/>
      <c r="AG240" s="2"/>
      <c r="AH240" s="2"/>
      <c r="AI240" s="2"/>
      <c r="AJ240" s="2"/>
      <c r="AK240" s="2"/>
      <c r="AL240" s="2">
        <v>11</v>
      </c>
      <c r="AM240" s="2"/>
      <c r="AN240" s="2"/>
      <c r="AO240" s="2"/>
      <c r="AP240" s="2"/>
      <c r="AQ240" s="2">
        <v>38</v>
      </c>
      <c r="AR240" s="2">
        <v>5</v>
      </c>
      <c r="AS240" s="2"/>
      <c r="AT240" s="2">
        <v>4</v>
      </c>
      <c r="AU240" s="2"/>
      <c r="AV240" s="2"/>
      <c r="AW240" s="2">
        <v>13</v>
      </c>
      <c r="AX240" s="2">
        <v>157</v>
      </c>
      <c r="AY240" s="2"/>
      <c r="AZ240" s="2">
        <v>160</v>
      </c>
      <c r="BA240" s="2">
        <v>1700</v>
      </c>
      <c r="BB240" s="2">
        <v>50000</v>
      </c>
      <c r="BC240" s="2">
        <v>40</v>
      </c>
      <c r="BD240" s="2">
        <v>18000</v>
      </c>
      <c r="BE240" s="2">
        <v>400</v>
      </c>
      <c r="BF240" s="2">
        <v>4</v>
      </c>
      <c r="BG240" s="2"/>
      <c r="BH240" s="2"/>
      <c r="BI240" s="5"/>
      <c r="BJ240" s="5"/>
      <c r="BK240" s="1">
        <v>4</v>
      </c>
      <c r="BL240" s="5"/>
      <c r="BM240" s="1">
        <v>29.28389</v>
      </c>
      <c r="BN240" s="1">
        <v>-81.034999999999997</v>
      </c>
      <c r="BO240" s="5"/>
      <c r="BP240" s="5"/>
      <c r="BQ240" s="5"/>
      <c r="BR240" s="5"/>
      <c r="BS240" s="5"/>
      <c r="BT240" s="5"/>
      <c r="BU240" s="5"/>
      <c r="BV240" s="5"/>
      <c r="BW240" s="5"/>
      <c r="BX240" s="5"/>
      <c r="BY240" s="1">
        <v>17</v>
      </c>
      <c r="BZ240" s="5"/>
      <c r="CA240" s="1">
        <v>29.213329999999999</v>
      </c>
      <c r="CB240" s="1">
        <v>-81.000799999999998</v>
      </c>
      <c r="CC240" s="5"/>
      <c r="CD240" s="5"/>
      <c r="CE240" s="5"/>
      <c r="CF240" s="5"/>
      <c r="CG240" s="5"/>
      <c r="CH240" s="5"/>
      <c r="CI240" s="5"/>
      <c r="CJ240" s="5"/>
      <c r="CK240" s="5"/>
      <c r="CL240" s="5"/>
      <c r="CM240" s="5"/>
      <c r="CN240" s="1">
        <v>11</v>
      </c>
      <c r="CO240" s="5"/>
      <c r="CP240" s="1">
        <v>29.088329999999999</v>
      </c>
      <c r="CQ240" s="1">
        <v>-80.927800000000005</v>
      </c>
      <c r="CR240" s="5"/>
      <c r="CS240" s="5"/>
      <c r="CT240" s="5"/>
      <c r="CU240" s="5"/>
      <c r="CV240" s="5"/>
      <c r="CW240" s="5"/>
      <c r="CX240" s="5"/>
      <c r="CY240" s="5"/>
      <c r="CZ240" s="5"/>
      <c r="DA240" s="5"/>
      <c r="DB240" s="5"/>
      <c r="DC240" s="1">
        <v>4</v>
      </c>
      <c r="DD240" s="5"/>
      <c r="DE240" s="1">
        <v>29.213329999999999</v>
      </c>
      <c r="DF240" s="1">
        <v>-81.000799999999998</v>
      </c>
      <c r="DG240" s="5"/>
      <c r="DH240" s="5"/>
      <c r="DI240" s="5"/>
      <c r="DJ240" s="5"/>
      <c r="DK240" s="5"/>
      <c r="DL240" s="5"/>
      <c r="DM240" s="5"/>
      <c r="DN240" s="5"/>
      <c r="DO240" s="5"/>
      <c r="DP240" s="5"/>
      <c r="DQ240" s="5"/>
      <c r="DR240" s="1">
        <v>2</v>
      </c>
      <c r="DS240" s="5"/>
      <c r="DT240" s="1">
        <v>29.088329999999999</v>
      </c>
      <c r="DU240" s="1">
        <v>-80.927800000000005</v>
      </c>
      <c r="DV240" s="5"/>
      <c r="DW240" s="5"/>
      <c r="DX240" s="5"/>
      <c r="DY240" s="5"/>
      <c r="DZ240" s="5"/>
      <c r="EA240" s="5"/>
      <c r="EB240" s="5"/>
      <c r="EC240" s="5"/>
      <c r="ED240" s="5"/>
      <c r="EE240" s="5"/>
      <c r="EF240" s="5"/>
      <c r="EG240" s="5"/>
      <c r="EH240" s="5"/>
      <c r="EI240" s="1">
        <v>29.307220000000001</v>
      </c>
      <c r="EJ240" s="1">
        <v>-81.046700000000001</v>
      </c>
      <c r="EK240" s="5"/>
      <c r="EL240" s="1">
        <v>2</v>
      </c>
      <c r="EM240" s="1" t="s">
        <v>1270</v>
      </c>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c r="LI240" s="5"/>
      <c r="LJ240" s="5"/>
      <c r="LK240" s="5"/>
      <c r="LL240" s="5"/>
      <c r="LM240" s="5"/>
      <c r="LN240" s="5"/>
      <c r="LO240" s="5"/>
      <c r="LP240" s="5"/>
      <c r="LQ240" s="5"/>
      <c r="LR240" s="5"/>
      <c r="LS240" s="5"/>
      <c r="LT240" s="5"/>
      <c r="LU240" s="5"/>
      <c r="LV240" s="5"/>
      <c r="LW240" s="5"/>
      <c r="LX240" s="5"/>
    </row>
    <row r="241" spans="1:336" ht="15" x14ac:dyDescent="0.25">
      <c r="A241" s="1" t="s">
        <v>1271</v>
      </c>
      <c r="B241" s="2">
        <v>30.299289999999999</v>
      </c>
      <c r="C241" s="2">
        <v>-86.077399999999997</v>
      </c>
      <c r="D241" s="2">
        <v>30.294779999999999</v>
      </c>
      <c r="E241" s="2">
        <v>-86.064700000000002</v>
      </c>
      <c r="F241" s="3">
        <v>43135</v>
      </c>
      <c r="G241" s="1" t="s">
        <v>373</v>
      </c>
      <c r="H241" s="1" t="s">
        <v>374</v>
      </c>
      <c r="I241" s="1" t="s">
        <v>329</v>
      </c>
      <c r="J241" s="4">
        <v>0.62777777777777777</v>
      </c>
      <c r="K241" s="1" t="s">
        <v>368</v>
      </c>
      <c r="L241" s="1" t="s">
        <v>364</v>
      </c>
      <c r="M241" s="1" t="s">
        <v>1272</v>
      </c>
      <c r="N241" s="1" t="s">
        <v>333</v>
      </c>
      <c r="O241" s="2"/>
      <c r="P241" s="2"/>
      <c r="Q241" s="2"/>
      <c r="R241" s="2"/>
      <c r="S241" s="2"/>
      <c r="T241" s="2"/>
      <c r="U241" s="2"/>
      <c r="V241" s="2"/>
      <c r="W241" s="2"/>
      <c r="X241" s="2"/>
      <c r="Y241" s="2"/>
      <c r="Z241" s="2"/>
      <c r="AA241" s="2"/>
      <c r="AB241" s="2"/>
      <c r="AC241" s="2"/>
      <c r="AD241" s="2"/>
      <c r="AE241" s="2">
        <v>2</v>
      </c>
      <c r="AF241" s="2"/>
      <c r="AG241" s="2"/>
      <c r="AH241" s="2"/>
      <c r="AI241" s="2"/>
      <c r="AJ241" s="2"/>
      <c r="AK241" s="2"/>
      <c r="AL241" s="2">
        <v>1</v>
      </c>
      <c r="AM241" s="2"/>
      <c r="AN241" s="2"/>
      <c r="AO241" s="2"/>
      <c r="AP241" s="2"/>
      <c r="AQ241" s="2"/>
      <c r="AR241" s="2">
        <v>2</v>
      </c>
      <c r="AS241" s="2"/>
      <c r="AT241" s="2"/>
      <c r="AU241" s="2"/>
      <c r="AV241" s="2"/>
      <c r="AW241" s="2"/>
      <c r="AX241" s="2"/>
      <c r="AY241" s="2"/>
      <c r="AZ241" s="2"/>
      <c r="BA241" s="2"/>
      <c r="BB241" s="2"/>
      <c r="BC241" s="2"/>
      <c r="BD241" s="2">
        <v>4</v>
      </c>
      <c r="BE241" s="2"/>
      <c r="BF241" s="2"/>
      <c r="BG241" s="2"/>
      <c r="BH241" s="2"/>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5"/>
      <c r="KY241" s="5"/>
      <c r="KZ241" s="5"/>
      <c r="LA241" s="5"/>
      <c r="LB241" s="5"/>
      <c r="LC241" s="5"/>
      <c r="LD241" s="5"/>
      <c r="LE241" s="5"/>
      <c r="LF241" s="5"/>
      <c r="LG241" s="5"/>
      <c r="LH241" s="5"/>
      <c r="LI241" s="5"/>
      <c r="LJ241" s="5"/>
      <c r="LK241" s="5"/>
      <c r="LL241" s="5"/>
      <c r="LM241" s="5"/>
      <c r="LN241" s="5"/>
      <c r="LO241" s="5"/>
      <c r="LP241" s="5"/>
      <c r="LQ241" s="5"/>
      <c r="LR241" s="5"/>
      <c r="LS241" s="5"/>
      <c r="LT241" s="5"/>
      <c r="LU241" s="5"/>
      <c r="LV241" s="5"/>
      <c r="LW241" s="5"/>
      <c r="LX241" s="5"/>
    </row>
    <row r="242" spans="1:336" ht="15" x14ac:dyDescent="0.25">
      <c r="A242" s="1" t="s">
        <v>1273</v>
      </c>
      <c r="B242" s="2">
        <v>29.790870000000002</v>
      </c>
      <c r="C242" s="2">
        <v>-81.268299999999996</v>
      </c>
      <c r="D242" s="2">
        <v>29.797509999999999</v>
      </c>
      <c r="E242" s="2">
        <v>-81.272099999999995</v>
      </c>
      <c r="F242" s="3">
        <v>43136</v>
      </c>
      <c r="G242" s="1" t="s">
        <v>1274</v>
      </c>
      <c r="H242" s="1" t="s">
        <v>1275</v>
      </c>
      <c r="I242" s="1" t="s">
        <v>329</v>
      </c>
      <c r="J242" s="4">
        <v>0.41666666666666669</v>
      </c>
      <c r="K242" s="1" t="s">
        <v>368</v>
      </c>
      <c r="L242" s="1" t="s">
        <v>364</v>
      </c>
      <c r="M242" s="5"/>
      <c r="N242" s="1" t="s">
        <v>333</v>
      </c>
      <c r="O242" s="2">
        <v>12</v>
      </c>
      <c r="P242" s="2"/>
      <c r="Q242" s="2">
        <v>62</v>
      </c>
      <c r="R242" s="2">
        <v>135</v>
      </c>
      <c r="S242" s="2">
        <v>5</v>
      </c>
      <c r="T242" s="2"/>
      <c r="U242" s="2">
        <v>120</v>
      </c>
      <c r="V242" s="2"/>
      <c r="W242" s="2"/>
      <c r="X242" s="2"/>
      <c r="Y242" s="2"/>
      <c r="Z242" s="2">
        <v>295</v>
      </c>
      <c r="AA242" s="2"/>
      <c r="AB242" s="2"/>
      <c r="AC242" s="2"/>
      <c r="AD242" s="2">
        <v>56</v>
      </c>
      <c r="AE242" s="2"/>
      <c r="AF242" s="2">
        <v>69</v>
      </c>
      <c r="AG242" s="2"/>
      <c r="AH242" s="2"/>
      <c r="AI242" s="2"/>
      <c r="AJ242" s="2">
        <v>14</v>
      </c>
      <c r="AK242" s="2">
        <v>10</v>
      </c>
      <c r="AL242" s="2">
        <v>22</v>
      </c>
      <c r="AM242" s="2"/>
      <c r="AN242" s="2"/>
      <c r="AO242" s="2"/>
      <c r="AP242" s="2"/>
      <c r="AQ242" s="2"/>
      <c r="AR242" s="2"/>
      <c r="AS242" s="2"/>
      <c r="AT242" s="2">
        <v>12</v>
      </c>
      <c r="AU242" s="2"/>
      <c r="AV242" s="2"/>
      <c r="AW242" s="2">
        <v>19</v>
      </c>
      <c r="AX242" s="2">
        <v>3</v>
      </c>
      <c r="AY242" s="2"/>
      <c r="AZ242" s="2"/>
      <c r="BA242" s="2"/>
      <c r="BB242" s="2">
        <v>2</v>
      </c>
      <c r="BC242" s="2"/>
      <c r="BD242" s="2">
        <v>9</v>
      </c>
      <c r="BE242" s="2">
        <v>2</v>
      </c>
      <c r="BF242" s="2"/>
      <c r="BG242" s="2"/>
      <c r="BH242" s="2">
        <v>22</v>
      </c>
      <c r="BI242" s="1">
        <v>12</v>
      </c>
      <c r="BJ242" s="1" t="s">
        <v>1276</v>
      </c>
      <c r="BK242" s="5"/>
      <c r="BL242" s="5"/>
      <c r="BM242" s="1">
        <v>29.797509999999999</v>
      </c>
      <c r="BN242" s="1">
        <v>-81.272099999999995</v>
      </c>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5"/>
      <c r="KY242" s="5"/>
      <c r="KZ242" s="5"/>
      <c r="LA242" s="5"/>
      <c r="LB242" s="5"/>
      <c r="LC242" s="5"/>
      <c r="LD242" s="5"/>
      <c r="LE242" s="5"/>
      <c r="LF242" s="5"/>
      <c r="LG242" s="5"/>
      <c r="LH242" s="5"/>
      <c r="LI242" s="5"/>
      <c r="LJ242" s="5"/>
      <c r="LK242" s="5"/>
      <c r="LL242" s="5"/>
      <c r="LM242" s="5"/>
      <c r="LN242" s="5"/>
      <c r="LO242" s="5"/>
      <c r="LP242" s="5"/>
      <c r="LQ242" s="5"/>
      <c r="LR242" s="5"/>
      <c r="LS242" s="5"/>
      <c r="LT242" s="5"/>
      <c r="LU242" s="5"/>
      <c r="LV242" s="5"/>
      <c r="LW242" s="5"/>
      <c r="LX242" s="5"/>
    </row>
    <row r="243" spans="1:336" ht="15" x14ac:dyDescent="0.25">
      <c r="A243" s="1" t="s">
        <v>1277</v>
      </c>
      <c r="B243" s="2">
        <v>30.233889999999999</v>
      </c>
      <c r="C243" s="2">
        <v>-85.720500000000001</v>
      </c>
      <c r="D243" s="2">
        <v>30.297550000000001</v>
      </c>
      <c r="E243" s="2">
        <v>-85.757599999999996</v>
      </c>
      <c r="F243" s="3">
        <v>43134</v>
      </c>
      <c r="G243" s="1" t="s">
        <v>1278</v>
      </c>
      <c r="H243" s="1" t="s">
        <v>588</v>
      </c>
      <c r="I243" s="1" t="s">
        <v>329</v>
      </c>
      <c r="J243" s="4">
        <v>0.44513888888888886</v>
      </c>
      <c r="K243" s="1" t="s">
        <v>368</v>
      </c>
      <c r="L243" s="1" t="s">
        <v>364</v>
      </c>
      <c r="M243" s="1" t="s">
        <v>1279</v>
      </c>
      <c r="N243" s="1" t="s">
        <v>333</v>
      </c>
      <c r="O243" s="2"/>
      <c r="P243" s="2"/>
      <c r="Q243" s="2">
        <v>57</v>
      </c>
      <c r="R243" s="2">
        <v>657</v>
      </c>
      <c r="S243" s="2">
        <v>38</v>
      </c>
      <c r="T243" s="2">
        <v>15</v>
      </c>
      <c r="U243" s="2">
        <v>104</v>
      </c>
      <c r="V243" s="2"/>
      <c r="W243" s="2"/>
      <c r="X243" s="2"/>
      <c r="Y243" s="2">
        <v>1</v>
      </c>
      <c r="Z243" s="2"/>
      <c r="AA243" s="2"/>
      <c r="AB243" s="2"/>
      <c r="AC243" s="2"/>
      <c r="AD243" s="2"/>
      <c r="AE243" s="2"/>
      <c r="AF243" s="2">
        <v>34</v>
      </c>
      <c r="AG243" s="2"/>
      <c r="AH243" s="2"/>
      <c r="AI243" s="2"/>
      <c r="AJ243" s="2">
        <v>16</v>
      </c>
      <c r="AK243" s="2"/>
      <c r="AL243" s="2">
        <v>2</v>
      </c>
      <c r="AM243" s="2">
        <v>1</v>
      </c>
      <c r="AN243" s="2"/>
      <c r="AO243" s="2"/>
      <c r="AP243" s="2"/>
      <c r="AQ243" s="2"/>
      <c r="AR243" s="2">
        <v>3</v>
      </c>
      <c r="AS243" s="2"/>
      <c r="AT243" s="2">
        <v>10</v>
      </c>
      <c r="AU243" s="2"/>
      <c r="AV243" s="2"/>
      <c r="AW243" s="2">
        <v>7</v>
      </c>
      <c r="AX243" s="2">
        <v>15</v>
      </c>
      <c r="AY243" s="2"/>
      <c r="AZ243" s="2"/>
      <c r="BA243" s="2">
        <v>2</v>
      </c>
      <c r="BB243" s="2">
        <v>1</v>
      </c>
      <c r="BC243" s="2"/>
      <c r="BD243" s="2">
        <v>23</v>
      </c>
      <c r="BE243" s="2"/>
      <c r="BF243" s="2"/>
      <c r="BG243" s="2"/>
      <c r="BH243" s="2"/>
      <c r="BI243" s="1">
        <v>0</v>
      </c>
      <c r="BJ243" s="5"/>
      <c r="BK243" s="1">
        <v>0</v>
      </c>
      <c r="BL243" s="5"/>
      <c r="BM243" s="1">
        <v>30.26172</v>
      </c>
      <c r="BN243" s="1">
        <v>-85.734499999999997</v>
      </c>
      <c r="BO243" s="1">
        <v>0</v>
      </c>
      <c r="BP243" s="5"/>
      <c r="BQ243" s="1">
        <v>0</v>
      </c>
      <c r="BR243" s="5"/>
      <c r="BS243" s="1">
        <v>0</v>
      </c>
      <c r="BT243" s="5"/>
      <c r="BU243" s="1">
        <v>0</v>
      </c>
      <c r="BV243" s="5"/>
      <c r="BW243" s="1">
        <v>0</v>
      </c>
      <c r="BX243" s="5"/>
      <c r="BY243" s="1">
        <v>0</v>
      </c>
      <c r="BZ243" s="5"/>
      <c r="CA243" s="1">
        <v>30.27037</v>
      </c>
      <c r="CB243" s="1">
        <v>-85.736099999999993</v>
      </c>
      <c r="CC243" s="1" t="s">
        <v>1280</v>
      </c>
      <c r="CD243" s="1">
        <v>0</v>
      </c>
      <c r="CE243" s="5"/>
      <c r="CF243" s="1">
        <v>0</v>
      </c>
      <c r="CG243" s="5"/>
      <c r="CH243" s="1">
        <v>0</v>
      </c>
      <c r="CI243" s="5"/>
      <c r="CJ243" s="1">
        <v>1</v>
      </c>
      <c r="CK243" s="1" t="s">
        <v>1281</v>
      </c>
      <c r="CL243" s="1">
        <v>0</v>
      </c>
      <c r="CM243" s="5"/>
      <c r="CN243" s="1">
        <v>0</v>
      </c>
      <c r="CO243" s="5"/>
      <c r="CP243" s="1">
        <v>30.282859999999999</v>
      </c>
      <c r="CQ243" s="1">
        <v>-85.743200000000002</v>
      </c>
      <c r="CR243" s="1" t="s">
        <v>1282</v>
      </c>
      <c r="CS243" s="1">
        <v>0</v>
      </c>
      <c r="CT243" s="5"/>
      <c r="CU243" s="1">
        <v>0</v>
      </c>
      <c r="CV243" s="5"/>
      <c r="CW243" s="1">
        <v>0</v>
      </c>
      <c r="CX243" s="5"/>
      <c r="CY243" s="1">
        <v>0</v>
      </c>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5"/>
      <c r="KY243" s="5"/>
      <c r="KZ243" s="5"/>
      <c r="LA243" s="5"/>
      <c r="LB243" s="5"/>
      <c r="LC243" s="5"/>
      <c r="LD243" s="5"/>
      <c r="LE243" s="5"/>
      <c r="LF243" s="5"/>
      <c r="LG243" s="5"/>
      <c r="LH243" s="5"/>
      <c r="LI243" s="5"/>
      <c r="LJ243" s="5"/>
      <c r="LK243" s="5"/>
      <c r="LL243" s="5"/>
      <c r="LM243" s="5"/>
      <c r="LN243" s="5"/>
      <c r="LO243" s="5"/>
      <c r="LP243" s="5"/>
      <c r="LQ243" s="5"/>
      <c r="LR243" s="5"/>
      <c r="LS243" s="5"/>
      <c r="LT243" s="5"/>
      <c r="LU243" s="5"/>
      <c r="LV243" s="5"/>
      <c r="LW243" s="5"/>
      <c r="LX243" s="1" t="s">
        <v>1283</v>
      </c>
    </row>
    <row r="244" spans="1:336" ht="15" x14ac:dyDescent="0.25">
      <c r="A244" s="1" t="s">
        <v>1284</v>
      </c>
      <c r="B244" s="2">
        <v>29.978020000000001</v>
      </c>
      <c r="C244" s="2">
        <v>-85.481800000000007</v>
      </c>
      <c r="D244" s="2">
        <v>29.989560000000001</v>
      </c>
      <c r="E244" s="2">
        <v>-85.500100000000003</v>
      </c>
      <c r="F244" s="3">
        <v>43133</v>
      </c>
      <c r="G244" s="1" t="s">
        <v>1285</v>
      </c>
      <c r="H244" s="1" t="s">
        <v>432</v>
      </c>
      <c r="I244" s="1" t="s">
        <v>329</v>
      </c>
      <c r="J244" s="4">
        <v>0.64236111111111116</v>
      </c>
      <c r="K244" s="1" t="s">
        <v>375</v>
      </c>
      <c r="L244" s="1" t="s">
        <v>364</v>
      </c>
      <c r="M244" s="1" t="s">
        <v>1286</v>
      </c>
      <c r="N244" s="1" t="s">
        <v>333</v>
      </c>
      <c r="O244" s="2"/>
      <c r="P244" s="2"/>
      <c r="Q244" s="2"/>
      <c r="R244" s="2"/>
      <c r="S244" s="2">
        <v>5</v>
      </c>
      <c r="T244" s="2">
        <v>2</v>
      </c>
      <c r="U244" s="2"/>
      <c r="V244" s="2"/>
      <c r="W244" s="2"/>
      <c r="X244" s="2"/>
      <c r="Y244" s="2"/>
      <c r="Z244" s="2"/>
      <c r="AA244" s="2"/>
      <c r="AB244" s="2"/>
      <c r="AC244" s="2"/>
      <c r="AD244" s="2"/>
      <c r="AE244" s="2"/>
      <c r="AF244" s="2"/>
      <c r="AG244" s="2"/>
      <c r="AH244" s="2"/>
      <c r="AI244" s="2"/>
      <c r="AJ244" s="2"/>
      <c r="AK244" s="2"/>
      <c r="AL244" s="2">
        <v>8</v>
      </c>
      <c r="AM244" s="2"/>
      <c r="AN244" s="2">
        <v>2</v>
      </c>
      <c r="AO244" s="2"/>
      <c r="AP244" s="2"/>
      <c r="AQ244" s="2"/>
      <c r="AR244" s="2"/>
      <c r="AS244" s="2"/>
      <c r="AT244" s="2"/>
      <c r="AU244" s="2"/>
      <c r="AV244" s="2"/>
      <c r="AW244" s="2"/>
      <c r="AX244" s="2"/>
      <c r="AY244" s="2"/>
      <c r="AZ244" s="2"/>
      <c r="BA244" s="2"/>
      <c r="BB244" s="2"/>
      <c r="BC244" s="2"/>
      <c r="BD244" s="2"/>
      <c r="BE244" s="2">
        <v>4</v>
      </c>
      <c r="BF244" s="2"/>
      <c r="BG244" s="2"/>
      <c r="BH244" s="2"/>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5"/>
      <c r="KY244" s="5"/>
      <c r="KZ244" s="5"/>
      <c r="LA244" s="5"/>
      <c r="LB244" s="5"/>
      <c r="LC244" s="5"/>
      <c r="LD244" s="5"/>
      <c r="LE244" s="5"/>
      <c r="LF244" s="5"/>
      <c r="LG244" s="5"/>
      <c r="LH244" s="5"/>
      <c r="LI244" s="5"/>
      <c r="LJ244" s="5"/>
      <c r="LK244" s="5"/>
      <c r="LL244" s="5"/>
      <c r="LM244" s="5"/>
      <c r="LN244" s="5"/>
      <c r="LO244" s="5"/>
      <c r="LP244" s="5"/>
      <c r="LQ244" s="5"/>
      <c r="LR244" s="5"/>
      <c r="LS244" s="5"/>
      <c r="LT244" s="5"/>
      <c r="LU244" s="5"/>
      <c r="LV244" s="5"/>
      <c r="LW244" s="5"/>
      <c r="LX244" s="5"/>
    </row>
    <row r="245" spans="1:336" ht="15" x14ac:dyDescent="0.25">
      <c r="A245" s="1" t="s">
        <v>1287</v>
      </c>
      <c r="B245" s="2">
        <v>29.8933</v>
      </c>
      <c r="C245" s="2">
        <v>-85.360200000000006</v>
      </c>
      <c r="D245" s="2">
        <v>29.8506</v>
      </c>
      <c r="E245" s="2">
        <v>-85.337000000000003</v>
      </c>
      <c r="F245" s="3">
        <v>43136</v>
      </c>
      <c r="G245" s="1" t="s">
        <v>800</v>
      </c>
      <c r="H245" s="1" t="s">
        <v>506</v>
      </c>
      <c r="I245" s="1" t="s">
        <v>329</v>
      </c>
      <c r="J245" s="4">
        <v>0.33333333333333331</v>
      </c>
      <c r="K245" s="1" t="s">
        <v>507</v>
      </c>
      <c r="L245" s="1" t="s">
        <v>369</v>
      </c>
      <c r="M245" s="1" t="s">
        <v>1288</v>
      </c>
      <c r="N245" s="1" t="s">
        <v>333</v>
      </c>
      <c r="O245" s="2"/>
      <c r="P245" s="2"/>
      <c r="Q245" s="2"/>
      <c r="R245" s="2"/>
      <c r="S245" s="2"/>
      <c r="T245" s="2">
        <v>2</v>
      </c>
      <c r="U245" s="2"/>
      <c r="V245" s="2"/>
      <c r="W245" s="2"/>
      <c r="X245" s="2"/>
      <c r="Y245" s="2"/>
      <c r="Z245" s="2"/>
      <c r="AA245" s="2"/>
      <c r="AB245" s="2"/>
      <c r="AC245" s="2"/>
      <c r="AD245" s="2"/>
      <c r="AE245" s="2">
        <v>10</v>
      </c>
      <c r="AF245" s="2"/>
      <c r="AG245" s="2"/>
      <c r="AH245" s="2">
        <v>14</v>
      </c>
      <c r="AI245" s="2"/>
      <c r="AJ245" s="2"/>
      <c r="AK245" s="2"/>
      <c r="AL245" s="2">
        <v>6</v>
      </c>
      <c r="AM245" s="2"/>
      <c r="AN245" s="2"/>
      <c r="AO245" s="2"/>
      <c r="AP245" s="2"/>
      <c r="AQ245" s="2"/>
      <c r="AR245" s="2">
        <v>2</v>
      </c>
      <c r="AS245" s="2"/>
      <c r="AT245" s="2">
        <v>4</v>
      </c>
      <c r="AU245" s="2"/>
      <c r="AV245" s="2"/>
      <c r="AW245" s="2">
        <v>2</v>
      </c>
      <c r="AX245" s="2"/>
      <c r="AY245" s="2"/>
      <c r="AZ245" s="2"/>
      <c r="BA245" s="2">
        <v>3</v>
      </c>
      <c r="BB245" s="2">
        <v>2</v>
      </c>
      <c r="BC245" s="2"/>
      <c r="BD245" s="2">
        <v>6</v>
      </c>
      <c r="BE245" s="2">
        <v>1</v>
      </c>
      <c r="BF245" s="2"/>
      <c r="BG245" s="2"/>
      <c r="BH245" s="2"/>
      <c r="BI245" s="1">
        <v>0</v>
      </c>
      <c r="BJ245" s="1">
        <v>0</v>
      </c>
      <c r="BK245" s="1">
        <v>0</v>
      </c>
      <c r="BL245" s="1">
        <v>0</v>
      </c>
      <c r="BM245" s="1">
        <v>29.881599999999999</v>
      </c>
      <c r="BN245" s="1">
        <v>-85.353899999999996</v>
      </c>
      <c r="BO245" s="1">
        <v>0</v>
      </c>
      <c r="BP245" s="1">
        <v>0</v>
      </c>
      <c r="BQ245" s="1">
        <v>0</v>
      </c>
      <c r="BR245" s="1">
        <v>0</v>
      </c>
      <c r="BS245" s="1">
        <v>14</v>
      </c>
      <c r="BT245" s="1" t="s">
        <v>1289</v>
      </c>
      <c r="BU245" s="1">
        <v>0</v>
      </c>
      <c r="BV245" s="1">
        <v>0</v>
      </c>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c r="JW245" s="5"/>
      <c r="JX245" s="5"/>
      <c r="JY245" s="5"/>
      <c r="JZ245" s="5"/>
      <c r="KA245" s="5"/>
      <c r="KB245" s="5"/>
      <c r="KC245" s="5"/>
      <c r="KD245" s="5"/>
      <c r="KE245" s="5"/>
      <c r="KF245" s="5"/>
      <c r="KG245" s="5"/>
      <c r="KH245" s="5"/>
      <c r="KI245" s="5"/>
      <c r="KJ245" s="5"/>
      <c r="KK245" s="5"/>
      <c r="KL245" s="5"/>
      <c r="KM245" s="5"/>
      <c r="KN245" s="5"/>
      <c r="KO245" s="5"/>
      <c r="KP245" s="5"/>
      <c r="KQ245" s="5"/>
      <c r="KR245" s="5"/>
      <c r="KS245" s="5"/>
      <c r="KT245" s="5"/>
      <c r="KU245" s="5"/>
      <c r="KV245" s="5"/>
      <c r="KW245" s="5"/>
      <c r="KX245" s="5"/>
      <c r="KY245" s="5"/>
      <c r="KZ245" s="5"/>
      <c r="LA245" s="5"/>
      <c r="LB245" s="5"/>
      <c r="LC245" s="5"/>
      <c r="LD245" s="5"/>
      <c r="LE245" s="5"/>
      <c r="LF245" s="5"/>
      <c r="LG245" s="5"/>
      <c r="LH245" s="5"/>
      <c r="LI245" s="5"/>
      <c r="LJ245" s="5"/>
      <c r="LK245" s="5"/>
      <c r="LL245" s="5"/>
      <c r="LM245" s="5"/>
      <c r="LN245" s="5"/>
      <c r="LO245" s="5"/>
      <c r="LP245" s="5"/>
      <c r="LQ245" s="5"/>
      <c r="LR245" s="5"/>
      <c r="LS245" s="5"/>
      <c r="LT245" s="5"/>
      <c r="LU245" s="5"/>
      <c r="LV245" s="5"/>
      <c r="LW245" s="5"/>
      <c r="LX245" s="1">
        <v>0</v>
      </c>
    </row>
    <row r="246" spans="1:336" ht="15" x14ac:dyDescent="0.25">
      <c r="A246" s="1" t="s">
        <v>1290</v>
      </c>
      <c r="B246" s="2">
        <v>29.785720000000001</v>
      </c>
      <c r="C246" s="2">
        <v>-84.767300000000006</v>
      </c>
      <c r="D246" s="2">
        <v>29.787269999999999</v>
      </c>
      <c r="E246" s="2">
        <v>-84.758600000000001</v>
      </c>
      <c r="F246" s="3">
        <v>43136</v>
      </c>
      <c r="G246" s="2">
        <v>1</v>
      </c>
      <c r="H246" s="1" t="s">
        <v>940</v>
      </c>
      <c r="I246" s="1" t="s">
        <v>329</v>
      </c>
      <c r="J246" s="4">
        <v>0.66527777777777775</v>
      </c>
      <c r="K246" s="1" t="s">
        <v>368</v>
      </c>
      <c r="L246" s="1" t="s">
        <v>364</v>
      </c>
      <c r="M246" s="1" t="s">
        <v>1291</v>
      </c>
      <c r="N246" s="1" t="s">
        <v>333</v>
      </c>
      <c r="O246" s="2"/>
      <c r="P246" s="2"/>
      <c r="Q246" s="2">
        <v>2</v>
      </c>
      <c r="R246" s="2">
        <v>36</v>
      </c>
      <c r="S246" s="2">
        <v>5</v>
      </c>
      <c r="T246" s="2">
        <v>13</v>
      </c>
      <c r="U246" s="2"/>
      <c r="V246" s="2"/>
      <c r="W246" s="2"/>
      <c r="X246" s="2"/>
      <c r="Y246" s="2"/>
      <c r="Z246" s="2"/>
      <c r="AA246" s="2"/>
      <c r="AB246" s="2"/>
      <c r="AC246" s="2"/>
      <c r="AD246" s="2"/>
      <c r="AE246" s="2">
        <v>38</v>
      </c>
      <c r="AF246" s="2"/>
      <c r="AG246" s="2"/>
      <c r="AH246" s="2"/>
      <c r="AI246" s="2"/>
      <c r="AJ246" s="2"/>
      <c r="AK246" s="2"/>
      <c r="AL246" s="2">
        <v>2</v>
      </c>
      <c r="AM246" s="2"/>
      <c r="AN246" s="2"/>
      <c r="AO246" s="2"/>
      <c r="AP246" s="2"/>
      <c r="AQ246" s="2"/>
      <c r="AR246" s="2"/>
      <c r="AS246" s="2"/>
      <c r="AT246" s="2"/>
      <c r="AU246" s="2"/>
      <c r="AV246" s="2"/>
      <c r="AW246" s="2">
        <v>1</v>
      </c>
      <c r="AX246" s="2"/>
      <c r="AY246" s="2"/>
      <c r="AZ246" s="2"/>
      <c r="BA246" s="2"/>
      <c r="BB246" s="2"/>
      <c r="BC246" s="2"/>
      <c r="BD246" s="2"/>
      <c r="BE246" s="2"/>
      <c r="BF246" s="2"/>
      <c r="BG246" s="2"/>
      <c r="BH246" s="2"/>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5"/>
      <c r="KY246" s="5"/>
      <c r="KZ246" s="5"/>
      <c r="LA246" s="5"/>
      <c r="LB246" s="5"/>
      <c r="LC246" s="5"/>
      <c r="LD246" s="5"/>
      <c r="LE246" s="5"/>
      <c r="LF246" s="5"/>
      <c r="LG246" s="5"/>
      <c r="LH246" s="5"/>
      <c r="LI246" s="5"/>
      <c r="LJ246" s="5"/>
      <c r="LK246" s="5"/>
      <c r="LL246" s="5"/>
      <c r="LM246" s="5"/>
      <c r="LN246" s="5"/>
      <c r="LO246" s="5"/>
      <c r="LP246" s="5"/>
      <c r="LQ246" s="5"/>
      <c r="LR246" s="5"/>
      <c r="LS246" s="5"/>
      <c r="LT246" s="5"/>
      <c r="LU246" s="5"/>
      <c r="LV246" s="5"/>
      <c r="LW246" s="5"/>
      <c r="LX246" s="5"/>
    </row>
    <row r="247" spans="1:336" ht="15.75" customHeight="1" x14ac:dyDescent="0.2">
      <c r="A247" s="9" t="s">
        <v>1292</v>
      </c>
      <c r="B247" s="10">
        <v>27.870857999999998</v>
      </c>
      <c r="C247" s="11">
        <v>-82.610864000000007</v>
      </c>
      <c r="D247" s="12">
        <v>27.876937999999999</v>
      </c>
      <c r="E247" s="11">
        <v>-82.589979</v>
      </c>
      <c r="F247" s="13">
        <v>43141</v>
      </c>
      <c r="G247" s="14" t="s">
        <v>895</v>
      </c>
      <c r="H247" s="14" t="s">
        <v>896</v>
      </c>
      <c r="I247" s="14"/>
      <c r="J247" s="15">
        <v>0.56874999999854481</v>
      </c>
      <c r="K247" s="14" t="s">
        <v>330</v>
      </c>
      <c r="L247" s="14" t="s">
        <v>369</v>
      </c>
      <c r="M247" s="16"/>
      <c r="N247" s="16" t="s">
        <v>333</v>
      </c>
      <c r="O247" s="17">
        <v>8</v>
      </c>
      <c r="P247" s="18"/>
      <c r="Q247" s="18"/>
      <c r="R247" s="18"/>
      <c r="S247" s="18"/>
      <c r="T247" s="18"/>
      <c r="U247" s="18"/>
      <c r="V247" s="18"/>
      <c r="W247" s="18"/>
      <c r="X247" s="18"/>
      <c r="Y247" s="18"/>
      <c r="Z247" s="18"/>
      <c r="AA247" s="18"/>
      <c r="AB247" s="18"/>
      <c r="AC247" s="18"/>
      <c r="AD247" s="18"/>
      <c r="AE247" s="18"/>
      <c r="AF247" s="18">
        <v>1</v>
      </c>
      <c r="AG247" s="18"/>
      <c r="AH247" s="18"/>
      <c r="AI247" s="18"/>
      <c r="AJ247" s="18"/>
      <c r="AK247" s="18"/>
      <c r="AL247" s="18">
        <v>8</v>
      </c>
      <c r="AM247" s="18"/>
      <c r="AN247" s="18"/>
      <c r="AO247" s="18"/>
      <c r="AP247" s="18"/>
      <c r="AQ247" s="18">
        <v>62</v>
      </c>
      <c r="AR247" s="18"/>
      <c r="AS247" s="18"/>
      <c r="AT247" s="18">
        <v>1</v>
      </c>
      <c r="AU247" s="18">
        <v>2</v>
      </c>
      <c r="AV247" s="18"/>
      <c r="AW247" s="18">
        <v>26</v>
      </c>
      <c r="AX247" s="18">
        <v>25</v>
      </c>
      <c r="AY247" s="18"/>
      <c r="AZ247" s="18"/>
      <c r="BA247" s="18">
        <v>1</v>
      </c>
      <c r="BB247" s="18">
        <v>42</v>
      </c>
      <c r="BC247" s="18"/>
      <c r="BD247" s="18">
        <v>6</v>
      </c>
      <c r="BE247" s="18">
        <v>4</v>
      </c>
      <c r="BF247" s="18">
        <v>2</v>
      </c>
      <c r="BG247" s="18"/>
      <c r="BH247" s="18"/>
      <c r="BI247" s="16" t="s">
        <v>1293</v>
      </c>
      <c r="BJ247" s="18">
        <v>27.876466000000001</v>
      </c>
      <c r="BK247" s="18">
        <v>-82.591997000000006</v>
      </c>
      <c r="BL247" s="18">
        <v>1</v>
      </c>
      <c r="BM247" s="16" t="s">
        <v>1294</v>
      </c>
      <c r="BN247" s="18">
        <v>62</v>
      </c>
      <c r="BO247" s="16"/>
      <c r="BP247" s="16"/>
      <c r="BQ247" s="16"/>
      <c r="BR247" s="16"/>
      <c r="BS247" s="16"/>
      <c r="BT247" s="16"/>
      <c r="BU247" s="16"/>
      <c r="BV247" s="16"/>
      <c r="BW247" s="16"/>
      <c r="BX247" s="16"/>
      <c r="BY247" s="16" t="s">
        <v>1295</v>
      </c>
      <c r="BZ247" s="18">
        <v>27.870857999999998</v>
      </c>
      <c r="CA247" s="18">
        <v>27.876937999999999</v>
      </c>
      <c r="CB247" s="18">
        <v>-82.610864000000007</v>
      </c>
      <c r="CC247" s="18">
        <v>-82.589979</v>
      </c>
      <c r="CD247" s="16" t="s">
        <v>329</v>
      </c>
      <c r="CE247" s="16" t="s">
        <v>1292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Brush, Janell</cp:lastModifiedBy>
  <dcterms:modified xsi:type="dcterms:W3CDTF">2022-06-01T12:29:14Z</dcterms:modified>
</cp:coreProperties>
</file>