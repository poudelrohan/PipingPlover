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janell.brush\Documents\Brush\Shorebird Program\Nonbreeding Data\Mid Winter Shorebird Survey Data All Years\"/>
    </mc:Choice>
  </mc:AlternateContent>
  <xr:revisionPtr revIDLastSave="0" documentId="13_ncr:1_{7DE6F07A-37BE-45EE-B79B-A3BDC94D4176}" xr6:coauthVersionLast="47" xr6:coauthVersionMax="47" xr10:uidLastSave="{00000000-0000-0000-0000-000000000000}"/>
  <bookViews>
    <workbookView xWindow="-120" yWindow="-120" windowWidth="29040" windowHeight="17640" xr2:uid="{00000000-000D-0000-FFFF-FFFF00000000}"/>
  </bookViews>
  <sheets>
    <sheet name="Form Responses 1" sheetId="1" r:id="rId1"/>
    <sheet name="Summary" sheetId="2" r:id="rId2"/>
    <sheet name="Transect_Total" sheetId="3" r:id="rId3"/>
    <sheet name="Graph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A3" i="1" l="1"/>
  <c r="AA2" i="1"/>
  <c r="Z3" i="1"/>
  <c r="Z2" i="1"/>
  <c r="Y3" i="1"/>
  <c r="Y2" i="1"/>
  <c r="B7" i="2"/>
  <c r="D2" i="4" s="1"/>
  <c r="R5" i="2"/>
  <c r="Q5" i="2"/>
  <c r="P5" i="2"/>
  <c r="O5" i="2"/>
  <c r="N5" i="2"/>
  <c r="M5" i="2"/>
  <c r="L5" i="2"/>
  <c r="K5" i="2"/>
  <c r="J5" i="2"/>
  <c r="I5" i="2"/>
  <c r="H5" i="2"/>
  <c r="G5" i="2"/>
  <c r="F5" i="2"/>
  <c r="E5" i="2"/>
  <c r="D5" i="2"/>
  <c r="C5" i="2"/>
  <c r="B5" i="2"/>
  <c r="A5" i="2"/>
  <c r="Y2" i="2"/>
  <c r="X2" i="2"/>
  <c r="W2" i="2"/>
  <c r="V2" i="2"/>
  <c r="U2" i="2"/>
  <c r="T2" i="2"/>
  <c r="S2" i="2"/>
  <c r="R2" i="2"/>
  <c r="Q2" i="2"/>
  <c r="P2" i="2"/>
  <c r="O2" i="2"/>
  <c r="N2" i="2"/>
  <c r="M2" i="2"/>
  <c r="L2" i="2"/>
  <c r="K2" i="2"/>
  <c r="J2" i="2"/>
  <c r="I2" i="2"/>
  <c r="H2" i="2"/>
  <c r="G2" i="2"/>
  <c r="F2" i="2"/>
  <c r="E2" i="2"/>
  <c r="D2" i="2"/>
  <c r="C2" i="2"/>
  <c r="B2" i="2"/>
  <c r="A2" i="2"/>
  <c r="C241" i="1"/>
  <c r="C233" i="1"/>
  <c r="C213" i="1"/>
  <c r="C212" i="1"/>
  <c r="C185" i="1"/>
  <c r="C160" i="1"/>
  <c r="C108" i="1"/>
  <c r="C95" i="1"/>
  <c r="C93" i="1"/>
  <c r="C92" i="1"/>
  <c r="C87" i="1"/>
  <c r="C76" i="1"/>
  <c r="C28" i="1"/>
  <c r="C20" i="1"/>
  <c r="C10" i="1"/>
  <c r="C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6" authorId="0" shapeId="0" xr:uid="{00000000-0006-0000-0000-000001000000}">
      <text>
        <r>
          <rPr>
            <sz val="10"/>
            <color rgb="FF000000"/>
            <rFont val="Arial"/>
            <family val="2"/>
          </rPr>
          <t>Responder updated this value.</t>
        </r>
      </text>
    </comment>
    <comment ref="D16" authorId="0" shapeId="0" xr:uid="{00000000-0006-0000-0000-000002000000}">
      <text>
        <r>
          <rPr>
            <sz val="10"/>
            <color rgb="FF000000"/>
            <rFont val="Arial"/>
            <family val="2"/>
          </rPr>
          <t>Responder updated this value.</t>
        </r>
      </text>
    </comment>
    <comment ref="E16" authorId="0" shapeId="0" xr:uid="{00000000-0006-0000-0000-000003000000}">
      <text>
        <r>
          <rPr>
            <sz val="10"/>
            <color rgb="FF000000"/>
            <rFont val="Arial"/>
            <family val="2"/>
          </rPr>
          <t>Responder updated this value.</t>
        </r>
      </text>
    </comment>
    <comment ref="F16" authorId="0" shapeId="0" xr:uid="{00000000-0006-0000-0000-000004000000}">
      <text>
        <r>
          <rPr>
            <sz val="10"/>
            <color rgb="FF000000"/>
            <rFont val="Arial"/>
            <family val="2"/>
          </rPr>
          <t>Responder updated this value.</t>
        </r>
      </text>
    </comment>
    <comment ref="G16" authorId="0" shapeId="0" xr:uid="{00000000-0006-0000-0000-000005000000}">
      <text>
        <r>
          <rPr>
            <sz val="10"/>
            <color rgb="FF000000"/>
            <rFont val="Arial"/>
            <family val="2"/>
          </rPr>
          <t>Responder updated this value.</t>
        </r>
      </text>
    </comment>
    <comment ref="H16" authorId="0" shapeId="0" xr:uid="{00000000-0006-0000-0000-000006000000}">
      <text>
        <r>
          <rPr>
            <sz val="10"/>
            <color rgb="FF000000"/>
            <rFont val="Arial"/>
            <family val="2"/>
          </rPr>
          <t>Responder updated this value.</t>
        </r>
      </text>
    </comment>
    <comment ref="I16" authorId="0" shapeId="0" xr:uid="{00000000-0006-0000-0000-000007000000}">
      <text>
        <r>
          <rPr>
            <sz val="10"/>
            <color rgb="FF000000"/>
            <rFont val="Arial"/>
            <family val="2"/>
          </rPr>
          <t>Responder updated this value.</t>
        </r>
      </text>
    </comment>
    <comment ref="J16" authorId="0" shapeId="0" xr:uid="{00000000-0006-0000-0000-000008000000}">
      <text>
        <r>
          <rPr>
            <sz val="10"/>
            <color rgb="FF000000"/>
            <rFont val="Arial"/>
            <family val="2"/>
          </rPr>
          <t>Responder updated this value.</t>
        </r>
      </text>
    </comment>
    <comment ref="R16" authorId="0" shapeId="0" xr:uid="{00000000-0006-0000-0000-000009000000}">
      <text>
        <r>
          <rPr>
            <sz val="10"/>
            <color rgb="FF000000"/>
            <rFont val="Arial"/>
            <family val="2"/>
          </rPr>
          <t>Responder updated this value.</t>
        </r>
      </text>
    </comment>
    <comment ref="S16" authorId="0" shapeId="0" xr:uid="{00000000-0006-0000-0000-00000A000000}">
      <text>
        <r>
          <rPr>
            <sz val="10"/>
            <color rgb="FF000000"/>
            <rFont val="Arial"/>
            <family val="2"/>
          </rPr>
          <t>Responder updated this value.</t>
        </r>
      </text>
    </comment>
    <comment ref="V16" authorId="0" shapeId="0" xr:uid="{00000000-0006-0000-0000-00000B000000}">
      <text>
        <r>
          <rPr>
            <sz val="10"/>
            <color rgb="FF000000"/>
            <rFont val="Arial"/>
            <family val="2"/>
          </rPr>
          <t>Responder updated this value.</t>
        </r>
      </text>
    </comment>
    <comment ref="AD16" authorId="0" shapeId="0" xr:uid="{00000000-0006-0000-0000-00000C000000}">
      <text>
        <r>
          <rPr>
            <sz val="10"/>
            <color rgb="FF000000"/>
            <rFont val="Arial"/>
            <family val="2"/>
          </rPr>
          <t>Responder updated this value.</t>
        </r>
      </text>
    </comment>
    <comment ref="AE16" authorId="0" shapeId="0" xr:uid="{00000000-0006-0000-0000-00000D000000}">
      <text>
        <r>
          <rPr>
            <sz val="10"/>
            <color rgb="FF000000"/>
            <rFont val="Arial"/>
            <family val="2"/>
          </rPr>
          <t>Responder updated this value.</t>
        </r>
      </text>
    </comment>
    <comment ref="AF16" authorId="0" shapeId="0" xr:uid="{00000000-0006-0000-0000-00000E000000}">
      <text>
        <r>
          <rPr>
            <sz val="10"/>
            <color rgb="FF000000"/>
            <rFont val="Arial"/>
            <family val="2"/>
          </rPr>
          <t>Responder updated this value.</t>
        </r>
      </text>
    </comment>
    <comment ref="AG16" authorId="0" shapeId="0" xr:uid="{00000000-0006-0000-0000-00000F000000}">
      <text>
        <r>
          <rPr>
            <sz val="10"/>
            <color rgb="FF000000"/>
            <rFont val="Arial"/>
            <family val="2"/>
          </rPr>
          <t>Responder updated this value.</t>
        </r>
      </text>
    </comment>
    <comment ref="AK16" authorId="0" shapeId="0" xr:uid="{00000000-0006-0000-0000-000010000000}">
      <text>
        <r>
          <rPr>
            <sz val="10"/>
            <color rgb="FF000000"/>
            <rFont val="Arial"/>
            <family val="2"/>
          </rPr>
          <t>Responder updated this value.</t>
        </r>
      </text>
    </comment>
    <comment ref="AM16" authorId="0" shapeId="0" xr:uid="{00000000-0006-0000-0000-000011000000}">
      <text>
        <r>
          <rPr>
            <sz val="10"/>
            <color rgb="FF000000"/>
            <rFont val="Arial"/>
            <family val="2"/>
          </rPr>
          <t>Responder updated this value.</t>
        </r>
      </text>
    </comment>
    <comment ref="AN16" authorId="0" shapeId="0" xr:uid="{00000000-0006-0000-0000-000012000000}">
      <text>
        <r>
          <rPr>
            <sz val="10"/>
            <color rgb="FF000000"/>
            <rFont val="Arial"/>
            <family val="2"/>
          </rPr>
          <t>Responder updated this value.</t>
        </r>
      </text>
    </comment>
    <comment ref="AR16" authorId="0" shapeId="0" xr:uid="{00000000-0006-0000-0000-000013000000}">
      <text>
        <r>
          <rPr>
            <sz val="10"/>
            <color rgb="FF000000"/>
            <rFont val="Arial"/>
            <family val="2"/>
          </rPr>
          <t>Responder updated this value.</t>
        </r>
      </text>
    </comment>
    <comment ref="AU16" authorId="0" shapeId="0" xr:uid="{00000000-0006-0000-0000-000014000000}">
      <text>
        <r>
          <rPr>
            <sz val="10"/>
            <color rgb="FF000000"/>
            <rFont val="Arial"/>
            <family val="2"/>
          </rPr>
          <t>Responder updated this value.</t>
        </r>
      </text>
    </comment>
    <comment ref="AX16" authorId="0" shapeId="0" xr:uid="{00000000-0006-0000-0000-000015000000}">
      <text>
        <r>
          <rPr>
            <sz val="10"/>
            <color rgb="FF000000"/>
            <rFont val="Arial"/>
            <family val="2"/>
          </rPr>
          <t>Responder updated this value.</t>
        </r>
      </text>
    </comment>
    <comment ref="AY16" authorId="0" shapeId="0" xr:uid="{00000000-0006-0000-0000-000016000000}">
      <text>
        <r>
          <rPr>
            <sz val="10"/>
            <color rgb="FF000000"/>
            <rFont val="Arial"/>
            <family val="2"/>
          </rPr>
          <t>Responder updated this value.</t>
        </r>
      </text>
    </comment>
    <comment ref="BB16" authorId="0" shapeId="0" xr:uid="{00000000-0006-0000-0000-000017000000}">
      <text>
        <r>
          <rPr>
            <sz val="10"/>
            <color rgb="FF000000"/>
            <rFont val="Arial"/>
            <family val="2"/>
          </rPr>
          <t>Responder updated this value.</t>
        </r>
      </text>
    </comment>
    <comment ref="BC16" authorId="0" shapeId="0" xr:uid="{00000000-0006-0000-0000-000018000000}">
      <text>
        <r>
          <rPr>
            <sz val="10"/>
            <color rgb="FF000000"/>
            <rFont val="Arial"/>
            <family val="2"/>
          </rPr>
          <t>Responder updated this value.</t>
        </r>
      </text>
    </comment>
    <comment ref="BD16" authorId="0" shapeId="0" xr:uid="{00000000-0006-0000-0000-000019000000}">
      <text>
        <r>
          <rPr>
            <sz val="10"/>
            <color rgb="FF000000"/>
            <rFont val="Arial"/>
            <family val="2"/>
          </rPr>
          <t>Responder updated this value.</t>
        </r>
      </text>
    </comment>
    <comment ref="BE16" authorId="0" shapeId="0" xr:uid="{00000000-0006-0000-0000-00001A000000}">
      <text>
        <r>
          <rPr>
            <sz val="10"/>
            <color rgb="FF000000"/>
            <rFont val="Arial"/>
            <family val="2"/>
          </rPr>
          <t>Responder updated this value.</t>
        </r>
      </text>
    </comment>
    <comment ref="BF16" authorId="0" shapeId="0" xr:uid="{00000000-0006-0000-0000-00001B000000}">
      <text>
        <r>
          <rPr>
            <sz val="10"/>
            <color rgb="FF000000"/>
            <rFont val="Arial"/>
            <family val="2"/>
          </rPr>
          <t>Responder updated this value.</t>
        </r>
      </text>
    </comment>
    <comment ref="BJ16" authorId="0" shapeId="0" xr:uid="{00000000-0006-0000-0000-00001C000000}">
      <text>
        <r>
          <rPr>
            <sz val="10"/>
            <color rgb="FF000000"/>
            <rFont val="Arial"/>
            <family val="2"/>
          </rPr>
          <t>Responder updated this value.</t>
        </r>
      </text>
    </comment>
    <comment ref="BK16" authorId="0" shapeId="0" xr:uid="{00000000-0006-0000-0000-00001D000000}">
      <text>
        <r>
          <rPr>
            <sz val="10"/>
            <color rgb="FF000000"/>
            <rFont val="Arial"/>
            <family val="2"/>
          </rPr>
          <t>Responder updated this value.</t>
        </r>
      </text>
    </comment>
    <comment ref="BL16" authorId="0" shapeId="0" xr:uid="{00000000-0006-0000-0000-00001E000000}">
      <text>
        <r>
          <rPr>
            <sz val="10"/>
            <color rgb="FF000000"/>
            <rFont val="Arial"/>
            <family val="2"/>
          </rPr>
          <t>Responder updated this value.</t>
        </r>
      </text>
    </comment>
    <comment ref="BO16" authorId="0" shapeId="0" xr:uid="{00000000-0006-0000-0000-00001F000000}">
      <text>
        <r>
          <rPr>
            <sz val="10"/>
            <color rgb="FF000000"/>
            <rFont val="Arial"/>
            <family val="2"/>
          </rPr>
          <t>Responder updated this value.</t>
        </r>
      </text>
    </comment>
    <comment ref="BP16" authorId="0" shapeId="0" xr:uid="{00000000-0006-0000-0000-000020000000}">
      <text>
        <r>
          <rPr>
            <sz val="10"/>
            <color rgb="FF000000"/>
            <rFont val="Arial"/>
            <family val="2"/>
          </rPr>
          <t>Responder updated this value.</t>
        </r>
      </text>
    </comment>
    <comment ref="BY16" authorId="0" shapeId="0" xr:uid="{00000000-0006-0000-0000-000021000000}">
      <text>
        <r>
          <rPr>
            <sz val="10"/>
            <color rgb="FF000000"/>
            <rFont val="Arial"/>
            <family val="2"/>
          </rPr>
          <t>Responder updated this value.</t>
        </r>
      </text>
    </comment>
    <comment ref="BZ16" authorId="0" shapeId="0" xr:uid="{00000000-0006-0000-0000-000022000000}">
      <text>
        <r>
          <rPr>
            <sz val="10"/>
            <color rgb="FF000000"/>
            <rFont val="Arial"/>
            <family val="2"/>
          </rPr>
          <t>Responder updated this value.</t>
        </r>
      </text>
    </comment>
    <comment ref="CA16" authorId="0" shapeId="0" xr:uid="{00000000-0006-0000-0000-000023000000}">
      <text>
        <r>
          <rPr>
            <sz val="10"/>
            <color rgb="FF000000"/>
            <rFont val="Arial"/>
            <family val="2"/>
          </rPr>
          <t>Responder updated this value.</t>
        </r>
      </text>
    </comment>
    <comment ref="CB16" authorId="0" shapeId="0" xr:uid="{00000000-0006-0000-0000-000024000000}">
      <text>
        <r>
          <rPr>
            <sz val="10"/>
            <color rgb="FF000000"/>
            <rFont val="Arial"/>
            <family val="2"/>
          </rPr>
          <t>Responder updated this value.</t>
        </r>
      </text>
    </comment>
    <comment ref="CM16" authorId="0" shapeId="0" xr:uid="{00000000-0006-0000-0000-000025000000}">
      <text>
        <r>
          <rPr>
            <sz val="10"/>
            <color rgb="FF000000"/>
            <rFont val="Arial"/>
            <family val="2"/>
          </rPr>
          <t>Responder updated this value.</t>
        </r>
      </text>
    </comment>
    <comment ref="CN16" authorId="0" shapeId="0" xr:uid="{00000000-0006-0000-0000-000026000000}">
      <text>
        <r>
          <rPr>
            <sz val="10"/>
            <color rgb="FF000000"/>
            <rFont val="Arial"/>
            <family val="2"/>
          </rPr>
          <t>Responder updated this value.</t>
        </r>
      </text>
    </comment>
    <comment ref="CO16" authorId="0" shapeId="0" xr:uid="{00000000-0006-0000-0000-000027000000}">
      <text>
        <r>
          <rPr>
            <sz val="10"/>
            <color rgb="FF000000"/>
            <rFont val="Arial"/>
            <family val="2"/>
          </rPr>
          <t>Responder updated this value.</t>
        </r>
      </text>
    </comment>
    <comment ref="CP16" authorId="0" shapeId="0" xr:uid="{00000000-0006-0000-0000-000028000000}">
      <text>
        <r>
          <rPr>
            <sz val="10"/>
            <color rgb="FF000000"/>
            <rFont val="Arial"/>
            <family val="2"/>
          </rPr>
          <t>Responder updated this value.</t>
        </r>
      </text>
    </comment>
    <comment ref="CQ16" authorId="0" shapeId="0" xr:uid="{00000000-0006-0000-0000-000029000000}">
      <text>
        <r>
          <rPr>
            <sz val="10"/>
            <color rgb="FF000000"/>
            <rFont val="Arial"/>
            <family val="2"/>
          </rPr>
          <t>Responder updated this value.</t>
        </r>
      </text>
    </comment>
    <comment ref="CR16" authorId="0" shapeId="0" xr:uid="{00000000-0006-0000-0000-00002A000000}">
      <text>
        <r>
          <rPr>
            <sz val="10"/>
            <color rgb="FF000000"/>
            <rFont val="Arial"/>
            <family val="2"/>
          </rPr>
          <t>Responder updated this value.</t>
        </r>
      </text>
    </comment>
    <comment ref="CY16" authorId="0" shapeId="0" xr:uid="{00000000-0006-0000-0000-00002B000000}">
      <text>
        <r>
          <rPr>
            <sz val="10"/>
            <color rgb="FF000000"/>
            <rFont val="Arial"/>
            <family val="2"/>
          </rPr>
          <t>Responder updated this value.</t>
        </r>
      </text>
    </comment>
    <comment ref="CZ16" authorId="0" shapeId="0" xr:uid="{00000000-0006-0000-0000-00002C000000}">
      <text>
        <r>
          <rPr>
            <sz val="10"/>
            <color rgb="FF000000"/>
            <rFont val="Arial"/>
            <family val="2"/>
          </rPr>
          <t>Responder updated this value.</t>
        </r>
      </text>
    </comment>
    <comment ref="DC16" authorId="0" shapeId="0" xr:uid="{00000000-0006-0000-0000-00002D000000}">
      <text>
        <r>
          <rPr>
            <sz val="10"/>
            <color rgb="FF000000"/>
            <rFont val="Arial"/>
            <family val="2"/>
          </rPr>
          <t>Responder updated this value.</t>
        </r>
      </text>
    </comment>
    <comment ref="DD16" authorId="0" shapeId="0" xr:uid="{00000000-0006-0000-0000-00002E000000}">
      <text>
        <r>
          <rPr>
            <sz val="10"/>
            <color rgb="FF000000"/>
            <rFont val="Arial"/>
            <family val="2"/>
          </rPr>
          <t>Responder updated this value.</t>
        </r>
      </text>
    </comment>
    <comment ref="DE16" authorId="0" shapeId="0" xr:uid="{00000000-0006-0000-0000-00002F000000}">
      <text>
        <r>
          <rPr>
            <sz val="10"/>
            <color rgb="FF000000"/>
            <rFont val="Arial"/>
            <family val="2"/>
          </rPr>
          <t>Responder updated this value.</t>
        </r>
      </text>
    </comment>
    <comment ref="DF16" authorId="0" shapeId="0" xr:uid="{00000000-0006-0000-0000-000030000000}">
      <text>
        <r>
          <rPr>
            <sz val="10"/>
            <color rgb="FF000000"/>
            <rFont val="Arial"/>
            <family val="2"/>
          </rPr>
          <t>Responder updated this value.</t>
        </r>
      </text>
    </comment>
    <comment ref="DG16" authorId="0" shapeId="0" xr:uid="{00000000-0006-0000-0000-000031000000}">
      <text>
        <r>
          <rPr>
            <sz val="10"/>
            <color rgb="FF000000"/>
            <rFont val="Arial"/>
            <family val="2"/>
          </rPr>
          <t>Responder updated this value.</t>
        </r>
      </text>
    </comment>
    <comment ref="DH16" authorId="0" shapeId="0" xr:uid="{00000000-0006-0000-0000-000032000000}">
      <text>
        <r>
          <rPr>
            <sz val="10"/>
            <color rgb="FF000000"/>
            <rFont val="Arial"/>
            <family val="2"/>
          </rPr>
          <t>Responder updated this value.</t>
        </r>
      </text>
    </comment>
    <comment ref="DS16" authorId="0" shapeId="0" xr:uid="{00000000-0006-0000-0000-000033000000}">
      <text>
        <r>
          <rPr>
            <sz val="10"/>
            <color rgb="FF000000"/>
            <rFont val="Arial"/>
            <family val="2"/>
          </rPr>
          <t>Responder updated this value.</t>
        </r>
      </text>
    </comment>
    <comment ref="DT16" authorId="0" shapeId="0" xr:uid="{00000000-0006-0000-0000-000034000000}">
      <text>
        <r>
          <rPr>
            <sz val="10"/>
            <color rgb="FF000000"/>
            <rFont val="Arial"/>
            <family val="2"/>
          </rPr>
          <t>Responder updated this value.</t>
        </r>
      </text>
    </comment>
    <comment ref="DV16" authorId="0" shapeId="0" xr:uid="{00000000-0006-0000-0000-000035000000}">
      <text>
        <r>
          <rPr>
            <sz val="10"/>
            <color rgb="FF000000"/>
            <rFont val="Arial"/>
            <family val="2"/>
          </rPr>
          <t>Responder updated this value.</t>
        </r>
      </text>
    </comment>
    <comment ref="DW16" authorId="0" shapeId="0" xr:uid="{00000000-0006-0000-0000-000036000000}">
      <text>
        <r>
          <rPr>
            <sz val="10"/>
            <color rgb="FF000000"/>
            <rFont val="Arial"/>
            <family val="2"/>
          </rPr>
          <t>Responder updated this value.</t>
        </r>
      </text>
    </comment>
    <comment ref="DX16" authorId="0" shapeId="0" xr:uid="{00000000-0006-0000-0000-000037000000}">
      <text>
        <r>
          <rPr>
            <sz val="10"/>
            <color rgb="FF000000"/>
            <rFont val="Arial"/>
            <family val="2"/>
          </rPr>
          <t>Responder updated this value.</t>
        </r>
      </text>
    </comment>
    <comment ref="EE16" authorId="0" shapeId="0" xr:uid="{00000000-0006-0000-0000-000038000000}">
      <text>
        <r>
          <rPr>
            <sz val="10"/>
            <color rgb="FF000000"/>
            <rFont val="Arial"/>
            <family val="2"/>
          </rPr>
          <t>Responder updated this value.</t>
        </r>
      </text>
    </comment>
    <comment ref="EG16" authorId="0" shapeId="0" xr:uid="{00000000-0006-0000-0000-000039000000}">
      <text>
        <r>
          <rPr>
            <sz val="10"/>
            <color rgb="FF000000"/>
            <rFont val="Arial"/>
            <family val="2"/>
          </rPr>
          <t>Responder updated this value.</t>
        </r>
      </text>
    </comment>
    <comment ref="EL16" authorId="0" shapeId="0" xr:uid="{00000000-0006-0000-0000-00003A000000}">
      <text>
        <r>
          <rPr>
            <sz val="10"/>
            <color rgb="FF000000"/>
            <rFont val="Arial"/>
            <family val="2"/>
          </rPr>
          <t>Responder updated this value.</t>
        </r>
      </text>
    </comment>
    <comment ref="BY22" authorId="0" shapeId="0" xr:uid="{00000000-0006-0000-0000-00003B000000}">
      <text>
        <r>
          <rPr>
            <sz val="10"/>
            <color rgb="FF000000"/>
            <rFont val="Arial"/>
            <family val="2"/>
          </rPr>
          <t>Responder updated this value.</t>
        </r>
      </text>
    </comment>
    <comment ref="R25" authorId="0" shapeId="0" xr:uid="{00000000-0006-0000-0000-00003C000000}">
      <text>
        <r>
          <rPr>
            <sz val="10"/>
            <color rgb="FF000000"/>
            <rFont val="Arial"/>
            <family val="2"/>
          </rPr>
          <t>Responder updated this value.</t>
        </r>
      </text>
    </comment>
    <comment ref="W25" authorId="0" shapeId="0" xr:uid="{00000000-0006-0000-0000-00003D000000}">
      <text>
        <r>
          <rPr>
            <sz val="10"/>
            <color rgb="FF000000"/>
            <rFont val="Arial"/>
            <family val="2"/>
          </rPr>
          <t>Responder updated this value.</t>
        </r>
      </text>
    </comment>
    <comment ref="AE25" authorId="0" shapeId="0" xr:uid="{00000000-0006-0000-0000-00003E000000}">
      <text>
        <r>
          <rPr>
            <sz val="10"/>
            <color rgb="FF000000"/>
            <rFont val="Arial"/>
            <family val="2"/>
          </rPr>
          <t>Responder updated this value.</t>
        </r>
      </text>
    </comment>
    <comment ref="AU25" authorId="0" shapeId="0" xr:uid="{00000000-0006-0000-0000-00003F000000}">
      <text>
        <r>
          <rPr>
            <sz val="10"/>
            <color rgb="FF000000"/>
            <rFont val="Arial"/>
            <family val="2"/>
          </rPr>
          <t>Responder updated this value.</t>
        </r>
      </text>
    </comment>
    <comment ref="AX25" authorId="0" shapeId="0" xr:uid="{00000000-0006-0000-0000-000040000000}">
      <text>
        <r>
          <rPr>
            <sz val="10"/>
            <color rgb="FF000000"/>
            <rFont val="Arial"/>
            <family val="2"/>
          </rPr>
          <t>Responder updated this value.</t>
        </r>
      </text>
    </comment>
    <comment ref="BC25" authorId="0" shapeId="0" xr:uid="{00000000-0006-0000-0000-000041000000}">
      <text>
        <r>
          <rPr>
            <sz val="10"/>
            <color rgb="FF000000"/>
            <rFont val="Arial"/>
            <family val="2"/>
          </rPr>
          <t>Responder updated this value.</t>
        </r>
      </text>
    </comment>
    <comment ref="BV37" authorId="0" shapeId="0" xr:uid="{00000000-0006-0000-0000-000042000000}">
      <text>
        <r>
          <rPr>
            <sz val="10"/>
            <color rgb="FF000000"/>
            <rFont val="Arial"/>
            <family val="2"/>
          </rPr>
          <t>Responder updated this value.</t>
        </r>
      </text>
    </comment>
    <comment ref="CL37" authorId="0" shapeId="0" xr:uid="{00000000-0006-0000-0000-000043000000}">
      <text>
        <r>
          <rPr>
            <sz val="10"/>
            <color rgb="FF000000"/>
            <rFont val="Arial"/>
            <family val="2"/>
          </rPr>
          <t>Responder updated this value.</t>
        </r>
      </text>
    </comment>
    <comment ref="E42" authorId="0" shapeId="0" xr:uid="{00000000-0006-0000-0000-000044000000}">
      <text>
        <r>
          <rPr>
            <sz val="10"/>
            <color rgb="FF000000"/>
            <rFont val="Arial"/>
            <family val="2"/>
          </rPr>
          <t>Responder updated this value.</t>
        </r>
      </text>
    </comment>
    <comment ref="CX42" authorId="0" shapeId="0" xr:uid="{00000000-0006-0000-0000-000045000000}">
      <text>
        <r>
          <rPr>
            <sz val="10"/>
            <color rgb="FF000000"/>
            <rFont val="Arial"/>
            <family val="2"/>
          </rPr>
          <t>Responder updated this value.</t>
        </r>
      </text>
    </comment>
    <comment ref="DR42" authorId="0" shapeId="0" xr:uid="{00000000-0006-0000-0000-000046000000}">
      <text>
        <r>
          <rPr>
            <sz val="10"/>
            <color rgb="FF000000"/>
            <rFont val="Arial"/>
            <family val="2"/>
          </rPr>
          <t>Responder updated this value.</t>
        </r>
      </text>
    </comment>
    <comment ref="GB42" authorId="0" shapeId="0" xr:uid="{00000000-0006-0000-0000-000047000000}">
      <text>
        <r>
          <rPr>
            <sz val="10"/>
            <color rgb="FF000000"/>
            <rFont val="Arial"/>
            <family val="2"/>
          </rPr>
          <t>Responder updated this value.</t>
        </r>
      </text>
    </comment>
    <comment ref="AE44" authorId="0" shapeId="0" xr:uid="{00000000-0006-0000-0000-000048000000}">
      <text>
        <r>
          <rPr>
            <sz val="10"/>
            <color rgb="FF000000"/>
            <rFont val="Arial"/>
            <family val="2"/>
          </rPr>
          <t>Responder updated this value.</t>
        </r>
      </text>
    </comment>
    <comment ref="CA61" authorId="0" shapeId="0" xr:uid="{00000000-0006-0000-0000-000049000000}">
      <text>
        <r>
          <rPr>
            <sz val="10"/>
            <color rgb="FF000000"/>
            <rFont val="Arial"/>
            <family val="2"/>
          </rPr>
          <t>Responder updated this value.</t>
        </r>
      </text>
    </comment>
    <comment ref="CB61" authorId="0" shapeId="0" xr:uid="{00000000-0006-0000-0000-00004A000000}">
      <text>
        <r>
          <rPr>
            <sz val="10"/>
            <color rgb="FF000000"/>
            <rFont val="Arial"/>
            <family val="2"/>
          </rPr>
          <t>Responder updated this value.</t>
        </r>
      </text>
    </comment>
    <comment ref="BO96" authorId="0" shapeId="0" xr:uid="{00000000-0006-0000-0000-00004B000000}">
      <text>
        <r>
          <rPr>
            <sz val="10"/>
            <color rgb="FF000000"/>
            <rFont val="Arial"/>
            <family val="2"/>
          </rPr>
          <t>Responder updated this value.</t>
        </r>
      </text>
    </comment>
    <comment ref="AI101" authorId="0" shapeId="0" xr:uid="{00000000-0006-0000-0000-00004C000000}">
      <text>
        <r>
          <rPr>
            <sz val="10"/>
            <color rgb="FF000000"/>
            <rFont val="Arial"/>
            <family val="2"/>
          </rPr>
          <t>Responder updated this value.</t>
        </r>
      </text>
    </comment>
    <comment ref="BC101" authorId="0" shapeId="0" xr:uid="{00000000-0006-0000-0000-00004D000000}">
      <text>
        <r>
          <rPr>
            <sz val="10"/>
            <color rgb="FF000000"/>
            <rFont val="Arial"/>
            <family val="2"/>
          </rPr>
          <t>Responder updated this value.</t>
        </r>
      </text>
    </comment>
    <comment ref="BY101" authorId="0" shapeId="0" xr:uid="{00000000-0006-0000-0000-00004E000000}">
      <text>
        <r>
          <rPr>
            <sz val="10"/>
            <color rgb="FF000000"/>
            <rFont val="Arial"/>
            <family val="2"/>
          </rPr>
          <t>Responder updated this value.</t>
        </r>
      </text>
    </comment>
    <comment ref="CO101" authorId="0" shapeId="0" xr:uid="{00000000-0006-0000-0000-00004F000000}">
      <text>
        <r>
          <rPr>
            <sz val="10"/>
            <color rgb="FF000000"/>
            <rFont val="Arial"/>
            <family val="2"/>
          </rPr>
          <t>Responder updated this value.</t>
        </r>
      </text>
    </comment>
    <comment ref="DE101" authorId="0" shapeId="0" xr:uid="{00000000-0006-0000-0000-000050000000}">
      <text>
        <r>
          <rPr>
            <sz val="10"/>
            <color rgb="FF000000"/>
            <rFont val="Arial"/>
            <family val="2"/>
          </rPr>
          <t>Responder updated this value.</t>
        </r>
      </text>
    </comment>
    <comment ref="O111" authorId="0" shapeId="0" xr:uid="{00000000-0006-0000-0000-000051000000}">
      <text>
        <r>
          <rPr>
            <sz val="10"/>
            <color rgb="FF000000"/>
            <rFont val="Arial"/>
            <family val="2"/>
          </rPr>
          <t>Responder updated this value.</t>
        </r>
      </text>
    </comment>
    <comment ref="DF111" authorId="0" shapeId="0" xr:uid="{00000000-0006-0000-0000-000052000000}">
      <text>
        <r>
          <rPr>
            <sz val="10"/>
            <color rgb="FF000000"/>
            <rFont val="Arial"/>
            <family val="2"/>
          </rPr>
          <t>Responder updated this value.</t>
        </r>
      </text>
    </comment>
    <comment ref="AC117" authorId="0" shapeId="0" xr:uid="{00000000-0006-0000-0000-000053000000}">
      <text>
        <r>
          <rPr>
            <sz val="10"/>
            <color rgb="FF000000"/>
            <rFont val="Arial"/>
            <family val="2"/>
          </rPr>
          <t>Responder updated this value.</t>
        </r>
      </text>
    </comment>
    <comment ref="AE117" authorId="0" shapeId="0" xr:uid="{00000000-0006-0000-0000-000054000000}">
      <text>
        <r>
          <rPr>
            <sz val="10"/>
            <color rgb="FF000000"/>
            <rFont val="Arial"/>
            <family val="2"/>
          </rPr>
          <t>Responder updated this value.</t>
        </r>
      </text>
    </comment>
    <comment ref="AF117" authorId="0" shapeId="0" xr:uid="{00000000-0006-0000-0000-000055000000}">
      <text>
        <r>
          <rPr>
            <sz val="10"/>
            <color rgb="FF000000"/>
            <rFont val="Arial"/>
            <family val="2"/>
          </rPr>
          <t>Responder updated this value.</t>
        </r>
      </text>
    </comment>
    <comment ref="AI117" authorId="0" shapeId="0" xr:uid="{00000000-0006-0000-0000-000056000000}">
      <text>
        <r>
          <rPr>
            <sz val="10"/>
            <color rgb="FF000000"/>
            <rFont val="Arial"/>
            <family val="2"/>
          </rPr>
          <t>Responder updated this value.</t>
        </r>
      </text>
    </comment>
    <comment ref="BJ117" authorId="0" shapeId="0" xr:uid="{00000000-0006-0000-0000-000057000000}">
      <text>
        <r>
          <rPr>
            <sz val="10"/>
            <color rgb="FF000000"/>
            <rFont val="Arial"/>
            <family val="2"/>
          </rPr>
          <t>Responder updated this value.</t>
        </r>
      </text>
    </comment>
    <comment ref="E131" authorId="0" shapeId="0" xr:uid="{00000000-0006-0000-0000-000058000000}">
      <text>
        <r>
          <rPr>
            <sz val="10"/>
            <color rgb="FF000000"/>
            <rFont val="Arial"/>
            <family val="2"/>
          </rPr>
          <t>Responder updated this value.</t>
        </r>
      </text>
    </comment>
    <comment ref="R131" authorId="0" shapeId="0" xr:uid="{00000000-0006-0000-0000-000059000000}">
      <text>
        <r>
          <rPr>
            <sz val="10"/>
            <color rgb="FF000000"/>
            <rFont val="Arial"/>
            <family val="2"/>
          </rPr>
          <t>Responder updated this value.</t>
        </r>
      </text>
    </comment>
    <comment ref="AF131" authorId="0" shapeId="0" xr:uid="{00000000-0006-0000-0000-00005A000000}">
      <text>
        <r>
          <rPr>
            <sz val="10"/>
            <color rgb="FF000000"/>
            <rFont val="Arial"/>
            <family val="2"/>
          </rPr>
          <t>Responder updated this value.</t>
        </r>
      </text>
    </comment>
    <comment ref="AM131" authorId="0" shapeId="0" xr:uid="{00000000-0006-0000-0000-00005B000000}">
      <text>
        <r>
          <rPr>
            <sz val="10"/>
            <color rgb="FF000000"/>
            <rFont val="Arial"/>
            <family val="2"/>
          </rPr>
          <t>Responder updated this value.</t>
        </r>
      </text>
    </comment>
    <comment ref="BO131" authorId="0" shapeId="0" xr:uid="{00000000-0006-0000-0000-00005C000000}">
      <text>
        <r>
          <rPr>
            <sz val="10"/>
            <color rgb="FF000000"/>
            <rFont val="Arial"/>
            <family val="2"/>
          </rPr>
          <t>Responder updated this value.</t>
        </r>
      </text>
    </comment>
    <comment ref="CE131" authorId="0" shapeId="0" xr:uid="{00000000-0006-0000-0000-00005D000000}">
      <text>
        <r>
          <rPr>
            <sz val="10"/>
            <color rgb="FF000000"/>
            <rFont val="Arial"/>
            <family val="2"/>
          </rPr>
          <t>Responder updated this value.</t>
        </r>
      </text>
    </comment>
    <comment ref="E132" authorId="0" shapeId="0" xr:uid="{00000000-0006-0000-0000-00005E000000}">
      <text>
        <r>
          <rPr>
            <sz val="10"/>
            <color rgb="FF000000"/>
            <rFont val="Arial"/>
            <family val="2"/>
          </rPr>
          <t>Responder updated this value.</t>
        </r>
      </text>
    </comment>
    <comment ref="AU135" authorId="0" shapeId="0" xr:uid="{00000000-0006-0000-0000-00005F000000}">
      <text>
        <r>
          <rPr>
            <sz val="10"/>
            <color rgb="FF000000"/>
            <rFont val="Arial"/>
            <family val="2"/>
          </rPr>
          <t>Responder updated this value.</t>
        </r>
      </text>
    </comment>
    <comment ref="AV135" authorId="0" shapeId="0" xr:uid="{00000000-0006-0000-0000-000060000000}">
      <text>
        <r>
          <rPr>
            <sz val="10"/>
            <color rgb="FF000000"/>
            <rFont val="Arial"/>
            <family val="2"/>
          </rPr>
          <t>Responder updated this value.</t>
        </r>
      </text>
    </comment>
    <comment ref="AX135" authorId="0" shapeId="0" xr:uid="{00000000-0006-0000-0000-000061000000}">
      <text>
        <r>
          <rPr>
            <sz val="10"/>
            <color rgb="FF000000"/>
            <rFont val="Arial"/>
            <family val="2"/>
          </rPr>
          <t>Responder updated this value.</t>
        </r>
      </text>
    </comment>
    <comment ref="BD135" authorId="0" shapeId="0" xr:uid="{00000000-0006-0000-0000-000062000000}">
      <text>
        <r>
          <rPr>
            <sz val="10"/>
            <color rgb="FF000000"/>
            <rFont val="Arial"/>
            <family val="2"/>
          </rPr>
          <t>Responder updated this value.</t>
        </r>
      </text>
    </comment>
    <comment ref="BI135" authorId="0" shapeId="0" xr:uid="{00000000-0006-0000-0000-000063000000}">
      <text>
        <r>
          <rPr>
            <sz val="10"/>
            <color rgb="FF000000"/>
            <rFont val="Arial"/>
            <family val="2"/>
          </rPr>
          <t>Responder updated this value.</t>
        </r>
      </text>
    </comment>
    <comment ref="BK177" authorId="0" shapeId="0" xr:uid="{00000000-0006-0000-0000-000064000000}">
      <text>
        <r>
          <rPr>
            <sz val="10"/>
            <color rgb="FF000000"/>
            <rFont val="Arial"/>
            <family val="2"/>
          </rPr>
          <t>Responder updated this value.</t>
        </r>
      </text>
    </comment>
    <comment ref="J182" authorId="0" shapeId="0" xr:uid="{00000000-0006-0000-0000-000065000000}">
      <text>
        <r>
          <rPr>
            <sz val="10"/>
            <color rgb="FF000000"/>
            <rFont val="Arial"/>
            <family val="2"/>
          </rPr>
          <t>Responder updated this value.</t>
        </r>
      </text>
    </comment>
    <comment ref="O193" authorId="0" shapeId="0" xr:uid="{00000000-0006-0000-0000-000066000000}">
      <text>
        <r>
          <rPr>
            <sz val="10"/>
            <color rgb="FF000000"/>
            <rFont val="Arial"/>
            <family val="2"/>
          </rPr>
          <t>Responder updated this value.</t>
        </r>
      </text>
    </comment>
    <comment ref="D200" authorId="0" shapeId="0" xr:uid="{00000000-0006-0000-0000-000067000000}">
      <text>
        <r>
          <rPr>
            <sz val="10"/>
            <color rgb="FF000000"/>
            <rFont val="Arial"/>
            <family val="2"/>
          </rPr>
          <t>Responder updated this value.</t>
        </r>
      </text>
    </comment>
    <comment ref="T223" authorId="0" shapeId="0" xr:uid="{00000000-0006-0000-0000-000068000000}">
      <text>
        <r>
          <rPr>
            <sz val="10"/>
            <color rgb="FF000000"/>
            <rFont val="Arial"/>
            <family val="2"/>
          </rPr>
          <t>Responder updated this value.</t>
        </r>
      </text>
    </comment>
    <comment ref="DN237" authorId="0" shapeId="0" xr:uid="{00000000-0006-0000-0000-000069000000}">
      <text>
        <r>
          <rPr>
            <sz val="10"/>
            <color rgb="FF000000"/>
            <rFont val="Arial"/>
            <family val="2"/>
          </rPr>
          <t>Responder updated this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88" authorId="0" shapeId="0" xr:uid="{00000000-0006-0000-0200-000001000000}">
      <text>
        <r>
          <rPr>
            <sz val="10"/>
            <color rgb="FF000000"/>
            <rFont val="Arial"/>
            <family val="2"/>
          </rPr>
          <t>Responder updated this value.</t>
        </r>
      </text>
    </comment>
  </commentList>
</comments>
</file>

<file path=xl/sharedStrings.xml><?xml version="1.0" encoding="utf-8"?>
<sst xmlns="http://schemas.openxmlformats.org/spreadsheetml/2006/main" count="3771" uniqueCount="1356">
  <si>
    <t xml:space="preserve"> </t>
  </si>
  <si>
    <t>Email Address</t>
  </si>
  <si>
    <t>What transect did you survey? (they are in alphabetical order by county, if your transect is not bellow, then choose "other"  at the end and enter the name of the transect in the comment box at the end of this section)</t>
  </si>
  <si>
    <t>Date you did your survey</t>
  </si>
  <si>
    <t>Names of observers</t>
  </si>
  <si>
    <t xml:space="preserve">If this is a NEW Route:  Starting Latitude (in decimal degrees), for example, the latitude for Tallahassee would be:  30.43812.  You can use Google Map to get this.  Right click on location, and choose "what's here".  </t>
  </si>
  <si>
    <t xml:space="preserve">If this is a NEW Route:Starting Longitude (in decimal degrees), for example, the latitude for Tallahassee would be:  -84.28158.  It is negative because it is 84W.  </t>
  </si>
  <si>
    <t xml:space="preserve">If this is a NEW Route:Ending Latitude (in decimal degrees) if this is a circular route, choose point that is farthest away from starting Latitude.  </t>
  </si>
  <si>
    <t xml:space="preserve">If this is a NEW Route:Ending Longitude (in decimal degrees).   If this is a circular route, choose point that is farthest away from starting Longitude.  </t>
  </si>
  <si>
    <t>Route Start Time</t>
  </si>
  <si>
    <t>Weather:  temperature (optional)</t>
  </si>
  <si>
    <t>Wind (optional)</t>
  </si>
  <si>
    <t>Rain (optional)</t>
  </si>
  <si>
    <t>Did you do a complete survey (all birds) or a focal survey?</t>
  </si>
  <si>
    <t>Any additional survey comments (if you are doing a new survey, please include its name here)</t>
  </si>
  <si>
    <t>American Oystercatcher (target species, remember to enter information in focal species section)</t>
  </si>
  <si>
    <t>American Avocet</t>
  </si>
  <si>
    <t>Back-bellied Plover</t>
  </si>
  <si>
    <t>Dunlin</t>
  </si>
  <si>
    <t>Greater Yellowlegs (if not sure, put in Yellowlegs species count at end)</t>
  </si>
  <si>
    <t>Killdeer</t>
  </si>
  <si>
    <t>Least Sandpiper</t>
  </si>
  <si>
    <t>Lesser Yellowlegs (if not sure, put in Yellowlegs species count at end)</t>
  </si>
  <si>
    <t>Long-billed Curlew</t>
  </si>
  <si>
    <t>Long-billed Dowitcher (if not sure, put in Dowitcher species count at end)</t>
  </si>
  <si>
    <t>Marbled Godwit</t>
  </si>
  <si>
    <t>Piping Plover  (target species, remember to enter information in focal species section)</t>
  </si>
  <si>
    <t>Red Knot (target species, remember to enter information in focal species section)</t>
  </si>
  <si>
    <t>Ruddy Turnstone</t>
  </si>
  <si>
    <t>Sanderling</t>
  </si>
  <si>
    <t>Semi-palmated Plover</t>
  </si>
  <si>
    <t>Semi-palmated Sandpiper (if not sure, put in Sandpiper species count at end)</t>
  </si>
  <si>
    <t>Short-billed Dowitcher (if not sure, put in Dowitcher species count at end)</t>
  </si>
  <si>
    <t>Snowy Plover (target species, remember to enter information in focal species section)</t>
  </si>
  <si>
    <t>Spotted Sandpiper</t>
  </si>
  <si>
    <t>Western Sandpiper (if not sure, put in Sandpiper species count at end)</t>
  </si>
  <si>
    <t>Whimbrel</t>
  </si>
  <si>
    <t>Willet</t>
  </si>
  <si>
    <t>Wilson's Plover (target species, remember to enter information in focal species section)</t>
  </si>
  <si>
    <t>Wilson's Snipe</t>
  </si>
  <si>
    <t>Dowitcher (species unknown)</t>
  </si>
  <si>
    <t>Sandpiper (species unknown)</t>
  </si>
  <si>
    <t>Yellowlegs (species unknown)</t>
  </si>
  <si>
    <t>Black Skimmer (target species, remember to enter information in focal species section)</t>
  </si>
  <si>
    <t>Bonaparte's Gull</t>
  </si>
  <si>
    <t>Brown Booby</t>
  </si>
  <si>
    <t>Brown Pelican</t>
  </si>
  <si>
    <t>Caspian Tern</t>
  </si>
  <si>
    <t>Common Tern</t>
  </si>
  <si>
    <t>Double-crested Cormorant</t>
  </si>
  <si>
    <t>Forster's Tern</t>
  </si>
  <si>
    <t>Glaucous Gull</t>
  </si>
  <si>
    <t>Great Black-backed Gull</t>
  </si>
  <si>
    <t>Herring Gull</t>
  </si>
  <si>
    <t>Laughing Gull</t>
  </si>
  <si>
    <t>Lesser Black-backed Gull</t>
  </si>
  <si>
    <t>Ring-billed Gull</t>
  </si>
  <si>
    <t>Royal Tern</t>
  </si>
  <si>
    <t>Sandwich Tern</t>
  </si>
  <si>
    <t>Vega Gull</t>
  </si>
  <si>
    <t>White Pelican</t>
  </si>
  <si>
    <t>Do you have group or focal points to enter data for?</t>
  </si>
  <si>
    <t xml:space="preserve">Point 1 Latitude (in decimal degrees), for example, the latitude for Tallahassee would be:  30.43812.  You can use Google Map to get this.  Right click on location, and choose "what's here".  </t>
  </si>
  <si>
    <t xml:space="preserve">1 Longitude (in decimal degrees),  for example, the latitude for Tallahassee would be:  -84.28158.  It is negative because it is 84W.  </t>
  </si>
  <si>
    <t>1 Number of American Oystercatchers (at this location)</t>
  </si>
  <si>
    <t>1  Band/Flag Codes for American Oystercatchers (for each individual list: band/flag code, orientation, color, and positions - upper left, lower left, upper right, lower right, and if you reported the band to another site)</t>
  </si>
  <si>
    <t>1 Number of Black Skimmers (at this location)</t>
  </si>
  <si>
    <t>1 Band/Flag Codes for Black Skimmers (for each individual list: band code and color and if you reported the band to another site)</t>
  </si>
  <si>
    <t>1 Number of Piping Plovers (at this location)</t>
  </si>
  <si>
    <t>1 Band/Flag Codes for Piping Plovers (for each individual list: band/flag code, orientation, color, and positions - upper left, lower left, upper right, lower right, and if you reported the band to another site)</t>
  </si>
  <si>
    <t>1 Number of Red Knots (at this location)</t>
  </si>
  <si>
    <t>1 Band/Flag Codes for Red Knots (for each individual list: band/flag code, orientation, color, and positions - upper left, lower left, upper right, lower right, and if you reported the band to another site)</t>
  </si>
  <si>
    <t>1 Number of Snowy Plovers (at this location)</t>
  </si>
  <si>
    <t>1 Band/Flag Codes for Snowy Plover (for each individual list: band/flag code, orientation, color, and positions - upper left, lower left, upper right, lower right, and if you reported the band to another site)</t>
  </si>
  <si>
    <t>1 Number of Wilson's Plovers (at this location)</t>
  </si>
  <si>
    <t>1 Band/Flag Codes for Wilson's Plover (for each individual list: band/flag code, orientation, color, and positions - upper left, lower left, upper right, lower right, and if you reported the band to another site)</t>
  </si>
  <si>
    <t>1 Any other non-focal species you want to include and information about bands</t>
  </si>
  <si>
    <t>Do you have more group or focal points to enter?</t>
  </si>
  <si>
    <t xml:space="preserve">Point 2 Latitude (in decimal degrees), for example, the latitude for Tallahassee would be:  30.43812.  You can use Google Map to get this.  Right click on location, and choose "what's here".  </t>
  </si>
  <si>
    <t xml:space="preserve">Point 2 Longitude (in decimal degrees),  for example, the latitude for Tallahassee would be:  -84.28158.  It is negative because it is 84W.  </t>
  </si>
  <si>
    <t>2 Number of American Oystercatchers (at this location)</t>
  </si>
  <si>
    <t>2 Band/Flag Codes for American Oystercatchers (for each individual list: band/flag code, orientation, color, and positions - upper left, lower left, upper right, lower right, and if you reported the band to another site)</t>
  </si>
  <si>
    <t>2 Number of Black Skimmers (at this location)</t>
  </si>
  <si>
    <t>2 Band/Flag Codes for Black Skimmers (for each individual list: band code and color and if you reported the band to another site)</t>
  </si>
  <si>
    <t>2 Number of Piping Plovers (at this location)</t>
  </si>
  <si>
    <t>2 Band/Flag Codes for Piping Plovers (for each individual list: band/flag code, orientation, color, and positions - upper left, lower left, upper right, lower right, and if you reported the band to another site)</t>
  </si>
  <si>
    <t>2 Number of Red Knots (at this location)</t>
  </si>
  <si>
    <t>2 Band/Flag Codes for Red Knots (for each individual list: band/flag code, orientation, color, and positions - upper left, lower left, upper right, lower right, and if you reported the band to another site)</t>
  </si>
  <si>
    <t>2 Number of Snowy Plovers (at this location)</t>
  </si>
  <si>
    <t>2 Band/Flag Codes for Snowy Plover (for each individual list: band/flag code, orientation, color, and positions - upper left, lower left, upper right, lower right, and if you reported the band to another site)</t>
  </si>
  <si>
    <t>2 Number of Wilson's Plovers (at this location)</t>
  </si>
  <si>
    <t>2 Band/Flag Codes for Wilson's Plover (for each individual list: band/flag code, orientation, color, and positions - upper left, lower left, upper right, lower right, and if you reported the band to another site)</t>
  </si>
  <si>
    <t>2 Any other non-focal species you want to include and information about bands</t>
  </si>
  <si>
    <t xml:space="preserve">Point 3 Latitude (in decimal degrees), for example, the latitude for Tallahassee would be:  30.43812.  You can use Google Map to get this.  Right click on location, and choose "what's here".  </t>
  </si>
  <si>
    <t xml:space="preserve">Point 3 Longitude (in decimal degrees),  for example, the latitude for Tallahassee would be:  -84.28158.  It is negative because it is 84W.  </t>
  </si>
  <si>
    <t>3 Number of American Oystercatchers (at this location)</t>
  </si>
  <si>
    <t>3 Band/Flag Codes for American Oystercatchers (for each individual list: band/flag code, orientation, color, and positions - upper left, lower left, upper right, lower right, and if you reported the band to another site)</t>
  </si>
  <si>
    <t>3 Number of Black Skimmers (at this location)</t>
  </si>
  <si>
    <t>3 Band/Flag Codes for Black Skimmers (for each individual list: band code and color and if you reported the band to another site)</t>
  </si>
  <si>
    <t>3 Number of Piping Plovers (at this location)</t>
  </si>
  <si>
    <t>3 Band/Flag Codes for Piping Plovers (for each individual list: band/flag code, orientation, color, and positions - upper left, lower left, upper right, lower right, and if you reported the band to another site)</t>
  </si>
  <si>
    <t>3 Number of Red Knots (at this location)</t>
  </si>
  <si>
    <t>3 Band/Flag Codes for Red Knots (for each individual list: band/flag code, orientation, color, and positions - upper left, lower left, upper right, lower right, and if you reported the band to another site)</t>
  </si>
  <si>
    <t>3 Number of Snowy Plovers (at this location)</t>
  </si>
  <si>
    <t>3 Band/Flag Codes for Snowy Plover (for each individual list: band/flag code, orientation, color, and positions - upper left, lower left, upper right, lower right, and if you reported the band to another site)</t>
  </si>
  <si>
    <t>3 Number of Wilson's Plovers (at this location)</t>
  </si>
  <si>
    <t>3 Band/Flag Codes for Wilson's Plover (for each individual list: band/flag code, orientation, color, and positions - upper left, lower left, upper right, lower right, and if you reported the band to another site)</t>
  </si>
  <si>
    <t>3 Any other non-focal species you want to include and information about bands</t>
  </si>
  <si>
    <t xml:space="preserve">Point 4 Latitude (in decimal degrees), for example, the latitude for Tallahassee would be:  30.43812.  You can use Google Map to get this.  Right click on location, and choose "what's here".  </t>
  </si>
  <si>
    <t xml:space="preserve">Point 4 Longitude (in decimal degrees),  for example, the latitude for Tallahassee would be:  -84.28158.  It is negative because it is 84W.  </t>
  </si>
  <si>
    <t>4 Number of American Oystercatchers (at this location)</t>
  </si>
  <si>
    <t>4 Band/Flag Codes for American Oystercatchers (for each individual list: band/flag code, orientation, color, and positions - upper left, lower left, upper right, lower right, and if you reported the band to another site)</t>
  </si>
  <si>
    <t>4 Number of Black Skimmers (at this location)</t>
  </si>
  <si>
    <t>4 Band/Flag Codes for Black Skimmers (for each individual list: band code and color and if you reported the band to another site)</t>
  </si>
  <si>
    <t>4 Number of Piping Plovers (at this location)</t>
  </si>
  <si>
    <t>4 Band/Flag Codes for Piping Plovers (for each individual list: band/flag code, orientation, color, and positions - upper left, lower left, upper right, lower right, and if you reported the band to another site)</t>
  </si>
  <si>
    <t>4 Number of Red Knots (at this location)</t>
  </si>
  <si>
    <t>4 Band/Flag Codes for Red Knots (for each individual list: band/flag code, orientation, color, and positions - upper left, lower left, upper right, lower right, and if you reported the band to another site)</t>
  </si>
  <si>
    <t>4 Number of Snowy Plovers (at this location)</t>
  </si>
  <si>
    <t>4 Band/Flag Codes for Snowy Plover (for each individual list: band/flag code, orientation, color, and positions - upper left, lower left, upper right, lower right, and if you reported the band to another site)</t>
  </si>
  <si>
    <t>4 Number of Wilson's Plovers (at this location)</t>
  </si>
  <si>
    <t>4 Band/Flag Codes for Wilson's Plover (for each individual list: band/flag code, orientation, color, and positions - upper left, lower left, upper right, lower right, and if you reported the band to another site)</t>
  </si>
  <si>
    <t>4 Any other non-focal species you want to include and information about bands</t>
  </si>
  <si>
    <t xml:space="preserve">Point 5 Latitude (in decimal degrees), for example, the latitude for Tallahassee would be:  30.43812.  You can use Google Map to get this.  Right click on location, and choose "what's here".  </t>
  </si>
  <si>
    <t xml:space="preserve">Point 5 Longitude (in decimal degrees),  for example, the latitude for Tallahassee would be:  -84.28158.  It is negative because it is 84W.  </t>
  </si>
  <si>
    <t>5 Number of American Oystercatchers (at this location)</t>
  </si>
  <si>
    <t>5 Band/Flag Codes for American Oystercatchers (for each individual list: band/flag code, orientation, color, and positions - upper left, lower left, upper right, lower right, and if you reported the band to another site)</t>
  </si>
  <si>
    <t>5 Number of Black Skimmers (at this location)</t>
  </si>
  <si>
    <t>5 Band/Flag Codes for Black Skimmers (for each individual list: band code and color and if you reported the band to another site)</t>
  </si>
  <si>
    <t>5 Number of Piping Plovers (at this location)</t>
  </si>
  <si>
    <t>5 Band/Flag Codes for Piping Plovers (for each individual list: band/flag code, orientation, color, and positions - upper left, lower left, upper right, lower right, and if you reported the band to another site)</t>
  </si>
  <si>
    <t>5 Number of Red Knots (at this location)</t>
  </si>
  <si>
    <t>5 Number of Snowy Plovers (at this location)</t>
  </si>
  <si>
    <t>5 Band/Flag Codes for Red Knots (for each individual list: band/flag code, orientation, color, and positions - upper left, lower left, upper right, lower right, and if you reported the band to another site)</t>
  </si>
  <si>
    <t>5 Band/Flag Codes for Snowy Plover (for each individual list: band/flag code, orientation, color, and positions - upper left, lower left, upper right, lower right, and if you reported the band to another site)</t>
  </si>
  <si>
    <t>5 Band/Flag Codes for Wilson's Plover (for each individual list: band/flag code, orientation, color, and positions - upper left, lower left, upper right, lower right, and if you reported the band to another site)</t>
  </si>
  <si>
    <t>5 Number of Wilson's Plovers (at this location)</t>
  </si>
  <si>
    <t>Any other non-focal species you want to include and information about bands</t>
  </si>
  <si>
    <t xml:space="preserve">Point 6 Latitude (in decimal degrees), for example, the latitude for Tallahassee would be:  30.43812.  You can use Google Map to get this.  Right click on location, and choose "what's here".  </t>
  </si>
  <si>
    <t xml:space="preserve">Point 6 Longitude (in decimal degrees),  for example, the latitude for Tallahassee would be:  -84.28158.  It is negative because it is 84W.  </t>
  </si>
  <si>
    <t>6 Number of American Oystercatchers (at this location)</t>
  </si>
  <si>
    <t>6 Band/Flag Codes for American Oystercatchers (for each individual list: band/flag code, orientation, color, and positions - upper left, lower left, upper right, lower right, and if you reported the band to another site)</t>
  </si>
  <si>
    <t>6 Number of Black Skimmers (at this location)</t>
  </si>
  <si>
    <t>6 Band/Flag Codes for Black Skimmers (for each individual list: band code and color and if you reported the band to another site)</t>
  </si>
  <si>
    <t>6 Number of Piping Plovers (at this location)</t>
  </si>
  <si>
    <t>6 Band/Flag Codes for Piping Plovers (for each individual list: band/flag code, orientation, color, and positions - upper left, lower left, upper right, lower right, and if you reported the band to another site)</t>
  </si>
  <si>
    <t>6 Number of Red Knots (at this location)</t>
  </si>
  <si>
    <t>6 Band/Flag Codes for Red Knots (for each individual list: band/flag code, orientation, color, and positions - upper left, lower left, upper right, lower right, and if you reported the band to another site)</t>
  </si>
  <si>
    <t>6 Number of Snowy Plovers (at this location)</t>
  </si>
  <si>
    <t>6 Band/Flag Codes for Snowy Plover (for each individual list: band/flag code, orientation, color, and positions - upper left, lower left, upper right, lower right, and if you reported the band to another site)</t>
  </si>
  <si>
    <t>6 Number of Wilson's Plovers (at this location)</t>
  </si>
  <si>
    <t>6 Band/Flag Codes for Wilson's Plover (for each individual list: band/flag code, orientation, color, and positions - upper left, lower left, upper right, lower right, and if you reported the band to another site)</t>
  </si>
  <si>
    <t>6 Any other non-focal species you want to include and information about bands</t>
  </si>
  <si>
    <t xml:space="preserve">Point 7 Latitude (in decimal degrees), for example, the latitude for Tallahassee would be:  30.43812.  You can use Google Map to get this.  Right click on location, and choose "what's here".  </t>
  </si>
  <si>
    <t xml:space="preserve">Point 7 Longitude (in decimal degrees),  for example, the latitude for Tallahassee would be:  -84.28158.  It is negative because it is 84W.  </t>
  </si>
  <si>
    <t>7 Number of American Oystercatchers (at this location)</t>
  </si>
  <si>
    <t>7 Band/Flag Codes for American Oystercatchers (for each individual list: band/flag code, orientation, color, and positions - upper left, lower left, upper right, lower right, and if you reported the band to another site)</t>
  </si>
  <si>
    <t>7 Number of Black Skimmers (at this location)</t>
  </si>
  <si>
    <t>7 Band/Flag Codes for Black Skimmers (for each individual list: band code and color and if you reported the band to another site)</t>
  </si>
  <si>
    <t>7 Number of Piping Plovers (at this location)</t>
  </si>
  <si>
    <t>7 Band/Flag Codes for Piping Plovers (for each individual list: band/flag code, orientation, color, and positions - upper left, lower left, upper right, lower right, and if you reported the band to another site)</t>
  </si>
  <si>
    <t>8 Number of Red Knots (at this location)</t>
  </si>
  <si>
    <t>7 Band/Flag Codes for Red Knots (for each individual list: band/flag code, orientation, color, and positions - upper left, lower left, upper right, lower right, and if you reported the band to another site)</t>
  </si>
  <si>
    <t>7 Number of Snowy Plovers (at this location)</t>
  </si>
  <si>
    <t>7 Band/Flag Codes for Snowy Plover (for each individual list: band/flag code, orientation, color, and positions - upper left, lower left, upper right, lower right, and if you reported the band to another site)</t>
  </si>
  <si>
    <t>7 Number of Wilson's Plovers (at this location)</t>
  </si>
  <si>
    <t>7 Band/Flag Codes for Wilson's Plover (for each individual list: band/flag code, orientation, color, and positions - upper left, lower left, upper right, lower right, and if you reported the band to another site)</t>
  </si>
  <si>
    <t>7 Any other non-focal species you want to include and information about bands</t>
  </si>
  <si>
    <t xml:space="preserve">Point 8 Latitude (in decimal degrees), for example, the latitude for Tallahassee would be:  30.43812.  You can use Google Map to get this.  Right click on location, and choose "what's here".  </t>
  </si>
  <si>
    <t xml:space="preserve">Point 8 Longitude (in decimal degrees),  for example, the latitude for Tallahassee would be:  -84.28158.  It is negative because it is 84W.  </t>
  </si>
  <si>
    <t>8 Number of American Oystercatchers (at this location)</t>
  </si>
  <si>
    <t>8 Band/Flag Codes for American Oystercatchers (for each individual list: band/flag code, orientation, color, and positions - upper left, lower left, upper right, lower right, and if you reported the band to another site)</t>
  </si>
  <si>
    <t>8 Number of Black Skimmers (at this location)</t>
  </si>
  <si>
    <t>8 Band/Flag Codes for Black Skimmers (for each individual list: band code and color and if you reported the band to another site)</t>
  </si>
  <si>
    <t>8 Number of Piping Plovers (at this location)</t>
  </si>
  <si>
    <t>8 Band/Flag Codes for Piping Plovers (for each individual list: band/flag code, orientation, color, and positions - upper left, lower left, upper right, lower right, and if you reported the band to another site)</t>
  </si>
  <si>
    <t>8 Band/Flag Codes for Red Knots (for each individual list: band/flag code, orientation, color, and positions - upper left, lower left, upper right, lower right, and if you reported the band to another site)</t>
  </si>
  <si>
    <t>8 Number of Snowy Plovers (at this location)</t>
  </si>
  <si>
    <t>8 Band/Flag Codes for Snowy Plover (for each individual list: band/flag code, orientation, color, and positions - upper left, lower left, upper right, lower right, and if you reported the band to another site)</t>
  </si>
  <si>
    <t>8 Number of Wilson's Plovers (at this location)</t>
  </si>
  <si>
    <t>8 Band/Flag Codes for Wilson's Plover (for each individual list: band/flag code, orientation, color, and positions - upper left, lower left, upper right, lower right, and if you reported the band to another site)</t>
  </si>
  <si>
    <t>8 Any other non-focal species you want to include and information about bands</t>
  </si>
  <si>
    <t xml:space="preserve">Point 9 Latitude (in decimal degrees), for example, the latitude for Tallahassee would be:  30.43812.  You can use Google Map to get this.  Right click on location, and choose "what's here".  </t>
  </si>
  <si>
    <t xml:space="preserve">Point 9 Longitude (in decimal degrees),  for example, the latitude for Tallahassee would be:  -84.28158.  It is negative because it is 84W.  </t>
  </si>
  <si>
    <t>9 Number of American Oystercatchers (at this location)</t>
  </si>
  <si>
    <t>9 Band/Flag Codes for American Oystercatchers (for each individual list: band/flag code, orientation, color, and positions - upper left, lower left, upper right, lower right, and if you reported the band to another site)</t>
  </si>
  <si>
    <t>9 Number of Black Skimmers (at this location)</t>
  </si>
  <si>
    <t>9 Band/Flag Codes for Black Skimmers (for each individual list: band code and color and if you reported the band to another site)</t>
  </si>
  <si>
    <t>9 Number of Piping Plovers (at this location)</t>
  </si>
  <si>
    <t>9 Band/Flag Codes for Piping Plovers (for each individual list: band/flag code, orientation, color, and positions - upper left, lower left, upper right, lower right, and if you reported the band to another site)</t>
  </si>
  <si>
    <t>9 Number of Red Knots (at this location)</t>
  </si>
  <si>
    <t>9 Band/Flag Codes for Red Knots (for each individual list: band/flag code, orientation, color, and positions - upper left, lower left, upper right, lower right, and if you reported the band to another site)</t>
  </si>
  <si>
    <t>9 Number of Snowy Plovers (at this location)</t>
  </si>
  <si>
    <t>9 Band/Flag Codes for Snowy Plover (for each individual list: band/flag code, orientation, color, and positions - upper left, lower left, upper right, lower right, and if you reported the band to another site)</t>
  </si>
  <si>
    <t>9 Number of Wilson's Plovers (at this location)</t>
  </si>
  <si>
    <t>9 Band/Flag Codes for Wilson's Plover (for each individual list: band/flag code, orientation, color, and positions - upper left, lower left, upper right, lower right, and if you reported the band to another site)</t>
  </si>
  <si>
    <t>9 Any other non-focal species you want to include and information about bands</t>
  </si>
  <si>
    <t xml:space="preserve">Point 10 Latitude (in decimal degrees), for example, the latitude for Tallahassee would be:  30.43812.  You can use Google Map to get this.  Right click on location, and choose "what's here".  </t>
  </si>
  <si>
    <t xml:space="preserve">Point 10 Longitude (in decimal degrees),  for example, the latitude for Tallahassee would be:  -84.28158.  It is negative because it is 84W.  </t>
  </si>
  <si>
    <t>10 Number of American Oystercatchers (at this location)</t>
  </si>
  <si>
    <t>10 Band/Flag Codes for American Oystercatchers (for each individual list: band/flag code, orientation, color, and positions - upper left, lower left, upper right, lower right, and if you reported the band to another site)</t>
  </si>
  <si>
    <t>10 Number of Black Skimmers (at this location)</t>
  </si>
  <si>
    <t>10 Band/Flag Codes for Black Skimmers (for each individual list: band code and color and if you reported the band to another site)</t>
  </si>
  <si>
    <t>10 Number of Piping Plovers (at this location)</t>
  </si>
  <si>
    <t>10 Band/Flag Codes for Piping Plovers (for each individual list: band/flag code, orientation, color, and positions - upper left, lower left, upper right, lower right, and if you reported the band to another site)</t>
  </si>
  <si>
    <t>10 Number of Red Knots (at this location)</t>
  </si>
  <si>
    <t>10 Band/Flag Codes for Red Knots (for each individual list: band/flag code, orientation, color, and positions - upper left, lower left, upper right, lower right, and if you reported the band to another site)</t>
  </si>
  <si>
    <t>10 Number of Snowy Plovers (at this location)</t>
  </si>
  <si>
    <t>10 Band/Flag Codes for Snowy Plover (for each individual list: band/flag code, orientation, color, and positions - upper left, lower left, upper right, lower right, and if you reported the band to another site)</t>
  </si>
  <si>
    <t>10 Number of Wilson's Plovers (at this location)</t>
  </si>
  <si>
    <t>10 Band/Flag Codes for Wilson's Plover (for each individual list: band/flag code, orientation, color, and positions - upper left, lower left, upper right, lower right, and if you reported the band to another site)</t>
  </si>
  <si>
    <t>10 Any other non-focal species you want to include and information about bands</t>
  </si>
  <si>
    <t xml:space="preserve">Point 11 Latitude (in decimal degrees), for example, the latitude for Tallahassee would be:  30.43812.  You can use Google Map to get this.  Right click on location, and choose "what's here".  </t>
  </si>
  <si>
    <t xml:space="preserve">Point 11 Longitude (in decimal degrees),  for example, the latitude for Tallahassee would be:  -84.28158.  It is negative because it is 84W.  </t>
  </si>
  <si>
    <t>11 Number of American Oystercatchers (at this location)</t>
  </si>
  <si>
    <t>11 Band/Flag Codes for American Oystercatchers (for each individual list: band/flag code, orientation, color, and positions - upper left, lower left, upper right, lower right, and if you reported the band to another site)</t>
  </si>
  <si>
    <t>11 Number of Black Skimmers (at this location)</t>
  </si>
  <si>
    <t>11 Band/Flag Codes for Black Skimmers (for each individual list: band code and color and if you reported the band to another site)</t>
  </si>
  <si>
    <t>11 Number of Piping Plovers (at this location)</t>
  </si>
  <si>
    <t>11 Band/Flag Codes for Piping Plovers (for each individual list: band/flag code, orientation, color, and positions - upper left, lower left, upper right, lower right, and if you reported the band to another site)</t>
  </si>
  <si>
    <t>11 Number of Red Knots (at this location)</t>
  </si>
  <si>
    <t>11 Band/Flag Codes for Red Knots (for each individual list: band/flag code, orientation, color, and positions - upper left, lower left, upper right, lower right, and if you reported the band to another site)</t>
  </si>
  <si>
    <t>11 Number of Snowy Plovers (at this location)</t>
  </si>
  <si>
    <t>11 Band/Flag Codes for Snowy Plover (for each individual list: band/flag code, orientation, color, and positions - upper left, lower left, upper right, lower right, and if you reported the band to another site)</t>
  </si>
  <si>
    <t>11 Number of Wilson's Plovers (at this location)</t>
  </si>
  <si>
    <t>11 Band/Flag Codes for Wilson's Plover (for each individual list: band/flag code, orientation, color, and positions - upper left, lower left, upper right, lower right, and if you reported the band to another site)</t>
  </si>
  <si>
    <t>11 Any other non-focal species you want to include and information about bands</t>
  </si>
  <si>
    <t xml:space="preserve">Point 12 Latitude (in decimal degrees), for example, the latitude for Tallahassee would be:  30.43812.  You can use Google Map to get this.  Right click on location, and choose "what's here".  </t>
  </si>
  <si>
    <t xml:space="preserve">Point 12 Longitude (in decimal degrees),  for example, the latitude for Tallahassee would be:  -84.28158.  It is negative because it is 84W.  </t>
  </si>
  <si>
    <t>12 Number of American Oystercatchers (at this location)</t>
  </si>
  <si>
    <t>12 Band/Flag Codes for American Oystercatchers (for each individual list: band/flag code, orientation, color, and positions - upper left, lower left, upper right, lower right, and if you reported the band to another site)</t>
  </si>
  <si>
    <t>12 Number of Black Skimmers (at this location)</t>
  </si>
  <si>
    <t>12 Band/Flag Codes for Black Skimmers (for each individual list: band code and color and if you reported the band to another site)</t>
  </si>
  <si>
    <t>12 Number of Piping Plovers (at this location)</t>
  </si>
  <si>
    <t>12 Band/Flag Codes for Piping Plovers (for each individual list: band/flag code, orientation, color, and positions - upper left, lower left, upper right, lower right, and if you reported the band to another site)</t>
  </si>
  <si>
    <t>12 Number of Red Knots (at this location)</t>
  </si>
  <si>
    <t>12 Band/Flag Codes for Red Knots (for each individual list: band/flag code, orientation, color, and positions - upper left, lower left, upper right, lower right, and if you reported the band to another site)</t>
  </si>
  <si>
    <t>12 Number of Snowy Plovers (at this location)</t>
  </si>
  <si>
    <t>12 Band/Flag Codes for Snowy Plover (for each individual list: band/flag code, orientation, color, and positions - upper left, lower left, upper right, lower right, and if you reported the band to another site)</t>
  </si>
  <si>
    <t>12 Number of Wilson's Plovers (at this location)</t>
  </si>
  <si>
    <t>12 Band/Flag Codes for Wilson's Plover (for each individual list: band/flag code, orientation, color, and positions - upper left, lower left, upper right, lower right, and if you reported the band to another site)</t>
  </si>
  <si>
    <t>12 Any other non-focal species you want to include and information about bands</t>
  </si>
  <si>
    <t xml:space="preserve">Point 13 Latitude (in decimal degrees), for example, the latitude for Tallahassee would be:  30.43812.  You can use Google Map to get this.  Right click on location, and choose "what's here".  </t>
  </si>
  <si>
    <t xml:space="preserve">Point 13 Longitude (in decimal degrees),  for example, the latitude for Tallahassee would be:  -84.28158.  It is negative because it is 84W.  </t>
  </si>
  <si>
    <t>13 Number of American Oystercatchers (at this location)</t>
  </si>
  <si>
    <t>13 Band/Flag Codes for American Oystercatchers (for each individual list: band/flag code, orientation, color, and positions - upper left, lower left, upper right, lower right, and if you reported the band to another site)</t>
  </si>
  <si>
    <t>13 Number of Black Skimmers (at this location)</t>
  </si>
  <si>
    <t>13 Band/Flag Codes for Black Skimmers (for each individual list: band code and color and if you reported the band to another site)</t>
  </si>
  <si>
    <t>13 Number of Piping Plovers (at this location)</t>
  </si>
  <si>
    <t>13 Band/Flag Codes for Piping Plovers (for each individual list: band/flag code, orientation, color, and positions - upper left, lower left, upper right, lower right, and if you reported the band to another site)</t>
  </si>
  <si>
    <t>13 Number of Red Knots (at this location)</t>
  </si>
  <si>
    <t>13 Band/Flag Codes for Red Knots (for each individual list: band/flag code, orientation, color, and positions - upper left, lower left, upper right, lower right, and if you reported the band to another site)</t>
  </si>
  <si>
    <t>13 Number of Snowy Plovers (at this location)</t>
  </si>
  <si>
    <t>13 Band/Flag Codes for Snowy Plover (for each individual list: band/flag code, orientation, color, and positions - upper left, lower left, upper right, lower right, and if you reported the band to another site)</t>
  </si>
  <si>
    <t>13 Number of Wilson's Plovers (at this location)</t>
  </si>
  <si>
    <t>13 Band/Flag Codes for Wilson's Plover (for each individual list: band/flag code, orientation, color, and positions - upper left, lower left, upper right, lower right, and if you reported the band to another site)</t>
  </si>
  <si>
    <t>13 Any other non-focal species you want to include and information about bands</t>
  </si>
  <si>
    <t xml:space="preserve">Point 14 Latitude (in decimal degrees), for example, the latitude for Tallahassee would be:  30.43812.  You can use Google Map to get this.  Right click on location, and choose "what's here".  </t>
  </si>
  <si>
    <t xml:space="preserve">Point 14 Longitude (in decimal degrees),  for example, the latitude for Tallahassee would be:  -84.28158.  It is negative because it is 84W.  </t>
  </si>
  <si>
    <t>14 Number of American Oystercatchers (at this location)</t>
  </si>
  <si>
    <t>14 Band/Flag Codes for American Oystercatchers (for each individual list: band/flag code, orientation, color, and positions - upper left, lower left, upper right, lower right, and if you reported the band to another site)</t>
  </si>
  <si>
    <t>14 Number of Black Skimmers (at this location)</t>
  </si>
  <si>
    <t>14 Band/Flag Codes for Black Skimmers (for each individual list: band code and color and if you reported the band to another site)</t>
  </si>
  <si>
    <t>14 Number of Piping Plovers (at this location)</t>
  </si>
  <si>
    <t>14 Band/Flag Codes for Piping Plovers (for each individual list: band/flag code, orientation, color, and positions - upper left, lower left, upper right, lower right, and if you reported the band to another site)</t>
  </si>
  <si>
    <t>14 Number of Red Knots (at this location)</t>
  </si>
  <si>
    <t>14 Band/Flag Codes for Red Knots (for each individual list: band/flag code, orientation, color, and positions - upper left, lower left, upper right, lower right, and if you reported the band to another site)</t>
  </si>
  <si>
    <t>14 Number of Snowy Plovers (at this location)</t>
  </si>
  <si>
    <t>14 Number of Wilson's Plovers (at this location)</t>
  </si>
  <si>
    <t>14 Band/Flag Codes for Snowy Plover (for each individual list: band/flag code, orientation, color, and positions - upper left, lower left, upper right, lower right, and if you reported the band to another site)</t>
  </si>
  <si>
    <t>14 Band/Flag Codes for Wilson's Plover (for each individual list: band/flag code, orientation, color, and positions - upper left, lower left, upper right, lower right, and if you reported the band to another site)</t>
  </si>
  <si>
    <t>14 Any other non-focal species you want to include and information about bands</t>
  </si>
  <si>
    <t xml:space="preserve">Point 15 Latitude (in decimal degrees), for example, the latitude for Tallahassee would be:  30.43812.  You can use Google Map to get this.  Right click on location, and choose "what's here".  </t>
  </si>
  <si>
    <t xml:space="preserve">Point 15 Longitude (in decimal degrees),  for example, the latitude for Tallahassee would be:  -84.28158.  It is negative because it is 84W.  </t>
  </si>
  <si>
    <t>15 Number of American Oystercatchers (at this location)</t>
  </si>
  <si>
    <t>15 Band/Flag Codes for American Oystercatchers (for each individual list: band/flag code, orientation, color, and positions - upper left, lower left, upper right, lower right, and if you reported the band to another site)</t>
  </si>
  <si>
    <t>15 Number of Black Skimmers (at this location)</t>
  </si>
  <si>
    <t>15 Band/Flag Codes for Black Skimmers (for each individual list: band code and color and if you reported the band to another site)</t>
  </si>
  <si>
    <t>15 Number of Piping Plovers (at this location)</t>
  </si>
  <si>
    <t>15 Band/Flag Codes for Piping Plovers (for each individual list: band/flag code, orientation, color, and positions - upper left, lower left, upper right, lower right, and if you reported the band to another site)</t>
  </si>
  <si>
    <t>15 Number of Red Knots (at this location)</t>
  </si>
  <si>
    <t>15 Band/Flag Codes for Red Knots (for each individual list: band/flag code, orientation, color, and positions - upper left, lower left, upper right, lower right, and if you reported the band to another site)</t>
  </si>
  <si>
    <t>15 Number of Snowy Plovers (at this location)</t>
  </si>
  <si>
    <t>15 Band/Flag Codes for Snowy Plover (for each individual list: band/flag code, orientation, color, and positions - upper left, lower left, upper right, lower right, and if you reported the band to another site)</t>
  </si>
  <si>
    <t>15 Number of Wilson's Plovers (at this location)</t>
  </si>
  <si>
    <t>15 Band/Flag Codes for Wilson's Plover (for each individual list: band/flag code, orientation, color, and positions - upper left, lower left, upper right, lower right, and if you reported the band to another site)</t>
  </si>
  <si>
    <t>15 Any other non-focal species you want to include and information about bands</t>
  </si>
  <si>
    <t xml:space="preserve">Point 16 Latitude (in decimal degrees), for example, the latitude for Tallahassee would be:  30.43812.  You can use Google Map to get this.  Right click on location, and choose "what's here".  </t>
  </si>
  <si>
    <t xml:space="preserve">Point 16 Longitude (in decimal degrees),  for example, the latitude for Tallahassee would be:  -84.28158.  It is negative because it is 84W.  </t>
  </si>
  <si>
    <t>16 Number of American Oystercatchers (at this location)</t>
  </si>
  <si>
    <t>16 Band/Flag Codes for American Oystercatchers (for each individual list: band/flag code, orientation, color, and positions - upper left, lower left, upper right, lower right, and if you reported the band to another site)</t>
  </si>
  <si>
    <t>16 Number of Black Skimmers (at this location)</t>
  </si>
  <si>
    <t>16 Band/Flag Codes for Black Skimmers (for each individual list: band code and color and if you reported the band to another site)</t>
  </si>
  <si>
    <t>16 Number of Piping Plovers (at this location)</t>
  </si>
  <si>
    <t>16 Band/Flag Codes for Piping Plovers (for each individual list: band/flag code, orientation, color, and positions - upper left, lower left, upper right, lower right, and if you reported the band to another site)</t>
  </si>
  <si>
    <t>16 Number of Red Knots (at this location)</t>
  </si>
  <si>
    <t>16 Band/Flag Codes for Red Knots (for each individual list: band/flag code, orientation, color, and positions - upper left, lower left, upper right, lower right, and if you reported the band to another site)</t>
  </si>
  <si>
    <t>16 Number of Snowy Plovers (at this location)</t>
  </si>
  <si>
    <t>16 Band/Flag Codes for Snowy Plover (for each individual list: band/flag code, orientation, color, and positions - upper left, lower left, upper right, lower right, and if you reported the band to another site)</t>
  </si>
  <si>
    <t>16 Band/Flag Codes for Wilson's Plover (for each individual list: band/flag code, orientation, color, and positions - upper left, lower left, upper right, lower right, and if you reported the band to another site)</t>
  </si>
  <si>
    <t>16 Number of Wilson's Plovers (at this location)</t>
  </si>
  <si>
    <t xml:space="preserve">Point 17 Latitude (in decimal degrees), for example, the latitude for Tallahassee would be:  30.43812.  You can use Google Map to get this.  Right click on location, and choose "what's here".  </t>
  </si>
  <si>
    <t xml:space="preserve">Point 17 Longitude (in decimal degrees),  for example, the latitude for Tallahassee would be:  -84.28158.  It is negative because it is 84W.  </t>
  </si>
  <si>
    <t>17 Number of American Oystercatchers (at this location)</t>
  </si>
  <si>
    <t>17 Band/Flag Codes for American Oystercatchers (for each individual list: band/flag code, orientation, color, and positions - upper left, lower left, upper right, lower right, and if you reported the band to another site)</t>
  </si>
  <si>
    <t>17 Number of Black Skimmers (at this location)</t>
  </si>
  <si>
    <t>17 Band/Flag Codes for Black Skimmers (for each individual list: band code and color and if you reported the band to another site)</t>
  </si>
  <si>
    <t>17 Number of Piping Plovers (at this location)</t>
  </si>
  <si>
    <t>17 Band/Flag Codes for Piping Plovers (for each individual list: band/flag code, orientation, color, and positions - upper left, lower left, upper right, lower right, and if you reported the band to another site)</t>
  </si>
  <si>
    <t>17 Number of Red Knots (at this location)</t>
  </si>
  <si>
    <t>17 Band/Flag Codes for Red Knots (for each individual list: band/flag code, orientation, color, and positions - upper left, lower left, upper right, lower right, and if you reported the band to another site)</t>
  </si>
  <si>
    <t>17 Number of Snowy Plovers (at this location)</t>
  </si>
  <si>
    <t>17 Band/Flag Codes for Snowy Plover (for each individual list: band/flag code, orientation, color, and positions - upper left, lower left, upper right, lower right, and if you reported the band to another site)</t>
  </si>
  <si>
    <t>17 Number of Wilson's Plovers (at this location)</t>
  </si>
  <si>
    <t>17 Band/Flag Codes for Wilson's Plover (for each individual list: band/flag code, orientation, color, and positions - upper left, lower left, upper right, lower right, and if you reported the band to another site)</t>
  </si>
  <si>
    <t>17 Any other non-focal species you want to include and information about bands</t>
  </si>
  <si>
    <t xml:space="preserve">Point 18 Latitude (in decimal degrees), for example, the latitude for Tallahassee would be:  30.43812.  You can use Google Map to get this.  Right click on location, and choose "what's here".  </t>
  </si>
  <si>
    <t xml:space="preserve">Point 18 Longitude (in decimal degrees),  for example, the latitude for Tallahassee would be:  -84.28158.  It is negative because it is 84W.  </t>
  </si>
  <si>
    <t>18 Number of American Oystercatchers (at this location)</t>
  </si>
  <si>
    <t>18 Band/Flag Codes for American Oystercatchers (for each individual list: band/flag code, orientation, color, and positions - upper left, lower left, upper right, lower right, and if you reported the band to another site)</t>
  </si>
  <si>
    <t>18 Number of Black Skimmers (at this location)</t>
  </si>
  <si>
    <t>18 Band/Flag Codes for Black Skimmers (for each individual list: band code and color and if you reported the band to another site)</t>
  </si>
  <si>
    <t>18 Number of Piping Plovers (at this location)</t>
  </si>
  <si>
    <t>18 Band/Flag Codes for Piping Plovers (for each individual list: band/flag code, orientation, color, and positions - upper left, lower left, upper right, lower right, and if you reported the band to another site)</t>
  </si>
  <si>
    <t>18 Number of Red Knots (at this location)</t>
  </si>
  <si>
    <t>18 Band/Flag Codes for Red Knots (for each individual list: band/flag code, orientation, color, and positions - upper left, lower left, upper right, lower right, and if you reported the band to another site)</t>
  </si>
  <si>
    <t>18 Number of Snowy Plovers (at this location)</t>
  </si>
  <si>
    <t>18 Band/Flag Codes for Snowy Plover (for each individual list: band/flag code, orientation, color, and positions - upper left, lower left, upper right, lower right, and if you reported the band to another site)</t>
  </si>
  <si>
    <t>18 Number of Wilson's Plovers (at this location)</t>
  </si>
  <si>
    <t>18 Band/Flag Codes for Wilson's Plover (for each individual list: band/flag code, orientation, color, and positions - upper left, lower left, upper right, lower right, and if you reported the band to another site)</t>
  </si>
  <si>
    <t xml:space="preserve">Point 19 Latitude (in decimal degrees), for example, the latitude for Tallahassee would be:  30.43812.  You can use Google Map to get this.  Right click on location, and choose "what's here".  </t>
  </si>
  <si>
    <t xml:space="preserve">Point 19 Longitude (in decimal degrees),  for example, the latitude for Tallahassee would be:  -84.28158.  It is negative because it is 84W.  </t>
  </si>
  <si>
    <t>19 Number of American Oystercatchers (at this location)</t>
  </si>
  <si>
    <t>19 Band/Flag Codes for American Oystercatchers (for each individual list: band/flag code, orientation, color, and positions - upper left, lower left, upper right, lower right, and if you reported the band to another site)</t>
  </si>
  <si>
    <t>19 Number of Black Skimmers (at this location)</t>
  </si>
  <si>
    <t>19 Band/Flag Codes for Black Skimmers (for each individual list: band code and color and if you reported the band to another site)</t>
  </si>
  <si>
    <t>19 Number of Piping Plovers (at this location)</t>
  </si>
  <si>
    <t>19 Band/Flag Codes for Piping Plovers (for each individual list: band/flag code, orientation, color, and positions - upper left, lower left, upper right, lower right, and if you reported the band to another site)</t>
  </si>
  <si>
    <t>19 Number of Red Knots (at this location)</t>
  </si>
  <si>
    <t>19 Band/Flag Codes for Red Knots (for each individual list: band/flag code, orientation, color, and positions - upper left, lower left, upper right, lower right, and if you reported the band to another site)</t>
  </si>
  <si>
    <t>19 Number of Snowy Plovers (at this location)</t>
  </si>
  <si>
    <t>19 Band/Flag Codes for Snowy Plover (for each individual list: band/flag code, orientation, color, and positions - upper left, lower left, upper right, lower right, and if you reported the band to another site)</t>
  </si>
  <si>
    <t>19 Number of Wilson's Plovers (at this location)</t>
  </si>
  <si>
    <t>19 Band/Flag Codes for Wilson's Plover (for each individual list: band/flag code, orientation, color, and positions - upper left, lower left, upper right, lower right, and if you reported the band to another site)</t>
  </si>
  <si>
    <t>19 Any other non-focal species you want to include and information about bands</t>
  </si>
  <si>
    <t xml:space="preserve">If you have more focal points to enter, just put them in the box below and hit enter when you are ready to submit.    </t>
  </si>
  <si>
    <t>president@sevolusiaaudubon.org</t>
  </si>
  <si>
    <t>Don Picard, Richard Fasse</t>
  </si>
  <si>
    <t>60-70F</t>
  </si>
  <si>
    <t>Light Wind</t>
  </si>
  <si>
    <t>No Rain</t>
  </si>
  <si>
    <t>All birds (includes focal and banded)</t>
  </si>
  <si>
    <t>27th Ave beachside New Smyrna Beach to NSB jetty at Ponce Inlet, Volusia County</t>
  </si>
  <si>
    <t>Yes</t>
  </si>
  <si>
    <t>No, I didn't see any  additional focal species</t>
  </si>
  <si>
    <t>donlocomm@aol.com</t>
  </si>
  <si>
    <t>3-D, County=Hillsborough</t>
  </si>
  <si>
    <t>Lorraine Margeson  Morgan Parks</t>
  </si>
  <si>
    <t>Calm</t>
  </si>
  <si>
    <t>No, I didn't see any more focal species</t>
  </si>
  <si>
    <t>bgarret@sfwmd.gov</t>
  </si>
  <si>
    <t>A1-FEB, County=Palm Beach</t>
  </si>
  <si>
    <t>Dan O'Malley, Brian Garrett, Doreen LePage</t>
  </si>
  <si>
    <t>50-60F</t>
  </si>
  <si>
    <t>No, I didn't see any focal species</t>
  </si>
  <si>
    <t>sam@ecological-associates.com</t>
  </si>
  <si>
    <t>ACNWR Golden Sands-Ambersands, County=Indian River</t>
  </si>
  <si>
    <t>Samantha Pessolano, Joseph Pessolano, Ryan Dulfer</t>
  </si>
  <si>
    <t>00</t>
  </si>
  <si>
    <t>pmaleko@ufl.edu</t>
  </si>
  <si>
    <t>Alligator Harbor North, County=Franklin</t>
  </si>
  <si>
    <t>Phillip Maleko</t>
  </si>
  <si>
    <t>southmoonunder@mchsi.com</t>
  </si>
  <si>
    <t>John Murphy</t>
  </si>
  <si>
    <t>Alligator Point - Mud Cove (route listed but no lat./long. in spreadsheet)</t>
  </si>
  <si>
    <t>n/a</t>
  </si>
  <si>
    <t>marvin.friel@myfwc.com</t>
  </si>
  <si>
    <t>Alligator Point, County=Franklin</t>
  </si>
  <si>
    <t>Marvin Friel, Molly Tuma, Philip Makela</t>
  </si>
  <si>
    <t>70-80F</t>
  </si>
  <si>
    <t>unbanded</t>
  </si>
  <si>
    <t>S//W:BK female &amp; X:X male</t>
  </si>
  <si>
    <t>RUTU 3</t>
  </si>
  <si>
    <t>BG:S(K/W)// female; b//K:b//K male; X:X female but missing lower right foot, (stump but walks and runs without much limp); X:X female, X:X male</t>
  </si>
  <si>
    <t>all unbanded, 4 paired up and one single individual</t>
  </si>
  <si>
    <t>none</t>
  </si>
  <si>
    <t>SAND 140, FOTE 37, WILL 180, BBPL 35, RBGU 110, HERG 3, CATE 7, BRPE 3, DUNL 2, RUTU 4, GRYE 6</t>
  </si>
  <si>
    <t>allison.conboy@FloridaDEP.gov</t>
  </si>
  <si>
    <t>Amelia Island State Park, County=Nassau</t>
  </si>
  <si>
    <t>Allison Conboy</t>
  </si>
  <si>
    <t>Medium Wind</t>
  </si>
  <si>
    <t>Light Rain</t>
  </si>
  <si>
    <t>cloudy, cool, 55 degrees with intermittent light rain. Ongoing beach renourishment project along Atlantic shoreline included presence of dredging equipment and heavy equipment operators. Large numbers of shorebirds camped out behind sand berm adjacent to outflow pipe sheltering from north wind.</t>
  </si>
  <si>
    <t>na</t>
  </si>
  <si>
    <t>no bands visible</t>
  </si>
  <si>
    <t>Large mixed roosting flock of gulls, terns, pelican and skimmers at southern point. no bands visible</t>
  </si>
  <si>
    <t>1. Wf[MA];_:m,_. 2. Of,bR(fade):x,G.  3. Gf[76E],_xO,_. 4. x,B/R:_,bluedot</t>
  </si>
  <si>
    <t>Foraging along shoreline; hard to get clear readings on all bands. Blue dot is orange band with blue dot in center.</t>
  </si>
  <si>
    <t>not banded</t>
  </si>
  <si>
    <t>Large roosting mixed flock with 770 Semipalmated Plovers, 17 Wilson's Plovers, 1 Piping Plover, 35 Sanderling, 5 Ruddy Turnstones and 2 Dunlin. Roosting south and behind dredging sand berm pile to avoid north wind. No bands visible or readable.</t>
  </si>
  <si>
    <t>none banded</t>
  </si>
  <si>
    <t>2 PIPL foraging along shoreline by dredge outflow. Not banded.</t>
  </si>
  <si>
    <t>Janell.Brush@myfwc.com</t>
  </si>
  <si>
    <t>Amelia River ICW</t>
  </si>
  <si>
    <t>Pat Leary, Doris Leary</t>
  </si>
  <si>
    <t>Route Name = Amelia River ICW. Encountered large flocks of mixed shorebird species (&gt;2,500 total). Was not able to directly count these birds, mostly composed of BBPL, DUNL, WESA, SEPL, LESA, RUTU, SBDO instead entered min counts for these species.  This way they show up in the list but counts for these species are not representative of the actual numbers of individuals observed along this route.</t>
  </si>
  <si>
    <t>8 banded - submitted to AMOY WG</t>
  </si>
  <si>
    <t>1 banded - submitted to AMOY WG</t>
  </si>
  <si>
    <t>1 read and submitted to AMOY WG - more but concealed by dock edge</t>
  </si>
  <si>
    <t>1 banded and submitted to AMOY WG</t>
  </si>
  <si>
    <t>mypuffins@gmail.com</t>
  </si>
  <si>
    <t>Anastasia State Park Back Bay, County=St. Johns</t>
  </si>
  <si>
    <t>S. Killeen, J. DePue, D. Jones, J. Olbert</t>
  </si>
  <si>
    <t>Anastasia State Park Beach, County=St. Johns</t>
  </si>
  <si>
    <t>None banded</t>
  </si>
  <si>
    <t>2 BBPL, 11ROYT (1 banded USFWS Right leg; 1 banded USFWS left leg), 4 FOTE, 6 Sand, 2 RUTU, 1 WILL, 7 RBGU, 13 LAGU</t>
  </si>
  <si>
    <t>NO BANDS NOTED</t>
  </si>
  <si>
    <t>103 SEPL, 8 SAND, 6 DUNL, 2 RUTU, 3 WESA, 3 BBPL, 1 WILL</t>
  </si>
  <si>
    <t>NO BANDS NOTED  birds were resting in the dunes</t>
  </si>
  <si>
    <t>393 SEPL, 79 DUNL, 27 SAND, 6 RUTU, 111 WESA, 2 LESA, 2 BBPL, 1 LBBG, 1 HERG, 2 WILL</t>
  </si>
  <si>
    <t>NOT BANDED</t>
  </si>
  <si>
    <t>American Oystercatcher</t>
  </si>
  <si>
    <t>Greater Yellowlegs</t>
  </si>
  <si>
    <t>Lesser Yellowlegs</t>
  </si>
  <si>
    <t>Long-billed Dowitcher</t>
  </si>
  <si>
    <t>Piping Plover</t>
  </si>
  <si>
    <t>Red Knot</t>
  </si>
  <si>
    <t>Semi-palmated Sandpiper</t>
  </si>
  <si>
    <t>Short-billed Dowitcher</t>
  </si>
  <si>
    <t>Snowy Plover</t>
  </si>
  <si>
    <t>Wilson's Plover</t>
  </si>
  <si>
    <t>S. Killeen, J. Depue, D. Jones, J. Olbert</t>
  </si>
  <si>
    <t>Porpoise Point</t>
  </si>
  <si>
    <t>2BBPL, 11 ROYT (1 banded USFWS right leg, 1 banded USFWS left leg), 4 FOTE, 6 SAND, 2 RUTU, 1 WILL, 7 RBGU, 13 LAGU</t>
  </si>
  <si>
    <t>103 SEOL, 8 SAND, 6 DUNL, 3 WESA, 3 BBPL, 1 WILL</t>
  </si>
  <si>
    <t>NO BANDS NOTED birds were resting in the dunes</t>
  </si>
  <si>
    <t xml:space="preserve">NOT BANDED </t>
  </si>
  <si>
    <t>daniel.larremore@dep.state.fl.us</t>
  </si>
  <si>
    <t>Anclote Key North (Pasco), County=Pasco</t>
  </si>
  <si>
    <t>Dan Larremore, Colby Klein</t>
  </si>
  <si>
    <t>no bands seen</t>
  </si>
  <si>
    <t>greg7 reeg2 lbhe9, sppl20, pipl4, dunl25, bbpl2, will2, lesp1,</t>
  </si>
  <si>
    <t>Y.K-S.K, b.O-Y.Y, S.O-.O Band resights sent to RPruner</t>
  </si>
  <si>
    <t xml:space="preserve">snpl9(3b) amoy2 royt40 brpe15, will12, dunl30 sand40, fote12 lagu9, rbgu20 </t>
  </si>
  <si>
    <t>no bands</t>
  </si>
  <si>
    <t>sand25, SNPL1</t>
  </si>
  <si>
    <t>Anclote Key South (Pinellas), County=Pinellas</t>
  </si>
  <si>
    <t>Dave Perkey, Jeanne Trottier</t>
  </si>
  <si>
    <t>Black Skimmer</t>
  </si>
  <si>
    <t>ROYT 65, LAGU2, RBGU2, SAND1, RUTU1, WILL1, FOTE7</t>
  </si>
  <si>
    <t>SPPL1, RUTU2, SAND3</t>
  </si>
  <si>
    <t>ROYT30, WILL12, RBGU1, RUTU4, SAND14 SPPL2, DUNL19</t>
  </si>
  <si>
    <t>No bands seen</t>
  </si>
  <si>
    <t xml:space="preserve">WILL1, SAND11, DUNL3, </t>
  </si>
  <si>
    <t>WILL1, SAND11, BBPL4, SPPL5, RUTU2</t>
  </si>
  <si>
    <t>SAND2, REEG1(white phase)</t>
  </si>
  <si>
    <t>caity.reiland-smith@myfwc.com</t>
  </si>
  <si>
    <t>Apalachicola Breakwater, County=Franklin</t>
  </si>
  <si>
    <t>Caity Reiland-Smith, Ezra Thompson</t>
  </si>
  <si>
    <t>R//:R//S - Y53 - triangle</t>
  </si>
  <si>
    <t>clipps@audubon.org</t>
  </si>
  <si>
    <t>Chris Lipps</t>
  </si>
  <si>
    <t>Apalachicola River Delta</t>
  </si>
  <si>
    <t>Rin-billed Gull:14, Forster's Tern:11, Dunlin:about 50, Least Sandpiper:about 50, Bonaparte's gull:2</t>
  </si>
  <si>
    <t>2 unbanded AMOY</t>
  </si>
  <si>
    <t>Tricolored Heron:1</t>
  </si>
  <si>
    <t>No, I didn't see any  more focal species</t>
  </si>
  <si>
    <t>kmartin@pbcgov.org</t>
  </si>
  <si>
    <t>Atlantic Dunes Park to Palm Beach (Monceau Court), County=Palm Beach</t>
  </si>
  <si>
    <t>TJ Steinhoff, Tori Hanley</t>
  </si>
  <si>
    <t>Janice.Duquesnel@dep.state.fl.us</t>
  </si>
  <si>
    <t>Bahia Honda State Park, County=Monroe</t>
  </si>
  <si>
    <t>Janice Duquesnel</t>
  </si>
  <si>
    <t>sanderling, semipalmated sandpiper and ruddy turnstones</t>
  </si>
  <si>
    <t>observed sanderlings, semipalmated sandpipers and ruddy turnstones at this coordinate - total of 152 birds at this site</t>
  </si>
  <si>
    <t>Bald Point South, County=Franklin</t>
  </si>
  <si>
    <t>Forster's Tern:50, Ring-billed Gull:15</t>
  </si>
  <si>
    <t>Bald Point State Park, County=Franklin</t>
  </si>
  <si>
    <t>John Murphy, Chris Lipps</t>
  </si>
  <si>
    <t>S//OB:FY(T14)//Y  *(formerly observed with GY on lower right)</t>
  </si>
  <si>
    <t>GW:S//GB;   S(K)//G(LK):OR;   S//G(NT):YO</t>
  </si>
  <si>
    <t>no</t>
  </si>
  <si>
    <t>anne.mauro@dep.state.fl.us</t>
  </si>
  <si>
    <t>Barfield Bay=Collier</t>
  </si>
  <si>
    <t>Anne Mauro</t>
  </si>
  <si>
    <t>bevalhansen@gmail.com</t>
  </si>
  <si>
    <t>Bayport Park, County=Hernando</t>
  </si>
  <si>
    <t>Bev Hansen, Al Hansen, Bonnie Morgan</t>
  </si>
  <si>
    <t>Natasha.Warraich@myfwc.com</t>
  </si>
  <si>
    <t>Natasha Warraich, Ricardo Zambrano, Mary Truglio</t>
  </si>
  <si>
    <t>Big Marco Pass CWA</t>
  </si>
  <si>
    <t>1. FO(9D8)/K -S/b   2. FY/O - S/W/B</t>
  </si>
  <si>
    <t>45 sanderlings, 48 bbpl, 6semipalmated plovers, 66 dunlin, 2 ruddy turnstones, 1 brown pelican</t>
  </si>
  <si>
    <t>cstahala@audubon.org</t>
  </si>
  <si>
    <t>Big Sabine Point, County=Escambia</t>
  </si>
  <si>
    <t>Caroline Stahala Rob Holbrook</t>
  </si>
  <si>
    <t xml:space="preserve">1 banded </t>
  </si>
  <si>
    <t>Big Talbot Island State Park - North, County=Duval</t>
  </si>
  <si>
    <t>Allison Conboy, Emily Dunn</t>
  </si>
  <si>
    <t>overcast and rainy</t>
  </si>
  <si>
    <t>Big Talbot Island State Park - South, County=Duval</t>
  </si>
  <si>
    <t>Allison Conboy, Don and Patti Garner</t>
  </si>
  <si>
    <t>overcast, 56 degrees, wind 9 mph</t>
  </si>
  <si>
    <t>1 banded. H, R,_:R,_. Unable to read code</t>
  </si>
  <si>
    <t>Big Talbot Island State Park - Spoonbill, County=Duval</t>
  </si>
  <si>
    <t>overcast and windy</t>
  </si>
  <si>
    <t>Elizabeth.Golden@dep.state.fl.us</t>
  </si>
  <si>
    <t>Bill Baggs Cape Florida State Park, County=Miami-Dade</t>
  </si>
  <si>
    <t>Elizabeth Golden</t>
  </si>
  <si>
    <t>The banded PIPL and the other 6 PIPL seen foraging with it on this survey were probably among the loafing flock of PIPL reported 1.5 hours later on the Crandon Park survey, where a PIPL with the same color flag/band combination was seen.</t>
  </si>
  <si>
    <t>UL: (code not readable) GF; LL: - ; UR:O: LR: -  (band not reported to another site)</t>
  </si>
  <si>
    <t>rebekah.augustinowicz@charlottecountyfl.gov</t>
  </si>
  <si>
    <t>Bird Island, County=Charlotte</t>
  </si>
  <si>
    <t>Bird Island, County=Franklin</t>
  </si>
  <si>
    <t>12 unbanded BLSK adults</t>
  </si>
  <si>
    <t>Tricolored Heron:1, Snowy Egret:1, Willet:2, Ring-billed Gull:3, Bonaparte's Gull:6, Caspian Tern: 8, Laughing Gull:1, Forster's Tern:1</t>
  </si>
  <si>
    <t>Willet:8, Dunlin:165, Snowy Egret:1, Lesser Yellowlegs:2, Black-bellied Plover:4</t>
  </si>
  <si>
    <t>vanessa_mcdonough@nps.gov</t>
  </si>
  <si>
    <t>Biscayne National Park/ Convoy Point to Elliott Key Harbor, Boca Chita Key, and Elliott Key Oceanside beaches, County=Miami-Dade</t>
  </si>
  <si>
    <t>Marc Kramer, Eliana Ardila Ardila</t>
  </si>
  <si>
    <t>Winter Shorebird Survey (2019)</t>
  </si>
  <si>
    <t xml:space="preserve">Surveyors misunderstood and did not tally seabirds.  They only did shorebirds. </t>
  </si>
  <si>
    <t>brittney.brown@myfwc.com</t>
  </si>
  <si>
    <t>Bonfire Beach, County=Bay</t>
  </si>
  <si>
    <t>Brittney Brown</t>
  </si>
  <si>
    <t xml:space="preserve">Total Number of Surveys Entered:  </t>
  </si>
  <si>
    <t>[S//O:X//OY], will report to Panhandle Access Database</t>
  </si>
  <si>
    <t>1 XX and [S//R:X//WB, will report to Panhandle Access Database</t>
  </si>
  <si>
    <t>Breakers Resort to Palm Beach Inlet, County=Palm Beach</t>
  </si>
  <si>
    <t>Mayra Ashton, Sumer Chapman</t>
  </si>
  <si>
    <t>matthew.r.anderson@FloridaDEP.gov</t>
  </si>
  <si>
    <t>Brevard County Spoil Islands BC36 to BC53</t>
  </si>
  <si>
    <t>matthew r anderson, kirk fusco</t>
  </si>
  <si>
    <t>Only focal birds</t>
  </si>
  <si>
    <t>Number of Shorebirds</t>
  </si>
  <si>
    <t>Number of Seabirds</t>
  </si>
  <si>
    <t>Brookridge Sewage Treatment Facility, County=Hernando</t>
  </si>
  <si>
    <t>Bev Hansen Al Hansen,</t>
  </si>
  <si>
    <t>ezra.thompson@myfwc.com</t>
  </si>
  <si>
    <t>Buck Beach, County=Bay</t>
  </si>
  <si>
    <t>Ezra Thompson</t>
  </si>
  <si>
    <t>Caladesi Island State Park, County=Pinellas</t>
  </si>
  <si>
    <t>Diana Daniels, Brooke Hogrefe Mike Dyer Danny Sauvageau</t>
  </si>
  <si>
    <t>diana.daniels@dep.state.fl.us</t>
  </si>
  <si>
    <t>ROYT25, CATE1, WILL5, BBPL20, DUNL150, RUTU5, SPPL2, FOTE7,MAGO20, SAND5, LAGU4</t>
  </si>
  <si>
    <t>WILL10, MAGO3, SPPL2, SAND1, RUTU1</t>
  </si>
  <si>
    <t>5 banded PIPL seen,   O.-FG(CMV).     .KK-FY(31C).WO    FO.GK-S.B     S.R-FO.RY 
FO.YY-S.G      reported to Meryl@vt.plover, Megan@USGS, Alice@UMN</t>
  </si>
  <si>
    <t>.K-S(Gtape).B    S.BB-.R    S.W-.RR   reported to RPruner</t>
  </si>
  <si>
    <t>10 flagged REKN observed    Fg(C63).-.S      -Fg(E7L).S     Fg(EA3).-g.S                  .S-FG(PME).    -Fg(PP6).S    Fg(=1N).-.S     -Fg(1MH).S      -Fg(1MV).S     Fg(2E9).-.S      Fg(5C8).-.S All bands photographed by DSauvageau</t>
  </si>
  <si>
    <t>bsamuelsen@audubon.org</t>
  </si>
  <si>
    <t>Camp Helen State Park, County=Walton</t>
  </si>
  <si>
    <t>Bonnie Samuelsen, Annette Railey</t>
  </si>
  <si>
    <t>3 people walked inside posted keep out area before we could stop them. we provided outreach</t>
  </si>
  <si>
    <t>&gt;50 (included in total count: FOTE: 37; COTE:1; ROYT:5; BOGU:11; BRPE: 16; LAGU:2; RBGU:1; SAND:2)</t>
  </si>
  <si>
    <t>miked129e@gmail.com</t>
  </si>
  <si>
    <t>CANA Apollo beach, County=Volusia</t>
  </si>
  <si>
    <t>Michael Daley, Leo Wilcox</t>
  </si>
  <si>
    <t>kristen_kneifl@nps.gov</t>
  </si>
  <si>
    <t>CANA Apollo Playalinda, County=Volusia</t>
  </si>
  <si>
    <t>Kristen Kneifl, John Stiner, Sean McKenna</t>
  </si>
  <si>
    <t>This route should just be called CANA Playalinda (no Apollo) and is in Brevard County (not Volusia)</t>
  </si>
  <si>
    <t>angy.chambers@us.af.mil</t>
  </si>
  <si>
    <t>Cape Canaveral AFS, County=Brevard</t>
  </si>
  <si>
    <t>Angy Chambers, Rachel Mandel</t>
  </si>
  <si>
    <t>Brown pelican-70, Herring gull-13, Laughing gull-20, Royal tern-5, Bonaparte's gull-5, Sanderling-25, Red egret-3</t>
  </si>
  <si>
    <t>Bonaparte's gull-5, Brown pelican-7, Herring gull-10, Royal tern-25, Forster's tern-10, Laughing gull-3</t>
  </si>
  <si>
    <t>Brown pelican-30, Ring-billed gull-20, Royal tern-50, Herring gull-10, Sanderling-20, Gull-billed tern-10, Forster's tern-10</t>
  </si>
  <si>
    <t>Brown pelican-21, Ring-billed gull-10, Royal tern-30, Forster's tern-10, Herring gull-2, Laughing gull-10</t>
  </si>
  <si>
    <t>Ring-billed gull-5, Sanderling-30</t>
  </si>
  <si>
    <t>Brown pelican-50, Laughing gull-10, Royal tern-50, Herring gull-4, Ring-billed gull-5, Sandwich tern-5, Forster's tern-15, Sanderling-10</t>
  </si>
  <si>
    <t>aalbrecht@sccf.org</t>
  </si>
  <si>
    <t>Captiva 1 (Blind Pass to Captiva Dr. SW), County=Lee</t>
  </si>
  <si>
    <t>Audrey Albrecht</t>
  </si>
  <si>
    <t>mclauzau@gmail.com</t>
  </si>
  <si>
    <t>Carrabelle Beach, County=Franklin</t>
  </si>
  <si>
    <t>Collette Lauzau</t>
  </si>
  <si>
    <t>X//BO:GF//KG</t>
  </si>
  <si>
    <t>z4539pr@msn.com</t>
  </si>
  <si>
    <t>Casperson Beach, County=Sarasota</t>
  </si>
  <si>
    <t>Peg Magee, Eileen Gerle</t>
  </si>
  <si>
    <t>Cat Point, County=Franklin</t>
  </si>
  <si>
    <t>Marie Collette Lauzau</t>
  </si>
  <si>
    <t>Caxambas=Collier</t>
  </si>
  <si>
    <t>janell.brush@myfwc.com</t>
  </si>
  <si>
    <t>Cedar Key East</t>
  </si>
  <si>
    <t>Joe Marchionno, Ariam Jimenez, Bobbi Carpenter</t>
  </si>
  <si>
    <t>Route Name = Cedar Key East. Not ideal tides, counts are minimums due to accessibility of some areas and visibility of birds in challenging habitats.  Bands reported directly to researchers and not entered here.</t>
  </si>
  <si>
    <t>Reported to AMOY WG</t>
  </si>
  <si>
    <t>None banded, more in flock but could not count</t>
  </si>
  <si>
    <t>Not banded</t>
  </si>
  <si>
    <t>Cedar Key West</t>
  </si>
  <si>
    <t xml:space="preserve">Route Name = Cedar Key West. Reported all banded birds directly to researchers, not entered on the form.  The counts are under representative of the number of species/individuals along the route.  Tides were not ideal for a comprehensive survey of the area and the habitat used hides birds well. </t>
  </si>
  <si>
    <t>10 banded - Submitted to AMOY WG</t>
  </si>
  <si>
    <t>2 banded - submitted to AMOY WG</t>
  </si>
  <si>
    <t>5 WHIM at this location too</t>
  </si>
  <si>
    <t>3 banded - submitted to AMOY WG</t>
  </si>
  <si>
    <t>14 banded - submitted to AMOY WG</t>
  </si>
  <si>
    <t>10 banded - submitted to AMOY WG</t>
  </si>
  <si>
    <t>35 MAGO and 1 WHIM at this location too</t>
  </si>
  <si>
    <t>dcarson@pbcgov.org</t>
  </si>
  <si>
    <t>Central Lake Worth Lagoon, County=Palm Beach</t>
  </si>
  <si>
    <t>David Carson, TJ Steinhoff</t>
  </si>
  <si>
    <t>High Tide</t>
  </si>
  <si>
    <t>kim.savides@gmail.com</t>
  </si>
  <si>
    <t>Clam Pass Park, County=Collier</t>
  </si>
  <si>
    <t>Kim Savides</t>
  </si>
  <si>
    <t>BE(A05), BE(A29), YE(E79), YE(L30), YE(L46), YE(N27), WE(1A0), GE(A43), GE(A93), GE(B39), GE(B63), GE(B71), GE(C22), GE(C53), GE(C65), GE(E07), GE(E25).  Will be put on BLSK resightings google sheets</t>
  </si>
  <si>
    <t>All of this Clam Pass route is a single flock</t>
  </si>
  <si>
    <t>ptrunk@gmail.com</t>
  </si>
  <si>
    <t>Clearwater Beach - North, County=Pinellas</t>
  </si>
  <si>
    <t>Paul Trunk</t>
  </si>
  <si>
    <t>hshort@audubon.org</t>
  </si>
  <si>
    <t>Clearwater Point</t>
  </si>
  <si>
    <t>Holley Short</t>
  </si>
  <si>
    <t>Clearwater Point - new survey route</t>
  </si>
  <si>
    <t>barnwellm@hillsboroughcounty.org</t>
  </si>
  <si>
    <t>Cockroach Bay FIeld Office, County=Hillsborough</t>
  </si>
  <si>
    <t>Mary Barnwell, Danielle Ivey</t>
  </si>
  <si>
    <t>barnwelm@hillsboroughcounty.org</t>
  </si>
  <si>
    <t>Cow Creek</t>
  </si>
  <si>
    <t>Joe Marchionno</t>
  </si>
  <si>
    <t>Route Name = Cow Creek.  Many flocks were just out of reach - kayak survey</t>
  </si>
  <si>
    <t>Crooked Island East, County=Bay</t>
  </si>
  <si>
    <t>Brittney Brown, Ezra Thompson</t>
  </si>
  <si>
    <t>Crooked Island East is now split into two parts post-Hurricane, but there is not yet a new route. Ezra and I completed both sections simultaneously to ensure accuracy.</t>
  </si>
  <si>
    <t>all were X:X</t>
  </si>
  <si>
    <t>1 X:X female, 2 X:X males, [Y:S//WR] male, [Y:S//GB] male. Will also report to Panhandle Access Database.</t>
  </si>
  <si>
    <t>1 X:X female, [WW:S//W] male</t>
  </si>
  <si>
    <t>1 X:X female, 1 X:X male</t>
  </si>
  <si>
    <t>1 X:X female, [X//Y:S//RO] male</t>
  </si>
  <si>
    <t>all X:X</t>
  </si>
  <si>
    <t>1 X:X male, [S//W:X//YG] female</t>
  </si>
  <si>
    <t>[X//B:S//WK], [X//Y:S//OG], [X//KO:S//W]</t>
  </si>
  <si>
    <t>X:X</t>
  </si>
  <si>
    <t>Crooked Island West, County=Bay</t>
  </si>
  <si>
    <t>Chris Lipps, Marvin Friel</t>
  </si>
  <si>
    <t>X//B:S//WG, X//B:S//BR, reported to Audubon Florida and FWC database</t>
  </si>
  <si>
    <t>2 unbanded SNPLs</t>
  </si>
  <si>
    <t>X//Y:S//OB, X//GK:S//K, S//W:X//GK, 1 unbanded SNPL</t>
  </si>
  <si>
    <t>Sanderling: 160, Dunlin:5, Black-bellied Plover:2, Ruddy Turnstone: 1</t>
  </si>
  <si>
    <t>S//W:X//KB, X//R:X//OO, X//B:S//GO</t>
  </si>
  <si>
    <t>Dunlin:116, Sanderling: 30, Black-bellied Plover:7, Forster's Tern:4, Ring-billed Gull:3, Herring Gull:6, Bonaparte's Gull:4</t>
  </si>
  <si>
    <t>Sanderling:73,  Bonaparte's Gull:4, Dunlin:7</t>
  </si>
  <si>
    <t>X//WK:S//W, X//B:S//GG, 1 unbanded SNPL</t>
  </si>
  <si>
    <t>Ring-billed Gull:45, Sanderling:35, Herring Gull:7, Ruddy Turnstone:3, Willet:1</t>
  </si>
  <si>
    <t>Ring-billed Gull:63, Herring Gull:5, Willet:2, Sanderling:1</t>
  </si>
  <si>
    <t>Curry Hammock State Park, County=Monroe</t>
  </si>
  <si>
    <t>No birds were observed on this survey</t>
  </si>
  <si>
    <t>mcmic40@msn.com</t>
  </si>
  <si>
    <t>Cypress Point Park, County=Hillsborough</t>
  </si>
  <si>
    <t>Michael McCarty, Sherry Keller</t>
  </si>
  <si>
    <t>Fog with 1/8 mile visibility, low overcast sky at 100' AGL</t>
  </si>
  <si>
    <t>john.martin@ch2m.com</t>
  </si>
  <si>
    <t>Dayson Basin Dredge Disposal Area Transect - Marine Corps Support Facility Blount Island, County=Duval</t>
  </si>
  <si>
    <t>John Martin, Bo Hanan</t>
  </si>
  <si>
    <t>Dredge disposal basin full of water from recent input of dredged material</t>
  </si>
  <si>
    <t>Dayson Basin Marsh Transect - Marine Corps Support Facility Blount Island, County=Duval</t>
  </si>
  <si>
    <t>High tide in marsh (unable to visit during low tide)</t>
  </si>
  <si>
    <t>Deer Lake State Park, County=Walton</t>
  </si>
  <si>
    <t>B:S//RK, Y:S//RO, S//:W//B, S(K/W)//Y:Y</t>
  </si>
  <si>
    <t>karen.m.rogers@dep.state.fl.us</t>
  </si>
  <si>
    <t>Delnor-Wiggins Pass State Park, County=Collier</t>
  </si>
  <si>
    <t>Karen Rodgers</t>
  </si>
  <si>
    <t>ryan@ecological-associates.com</t>
  </si>
  <si>
    <t>Disney Area Vero Beach, (John's Island to Wabasso Beach), County=Indian River</t>
  </si>
  <si>
    <t>Ryan Dulfer</t>
  </si>
  <si>
    <t>speacock@audubon.org</t>
  </si>
  <si>
    <t>Dog Island Franklin County, County=Franklin</t>
  </si>
  <si>
    <t>Sean Peacock, Paul Wharton</t>
  </si>
  <si>
    <t>S//W:X//BG</t>
  </si>
  <si>
    <t>FOTE 42, ROYT 2, RBGU 2</t>
  </si>
  <si>
    <t>S//KY:X//R, X//Y:S(K/W)//B, S//W:X//RR</t>
  </si>
  <si>
    <t xml:space="preserve">FOTE 47, LAGU 6, ROYT 5, BRPE 26, RBGU 2, </t>
  </si>
  <si>
    <t>S(G)//X:X//KB</t>
  </si>
  <si>
    <t>X//b:S//X</t>
  </si>
  <si>
    <t>Don Pedro Island (not the state park), County=Charlotte</t>
  </si>
  <si>
    <t>Rebekah Augustinowicz, Susan Foley-pieri, Jamie Scudera</t>
  </si>
  <si>
    <t>Don Pedro Island State Park, County=Charlotte</t>
  </si>
  <si>
    <t>Karen Rogers</t>
  </si>
  <si>
    <t>John.Frosbutter@floridadep.gov</t>
  </si>
  <si>
    <t>Dr. Von D Mizell-Eula Johnson State Park, County=Broward</t>
  </si>
  <si>
    <t>John Frosbutter and Allison Scheflow</t>
  </si>
  <si>
    <t>John Frosbutter</t>
  </si>
  <si>
    <t>Dunedin Causeway  - new survey route</t>
  </si>
  <si>
    <t>birdman9@earthlink.net</t>
  </si>
  <si>
    <t>Dunlaton Bridge to Ponce Inlet, County=Volusia</t>
  </si>
  <si>
    <t>David Hartgrove, Joan Tague</t>
  </si>
  <si>
    <t>Too far away to see bands if there were any.</t>
  </si>
  <si>
    <t>smccorkle@volusia.org</t>
  </si>
  <si>
    <t>M. Brothers; J. Winters; S. McCorkle</t>
  </si>
  <si>
    <t>Sami McCorkle - New Surveyor; Same route origin, but not complete lap due to time constraints and boat issues</t>
  </si>
  <si>
    <t>NSF</t>
  </si>
  <si>
    <t>251 laughing gulls; 117 hearing gulls</t>
  </si>
  <si>
    <t>2 banded brown pelicans, metal bands, unable to read</t>
  </si>
  <si>
    <t>200 white pelicans</t>
  </si>
  <si>
    <t>55 double-crested cormorants</t>
  </si>
  <si>
    <t>East Point Shoreline Transect - Marine Corps Support Facility Blount Island, County=Duval</t>
  </si>
  <si>
    <t>Eastpoint Bars, County=Franklin</t>
  </si>
  <si>
    <t>Eastpoint Causeway, County=Franklin</t>
  </si>
  <si>
    <t>Ezra Thompson, Phillipp Maleko</t>
  </si>
  <si>
    <t>DCCO-68</t>
  </si>
  <si>
    <t>Eglin AFB - South Restricted, County=Gulf</t>
  </si>
  <si>
    <t>Bonnie Samuelsen; Janna Rinehart</t>
  </si>
  <si>
    <t>people with 5 dogs walking beach about half way thru route. We caught up with them, they turned around before flushing large flock</t>
  </si>
  <si>
    <t xml:space="preserve">Group &gt; 50 = SNEG 1; ROYT 8; LAGU 61; RBGU 20; FOTE 34; BOGU 13; BBPL 1; RUTU 1; SAND 1; HERG 2; BRPE 1 </t>
  </si>
  <si>
    <t>brail.stephens.1.ctr@us.af.mil</t>
  </si>
  <si>
    <t>Eglin AFB - South Restricted, County=Okaloosa</t>
  </si>
  <si>
    <t>Brail Stephens</t>
  </si>
  <si>
    <t>40-50F</t>
  </si>
  <si>
    <t>SNPL 1: -//-, S//-</t>
  </si>
  <si>
    <t>4 of 7 banded: S//0,-//RB ; -//K,-//YO ; S//0,-//YR ; -//B,S//g</t>
  </si>
  <si>
    <t>SAND - 3</t>
  </si>
  <si>
    <t>2 of 2 banded: S//O,-//YK ; K//-,Y//-</t>
  </si>
  <si>
    <t>S//KO,Ze//-</t>
  </si>
  <si>
    <t>2 of 2 banded: -//Y,-//OO ; -//Y,-//YG</t>
  </si>
  <si>
    <t>4 of 9 banded: S//O,-//BB ; S//O,-//BO ; -//b,-//KY ; -//WG,S//-</t>
  </si>
  <si>
    <t>-//Y,-//BO</t>
  </si>
  <si>
    <t>-//KY,S//-</t>
  </si>
  <si>
    <t>SAND - 1</t>
  </si>
  <si>
    <t>2 of 2 banded: -//BR,S//- ; S//-,-//YR</t>
  </si>
  <si>
    <t>-//-,S//W</t>
  </si>
  <si>
    <t>carolyn.gindl.ctr@us.af.mil</t>
  </si>
  <si>
    <t>Eglin Public, County=Okaloosa</t>
  </si>
  <si>
    <t>Carrie Gindl</t>
  </si>
  <si>
    <t>SAND - 1, RUTU - 1</t>
  </si>
  <si>
    <t>SNPL 1: -//BA, S//g</t>
  </si>
  <si>
    <t>kathleen.gault@eglin.af.mil</t>
  </si>
  <si>
    <t>Eglin restricted North, County=Okaloosa</t>
  </si>
  <si>
    <t>Kathy Gault</t>
  </si>
  <si>
    <t>pjarrett32@yahoo.com</t>
  </si>
  <si>
    <t>Estero Island, Ft. Myers Beach, County=Lee</t>
  </si>
  <si>
    <t>Penny Jarrett, Gloria Abramoff</t>
  </si>
  <si>
    <t>82 Willets, 44 Sanderlings</t>
  </si>
  <si>
    <t>37 Rudy Turnstones, 62 Sanderlings, 211 Willets, 5 Sandwich Terns, 1 Marbled Godwit, 1 Ring-billed gull</t>
  </si>
  <si>
    <t>churley@edgewaterresources.com</t>
  </si>
  <si>
    <t>Christie Hurley</t>
  </si>
  <si>
    <t>Fisher Island Private Beach</t>
  </si>
  <si>
    <t>Flag Island, County=Franklin</t>
  </si>
  <si>
    <t>Sean Peacock, Beth Wright</t>
  </si>
  <si>
    <t>DUNL 5, HEGU 53, ROYT 33, DCCO 1, FOTE 52, LAGU 78, SAND 2, SBDO 3, RUTU 1</t>
  </si>
  <si>
    <t xml:space="preserve">SBDO 2, LAGU 28, HEGU 6, RBGU 2, FOTE 58, ROYT 60, </t>
  </si>
  <si>
    <t xml:space="preserve">DUNL 20, SAND 3, SEPL 4, </t>
  </si>
  <si>
    <t>SAND 2</t>
  </si>
  <si>
    <t>bob_showler@nps.gov</t>
  </si>
  <si>
    <t>Flamingo Area, Everglades National Park, County=Monroe</t>
  </si>
  <si>
    <t>Bob Showler</t>
  </si>
  <si>
    <t>Sunny, warm.</t>
  </si>
  <si>
    <t>jason.allgood@dep.state.fl.us</t>
  </si>
  <si>
    <t>Fort Clinch State Park, County=Nassau</t>
  </si>
  <si>
    <t>Jason Allgood, Michelle Tabor</t>
  </si>
  <si>
    <t>Breezy</t>
  </si>
  <si>
    <t>Fort De Soto Park North, County=Pinellas</t>
  </si>
  <si>
    <t>Lorraine Margeson</t>
  </si>
  <si>
    <t>president@westpascoaudubon.com</t>
  </si>
  <si>
    <t>Christine Rowland, Peter Day, Bradley Day, Anthony Marella, Pamela Graber, Merle and Jo Hubbard</t>
  </si>
  <si>
    <t>Fort Howard Beach (at the end of Fred Howard Causeway)</t>
  </si>
  <si>
    <t>Upper left  S 866 over 708  lower left Y 064  Upper right O Lower right O/Y (will report to plover@umn.edu w/photos &amp; video)</t>
  </si>
  <si>
    <t>irateparrot@aol.com</t>
  </si>
  <si>
    <t>Peggy R Cook</t>
  </si>
  <si>
    <t>Fort Matanzas N M Rattlesnake Island</t>
  </si>
  <si>
    <t>Fort Matanzas National Monument, County=St. Johns</t>
  </si>
  <si>
    <t xml:space="preserve">Peggy R Cook, Kurt Foote, Lydia Schlindler, Jean Olbert, Dave W. </t>
  </si>
  <si>
    <t>USFW Left Silver  Rt Red E7    Reported,    Band 2    USFW   Reported</t>
  </si>
  <si>
    <t>No Bands</t>
  </si>
  <si>
    <t>Royal Terns     4      Silver Band  Could not read #</t>
  </si>
  <si>
    <t>birdgirl7576@gmail.com</t>
  </si>
  <si>
    <t>Elizabeth Wright</t>
  </si>
  <si>
    <t>FSUCML-Summer Camp-Turkey Point-Bay North (note: longer version of old Turkey Pt. route)</t>
  </si>
  <si>
    <t>1 BRPE 12 DCCO 36 RBGU</t>
  </si>
  <si>
    <t>birdbill5@aol.com</t>
  </si>
  <si>
    <t>Ft. Clinch to Peter's Point, County=Nassau</t>
  </si>
  <si>
    <t>Bill George and Cathy Ryckman</t>
  </si>
  <si>
    <t>Purple Sandpaiper-1</t>
  </si>
  <si>
    <t>Purple Sandpiper</t>
  </si>
  <si>
    <t>tandl1621@gmail.com</t>
  </si>
  <si>
    <t>Ft. De Soto Park East (Bay Pier to East Beach), County=Pinellas</t>
  </si>
  <si>
    <t>Barb &amp; Dave Howard for Tom &amp; Lindsay Bell</t>
  </si>
  <si>
    <t>Ft. De Soto Park West, County=Pinellas</t>
  </si>
  <si>
    <t>liz@ecological-associates.com</t>
  </si>
  <si>
    <t>Ft. Pierce Shore Protection Project, County=St. Lucie</t>
  </si>
  <si>
    <t>Elizabeth Ranalli</t>
  </si>
  <si>
    <t>Liz Ranalli</t>
  </si>
  <si>
    <t>Ft. Taylor State Park, County=Monroe</t>
  </si>
  <si>
    <t>Observed only laughing gulls on the three groins offshore of the beach</t>
  </si>
  <si>
    <t>All laughing gulls were located on three groins</t>
  </si>
  <si>
    <t>100 laughing gulls on groin</t>
  </si>
  <si>
    <t>60 laughing gulls on second groin</t>
  </si>
  <si>
    <t>75 laughing gulls on third groin</t>
  </si>
  <si>
    <t>jliechty@audubon.org</t>
  </si>
  <si>
    <t>Gandy (Pinellas portion), County=Pinellas</t>
  </si>
  <si>
    <t>Jeff Liechty</t>
  </si>
  <si>
    <t>A39 green reported to Beth Forys</t>
  </si>
  <si>
    <t>Gasparilla Island (Charlotte), County=Charlotte</t>
  </si>
  <si>
    <t>Rebekah Augustinowicz, Susan Foley-pieri</t>
  </si>
  <si>
    <t>Gasparilla Island (Lee) excluding State Park, County=Lee</t>
  </si>
  <si>
    <t>Karen Rogers, Mary Mazyck</t>
  </si>
  <si>
    <t xml:space="preserve">Survey of shorebirds completed along beach from approximately R monument R-22.5 through R-10 for USACE in fulfillment of USFWS pre-construction P3BO monitoring requirements </t>
  </si>
  <si>
    <t xml:space="preserve">Royal tern - metal band on lower right leg </t>
  </si>
  <si>
    <t>Gasparilla Island State Park, County=Lee</t>
  </si>
  <si>
    <t>Goodland Flats=Collier</t>
  </si>
  <si>
    <t>Friel, Marvin</t>
  </si>
  <si>
    <t>Goose Island</t>
  </si>
  <si>
    <t>R(72)//:R(72)//S and X:X</t>
  </si>
  <si>
    <t xml:space="preserve">BBPL 4, DUNL 1, WILL 1, </t>
  </si>
  <si>
    <t>R(68)//:R(68)//S and X:X</t>
  </si>
  <si>
    <t>SEPL 18, DUNL 14, RUTU 29, WILL 2, SAND 2, MERL 1</t>
  </si>
  <si>
    <t>both unbanded</t>
  </si>
  <si>
    <t>all unbanded</t>
  </si>
  <si>
    <t>Grayton Beach State Park, County=Walton</t>
  </si>
  <si>
    <t>KW:S(K/W)//</t>
  </si>
  <si>
    <t>Gulf Islands National Seashore - Perdido Key, County=Escambia</t>
  </si>
  <si>
    <t>Britt Brown, Marvin Friel</t>
  </si>
  <si>
    <t>1 NOGA</t>
  </si>
  <si>
    <t>BRPE 79, FOTE 44, ROYT 13, SAND 3, RBGU 3, LAGU 6, BBPL 1</t>
  </si>
  <si>
    <t>S//KY:bf//KG</t>
  </si>
  <si>
    <t>bO//:bK//,  YO//:GY//,  Yb//:GG//,  K//O//b//G,  Ob//:bK//,  X:GO//</t>
  </si>
  <si>
    <t>sand 2</t>
  </si>
  <si>
    <t>OY//:YY// and unbanded</t>
  </si>
  <si>
    <t>SAND 5</t>
  </si>
  <si>
    <t>BBPL 1, SAND 1</t>
  </si>
  <si>
    <t>GK//:bK// and unbanded female</t>
  </si>
  <si>
    <t>1 SAND</t>
  </si>
  <si>
    <t>b:Yb male and unbanded male</t>
  </si>
  <si>
    <t xml:space="preserve">bY//:bY// and 4 unbanded </t>
  </si>
  <si>
    <t>Gulf Islands National Seashore - Santa Rosa, County=Escambia</t>
  </si>
  <si>
    <t>Chris Lipps, Mark Nicholas</t>
  </si>
  <si>
    <t>Survey of Gulf side only, this does not include the sound side that was entered by Ezra Thompson.</t>
  </si>
  <si>
    <t>KG//X:GY//X, S//b:GY//X, OK//X:KO//X, 3 unbanded SNPL, reported to Audubon Florida and FWC database</t>
  </si>
  <si>
    <t>N/A</t>
  </si>
  <si>
    <t>Santa Rosa  - North shore/sound side</t>
  </si>
  <si>
    <t>Gulf Islands National Seashore-Ft. Pickens, County=Escambia</t>
  </si>
  <si>
    <t>Caity Reiland-Smith, Sean Peacock, Justin Bryers</t>
  </si>
  <si>
    <t>SAND-1</t>
  </si>
  <si>
    <t>X//YO:X//X and Gb//:bY//</t>
  </si>
  <si>
    <t>Y:S//WW, KY//:bb//</t>
  </si>
  <si>
    <t>BOGU-107, BRPE-1</t>
  </si>
  <si>
    <t>BOGU-61, BRPE-4, SAND-7</t>
  </si>
  <si>
    <t>Henderson SP, County=Okaloosa</t>
  </si>
  <si>
    <t>Marvin Friel, Kristi Mobley, Michael Sisson</t>
  </si>
  <si>
    <t>72 SAND, 6 RBGU, 1 LAGU</t>
  </si>
  <si>
    <t>raul_urgelles@nps.gov</t>
  </si>
  <si>
    <t>Highland Beach, County=Monroe</t>
  </si>
  <si>
    <t>Raul Urgelles, Mark Parry</t>
  </si>
  <si>
    <t>Prescribed burn nearby blocked out sun toward the end of survey; temperature dropped approximately 10 degrees (80F - 70F). Survey was conducted at the start of an outgoing tide.</t>
  </si>
  <si>
    <t>None banded.</t>
  </si>
  <si>
    <t>5E7, horizontal, green flag, upper right / orange band, upper left. Reported to VT.</t>
  </si>
  <si>
    <t>Not banded.</t>
  </si>
  <si>
    <t>pelican@fairpoint.net</t>
  </si>
  <si>
    <t>Highland View, County=Gulf</t>
  </si>
  <si>
    <t>Barbara Eells/Caity Reiland-Smith</t>
  </si>
  <si>
    <t xml:space="preserve">Calm Bay/low tide rising/100% overcast/intercoastal canal </t>
  </si>
  <si>
    <t>jmonty@coastalsystemsint.com</t>
  </si>
  <si>
    <t>Hillsboro Inlet (south side) to Lauderdale by the Sea pier, County=Broward</t>
  </si>
  <si>
    <t>Jamie Monty</t>
  </si>
  <si>
    <t>Survey for USACE Permit # SAJ-1993-01995(MOD-LCK). Survey area defined in permit as 100 feet north of FDEP monument R-25 to approximately 150 linear feet south of R-26, and NOT to Lauderdale by the Sea pier as listed above.</t>
  </si>
  <si>
    <t>grace@ecological-associates.com</t>
  </si>
  <si>
    <t>Hobe Sound NWR, County=Martin</t>
  </si>
  <si>
    <t>Grace Botson</t>
  </si>
  <si>
    <t>Honeymoon Island State Park, County=Pinellas</t>
  </si>
  <si>
    <t>Holley Short, Todd Andrews</t>
  </si>
  <si>
    <t xml:space="preserve">02E,H,Y  EFY.WB-S.KLb    </t>
  </si>
  <si>
    <t xml:space="preserve"> no bands</t>
  </si>
  <si>
    <t>no code,-,O   FO.YY-S.G</t>
  </si>
  <si>
    <t>no photo, ukn. combo</t>
  </si>
  <si>
    <t>NHJ,H,G   EGF.-O.</t>
  </si>
  <si>
    <t>Horseshoe Island, County=Franklin</t>
  </si>
  <si>
    <t>Huguenot Memorial Park</t>
  </si>
  <si>
    <t>Route Name = Huguenot Memorial Park. Species tallies do not reflect the total numbers of birds as they were broadly dispersed across the bayside flats on lowest tide and problematic to count from any one vantage point.</t>
  </si>
  <si>
    <t>None  banded</t>
  </si>
  <si>
    <t>Banded - Submitted to AMOY WG</t>
  </si>
  <si>
    <t>At least one banded Yellow[??], too far away to read</t>
  </si>
  <si>
    <t>Also documented 2 PUSA on the survey not far from this location</t>
  </si>
  <si>
    <t>Route Name = Little Pine Island to HSB; Banded birds reported directly to researchers.  Tides not ideal for a comprehensive survey, not all areas were covered.</t>
  </si>
  <si>
    <t>2 banded - reported to AMOY WG</t>
  </si>
  <si>
    <t>DG[B86], DG[B28]</t>
  </si>
  <si>
    <t>1 WHIM at this location too</t>
  </si>
  <si>
    <t>17 banded - reported to AMOY WG</t>
  </si>
  <si>
    <t>3 banded - reported to AMOY WG</t>
  </si>
  <si>
    <t>19 banded - reported to AMOY WG</t>
  </si>
  <si>
    <t>Indian Lagoon East, County=Franklin</t>
  </si>
  <si>
    <t>AWPE-57, BRPE-12, DCCO-52, WILL-15</t>
  </si>
  <si>
    <t>Indian Lagoon West, County=Gulf</t>
  </si>
  <si>
    <t>FOTE-1, WILL-3</t>
  </si>
  <si>
    <t>rinehartjanna@gmail.com</t>
  </si>
  <si>
    <t>Indian Pass Shoreline, County=Gulf</t>
  </si>
  <si>
    <t>Bonnie Samuelson, Janna Rinehart</t>
  </si>
  <si>
    <t>rruthberg@gmail.com</t>
  </si>
  <si>
    <t>Indian Rocks Beach 22nd Ave-Whitehurst Ave, County=Pinellas</t>
  </si>
  <si>
    <t>rebecca ruthberg-campagna</t>
  </si>
  <si>
    <t>tiffydog96@gmail.com</t>
  </si>
  <si>
    <t>Indian Shores, County=Pinellas</t>
  </si>
  <si>
    <t>Wendy meehan</t>
  </si>
  <si>
    <t>IR1-IR28, County=Indian River</t>
  </si>
  <si>
    <t>sarah.k.waddell@dep.state.fl.us</t>
  </si>
  <si>
    <t>John D. MacArthur Beach State Park, County=Palm Beach</t>
  </si>
  <si>
    <t>Sarah Waddell</t>
  </si>
  <si>
    <t>amccracken@marinelife.org</t>
  </si>
  <si>
    <t>Jupiter &amp; Juno Beach: Jupiter Inlet to northern boundary of John D. MacArthur Beach State Park, County=Palm Beach</t>
  </si>
  <si>
    <t>Adrienne McCracken</t>
  </si>
  <si>
    <t>53 royal terns</t>
  </si>
  <si>
    <t>anne.mauro@floridadep.gov</t>
  </si>
  <si>
    <t>Keewaydin Island, County=Collier</t>
  </si>
  <si>
    <t>Kice Island, County=Collier</t>
  </si>
  <si>
    <t>Knight Island, County=Charlotte</t>
  </si>
  <si>
    <t>L-Bar, County=Franklin</t>
  </si>
  <si>
    <t>lori_oberhofer@nps.gov</t>
  </si>
  <si>
    <t>Lake Ingraham , Sandy and Carl Ross Keys, County=Monroe</t>
  </si>
  <si>
    <t>Lori Oberhofer, MaryAnne Biggar, John Kipp</t>
  </si>
  <si>
    <t>Mostly sunny, light to moderate wind, low tide.</t>
  </si>
  <si>
    <t>PGray@Audubon.org</t>
  </si>
  <si>
    <t>Lake Okeechobee Buckhead Ridge Marsh 2:50-3:10 by airboat, County=Okeechobee</t>
  </si>
  <si>
    <t>Paul N Gray</t>
  </si>
  <si>
    <t>from an airboat, one hour</t>
  </si>
  <si>
    <t>Lake Okeechobee Indian Prairie 12:30-2:50PM by airboat, County=Glades</t>
  </si>
  <si>
    <t>from an airboat, 1 hour 50 minutes</t>
  </si>
  <si>
    <t>Lake Okeechobee OkeeTantie Marsh, County=Okeechobee</t>
  </si>
  <si>
    <t>from an airboat, 0.75 miles traversed</t>
  </si>
  <si>
    <t>Lake Okeechobee, County=Okeechobee</t>
  </si>
  <si>
    <t>Clif Betts Park, by car</t>
  </si>
  <si>
    <t>john.martin@jacobs.com</t>
  </si>
  <si>
    <t>Lake Tomroy-Pond AA, Pond C Transect - Marine Corps Support Facility Blount Island, County=Duval</t>
  </si>
  <si>
    <t>GaelSilverblatt@earthlink.net</t>
  </si>
  <si>
    <t>Lake Worth Lagoon, County=Palm Beach</t>
  </si>
  <si>
    <t>Gael Silverblatt</t>
  </si>
  <si>
    <t>Lakeside Ranch STA, County=Martin</t>
  </si>
  <si>
    <t>Dan O'Malley, Brian Garrett</t>
  </si>
  <si>
    <t>This STA has increased in size, so new start and end points have been created.</t>
  </si>
  <si>
    <t>Lanark Reef, County=Franklin</t>
  </si>
  <si>
    <t>2 banded birds S//RY:FY(E60)//YK and S//YG:FY(Y66)//RO</t>
  </si>
  <si>
    <t>7 banded G(CHU)//S:G(CHU)//X, G(C1Y)//S:G(C1Y)//X, R(90)//X:R(90)//S, R(74)//X:R(74)//S, R(Y15)//X:R(Y15)//S, Y(07)//X:Y(05)//S, K(P3)//X:K(P3)//S</t>
  </si>
  <si>
    <t>forysea@eckerd.edu</t>
  </si>
  <si>
    <t>Lassing Park, St Petersburg, County=Pinellas</t>
  </si>
  <si>
    <t>Beth Forys</t>
  </si>
  <si>
    <t>natasha.warraich@myfwc.com</t>
  </si>
  <si>
    <t>Lauderdale by the Sea pier to Port Everglades Inlet, County=Broward</t>
  </si>
  <si>
    <t>Natasha Warraich, Stephanie Kedzuf</t>
  </si>
  <si>
    <t>khwilson1994@gmail.com</t>
  </si>
  <si>
    <t>Lido Key, County=Sarasota</t>
  </si>
  <si>
    <t>Kylie Wilson</t>
  </si>
  <si>
    <t>ongoing renourishment project</t>
  </si>
  <si>
    <t>group over 50 - these counts included in total
LAGU: 98, RBGU: 18,ROTE: 25,FOTE: 11,SATE: 10,HEGU: 1,LBBG: 1</t>
  </si>
  <si>
    <t>group of over 50:
SAND: 49 (one banded with service band on lower leg and appeared to be missing a foot; flock disturbed before I was able to take a photo)
BBPL: 3,WILL: 1,HEGU: 2</t>
  </si>
  <si>
    <t>Morgan.Parks@myFWC.com</t>
  </si>
  <si>
    <t>Little Estero Critical Wildlife Area, County=Lee</t>
  </si>
  <si>
    <t>Amy Clifton, Michelle van Deventer</t>
  </si>
  <si>
    <t>Little Gasparilla Island, County=Charlotte</t>
  </si>
  <si>
    <t>Little St. George Island, County=Franklin</t>
  </si>
  <si>
    <t>Found dead dolphin. reported</t>
  </si>
  <si>
    <t>X//B:S(K/W)//R</t>
  </si>
  <si>
    <t>X//b</t>
  </si>
  <si>
    <t>O//O:O//G, X//K:S//KR</t>
  </si>
  <si>
    <t>FOTE 63, COTE 2, HEGU 7, ROYT 32, LAGU 565, SAND 7</t>
  </si>
  <si>
    <t>WHPE 10, DCCO 4, DUNL 1</t>
  </si>
  <si>
    <t>Little Talbot Island State Park, County=Duval</t>
  </si>
  <si>
    <t>Allison Conboy, Joan and Richard Becker</t>
  </si>
  <si>
    <t>550 FG</t>
  </si>
  <si>
    <t xml:space="preserve"> FK[UN],_:m,_</t>
  </si>
  <si>
    <t>2 banded: L6V, FG &amp; MA, FW (or Wf[MA],_:m,_)</t>
  </si>
  <si>
    <t>None visible</t>
  </si>
  <si>
    <t>none visible</t>
  </si>
  <si>
    <t>52 in mixed flock: 1 BRPE, 33 DCCO, 18 AWPE</t>
  </si>
  <si>
    <t>Long Key State Park, County=Monroe</t>
  </si>
  <si>
    <t>sanderling, ruddy turnstone, sb dowitcher, semipalmated sandpiper and semipalmated plover</t>
  </si>
  <si>
    <t>observed sanderlings, ruddy turnstones, short billed dowitchers, semipalmated sandpipers and semipalmated plovers at this coordinate</t>
  </si>
  <si>
    <t>stuwilson@comcast.net</t>
  </si>
  <si>
    <t>Longboat Key North - Manatee, County=Manatee</t>
  </si>
  <si>
    <t>Stu Wilson, Cathy Paris</t>
  </si>
  <si>
    <t>One flock &gt; 50 (included a focal sp: BLSK)</t>
  </si>
  <si>
    <t>Flock &gt; 50: RUTU-6, SAND-19, LAGU-150, RBGU-33, HERG-4, LBBG-1, COTE-12, FOTE-220, ROYT-24, SATE-68, BLSK-11</t>
  </si>
  <si>
    <t>Longboat Key South (Sarasota), County=Sarasota</t>
  </si>
  <si>
    <t>Stu Wilson, Kiley Wilson</t>
  </si>
  <si>
    <t>we had a banded BRPE and 2 flocks &gt; 50</t>
  </si>
  <si>
    <t>Banded Brown Pelican with blue "ACF" on lower left</t>
  </si>
  <si>
    <t>Flock &gt; 50: LAGU-18, RBGU-10, LBBG-1, FOTE-60, ROYT-55, SATE-3</t>
  </si>
  <si>
    <t>Flock &gt; 50: SAND-7, LAGU-45, RBGU-10, LBBG-1, FOTE-16, ROYT-72, SATE-11</t>
  </si>
  <si>
    <t>Lovers Key State Park, County=Lee</t>
  </si>
  <si>
    <t>Karen Rogers, Ryan Fox</t>
  </si>
  <si>
    <t>Survey completed at low tide (incoming high) with sunny skies and calm seas (&lt;1').</t>
  </si>
  <si>
    <t>CA2, triangular, yellow with black letters, upper right and left legs and metal USFWS band on lower left leg; CA3, triangular, yellow with black letters, upper right and left legs and metal USFWS band on lower left leg.  Reported both to AMOY working group band resight.  Both birds have black tips on their bills.  According to AMOY working group, the birds are siblings that were banded in Massachusetts in July 2018 and have been spotted together in Lee County since November 2018.</t>
  </si>
  <si>
    <t>flalundeens@gmail.com</t>
  </si>
  <si>
    <t>Manasota Key south from S, Brohard Park to county line. Subdivide if apprpriate but submit as one., County=Sarasota</t>
  </si>
  <si>
    <t>Curt Lundeen &amp; Pam Lundeen</t>
  </si>
  <si>
    <t>We did only Coastal Wildlife Club Sea Turtle Patrol zones 5 &amp; 6 - approx. 1 mile going north from Manasota Beach Park. I don't think anyone else did any other zones on this survey route. Birds seen on beach that were not on your list: 3 ROPI. A couple of editing suggestions: 1. In 1st paragraph just below "Section 1 Basic Survey Data", the word "bellow" should be "below". 2. In the list of shorebirds, "Back-bellied Plover" should be "Black-bellied Plover".</t>
  </si>
  <si>
    <t>Large group: 28 ROYT, 1 RUTU, 20 RBGU, 22 LAGU, 18 FOTE</t>
  </si>
  <si>
    <t>One Banded RBGU: LL Orange (or possibly Red) with code 78B (no photo)</t>
  </si>
  <si>
    <t>Martin County IRL, County=Martin</t>
  </si>
  <si>
    <t>Natasha Warraich, Dan O'Malley, Mike Yustin</t>
  </si>
  <si>
    <t>40 ROYT, 5 black backed gulls, 3 LAGU</t>
  </si>
  <si>
    <t>30 Dunlin, 40 Sanderlings, 5 black-bellied plovers, 5 ruddy turnstones</t>
  </si>
  <si>
    <t>10 ruddy turnstones, 50 dunlin, 50 sanderling, 5 semipalmated plovers, 5 black-bellied plovers</t>
  </si>
  <si>
    <t>250 royal terns, 2 double crested corm., 25 laughing gulls, 1 brown pelican</t>
  </si>
  <si>
    <t>Joey@ecological-associates.com</t>
  </si>
  <si>
    <t>Martin County southern limit to Hobe Sound National Wildlife Refuge, County=Martin</t>
  </si>
  <si>
    <t>J.Pessolano/ R Dulfer</t>
  </si>
  <si>
    <t>Ryan Dufler, Joseph Pessolano</t>
  </si>
  <si>
    <t>Mash Sands County Park</t>
  </si>
  <si>
    <t>20 unbanded BLSK</t>
  </si>
  <si>
    <t>Forster's Tern:3, Ring-billed Gull:2, Willet:9</t>
  </si>
  <si>
    <t>Matanzas Inlet South to Flagler County Line, County=St. Johns</t>
  </si>
  <si>
    <t>Peggy R Cook, Lydia Schlindler, Dave W.</t>
  </si>
  <si>
    <t>Matanzas River to Inlet</t>
  </si>
  <si>
    <t>Joe Marchionno, Ariam Jimenez, Jean Olbert, Sarah Dudek</t>
  </si>
  <si>
    <t>Route Name = Matanzas River to Inlet</t>
  </si>
  <si>
    <t>Submitted to AMOY WG</t>
  </si>
  <si>
    <t>lesley_royce@me.com</t>
  </si>
  <si>
    <t>Mayport south to Duval / St. Johns County line, County=Duval</t>
  </si>
  <si>
    <t>Lesley Royce</t>
  </si>
  <si>
    <t>None</t>
  </si>
  <si>
    <t>LV, black flag, upper left</t>
  </si>
  <si>
    <t>No e</t>
  </si>
  <si>
    <t>Morgan Bay/Cape Romano, County=Collier</t>
  </si>
  <si>
    <t>S//X:KF(KT), S//X:KT(UP), S//R:OF//R,Lb, FY//B,O:S//RLb</t>
  </si>
  <si>
    <t>Navarre Beach Sound Side, County=Escambia</t>
  </si>
  <si>
    <t>jeffro595@yahoo.com</t>
  </si>
  <si>
    <t>New Smyrna Beach 27th Avenue Park to CANA, County=Volusia</t>
  </si>
  <si>
    <t>John Kendall</t>
  </si>
  <si>
    <t>New Smyrna Beach jetty at Ponce Inlet south to Flagler Avenue ramp, County=Volusia</t>
  </si>
  <si>
    <t>U9 white letters over black flag on upper left, metal band on lower right. turned into banded birds. org and also I documented this individual here on 1/7/19</t>
  </si>
  <si>
    <t>273 faded black letters over green flag on upper left, yellow transmitter or geolocator on upper right  turned into banded birds. org</t>
  </si>
  <si>
    <t xml:space="preserve">white letters black flag U9  banded in N. Nova Scotia </t>
  </si>
  <si>
    <t>273 black letter over green bird seen here before  geolocator is damaged</t>
  </si>
  <si>
    <t>ingallsedits@gmail.com</t>
  </si>
  <si>
    <t>Lamont Ingalls; Joe Montpelier</t>
  </si>
  <si>
    <t>Snowy Egrets: 36</t>
  </si>
  <si>
    <t>North Anclote Bar, County=Pasco</t>
  </si>
  <si>
    <t>Route is much shorter than in years past. The island is much smaller.</t>
  </si>
  <si>
    <t>North Redington Beach &amp; Redington Shores, County=Pinellas</t>
  </si>
  <si>
    <t>PWCLINE@ECKERD.EDU</t>
  </si>
  <si>
    <t>Patrick Cline, Sonder Selvig</t>
  </si>
  <si>
    <t>North Shore Park, St Petersburg, County=Pinellas</t>
  </si>
  <si>
    <t>Green B42</t>
  </si>
  <si>
    <t>Nubbin Slough STA, County=Okeechobee</t>
  </si>
  <si>
    <t>Dan O"Malley, Brian Garrett</t>
  </si>
  <si>
    <t>Other (put in comments at end of section)</t>
  </si>
  <si>
    <t>Big Talbot Island - Sawpit Island. windy, party cloudy</t>
  </si>
  <si>
    <t>Outback Key, County=Pinellas</t>
  </si>
  <si>
    <t>FLG "27E" and FG "EXP" both reported to bandedbirds.org</t>
  </si>
  <si>
    <t>7 banded PIPL all reported directly to banders</t>
  </si>
  <si>
    <t>GFE 97</t>
  </si>
  <si>
    <t>red AE reported to AMOY working group</t>
  </si>
  <si>
    <t>Palm Beach (Monceau Court) to Breakers Resort, County=Palm Beach</t>
  </si>
  <si>
    <t>Kelly Martin</t>
  </si>
  <si>
    <t>Palm Beach Shores: south boundary of John D. MacArthur Beach State Park to Palm Beach Inlet, County=Palm Beach</t>
  </si>
  <si>
    <t>Chris Carstens, Samantha Hovde</t>
  </si>
  <si>
    <t>Existing survey route but was not surveyed in 2018. First time ERM has surveyed.</t>
  </si>
  <si>
    <t>1 individual. Yellow band, right lower, N42. Reported and received history. Tagged in Nassau County, NY on 8/24/2017</t>
  </si>
  <si>
    <t>Palm Island resort; only bird observed on route was an osprey, County=Charlotte</t>
  </si>
  <si>
    <t>300 +</t>
  </si>
  <si>
    <t>kmason1012@gmail.com</t>
  </si>
  <si>
    <t>Pass-a-Grille, St. Pete Beach, County=Pinellas</t>
  </si>
  <si>
    <t>karen mason</t>
  </si>
  <si>
    <t>richard_brust@fws.gov</t>
  </si>
  <si>
    <t>Patrick AFB, County=Brevard</t>
  </si>
  <si>
    <t>Richard Brust</t>
  </si>
  <si>
    <t>Royal tern-68, Sandwich tern-33, Ring-billed gull-6, Ruddy turnstone-5</t>
  </si>
  <si>
    <t>repeipert@gmail.com</t>
  </si>
  <si>
    <t>Patrick Shores/Satellite/ Indian Harbour Beaches, County=Brevard</t>
  </si>
  <si>
    <t>Ruth Peipert</t>
  </si>
  <si>
    <t>theresasmail@comcast.net</t>
  </si>
  <si>
    <t>Peanut Island, County=Palm Beach</t>
  </si>
  <si>
    <t>Theresa Alderman, Phillip Thornburg</t>
  </si>
  <si>
    <t xml:space="preserve">Peanut Island. Accessible only by boat </t>
  </si>
  <si>
    <t>Marvin Friel</t>
  </si>
  <si>
    <t>Perdido Key State Park</t>
  </si>
  <si>
    <t>4 Northern Gannet</t>
  </si>
  <si>
    <t>GO//:OG// male &amp; X:X female</t>
  </si>
  <si>
    <t>keithma1@juno.com</t>
  </si>
  <si>
    <t>Picnic Island, County=Hillsborough</t>
  </si>
  <si>
    <t>Mary Keith, Sherry Keller</t>
  </si>
  <si>
    <t>also found and reported a banded turkey vulture</t>
  </si>
  <si>
    <t>Pine Island Park, County=Hernando</t>
  </si>
  <si>
    <t>Pinellas County Bellaire Causeway Boat Ramp, County=Pinellas</t>
  </si>
  <si>
    <t>Wendy Meehan</t>
  </si>
  <si>
    <t>CX - horizontal, Red/white; upper left; reported to AMOY Working Grp</t>
  </si>
  <si>
    <t>peter.plage@gmail.com</t>
  </si>
  <si>
    <t>Pinellas Point, County=Pinellas</t>
  </si>
  <si>
    <t>Peter Plage</t>
  </si>
  <si>
    <t>Tide nearing high.  Birds resting at traditional locations on oyster bars.</t>
  </si>
  <si>
    <t>Pond A Transect - Marine Corps Support Facility Blount Island, County=Duval</t>
  </si>
  <si>
    <t>Pond B Transect - Marine Corps Support Facility Blount Island, County=Duval</t>
  </si>
  <si>
    <t>WINNIEWHITE0713@GMAIL.COM</t>
  </si>
  <si>
    <t>Redington Beach &amp; Mediera Beach, County=Pinellas</t>
  </si>
  <si>
    <t>Mary W White</t>
  </si>
  <si>
    <t>95 sanderlings resting in a group</t>
  </si>
  <si>
    <t>Road to Nowhere</t>
  </si>
  <si>
    <t>Janell Brush, Bobbi Carpenter, Megan Wallrichs, Joe Marchionno</t>
  </si>
  <si>
    <t>Route Name = Road to Nowhere.  Not a complete survey of the entire area.  Birds use the area randomly and often as a night roost (at high tide).  Numbers do not reflect site use or importance.</t>
  </si>
  <si>
    <t>PIPL were flying and did not land.</t>
  </si>
  <si>
    <t>Robertson's Island (Sugar Island), County=Escambia</t>
  </si>
  <si>
    <t>Rock Ponds - Lavender Road, County=Hillsborough</t>
  </si>
  <si>
    <t>S. Hutchinson Island, (N End of St. Lucie Inlet, Sailfish Point to St. Lucie/Martin County Line), County=Martin</t>
  </si>
  <si>
    <t>Samantha Pessolano, Ryan Dulfer</t>
  </si>
  <si>
    <t>S. Hutchinson Island, (St. Lucie/Martin County Line to Normandy Beach), County=St. Lucie</t>
  </si>
  <si>
    <t>Sand Key Park south through Belleair Shore, County=Pinellas</t>
  </si>
  <si>
    <t>Sanibel, Bowman's to Blind Pass, County=Lee</t>
  </si>
  <si>
    <t>ROYT, white band 9L8, reported to VA Tech</t>
  </si>
  <si>
    <t>Sanibel, lighthouse to Tarpon Bay Rd., County=Lee</t>
  </si>
  <si>
    <t>Sanibel FSD zones 1,2,3 combined</t>
  </si>
  <si>
    <t xml:space="preserve">one lime green flag, too faded to read. </t>
  </si>
  <si>
    <t>s/g:/bb - Sanibel SNPL- recorded for our own data</t>
  </si>
  <si>
    <t>Sanibel, Tarpon Bay Rd. to Bowman's, County=Lee</t>
  </si>
  <si>
    <t>FSD Routes Sanibel 4+5 combined</t>
  </si>
  <si>
    <t>Scrub Pens Road, Highlands County, County=Highlands</t>
  </si>
  <si>
    <t>by car, 0.5 miles, 55 minutes</t>
  </si>
  <si>
    <t>Second Chance CWA, County=Collier</t>
  </si>
  <si>
    <t>Shell Island, County=Bay</t>
  </si>
  <si>
    <t xml:space="preserve"> Marvin Friel, Chris Lipps</t>
  </si>
  <si>
    <t>WO:S//K male</t>
  </si>
  <si>
    <t>S//O:YB male &amp; Y:S//BK female</t>
  </si>
  <si>
    <t>SAND 1</t>
  </si>
  <si>
    <t>GB:S//B male &amp; S//K:WO female</t>
  </si>
  <si>
    <t>Shell Key Preserve, County=Pinellas</t>
  </si>
  <si>
    <t>Holley Short, Pam Leasure, Stephanie Pego</t>
  </si>
  <si>
    <t>Siesta Beach- North of Public beach to Sunset Point Beach, County=Sarasota</t>
  </si>
  <si>
    <t xml:space="preserve">2 banded; 1) -/GG:S/G  2) -/GW:-/-  **this bird was formerly S/G:-/GW** </t>
  </si>
  <si>
    <t xml:space="preserve">1 banded: service / Lime Green : - / Green over Grey </t>
  </si>
  <si>
    <t>ceherzog@gmail.com</t>
  </si>
  <si>
    <t>Siesta Beach, Point of Rocks through Siesta Public Beach, County=Sarasota</t>
  </si>
  <si>
    <t>Claire Herzog , &amp; Linda Gammello</t>
  </si>
  <si>
    <t>5 on shore, 160 flyover</t>
  </si>
  <si>
    <t>#1: L: Green/White, RT None (Sanibel bird), #2: L Chartruse, R Green/Gray, #3: L Green, R Green/Green</t>
  </si>
  <si>
    <t>Sikes Cut West St George Island Plantation, County=Franklin</t>
  </si>
  <si>
    <t>Bonnie Samuelsen, Sandy Gillum, Rollie Algers</t>
  </si>
  <si>
    <t>gps start point should be 29.615728; -84.953718 where access to beach is located. End point is correct</t>
  </si>
  <si>
    <t>SISP (South Sebastian Inlet-Ambersands), County=Indian River</t>
  </si>
  <si>
    <t>Samantha Pessolano, Joseph Pessolano</t>
  </si>
  <si>
    <t>donaldcmorrow@gmail.com</t>
  </si>
  <si>
    <t>SMNWR Interior Pools, County=Wakulla</t>
  </si>
  <si>
    <t>Don Morrow</t>
  </si>
  <si>
    <t>Killdeer 1
Black-bellied Plover 15
Semipalmated Plover 44
Willet 312
Marbled Godwit 1
Short-billed Dowitcher 353
Long-billed Dowitcher 15
Greater Yellowlegs 52
Dunlin 1500
Ruddy Turnstone 74
Western Sandpiper 150
Least Sandpiper 33</t>
  </si>
  <si>
    <t>Ruddy Turnstone 80
Black-bellied Plover 1
Willet 1
Semipalmated Plover 1</t>
  </si>
  <si>
    <t>South Clearwater Beach=Pinellas</t>
  </si>
  <si>
    <t>South East ICW Park</t>
  </si>
  <si>
    <t>St George Island Plantation, County=Franklin</t>
  </si>
  <si>
    <t>Brittney Brown, Bonnie Samuelsen</t>
  </si>
  <si>
    <t>St Joe Beach, County=Gulf</t>
  </si>
  <si>
    <t>Barbara Eells</t>
  </si>
  <si>
    <t>Calm Gulf/100% overcast/low to rising tide</t>
  </si>
  <si>
    <t>St Marks NWR - West, County=Wakulla</t>
  </si>
  <si>
    <t>Brittney Brown, Jonathan Chandler</t>
  </si>
  <si>
    <t>Aucilla River to Lighthouse</t>
  </si>
  <si>
    <t>R//:R//S - (Y06) - triangle</t>
  </si>
  <si>
    <t>BRPE-13, RBGU-18, DCCO-300, HERG-1, LAGU-1, AWPE-1</t>
  </si>
  <si>
    <t>DCCO-120, BRPE-11, RBGU-24, RUTU-1</t>
  </si>
  <si>
    <t>WILL-49, RUTU-3, DUNL-25, SBDO-168, LESA-5</t>
  </si>
  <si>
    <t>WILL-62, DUNL-200, SBDO-30, LESA-11, SEPL-4, RUTU-3</t>
  </si>
  <si>
    <t>WILL-2</t>
  </si>
  <si>
    <t>WILL-31, DUNL-17, SBDO-1</t>
  </si>
  <si>
    <t>R//:R//S - 80 - Vertical</t>
  </si>
  <si>
    <t>RBGU-3, WILL-83, BBPL-4, RUTU-65, SBDO-36, DUNL-41, SAND-3, LESA-10, WHIM-1</t>
  </si>
  <si>
    <t>WILL-13, SAND-12, BBPL-23, RUTU-51, DUNL-24, KILL-1</t>
  </si>
  <si>
    <t>G//:G//S - CW3 - Triangle</t>
  </si>
  <si>
    <t>SBDO-14, MAGO-4, WILL-82</t>
  </si>
  <si>
    <t>angolub@eckerd.edu</t>
  </si>
  <si>
    <t>St Pete Beach, County=Pinellas</t>
  </si>
  <si>
    <t>Andrew Golub, Fairl Thomas</t>
  </si>
  <si>
    <t>80-90F</t>
  </si>
  <si>
    <t>St Vincent NWR, County=Gulf</t>
  </si>
  <si>
    <t>DUNL-22, WILL-1, RBGU-1, GRYE-1</t>
  </si>
  <si>
    <t>S//:YF(62Z)// and O(b dot)//bOb:S//</t>
  </si>
  <si>
    <t>SEPL-8, WESA-2, SAND-4, BBPL-1</t>
  </si>
  <si>
    <t>OG:S(K/W)//</t>
  </si>
  <si>
    <t>ROYT-45, LAGU-82, RUTU-8, RBGU-41, FOTE-19, HERG-3, SBDO-5, BBPL-3, WILL-1</t>
  </si>
  <si>
    <t>BRPE-40, DCCO-10, RBGU-3, SAND-1</t>
  </si>
  <si>
    <t>raya.pruner@myfwc.com</t>
  </si>
  <si>
    <t>St. Andrews State Park-main, County=Bay</t>
  </si>
  <si>
    <t>Raya Pruner</t>
  </si>
  <si>
    <t>St. George Island Causeway, County=Franklin</t>
  </si>
  <si>
    <t xml:space="preserve">Boated around then walked </t>
  </si>
  <si>
    <t>St. George State Park, County=Franklin</t>
  </si>
  <si>
    <t>Marvin Friel, Cathy Ricketts, Molly Tuma</t>
  </si>
  <si>
    <t>S//W:KW male</t>
  </si>
  <si>
    <t>SEPL 2</t>
  </si>
  <si>
    <t>B:S//KK male &amp; S//GK:X female</t>
  </si>
  <si>
    <t>B:S//RO male, S//R:YG male, KO:S//K female</t>
  </si>
  <si>
    <t>S//RR:R male and X:X female</t>
  </si>
  <si>
    <t>Yf(A41)//WK:S//BO, Yf(59R)//KO:S//YW, X:X</t>
  </si>
  <si>
    <t>B:S//BB female, S//W:OG male, X:X male</t>
  </si>
  <si>
    <t>SEPL 18, DUNL 5</t>
  </si>
  <si>
    <t>WK:S(G)// male, W:S(G)//W female</t>
  </si>
  <si>
    <t>YO:Gf//WY and 2 unbanded</t>
  </si>
  <si>
    <t>S//W:KR female</t>
  </si>
  <si>
    <t xml:space="preserve">BBPL 2, RUTU 1, WILL 2, </t>
  </si>
  <si>
    <t>St. Joseph Bay - SE, County=Gulf</t>
  </si>
  <si>
    <t>Collette Lauzau, Britt Brown</t>
  </si>
  <si>
    <t>Route Muddy, site rand from Buffer preserve to Salanis Park.</t>
  </si>
  <si>
    <t>upper left green flag 128 reported to bandedbirds.org</t>
  </si>
  <si>
    <t>X//RW:S//YG(DD)</t>
  </si>
  <si>
    <t>St. Joseph Peninsula State Park, County=Gulf</t>
  </si>
  <si>
    <t>Ezra Thompson, Marvin Friel, Beth Wright</t>
  </si>
  <si>
    <t>BRPE-19, DCCO-8, BOGU-12, LAGU-36, RBGU-38, HERG-9, FOTE-104, ROYT-3, SAND-29, BBPL-3, RUTU-1, WILL-1, SEPL-3</t>
  </si>
  <si>
    <t>S//YR:R, S(K/W)//:BB</t>
  </si>
  <si>
    <t>SAND-26, RUTU-5, WILL-3, BOGU-1, RBGU-1</t>
  </si>
  <si>
    <t>S//R:GB, S//W:OK</t>
  </si>
  <si>
    <t>WILL-2, RUTU-1, BBPL-1</t>
  </si>
  <si>
    <t>KO:S//R, S//Y:OW, S//W:GO, Y:S//YY</t>
  </si>
  <si>
    <t>BO:S(B/O)//, YO:S//W</t>
  </si>
  <si>
    <t>B:S//YO, S//YY:R</t>
  </si>
  <si>
    <t xml:space="preserve">S//W:YR </t>
  </si>
  <si>
    <t>S//W:WB, S//W:BB</t>
  </si>
  <si>
    <t>S//KG:B</t>
  </si>
  <si>
    <t>HERG-29, FOTE-68, RBGU-20, SAND-121, BOGU-2, ROYT-2, RUTU-2, LAGU-1, WILL-1</t>
  </si>
  <si>
    <t>S//RG:R, BG:S(G)//</t>
  </si>
  <si>
    <t>BRPE-33</t>
  </si>
  <si>
    <t>S//W:RW, S//Y:GW</t>
  </si>
  <si>
    <t>S//RB:R, B:S//RB</t>
  </si>
  <si>
    <t>S(K/W)//W:B</t>
  </si>
  <si>
    <t>SAND-21, BBPL-6, GRYE-6, DUNL-1, RBGU-1, BOGU-1</t>
  </si>
  <si>
    <t>S(K/W)//:KG, BO:S//W</t>
  </si>
  <si>
    <t>SEPL-2, DUNL-2</t>
  </si>
  <si>
    <t>B:S//BG, S:b//Bb</t>
  </si>
  <si>
    <t>SAND-14, BBPL-1</t>
  </si>
  <si>
    <t>YES</t>
  </si>
  <si>
    <t>BW:S//K, S//BG:R</t>
  </si>
  <si>
    <t>B:S//KO, B:S//OO</t>
  </si>
  <si>
    <t>OR:S//K, GG:S//B, Y:S//RO</t>
  </si>
  <si>
    <t>Group 20: 29.82844, -85.41702 - REKN - 18, X:gf(CE4)//:S</t>
  </si>
  <si>
    <t>St. Lucie Inlet State Park (End of Hobe Sound National Wildlife Refuge to the S End of St. Lucie Intlet), County=Martin</t>
  </si>
  <si>
    <t>rwelsh@inwater.org</t>
  </si>
  <si>
    <t>St. Lucie Power Plant, County=St. Lucie</t>
  </si>
  <si>
    <t>Ryan Welsh</t>
  </si>
  <si>
    <t>Green Flag Upper Left, Blue band upper right, unable to read code on flag</t>
  </si>
  <si>
    <t>StJosephPen Restoration, County=Gulf</t>
  </si>
  <si>
    <t>Low  tide rising/100% overcast/calm Gulf</t>
  </si>
  <si>
    <t>Stormwater Treatment Area-1E, County=Palm Beach</t>
  </si>
  <si>
    <t>Rick Schofield</t>
  </si>
  <si>
    <t>Stormwater Treatment Area-1W, County=Palm Beach</t>
  </si>
  <si>
    <t>Stormwater Treatment Area-2, County=Palm Beach</t>
  </si>
  <si>
    <t>Brian Garrett</t>
  </si>
  <si>
    <t>Stormwater Treatment Area-3/4, County=Palm Beach</t>
  </si>
  <si>
    <t>Stormwater Treatment Area-5/6, County=Hendry</t>
  </si>
  <si>
    <t>Brian Garrett, Kim Willis, Margaret England, Ann Starck</t>
  </si>
  <si>
    <t>Rebekah Augustinowicz, Susan Foley-pieri, Roger Debruler, Jamie Scudera</t>
  </si>
  <si>
    <t>Stump Pass Beach State Park=Charlotte</t>
  </si>
  <si>
    <t>Taylor Creek STA, County=Okeechobee</t>
  </si>
  <si>
    <t>Tequesta Beach: Martin County Line to Jupiter Inlet, County=Palm Beach</t>
  </si>
  <si>
    <t>Adrienne McCracken &amp; Jennifer Reilly</t>
  </si>
  <si>
    <t>Three Rooker North Island, County=Pinellas</t>
  </si>
  <si>
    <t>Dana Kerstein, Dana Lechty, Adam Lechty</t>
  </si>
  <si>
    <t>dana.kerstein@gmail.com</t>
  </si>
  <si>
    <t>Three Rooker South Island, County=Pinellas</t>
  </si>
  <si>
    <t>Bob Lane, Jane Mann, Stephen Mann</t>
  </si>
  <si>
    <t>Bob Lane email= ohiomagpie@hotmain.com</t>
  </si>
  <si>
    <t xml:space="preserve">2 banded PIPL seen=   .OY-.Y incomplete resight    .GW-FG.KO </t>
  </si>
  <si>
    <t>2 banded SNPL seen= .K-S.OO  S.YB-.R     sent to Raya Pruner</t>
  </si>
  <si>
    <t>no flag, bird limping</t>
  </si>
  <si>
    <t>Tolomato River/Julia's Island, County=St. Johns</t>
  </si>
  <si>
    <t>COLO present also</t>
  </si>
  <si>
    <t>6 Banded - submitted to AMOY WG</t>
  </si>
  <si>
    <t>1 banded - Submitted to AMOY WG</t>
  </si>
  <si>
    <t>Both banded - submitted to AMOY WG</t>
  </si>
  <si>
    <t>Red [R5] 'Amelia' First AMOY ever banded in FL - 13 years old this year :-) Submitted to AMOY WG</t>
  </si>
  <si>
    <t>I have 3 more points to enter but it is ok - Total remaining AMOY = 8</t>
  </si>
  <si>
    <t>Topsail Hill State Park, County=Walton</t>
  </si>
  <si>
    <t>OB:S(G)// female &amp; Y:S//RW male</t>
  </si>
  <si>
    <t>S//K:BR female &amp; S//g:PP female</t>
  </si>
  <si>
    <t>unbanded female</t>
  </si>
  <si>
    <t>Treasure Island - North, County=Pinellas</t>
  </si>
  <si>
    <t>34 RBGU, 1 LBBG, 1 FOTE, 101 ROYT, 130 LAGU. One ROYT with metal band,</t>
  </si>
  <si>
    <t xml:space="preserve">1 HERG, 1 LBBG, 95 LAGU, 52 RBGU, 208 ROYT, 3 FOTE.  2 ROYT with metal bands, </t>
  </si>
  <si>
    <t xml:space="preserve">Treasure Island South.  Apparently not surveyed in 2018 but was covered previous to that. </t>
  </si>
  <si>
    <t xml:space="preserve">With resting group including 4 HERG, 27 LEGU, 38 RBGU, 24 ROYT, 6 SATE </t>
  </si>
  <si>
    <t>susanmelton162@hotmail.com</t>
  </si>
  <si>
    <t>Turtle Beach, County=Sarasota</t>
  </si>
  <si>
    <t>susan melton</t>
  </si>
  <si>
    <t>Turtle Beach Siesta Key</t>
  </si>
  <si>
    <t>15 +5</t>
  </si>
  <si>
    <t>02</t>
  </si>
  <si>
    <t>Tyndall Shell, County=Bay</t>
  </si>
  <si>
    <t>FO//BB:S//Y, reported to Audubon Florida and FWC database</t>
  </si>
  <si>
    <t>S//O:X//RY, X//Y:S//BG</t>
  </si>
  <si>
    <t>bO//X:OO//X, X//R:S(G)//W</t>
  </si>
  <si>
    <t>FY(82A)//WB:S//OY, Code: 82A, Horizontal code, Yellow flag</t>
  </si>
  <si>
    <t>Venice Beach from Jetty south through South Brohard Park, County=Sarasota</t>
  </si>
  <si>
    <t>flock over 50 (these group counts are included in the total counts): 
FOTE: 57
SATE: 55
ROTE: 79
LAGU: 75
RBGU: 18
HEGU: 2
BBPL: 1</t>
  </si>
  <si>
    <t>Flock over 50
ROTE: 30
SATE: 45
FOTE: 18
RBGU: 25
LAGU: 78
HEGU: 6
RUTU: 2
SAND: 2
Bonaparte’s (BOGU?): 1</t>
  </si>
  <si>
    <t>Flock over 50
BBPL: 3
ROTE: 10
SATE: 22
FOTE: 10
COTE: 1
LAGU: 50
RBGU: 11
RUTU: 4
BOGU: 1</t>
  </si>
  <si>
    <t>paul.e.stodola@usace.army.mil</t>
  </si>
  <si>
    <t>Venice Inlet Beach Placement Area (this is a portion of the Venice Beach Transect)</t>
  </si>
  <si>
    <t>Paul Stodola, Paul DeMarco</t>
  </si>
  <si>
    <t>Village of Key Biscayne, County=Miami-Dade</t>
  </si>
  <si>
    <t>Virginia Key, County=Miami-Dade</t>
  </si>
  <si>
    <t>Ricardo Zambrano, Natasha Warraich</t>
  </si>
  <si>
    <t>44 laughing gulls, 1 ring billed gull, 3 dcco, 9 brown pelicans</t>
  </si>
  <si>
    <t>227 black bellied plovers, 4 ruddy turnstones, 21 semipalmated plovers, 4 sanderlings</t>
  </si>
  <si>
    <t>R leg white band, black code 5AO        L leg silver band.  Reported band to USGS site</t>
  </si>
  <si>
    <t>12 royal terns, 1 ring billed gull, 100 laughing gulls, 1 dcco</t>
  </si>
  <si>
    <t>Volusia County Atlantic Coast, Flagler County Line to north side of Ponce Inlet, County=Volusia</t>
  </si>
  <si>
    <t>David Hartgrove</t>
  </si>
  <si>
    <t xml:space="preserve"> Dark green flag w/ white letters: MAM, upper left, data logger on upper right.</t>
  </si>
  <si>
    <t>Lt green flags w/ black letters: J58, 2E7, upper left.</t>
  </si>
  <si>
    <t>No Bands.</t>
  </si>
  <si>
    <t>Dark Green w/ white letters: NNC</t>
  </si>
  <si>
    <t>2 birds w/Lt.green, upper left, Too faded to read; Dark green w/white letters: ALT, upper left; 2 birds with Lt. Green w/ black letters, upper left: 190, 023.</t>
  </si>
  <si>
    <t>Regrettably I forgot to get the GPS locations. They were scattered along the beach between SR 40 and Ponce Inlet. None had bands.</t>
  </si>
  <si>
    <t>Watersound, County=Walton</t>
  </si>
  <si>
    <t>Weff Rd / Palmetto Rd, County=St. Johns</t>
  </si>
  <si>
    <t>Lydia Schiindler, Peggy Cook</t>
  </si>
  <si>
    <t>Wild Goose Lagoon, County=Bay</t>
  </si>
  <si>
    <t>Windmark Beach, County=Gulf</t>
  </si>
  <si>
    <t>Calm Gulf/Bay/100% overcast/2-5 wind/low tide rising</t>
  </si>
  <si>
    <t>paul.wharton@myfwc.com</t>
  </si>
  <si>
    <t>Yent Bayou, County=Franklin</t>
  </si>
  <si>
    <t>Paul Wharton, Haley Hughes</t>
  </si>
  <si>
    <t>Yent Bayou, Franklin County, we started the survey 2 hours past low tide</t>
  </si>
  <si>
    <t>Casey Key, County=Sarasota</t>
  </si>
  <si>
    <t>Holley Short,</t>
  </si>
  <si>
    <t>completed by boat</t>
  </si>
  <si>
    <t>ohiomagpie@hotmail.com</t>
  </si>
  <si>
    <t>Courtney Campbell Causeway (Pinellas), County=Pinellas</t>
  </si>
  <si>
    <t>Robert Lane, Denise Lane</t>
  </si>
  <si>
    <t xml:space="preserve">Made 3 laps during the day. </t>
  </si>
  <si>
    <t>MN3 (Lg flag: upper right; silver: lower right)(not reported)</t>
  </si>
  <si>
    <t xml:space="preserve">YJ6 (orange bands, T)
YFC (orange bands, T)
P4 (black bands, V)
77 (yellow flag, H)
J2 (black bands, V)
CT (red bands, H)
YAC (orange bands, T)
K6 (black bands, V)
band resights submitted to AMOYWG
</t>
  </si>
  <si>
    <t>YKN (orange bands, T)
submitted to AMOYWG</t>
  </si>
  <si>
    <t>joneill@sjcfl.us</t>
  </si>
  <si>
    <t>J. F. O'Neill</t>
  </si>
  <si>
    <t>Second year completing survey area, unsure why it's not in the list; GTMNERR South Boundary to Vilano Jetties</t>
  </si>
  <si>
    <t>1 banded (Text Indistinguishable) Photo Taken</t>
  </si>
  <si>
    <t>SJC Managed Beach (ASP to FtM), County=St. Johns</t>
  </si>
  <si>
    <t>Tara Dodson</t>
  </si>
  <si>
    <t>Survey to Nick's Hole oysterbar/island starts at kayak launch in mainland part of Nick's Hole area which is inside private community St George Island Plantation.  Kayaked thru small cove to and around Nick's Hole oysterbar/island; then went east to sandy/bay flats tip at end of airport runway. over cove: eagle in flight chasing lagu; on water in cove: BRPE 20; GBHE 1; DCCO 1; PBGR 1 (will add BRPE and DCCO to main count).  Small sandbar island: BRPE 2; FOTE 1; RBGU 1 Will add to main count also</t>
  </si>
  <si>
    <t>Nathan Otter</t>
  </si>
  <si>
    <t>Second year completing survey area, unsure why it's not in the list; Mickler's Landing to Duval County Line</t>
  </si>
  <si>
    <t>Second year completing survey area, unsure why it's not in the list; Mickler's Landing to GTMNERR N</t>
  </si>
  <si>
    <t>BSamuelsen@audubon.org</t>
  </si>
  <si>
    <t>Bonnie Samuelsen; Britt Brown</t>
  </si>
  <si>
    <t>Private St George Island Plantation; this newly created route is from public beach access at 12th street St George Island to start of Sikes Cut st george island plantation route. Routes on 2019 google spreadsheet appear different than my previous surveys in this area. Working with Raya this year, these new listed routes may make more sense for future. I am not sure how you backtrack previous years routes data to coincide with new route listings.  48 people; 6 leashed dogs that are allowed; no unleashed dogs</t>
  </si>
  <si>
    <t>randall.koleck@tnc.org</t>
  </si>
  <si>
    <t>Blowing Rocks Preserve, surveyed both the Atlantic shoreline and the Lagoon Shoreline, County=Martin</t>
  </si>
  <si>
    <t>Sarah Martin, Elizabeth Hailman, Jeanie Sole</t>
  </si>
  <si>
    <t>Kate Brown, Walter Hackenjos, Paul Thomas</t>
  </si>
  <si>
    <t>Randy Koleck, Walt Hackenjos, Paul Thomas</t>
  </si>
  <si>
    <t>Randy Koleck, Elizabeth Hailman, Jeanie Sole</t>
  </si>
  <si>
    <t>Randy Koleck, Elizabeth Hailman</t>
  </si>
  <si>
    <t>Jeanie Sole</t>
  </si>
  <si>
    <t>assisi0@yahoo.com</t>
  </si>
  <si>
    <t>Crandon Park Beach, County=Miami-Dade</t>
  </si>
  <si>
    <t>miriam avello, michelle davis, liz golden</t>
  </si>
  <si>
    <t xml:space="preserve">1. 5TH, Horizontal, FG, Upper Left; O, Upper Right -not reported to another site
2. CC2, Horizontal, FG, Upper Left; O, Upper Right --not reported to another site
3. S, Upper Left; 3H, Horizontal, FK, Upper Right --not reported to another site
4. S, Upper Left; YG, Lower Left; GK, Lower Right --not reported to another site </t>
  </si>
  <si>
    <t>Barefoot Beach, County=Collier</t>
  </si>
  <si>
    <t>Jean Hall</t>
  </si>
  <si>
    <t>Mexico Beach, County=Bay</t>
  </si>
  <si>
    <t>laura.eldredge@floridadep.gov</t>
  </si>
  <si>
    <t>North Biscayne Bay Islands, County=Miami-Dade</t>
  </si>
  <si>
    <t>LAURA ELDREDGE, Claire Burgett</t>
  </si>
  <si>
    <t>93 Laughing gulls, 10 Ring-Billed Gulls, 5 Brown pelicans, 12 cormorants, 1 Great Blue Heron</t>
  </si>
  <si>
    <t>45 fish crows, 2 pigeons, 6 laughing gulls</t>
  </si>
  <si>
    <t xml:space="preserve">1 great egret, 2 anhinga, 2 great blue heron, 1 osprey, 1 yellow-crowned night heron, 30 cormorants, 39 brown pelicans, 18 black vultures.  pelicans and cormorants seen nesting. </t>
  </si>
  <si>
    <t>ynnahda@yahoo.com</t>
  </si>
  <si>
    <t>Anna Maria Island, County=Manatee</t>
  </si>
  <si>
    <t>Dee A. Hanny</t>
  </si>
  <si>
    <t>manderson@myboca.us</t>
  </si>
  <si>
    <t>Boca Raton - South, County=Palm Beach</t>
  </si>
  <si>
    <t>David Anderson &amp; Sarah Koerner</t>
  </si>
  <si>
    <t>Boca Raton - North &amp; Central, County=Palm Beach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</si>
</sst>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6" x14ac:knownFonts="1">
    <font>
      <sz val="10"/>
      <color rgb="FF000000"/>
      <name val="Arial"/>
    </font>
    <font>
      <sz val="10"/>
      <name val="Arial"/>
      <family val="2"/>
    </font>
    <font>
      <sz val="10"/>
      <color rgb="FF000000"/>
      <name val="Roboto"/>
    </font>
    <font>
      <sz val="10"/>
      <color rgb="FF222222"/>
      <name val="Arial"/>
      <family val="2"/>
    </font>
    <font>
      <b/>
      <sz val="14"/>
      <name val="Arial"/>
      <family val="2"/>
    </font>
    <font>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CFE2F3"/>
        <bgColor rgb="FFCFE2F3"/>
      </patternFill>
    </fill>
  </fills>
  <borders count="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1" fillId="0" borderId="0" xfId="0" applyFont="1" applyAlignment="1">
      <alignment wrapText="1"/>
    </xf>
    <xf numFmtId="0" fontId="1" fillId="0" borderId="0" xfId="0" applyFont="1" applyAlignment="1">
      <alignment wrapText="1"/>
    </xf>
    <xf numFmtId="164" fontId="1" fillId="0" borderId="0" xfId="0" applyNumberFormat="1" applyFont="1" applyAlignment="1"/>
    <xf numFmtId="0" fontId="1" fillId="0" borderId="0" xfId="0" applyFont="1" applyAlignment="1"/>
    <xf numFmtId="14" fontId="1" fillId="0" borderId="0" xfId="0" applyNumberFormat="1" applyFont="1" applyAlignment="1"/>
    <xf numFmtId="19" fontId="1" fillId="0" borderId="0" xfId="0" applyNumberFormat="1" applyFont="1" applyAlignment="1"/>
    <xf numFmtId="0" fontId="1" fillId="0" borderId="0" xfId="0" quotePrefix="1" applyFont="1" applyAlignment="1"/>
    <xf numFmtId="0" fontId="2" fillId="2" borderId="0" xfId="0" applyFont="1" applyFill="1" applyAlignment="1"/>
    <xf numFmtId="0" fontId="3" fillId="2" borderId="0" xfId="0" applyFont="1" applyFill="1" applyAlignment="1"/>
    <xf numFmtId="0" fontId="4" fillId="2" borderId="0" xfId="0" applyFont="1" applyFill="1" applyAlignment="1">
      <alignment horizontal="center"/>
    </xf>
    <xf numFmtId="0" fontId="1" fillId="2" borderId="0" xfId="0" applyFont="1" applyFill="1"/>
    <xf numFmtId="164" fontId="1" fillId="2" borderId="0" xfId="0" applyNumberFormat="1" applyFont="1" applyFill="1" applyAlignment="1"/>
    <xf numFmtId="0" fontId="1" fillId="2" borderId="0" xfId="0" applyFont="1" applyFill="1" applyAlignment="1"/>
    <xf numFmtId="14" fontId="1" fillId="2" borderId="0" xfId="0" applyNumberFormat="1" applyFont="1" applyFill="1" applyAlignment="1"/>
    <xf numFmtId="19" fontId="1" fillId="2" borderId="0" xfId="0" applyNumberFormat="1" applyFont="1" applyFill="1" applyAlignment="1"/>
    <xf numFmtId="0" fontId="4" fillId="4" borderId="1" xfId="0" applyFont="1" applyFill="1" applyBorder="1" applyAlignment="1">
      <alignment horizontal="left"/>
    </xf>
    <xf numFmtId="0" fontId="1" fillId="0" borderId="2" xfId="0" applyFont="1" applyBorder="1"/>
    <xf numFmtId="0" fontId="1" fillId="0" borderId="3" xfId="0" applyFont="1" applyBorder="1"/>
    <xf numFmtId="0" fontId="4" fillId="3" borderId="0" xfId="0" applyFont="1" applyFill="1" applyAlignment="1">
      <alignment horizontal="center"/>
    </xf>
    <xf numFmtId="0" fontId="0" fillId="0" borderId="0" xfId="0" applyFont="1" applyAlignment="1"/>
    <xf numFmtId="0" fontId="4"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3366CC"/>
            </a:solidFill>
          </c:spPr>
          <c:invertIfNegative val="1"/>
          <c:cat>
            <c:strRef>
              <c:f>Summary!$A$1:$Y$1</c:f>
              <c:strCache>
                <c:ptCount val="25"/>
                <c:pt idx="0">
                  <c:v>American Oystercatcher</c:v>
                </c:pt>
                <c:pt idx="1">
                  <c:v>American Avocet</c:v>
                </c:pt>
                <c:pt idx="2">
                  <c:v>Back-bellied Plover</c:v>
                </c:pt>
                <c:pt idx="3">
                  <c:v>Dunlin</c:v>
                </c:pt>
                <c:pt idx="4">
                  <c:v>Greater Yellowlegs</c:v>
                </c:pt>
                <c:pt idx="5">
                  <c:v>Killdeer</c:v>
                </c:pt>
                <c:pt idx="6">
                  <c:v>Least Sandpiper</c:v>
                </c:pt>
                <c:pt idx="7">
                  <c:v>Lesser Yellowlegs</c:v>
                </c:pt>
                <c:pt idx="8">
                  <c:v>Long-billed Curlew</c:v>
                </c:pt>
                <c:pt idx="9">
                  <c:v>Long-billed Dowitcher</c:v>
                </c:pt>
                <c:pt idx="10">
                  <c:v>Marbled Godwit</c:v>
                </c:pt>
                <c:pt idx="11">
                  <c:v>Piping Plover</c:v>
                </c:pt>
                <c:pt idx="12">
                  <c:v>Red Knot</c:v>
                </c:pt>
                <c:pt idx="13">
                  <c:v>Ruddy Turnstone</c:v>
                </c:pt>
                <c:pt idx="14">
                  <c:v>Sanderling</c:v>
                </c:pt>
                <c:pt idx="15">
                  <c:v>Semi-palmated Plover</c:v>
                </c:pt>
                <c:pt idx="16">
                  <c:v>Semi-palmated Sandpiper</c:v>
                </c:pt>
                <c:pt idx="17">
                  <c:v>Short-billed Dowitcher</c:v>
                </c:pt>
                <c:pt idx="18">
                  <c:v>Snowy Plover</c:v>
                </c:pt>
                <c:pt idx="19">
                  <c:v>Spotted Sandpiper</c:v>
                </c:pt>
                <c:pt idx="20">
                  <c:v>Western Sandpiper (if not sure, put in Sandpiper species count at end)</c:v>
                </c:pt>
                <c:pt idx="21">
                  <c:v>Whimbrel</c:v>
                </c:pt>
                <c:pt idx="22">
                  <c:v>Willet</c:v>
                </c:pt>
                <c:pt idx="23">
                  <c:v>Wilson's Plover</c:v>
                </c:pt>
                <c:pt idx="24">
                  <c:v>Wilson's Snipe</c:v>
                </c:pt>
              </c:strCache>
            </c:strRef>
          </c:cat>
          <c:val>
            <c:numRef>
              <c:f>Summary!$A$2:$Y$2</c:f>
              <c:numCache>
                <c:formatCode>General</c:formatCode>
                <c:ptCount val="25"/>
                <c:pt idx="0">
                  <c:v>2803</c:v>
                </c:pt>
                <c:pt idx="1">
                  <c:v>395</c:v>
                </c:pt>
                <c:pt idx="2">
                  <c:v>2995</c:v>
                </c:pt>
                <c:pt idx="3">
                  <c:v>10717</c:v>
                </c:pt>
                <c:pt idx="4">
                  <c:v>351</c:v>
                </c:pt>
                <c:pt idx="5">
                  <c:v>347</c:v>
                </c:pt>
                <c:pt idx="6">
                  <c:v>1378</c:v>
                </c:pt>
                <c:pt idx="7">
                  <c:v>409</c:v>
                </c:pt>
                <c:pt idx="8">
                  <c:v>1</c:v>
                </c:pt>
                <c:pt idx="9">
                  <c:v>1097</c:v>
                </c:pt>
                <c:pt idx="10">
                  <c:v>577</c:v>
                </c:pt>
                <c:pt idx="11">
                  <c:v>308</c:v>
                </c:pt>
                <c:pt idx="12">
                  <c:v>1194</c:v>
                </c:pt>
                <c:pt idx="13">
                  <c:v>3367</c:v>
                </c:pt>
                <c:pt idx="14">
                  <c:v>11409</c:v>
                </c:pt>
                <c:pt idx="15">
                  <c:v>4573</c:v>
                </c:pt>
                <c:pt idx="16">
                  <c:v>85</c:v>
                </c:pt>
                <c:pt idx="17">
                  <c:v>4170</c:v>
                </c:pt>
                <c:pt idx="18">
                  <c:v>327</c:v>
                </c:pt>
                <c:pt idx="19">
                  <c:v>110</c:v>
                </c:pt>
                <c:pt idx="20">
                  <c:v>4914</c:v>
                </c:pt>
                <c:pt idx="21">
                  <c:v>50</c:v>
                </c:pt>
                <c:pt idx="22">
                  <c:v>5311</c:v>
                </c:pt>
                <c:pt idx="23">
                  <c:v>284</c:v>
                </c:pt>
                <c:pt idx="24">
                  <c:v>35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F1FB-4430-9ED3-1EA86B0F814E}"/>
            </c:ext>
          </c:extLst>
        </c:ser>
        <c:dLbls>
          <c:showLegendKey val="0"/>
          <c:showVal val="0"/>
          <c:showCatName val="0"/>
          <c:showSerName val="0"/>
          <c:showPercent val="0"/>
          <c:showBubbleSize val="0"/>
        </c:dLbls>
        <c:gapWidth val="150"/>
        <c:axId val="623715124"/>
        <c:axId val="1712360200"/>
      </c:barChart>
      <c:catAx>
        <c:axId val="623715124"/>
        <c:scaling>
          <c:orientation val="maxMin"/>
        </c:scaling>
        <c:delete val="0"/>
        <c:axPos val="l"/>
        <c:numFmt formatCode="General" sourceLinked="1"/>
        <c:majorTickMark val="cross"/>
        <c:minorTickMark val="cross"/>
        <c:tickLblPos val="nextTo"/>
        <c:txPr>
          <a:bodyPr/>
          <a:lstStyle/>
          <a:p>
            <a:pPr lvl="0">
              <a:defRPr b="0"/>
            </a:pPr>
            <a:endParaRPr lang="en-US"/>
          </a:p>
        </c:txPr>
        <c:crossAx val="1712360200"/>
        <c:crosses val="autoZero"/>
        <c:auto val="1"/>
        <c:lblAlgn val="ctr"/>
        <c:lblOffset val="100"/>
        <c:noMultiLvlLbl val="1"/>
      </c:catAx>
      <c:valAx>
        <c:axId val="1712360200"/>
        <c:scaling>
          <c:orientation val="minMax"/>
        </c:scaling>
        <c:delete val="0"/>
        <c:axPos val="b"/>
        <c:majorGridlines>
          <c:spPr>
            <a:ln>
              <a:solidFill>
                <a:srgbClr val="B7B7B7"/>
              </a:solidFill>
            </a:ln>
          </c:spPr>
        </c:majorGridlines>
        <c:numFmt formatCode="General" sourceLinked="1"/>
        <c:majorTickMark val="cross"/>
        <c:minorTickMark val="cross"/>
        <c:tickLblPos val="nextTo"/>
        <c:spPr>
          <a:ln w="47625">
            <a:noFill/>
          </a:ln>
        </c:spPr>
        <c:txPr>
          <a:bodyPr/>
          <a:lstStyle/>
          <a:p>
            <a:pPr lvl="0">
              <a:defRPr b="0"/>
            </a:pPr>
            <a:endParaRPr lang="en-US"/>
          </a:p>
        </c:txPr>
        <c:crossAx val="623715124"/>
        <c:crosses val="max"/>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6AA84F"/>
            </a:solidFill>
          </c:spPr>
          <c:invertIfNegative val="1"/>
          <c:cat>
            <c:strRef>
              <c:f>Summary!$A$4:$R$4</c:f>
              <c:strCache>
                <c:ptCount val="18"/>
                <c:pt idx="0">
                  <c:v>Black Skimmer</c:v>
                </c:pt>
                <c:pt idx="1">
                  <c:v>Bonaparte's Gull</c:v>
                </c:pt>
                <c:pt idx="2">
                  <c:v>Brown Booby</c:v>
                </c:pt>
                <c:pt idx="3">
                  <c:v>Brown Pelican</c:v>
                </c:pt>
                <c:pt idx="4">
                  <c:v>Caspian Tern</c:v>
                </c:pt>
                <c:pt idx="5">
                  <c:v>Common Tern</c:v>
                </c:pt>
                <c:pt idx="6">
                  <c:v>Double-crested Cormorant</c:v>
                </c:pt>
                <c:pt idx="7">
                  <c:v>Forster's Tern</c:v>
                </c:pt>
                <c:pt idx="8">
                  <c:v>Glaucous Gull</c:v>
                </c:pt>
                <c:pt idx="9">
                  <c:v>Great Black-backed Gull</c:v>
                </c:pt>
                <c:pt idx="10">
                  <c:v>Herring Gull</c:v>
                </c:pt>
                <c:pt idx="11">
                  <c:v>Laughing Gull</c:v>
                </c:pt>
                <c:pt idx="12">
                  <c:v>Lesser Black-backed Gull</c:v>
                </c:pt>
                <c:pt idx="13">
                  <c:v>Ring-billed Gull</c:v>
                </c:pt>
                <c:pt idx="14">
                  <c:v>Royal Tern</c:v>
                </c:pt>
                <c:pt idx="15">
                  <c:v>Sandwich Tern</c:v>
                </c:pt>
                <c:pt idx="16">
                  <c:v>Vega Gull</c:v>
                </c:pt>
                <c:pt idx="17">
                  <c:v>White Pelican</c:v>
                </c:pt>
              </c:strCache>
            </c:strRef>
          </c:cat>
          <c:val>
            <c:numRef>
              <c:f>Summary!$A$5:$R$5</c:f>
              <c:numCache>
                <c:formatCode>General</c:formatCode>
                <c:ptCount val="18"/>
                <c:pt idx="0">
                  <c:v>7879</c:v>
                </c:pt>
                <c:pt idx="1">
                  <c:v>515</c:v>
                </c:pt>
                <c:pt idx="2">
                  <c:v>2</c:v>
                </c:pt>
                <c:pt idx="3">
                  <c:v>2761</c:v>
                </c:pt>
                <c:pt idx="4">
                  <c:v>485</c:v>
                </c:pt>
                <c:pt idx="5">
                  <c:v>40</c:v>
                </c:pt>
                <c:pt idx="6">
                  <c:v>4242</c:v>
                </c:pt>
                <c:pt idx="7">
                  <c:v>3341</c:v>
                </c:pt>
                <c:pt idx="8">
                  <c:v>5</c:v>
                </c:pt>
                <c:pt idx="9">
                  <c:v>75</c:v>
                </c:pt>
                <c:pt idx="10">
                  <c:v>2260</c:v>
                </c:pt>
                <c:pt idx="11">
                  <c:v>14273</c:v>
                </c:pt>
                <c:pt idx="12">
                  <c:v>435</c:v>
                </c:pt>
                <c:pt idx="13">
                  <c:v>8039</c:v>
                </c:pt>
                <c:pt idx="14">
                  <c:v>6832</c:v>
                </c:pt>
                <c:pt idx="15">
                  <c:v>1898</c:v>
                </c:pt>
                <c:pt idx="16">
                  <c:v>0</c:v>
                </c:pt>
                <c:pt idx="17">
                  <c:v>2605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3A3C-45F7-83C5-BDD0E14ACC0C}"/>
            </c:ext>
          </c:extLst>
        </c:ser>
        <c:dLbls>
          <c:showLegendKey val="0"/>
          <c:showVal val="0"/>
          <c:showCatName val="0"/>
          <c:showSerName val="0"/>
          <c:showPercent val="0"/>
          <c:showBubbleSize val="0"/>
        </c:dLbls>
        <c:gapWidth val="150"/>
        <c:axId val="581015748"/>
        <c:axId val="841199945"/>
      </c:barChart>
      <c:catAx>
        <c:axId val="581015748"/>
        <c:scaling>
          <c:orientation val="maxMin"/>
        </c:scaling>
        <c:delete val="0"/>
        <c:axPos val="l"/>
        <c:numFmt formatCode="General" sourceLinked="1"/>
        <c:majorTickMark val="cross"/>
        <c:minorTickMark val="cross"/>
        <c:tickLblPos val="nextTo"/>
        <c:txPr>
          <a:bodyPr/>
          <a:lstStyle/>
          <a:p>
            <a:pPr lvl="0">
              <a:defRPr b="0"/>
            </a:pPr>
            <a:endParaRPr lang="en-US"/>
          </a:p>
        </c:txPr>
        <c:crossAx val="841199945"/>
        <c:crosses val="autoZero"/>
        <c:auto val="1"/>
        <c:lblAlgn val="ctr"/>
        <c:lblOffset val="100"/>
        <c:noMultiLvlLbl val="1"/>
      </c:catAx>
      <c:valAx>
        <c:axId val="841199945"/>
        <c:scaling>
          <c:orientation val="minMax"/>
        </c:scaling>
        <c:delete val="0"/>
        <c:axPos val="b"/>
        <c:majorGridlines>
          <c:spPr>
            <a:ln>
              <a:solidFill>
                <a:srgbClr val="B7B7B7"/>
              </a:solidFill>
            </a:ln>
          </c:spPr>
        </c:majorGridlines>
        <c:numFmt formatCode="General" sourceLinked="1"/>
        <c:majorTickMark val="cross"/>
        <c:minorTickMark val="cross"/>
        <c:tickLblPos val="nextTo"/>
        <c:spPr>
          <a:ln w="47625">
            <a:noFill/>
          </a:ln>
        </c:spPr>
        <c:txPr>
          <a:bodyPr/>
          <a:lstStyle/>
          <a:p>
            <a:pPr lvl="0">
              <a:defRPr b="0"/>
            </a:pPr>
            <a:endParaRPr lang="en-US"/>
          </a:p>
        </c:txPr>
        <c:crossAx val="581015748"/>
        <c:crosses val="max"/>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3366CC"/>
            </a:solidFill>
          </c:spPr>
          <c:invertIfNegative val="1"/>
          <c:cat>
            <c:strRef>
              <c:f>Summary!$A$1:$Y$1</c:f>
              <c:strCache>
                <c:ptCount val="25"/>
                <c:pt idx="0">
                  <c:v>American Oystercatcher</c:v>
                </c:pt>
                <c:pt idx="1">
                  <c:v>American Avocet</c:v>
                </c:pt>
                <c:pt idx="2">
                  <c:v>Back-bellied Plover</c:v>
                </c:pt>
                <c:pt idx="3">
                  <c:v>Dunlin</c:v>
                </c:pt>
                <c:pt idx="4">
                  <c:v>Greater Yellowlegs</c:v>
                </c:pt>
                <c:pt idx="5">
                  <c:v>Killdeer</c:v>
                </c:pt>
                <c:pt idx="6">
                  <c:v>Least Sandpiper</c:v>
                </c:pt>
                <c:pt idx="7">
                  <c:v>Lesser Yellowlegs</c:v>
                </c:pt>
                <c:pt idx="8">
                  <c:v>Long-billed Curlew</c:v>
                </c:pt>
                <c:pt idx="9">
                  <c:v>Long-billed Dowitcher</c:v>
                </c:pt>
                <c:pt idx="10">
                  <c:v>Marbled Godwit</c:v>
                </c:pt>
                <c:pt idx="11">
                  <c:v>Piping Plover</c:v>
                </c:pt>
                <c:pt idx="12">
                  <c:v>Red Knot</c:v>
                </c:pt>
                <c:pt idx="13">
                  <c:v>Ruddy Turnstone</c:v>
                </c:pt>
                <c:pt idx="14">
                  <c:v>Sanderling</c:v>
                </c:pt>
                <c:pt idx="15">
                  <c:v>Semi-palmated Plover</c:v>
                </c:pt>
                <c:pt idx="16">
                  <c:v>Semi-palmated Sandpiper</c:v>
                </c:pt>
                <c:pt idx="17">
                  <c:v>Short-billed Dowitcher</c:v>
                </c:pt>
                <c:pt idx="18">
                  <c:v>Snowy Plover</c:v>
                </c:pt>
                <c:pt idx="19">
                  <c:v>Spotted Sandpiper</c:v>
                </c:pt>
                <c:pt idx="20">
                  <c:v>Western Sandpiper (if not sure, put in Sandpiper species count at end)</c:v>
                </c:pt>
                <c:pt idx="21">
                  <c:v>Whimbrel</c:v>
                </c:pt>
                <c:pt idx="22">
                  <c:v>Willet</c:v>
                </c:pt>
                <c:pt idx="23">
                  <c:v>Wilson's Plover</c:v>
                </c:pt>
                <c:pt idx="24">
                  <c:v>Wilson's Snipe</c:v>
                </c:pt>
              </c:strCache>
            </c:strRef>
          </c:cat>
          <c:val>
            <c:numRef>
              <c:f>Summary!$A$2:$Y$2</c:f>
              <c:numCache>
                <c:formatCode>General</c:formatCode>
                <c:ptCount val="25"/>
                <c:pt idx="0">
                  <c:v>2803</c:v>
                </c:pt>
                <c:pt idx="1">
                  <c:v>395</c:v>
                </c:pt>
                <c:pt idx="2">
                  <c:v>2995</c:v>
                </c:pt>
                <c:pt idx="3">
                  <c:v>10717</c:v>
                </c:pt>
                <c:pt idx="4">
                  <c:v>351</c:v>
                </c:pt>
                <c:pt idx="5">
                  <c:v>347</c:v>
                </c:pt>
                <c:pt idx="6">
                  <c:v>1378</c:v>
                </c:pt>
                <c:pt idx="7">
                  <c:v>409</c:v>
                </c:pt>
                <c:pt idx="8">
                  <c:v>1</c:v>
                </c:pt>
                <c:pt idx="9">
                  <c:v>1097</c:v>
                </c:pt>
                <c:pt idx="10">
                  <c:v>577</c:v>
                </c:pt>
                <c:pt idx="11">
                  <c:v>308</c:v>
                </c:pt>
                <c:pt idx="12">
                  <c:v>1194</c:v>
                </c:pt>
                <c:pt idx="13">
                  <c:v>3367</c:v>
                </c:pt>
                <c:pt idx="14">
                  <c:v>11409</c:v>
                </c:pt>
                <c:pt idx="15">
                  <c:v>4573</c:v>
                </c:pt>
                <c:pt idx="16">
                  <c:v>85</c:v>
                </c:pt>
                <c:pt idx="17">
                  <c:v>4170</c:v>
                </c:pt>
                <c:pt idx="18">
                  <c:v>327</c:v>
                </c:pt>
                <c:pt idx="19">
                  <c:v>110</c:v>
                </c:pt>
                <c:pt idx="20">
                  <c:v>4914</c:v>
                </c:pt>
                <c:pt idx="21">
                  <c:v>50</c:v>
                </c:pt>
                <c:pt idx="22">
                  <c:v>5311</c:v>
                </c:pt>
                <c:pt idx="23">
                  <c:v>284</c:v>
                </c:pt>
                <c:pt idx="24">
                  <c:v>35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69EF-4327-8820-232B2AA57A05}"/>
            </c:ext>
          </c:extLst>
        </c:ser>
        <c:dLbls>
          <c:showLegendKey val="0"/>
          <c:showVal val="0"/>
          <c:showCatName val="0"/>
          <c:showSerName val="0"/>
          <c:showPercent val="0"/>
          <c:showBubbleSize val="0"/>
        </c:dLbls>
        <c:gapWidth val="150"/>
        <c:axId val="998101503"/>
        <c:axId val="1397839245"/>
      </c:barChart>
      <c:catAx>
        <c:axId val="998101503"/>
        <c:scaling>
          <c:orientation val="maxMin"/>
        </c:scaling>
        <c:delete val="0"/>
        <c:axPos val="l"/>
        <c:numFmt formatCode="General" sourceLinked="1"/>
        <c:majorTickMark val="cross"/>
        <c:minorTickMark val="cross"/>
        <c:tickLblPos val="nextTo"/>
        <c:txPr>
          <a:bodyPr/>
          <a:lstStyle/>
          <a:p>
            <a:pPr lvl="0">
              <a:defRPr b="0"/>
            </a:pPr>
            <a:endParaRPr lang="en-US"/>
          </a:p>
        </c:txPr>
        <c:crossAx val="1397839245"/>
        <c:crosses val="autoZero"/>
        <c:auto val="1"/>
        <c:lblAlgn val="ctr"/>
        <c:lblOffset val="100"/>
        <c:noMultiLvlLbl val="1"/>
      </c:catAx>
      <c:valAx>
        <c:axId val="1397839245"/>
        <c:scaling>
          <c:orientation val="minMax"/>
        </c:scaling>
        <c:delete val="0"/>
        <c:axPos val="b"/>
        <c:majorGridlines>
          <c:spPr>
            <a:ln>
              <a:solidFill>
                <a:srgbClr val="B7B7B7"/>
              </a:solidFill>
            </a:ln>
          </c:spPr>
        </c:majorGridlines>
        <c:numFmt formatCode="General" sourceLinked="1"/>
        <c:majorTickMark val="cross"/>
        <c:minorTickMark val="cross"/>
        <c:tickLblPos val="nextTo"/>
        <c:spPr>
          <a:ln w="47625">
            <a:noFill/>
          </a:ln>
        </c:spPr>
        <c:txPr>
          <a:bodyPr/>
          <a:lstStyle/>
          <a:p>
            <a:pPr lvl="0">
              <a:defRPr b="0"/>
            </a:pPr>
            <a:endParaRPr lang="en-US"/>
          </a:p>
        </c:txPr>
        <c:crossAx val="998101503"/>
        <c:crosses val="max"/>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11</xdr:col>
      <xdr:colOff>790575</xdr:colOff>
      <xdr:row>10</xdr:row>
      <xdr:rowOff>0</xdr:rowOff>
    </xdr:from>
    <xdr:ext cx="5715000" cy="3533775"/>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24</xdr:row>
      <xdr:rowOff>0</xdr:rowOff>
    </xdr:from>
    <xdr:ext cx="8620125" cy="35337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4</xdr:row>
      <xdr:rowOff>0</xdr:rowOff>
    </xdr:from>
    <xdr:ext cx="8610600" cy="3533775"/>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H278"/>
  <sheetViews>
    <sheetView tabSelected="1" workbookViewId="0">
      <pane xSplit="3" ySplit="1" topLeftCell="W245" activePane="bottomRight" state="frozen"/>
      <selection pane="topRight" activeCell="D1" sqref="D1"/>
      <selection pane="bottomLeft" activeCell="A2" sqref="A2"/>
      <selection pane="bottomRight" activeCell="Y211" sqref="Y211"/>
    </sheetView>
  </sheetViews>
  <sheetFormatPr defaultColWidth="14.42578125" defaultRowHeight="15.75" customHeight="1" x14ac:dyDescent="0.2"/>
  <cols>
    <col min="1" max="2" width="21.5703125" customWidth="1"/>
    <col min="3" max="3" width="50.140625" customWidth="1"/>
    <col min="4" max="14" width="21.5703125" customWidth="1"/>
    <col min="15" max="15" width="49.140625" customWidth="1"/>
    <col min="16" max="76" width="21.5703125" customWidth="1"/>
    <col min="77" max="77" width="29.42578125" customWidth="1"/>
    <col min="78" max="372" width="21.5703125" customWidth="1"/>
  </cols>
  <sheetData>
    <row r="1" spans="1:372" ht="64.5" customHeight="1" x14ac:dyDescent="0.2">
      <c r="A1" s="1" t="s">
        <v>0</v>
      </c>
      <c r="B1" s="2"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32</v>
      </c>
      <c r="AA1" s="2" t="s">
        <v>40</v>
      </c>
      <c r="AB1" s="2" t="s">
        <v>25</v>
      </c>
      <c r="AC1" s="2" t="s">
        <v>26</v>
      </c>
      <c r="AD1" s="2" t="s">
        <v>27</v>
      </c>
      <c r="AE1" s="2" t="s">
        <v>28</v>
      </c>
      <c r="AF1" s="2" t="s">
        <v>29</v>
      </c>
      <c r="AG1" s="2" t="s">
        <v>30</v>
      </c>
      <c r="AH1" s="2" t="s">
        <v>31</v>
      </c>
      <c r="AI1" s="2" t="s">
        <v>33</v>
      </c>
      <c r="AJ1" s="2" t="s">
        <v>34</v>
      </c>
      <c r="AK1" s="2" t="s">
        <v>35</v>
      </c>
      <c r="AL1" s="2" t="s">
        <v>36</v>
      </c>
      <c r="AM1" s="2" t="s">
        <v>37</v>
      </c>
      <c r="AN1" s="2" t="s">
        <v>38</v>
      </c>
      <c r="AO1" s="2" t="s">
        <v>39</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77</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77</v>
      </c>
      <c r="DG1" s="2" t="s">
        <v>108</v>
      </c>
      <c r="DH1" s="2" t="s">
        <v>109</v>
      </c>
      <c r="DI1" s="2" t="s">
        <v>110</v>
      </c>
      <c r="DJ1" s="2" t="s">
        <v>111</v>
      </c>
      <c r="DK1" s="2" t="s">
        <v>112</v>
      </c>
      <c r="DL1" s="2" t="s">
        <v>113</v>
      </c>
      <c r="DM1" s="2" t="s">
        <v>114</v>
      </c>
      <c r="DN1" s="2" t="s">
        <v>115</v>
      </c>
      <c r="DO1" s="2" t="s">
        <v>116</v>
      </c>
      <c r="DP1" s="2" t="s">
        <v>117</v>
      </c>
      <c r="DQ1" s="2" t="s">
        <v>118</v>
      </c>
      <c r="DR1" s="2" t="s">
        <v>119</v>
      </c>
      <c r="DS1" s="2" t="s">
        <v>120</v>
      </c>
      <c r="DT1" s="2" t="s">
        <v>121</v>
      </c>
      <c r="DU1" s="2" t="s">
        <v>122</v>
      </c>
      <c r="DV1" s="2" t="s">
        <v>77</v>
      </c>
      <c r="DW1" s="2" t="s">
        <v>123</v>
      </c>
      <c r="DX1" s="2" t="s">
        <v>124</v>
      </c>
      <c r="DY1" s="2" t="s">
        <v>125</v>
      </c>
      <c r="DZ1" s="2" t="s">
        <v>126</v>
      </c>
      <c r="EA1" s="2" t="s">
        <v>127</v>
      </c>
      <c r="EB1" s="2" t="s">
        <v>128</v>
      </c>
      <c r="EC1" s="2" t="s">
        <v>129</v>
      </c>
      <c r="ED1" s="2" t="s">
        <v>130</v>
      </c>
      <c r="EE1" s="2" t="s">
        <v>131</v>
      </c>
      <c r="EF1" s="2" t="s">
        <v>132</v>
      </c>
      <c r="EG1" s="2" t="s">
        <v>133</v>
      </c>
      <c r="EH1" s="2" t="s">
        <v>134</v>
      </c>
      <c r="EI1" s="2" t="s">
        <v>135</v>
      </c>
      <c r="EJ1" s="2" t="s">
        <v>136</v>
      </c>
      <c r="EK1" s="2" t="s">
        <v>137</v>
      </c>
      <c r="EL1" s="2" t="s">
        <v>77</v>
      </c>
      <c r="EM1" s="2" t="s">
        <v>138</v>
      </c>
      <c r="EN1" s="2" t="s">
        <v>139</v>
      </c>
      <c r="EO1" s="2" t="s">
        <v>140</v>
      </c>
      <c r="EP1" s="2" t="s">
        <v>141</v>
      </c>
      <c r="EQ1" s="2" t="s">
        <v>142</v>
      </c>
      <c r="ER1" s="2" t="s">
        <v>143</v>
      </c>
      <c r="ES1" s="2" t="s">
        <v>144</v>
      </c>
      <c r="ET1" s="2" t="s">
        <v>145</v>
      </c>
      <c r="EU1" s="2" t="s">
        <v>146</v>
      </c>
      <c r="EV1" s="2" t="s">
        <v>147</v>
      </c>
      <c r="EW1" s="2" t="s">
        <v>148</v>
      </c>
      <c r="EX1" s="2" t="s">
        <v>149</v>
      </c>
      <c r="EY1" s="2" t="s">
        <v>150</v>
      </c>
      <c r="EZ1" s="2" t="s">
        <v>151</v>
      </c>
      <c r="FA1" s="2" t="s">
        <v>152</v>
      </c>
      <c r="FB1" s="2" t="s">
        <v>77</v>
      </c>
      <c r="FC1" s="2" t="s">
        <v>153</v>
      </c>
      <c r="FD1" s="2" t="s">
        <v>154</v>
      </c>
      <c r="FE1" s="2" t="s">
        <v>155</v>
      </c>
      <c r="FF1" s="2" t="s">
        <v>156</v>
      </c>
      <c r="FG1" s="2" t="s">
        <v>157</v>
      </c>
      <c r="FH1" s="2" t="s">
        <v>158</v>
      </c>
      <c r="FI1" s="2" t="s">
        <v>159</v>
      </c>
      <c r="FJ1" s="2" t="s">
        <v>160</v>
      </c>
      <c r="FK1" s="2" t="s">
        <v>161</v>
      </c>
      <c r="FL1" s="2" t="s">
        <v>162</v>
      </c>
      <c r="FM1" s="2" t="s">
        <v>163</v>
      </c>
      <c r="FN1" s="2" t="s">
        <v>164</v>
      </c>
      <c r="FO1" s="2" t="s">
        <v>165</v>
      </c>
      <c r="FP1" s="2" t="s">
        <v>166</v>
      </c>
      <c r="FQ1" s="2" t="s">
        <v>167</v>
      </c>
      <c r="FR1" s="2" t="s">
        <v>77</v>
      </c>
      <c r="FS1" s="2" t="s">
        <v>168</v>
      </c>
      <c r="FT1" s="2" t="s">
        <v>169</v>
      </c>
      <c r="FU1" s="2" t="s">
        <v>170</v>
      </c>
      <c r="FV1" s="2" t="s">
        <v>171</v>
      </c>
      <c r="FW1" s="2" t="s">
        <v>172</v>
      </c>
      <c r="FX1" s="2" t="s">
        <v>173</v>
      </c>
      <c r="FY1" s="2" t="s">
        <v>174</v>
      </c>
      <c r="FZ1" s="2" t="s">
        <v>175</v>
      </c>
      <c r="GA1" s="2" t="s">
        <v>161</v>
      </c>
      <c r="GB1" s="2" t="s">
        <v>176</v>
      </c>
      <c r="GC1" s="2" t="s">
        <v>177</v>
      </c>
      <c r="GD1" s="2" t="s">
        <v>178</v>
      </c>
      <c r="GE1" s="2" t="s">
        <v>179</v>
      </c>
      <c r="GF1" s="2" t="s">
        <v>180</v>
      </c>
      <c r="GG1" s="2" t="s">
        <v>181</v>
      </c>
      <c r="GH1" s="2" t="s">
        <v>77</v>
      </c>
      <c r="GI1" s="2" t="s">
        <v>182</v>
      </c>
      <c r="GJ1" s="2" t="s">
        <v>183</v>
      </c>
      <c r="GK1" s="2" t="s">
        <v>184</v>
      </c>
      <c r="GL1" s="2" t="s">
        <v>185</v>
      </c>
      <c r="GM1" s="2" t="s">
        <v>186</v>
      </c>
      <c r="GN1" s="2" t="s">
        <v>187</v>
      </c>
      <c r="GO1" s="2" t="s">
        <v>188</v>
      </c>
      <c r="GP1" s="2" t="s">
        <v>189</v>
      </c>
      <c r="GQ1" s="2" t="s">
        <v>190</v>
      </c>
      <c r="GR1" s="2" t="s">
        <v>191</v>
      </c>
      <c r="GS1" s="2" t="s">
        <v>192</v>
      </c>
      <c r="GT1" s="2" t="s">
        <v>193</v>
      </c>
      <c r="GU1" s="2" t="s">
        <v>194</v>
      </c>
      <c r="GV1" s="2" t="s">
        <v>195</v>
      </c>
      <c r="GW1" s="2" t="s">
        <v>196</v>
      </c>
      <c r="GX1" s="2" t="s">
        <v>77</v>
      </c>
      <c r="GY1" s="2" t="s">
        <v>197</v>
      </c>
      <c r="GZ1" s="2" t="s">
        <v>198</v>
      </c>
      <c r="HA1" s="2" t="s">
        <v>199</v>
      </c>
      <c r="HB1" s="2" t="s">
        <v>200</v>
      </c>
      <c r="HC1" s="2" t="s">
        <v>201</v>
      </c>
      <c r="HD1" s="2" t="s">
        <v>202</v>
      </c>
      <c r="HE1" s="2" t="s">
        <v>203</v>
      </c>
      <c r="HF1" s="2" t="s">
        <v>204</v>
      </c>
      <c r="HG1" s="2" t="s">
        <v>205</v>
      </c>
      <c r="HH1" s="2" t="s">
        <v>206</v>
      </c>
      <c r="HI1" s="2" t="s">
        <v>207</v>
      </c>
      <c r="HJ1" s="2" t="s">
        <v>208</v>
      </c>
      <c r="HK1" s="2" t="s">
        <v>209</v>
      </c>
      <c r="HL1" s="2" t="s">
        <v>210</v>
      </c>
      <c r="HM1" s="2" t="s">
        <v>211</v>
      </c>
      <c r="HN1" s="2" t="s">
        <v>77</v>
      </c>
      <c r="HO1" s="2" t="s">
        <v>212</v>
      </c>
      <c r="HP1" s="2" t="s">
        <v>213</v>
      </c>
      <c r="HQ1" s="2" t="s">
        <v>214</v>
      </c>
      <c r="HR1" s="2" t="s">
        <v>215</v>
      </c>
      <c r="HS1" s="2" t="s">
        <v>216</v>
      </c>
      <c r="HT1" s="2" t="s">
        <v>217</v>
      </c>
      <c r="HU1" s="2" t="s">
        <v>218</v>
      </c>
      <c r="HV1" s="2" t="s">
        <v>219</v>
      </c>
      <c r="HW1" s="2" t="s">
        <v>220</v>
      </c>
      <c r="HX1" s="2" t="s">
        <v>221</v>
      </c>
      <c r="HY1" s="2" t="s">
        <v>222</v>
      </c>
      <c r="HZ1" s="2" t="s">
        <v>223</v>
      </c>
      <c r="IA1" s="2" t="s">
        <v>224</v>
      </c>
      <c r="IB1" s="2" t="s">
        <v>225</v>
      </c>
      <c r="IC1" s="2" t="s">
        <v>226</v>
      </c>
      <c r="ID1" s="2" t="s">
        <v>77</v>
      </c>
      <c r="IE1" s="2" t="s">
        <v>227</v>
      </c>
      <c r="IF1" s="2" t="s">
        <v>228</v>
      </c>
      <c r="IG1" s="2" t="s">
        <v>229</v>
      </c>
      <c r="IH1" s="2" t="s">
        <v>230</v>
      </c>
      <c r="II1" s="2" t="s">
        <v>231</v>
      </c>
      <c r="IJ1" s="2" t="s">
        <v>232</v>
      </c>
      <c r="IK1" s="2" t="s">
        <v>233</v>
      </c>
      <c r="IL1" s="2" t="s">
        <v>234</v>
      </c>
      <c r="IM1" s="2" t="s">
        <v>235</v>
      </c>
      <c r="IN1" s="2" t="s">
        <v>236</v>
      </c>
      <c r="IO1" s="2" t="s">
        <v>237</v>
      </c>
      <c r="IP1" s="2" t="s">
        <v>238</v>
      </c>
      <c r="IQ1" s="2" t="s">
        <v>239</v>
      </c>
      <c r="IR1" s="2" t="s">
        <v>240</v>
      </c>
      <c r="IS1" s="2" t="s">
        <v>241</v>
      </c>
      <c r="IT1" s="2" t="s">
        <v>77</v>
      </c>
      <c r="IU1" s="2" t="s">
        <v>242</v>
      </c>
      <c r="IV1" s="2" t="s">
        <v>243</v>
      </c>
      <c r="IW1" s="2" t="s">
        <v>244</v>
      </c>
      <c r="IX1" s="2" t="s">
        <v>245</v>
      </c>
      <c r="IY1" s="2" t="s">
        <v>246</v>
      </c>
      <c r="IZ1" s="2" t="s">
        <v>247</v>
      </c>
      <c r="JA1" s="2" t="s">
        <v>248</v>
      </c>
      <c r="JB1" s="2" t="s">
        <v>249</v>
      </c>
      <c r="JC1" s="2" t="s">
        <v>250</v>
      </c>
      <c r="JD1" s="2" t="s">
        <v>251</v>
      </c>
      <c r="JE1" s="2" t="s">
        <v>252</v>
      </c>
      <c r="JF1" s="2" t="s">
        <v>253</v>
      </c>
      <c r="JG1" s="2" t="s">
        <v>254</v>
      </c>
      <c r="JH1" s="2" t="s">
        <v>255</v>
      </c>
      <c r="JI1" s="2" t="s">
        <v>256</v>
      </c>
      <c r="JJ1" s="2" t="s">
        <v>77</v>
      </c>
      <c r="JK1" s="2" t="s">
        <v>257</v>
      </c>
      <c r="JL1" s="2" t="s">
        <v>258</v>
      </c>
      <c r="JM1" s="2" t="s">
        <v>259</v>
      </c>
      <c r="JN1" s="2" t="s">
        <v>260</v>
      </c>
      <c r="JO1" s="2" t="s">
        <v>261</v>
      </c>
      <c r="JP1" s="2" t="s">
        <v>262</v>
      </c>
      <c r="JQ1" s="2" t="s">
        <v>263</v>
      </c>
      <c r="JR1" s="2" t="s">
        <v>264</v>
      </c>
      <c r="JS1" s="2" t="s">
        <v>265</v>
      </c>
      <c r="JT1" s="2" t="s">
        <v>266</v>
      </c>
      <c r="JU1" s="2" t="s">
        <v>267</v>
      </c>
      <c r="JV1" s="2" t="s">
        <v>268</v>
      </c>
      <c r="JW1" s="2" t="s">
        <v>269</v>
      </c>
      <c r="JX1" s="2" t="s">
        <v>270</v>
      </c>
      <c r="JY1" s="2" t="s">
        <v>271</v>
      </c>
      <c r="JZ1" s="2" t="s">
        <v>77</v>
      </c>
      <c r="KA1" s="2" t="s">
        <v>272</v>
      </c>
      <c r="KB1" s="2" t="s">
        <v>273</v>
      </c>
      <c r="KC1" s="2" t="s">
        <v>274</v>
      </c>
      <c r="KD1" s="2" t="s">
        <v>275</v>
      </c>
      <c r="KE1" s="2" t="s">
        <v>276</v>
      </c>
      <c r="KF1" s="2" t="s">
        <v>277</v>
      </c>
      <c r="KG1" s="2" t="s">
        <v>278</v>
      </c>
      <c r="KH1" s="2" t="s">
        <v>279</v>
      </c>
      <c r="KI1" s="2" t="s">
        <v>280</v>
      </c>
      <c r="KJ1" s="2" t="s">
        <v>281</v>
      </c>
      <c r="KK1" s="2" t="s">
        <v>282</v>
      </c>
      <c r="KL1" s="2" t="s">
        <v>283</v>
      </c>
      <c r="KM1" s="2" t="s">
        <v>284</v>
      </c>
      <c r="KN1" s="2" t="s">
        <v>285</v>
      </c>
      <c r="KO1" s="2" t="s">
        <v>286</v>
      </c>
      <c r="KP1" s="2" t="s">
        <v>77</v>
      </c>
      <c r="KQ1" s="2" t="s">
        <v>287</v>
      </c>
      <c r="KR1" s="2" t="s">
        <v>288</v>
      </c>
      <c r="KS1" s="2" t="s">
        <v>289</v>
      </c>
      <c r="KT1" s="2" t="s">
        <v>290</v>
      </c>
      <c r="KU1" s="2" t="s">
        <v>291</v>
      </c>
      <c r="KV1" s="2" t="s">
        <v>292</v>
      </c>
      <c r="KW1" s="2" t="s">
        <v>293</v>
      </c>
      <c r="KX1" s="2" t="s">
        <v>294</v>
      </c>
      <c r="KY1" s="2" t="s">
        <v>295</v>
      </c>
      <c r="KZ1" s="2" t="s">
        <v>296</v>
      </c>
      <c r="LA1" s="2" t="s">
        <v>297</v>
      </c>
      <c r="LB1" s="2" t="s">
        <v>298</v>
      </c>
      <c r="LC1" s="2" t="s">
        <v>299</v>
      </c>
      <c r="LD1" s="2" t="s">
        <v>300</v>
      </c>
      <c r="LE1" s="2" t="s">
        <v>137</v>
      </c>
      <c r="LF1" s="2" t="s">
        <v>77</v>
      </c>
      <c r="LG1" s="2" t="s">
        <v>301</v>
      </c>
      <c r="LH1" s="2" t="s">
        <v>302</v>
      </c>
      <c r="LI1" s="2" t="s">
        <v>303</v>
      </c>
      <c r="LJ1" s="2" t="s">
        <v>304</v>
      </c>
      <c r="LK1" s="2" t="s">
        <v>305</v>
      </c>
      <c r="LL1" s="2" t="s">
        <v>306</v>
      </c>
      <c r="LM1" s="2" t="s">
        <v>307</v>
      </c>
      <c r="LN1" s="2" t="s">
        <v>308</v>
      </c>
      <c r="LO1" s="2" t="s">
        <v>309</v>
      </c>
      <c r="LP1" s="2" t="s">
        <v>310</v>
      </c>
      <c r="LQ1" s="2" t="s">
        <v>311</v>
      </c>
      <c r="LR1" s="2" t="s">
        <v>312</v>
      </c>
      <c r="LS1" s="2" t="s">
        <v>313</v>
      </c>
      <c r="LT1" s="2" t="s">
        <v>314</v>
      </c>
      <c r="LU1" s="2" t="s">
        <v>315</v>
      </c>
      <c r="LV1" s="2" t="s">
        <v>77</v>
      </c>
      <c r="LW1" s="2" t="s">
        <v>316</v>
      </c>
      <c r="LX1" s="2" t="s">
        <v>317</v>
      </c>
      <c r="LY1" s="2" t="s">
        <v>318</v>
      </c>
      <c r="LZ1" s="2" t="s">
        <v>319</v>
      </c>
      <c r="MA1" s="2" t="s">
        <v>320</v>
      </c>
      <c r="MB1" s="2" t="s">
        <v>321</v>
      </c>
      <c r="MC1" s="2" t="s">
        <v>322</v>
      </c>
      <c r="MD1" s="2" t="s">
        <v>323</v>
      </c>
      <c r="ME1" s="2" t="s">
        <v>324</v>
      </c>
      <c r="MF1" s="2" t="s">
        <v>325</v>
      </c>
      <c r="MG1" s="2" t="s">
        <v>326</v>
      </c>
      <c r="MH1" s="2" t="s">
        <v>327</v>
      </c>
      <c r="MI1" s="2" t="s">
        <v>328</v>
      </c>
      <c r="MJ1" s="2" t="s">
        <v>329</v>
      </c>
      <c r="MK1" s="2" t="s">
        <v>137</v>
      </c>
      <c r="ML1" s="2" t="s">
        <v>77</v>
      </c>
      <c r="MM1" s="2" t="s">
        <v>330</v>
      </c>
      <c r="MN1" s="2" t="s">
        <v>331</v>
      </c>
      <c r="MO1" s="2" t="s">
        <v>332</v>
      </c>
      <c r="MP1" s="2" t="s">
        <v>333</v>
      </c>
      <c r="MQ1" s="2" t="s">
        <v>334</v>
      </c>
      <c r="MR1" s="2" t="s">
        <v>335</v>
      </c>
      <c r="MS1" s="2" t="s">
        <v>336</v>
      </c>
      <c r="MT1" s="2" t="s">
        <v>337</v>
      </c>
      <c r="MU1" s="2" t="s">
        <v>338</v>
      </c>
      <c r="MV1" s="2" t="s">
        <v>339</v>
      </c>
      <c r="MW1" s="2" t="s">
        <v>340</v>
      </c>
      <c r="MX1" s="2" t="s">
        <v>341</v>
      </c>
      <c r="MY1" s="2" t="s">
        <v>342</v>
      </c>
      <c r="MZ1" s="2" t="s">
        <v>343</v>
      </c>
      <c r="NA1" s="2" t="s">
        <v>344</v>
      </c>
      <c r="NB1" s="2" t="s">
        <v>345</v>
      </c>
      <c r="NC1" s="2"/>
      <c r="ND1" s="2"/>
      <c r="NE1" s="2"/>
      <c r="NF1" s="2"/>
      <c r="NG1" s="2"/>
      <c r="NH1" s="2"/>
    </row>
    <row r="2" spans="1:372" ht="15.75" customHeight="1" x14ac:dyDescent="0.2">
      <c r="A2" s="2"/>
      <c r="B2" s="2"/>
      <c r="C2" s="2"/>
      <c r="D2" s="2"/>
      <c r="E2" s="2"/>
      <c r="F2" s="2"/>
      <c r="G2" s="2"/>
      <c r="H2" s="2"/>
      <c r="I2" s="2"/>
      <c r="J2" s="2"/>
      <c r="K2" s="2"/>
      <c r="L2" s="2"/>
      <c r="M2" s="2"/>
      <c r="N2" s="2"/>
      <c r="O2" s="2"/>
      <c r="P2" s="2"/>
      <c r="Q2" s="2"/>
      <c r="R2" s="2"/>
      <c r="S2" s="2"/>
      <c r="T2" s="2"/>
      <c r="U2" s="2"/>
      <c r="V2" s="2"/>
      <c r="W2" s="2"/>
      <c r="X2" s="2"/>
      <c r="Y2" s="2">
        <f>SUM(Y4:Y278)</f>
        <v>1297</v>
      </c>
      <c r="Z2" s="2">
        <f>SUM(Z4:Z278)</f>
        <v>4170</v>
      </c>
      <c r="AA2" s="2">
        <f>SUM(AA4:AA278)</f>
        <v>444</v>
      </c>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row>
    <row r="3" spans="1:372" ht="15.75" customHeight="1" x14ac:dyDescent="0.2">
      <c r="A3" s="2"/>
      <c r="B3" s="2"/>
      <c r="C3" s="2"/>
      <c r="D3" s="2"/>
      <c r="E3" s="2"/>
      <c r="F3" s="2"/>
      <c r="G3" s="2"/>
      <c r="H3" s="2"/>
      <c r="I3" s="2"/>
      <c r="J3" s="2"/>
      <c r="K3" s="2"/>
      <c r="L3" s="2"/>
      <c r="M3" s="2"/>
      <c r="N3" s="2"/>
      <c r="O3" s="2"/>
      <c r="P3" s="2"/>
      <c r="Q3" s="2"/>
      <c r="R3" s="2"/>
      <c r="S3" s="2"/>
      <c r="T3" s="2"/>
      <c r="U3" s="2"/>
      <c r="V3" s="2"/>
      <c r="W3" s="2"/>
      <c r="X3" s="2"/>
      <c r="Y3" s="2">
        <f>COUNT(Y4:Y278)</f>
        <v>12</v>
      </c>
      <c r="Z3" s="2">
        <f>COUNT(Z4:Z278)</f>
        <v>32</v>
      </c>
      <c r="AA3" s="2">
        <f>COUNT(AA4:AA278)</f>
        <v>4</v>
      </c>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row>
    <row r="4" spans="1:372" ht="15.75" customHeight="1" x14ac:dyDescent="0.2">
      <c r="A4" s="3">
        <v>43506.828029421296</v>
      </c>
      <c r="B4" s="4" t="s">
        <v>346</v>
      </c>
      <c r="C4" s="4" t="str">
        <f>O4</f>
        <v>27th Ave beachside New Smyrna Beach to NSB jetty at Ponce Inlet, Volusia County</v>
      </c>
      <c r="D4" s="5">
        <v>43497</v>
      </c>
      <c r="E4" s="4" t="s">
        <v>347</v>
      </c>
      <c r="F4" s="4">
        <v>29.009689999999999</v>
      </c>
      <c r="G4" s="4">
        <v>-80.877899999999997</v>
      </c>
      <c r="H4" s="4">
        <v>29.072780000000002</v>
      </c>
      <c r="I4" s="4">
        <v>-80.912499999999994</v>
      </c>
      <c r="J4" s="6">
        <v>2.0833333335758653E-2</v>
      </c>
      <c r="K4" s="4" t="s">
        <v>348</v>
      </c>
      <c r="L4" s="4" t="s">
        <v>349</v>
      </c>
      <c r="M4" s="4" t="s">
        <v>350</v>
      </c>
      <c r="N4" s="4" t="s">
        <v>351</v>
      </c>
      <c r="O4" s="4" t="s">
        <v>352</v>
      </c>
      <c r="P4" s="4">
        <v>0</v>
      </c>
      <c r="Q4" s="4"/>
      <c r="R4" s="4">
        <v>1</v>
      </c>
      <c r="S4" s="4"/>
      <c r="T4" s="4"/>
      <c r="U4" s="4"/>
      <c r="W4" s="4"/>
      <c r="X4" s="4"/>
      <c r="Y4" s="4"/>
      <c r="Z4" s="4"/>
      <c r="AA4" s="4"/>
      <c r="AB4" s="4"/>
      <c r="AC4" s="4"/>
      <c r="AD4" s="4">
        <v>11</v>
      </c>
      <c r="AE4" s="4">
        <v>33</v>
      </c>
      <c r="AF4" s="4">
        <v>33</v>
      </c>
      <c r="AG4" s="4"/>
      <c r="AH4" s="4"/>
      <c r="AI4" s="4"/>
      <c r="AJ4" s="4"/>
      <c r="AK4" s="4"/>
      <c r="AL4" s="4"/>
      <c r="AM4" s="4">
        <v>14</v>
      </c>
      <c r="AN4" s="4"/>
      <c r="AO4" s="4"/>
      <c r="AP4" s="4"/>
      <c r="AQ4" s="4"/>
      <c r="AR4" s="4">
        <v>221</v>
      </c>
      <c r="AS4" s="4"/>
      <c r="AT4" s="4"/>
      <c r="AU4" s="4">
        <v>3</v>
      </c>
      <c r="AV4" s="4"/>
      <c r="AW4" s="4"/>
      <c r="AX4" s="4"/>
      <c r="AY4" s="4">
        <v>22</v>
      </c>
      <c r="AZ4" s="4"/>
      <c r="BA4" s="4">
        <v>7</v>
      </c>
      <c r="BB4" s="4">
        <v>54</v>
      </c>
      <c r="BC4" s="4">
        <v>133</v>
      </c>
      <c r="BD4" s="4"/>
      <c r="BE4" s="4">
        <v>81</v>
      </c>
      <c r="BF4" s="4">
        <v>111</v>
      </c>
      <c r="BG4" s="4">
        <v>1</v>
      </c>
      <c r="BH4" s="4"/>
      <c r="BI4" s="4"/>
      <c r="BJ4" s="4" t="s">
        <v>353</v>
      </c>
      <c r="BK4" s="4">
        <v>29.044636100000002</v>
      </c>
      <c r="BL4" s="4">
        <v>-80.897745</v>
      </c>
      <c r="BM4" s="4">
        <v>0</v>
      </c>
      <c r="BN4" s="4">
        <v>0</v>
      </c>
      <c r="BO4" s="4">
        <v>221</v>
      </c>
      <c r="BP4" s="4">
        <v>0</v>
      </c>
      <c r="BQ4" s="4">
        <v>0</v>
      </c>
      <c r="BR4" s="4">
        <v>0</v>
      </c>
      <c r="BS4" s="4">
        <v>0</v>
      </c>
      <c r="BT4" s="4">
        <v>0</v>
      </c>
      <c r="BU4" s="4">
        <v>0</v>
      </c>
      <c r="BV4" s="4">
        <v>0</v>
      </c>
      <c r="BW4" s="4">
        <v>0</v>
      </c>
      <c r="BX4" s="4">
        <v>0</v>
      </c>
      <c r="BY4" s="4">
        <v>0</v>
      </c>
      <c r="BZ4" s="4" t="s">
        <v>354</v>
      </c>
    </row>
    <row r="5" spans="1:372" ht="15.75" customHeight="1" x14ac:dyDescent="0.2">
      <c r="A5" s="3">
        <v>43500.788282037036</v>
      </c>
      <c r="B5" s="4" t="s">
        <v>355</v>
      </c>
      <c r="C5" s="4" t="s">
        <v>356</v>
      </c>
      <c r="D5" s="5">
        <v>43500</v>
      </c>
      <c r="E5" s="4" t="s">
        <v>357</v>
      </c>
      <c r="J5" s="6">
        <v>0.30208333333575865</v>
      </c>
      <c r="K5" s="4" t="s">
        <v>348</v>
      </c>
      <c r="L5" s="4" t="s">
        <v>358</v>
      </c>
      <c r="N5" s="4" t="s">
        <v>351</v>
      </c>
      <c r="P5" s="4">
        <v>5</v>
      </c>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v>27</v>
      </c>
      <c r="AV5" s="4"/>
      <c r="AW5" s="4"/>
      <c r="AX5" s="4">
        <v>2</v>
      </c>
      <c r="AY5" s="4"/>
      <c r="AZ5" s="4"/>
      <c r="BA5" s="4"/>
      <c r="BB5" s="4">
        <v>8</v>
      </c>
      <c r="BC5" s="4">
        <v>30</v>
      </c>
      <c r="BD5" s="4"/>
      <c r="BE5" s="4">
        <v>5</v>
      </c>
      <c r="BF5" s="4"/>
      <c r="BG5" s="4"/>
      <c r="BH5" s="4"/>
      <c r="BI5" s="4">
        <v>15</v>
      </c>
      <c r="BJ5" s="4" t="s">
        <v>353</v>
      </c>
      <c r="BK5" s="4">
        <v>27.822852000000001</v>
      </c>
      <c r="BL5" s="4">
        <v>-82.431821999999997</v>
      </c>
      <c r="BM5" s="4">
        <v>3</v>
      </c>
      <c r="BZ5" s="4" t="s">
        <v>353</v>
      </c>
      <c r="CA5" s="4">
        <v>27.834067999999998</v>
      </c>
      <c r="CB5" s="4">
        <v>-82.440687999999994</v>
      </c>
      <c r="CC5" s="4">
        <v>2</v>
      </c>
      <c r="CP5" s="4" t="s">
        <v>359</v>
      </c>
    </row>
    <row r="6" spans="1:372" ht="15.75" customHeight="1" x14ac:dyDescent="0.2">
      <c r="A6" s="3">
        <v>43513.905776990738</v>
      </c>
      <c r="B6" s="4" t="s">
        <v>360</v>
      </c>
      <c r="C6" s="4" t="s">
        <v>361</v>
      </c>
      <c r="D6" s="5">
        <v>43497</v>
      </c>
      <c r="E6" s="4" t="s">
        <v>362</v>
      </c>
      <c r="J6" s="6">
        <v>0.3125</v>
      </c>
      <c r="K6" s="4" t="s">
        <v>363</v>
      </c>
      <c r="L6" s="4" t="s">
        <v>349</v>
      </c>
      <c r="M6" s="4" t="s">
        <v>350</v>
      </c>
      <c r="N6" s="4" t="s">
        <v>351</v>
      </c>
      <c r="T6" s="4">
        <v>43</v>
      </c>
      <c r="U6" s="4">
        <v>38</v>
      </c>
      <c r="V6" s="4">
        <v>75</v>
      </c>
      <c r="W6" s="4">
        <v>12</v>
      </c>
      <c r="Y6" s="4">
        <v>200</v>
      </c>
      <c r="AP6" s="4">
        <v>12</v>
      </c>
      <c r="AV6" s="4">
        <v>128</v>
      </c>
      <c r="AX6" s="4">
        <v>350</v>
      </c>
      <c r="BI6" s="4">
        <v>525</v>
      </c>
      <c r="BJ6" s="4" t="s">
        <v>364</v>
      </c>
    </row>
    <row r="7" spans="1:372" ht="15.75" customHeight="1" x14ac:dyDescent="0.2">
      <c r="A7" s="3">
        <v>43501.336947569449</v>
      </c>
      <c r="B7" s="4" t="s">
        <v>365</v>
      </c>
      <c r="C7" s="4" t="s">
        <v>366</v>
      </c>
      <c r="D7" s="5">
        <v>43500</v>
      </c>
      <c r="E7" s="4" t="s">
        <v>367</v>
      </c>
      <c r="J7" s="6">
        <v>0.375</v>
      </c>
      <c r="K7" s="4" t="s">
        <v>348</v>
      </c>
      <c r="L7" s="4" t="s">
        <v>349</v>
      </c>
      <c r="M7" s="4" t="s">
        <v>350</v>
      </c>
      <c r="N7" s="4" t="s">
        <v>351</v>
      </c>
      <c r="P7" s="4">
        <v>0</v>
      </c>
      <c r="Q7" s="4"/>
      <c r="R7" s="4"/>
      <c r="S7" s="4"/>
      <c r="T7" s="4"/>
      <c r="U7" s="4"/>
      <c r="V7" s="4"/>
      <c r="W7" s="4"/>
      <c r="X7" s="4"/>
      <c r="Y7" s="4"/>
      <c r="Z7" s="4"/>
      <c r="AA7" s="4"/>
      <c r="AB7" s="4"/>
      <c r="AC7" s="4"/>
      <c r="AD7" s="4"/>
      <c r="AE7" s="4"/>
      <c r="AF7" s="4">
        <v>60</v>
      </c>
      <c r="AG7" s="4"/>
      <c r="AH7" s="7" t="s">
        <v>368</v>
      </c>
      <c r="AI7" s="4"/>
      <c r="AJ7" s="4"/>
      <c r="AK7" s="4"/>
      <c r="AL7" s="4"/>
      <c r="AM7" s="4">
        <v>26</v>
      </c>
      <c r="AN7" s="4"/>
      <c r="AO7" s="4"/>
      <c r="AP7" s="4"/>
      <c r="AQ7" s="4"/>
      <c r="AR7" s="4"/>
      <c r="AS7" s="4"/>
      <c r="AT7" s="4"/>
      <c r="AU7" s="4"/>
      <c r="AV7" s="4"/>
      <c r="AW7" s="4"/>
      <c r="AX7" s="4"/>
      <c r="AY7" s="4"/>
      <c r="AZ7" s="4"/>
      <c r="BA7" s="4"/>
      <c r="BB7" s="4">
        <v>11</v>
      </c>
      <c r="BC7" s="4">
        <v>10</v>
      </c>
      <c r="BD7" s="4"/>
      <c r="BE7" s="4">
        <v>26</v>
      </c>
      <c r="BF7" s="4"/>
      <c r="BG7" s="4"/>
      <c r="BH7" s="4"/>
      <c r="BI7" s="4"/>
      <c r="BJ7" s="4" t="s">
        <v>364</v>
      </c>
    </row>
    <row r="8" spans="1:372" ht="15.75" customHeight="1" x14ac:dyDescent="0.2">
      <c r="A8" s="3">
        <v>43508.330524976853</v>
      </c>
      <c r="B8" s="4" t="s">
        <v>365</v>
      </c>
      <c r="C8" s="4" t="s">
        <v>366</v>
      </c>
      <c r="D8" s="5">
        <v>43500</v>
      </c>
      <c r="E8" s="4" t="s">
        <v>367</v>
      </c>
      <c r="J8" s="6">
        <v>0.375</v>
      </c>
      <c r="K8" s="4" t="s">
        <v>348</v>
      </c>
      <c r="L8" s="4" t="s">
        <v>349</v>
      </c>
      <c r="M8" s="4" t="s">
        <v>350</v>
      </c>
      <c r="N8" s="4" t="s">
        <v>351</v>
      </c>
      <c r="AF8" s="4">
        <v>60</v>
      </c>
      <c r="AM8" s="4">
        <v>26</v>
      </c>
      <c r="BB8" s="4">
        <v>11</v>
      </c>
      <c r="BC8" s="4">
        <v>10</v>
      </c>
      <c r="BE8" s="4">
        <v>26</v>
      </c>
      <c r="BJ8" s="4" t="s">
        <v>364</v>
      </c>
    </row>
    <row r="9" spans="1:372" ht="15.75" customHeight="1" x14ac:dyDescent="0.2">
      <c r="A9" s="3">
        <v>43523.402208148153</v>
      </c>
      <c r="B9" s="4" t="s">
        <v>369</v>
      </c>
      <c r="C9" s="4" t="s">
        <v>370</v>
      </c>
      <c r="D9" s="5">
        <v>43502</v>
      </c>
      <c r="E9" s="4" t="s">
        <v>371</v>
      </c>
      <c r="J9" s="6">
        <v>0.39375000000291038</v>
      </c>
      <c r="K9" s="4" t="s">
        <v>348</v>
      </c>
      <c r="L9" s="4" t="s">
        <v>358</v>
      </c>
      <c r="M9" s="4" t="s">
        <v>350</v>
      </c>
      <c r="N9" s="4" t="s">
        <v>351</v>
      </c>
      <c r="P9" s="4">
        <v>0</v>
      </c>
      <c r="Q9" s="4"/>
      <c r="R9" s="4"/>
      <c r="S9" s="4">
        <v>10</v>
      </c>
      <c r="T9" s="4"/>
      <c r="U9" s="4"/>
      <c r="V9" s="4"/>
      <c r="W9" s="4"/>
      <c r="X9" s="4"/>
      <c r="Y9" s="4"/>
      <c r="Z9" s="4"/>
      <c r="AA9" s="4"/>
      <c r="AB9" s="4"/>
      <c r="AC9" s="4"/>
      <c r="AD9" s="4"/>
      <c r="AE9" s="4">
        <v>1</v>
      </c>
      <c r="AF9" s="4"/>
      <c r="AG9" s="4">
        <v>31</v>
      </c>
      <c r="AH9" s="4"/>
      <c r="AI9" s="4"/>
      <c r="AJ9" s="4"/>
      <c r="AK9" s="4"/>
      <c r="AL9" s="4"/>
      <c r="AM9" s="4"/>
      <c r="AN9" s="4"/>
      <c r="AO9" s="4"/>
      <c r="AP9" s="4"/>
      <c r="AQ9" s="4"/>
      <c r="AR9" s="4"/>
      <c r="AS9" s="4">
        <v>7</v>
      </c>
      <c r="AT9" s="4"/>
      <c r="AU9" s="4"/>
      <c r="AV9" s="4"/>
      <c r="AW9" s="4"/>
      <c r="AX9" s="4"/>
      <c r="AY9" s="4">
        <v>2</v>
      </c>
      <c r="AZ9" s="4"/>
      <c r="BA9" s="4"/>
      <c r="BB9" s="4"/>
      <c r="BC9" s="4"/>
      <c r="BD9" s="4"/>
      <c r="BE9" s="4"/>
      <c r="BF9" s="4">
        <v>3</v>
      </c>
      <c r="BG9" s="4"/>
      <c r="BH9" s="4"/>
      <c r="BI9" s="4"/>
      <c r="BJ9" s="4" t="s">
        <v>364</v>
      </c>
    </row>
    <row r="10" spans="1:372" ht="15.75" customHeight="1" x14ac:dyDescent="0.2">
      <c r="A10" s="3">
        <v>43503.639703368055</v>
      </c>
      <c r="B10" s="4" t="s">
        <v>372</v>
      </c>
      <c r="C10" s="4" t="str">
        <f>O10</f>
        <v>Alligator Point - Mud Cove (route listed but no lat./long. in spreadsheet)</v>
      </c>
      <c r="D10" s="5">
        <v>43502</v>
      </c>
      <c r="E10" s="4" t="s">
        <v>373</v>
      </c>
      <c r="F10" s="4">
        <v>29.898070000000001</v>
      </c>
      <c r="G10" s="4">
        <v>-84.346639999999994</v>
      </c>
      <c r="H10" s="4">
        <v>29.895029999999998</v>
      </c>
      <c r="I10" s="4">
        <v>-84.369290000000007</v>
      </c>
      <c r="J10" s="6">
        <v>0.3125</v>
      </c>
      <c r="K10" s="4" t="s">
        <v>363</v>
      </c>
      <c r="L10" s="4" t="s">
        <v>349</v>
      </c>
      <c r="M10" s="4" t="s">
        <v>350</v>
      </c>
      <c r="N10" s="4" t="s">
        <v>351</v>
      </c>
      <c r="O10" s="4" t="s">
        <v>374</v>
      </c>
      <c r="P10" s="4">
        <v>1</v>
      </c>
      <c r="Q10" s="4"/>
      <c r="R10" s="4">
        <v>2</v>
      </c>
      <c r="S10" s="4"/>
      <c r="T10" s="4"/>
      <c r="U10" s="4"/>
      <c r="V10" s="4"/>
      <c r="W10" s="4"/>
      <c r="X10" s="4"/>
      <c r="Y10" s="4"/>
      <c r="Z10" s="4"/>
      <c r="AA10" s="4"/>
      <c r="AB10" s="4"/>
      <c r="AC10" s="4"/>
      <c r="AD10" s="4"/>
      <c r="AE10" s="4"/>
      <c r="AF10" s="4">
        <v>8</v>
      </c>
      <c r="AG10" s="4"/>
      <c r="AH10" s="4"/>
      <c r="AI10" s="4"/>
      <c r="AJ10" s="4"/>
      <c r="AK10" s="4"/>
      <c r="AL10" s="4"/>
      <c r="AM10" s="4">
        <v>9</v>
      </c>
      <c r="AN10" s="4"/>
      <c r="AO10" s="4"/>
      <c r="AP10" s="4"/>
      <c r="AQ10" s="4"/>
      <c r="AR10" s="4"/>
      <c r="AS10" s="4">
        <v>2</v>
      </c>
      <c r="AT10" s="4"/>
      <c r="AU10" s="4">
        <v>36</v>
      </c>
      <c r="AV10" s="4">
        <v>4</v>
      </c>
      <c r="AW10" s="4"/>
      <c r="AX10" s="4">
        <v>45</v>
      </c>
      <c r="AY10" s="4">
        <v>40</v>
      </c>
      <c r="AZ10" s="4"/>
      <c r="BA10" s="4"/>
      <c r="BB10" s="4">
        <v>2</v>
      </c>
      <c r="BC10" s="4"/>
      <c r="BD10" s="4"/>
      <c r="BE10" s="4">
        <v>44</v>
      </c>
      <c r="BF10" s="4">
        <v>25</v>
      </c>
      <c r="BG10" s="4"/>
      <c r="BH10" s="4"/>
      <c r="BI10" s="4"/>
      <c r="BJ10" s="4" t="s">
        <v>353</v>
      </c>
      <c r="BK10" s="4">
        <v>29.897760000000002</v>
      </c>
      <c r="BL10" s="4">
        <v>-84.347160000000002</v>
      </c>
      <c r="BM10" s="4">
        <v>1</v>
      </c>
      <c r="BN10" s="4" t="s">
        <v>375</v>
      </c>
      <c r="BO10" s="4">
        <v>0</v>
      </c>
      <c r="BQ10" s="4">
        <v>0</v>
      </c>
      <c r="BS10" s="4">
        <v>0</v>
      </c>
      <c r="BU10" s="4">
        <v>0</v>
      </c>
      <c r="BW10" s="4">
        <v>0</v>
      </c>
      <c r="BZ10" s="4" t="s">
        <v>354</v>
      </c>
    </row>
    <row r="11" spans="1:372" ht="15.75" customHeight="1" x14ac:dyDescent="0.2">
      <c r="A11" s="3">
        <v>43503.301301817133</v>
      </c>
      <c r="B11" s="4" t="s">
        <v>376</v>
      </c>
      <c r="C11" s="4" t="s">
        <v>377</v>
      </c>
      <c r="D11" s="5">
        <v>43502</v>
      </c>
      <c r="E11" s="4" t="s">
        <v>378</v>
      </c>
      <c r="J11" s="6">
        <v>0.53472222221898846</v>
      </c>
      <c r="K11" s="4" t="s">
        <v>379</v>
      </c>
      <c r="L11" s="4" t="s">
        <v>358</v>
      </c>
      <c r="M11" s="4" t="s">
        <v>350</v>
      </c>
      <c r="N11" s="4" t="s">
        <v>351</v>
      </c>
      <c r="P11" s="4">
        <v>7</v>
      </c>
      <c r="Q11" s="4"/>
      <c r="R11" s="4">
        <v>45</v>
      </c>
      <c r="S11" s="4">
        <v>2</v>
      </c>
      <c r="T11" s="4">
        <v>6</v>
      </c>
      <c r="U11" s="4"/>
      <c r="V11" s="4"/>
      <c r="W11" s="4"/>
      <c r="X11" s="4"/>
      <c r="Y11" s="4"/>
      <c r="Z11" s="4"/>
      <c r="AA11" s="4"/>
      <c r="AB11" s="4">
        <v>19</v>
      </c>
      <c r="AC11" s="4"/>
      <c r="AD11" s="4">
        <v>20</v>
      </c>
      <c r="AE11" s="4">
        <v>15</v>
      </c>
      <c r="AF11" s="4">
        <v>230</v>
      </c>
      <c r="AG11" s="4">
        <v>1</v>
      </c>
      <c r="AH11" s="4"/>
      <c r="AI11" s="4">
        <v>7</v>
      </c>
      <c r="AJ11" s="4"/>
      <c r="AK11" s="4"/>
      <c r="AL11" s="4"/>
      <c r="AM11" s="4">
        <v>189</v>
      </c>
      <c r="AN11" s="4"/>
      <c r="AO11" s="4"/>
      <c r="AP11" s="4"/>
      <c r="AQ11" s="4"/>
      <c r="AR11" s="4">
        <v>82</v>
      </c>
      <c r="AS11" s="4"/>
      <c r="AT11" s="4"/>
      <c r="AU11" s="4">
        <v>3</v>
      </c>
      <c r="AV11" s="4">
        <v>11</v>
      </c>
      <c r="AW11" s="4"/>
      <c r="AX11" s="4">
        <v>2</v>
      </c>
      <c r="AY11" s="4">
        <v>37</v>
      </c>
      <c r="AZ11" s="4"/>
      <c r="BA11" s="4"/>
      <c r="BB11" s="4">
        <v>3</v>
      </c>
      <c r="BC11" s="4"/>
      <c r="BD11" s="4"/>
      <c r="BE11" s="4">
        <v>126</v>
      </c>
      <c r="BF11" s="4"/>
      <c r="BG11" s="4"/>
      <c r="BH11" s="4"/>
      <c r="BI11" s="4"/>
      <c r="BJ11" s="4" t="s">
        <v>353</v>
      </c>
      <c r="BK11" s="4">
        <v>29.908429999999999</v>
      </c>
      <c r="BL11" s="4">
        <v>-84.431229999999999</v>
      </c>
      <c r="BM11" s="4">
        <v>2</v>
      </c>
      <c r="BN11" s="4" t="s">
        <v>380</v>
      </c>
      <c r="BZ11" s="4" t="s">
        <v>353</v>
      </c>
      <c r="CA11" s="4">
        <v>29.914000000000001</v>
      </c>
      <c r="CB11" s="4">
        <v>-84.441199999999995</v>
      </c>
      <c r="CK11" s="4">
        <v>2</v>
      </c>
      <c r="CL11" s="4" t="s">
        <v>381</v>
      </c>
      <c r="CO11" s="4" t="s">
        <v>382</v>
      </c>
      <c r="CP11" s="4" t="s">
        <v>353</v>
      </c>
      <c r="CQ11" s="4">
        <v>29.915009999999999</v>
      </c>
      <c r="CR11" s="4">
        <v>-84.441860000000005</v>
      </c>
      <c r="DA11" s="4">
        <v>5</v>
      </c>
      <c r="DB11" s="4" t="s">
        <v>383</v>
      </c>
      <c r="DF11" s="4" t="s">
        <v>353</v>
      </c>
      <c r="DG11" s="4">
        <v>29.91864</v>
      </c>
      <c r="DH11" s="4">
        <v>-84.441220000000001</v>
      </c>
      <c r="DI11" s="4">
        <v>5</v>
      </c>
      <c r="DJ11" s="4" t="s">
        <v>384</v>
      </c>
      <c r="DK11" s="4">
        <v>82</v>
      </c>
      <c r="DL11" s="4" t="s">
        <v>385</v>
      </c>
      <c r="DM11" s="4">
        <v>0</v>
      </c>
      <c r="DO11" s="4">
        <v>20</v>
      </c>
      <c r="DP11" s="4" t="s">
        <v>385</v>
      </c>
      <c r="DU11" s="4" t="s">
        <v>386</v>
      </c>
      <c r="DV11" s="4" t="s">
        <v>359</v>
      </c>
    </row>
    <row r="12" spans="1:372" ht="15.75" customHeight="1" x14ac:dyDescent="0.2">
      <c r="A12" s="3">
        <v>43524.443138773146</v>
      </c>
      <c r="B12" s="4" t="s">
        <v>387</v>
      </c>
      <c r="C12" s="4" t="s">
        <v>388</v>
      </c>
      <c r="D12" s="5">
        <v>43497</v>
      </c>
      <c r="E12" s="4" t="s">
        <v>389</v>
      </c>
      <c r="F12" s="4">
        <v>30.522010000000002</v>
      </c>
      <c r="G12" s="4">
        <v>-81.444760000000002</v>
      </c>
      <c r="H12" s="4">
        <v>30.53021</v>
      </c>
      <c r="I12" s="4">
        <v>-81.436940000000007</v>
      </c>
      <c r="J12" s="6">
        <v>0.34513888889341615</v>
      </c>
      <c r="K12" s="4" t="s">
        <v>363</v>
      </c>
      <c r="L12" s="4" t="s">
        <v>390</v>
      </c>
      <c r="M12" s="4" t="s">
        <v>391</v>
      </c>
      <c r="N12" s="4" t="s">
        <v>351</v>
      </c>
      <c r="O12" s="4" t="s">
        <v>392</v>
      </c>
      <c r="P12" s="4">
        <v>0</v>
      </c>
      <c r="Q12" s="4"/>
      <c r="R12" s="4"/>
      <c r="S12" s="4">
        <v>2</v>
      </c>
      <c r="T12" s="4"/>
      <c r="U12" s="4"/>
      <c r="V12" s="4"/>
      <c r="W12" s="4"/>
      <c r="X12" s="4"/>
      <c r="Y12" s="4"/>
      <c r="Z12" s="4"/>
      <c r="AA12" s="4"/>
      <c r="AB12" s="4"/>
      <c r="AC12" s="4">
        <v>14</v>
      </c>
      <c r="AD12" s="4"/>
      <c r="AE12" s="4">
        <v>8</v>
      </c>
      <c r="AF12" s="4">
        <v>61</v>
      </c>
      <c r="AG12" s="4">
        <v>771</v>
      </c>
      <c r="AH12" s="4"/>
      <c r="AI12" s="4"/>
      <c r="AJ12" s="4"/>
      <c r="AK12" s="4"/>
      <c r="AL12" s="4"/>
      <c r="AM12" s="4">
        <v>17</v>
      </c>
      <c r="AN12" s="4">
        <v>17</v>
      </c>
      <c r="AO12" s="4"/>
      <c r="AP12" s="4"/>
      <c r="AQ12" s="4"/>
      <c r="AR12" s="4">
        <v>74</v>
      </c>
      <c r="AS12" s="4">
        <v>19</v>
      </c>
      <c r="AT12" s="4"/>
      <c r="AU12" s="4">
        <v>8</v>
      </c>
      <c r="AV12" s="4"/>
      <c r="AW12" s="4"/>
      <c r="AX12" s="4"/>
      <c r="AY12" s="4">
        <v>50</v>
      </c>
      <c r="AZ12" s="4"/>
      <c r="BA12" s="4">
        <v>1</v>
      </c>
      <c r="BB12" s="4">
        <v>95</v>
      </c>
      <c r="BC12" s="4">
        <v>111</v>
      </c>
      <c r="BD12" s="4"/>
      <c r="BE12" s="4">
        <v>16</v>
      </c>
      <c r="BF12" s="4">
        <v>14</v>
      </c>
      <c r="BG12" s="4"/>
      <c r="BH12" s="4"/>
      <c r="BI12" s="4"/>
      <c r="BJ12" s="4" t="s">
        <v>353</v>
      </c>
      <c r="BK12" s="4">
        <v>30.51493</v>
      </c>
      <c r="BL12" s="4">
        <v>-81.438370000000006</v>
      </c>
      <c r="BM12" s="4">
        <v>0</v>
      </c>
      <c r="BN12" s="4" t="s">
        <v>393</v>
      </c>
      <c r="BO12" s="4">
        <v>74</v>
      </c>
      <c r="BP12" s="4" t="s">
        <v>394</v>
      </c>
      <c r="BQ12" s="4">
        <v>0</v>
      </c>
      <c r="BR12" s="4" t="s">
        <v>393</v>
      </c>
      <c r="BS12" s="4">
        <v>0</v>
      </c>
      <c r="BT12" s="4" t="s">
        <v>393</v>
      </c>
      <c r="BU12" s="4">
        <v>0</v>
      </c>
      <c r="BV12" s="4" t="s">
        <v>393</v>
      </c>
      <c r="BW12" s="4">
        <v>0</v>
      </c>
      <c r="BX12" s="4" t="s">
        <v>393</v>
      </c>
      <c r="BY12" s="4" t="s">
        <v>395</v>
      </c>
      <c r="BZ12" s="4" t="s">
        <v>353</v>
      </c>
      <c r="CA12" s="4">
        <v>30.517299999999999</v>
      </c>
      <c r="CB12" s="4">
        <v>-81.435249999999996</v>
      </c>
      <c r="CC12" s="4">
        <v>0</v>
      </c>
      <c r="CD12" s="4" t="s">
        <v>393</v>
      </c>
      <c r="CE12" s="4">
        <v>0</v>
      </c>
      <c r="CF12" s="4" t="s">
        <v>393</v>
      </c>
      <c r="CG12" s="4">
        <v>11</v>
      </c>
      <c r="CH12" s="4" t="s">
        <v>396</v>
      </c>
      <c r="CI12" s="4">
        <v>0</v>
      </c>
      <c r="CJ12" s="4" t="s">
        <v>393</v>
      </c>
      <c r="CL12" s="4">
        <v>0</v>
      </c>
      <c r="CM12" s="4">
        <v>0</v>
      </c>
      <c r="CN12" s="4" t="s">
        <v>393</v>
      </c>
      <c r="CO12" s="4" t="s">
        <v>397</v>
      </c>
      <c r="CP12" s="4" t="s">
        <v>353</v>
      </c>
      <c r="CQ12" s="4">
        <v>30.517880000000002</v>
      </c>
      <c r="CR12" s="4">
        <v>-81.434749999999994</v>
      </c>
      <c r="CS12" s="4">
        <v>0</v>
      </c>
      <c r="CT12" s="4" t="s">
        <v>393</v>
      </c>
      <c r="CU12" s="4">
        <v>0</v>
      </c>
      <c r="CV12" s="4" t="s">
        <v>393</v>
      </c>
      <c r="CW12" s="4">
        <v>1</v>
      </c>
      <c r="CX12" s="4" t="s">
        <v>398</v>
      </c>
      <c r="CY12" s="4">
        <v>0</v>
      </c>
      <c r="CZ12" s="4" t="s">
        <v>393</v>
      </c>
      <c r="DA12" s="4">
        <v>0</v>
      </c>
      <c r="DB12" s="4" t="s">
        <v>393</v>
      </c>
      <c r="DC12" s="4">
        <v>17</v>
      </c>
      <c r="DD12" s="4" t="s">
        <v>394</v>
      </c>
      <c r="DE12" s="4" t="s">
        <v>399</v>
      </c>
      <c r="DF12" s="4" t="s">
        <v>353</v>
      </c>
      <c r="DG12" s="4">
        <v>30.5183</v>
      </c>
      <c r="DH12" s="4">
        <v>-81.434200000000004</v>
      </c>
      <c r="DI12" s="4">
        <v>0</v>
      </c>
      <c r="DJ12" s="4" t="s">
        <v>393</v>
      </c>
      <c r="DK12" s="4">
        <v>0</v>
      </c>
      <c r="DL12" s="4" t="s">
        <v>393</v>
      </c>
      <c r="DM12" s="4">
        <v>2</v>
      </c>
      <c r="DN12" s="4" t="s">
        <v>400</v>
      </c>
      <c r="DO12" s="4">
        <v>0</v>
      </c>
      <c r="DP12" s="4" t="s">
        <v>393</v>
      </c>
      <c r="DQ12" s="4">
        <v>0</v>
      </c>
      <c r="DR12" s="4" t="s">
        <v>393</v>
      </c>
      <c r="DS12" s="4">
        <v>0</v>
      </c>
      <c r="DT12" s="4" t="s">
        <v>393</v>
      </c>
      <c r="DU12" s="4" t="s">
        <v>401</v>
      </c>
      <c r="DV12" s="4" t="s">
        <v>359</v>
      </c>
    </row>
    <row r="13" spans="1:372" ht="15.75" customHeight="1" x14ac:dyDescent="0.2">
      <c r="A13" s="3">
        <v>43506.4660128588</v>
      </c>
      <c r="B13" s="4" t="s">
        <v>402</v>
      </c>
      <c r="C13" s="8" t="s">
        <v>403</v>
      </c>
      <c r="D13" s="5">
        <v>43503</v>
      </c>
      <c r="E13" s="4" t="s">
        <v>404</v>
      </c>
      <c r="F13" s="4">
        <v>30.703184</v>
      </c>
      <c r="G13" s="4">
        <v>-81.480605999999995</v>
      </c>
      <c r="H13" s="4">
        <v>30.558112999999999</v>
      </c>
      <c r="I13" s="4">
        <v>-81.470645000000005</v>
      </c>
      <c r="J13" s="6">
        <v>0.36805555555474712</v>
      </c>
      <c r="K13" s="4" t="s">
        <v>363</v>
      </c>
      <c r="L13" s="4" t="s">
        <v>349</v>
      </c>
      <c r="M13" s="4" t="s">
        <v>350</v>
      </c>
      <c r="N13" s="4" t="s">
        <v>351</v>
      </c>
      <c r="O13" s="4" t="s">
        <v>405</v>
      </c>
      <c r="P13" s="4">
        <v>145</v>
      </c>
      <c r="R13" s="4">
        <v>100</v>
      </c>
      <c r="S13" s="4">
        <v>1000</v>
      </c>
      <c r="V13" s="4">
        <v>100</v>
      </c>
      <c r="Z13" s="4">
        <v>500</v>
      </c>
      <c r="AE13" s="4">
        <v>100</v>
      </c>
      <c r="AG13" s="4">
        <v>100</v>
      </c>
      <c r="AK13" s="4">
        <v>1000</v>
      </c>
      <c r="AM13" s="4">
        <v>88</v>
      </c>
      <c r="AR13" s="4">
        <v>1</v>
      </c>
      <c r="BJ13" s="4" t="s">
        <v>353</v>
      </c>
      <c r="BK13" s="4">
        <v>30.703184</v>
      </c>
      <c r="BL13" s="4">
        <v>-81.480605999999995</v>
      </c>
      <c r="BM13" s="4">
        <v>56</v>
      </c>
      <c r="BN13" s="4" t="s">
        <v>406</v>
      </c>
      <c r="BO13" s="4">
        <v>1</v>
      </c>
      <c r="BZ13" s="4" t="s">
        <v>353</v>
      </c>
      <c r="CA13" s="4">
        <v>30.616074999999999</v>
      </c>
      <c r="CB13" s="4">
        <v>-81.489896999999999</v>
      </c>
      <c r="CC13" s="4">
        <v>9</v>
      </c>
      <c r="CD13" s="4" t="s">
        <v>407</v>
      </c>
      <c r="CP13" s="4" t="s">
        <v>353</v>
      </c>
      <c r="CQ13" s="4">
        <v>30.578738000000001</v>
      </c>
      <c r="CR13" s="4">
        <v>-81.460988</v>
      </c>
      <c r="CS13" s="4">
        <v>78</v>
      </c>
      <c r="CT13" s="4" t="s">
        <v>408</v>
      </c>
      <c r="DF13" s="4" t="s">
        <v>353</v>
      </c>
      <c r="DG13" s="4">
        <v>30.558112999999999</v>
      </c>
      <c r="DH13" s="4">
        <v>-81.470645000000005</v>
      </c>
      <c r="DI13" s="4">
        <v>2</v>
      </c>
      <c r="DJ13" s="4" t="s">
        <v>409</v>
      </c>
      <c r="DV13" s="4" t="s">
        <v>359</v>
      </c>
    </row>
    <row r="14" spans="1:372" ht="15.75" customHeight="1" x14ac:dyDescent="0.2">
      <c r="A14" s="3">
        <v>43503.611565358791</v>
      </c>
      <c r="B14" s="4" t="s">
        <v>410</v>
      </c>
      <c r="C14" s="4" t="s">
        <v>411</v>
      </c>
      <c r="D14" s="5">
        <v>43501</v>
      </c>
      <c r="E14" s="4" t="s">
        <v>412</v>
      </c>
      <c r="J14" s="6">
        <v>7.2916666664241347E-2</v>
      </c>
      <c r="K14" s="4" t="s">
        <v>379</v>
      </c>
      <c r="L14" s="4" t="s">
        <v>349</v>
      </c>
      <c r="M14" s="4" t="s">
        <v>350</v>
      </c>
      <c r="N14" s="4" t="s">
        <v>351</v>
      </c>
      <c r="R14" s="4">
        <v>3</v>
      </c>
      <c r="AE14" s="4">
        <v>2</v>
      </c>
      <c r="AF14" s="4">
        <v>7</v>
      </c>
      <c r="AG14" s="4">
        <v>55</v>
      </c>
      <c r="AU14" s="4">
        <v>2</v>
      </c>
      <c r="AX14" s="4">
        <v>5</v>
      </c>
      <c r="BC14" s="4">
        <v>3</v>
      </c>
      <c r="BE14" s="4">
        <v>3</v>
      </c>
      <c r="BF14" s="4">
        <v>6</v>
      </c>
      <c r="BJ14" s="4" t="s">
        <v>364</v>
      </c>
    </row>
    <row r="15" spans="1:372" ht="15.75" customHeight="1" x14ac:dyDescent="0.2">
      <c r="A15" s="3">
        <v>43503.607558402779</v>
      </c>
      <c r="B15" s="4" t="s">
        <v>410</v>
      </c>
      <c r="C15" s="4" t="s">
        <v>413</v>
      </c>
      <c r="D15" s="5">
        <v>43501</v>
      </c>
      <c r="E15" s="4" t="s">
        <v>412</v>
      </c>
      <c r="J15" s="6">
        <v>1.8750000002910383E-2</v>
      </c>
      <c r="K15" s="4" t="s">
        <v>379</v>
      </c>
      <c r="L15" s="4" t="s">
        <v>349</v>
      </c>
      <c r="M15" s="4" t="s">
        <v>350</v>
      </c>
      <c r="N15" s="4" t="s">
        <v>351</v>
      </c>
      <c r="R15" s="4">
        <v>7</v>
      </c>
      <c r="S15" s="4">
        <v>86</v>
      </c>
      <c r="V15" s="4">
        <v>2</v>
      </c>
      <c r="AD15" s="4">
        <v>32</v>
      </c>
      <c r="AE15" s="4">
        <v>18</v>
      </c>
      <c r="AF15" s="4">
        <v>53</v>
      </c>
      <c r="AG15" s="4">
        <v>561</v>
      </c>
      <c r="AK15" s="4">
        <v>118</v>
      </c>
      <c r="AM15" s="4">
        <v>4</v>
      </c>
      <c r="AN15" s="4">
        <v>23</v>
      </c>
      <c r="AR15" s="4">
        <v>3</v>
      </c>
      <c r="AU15" s="4">
        <v>17</v>
      </c>
      <c r="AX15" s="4">
        <v>2</v>
      </c>
      <c r="AY15" s="4">
        <v>4</v>
      </c>
      <c r="BB15" s="4">
        <v>1</v>
      </c>
      <c r="BC15" s="4">
        <v>34</v>
      </c>
      <c r="BD15" s="4">
        <v>1</v>
      </c>
      <c r="BE15" s="4">
        <v>12</v>
      </c>
      <c r="BF15" s="4">
        <v>47</v>
      </c>
      <c r="BJ15" s="4" t="s">
        <v>353</v>
      </c>
      <c r="BK15" s="4">
        <v>29.868120000000001</v>
      </c>
      <c r="BL15" s="4">
        <v>-81.268270000000001</v>
      </c>
      <c r="BO15" s="4">
        <v>3</v>
      </c>
      <c r="BP15" s="4" t="s">
        <v>414</v>
      </c>
      <c r="BY15" s="4" t="s">
        <v>415</v>
      </c>
      <c r="BZ15" s="4" t="s">
        <v>353</v>
      </c>
      <c r="CA15" s="4">
        <v>29.870190000000001</v>
      </c>
      <c r="CB15" s="4">
        <v>-81.269260000000003</v>
      </c>
      <c r="CM15" s="4">
        <v>9</v>
      </c>
      <c r="CN15" s="4" t="s">
        <v>416</v>
      </c>
      <c r="CO15" s="4" t="s">
        <v>417</v>
      </c>
      <c r="CP15" s="4" t="s">
        <v>353</v>
      </c>
      <c r="CQ15" s="4">
        <v>29.878879999999999</v>
      </c>
      <c r="CR15" s="4">
        <v>-81.271709999999999</v>
      </c>
      <c r="CY15" s="4">
        <v>4</v>
      </c>
      <c r="CZ15" s="4" t="s">
        <v>416</v>
      </c>
      <c r="DC15" s="4">
        <v>12</v>
      </c>
      <c r="DD15" s="4" t="s">
        <v>418</v>
      </c>
      <c r="DE15" s="4" t="s">
        <v>419</v>
      </c>
      <c r="DF15" s="4" t="s">
        <v>353</v>
      </c>
      <c r="DG15" s="4">
        <v>29.895199999999999</v>
      </c>
      <c r="DH15" s="4">
        <v>-81.275899999999993</v>
      </c>
      <c r="DS15" s="4">
        <v>2</v>
      </c>
      <c r="DT15" s="4" t="s">
        <v>420</v>
      </c>
      <c r="DV15" s="4" t="s">
        <v>353</v>
      </c>
      <c r="DW15" s="4">
        <v>29.901969999999999</v>
      </c>
      <c r="DX15" s="4">
        <v>-81.276759999999996</v>
      </c>
      <c r="EE15" s="4">
        <v>32</v>
      </c>
      <c r="EG15" s="4" t="s">
        <v>416</v>
      </c>
      <c r="EL15" s="4" t="s">
        <v>364</v>
      </c>
    </row>
    <row r="16" spans="1:372" ht="15.75" customHeight="1" x14ac:dyDescent="0.2">
      <c r="A16" s="3">
        <v>43503.636431597217</v>
      </c>
      <c r="B16" s="4" t="s">
        <v>410</v>
      </c>
      <c r="C16" s="4" t="s">
        <v>413</v>
      </c>
      <c r="D16" s="5">
        <v>43501</v>
      </c>
      <c r="E16" s="4" t="s">
        <v>431</v>
      </c>
      <c r="F16" s="4"/>
      <c r="G16" s="4"/>
      <c r="H16" s="4"/>
      <c r="I16" s="4"/>
      <c r="J16" s="6">
        <v>1.8750000002910383E-2</v>
      </c>
      <c r="K16" s="4" t="s">
        <v>379</v>
      </c>
      <c r="L16" s="4" t="s">
        <v>349</v>
      </c>
      <c r="M16" s="4" t="s">
        <v>350</v>
      </c>
      <c r="N16" s="4" t="s">
        <v>351</v>
      </c>
      <c r="O16" s="4" t="s">
        <v>432</v>
      </c>
      <c r="R16" s="4">
        <v>7</v>
      </c>
      <c r="S16" s="4">
        <v>86</v>
      </c>
      <c r="V16" s="4">
        <v>2</v>
      </c>
      <c r="AD16" s="4">
        <v>32</v>
      </c>
      <c r="AE16" s="4">
        <v>18</v>
      </c>
      <c r="AF16" s="4">
        <v>53</v>
      </c>
      <c r="AG16" s="4">
        <v>561</v>
      </c>
      <c r="AK16" s="4">
        <v>118</v>
      </c>
      <c r="AM16" s="4">
        <v>4</v>
      </c>
      <c r="AN16" s="4">
        <v>23</v>
      </c>
      <c r="AR16" s="4">
        <v>3</v>
      </c>
      <c r="AU16" s="4">
        <v>17</v>
      </c>
      <c r="AX16" s="4">
        <v>2</v>
      </c>
      <c r="AY16" s="4">
        <v>4</v>
      </c>
      <c r="BB16" s="4">
        <v>1</v>
      </c>
      <c r="BC16" s="4">
        <v>34</v>
      </c>
      <c r="BD16" s="4">
        <v>1</v>
      </c>
      <c r="BE16" s="4">
        <v>12</v>
      </c>
      <c r="BF16" s="4">
        <v>47</v>
      </c>
      <c r="BJ16" s="4" t="s">
        <v>353</v>
      </c>
      <c r="BK16" s="4">
        <v>29.868120000000001</v>
      </c>
      <c r="BL16" s="4">
        <v>-81.268270000000001</v>
      </c>
      <c r="BO16" s="4">
        <v>3</v>
      </c>
      <c r="BP16" s="4" t="s">
        <v>414</v>
      </c>
      <c r="BY16" s="4" t="s">
        <v>433</v>
      </c>
      <c r="BZ16" s="4" t="s">
        <v>353</v>
      </c>
      <c r="CA16" s="4">
        <v>29.871189999999999</v>
      </c>
      <c r="CB16" s="4">
        <v>-81.269260000000003</v>
      </c>
      <c r="CM16" s="4">
        <v>9</v>
      </c>
      <c r="CN16" s="4" t="s">
        <v>416</v>
      </c>
      <c r="CO16" s="4" t="s">
        <v>434</v>
      </c>
      <c r="CP16" s="4" t="s">
        <v>353</v>
      </c>
      <c r="CQ16" s="4">
        <v>29.878879999999999</v>
      </c>
      <c r="CR16" s="4">
        <v>-81.271709999999999</v>
      </c>
      <c r="CY16" s="4">
        <v>4</v>
      </c>
      <c r="CZ16" s="4" t="s">
        <v>416</v>
      </c>
      <c r="DC16" s="4">
        <v>12</v>
      </c>
      <c r="DD16" s="4" t="s">
        <v>435</v>
      </c>
      <c r="DE16" s="4" t="s">
        <v>419</v>
      </c>
      <c r="DF16" s="4" t="s">
        <v>353</v>
      </c>
      <c r="DG16" s="4">
        <v>29.895199999999999</v>
      </c>
      <c r="DH16" s="4">
        <v>-81.275899999999993</v>
      </c>
      <c r="DS16" s="4">
        <v>2</v>
      </c>
      <c r="DT16" s="4" t="s">
        <v>436</v>
      </c>
      <c r="DV16" s="4" t="s">
        <v>353</v>
      </c>
      <c r="DW16" s="4">
        <v>29.901969999999999</v>
      </c>
      <c r="DX16" s="4">
        <v>-81.276759999999996</v>
      </c>
      <c r="EE16" s="4">
        <v>32</v>
      </c>
      <c r="EG16" s="4" t="s">
        <v>416</v>
      </c>
      <c r="EL16" s="4" t="s">
        <v>364</v>
      </c>
    </row>
    <row r="17" spans="1:190" ht="15.75" customHeight="1" x14ac:dyDescent="0.2">
      <c r="A17" s="3">
        <v>43499.419026944444</v>
      </c>
      <c r="B17" s="4" t="s">
        <v>437</v>
      </c>
      <c r="C17" s="4" t="s">
        <v>438</v>
      </c>
      <c r="D17" s="5">
        <v>43497</v>
      </c>
      <c r="E17" s="4" t="s">
        <v>439</v>
      </c>
      <c r="J17" s="6">
        <v>0.42430555555620231</v>
      </c>
      <c r="K17" s="4" t="s">
        <v>348</v>
      </c>
      <c r="L17" s="4" t="s">
        <v>349</v>
      </c>
      <c r="M17" s="4" t="s">
        <v>350</v>
      </c>
      <c r="N17" s="4" t="s">
        <v>351</v>
      </c>
      <c r="P17" s="4">
        <v>2</v>
      </c>
      <c r="Q17" s="4"/>
      <c r="R17" s="4">
        <v>24</v>
      </c>
      <c r="S17" s="4">
        <v>65</v>
      </c>
      <c r="T17" s="4"/>
      <c r="U17" s="4"/>
      <c r="V17" s="4"/>
      <c r="W17" s="4"/>
      <c r="X17" s="4"/>
      <c r="Y17" s="4"/>
      <c r="Z17" s="4"/>
      <c r="AA17" s="4"/>
      <c r="AB17" s="4"/>
      <c r="AC17" s="4">
        <v>4</v>
      </c>
      <c r="AD17" s="4"/>
      <c r="AE17" s="4">
        <v>23</v>
      </c>
      <c r="AF17" s="4">
        <v>85</v>
      </c>
      <c r="AG17" s="4">
        <v>50</v>
      </c>
      <c r="AH17" s="4"/>
      <c r="AI17" s="4">
        <v>15</v>
      </c>
      <c r="AJ17" s="4"/>
      <c r="AK17" s="4"/>
      <c r="AL17" s="4"/>
      <c r="AM17" s="4">
        <v>46</v>
      </c>
      <c r="AN17" s="4"/>
      <c r="AO17" s="4"/>
      <c r="AP17" s="4"/>
      <c r="AQ17" s="4"/>
      <c r="AR17" s="4"/>
      <c r="AS17" s="4"/>
      <c r="AT17" s="4"/>
      <c r="AU17" s="4">
        <v>20</v>
      </c>
      <c r="AV17" s="4"/>
      <c r="AW17" s="4"/>
      <c r="AX17" s="4"/>
      <c r="AY17" s="4">
        <v>12</v>
      </c>
      <c r="AZ17" s="4"/>
      <c r="BA17" s="4"/>
      <c r="BB17" s="4"/>
      <c r="BC17" s="4">
        <v>9</v>
      </c>
      <c r="BD17" s="4"/>
      <c r="BE17" s="4">
        <v>45</v>
      </c>
      <c r="BF17" s="4">
        <v>52</v>
      </c>
      <c r="BG17" s="4"/>
      <c r="BH17" s="4"/>
      <c r="BI17" s="4"/>
      <c r="BJ17" s="4" t="s">
        <v>353</v>
      </c>
      <c r="BK17" s="4">
        <v>28.213560999999999</v>
      </c>
      <c r="BL17" s="4">
        <v>-82.846671000000001</v>
      </c>
      <c r="BM17" s="4">
        <v>0</v>
      </c>
      <c r="BO17" s="4">
        <v>0</v>
      </c>
      <c r="BQ17" s="4">
        <v>4</v>
      </c>
      <c r="BR17" s="4" t="s">
        <v>440</v>
      </c>
      <c r="BS17" s="4">
        <v>0</v>
      </c>
      <c r="BU17" s="4">
        <v>0</v>
      </c>
      <c r="BW17" s="4">
        <v>0</v>
      </c>
      <c r="BY17" s="4" t="s">
        <v>441</v>
      </c>
      <c r="BZ17" s="4" t="s">
        <v>353</v>
      </c>
      <c r="CA17" s="4">
        <v>28.21565</v>
      </c>
      <c r="CB17" s="4">
        <v>-82.847988999999998</v>
      </c>
      <c r="CC17" s="4">
        <v>2</v>
      </c>
      <c r="CD17" s="4" t="s">
        <v>440</v>
      </c>
      <c r="CE17" s="4">
        <v>0</v>
      </c>
      <c r="CG17" s="4">
        <v>0</v>
      </c>
      <c r="CI17" s="4">
        <v>0</v>
      </c>
      <c r="CK17" s="4">
        <v>9</v>
      </c>
      <c r="CL17" s="4" t="s">
        <v>442</v>
      </c>
      <c r="CM17" s="4">
        <v>0</v>
      </c>
      <c r="CO17" s="4" t="s">
        <v>443</v>
      </c>
      <c r="CP17" s="4" t="s">
        <v>353</v>
      </c>
      <c r="CQ17" s="4">
        <v>28.192426999999999</v>
      </c>
      <c r="CR17" s="4">
        <v>-82.851169999999996</v>
      </c>
      <c r="CS17" s="4">
        <v>0</v>
      </c>
      <c r="CU17" s="4">
        <v>0</v>
      </c>
      <c r="CW17" s="4">
        <v>0</v>
      </c>
      <c r="CY17" s="4">
        <v>0</v>
      </c>
      <c r="DA17" s="4">
        <v>1</v>
      </c>
      <c r="DB17" s="4" t="s">
        <v>444</v>
      </c>
      <c r="DC17" s="4">
        <v>0</v>
      </c>
      <c r="DE17" s="4" t="s">
        <v>445</v>
      </c>
      <c r="DF17" s="4" t="s">
        <v>353</v>
      </c>
      <c r="DG17" s="4">
        <v>28.173173999999999</v>
      </c>
      <c r="DH17" s="4">
        <v>-82.850075000000004</v>
      </c>
      <c r="DI17" s="4">
        <v>0</v>
      </c>
      <c r="DK17" s="4">
        <v>0</v>
      </c>
      <c r="DM17" s="4">
        <v>0</v>
      </c>
      <c r="DO17" s="4">
        <v>0</v>
      </c>
      <c r="DQ17" s="4">
        <v>5</v>
      </c>
      <c r="DR17" s="4" t="s">
        <v>440</v>
      </c>
      <c r="DS17" s="4">
        <v>0</v>
      </c>
      <c r="DV17" s="4" t="s">
        <v>359</v>
      </c>
    </row>
    <row r="18" spans="1:190" ht="15.75" customHeight="1" x14ac:dyDescent="0.2">
      <c r="A18" s="3">
        <v>43501.361196400467</v>
      </c>
      <c r="B18" s="4" t="s">
        <v>437</v>
      </c>
      <c r="C18" s="4" t="s">
        <v>446</v>
      </c>
      <c r="D18" s="5">
        <v>43497</v>
      </c>
      <c r="E18" s="4" t="s">
        <v>447</v>
      </c>
      <c r="J18" s="6">
        <v>0.38541666666424135</v>
      </c>
      <c r="K18" s="4" t="s">
        <v>348</v>
      </c>
      <c r="L18" s="4" t="s">
        <v>349</v>
      </c>
      <c r="M18" s="4" t="s">
        <v>350</v>
      </c>
      <c r="N18" s="4" t="s">
        <v>351</v>
      </c>
      <c r="P18" s="4">
        <v>2</v>
      </c>
      <c r="Q18" s="4"/>
      <c r="R18" s="4">
        <v>9</v>
      </c>
      <c r="S18" s="4">
        <v>22</v>
      </c>
      <c r="T18" s="4"/>
      <c r="U18" s="4"/>
      <c r="V18" s="4"/>
      <c r="W18" s="4"/>
      <c r="X18" s="4"/>
      <c r="Y18" s="4"/>
      <c r="Z18" s="4"/>
      <c r="AA18" s="4"/>
      <c r="AB18" s="4"/>
      <c r="AC18" s="4">
        <v>2</v>
      </c>
      <c r="AD18" s="4">
        <v>65</v>
      </c>
      <c r="AE18" s="4">
        <v>24</v>
      </c>
      <c r="AF18" s="4">
        <v>37</v>
      </c>
      <c r="AG18" s="4">
        <v>8</v>
      </c>
      <c r="AH18" s="4"/>
      <c r="AI18" s="4">
        <v>14</v>
      </c>
      <c r="AJ18" s="4"/>
      <c r="AK18" s="4"/>
      <c r="AL18" s="4"/>
      <c r="AM18" s="4">
        <v>25</v>
      </c>
      <c r="AN18" s="4"/>
      <c r="AO18" s="4"/>
      <c r="AP18" s="4"/>
      <c r="AQ18" s="4"/>
      <c r="AR18" s="4"/>
      <c r="AS18" s="4"/>
      <c r="AT18" s="4"/>
      <c r="AU18" s="4">
        <v>35</v>
      </c>
      <c r="AV18" s="4">
        <v>2</v>
      </c>
      <c r="AW18" s="4"/>
      <c r="AX18" s="4">
        <v>35</v>
      </c>
      <c r="AY18" s="4">
        <v>52</v>
      </c>
      <c r="AZ18" s="4"/>
      <c r="BA18" s="4"/>
      <c r="BB18" s="4"/>
      <c r="BC18" s="4">
        <v>52</v>
      </c>
      <c r="BD18" s="4"/>
      <c r="BE18" s="4">
        <v>4</v>
      </c>
      <c r="BF18" s="4">
        <v>170</v>
      </c>
      <c r="BG18" s="4"/>
      <c r="BH18" s="4"/>
      <c r="BI18" s="4"/>
      <c r="BJ18" s="4" t="s">
        <v>353</v>
      </c>
      <c r="BK18" s="4">
        <v>28.15738</v>
      </c>
      <c r="BL18" s="4">
        <v>-82.836879999999994</v>
      </c>
      <c r="BM18" s="4">
        <v>0</v>
      </c>
      <c r="BO18" s="4">
        <v>0</v>
      </c>
      <c r="BQ18" s="4">
        <v>0</v>
      </c>
      <c r="BS18" s="4">
        <v>0</v>
      </c>
      <c r="BU18" s="4">
        <v>0</v>
      </c>
      <c r="BW18" s="4">
        <v>0</v>
      </c>
      <c r="BY18" s="4" t="s">
        <v>449</v>
      </c>
      <c r="BZ18" s="4" t="s">
        <v>353</v>
      </c>
      <c r="CA18" s="4">
        <v>28.15738</v>
      </c>
      <c r="CB18" s="4">
        <v>-82.837800000000001</v>
      </c>
      <c r="CC18" s="4">
        <v>0</v>
      </c>
      <c r="CE18" s="4">
        <v>0</v>
      </c>
      <c r="CG18" s="4">
        <v>2</v>
      </c>
      <c r="CH18" s="4" t="s">
        <v>440</v>
      </c>
      <c r="CI18" s="4">
        <v>11</v>
      </c>
      <c r="CJ18" s="4" t="s">
        <v>440</v>
      </c>
      <c r="CK18" s="4">
        <v>1</v>
      </c>
      <c r="CL18" s="4" t="s">
        <v>440</v>
      </c>
      <c r="CM18" s="4">
        <v>0</v>
      </c>
      <c r="CO18" s="4" t="s">
        <v>450</v>
      </c>
      <c r="CP18" s="4" t="s">
        <v>353</v>
      </c>
      <c r="CQ18" s="4">
        <v>28.15672</v>
      </c>
      <c r="CR18" s="4">
        <v>-82.838409999999996</v>
      </c>
      <c r="CS18" s="4">
        <v>2</v>
      </c>
      <c r="CT18" s="4" t="s">
        <v>440</v>
      </c>
      <c r="CU18" s="4">
        <v>0</v>
      </c>
      <c r="CW18" s="4">
        <v>0</v>
      </c>
      <c r="CY18" s="4">
        <v>17</v>
      </c>
      <c r="CZ18" s="4" t="s">
        <v>440</v>
      </c>
      <c r="DA18" s="4">
        <v>3</v>
      </c>
      <c r="DB18" s="4" t="s">
        <v>440</v>
      </c>
      <c r="DC18" s="4">
        <v>0</v>
      </c>
      <c r="DE18" s="4" t="s">
        <v>451</v>
      </c>
      <c r="DF18" s="4" t="s">
        <v>353</v>
      </c>
      <c r="DG18" s="4">
        <v>28.157620000000001</v>
      </c>
      <c r="DH18" s="4">
        <v>-82.841579999999993</v>
      </c>
      <c r="DI18" s="4">
        <v>0</v>
      </c>
      <c r="DK18" s="4">
        <v>0</v>
      </c>
      <c r="DM18" s="4">
        <v>0</v>
      </c>
      <c r="DO18" s="4">
        <v>26</v>
      </c>
      <c r="DP18" s="4" t="s">
        <v>452</v>
      </c>
      <c r="DQ18" s="4">
        <v>4</v>
      </c>
      <c r="DR18" s="4" t="s">
        <v>440</v>
      </c>
      <c r="DS18" s="4">
        <v>0</v>
      </c>
      <c r="DU18" s="4" t="s">
        <v>453</v>
      </c>
      <c r="DV18" s="4" t="s">
        <v>353</v>
      </c>
      <c r="DW18" s="4">
        <v>28.125679000000002</v>
      </c>
      <c r="DX18" s="4">
        <v>-82.842380000000006</v>
      </c>
      <c r="DY18" s="4">
        <v>0</v>
      </c>
      <c r="EA18" s="4">
        <v>0</v>
      </c>
      <c r="EC18" s="4">
        <v>0</v>
      </c>
      <c r="EE18" s="4">
        <v>10</v>
      </c>
      <c r="EF18" s="4">
        <v>0</v>
      </c>
      <c r="EG18" s="4" t="s">
        <v>452</v>
      </c>
      <c r="EJ18" s="4">
        <v>0</v>
      </c>
      <c r="EK18" s="4" t="s">
        <v>454</v>
      </c>
      <c r="EL18" s="4" t="s">
        <v>353</v>
      </c>
      <c r="EM18" s="4">
        <v>28.158629999999999</v>
      </c>
      <c r="EN18" s="4">
        <v>-82.844650000000001</v>
      </c>
      <c r="EO18" s="4">
        <v>0</v>
      </c>
      <c r="EQ18" s="4">
        <v>0</v>
      </c>
      <c r="ES18" s="4">
        <v>0</v>
      </c>
      <c r="EU18" s="4">
        <v>1</v>
      </c>
      <c r="EV18" s="4" t="s">
        <v>452</v>
      </c>
      <c r="EW18" s="4">
        <v>1</v>
      </c>
      <c r="EX18" s="4" t="s">
        <v>452</v>
      </c>
      <c r="EY18" s="4">
        <v>0</v>
      </c>
      <c r="FA18" s="4" t="s">
        <v>455</v>
      </c>
      <c r="FB18" s="4" t="s">
        <v>353</v>
      </c>
      <c r="FC18" s="4">
        <v>28.16348</v>
      </c>
      <c r="FD18" s="4">
        <v>-82.847359999999995</v>
      </c>
      <c r="FE18" s="4">
        <v>0</v>
      </c>
      <c r="FG18" s="4">
        <v>0</v>
      </c>
      <c r="FI18" s="4">
        <v>0</v>
      </c>
      <c r="FK18" s="4">
        <v>0</v>
      </c>
      <c r="FM18" s="4">
        <v>1</v>
      </c>
      <c r="FN18" s="4" t="s">
        <v>440</v>
      </c>
      <c r="FO18" s="4">
        <v>0</v>
      </c>
      <c r="FR18" s="4" t="s">
        <v>353</v>
      </c>
      <c r="FS18" s="4">
        <v>28.16348</v>
      </c>
      <c r="FT18" s="4">
        <v>-82.849019999999996</v>
      </c>
      <c r="FU18" s="4">
        <v>0</v>
      </c>
      <c r="FW18" s="4">
        <v>0</v>
      </c>
      <c r="FY18" s="4">
        <v>0</v>
      </c>
      <c r="GA18" s="4">
        <v>0</v>
      </c>
      <c r="GC18" s="4">
        <v>4</v>
      </c>
      <c r="GD18" s="4" t="s">
        <v>440</v>
      </c>
      <c r="GE18" s="4">
        <v>0</v>
      </c>
      <c r="GH18" s="4" t="s">
        <v>359</v>
      </c>
    </row>
    <row r="19" spans="1:190" ht="15.75" customHeight="1" x14ac:dyDescent="0.2">
      <c r="A19" s="3">
        <v>43504.524214606485</v>
      </c>
      <c r="B19" s="4" t="s">
        <v>456</v>
      </c>
      <c r="C19" s="4" t="s">
        <v>457</v>
      </c>
      <c r="D19" s="5">
        <v>43501</v>
      </c>
      <c r="E19" s="4" t="s">
        <v>458</v>
      </c>
      <c r="J19" s="6">
        <v>0.48263888889050577</v>
      </c>
      <c r="K19" s="4" t="s">
        <v>363</v>
      </c>
      <c r="L19" s="4" t="s">
        <v>358</v>
      </c>
      <c r="M19" s="4" t="s">
        <v>350</v>
      </c>
      <c r="N19" s="4" t="s">
        <v>351</v>
      </c>
      <c r="P19" s="4">
        <v>3</v>
      </c>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v>1</v>
      </c>
      <c r="BF19" s="4"/>
      <c r="BG19" s="4"/>
      <c r="BH19" s="4"/>
      <c r="BI19" s="4"/>
      <c r="BJ19" s="4" t="s">
        <v>353</v>
      </c>
      <c r="BK19" s="4">
        <v>29.708600000000001</v>
      </c>
      <c r="BL19" s="4">
        <v>-85.011409999999998</v>
      </c>
      <c r="BM19" s="4">
        <v>3</v>
      </c>
      <c r="BN19" s="4" t="s">
        <v>459</v>
      </c>
      <c r="BO19" s="4">
        <v>0</v>
      </c>
      <c r="BP19" s="4">
        <v>0</v>
      </c>
      <c r="BQ19" s="4">
        <v>0</v>
      </c>
      <c r="BR19" s="4">
        <v>0</v>
      </c>
      <c r="BS19" s="4">
        <v>0</v>
      </c>
      <c r="BT19" s="4">
        <v>0</v>
      </c>
      <c r="BU19" s="4">
        <v>0</v>
      </c>
      <c r="BV19" s="4">
        <v>0</v>
      </c>
      <c r="BW19" s="4">
        <v>0</v>
      </c>
      <c r="BX19" s="4">
        <v>0</v>
      </c>
      <c r="BY19" s="4">
        <v>0</v>
      </c>
      <c r="BZ19" s="4" t="s">
        <v>354</v>
      </c>
    </row>
    <row r="20" spans="1:190" ht="15.75" customHeight="1" x14ac:dyDescent="0.2">
      <c r="A20" s="3">
        <v>43503.625785393517</v>
      </c>
      <c r="B20" s="4" t="s">
        <v>460</v>
      </c>
      <c r="C20" s="4" t="str">
        <f>O20</f>
        <v>Apalachicola River Delta</v>
      </c>
      <c r="D20" s="5">
        <v>43501</v>
      </c>
      <c r="E20" s="4" t="s">
        <v>461</v>
      </c>
      <c r="F20" s="4">
        <v>29.784050000000001</v>
      </c>
      <c r="G20" s="4">
        <v>-84.910849999999996</v>
      </c>
      <c r="H20" s="4">
        <v>29.734059999999999</v>
      </c>
      <c r="I20" s="4">
        <v>-84.967650000000006</v>
      </c>
      <c r="J20" s="6">
        <v>0.4180555555576575</v>
      </c>
      <c r="K20" s="4" t="s">
        <v>348</v>
      </c>
      <c r="L20" s="4" t="s">
        <v>358</v>
      </c>
      <c r="M20" s="4" t="s">
        <v>350</v>
      </c>
      <c r="N20" s="4" t="s">
        <v>351</v>
      </c>
      <c r="O20" s="4" t="s">
        <v>462</v>
      </c>
      <c r="P20" s="4">
        <v>2</v>
      </c>
      <c r="Q20" s="4"/>
      <c r="R20" s="4">
        <v>18</v>
      </c>
      <c r="S20" s="4">
        <v>50</v>
      </c>
      <c r="T20" s="4"/>
      <c r="U20" s="4"/>
      <c r="V20" s="4">
        <v>50</v>
      </c>
      <c r="W20" s="4">
        <v>4</v>
      </c>
      <c r="X20" s="4"/>
      <c r="Y20" s="4"/>
      <c r="Z20" s="4">
        <v>1</v>
      </c>
      <c r="AA20" s="4"/>
      <c r="AB20" s="4"/>
      <c r="AC20" s="4"/>
      <c r="AD20" s="4"/>
      <c r="AE20" s="4"/>
      <c r="AF20" s="4"/>
      <c r="AG20" s="4"/>
      <c r="AH20" s="4"/>
      <c r="AI20" s="4"/>
      <c r="AJ20" s="4"/>
      <c r="AK20" s="4"/>
      <c r="AL20" s="4"/>
      <c r="AM20" s="4"/>
      <c r="AN20" s="4"/>
      <c r="AO20" s="4"/>
      <c r="AP20" s="4"/>
      <c r="AQ20" s="4"/>
      <c r="AR20" s="4"/>
      <c r="AS20" s="4">
        <v>8</v>
      </c>
      <c r="AT20" s="4"/>
      <c r="AU20" s="4">
        <v>4</v>
      </c>
      <c r="AV20" s="4">
        <v>3</v>
      </c>
      <c r="AW20" s="4"/>
      <c r="AX20" s="4"/>
      <c r="AY20" s="4">
        <v>28</v>
      </c>
      <c r="AZ20" s="4"/>
      <c r="BA20" s="4"/>
      <c r="BB20" s="4"/>
      <c r="BC20" s="4"/>
      <c r="BD20" s="4"/>
      <c r="BE20" s="4">
        <v>18</v>
      </c>
      <c r="BF20" s="7" t="s">
        <v>368</v>
      </c>
      <c r="BG20" s="4"/>
      <c r="BH20" s="4"/>
      <c r="BI20" s="4"/>
      <c r="BJ20" s="4" t="s">
        <v>353</v>
      </c>
      <c r="BK20" s="4">
        <v>29.758099999999999</v>
      </c>
      <c r="BL20" s="4">
        <v>-84.927800000000005</v>
      </c>
      <c r="BM20" s="4">
        <v>0</v>
      </c>
      <c r="BO20" s="4">
        <v>0</v>
      </c>
      <c r="BQ20" s="4">
        <v>0</v>
      </c>
      <c r="BS20" s="4">
        <v>0</v>
      </c>
      <c r="BU20" s="4">
        <v>0</v>
      </c>
      <c r="BW20" s="4">
        <v>0</v>
      </c>
      <c r="BY20" s="4" t="s">
        <v>463</v>
      </c>
      <c r="BZ20" s="4" t="s">
        <v>353</v>
      </c>
      <c r="CA20" s="4">
        <v>29.738530000000001</v>
      </c>
      <c r="CB20" s="4">
        <v>-84.9636</v>
      </c>
      <c r="CC20" s="4">
        <v>2</v>
      </c>
      <c r="CD20" s="4" t="s">
        <v>464</v>
      </c>
      <c r="CE20" s="4">
        <v>0</v>
      </c>
      <c r="CG20" s="4">
        <v>0</v>
      </c>
      <c r="CI20" s="4">
        <v>0</v>
      </c>
      <c r="CK20" s="4">
        <v>0</v>
      </c>
      <c r="CM20" s="4">
        <v>0</v>
      </c>
      <c r="CO20" s="4" t="s">
        <v>465</v>
      </c>
      <c r="CP20" s="4" t="s">
        <v>466</v>
      </c>
    </row>
    <row r="21" spans="1:190" ht="15.75" customHeight="1" x14ac:dyDescent="0.2">
      <c r="A21" s="3">
        <v>43510.493450567126</v>
      </c>
      <c r="B21" s="4" t="s">
        <v>467</v>
      </c>
      <c r="C21" s="4" t="s">
        <v>468</v>
      </c>
      <c r="D21" s="5">
        <v>43500</v>
      </c>
      <c r="E21" s="4" t="s">
        <v>469</v>
      </c>
      <c r="J21" s="6">
        <v>0.42847222222189885</v>
      </c>
      <c r="N21" s="4" t="s">
        <v>351</v>
      </c>
      <c r="U21" s="4">
        <v>23</v>
      </c>
      <c r="AE21" s="4">
        <v>76</v>
      </c>
      <c r="AF21" s="4">
        <v>98</v>
      </c>
      <c r="AG21" s="4">
        <v>1</v>
      </c>
      <c r="AY21" s="4">
        <v>1</v>
      </c>
      <c r="BC21" s="4">
        <v>247</v>
      </c>
      <c r="BD21" s="4">
        <v>24</v>
      </c>
      <c r="BE21" s="4">
        <v>163</v>
      </c>
      <c r="BF21" s="4">
        <v>86</v>
      </c>
      <c r="BG21" s="4">
        <v>19</v>
      </c>
      <c r="BJ21" s="4" t="s">
        <v>364</v>
      </c>
    </row>
    <row r="22" spans="1:190" ht="15.75" customHeight="1" x14ac:dyDescent="0.2">
      <c r="A22" s="3">
        <v>43502.377488020837</v>
      </c>
      <c r="B22" s="4" t="s">
        <v>470</v>
      </c>
      <c r="C22" s="4" t="s">
        <v>471</v>
      </c>
      <c r="D22" s="5">
        <v>43500</v>
      </c>
      <c r="E22" s="4" t="s">
        <v>472</v>
      </c>
      <c r="J22" s="6">
        <v>0.60624999999708962</v>
      </c>
      <c r="K22" s="4" t="s">
        <v>379</v>
      </c>
      <c r="L22" s="4" t="s">
        <v>358</v>
      </c>
      <c r="M22" s="4" t="s">
        <v>350</v>
      </c>
      <c r="N22" s="4" t="s">
        <v>351</v>
      </c>
      <c r="P22" s="4">
        <v>0</v>
      </c>
      <c r="Q22" s="4"/>
      <c r="R22" s="4"/>
      <c r="S22" s="4"/>
      <c r="T22" s="4"/>
      <c r="U22" s="4"/>
      <c r="V22" s="4"/>
      <c r="W22" s="4"/>
      <c r="X22" s="4"/>
      <c r="Y22" s="4"/>
      <c r="AA22" s="4"/>
      <c r="AB22" s="4"/>
      <c r="AC22" s="4"/>
      <c r="AD22" s="4"/>
      <c r="AE22" s="4">
        <v>72</v>
      </c>
      <c r="AF22" s="4">
        <v>101</v>
      </c>
      <c r="AG22" s="4">
        <v>7</v>
      </c>
      <c r="AH22" s="4">
        <v>5</v>
      </c>
      <c r="AI22" s="4"/>
      <c r="AJ22" s="4"/>
      <c r="AK22" s="4"/>
      <c r="AL22" s="4"/>
      <c r="AM22" s="4"/>
      <c r="AN22" s="4"/>
      <c r="AO22" s="4"/>
      <c r="AP22" s="4"/>
      <c r="AQ22" s="4"/>
      <c r="AR22" s="4"/>
      <c r="AS22" s="4"/>
      <c r="AT22" s="4"/>
      <c r="AU22" s="4">
        <v>5</v>
      </c>
      <c r="AV22" s="4"/>
      <c r="AW22" s="4"/>
      <c r="AX22" s="4"/>
      <c r="AY22" s="4"/>
      <c r="AZ22" s="4"/>
      <c r="BA22" s="4"/>
      <c r="BB22" s="4">
        <v>1</v>
      </c>
      <c r="BC22" s="4">
        <v>3</v>
      </c>
      <c r="BD22" s="4"/>
      <c r="BE22" s="4">
        <v>1</v>
      </c>
      <c r="BF22" s="4"/>
      <c r="BG22" s="4"/>
      <c r="BH22" s="4"/>
      <c r="BI22" s="4"/>
      <c r="BJ22" s="4" t="s">
        <v>353</v>
      </c>
      <c r="BK22" s="4">
        <v>24.660599999999999</v>
      </c>
      <c r="BL22" s="4">
        <v>-81.267949999999999</v>
      </c>
      <c r="BM22" s="4">
        <v>0</v>
      </c>
      <c r="BN22" s="4">
        <v>0</v>
      </c>
      <c r="BO22" s="4">
        <v>0</v>
      </c>
      <c r="BP22" s="4">
        <v>0</v>
      </c>
      <c r="BQ22" s="4">
        <v>0</v>
      </c>
      <c r="BR22" s="4">
        <v>0</v>
      </c>
      <c r="BS22" s="4">
        <v>0</v>
      </c>
      <c r="BT22" s="4">
        <v>0</v>
      </c>
      <c r="BU22" s="4">
        <v>0</v>
      </c>
      <c r="BV22" s="4">
        <v>0</v>
      </c>
      <c r="BW22" s="4">
        <v>0</v>
      </c>
      <c r="BX22" s="4">
        <v>0</v>
      </c>
      <c r="BY22" s="4" t="s">
        <v>473</v>
      </c>
      <c r="BZ22" s="4" t="s">
        <v>364</v>
      </c>
    </row>
    <row r="23" spans="1:190" ht="15.75" customHeight="1" x14ac:dyDescent="0.2">
      <c r="A23" s="3">
        <v>43509.385556180554</v>
      </c>
      <c r="B23" s="4" t="s">
        <v>470</v>
      </c>
      <c r="C23" s="4" t="s">
        <v>471</v>
      </c>
      <c r="D23" s="5">
        <v>43500</v>
      </c>
      <c r="E23" s="4" t="s">
        <v>472</v>
      </c>
      <c r="J23" s="6">
        <v>0.60624999999708962</v>
      </c>
      <c r="K23" s="4" t="s">
        <v>379</v>
      </c>
      <c r="L23" s="4" t="s">
        <v>358</v>
      </c>
      <c r="M23" s="4" t="s">
        <v>350</v>
      </c>
      <c r="N23" s="4" t="s">
        <v>351</v>
      </c>
      <c r="P23" s="4">
        <v>0</v>
      </c>
      <c r="Q23" s="4"/>
      <c r="R23" s="4"/>
      <c r="S23" s="4"/>
      <c r="T23" s="4"/>
      <c r="U23" s="4"/>
      <c r="V23" s="4"/>
      <c r="W23" s="4"/>
      <c r="X23" s="4"/>
      <c r="Y23" s="4"/>
      <c r="Z23" s="4"/>
      <c r="AB23" s="4"/>
      <c r="AC23" s="4"/>
      <c r="AD23" s="4"/>
      <c r="AE23" s="4">
        <v>72</v>
      </c>
      <c r="AF23" s="4">
        <v>101</v>
      </c>
      <c r="AG23" s="4">
        <v>7</v>
      </c>
      <c r="AH23" s="4">
        <v>5</v>
      </c>
      <c r="AI23" s="4"/>
      <c r="AJ23" s="4"/>
      <c r="AK23" s="4"/>
      <c r="AL23" s="4"/>
      <c r="AM23" s="4"/>
      <c r="AN23" s="4"/>
      <c r="AO23" s="4"/>
      <c r="AR23" s="4"/>
      <c r="AS23" s="4"/>
      <c r="AT23" s="4"/>
      <c r="AU23" s="4">
        <v>5</v>
      </c>
      <c r="AV23" s="4"/>
      <c r="AW23" s="4"/>
      <c r="AX23" s="4"/>
      <c r="AY23" s="4"/>
      <c r="AZ23" s="4"/>
      <c r="BA23" s="4"/>
      <c r="BB23" s="4">
        <v>1</v>
      </c>
      <c r="BC23" s="4">
        <v>3</v>
      </c>
      <c r="BD23" s="4"/>
      <c r="BE23" s="4">
        <v>1</v>
      </c>
      <c r="BF23" s="4"/>
      <c r="BG23" s="4"/>
      <c r="BH23" s="4"/>
      <c r="BI23" s="4"/>
      <c r="BJ23" s="4" t="s">
        <v>353</v>
      </c>
      <c r="BK23" s="4">
        <v>24.660599999999999</v>
      </c>
      <c r="BL23" s="4">
        <v>-81.267949999999999</v>
      </c>
      <c r="BM23" s="4">
        <v>0</v>
      </c>
      <c r="BN23" s="4">
        <v>0</v>
      </c>
      <c r="BO23" s="4">
        <v>0</v>
      </c>
      <c r="BP23" s="4">
        <v>0</v>
      </c>
      <c r="BQ23" s="4">
        <v>0</v>
      </c>
      <c r="BR23" s="4">
        <v>0</v>
      </c>
      <c r="BS23" s="4">
        <v>0</v>
      </c>
      <c r="BT23" s="4">
        <v>0</v>
      </c>
      <c r="BU23" s="4">
        <v>0</v>
      </c>
      <c r="BV23" s="4">
        <v>0</v>
      </c>
      <c r="BW23" s="4">
        <v>0</v>
      </c>
      <c r="BX23" s="4">
        <v>0</v>
      </c>
      <c r="BY23" s="4" t="s">
        <v>474</v>
      </c>
      <c r="BZ23" s="4" t="s">
        <v>354</v>
      </c>
    </row>
    <row r="24" spans="1:190" ht="15.75" customHeight="1" x14ac:dyDescent="0.2">
      <c r="A24" s="3">
        <v>43503.648506863421</v>
      </c>
      <c r="B24" s="4" t="s">
        <v>460</v>
      </c>
      <c r="C24" s="4" t="s">
        <v>475</v>
      </c>
      <c r="D24" s="5">
        <v>43502</v>
      </c>
      <c r="E24" s="4" t="s">
        <v>461</v>
      </c>
      <c r="J24" s="6">
        <v>0.49027777777519077</v>
      </c>
      <c r="K24" s="4" t="s">
        <v>348</v>
      </c>
      <c r="L24" s="4" t="s">
        <v>358</v>
      </c>
      <c r="M24" s="4" t="s">
        <v>350</v>
      </c>
      <c r="N24" s="4" t="s">
        <v>351</v>
      </c>
      <c r="P24" s="4">
        <v>0</v>
      </c>
      <c r="Q24" s="4"/>
      <c r="R24" s="4">
        <v>1</v>
      </c>
      <c r="S24" s="4"/>
      <c r="T24" s="4"/>
      <c r="U24" s="4"/>
      <c r="V24" s="4"/>
      <c r="W24" s="4"/>
      <c r="X24" s="4"/>
      <c r="Y24" s="4"/>
      <c r="Z24" s="4"/>
      <c r="AA24" s="4"/>
      <c r="AB24" s="4"/>
      <c r="AC24" s="4"/>
      <c r="AD24" s="4"/>
      <c r="AE24" s="4"/>
      <c r="AF24" s="4"/>
      <c r="AG24" s="4"/>
      <c r="AH24" s="4"/>
      <c r="AI24" s="4"/>
      <c r="AJ24" s="4"/>
      <c r="AK24" s="4"/>
      <c r="AL24" s="4"/>
      <c r="AM24" s="4">
        <v>3</v>
      </c>
      <c r="AN24" s="4"/>
      <c r="AO24" s="4"/>
      <c r="AP24" s="4"/>
      <c r="AQ24" s="4"/>
      <c r="AR24" s="4"/>
      <c r="AS24" s="4"/>
      <c r="AT24" s="4"/>
      <c r="AU24" s="4"/>
      <c r="AV24" s="4"/>
      <c r="AW24" s="4"/>
      <c r="AX24" s="4"/>
      <c r="AY24" s="4">
        <v>50</v>
      </c>
      <c r="AZ24" s="4"/>
      <c r="BA24" s="4"/>
      <c r="BB24" s="4"/>
      <c r="BC24" s="4"/>
      <c r="BD24" s="4"/>
      <c r="BE24" s="4">
        <v>20</v>
      </c>
      <c r="BF24" s="4"/>
      <c r="BG24" s="4"/>
      <c r="BH24" s="4"/>
      <c r="BI24" s="4"/>
      <c r="BJ24" s="4" t="s">
        <v>353</v>
      </c>
      <c r="BK24" s="4">
        <v>29.904979999999998</v>
      </c>
      <c r="BL24" s="4">
        <v>-84.340289999999996</v>
      </c>
      <c r="BM24" s="4">
        <v>0</v>
      </c>
      <c r="BO24" s="4">
        <v>0</v>
      </c>
      <c r="BQ24" s="4">
        <v>0</v>
      </c>
      <c r="BS24" s="4">
        <v>0</v>
      </c>
      <c r="BU24" s="4">
        <v>0</v>
      </c>
      <c r="BW24" s="4">
        <v>0</v>
      </c>
      <c r="BY24" s="4" t="s">
        <v>476</v>
      </c>
      <c r="BZ24" s="4" t="s">
        <v>354</v>
      </c>
    </row>
    <row r="25" spans="1:190" ht="15.75" customHeight="1" x14ac:dyDescent="0.2">
      <c r="A25" s="3">
        <v>43503.715316469912</v>
      </c>
      <c r="B25" s="4" t="s">
        <v>372</v>
      </c>
      <c r="C25" s="4" t="s">
        <v>477</v>
      </c>
      <c r="D25" s="5">
        <v>43502</v>
      </c>
      <c r="E25" s="4" t="s">
        <v>478</v>
      </c>
      <c r="J25" s="6">
        <v>0.43055555555474712</v>
      </c>
      <c r="K25" s="4" t="s">
        <v>363</v>
      </c>
      <c r="L25" s="4" t="s">
        <v>349</v>
      </c>
      <c r="M25" s="4" t="s">
        <v>350</v>
      </c>
      <c r="N25" s="4" t="s">
        <v>351</v>
      </c>
      <c r="P25" s="4">
        <v>0</v>
      </c>
      <c r="Q25" s="4"/>
      <c r="R25" s="4">
        <v>12</v>
      </c>
      <c r="S25" s="4">
        <v>50</v>
      </c>
      <c r="T25" s="4">
        <v>1</v>
      </c>
      <c r="U25" s="4"/>
      <c r="V25" s="4"/>
      <c r="W25" s="4">
        <v>1</v>
      </c>
      <c r="X25" s="4"/>
      <c r="Y25" s="4"/>
      <c r="Z25" s="4"/>
      <c r="AA25" s="4"/>
      <c r="AB25" s="4"/>
      <c r="AC25" s="4">
        <v>1</v>
      </c>
      <c r="AD25" s="4"/>
      <c r="AE25" s="4">
        <v>12</v>
      </c>
      <c r="AF25" s="4">
        <v>24</v>
      </c>
      <c r="AG25" s="4">
        <v>16</v>
      </c>
      <c r="AH25" s="4"/>
      <c r="AI25" s="4"/>
      <c r="AJ25" s="4"/>
      <c r="AK25" s="4"/>
      <c r="AL25" s="4"/>
      <c r="AM25" s="4"/>
      <c r="AN25" s="4">
        <v>4</v>
      </c>
      <c r="AO25" s="4"/>
      <c r="AP25" s="4"/>
      <c r="AQ25" s="4"/>
      <c r="AR25" s="4"/>
      <c r="AS25" s="4"/>
      <c r="AT25" s="4"/>
      <c r="AU25" s="4">
        <v>2</v>
      </c>
      <c r="AV25" s="4"/>
      <c r="AW25" s="4"/>
      <c r="AX25" s="4">
        <v>1</v>
      </c>
      <c r="AY25" s="4">
        <v>9</v>
      </c>
      <c r="AZ25" s="4"/>
      <c r="BA25" s="4"/>
      <c r="BB25" s="4"/>
      <c r="BC25" s="4">
        <v>2</v>
      </c>
      <c r="BD25" s="4"/>
      <c r="BE25" s="4">
        <v>7</v>
      </c>
      <c r="BF25" s="4"/>
      <c r="BG25" s="4"/>
      <c r="BH25" s="4"/>
      <c r="BI25" s="4"/>
      <c r="BJ25" s="4" t="s">
        <v>353</v>
      </c>
      <c r="BK25" s="4">
        <v>29.94922</v>
      </c>
      <c r="BL25" s="4">
        <v>-84.339439999999996</v>
      </c>
      <c r="BM25" s="4">
        <v>0</v>
      </c>
      <c r="BO25" s="4">
        <v>0</v>
      </c>
      <c r="BQ25" s="4">
        <v>1</v>
      </c>
      <c r="BR25" s="4" t="s">
        <v>479</v>
      </c>
      <c r="BS25" s="4">
        <v>0</v>
      </c>
      <c r="BU25" s="4">
        <v>0</v>
      </c>
      <c r="BW25" s="4">
        <v>4</v>
      </c>
      <c r="BX25" s="4" t="s">
        <v>480</v>
      </c>
      <c r="BY25" s="4" t="s">
        <v>481</v>
      </c>
      <c r="BZ25" s="4" t="s">
        <v>354</v>
      </c>
    </row>
    <row r="26" spans="1:190" ht="15.75" customHeight="1" x14ac:dyDescent="0.2">
      <c r="A26" s="3">
        <v>43507.716890393523</v>
      </c>
      <c r="B26" s="4" t="s">
        <v>482</v>
      </c>
      <c r="C26" s="9" t="s">
        <v>483</v>
      </c>
      <c r="D26" s="5">
        <v>43504</v>
      </c>
      <c r="E26" s="4" t="s">
        <v>484</v>
      </c>
      <c r="F26" s="4">
        <v>25.903832999999999</v>
      </c>
      <c r="G26" s="4">
        <v>-81.692632000000003</v>
      </c>
      <c r="H26" s="4">
        <v>25.905608000000001</v>
      </c>
      <c r="I26" s="4">
        <v>-81.688478000000003</v>
      </c>
      <c r="J26" s="6">
        <v>0.40277777778101154</v>
      </c>
      <c r="K26" s="4" t="s">
        <v>379</v>
      </c>
      <c r="L26" s="4" t="s">
        <v>358</v>
      </c>
      <c r="M26" s="4" t="s">
        <v>350</v>
      </c>
      <c r="N26" s="4" t="s">
        <v>351</v>
      </c>
      <c r="R26" s="4">
        <v>3</v>
      </c>
      <c r="S26" s="4">
        <v>11</v>
      </c>
      <c r="AM26" s="4">
        <v>36</v>
      </c>
      <c r="AU26" s="4">
        <v>2</v>
      </c>
      <c r="BC26" s="4">
        <v>4</v>
      </c>
      <c r="BF26" s="4">
        <v>2</v>
      </c>
      <c r="BJ26" s="4" t="s">
        <v>364</v>
      </c>
    </row>
    <row r="27" spans="1:190" ht="15.75" customHeight="1" x14ac:dyDescent="0.2">
      <c r="A27" s="3">
        <v>43508.717606956023</v>
      </c>
      <c r="B27" s="4" t="s">
        <v>485</v>
      </c>
      <c r="C27" s="4" t="s">
        <v>486</v>
      </c>
      <c r="D27" s="5">
        <v>43501</v>
      </c>
      <c r="E27" s="4" t="s">
        <v>487</v>
      </c>
      <c r="J27" s="6">
        <v>0.40277777778101154</v>
      </c>
      <c r="M27" s="4" t="s">
        <v>350</v>
      </c>
      <c r="N27" s="4" t="s">
        <v>351</v>
      </c>
      <c r="P27" s="4">
        <v>5</v>
      </c>
      <c r="AM27" s="4">
        <v>5</v>
      </c>
      <c r="AR27" s="4">
        <v>7</v>
      </c>
      <c r="AU27" s="4">
        <v>19</v>
      </c>
      <c r="AV27" s="4">
        <v>2</v>
      </c>
      <c r="AX27" s="4">
        <v>7</v>
      </c>
      <c r="AY27" s="4">
        <v>1</v>
      </c>
      <c r="BC27" s="4">
        <v>111</v>
      </c>
      <c r="BE27" s="4">
        <v>10</v>
      </c>
      <c r="BF27" s="4">
        <v>1</v>
      </c>
      <c r="BJ27" s="4" t="s">
        <v>353</v>
      </c>
      <c r="BK27" s="4">
        <v>28.537845999999998</v>
      </c>
      <c r="BL27" s="4">
        <v>-82.651803999999998</v>
      </c>
      <c r="BM27" s="4">
        <v>5</v>
      </c>
      <c r="BZ27" s="4" t="s">
        <v>353</v>
      </c>
      <c r="CA27" s="4">
        <v>28.533548</v>
      </c>
      <c r="CB27" s="4">
        <v>-82.645258999999996</v>
      </c>
      <c r="CE27" s="4">
        <v>7</v>
      </c>
      <c r="CP27" s="4" t="s">
        <v>466</v>
      </c>
    </row>
    <row r="28" spans="1:190" ht="15.75" customHeight="1" x14ac:dyDescent="0.2">
      <c r="A28" s="3">
        <v>43504.424965648148</v>
      </c>
      <c r="B28" s="4" t="s">
        <v>488</v>
      </c>
      <c r="C28" s="4" t="str">
        <f>O28</f>
        <v>Big Marco Pass CWA</v>
      </c>
      <c r="D28" s="5">
        <v>43500</v>
      </c>
      <c r="E28" s="4" t="s">
        <v>489</v>
      </c>
      <c r="J28" s="6">
        <v>0.4375</v>
      </c>
      <c r="N28" s="4" t="s">
        <v>351</v>
      </c>
      <c r="O28" s="4" t="s">
        <v>490</v>
      </c>
      <c r="R28" s="4">
        <v>5</v>
      </c>
      <c r="S28" s="4">
        <v>66</v>
      </c>
      <c r="V28" s="4">
        <v>7</v>
      </c>
      <c r="Z28" s="4">
        <v>1</v>
      </c>
      <c r="AC28" s="4">
        <v>13</v>
      </c>
      <c r="AE28" s="4">
        <v>14</v>
      </c>
      <c r="AF28" s="4">
        <v>51</v>
      </c>
      <c r="AG28" s="4">
        <v>19</v>
      </c>
      <c r="AN28" s="4">
        <v>39</v>
      </c>
      <c r="AU28" s="4">
        <v>4</v>
      </c>
      <c r="AX28" s="4">
        <v>1</v>
      </c>
      <c r="BE28" s="4">
        <v>6</v>
      </c>
      <c r="BJ28" s="4" t="s">
        <v>353</v>
      </c>
      <c r="BK28" s="4">
        <v>25.947030000000002</v>
      </c>
      <c r="BL28" s="4">
        <v>-81.742310000000003</v>
      </c>
      <c r="BW28" s="4">
        <v>1</v>
      </c>
      <c r="BZ28" s="4" t="s">
        <v>353</v>
      </c>
      <c r="CA28" s="4">
        <v>25.960319999999999</v>
      </c>
      <c r="CB28" s="4">
        <v>-81.751829999999998</v>
      </c>
      <c r="CG28" s="4">
        <v>13</v>
      </c>
      <c r="CH28" s="4" t="s">
        <v>491</v>
      </c>
      <c r="CM28" s="4">
        <v>36</v>
      </c>
      <c r="CO28" s="4" t="s">
        <v>492</v>
      </c>
      <c r="CP28" s="4" t="s">
        <v>353</v>
      </c>
      <c r="CQ28" s="4">
        <v>25.96907079</v>
      </c>
      <c r="CR28" s="4">
        <v>-81.742992999999998</v>
      </c>
      <c r="DC28" s="4">
        <v>3</v>
      </c>
      <c r="DF28" s="4" t="s">
        <v>359</v>
      </c>
    </row>
    <row r="29" spans="1:190" ht="15.75" customHeight="1" x14ac:dyDescent="0.2">
      <c r="A29" s="3">
        <v>43510.380137395834</v>
      </c>
      <c r="B29" s="4" t="s">
        <v>493</v>
      </c>
      <c r="C29" s="4" t="s">
        <v>494</v>
      </c>
      <c r="D29" s="5">
        <v>43497</v>
      </c>
      <c r="E29" s="4" t="s">
        <v>495</v>
      </c>
      <c r="J29" s="6">
        <v>0.44791666666424135</v>
      </c>
      <c r="K29" s="4" t="s">
        <v>363</v>
      </c>
      <c r="L29" s="4" t="s">
        <v>349</v>
      </c>
      <c r="M29" s="4" t="s">
        <v>350</v>
      </c>
      <c r="N29" s="4" t="s">
        <v>351</v>
      </c>
      <c r="P29" s="4">
        <v>0</v>
      </c>
      <c r="Q29" s="4"/>
      <c r="R29" s="4"/>
      <c r="S29" s="4">
        <v>8</v>
      </c>
      <c r="T29" s="4"/>
      <c r="U29" s="4"/>
      <c r="V29" s="4"/>
      <c r="W29" s="4"/>
      <c r="X29" s="4"/>
      <c r="Y29" s="4"/>
      <c r="Z29" s="4"/>
      <c r="AB29" s="4"/>
      <c r="AC29" s="4">
        <v>5</v>
      </c>
      <c r="AD29" s="4"/>
      <c r="AE29" s="4"/>
      <c r="AF29" s="4">
        <v>18</v>
      </c>
      <c r="AG29" s="4">
        <v>1</v>
      </c>
      <c r="AH29" s="4"/>
      <c r="AI29" s="4">
        <v>17</v>
      </c>
      <c r="AJ29" s="4"/>
      <c r="AK29" s="4"/>
      <c r="AL29" s="4"/>
      <c r="AM29" s="4">
        <v>22</v>
      </c>
      <c r="AN29" s="4"/>
      <c r="AO29" s="4"/>
      <c r="AP29" s="4"/>
      <c r="AQ29" s="4"/>
      <c r="AR29" s="4"/>
      <c r="AS29" s="4"/>
      <c r="AT29" s="4"/>
      <c r="AU29" s="4">
        <v>6</v>
      </c>
      <c r="AV29" s="4"/>
      <c r="AW29" s="4"/>
      <c r="AX29" s="4"/>
      <c r="AY29" s="4">
        <v>31</v>
      </c>
      <c r="AZ29" s="4"/>
      <c r="BA29" s="4"/>
      <c r="BB29" s="4">
        <v>2</v>
      </c>
      <c r="BC29" s="4">
        <v>1</v>
      </c>
      <c r="BD29" s="4"/>
      <c r="BE29" s="4">
        <v>11</v>
      </c>
      <c r="BF29" s="4">
        <v>4</v>
      </c>
      <c r="BG29" s="4"/>
      <c r="BH29" s="4"/>
      <c r="BI29" s="4"/>
      <c r="BJ29" s="4" t="s">
        <v>353</v>
      </c>
      <c r="BK29" s="4">
        <v>30.357679999999998</v>
      </c>
      <c r="BL29" s="4">
        <v>-87.043520000000001</v>
      </c>
      <c r="BQ29" s="4">
        <v>5</v>
      </c>
      <c r="BR29" s="4" t="s">
        <v>385</v>
      </c>
      <c r="BU29" s="4">
        <v>17</v>
      </c>
      <c r="BV29" s="4" t="s">
        <v>496</v>
      </c>
      <c r="BZ29" s="4" t="s">
        <v>354</v>
      </c>
    </row>
    <row r="30" spans="1:190" ht="15.75" customHeight="1" x14ac:dyDescent="0.2">
      <c r="A30" s="3">
        <v>43524.413016851853</v>
      </c>
      <c r="B30" s="4" t="s">
        <v>387</v>
      </c>
      <c r="C30" s="4" t="s">
        <v>497</v>
      </c>
      <c r="D30" s="5">
        <v>43497</v>
      </c>
      <c r="E30" s="4" t="s">
        <v>498</v>
      </c>
      <c r="F30" s="4">
        <v>30.512294000000001</v>
      </c>
      <c r="G30" s="4">
        <v>-81.459697000000006</v>
      </c>
      <c r="H30" s="4">
        <v>30.507193000000001</v>
      </c>
      <c r="I30" s="4">
        <v>-81.455444</v>
      </c>
      <c r="J30" s="6">
        <v>0.36458333333575865</v>
      </c>
      <c r="K30" s="4" t="s">
        <v>363</v>
      </c>
      <c r="L30" s="4" t="s">
        <v>349</v>
      </c>
      <c r="M30" s="4" t="s">
        <v>391</v>
      </c>
      <c r="N30" s="4" t="s">
        <v>351</v>
      </c>
      <c r="O30" s="4" t="s">
        <v>499</v>
      </c>
      <c r="P30" s="4">
        <v>0</v>
      </c>
      <c r="Q30" s="4"/>
      <c r="R30" s="4"/>
      <c r="S30" s="4"/>
      <c r="T30" s="4"/>
      <c r="U30" s="4"/>
      <c r="V30" s="4"/>
      <c r="W30" s="4"/>
      <c r="X30" s="4"/>
      <c r="Y30" s="4"/>
      <c r="Z30" s="4"/>
      <c r="AA30" s="4"/>
      <c r="AB30" s="4"/>
      <c r="AC30" s="4">
        <v>1</v>
      </c>
      <c r="AD30" s="4"/>
      <c r="AE30" s="4">
        <v>7</v>
      </c>
      <c r="AF30" s="4">
        <v>14</v>
      </c>
      <c r="AG30" s="4"/>
      <c r="AH30" s="4"/>
      <c r="AI30" s="4"/>
      <c r="AJ30" s="4"/>
      <c r="AK30" s="4"/>
      <c r="AL30" s="4"/>
      <c r="AM30" s="4">
        <v>2</v>
      </c>
      <c r="AN30" s="4"/>
      <c r="AO30" s="4"/>
      <c r="AP30" s="4"/>
      <c r="AQ30" s="4"/>
      <c r="AR30" s="4"/>
      <c r="AS30" s="4"/>
      <c r="AT30" s="4"/>
      <c r="AU30" s="4"/>
      <c r="AV30" s="4"/>
      <c r="AW30" s="4"/>
      <c r="AX30" s="4"/>
      <c r="AY30" s="4">
        <v>17</v>
      </c>
      <c r="AZ30" s="4"/>
      <c r="BA30" s="4"/>
      <c r="BB30" s="4"/>
      <c r="BC30" s="4">
        <v>4</v>
      </c>
      <c r="BD30" s="4"/>
      <c r="BE30" s="4"/>
      <c r="BF30" s="4"/>
      <c r="BG30" s="4"/>
      <c r="BH30" s="4"/>
      <c r="BI30" s="4"/>
      <c r="BJ30" s="4" t="s">
        <v>353</v>
      </c>
      <c r="BK30" s="4">
        <v>30.510340200000002</v>
      </c>
      <c r="BL30" s="4">
        <v>-81.455444</v>
      </c>
      <c r="BM30" s="4">
        <v>0</v>
      </c>
      <c r="BN30" s="4" t="s">
        <v>393</v>
      </c>
      <c r="BO30" s="4">
        <v>0</v>
      </c>
      <c r="BP30" s="4" t="s">
        <v>393</v>
      </c>
      <c r="BQ30" s="4">
        <v>1</v>
      </c>
      <c r="BR30" s="4" t="s">
        <v>398</v>
      </c>
      <c r="BS30" s="4">
        <v>0</v>
      </c>
      <c r="BT30" s="4" t="s">
        <v>393</v>
      </c>
      <c r="BU30" s="4">
        <v>0</v>
      </c>
      <c r="BV30" s="4" t="s">
        <v>393</v>
      </c>
      <c r="BW30" s="4">
        <v>0</v>
      </c>
      <c r="BX30" s="4" t="s">
        <v>393</v>
      </c>
      <c r="BZ30" s="4" t="s">
        <v>354</v>
      </c>
    </row>
    <row r="31" spans="1:190" ht="15.75" customHeight="1" x14ac:dyDescent="0.2">
      <c r="A31" s="3">
        <v>43524.433058946757</v>
      </c>
      <c r="B31" s="4" t="s">
        <v>387</v>
      </c>
      <c r="C31" s="4" t="s">
        <v>500</v>
      </c>
      <c r="D31" s="5">
        <v>43497</v>
      </c>
      <c r="E31" s="4" t="s">
        <v>501</v>
      </c>
      <c r="F31" s="4">
        <v>30.493950000000002</v>
      </c>
      <c r="G31" s="4">
        <v>-81.438509999999994</v>
      </c>
      <c r="H31" s="4">
        <v>30.484860000000001</v>
      </c>
      <c r="I31" s="4">
        <v>-81.430530000000005</v>
      </c>
      <c r="J31" s="6">
        <v>0.35416666666424135</v>
      </c>
      <c r="K31" s="4" t="s">
        <v>363</v>
      </c>
      <c r="L31" s="4" t="s">
        <v>390</v>
      </c>
      <c r="M31" s="4" t="s">
        <v>350</v>
      </c>
      <c r="N31" s="4" t="s">
        <v>351</v>
      </c>
      <c r="O31" s="4" t="s">
        <v>502</v>
      </c>
      <c r="P31" s="4">
        <v>2</v>
      </c>
      <c r="Q31" s="4"/>
      <c r="R31" s="4">
        <v>28</v>
      </c>
      <c r="S31" s="4">
        <v>370</v>
      </c>
      <c r="T31" s="4"/>
      <c r="U31" s="4"/>
      <c r="V31" s="4"/>
      <c r="W31" s="4"/>
      <c r="X31" s="4"/>
      <c r="Y31" s="4"/>
      <c r="Z31" s="4"/>
      <c r="AA31" s="4"/>
      <c r="AB31" s="4"/>
      <c r="AC31" s="4">
        <v>1</v>
      </c>
      <c r="AD31" s="4">
        <v>11</v>
      </c>
      <c r="AE31" s="4">
        <v>5</v>
      </c>
      <c r="AF31" s="4">
        <v>77</v>
      </c>
      <c r="AG31" s="4">
        <v>3</v>
      </c>
      <c r="AH31" s="4"/>
      <c r="AI31" s="4"/>
      <c r="AJ31" s="4"/>
      <c r="AK31" s="4"/>
      <c r="AL31" s="4"/>
      <c r="AM31" s="4">
        <v>3</v>
      </c>
      <c r="AN31" s="4">
        <v>1</v>
      </c>
      <c r="AO31" s="4"/>
      <c r="AP31" s="4"/>
      <c r="AQ31" s="4"/>
      <c r="AR31" s="4"/>
      <c r="AS31" s="4"/>
      <c r="AT31" s="4"/>
      <c r="AU31" s="4"/>
      <c r="AV31" s="4"/>
      <c r="AW31" s="4"/>
      <c r="AX31" s="4"/>
      <c r="AY31" s="4">
        <v>4</v>
      </c>
      <c r="AZ31" s="4"/>
      <c r="BA31" s="4"/>
      <c r="BB31" s="4"/>
      <c r="BC31" s="4"/>
      <c r="BD31" s="4"/>
      <c r="BE31" s="4">
        <v>3</v>
      </c>
      <c r="BF31" s="4"/>
      <c r="BG31" s="4"/>
      <c r="BH31" s="4"/>
      <c r="BI31" s="4"/>
      <c r="BJ31" s="4" t="s">
        <v>353</v>
      </c>
      <c r="BK31" s="4">
        <v>30.48593</v>
      </c>
      <c r="BL31" s="4">
        <v>-81.430400000000006</v>
      </c>
      <c r="BM31" s="4">
        <v>2</v>
      </c>
      <c r="BN31" s="4" t="s">
        <v>503</v>
      </c>
      <c r="BO31" s="4">
        <v>0</v>
      </c>
      <c r="BP31" s="4" t="s">
        <v>393</v>
      </c>
      <c r="BQ31" s="4">
        <v>0</v>
      </c>
      <c r="BR31" s="4" t="s">
        <v>393</v>
      </c>
      <c r="BS31" s="4">
        <v>11</v>
      </c>
      <c r="BT31" s="4" t="s">
        <v>400</v>
      </c>
      <c r="BU31" s="4">
        <v>0</v>
      </c>
      <c r="BV31" s="4" t="s">
        <v>393</v>
      </c>
      <c r="BW31" s="4">
        <v>1</v>
      </c>
      <c r="BX31" s="4" t="s">
        <v>398</v>
      </c>
      <c r="BZ31" s="4" t="s">
        <v>353</v>
      </c>
      <c r="CA31" s="4">
        <v>30.48649</v>
      </c>
      <c r="CB31" s="4">
        <v>-81.430840000000003</v>
      </c>
      <c r="CC31" s="4">
        <v>0</v>
      </c>
      <c r="CD31" s="4" t="s">
        <v>393</v>
      </c>
      <c r="CE31" s="4">
        <v>0</v>
      </c>
      <c r="CF31" s="4" t="s">
        <v>393</v>
      </c>
      <c r="CG31" s="4">
        <v>1</v>
      </c>
      <c r="CH31" s="4" t="s">
        <v>398</v>
      </c>
      <c r="CI31" s="4">
        <v>0</v>
      </c>
      <c r="CJ31" s="4" t="s">
        <v>393</v>
      </c>
      <c r="CK31" s="4">
        <v>0</v>
      </c>
      <c r="CL31" s="4" t="s">
        <v>393</v>
      </c>
      <c r="CM31" s="4">
        <v>0</v>
      </c>
      <c r="CN31" s="4" t="s">
        <v>393</v>
      </c>
      <c r="CP31" s="4" t="s">
        <v>466</v>
      </c>
    </row>
    <row r="32" spans="1:190" ht="15.75" customHeight="1" x14ac:dyDescent="0.2">
      <c r="A32" s="3">
        <v>43524.425208877314</v>
      </c>
      <c r="B32" s="4" t="s">
        <v>387</v>
      </c>
      <c r="C32" s="4" t="s">
        <v>504</v>
      </c>
      <c r="D32" s="5">
        <v>43497</v>
      </c>
      <c r="E32" s="4" t="s">
        <v>498</v>
      </c>
      <c r="F32" s="4">
        <v>30.511510600000001</v>
      </c>
      <c r="G32" s="4">
        <v>-81.457621599999996</v>
      </c>
      <c r="H32" s="4">
        <v>30.505077799999999</v>
      </c>
      <c r="I32" s="4">
        <v>-81.455165399999998</v>
      </c>
      <c r="J32" s="6">
        <v>0.39583333333575865</v>
      </c>
      <c r="K32" s="4" t="s">
        <v>363</v>
      </c>
      <c r="L32" s="4" t="s">
        <v>390</v>
      </c>
      <c r="M32" s="4" t="s">
        <v>350</v>
      </c>
      <c r="N32" s="4" t="s">
        <v>351</v>
      </c>
      <c r="O32" s="4" t="s">
        <v>505</v>
      </c>
      <c r="P32" s="4">
        <v>0</v>
      </c>
      <c r="Q32" s="4">
        <v>13</v>
      </c>
      <c r="R32" s="4">
        <v>5</v>
      </c>
      <c r="S32" s="4"/>
      <c r="T32" s="4"/>
      <c r="U32" s="4"/>
      <c r="V32" s="4"/>
      <c r="W32" s="4"/>
      <c r="X32" s="4"/>
      <c r="Y32" s="4"/>
      <c r="Z32" s="4">
        <v>274</v>
      </c>
      <c r="AA32" s="4"/>
      <c r="AB32" s="4"/>
      <c r="AC32" s="4"/>
      <c r="AD32" s="4"/>
      <c r="AE32" s="4"/>
      <c r="AF32" s="4">
        <v>93</v>
      </c>
      <c r="AG32" s="4"/>
      <c r="AH32" s="4"/>
      <c r="AI32" s="4"/>
      <c r="AJ32" s="4">
        <v>1</v>
      </c>
      <c r="AK32" s="4"/>
      <c r="AL32" s="4"/>
      <c r="AM32" s="4">
        <v>7</v>
      </c>
      <c r="AN32" s="4"/>
      <c r="AO32" s="4"/>
      <c r="AP32" s="4"/>
      <c r="AQ32" s="4">
        <v>2</v>
      </c>
      <c r="AR32" s="4"/>
      <c r="AS32" s="4"/>
      <c r="AT32" s="4"/>
      <c r="AU32" s="4">
        <v>1</v>
      </c>
      <c r="AV32" s="4"/>
      <c r="AW32" s="4"/>
      <c r="AX32" s="4"/>
      <c r="AY32" s="4"/>
      <c r="AZ32" s="4"/>
      <c r="BA32" s="4"/>
      <c r="BB32" s="4"/>
      <c r="BC32" s="4"/>
      <c r="BD32" s="4"/>
      <c r="BE32" s="4"/>
      <c r="BF32" s="4"/>
      <c r="BG32" s="4"/>
      <c r="BH32" s="4"/>
      <c r="BI32" s="4"/>
      <c r="BJ32" s="4" t="s">
        <v>364</v>
      </c>
    </row>
    <row r="33" spans="1:222" ht="15.75" customHeight="1" x14ac:dyDescent="0.2">
      <c r="A33" s="3">
        <v>43507.365735925923</v>
      </c>
      <c r="B33" s="4" t="s">
        <v>506</v>
      </c>
      <c r="C33" s="4" t="s">
        <v>507</v>
      </c>
      <c r="D33" s="5">
        <v>43499</v>
      </c>
      <c r="E33" s="4" t="s">
        <v>508</v>
      </c>
      <c r="J33" s="6">
        <v>0.30208333333575865</v>
      </c>
      <c r="K33" s="4" t="s">
        <v>348</v>
      </c>
      <c r="L33" s="4" t="s">
        <v>349</v>
      </c>
      <c r="M33" s="4" t="s">
        <v>350</v>
      </c>
      <c r="N33" s="4" t="s">
        <v>351</v>
      </c>
      <c r="O33" s="4" t="s">
        <v>509</v>
      </c>
      <c r="AC33" s="4">
        <v>7</v>
      </c>
      <c r="AE33" s="4">
        <v>2</v>
      </c>
      <c r="AG33" s="4">
        <v>7</v>
      </c>
      <c r="AX33" s="4">
        <v>5</v>
      </c>
      <c r="BD33" s="4">
        <v>1</v>
      </c>
      <c r="BE33" s="4">
        <v>1</v>
      </c>
      <c r="BJ33" s="4" t="s">
        <v>353</v>
      </c>
      <c r="BK33" s="4">
        <v>25.672229999999999</v>
      </c>
      <c r="BL33" s="4">
        <v>-80.152950000000004</v>
      </c>
      <c r="BQ33" s="4">
        <v>7</v>
      </c>
      <c r="BR33" s="4" t="s">
        <v>510</v>
      </c>
      <c r="BZ33" s="4" t="s">
        <v>354</v>
      </c>
    </row>
    <row r="34" spans="1:222" ht="15.75" customHeight="1" x14ac:dyDescent="0.2">
      <c r="A34" s="3">
        <v>43515.30908791667</v>
      </c>
      <c r="B34" s="4" t="s">
        <v>511</v>
      </c>
      <c r="C34" s="4" t="s">
        <v>512</v>
      </c>
      <c r="D34" s="5">
        <v>43500</v>
      </c>
      <c r="E34" s="4">
        <v>3</v>
      </c>
      <c r="J34" s="6">
        <v>0.51319444444379769</v>
      </c>
      <c r="M34" s="4" t="s">
        <v>350</v>
      </c>
      <c r="N34" s="4" t="s">
        <v>351</v>
      </c>
      <c r="P34" s="4">
        <v>0</v>
      </c>
      <c r="Q34" s="4"/>
      <c r="R34" s="4"/>
      <c r="S34" s="4"/>
      <c r="T34" s="4"/>
      <c r="U34" s="4"/>
      <c r="V34" s="4"/>
      <c r="W34" s="4"/>
      <c r="X34" s="4"/>
      <c r="Y34" s="4"/>
      <c r="Z34" s="4"/>
      <c r="AA34" s="4"/>
      <c r="AB34" s="4"/>
      <c r="AC34" s="4"/>
      <c r="AD34" s="4"/>
      <c r="AE34" s="4">
        <v>2</v>
      </c>
      <c r="AF34" s="4">
        <v>1</v>
      </c>
      <c r="AG34" s="4"/>
      <c r="AH34" s="4"/>
      <c r="AI34" s="4"/>
      <c r="AJ34" s="4"/>
      <c r="AK34" s="4"/>
      <c r="AL34" s="4"/>
      <c r="AM34" s="4"/>
      <c r="AN34" s="4"/>
      <c r="AO34" s="4"/>
      <c r="AP34" s="4"/>
      <c r="AQ34" s="4"/>
      <c r="AR34" s="4"/>
      <c r="AS34" s="4"/>
      <c r="AT34" s="4"/>
      <c r="AU34" s="4">
        <v>17</v>
      </c>
      <c r="AV34" s="4"/>
      <c r="AW34" s="4"/>
      <c r="AX34" s="4">
        <v>24</v>
      </c>
      <c r="AY34" s="4"/>
      <c r="AZ34" s="4"/>
      <c r="BA34" s="4"/>
      <c r="BB34" s="4"/>
      <c r="BC34" s="4">
        <v>1</v>
      </c>
      <c r="BD34" s="4"/>
      <c r="BE34" s="4">
        <v>10</v>
      </c>
      <c r="BF34" s="4"/>
      <c r="BG34" s="4"/>
      <c r="BH34" s="4"/>
      <c r="BI34" s="4">
        <v>160</v>
      </c>
      <c r="BJ34" s="4" t="s">
        <v>364</v>
      </c>
    </row>
    <row r="35" spans="1:222" ht="15.75" customHeight="1" x14ac:dyDescent="0.2">
      <c r="A35" s="3">
        <v>43503.64065105324</v>
      </c>
      <c r="B35" s="4" t="s">
        <v>460</v>
      </c>
      <c r="C35" s="4" t="s">
        <v>513</v>
      </c>
      <c r="D35" s="5">
        <v>43501</v>
      </c>
      <c r="E35" s="4" t="s">
        <v>461</v>
      </c>
      <c r="J35" s="6">
        <v>0.60208333333139308</v>
      </c>
      <c r="K35" s="4" t="s">
        <v>348</v>
      </c>
      <c r="L35" s="4" t="s">
        <v>358</v>
      </c>
      <c r="M35" s="4" t="s">
        <v>350</v>
      </c>
      <c r="N35" s="4" t="s">
        <v>351</v>
      </c>
      <c r="P35" s="4">
        <v>0</v>
      </c>
      <c r="Q35" s="4"/>
      <c r="R35" s="4">
        <v>11</v>
      </c>
      <c r="S35" s="4">
        <v>173</v>
      </c>
      <c r="T35" s="4"/>
      <c r="U35" s="4"/>
      <c r="V35" s="4"/>
      <c r="W35" s="4">
        <v>2</v>
      </c>
      <c r="X35" s="4"/>
      <c r="Y35" s="4"/>
      <c r="Z35" s="4"/>
      <c r="AA35" s="4"/>
      <c r="AB35" s="4"/>
      <c r="AC35" s="4"/>
      <c r="AD35" s="4"/>
      <c r="AE35" s="4"/>
      <c r="AF35" s="4">
        <v>11</v>
      </c>
      <c r="AG35" s="4">
        <v>2</v>
      </c>
      <c r="AH35" s="4"/>
      <c r="AI35" s="4"/>
      <c r="AJ35" s="4"/>
      <c r="AK35" s="4"/>
      <c r="AL35" s="4"/>
      <c r="AM35" s="4">
        <v>12</v>
      </c>
      <c r="AN35" s="4"/>
      <c r="AO35" s="4"/>
      <c r="AP35" s="4"/>
      <c r="AQ35" s="4"/>
      <c r="AR35" s="4">
        <v>12</v>
      </c>
      <c r="AS35" s="4">
        <v>15</v>
      </c>
      <c r="AT35" s="4"/>
      <c r="AU35" s="4"/>
      <c r="AV35" s="4">
        <v>11</v>
      </c>
      <c r="AW35" s="4"/>
      <c r="AX35" s="4"/>
      <c r="AY35" s="4">
        <v>4</v>
      </c>
      <c r="AZ35" s="4"/>
      <c r="BA35" s="4"/>
      <c r="BB35" s="4"/>
      <c r="BC35" s="4">
        <v>2</v>
      </c>
      <c r="BD35" s="4"/>
      <c r="BE35" s="4">
        <v>4</v>
      </c>
      <c r="BF35" s="4"/>
      <c r="BG35" s="4"/>
      <c r="BH35" s="4"/>
      <c r="BI35" s="4"/>
      <c r="BJ35" s="4" t="s">
        <v>353</v>
      </c>
      <c r="BK35" s="4">
        <v>29.71828</v>
      </c>
      <c r="BL35" s="4">
        <v>-84.976740000000007</v>
      </c>
      <c r="BM35" s="4">
        <v>0</v>
      </c>
      <c r="BO35" s="4">
        <v>12</v>
      </c>
      <c r="BP35" s="4" t="s">
        <v>514</v>
      </c>
      <c r="BQ35" s="4">
        <v>0</v>
      </c>
      <c r="BS35" s="4">
        <v>0</v>
      </c>
      <c r="BU35" s="4">
        <v>0</v>
      </c>
      <c r="BW35" s="4">
        <v>0</v>
      </c>
      <c r="BY35" s="4" t="s">
        <v>515</v>
      </c>
      <c r="BZ35" s="4" t="s">
        <v>353</v>
      </c>
      <c r="CA35" s="4">
        <v>29.710519999999999</v>
      </c>
      <c r="CB35" s="4">
        <v>-84.974879999999999</v>
      </c>
      <c r="CC35" s="4">
        <v>0</v>
      </c>
      <c r="CE35" s="4">
        <v>0</v>
      </c>
      <c r="CG35" s="4">
        <v>0</v>
      </c>
      <c r="CI35" s="4">
        <v>0</v>
      </c>
      <c r="CK35" s="4">
        <v>0</v>
      </c>
      <c r="CM35" s="4">
        <v>0</v>
      </c>
      <c r="CO35" s="4" t="s">
        <v>516</v>
      </c>
      <c r="CP35" s="4" t="s">
        <v>466</v>
      </c>
    </row>
    <row r="36" spans="1:222" ht="15.75" customHeight="1" x14ac:dyDescent="0.2">
      <c r="A36" s="3">
        <v>43508.650639976855</v>
      </c>
      <c r="B36" s="4" t="s">
        <v>517</v>
      </c>
      <c r="C36" s="4" t="s">
        <v>518</v>
      </c>
      <c r="D36" s="5">
        <v>43497</v>
      </c>
      <c r="E36" s="4" t="s">
        <v>519</v>
      </c>
      <c r="J36" s="6">
        <v>0.39583333333575865</v>
      </c>
      <c r="K36" s="4" t="s">
        <v>379</v>
      </c>
      <c r="L36" s="4" t="s">
        <v>349</v>
      </c>
      <c r="M36" s="4" t="s">
        <v>350</v>
      </c>
      <c r="N36" s="4" t="s">
        <v>351</v>
      </c>
      <c r="O36" s="4" t="s">
        <v>521</v>
      </c>
      <c r="R36" s="4">
        <v>43</v>
      </c>
      <c r="V36" s="4">
        <v>2</v>
      </c>
      <c r="AE36" s="4">
        <v>31</v>
      </c>
      <c r="AF36" s="4">
        <v>128</v>
      </c>
      <c r="AG36" s="4">
        <v>105</v>
      </c>
      <c r="BJ36" s="4" t="s">
        <v>364</v>
      </c>
    </row>
    <row r="37" spans="1:222" ht="15.75" customHeight="1" x14ac:dyDescent="0.2">
      <c r="A37" s="3">
        <v>43504.553222268514</v>
      </c>
      <c r="B37" s="4" t="s">
        <v>522</v>
      </c>
      <c r="C37" s="4" t="s">
        <v>523</v>
      </c>
      <c r="D37" s="5">
        <v>43499</v>
      </c>
      <c r="E37" s="4" t="s">
        <v>524</v>
      </c>
      <c r="J37" s="6">
        <v>0.57291666666424135</v>
      </c>
      <c r="K37" s="4" t="s">
        <v>348</v>
      </c>
      <c r="L37" s="4" t="s">
        <v>349</v>
      </c>
      <c r="M37" s="4" t="s">
        <v>350</v>
      </c>
      <c r="N37" s="4" t="s">
        <v>351</v>
      </c>
      <c r="P37" s="4">
        <v>0</v>
      </c>
      <c r="Q37" s="4"/>
      <c r="R37" s="4"/>
      <c r="S37" s="4"/>
      <c r="T37" s="4"/>
      <c r="U37" s="4"/>
      <c r="V37" s="4"/>
      <c r="W37" s="4"/>
      <c r="X37" s="4"/>
      <c r="Y37" s="4"/>
      <c r="Z37" s="4"/>
      <c r="AA37" s="4"/>
      <c r="AB37" s="4"/>
      <c r="AC37" s="4"/>
      <c r="AD37" s="4"/>
      <c r="AE37" s="4">
        <v>1</v>
      </c>
      <c r="AF37" s="4">
        <v>20</v>
      </c>
      <c r="AG37" s="4"/>
      <c r="AH37" s="4"/>
      <c r="AI37" s="4">
        <v>3</v>
      </c>
      <c r="AJ37" s="4"/>
      <c r="AK37" s="4"/>
      <c r="AL37" s="4"/>
      <c r="AM37" s="4">
        <v>18</v>
      </c>
      <c r="AN37" s="4"/>
      <c r="AO37" s="4"/>
      <c r="AP37" s="4"/>
      <c r="AQ37" s="4"/>
      <c r="AR37" s="4"/>
      <c r="AS37" s="4"/>
      <c r="AT37" s="4"/>
      <c r="AU37" s="4"/>
      <c r="AV37" s="4"/>
      <c r="AW37" s="4"/>
      <c r="AX37" s="4"/>
      <c r="AY37" s="4"/>
      <c r="AZ37" s="4"/>
      <c r="BA37" s="4"/>
      <c r="BB37" s="4"/>
      <c r="BC37" s="4"/>
      <c r="BD37" s="4"/>
      <c r="BE37" s="4">
        <v>2</v>
      </c>
      <c r="BF37" s="4"/>
      <c r="BG37" s="4"/>
      <c r="BH37" s="4"/>
      <c r="BI37" s="4"/>
      <c r="BJ37" s="4" t="s">
        <v>353</v>
      </c>
      <c r="BK37" s="4">
        <v>29.954180000000001</v>
      </c>
      <c r="BL37" s="4">
        <v>-85.446770000000001</v>
      </c>
      <c r="BM37" s="4">
        <v>0</v>
      </c>
      <c r="BN37" s="4">
        <v>0</v>
      </c>
      <c r="BO37" s="4">
        <v>0</v>
      </c>
      <c r="BP37" s="4">
        <v>0</v>
      </c>
      <c r="BQ37" s="4">
        <v>0</v>
      </c>
      <c r="BR37" s="4">
        <v>0</v>
      </c>
      <c r="BS37" s="4">
        <v>0</v>
      </c>
      <c r="BT37" s="4">
        <v>0</v>
      </c>
      <c r="BU37" s="4">
        <v>1</v>
      </c>
      <c r="BV37" s="4" t="s">
        <v>526</v>
      </c>
      <c r="BW37" s="4">
        <v>0</v>
      </c>
      <c r="BX37" s="4">
        <v>0</v>
      </c>
      <c r="BZ37" s="4" t="s">
        <v>353</v>
      </c>
      <c r="CA37" s="4">
        <v>29.951560000000001</v>
      </c>
      <c r="CB37" s="4">
        <v>-85.439319999999995</v>
      </c>
      <c r="CC37" s="4">
        <v>0</v>
      </c>
      <c r="CD37" s="4">
        <v>0</v>
      </c>
      <c r="CE37" s="4">
        <v>0</v>
      </c>
      <c r="CF37" s="4">
        <v>0</v>
      </c>
      <c r="CG37" s="4">
        <v>0</v>
      </c>
      <c r="CH37" s="4">
        <v>0</v>
      </c>
      <c r="CI37" s="4">
        <v>0</v>
      </c>
      <c r="CJ37" s="4">
        <v>0</v>
      </c>
      <c r="CK37" s="4">
        <v>2</v>
      </c>
      <c r="CL37" s="4" t="s">
        <v>527</v>
      </c>
      <c r="CM37" s="4">
        <v>0</v>
      </c>
      <c r="CN37" s="4">
        <v>0</v>
      </c>
      <c r="CP37" s="4" t="s">
        <v>466</v>
      </c>
    </row>
    <row r="38" spans="1:222" ht="15.75" customHeight="1" x14ac:dyDescent="0.2">
      <c r="A38" s="3">
        <v>43510.484682662034</v>
      </c>
      <c r="B38" s="4" t="s">
        <v>467</v>
      </c>
      <c r="C38" s="4" t="s">
        <v>528</v>
      </c>
      <c r="D38" s="5">
        <v>43501</v>
      </c>
      <c r="E38" s="4" t="s">
        <v>529</v>
      </c>
      <c r="J38" s="6">
        <v>0.58333333333575865</v>
      </c>
      <c r="N38" s="4" t="s">
        <v>351</v>
      </c>
      <c r="AF38" s="4">
        <v>32</v>
      </c>
      <c r="AM38" s="4">
        <v>1</v>
      </c>
      <c r="BD38" s="4">
        <v>65</v>
      </c>
      <c r="BE38" s="4">
        <v>55</v>
      </c>
      <c r="BJ38" s="4" t="s">
        <v>364</v>
      </c>
    </row>
    <row r="39" spans="1:222" ht="15.75" customHeight="1" x14ac:dyDescent="0.2">
      <c r="A39" s="3">
        <v>43522.65804519676</v>
      </c>
      <c r="B39" s="4" t="s">
        <v>530</v>
      </c>
      <c r="C39" s="4" t="s">
        <v>531</v>
      </c>
      <c r="D39" s="5">
        <v>43502</v>
      </c>
      <c r="E39" s="4" t="s">
        <v>532</v>
      </c>
      <c r="F39" s="4">
        <v>27.995436999999999</v>
      </c>
      <c r="G39" s="4">
        <v>-80.546957000000006</v>
      </c>
      <c r="H39" s="4">
        <v>27.862652000000001</v>
      </c>
      <c r="I39" s="4">
        <v>-80.486470999999995</v>
      </c>
      <c r="J39" s="6">
        <v>0.41666666666424135</v>
      </c>
      <c r="K39" s="4" t="s">
        <v>348</v>
      </c>
      <c r="L39" s="4" t="s">
        <v>358</v>
      </c>
      <c r="M39" s="4" t="s">
        <v>350</v>
      </c>
      <c r="N39" s="4" t="s">
        <v>533</v>
      </c>
      <c r="O39" s="4" t="s">
        <v>531</v>
      </c>
      <c r="BJ39" s="4" t="s">
        <v>364</v>
      </c>
    </row>
    <row r="40" spans="1:222" ht="15.75" customHeight="1" x14ac:dyDescent="0.2">
      <c r="A40" s="3">
        <v>43508.707340451394</v>
      </c>
      <c r="B40" s="4" t="s">
        <v>485</v>
      </c>
      <c r="C40" s="4" t="s">
        <v>536</v>
      </c>
      <c r="D40" s="5">
        <v>43500</v>
      </c>
      <c r="E40" s="4" t="s">
        <v>537</v>
      </c>
      <c r="J40" s="6">
        <v>0.41666666666424135</v>
      </c>
      <c r="M40" s="4" t="s">
        <v>350</v>
      </c>
      <c r="N40" s="4" t="s">
        <v>351</v>
      </c>
      <c r="T40" s="4">
        <v>8</v>
      </c>
      <c r="U40" s="4">
        <v>5</v>
      </c>
      <c r="V40" s="4">
        <v>10</v>
      </c>
      <c r="W40" s="4">
        <v>40</v>
      </c>
      <c r="Y40" s="4">
        <v>110</v>
      </c>
      <c r="AO40" s="4">
        <v>11</v>
      </c>
      <c r="BE40" s="4">
        <v>1</v>
      </c>
      <c r="BJ40" s="4" t="s">
        <v>364</v>
      </c>
    </row>
    <row r="41" spans="1:222" ht="15.75" customHeight="1" x14ac:dyDescent="0.2">
      <c r="A41" s="3">
        <v>43508.394745439815</v>
      </c>
      <c r="B41" s="4" t="s">
        <v>538</v>
      </c>
      <c r="C41" s="4" t="s">
        <v>539</v>
      </c>
      <c r="D41" s="5">
        <v>43499</v>
      </c>
      <c r="E41" s="4" t="s">
        <v>540</v>
      </c>
      <c r="J41" s="6">
        <v>0.49166666666860692</v>
      </c>
      <c r="L41" s="4" t="s">
        <v>358</v>
      </c>
      <c r="M41" s="4" t="s">
        <v>350</v>
      </c>
      <c r="N41" s="4" t="s">
        <v>351</v>
      </c>
      <c r="P41" s="4">
        <v>0</v>
      </c>
      <c r="Q41" s="4"/>
      <c r="R41" s="4">
        <v>1</v>
      </c>
      <c r="S41" s="4"/>
      <c r="T41" s="4"/>
      <c r="U41" s="4"/>
      <c r="V41" s="4"/>
      <c r="W41" s="4"/>
      <c r="X41" s="4"/>
      <c r="Y41" s="4"/>
      <c r="Z41" s="4"/>
      <c r="AA41" s="4"/>
      <c r="AB41" s="4"/>
      <c r="AC41" s="4"/>
      <c r="AD41" s="4"/>
      <c r="AE41" s="4"/>
      <c r="AF41" s="4"/>
      <c r="AG41" s="4"/>
      <c r="AH41" s="4"/>
      <c r="AI41" s="4"/>
      <c r="AJ41" s="4"/>
      <c r="AK41" s="4"/>
      <c r="AL41" s="4"/>
      <c r="AM41" s="4">
        <v>4</v>
      </c>
      <c r="AN41" s="4"/>
      <c r="AO41" s="4"/>
      <c r="AP41" s="4"/>
      <c r="AQ41" s="4"/>
      <c r="AR41" s="4"/>
      <c r="AS41" s="4"/>
      <c r="AT41" s="4"/>
      <c r="AU41" s="4"/>
      <c r="AV41" s="4"/>
      <c r="AW41" s="4"/>
      <c r="AX41" s="4">
        <v>1</v>
      </c>
      <c r="AY41" s="4"/>
      <c r="AZ41" s="4"/>
      <c r="BA41" s="4"/>
      <c r="BB41" s="4">
        <v>1</v>
      </c>
      <c r="BC41" s="4"/>
      <c r="BD41" s="4"/>
      <c r="BE41" s="4">
        <v>1</v>
      </c>
      <c r="BF41" s="4"/>
      <c r="BG41" s="4"/>
      <c r="BH41" s="4"/>
      <c r="BI41" s="4"/>
      <c r="BJ41" s="4" t="s">
        <v>364</v>
      </c>
    </row>
    <row r="42" spans="1:222" ht="15.75" customHeight="1" x14ac:dyDescent="0.2">
      <c r="A42" s="3">
        <v>43501.385838773145</v>
      </c>
      <c r="B42" s="4" t="s">
        <v>437</v>
      </c>
      <c r="C42" s="4" t="s">
        <v>541</v>
      </c>
      <c r="D42" s="5">
        <v>43497</v>
      </c>
      <c r="E42" s="4" t="s">
        <v>542</v>
      </c>
      <c r="J42" s="6">
        <v>0.41666666666424135</v>
      </c>
      <c r="K42" s="4" t="s">
        <v>348</v>
      </c>
      <c r="L42" s="4" t="s">
        <v>349</v>
      </c>
      <c r="M42" s="4" t="s">
        <v>350</v>
      </c>
      <c r="N42" s="4" t="s">
        <v>351</v>
      </c>
      <c r="O42" s="4" t="s">
        <v>543</v>
      </c>
      <c r="P42" s="4">
        <v>7</v>
      </c>
      <c r="Q42" s="4"/>
      <c r="R42" s="4">
        <v>20</v>
      </c>
      <c r="S42" s="4">
        <v>150</v>
      </c>
      <c r="T42" s="4"/>
      <c r="U42" s="4"/>
      <c r="V42" s="4"/>
      <c r="W42" s="4"/>
      <c r="X42" s="4"/>
      <c r="Y42" s="4"/>
      <c r="Z42" s="4"/>
      <c r="AA42" s="4"/>
      <c r="AB42" s="4">
        <v>23</v>
      </c>
      <c r="AC42" s="4">
        <v>25</v>
      </c>
      <c r="AD42" s="4">
        <v>80</v>
      </c>
      <c r="AE42" s="4">
        <v>6</v>
      </c>
      <c r="AF42" s="4">
        <v>6</v>
      </c>
      <c r="AG42" s="4">
        <v>4</v>
      </c>
      <c r="AH42" s="4"/>
      <c r="AI42" s="4">
        <v>11</v>
      </c>
      <c r="AJ42" s="4"/>
      <c r="AK42" s="4"/>
      <c r="AL42" s="4"/>
      <c r="AM42" s="4">
        <v>15</v>
      </c>
      <c r="AN42" s="4"/>
      <c r="AO42" s="4"/>
      <c r="AP42" s="4">
        <v>20</v>
      </c>
      <c r="AQ42" s="4"/>
      <c r="AR42" s="4">
        <v>35</v>
      </c>
      <c r="AS42" s="4"/>
      <c r="AT42" s="4"/>
      <c r="AU42" s="4"/>
      <c r="AV42" s="4">
        <v>1</v>
      </c>
      <c r="AW42" s="4"/>
      <c r="AX42" s="4"/>
      <c r="AY42" s="4">
        <v>7</v>
      </c>
      <c r="AZ42" s="4"/>
      <c r="BA42" s="4"/>
      <c r="BB42" s="4"/>
      <c r="BC42" s="4">
        <v>4</v>
      </c>
      <c r="BD42" s="4"/>
      <c r="BE42" s="4"/>
      <c r="BF42" s="4">
        <v>25</v>
      </c>
      <c r="BG42" s="4"/>
      <c r="BH42" s="4"/>
      <c r="BI42" s="4"/>
      <c r="BJ42" s="4" t="s">
        <v>353</v>
      </c>
      <c r="BK42" s="4">
        <v>28.049555000000002</v>
      </c>
      <c r="BL42" s="4">
        <v>-82.820518000000007</v>
      </c>
      <c r="BM42" s="4">
        <v>0</v>
      </c>
      <c r="BO42" s="4">
        <v>35</v>
      </c>
      <c r="BP42" s="4" t="s">
        <v>440</v>
      </c>
      <c r="BQ42" s="4">
        <v>1</v>
      </c>
      <c r="BS42" s="4">
        <v>0</v>
      </c>
      <c r="BU42" s="4">
        <v>3</v>
      </c>
      <c r="BV42" s="4" t="s">
        <v>440</v>
      </c>
      <c r="BW42" s="4">
        <v>0</v>
      </c>
      <c r="BY42" s="4" t="s">
        <v>544</v>
      </c>
      <c r="BZ42" s="4" t="s">
        <v>353</v>
      </c>
      <c r="CA42" s="4">
        <v>28.050352</v>
      </c>
      <c r="CB42" s="4">
        <v>-82.820258999999993</v>
      </c>
      <c r="CC42" s="4">
        <v>2</v>
      </c>
      <c r="CD42" s="4" t="s">
        <v>452</v>
      </c>
      <c r="CE42" s="4">
        <v>0</v>
      </c>
      <c r="CG42" s="4">
        <v>4</v>
      </c>
      <c r="CH42" s="4" t="s">
        <v>440</v>
      </c>
      <c r="CI42" s="4">
        <v>0</v>
      </c>
      <c r="CK42" s="4">
        <v>0</v>
      </c>
      <c r="CM42" s="4">
        <v>0</v>
      </c>
      <c r="CO42" s="4" t="s">
        <v>545</v>
      </c>
      <c r="CP42" s="4" t="s">
        <v>353</v>
      </c>
      <c r="CQ42" s="4">
        <v>28.050609999999999</v>
      </c>
      <c r="CR42" s="4">
        <v>-82.820053000000001</v>
      </c>
      <c r="CS42" s="4">
        <v>0</v>
      </c>
      <c r="CU42" s="4">
        <v>0</v>
      </c>
      <c r="CW42" s="4">
        <v>17</v>
      </c>
      <c r="CX42" s="4" t="s">
        <v>546</v>
      </c>
      <c r="CY42" s="4">
        <v>0</v>
      </c>
      <c r="DA42" s="4">
        <v>0</v>
      </c>
      <c r="DC42" s="4">
        <v>0</v>
      </c>
      <c r="DF42" s="4" t="s">
        <v>353</v>
      </c>
      <c r="DG42" s="4">
        <v>28.042507000000001</v>
      </c>
      <c r="DH42" s="4">
        <v>-82.787009999999995</v>
      </c>
      <c r="DI42" s="4">
        <v>0</v>
      </c>
      <c r="DK42" s="4">
        <v>0</v>
      </c>
      <c r="DM42" s="4">
        <v>1</v>
      </c>
      <c r="DN42" s="4" t="s">
        <v>440</v>
      </c>
      <c r="DO42" s="4">
        <v>0</v>
      </c>
      <c r="DQ42" s="4">
        <v>5</v>
      </c>
      <c r="DR42" s="4" t="s">
        <v>547</v>
      </c>
      <c r="DS42" s="4">
        <v>0</v>
      </c>
      <c r="DV42" s="4" t="s">
        <v>353</v>
      </c>
      <c r="DW42" s="4">
        <v>28.040329</v>
      </c>
      <c r="DX42" s="4">
        <v>-82.792100000000005</v>
      </c>
      <c r="DY42" s="4">
        <v>0</v>
      </c>
      <c r="EA42" s="4">
        <v>0</v>
      </c>
      <c r="EC42" s="4">
        <v>0</v>
      </c>
      <c r="EE42" s="4">
        <v>0</v>
      </c>
      <c r="EF42" s="4">
        <v>3</v>
      </c>
      <c r="EH42" s="4" t="s">
        <v>440</v>
      </c>
      <c r="EJ42" s="4">
        <v>0</v>
      </c>
      <c r="EL42" s="4" t="s">
        <v>353</v>
      </c>
      <c r="EM42" s="4">
        <v>28.045549999999999</v>
      </c>
      <c r="EN42" s="4">
        <v>-82.820473000000007</v>
      </c>
      <c r="EO42" s="4">
        <v>1</v>
      </c>
      <c r="EP42" s="4" t="s">
        <v>440</v>
      </c>
      <c r="EQ42" s="4">
        <v>0</v>
      </c>
      <c r="ES42" s="4">
        <v>0</v>
      </c>
      <c r="EU42" s="4">
        <v>0</v>
      </c>
      <c r="EW42" s="4">
        <v>0</v>
      </c>
      <c r="EY42" s="4">
        <v>0</v>
      </c>
      <c r="FB42" s="4" t="s">
        <v>353</v>
      </c>
      <c r="FC42" s="4">
        <v>28.037682</v>
      </c>
      <c r="FD42" s="4">
        <v>-82.821288999999993</v>
      </c>
      <c r="FE42" s="4">
        <v>0</v>
      </c>
      <c r="FG42" s="4">
        <v>0</v>
      </c>
      <c r="FI42" s="4">
        <v>1</v>
      </c>
      <c r="FJ42" s="4" t="s">
        <v>440</v>
      </c>
      <c r="FK42" s="4">
        <v>0</v>
      </c>
      <c r="FM42" s="4">
        <v>0</v>
      </c>
      <c r="FO42" s="4">
        <v>0</v>
      </c>
      <c r="FR42" s="4" t="s">
        <v>353</v>
      </c>
      <c r="FS42" s="4">
        <v>28.029184000000001</v>
      </c>
      <c r="FT42" s="4">
        <v>-82.823668999999995</v>
      </c>
      <c r="FU42" s="4">
        <v>0</v>
      </c>
      <c r="FW42" s="4">
        <v>0</v>
      </c>
      <c r="FY42" s="4">
        <v>0</v>
      </c>
      <c r="GA42" s="4">
        <v>80</v>
      </c>
      <c r="GB42" s="4" t="s">
        <v>548</v>
      </c>
      <c r="GC42" s="4">
        <v>0</v>
      </c>
      <c r="GE42" s="4">
        <v>0</v>
      </c>
      <c r="GH42" s="4" t="s">
        <v>353</v>
      </c>
      <c r="GI42" s="4">
        <v>28.027799999999999</v>
      </c>
      <c r="GJ42" s="4">
        <v>-82.824200000000005</v>
      </c>
      <c r="GK42" s="4">
        <v>4</v>
      </c>
      <c r="GL42" s="4" t="s">
        <v>440</v>
      </c>
      <c r="GM42" s="4">
        <v>0</v>
      </c>
      <c r="GO42" s="4">
        <v>0</v>
      </c>
      <c r="GQ42" s="4">
        <v>0</v>
      </c>
      <c r="GS42" s="4">
        <v>0</v>
      </c>
      <c r="GU42" s="4">
        <v>0</v>
      </c>
      <c r="GX42" s="4" t="s">
        <v>353</v>
      </c>
      <c r="GY42" s="4">
        <v>28.025380999999999</v>
      </c>
      <c r="GZ42" s="4">
        <v>-82.824944000000002</v>
      </c>
      <c r="HA42" s="4">
        <v>0</v>
      </c>
      <c r="HC42" s="4">
        <v>0</v>
      </c>
      <c r="HE42" s="4">
        <v>1</v>
      </c>
      <c r="HF42" s="4" t="s">
        <v>440</v>
      </c>
      <c r="HG42" s="4">
        <v>0</v>
      </c>
      <c r="HI42" s="4">
        <v>0</v>
      </c>
      <c r="HK42" s="4">
        <v>0</v>
      </c>
      <c r="HN42" s="4" t="s">
        <v>359</v>
      </c>
    </row>
    <row r="43" spans="1:222" ht="15.75" customHeight="1" x14ac:dyDescent="0.2">
      <c r="A43" s="3">
        <v>43509.81180059028</v>
      </c>
      <c r="B43" s="4" t="s">
        <v>549</v>
      </c>
      <c r="C43" s="4" t="s">
        <v>550</v>
      </c>
      <c r="D43" s="5">
        <v>43497</v>
      </c>
      <c r="E43" s="4" t="s">
        <v>551</v>
      </c>
      <c r="J43" s="6">
        <v>0.37708333333284827</v>
      </c>
      <c r="L43" s="4" t="s">
        <v>358</v>
      </c>
      <c r="M43" s="4" t="s">
        <v>350</v>
      </c>
      <c r="N43" s="4" t="s">
        <v>351</v>
      </c>
      <c r="O43" s="4" t="s">
        <v>552</v>
      </c>
      <c r="P43" s="4">
        <v>0</v>
      </c>
      <c r="Q43" s="4"/>
      <c r="R43" s="4"/>
      <c r="S43" s="4"/>
      <c r="T43" s="4"/>
      <c r="U43" s="4"/>
      <c r="V43" s="4"/>
      <c r="W43" s="4"/>
      <c r="X43" s="4"/>
      <c r="Y43" s="4"/>
      <c r="Z43" s="4"/>
      <c r="AA43" s="4"/>
      <c r="AB43" s="4"/>
      <c r="AC43" s="4"/>
      <c r="AD43" s="4"/>
      <c r="AE43" s="4"/>
      <c r="AF43" s="4">
        <v>5</v>
      </c>
      <c r="AG43" s="4"/>
      <c r="AH43" s="4"/>
      <c r="AI43" s="4"/>
      <c r="AJ43" s="4"/>
      <c r="AK43" s="4"/>
      <c r="AL43" s="4"/>
      <c r="AM43" s="4"/>
      <c r="AN43" s="4"/>
      <c r="AO43" s="4"/>
      <c r="AP43" s="4"/>
      <c r="AQ43" s="4"/>
      <c r="AR43" s="4"/>
      <c r="AS43" s="4">
        <v>11</v>
      </c>
      <c r="AT43" s="4"/>
      <c r="AU43" s="4">
        <v>16</v>
      </c>
      <c r="AV43" s="4"/>
      <c r="AW43" s="4">
        <v>1</v>
      </c>
      <c r="AX43" s="4"/>
      <c r="AY43" s="4">
        <v>37</v>
      </c>
      <c r="AZ43" s="4"/>
      <c r="BA43" s="4"/>
      <c r="BB43" s="4"/>
      <c r="BC43" s="4">
        <v>3</v>
      </c>
      <c r="BD43" s="4"/>
      <c r="BE43" s="4">
        <v>1</v>
      </c>
      <c r="BF43" s="4">
        <v>5</v>
      </c>
      <c r="BG43" s="4"/>
      <c r="BH43" s="4"/>
      <c r="BI43" s="4"/>
      <c r="BJ43" s="4" t="s">
        <v>353</v>
      </c>
      <c r="BK43" s="4">
        <v>30.267189999999999</v>
      </c>
      <c r="BL43" s="4">
        <v>-85.991889999999998</v>
      </c>
      <c r="BM43" s="4">
        <v>0</v>
      </c>
      <c r="BN43" s="4">
        <v>0</v>
      </c>
      <c r="BO43" s="4">
        <v>0</v>
      </c>
      <c r="BP43" s="4">
        <v>0</v>
      </c>
      <c r="BQ43" s="4">
        <v>0</v>
      </c>
      <c r="BR43" s="4">
        <v>0</v>
      </c>
      <c r="BS43" s="4">
        <v>0</v>
      </c>
      <c r="BT43" s="4">
        <v>0</v>
      </c>
      <c r="BU43" s="4">
        <v>0</v>
      </c>
      <c r="BV43" s="4">
        <v>0</v>
      </c>
      <c r="BW43" s="4">
        <v>0</v>
      </c>
      <c r="BX43" s="4">
        <v>0</v>
      </c>
      <c r="BY43" s="4" t="s">
        <v>553</v>
      </c>
      <c r="BZ43" s="4" t="s">
        <v>354</v>
      </c>
    </row>
    <row r="44" spans="1:222" ht="15.75" customHeight="1" x14ac:dyDescent="0.2">
      <c r="A44" s="3">
        <v>43499.866904583338</v>
      </c>
      <c r="B44" s="4" t="s">
        <v>554</v>
      </c>
      <c r="C44" s="4" t="s">
        <v>555</v>
      </c>
      <c r="D44" s="5">
        <v>43497</v>
      </c>
      <c r="E44" s="4" t="s">
        <v>556</v>
      </c>
      <c r="J44" s="6">
        <v>0.33333333333575865</v>
      </c>
      <c r="K44" s="4" t="s">
        <v>348</v>
      </c>
      <c r="L44" s="4" t="s">
        <v>349</v>
      </c>
      <c r="M44" s="4" t="s">
        <v>350</v>
      </c>
      <c r="N44" s="4" t="s">
        <v>351</v>
      </c>
      <c r="AE44" s="4">
        <v>13</v>
      </c>
      <c r="AF44" s="4">
        <v>154</v>
      </c>
      <c r="AM44" s="4">
        <v>79</v>
      </c>
      <c r="AN44" s="4">
        <v>8</v>
      </c>
      <c r="AV44" s="4">
        <v>39</v>
      </c>
      <c r="BB44" s="4">
        <v>1</v>
      </c>
      <c r="BE44" s="4">
        <v>17</v>
      </c>
      <c r="BJ44" s="4" t="s">
        <v>353</v>
      </c>
      <c r="BK44" s="4">
        <v>28.925049999999999</v>
      </c>
      <c r="BL44" s="4">
        <v>-80.820949999999996</v>
      </c>
      <c r="BW44" s="4">
        <v>2</v>
      </c>
      <c r="BZ44" s="4" t="s">
        <v>353</v>
      </c>
      <c r="CA44" s="4">
        <v>28.905360000000002</v>
      </c>
      <c r="CB44" s="4">
        <v>-80.807550000000006</v>
      </c>
      <c r="CM44" s="4">
        <v>6</v>
      </c>
      <c r="CP44" s="4" t="s">
        <v>359</v>
      </c>
    </row>
    <row r="45" spans="1:222" ht="15.75" customHeight="1" x14ac:dyDescent="0.2">
      <c r="A45" s="3">
        <v>43500.608277951389</v>
      </c>
      <c r="B45" s="4" t="s">
        <v>557</v>
      </c>
      <c r="C45" s="4" t="s">
        <v>558</v>
      </c>
      <c r="D45" s="5">
        <v>43497</v>
      </c>
      <c r="E45" s="4" t="s">
        <v>559</v>
      </c>
      <c r="J45" s="6">
        <v>0.3631944444423425</v>
      </c>
      <c r="K45" s="4" t="s">
        <v>348</v>
      </c>
      <c r="L45" s="4" t="s">
        <v>349</v>
      </c>
      <c r="M45" s="4" t="s">
        <v>350</v>
      </c>
      <c r="N45" s="4" t="s">
        <v>351</v>
      </c>
      <c r="O45" s="4" t="s">
        <v>560</v>
      </c>
      <c r="R45" s="4">
        <v>19</v>
      </c>
      <c r="AE45" s="4">
        <v>94</v>
      </c>
      <c r="AF45" s="4">
        <v>68</v>
      </c>
      <c r="AM45" s="4">
        <v>74</v>
      </c>
      <c r="AN45" s="4">
        <v>9</v>
      </c>
      <c r="AS45" s="4">
        <v>2</v>
      </c>
      <c r="AY45" s="4">
        <v>44</v>
      </c>
      <c r="BB45" s="4">
        <v>4</v>
      </c>
      <c r="BC45" s="4">
        <v>3</v>
      </c>
      <c r="BE45" s="4">
        <v>37</v>
      </c>
      <c r="BF45" s="4">
        <v>110</v>
      </c>
      <c r="BG45" s="4">
        <v>8</v>
      </c>
      <c r="BJ45" s="4" t="s">
        <v>353</v>
      </c>
      <c r="BK45" s="4">
        <v>28.415299999999998</v>
      </c>
      <c r="BL45" s="4">
        <v>-80.394999999999996</v>
      </c>
      <c r="BW45" s="4">
        <v>5</v>
      </c>
      <c r="BZ45" s="4" t="s">
        <v>353</v>
      </c>
      <c r="CA45" s="4">
        <v>28.425599999999999</v>
      </c>
      <c r="CB45" s="4">
        <v>-80.4041</v>
      </c>
      <c r="CM45" s="4">
        <v>4</v>
      </c>
      <c r="CP45" s="4" t="s">
        <v>359</v>
      </c>
    </row>
    <row r="46" spans="1:222" ht="15.75" customHeight="1" x14ac:dyDescent="0.2">
      <c r="A46" s="3">
        <v>43503.55490456018</v>
      </c>
      <c r="B46" s="4" t="s">
        <v>561</v>
      </c>
      <c r="C46" s="4" t="s">
        <v>562</v>
      </c>
      <c r="D46" s="5">
        <v>43501</v>
      </c>
      <c r="E46" s="4" t="s">
        <v>563</v>
      </c>
      <c r="J46" s="6">
        <v>0.5194444444423425</v>
      </c>
      <c r="K46" s="4" t="s">
        <v>379</v>
      </c>
      <c r="L46" s="4" t="s">
        <v>349</v>
      </c>
      <c r="M46" s="4" t="s">
        <v>350</v>
      </c>
      <c r="N46" s="4" t="s">
        <v>351</v>
      </c>
      <c r="R46" s="4">
        <v>87</v>
      </c>
      <c r="AD46" s="4">
        <v>43</v>
      </c>
      <c r="AE46" s="4">
        <v>5</v>
      </c>
      <c r="AF46" s="4">
        <v>345</v>
      </c>
      <c r="AG46" s="4">
        <v>4</v>
      </c>
      <c r="AM46" s="4">
        <v>28</v>
      </c>
      <c r="AR46" s="4">
        <v>10</v>
      </c>
      <c r="AS46" s="4">
        <v>10</v>
      </c>
      <c r="AU46" s="4">
        <v>178</v>
      </c>
      <c r="AY46" s="4">
        <v>48</v>
      </c>
      <c r="BB46" s="4">
        <v>41</v>
      </c>
      <c r="BC46" s="4">
        <v>46</v>
      </c>
      <c r="BE46" s="4">
        <v>68</v>
      </c>
      <c r="BF46" s="4">
        <v>170</v>
      </c>
      <c r="BG46" s="4">
        <v>8</v>
      </c>
      <c r="BJ46" s="4" t="s">
        <v>353</v>
      </c>
      <c r="BK46" s="4">
        <v>28.411269999999998</v>
      </c>
      <c r="BL46" s="4">
        <v>-80.583200000000005</v>
      </c>
      <c r="BO46" s="4">
        <v>10</v>
      </c>
      <c r="BY46" s="4" t="s">
        <v>564</v>
      </c>
      <c r="BZ46" s="4" t="s">
        <v>353</v>
      </c>
      <c r="CA46" s="4">
        <v>28.46097</v>
      </c>
      <c r="CB46" s="4">
        <v>-80.526570000000007</v>
      </c>
      <c r="CO46" s="4" t="s">
        <v>565</v>
      </c>
      <c r="CP46" s="4" t="s">
        <v>353</v>
      </c>
      <c r="CQ46" s="4">
        <v>28.465669999999999</v>
      </c>
      <c r="CR46" s="4">
        <v>-80.528919999999999</v>
      </c>
      <c r="DE46" s="4" t="s">
        <v>566</v>
      </c>
      <c r="DF46" s="4" t="s">
        <v>353</v>
      </c>
      <c r="DG46" s="4">
        <v>28.477370000000001</v>
      </c>
      <c r="DH46" s="4">
        <v>-80.535579999999996</v>
      </c>
      <c r="DU46" s="4" t="s">
        <v>567</v>
      </c>
      <c r="DV46" s="4" t="s">
        <v>353</v>
      </c>
      <c r="DW46" s="4">
        <v>28.533850000000001</v>
      </c>
      <c r="DX46" s="4">
        <v>-80.562340000000006</v>
      </c>
      <c r="EE46" s="4">
        <v>43</v>
      </c>
      <c r="EK46" s="4" t="s">
        <v>568</v>
      </c>
      <c r="EL46" s="4" t="s">
        <v>353</v>
      </c>
      <c r="EM46" s="4">
        <v>28.546320000000001</v>
      </c>
      <c r="EN46" s="4">
        <v>-80.565299999999993</v>
      </c>
      <c r="FA46" s="4" t="s">
        <v>569</v>
      </c>
      <c r="FB46" s="4" t="s">
        <v>359</v>
      </c>
    </row>
    <row r="47" spans="1:222" ht="15.75" customHeight="1" x14ac:dyDescent="0.2">
      <c r="A47" s="3">
        <v>43508.631648414354</v>
      </c>
      <c r="B47" s="4" t="s">
        <v>570</v>
      </c>
      <c r="C47" s="4" t="s">
        <v>571</v>
      </c>
      <c r="D47" s="5">
        <v>43503</v>
      </c>
      <c r="E47" s="4" t="s">
        <v>572</v>
      </c>
      <c r="J47" s="6">
        <v>0.41944444444379769</v>
      </c>
      <c r="K47" s="4" t="s">
        <v>379</v>
      </c>
      <c r="L47" s="4" t="s">
        <v>349</v>
      </c>
      <c r="M47" s="4" t="s">
        <v>350</v>
      </c>
      <c r="N47" s="4" t="s">
        <v>351</v>
      </c>
      <c r="P47" s="4">
        <v>0</v>
      </c>
      <c r="Q47" s="4"/>
      <c r="R47" s="4"/>
      <c r="S47" s="4"/>
      <c r="T47" s="4"/>
      <c r="U47" s="4"/>
      <c r="V47" s="4"/>
      <c r="W47" s="4"/>
      <c r="X47" s="4"/>
      <c r="Y47" s="4"/>
      <c r="Z47" s="4"/>
      <c r="AA47" s="4"/>
      <c r="AB47" s="4"/>
      <c r="AC47" s="4"/>
      <c r="AD47" s="4"/>
      <c r="AE47" s="4">
        <v>9</v>
      </c>
      <c r="AF47" s="4">
        <v>205</v>
      </c>
      <c r="AG47" s="4"/>
      <c r="AH47" s="4"/>
      <c r="AI47" s="4"/>
      <c r="AJ47" s="4"/>
      <c r="AK47" s="4"/>
      <c r="AL47" s="4"/>
      <c r="AM47" s="4">
        <v>43</v>
      </c>
      <c r="AN47" s="4"/>
      <c r="AO47" s="4"/>
      <c r="AP47" s="4"/>
      <c r="AQ47" s="4"/>
      <c r="AR47" s="4"/>
      <c r="AS47" s="4"/>
      <c r="AT47" s="4"/>
      <c r="AU47" s="4"/>
      <c r="AV47" s="4"/>
      <c r="AW47" s="4"/>
      <c r="AX47" s="4">
        <v>1</v>
      </c>
      <c r="AY47" s="4"/>
      <c r="AZ47" s="4"/>
      <c r="BA47" s="4"/>
      <c r="BB47" s="4"/>
      <c r="BC47" s="4">
        <v>8</v>
      </c>
      <c r="BD47" s="4">
        <v>1</v>
      </c>
      <c r="BE47" s="4">
        <v>4</v>
      </c>
      <c r="BF47" s="4"/>
      <c r="BG47" s="4">
        <v>1</v>
      </c>
      <c r="BH47" s="4"/>
      <c r="BI47" s="4"/>
      <c r="BJ47" s="4" t="s">
        <v>364</v>
      </c>
    </row>
    <row r="48" spans="1:222" ht="15.75" customHeight="1" x14ac:dyDescent="0.2">
      <c r="A48" s="3">
        <v>43508.588335381944</v>
      </c>
      <c r="B48" s="4" t="s">
        <v>573</v>
      </c>
      <c r="C48" s="4" t="s">
        <v>574</v>
      </c>
      <c r="D48" s="5">
        <v>43502</v>
      </c>
      <c r="E48" s="4" t="s">
        <v>575</v>
      </c>
      <c r="J48" s="6">
        <v>0.35624999999708962</v>
      </c>
      <c r="L48" s="4" t="s">
        <v>358</v>
      </c>
      <c r="M48" s="4" t="s">
        <v>350</v>
      </c>
      <c r="N48" s="4" t="s">
        <v>351</v>
      </c>
      <c r="P48" s="4">
        <v>1</v>
      </c>
      <c r="T48" s="4">
        <v>3</v>
      </c>
      <c r="U48" s="4"/>
      <c r="V48" s="4"/>
      <c r="W48" s="4"/>
      <c r="X48" s="4"/>
      <c r="Y48" s="4"/>
      <c r="AB48" s="4">
        <v>1</v>
      </c>
      <c r="AC48" s="4">
        <v>5</v>
      </c>
      <c r="AD48" s="4"/>
      <c r="AE48" s="4">
        <v>1</v>
      </c>
      <c r="AM48" s="4">
        <v>1</v>
      </c>
      <c r="AR48" s="4">
        <v>1</v>
      </c>
      <c r="AY48" s="4">
        <v>51</v>
      </c>
      <c r="BC48" s="4">
        <v>13</v>
      </c>
      <c r="BE48" s="4">
        <v>14</v>
      </c>
      <c r="BJ48" s="4" t="s">
        <v>353</v>
      </c>
      <c r="BK48" s="4">
        <v>29.827400000000001</v>
      </c>
      <c r="BL48" s="4">
        <v>-84.570040000000006</v>
      </c>
      <c r="BM48" s="4">
        <v>1</v>
      </c>
      <c r="BO48" s="4">
        <v>1</v>
      </c>
      <c r="BQ48" s="4">
        <v>5</v>
      </c>
      <c r="BR48" s="4" t="s">
        <v>576</v>
      </c>
      <c r="BZ48" s="4" t="s">
        <v>354</v>
      </c>
    </row>
    <row r="49" spans="1:222" ht="15.75" customHeight="1" x14ac:dyDescent="0.2">
      <c r="A49" s="3">
        <v>43515.556586342587</v>
      </c>
      <c r="B49" s="4" t="s">
        <v>577</v>
      </c>
      <c r="C49" s="4" t="s">
        <v>578</v>
      </c>
      <c r="D49" s="5">
        <v>43497</v>
      </c>
      <c r="E49" s="4" t="s">
        <v>579</v>
      </c>
      <c r="J49" s="6">
        <v>0.35416666666424135</v>
      </c>
      <c r="K49" s="4" t="s">
        <v>348</v>
      </c>
      <c r="L49" s="4" t="s">
        <v>358</v>
      </c>
      <c r="M49" s="4" t="s">
        <v>350</v>
      </c>
      <c r="N49" s="4" t="s">
        <v>351</v>
      </c>
      <c r="P49" s="4">
        <v>0</v>
      </c>
      <c r="Q49" s="4"/>
      <c r="R49" s="4"/>
      <c r="S49" s="4"/>
      <c r="T49" s="4"/>
      <c r="U49" s="4"/>
      <c r="V49" s="4"/>
      <c r="W49" s="4"/>
      <c r="X49" s="4"/>
      <c r="Y49" s="4"/>
      <c r="Z49" s="4"/>
      <c r="AA49" s="4"/>
      <c r="AB49" s="4"/>
      <c r="AC49" s="4"/>
      <c r="AD49" s="4"/>
      <c r="AE49" s="4">
        <v>2</v>
      </c>
      <c r="AF49" s="4">
        <v>4</v>
      </c>
      <c r="AG49" s="4"/>
      <c r="AH49" s="4"/>
      <c r="AI49" s="4"/>
      <c r="AJ49" s="4"/>
      <c r="AK49" s="4"/>
      <c r="AL49" s="4"/>
      <c r="AM49" s="4"/>
      <c r="AN49" s="4"/>
      <c r="AO49" s="4"/>
      <c r="AP49" s="4"/>
      <c r="AQ49" s="4"/>
      <c r="AR49" s="4"/>
      <c r="AS49" s="4"/>
      <c r="AT49" s="4"/>
      <c r="AU49" s="4">
        <v>1</v>
      </c>
      <c r="AV49" s="4"/>
      <c r="AW49" s="4">
        <v>4</v>
      </c>
      <c r="AX49" s="4"/>
      <c r="AY49" s="4"/>
      <c r="AZ49" s="4"/>
      <c r="BA49" s="4"/>
      <c r="BB49" s="4">
        <v>8</v>
      </c>
      <c r="BC49" s="4">
        <v>50</v>
      </c>
      <c r="BD49" s="4"/>
      <c r="BE49" s="4">
        <v>50</v>
      </c>
      <c r="BF49" s="4">
        <v>23</v>
      </c>
      <c r="BG49" s="4">
        <v>1</v>
      </c>
      <c r="BH49" s="4"/>
      <c r="BI49" s="4"/>
      <c r="BJ49" s="4" t="s">
        <v>364</v>
      </c>
    </row>
    <row r="50" spans="1:222" ht="12.75" x14ac:dyDescent="0.2">
      <c r="A50" s="3">
        <v>43507.675469224538</v>
      </c>
      <c r="B50" s="4" t="s">
        <v>573</v>
      </c>
      <c r="C50" s="4" t="s">
        <v>580</v>
      </c>
      <c r="D50" s="5">
        <v>43501</v>
      </c>
      <c r="E50" s="4" t="s">
        <v>581</v>
      </c>
      <c r="J50" s="6">
        <v>0.32291666666424135</v>
      </c>
      <c r="L50" s="4" t="s">
        <v>358</v>
      </c>
      <c r="M50" s="4" t="s">
        <v>350</v>
      </c>
      <c r="N50" s="4" t="s">
        <v>351</v>
      </c>
      <c r="R50" s="4">
        <v>6</v>
      </c>
      <c r="AJ50" s="4">
        <v>1</v>
      </c>
      <c r="AM50" s="4">
        <v>1</v>
      </c>
      <c r="AS50" s="4">
        <v>3</v>
      </c>
      <c r="AU50" s="4">
        <v>11</v>
      </c>
      <c r="AX50" s="4">
        <v>4</v>
      </c>
      <c r="BE50" s="4">
        <v>3</v>
      </c>
      <c r="BJ50" s="4" t="s">
        <v>364</v>
      </c>
    </row>
    <row r="51" spans="1:222" ht="12.75" x14ac:dyDescent="0.2">
      <c r="A51" s="3">
        <v>43507.712878287042</v>
      </c>
      <c r="B51" s="4" t="s">
        <v>482</v>
      </c>
      <c r="C51" s="9" t="s">
        <v>582</v>
      </c>
      <c r="D51" s="5">
        <v>43501</v>
      </c>
      <c r="E51" s="4" t="s">
        <v>484</v>
      </c>
      <c r="F51" s="4">
        <v>25.906545999999999</v>
      </c>
      <c r="G51" s="4">
        <v>-81.717354999999998</v>
      </c>
      <c r="H51" s="4">
        <v>25.899401000000001</v>
      </c>
      <c r="I51" s="4">
        <v>-81.721346999999994</v>
      </c>
      <c r="J51" s="6">
        <v>0.45138888889050577</v>
      </c>
      <c r="K51" s="4" t="s">
        <v>379</v>
      </c>
      <c r="L51" s="4" t="s">
        <v>358</v>
      </c>
      <c r="M51" s="4" t="s">
        <v>350</v>
      </c>
      <c r="N51" s="4" t="s">
        <v>351</v>
      </c>
      <c r="Z51" s="4">
        <v>116</v>
      </c>
      <c r="AB51" s="4">
        <v>10</v>
      </c>
      <c r="AE51" s="4">
        <v>6</v>
      </c>
      <c r="AF51" s="4">
        <v>68</v>
      </c>
      <c r="AK51" s="4">
        <v>10</v>
      </c>
      <c r="AM51" s="4">
        <v>4</v>
      </c>
      <c r="AR51" s="4">
        <v>800</v>
      </c>
      <c r="AU51" s="4">
        <v>45</v>
      </c>
      <c r="BC51" s="4">
        <v>6</v>
      </c>
      <c r="BE51" s="4">
        <v>25</v>
      </c>
      <c r="BF51" s="4">
        <v>58</v>
      </c>
      <c r="BJ51" s="4" t="s">
        <v>353</v>
      </c>
      <c r="BK51" s="4">
        <v>25.900510000000001</v>
      </c>
      <c r="BL51" s="4">
        <v>-81.721959999999996</v>
      </c>
      <c r="BO51" s="4">
        <v>800</v>
      </c>
      <c r="BZ51" s="4" t="s">
        <v>354</v>
      </c>
    </row>
    <row r="52" spans="1:222" ht="12.75" x14ac:dyDescent="0.2">
      <c r="A52" s="3">
        <v>43506.4589083912</v>
      </c>
      <c r="B52" s="4" t="s">
        <v>583</v>
      </c>
      <c r="C52" s="4" t="s">
        <v>584</v>
      </c>
      <c r="D52" s="5">
        <v>43500</v>
      </c>
      <c r="E52" s="4" t="s">
        <v>585</v>
      </c>
      <c r="F52" s="4">
        <v>29.133257</v>
      </c>
      <c r="G52" s="4">
        <v>-83.030368999999993</v>
      </c>
      <c r="H52" s="4">
        <v>29.163022999999999</v>
      </c>
      <c r="I52" s="4">
        <v>-83.000097999999994</v>
      </c>
      <c r="J52" s="6">
        <v>0.53472222221898846</v>
      </c>
      <c r="K52" s="4" t="s">
        <v>348</v>
      </c>
      <c r="L52" s="4" t="s">
        <v>349</v>
      </c>
      <c r="M52" s="4" t="s">
        <v>350</v>
      </c>
      <c r="N52" s="4" t="s">
        <v>351</v>
      </c>
      <c r="O52" s="4" t="s">
        <v>586</v>
      </c>
      <c r="P52" s="4">
        <v>484</v>
      </c>
      <c r="Q52" s="4">
        <v>370</v>
      </c>
      <c r="R52" s="4">
        <v>150</v>
      </c>
      <c r="S52" s="4">
        <v>60</v>
      </c>
      <c r="AA52" s="4">
        <v>280</v>
      </c>
      <c r="AB52" s="4">
        <v>12</v>
      </c>
      <c r="AD52" s="4">
        <v>15</v>
      </c>
      <c r="AE52" s="4">
        <v>63</v>
      </c>
      <c r="AL52" s="4">
        <v>18</v>
      </c>
      <c r="AM52" s="4">
        <v>125</v>
      </c>
      <c r="AN52" s="4">
        <v>3</v>
      </c>
      <c r="BJ52" s="4" t="s">
        <v>353</v>
      </c>
      <c r="BK52" s="4">
        <v>29.158449999999998</v>
      </c>
      <c r="BL52" s="4">
        <v>-83.000550000000004</v>
      </c>
      <c r="BM52" s="4">
        <v>482</v>
      </c>
      <c r="BN52" s="4" t="s">
        <v>587</v>
      </c>
      <c r="BS52" s="4">
        <v>15</v>
      </c>
      <c r="BT52" s="4" t="s">
        <v>588</v>
      </c>
      <c r="BZ52" s="4" t="s">
        <v>353</v>
      </c>
      <c r="CA52" s="4">
        <v>29.156469999999999</v>
      </c>
      <c r="CB52" s="4">
        <v>-82.991680000000002</v>
      </c>
      <c r="CC52" s="4">
        <v>2</v>
      </c>
      <c r="CD52" s="4" t="s">
        <v>589</v>
      </c>
      <c r="CM52" s="4">
        <v>3</v>
      </c>
      <c r="CN52" s="4" t="s">
        <v>589</v>
      </c>
      <c r="CP52" s="4" t="s">
        <v>466</v>
      </c>
    </row>
    <row r="53" spans="1:222" ht="12.75" x14ac:dyDescent="0.2">
      <c r="A53" s="3">
        <v>43506.48226005787</v>
      </c>
      <c r="B53" s="4" t="s">
        <v>402</v>
      </c>
      <c r="C53" s="4" t="s">
        <v>590</v>
      </c>
      <c r="D53" s="5">
        <v>43500</v>
      </c>
      <c r="E53" s="4" t="s">
        <v>404</v>
      </c>
      <c r="F53" s="4">
        <v>29.211497000000001</v>
      </c>
      <c r="G53" s="4">
        <v>-83.081023000000002</v>
      </c>
      <c r="H53" s="4">
        <v>29.129525999999998</v>
      </c>
      <c r="I53" s="4">
        <v>-83.055842999999996</v>
      </c>
      <c r="J53" s="6">
        <v>0.53819444444525288</v>
      </c>
      <c r="K53" s="4" t="s">
        <v>348</v>
      </c>
      <c r="L53" s="4" t="s">
        <v>349</v>
      </c>
      <c r="M53" s="4" t="s">
        <v>350</v>
      </c>
      <c r="N53" s="4" t="s">
        <v>351</v>
      </c>
      <c r="O53" s="4" t="s">
        <v>591</v>
      </c>
      <c r="P53" s="4">
        <v>1144</v>
      </c>
      <c r="R53" s="4">
        <v>59</v>
      </c>
      <c r="S53" s="4">
        <v>2207</v>
      </c>
      <c r="U53" s="4">
        <v>1</v>
      </c>
      <c r="Z53" s="4">
        <v>15</v>
      </c>
      <c r="AB53" s="4">
        <v>35</v>
      </c>
      <c r="AC53" s="4">
        <v>3</v>
      </c>
      <c r="AD53" s="4">
        <v>121</v>
      </c>
      <c r="AE53" s="4">
        <v>136</v>
      </c>
      <c r="AF53" s="4">
        <v>54</v>
      </c>
      <c r="AG53" s="4">
        <v>479</v>
      </c>
      <c r="AK53" s="4">
        <v>800</v>
      </c>
      <c r="AL53" s="4">
        <v>6</v>
      </c>
      <c r="AM53" s="4">
        <v>199</v>
      </c>
      <c r="AN53" s="4">
        <v>1</v>
      </c>
      <c r="AR53" s="4">
        <v>75</v>
      </c>
      <c r="BJ53" s="4" t="s">
        <v>353</v>
      </c>
      <c r="BK53" s="4">
        <v>29.200873000000001</v>
      </c>
      <c r="BL53" s="4">
        <v>-83.079791</v>
      </c>
      <c r="BO53" s="4">
        <v>38</v>
      </c>
      <c r="BZ53" s="4" t="s">
        <v>353</v>
      </c>
      <c r="CA53" s="4">
        <v>29.211497000000001</v>
      </c>
      <c r="CB53" s="4">
        <v>-83.081023000000002</v>
      </c>
      <c r="CC53" s="4">
        <v>83</v>
      </c>
      <c r="CD53" s="4" t="s">
        <v>406</v>
      </c>
      <c r="CI53" s="4">
        <v>1</v>
      </c>
      <c r="CP53" s="4" t="s">
        <v>353</v>
      </c>
      <c r="CQ53" s="4">
        <v>29.187190000000001</v>
      </c>
      <c r="CR53" s="4">
        <v>-83.090632999999997</v>
      </c>
      <c r="CS53" s="4">
        <v>170</v>
      </c>
      <c r="CT53" s="4" t="s">
        <v>406</v>
      </c>
      <c r="CU53" s="4">
        <v>6</v>
      </c>
      <c r="DC53" s="4">
        <v>1</v>
      </c>
      <c r="DF53" s="4" t="s">
        <v>353</v>
      </c>
      <c r="DG53" s="4">
        <v>29.1694</v>
      </c>
      <c r="DH53" s="4">
        <v>-83.065420000000003</v>
      </c>
      <c r="DI53" s="4">
        <v>80</v>
      </c>
      <c r="DJ53" s="4" t="s">
        <v>592</v>
      </c>
      <c r="DV53" s="4" t="s">
        <v>353</v>
      </c>
      <c r="DW53" s="4">
        <v>29.169184000000001</v>
      </c>
      <c r="DX53" s="4">
        <v>-83.064751000000001</v>
      </c>
      <c r="DY53" s="4">
        <v>154</v>
      </c>
      <c r="DZ53" s="4" t="s">
        <v>593</v>
      </c>
      <c r="EK53" s="4" t="s">
        <v>594</v>
      </c>
      <c r="EL53" s="4" t="s">
        <v>353</v>
      </c>
      <c r="EM53" s="4">
        <v>29.150600000000001</v>
      </c>
      <c r="EN53" s="4">
        <v>-83.064880000000002</v>
      </c>
      <c r="EO53" s="4">
        <v>76</v>
      </c>
      <c r="EP53" s="4" t="s">
        <v>595</v>
      </c>
      <c r="FB53" s="4" t="s">
        <v>353</v>
      </c>
      <c r="FC53" s="4">
        <v>29.143174999999999</v>
      </c>
      <c r="FD53" s="4">
        <v>-83.064402000000001</v>
      </c>
      <c r="FE53" s="4">
        <v>374</v>
      </c>
      <c r="FF53" s="4" t="s">
        <v>596</v>
      </c>
      <c r="FG53" s="4">
        <v>31</v>
      </c>
      <c r="FR53" s="4" t="s">
        <v>353</v>
      </c>
      <c r="FS53" s="4">
        <v>29.139209999999999</v>
      </c>
      <c r="FT53" s="4">
        <v>-83.058000000000007</v>
      </c>
      <c r="FU53" s="4">
        <v>170</v>
      </c>
      <c r="FV53" s="4" t="s">
        <v>597</v>
      </c>
      <c r="GH53" s="4" t="s">
        <v>353</v>
      </c>
      <c r="GI53" s="4">
        <v>29.139099999999999</v>
      </c>
      <c r="GJ53" s="4">
        <v>-83.058229999999995</v>
      </c>
      <c r="GK53" s="4">
        <v>37</v>
      </c>
      <c r="GQ53" s="4">
        <v>120</v>
      </c>
      <c r="GW53" s="4" t="s">
        <v>598</v>
      </c>
      <c r="GX53" s="4" t="s">
        <v>359</v>
      </c>
    </row>
    <row r="54" spans="1:222" ht="12.75" x14ac:dyDescent="0.2">
      <c r="A54" s="3">
        <v>43507.349888414348</v>
      </c>
      <c r="B54" s="4" t="s">
        <v>599</v>
      </c>
      <c r="C54" s="4" t="s">
        <v>600</v>
      </c>
      <c r="D54" s="5">
        <v>43502</v>
      </c>
      <c r="E54" s="4" t="s">
        <v>601</v>
      </c>
      <c r="J54" s="6">
        <v>0.46527777778101154</v>
      </c>
      <c r="K54" s="4" t="s">
        <v>379</v>
      </c>
      <c r="L54" s="4" t="s">
        <v>349</v>
      </c>
      <c r="M54" s="4" t="s">
        <v>350</v>
      </c>
      <c r="N54" s="4" t="s">
        <v>351</v>
      </c>
      <c r="O54" s="4" t="s">
        <v>602</v>
      </c>
      <c r="P54" s="4">
        <v>15</v>
      </c>
      <c r="AE54" s="4">
        <v>1</v>
      </c>
      <c r="AJ54" s="4">
        <v>10</v>
      </c>
      <c r="BE54" s="4">
        <v>1</v>
      </c>
      <c r="BJ54" s="4" t="s">
        <v>353</v>
      </c>
      <c r="BK54" s="4">
        <v>26.645357949000001</v>
      </c>
      <c r="BL54" s="4">
        <v>-80.040126857000004</v>
      </c>
      <c r="BM54" s="4">
        <v>1</v>
      </c>
      <c r="BZ54" s="4" t="s">
        <v>353</v>
      </c>
      <c r="CA54" s="4">
        <v>26.645023844000001</v>
      </c>
      <c r="CB54" s="4">
        <v>-80.040471898999996</v>
      </c>
      <c r="CC54" s="4">
        <v>5</v>
      </c>
      <c r="CP54" s="4" t="s">
        <v>353</v>
      </c>
      <c r="CQ54" s="4">
        <v>26.629922763</v>
      </c>
      <c r="CR54" s="4">
        <v>-80.040340041999997</v>
      </c>
      <c r="CS54" s="4">
        <v>2</v>
      </c>
      <c r="DF54" s="4" t="s">
        <v>353</v>
      </c>
      <c r="DG54" s="4">
        <v>26.625180621999998</v>
      </c>
      <c r="DH54" s="4">
        <v>-80.045263962999996</v>
      </c>
      <c r="DI54" s="4">
        <v>1</v>
      </c>
      <c r="DV54" s="4" t="s">
        <v>353</v>
      </c>
      <c r="DW54" s="4">
        <v>26.623680101000001</v>
      </c>
      <c r="DX54" s="4">
        <v>-80.045318973999997</v>
      </c>
      <c r="DY54" s="4">
        <v>1</v>
      </c>
      <c r="EL54" s="4" t="s">
        <v>353</v>
      </c>
      <c r="EM54" s="4">
        <v>26.617745949</v>
      </c>
      <c r="EN54" s="4">
        <v>-80.045742267999998</v>
      </c>
      <c r="EO54" s="4">
        <v>3</v>
      </c>
      <c r="FB54" s="4" t="s">
        <v>353</v>
      </c>
      <c r="FC54" s="4">
        <v>26.614980790000001</v>
      </c>
      <c r="FD54" s="4">
        <v>-80.044970423999999</v>
      </c>
      <c r="FE54" s="4">
        <v>2</v>
      </c>
      <c r="FR54" s="4" t="s">
        <v>359</v>
      </c>
    </row>
    <row r="55" spans="1:222" ht="12.75" x14ac:dyDescent="0.2">
      <c r="A55" s="3">
        <v>43500.509698784721</v>
      </c>
      <c r="B55" s="4" t="s">
        <v>603</v>
      </c>
      <c r="C55" s="4" t="s">
        <v>604</v>
      </c>
      <c r="D55" s="5">
        <v>43500</v>
      </c>
      <c r="E55" s="4" t="s">
        <v>605</v>
      </c>
      <c r="J55" s="6">
        <v>0.375</v>
      </c>
      <c r="K55" s="4" t="s">
        <v>348</v>
      </c>
      <c r="L55" s="4" t="s">
        <v>358</v>
      </c>
      <c r="M55" s="4" t="s">
        <v>350</v>
      </c>
      <c r="N55" s="4" t="s">
        <v>351</v>
      </c>
      <c r="P55" s="4">
        <v>0</v>
      </c>
      <c r="Q55" s="4"/>
      <c r="R55" s="4">
        <v>1</v>
      </c>
      <c r="S55" s="4"/>
      <c r="T55" s="4"/>
      <c r="U55" s="4"/>
      <c r="V55" s="4"/>
      <c r="W55" s="4"/>
      <c r="X55" s="4"/>
      <c r="Y55" s="4"/>
      <c r="Z55" s="4"/>
      <c r="AA55" s="4"/>
      <c r="AB55" s="4"/>
      <c r="AC55" s="4"/>
      <c r="AD55" s="4"/>
      <c r="AE55" s="4"/>
      <c r="AF55" s="4">
        <v>8</v>
      </c>
      <c r="AG55" s="4"/>
      <c r="AH55" s="4"/>
      <c r="AI55" s="4"/>
      <c r="AJ55" s="4"/>
      <c r="AK55" s="4"/>
      <c r="AL55" s="4"/>
      <c r="AM55" s="4">
        <v>2</v>
      </c>
      <c r="AN55" s="4"/>
      <c r="AO55" s="4"/>
      <c r="AP55" s="4"/>
      <c r="AQ55" s="4"/>
      <c r="AR55" s="4">
        <v>1319</v>
      </c>
      <c r="AS55" s="4"/>
      <c r="AT55" s="4"/>
      <c r="AU55" s="4">
        <v>5</v>
      </c>
      <c r="AV55" s="4"/>
      <c r="AW55" s="4"/>
      <c r="AX55" s="4"/>
      <c r="AY55" s="4">
        <v>1</v>
      </c>
      <c r="AZ55" s="4"/>
      <c r="BA55" s="4"/>
      <c r="BB55" s="4">
        <v>1</v>
      </c>
      <c r="BC55" s="4">
        <v>8</v>
      </c>
      <c r="BD55" s="4"/>
      <c r="BE55" s="4">
        <v>3</v>
      </c>
      <c r="BF55" s="4">
        <v>44</v>
      </c>
      <c r="BG55" s="4">
        <v>385</v>
      </c>
      <c r="BH55" s="4"/>
      <c r="BI55" s="4"/>
      <c r="BJ55" s="4" t="s">
        <v>353</v>
      </c>
      <c r="BK55" s="4">
        <v>26.221710000000002</v>
      </c>
      <c r="BL55" s="4">
        <v>-81.818430000000006</v>
      </c>
      <c r="BM55" s="4">
        <v>0</v>
      </c>
      <c r="BO55" s="4">
        <v>1319</v>
      </c>
      <c r="BP55" s="4" t="s">
        <v>606</v>
      </c>
      <c r="BQ55" s="4">
        <v>0</v>
      </c>
      <c r="BS55" s="4">
        <v>0</v>
      </c>
      <c r="BU55" s="4">
        <v>0</v>
      </c>
      <c r="BW55" s="4">
        <v>0</v>
      </c>
      <c r="BY55" s="4" t="s">
        <v>607</v>
      </c>
      <c r="BZ55" s="4" t="s">
        <v>364</v>
      </c>
    </row>
    <row r="56" spans="1:222" ht="12.75" x14ac:dyDescent="0.2">
      <c r="A56" s="3">
        <v>43499.385946064816</v>
      </c>
      <c r="B56" s="4" t="s">
        <v>608</v>
      </c>
      <c r="C56" s="4" t="s">
        <v>609</v>
      </c>
      <c r="D56" s="5">
        <v>43499</v>
      </c>
      <c r="E56" s="4" t="s">
        <v>610</v>
      </c>
      <c r="J56" s="6">
        <v>0.29166666666424135</v>
      </c>
      <c r="K56" s="4" t="s">
        <v>348</v>
      </c>
      <c r="L56" s="4" t="s">
        <v>358</v>
      </c>
      <c r="M56" s="4" t="s">
        <v>350</v>
      </c>
      <c r="N56" s="4" t="s">
        <v>351</v>
      </c>
      <c r="AF56" s="4">
        <v>30</v>
      </c>
      <c r="AG56" s="4">
        <v>3</v>
      </c>
      <c r="AU56" s="4">
        <v>3</v>
      </c>
      <c r="AV56" s="4">
        <v>1</v>
      </c>
      <c r="BC56" s="4">
        <v>5</v>
      </c>
      <c r="BE56" s="4">
        <v>8</v>
      </c>
      <c r="BF56" s="4">
        <v>9</v>
      </c>
      <c r="BJ56" s="4" t="s">
        <v>364</v>
      </c>
    </row>
    <row r="57" spans="1:222" ht="12.75" x14ac:dyDescent="0.2">
      <c r="A57" s="3">
        <v>43502.407655949079</v>
      </c>
      <c r="B57" s="4" t="s">
        <v>611</v>
      </c>
      <c r="C57" s="4" t="s">
        <v>612</v>
      </c>
      <c r="D57" s="5">
        <v>43502</v>
      </c>
      <c r="E57" s="4" t="s">
        <v>613</v>
      </c>
      <c r="F57" s="4">
        <v>27.963899999999999</v>
      </c>
      <c r="G57" s="4">
        <v>-82.820800000000006</v>
      </c>
      <c r="H57" s="4">
        <v>27.966699999999999</v>
      </c>
      <c r="I57" s="4">
        <v>-82.817999999999998</v>
      </c>
      <c r="J57" s="6">
        <v>0.31388888889341615</v>
      </c>
      <c r="K57" s="4" t="s">
        <v>348</v>
      </c>
      <c r="L57" s="4" t="s">
        <v>358</v>
      </c>
      <c r="M57" s="4" t="s">
        <v>350</v>
      </c>
      <c r="N57" s="4" t="s">
        <v>351</v>
      </c>
      <c r="O57" s="4" t="s">
        <v>614</v>
      </c>
      <c r="P57" s="4">
        <v>0</v>
      </c>
      <c r="Q57" s="4"/>
      <c r="R57" s="4"/>
      <c r="S57" s="4"/>
      <c r="T57" s="4"/>
      <c r="U57" s="4"/>
      <c r="V57" s="4"/>
      <c r="W57" s="4"/>
      <c r="X57" s="4"/>
      <c r="Y57" s="4"/>
      <c r="Z57" s="4"/>
      <c r="AB57" s="4"/>
      <c r="AC57" s="4"/>
      <c r="AD57" s="4"/>
      <c r="AE57" s="4"/>
      <c r="AF57" s="4"/>
      <c r="AG57" s="4"/>
      <c r="AH57" s="4"/>
      <c r="AI57" s="4"/>
      <c r="AJ57" s="4"/>
      <c r="AK57" s="4"/>
      <c r="AL57" s="4"/>
      <c r="AM57" s="4"/>
      <c r="AN57" s="4"/>
      <c r="AO57" s="4"/>
      <c r="AR57" s="4"/>
      <c r="AS57" s="4"/>
      <c r="AT57" s="4"/>
      <c r="AU57" s="4">
        <v>1</v>
      </c>
      <c r="AV57" s="4"/>
      <c r="AW57" s="4"/>
      <c r="AX57" s="4"/>
      <c r="AY57" s="4"/>
      <c r="AZ57" s="4"/>
      <c r="BA57" s="4"/>
      <c r="BB57" s="4">
        <v>1</v>
      </c>
      <c r="BC57" s="4">
        <v>38</v>
      </c>
      <c r="BD57" s="4"/>
      <c r="BE57" s="4">
        <v>3</v>
      </c>
      <c r="BF57" s="4"/>
      <c r="BG57" s="4"/>
      <c r="BH57" s="4"/>
      <c r="BI57" s="4"/>
      <c r="BJ57" s="4" t="s">
        <v>364</v>
      </c>
    </row>
    <row r="58" spans="1:222" ht="12.75" x14ac:dyDescent="0.2">
      <c r="A58" s="3">
        <v>43508.304653969906</v>
      </c>
      <c r="B58" s="4" t="s">
        <v>615</v>
      </c>
      <c r="C58" s="4" t="s">
        <v>616</v>
      </c>
      <c r="D58" s="5">
        <v>43648</v>
      </c>
      <c r="E58" s="4" t="s">
        <v>617</v>
      </c>
      <c r="J58" s="6">
        <v>0.375</v>
      </c>
      <c r="K58" s="4" t="s">
        <v>348</v>
      </c>
      <c r="L58" s="4" t="s">
        <v>358</v>
      </c>
      <c r="M58" s="4" t="s">
        <v>350</v>
      </c>
      <c r="N58" s="4" t="s">
        <v>351</v>
      </c>
      <c r="P58" s="4">
        <v>0</v>
      </c>
      <c r="Q58" s="4"/>
      <c r="R58" s="4"/>
      <c r="S58" s="4"/>
      <c r="T58" s="4"/>
      <c r="U58" s="4"/>
      <c r="V58" s="4"/>
      <c r="W58" s="4"/>
      <c r="X58" s="4"/>
      <c r="Y58" s="4"/>
      <c r="Z58" s="4"/>
      <c r="AA58" s="4"/>
      <c r="AB58" s="4"/>
      <c r="AC58" s="4"/>
      <c r="AD58" s="4"/>
      <c r="AE58" s="4"/>
      <c r="AF58" s="4"/>
      <c r="AG58" s="4"/>
      <c r="AH58" s="4"/>
      <c r="AI58" s="4"/>
      <c r="AJ58" s="4"/>
      <c r="AK58" s="4"/>
      <c r="AL58" s="4"/>
      <c r="AM58" s="4"/>
      <c r="AN58" s="4"/>
      <c r="AO58" s="4">
        <v>1</v>
      </c>
      <c r="AP58" s="4"/>
      <c r="AQ58" s="4"/>
      <c r="AR58" s="4"/>
      <c r="AS58" s="4"/>
      <c r="AT58" s="4"/>
      <c r="AU58" s="4"/>
      <c r="AV58" s="4"/>
      <c r="AW58" s="4"/>
      <c r="AX58" s="4">
        <v>4</v>
      </c>
      <c r="AY58" s="4"/>
      <c r="AZ58" s="4"/>
      <c r="BA58" s="4"/>
      <c r="BB58" s="4"/>
      <c r="BC58" s="4"/>
      <c r="BD58" s="4"/>
      <c r="BE58" s="4"/>
      <c r="BF58" s="4"/>
      <c r="BG58" s="4"/>
      <c r="BH58" s="4"/>
      <c r="BI58" s="4">
        <v>3</v>
      </c>
      <c r="BJ58" s="4" t="s">
        <v>364</v>
      </c>
    </row>
    <row r="59" spans="1:222" ht="12.75" x14ac:dyDescent="0.2">
      <c r="A59" s="3">
        <v>43508.29960528935</v>
      </c>
      <c r="B59" s="4" t="s">
        <v>618</v>
      </c>
      <c r="C59" s="4" t="s">
        <v>616</v>
      </c>
      <c r="D59" s="5">
        <v>43503</v>
      </c>
      <c r="E59" s="4" t="s">
        <v>617</v>
      </c>
      <c r="J59" s="6">
        <v>0.46527777778101154</v>
      </c>
      <c r="K59" s="4" t="s">
        <v>348</v>
      </c>
      <c r="L59" s="4" t="s">
        <v>349</v>
      </c>
      <c r="M59" s="4" t="s">
        <v>350</v>
      </c>
      <c r="N59" s="4" t="s">
        <v>351</v>
      </c>
      <c r="P59" s="4">
        <v>0</v>
      </c>
      <c r="Q59" s="4"/>
      <c r="R59" s="4"/>
      <c r="S59" s="4"/>
      <c r="T59" s="4">
        <v>3</v>
      </c>
      <c r="U59" s="4">
        <v>4</v>
      </c>
      <c r="V59" s="4"/>
      <c r="X59" s="4"/>
      <c r="Y59" s="4"/>
      <c r="Z59" s="4"/>
      <c r="AA59" s="4"/>
      <c r="AB59" s="4"/>
      <c r="AC59" s="4"/>
      <c r="AD59" s="4"/>
      <c r="AE59" s="4"/>
      <c r="AF59" s="4"/>
      <c r="AG59" s="4"/>
      <c r="AH59" s="4"/>
      <c r="AI59" s="4"/>
      <c r="AJ59" s="4"/>
      <c r="AK59" s="4"/>
      <c r="AL59" s="4"/>
      <c r="AM59" s="4"/>
      <c r="AN59" s="4"/>
      <c r="AO59" s="4"/>
      <c r="AP59" s="4"/>
      <c r="AQ59" s="4"/>
      <c r="AR59" s="4"/>
      <c r="AS59" s="4"/>
      <c r="AT59" s="4"/>
      <c r="AU59" s="4"/>
      <c r="AV59" s="4">
        <v>6</v>
      </c>
      <c r="AW59" s="4"/>
      <c r="AX59" s="4">
        <v>49</v>
      </c>
      <c r="AY59" s="4"/>
      <c r="AZ59" s="4"/>
      <c r="BA59" s="4"/>
      <c r="BB59" s="4"/>
      <c r="BC59" s="4"/>
      <c r="BD59" s="4"/>
      <c r="BE59" s="4">
        <v>8</v>
      </c>
      <c r="BF59" s="4"/>
      <c r="BG59" s="4"/>
      <c r="BH59" s="4"/>
      <c r="BI59" s="4">
        <v>2</v>
      </c>
      <c r="BJ59" s="4" t="s">
        <v>364</v>
      </c>
    </row>
    <row r="60" spans="1:222" ht="12.75" x14ac:dyDescent="0.2">
      <c r="A60" s="3">
        <v>43522.602253611112</v>
      </c>
      <c r="B60" s="4" t="s">
        <v>583</v>
      </c>
      <c r="C60" s="4" t="s">
        <v>619</v>
      </c>
      <c r="D60" s="5">
        <v>43502</v>
      </c>
      <c r="E60" s="4" t="s">
        <v>620</v>
      </c>
      <c r="F60" s="4">
        <v>29.523994999999999</v>
      </c>
      <c r="G60" s="4">
        <v>-83.373822000000004</v>
      </c>
      <c r="H60" s="4">
        <v>29.512001000000001</v>
      </c>
      <c r="I60" s="4">
        <v>-83.385902999999999</v>
      </c>
      <c r="J60" s="6">
        <v>0.33333333333575865</v>
      </c>
      <c r="K60" s="4" t="s">
        <v>348</v>
      </c>
      <c r="L60" s="4" t="s">
        <v>358</v>
      </c>
      <c r="M60" s="4" t="s">
        <v>350</v>
      </c>
      <c r="N60" s="4" t="s">
        <v>351</v>
      </c>
      <c r="O60" s="4" t="s">
        <v>621</v>
      </c>
      <c r="R60" s="4">
        <v>20</v>
      </c>
      <c r="S60" s="4">
        <v>60</v>
      </c>
      <c r="T60" s="4">
        <v>16</v>
      </c>
      <c r="V60" s="4">
        <v>118</v>
      </c>
      <c r="Z60" s="4">
        <v>86</v>
      </c>
      <c r="AD60" s="4">
        <v>18</v>
      </c>
      <c r="AE60" s="4">
        <v>35</v>
      </c>
      <c r="AG60" s="4">
        <v>46</v>
      </c>
      <c r="AM60" s="4">
        <v>30</v>
      </c>
      <c r="AU60" s="4">
        <v>31</v>
      </c>
      <c r="AX60" s="4">
        <v>40</v>
      </c>
      <c r="BB60" s="4">
        <v>2</v>
      </c>
      <c r="BC60" s="4">
        <v>9</v>
      </c>
      <c r="BE60" s="4">
        <v>18</v>
      </c>
      <c r="BI60" s="4">
        <v>16</v>
      </c>
      <c r="BJ60" s="4" t="s">
        <v>353</v>
      </c>
      <c r="BK60" s="4">
        <v>29.512001000000001</v>
      </c>
      <c r="BL60" s="4">
        <v>-83.385902999999999</v>
      </c>
      <c r="BS60" s="4">
        <v>18</v>
      </c>
      <c r="BZ60" s="4" t="s">
        <v>354</v>
      </c>
    </row>
    <row r="61" spans="1:222" ht="12.75" x14ac:dyDescent="0.2">
      <c r="A61" s="3">
        <v>43509.804709988428</v>
      </c>
      <c r="B61" s="4" t="s">
        <v>522</v>
      </c>
      <c r="C61" s="4" t="s">
        <v>622</v>
      </c>
      <c r="D61" s="5">
        <v>43499</v>
      </c>
      <c r="E61" s="4" t="s">
        <v>623</v>
      </c>
      <c r="J61" s="6">
        <v>0.39097222222335404</v>
      </c>
      <c r="K61" s="4" t="s">
        <v>363</v>
      </c>
      <c r="L61" s="4" t="s">
        <v>349</v>
      </c>
      <c r="M61" s="4" t="s">
        <v>350</v>
      </c>
      <c r="N61" s="4" t="s">
        <v>351</v>
      </c>
      <c r="O61" s="4" t="s">
        <v>624</v>
      </c>
      <c r="P61" s="4">
        <v>0</v>
      </c>
      <c r="Q61" s="4"/>
      <c r="R61" s="4">
        <v>14</v>
      </c>
      <c r="S61" s="4">
        <v>32</v>
      </c>
      <c r="T61" s="4"/>
      <c r="U61" s="4"/>
      <c r="V61" s="4"/>
      <c r="W61" s="4"/>
      <c r="X61" s="4"/>
      <c r="Y61" s="4"/>
      <c r="Z61" s="4"/>
      <c r="AA61" s="4"/>
      <c r="AB61" s="4"/>
      <c r="AC61" s="4"/>
      <c r="AD61" s="4">
        <v>12</v>
      </c>
      <c r="AE61" s="4"/>
      <c r="AF61" s="4">
        <v>48</v>
      </c>
      <c r="AG61" s="4"/>
      <c r="AH61" s="4"/>
      <c r="AI61" s="4">
        <v>16</v>
      </c>
      <c r="AJ61" s="4"/>
      <c r="AK61" s="4">
        <v>1</v>
      </c>
      <c r="AL61" s="4"/>
      <c r="AM61" s="4">
        <v>64</v>
      </c>
      <c r="AN61" s="4"/>
      <c r="AO61" s="4"/>
      <c r="AP61" s="4"/>
      <c r="AQ61" s="4"/>
      <c r="AR61" s="4"/>
      <c r="AS61" s="4">
        <v>8</v>
      </c>
      <c r="AT61" s="4"/>
      <c r="AU61" s="4"/>
      <c r="AV61" s="4"/>
      <c r="AW61" s="4"/>
      <c r="AX61" s="4"/>
      <c r="AY61" s="4">
        <v>90</v>
      </c>
      <c r="AZ61" s="4"/>
      <c r="BA61" s="4"/>
      <c r="BB61" s="4">
        <v>7</v>
      </c>
      <c r="BC61" s="4">
        <v>8</v>
      </c>
      <c r="BD61" s="4"/>
      <c r="BE61" s="4">
        <v>35</v>
      </c>
      <c r="BF61" s="4"/>
      <c r="BG61" s="4">
        <v>1</v>
      </c>
      <c r="BH61" s="4"/>
      <c r="BI61" s="4"/>
      <c r="BJ61" s="4" t="s">
        <v>353</v>
      </c>
      <c r="BK61" s="4">
        <v>29.989809999999999</v>
      </c>
      <c r="BL61" s="4">
        <v>-85.524019999999993</v>
      </c>
      <c r="BM61" s="4">
        <v>0</v>
      </c>
      <c r="BO61" s="4">
        <v>0</v>
      </c>
      <c r="BQ61" s="4">
        <v>0</v>
      </c>
      <c r="BS61" s="4">
        <v>4</v>
      </c>
      <c r="BT61" s="4" t="s">
        <v>625</v>
      </c>
      <c r="BU61" s="4">
        <v>0</v>
      </c>
      <c r="BW61" s="4">
        <v>0</v>
      </c>
      <c r="BZ61" s="4" t="s">
        <v>353</v>
      </c>
      <c r="CA61" s="4">
        <v>29.996510000000001</v>
      </c>
      <c r="CB61" s="4">
        <v>-85.53107</v>
      </c>
      <c r="CC61" s="4">
        <v>0</v>
      </c>
      <c r="CE61" s="4">
        <v>0</v>
      </c>
      <c r="CG61" s="4">
        <v>0</v>
      </c>
      <c r="CI61" s="4">
        <v>0</v>
      </c>
      <c r="CK61" s="4">
        <v>5</v>
      </c>
      <c r="CL61" s="4" t="s">
        <v>626</v>
      </c>
      <c r="CM61" s="4">
        <v>0</v>
      </c>
      <c r="CP61" s="4" t="s">
        <v>353</v>
      </c>
      <c r="CQ61" s="4">
        <v>29.99701</v>
      </c>
      <c r="CR61" s="4">
        <v>-85.530119999999997</v>
      </c>
      <c r="CS61" s="4">
        <v>0</v>
      </c>
      <c r="CU61" s="4">
        <v>0</v>
      </c>
      <c r="CW61" s="4">
        <v>0</v>
      </c>
      <c r="CY61" s="4">
        <v>0</v>
      </c>
      <c r="DA61" s="4">
        <v>2</v>
      </c>
      <c r="DB61" s="4" t="s">
        <v>627</v>
      </c>
      <c r="DC61" s="4">
        <v>0</v>
      </c>
      <c r="DF61" s="4" t="s">
        <v>353</v>
      </c>
      <c r="DG61" s="4">
        <v>29.994800000000001</v>
      </c>
      <c r="DH61" s="4">
        <v>-85.528750000000002</v>
      </c>
      <c r="DI61" s="4">
        <v>0</v>
      </c>
      <c r="DK61" s="4">
        <v>0</v>
      </c>
      <c r="DM61" s="4">
        <v>0</v>
      </c>
      <c r="DO61" s="4">
        <v>0</v>
      </c>
      <c r="DQ61" s="4">
        <v>2</v>
      </c>
      <c r="DR61" s="4" t="s">
        <v>628</v>
      </c>
      <c r="DS61" s="4">
        <v>0</v>
      </c>
      <c r="DV61" s="4" t="s">
        <v>353</v>
      </c>
      <c r="DW61" s="4">
        <v>29.959399999999999</v>
      </c>
      <c r="DX61" s="4">
        <v>-85.485519999999994</v>
      </c>
      <c r="DY61" s="4">
        <v>0</v>
      </c>
      <c r="EA61" s="4">
        <v>0</v>
      </c>
      <c r="EC61" s="4">
        <v>0</v>
      </c>
      <c r="EE61" s="4">
        <v>0</v>
      </c>
      <c r="EF61" s="4">
        <v>2</v>
      </c>
      <c r="EH61" s="4" t="s">
        <v>629</v>
      </c>
      <c r="EJ61" s="4">
        <v>0</v>
      </c>
      <c r="EL61" s="4" t="s">
        <v>353</v>
      </c>
      <c r="EM61" s="4">
        <v>29.95853</v>
      </c>
      <c r="EN61" s="4">
        <v>-85.483540000000005</v>
      </c>
      <c r="EO61" s="4">
        <v>0</v>
      </c>
      <c r="EQ61" s="4">
        <v>0</v>
      </c>
      <c r="ES61" s="4">
        <v>0</v>
      </c>
      <c r="EU61" s="4">
        <v>7</v>
      </c>
      <c r="EV61" s="4" t="s">
        <v>630</v>
      </c>
      <c r="EW61" s="4">
        <v>0</v>
      </c>
      <c r="EY61" s="4">
        <v>0</v>
      </c>
      <c r="FB61" s="4" t="s">
        <v>353</v>
      </c>
      <c r="FC61" s="4">
        <v>29.956859999999999</v>
      </c>
      <c r="FD61" s="4">
        <v>-85.475350000000006</v>
      </c>
      <c r="FE61" s="4">
        <v>0</v>
      </c>
      <c r="FG61" s="4">
        <v>0</v>
      </c>
      <c r="FI61" s="4">
        <v>0</v>
      </c>
      <c r="FK61" s="4">
        <v>0</v>
      </c>
      <c r="FM61" s="4">
        <v>2</v>
      </c>
      <c r="FN61" s="4" t="s">
        <v>631</v>
      </c>
      <c r="FO61" s="4">
        <v>0</v>
      </c>
      <c r="FR61" s="4" t="s">
        <v>353</v>
      </c>
      <c r="FS61" s="4">
        <v>29.956410000000002</v>
      </c>
      <c r="FT61" s="4">
        <v>-85.459620000000001</v>
      </c>
      <c r="FU61" s="4">
        <v>0</v>
      </c>
      <c r="FW61" s="4">
        <v>0</v>
      </c>
      <c r="FY61" s="4">
        <v>0</v>
      </c>
      <c r="GA61" s="4">
        <v>0</v>
      </c>
      <c r="GC61" s="4">
        <v>3</v>
      </c>
      <c r="GD61" s="4" t="s">
        <v>632</v>
      </c>
      <c r="GE61" s="4">
        <v>0</v>
      </c>
      <c r="GH61" s="4" t="s">
        <v>353</v>
      </c>
      <c r="GI61" s="4">
        <v>29.955110000000001</v>
      </c>
      <c r="GJ61" s="4">
        <v>-85.449950000000001</v>
      </c>
      <c r="GK61" s="4">
        <v>0</v>
      </c>
      <c r="GM61" s="4">
        <v>0</v>
      </c>
      <c r="GO61" s="4">
        <v>0</v>
      </c>
      <c r="GQ61" s="4">
        <v>1</v>
      </c>
      <c r="GR61" s="4" t="s">
        <v>633</v>
      </c>
      <c r="GS61" s="4">
        <v>0</v>
      </c>
      <c r="GU61" s="4">
        <v>0</v>
      </c>
      <c r="GX61" s="4" t="s">
        <v>359</v>
      </c>
    </row>
    <row r="62" spans="1:222" ht="12.75" x14ac:dyDescent="0.2">
      <c r="A62" s="3">
        <v>43500.565041331021</v>
      </c>
      <c r="B62" s="4" t="s">
        <v>460</v>
      </c>
      <c r="C62" s="4" t="s">
        <v>634</v>
      </c>
      <c r="D62" s="5">
        <v>43499</v>
      </c>
      <c r="E62" s="4" t="s">
        <v>635</v>
      </c>
      <c r="J62" s="6">
        <v>0.45625000000291038</v>
      </c>
      <c r="K62" s="4" t="s">
        <v>348</v>
      </c>
      <c r="L62" s="4" t="s">
        <v>349</v>
      </c>
      <c r="M62" s="4" t="s">
        <v>350</v>
      </c>
      <c r="N62" s="4" t="s">
        <v>351</v>
      </c>
      <c r="P62" s="4">
        <v>0</v>
      </c>
      <c r="Q62" s="4"/>
      <c r="R62" s="4">
        <v>50</v>
      </c>
      <c r="S62" s="4">
        <v>164</v>
      </c>
      <c r="T62" s="4"/>
      <c r="U62" s="4"/>
      <c r="V62" s="4"/>
      <c r="W62" s="4"/>
      <c r="X62" s="4"/>
      <c r="Y62" s="4"/>
      <c r="Z62" s="4"/>
      <c r="AA62" s="4"/>
      <c r="AB62" s="4"/>
      <c r="AC62" s="4"/>
      <c r="AD62" s="4"/>
      <c r="AE62" s="4">
        <v>16</v>
      </c>
      <c r="AF62" s="4">
        <v>530</v>
      </c>
      <c r="AG62" s="4"/>
      <c r="AH62" s="4"/>
      <c r="AI62" s="4">
        <v>14</v>
      </c>
      <c r="AJ62" s="4"/>
      <c r="AK62" s="4"/>
      <c r="AL62" s="4"/>
      <c r="AM62" s="4">
        <v>15</v>
      </c>
      <c r="AN62" s="4"/>
      <c r="AO62" s="4"/>
      <c r="AP62" s="4"/>
      <c r="AQ62" s="4"/>
      <c r="AR62" s="4"/>
      <c r="AS62" s="4">
        <v>37</v>
      </c>
      <c r="AT62" s="4"/>
      <c r="AU62" s="4">
        <v>3</v>
      </c>
      <c r="AV62" s="4"/>
      <c r="AW62" s="4"/>
      <c r="AX62" s="4"/>
      <c r="AY62" s="4">
        <v>5</v>
      </c>
      <c r="AZ62" s="4"/>
      <c r="BA62" s="4"/>
      <c r="BB62" s="4">
        <v>35</v>
      </c>
      <c r="BC62" s="4"/>
      <c r="BD62" s="4"/>
      <c r="BE62" s="4">
        <v>175</v>
      </c>
      <c r="BF62" s="4">
        <v>2</v>
      </c>
      <c r="BG62" s="4"/>
      <c r="BH62" s="4"/>
      <c r="BI62" s="4"/>
      <c r="BJ62" s="4" t="s">
        <v>353</v>
      </c>
      <c r="BK62" s="4">
        <v>30.04627</v>
      </c>
      <c r="BL62" s="4">
        <v>-85.591759999999994</v>
      </c>
      <c r="BM62" s="4">
        <v>0</v>
      </c>
      <c r="BO62" s="4">
        <v>0</v>
      </c>
      <c r="BQ62" s="4">
        <v>0</v>
      </c>
      <c r="BS62" s="4">
        <v>0</v>
      </c>
      <c r="BU62" s="4">
        <v>2</v>
      </c>
      <c r="BV62" s="4" t="s">
        <v>636</v>
      </c>
      <c r="BW62" s="4">
        <v>0</v>
      </c>
      <c r="BY62" s="4" t="s">
        <v>375</v>
      </c>
      <c r="BZ62" s="4" t="s">
        <v>353</v>
      </c>
      <c r="CA62" s="4">
        <v>30.026230000000002</v>
      </c>
      <c r="CB62" s="4">
        <v>-85.568879999999993</v>
      </c>
      <c r="CC62" s="4">
        <v>0</v>
      </c>
      <c r="CE62" s="4">
        <v>0</v>
      </c>
      <c r="CG62" s="4">
        <v>0</v>
      </c>
      <c r="CI62" s="4">
        <v>0</v>
      </c>
      <c r="CK62" s="4">
        <v>2</v>
      </c>
      <c r="CL62" s="4" t="s">
        <v>637</v>
      </c>
      <c r="CM62" s="4">
        <v>0</v>
      </c>
      <c r="CO62" s="4" t="s">
        <v>375</v>
      </c>
      <c r="CP62" s="4" t="s">
        <v>353</v>
      </c>
      <c r="CQ62" s="4">
        <v>30.00581</v>
      </c>
      <c r="CR62" s="4">
        <v>-85.543610000000001</v>
      </c>
      <c r="CS62" s="4">
        <v>0</v>
      </c>
      <c r="CU62" s="4">
        <v>0</v>
      </c>
      <c r="CW62" s="4">
        <v>0</v>
      </c>
      <c r="CY62" s="4">
        <v>0</v>
      </c>
      <c r="DA62" s="4">
        <v>4</v>
      </c>
      <c r="DB62" s="4" t="s">
        <v>638</v>
      </c>
      <c r="DC62" s="4">
        <v>0</v>
      </c>
      <c r="DE62" s="4" t="s">
        <v>375</v>
      </c>
      <c r="DF62" s="4" t="s">
        <v>353</v>
      </c>
      <c r="DG62" s="4">
        <v>30.006350000000001</v>
      </c>
      <c r="DH62" s="4">
        <v>-85.5411</v>
      </c>
      <c r="DI62" s="4">
        <v>0</v>
      </c>
      <c r="DK62" s="4">
        <v>0</v>
      </c>
      <c r="DM62" s="4">
        <v>0</v>
      </c>
      <c r="DO62" s="4">
        <v>0</v>
      </c>
      <c r="DQ62" s="4">
        <v>0</v>
      </c>
      <c r="DS62" s="4">
        <v>0</v>
      </c>
      <c r="DU62" s="4" t="s">
        <v>639</v>
      </c>
      <c r="DV62" s="4" t="s">
        <v>353</v>
      </c>
      <c r="DW62" s="4">
        <v>30.026420000000002</v>
      </c>
      <c r="DX62" s="4">
        <v>-85.568389999999994</v>
      </c>
      <c r="DY62" s="4">
        <v>0</v>
      </c>
      <c r="EA62" s="4">
        <v>0</v>
      </c>
      <c r="EC62" s="4">
        <v>0</v>
      </c>
      <c r="EE62" s="4">
        <v>0</v>
      </c>
      <c r="EF62" s="4">
        <v>3</v>
      </c>
      <c r="EH62" s="4" t="s">
        <v>640</v>
      </c>
      <c r="EJ62" s="4">
        <v>0</v>
      </c>
      <c r="EK62" s="4" t="s">
        <v>375</v>
      </c>
      <c r="EL62" s="4" t="s">
        <v>353</v>
      </c>
      <c r="EM62" s="4">
        <v>30.026869999999999</v>
      </c>
      <c r="EN62" s="4">
        <v>-85.569339999999997</v>
      </c>
      <c r="EO62" s="4">
        <v>0</v>
      </c>
      <c r="EQ62" s="4">
        <v>0</v>
      </c>
      <c r="ES62" s="4">
        <v>0</v>
      </c>
      <c r="EU62" s="4">
        <v>0</v>
      </c>
      <c r="EW62" s="4">
        <v>0</v>
      </c>
      <c r="EY62" s="4">
        <v>0</v>
      </c>
      <c r="FA62" s="4" t="s">
        <v>641</v>
      </c>
      <c r="FB62" s="4" t="s">
        <v>353</v>
      </c>
      <c r="FC62" s="4">
        <v>30.020150000000001</v>
      </c>
      <c r="FD62" s="4">
        <v>-85.560190000000006</v>
      </c>
      <c r="FE62" s="4">
        <v>0</v>
      </c>
      <c r="FG62" s="4">
        <v>0</v>
      </c>
      <c r="FI62" s="4">
        <v>0</v>
      </c>
      <c r="FK62" s="4">
        <v>0</v>
      </c>
      <c r="FM62" s="4">
        <v>0</v>
      </c>
      <c r="FO62" s="4">
        <v>0</v>
      </c>
      <c r="FQ62" s="4" t="s">
        <v>642</v>
      </c>
      <c r="FR62" s="4" t="s">
        <v>353</v>
      </c>
      <c r="FS62" s="4">
        <v>30.029869999999999</v>
      </c>
      <c r="FT62" s="4">
        <v>-85.572720000000004</v>
      </c>
      <c r="FU62" s="4">
        <v>0</v>
      </c>
      <c r="FW62" s="4">
        <v>0</v>
      </c>
      <c r="FY62" s="4">
        <v>0</v>
      </c>
      <c r="GA62" s="4">
        <v>0</v>
      </c>
      <c r="GC62" s="4">
        <v>3</v>
      </c>
      <c r="GD62" s="4" t="s">
        <v>643</v>
      </c>
      <c r="GE62" s="4">
        <v>0</v>
      </c>
      <c r="GG62" s="4" t="s">
        <v>375</v>
      </c>
      <c r="GH62" s="4" t="s">
        <v>353</v>
      </c>
      <c r="GI62" s="4">
        <v>30.03538</v>
      </c>
      <c r="GJ62" s="4">
        <v>-85.579030000000003</v>
      </c>
      <c r="GK62" s="4">
        <v>0</v>
      </c>
      <c r="GM62" s="4">
        <v>0</v>
      </c>
      <c r="GO62" s="4">
        <v>0</v>
      </c>
      <c r="GQ62" s="4">
        <v>0</v>
      </c>
      <c r="GS62" s="4">
        <v>0</v>
      </c>
      <c r="GU62" s="4">
        <v>0</v>
      </c>
      <c r="GW62" s="4" t="s">
        <v>644</v>
      </c>
      <c r="GX62" s="4" t="s">
        <v>353</v>
      </c>
      <c r="GY62" s="4">
        <v>30.044499999999999</v>
      </c>
      <c r="GZ62" s="4">
        <v>-85.589340000000007</v>
      </c>
      <c r="HA62" s="4">
        <v>0</v>
      </c>
      <c r="HC62" s="4">
        <v>0</v>
      </c>
      <c r="HE62" s="4">
        <v>0</v>
      </c>
      <c r="HG62" s="4">
        <v>0</v>
      </c>
      <c r="HI62" s="4">
        <v>0</v>
      </c>
      <c r="HK62" s="4">
        <v>0</v>
      </c>
      <c r="HM62" s="4" t="s">
        <v>645</v>
      </c>
      <c r="HN62" s="4" t="s">
        <v>359</v>
      </c>
    </row>
    <row r="63" spans="1:222" ht="12.75" x14ac:dyDescent="0.2">
      <c r="A63" s="3">
        <v>43502.368064224538</v>
      </c>
      <c r="B63" s="4" t="s">
        <v>470</v>
      </c>
      <c r="C63" s="4" t="s">
        <v>646</v>
      </c>
      <c r="D63" s="5">
        <v>43500</v>
      </c>
      <c r="E63" s="4" t="s">
        <v>472</v>
      </c>
      <c r="J63" s="6">
        <v>0.54166666666424135</v>
      </c>
      <c r="K63" s="4" t="s">
        <v>379</v>
      </c>
      <c r="L63" s="4" t="s">
        <v>358</v>
      </c>
      <c r="M63" s="4" t="s">
        <v>350</v>
      </c>
      <c r="N63" s="4" t="s">
        <v>351</v>
      </c>
      <c r="O63" s="4" t="s">
        <v>647</v>
      </c>
      <c r="P63" s="4">
        <v>0</v>
      </c>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t="s">
        <v>364</v>
      </c>
    </row>
    <row r="64" spans="1:222" ht="12.75" x14ac:dyDescent="0.2">
      <c r="A64" s="3">
        <v>43509.357295150461</v>
      </c>
      <c r="B64" s="4" t="s">
        <v>470</v>
      </c>
      <c r="C64" s="4" t="s">
        <v>646</v>
      </c>
      <c r="D64" s="5">
        <v>43500</v>
      </c>
      <c r="E64" s="4" t="s">
        <v>472</v>
      </c>
      <c r="J64" s="6">
        <v>0.5430555555576575</v>
      </c>
      <c r="K64" s="4" t="s">
        <v>379</v>
      </c>
      <c r="L64" s="4" t="s">
        <v>358</v>
      </c>
      <c r="M64" s="4" t="s">
        <v>350</v>
      </c>
      <c r="N64" s="4" t="s">
        <v>351</v>
      </c>
      <c r="P64" s="4">
        <v>0</v>
      </c>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t="s">
        <v>364</v>
      </c>
    </row>
    <row r="65" spans="1:190" ht="12.75" x14ac:dyDescent="0.2">
      <c r="A65" s="3">
        <v>43516.805505069446</v>
      </c>
      <c r="B65" s="4" t="s">
        <v>648</v>
      </c>
      <c r="C65" s="4" t="s">
        <v>649</v>
      </c>
      <c r="D65" s="5">
        <v>43499</v>
      </c>
      <c r="E65" s="4" t="s">
        <v>650</v>
      </c>
      <c r="F65" s="4">
        <v>27.952368</v>
      </c>
      <c r="G65" s="4">
        <v>-82.546818999999999</v>
      </c>
      <c r="H65" s="4">
        <v>27.949100000000001</v>
      </c>
      <c r="I65" s="4">
        <v>-82.542599999999993</v>
      </c>
      <c r="J65" s="6">
        <v>0.320138888884685</v>
      </c>
      <c r="K65" s="4" t="s">
        <v>348</v>
      </c>
      <c r="L65" s="4" t="s">
        <v>349</v>
      </c>
      <c r="M65" s="4" t="s">
        <v>350</v>
      </c>
      <c r="N65" s="4" t="s">
        <v>533</v>
      </c>
      <c r="O65" s="4" t="s">
        <v>651</v>
      </c>
      <c r="P65" s="4">
        <v>0</v>
      </c>
      <c r="Q65" s="4"/>
      <c r="R65" s="4">
        <v>4</v>
      </c>
      <c r="AB65" s="4">
        <v>3</v>
      </c>
      <c r="AG65" s="4">
        <v>21</v>
      </c>
      <c r="AR65" s="4">
        <v>16</v>
      </c>
      <c r="BJ65" s="4" t="s">
        <v>353</v>
      </c>
      <c r="BK65" s="4">
        <v>27.952368</v>
      </c>
      <c r="BL65" s="4">
        <v>-82.546818999999999</v>
      </c>
      <c r="BM65" s="4">
        <v>0</v>
      </c>
      <c r="BO65" s="4">
        <v>12</v>
      </c>
      <c r="BZ65" s="4" t="s">
        <v>353</v>
      </c>
      <c r="CA65" s="4">
        <v>27.9514</v>
      </c>
      <c r="CB65" s="4">
        <v>-82.546599999999998</v>
      </c>
      <c r="CC65" s="4">
        <v>0</v>
      </c>
      <c r="CE65" s="4">
        <v>4</v>
      </c>
      <c r="CP65" s="4" t="s">
        <v>466</v>
      </c>
    </row>
    <row r="66" spans="1:190" ht="12.75" x14ac:dyDescent="0.2">
      <c r="A66" s="3">
        <v>43503.565508414351</v>
      </c>
      <c r="B66" s="4" t="s">
        <v>652</v>
      </c>
      <c r="C66" s="4" t="s">
        <v>653</v>
      </c>
      <c r="D66" s="5">
        <v>43503</v>
      </c>
      <c r="E66" s="4" t="s">
        <v>654</v>
      </c>
      <c r="J66" s="6">
        <v>0.37152777778101154</v>
      </c>
      <c r="K66" s="4" t="s">
        <v>379</v>
      </c>
      <c r="L66" s="4" t="s">
        <v>349</v>
      </c>
      <c r="M66" s="4" t="s">
        <v>350</v>
      </c>
      <c r="N66" s="4" t="s">
        <v>351</v>
      </c>
      <c r="O66" s="4" t="s">
        <v>655</v>
      </c>
      <c r="U66" s="4">
        <v>4</v>
      </c>
      <c r="Y66" s="4">
        <v>3</v>
      </c>
      <c r="AM66" s="4">
        <v>2</v>
      </c>
      <c r="AO66" s="4">
        <v>2</v>
      </c>
      <c r="AQ66" s="4">
        <v>23</v>
      </c>
      <c r="BJ66" s="4" t="s">
        <v>364</v>
      </c>
    </row>
    <row r="67" spans="1:190" ht="12.75" x14ac:dyDescent="0.2">
      <c r="A67" s="3">
        <v>43503.568058657409</v>
      </c>
      <c r="B67" s="4" t="s">
        <v>652</v>
      </c>
      <c r="C67" s="4" t="s">
        <v>656</v>
      </c>
      <c r="D67" s="5">
        <v>43503</v>
      </c>
      <c r="E67" s="4" t="s">
        <v>654</v>
      </c>
      <c r="J67" s="6">
        <v>0.37152777778101154</v>
      </c>
      <c r="K67" s="4" t="s">
        <v>379</v>
      </c>
      <c r="L67" s="4" t="s">
        <v>349</v>
      </c>
      <c r="M67" s="4" t="s">
        <v>350</v>
      </c>
      <c r="N67" s="4" t="s">
        <v>351</v>
      </c>
      <c r="O67" s="4" t="s">
        <v>657</v>
      </c>
      <c r="AU67" s="4">
        <v>2</v>
      </c>
      <c r="AX67" s="4">
        <v>9</v>
      </c>
      <c r="BC67" s="4">
        <v>6</v>
      </c>
      <c r="BJ67" s="4" t="s">
        <v>364</v>
      </c>
    </row>
    <row r="68" spans="1:190" ht="12.75" x14ac:dyDescent="0.2">
      <c r="A68" s="3">
        <v>43504.528772291669</v>
      </c>
      <c r="B68" s="4" t="s">
        <v>456</v>
      </c>
      <c r="C68" s="4" t="s">
        <v>658</v>
      </c>
      <c r="D68" s="5">
        <v>43498</v>
      </c>
      <c r="E68" s="4" t="s">
        <v>458</v>
      </c>
      <c r="J68" s="6">
        <v>0.38888888889050577</v>
      </c>
      <c r="K68" s="4" t="s">
        <v>363</v>
      </c>
      <c r="L68" s="4" t="s">
        <v>349</v>
      </c>
      <c r="M68" s="4" t="s">
        <v>350</v>
      </c>
      <c r="N68" s="4" t="s">
        <v>351</v>
      </c>
      <c r="P68" s="4">
        <v>0</v>
      </c>
      <c r="Q68" s="4"/>
      <c r="R68" s="4"/>
      <c r="S68" s="4"/>
      <c r="T68" s="4"/>
      <c r="U68" s="4"/>
      <c r="V68" s="4"/>
      <c r="W68" s="4"/>
      <c r="X68" s="4"/>
      <c r="Y68" s="4"/>
      <c r="Z68" s="4"/>
      <c r="AA68" s="4"/>
      <c r="AB68" s="4"/>
      <c r="AC68" s="4"/>
      <c r="AD68" s="4"/>
      <c r="AE68" s="4"/>
      <c r="AF68" s="4">
        <v>20</v>
      </c>
      <c r="AG68" s="4"/>
      <c r="AH68" s="4"/>
      <c r="AI68" s="4">
        <v>4</v>
      </c>
      <c r="AJ68" s="4"/>
      <c r="AK68" s="4"/>
      <c r="AL68" s="4"/>
      <c r="AM68" s="4"/>
      <c r="AN68" s="4"/>
      <c r="AO68" s="4"/>
      <c r="AP68" s="4"/>
      <c r="AQ68" s="4"/>
      <c r="AR68" s="4"/>
      <c r="AS68" s="4"/>
      <c r="AT68" s="4"/>
      <c r="AU68" s="4"/>
      <c r="AV68" s="4"/>
      <c r="AW68" s="4"/>
      <c r="AX68" s="4"/>
      <c r="AY68" s="4">
        <v>2</v>
      </c>
      <c r="AZ68" s="4"/>
      <c r="BA68" s="4"/>
      <c r="BB68" s="4"/>
      <c r="BC68" s="4"/>
      <c r="BD68" s="4"/>
      <c r="BE68" s="4"/>
      <c r="BF68" s="4"/>
      <c r="BG68" s="4"/>
      <c r="BH68" s="4"/>
      <c r="BI68" s="4"/>
      <c r="BJ68" s="4" t="s">
        <v>353</v>
      </c>
      <c r="BK68" s="4">
        <v>30.300789999999999</v>
      </c>
      <c r="BL68" s="4">
        <v>-86.081469999999996</v>
      </c>
      <c r="BM68" s="4">
        <v>0</v>
      </c>
      <c r="BN68" s="4">
        <v>0</v>
      </c>
      <c r="BO68" s="4">
        <v>0</v>
      </c>
      <c r="BP68" s="4">
        <v>0</v>
      </c>
      <c r="BQ68" s="4">
        <v>0</v>
      </c>
      <c r="BR68" s="4">
        <v>0</v>
      </c>
      <c r="BS68" s="4">
        <v>0</v>
      </c>
      <c r="BT68" s="4">
        <v>0</v>
      </c>
      <c r="BU68" s="4">
        <v>4</v>
      </c>
      <c r="BV68" s="4" t="s">
        <v>659</v>
      </c>
      <c r="BW68" s="4">
        <v>0</v>
      </c>
      <c r="BX68" s="4">
        <v>0</v>
      </c>
      <c r="BY68" s="4">
        <v>0</v>
      </c>
      <c r="BZ68" s="4" t="s">
        <v>354</v>
      </c>
    </row>
    <row r="69" spans="1:190" ht="12.75" x14ac:dyDescent="0.2">
      <c r="A69" s="3">
        <v>43504.4003915625</v>
      </c>
      <c r="B69" s="4" t="s">
        <v>660</v>
      </c>
      <c r="C69" s="4" t="s">
        <v>661</v>
      </c>
      <c r="D69" s="5">
        <v>43501</v>
      </c>
      <c r="E69" s="4" t="s">
        <v>662</v>
      </c>
      <c r="J69" s="6">
        <v>0.51388888889050577</v>
      </c>
      <c r="K69" s="4" t="s">
        <v>379</v>
      </c>
      <c r="L69" s="4" t="s">
        <v>349</v>
      </c>
      <c r="M69" s="4" t="s">
        <v>350</v>
      </c>
      <c r="N69" s="4" t="s">
        <v>351</v>
      </c>
      <c r="P69" s="4">
        <v>0</v>
      </c>
      <c r="Q69" s="4"/>
      <c r="R69" s="4"/>
      <c r="S69" s="4"/>
      <c r="T69" s="4"/>
      <c r="U69" s="4"/>
      <c r="V69" s="4"/>
      <c r="W69" s="4"/>
      <c r="X69" s="4"/>
      <c r="Y69" s="4"/>
      <c r="Z69" s="4"/>
      <c r="AA69" s="4"/>
      <c r="AB69" s="4"/>
      <c r="AC69" s="4"/>
      <c r="AD69" s="4"/>
      <c r="AE69" s="4"/>
      <c r="AF69" s="4">
        <v>2</v>
      </c>
      <c r="AG69" s="4"/>
      <c r="AH69" s="4"/>
      <c r="AI69" s="4"/>
      <c r="AJ69" s="4"/>
      <c r="AK69" s="4"/>
      <c r="AL69" s="4"/>
      <c r="AM69" s="4"/>
      <c r="AN69" s="4"/>
      <c r="AO69" s="4"/>
      <c r="AP69" s="4"/>
      <c r="AQ69" s="4"/>
      <c r="AR69" s="4"/>
      <c r="AS69" s="4"/>
      <c r="AT69" s="4"/>
      <c r="AU69" s="4">
        <v>1</v>
      </c>
      <c r="AV69" s="4"/>
      <c r="AW69" s="4"/>
      <c r="AX69" s="4"/>
      <c r="AY69" s="4"/>
      <c r="AZ69" s="4"/>
      <c r="BA69" s="4"/>
      <c r="BB69" s="4"/>
      <c r="BC69" s="4">
        <v>10</v>
      </c>
      <c r="BD69" s="4"/>
      <c r="BE69" s="4">
        <v>5</v>
      </c>
      <c r="BF69" s="4"/>
      <c r="BG69" s="4"/>
      <c r="BH69" s="4"/>
      <c r="BI69" s="4"/>
      <c r="BJ69" s="4" t="s">
        <v>364</v>
      </c>
    </row>
    <row r="70" spans="1:190" ht="12.75" x14ac:dyDescent="0.2">
      <c r="A70" s="3">
        <v>43501.336730601848</v>
      </c>
      <c r="B70" s="4" t="s">
        <v>663</v>
      </c>
      <c r="C70" s="4" t="s">
        <v>664</v>
      </c>
      <c r="D70" s="5">
        <v>43500</v>
      </c>
      <c r="E70" s="4" t="s">
        <v>665</v>
      </c>
      <c r="J70" s="6">
        <v>0.375</v>
      </c>
      <c r="K70" s="4" t="s">
        <v>348</v>
      </c>
      <c r="L70" s="4" t="s">
        <v>349</v>
      </c>
      <c r="M70" s="4" t="s">
        <v>350</v>
      </c>
      <c r="N70" s="4" t="s">
        <v>351</v>
      </c>
      <c r="AF70" s="4">
        <v>7</v>
      </c>
      <c r="AM70" s="4">
        <v>17</v>
      </c>
      <c r="BB70" s="4">
        <v>11</v>
      </c>
      <c r="BC70" s="4">
        <v>10</v>
      </c>
      <c r="BE70" s="4">
        <v>21</v>
      </c>
      <c r="BJ70" s="4" t="s">
        <v>364</v>
      </c>
    </row>
    <row r="71" spans="1:190" ht="12.75" x14ac:dyDescent="0.2">
      <c r="A71" s="3">
        <v>43509.344898298616</v>
      </c>
      <c r="B71" s="4" t="s">
        <v>663</v>
      </c>
      <c r="C71" s="4" t="s">
        <v>664</v>
      </c>
      <c r="D71" s="5">
        <v>43500</v>
      </c>
      <c r="E71" s="4" t="s">
        <v>665</v>
      </c>
      <c r="J71" s="6">
        <v>0.375</v>
      </c>
      <c r="K71" s="4" t="s">
        <v>348</v>
      </c>
      <c r="L71" s="4" t="s">
        <v>349</v>
      </c>
      <c r="M71" s="4" t="s">
        <v>350</v>
      </c>
      <c r="N71" s="4" t="s">
        <v>351</v>
      </c>
      <c r="AF71" s="4">
        <v>7</v>
      </c>
      <c r="AM71" s="4">
        <v>17</v>
      </c>
      <c r="BB71" s="4">
        <v>11</v>
      </c>
      <c r="BC71" s="4">
        <v>10</v>
      </c>
      <c r="BE71" s="4">
        <v>21</v>
      </c>
      <c r="BJ71" s="4" t="s">
        <v>364</v>
      </c>
    </row>
    <row r="72" spans="1:190" ht="12.75" x14ac:dyDescent="0.2">
      <c r="A72" s="3">
        <v>43516.380206493057</v>
      </c>
      <c r="B72" s="4" t="s">
        <v>666</v>
      </c>
      <c r="C72" s="4" t="s">
        <v>667</v>
      </c>
      <c r="D72" s="5">
        <v>43502</v>
      </c>
      <c r="E72" s="4" t="s">
        <v>668</v>
      </c>
      <c r="J72" s="6">
        <v>0.39583333333575865</v>
      </c>
      <c r="L72" s="4" t="s">
        <v>358</v>
      </c>
      <c r="M72" s="4" t="s">
        <v>350</v>
      </c>
      <c r="N72" s="4" t="s">
        <v>351</v>
      </c>
      <c r="P72" s="4">
        <v>6</v>
      </c>
      <c r="Q72" s="4"/>
      <c r="R72" s="4">
        <v>7</v>
      </c>
      <c r="S72" s="4"/>
      <c r="T72" s="4">
        <v>1</v>
      </c>
      <c r="U72" s="4"/>
      <c r="V72" s="4"/>
      <c r="W72" s="4"/>
      <c r="X72" s="4"/>
      <c r="Y72" s="4"/>
      <c r="Z72" s="4"/>
      <c r="AA72" s="4"/>
      <c r="AB72" s="4"/>
      <c r="AC72" s="4"/>
      <c r="AD72" s="4"/>
      <c r="AE72" s="4">
        <v>12</v>
      </c>
      <c r="AF72" s="4">
        <v>50</v>
      </c>
      <c r="AG72" s="4"/>
      <c r="AH72" s="4"/>
      <c r="AI72" s="4">
        <v>10</v>
      </c>
      <c r="AJ72" s="4"/>
      <c r="AK72" s="4"/>
      <c r="AL72" s="4"/>
      <c r="AM72" s="4">
        <v>22</v>
      </c>
      <c r="AN72" s="4"/>
      <c r="AO72" s="4"/>
      <c r="AP72" s="4"/>
      <c r="AR72" s="4">
        <v>1</v>
      </c>
      <c r="AS72" s="4"/>
      <c r="AT72" s="4"/>
      <c r="AU72" s="4">
        <v>58</v>
      </c>
      <c r="AV72" s="4"/>
      <c r="AW72" s="4"/>
      <c r="AX72" s="4">
        <v>53</v>
      </c>
      <c r="AY72" s="4">
        <v>113</v>
      </c>
      <c r="AZ72" s="4"/>
      <c r="BA72" s="4"/>
      <c r="BB72" s="4"/>
      <c r="BC72" s="4">
        <v>8</v>
      </c>
      <c r="BE72" s="4">
        <v>10</v>
      </c>
      <c r="BF72" s="4">
        <v>7</v>
      </c>
      <c r="BG72" s="4"/>
      <c r="BH72" s="4"/>
      <c r="BI72" s="4"/>
      <c r="BJ72" s="4" t="s">
        <v>353</v>
      </c>
      <c r="BK72" s="4">
        <v>29.784300000000002</v>
      </c>
      <c r="BL72" s="4">
        <v>-84.671840000000003</v>
      </c>
      <c r="BM72" s="4">
        <v>0</v>
      </c>
      <c r="BO72" s="4">
        <v>0</v>
      </c>
      <c r="BQ72" s="4">
        <v>0</v>
      </c>
      <c r="BS72" s="4">
        <v>0</v>
      </c>
      <c r="BU72" s="4">
        <v>3</v>
      </c>
      <c r="BV72" s="4" t="s">
        <v>669</v>
      </c>
      <c r="BW72" s="4">
        <v>0</v>
      </c>
      <c r="BZ72" s="4" t="s">
        <v>353</v>
      </c>
      <c r="CA72" s="4">
        <v>29.779319999999998</v>
      </c>
      <c r="CB72" s="4">
        <v>-84.673810000000003</v>
      </c>
      <c r="CC72" s="4">
        <v>0</v>
      </c>
      <c r="CE72" s="4">
        <v>1</v>
      </c>
      <c r="CG72" s="4">
        <v>0</v>
      </c>
      <c r="CI72" s="4">
        <v>0</v>
      </c>
      <c r="CK72" s="4">
        <v>0</v>
      </c>
      <c r="CO72" s="4" t="s">
        <v>670</v>
      </c>
      <c r="CP72" s="4" t="s">
        <v>353</v>
      </c>
      <c r="CQ72" s="4">
        <v>29.778919999999999</v>
      </c>
      <c r="CR72" s="4">
        <v>-84.672799999999995</v>
      </c>
      <c r="CS72" s="4">
        <v>0</v>
      </c>
      <c r="CU72" s="4">
        <v>0</v>
      </c>
      <c r="CW72" s="4">
        <v>0</v>
      </c>
      <c r="CY72" s="4">
        <v>0</v>
      </c>
      <c r="DA72" s="4">
        <v>3</v>
      </c>
      <c r="DB72" s="4" t="s">
        <v>671</v>
      </c>
      <c r="DC72" s="4">
        <v>0</v>
      </c>
      <c r="DF72" s="4" t="s">
        <v>353</v>
      </c>
      <c r="DG72" s="4">
        <v>29.781929999999999</v>
      </c>
      <c r="DH72" s="4">
        <v>-84.662530000000004</v>
      </c>
      <c r="DI72" s="4">
        <v>0</v>
      </c>
      <c r="DK72" s="4">
        <v>0</v>
      </c>
      <c r="DM72" s="4">
        <v>0</v>
      </c>
      <c r="DQ72" s="4">
        <v>0</v>
      </c>
      <c r="DS72" s="4">
        <v>0</v>
      </c>
      <c r="DU72" s="4" t="s">
        <v>672</v>
      </c>
      <c r="DV72" s="4" t="s">
        <v>353</v>
      </c>
      <c r="DW72" s="4">
        <v>29.783460000000002</v>
      </c>
      <c r="DX72" s="4">
        <v>-84.666039999999995</v>
      </c>
      <c r="DY72" s="4">
        <v>2</v>
      </c>
      <c r="EA72" s="4">
        <v>0</v>
      </c>
      <c r="EC72" s="4">
        <v>0</v>
      </c>
      <c r="EE72" s="4">
        <v>0</v>
      </c>
      <c r="EF72" s="4">
        <v>0</v>
      </c>
      <c r="EJ72" s="4">
        <v>0</v>
      </c>
      <c r="EL72" s="4" t="s">
        <v>353</v>
      </c>
      <c r="EM72" s="4">
        <v>29.788989999999998</v>
      </c>
      <c r="EN72" s="4">
        <v>-84.644530000000003</v>
      </c>
      <c r="EO72" s="4">
        <v>2</v>
      </c>
      <c r="EQ72" s="4">
        <v>0</v>
      </c>
      <c r="ES72" s="4">
        <v>0</v>
      </c>
      <c r="EU72" s="4">
        <v>0</v>
      </c>
      <c r="EW72" s="4">
        <v>0</v>
      </c>
      <c r="EY72" s="4">
        <v>0</v>
      </c>
      <c r="FB72" s="4" t="s">
        <v>353</v>
      </c>
      <c r="FC72" s="4">
        <v>29.833159999999999</v>
      </c>
      <c r="FD72" s="4">
        <v>-84.575249999999997</v>
      </c>
      <c r="FE72" s="4">
        <v>2</v>
      </c>
      <c r="FG72" s="4">
        <v>0</v>
      </c>
      <c r="FI72" s="4">
        <v>0</v>
      </c>
      <c r="FK72" s="4">
        <v>0</v>
      </c>
      <c r="FM72" s="4">
        <v>2</v>
      </c>
      <c r="FN72" s="4" t="s">
        <v>673</v>
      </c>
      <c r="FO72" s="4">
        <v>0</v>
      </c>
      <c r="FR72" s="4" t="s">
        <v>353</v>
      </c>
      <c r="FS72" s="4">
        <v>29.81822</v>
      </c>
      <c r="FT72" s="4">
        <v>-84.572400000000002</v>
      </c>
      <c r="FU72" s="4">
        <v>0</v>
      </c>
      <c r="FW72" s="4">
        <v>0</v>
      </c>
      <c r="FY72" s="4">
        <v>0</v>
      </c>
      <c r="GA72" s="4">
        <v>0</v>
      </c>
      <c r="GC72" s="4">
        <v>3</v>
      </c>
      <c r="GD72" s="4" t="s">
        <v>674</v>
      </c>
      <c r="GE72" s="4">
        <v>0</v>
      </c>
      <c r="GH72" s="4" t="s">
        <v>359</v>
      </c>
    </row>
    <row r="73" spans="1:190" ht="12.75" x14ac:dyDescent="0.2">
      <c r="A73" s="3">
        <v>43515.351391446762</v>
      </c>
      <c r="B73" s="4" t="s">
        <v>511</v>
      </c>
      <c r="C73" s="4" t="s">
        <v>675</v>
      </c>
      <c r="D73" s="5">
        <v>43503</v>
      </c>
      <c r="E73" s="4" t="s">
        <v>676</v>
      </c>
      <c r="J73" s="6">
        <v>0.36458333333575865</v>
      </c>
      <c r="M73" s="4" t="s">
        <v>350</v>
      </c>
      <c r="N73" s="4" t="s">
        <v>351</v>
      </c>
      <c r="P73" s="4">
        <v>0</v>
      </c>
      <c r="Q73" s="4"/>
      <c r="R73" s="4"/>
      <c r="S73" s="4"/>
      <c r="T73" s="4"/>
      <c r="U73" s="4"/>
      <c r="V73" s="4"/>
      <c r="W73" s="4"/>
      <c r="X73" s="4"/>
      <c r="Y73" s="4"/>
      <c r="Z73" s="4"/>
      <c r="AA73" s="4"/>
      <c r="AB73" s="4"/>
      <c r="AC73" s="4"/>
      <c r="AD73" s="4"/>
      <c r="AE73" s="4"/>
      <c r="AF73" s="4">
        <v>1</v>
      </c>
      <c r="AG73" s="4"/>
      <c r="AH73" s="4"/>
      <c r="AI73" s="4"/>
      <c r="AJ73" s="4"/>
      <c r="AK73" s="4"/>
      <c r="AL73" s="4"/>
      <c r="AM73" s="4"/>
      <c r="AN73" s="4"/>
      <c r="AO73" s="4"/>
      <c r="AP73" s="4"/>
      <c r="AQ73" s="4"/>
      <c r="AR73" s="4"/>
      <c r="AS73" s="4"/>
      <c r="AT73" s="4"/>
      <c r="AU73" s="4"/>
      <c r="AV73" s="4"/>
      <c r="AW73" s="4"/>
      <c r="AX73" s="4"/>
      <c r="AY73" s="4"/>
      <c r="AZ73" s="4"/>
      <c r="BA73" s="4"/>
      <c r="BB73" s="4"/>
      <c r="BC73" s="4"/>
      <c r="BD73" s="4"/>
      <c r="BE73" s="4">
        <v>2</v>
      </c>
      <c r="BF73" s="4">
        <v>1</v>
      </c>
      <c r="BG73" s="4"/>
      <c r="BH73" s="4"/>
      <c r="BI73" s="4"/>
      <c r="BJ73" s="4" t="s">
        <v>364</v>
      </c>
    </row>
    <row r="74" spans="1:190" ht="12.75" x14ac:dyDescent="0.2">
      <c r="A74" s="3">
        <v>43504.3885633912</v>
      </c>
      <c r="B74" s="4" t="s">
        <v>660</v>
      </c>
      <c r="C74" s="4" t="s">
        <v>677</v>
      </c>
      <c r="D74" s="5">
        <v>43497</v>
      </c>
      <c r="E74" s="4" t="s">
        <v>678</v>
      </c>
      <c r="J74" s="6">
        <v>0.44027777777955635</v>
      </c>
      <c r="K74" s="4" t="s">
        <v>348</v>
      </c>
      <c r="L74" s="4" t="s">
        <v>358</v>
      </c>
      <c r="M74" s="4" t="s">
        <v>350</v>
      </c>
      <c r="N74" s="4" t="s">
        <v>351</v>
      </c>
      <c r="P74" s="4">
        <v>0</v>
      </c>
      <c r="Q74" s="4"/>
      <c r="R74" s="4"/>
      <c r="S74" s="4"/>
      <c r="T74" s="4"/>
      <c r="U74" s="4"/>
      <c r="V74" s="4"/>
      <c r="W74" s="4"/>
      <c r="X74" s="4"/>
      <c r="Y74" s="4"/>
      <c r="Z74" s="4"/>
      <c r="AA74" s="4"/>
      <c r="AB74" s="4"/>
      <c r="AC74" s="4"/>
      <c r="AD74" s="4"/>
      <c r="AE74" s="4">
        <v>2</v>
      </c>
      <c r="AF74" s="4"/>
      <c r="AG74" s="4"/>
      <c r="AH74" s="4"/>
      <c r="AI74" s="4"/>
      <c r="AJ74" s="4"/>
      <c r="AK74" s="4"/>
      <c r="AL74" s="4"/>
      <c r="AM74" s="4"/>
      <c r="AN74" s="4"/>
      <c r="AO74" s="4"/>
      <c r="AP74" s="4"/>
      <c r="AQ74" s="4"/>
      <c r="AR74" s="4"/>
      <c r="AS74" s="4"/>
      <c r="AT74" s="4"/>
      <c r="AU74" s="4"/>
      <c r="AV74" s="4"/>
      <c r="AW74" s="4"/>
      <c r="AX74" s="4"/>
      <c r="AY74" s="4"/>
      <c r="AZ74" s="4"/>
      <c r="BA74" s="4"/>
      <c r="BB74" s="4"/>
      <c r="BC74" s="4">
        <v>7</v>
      </c>
      <c r="BD74" s="4"/>
      <c r="BE74" s="4"/>
      <c r="BF74" s="4"/>
      <c r="BG74" s="4"/>
      <c r="BH74" s="4"/>
      <c r="BI74" s="4"/>
      <c r="BJ74" s="4" t="s">
        <v>364</v>
      </c>
    </row>
    <row r="75" spans="1:190" ht="12.75" x14ac:dyDescent="0.2">
      <c r="A75" s="3">
        <v>43503.342025439815</v>
      </c>
      <c r="B75" s="4" t="s">
        <v>679</v>
      </c>
      <c r="C75" s="4" t="s">
        <v>680</v>
      </c>
      <c r="D75" s="5">
        <v>43501</v>
      </c>
      <c r="E75" s="4" t="s">
        <v>681</v>
      </c>
      <c r="F75" s="4">
        <v>26.092046</v>
      </c>
      <c r="G75" s="4">
        <v>-80.108042999999995</v>
      </c>
      <c r="H75" s="4">
        <v>26.058567</v>
      </c>
      <c r="I75" s="4">
        <v>-80.111525999999998</v>
      </c>
      <c r="J75" s="6">
        <v>0.4375</v>
      </c>
      <c r="K75" s="4" t="s">
        <v>379</v>
      </c>
      <c r="L75" s="4" t="s">
        <v>358</v>
      </c>
      <c r="M75" s="4" t="s">
        <v>350</v>
      </c>
      <c r="N75" s="4" t="s">
        <v>351</v>
      </c>
      <c r="O75" s="4" t="s">
        <v>682</v>
      </c>
      <c r="P75" s="4">
        <v>0</v>
      </c>
      <c r="Q75" s="4"/>
      <c r="R75" s="4"/>
      <c r="S75" s="4"/>
      <c r="T75" s="4"/>
      <c r="U75" s="4"/>
      <c r="V75" s="4">
        <v>6</v>
      </c>
      <c r="W75" s="4"/>
      <c r="X75" s="4"/>
      <c r="Y75" s="4"/>
      <c r="Z75" s="4"/>
      <c r="AA75" s="4"/>
      <c r="AB75" s="4"/>
      <c r="AC75" s="4">
        <v>2</v>
      </c>
      <c r="AD75" s="4"/>
      <c r="AE75" s="4">
        <v>11</v>
      </c>
      <c r="AG75" s="4"/>
      <c r="AI75" s="4"/>
      <c r="AJ75" s="4"/>
      <c r="AK75" s="4"/>
      <c r="AL75" s="4"/>
      <c r="AM75" s="4"/>
      <c r="AN75" s="4"/>
      <c r="AO75" s="4"/>
      <c r="AP75" s="4"/>
      <c r="AQ75" s="4"/>
      <c r="AR75" s="4"/>
      <c r="AS75" s="4"/>
      <c r="AT75" s="4"/>
      <c r="AU75" s="4"/>
      <c r="AV75" s="4"/>
      <c r="AW75" s="4"/>
      <c r="AX75" s="4"/>
      <c r="AY75" s="4"/>
      <c r="AZ75" s="4"/>
      <c r="BA75" s="4"/>
      <c r="BB75" s="4"/>
      <c r="BC75" s="4"/>
      <c r="BD75" s="4">
        <v>1</v>
      </c>
      <c r="BE75" s="4">
        <v>7</v>
      </c>
      <c r="BF75" s="4">
        <v>1</v>
      </c>
      <c r="BG75" s="4"/>
      <c r="BH75" s="4"/>
      <c r="BI75" s="4"/>
      <c r="BJ75" s="4" t="s">
        <v>353</v>
      </c>
      <c r="BK75" s="4">
        <v>26.075136000000001</v>
      </c>
      <c r="BL75" s="4">
        <v>-80.110074999999995</v>
      </c>
      <c r="BQ75" s="4">
        <v>2</v>
      </c>
      <c r="BZ75" s="4" t="s">
        <v>354</v>
      </c>
    </row>
    <row r="76" spans="1:190" ht="12.75" x14ac:dyDescent="0.2">
      <c r="A76" s="3">
        <v>43502.404787766209</v>
      </c>
      <c r="B76" s="4" t="s">
        <v>611</v>
      </c>
      <c r="C76" s="4" t="str">
        <f>O76</f>
        <v>Dunedin Causeway  - new survey route</v>
      </c>
      <c r="D76" s="5">
        <v>43497</v>
      </c>
      <c r="E76" s="4" t="s">
        <v>613</v>
      </c>
      <c r="F76" s="4">
        <v>28.050899999999999</v>
      </c>
      <c r="G76" s="4">
        <v>-82.797700000000006</v>
      </c>
      <c r="H76" s="4">
        <v>28.058700000000002</v>
      </c>
      <c r="I76" s="4">
        <v>-82.810500000000005</v>
      </c>
      <c r="J76" s="6">
        <v>0.33541666666860692</v>
      </c>
      <c r="K76" s="4" t="s">
        <v>363</v>
      </c>
      <c r="L76" s="4" t="s">
        <v>349</v>
      </c>
      <c r="M76" s="4" t="s">
        <v>350</v>
      </c>
      <c r="N76" s="4" t="s">
        <v>351</v>
      </c>
      <c r="O76" s="4" t="s">
        <v>683</v>
      </c>
      <c r="P76" s="4">
        <v>2</v>
      </c>
      <c r="Q76" s="4"/>
      <c r="R76" s="4">
        <v>4</v>
      </c>
      <c r="S76" s="4"/>
      <c r="T76" s="4"/>
      <c r="U76" s="4"/>
      <c r="V76" s="4"/>
      <c r="W76" s="4"/>
      <c r="X76" s="4"/>
      <c r="Y76" s="4"/>
      <c r="Z76" s="4">
        <v>1</v>
      </c>
      <c r="AB76" s="4">
        <v>1</v>
      </c>
      <c r="AC76" s="4"/>
      <c r="AD76" s="4"/>
      <c r="AE76" s="4">
        <v>2</v>
      </c>
      <c r="AF76" s="4">
        <v>11</v>
      </c>
      <c r="AG76" s="4">
        <v>9</v>
      </c>
      <c r="AH76" s="4"/>
      <c r="AI76" s="4"/>
      <c r="AJ76" s="4"/>
      <c r="AL76" s="4"/>
      <c r="AM76" s="4">
        <v>3</v>
      </c>
      <c r="AN76" s="4"/>
      <c r="AO76" s="4"/>
      <c r="AR76" s="4">
        <v>149</v>
      </c>
      <c r="AS76" s="4"/>
      <c r="AT76" s="4"/>
      <c r="AU76" s="4"/>
      <c r="AV76" s="4"/>
      <c r="AW76" s="4"/>
      <c r="AX76" s="4"/>
      <c r="AY76" s="4">
        <v>5</v>
      </c>
      <c r="AZ76" s="4"/>
      <c r="BA76" s="4"/>
      <c r="BB76" s="4"/>
      <c r="BC76" s="4">
        <v>137</v>
      </c>
      <c r="BD76" s="4"/>
      <c r="BE76" s="4">
        <v>24</v>
      </c>
      <c r="BF76" s="4">
        <v>25</v>
      </c>
      <c r="BG76" s="4"/>
      <c r="BH76" s="4"/>
      <c r="BI76" s="4"/>
      <c r="BJ76" s="4" t="s">
        <v>353</v>
      </c>
      <c r="BK76" s="4">
        <v>28.051300000000001</v>
      </c>
      <c r="BL76" s="4">
        <v>-82.800299999999993</v>
      </c>
      <c r="BM76" s="4">
        <v>2</v>
      </c>
      <c r="BZ76" s="4" t="s">
        <v>353</v>
      </c>
      <c r="CA76" s="4">
        <v>28.055099999999999</v>
      </c>
      <c r="CB76" s="4">
        <v>-82.806200000000004</v>
      </c>
      <c r="CE76" s="4">
        <v>149</v>
      </c>
      <c r="CP76" s="4" t="s">
        <v>359</v>
      </c>
    </row>
    <row r="77" spans="1:190" ht="12.75" x14ac:dyDescent="0.2">
      <c r="A77" s="3">
        <v>43502.635799282405</v>
      </c>
      <c r="B77" s="4" t="s">
        <v>684</v>
      </c>
      <c r="C77" s="4" t="s">
        <v>685</v>
      </c>
      <c r="D77" s="5">
        <v>43497</v>
      </c>
      <c r="E77" s="4" t="s">
        <v>686</v>
      </c>
      <c r="J77" s="6">
        <v>0.70833333333575865</v>
      </c>
      <c r="K77" s="4" t="s">
        <v>348</v>
      </c>
      <c r="L77" s="4" t="s">
        <v>349</v>
      </c>
      <c r="M77" s="4" t="s">
        <v>350</v>
      </c>
      <c r="N77" s="4" t="s">
        <v>533</v>
      </c>
      <c r="P77" s="4">
        <v>2</v>
      </c>
      <c r="BJ77" s="4" t="s">
        <v>353</v>
      </c>
      <c r="BK77" s="4">
        <v>29.148088999999999</v>
      </c>
      <c r="BL77" s="4">
        <v>-80.971389000000002</v>
      </c>
      <c r="BM77" s="4">
        <v>2</v>
      </c>
      <c r="BN77" s="4" t="s">
        <v>687</v>
      </c>
      <c r="BZ77" s="4" t="s">
        <v>354</v>
      </c>
    </row>
    <row r="78" spans="1:190" ht="12.75" x14ac:dyDescent="0.2">
      <c r="A78" s="3">
        <v>43507.648810671293</v>
      </c>
      <c r="B78" s="4" t="s">
        <v>688</v>
      </c>
      <c r="C78" s="4" t="s">
        <v>685</v>
      </c>
      <c r="D78" s="5">
        <v>43497</v>
      </c>
      <c r="E78" s="4" t="s">
        <v>689</v>
      </c>
      <c r="F78" s="4">
        <v>29.079022999999999</v>
      </c>
      <c r="G78" s="4">
        <v>-80.928573999999998</v>
      </c>
      <c r="H78" s="4">
        <v>29.092759999999998</v>
      </c>
      <c r="I78" s="4">
        <v>-80.094851000000006</v>
      </c>
      <c r="J78" s="6">
        <v>0.37152777778101154</v>
      </c>
      <c r="K78" s="4" t="s">
        <v>348</v>
      </c>
      <c r="L78" s="4" t="s">
        <v>358</v>
      </c>
      <c r="M78" s="4" t="s">
        <v>350</v>
      </c>
      <c r="N78" s="4" t="s">
        <v>351</v>
      </c>
      <c r="O78" s="4" t="s">
        <v>690</v>
      </c>
      <c r="P78" s="4">
        <v>0</v>
      </c>
      <c r="Q78" s="4"/>
      <c r="R78" s="4">
        <v>14</v>
      </c>
      <c r="S78" s="4">
        <v>71</v>
      </c>
      <c r="T78" s="4">
        <v>5</v>
      </c>
      <c r="U78" s="4"/>
      <c r="V78" s="4">
        <v>28</v>
      </c>
      <c r="W78" s="4"/>
      <c r="X78" s="4"/>
      <c r="Y78" s="4"/>
      <c r="Z78" s="4"/>
      <c r="AB78" s="4"/>
      <c r="AC78" s="4">
        <v>4</v>
      </c>
      <c r="AD78" s="4">
        <v>5</v>
      </c>
      <c r="AE78" s="4">
        <v>6</v>
      </c>
      <c r="AF78" s="4">
        <v>31</v>
      </c>
      <c r="AG78" s="4">
        <v>10</v>
      </c>
      <c r="AH78" s="4">
        <v>3</v>
      </c>
      <c r="AI78" s="4"/>
      <c r="AJ78" s="4">
        <v>1</v>
      </c>
      <c r="AK78" s="4"/>
      <c r="AL78" s="4"/>
      <c r="AM78" s="4">
        <v>1</v>
      </c>
      <c r="AN78" s="4">
        <v>3</v>
      </c>
      <c r="AO78" s="4"/>
      <c r="AR78" s="4">
        <v>1159</v>
      </c>
      <c r="AS78" s="4">
        <v>1</v>
      </c>
      <c r="AT78" s="4"/>
      <c r="AU78" s="4">
        <v>53</v>
      </c>
      <c r="AV78" s="4">
        <v>14</v>
      </c>
      <c r="AW78" s="4"/>
      <c r="AX78" s="4">
        <v>85</v>
      </c>
      <c r="AY78" s="4">
        <v>13</v>
      </c>
      <c r="AZ78" s="4"/>
      <c r="BA78" s="4">
        <v>2</v>
      </c>
      <c r="BB78" s="4">
        <v>148</v>
      </c>
      <c r="BC78" s="4">
        <v>319</v>
      </c>
      <c r="BD78" s="4">
        <v>4</v>
      </c>
      <c r="BE78" s="4">
        <v>19</v>
      </c>
      <c r="BF78" s="4">
        <v>35</v>
      </c>
      <c r="BG78" s="4">
        <v>4</v>
      </c>
      <c r="BH78" s="4"/>
      <c r="BI78" s="4">
        <v>200</v>
      </c>
      <c r="BJ78" s="4" t="s">
        <v>353</v>
      </c>
      <c r="BK78" s="4">
        <v>29.077359999999999</v>
      </c>
      <c r="BL78" s="4">
        <v>-80.927139999999994</v>
      </c>
      <c r="BM78" s="4">
        <v>0</v>
      </c>
      <c r="BO78" s="4">
        <v>1000</v>
      </c>
      <c r="BP78" s="4" t="s">
        <v>691</v>
      </c>
      <c r="BQ78" s="4">
        <v>0</v>
      </c>
      <c r="BS78" s="4">
        <v>0</v>
      </c>
      <c r="BU78" s="4">
        <v>0</v>
      </c>
      <c r="BW78" s="4">
        <v>0</v>
      </c>
      <c r="BY78" s="4" t="s">
        <v>692</v>
      </c>
      <c r="BZ78" s="4" t="s">
        <v>353</v>
      </c>
      <c r="CA78" s="4">
        <v>29.063949999999998</v>
      </c>
      <c r="CB78" s="4">
        <v>-80.916020000000003</v>
      </c>
      <c r="CC78" s="4">
        <v>0</v>
      </c>
      <c r="CE78" s="4">
        <v>0</v>
      </c>
      <c r="CG78" s="4">
        <v>1</v>
      </c>
      <c r="CH78" s="4" t="s">
        <v>444</v>
      </c>
      <c r="CI78" s="4">
        <v>0</v>
      </c>
      <c r="CK78" s="4">
        <v>0</v>
      </c>
      <c r="CM78" s="4">
        <v>0</v>
      </c>
      <c r="CP78" s="4" t="s">
        <v>353</v>
      </c>
      <c r="CQ78" s="4">
        <v>29.063379999999999</v>
      </c>
      <c r="CR78" s="4">
        <v>-80.918419999999998</v>
      </c>
      <c r="CS78" s="4">
        <v>0</v>
      </c>
      <c r="CU78" s="4">
        <v>0</v>
      </c>
      <c r="CW78" s="4">
        <v>1</v>
      </c>
      <c r="CX78" s="4" t="s">
        <v>444</v>
      </c>
      <c r="CY78" s="4">
        <v>0</v>
      </c>
      <c r="DA78" s="4">
        <v>0</v>
      </c>
      <c r="DC78" s="4">
        <v>0</v>
      </c>
      <c r="DF78" s="4" t="s">
        <v>353</v>
      </c>
      <c r="DG78" s="4">
        <v>26.065799999999999</v>
      </c>
      <c r="DH78" s="4">
        <v>-80.920749999999998</v>
      </c>
      <c r="DI78" s="4">
        <v>0</v>
      </c>
      <c r="DK78" s="4">
        <v>0</v>
      </c>
      <c r="DM78" s="4">
        <v>2</v>
      </c>
      <c r="DN78" s="4" t="s">
        <v>444</v>
      </c>
      <c r="DO78" s="4">
        <v>0</v>
      </c>
      <c r="DQ78" s="4">
        <v>0</v>
      </c>
      <c r="DS78" s="4">
        <v>0</v>
      </c>
      <c r="DV78" s="4" t="s">
        <v>353</v>
      </c>
      <c r="DW78" s="4">
        <v>29.07038</v>
      </c>
      <c r="DX78" s="4">
        <v>-80.926220000000001</v>
      </c>
      <c r="DY78" s="4">
        <v>0</v>
      </c>
      <c r="EA78" s="4">
        <v>159</v>
      </c>
      <c r="EB78" s="4" t="s">
        <v>444</v>
      </c>
      <c r="EC78" s="4">
        <v>0</v>
      </c>
      <c r="EE78" s="4">
        <v>0</v>
      </c>
      <c r="EF78" s="4">
        <v>0</v>
      </c>
      <c r="EI78" s="4" t="s">
        <v>444</v>
      </c>
      <c r="EJ78" s="4">
        <v>3</v>
      </c>
      <c r="EK78" s="4" t="s">
        <v>693</v>
      </c>
      <c r="EL78" s="4" t="s">
        <v>353</v>
      </c>
      <c r="EM78" s="4">
        <v>29.09158</v>
      </c>
      <c r="EN78" s="4">
        <v>-80.943190000000001</v>
      </c>
      <c r="EO78" s="4">
        <v>0</v>
      </c>
      <c r="EQ78" s="4">
        <v>0</v>
      </c>
      <c r="ES78" s="4">
        <v>0</v>
      </c>
      <c r="EU78" s="4">
        <v>0</v>
      </c>
      <c r="EW78" s="4">
        <v>0</v>
      </c>
      <c r="EY78" s="4">
        <v>0</v>
      </c>
      <c r="FA78" s="4" t="s">
        <v>694</v>
      </c>
      <c r="FB78" s="4" t="s">
        <v>353</v>
      </c>
      <c r="FC78" s="4">
        <v>29.092759999999998</v>
      </c>
      <c r="FD78" s="4">
        <v>-80.094849999999994</v>
      </c>
      <c r="FE78" s="4">
        <v>0</v>
      </c>
      <c r="FG78" s="4">
        <v>0</v>
      </c>
      <c r="FI78" s="4">
        <v>0</v>
      </c>
      <c r="FK78" s="4">
        <v>0</v>
      </c>
      <c r="FM78" s="4">
        <v>0</v>
      </c>
      <c r="FO78" s="4">
        <v>0</v>
      </c>
      <c r="FQ78" s="4" t="s">
        <v>695</v>
      </c>
      <c r="FR78" s="4" t="s">
        <v>359</v>
      </c>
    </row>
    <row r="79" spans="1:190" ht="12.75" x14ac:dyDescent="0.2">
      <c r="A79" s="3">
        <v>43503.574298749998</v>
      </c>
      <c r="B79" s="4" t="s">
        <v>652</v>
      </c>
      <c r="C79" s="4" t="s">
        <v>696</v>
      </c>
      <c r="D79" s="5">
        <v>43503</v>
      </c>
      <c r="E79" s="4" t="s">
        <v>654</v>
      </c>
      <c r="J79" s="6">
        <v>0.5625</v>
      </c>
      <c r="K79" s="4" t="s">
        <v>379</v>
      </c>
      <c r="L79" s="4" t="s">
        <v>358</v>
      </c>
      <c r="M79" s="4" t="s">
        <v>350</v>
      </c>
      <c r="N79" s="4" t="s">
        <v>351</v>
      </c>
      <c r="AJ79" s="4">
        <v>2</v>
      </c>
      <c r="AS79" s="4">
        <v>2</v>
      </c>
      <c r="AT79" s="4">
        <v>2</v>
      </c>
      <c r="AX79" s="4">
        <v>158</v>
      </c>
      <c r="AY79" s="4">
        <v>4</v>
      </c>
      <c r="BA79" s="4">
        <v>1</v>
      </c>
      <c r="BC79" s="4">
        <v>13</v>
      </c>
      <c r="BE79" s="4">
        <v>6</v>
      </c>
      <c r="BF79" s="4">
        <v>2</v>
      </c>
      <c r="BJ79" s="4" t="s">
        <v>364</v>
      </c>
    </row>
    <row r="80" spans="1:190" ht="12.75" x14ac:dyDescent="0.2">
      <c r="A80" s="3">
        <v>43508.598285555556</v>
      </c>
      <c r="B80" s="4" t="s">
        <v>573</v>
      </c>
      <c r="C80" s="4" t="s">
        <v>697</v>
      </c>
      <c r="D80" s="5">
        <v>43501</v>
      </c>
      <c r="E80" s="4" t="s">
        <v>575</v>
      </c>
      <c r="J80" s="6">
        <v>0.60416666666424135</v>
      </c>
      <c r="L80" s="4" t="s">
        <v>358</v>
      </c>
      <c r="M80" s="4" t="s">
        <v>350</v>
      </c>
      <c r="N80" s="4" t="s">
        <v>351</v>
      </c>
      <c r="P80" s="4">
        <v>15</v>
      </c>
      <c r="R80" s="4">
        <v>22</v>
      </c>
      <c r="AE80" s="4">
        <v>5</v>
      </c>
      <c r="AM80" s="4">
        <v>9</v>
      </c>
      <c r="AU80" s="4">
        <v>23</v>
      </c>
      <c r="AV80" s="4">
        <v>3</v>
      </c>
      <c r="AX80" s="4">
        <v>8</v>
      </c>
      <c r="AY80" s="4"/>
      <c r="AZ80" s="4"/>
      <c r="BA80" s="4"/>
      <c r="BB80" s="4"/>
      <c r="BC80" s="4">
        <v>6</v>
      </c>
      <c r="BE80" s="4">
        <v>42</v>
      </c>
      <c r="BJ80" s="4" t="s">
        <v>353</v>
      </c>
      <c r="BK80" s="4">
        <v>29.733720000000002</v>
      </c>
      <c r="BL80" s="4">
        <v>-84.879750000000001</v>
      </c>
      <c r="BM80" s="4">
        <v>2</v>
      </c>
      <c r="BZ80" s="4" t="s">
        <v>353</v>
      </c>
      <c r="CA80" s="4">
        <v>29.737939999999998</v>
      </c>
      <c r="CB80" s="4">
        <v>-84.872290000000007</v>
      </c>
      <c r="CC80" s="4">
        <v>4</v>
      </c>
      <c r="CP80" s="4" t="s">
        <v>353</v>
      </c>
      <c r="CQ80" s="4">
        <v>29.739820000000002</v>
      </c>
      <c r="CR80" s="4">
        <v>-84.869699999999995</v>
      </c>
      <c r="CS80" s="4">
        <v>7</v>
      </c>
      <c r="DF80" s="4" t="s">
        <v>353</v>
      </c>
      <c r="DG80" s="4">
        <v>29.733799999999999</v>
      </c>
      <c r="DH80" s="4">
        <v>-84.880949999999999</v>
      </c>
      <c r="DI80" s="4">
        <v>2</v>
      </c>
      <c r="DV80" s="4" t="s">
        <v>359</v>
      </c>
    </row>
    <row r="81" spans="1:270" ht="12.75" x14ac:dyDescent="0.2">
      <c r="A81" s="3">
        <v>43508.404528842591</v>
      </c>
      <c r="B81" s="4" t="s">
        <v>538</v>
      </c>
      <c r="C81" s="4" t="s">
        <v>698</v>
      </c>
      <c r="D81" s="5">
        <v>43501</v>
      </c>
      <c r="E81" s="4" t="s">
        <v>699</v>
      </c>
      <c r="J81" s="6">
        <v>0.72499999999854481</v>
      </c>
      <c r="L81" s="4" t="s">
        <v>358</v>
      </c>
      <c r="M81" s="4" t="s">
        <v>350</v>
      </c>
      <c r="N81" s="4" t="s">
        <v>351</v>
      </c>
      <c r="P81" s="4">
        <v>1</v>
      </c>
      <c r="Q81" s="4"/>
      <c r="R81" s="4"/>
      <c r="S81" s="4"/>
      <c r="T81" s="4"/>
      <c r="U81" s="4"/>
      <c r="V81" s="4"/>
      <c r="W81" s="4"/>
      <c r="X81" s="4"/>
      <c r="Y81" s="4"/>
      <c r="Z81" s="4"/>
      <c r="AA81" s="4"/>
      <c r="AB81" s="4"/>
      <c r="AC81" s="4"/>
      <c r="AD81" s="4"/>
      <c r="AE81" s="4"/>
      <c r="AF81" s="4"/>
      <c r="AG81" s="4"/>
      <c r="AH81" s="4"/>
      <c r="AI81" s="4"/>
      <c r="AJ81" s="4">
        <v>5</v>
      </c>
      <c r="AK81" s="4"/>
      <c r="AL81" s="4"/>
      <c r="AM81" s="4"/>
      <c r="AN81" s="4"/>
      <c r="AO81" s="4"/>
      <c r="AP81" s="4"/>
      <c r="AQ81" s="4"/>
      <c r="AR81" s="4"/>
      <c r="AS81" s="4"/>
      <c r="AT81" s="4"/>
      <c r="AU81" s="4">
        <v>3</v>
      </c>
      <c r="AV81" s="4"/>
      <c r="AW81" s="4"/>
      <c r="AX81" s="4">
        <v>110</v>
      </c>
      <c r="AY81" s="4"/>
      <c r="AZ81" s="4"/>
      <c r="BA81" s="4"/>
      <c r="BB81" s="4"/>
      <c r="BC81" s="4"/>
      <c r="BD81" s="4"/>
      <c r="BE81" s="4"/>
      <c r="BF81" s="4"/>
      <c r="BG81" s="4"/>
      <c r="BH81" s="4"/>
      <c r="BI81" s="4"/>
      <c r="BJ81" s="4" t="s">
        <v>353</v>
      </c>
      <c r="BK81" s="4">
        <v>29.734069999999999</v>
      </c>
      <c r="BL81" s="4">
        <v>-84.91046</v>
      </c>
      <c r="BM81" s="4">
        <v>1</v>
      </c>
      <c r="BN81" s="4">
        <v>0</v>
      </c>
      <c r="BO81" s="4">
        <v>0</v>
      </c>
      <c r="BP81" s="4">
        <v>0</v>
      </c>
      <c r="BQ81" s="4">
        <v>0</v>
      </c>
      <c r="BR81" s="4">
        <v>0</v>
      </c>
      <c r="BS81" s="4">
        <v>0</v>
      </c>
      <c r="BT81" s="4">
        <v>0</v>
      </c>
      <c r="BU81" s="4">
        <v>0</v>
      </c>
      <c r="BV81" s="4">
        <v>0</v>
      </c>
      <c r="BW81" s="4">
        <v>0</v>
      </c>
      <c r="BX81" s="4">
        <v>0</v>
      </c>
      <c r="BY81" s="4" t="s">
        <v>700</v>
      </c>
      <c r="BZ81" s="4" t="s">
        <v>354</v>
      </c>
    </row>
    <row r="82" spans="1:270" ht="12.75" x14ac:dyDescent="0.2">
      <c r="A82" s="3">
        <v>43524.424575694444</v>
      </c>
      <c r="B82" s="4" t="s">
        <v>549</v>
      </c>
      <c r="C82" s="4" t="s">
        <v>701</v>
      </c>
      <c r="D82" s="5">
        <v>43500</v>
      </c>
      <c r="E82" s="4" t="s">
        <v>702</v>
      </c>
      <c r="J82" s="6">
        <v>0.47916666666424135</v>
      </c>
      <c r="K82" s="4" t="s">
        <v>363</v>
      </c>
      <c r="L82" s="4" t="s">
        <v>390</v>
      </c>
      <c r="M82" s="4" t="s">
        <v>350</v>
      </c>
      <c r="N82" s="4" t="s">
        <v>351</v>
      </c>
      <c r="O82" s="4" t="s">
        <v>703</v>
      </c>
      <c r="P82" s="4">
        <v>0</v>
      </c>
      <c r="Q82" s="4"/>
      <c r="R82" s="4">
        <v>2</v>
      </c>
      <c r="S82" s="4"/>
      <c r="T82" s="4"/>
      <c r="U82" s="4"/>
      <c r="V82" s="4"/>
      <c r="W82" s="4"/>
      <c r="X82" s="4"/>
      <c r="Y82" s="4"/>
      <c r="Z82" s="4"/>
      <c r="AA82" s="4"/>
      <c r="AB82" s="4"/>
      <c r="AC82" s="4"/>
      <c r="AD82" s="4"/>
      <c r="AE82" s="4">
        <v>1</v>
      </c>
      <c r="AF82" s="4">
        <v>1</v>
      </c>
      <c r="AG82" s="4"/>
      <c r="AH82" s="4"/>
      <c r="AI82" s="4"/>
      <c r="AJ82" s="4"/>
      <c r="AK82" s="4"/>
      <c r="AL82" s="4"/>
      <c r="AM82" s="4">
        <v>3</v>
      </c>
      <c r="AN82" s="4"/>
      <c r="AO82" s="4"/>
      <c r="AP82" s="4"/>
      <c r="AQ82" s="4"/>
      <c r="AR82" s="4">
        <v>5</v>
      </c>
      <c r="AS82" s="4">
        <v>13</v>
      </c>
      <c r="AT82" s="4"/>
      <c r="AU82" s="4">
        <v>1</v>
      </c>
      <c r="AV82" s="4"/>
      <c r="AW82" s="4"/>
      <c r="AX82" s="4"/>
      <c r="AY82" s="4">
        <v>34</v>
      </c>
      <c r="AZ82" s="4"/>
      <c r="BA82" s="4"/>
      <c r="BB82" s="4">
        <v>2</v>
      </c>
      <c r="BC82" s="4">
        <v>61</v>
      </c>
      <c r="BD82" s="4"/>
      <c r="BE82" s="4">
        <v>22</v>
      </c>
      <c r="BF82" s="4">
        <v>8</v>
      </c>
      <c r="BG82" s="4"/>
      <c r="BH82" s="4"/>
      <c r="BI82" s="4"/>
      <c r="BJ82" s="4" t="s">
        <v>353</v>
      </c>
      <c r="BK82" s="4">
        <v>29.666699999999999</v>
      </c>
      <c r="BL82" s="4">
        <v>-85.346999999999994</v>
      </c>
      <c r="BM82" s="4">
        <v>0</v>
      </c>
      <c r="BN82" s="4">
        <v>0</v>
      </c>
      <c r="BO82" s="4">
        <v>5</v>
      </c>
      <c r="BP82" s="4">
        <v>0</v>
      </c>
      <c r="BQ82" s="4">
        <v>0</v>
      </c>
      <c r="BR82" s="4">
        <v>0</v>
      </c>
      <c r="BS82" s="4">
        <v>0</v>
      </c>
      <c r="BT82" s="4">
        <v>0</v>
      </c>
      <c r="BU82" s="4">
        <v>0</v>
      </c>
      <c r="BV82" s="4">
        <v>0</v>
      </c>
      <c r="BW82" s="4">
        <v>0</v>
      </c>
      <c r="BX82" s="4">
        <v>0</v>
      </c>
      <c r="BY82" s="4" t="s">
        <v>704</v>
      </c>
      <c r="BZ82" s="4" t="s">
        <v>354</v>
      </c>
    </row>
    <row r="83" spans="1:270" ht="12.75" x14ac:dyDescent="0.2">
      <c r="A83" s="3">
        <v>43501.673313784719</v>
      </c>
      <c r="B83" s="4" t="s">
        <v>705</v>
      </c>
      <c r="C83" s="4" t="s">
        <v>706</v>
      </c>
      <c r="D83" s="5">
        <v>43497</v>
      </c>
      <c r="E83" s="4" t="s">
        <v>707</v>
      </c>
      <c r="J83" s="6">
        <v>0.41666666666424135</v>
      </c>
      <c r="K83" s="4" t="s">
        <v>708</v>
      </c>
      <c r="L83" s="4" t="s">
        <v>390</v>
      </c>
      <c r="M83" s="4" t="s">
        <v>350</v>
      </c>
      <c r="N83" s="4" t="s">
        <v>351</v>
      </c>
      <c r="R83" s="4">
        <v>7</v>
      </c>
      <c r="AF83" s="4">
        <v>306</v>
      </c>
      <c r="AI83" s="4">
        <v>31</v>
      </c>
      <c r="AM83" s="4">
        <v>28</v>
      </c>
      <c r="AU83" s="4">
        <v>45</v>
      </c>
      <c r="BB83" s="4">
        <v>2</v>
      </c>
      <c r="BE83" s="4">
        <v>1</v>
      </c>
      <c r="BJ83" s="4" t="s">
        <v>353</v>
      </c>
      <c r="BK83" s="4">
        <v>30.39695</v>
      </c>
      <c r="BL83" s="4">
        <v>-86.641660000000002</v>
      </c>
      <c r="BU83" s="4">
        <v>1</v>
      </c>
      <c r="BV83" s="4" t="s">
        <v>414</v>
      </c>
      <c r="BZ83" s="4" t="s">
        <v>353</v>
      </c>
      <c r="CA83" s="4">
        <v>30.396609999999999</v>
      </c>
      <c r="CB83" s="4">
        <v>-86.662009999999995</v>
      </c>
      <c r="CK83" s="4">
        <v>1</v>
      </c>
      <c r="CL83" s="4" t="s">
        <v>709</v>
      </c>
      <c r="CP83" s="4" t="s">
        <v>353</v>
      </c>
      <c r="CQ83" s="4">
        <v>30.396460000000001</v>
      </c>
      <c r="CR83" s="4">
        <v>-86.673929999999999</v>
      </c>
      <c r="DA83" s="4">
        <v>7</v>
      </c>
      <c r="DB83" s="4" t="s">
        <v>710</v>
      </c>
      <c r="DE83" s="4" t="s">
        <v>711</v>
      </c>
      <c r="DF83" s="4" t="s">
        <v>353</v>
      </c>
      <c r="DG83" s="4"/>
      <c r="DH83" s="4">
        <v>-86.724930000000001</v>
      </c>
      <c r="DQ83" s="4">
        <v>2</v>
      </c>
      <c r="DR83" s="4" t="s">
        <v>712</v>
      </c>
      <c r="DV83" s="4" t="s">
        <v>353</v>
      </c>
      <c r="DW83" s="4">
        <v>30.393799999999999</v>
      </c>
      <c r="DX83" s="4">
        <v>-86.730140000000006</v>
      </c>
      <c r="EF83" s="4">
        <v>1</v>
      </c>
      <c r="EG83" s="4" t="s">
        <v>713</v>
      </c>
      <c r="EK83" s="4" t="s">
        <v>711</v>
      </c>
      <c r="EL83" s="4" t="s">
        <v>353</v>
      </c>
      <c r="EM83" s="4">
        <v>30.393709999999999</v>
      </c>
      <c r="EN83" s="4">
        <v>-86.730890000000002</v>
      </c>
      <c r="EW83" s="4">
        <v>2</v>
      </c>
      <c r="EX83" s="4" t="s">
        <v>714</v>
      </c>
      <c r="FB83" s="4" t="s">
        <v>353</v>
      </c>
      <c r="FC83" s="4">
        <v>30.388190000000002</v>
      </c>
      <c r="FD83" s="4">
        <v>-86.792240000000007</v>
      </c>
      <c r="FM83" s="4">
        <v>9</v>
      </c>
      <c r="FN83" s="4" t="s">
        <v>715</v>
      </c>
      <c r="FR83" s="4" t="s">
        <v>353</v>
      </c>
      <c r="FS83" s="4">
        <v>30.385429999999999</v>
      </c>
      <c r="FT83" s="4">
        <v>-86.815939999999998</v>
      </c>
      <c r="GC83" s="4">
        <v>1</v>
      </c>
      <c r="GD83" s="4" t="s">
        <v>716</v>
      </c>
      <c r="GG83" s="4" t="s">
        <v>711</v>
      </c>
      <c r="GH83" s="4" t="s">
        <v>353</v>
      </c>
      <c r="GI83" s="4">
        <v>30.385000000000002</v>
      </c>
      <c r="GJ83" s="4">
        <v>-86.819950000000006</v>
      </c>
      <c r="GS83" s="4">
        <v>1</v>
      </c>
      <c r="GT83" s="4" t="s">
        <v>717</v>
      </c>
      <c r="GW83" s="4" t="s">
        <v>718</v>
      </c>
      <c r="GX83" s="4" t="s">
        <v>353</v>
      </c>
      <c r="GY83" s="4">
        <v>30.38467</v>
      </c>
      <c r="GZ83" s="4">
        <v>-86.822959999999995</v>
      </c>
      <c r="HI83" s="4">
        <v>2</v>
      </c>
      <c r="HJ83" s="4" t="s">
        <v>414</v>
      </c>
      <c r="HM83" s="4" t="s">
        <v>718</v>
      </c>
      <c r="HN83" s="4" t="s">
        <v>353</v>
      </c>
      <c r="HO83" s="4">
        <v>30.38409</v>
      </c>
      <c r="HP83" s="4">
        <v>-86.828090000000003</v>
      </c>
      <c r="HY83" s="4">
        <v>1</v>
      </c>
      <c r="HZ83" s="4" t="s">
        <v>414</v>
      </c>
      <c r="ID83" s="4" t="s">
        <v>353</v>
      </c>
      <c r="IE83" s="4">
        <v>30.38336</v>
      </c>
      <c r="IF83" s="4">
        <v>-86.833960000000005</v>
      </c>
      <c r="IO83" s="4">
        <v>2</v>
      </c>
      <c r="IP83" s="4" t="s">
        <v>719</v>
      </c>
      <c r="IT83" s="4" t="s">
        <v>353</v>
      </c>
      <c r="IU83" s="4">
        <v>30.38336</v>
      </c>
      <c r="IV83" s="4">
        <v>-86.842029999999994</v>
      </c>
      <c r="JE83" s="4">
        <v>1</v>
      </c>
      <c r="JF83" s="4" t="s">
        <v>720</v>
      </c>
      <c r="JI83" s="4" t="s">
        <v>718</v>
      </c>
      <c r="JJ83" s="4" t="s">
        <v>359</v>
      </c>
    </row>
    <row r="84" spans="1:270" ht="12.75" x14ac:dyDescent="0.2">
      <c r="A84" s="3">
        <v>43501.648988900459</v>
      </c>
      <c r="B84" s="4" t="s">
        <v>721</v>
      </c>
      <c r="C84" s="4" t="s">
        <v>722</v>
      </c>
      <c r="D84" s="5">
        <v>43497</v>
      </c>
      <c r="E84" s="4" t="s">
        <v>723</v>
      </c>
      <c r="J84" s="6">
        <v>0.36597222222189885</v>
      </c>
      <c r="K84" s="4" t="s">
        <v>708</v>
      </c>
      <c r="L84" s="4" t="s">
        <v>358</v>
      </c>
      <c r="M84" s="4" t="s">
        <v>350</v>
      </c>
      <c r="N84" s="4" t="s">
        <v>351</v>
      </c>
      <c r="AE84" s="4">
        <v>7</v>
      </c>
      <c r="AF84" s="4">
        <v>27</v>
      </c>
      <c r="AI84" s="4">
        <v>3</v>
      </c>
      <c r="AU84" s="4">
        <v>3</v>
      </c>
      <c r="BE84" s="4">
        <v>1</v>
      </c>
      <c r="BJ84" s="4" t="s">
        <v>353</v>
      </c>
      <c r="BK84" s="4">
        <v>30.39068</v>
      </c>
      <c r="BL84" s="4">
        <v>-86.559880000000007</v>
      </c>
      <c r="BU84" s="4">
        <v>1</v>
      </c>
      <c r="BV84" s="4" t="s">
        <v>400</v>
      </c>
      <c r="BY84" s="4" t="s">
        <v>724</v>
      </c>
      <c r="BZ84" s="4" t="s">
        <v>353</v>
      </c>
      <c r="CA84" s="4">
        <v>30.38776</v>
      </c>
      <c r="CB84" s="4">
        <v>-86.527730000000005</v>
      </c>
      <c r="CK84" s="4">
        <v>1</v>
      </c>
      <c r="CL84" s="4" t="s">
        <v>725</v>
      </c>
      <c r="CO84" s="4" t="s">
        <v>718</v>
      </c>
      <c r="CP84" s="4" t="s">
        <v>353</v>
      </c>
      <c r="CQ84" s="4">
        <v>30.387429999999998</v>
      </c>
      <c r="CR84" s="4">
        <v>-86.524270000000001</v>
      </c>
      <c r="DA84" s="4">
        <v>1</v>
      </c>
      <c r="DB84" s="4" t="s">
        <v>380</v>
      </c>
      <c r="DF84" s="4" t="s">
        <v>359</v>
      </c>
    </row>
    <row r="85" spans="1:270" ht="12.75" x14ac:dyDescent="0.2">
      <c r="A85" s="3">
        <v>43501.604705636579</v>
      </c>
      <c r="B85" s="4" t="s">
        <v>726</v>
      </c>
      <c r="C85" s="4" t="s">
        <v>727</v>
      </c>
      <c r="D85" s="5">
        <v>43497</v>
      </c>
      <c r="E85" s="4" t="s">
        <v>728</v>
      </c>
      <c r="J85" s="6">
        <v>0.34375</v>
      </c>
      <c r="K85" s="4" t="s">
        <v>363</v>
      </c>
      <c r="L85" s="4" t="s">
        <v>349</v>
      </c>
      <c r="M85" s="4" t="s">
        <v>350</v>
      </c>
      <c r="N85" s="4" t="s">
        <v>351</v>
      </c>
      <c r="R85" s="4">
        <v>12</v>
      </c>
      <c r="S85" s="4">
        <v>5</v>
      </c>
      <c r="T85" s="4">
        <v>1</v>
      </c>
      <c r="U85" s="4">
        <v>3</v>
      </c>
      <c r="AF85" s="4">
        <v>107</v>
      </c>
      <c r="AM85" s="4">
        <v>15</v>
      </c>
      <c r="AS85" s="4">
        <v>37</v>
      </c>
      <c r="AU85" s="4">
        <v>12</v>
      </c>
      <c r="AW85" s="4">
        <v>2</v>
      </c>
      <c r="AX85" s="4">
        <v>5</v>
      </c>
      <c r="BE85" s="4">
        <v>3</v>
      </c>
      <c r="BJ85" s="4" t="s">
        <v>364</v>
      </c>
    </row>
    <row r="86" spans="1:270" ht="12.75" x14ac:dyDescent="0.2">
      <c r="A86" s="3">
        <v>43520.580404074077</v>
      </c>
      <c r="B86" s="4" t="s">
        <v>729</v>
      </c>
      <c r="C86" s="4" t="s">
        <v>730</v>
      </c>
      <c r="D86" s="5">
        <v>43503</v>
      </c>
      <c r="E86" s="4" t="s">
        <v>731</v>
      </c>
      <c r="J86" s="6">
        <v>0.33333333333575865</v>
      </c>
      <c r="K86" s="4" t="s">
        <v>348</v>
      </c>
      <c r="L86" s="4" t="s">
        <v>349</v>
      </c>
      <c r="M86" s="4" t="s">
        <v>350</v>
      </c>
      <c r="N86" s="4" t="s">
        <v>351</v>
      </c>
      <c r="P86" s="4">
        <v>0</v>
      </c>
      <c r="Q86" s="4"/>
      <c r="R86" s="4"/>
      <c r="S86" s="4"/>
      <c r="T86" s="4"/>
      <c r="U86" s="4"/>
      <c r="V86" s="4"/>
      <c r="W86" s="4"/>
      <c r="X86" s="4"/>
      <c r="Y86" s="4"/>
      <c r="Z86" s="4"/>
      <c r="AA86" s="4"/>
      <c r="AB86" s="4">
        <v>1</v>
      </c>
      <c r="AC86" s="4"/>
      <c r="AD86" s="4"/>
      <c r="AE86" s="4">
        <v>75</v>
      </c>
      <c r="AF86" s="4">
        <v>196</v>
      </c>
      <c r="AG86" s="4"/>
      <c r="AH86" s="4"/>
      <c r="AI86" s="4"/>
      <c r="AJ86" s="4"/>
      <c r="AK86" s="4"/>
      <c r="AL86" s="4"/>
      <c r="AM86" s="4">
        <v>396</v>
      </c>
      <c r="AN86" s="4"/>
      <c r="AO86" s="4"/>
      <c r="AP86" s="4"/>
      <c r="AQ86" s="4"/>
      <c r="AR86" s="4"/>
      <c r="AS86" s="4"/>
      <c r="AT86" s="4"/>
      <c r="AU86" s="4">
        <v>30</v>
      </c>
      <c r="AV86" s="4"/>
      <c r="AW86" s="4"/>
      <c r="AX86" s="4">
        <v>4</v>
      </c>
      <c r="AY86" s="4"/>
      <c r="AZ86" s="4"/>
      <c r="BA86" s="4"/>
      <c r="BB86" s="4"/>
      <c r="BC86" s="4">
        <v>69</v>
      </c>
      <c r="BD86" s="4">
        <v>6</v>
      </c>
      <c r="BE86" s="4">
        <v>51</v>
      </c>
      <c r="BF86" s="4">
        <v>12</v>
      </c>
      <c r="BG86" s="4">
        <v>5</v>
      </c>
      <c r="BH86" s="4"/>
      <c r="BI86" s="4"/>
      <c r="BJ86" s="4" t="s">
        <v>353</v>
      </c>
      <c r="BK86" s="4">
        <v>26.444761</v>
      </c>
      <c r="BL86" s="4">
        <v>-81.937290000000004</v>
      </c>
      <c r="BM86" s="4">
        <v>0</v>
      </c>
      <c r="BN86" s="4">
        <v>0</v>
      </c>
      <c r="BO86" s="4">
        <v>0</v>
      </c>
      <c r="BP86" s="4">
        <v>0</v>
      </c>
      <c r="BQ86" s="4">
        <v>0</v>
      </c>
      <c r="BR86" s="4">
        <v>0</v>
      </c>
      <c r="BS86" s="4">
        <v>0</v>
      </c>
      <c r="BT86" s="4">
        <v>0</v>
      </c>
      <c r="BU86" s="4">
        <v>0</v>
      </c>
      <c r="BV86" s="4">
        <v>0</v>
      </c>
      <c r="BW86" s="4">
        <v>0</v>
      </c>
      <c r="BX86" s="4">
        <v>0</v>
      </c>
      <c r="BY86" s="4" t="s">
        <v>732</v>
      </c>
      <c r="BZ86" s="4" t="s">
        <v>353</v>
      </c>
      <c r="CA86" s="4">
        <v>26.416713000000001</v>
      </c>
      <c r="CB86" s="4">
        <v>-81.904792</v>
      </c>
      <c r="CC86" s="4">
        <v>0</v>
      </c>
      <c r="CD86" s="4">
        <v>0</v>
      </c>
      <c r="CE86" s="4">
        <v>0</v>
      </c>
      <c r="CF86" s="4">
        <v>0</v>
      </c>
      <c r="CG86" s="4">
        <v>0</v>
      </c>
      <c r="CH86" s="4">
        <v>0</v>
      </c>
      <c r="CI86" s="4">
        <v>0</v>
      </c>
      <c r="CJ86" s="4">
        <v>0</v>
      </c>
      <c r="CK86" s="4">
        <v>0</v>
      </c>
      <c r="CL86" s="4">
        <v>0</v>
      </c>
      <c r="CM86" s="4">
        <v>0</v>
      </c>
      <c r="CN86" s="4">
        <v>0</v>
      </c>
      <c r="CO86" s="4" t="s">
        <v>733</v>
      </c>
      <c r="CP86" s="4" t="s">
        <v>466</v>
      </c>
    </row>
    <row r="87" spans="1:270" ht="12.75" x14ac:dyDescent="0.2">
      <c r="A87" s="3">
        <v>43497.555908333336</v>
      </c>
      <c r="B87" s="4" t="s">
        <v>734</v>
      </c>
      <c r="C87" s="4" t="str">
        <f>O87</f>
        <v>Fisher Island Private Beach</v>
      </c>
      <c r="D87" s="5">
        <v>43497</v>
      </c>
      <c r="E87" s="4" t="s">
        <v>735</v>
      </c>
      <c r="F87" s="4">
        <v>25.761595</v>
      </c>
      <c r="G87" s="4">
        <v>-80.134866000000002</v>
      </c>
      <c r="H87" s="4">
        <v>25.756777</v>
      </c>
      <c r="I87" s="4">
        <v>-80.137392000000006</v>
      </c>
      <c r="J87" s="6">
        <v>0.30347222222189885</v>
      </c>
      <c r="K87" s="4" t="s">
        <v>348</v>
      </c>
      <c r="L87" s="4" t="s">
        <v>349</v>
      </c>
      <c r="M87" s="4" t="s">
        <v>350</v>
      </c>
      <c r="N87" s="4" t="s">
        <v>351</v>
      </c>
      <c r="O87" s="4" t="s">
        <v>736</v>
      </c>
      <c r="AJ87" s="4">
        <v>2</v>
      </c>
      <c r="BJ87" s="4" t="s">
        <v>364</v>
      </c>
    </row>
    <row r="88" spans="1:270" ht="12.75" x14ac:dyDescent="0.2">
      <c r="A88" s="3">
        <v>43516.40844201389</v>
      </c>
      <c r="B88" s="4" t="s">
        <v>666</v>
      </c>
      <c r="C88" s="4" t="s">
        <v>737</v>
      </c>
      <c r="D88" s="5">
        <v>43501</v>
      </c>
      <c r="E88" s="4" t="s">
        <v>738</v>
      </c>
      <c r="J88" s="6">
        <v>0.63611111111094942</v>
      </c>
      <c r="L88" s="4" t="s">
        <v>358</v>
      </c>
      <c r="M88" s="4" t="s">
        <v>350</v>
      </c>
      <c r="N88" s="4" t="s">
        <v>351</v>
      </c>
      <c r="P88" s="4">
        <v>2</v>
      </c>
      <c r="Q88" s="4"/>
      <c r="R88" s="4">
        <v>1</v>
      </c>
      <c r="S88" s="4">
        <v>25</v>
      </c>
      <c r="T88" s="4"/>
      <c r="U88" s="4"/>
      <c r="V88" s="4"/>
      <c r="W88" s="4"/>
      <c r="X88" s="4"/>
      <c r="Y88" s="4"/>
      <c r="Z88" s="4">
        <v>5</v>
      </c>
      <c r="AA88" s="4"/>
      <c r="AB88" s="4"/>
      <c r="AC88" s="4">
        <v>1</v>
      </c>
      <c r="AD88" s="4">
        <v>2</v>
      </c>
      <c r="AE88" s="4">
        <v>1</v>
      </c>
      <c r="AF88" s="4">
        <v>36</v>
      </c>
      <c r="AG88" s="4">
        <v>6</v>
      </c>
      <c r="AH88" s="4"/>
      <c r="AI88" s="4">
        <v>1</v>
      </c>
      <c r="AJ88" s="4"/>
      <c r="AK88" s="4"/>
      <c r="AL88" s="4"/>
      <c r="AM88" s="4"/>
      <c r="AN88" s="4"/>
      <c r="AO88" s="4"/>
      <c r="AP88" s="4"/>
      <c r="AQ88" s="4"/>
      <c r="AR88" s="4">
        <v>146</v>
      </c>
      <c r="AS88" s="4"/>
      <c r="AT88" s="4"/>
      <c r="AU88" s="4"/>
      <c r="AX88" s="4">
        <v>1</v>
      </c>
      <c r="AY88" s="4">
        <v>110</v>
      </c>
      <c r="AZ88" s="4"/>
      <c r="BA88" s="4"/>
      <c r="BB88" s="4">
        <v>59</v>
      </c>
      <c r="BC88" s="4">
        <v>106</v>
      </c>
      <c r="BD88" s="4"/>
      <c r="BE88" s="4">
        <v>2</v>
      </c>
      <c r="BF88" s="4">
        <v>93</v>
      </c>
      <c r="BG88" s="4"/>
      <c r="BH88" s="4"/>
      <c r="BI88" s="4"/>
      <c r="BJ88" s="4" t="s">
        <v>353</v>
      </c>
      <c r="BK88" s="4">
        <v>29.625910000000001</v>
      </c>
      <c r="BL88" s="4">
        <v>-85.149619999999999</v>
      </c>
      <c r="BM88" s="4">
        <v>0</v>
      </c>
      <c r="BO88" s="4">
        <v>1</v>
      </c>
      <c r="BQ88" s="4">
        <v>0</v>
      </c>
      <c r="BS88" s="4">
        <v>2</v>
      </c>
      <c r="BU88" s="4">
        <v>0</v>
      </c>
      <c r="BY88" s="4" t="s">
        <v>739</v>
      </c>
      <c r="CA88" s="4">
        <v>29.626329999999999</v>
      </c>
      <c r="CB88" s="4">
        <v>-85.153210000000001</v>
      </c>
      <c r="CC88" s="4">
        <v>0</v>
      </c>
      <c r="CE88" s="4">
        <v>146</v>
      </c>
      <c r="CG88" s="4">
        <v>1</v>
      </c>
      <c r="CI88" s="4">
        <v>0</v>
      </c>
      <c r="CK88" s="4">
        <v>0</v>
      </c>
      <c r="CM88" s="4">
        <v>0</v>
      </c>
      <c r="CO88" s="4" t="s">
        <v>740</v>
      </c>
      <c r="CP88" s="4" t="s">
        <v>353</v>
      </c>
      <c r="CQ88" s="4">
        <v>29.626580000000001</v>
      </c>
      <c r="CR88" s="4">
        <v>-85.152820000000006</v>
      </c>
      <c r="CS88" s="4">
        <v>2</v>
      </c>
      <c r="CU88" s="4">
        <v>0</v>
      </c>
      <c r="CW88" s="4">
        <v>0</v>
      </c>
      <c r="CY88" s="4">
        <v>0</v>
      </c>
      <c r="DA88" s="4">
        <v>0</v>
      </c>
      <c r="DC88" s="4">
        <v>0</v>
      </c>
      <c r="DE88" s="4" t="s">
        <v>741</v>
      </c>
      <c r="DF88" s="4" t="s">
        <v>353</v>
      </c>
      <c r="DG88" s="4">
        <v>29.627300000000002</v>
      </c>
      <c r="DH88" s="4">
        <v>-85.152100000000004</v>
      </c>
      <c r="DI88" s="4">
        <v>0</v>
      </c>
      <c r="DK88" s="4">
        <v>0</v>
      </c>
      <c r="DM88" s="4">
        <v>0</v>
      </c>
      <c r="DO88" s="4">
        <v>0</v>
      </c>
      <c r="DQ88" s="4">
        <v>1</v>
      </c>
      <c r="DS88" s="4">
        <v>0</v>
      </c>
      <c r="DU88" s="4" t="s">
        <v>742</v>
      </c>
      <c r="DV88" s="4" t="s">
        <v>359</v>
      </c>
    </row>
    <row r="89" spans="1:270" ht="12.75" x14ac:dyDescent="0.2">
      <c r="A89" s="3">
        <v>43518.567268275467</v>
      </c>
      <c r="B89" s="4" t="s">
        <v>743</v>
      </c>
      <c r="C89" s="4" t="s">
        <v>744</v>
      </c>
      <c r="D89" s="5">
        <v>43502</v>
      </c>
      <c r="E89" s="4" t="s">
        <v>745</v>
      </c>
      <c r="F89" s="4">
        <v>25.135833330000001</v>
      </c>
      <c r="G89" s="4">
        <v>-80.938611109999997</v>
      </c>
      <c r="H89" s="4">
        <v>25.141388890000002</v>
      </c>
      <c r="I89" s="4">
        <v>-80.916388889999993</v>
      </c>
      <c r="J89" s="6">
        <v>0.51041666666424135</v>
      </c>
      <c r="K89" s="4" t="s">
        <v>379</v>
      </c>
      <c r="L89" s="4" t="s">
        <v>349</v>
      </c>
      <c r="M89" s="4" t="s">
        <v>350</v>
      </c>
      <c r="N89" s="4" t="s">
        <v>351</v>
      </c>
      <c r="O89" s="4" t="s">
        <v>746</v>
      </c>
      <c r="P89" s="4">
        <v>0</v>
      </c>
      <c r="Q89" s="4">
        <v>2</v>
      </c>
      <c r="R89" s="4">
        <v>3</v>
      </c>
      <c r="S89" s="4">
        <v>10</v>
      </c>
      <c r="T89" s="4">
        <v>3</v>
      </c>
      <c r="U89" s="4"/>
      <c r="V89" s="4"/>
      <c r="W89" s="4"/>
      <c r="X89" s="4"/>
      <c r="Y89" s="4"/>
      <c r="Z89" s="4"/>
      <c r="AA89" s="4"/>
      <c r="AB89" s="4"/>
      <c r="AC89" s="4"/>
      <c r="AD89" s="4"/>
      <c r="AE89" s="4"/>
      <c r="AF89" s="4"/>
      <c r="AG89" s="4"/>
      <c r="AH89" s="4"/>
      <c r="AI89" s="4"/>
      <c r="AJ89" s="4"/>
      <c r="AK89" s="4"/>
      <c r="AL89" s="4"/>
      <c r="AM89" s="4">
        <v>43</v>
      </c>
      <c r="AN89" s="4"/>
      <c r="AO89" s="4"/>
      <c r="AP89" s="4">
        <v>155</v>
      </c>
      <c r="AQ89" s="4"/>
      <c r="AR89" s="4"/>
      <c r="AS89" s="4"/>
      <c r="AT89" s="4"/>
      <c r="AU89" s="4">
        <v>6</v>
      </c>
      <c r="AV89" s="4"/>
      <c r="AW89" s="4"/>
      <c r="AX89" s="4">
        <v>4</v>
      </c>
      <c r="AY89" s="4"/>
      <c r="AZ89" s="4"/>
      <c r="BA89" s="4"/>
      <c r="BB89" s="4"/>
      <c r="BC89" s="4">
        <v>29</v>
      </c>
      <c r="BD89" s="4"/>
      <c r="BE89" s="4">
        <v>2</v>
      </c>
      <c r="BF89" s="4"/>
      <c r="BG89" s="4"/>
      <c r="BH89" s="4"/>
      <c r="BI89" s="4">
        <v>7</v>
      </c>
      <c r="BJ89" s="4" t="s">
        <v>364</v>
      </c>
    </row>
    <row r="90" spans="1:270" ht="12.75" x14ac:dyDescent="0.2">
      <c r="A90" s="3">
        <v>43503.339626273148</v>
      </c>
      <c r="B90" s="4" t="s">
        <v>747</v>
      </c>
      <c r="C90" s="4" t="s">
        <v>748</v>
      </c>
      <c r="D90" s="5">
        <v>43497</v>
      </c>
      <c r="E90" s="4" t="s">
        <v>749</v>
      </c>
      <c r="J90" s="6">
        <v>0.4375</v>
      </c>
      <c r="K90" s="4" t="s">
        <v>363</v>
      </c>
      <c r="L90" s="4" t="s">
        <v>750</v>
      </c>
      <c r="M90" s="4" t="s">
        <v>350</v>
      </c>
      <c r="N90" s="4" t="s">
        <v>351</v>
      </c>
      <c r="AF90" s="4">
        <v>13</v>
      </c>
      <c r="AR90" s="4">
        <v>11</v>
      </c>
      <c r="AU90" s="4">
        <v>1</v>
      </c>
      <c r="AY90" s="4">
        <v>4</v>
      </c>
      <c r="BC90" s="4">
        <v>302</v>
      </c>
      <c r="BD90" s="4">
        <v>11</v>
      </c>
      <c r="BE90" s="4">
        <v>54</v>
      </c>
      <c r="BJ90" s="4" t="s">
        <v>353</v>
      </c>
      <c r="BK90" s="4">
        <v>30.700583999999999</v>
      </c>
      <c r="BL90" s="4">
        <v>-81.425380000000004</v>
      </c>
      <c r="BO90" s="4">
        <v>13</v>
      </c>
      <c r="BZ90" s="4" t="s">
        <v>354</v>
      </c>
    </row>
    <row r="91" spans="1:270" ht="12.75" x14ac:dyDescent="0.2">
      <c r="A91" s="3">
        <v>43501.599448715278</v>
      </c>
      <c r="B91" s="4" t="s">
        <v>355</v>
      </c>
      <c r="C91" s="4" t="s">
        <v>751</v>
      </c>
      <c r="D91" s="5">
        <v>43501</v>
      </c>
      <c r="E91" s="4" t="s">
        <v>752</v>
      </c>
      <c r="J91" s="6">
        <v>0.33333333333575865</v>
      </c>
      <c r="K91" s="4" t="s">
        <v>348</v>
      </c>
      <c r="L91" s="4" t="s">
        <v>358</v>
      </c>
      <c r="N91" s="4" t="s">
        <v>351</v>
      </c>
      <c r="P91" s="4">
        <v>0</v>
      </c>
      <c r="Q91" s="4"/>
      <c r="R91" s="4">
        <v>5</v>
      </c>
      <c r="S91" s="4"/>
      <c r="T91" s="4"/>
      <c r="U91" s="4"/>
      <c r="V91" s="4"/>
      <c r="W91" s="4"/>
      <c r="X91" s="4"/>
      <c r="Y91" s="4"/>
      <c r="Z91" s="4"/>
      <c r="AA91" s="4"/>
      <c r="AB91" s="4"/>
      <c r="AC91" s="4">
        <v>2</v>
      </c>
      <c r="AD91" s="4"/>
      <c r="AE91" s="4">
        <v>2</v>
      </c>
      <c r="AF91" s="4">
        <v>6</v>
      </c>
      <c r="AG91" s="4"/>
      <c r="AH91" s="4"/>
      <c r="AI91" s="4"/>
      <c r="AJ91" s="4"/>
      <c r="AK91" s="4"/>
      <c r="AL91" s="4"/>
      <c r="AM91" s="4">
        <v>12</v>
      </c>
      <c r="AN91" s="4"/>
      <c r="AO91" s="4"/>
      <c r="AP91" s="4"/>
      <c r="AQ91" s="4"/>
      <c r="AR91" s="4"/>
      <c r="AS91" s="4"/>
      <c r="AT91" s="4"/>
      <c r="AU91" s="4"/>
      <c r="AV91" s="4"/>
      <c r="AW91" s="4"/>
      <c r="AX91" s="4"/>
      <c r="AY91" s="4">
        <v>1</v>
      </c>
      <c r="AZ91" s="4"/>
      <c r="BA91" s="4"/>
      <c r="BB91" s="4">
        <v>1</v>
      </c>
      <c r="BC91" s="4">
        <v>7</v>
      </c>
      <c r="BD91" s="4"/>
      <c r="BE91" s="4">
        <v>4</v>
      </c>
      <c r="BF91" s="4"/>
      <c r="BG91" s="4"/>
      <c r="BH91" s="4"/>
      <c r="BI91" s="4"/>
      <c r="BJ91" s="4" t="s">
        <v>353</v>
      </c>
      <c r="BK91" s="4">
        <v>27.645177</v>
      </c>
      <c r="BL91" s="4">
        <v>-82.742959999999997</v>
      </c>
      <c r="BM91" s="4">
        <v>0</v>
      </c>
      <c r="BO91" s="4">
        <v>0</v>
      </c>
      <c r="BQ91" s="4">
        <v>2</v>
      </c>
      <c r="BS91" s="4">
        <v>0</v>
      </c>
      <c r="BU91" s="4">
        <v>0</v>
      </c>
      <c r="BW91" s="4">
        <v>0</v>
      </c>
      <c r="BZ91" s="4" t="s">
        <v>364</v>
      </c>
    </row>
    <row r="92" spans="1:270" ht="12.75" x14ac:dyDescent="0.2">
      <c r="A92" s="3">
        <v>43502.874073391205</v>
      </c>
      <c r="B92" s="4" t="s">
        <v>753</v>
      </c>
      <c r="C92" s="4" t="str">
        <f t="shared" ref="C92:C93" si="0">O92</f>
        <v>Fort Howard Beach (at the end of Fred Howard Causeway)</v>
      </c>
      <c r="D92" s="5">
        <v>43502</v>
      </c>
      <c r="E92" s="4" t="s">
        <v>754</v>
      </c>
      <c r="F92" s="4">
        <v>28.154328</v>
      </c>
      <c r="G92" s="4">
        <v>-82.804276999999999</v>
      </c>
      <c r="H92" s="4">
        <v>28.152782999999999</v>
      </c>
      <c r="I92" s="4">
        <v>-82.807177999999993</v>
      </c>
      <c r="J92" s="6">
        <v>0.29166666666424135</v>
      </c>
      <c r="K92" s="4" t="s">
        <v>348</v>
      </c>
      <c r="M92" s="4" t="s">
        <v>350</v>
      </c>
      <c r="N92" s="4" t="s">
        <v>351</v>
      </c>
      <c r="O92" s="4" t="s">
        <v>755</v>
      </c>
      <c r="P92" s="4">
        <v>0</v>
      </c>
      <c r="Q92" s="4"/>
      <c r="R92" s="4">
        <v>2</v>
      </c>
      <c r="S92" s="4">
        <v>1</v>
      </c>
      <c r="T92" s="4">
        <v>1</v>
      </c>
      <c r="U92" s="4">
        <v>2</v>
      </c>
      <c r="V92" s="4"/>
      <c r="W92" s="4"/>
      <c r="X92" s="4"/>
      <c r="Y92" s="4"/>
      <c r="Z92" s="4"/>
      <c r="AA92" s="4"/>
      <c r="AB92" s="4"/>
      <c r="AC92" s="4">
        <v>2</v>
      </c>
      <c r="AD92" s="4"/>
      <c r="AE92" s="4">
        <v>13</v>
      </c>
      <c r="AF92" s="4">
        <v>2</v>
      </c>
      <c r="AG92" s="4">
        <v>9</v>
      </c>
      <c r="AH92" s="4"/>
      <c r="AI92" s="4"/>
      <c r="AJ92" s="4"/>
      <c r="AK92" s="4"/>
      <c r="AL92" s="4"/>
      <c r="AM92" s="4"/>
      <c r="AN92" s="4"/>
      <c r="AO92" s="4"/>
      <c r="AP92" s="4"/>
      <c r="AQ92" s="4"/>
      <c r="AR92" s="4">
        <v>55</v>
      </c>
      <c r="AS92" s="4"/>
      <c r="AT92" s="4"/>
      <c r="AU92" s="4">
        <v>13</v>
      </c>
      <c r="AV92" s="4">
        <v>5</v>
      </c>
      <c r="AW92" s="4"/>
      <c r="AX92" s="4">
        <v>110</v>
      </c>
      <c r="AY92" s="4">
        <v>1</v>
      </c>
      <c r="AZ92" s="4"/>
      <c r="BA92" s="4"/>
      <c r="BB92" s="4">
        <v>2</v>
      </c>
      <c r="BC92" s="4">
        <v>66</v>
      </c>
      <c r="BD92" s="4"/>
      <c r="BE92" s="4">
        <v>9</v>
      </c>
      <c r="BF92" s="4">
        <v>57</v>
      </c>
      <c r="BG92" s="4"/>
      <c r="BH92" s="4"/>
      <c r="BI92" s="4"/>
      <c r="BJ92" s="4" t="s">
        <v>353</v>
      </c>
      <c r="BK92" s="4">
        <v>28.153614999999999</v>
      </c>
      <c r="BL92" s="4">
        <v>-82.804045000000002</v>
      </c>
      <c r="BM92" s="4">
        <v>0</v>
      </c>
      <c r="BO92" s="4">
        <v>2</v>
      </c>
      <c r="BP92" s="4">
        <v>0</v>
      </c>
      <c r="BQ92" s="4">
        <v>0</v>
      </c>
      <c r="BS92" s="4">
        <v>0</v>
      </c>
      <c r="BT92" s="4">
        <v>0</v>
      </c>
      <c r="BU92" s="4">
        <v>0</v>
      </c>
      <c r="BV92" s="4">
        <v>0</v>
      </c>
      <c r="BW92" s="4">
        <v>0</v>
      </c>
      <c r="BZ92" s="4" t="s">
        <v>353</v>
      </c>
      <c r="CA92" s="4">
        <v>28.154361999999999</v>
      </c>
      <c r="CB92" s="4">
        <v>-82.804174000000003</v>
      </c>
      <c r="CC92" s="4">
        <v>0</v>
      </c>
      <c r="CE92" s="4">
        <v>0</v>
      </c>
      <c r="CG92" s="4">
        <v>1</v>
      </c>
      <c r="CH92" s="4">
        <v>0</v>
      </c>
      <c r="CI92" s="4">
        <v>0</v>
      </c>
      <c r="CK92" s="4">
        <v>0</v>
      </c>
      <c r="CM92" s="4">
        <v>0</v>
      </c>
      <c r="CP92" s="4" t="s">
        <v>353</v>
      </c>
      <c r="CQ92" s="4">
        <v>28.155346000000002</v>
      </c>
      <c r="CR92" s="4">
        <v>-82.807231999999999</v>
      </c>
      <c r="CS92" s="4">
        <v>0</v>
      </c>
      <c r="CU92" s="4">
        <v>35</v>
      </c>
      <c r="CV92" s="4">
        <v>0</v>
      </c>
      <c r="CW92" s="4">
        <v>0</v>
      </c>
      <c r="CX92" s="4">
        <v>0</v>
      </c>
      <c r="CY92" s="4">
        <v>0</v>
      </c>
      <c r="CZ92" s="4">
        <v>0</v>
      </c>
      <c r="DA92" s="4">
        <v>0</v>
      </c>
      <c r="DB92" s="4">
        <v>0</v>
      </c>
      <c r="DC92" s="4">
        <v>0</v>
      </c>
      <c r="DF92" s="4" t="s">
        <v>353</v>
      </c>
      <c r="DG92" s="4">
        <v>28.154240000000001</v>
      </c>
      <c r="DH92" s="4">
        <v>-82.806533999999999</v>
      </c>
      <c r="DI92" s="4">
        <v>0</v>
      </c>
      <c r="DJ92" s="4">
        <v>0</v>
      </c>
      <c r="DK92" s="4">
        <v>0</v>
      </c>
      <c r="DM92" s="4">
        <v>1</v>
      </c>
      <c r="DN92" s="4" t="s">
        <v>756</v>
      </c>
      <c r="DO92" s="4">
        <v>0</v>
      </c>
      <c r="DQ92" s="4">
        <v>0</v>
      </c>
      <c r="DS92" s="4">
        <v>0</v>
      </c>
      <c r="DV92" s="4" t="s">
        <v>353</v>
      </c>
      <c r="DW92" s="4">
        <v>28.152754000000002</v>
      </c>
      <c r="DX92" s="4">
        <v>-82.805633</v>
      </c>
      <c r="DY92" s="4">
        <v>0</v>
      </c>
      <c r="EA92" s="4">
        <v>6</v>
      </c>
      <c r="EB92" s="4">
        <v>0</v>
      </c>
      <c r="EC92" s="4">
        <v>0</v>
      </c>
      <c r="EE92" s="4">
        <v>0</v>
      </c>
      <c r="EF92" s="4">
        <v>0</v>
      </c>
      <c r="EJ92" s="4">
        <v>0</v>
      </c>
      <c r="EL92" s="4" t="s">
        <v>353</v>
      </c>
      <c r="EM92" s="4">
        <v>28.153144000000001</v>
      </c>
      <c r="EN92" s="4">
        <v>-82.804303000000004</v>
      </c>
      <c r="EO92" s="4">
        <v>0</v>
      </c>
      <c r="EQ92" s="4">
        <v>12</v>
      </c>
      <c r="ER92" s="4">
        <v>0</v>
      </c>
      <c r="ES92" s="4">
        <v>0</v>
      </c>
      <c r="EU92" s="4">
        <v>0</v>
      </c>
      <c r="EW92" s="4">
        <v>0</v>
      </c>
      <c r="EY92" s="4">
        <v>0</v>
      </c>
      <c r="FB92" s="4" t="s">
        <v>359</v>
      </c>
    </row>
    <row r="93" spans="1:270" ht="12.75" x14ac:dyDescent="0.2">
      <c r="A93" s="3">
        <v>43515.492018229168</v>
      </c>
      <c r="B93" s="4" t="s">
        <v>757</v>
      </c>
      <c r="C93" s="4" t="str">
        <f t="shared" si="0"/>
        <v>Fort Matanzas N M Rattlesnake Island</v>
      </c>
      <c r="D93" s="5">
        <v>43503</v>
      </c>
      <c r="E93" s="4" t="s">
        <v>758</v>
      </c>
      <c r="F93" s="4">
        <v>29.718131</v>
      </c>
      <c r="G93" s="4">
        <v>-81.249476000000001</v>
      </c>
      <c r="H93" s="4">
        <v>29.701837999999999</v>
      </c>
      <c r="I93" s="4">
        <v>-81.232736000000003</v>
      </c>
      <c r="J93" s="6">
        <v>0.39583333333575865</v>
      </c>
      <c r="K93" s="4" t="s">
        <v>348</v>
      </c>
      <c r="L93" s="4" t="s">
        <v>349</v>
      </c>
      <c r="M93" s="4" t="s">
        <v>350</v>
      </c>
      <c r="N93" s="4" t="s">
        <v>351</v>
      </c>
      <c r="O93" s="4" t="s">
        <v>759</v>
      </c>
      <c r="P93" s="4">
        <v>0</v>
      </c>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v>1</v>
      </c>
      <c r="AT93" s="4"/>
      <c r="AU93" s="4">
        <v>34</v>
      </c>
      <c r="AV93" s="4"/>
      <c r="AW93" s="4"/>
      <c r="AX93" s="4">
        <v>5</v>
      </c>
      <c r="AY93" s="4">
        <v>10</v>
      </c>
      <c r="AZ93" s="4"/>
      <c r="BA93" s="4"/>
      <c r="BB93" s="4"/>
      <c r="BC93" s="4">
        <v>25</v>
      </c>
      <c r="BD93" s="4"/>
      <c r="BE93" s="4">
        <v>20</v>
      </c>
      <c r="BF93" s="4"/>
      <c r="BG93" s="4"/>
      <c r="BH93" s="4"/>
      <c r="BI93" s="4"/>
      <c r="BJ93" s="4" t="s">
        <v>364</v>
      </c>
    </row>
    <row r="94" spans="1:270" ht="12.75" x14ac:dyDescent="0.2">
      <c r="A94" s="3">
        <v>43515.44697391204</v>
      </c>
      <c r="B94" s="4" t="s">
        <v>757</v>
      </c>
      <c r="C94" s="4" t="s">
        <v>760</v>
      </c>
      <c r="D94" s="5">
        <v>43497</v>
      </c>
      <c r="E94" s="4" t="s">
        <v>761</v>
      </c>
      <c r="J94" s="6">
        <v>0.375</v>
      </c>
      <c r="K94" s="4" t="s">
        <v>348</v>
      </c>
      <c r="L94" s="4" t="s">
        <v>390</v>
      </c>
      <c r="M94" s="4" t="s">
        <v>350</v>
      </c>
      <c r="N94" s="4" t="s">
        <v>351</v>
      </c>
      <c r="P94" s="4">
        <v>0</v>
      </c>
      <c r="Q94" s="4"/>
      <c r="R94" s="4">
        <v>1</v>
      </c>
      <c r="S94" s="4">
        <v>50</v>
      </c>
      <c r="T94" s="4"/>
      <c r="U94" s="4"/>
      <c r="V94" s="4">
        <v>17</v>
      </c>
      <c r="W94" s="4"/>
      <c r="X94" s="4"/>
      <c r="Y94" s="4"/>
      <c r="Z94" s="4"/>
      <c r="AA94" s="4"/>
      <c r="AB94" s="4"/>
      <c r="AC94" s="4"/>
      <c r="AD94" s="4"/>
      <c r="AE94" s="4">
        <v>4</v>
      </c>
      <c r="AF94" s="4">
        <v>2</v>
      </c>
      <c r="AG94" s="4">
        <v>36</v>
      </c>
      <c r="AH94" s="4"/>
      <c r="AI94" s="4"/>
      <c r="AJ94" s="4"/>
      <c r="AK94" s="4">
        <v>26</v>
      </c>
      <c r="AL94" s="4"/>
      <c r="AM94" s="4">
        <v>4</v>
      </c>
      <c r="AN94" s="4">
        <v>3</v>
      </c>
      <c r="AO94" s="4"/>
      <c r="AP94" s="4"/>
      <c r="AQ94" s="4"/>
      <c r="AR94" s="4">
        <v>380</v>
      </c>
      <c r="AS94" s="4">
        <v>4</v>
      </c>
      <c r="AT94" s="4"/>
      <c r="AU94" s="4">
        <v>20</v>
      </c>
      <c r="AV94" s="4"/>
      <c r="AW94" s="4"/>
      <c r="AX94" s="4">
        <v>1</v>
      </c>
      <c r="AY94" s="4">
        <v>14</v>
      </c>
      <c r="AZ94" s="4"/>
      <c r="BA94" s="4">
        <v>2</v>
      </c>
      <c r="BB94" s="4"/>
      <c r="BC94" s="4">
        <v>171</v>
      </c>
      <c r="BD94" s="4"/>
      <c r="BE94" s="4">
        <v>11</v>
      </c>
      <c r="BF94" s="4">
        <v>16</v>
      </c>
      <c r="BG94" s="4"/>
      <c r="BH94" s="4"/>
      <c r="BI94" s="4"/>
      <c r="BJ94" s="4" t="s">
        <v>353</v>
      </c>
      <c r="BK94" s="4">
        <v>29.706028</v>
      </c>
      <c r="BL94" s="4">
        <v>-81.230475999999996</v>
      </c>
      <c r="BM94" s="4">
        <v>0</v>
      </c>
      <c r="BN94" s="4">
        <v>0</v>
      </c>
      <c r="BO94" s="4">
        <v>380</v>
      </c>
      <c r="BP94" s="4" t="s">
        <v>762</v>
      </c>
      <c r="BQ94" s="4">
        <v>0</v>
      </c>
      <c r="BR94" s="4">
        <v>0</v>
      </c>
      <c r="BS94" s="4">
        <v>0</v>
      </c>
      <c r="BT94" s="4">
        <v>0</v>
      </c>
      <c r="BU94" s="4">
        <v>0</v>
      </c>
      <c r="BV94" s="4">
        <v>0</v>
      </c>
      <c r="BW94" s="4">
        <v>3</v>
      </c>
      <c r="BX94" s="4" t="s">
        <v>763</v>
      </c>
      <c r="BY94" s="4" t="s">
        <v>764</v>
      </c>
      <c r="BZ94" s="4" t="s">
        <v>354</v>
      </c>
    </row>
    <row r="95" spans="1:270" ht="12.75" x14ac:dyDescent="0.2">
      <c r="A95" s="3">
        <v>43519.713729189811</v>
      </c>
      <c r="B95" s="4" t="s">
        <v>765</v>
      </c>
      <c r="C95" s="4" t="str">
        <f>O95</f>
        <v>FSUCML-Summer Camp-Turkey Point-Bay North (note: longer version of old Turkey Pt. route)</v>
      </c>
      <c r="D95" s="5">
        <v>43502</v>
      </c>
      <c r="E95" s="4" t="s">
        <v>766</v>
      </c>
      <c r="F95" s="4">
        <v>29.916070000000001</v>
      </c>
      <c r="G95" s="4">
        <v>-84.439400000000006</v>
      </c>
      <c r="J95" s="6">
        <v>0.57638888889050577</v>
      </c>
      <c r="K95" s="4" t="s">
        <v>348</v>
      </c>
      <c r="L95" s="4" t="s">
        <v>349</v>
      </c>
      <c r="M95" s="4" t="s">
        <v>350</v>
      </c>
      <c r="N95" s="4" t="s">
        <v>351</v>
      </c>
      <c r="O95" s="4" t="s">
        <v>767</v>
      </c>
      <c r="AE95" s="4">
        <v>1</v>
      </c>
      <c r="AM95" s="4">
        <v>6</v>
      </c>
      <c r="AU95" s="4">
        <v>2</v>
      </c>
      <c r="AX95" s="4">
        <v>14</v>
      </c>
      <c r="BE95" s="4">
        <v>36</v>
      </c>
      <c r="BJ95" s="4" t="s">
        <v>353</v>
      </c>
      <c r="BK95" s="4">
        <v>29.91883</v>
      </c>
      <c r="BL95" s="4">
        <v>-84.476929999999996</v>
      </c>
      <c r="BY95" s="4" t="s">
        <v>768</v>
      </c>
      <c r="BZ95" s="4" t="s">
        <v>354</v>
      </c>
    </row>
    <row r="96" spans="1:270" ht="12.75" x14ac:dyDescent="0.2">
      <c r="A96" s="3">
        <v>43503.370119409723</v>
      </c>
      <c r="B96" s="4" t="s">
        <v>769</v>
      </c>
      <c r="C96" s="4" t="s">
        <v>770</v>
      </c>
      <c r="D96" s="5">
        <v>43502</v>
      </c>
      <c r="E96" s="4" t="s">
        <v>771</v>
      </c>
      <c r="J96" s="6">
        <v>0.53472222221898846</v>
      </c>
      <c r="K96" s="4" t="s">
        <v>379</v>
      </c>
      <c r="L96" s="4" t="s">
        <v>358</v>
      </c>
      <c r="M96" s="4" t="s">
        <v>350</v>
      </c>
      <c r="N96" s="4" t="s">
        <v>351</v>
      </c>
      <c r="AD96" s="4">
        <v>2</v>
      </c>
      <c r="AE96" s="4">
        <v>9</v>
      </c>
      <c r="AF96" s="4">
        <v>40</v>
      </c>
      <c r="AM96" s="4">
        <v>3</v>
      </c>
      <c r="AP96" s="4" t="s">
        <v>772</v>
      </c>
      <c r="AR96" s="4">
        <v>9</v>
      </c>
      <c r="AU96" s="4">
        <v>3</v>
      </c>
      <c r="AV96" s="4">
        <v>1</v>
      </c>
      <c r="AX96" s="4">
        <v>4</v>
      </c>
      <c r="BA96" s="4">
        <v>1</v>
      </c>
      <c r="BB96" s="4">
        <v>2</v>
      </c>
      <c r="BC96" s="4">
        <v>276</v>
      </c>
      <c r="BD96" s="4">
        <v>2</v>
      </c>
      <c r="BE96" s="4">
        <v>227</v>
      </c>
      <c r="BF96" s="4">
        <v>38</v>
      </c>
      <c r="BJ96" s="4" t="s">
        <v>353</v>
      </c>
      <c r="BK96" s="4">
        <v>30.709900000000001</v>
      </c>
      <c r="BL96" s="4">
        <v>-81.426199999999994</v>
      </c>
      <c r="BO96" s="4">
        <v>9</v>
      </c>
      <c r="BP96" s="4" t="s">
        <v>385</v>
      </c>
      <c r="BS96" s="4">
        <v>2</v>
      </c>
      <c r="BT96" s="4" t="s">
        <v>385</v>
      </c>
      <c r="BY96" s="4" t="s">
        <v>773</v>
      </c>
      <c r="BZ96" s="4" t="s">
        <v>354</v>
      </c>
    </row>
    <row r="97" spans="1:206" ht="12.75" x14ac:dyDescent="0.2">
      <c r="A97" s="3">
        <v>43511.641496550925</v>
      </c>
      <c r="B97" s="4" t="s">
        <v>774</v>
      </c>
      <c r="C97" s="4" t="s">
        <v>775</v>
      </c>
      <c r="D97" s="5">
        <v>43503</v>
      </c>
      <c r="E97" s="4" t="s">
        <v>776</v>
      </c>
      <c r="J97" s="6">
        <v>0.375</v>
      </c>
      <c r="N97" s="4" t="s">
        <v>533</v>
      </c>
      <c r="P97" s="4">
        <v>0</v>
      </c>
      <c r="AC97" s="4"/>
      <c r="AD97" s="4"/>
      <c r="AI97" s="4"/>
      <c r="AN97" s="4"/>
      <c r="AR97" s="4"/>
      <c r="BJ97" s="4" t="s">
        <v>364</v>
      </c>
    </row>
    <row r="98" spans="1:206" ht="12.75" x14ac:dyDescent="0.2">
      <c r="A98" s="3">
        <v>43502.552039618051</v>
      </c>
      <c r="B98" s="4" t="s">
        <v>611</v>
      </c>
      <c r="C98" s="4" t="s">
        <v>777</v>
      </c>
      <c r="D98" s="5">
        <v>43501</v>
      </c>
      <c r="E98" s="4" t="s">
        <v>613</v>
      </c>
      <c r="J98" s="6">
        <v>0.30138888888905058</v>
      </c>
      <c r="K98" s="4" t="s">
        <v>363</v>
      </c>
      <c r="L98" s="4" t="s">
        <v>358</v>
      </c>
      <c r="M98" s="4" t="s">
        <v>350</v>
      </c>
      <c r="N98" s="4" t="s">
        <v>351</v>
      </c>
      <c r="P98" s="4">
        <v>0</v>
      </c>
      <c r="Q98" s="4"/>
      <c r="R98" s="4"/>
      <c r="S98" s="4"/>
      <c r="T98" s="4"/>
      <c r="U98" s="4"/>
      <c r="V98" s="4"/>
      <c r="W98" s="4"/>
      <c r="X98" s="4"/>
      <c r="Y98" s="4"/>
      <c r="Z98" s="4"/>
      <c r="AB98" s="4"/>
      <c r="AC98" s="4"/>
      <c r="AD98" s="4"/>
      <c r="AE98" s="4"/>
      <c r="AF98" s="4"/>
      <c r="AG98" s="4"/>
      <c r="AH98" s="4"/>
      <c r="AI98" s="4"/>
      <c r="AJ98" s="4"/>
      <c r="AK98" s="4"/>
      <c r="AL98" s="4"/>
      <c r="AM98" s="4">
        <v>9</v>
      </c>
      <c r="AN98" s="4"/>
      <c r="AO98" s="4"/>
      <c r="AR98" s="4"/>
      <c r="AS98" s="4"/>
      <c r="AT98" s="4"/>
      <c r="AU98" s="4"/>
      <c r="AV98" s="4"/>
      <c r="AW98" s="4"/>
      <c r="AX98" s="4">
        <v>6</v>
      </c>
      <c r="AY98" s="4">
        <v>8</v>
      </c>
      <c r="AZ98" s="4"/>
      <c r="BA98" s="4"/>
      <c r="BB98" s="4">
        <v>1</v>
      </c>
      <c r="BC98" s="4">
        <v>100</v>
      </c>
      <c r="BD98" s="4"/>
      <c r="BE98" s="4">
        <v>6</v>
      </c>
      <c r="BF98" s="4"/>
      <c r="BG98" s="4"/>
      <c r="BH98" s="4"/>
      <c r="BI98" s="4"/>
      <c r="BJ98" s="4" t="s">
        <v>364</v>
      </c>
    </row>
    <row r="99" spans="1:206" ht="12.75" x14ac:dyDescent="0.2">
      <c r="A99" s="3">
        <v>43507.481128634259</v>
      </c>
      <c r="B99" s="4" t="s">
        <v>778</v>
      </c>
      <c r="C99" s="4" t="s">
        <v>779</v>
      </c>
      <c r="D99" s="5">
        <v>43501</v>
      </c>
      <c r="E99" s="4" t="s">
        <v>780</v>
      </c>
      <c r="F99" s="4">
        <v>27.470600000000001</v>
      </c>
      <c r="G99" s="4">
        <v>-80.290199999999999</v>
      </c>
      <c r="H99" s="4">
        <v>27.435510000000001</v>
      </c>
      <c r="I99" s="4">
        <v>-80.277600000000007</v>
      </c>
      <c r="J99" s="6">
        <v>0.48402777777664596</v>
      </c>
      <c r="K99" s="4" t="s">
        <v>348</v>
      </c>
      <c r="L99" s="4" t="s">
        <v>349</v>
      </c>
      <c r="M99" s="4" t="s">
        <v>350</v>
      </c>
      <c r="N99" s="4" t="s">
        <v>351</v>
      </c>
      <c r="P99" s="4">
        <v>0</v>
      </c>
      <c r="Q99" s="4"/>
      <c r="R99" s="4"/>
      <c r="S99" s="4"/>
      <c r="T99" s="4"/>
      <c r="U99" s="4"/>
      <c r="V99" s="4"/>
      <c r="W99" s="4"/>
      <c r="X99" s="4"/>
      <c r="Y99" s="4"/>
      <c r="Z99" s="4"/>
      <c r="AA99" s="4"/>
      <c r="AB99" s="4"/>
      <c r="AC99" s="4"/>
      <c r="AD99" s="4"/>
      <c r="AE99" s="4"/>
      <c r="AF99" s="4">
        <v>3</v>
      </c>
      <c r="AG99" s="4">
        <v>14</v>
      </c>
      <c r="AH99" s="4"/>
      <c r="AI99" s="4"/>
      <c r="AJ99" s="4"/>
      <c r="AK99" s="4"/>
      <c r="AL99" s="4"/>
      <c r="AM99" s="4"/>
      <c r="AN99" s="4"/>
      <c r="AO99" s="4"/>
      <c r="AP99" s="4"/>
      <c r="AQ99" s="4"/>
      <c r="AR99" s="4"/>
      <c r="AS99" s="4"/>
      <c r="AT99" s="4"/>
      <c r="AU99" s="4"/>
      <c r="AV99" s="4"/>
      <c r="AW99" s="4"/>
      <c r="AX99" s="4"/>
      <c r="AY99" s="4"/>
      <c r="AZ99" s="4"/>
      <c r="BA99" s="4"/>
      <c r="BB99" s="4"/>
      <c r="BC99" s="4">
        <v>4</v>
      </c>
      <c r="BD99" s="4"/>
      <c r="BE99" s="4">
        <v>13</v>
      </c>
      <c r="BF99" s="4"/>
      <c r="BG99" s="4"/>
      <c r="BH99" s="4"/>
      <c r="BI99" s="4"/>
      <c r="BJ99" s="4" t="s">
        <v>364</v>
      </c>
    </row>
    <row r="100" spans="1:206" ht="12.75" x14ac:dyDescent="0.2">
      <c r="A100" s="3">
        <v>43502.340651018516</v>
      </c>
      <c r="B100" s="4" t="s">
        <v>778</v>
      </c>
      <c r="C100" s="4" t="s">
        <v>779</v>
      </c>
      <c r="D100" s="5">
        <v>43501</v>
      </c>
      <c r="E100" s="4" t="s">
        <v>781</v>
      </c>
      <c r="F100" s="4">
        <v>27.470600000000001</v>
      </c>
      <c r="G100" s="4">
        <v>-80.290199999999999</v>
      </c>
      <c r="H100" s="4">
        <v>27.435510000000001</v>
      </c>
      <c r="I100" s="4">
        <v>-80.277600000000007</v>
      </c>
      <c r="J100" s="6">
        <v>0.48402777777664596</v>
      </c>
      <c r="K100" s="4" t="s">
        <v>348</v>
      </c>
      <c r="L100" s="4" t="s">
        <v>349</v>
      </c>
      <c r="M100" s="4" t="s">
        <v>350</v>
      </c>
      <c r="N100" s="4" t="s">
        <v>351</v>
      </c>
      <c r="P100" s="4">
        <v>0</v>
      </c>
      <c r="Q100" s="4"/>
      <c r="R100" s="4"/>
      <c r="S100" s="4"/>
      <c r="T100" s="4"/>
      <c r="U100" s="4"/>
      <c r="V100" s="4"/>
      <c r="W100" s="4"/>
      <c r="X100" s="4"/>
      <c r="Y100" s="4"/>
      <c r="Z100" s="4"/>
      <c r="AA100" s="4"/>
      <c r="AB100" s="4"/>
      <c r="AC100" s="4"/>
      <c r="AD100" s="4"/>
      <c r="AE100" s="4"/>
      <c r="AF100" s="4">
        <v>3</v>
      </c>
      <c r="AG100" s="4">
        <v>14</v>
      </c>
      <c r="AH100" s="4"/>
      <c r="AI100" s="4"/>
      <c r="AJ100" s="4"/>
      <c r="AK100" s="4"/>
      <c r="AL100" s="4"/>
      <c r="AM100" s="4"/>
      <c r="AN100" s="4"/>
      <c r="AO100" s="4"/>
      <c r="AP100" s="4"/>
      <c r="AQ100" s="4"/>
      <c r="AR100" s="4"/>
      <c r="AS100" s="4"/>
      <c r="AT100" s="4"/>
      <c r="AU100" s="4"/>
      <c r="AV100" s="4"/>
      <c r="AW100" s="4"/>
      <c r="AX100" s="4"/>
      <c r="AY100" s="4"/>
      <c r="AZ100" s="4"/>
      <c r="BA100" s="4"/>
      <c r="BB100" s="4"/>
      <c r="BC100" s="4">
        <v>4</v>
      </c>
      <c r="BD100" s="4"/>
      <c r="BE100" s="4">
        <v>13</v>
      </c>
      <c r="BF100" s="4"/>
      <c r="BG100" s="4"/>
      <c r="BH100" s="4"/>
      <c r="BI100" s="4"/>
      <c r="BJ100" s="4" t="s">
        <v>364</v>
      </c>
    </row>
    <row r="101" spans="1:206" ht="12.75" x14ac:dyDescent="0.2">
      <c r="A101" s="3">
        <v>43502.375324247681</v>
      </c>
      <c r="B101" s="4" t="s">
        <v>470</v>
      </c>
      <c r="C101" s="4" t="s">
        <v>782</v>
      </c>
      <c r="D101" s="5">
        <v>43501</v>
      </c>
      <c r="E101" s="4" t="s">
        <v>472</v>
      </c>
      <c r="J101" s="6">
        <v>0.47916666666424135</v>
      </c>
      <c r="K101" s="4" t="s">
        <v>348</v>
      </c>
      <c r="L101" s="4" t="s">
        <v>358</v>
      </c>
      <c r="M101" s="4" t="s">
        <v>350</v>
      </c>
      <c r="N101" s="4" t="s">
        <v>351</v>
      </c>
      <c r="O101" s="4" t="s">
        <v>783</v>
      </c>
      <c r="P101" s="4">
        <v>0</v>
      </c>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v>235</v>
      </c>
      <c r="BD101" s="4"/>
      <c r="BE101" s="4"/>
      <c r="BF101" s="4"/>
      <c r="BG101" s="4"/>
      <c r="BH101" s="4"/>
      <c r="BI101" s="4"/>
      <c r="BJ101" s="4" t="s">
        <v>353</v>
      </c>
      <c r="BK101" s="4">
        <v>24.545000000000002</v>
      </c>
      <c r="BL101" s="4">
        <v>-81.81</v>
      </c>
      <c r="BM101" s="4">
        <v>0</v>
      </c>
      <c r="BN101" s="4">
        <v>0</v>
      </c>
      <c r="BO101" s="4">
        <v>0</v>
      </c>
      <c r="BP101" s="4">
        <v>0</v>
      </c>
      <c r="BQ101" s="4">
        <v>0</v>
      </c>
      <c r="BR101" s="4">
        <v>0</v>
      </c>
      <c r="BS101" s="4">
        <v>0</v>
      </c>
      <c r="BT101" s="4">
        <v>0</v>
      </c>
      <c r="BU101" s="4">
        <v>0</v>
      </c>
      <c r="BV101" s="4">
        <v>0</v>
      </c>
      <c r="BW101" s="4">
        <v>0</v>
      </c>
      <c r="BX101" s="4">
        <v>0</v>
      </c>
      <c r="BY101" s="4" t="s">
        <v>784</v>
      </c>
      <c r="BZ101" s="4" t="s">
        <v>353</v>
      </c>
      <c r="CA101" s="4">
        <v>24.545000000000002</v>
      </c>
      <c r="CB101" s="4">
        <v>-81.811000000000007</v>
      </c>
      <c r="CC101" s="4">
        <v>0</v>
      </c>
      <c r="CD101" s="4">
        <v>0</v>
      </c>
      <c r="CE101" s="4">
        <v>0</v>
      </c>
      <c r="CF101" s="4">
        <v>0</v>
      </c>
      <c r="CG101" s="4">
        <v>0</v>
      </c>
      <c r="CH101" s="4">
        <v>0</v>
      </c>
      <c r="CI101" s="4">
        <v>0</v>
      </c>
      <c r="CJ101" s="4">
        <v>0</v>
      </c>
      <c r="CK101" s="4">
        <v>0</v>
      </c>
      <c r="CL101" s="4">
        <v>0</v>
      </c>
      <c r="CM101" s="4">
        <v>0</v>
      </c>
      <c r="CN101" s="4">
        <v>0</v>
      </c>
      <c r="CO101" s="4" t="s">
        <v>784</v>
      </c>
      <c r="CP101" s="4" t="s">
        <v>353</v>
      </c>
      <c r="CQ101" s="4">
        <v>24.454000000000001</v>
      </c>
      <c r="CR101" s="4">
        <v>-81.811999999999998</v>
      </c>
      <c r="CS101" s="4">
        <v>0</v>
      </c>
      <c r="CT101" s="4">
        <v>0</v>
      </c>
      <c r="CU101" s="4">
        <v>0</v>
      </c>
      <c r="CV101" s="4">
        <v>0</v>
      </c>
      <c r="CW101" s="4">
        <v>0</v>
      </c>
      <c r="CX101" s="4">
        <v>0</v>
      </c>
      <c r="CY101" s="4">
        <v>0</v>
      </c>
      <c r="CZ101" s="4">
        <v>0</v>
      </c>
      <c r="DA101" s="4">
        <v>0</v>
      </c>
      <c r="DB101" s="4">
        <v>0</v>
      </c>
      <c r="DC101" s="4">
        <v>0</v>
      </c>
      <c r="DD101" s="4">
        <v>0</v>
      </c>
      <c r="DE101" s="4" t="s">
        <v>784</v>
      </c>
      <c r="DF101" s="4" t="s">
        <v>359</v>
      </c>
    </row>
    <row r="102" spans="1:206" ht="12.75" x14ac:dyDescent="0.2">
      <c r="A102" s="3">
        <v>43509.388361782403</v>
      </c>
      <c r="B102" s="4" t="s">
        <v>470</v>
      </c>
      <c r="C102" s="4" t="s">
        <v>782</v>
      </c>
      <c r="D102" s="5">
        <v>43501</v>
      </c>
      <c r="E102" s="4" t="s">
        <v>472</v>
      </c>
      <c r="J102" s="6">
        <v>0.47916666666424135</v>
      </c>
      <c r="K102" s="4" t="s">
        <v>379</v>
      </c>
      <c r="L102" s="4" t="s">
        <v>358</v>
      </c>
      <c r="M102" s="4" t="s">
        <v>350</v>
      </c>
      <c r="N102" s="4" t="s">
        <v>351</v>
      </c>
      <c r="P102" s="4">
        <v>0</v>
      </c>
      <c r="Q102" s="4"/>
      <c r="R102" s="4"/>
      <c r="S102" s="4"/>
      <c r="T102" s="4"/>
      <c r="U102" s="4"/>
      <c r="V102" s="4"/>
      <c r="W102" s="4"/>
      <c r="X102" s="4"/>
      <c r="Y102" s="4"/>
      <c r="Z102" s="4"/>
      <c r="AB102" s="4"/>
      <c r="AC102" s="4"/>
      <c r="AD102" s="4"/>
      <c r="AE102" s="4"/>
      <c r="AF102" s="4"/>
      <c r="AG102" s="4"/>
      <c r="AH102" s="4"/>
      <c r="AI102" s="4"/>
      <c r="AJ102" s="4"/>
      <c r="AK102" s="4"/>
      <c r="AL102" s="4"/>
      <c r="AM102" s="4"/>
      <c r="AN102" s="4"/>
      <c r="AO102" s="4"/>
      <c r="AR102" s="4"/>
      <c r="AS102" s="4"/>
      <c r="AT102" s="4"/>
      <c r="AU102" s="4"/>
      <c r="AV102" s="4"/>
      <c r="AW102" s="4"/>
      <c r="AX102" s="4"/>
      <c r="AY102" s="4"/>
      <c r="AZ102" s="4"/>
      <c r="BA102" s="4"/>
      <c r="BB102" s="4"/>
      <c r="BC102" s="4">
        <v>235</v>
      </c>
      <c r="BD102" s="4"/>
      <c r="BE102" s="4"/>
      <c r="BF102" s="4"/>
      <c r="BG102" s="4"/>
      <c r="BH102" s="4"/>
      <c r="BI102" s="4"/>
      <c r="BJ102" s="4" t="s">
        <v>353</v>
      </c>
      <c r="BL102" s="4">
        <v>-81.81</v>
      </c>
      <c r="BM102" s="4">
        <v>0</v>
      </c>
      <c r="BN102" s="4">
        <v>0</v>
      </c>
      <c r="BO102" s="4">
        <v>0</v>
      </c>
      <c r="BP102" s="4">
        <v>0</v>
      </c>
      <c r="BQ102" s="4">
        <v>0</v>
      </c>
      <c r="BR102" s="4">
        <v>0</v>
      </c>
      <c r="BS102" s="4">
        <v>0</v>
      </c>
      <c r="BT102" s="4">
        <v>0</v>
      </c>
      <c r="BU102" s="4">
        <v>0</v>
      </c>
      <c r="BV102" s="4">
        <v>0</v>
      </c>
      <c r="BW102" s="4">
        <v>0</v>
      </c>
      <c r="BX102" s="4">
        <v>0</v>
      </c>
      <c r="BY102" s="4" t="s">
        <v>785</v>
      </c>
      <c r="BZ102" s="4" t="s">
        <v>353</v>
      </c>
      <c r="CA102" s="4">
        <v>24.545000000000002</v>
      </c>
      <c r="CB102" s="4">
        <v>-81.811000000000007</v>
      </c>
      <c r="CC102" s="4">
        <v>0</v>
      </c>
      <c r="CD102" s="4">
        <v>0</v>
      </c>
      <c r="CE102" s="4">
        <v>0</v>
      </c>
      <c r="CF102" s="4">
        <v>0</v>
      </c>
      <c r="CG102" s="4">
        <v>0</v>
      </c>
      <c r="CH102" s="4">
        <v>0</v>
      </c>
      <c r="CI102" s="4">
        <v>0</v>
      </c>
      <c r="CJ102" s="4">
        <v>0</v>
      </c>
      <c r="CK102" s="4">
        <v>0</v>
      </c>
      <c r="CL102" s="4">
        <v>0</v>
      </c>
      <c r="CM102" s="4">
        <v>0</v>
      </c>
      <c r="CN102" s="4">
        <v>0</v>
      </c>
      <c r="CO102" s="4" t="s">
        <v>786</v>
      </c>
      <c r="CP102" s="4" t="s">
        <v>353</v>
      </c>
      <c r="CQ102" s="4">
        <v>24.545000000000002</v>
      </c>
      <c r="CR102" s="4">
        <v>-81.811999999999998</v>
      </c>
      <c r="CS102" s="4">
        <v>0</v>
      </c>
      <c r="CT102" s="4">
        <v>0</v>
      </c>
      <c r="CU102" s="4">
        <v>0</v>
      </c>
      <c r="CV102" s="4">
        <v>0</v>
      </c>
      <c r="CW102" s="4">
        <v>0</v>
      </c>
      <c r="CX102" s="4">
        <v>0</v>
      </c>
      <c r="CY102" s="4">
        <v>0</v>
      </c>
      <c r="CZ102" s="4">
        <v>0</v>
      </c>
      <c r="DA102" s="4">
        <v>0</v>
      </c>
      <c r="DB102" s="4">
        <v>0</v>
      </c>
      <c r="DC102" s="4">
        <v>0</v>
      </c>
      <c r="DD102" s="4">
        <v>0</v>
      </c>
      <c r="DE102" s="4" t="s">
        <v>787</v>
      </c>
      <c r="DF102" s="4" t="s">
        <v>359</v>
      </c>
    </row>
    <row r="103" spans="1:206" ht="12.75" x14ac:dyDescent="0.2">
      <c r="A103" s="3">
        <v>43503.410853946756</v>
      </c>
      <c r="B103" s="4" t="s">
        <v>788</v>
      </c>
      <c r="C103" s="4" t="s">
        <v>789</v>
      </c>
      <c r="D103" s="5">
        <v>43503</v>
      </c>
      <c r="E103" s="4" t="s">
        <v>790</v>
      </c>
      <c r="J103" s="6">
        <v>0.351388888884685</v>
      </c>
      <c r="K103" s="4" t="s">
        <v>348</v>
      </c>
      <c r="L103" s="4" t="s">
        <v>358</v>
      </c>
      <c r="M103" s="4" t="s">
        <v>350</v>
      </c>
      <c r="N103" s="4" t="s">
        <v>351</v>
      </c>
      <c r="P103" s="4">
        <v>1</v>
      </c>
      <c r="Q103" s="4"/>
      <c r="R103" s="4">
        <v>5</v>
      </c>
      <c r="S103" s="4"/>
      <c r="T103" s="4"/>
      <c r="U103" s="4"/>
      <c r="V103" s="4"/>
      <c r="W103" s="4"/>
      <c r="X103" s="4"/>
      <c r="Y103" s="4"/>
      <c r="Z103" s="4"/>
      <c r="AA103" s="4"/>
      <c r="AB103" s="4">
        <v>3</v>
      </c>
      <c r="AC103" s="4"/>
      <c r="AD103" s="4"/>
      <c r="AE103" s="4"/>
      <c r="AF103" s="4"/>
      <c r="AG103" s="4"/>
      <c r="AH103" s="4"/>
      <c r="AI103" s="4"/>
      <c r="AJ103" s="4"/>
      <c r="AK103" s="4"/>
      <c r="AL103" s="4"/>
      <c r="AM103" s="4">
        <v>2</v>
      </c>
      <c r="AN103" s="4"/>
      <c r="AO103" s="4"/>
      <c r="AP103" s="4"/>
      <c r="AQ103" s="4"/>
      <c r="AR103" s="4">
        <v>60</v>
      </c>
      <c r="AS103" s="4"/>
      <c r="AT103" s="4"/>
      <c r="AU103" s="4">
        <v>8</v>
      </c>
      <c r="AV103" s="4">
        <v>1</v>
      </c>
      <c r="AW103" s="4"/>
      <c r="AX103" s="4">
        <v>12</v>
      </c>
      <c r="AY103" s="4">
        <v>9</v>
      </c>
      <c r="AZ103" s="4"/>
      <c r="BA103" s="4"/>
      <c r="BB103" s="4"/>
      <c r="BC103" s="4">
        <v>65</v>
      </c>
      <c r="BD103" s="4"/>
      <c r="BE103" s="4">
        <v>105</v>
      </c>
      <c r="BF103" s="4">
        <v>23</v>
      </c>
      <c r="BG103" s="4"/>
      <c r="BH103" s="4"/>
      <c r="BI103" s="4"/>
      <c r="BJ103" s="4" t="s">
        <v>353</v>
      </c>
      <c r="BK103" s="4">
        <v>27.875900000000001</v>
      </c>
      <c r="BL103" s="4">
        <v>-82.592922999999999</v>
      </c>
      <c r="BM103" s="4">
        <v>1</v>
      </c>
      <c r="BN103" s="4">
        <v>0</v>
      </c>
      <c r="BO103" s="4">
        <v>60</v>
      </c>
      <c r="BP103" s="4" t="s">
        <v>791</v>
      </c>
      <c r="BQ103" s="4">
        <v>0</v>
      </c>
      <c r="BR103" s="4">
        <v>0</v>
      </c>
      <c r="BS103" s="4">
        <v>0</v>
      </c>
      <c r="BT103" s="4">
        <v>0</v>
      </c>
      <c r="BU103" s="4">
        <v>0</v>
      </c>
      <c r="BV103" s="4">
        <v>0</v>
      </c>
      <c r="BW103" s="4">
        <v>0</v>
      </c>
      <c r="BX103" s="4">
        <v>0</v>
      </c>
      <c r="BZ103" s="4" t="s">
        <v>354</v>
      </c>
    </row>
    <row r="104" spans="1:206" ht="12.75" x14ac:dyDescent="0.2">
      <c r="A104" s="3">
        <v>43515.330496516202</v>
      </c>
      <c r="B104" s="4" t="s">
        <v>511</v>
      </c>
      <c r="C104" s="4" t="s">
        <v>792</v>
      </c>
      <c r="D104" s="5">
        <v>43500</v>
      </c>
      <c r="E104" s="4" t="s">
        <v>793</v>
      </c>
      <c r="J104" s="6">
        <v>0.37083333333430346</v>
      </c>
      <c r="M104" s="4" t="s">
        <v>350</v>
      </c>
      <c r="N104" s="4" t="s">
        <v>351</v>
      </c>
      <c r="P104" s="4">
        <v>0</v>
      </c>
      <c r="Q104" s="4"/>
      <c r="R104" s="4"/>
      <c r="S104" s="4"/>
      <c r="T104" s="4"/>
      <c r="U104" s="4"/>
      <c r="V104" s="4"/>
      <c r="W104" s="4"/>
      <c r="X104" s="4"/>
      <c r="Y104" s="4"/>
      <c r="Z104" s="4"/>
      <c r="AA104" s="4"/>
      <c r="AB104" s="4"/>
      <c r="AC104" s="4"/>
      <c r="AD104" s="4"/>
      <c r="AE104" s="4">
        <v>2</v>
      </c>
      <c r="AF104" s="4"/>
      <c r="AG104" s="4"/>
      <c r="AH104" s="4"/>
      <c r="AI104" s="4"/>
      <c r="AJ104" s="4"/>
      <c r="AK104" s="4"/>
      <c r="AL104" s="4"/>
      <c r="AM104" s="4">
        <v>1</v>
      </c>
      <c r="AN104" s="4"/>
      <c r="AO104" s="4"/>
      <c r="AP104" s="4"/>
      <c r="AQ104" s="4"/>
      <c r="AR104" s="4"/>
      <c r="AS104" s="4"/>
      <c r="AT104" s="4"/>
      <c r="AU104" s="4"/>
      <c r="AV104" s="4"/>
      <c r="AW104" s="4"/>
      <c r="AX104" s="4"/>
      <c r="AY104" s="4"/>
      <c r="AZ104" s="4"/>
      <c r="BA104" s="4"/>
      <c r="BB104" s="4">
        <v>1</v>
      </c>
      <c r="BC104" s="4">
        <v>155</v>
      </c>
      <c r="BD104" s="4"/>
      <c r="BE104" s="4">
        <v>1</v>
      </c>
      <c r="BF104" s="4">
        <v>33</v>
      </c>
      <c r="BG104" s="4">
        <v>14</v>
      </c>
      <c r="BH104" s="4"/>
      <c r="BI104" s="4"/>
      <c r="BJ104" s="4" t="s">
        <v>364</v>
      </c>
    </row>
    <row r="105" spans="1:206" ht="12.75" x14ac:dyDescent="0.2">
      <c r="A105" s="3">
        <v>43500.655401076394</v>
      </c>
      <c r="B105" s="4" t="s">
        <v>660</v>
      </c>
      <c r="C105" s="4" t="s">
        <v>794</v>
      </c>
      <c r="D105" s="5">
        <v>43500</v>
      </c>
      <c r="E105" s="4" t="s">
        <v>795</v>
      </c>
      <c r="H105" s="4">
        <v>26.763508999999999</v>
      </c>
      <c r="I105" s="4">
        <v>-82.265940000000001</v>
      </c>
      <c r="J105" s="6">
        <v>0.44444444444525288</v>
      </c>
      <c r="K105" s="4" t="s">
        <v>348</v>
      </c>
      <c r="L105" s="4" t="s">
        <v>358</v>
      </c>
      <c r="M105" s="4" t="s">
        <v>350</v>
      </c>
      <c r="N105" s="4" t="s">
        <v>351</v>
      </c>
      <c r="O105" s="4" t="s">
        <v>796</v>
      </c>
      <c r="P105" s="4">
        <v>0</v>
      </c>
      <c r="Q105" s="4"/>
      <c r="R105" s="4"/>
      <c r="S105" s="4"/>
      <c r="T105" s="4"/>
      <c r="U105" s="4"/>
      <c r="V105" s="4"/>
      <c r="W105" s="4"/>
      <c r="X105" s="4"/>
      <c r="Y105" s="4"/>
      <c r="Z105" s="4"/>
      <c r="AA105" s="4"/>
      <c r="AB105" s="4"/>
      <c r="AC105" s="4"/>
      <c r="AD105" s="4"/>
      <c r="AE105" s="4"/>
      <c r="AF105" s="4"/>
      <c r="AG105" s="4"/>
      <c r="AH105" s="4"/>
      <c r="AI105" s="4"/>
      <c r="AJ105" s="4"/>
      <c r="AK105" s="4"/>
      <c r="AL105" s="4"/>
      <c r="AM105" s="4">
        <v>27</v>
      </c>
      <c r="AN105" s="4"/>
      <c r="AO105" s="4"/>
      <c r="AP105" s="4"/>
      <c r="AQ105" s="4"/>
      <c r="AR105" s="4"/>
      <c r="AS105" s="4"/>
      <c r="AT105" s="4"/>
      <c r="AU105" s="4"/>
      <c r="AV105" s="4"/>
      <c r="AW105" s="4"/>
      <c r="AX105" s="4">
        <v>1</v>
      </c>
      <c r="AY105" s="4"/>
      <c r="AZ105" s="4"/>
      <c r="BA105" s="4"/>
      <c r="BB105" s="4">
        <v>1</v>
      </c>
      <c r="BC105" s="4">
        <v>11</v>
      </c>
      <c r="BD105" s="4"/>
      <c r="BE105" s="4">
        <v>9</v>
      </c>
      <c r="BF105" s="4">
        <v>5</v>
      </c>
      <c r="BG105" s="4"/>
      <c r="BH105" s="4"/>
      <c r="BI105" s="4"/>
      <c r="BJ105" s="4" t="s">
        <v>353</v>
      </c>
      <c r="BK105" s="4">
        <v>26.74316</v>
      </c>
      <c r="BL105" s="4">
        <v>-82.264439999999993</v>
      </c>
      <c r="BM105" s="4">
        <v>0</v>
      </c>
      <c r="BN105" s="4">
        <v>0</v>
      </c>
      <c r="BO105" s="4">
        <v>0</v>
      </c>
      <c r="BP105" s="4">
        <v>0</v>
      </c>
      <c r="BQ105" s="4">
        <v>0</v>
      </c>
      <c r="BR105" s="4">
        <v>0</v>
      </c>
      <c r="BS105" s="4">
        <v>0</v>
      </c>
      <c r="BT105" s="4">
        <v>0</v>
      </c>
      <c r="BU105" s="4">
        <v>0</v>
      </c>
      <c r="BV105" s="4">
        <v>0</v>
      </c>
      <c r="BW105" s="4">
        <v>0</v>
      </c>
      <c r="BX105" s="4">
        <v>0</v>
      </c>
      <c r="BY105" s="4" t="s">
        <v>797</v>
      </c>
      <c r="BZ105" s="4" t="s">
        <v>364</v>
      </c>
    </row>
    <row r="106" spans="1:206" ht="12.75" x14ac:dyDescent="0.2">
      <c r="A106" s="3">
        <v>43500.650820972223</v>
      </c>
      <c r="B106" s="4" t="s">
        <v>660</v>
      </c>
      <c r="C106" s="4" t="s">
        <v>798</v>
      </c>
      <c r="D106" s="5">
        <v>43500</v>
      </c>
      <c r="E106" s="4" t="s">
        <v>795</v>
      </c>
      <c r="J106" s="6">
        <v>0.42361111110949423</v>
      </c>
      <c r="K106" s="4" t="s">
        <v>348</v>
      </c>
      <c r="L106" s="4" t="s">
        <v>358</v>
      </c>
      <c r="M106" s="4" t="s">
        <v>350</v>
      </c>
      <c r="N106" s="4" t="s">
        <v>351</v>
      </c>
      <c r="P106" s="4">
        <v>0</v>
      </c>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v>67</v>
      </c>
      <c r="AV106" s="4"/>
      <c r="AW106" s="4"/>
      <c r="AX106" s="4">
        <v>2</v>
      </c>
      <c r="AY106" s="4"/>
      <c r="AZ106" s="4"/>
      <c r="BA106" s="4"/>
      <c r="BB106" s="4">
        <v>4</v>
      </c>
      <c r="BC106" s="4">
        <v>4</v>
      </c>
      <c r="BD106" s="4"/>
      <c r="BE106" s="4">
        <v>1</v>
      </c>
      <c r="BF106" s="4">
        <v>7</v>
      </c>
      <c r="BG106" s="4"/>
      <c r="BH106" s="4"/>
      <c r="BI106" s="4"/>
      <c r="BJ106" s="4" t="s">
        <v>364</v>
      </c>
    </row>
    <row r="107" spans="1:206" ht="12.75" x14ac:dyDescent="0.2">
      <c r="A107" s="3">
        <v>43507.715088252313</v>
      </c>
      <c r="B107" s="4" t="s">
        <v>482</v>
      </c>
      <c r="C107" s="9" t="s">
        <v>799</v>
      </c>
      <c r="D107" s="5">
        <v>43504</v>
      </c>
      <c r="E107" s="4" t="s">
        <v>484</v>
      </c>
      <c r="F107" s="4">
        <v>25.929022</v>
      </c>
      <c r="G107" s="4">
        <v>-81.646974999999998</v>
      </c>
      <c r="H107" s="4">
        <v>25.925381999999999</v>
      </c>
      <c r="I107" s="4">
        <v>-81.642747999999997</v>
      </c>
      <c r="J107" s="6">
        <v>0.38541666666424135</v>
      </c>
      <c r="K107" s="4" t="s">
        <v>348</v>
      </c>
      <c r="L107" s="4" t="s">
        <v>358</v>
      </c>
      <c r="M107" s="4" t="s">
        <v>350</v>
      </c>
      <c r="N107" s="4" t="s">
        <v>351</v>
      </c>
      <c r="AG107" s="4">
        <v>1</v>
      </c>
      <c r="AJ107" s="4">
        <v>1</v>
      </c>
      <c r="AV107" s="4">
        <v>7</v>
      </c>
      <c r="BB107" s="4">
        <v>2</v>
      </c>
      <c r="BC107" s="4">
        <v>8</v>
      </c>
      <c r="BJ107" s="4" t="s">
        <v>364</v>
      </c>
    </row>
    <row r="108" spans="1:206" ht="12.75" x14ac:dyDescent="0.2">
      <c r="A108" s="3">
        <v>43503.572106354171</v>
      </c>
      <c r="B108" s="4" t="s">
        <v>376</v>
      </c>
      <c r="C108" s="4" t="str">
        <f>O108</f>
        <v>Goose Island</v>
      </c>
      <c r="D108" s="5">
        <v>43501</v>
      </c>
      <c r="E108" s="4" t="s">
        <v>800</v>
      </c>
      <c r="F108" s="4">
        <v>29.694289999999999</v>
      </c>
      <c r="G108" s="4">
        <v>-84.788380000000004</v>
      </c>
      <c r="H108" s="4">
        <v>29.703119999999998</v>
      </c>
      <c r="I108" s="4">
        <v>-84.800650000000005</v>
      </c>
      <c r="J108" s="6">
        <v>0.67291666666278616</v>
      </c>
      <c r="K108" s="4" t="s">
        <v>379</v>
      </c>
      <c r="L108" s="4" t="s">
        <v>358</v>
      </c>
      <c r="M108" s="4" t="s">
        <v>350</v>
      </c>
      <c r="N108" s="4" t="s">
        <v>351</v>
      </c>
      <c r="O108" s="4" t="s">
        <v>801</v>
      </c>
      <c r="R108" s="4">
        <v>8</v>
      </c>
      <c r="S108" s="4">
        <v>19</v>
      </c>
      <c r="T108" s="4">
        <v>2</v>
      </c>
      <c r="U108" s="4"/>
      <c r="V108" s="4">
        <v>1</v>
      </c>
      <c r="W108" s="4"/>
      <c r="X108" s="4"/>
      <c r="Y108" s="4"/>
      <c r="Z108" s="4"/>
      <c r="AA108" s="4"/>
      <c r="AB108" s="4"/>
      <c r="AC108" s="4"/>
      <c r="AD108" s="4"/>
      <c r="AE108" s="4">
        <v>38</v>
      </c>
      <c r="AF108" s="4">
        <v>7</v>
      </c>
      <c r="AG108" s="4">
        <v>18</v>
      </c>
      <c r="AH108" s="4"/>
      <c r="AI108" s="4"/>
      <c r="AJ108" s="4"/>
      <c r="AK108" s="4"/>
      <c r="AL108" s="4"/>
      <c r="AM108" s="4">
        <v>11</v>
      </c>
      <c r="AN108" s="4"/>
      <c r="AO108" s="4"/>
      <c r="AP108" s="4"/>
      <c r="AQ108" s="4"/>
      <c r="AR108" s="4"/>
      <c r="AS108" s="4"/>
      <c r="AT108" s="4"/>
      <c r="AU108" s="4"/>
      <c r="AV108" s="4"/>
      <c r="AW108" s="4"/>
      <c r="AX108" s="4"/>
      <c r="AY108" s="4">
        <v>4</v>
      </c>
      <c r="AZ108" s="4"/>
      <c r="BA108" s="4"/>
      <c r="BB108" s="4"/>
      <c r="BC108" s="4"/>
      <c r="BD108" s="4"/>
      <c r="BE108" s="4"/>
      <c r="BF108" s="4"/>
      <c r="BG108" s="4"/>
      <c r="BH108" s="4"/>
      <c r="BI108" s="4"/>
      <c r="BJ108" s="4" t="s">
        <v>353</v>
      </c>
      <c r="BK108" s="4">
        <v>29.699780000000001</v>
      </c>
      <c r="BL108" s="4">
        <v>-84.791730000000001</v>
      </c>
      <c r="BM108" s="4">
        <v>2</v>
      </c>
      <c r="BN108" s="4" t="s">
        <v>802</v>
      </c>
      <c r="BY108" s="4" t="s">
        <v>803</v>
      </c>
      <c r="BZ108" s="4" t="s">
        <v>353</v>
      </c>
      <c r="CA108" s="4">
        <v>29.702100000000002</v>
      </c>
      <c r="CB108" s="4">
        <v>-84.794110000000003</v>
      </c>
      <c r="CC108" s="4">
        <v>2</v>
      </c>
      <c r="CD108" s="4" t="s">
        <v>804</v>
      </c>
      <c r="CO108" s="4" t="s">
        <v>805</v>
      </c>
      <c r="CP108" s="4" t="s">
        <v>353</v>
      </c>
      <c r="CQ108" s="4">
        <v>29.7027</v>
      </c>
      <c r="CR108" s="4">
        <v>-84.80059</v>
      </c>
      <c r="CS108" s="4">
        <v>2</v>
      </c>
      <c r="CT108" s="4" t="s">
        <v>806</v>
      </c>
      <c r="DF108" s="4" t="s">
        <v>353</v>
      </c>
      <c r="DG108" s="4">
        <v>29.694890000000001</v>
      </c>
      <c r="DH108" s="4">
        <v>-84.787909999999997</v>
      </c>
      <c r="DI108" s="4">
        <v>5</v>
      </c>
      <c r="DJ108" s="4" t="s">
        <v>807</v>
      </c>
      <c r="DV108" s="4" t="s">
        <v>359</v>
      </c>
    </row>
    <row r="109" spans="1:206" ht="12.75" x14ac:dyDescent="0.2">
      <c r="A109" s="3">
        <v>43504.530945844905</v>
      </c>
      <c r="B109" s="4" t="s">
        <v>456</v>
      </c>
      <c r="C109" s="4" t="s">
        <v>808</v>
      </c>
      <c r="D109" s="5">
        <v>43498</v>
      </c>
      <c r="E109" s="4" t="s">
        <v>458</v>
      </c>
      <c r="J109" s="6">
        <v>0.31736111111240461</v>
      </c>
      <c r="K109" s="4" t="s">
        <v>363</v>
      </c>
      <c r="L109" s="4" t="s">
        <v>349</v>
      </c>
      <c r="M109" s="4" t="s">
        <v>350</v>
      </c>
      <c r="N109" s="4" t="s">
        <v>351</v>
      </c>
      <c r="P109" s="4">
        <v>0</v>
      </c>
      <c r="Q109" s="4"/>
      <c r="R109" s="4"/>
      <c r="S109" s="4"/>
      <c r="T109" s="4"/>
      <c r="U109" s="4"/>
      <c r="W109" s="4"/>
      <c r="X109" s="4"/>
      <c r="Y109" s="4"/>
      <c r="Z109" s="4"/>
      <c r="AA109" s="4"/>
      <c r="AB109" s="4"/>
      <c r="AC109" s="4"/>
      <c r="AD109" s="4"/>
      <c r="AE109" s="4"/>
      <c r="AF109" s="4">
        <v>22</v>
      </c>
      <c r="AG109" s="4"/>
      <c r="AH109" s="4"/>
      <c r="AI109" s="4">
        <v>1</v>
      </c>
      <c r="AJ109" s="4"/>
      <c r="AK109" s="4"/>
      <c r="AL109" s="4"/>
      <c r="AM109" s="4"/>
      <c r="AN109" s="4"/>
      <c r="AO109" s="4"/>
      <c r="AP109" s="4"/>
      <c r="AQ109" s="4"/>
      <c r="AR109" s="4"/>
      <c r="AS109" s="4"/>
      <c r="AT109" s="4"/>
      <c r="AU109" s="4"/>
      <c r="AV109" s="4"/>
      <c r="AW109" s="4"/>
      <c r="AX109" s="4"/>
      <c r="AY109" s="4">
        <v>10</v>
      </c>
      <c r="AZ109" s="4"/>
      <c r="BA109" s="4"/>
      <c r="BB109" s="4"/>
      <c r="BC109" s="4"/>
      <c r="BD109" s="4"/>
      <c r="BE109" s="4">
        <v>2</v>
      </c>
      <c r="BF109" s="4">
        <v>1</v>
      </c>
      <c r="BG109" s="4"/>
      <c r="BH109" s="4"/>
      <c r="BI109" s="4"/>
      <c r="BJ109" s="4" t="s">
        <v>353</v>
      </c>
      <c r="BK109" s="4">
        <v>30.329910000000002</v>
      </c>
      <c r="BL109" s="4">
        <v>-86.174059999999997</v>
      </c>
      <c r="BM109" s="4">
        <v>0</v>
      </c>
      <c r="BN109" s="4">
        <v>0</v>
      </c>
      <c r="BO109" s="4">
        <v>0</v>
      </c>
      <c r="BP109" s="4">
        <v>0</v>
      </c>
      <c r="BQ109" s="4">
        <v>0</v>
      </c>
      <c r="BR109" s="4">
        <v>0</v>
      </c>
      <c r="BS109" s="4">
        <v>0</v>
      </c>
      <c r="BT109" s="4">
        <v>0</v>
      </c>
      <c r="BU109" s="4">
        <v>1</v>
      </c>
      <c r="BV109" s="4" t="s">
        <v>809</v>
      </c>
      <c r="BW109" s="4">
        <v>0</v>
      </c>
      <c r="BX109" s="4">
        <v>0</v>
      </c>
      <c r="BY109" s="4">
        <v>0</v>
      </c>
      <c r="BZ109" s="4" t="s">
        <v>354</v>
      </c>
    </row>
    <row r="110" spans="1:206" ht="12.75" x14ac:dyDescent="0.2">
      <c r="A110" s="3">
        <v>43505.219487048613</v>
      </c>
      <c r="B110" s="4" t="s">
        <v>376</v>
      </c>
      <c r="C110" s="4" t="s">
        <v>810</v>
      </c>
      <c r="D110" s="5">
        <v>43497</v>
      </c>
      <c r="E110" s="4" t="s">
        <v>811</v>
      </c>
      <c r="J110" s="6">
        <v>0.38055555555911269</v>
      </c>
      <c r="K110" s="4" t="s">
        <v>348</v>
      </c>
      <c r="L110" s="4" t="s">
        <v>390</v>
      </c>
      <c r="M110" s="4" t="s">
        <v>350</v>
      </c>
      <c r="N110" s="4" t="s">
        <v>351</v>
      </c>
      <c r="P110" s="4">
        <v>0</v>
      </c>
      <c r="Q110" s="4"/>
      <c r="R110" s="4">
        <v>9</v>
      </c>
      <c r="S110" s="4"/>
      <c r="T110" s="4"/>
      <c r="U110" s="4"/>
      <c r="V110" s="4"/>
      <c r="W110" s="4"/>
      <c r="X110" s="4"/>
      <c r="Y110" s="4"/>
      <c r="Z110" s="4"/>
      <c r="AA110" s="4"/>
      <c r="AB110" s="4"/>
      <c r="AC110" s="4">
        <v>1</v>
      </c>
      <c r="AD110" s="4"/>
      <c r="AE110" s="4">
        <v>3</v>
      </c>
      <c r="AF110" s="4">
        <v>59</v>
      </c>
      <c r="AG110" s="4"/>
      <c r="AH110" s="4"/>
      <c r="AI110" s="4">
        <v>28</v>
      </c>
      <c r="AJ110" s="4"/>
      <c r="AK110" s="4"/>
      <c r="AL110" s="4"/>
      <c r="AM110" s="4">
        <v>7</v>
      </c>
      <c r="AN110" s="4"/>
      <c r="AO110" s="4"/>
      <c r="AP110" s="4"/>
      <c r="AQ110" s="4"/>
      <c r="AR110" s="4">
        <v>32</v>
      </c>
      <c r="AS110" s="4"/>
      <c r="AT110" s="4" t="s">
        <v>812</v>
      </c>
      <c r="AU110" s="4">
        <v>81</v>
      </c>
      <c r="AV110" s="4"/>
      <c r="AW110" s="4"/>
      <c r="AX110" s="4">
        <v>1</v>
      </c>
      <c r="AY110" s="4">
        <v>47</v>
      </c>
      <c r="AZ110" s="4"/>
      <c r="BA110" s="4"/>
      <c r="BB110" s="4">
        <v>1</v>
      </c>
      <c r="BC110" s="4">
        <v>9</v>
      </c>
      <c r="BD110" s="4"/>
      <c r="BE110" s="4">
        <v>3</v>
      </c>
      <c r="BF110" s="4">
        <v>14</v>
      </c>
      <c r="BG110" s="4"/>
      <c r="BH110" s="4"/>
      <c r="BI110" s="4"/>
      <c r="BJ110" s="4" t="s">
        <v>353</v>
      </c>
      <c r="BK110" s="4">
        <v>30.329429999999999</v>
      </c>
      <c r="BL110" s="4">
        <v>-87.314959999999999</v>
      </c>
      <c r="BP110" s="4">
        <v>32</v>
      </c>
      <c r="BY110" s="4" t="s">
        <v>813</v>
      </c>
      <c r="BZ110" s="4" t="s">
        <v>353</v>
      </c>
      <c r="CA110" s="4">
        <v>30.322240000000001</v>
      </c>
      <c r="CB110" s="4">
        <v>-87.315780000000004</v>
      </c>
      <c r="CG110" s="4">
        <v>1</v>
      </c>
      <c r="CH110" s="4" t="s">
        <v>814</v>
      </c>
      <c r="CK110" s="4">
        <v>13</v>
      </c>
      <c r="CL110" s="4" t="s">
        <v>815</v>
      </c>
      <c r="CP110" s="4" t="s">
        <v>353</v>
      </c>
      <c r="CQ110" s="4">
        <v>30.311990000000002</v>
      </c>
      <c r="CR110" s="4">
        <v>-87.356030000000004</v>
      </c>
      <c r="DA110" s="4">
        <v>1</v>
      </c>
      <c r="DB110" s="4" t="s">
        <v>380</v>
      </c>
      <c r="DE110" s="4" t="s">
        <v>816</v>
      </c>
      <c r="DF110" s="4" t="s">
        <v>353</v>
      </c>
      <c r="DG110" s="4">
        <v>30.310739999999999</v>
      </c>
      <c r="DH110" s="4">
        <v>-87.362049999999996</v>
      </c>
      <c r="DQ110" s="4">
        <v>2</v>
      </c>
      <c r="DR110" s="4" t="s">
        <v>817</v>
      </c>
      <c r="DU110" s="4" t="s">
        <v>818</v>
      </c>
      <c r="DV110" s="4" t="s">
        <v>353</v>
      </c>
      <c r="DW110" s="4">
        <v>30.309560000000001</v>
      </c>
      <c r="DX110" s="4">
        <v>-87.367689999999996</v>
      </c>
      <c r="EF110" s="4">
        <v>1</v>
      </c>
      <c r="EG110" s="4" t="s">
        <v>380</v>
      </c>
      <c r="EL110" s="4" t="s">
        <v>353</v>
      </c>
      <c r="EM110" s="4">
        <v>30.30799</v>
      </c>
      <c r="EN110" s="4">
        <v>-87.375360000000001</v>
      </c>
      <c r="EW110" s="4">
        <v>2</v>
      </c>
      <c r="EX110" s="4" t="s">
        <v>380</v>
      </c>
      <c r="FA110" s="4" t="s">
        <v>819</v>
      </c>
      <c r="FB110" s="4" t="s">
        <v>353</v>
      </c>
      <c r="FC110" s="4">
        <v>30.306840000000001</v>
      </c>
      <c r="FD110" s="4">
        <v>-87.381129999999999</v>
      </c>
      <c r="FM110" s="4">
        <v>2</v>
      </c>
      <c r="FN110" s="4" t="s">
        <v>820</v>
      </c>
      <c r="FQ110" s="4" t="s">
        <v>821</v>
      </c>
      <c r="FR110" s="4" t="s">
        <v>353</v>
      </c>
      <c r="FS110" s="4">
        <v>30.30583</v>
      </c>
      <c r="FT110" s="4">
        <v>-87.385210000000001</v>
      </c>
      <c r="GC110" s="4">
        <v>2</v>
      </c>
      <c r="GD110" s="4" t="s">
        <v>822</v>
      </c>
      <c r="GH110" s="4" t="s">
        <v>353</v>
      </c>
      <c r="GI110" s="4">
        <v>30.303519999999999</v>
      </c>
      <c r="GJ110" s="4">
        <v>-87.394210000000001</v>
      </c>
      <c r="GS110" s="4">
        <v>5</v>
      </c>
      <c r="GT110" s="4" t="s">
        <v>823</v>
      </c>
      <c r="GX110" s="4" t="s">
        <v>359</v>
      </c>
    </row>
    <row r="111" spans="1:206" ht="12.75" x14ac:dyDescent="0.2">
      <c r="A111" s="3">
        <v>43508.575147627314</v>
      </c>
      <c r="B111" s="4" t="s">
        <v>460</v>
      </c>
      <c r="C111" s="4" t="s">
        <v>824</v>
      </c>
      <c r="D111" s="5">
        <v>43497</v>
      </c>
      <c r="E111" s="4" t="s">
        <v>825</v>
      </c>
      <c r="J111" s="6">
        <v>0.37708333333284827</v>
      </c>
      <c r="K111" s="4" t="s">
        <v>363</v>
      </c>
      <c r="L111" s="4" t="s">
        <v>390</v>
      </c>
      <c r="M111" s="4" t="s">
        <v>350</v>
      </c>
      <c r="N111" s="4" t="s">
        <v>351</v>
      </c>
      <c r="O111" s="4" t="s">
        <v>826</v>
      </c>
      <c r="P111" s="4">
        <v>0</v>
      </c>
      <c r="Q111" s="4"/>
      <c r="R111" s="4"/>
      <c r="S111" s="4"/>
      <c r="T111" s="4"/>
      <c r="U111" s="4"/>
      <c r="V111" s="4"/>
      <c r="W111" s="4"/>
      <c r="X111" s="4"/>
      <c r="Y111" s="4"/>
      <c r="Z111" s="4"/>
      <c r="AA111" s="4"/>
      <c r="AB111" s="4"/>
      <c r="AC111" s="4"/>
      <c r="AD111" s="4"/>
      <c r="AE111" s="4">
        <v>3</v>
      </c>
      <c r="AF111" s="4">
        <v>172</v>
      </c>
      <c r="AG111" s="4"/>
      <c r="AH111" s="4"/>
      <c r="AI111" s="4">
        <v>8</v>
      </c>
      <c r="AJ111" s="4"/>
      <c r="AK111" s="4"/>
      <c r="AL111" s="4"/>
      <c r="AM111" s="4"/>
      <c r="AN111" s="4"/>
      <c r="AO111" s="4"/>
      <c r="AP111" s="4"/>
      <c r="AQ111" s="4"/>
      <c r="AR111" s="4"/>
      <c r="AS111" s="4">
        <v>19</v>
      </c>
      <c r="AT111" s="4"/>
      <c r="AU111" s="4">
        <v>18</v>
      </c>
      <c r="AV111" s="4"/>
      <c r="AW111" s="4"/>
      <c r="AX111" s="4"/>
      <c r="AY111" s="4">
        <v>21</v>
      </c>
      <c r="AZ111" s="4"/>
      <c r="BA111" s="4"/>
      <c r="BB111" s="4">
        <v>2</v>
      </c>
      <c r="BC111" s="4"/>
      <c r="BD111" s="4"/>
      <c r="BE111" s="4">
        <v>52</v>
      </c>
      <c r="BF111" s="4">
        <v>1</v>
      </c>
      <c r="BG111" s="4"/>
      <c r="BH111" s="4"/>
      <c r="BI111" s="4"/>
      <c r="BJ111" s="4" t="s">
        <v>353</v>
      </c>
      <c r="BK111" s="4">
        <v>30.36797</v>
      </c>
      <c r="BL111" s="4">
        <v>-86.937290000000004</v>
      </c>
      <c r="BM111" s="4">
        <v>0</v>
      </c>
      <c r="BO111" s="4">
        <v>0</v>
      </c>
      <c r="BQ111" s="4">
        <v>0</v>
      </c>
      <c r="BS111" s="4">
        <v>0</v>
      </c>
      <c r="BU111" s="4">
        <v>6</v>
      </c>
      <c r="BV111" s="4" t="s">
        <v>827</v>
      </c>
      <c r="BW111" s="4">
        <v>0</v>
      </c>
      <c r="BY111" s="4" t="s">
        <v>828</v>
      </c>
      <c r="BZ111" s="4" t="s">
        <v>353</v>
      </c>
      <c r="CA111" s="4">
        <v>30.356750000000002</v>
      </c>
      <c r="CB111" s="4">
        <v>-87.005459999999999</v>
      </c>
      <c r="CC111" s="4">
        <v>0</v>
      </c>
      <c r="CE111" s="4">
        <v>0</v>
      </c>
      <c r="CG111" s="4">
        <v>0</v>
      </c>
      <c r="CI111" s="4">
        <v>0</v>
      </c>
      <c r="CK111" s="4">
        <v>2</v>
      </c>
      <c r="CL111" s="4" t="s">
        <v>589</v>
      </c>
      <c r="CM111" s="4">
        <v>0</v>
      </c>
      <c r="CO111" s="4" t="s">
        <v>828</v>
      </c>
      <c r="CP111" s="4" t="s">
        <v>359</v>
      </c>
      <c r="DF111" s="4" t="s">
        <v>359</v>
      </c>
    </row>
    <row r="112" spans="1:206" ht="12.75" x14ac:dyDescent="0.2">
      <c r="A112" s="3">
        <v>43508.424490983802</v>
      </c>
      <c r="B112" s="4" t="s">
        <v>538</v>
      </c>
      <c r="C112" s="4" t="s">
        <v>824</v>
      </c>
      <c r="D112" s="5">
        <v>43497</v>
      </c>
      <c r="E112" s="4" t="s">
        <v>540</v>
      </c>
      <c r="J112" s="6">
        <v>0.32569444444379769</v>
      </c>
      <c r="L112" s="4" t="s">
        <v>349</v>
      </c>
      <c r="M112" s="4" t="s">
        <v>350</v>
      </c>
      <c r="N112" s="4" t="s">
        <v>351</v>
      </c>
      <c r="O112" s="4" t="s">
        <v>829</v>
      </c>
      <c r="P112" s="4">
        <v>0</v>
      </c>
      <c r="Q112" s="4"/>
      <c r="R112" s="4"/>
      <c r="S112" s="4"/>
      <c r="T112" s="4">
        <v>1</v>
      </c>
      <c r="U112" s="4">
        <v>3</v>
      </c>
      <c r="V112" s="4"/>
      <c r="W112" s="4"/>
      <c r="X112" s="4"/>
      <c r="Y112" s="4"/>
      <c r="Z112" s="4"/>
      <c r="AA112" s="4"/>
      <c r="AB112" s="4"/>
      <c r="AC112" s="4"/>
      <c r="AD112" s="4"/>
      <c r="AE112" s="4"/>
      <c r="AF112" s="4">
        <v>25</v>
      </c>
      <c r="AG112" s="4"/>
      <c r="AH112" s="4"/>
      <c r="AI112" s="4"/>
      <c r="AJ112" s="4"/>
      <c r="AK112" s="4"/>
      <c r="AL112" s="4"/>
      <c r="AM112" s="4"/>
      <c r="AN112" s="4"/>
      <c r="AO112" s="4"/>
      <c r="AP112" s="4"/>
      <c r="AQ112" s="4"/>
      <c r="AR112" s="4"/>
      <c r="AS112" s="4">
        <v>13</v>
      </c>
      <c r="AT112" s="4"/>
      <c r="AU112" s="4">
        <v>2</v>
      </c>
      <c r="AV112" s="4"/>
      <c r="AW112" s="4"/>
      <c r="AX112" s="4"/>
      <c r="AY112" s="4">
        <v>1</v>
      </c>
      <c r="AZ112" s="4"/>
      <c r="BA112" s="4"/>
      <c r="BB112" s="4"/>
      <c r="BC112" s="4"/>
      <c r="BD112" s="4"/>
      <c r="BE112" s="4">
        <v>5</v>
      </c>
      <c r="BF112" s="4"/>
      <c r="BG112" s="4"/>
      <c r="BH112" s="4"/>
      <c r="BI112" s="4"/>
      <c r="BJ112" s="4" t="s">
        <v>364</v>
      </c>
    </row>
    <row r="113" spans="1:372" ht="12.75" x14ac:dyDescent="0.2">
      <c r="A113" s="3">
        <v>43504.547718761576</v>
      </c>
      <c r="B113" s="4" t="s">
        <v>456</v>
      </c>
      <c r="C113" s="4" t="s">
        <v>830</v>
      </c>
      <c r="D113" s="5">
        <v>43497</v>
      </c>
      <c r="E113" s="4" t="s">
        <v>831</v>
      </c>
      <c r="J113" s="6">
        <v>0.36180555555620231</v>
      </c>
      <c r="K113" s="4" t="s">
        <v>363</v>
      </c>
      <c r="L113" s="4" t="s">
        <v>349</v>
      </c>
      <c r="M113" s="4" t="s">
        <v>350</v>
      </c>
      <c r="N113" s="4" t="s">
        <v>351</v>
      </c>
      <c r="P113" s="4">
        <v>0</v>
      </c>
      <c r="Q113" s="4"/>
      <c r="R113" s="4">
        <v>4</v>
      </c>
      <c r="S113" s="4"/>
      <c r="T113" s="4"/>
      <c r="U113" s="4"/>
      <c r="V113" s="4"/>
      <c r="W113" s="4"/>
      <c r="X113" s="4"/>
      <c r="Y113" s="4"/>
      <c r="Z113" s="4"/>
      <c r="AA113" s="4"/>
      <c r="AB113" s="4"/>
      <c r="AC113" s="4"/>
      <c r="AD113" s="4"/>
      <c r="AE113" s="4">
        <v>25</v>
      </c>
      <c r="AF113" s="4">
        <v>150</v>
      </c>
      <c r="AG113" s="4"/>
      <c r="AH113" s="4"/>
      <c r="AI113" s="4">
        <v>10</v>
      </c>
      <c r="AJ113" s="4"/>
      <c r="AK113" s="4"/>
      <c r="AL113" s="4"/>
      <c r="AM113" s="4">
        <v>48</v>
      </c>
      <c r="AN113" s="4"/>
      <c r="AO113" s="4"/>
      <c r="AP113" s="4"/>
      <c r="AQ113" s="4"/>
      <c r="AR113" s="4">
        <v>1</v>
      </c>
      <c r="AS113" s="4">
        <v>169</v>
      </c>
      <c r="AT113" s="4"/>
      <c r="AU113" s="4">
        <v>68</v>
      </c>
      <c r="AV113" s="4"/>
      <c r="AW113" s="4"/>
      <c r="AX113" s="4"/>
      <c r="AY113" s="4">
        <v>22</v>
      </c>
      <c r="AZ113" s="4"/>
      <c r="BA113" s="4"/>
      <c r="BB113" s="4"/>
      <c r="BC113" s="4"/>
      <c r="BD113" s="4"/>
      <c r="BE113" s="4">
        <v>7</v>
      </c>
      <c r="BF113" s="4">
        <v>7</v>
      </c>
      <c r="BG113" s="4"/>
      <c r="BH113" s="4"/>
      <c r="BI113" s="4"/>
      <c r="BJ113" s="4" t="s">
        <v>353</v>
      </c>
      <c r="BK113" s="4">
        <v>30.321359999999999</v>
      </c>
      <c r="BL113" s="4">
        <v>-87.211119999999994</v>
      </c>
      <c r="BM113" s="4">
        <v>0</v>
      </c>
      <c r="BN113" s="4">
        <v>0</v>
      </c>
      <c r="BO113" s="4">
        <v>0</v>
      </c>
      <c r="BP113" s="4">
        <v>0</v>
      </c>
      <c r="BQ113" s="4">
        <v>0</v>
      </c>
      <c r="BR113" s="4">
        <v>0</v>
      </c>
      <c r="BS113" s="4">
        <v>0</v>
      </c>
      <c r="BT113" s="4">
        <v>0</v>
      </c>
      <c r="BU113" s="4">
        <v>2</v>
      </c>
      <c r="BV113" s="4">
        <v>0</v>
      </c>
      <c r="BW113" s="4">
        <v>0</v>
      </c>
      <c r="BX113" s="4">
        <v>0</v>
      </c>
      <c r="BY113" s="4" t="s">
        <v>832</v>
      </c>
      <c r="BZ113" s="4" t="s">
        <v>353</v>
      </c>
      <c r="CA113" s="4">
        <v>30.323419999999999</v>
      </c>
      <c r="CB113" s="4">
        <v>-87.19614</v>
      </c>
      <c r="CC113" s="4">
        <v>0</v>
      </c>
      <c r="CD113" s="4">
        <v>0</v>
      </c>
      <c r="CE113" s="4">
        <v>0</v>
      </c>
      <c r="CF113" s="4">
        <v>0</v>
      </c>
      <c r="CG113" s="4">
        <v>0</v>
      </c>
      <c r="CH113" s="4">
        <v>0</v>
      </c>
      <c r="CI113" s="4">
        <v>0</v>
      </c>
      <c r="CJ113" s="4">
        <v>0</v>
      </c>
      <c r="CK113" s="4">
        <v>2</v>
      </c>
      <c r="CL113" s="4" t="s">
        <v>833</v>
      </c>
      <c r="CM113" s="4">
        <v>0</v>
      </c>
      <c r="CN113" s="4">
        <v>0</v>
      </c>
      <c r="CO113" s="4">
        <v>0</v>
      </c>
      <c r="CP113" s="4" t="s">
        <v>353</v>
      </c>
      <c r="CQ113" s="4">
        <v>30.32404</v>
      </c>
      <c r="CR113" s="4">
        <v>-87.189030000000002</v>
      </c>
      <c r="CS113" s="4">
        <v>0</v>
      </c>
      <c r="CT113" s="4">
        <v>0</v>
      </c>
      <c r="CU113" s="4">
        <v>0</v>
      </c>
      <c r="CV113" s="4">
        <v>0</v>
      </c>
      <c r="CW113" s="4">
        <v>0</v>
      </c>
      <c r="CX113" s="4">
        <v>0</v>
      </c>
      <c r="CY113" s="4">
        <v>0</v>
      </c>
      <c r="CZ113" s="4">
        <v>0</v>
      </c>
      <c r="DA113" s="4">
        <v>1</v>
      </c>
      <c r="DB113" s="4">
        <v>0</v>
      </c>
      <c r="DC113" s="4">
        <v>0</v>
      </c>
      <c r="DD113" s="4">
        <v>0</v>
      </c>
      <c r="DE113" s="4">
        <v>0</v>
      </c>
      <c r="DF113" s="4" t="s">
        <v>353</v>
      </c>
      <c r="DG113" s="4">
        <v>30.317540000000001</v>
      </c>
      <c r="DH113" s="4">
        <v>-87.275959999999998</v>
      </c>
      <c r="DI113" s="4">
        <v>0</v>
      </c>
      <c r="DJ113" s="4">
        <v>0</v>
      </c>
      <c r="DK113" s="4">
        <v>0</v>
      </c>
      <c r="DL113" s="4">
        <v>0</v>
      </c>
      <c r="DM113" s="4">
        <v>0</v>
      </c>
      <c r="DN113" s="4">
        <v>0</v>
      </c>
      <c r="DO113" s="4">
        <v>0</v>
      </c>
      <c r="DP113" s="4">
        <v>0</v>
      </c>
      <c r="DQ113" s="4">
        <v>2</v>
      </c>
      <c r="DR113" s="4">
        <v>0</v>
      </c>
      <c r="DS113" s="4">
        <v>0</v>
      </c>
      <c r="DT113" s="4">
        <v>0</v>
      </c>
      <c r="DU113" s="4">
        <v>0</v>
      </c>
      <c r="DV113" s="4" t="s">
        <v>353</v>
      </c>
      <c r="DW113" s="4">
        <v>30.318619999999999</v>
      </c>
      <c r="DX113" s="4">
        <v>-87.280379999999994</v>
      </c>
      <c r="DY113" s="4">
        <v>0</v>
      </c>
      <c r="DZ113" s="4">
        <v>0</v>
      </c>
      <c r="EA113" s="4">
        <v>0</v>
      </c>
      <c r="EB113" s="4">
        <v>0</v>
      </c>
      <c r="EC113" s="4">
        <v>0</v>
      </c>
      <c r="ED113" s="4">
        <v>0</v>
      </c>
      <c r="EE113" s="4">
        <v>0</v>
      </c>
      <c r="EF113" s="4">
        <v>3</v>
      </c>
      <c r="EG113" s="4">
        <v>0</v>
      </c>
      <c r="EH113" s="4" t="s">
        <v>834</v>
      </c>
      <c r="EI113" s="4">
        <v>0</v>
      </c>
      <c r="EJ113" s="4">
        <v>0</v>
      </c>
      <c r="EK113" s="4">
        <v>0</v>
      </c>
      <c r="EL113" s="4" t="s">
        <v>353</v>
      </c>
      <c r="EM113" s="4">
        <v>30.329280000000001</v>
      </c>
      <c r="EN113" s="4">
        <v>-87.300960000000003</v>
      </c>
      <c r="EO113" s="4">
        <v>0</v>
      </c>
      <c r="EP113" s="4">
        <v>0</v>
      </c>
      <c r="EQ113" s="4">
        <v>0</v>
      </c>
      <c r="ER113" s="4">
        <v>0</v>
      </c>
      <c r="ES113" s="4">
        <v>0</v>
      </c>
      <c r="ET113" s="4">
        <v>0</v>
      </c>
      <c r="EU113" s="4">
        <v>0</v>
      </c>
      <c r="EV113" s="4">
        <v>0</v>
      </c>
      <c r="EW113" s="4">
        <v>0</v>
      </c>
      <c r="EX113" s="4">
        <v>0</v>
      </c>
      <c r="EY113" s="4">
        <v>0</v>
      </c>
      <c r="EZ113" s="4">
        <v>0</v>
      </c>
      <c r="FA113" s="4" t="s">
        <v>835</v>
      </c>
      <c r="FB113" s="4" t="s">
        <v>353</v>
      </c>
      <c r="FC113" s="4">
        <v>30.331430000000001</v>
      </c>
      <c r="FD113" s="4">
        <v>-87.300169999999994</v>
      </c>
      <c r="FE113" s="4">
        <v>0</v>
      </c>
      <c r="FF113" s="4">
        <v>0</v>
      </c>
      <c r="FG113" s="4">
        <v>1</v>
      </c>
      <c r="FH113" s="4">
        <v>0</v>
      </c>
      <c r="FI113" s="4">
        <v>0</v>
      </c>
      <c r="FJ113" s="4">
        <v>0</v>
      </c>
      <c r="FK113" s="4">
        <v>0</v>
      </c>
      <c r="FL113" s="4">
        <v>0</v>
      </c>
      <c r="FM113" s="4">
        <v>0</v>
      </c>
      <c r="FN113" s="4">
        <v>0</v>
      </c>
      <c r="FO113" s="4">
        <v>0</v>
      </c>
      <c r="FP113" s="4">
        <v>0</v>
      </c>
      <c r="FQ113" s="4" t="s">
        <v>836</v>
      </c>
      <c r="FR113" s="4" t="s">
        <v>359</v>
      </c>
    </row>
    <row r="114" spans="1:372" ht="12.75" x14ac:dyDescent="0.2">
      <c r="A114" s="3">
        <v>43505.226927962962</v>
      </c>
      <c r="B114" s="4" t="s">
        <v>376</v>
      </c>
      <c r="C114" s="4" t="s">
        <v>837</v>
      </c>
      <c r="D114" s="5">
        <v>43498</v>
      </c>
      <c r="E114" s="4" t="s">
        <v>838</v>
      </c>
      <c r="J114" s="6">
        <v>0.51458333333721384</v>
      </c>
      <c r="K114" s="4" t="s">
        <v>348</v>
      </c>
      <c r="L114" s="4" t="s">
        <v>390</v>
      </c>
      <c r="M114" s="4" t="s">
        <v>350</v>
      </c>
      <c r="N114" s="4" t="s">
        <v>351</v>
      </c>
      <c r="P114" s="4">
        <v>0</v>
      </c>
      <c r="Q114" s="4"/>
      <c r="R114" s="4"/>
      <c r="S114" s="4"/>
      <c r="T114" s="4"/>
      <c r="U114" s="4"/>
      <c r="V114" s="4"/>
      <c r="W114" s="4"/>
      <c r="X114" s="4"/>
      <c r="Y114" s="4"/>
      <c r="Z114" s="4"/>
      <c r="AA114" s="4"/>
      <c r="AB114" s="4"/>
      <c r="AC114" s="4"/>
      <c r="AD114" s="4"/>
      <c r="AE114" s="4"/>
      <c r="AF114" s="4">
        <v>110</v>
      </c>
      <c r="AG114" s="4"/>
      <c r="AH114" s="4"/>
      <c r="AI114" s="4"/>
      <c r="AJ114" s="4"/>
      <c r="AK114" s="4"/>
      <c r="AL114" s="4"/>
      <c r="AM114" s="4"/>
      <c r="AN114" s="4"/>
      <c r="AO114" s="4"/>
      <c r="AP114" s="4"/>
      <c r="AQ114" s="4"/>
      <c r="AR114" s="4"/>
      <c r="AS114" s="4"/>
      <c r="AT114" s="4"/>
      <c r="AU114" s="4"/>
      <c r="AV114" s="4"/>
      <c r="AW114" s="4"/>
      <c r="AX114" s="4"/>
      <c r="AY114" s="4"/>
      <c r="AZ114" s="4"/>
      <c r="BA114" s="4"/>
      <c r="BB114" s="4"/>
      <c r="BC114" s="4">
        <v>6</v>
      </c>
      <c r="BD114" s="4"/>
      <c r="BE114" s="4">
        <v>11</v>
      </c>
      <c r="BF114" s="4"/>
      <c r="BG114" s="4"/>
      <c r="BH114" s="4"/>
      <c r="BI114" s="4"/>
      <c r="BJ114" s="4" t="s">
        <v>353</v>
      </c>
      <c r="BK114" s="4">
        <v>30.383019999999998</v>
      </c>
      <c r="BL114" s="4">
        <v>-87.444140000000004</v>
      </c>
      <c r="BY114" s="4" t="s">
        <v>839</v>
      </c>
      <c r="BZ114" s="4" t="s">
        <v>354</v>
      </c>
    </row>
    <row r="115" spans="1:372" ht="12.75" x14ac:dyDescent="0.2">
      <c r="A115" s="3">
        <v>43518.552993969904</v>
      </c>
      <c r="B115" s="4" t="s">
        <v>840</v>
      </c>
      <c r="C115" s="4" t="s">
        <v>841</v>
      </c>
      <c r="D115" s="5">
        <v>43501</v>
      </c>
      <c r="E115" s="4" t="s">
        <v>842</v>
      </c>
      <c r="F115" s="4">
        <v>25.518861000000001</v>
      </c>
      <c r="G115" s="4">
        <v>-81.209344000000002</v>
      </c>
      <c r="H115" s="4">
        <v>25.475684999999999</v>
      </c>
      <c r="I115" s="4">
        <v>-81.177914000000001</v>
      </c>
      <c r="J115" s="6">
        <v>0.62708333333284827</v>
      </c>
      <c r="K115" s="4" t="s">
        <v>379</v>
      </c>
      <c r="L115" s="4" t="s">
        <v>349</v>
      </c>
      <c r="M115" s="4" t="s">
        <v>350</v>
      </c>
      <c r="N115" s="4" t="s">
        <v>351</v>
      </c>
      <c r="O115" s="4" t="s">
        <v>843</v>
      </c>
      <c r="P115" s="4">
        <v>0</v>
      </c>
      <c r="Q115" s="4"/>
      <c r="R115" s="4"/>
      <c r="S115" s="4"/>
      <c r="T115" s="4"/>
      <c r="U115" s="4"/>
      <c r="V115" s="4"/>
      <c r="W115" s="4"/>
      <c r="X115" s="4"/>
      <c r="Y115" s="4"/>
      <c r="Z115" s="4"/>
      <c r="AA115" s="4"/>
      <c r="AB115" s="4"/>
      <c r="AC115" s="4">
        <v>3</v>
      </c>
      <c r="AD115" s="4"/>
      <c r="AE115" s="4"/>
      <c r="AF115" s="4">
        <v>31</v>
      </c>
      <c r="AG115" s="4">
        <v>71</v>
      </c>
      <c r="AH115" s="4"/>
      <c r="AI115" s="4">
        <v>3</v>
      </c>
      <c r="AJ115" s="4">
        <v>8</v>
      </c>
      <c r="AK115" s="4"/>
      <c r="AL115" s="4"/>
      <c r="AM115" s="4"/>
      <c r="AN115" s="4"/>
      <c r="AO115" s="4"/>
      <c r="AP115" s="4"/>
      <c r="AQ115" s="4"/>
      <c r="AR115" s="4"/>
      <c r="AS115" s="4"/>
      <c r="AT115" s="4"/>
      <c r="AU115" s="4">
        <v>4</v>
      </c>
      <c r="AV115" s="4"/>
      <c r="AW115" s="4"/>
      <c r="AX115" s="4">
        <v>2</v>
      </c>
      <c r="AY115" s="4"/>
      <c r="AZ115" s="4"/>
      <c r="BA115" s="4"/>
      <c r="BB115" s="4"/>
      <c r="BC115" s="4"/>
      <c r="BD115" s="4"/>
      <c r="BE115" s="4"/>
      <c r="BF115" s="4">
        <v>1</v>
      </c>
      <c r="BG115" s="4"/>
      <c r="BH115" s="4"/>
      <c r="BI115" s="4"/>
      <c r="BJ115" s="4" t="s">
        <v>353</v>
      </c>
      <c r="BK115" s="4">
        <v>25.511662999999999</v>
      </c>
      <c r="BL115" s="4">
        <v>-81.209537999999995</v>
      </c>
      <c r="BM115" s="4">
        <v>0</v>
      </c>
      <c r="BN115" s="4" t="s">
        <v>828</v>
      </c>
      <c r="BO115" s="4">
        <v>0</v>
      </c>
      <c r="BP115" s="4" t="s">
        <v>828</v>
      </c>
      <c r="BQ115" s="4">
        <v>2</v>
      </c>
      <c r="BR115" s="4" t="s">
        <v>844</v>
      </c>
      <c r="BS115" s="4">
        <v>0</v>
      </c>
      <c r="BT115" s="4" t="s">
        <v>828</v>
      </c>
      <c r="BU115" s="4">
        <v>2</v>
      </c>
      <c r="BV115" s="4" t="s">
        <v>844</v>
      </c>
      <c r="BW115" s="4">
        <v>0</v>
      </c>
      <c r="BX115" s="4" t="s">
        <v>828</v>
      </c>
      <c r="BY115" s="4">
        <v>0</v>
      </c>
      <c r="BZ115" s="4" t="s">
        <v>353</v>
      </c>
      <c r="CA115" s="4">
        <v>25.480347999999999</v>
      </c>
      <c r="CB115" s="4">
        <v>-81.188139000000007</v>
      </c>
      <c r="CC115" s="4">
        <v>0</v>
      </c>
      <c r="CD115" s="4" t="s">
        <v>828</v>
      </c>
      <c r="CE115" s="4">
        <v>0</v>
      </c>
      <c r="CF115" s="4" t="s">
        <v>828</v>
      </c>
      <c r="CG115" s="4">
        <v>1</v>
      </c>
      <c r="CH115" s="4" t="s">
        <v>845</v>
      </c>
      <c r="CI115" s="4">
        <v>0</v>
      </c>
      <c r="CJ115" s="4" t="s">
        <v>828</v>
      </c>
      <c r="CK115" s="4">
        <v>0</v>
      </c>
      <c r="CL115" s="4" t="s">
        <v>828</v>
      </c>
      <c r="CM115" s="4">
        <v>0</v>
      </c>
      <c r="CN115" s="4" t="s">
        <v>828</v>
      </c>
      <c r="CO115" s="4">
        <v>0</v>
      </c>
      <c r="CP115" s="4" t="s">
        <v>353</v>
      </c>
      <c r="CQ115" s="4">
        <v>25.47561</v>
      </c>
      <c r="CR115" s="4">
        <v>-81.178094999999999</v>
      </c>
      <c r="CS115" s="4">
        <v>0</v>
      </c>
      <c r="CT115" s="4" t="s">
        <v>828</v>
      </c>
      <c r="CU115" s="4">
        <v>0</v>
      </c>
      <c r="CV115" s="4" t="s">
        <v>828</v>
      </c>
      <c r="CW115" s="4">
        <v>0</v>
      </c>
      <c r="CX115" s="4" t="s">
        <v>828</v>
      </c>
      <c r="CY115" s="4">
        <v>0</v>
      </c>
      <c r="CZ115" s="4" t="s">
        <v>828</v>
      </c>
      <c r="DA115" s="4">
        <v>1</v>
      </c>
      <c r="DB115" s="4" t="s">
        <v>846</v>
      </c>
      <c r="DC115" s="4">
        <v>0</v>
      </c>
      <c r="DD115" s="4" t="s">
        <v>828</v>
      </c>
      <c r="DE115" s="4">
        <v>0</v>
      </c>
      <c r="DF115" s="4" t="s">
        <v>359</v>
      </c>
    </row>
    <row r="116" spans="1:372" ht="12.75" x14ac:dyDescent="0.2">
      <c r="A116" s="3">
        <v>43501.794009178237</v>
      </c>
      <c r="B116" s="4" t="s">
        <v>847</v>
      </c>
      <c r="C116" s="4" t="s">
        <v>848</v>
      </c>
      <c r="D116" s="5">
        <v>43500</v>
      </c>
      <c r="E116" s="4" t="s">
        <v>849</v>
      </c>
      <c r="J116" s="6">
        <v>0.4375</v>
      </c>
      <c r="K116" s="4" t="s">
        <v>348</v>
      </c>
      <c r="L116" s="4" t="s">
        <v>349</v>
      </c>
      <c r="M116" s="4" t="s">
        <v>350</v>
      </c>
      <c r="N116" s="4" t="s">
        <v>351</v>
      </c>
      <c r="O116" s="4" t="s">
        <v>850</v>
      </c>
      <c r="AS116" s="4">
        <v>1</v>
      </c>
      <c r="AU116" s="4">
        <v>1</v>
      </c>
      <c r="AX116" s="4">
        <v>2</v>
      </c>
      <c r="BB116" s="4">
        <v>16</v>
      </c>
      <c r="BC116" s="4">
        <v>4</v>
      </c>
      <c r="BE116" s="4">
        <v>73</v>
      </c>
      <c r="BJ116" s="4" t="s">
        <v>364</v>
      </c>
    </row>
    <row r="117" spans="1:372" ht="12.75" x14ac:dyDescent="0.2">
      <c r="A117" s="12">
        <v>43522.628813715273</v>
      </c>
      <c r="B117" s="13" t="s">
        <v>851</v>
      </c>
      <c r="C117" s="13" t="s">
        <v>852</v>
      </c>
      <c r="D117" s="14">
        <v>43497</v>
      </c>
      <c r="E117" s="13" t="s">
        <v>853</v>
      </c>
      <c r="F117" s="11"/>
      <c r="G117" s="11"/>
      <c r="H117" s="11"/>
      <c r="I117" s="11"/>
      <c r="J117" s="15">
        <v>0.41944444444379769</v>
      </c>
      <c r="K117" s="13" t="s">
        <v>379</v>
      </c>
      <c r="L117" s="13" t="s">
        <v>390</v>
      </c>
      <c r="M117" s="13" t="s">
        <v>391</v>
      </c>
      <c r="N117" s="13" t="s">
        <v>351</v>
      </c>
      <c r="O117" s="13" t="s">
        <v>854</v>
      </c>
      <c r="P117" s="13">
        <v>0</v>
      </c>
      <c r="Q117" s="13"/>
      <c r="R117" s="13"/>
      <c r="S117" s="13"/>
      <c r="T117" s="13"/>
      <c r="U117" s="13"/>
      <c r="V117" s="13"/>
      <c r="W117" s="13"/>
      <c r="X117" s="13"/>
      <c r="Y117" s="13"/>
      <c r="Z117" s="13"/>
      <c r="AA117" s="13"/>
      <c r="AB117" s="13"/>
      <c r="AC117" s="13"/>
      <c r="AD117" s="13">
        <v>1</v>
      </c>
      <c r="AE117" s="13">
        <v>11</v>
      </c>
      <c r="AF117" s="13">
        <v>16</v>
      </c>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v>1</v>
      </c>
      <c r="BF117" s="13"/>
      <c r="BG117" s="13"/>
      <c r="BH117" s="13"/>
      <c r="BI117" s="13"/>
      <c r="BJ117" s="13" t="s">
        <v>364</v>
      </c>
      <c r="BK117" s="13">
        <v>26.2577</v>
      </c>
      <c r="BL117" s="13">
        <v>-80.082800000000006</v>
      </c>
      <c r="BM117" s="13">
        <v>0</v>
      </c>
      <c r="BN117" s="13">
        <v>0</v>
      </c>
      <c r="BO117" s="13">
        <v>0</v>
      </c>
      <c r="BP117" s="13">
        <v>0</v>
      </c>
      <c r="BQ117" s="13">
        <v>0</v>
      </c>
      <c r="BR117" s="13">
        <v>0</v>
      </c>
      <c r="BS117" s="13">
        <v>0</v>
      </c>
      <c r="BT117" s="13">
        <v>0</v>
      </c>
      <c r="BU117" s="13">
        <v>12</v>
      </c>
      <c r="BV117" s="13">
        <v>0</v>
      </c>
      <c r="BW117" s="13">
        <v>0</v>
      </c>
      <c r="BX117" s="13">
        <v>0</v>
      </c>
      <c r="BY117" s="13">
        <v>0</v>
      </c>
      <c r="BZ117" s="13" t="s">
        <v>353</v>
      </c>
      <c r="CA117" s="13">
        <v>26.2577</v>
      </c>
      <c r="CB117" s="13">
        <v>-80.082400000000007</v>
      </c>
      <c r="CC117" s="13">
        <v>0</v>
      </c>
      <c r="CD117" s="13">
        <v>0</v>
      </c>
      <c r="CE117" s="13">
        <v>0</v>
      </c>
      <c r="CF117" s="13">
        <v>0</v>
      </c>
      <c r="CG117" s="13">
        <v>0</v>
      </c>
      <c r="CH117" s="13">
        <v>0</v>
      </c>
      <c r="CI117" s="13">
        <v>1</v>
      </c>
      <c r="CJ117" s="13">
        <v>0</v>
      </c>
      <c r="CK117" s="13">
        <v>0</v>
      </c>
      <c r="CL117" s="13">
        <v>0</v>
      </c>
      <c r="CM117" s="13">
        <v>0</v>
      </c>
      <c r="CN117" s="13">
        <v>0</v>
      </c>
      <c r="CO117" s="13">
        <v>0</v>
      </c>
      <c r="CP117" s="13" t="s">
        <v>353</v>
      </c>
      <c r="CQ117" s="13">
        <v>26.2577</v>
      </c>
      <c r="CR117" s="13">
        <v>-80.081599999999995</v>
      </c>
      <c r="CS117" s="13">
        <v>0</v>
      </c>
      <c r="CT117" s="13">
        <v>0</v>
      </c>
      <c r="CU117" s="13">
        <v>0</v>
      </c>
      <c r="CV117" s="13">
        <v>0</v>
      </c>
      <c r="CW117" s="13">
        <v>10</v>
      </c>
      <c r="CX117" s="13">
        <v>0</v>
      </c>
      <c r="CY117" s="13">
        <v>0</v>
      </c>
      <c r="CZ117" s="13">
        <v>0</v>
      </c>
      <c r="DA117" s="13">
        <v>4</v>
      </c>
      <c r="DB117" s="13">
        <v>0</v>
      </c>
      <c r="DC117" s="13">
        <v>0</v>
      </c>
      <c r="DD117" s="13">
        <v>0</v>
      </c>
      <c r="DE117" s="13">
        <v>0</v>
      </c>
      <c r="DF117" s="13" t="s">
        <v>359</v>
      </c>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1"/>
      <c r="GN117" s="11"/>
      <c r="GO117" s="11"/>
      <c r="GP117" s="11"/>
      <c r="GQ117" s="11"/>
      <c r="GR117" s="11"/>
      <c r="GS117" s="11"/>
      <c r="GT117" s="11"/>
      <c r="GU117" s="11"/>
      <c r="GV117" s="11"/>
      <c r="GW117" s="11"/>
      <c r="GX117" s="11"/>
      <c r="GY117" s="11"/>
      <c r="GZ117" s="11"/>
      <c r="HA117" s="11"/>
      <c r="HB117" s="11"/>
      <c r="HC117" s="11"/>
      <c r="HD117" s="11"/>
      <c r="HE117" s="11"/>
      <c r="HF117" s="11"/>
      <c r="HG117" s="11"/>
      <c r="HH117" s="11"/>
      <c r="HI117" s="11"/>
      <c r="HJ117" s="11"/>
      <c r="HK117" s="11"/>
      <c r="HL117" s="11"/>
      <c r="HM117" s="11"/>
      <c r="HN117" s="11"/>
      <c r="HO117" s="11"/>
      <c r="HP117" s="11"/>
      <c r="HQ117" s="11"/>
      <c r="HR117" s="11"/>
      <c r="HS117" s="11"/>
      <c r="HT117" s="11"/>
      <c r="HU117" s="11"/>
      <c r="HV117" s="11"/>
      <c r="HW117" s="11"/>
      <c r="HX117" s="11"/>
      <c r="HY117" s="11"/>
      <c r="HZ117" s="11"/>
      <c r="IA117" s="11"/>
      <c r="IB117" s="11"/>
      <c r="IC117" s="11"/>
      <c r="ID117" s="11"/>
      <c r="IE117" s="11"/>
      <c r="IF117" s="11"/>
      <c r="IG117" s="11"/>
      <c r="IH117" s="11"/>
      <c r="II117" s="11"/>
      <c r="IJ117" s="11"/>
      <c r="IK117" s="11"/>
      <c r="IL117" s="11"/>
      <c r="IM117" s="11"/>
      <c r="IN117" s="11"/>
      <c r="IO117" s="11"/>
      <c r="IP117" s="11"/>
      <c r="IQ117" s="11"/>
      <c r="IR117" s="11"/>
      <c r="IS117" s="11"/>
      <c r="IT117" s="11"/>
      <c r="IU117" s="11"/>
      <c r="IV117" s="11"/>
      <c r="IW117" s="11"/>
      <c r="IX117" s="11"/>
      <c r="IY117" s="11"/>
      <c r="IZ117" s="11"/>
      <c r="JA117" s="11"/>
      <c r="JB117" s="11"/>
      <c r="JC117" s="11"/>
      <c r="JD117" s="11"/>
      <c r="JE117" s="11"/>
      <c r="JF117" s="11"/>
      <c r="JG117" s="11"/>
      <c r="JH117" s="11"/>
      <c r="JI117" s="11"/>
      <c r="JJ117" s="11"/>
      <c r="JK117" s="11"/>
      <c r="JL117" s="11"/>
      <c r="JM117" s="11"/>
      <c r="JN117" s="11"/>
      <c r="JO117" s="11"/>
      <c r="JP117" s="11"/>
      <c r="JQ117" s="11"/>
      <c r="JR117" s="11"/>
      <c r="JS117" s="11"/>
      <c r="JT117" s="11"/>
      <c r="JU117" s="11"/>
      <c r="JV117" s="11"/>
      <c r="JW117" s="11"/>
      <c r="JX117" s="11"/>
      <c r="JY117" s="11"/>
      <c r="JZ117" s="11"/>
      <c r="KA117" s="11"/>
      <c r="KB117" s="11"/>
      <c r="KC117" s="11"/>
      <c r="KD117" s="11"/>
      <c r="KE117" s="11"/>
      <c r="KF117" s="11"/>
      <c r="KG117" s="11"/>
      <c r="KH117" s="11"/>
      <c r="KI117" s="11"/>
      <c r="KJ117" s="11"/>
      <c r="KK117" s="11"/>
      <c r="KL117" s="11"/>
      <c r="KM117" s="11"/>
      <c r="KN117" s="11"/>
      <c r="KO117" s="11"/>
      <c r="KP117" s="11"/>
      <c r="KQ117" s="11"/>
      <c r="KR117" s="11"/>
      <c r="KS117" s="11"/>
      <c r="KT117" s="11"/>
      <c r="KU117" s="11"/>
      <c r="KV117" s="11"/>
      <c r="KW117" s="11"/>
      <c r="KX117" s="11"/>
      <c r="KY117" s="11"/>
      <c r="KZ117" s="11"/>
      <c r="LA117" s="11"/>
      <c r="LB117" s="11"/>
      <c r="LC117" s="11"/>
      <c r="LD117" s="11"/>
      <c r="LE117" s="11"/>
      <c r="LF117" s="11"/>
      <c r="LG117" s="11"/>
      <c r="LH117" s="11"/>
      <c r="LI117" s="11"/>
      <c r="LJ117" s="11"/>
      <c r="LK117" s="11"/>
      <c r="LL117" s="11"/>
      <c r="LM117" s="11"/>
      <c r="LN117" s="11"/>
      <c r="LO117" s="11"/>
      <c r="LP117" s="11"/>
      <c r="LQ117" s="11"/>
      <c r="LR117" s="11"/>
      <c r="LS117" s="11"/>
      <c r="LT117" s="11"/>
      <c r="LU117" s="11"/>
      <c r="LV117" s="11"/>
      <c r="LW117" s="11"/>
      <c r="LX117" s="11"/>
      <c r="LY117" s="11"/>
      <c r="LZ117" s="11"/>
      <c r="MA117" s="11"/>
      <c r="MB117" s="11"/>
      <c r="MC117" s="11"/>
      <c r="MD117" s="11"/>
      <c r="ME117" s="11"/>
      <c r="MF117" s="11"/>
      <c r="MG117" s="11"/>
      <c r="MH117" s="11"/>
      <c r="MI117" s="11"/>
      <c r="MJ117" s="11"/>
      <c r="MK117" s="11"/>
      <c r="ML117" s="11"/>
      <c r="MM117" s="11"/>
      <c r="MN117" s="11"/>
      <c r="MO117" s="11"/>
      <c r="MP117" s="11"/>
      <c r="MQ117" s="11"/>
      <c r="MR117" s="11"/>
      <c r="MS117" s="11"/>
      <c r="MT117" s="11"/>
      <c r="MU117" s="11"/>
      <c r="MV117" s="11"/>
      <c r="MW117" s="11"/>
      <c r="MX117" s="11"/>
      <c r="MY117" s="11"/>
      <c r="MZ117" s="11"/>
      <c r="NA117" s="11"/>
      <c r="NB117" s="11"/>
      <c r="NC117" s="11"/>
      <c r="ND117" s="11"/>
      <c r="NE117" s="11"/>
      <c r="NF117" s="11"/>
      <c r="NG117" s="11"/>
      <c r="NH117" s="11"/>
    </row>
    <row r="118" spans="1:372" ht="12.75" x14ac:dyDescent="0.2">
      <c r="A118" s="3">
        <v>43502.648884791663</v>
      </c>
      <c r="B118" s="4" t="s">
        <v>855</v>
      </c>
      <c r="C118" s="4" t="s">
        <v>856</v>
      </c>
      <c r="D118" s="5">
        <v>43502</v>
      </c>
      <c r="E118" s="4" t="s">
        <v>857</v>
      </c>
      <c r="J118" s="6">
        <v>0.507638888884685</v>
      </c>
      <c r="K118" s="4" t="s">
        <v>379</v>
      </c>
      <c r="L118" s="4" t="s">
        <v>349</v>
      </c>
      <c r="M118" s="4" t="s">
        <v>350</v>
      </c>
      <c r="N118" s="4" t="s">
        <v>351</v>
      </c>
      <c r="AE118" s="4">
        <v>14</v>
      </c>
      <c r="AF118" s="4">
        <v>66</v>
      </c>
      <c r="AM118" s="4">
        <v>7</v>
      </c>
      <c r="AN118" s="4">
        <v>13</v>
      </c>
      <c r="BE118" s="4">
        <v>43</v>
      </c>
      <c r="BF118" s="4">
        <v>9</v>
      </c>
      <c r="BJ118" s="4" t="s">
        <v>353</v>
      </c>
      <c r="BK118" s="4">
        <v>27.126899999999999</v>
      </c>
      <c r="BL118" s="4">
        <v>-80.143799999999999</v>
      </c>
      <c r="BW118" s="4">
        <v>10</v>
      </c>
      <c r="BZ118" s="4" t="s">
        <v>353</v>
      </c>
      <c r="CA118" s="4">
        <v>27.129899999999999</v>
      </c>
      <c r="CB118" s="4">
        <v>-80.144800000000004</v>
      </c>
      <c r="CM118" s="4">
        <v>3</v>
      </c>
      <c r="CP118" s="4" t="s">
        <v>466</v>
      </c>
    </row>
    <row r="119" spans="1:372" ht="12.75" x14ac:dyDescent="0.2">
      <c r="A119" s="3">
        <v>43499.44991855324</v>
      </c>
      <c r="B119" s="4" t="s">
        <v>437</v>
      </c>
      <c r="C119" s="4" t="s">
        <v>858</v>
      </c>
      <c r="D119" s="5">
        <v>43497</v>
      </c>
      <c r="E119" s="4" t="s">
        <v>859</v>
      </c>
      <c r="J119" s="6">
        <v>0.375</v>
      </c>
      <c r="K119" s="4" t="s">
        <v>348</v>
      </c>
      <c r="L119" s="4" t="s">
        <v>349</v>
      </c>
      <c r="M119" s="4" t="s">
        <v>350</v>
      </c>
      <c r="N119" s="4" t="s">
        <v>351</v>
      </c>
      <c r="O119" s="4" t="s">
        <v>611</v>
      </c>
      <c r="P119" s="4">
        <v>6</v>
      </c>
      <c r="Q119" s="4"/>
      <c r="R119" s="4">
        <v>20</v>
      </c>
      <c r="S119" s="4">
        <v>24</v>
      </c>
      <c r="T119" s="4"/>
      <c r="U119" s="4"/>
      <c r="V119" s="4">
        <v>14</v>
      </c>
      <c r="W119" s="4"/>
      <c r="X119" s="4"/>
      <c r="Y119" s="4"/>
      <c r="Z119" s="4"/>
      <c r="AA119" s="4"/>
      <c r="AB119" s="4"/>
      <c r="AC119" s="4">
        <v>8</v>
      </c>
      <c r="AD119" s="4"/>
      <c r="AE119" s="4">
        <v>35</v>
      </c>
      <c r="AF119" s="4">
        <v>47</v>
      </c>
      <c r="AG119" s="4">
        <v>28</v>
      </c>
      <c r="AH119" s="4"/>
      <c r="AI119" s="4">
        <v>2</v>
      </c>
      <c r="AJ119" s="4"/>
      <c r="AK119" s="4">
        <v>3</v>
      </c>
      <c r="AL119" s="4"/>
      <c r="AM119" s="4">
        <v>15</v>
      </c>
      <c r="AN119" s="4">
        <v>20</v>
      </c>
      <c r="AO119" s="4"/>
      <c r="AP119" s="4"/>
      <c r="AQ119" s="4"/>
      <c r="AR119" s="4"/>
      <c r="AS119" s="4"/>
      <c r="AT119" s="4"/>
      <c r="AU119" s="4">
        <v>15</v>
      </c>
      <c r="AV119" s="4">
        <v>6</v>
      </c>
      <c r="AW119" s="4"/>
      <c r="AX119" s="4">
        <v>66</v>
      </c>
      <c r="AY119" s="4">
        <v>3</v>
      </c>
      <c r="AZ119" s="4"/>
      <c r="BA119" s="4"/>
      <c r="BB119" s="4">
        <v>3</v>
      </c>
      <c r="BC119" s="4">
        <v>70</v>
      </c>
      <c r="BD119" s="4"/>
      <c r="BE119" s="4">
        <v>64</v>
      </c>
      <c r="BF119" s="4">
        <v>83</v>
      </c>
      <c r="BG119" s="4"/>
      <c r="BH119" s="4"/>
      <c r="BI119" s="4"/>
      <c r="BJ119" s="4" t="s">
        <v>353</v>
      </c>
      <c r="BK119" s="4">
        <v>28.100200000000001</v>
      </c>
      <c r="BL119" s="4">
        <v>-82.834100000000007</v>
      </c>
      <c r="BM119" s="4">
        <v>0</v>
      </c>
      <c r="BO119" s="4">
        <v>0</v>
      </c>
      <c r="BQ119" s="4">
        <v>2</v>
      </c>
      <c r="BR119" s="4" t="s">
        <v>860</v>
      </c>
      <c r="BS119" s="4">
        <v>0</v>
      </c>
      <c r="BU119" s="4">
        <v>0</v>
      </c>
      <c r="BW119" s="4">
        <v>0</v>
      </c>
      <c r="BZ119" s="4" t="s">
        <v>353</v>
      </c>
      <c r="CA119" s="4">
        <v>28.087299999999999</v>
      </c>
      <c r="CB119" s="4">
        <v>-82.836399999999998</v>
      </c>
      <c r="CC119" s="4">
        <v>1</v>
      </c>
      <c r="CD119" s="4" t="s">
        <v>861</v>
      </c>
      <c r="CE119" s="4">
        <v>0</v>
      </c>
      <c r="CG119" s="4">
        <v>2</v>
      </c>
      <c r="CH119" s="4" t="s">
        <v>444</v>
      </c>
      <c r="CI119" s="4">
        <v>0</v>
      </c>
      <c r="CK119" s="4">
        <v>0</v>
      </c>
      <c r="CM119" s="4">
        <v>20</v>
      </c>
      <c r="CN119" s="4" t="s">
        <v>444</v>
      </c>
      <c r="CP119" s="4" t="s">
        <v>353</v>
      </c>
      <c r="CQ119" s="4">
        <v>28.078900000000001</v>
      </c>
      <c r="CR119" s="4">
        <v>-82.836500000000001</v>
      </c>
      <c r="CS119" s="4">
        <v>1</v>
      </c>
      <c r="CT119" s="4" t="s">
        <v>444</v>
      </c>
      <c r="CU119" s="4">
        <v>0</v>
      </c>
      <c r="CW119" s="4">
        <v>0</v>
      </c>
      <c r="CY119" s="4">
        <v>0</v>
      </c>
      <c r="DA119" s="4">
        <v>0</v>
      </c>
      <c r="DC119" s="4">
        <v>0</v>
      </c>
      <c r="DF119" s="4" t="s">
        <v>353</v>
      </c>
      <c r="DG119" s="4">
        <v>28.072700000000001</v>
      </c>
      <c r="DH119" s="4">
        <v>-82.835300000000004</v>
      </c>
      <c r="DI119" s="4">
        <v>2</v>
      </c>
      <c r="DJ119" s="4" t="s">
        <v>444</v>
      </c>
      <c r="DK119" s="4">
        <v>0</v>
      </c>
      <c r="DM119" s="4">
        <v>0</v>
      </c>
      <c r="DO119" s="4">
        <v>0</v>
      </c>
      <c r="DQ119" s="4">
        <v>0</v>
      </c>
      <c r="DS119" s="4">
        <v>0</v>
      </c>
      <c r="DV119" s="4" t="s">
        <v>353</v>
      </c>
      <c r="DW119" s="4">
        <v>28.064499999999999</v>
      </c>
      <c r="DX119" s="4">
        <v>-82.833100000000002</v>
      </c>
      <c r="DY119" s="4">
        <v>2</v>
      </c>
      <c r="DZ119" s="4" t="s">
        <v>444</v>
      </c>
      <c r="EA119" s="4">
        <v>0</v>
      </c>
      <c r="EC119" s="4">
        <v>0</v>
      </c>
      <c r="EE119" s="4">
        <v>0</v>
      </c>
      <c r="EF119" s="4">
        <v>0</v>
      </c>
      <c r="EJ119" s="4">
        <v>0</v>
      </c>
      <c r="EL119" s="4" t="s">
        <v>353</v>
      </c>
      <c r="EM119" s="4">
        <v>28.0608</v>
      </c>
      <c r="EN119" s="4">
        <v>-82.829899999999995</v>
      </c>
      <c r="EO119" s="4">
        <v>0</v>
      </c>
      <c r="EQ119" s="4">
        <v>0</v>
      </c>
      <c r="ES119" s="4">
        <v>1</v>
      </c>
      <c r="ET119" s="4" t="s">
        <v>862</v>
      </c>
      <c r="EU119" s="4">
        <v>0</v>
      </c>
      <c r="EW119" s="4">
        <v>0</v>
      </c>
      <c r="EY119" s="4">
        <v>0</v>
      </c>
      <c r="FB119" s="4" t="s">
        <v>353</v>
      </c>
      <c r="FC119" s="4">
        <v>28.0548</v>
      </c>
      <c r="FD119" s="4">
        <v>-82.819900000000004</v>
      </c>
      <c r="FE119" s="4">
        <v>0</v>
      </c>
      <c r="FG119" s="4">
        <v>0</v>
      </c>
      <c r="FI119" s="4">
        <v>0</v>
      </c>
      <c r="FK119" s="4">
        <v>0</v>
      </c>
      <c r="FM119" s="4">
        <v>2</v>
      </c>
      <c r="FN119" s="4" t="s">
        <v>863</v>
      </c>
      <c r="FO119" s="4">
        <v>0</v>
      </c>
      <c r="FR119" s="4" t="s">
        <v>353</v>
      </c>
      <c r="FS119" s="4">
        <v>28.053799999999999</v>
      </c>
      <c r="FT119" s="4">
        <v>-82.818100000000001</v>
      </c>
      <c r="FU119" s="4">
        <v>0</v>
      </c>
      <c r="FW119" s="4">
        <v>0</v>
      </c>
      <c r="FY119" s="4">
        <v>3</v>
      </c>
      <c r="FZ119" s="4" t="s">
        <v>864</v>
      </c>
      <c r="GA119" s="4">
        <v>0</v>
      </c>
      <c r="GC119" s="4">
        <v>0</v>
      </c>
      <c r="GE119" s="4">
        <v>0</v>
      </c>
      <c r="GH119" s="4" t="s">
        <v>359</v>
      </c>
    </row>
    <row r="120" spans="1:372" ht="12.75" x14ac:dyDescent="0.2">
      <c r="A120" s="3">
        <v>43508.59253440972</v>
      </c>
      <c r="B120" s="4" t="s">
        <v>573</v>
      </c>
      <c r="C120" s="4" t="s">
        <v>865</v>
      </c>
      <c r="D120" s="5">
        <v>43502</v>
      </c>
      <c r="E120" s="4" t="s">
        <v>575</v>
      </c>
      <c r="J120" s="6">
        <v>0.48124999999708962</v>
      </c>
      <c r="L120" s="4" t="s">
        <v>358</v>
      </c>
      <c r="M120" s="4" t="s">
        <v>350</v>
      </c>
      <c r="N120" s="4" t="s">
        <v>351</v>
      </c>
      <c r="T120" s="4">
        <v>2</v>
      </c>
      <c r="AM120" s="4">
        <v>11</v>
      </c>
      <c r="BJ120" s="4" t="s">
        <v>364</v>
      </c>
    </row>
    <row r="121" spans="1:372" ht="12.75" x14ac:dyDescent="0.2">
      <c r="A121" s="3">
        <v>43506.472483287042</v>
      </c>
      <c r="B121" s="4" t="s">
        <v>402</v>
      </c>
      <c r="C121" s="8" t="s">
        <v>866</v>
      </c>
      <c r="D121" s="5">
        <v>43498</v>
      </c>
      <c r="E121" s="4" t="s">
        <v>404</v>
      </c>
      <c r="F121" s="4">
        <v>30.408059999999999</v>
      </c>
      <c r="G121" s="4">
        <v>-81.413139999999999</v>
      </c>
      <c r="H121" s="4">
        <v>30.418340000000001</v>
      </c>
      <c r="I121" s="4">
        <v>-81.418469999999999</v>
      </c>
      <c r="J121" s="6">
        <v>0.5</v>
      </c>
      <c r="K121" s="4" t="s">
        <v>348</v>
      </c>
      <c r="L121" s="4" t="s">
        <v>349</v>
      </c>
      <c r="M121" s="4" t="s">
        <v>350</v>
      </c>
      <c r="N121" s="4" t="s">
        <v>351</v>
      </c>
      <c r="O121" s="4" t="s">
        <v>867</v>
      </c>
      <c r="P121" s="4">
        <v>5</v>
      </c>
      <c r="R121" s="4">
        <v>10</v>
      </c>
      <c r="S121" s="4">
        <v>51</v>
      </c>
      <c r="Z121" s="4">
        <v>77</v>
      </c>
      <c r="AC121" s="4">
        <v>1</v>
      </c>
      <c r="AD121" s="4">
        <v>101</v>
      </c>
      <c r="AE121" s="4">
        <v>69</v>
      </c>
      <c r="AF121" s="4">
        <v>42</v>
      </c>
      <c r="AG121" s="4">
        <v>59</v>
      </c>
      <c r="AK121" s="4">
        <v>31</v>
      </c>
      <c r="AM121" s="4">
        <v>3</v>
      </c>
      <c r="AR121" s="4">
        <v>343</v>
      </c>
      <c r="BJ121" s="4" t="s">
        <v>353</v>
      </c>
      <c r="BK121" s="4">
        <v>30.407720000000001</v>
      </c>
      <c r="BL121" s="4">
        <v>-81.412099999999995</v>
      </c>
      <c r="BQ121" s="4">
        <v>1</v>
      </c>
      <c r="BR121" s="4" t="s">
        <v>589</v>
      </c>
      <c r="BZ121" s="4" t="s">
        <v>353</v>
      </c>
      <c r="CA121" s="4">
        <v>30.41441</v>
      </c>
      <c r="CB121" s="4">
        <v>-81.405379999999994</v>
      </c>
      <c r="CI121" s="4">
        <v>6</v>
      </c>
      <c r="CJ121" s="4" t="s">
        <v>868</v>
      </c>
      <c r="CP121" s="4" t="s">
        <v>353</v>
      </c>
      <c r="CQ121" s="4">
        <v>30.42191</v>
      </c>
      <c r="CR121" s="4">
        <v>-81.408150000000006</v>
      </c>
      <c r="CY121" s="4">
        <v>95</v>
      </c>
      <c r="CZ121" s="4" t="s">
        <v>414</v>
      </c>
      <c r="DF121" s="4" t="s">
        <v>353</v>
      </c>
      <c r="DG121" s="4">
        <v>30.40372</v>
      </c>
      <c r="DH121" s="4">
        <v>-81.403080000000003</v>
      </c>
      <c r="DI121" s="4">
        <v>1</v>
      </c>
      <c r="DJ121" s="4" t="s">
        <v>869</v>
      </c>
      <c r="DK121" s="4">
        <v>21</v>
      </c>
      <c r="DV121" s="4" t="s">
        <v>353</v>
      </c>
      <c r="DW121" s="4">
        <v>30.417290000000001</v>
      </c>
      <c r="DX121" s="4">
        <v>-81.405919999999995</v>
      </c>
      <c r="DY121" s="4">
        <v>2</v>
      </c>
      <c r="EL121" s="4" t="s">
        <v>353</v>
      </c>
      <c r="EM121" s="4">
        <v>30.415289999999999</v>
      </c>
      <c r="EN121" s="4">
        <v>-81.410600000000002</v>
      </c>
      <c r="EO121" s="4">
        <v>2</v>
      </c>
      <c r="FB121" s="4" t="s">
        <v>353</v>
      </c>
      <c r="FC121" s="4">
        <v>30.405470000000001</v>
      </c>
      <c r="FD121" s="4">
        <v>-81.402699999999996</v>
      </c>
      <c r="FG121" s="4">
        <v>13</v>
      </c>
      <c r="FR121" s="4" t="s">
        <v>353</v>
      </c>
      <c r="FS121" s="4">
        <v>30.418600000000001</v>
      </c>
      <c r="FT121" s="4">
        <v>-81.418369999999996</v>
      </c>
      <c r="FW121" s="4">
        <v>309</v>
      </c>
      <c r="FX121" s="4" t="s">
        <v>870</v>
      </c>
      <c r="GG121" s="4" t="s">
        <v>871</v>
      </c>
      <c r="GH121" s="4" t="s">
        <v>359</v>
      </c>
    </row>
    <row r="122" spans="1:372" ht="12.75" x14ac:dyDescent="0.2">
      <c r="A122" s="3">
        <v>43506.49520957176</v>
      </c>
      <c r="B122" s="4" t="s">
        <v>402</v>
      </c>
      <c r="C122" s="8" t="s">
        <v>866</v>
      </c>
      <c r="D122" s="5">
        <v>43501</v>
      </c>
      <c r="E122" s="4" t="s">
        <v>404</v>
      </c>
      <c r="F122" s="4">
        <v>29.435531999999998</v>
      </c>
      <c r="G122" s="4">
        <v>-83.292035999999996</v>
      </c>
      <c r="H122" s="4">
        <v>29.356411000000001</v>
      </c>
      <c r="I122" s="4">
        <v>-83.185344000000001</v>
      </c>
      <c r="J122" s="6">
        <v>0.50347222221898846</v>
      </c>
      <c r="K122" s="4" t="s">
        <v>348</v>
      </c>
      <c r="L122" s="4" t="s">
        <v>349</v>
      </c>
      <c r="M122" s="4" t="s">
        <v>350</v>
      </c>
      <c r="N122" s="4" t="s">
        <v>351</v>
      </c>
      <c r="O122" s="4" t="s">
        <v>872</v>
      </c>
      <c r="P122" s="4">
        <v>499</v>
      </c>
      <c r="R122" s="4">
        <v>76</v>
      </c>
      <c r="S122" s="4">
        <v>636</v>
      </c>
      <c r="Z122" s="4">
        <v>231</v>
      </c>
      <c r="AE122" s="4">
        <v>20</v>
      </c>
      <c r="AF122" s="4">
        <v>66</v>
      </c>
      <c r="AG122" s="4">
        <v>310</v>
      </c>
      <c r="AL122" s="4">
        <v>1</v>
      </c>
      <c r="AM122" s="4">
        <v>148</v>
      </c>
      <c r="AN122" s="4">
        <v>8</v>
      </c>
      <c r="AR122" s="4">
        <v>184</v>
      </c>
      <c r="BJ122" s="4" t="s">
        <v>353</v>
      </c>
      <c r="BK122" s="4">
        <v>29.371500000000001</v>
      </c>
      <c r="BL122" s="4">
        <v>-83.200599999999994</v>
      </c>
      <c r="BM122" s="4">
        <v>91</v>
      </c>
      <c r="BN122" s="4" t="s">
        <v>873</v>
      </c>
      <c r="BO122" s="4">
        <v>66</v>
      </c>
      <c r="BP122" s="4" t="s">
        <v>874</v>
      </c>
      <c r="BY122" s="4" t="s">
        <v>875</v>
      </c>
      <c r="BZ122" s="4" t="s">
        <v>353</v>
      </c>
      <c r="CA122" s="4">
        <v>29.356411000000001</v>
      </c>
      <c r="CB122" s="4">
        <v>-83.185344000000001</v>
      </c>
      <c r="CC122" s="4">
        <v>182</v>
      </c>
      <c r="CD122" s="4" t="s">
        <v>876</v>
      </c>
      <c r="CE122" s="4">
        <v>128</v>
      </c>
      <c r="CP122" s="4" t="s">
        <v>353</v>
      </c>
      <c r="CQ122" s="4">
        <v>29.37951</v>
      </c>
      <c r="CR122" s="4">
        <v>-83.210160000000002</v>
      </c>
      <c r="CS122" s="4">
        <v>48</v>
      </c>
      <c r="CT122" s="4" t="s">
        <v>877</v>
      </c>
      <c r="DF122" s="4" t="s">
        <v>353</v>
      </c>
      <c r="DG122" s="4">
        <v>29.4285</v>
      </c>
      <c r="DH122" s="4">
        <v>-83.296629999999993</v>
      </c>
      <c r="DI122" s="4">
        <v>269</v>
      </c>
      <c r="DJ122" s="4" t="s">
        <v>878</v>
      </c>
      <c r="DS122" s="4">
        <v>8</v>
      </c>
      <c r="DV122" s="4" t="s">
        <v>359</v>
      </c>
    </row>
    <row r="123" spans="1:372" ht="12.75" x14ac:dyDescent="0.2">
      <c r="A123" s="3">
        <v>43504.498054861113</v>
      </c>
      <c r="B123" s="4" t="s">
        <v>456</v>
      </c>
      <c r="C123" s="4" t="s">
        <v>879</v>
      </c>
      <c r="D123" s="5">
        <v>43136</v>
      </c>
      <c r="E123" s="4" t="s">
        <v>458</v>
      </c>
      <c r="J123" s="6">
        <v>0.65486111110658385</v>
      </c>
      <c r="K123" s="4" t="s">
        <v>348</v>
      </c>
      <c r="L123" s="4" t="s">
        <v>358</v>
      </c>
      <c r="M123" s="4" t="s">
        <v>350</v>
      </c>
      <c r="N123" s="4" t="s">
        <v>351</v>
      </c>
      <c r="P123" s="4">
        <v>0</v>
      </c>
      <c r="Q123" s="4"/>
      <c r="R123" s="4"/>
      <c r="S123" s="4"/>
      <c r="T123" s="4"/>
      <c r="U123" s="4"/>
      <c r="V123" s="4"/>
      <c r="W123" s="4"/>
      <c r="X123" s="4"/>
      <c r="Y123" s="4"/>
      <c r="Z123" s="4"/>
      <c r="AA123" s="4"/>
      <c r="AB123" s="4"/>
      <c r="AC123" s="4"/>
      <c r="AD123" s="4"/>
      <c r="AE123" s="4">
        <v>2</v>
      </c>
      <c r="AF123" s="4">
        <v>1</v>
      </c>
      <c r="AG123" s="4"/>
      <c r="AH123" s="4"/>
      <c r="AI123" s="4"/>
      <c r="AJ123" s="4"/>
      <c r="AK123" s="4"/>
      <c r="AL123" s="4"/>
      <c r="AM123" s="4">
        <v>15</v>
      </c>
      <c r="AN123" s="4"/>
      <c r="AO123" s="4"/>
      <c r="AP123" s="4"/>
      <c r="AQ123" s="4"/>
      <c r="AR123" s="4"/>
      <c r="AS123" s="4"/>
      <c r="AT123" s="4"/>
      <c r="AU123" s="4">
        <v>12</v>
      </c>
      <c r="AV123" s="4"/>
      <c r="AW123" s="4"/>
      <c r="AX123" s="4">
        <v>52</v>
      </c>
      <c r="AY123" s="4">
        <v>1</v>
      </c>
      <c r="AZ123" s="4"/>
      <c r="BA123" s="4"/>
      <c r="BB123" s="4">
        <v>1</v>
      </c>
      <c r="BC123" s="4"/>
      <c r="BD123" s="4"/>
      <c r="BE123" s="4">
        <v>2</v>
      </c>
      <c r="BF123" s="4"/>
      <c r="BG123" s="4"/>
      <c r="BH123" s="4"/>
      <c r="BI123" s="4">
        <v>57</v>
      </c>
      <c r="BJ123" s="4" t="s">
        <v>353</v>
      </c>
      <c r="BK123" s="4">
        <v>29.687200000000001</v>
      </c>
      <c r="BL123" s="4">
        <v>-85.174670000000006</v>
      </c>
      <c r="BM123" s="4">
        <v>0</v>
      </c>
      <c r="BN123" s="4">
        <v>0</v>
      </c>
      <c r="BO123" s="4">
        <v>0</v>
      </c>
      <c r="BP123" s="4">
        <v>0</v>
      </c>
      <c r="BQ123" s="4">
        <v>0</v>
      </c>
      <c r="BR123" s="4">
        <v>0</v>
      </c>
      <c r="BS123" s="4">
        <v>0</v>
      </c>
      <c r="BT123" s="4">
        <v>0</v>
      </c>
      <c r="BU123" s="4">
        <v>0</v>
      </c>
      <c r="BV123" s="4">
        <v>0</v>
      </c>
      <c r="BW123" s="4">
        <v>0</v>
      </c>
      <c r="BX123" s="4">
        <v>0</v>
      </c>
      <c r="BY123" s="4" t="s">
        <v>880</v>
      </c>
      <c r="BZ123" s="4" t="s">
        <v>354</v>
      </c>
    </row>
    <row r="124" spans="1:372" ht="12.75" x14ac:dyDescent="0.2">
      <c r="A124" s="3">
        <v>43504.507422592593</v>
      </c>
      <c r="B124" s="4" t="s">
        <v>456</v>
      </c>
      <c r="C124" s="4" t="s">
        <v>881</v>
      </c>
      <c r="D124" s="5">
        <v>43501</v>
      </c>
      <c r="E124" s="4" t="s">
        <v>458</v>
      </c>
      <c r="J124" s="6">
        <v>0.64027777777664596</v>
      </c>
      <c r="K124" s="4" t="s">
        <v>348</v>
      </c>
      <c r="L124" s="4" t="s">
        <v>358</v>
      </c>
      <c r="M124" s="4" t="s">
        <v>350</v>
      </c>
      <c r="N124" s="4" t="s">
        <v>351</v>
      </c>
      <c r="P124" s="4">
        <v>5</v>
      </c>
      <c r="Q124" s="4">
        <v>10</v>
      </c>
      <c r="R124" s="4"/>
      <c r="S124" s="4">
        <v>9</v>
      </c>
      <c r="T124" s="4">
        <v>1</v>
      </c>
      <c r="U124" s="4"/>
      <c r="V124" s="4"/>
      <c r="W124" s="4"/>
      <c r="X124" s="4"/>
      <c r="Y124" s="4"/>
      <c r="Z124" s="4"/>
      <c r="AA124" s="4"/>
      <c r="AB124" s="4"/>
      <c r="AC124" s="4"/>
      <c r="AD124" s="4"/>
      <c r="AE124" s="4"/>
      <c r="AF124" s="4"/>
      <c r="AG124" s="4"/>
      <c r="AH124" s="4"/>
      <c r="AI124" s="4"/>
      <c r="AJ124" s="4"/>
      <c r="AK124" s="4"/>
      <c r="AL124" s="4"/>
      <c r="AM124" s="4">
        <v>13</v>
      </c>
      <c r="AN124" s="4"/>
      <c r="AO124" s="4"/>
      <c r="AP124" s="4"/>
      <c r="AQ124" s="4"/>
      <c r="AR124" s="4"/>
      <c r="AS124" s="4"/>
      <c r="AT124" s="4"/>
      <c r="AU124" s="4">
        <v>4</v>
      </c>
      <c r="AV124" s="4"/>
      <c r="AW124" s="4"/>
      <c r="AX124" s="4"/>
      <c r="AY124" s="4">
        <v>19</v>
      </c>
      <c r="AZ124" s="4"/>
      <c r="BA124" s="4"/>
      <c r="BB124" s="4"/>
      <c r="BC124" s="4">
        <v>3</v>
      </c>
      <c r="BD124" s="4"/>
      <c r="BE124" s="4">
        <v>1</v>
      </c>
      <c r="BF124" s="4"/>
      <c r="BG124" s="4"/>
      <c r="BH124" s="4"/>
      <c r="BI124" s="4">
        <v>2</v>
      </c>
      <c r="BJ124" s="4" t="s">
        <v>353</v>
      </c>
      <c r="BK124" s="4">
        <v>29.687149999999999</v>
      </c>
      <c r="BL124" s="4">
        <v>-85.224620000000002</v>
      </c>
      <c r="BM124" s="4">
        <v>3</v>
      </c>
      <c r="BN124" s="4">
        <v>0</v>
      </c>
      <c r="BO124" s="4">
        <v>0</v>
      </c>
      <c r="BP124" s="4">
        <v>0</v>
      </c>
      <c r="BQ124" s="4">
        <v>0</v>
      </c>
      <c r="BR124" s="4">
        <v>0</v>
      </c>
      <c r="BS124" s="4">
        <v>0</v>
      </c>
      <c r="BT124" s="4">
        <v>0</v>
      </c>
      <c r="BU124" s="4">
        <v>0</v>
      </c>
      <c r="BV124" s="4">
        <v>0</v>
      </c>
      <c r="BW124" s="4">
        <v>0</v>
      </c>
      <c r="BX124" s="4">
        <v>0</v>
      </c>
      <c r="BY124" s="4" t="s">
        <v>882</v>
      </c>
      <c r="BZ124" s="4" t="s">
        <v>353</v>
      </c>
      <c r="CA124" s="4">
        <v>29.689309999999999</v>
      </c>
      <c r="CB124" s="4">
        <v>-85.229349999999997</v>
      </c>
      <c r="CC124" s="4">
        <v>2</v>
      </c>
      <c r="CD124" s="4">
        <v>0</v>
      </c>
      <c r="CE124" s="4">
        <v>0</v>
      </c>
      <c r="CF124" s="4">
        <v>0</v>
      </c>
      <c r="CG124" s="4">
        <v>0</v>
      </c>
      <c r="CH124" s="4">
        <v>0</v>
      </c>
      <c r="CI124" s="4">
        <v>0</v>
      </c>
      <c r="CJ124" s="4">
        <v>0</v>
      </c>
      <c r="CK124" s="4">
        <v>0</v>
      </c>
      <c r="CL124" s="4">
        <v>0</v>
      </c>
      <c r="CM124" s="4">
        <v>0</v>
      </c>
      <c r="CN124" s="4">
        <v>0</v>
      </c>
      <c r="CO124" s="4">
        <v>0</v>
      </c>
      <c r="CP124" s="4" t="s">
        <v>466</v>
      </c>
    </row>
    <row r="125" spans="1:372" ht="12.75" x14ac:dyDescent="0.2">
      <c r="A125" s="3">
        <v>43501.629508194441</v>
      </c>
      <c r="B125" s="4" t="s">
        <v>883</v>
      </c>
      <c r="C125" s="4" t="s">
        <v>884</v>
      </c>
      <c r="D125" s="5">
        <v>43500</v>
      </c>
      <c r="E125" s="4" t="s">
        <v>885</v>
      </c>
      <c r="J125" s="6">
        <v>0.3944444444423425</v>
      </c>
      <c r="K125" s="4" t="s">
        <v>363</v>
      </c>
      <c r="L125" s="4" t="s">
        <v>349</v>
      </c>
      <c r="M125" s="4" t="s">
        <v>350</v>
      </c>
      <c r="N125" s="4" t="s">
        <v>351</v>
      </c>
      <c r="P125" s="4">
        <v>0</v>
      </c>
      <c r="Q125" s="4"/>
      <c r="R125" s="4">
        <v>1</v>
      </c>
      <c r="S125" s="4"/>
      <c r="T125" s="4"/>
      <c r="U125" s="4"/>
      <c r="V125" s="4"/>
      <c r="W125" s="4"/>
      <c r="X125" s="4"/>
      <c r="Y125" s="4"/>
      <c r="Z125" s="4"/>
      <c r="AA125" s="4"/>
      <c r="AB125" s="4"/>
      <c r="AC125" s="4"/>
      <c r="AD125" s="4"/>
      <c r="AE125" s="4">
        <v>9</v>
      </c>
      <c r="AF125" s="4">
        <v>9</v>
      </c>
      <c r="AG125" s="4"/>
      <c r="AH125" s="4"/>
      <c r="AI125" s="4"/>
      <c r="AJ125" s="4"/>
      <c r="AK125" s="4"/>
      <c r="AL125" s="4"/>
      <c r="AM125" s="4">
        <v>4</v>
      </c>
      <c r="AN125" s="4"/>
      <c r="AO125" s="4"/>
      <c r="AP125" s="4"/>
      <c r="AQ125" s="4"/>
      <c r="AR125" s="4">
        <v>1</v>
      </c>
      <c r="AS125" s="4">
        <v>4</v>
      </c>
      <c r="AT125" s="4"/>
      <c r="AU125" s="4"/>
      <c r="AV125" s="4"/>
      <c r="AW125" s="4"/>
      <c r="AX125" s="4">
        <v>12</v>
      </c>
      <c r="AY125" s="4">
        <v>22</v>
      </c>
      <c r="AZ125" s="4"/>
      <c r="BA125" s="4"/>
      <c r="BB125" s="4">
        <v>5</v>
      </c>
      <c r="BC125" s="4">
        <v>94</v>
      </c>
      <c r="BD125" s="4"/>
      <c r="BE125" s="4">
        <v>25</v>
      </c>
      <c r="BF125" s="4">
        <v>14</v>
      </c>
      <c r="BG125" s="4"/>
      <c r="BH125" s="4"/>
      <c r="BI125" s="4"/>
      <c r="BJ125" s="4" t="s">
        <v>364</v>
      </c>
    </row>
    <row r="126" spans="1:372" ht="12.75" x14ac:dyDescent="0.2">
      <c r="A126" s="3">
        <v>43499.75501400463</v>
      </c>
      <c r="B126" s="4" t="s">
        <v>886</v>
      </c>
      <c r="C126" s="4" t="s">
        <v>887</v>
      </c>
      <c r="D126" s="5">
        <v>43498</v>
      </c>
      <c r="E126" s="4" t="s">
        <v>888</v>
      </c>
      <c r="J126" s="6">
        <v>0.33333333333575865</v>
      </c>
      <c r="K126" s="4" t="s">
        <v>363</v>
      </c>
      <c r="L126" s="4" t="s">
        <v>349</v>
      </c>
      <c r="M126" s="4" t="s">
        <v>350</v>
      </c>
      <c r="N126" s="4" t="s">
        <v>351</v>
      </c>
      <c r="R126" s="4">
        <v>23</v>
      </c>
      <c r="AE126" s="4">
        <v>28</v>
      </c>
      <c r="AF126" s="4">
        <v>104</v>
      </c>
      <c r="AM126" s="4">
        <v>6</v>
      </c>
      <c r="AU126" s="4">
        <v>18</v>
      </c>
      <c r="AX126" s="4">
        <v>25</v>
      </c>
      <c r="AY126" s="4">
        <v>4</v>
      </c>
      <c r="BB126" s="4">
        <v>3</v>
      </c>
      <c r="BC126" s="4">
        <v>92</v>
      </c>
      <c r="BD126" s="4">
        <v>3</v>
      </c>
      <c r="BE126" s="4">
        <v>34</v>
      </c>
      <c r="BF126" s="4">
        <v>163</v>
      </c>
      <c r="BG126" s="4">
        <v>2</v>
      </c>
      <c r="BJ126" s="4" t="s">
        <v>364</v>
      </c>
    </row>
    <row r="127" spans="1:372" ht="12.75" x14ac:dyDescent="0.2">
      <c r="A127" s="3">
        <v>43502.716663564817</v>
      </c>
      <c r="B127" s="4" t="s">
        <v>889</v>
      </c>
      <c r="C127" s="4" t="s">
        <v>890</v>
      </c>
      <c r="D127" s="5">
        <v>43502</v>
      </c>
      <c r="E127" s="4" t="s">
        <v>891</v>
      </c>
      <c r="J127" s="6">
        <v>0.34722222221898846</v>
      </c>
      <c r="K127" s="4" t="s">
        <v>379</v>
      </c>
      <c r="L127" s="4" t="s">
        <v>349</v>
      </c>
      <c r="M127" s="4" t="s">
        <v>350</v>
      </c>
      <c r="N127" s="4" t="s">
        <v>351</v>
      </c>
      <c r="R127" s="4">
        <v>3</v>
      </c>
      <c r="AE127" s="4">
        <v>12</v>
      </c>
      <c r="AF127" s="4">
        <v>61</v>
      </c>
      <c r="AU127" s="4">
        <v>3</v>
      </c>
      <c r="AX127" s="4">
        <v>2</v>
      </c>
      <c r="BB127" s="4">
        <v>3</v>
      </c>
      <c r="BC127" s="4">
        <v>33</v>
      </c>
      <c r="BD127" s="4">
        <v>2</v>
      </c>
      <c r="BE127" s="4">
        <v>15</v>
      </c>
      <c r="BF127" s="4">
        <v>22</v>
      </c>
      <c r="BJ127" s="4" t="s">
        <v>364</v>
      </c>
    </row>
    <row r="128" spans="1:372" ht="12.75" x14ac:dyDescent="0.2">
      <c r="A128" s="3">
        <v>43522.642520555557</v>
      </c>
      <c r="B128" s="4" t="s">
        <v>530</v>
      </c>
      <c r="C128" s="4" t="s">
        <v>892</v>
      </c>
      <c r="D128" s="5">
        <v>43501</v>
      </c>
      <c r="E128" s="4" t="s">
        <v>532</v>
      </c>
      <c r="J128" s="6">
        <v>0.42708333333575865</v>
      </c>
      <c r="K128" s="4" t="s">
        <v>348</v>
      </c>
      <c r="L128" s="4" t="s">
        <v>358</v>
      </c>
      <c r="M128" s="4" t="s">
        <v>350</v>
      </c>
      <c r="N128" s="4" t="s">
        <v>533</v>
      </c>
      <c r="P128" s="4">
        <v>3</v>
      </c>
      <c r="BJ128" s="4" t="s">
        <v>353</v>
      </c>
      <c r="BK128" s="4">
        <v>27.782162</v>
      </c>
      <c r="BL128" s="4">
        <v>-80.441318999999993</v>
      </c>
      <c r="BM128" s="4">
        <v>2</v>
      </c>
      <c r="BZ128" s="4" t="s">
        <v>353</v>
      </c>
      <c r="CA128" s="4">
        <v>27.775074</v>
      </c>
      <c r="CB128" s="4">
        <v>-80.436374000000001</v>
      </c>
      <c r="CC128" s="4">
        <v>1</v>
      </c>
      <c r="CP128" s="4" t="s">
        <v>466</v>
      </c>
    </row>
    <row r="129" spans="1:190" ht="12.75" x14ac:dyDescent="0.2">
      <c r="A129" s="3">
        <v>43502.509595868054</v>
      </c>
      <c r="B129" s="4" t="s">
        <v>893</v>
      </c>
      <c r="C129" s="4" t="s">
        <v>894</v>
      </c>
      <c r="D129" s="5">
        <v>43502</v>
      </c>
      <c r="E129" s="4" t="s">
        <v>895</v>
      </c>
      <c r="J129" s="6">
        <v>0.39583333333575865</v>
      </c>
      <c r="K129" s="4" t="s">
        <v>379</v>
      </c>
      <c r="L129" s="4" t="s">
        <v>349</v>
      </c>
      <c r="M129" s="4" t="s">
        <v>350</v>
      </c>
      <c r="N129" s="4" t="s">
        <v>351</v>
      </c>
      <c r="P129" s="4">
        <v>0</v>
      </c>
      <c r="Q129" s="4"/>
      <c r="R129" s="4"/>
      <c r="S129" s="4"/>
      <c r="T129" s="4"/>
      <c r="U129" s="4"/>
      <c r="V129" s="4"/>
      <c r="W129" s="4"/>
      <c r="X129" s="4"/>
      <c r="Y129" s="4"/>
      <c r="Z129" s="4"/>
      <c r="AA129" s="4"/>
      <c r="AB129" s="4"/>
      <c r="AC129" s="4"/>
      <c r="AD129" s="4"/>
      <c r="AE129" s="4">
        <v>24</v>
      </c>
      <c r="AF129" s="4">
        <v>59</v>
      </c>
      <c r="AG129" s="4"/>
      <c r="AH129" s="4"/>
      <c r="AI129" s="4"/>
      <c r="AJ129" s="4"/>
      <c r="AK129" s="4"/>
      <c r="AL129" s="4"/>
      <c r="AM129" s="4"/>
      <c r="AN129" s="4"/>
      <c r="AO129" s="4"/>
      <c r="AP129" s="4"/>
      <c r="AQ129" s="4"/>
      <c r="AS129" s="4"/>
      <c r="AT129" s="4"/>
      <c r="AU129" s="4">
        <v>16</v>
      </c>
      <c r="AV129" s="4"/>
      <c r="AW129" s="4"/>
      <c r="AX129" s="4"/>
      <c r="AY129" s="4"/>
      <c r="AZ129" s="4"/>
      <c r="BA129" s="4"/>
      <c r="BB129" s="4">
        <v>12</v>
      </c>
      <c r="BC129" s="4"/>
      <c r="BD129" s="4">
        <v>5</v>
      </c>
      <c r="BE129" s="4">
        <v>6</v>
      </c>
      <c r="BF129" s="4"/>
      <c r="BG129" s="4"/>
      <c r="BH129" s="4"/>
      <c r="BI129" s="4"/>
      <c r="BJ129" s="4" t="s">
        <v>364</v>
      </c>
    </row>
    <row r="130" spans="1:190" ht="12.75" x14ac:dyDescent="0.2">
      <c r="A130" s="3">
        <v>43508.546823055556</v>
      </c>
      <c r="B130" s="4" t="s">
        <v>896</v>
      </c>
      <c r="C130" s="4" t="s">
        <v>897</v>
      </c>
      <c r="D130" s="5">
        <v>43497</v>
      </c>
      <c r="E130" s="4" t="s">
        <v>898</v>
      </c>
      <c r="J130" s="6">
        <v>0.32986111110949423</v>
      </c>
      <c r="K130" s="4" t="s">
        <v>348</v>
      </c>
      <c r="M130" s="4" t="s">
        <v>391</v>
      </c>
      <c r="N130" s="4" t="s">
        <v>351</v>
      </c>
      <c r="AE130" s="4">
        <v>43</v>
      </c>
      <c r="AF130" s="4">
        <v>42</v>
      </c>
      <c r="AU130" s="4">
        <v>16</v>
      </c>
      <c r="BB130" s="4">
        <v>2</v>
      </c>
      <c r="BC130" s="4">
        <v>8</v>
      </c>
      <c r="BE130" s="4">
        <v>38</v>
      </c>
      <c r="BF130" s="4">
        <v>105</v>
      </c>
      <c r="BG130" s="4">
        <v>1</v>
      </c>
      <c r="BJ130" s="4" t="s">
        <v>353</v>
      </c>
      <c r="BK130" s="4">
        <v>26.943290999999999</v>
      </c>
      <c r="BL130" s="4">
        <v>-80.071225999999996</v>
      </c>
      <c r="BY130" s="4" t="s">
        <v>899</v>
      </c>
      <c r="BZ130" s="4" t="s">
        <v>354</v>
      </c>
    </row>
    <row r="131" spans="1:190" ht="12.75" x14ac:dyDescent="0.2">
      <c r="A131" s="3">
        <v>43509.547741712959</v>
      </c>
      <c r="B131" s="4" t="s">
        <v>900</v>
      </c>
      <c r="C131" s="4" t="s">
        <v>901</v>
      </c>
      <c r="D131" s="5">
        <v>43501</v>
      </c>
      <c r="E131" s="4" t="s">
        <v>484</v>
      </c>
      <c r="J131" s="6">
        <v>0.33333333333575865</v>
      </c>
      <c r="K131" s="4" t="s">
        <v>379</v>
      </c>
      <c r="L131" s="4" t="s">
        <v>358</v>
      </c>
      <c r="M131" s="4" t="s">
        <v>350</v>
      </c>
      <c r="N131" s="4" t="s">
        <v>351</v>
      </c>
      <c r="R131" s="4">
        <v>30</v>
      </c>
      <c r="AE131" s="4">
        <v>49</v>
      </c>
      <c r="AF131" s="4">
        <v>511</v>
      </c>
      <c r="AG131" s="4">
        <v>20</v>
      </c>
      <c r="AI131" s="4">
        <v>2</v>
      </c>
      <c r="AM131" s="4">
        <v>13</v>
      </c>
      <c r="AN131" s="4">
        <v>9</v>
      </c>
      <c r="AR131" s="4">
        <v>1</v>
      </c>
      <c r="AU131" s="4">
        <v>26</v>
      </c>
      <c r="AX131" s="4">
        <v>33</v>
      </c>
      <c r="BB131" s="4">
        <v>4</v>
      </c>
      <c r="BC131" s="4">
        <v>11</v>
      </c>
      <c r="BE131" s="4">
        <v>28</v>
      </c>
      <c r="BF131" s="4">
        <v>145</v>
      </c>
      <c r="BG131" s="4">
        <v>39</v>
      </c>
      <c r="BJ131" s="4" t="s">
        <v>353</v>
      </c>
      <c r="BK131" s="4">
        <v>25.989711</v>
      </c>
      <c r="BL131" s="4">
        <v>-81.750867999999997</v>
      </c>
      <c r="BO131" s="4">
        <v>1</v>
      </c>
      <c r="BU131" s="4">
        <v>2</v>
      </c>
      <c r="BW131" s="4">
        <v>5</v>
      </c>
      <c r="BZ131" s="4" t="s">
        <v>353</v>
      </c>
      <c r="CA131" s="4">
        <v>25.991160000000001</v>
      </c>
      <c r="CB131" s="4">
        <v>-81.752179999999996</v>
      </c>
      <c r="CE131" s="4"/>
      <c r="CM131" s="4">
        <v>2</v>
      </c>
      <c r="CP131" s="4" t="s">
        <v>353</v>
      </c>
      <c r="CQ131" s="4">
        <v>25.992182</v>
      </c>
      <c r="CR131" s="4">
        <v>-81.753399000000002</v>
      </c>
      <c r="DC131" s="4">
        <v>2</v>
      </c>
      <c r="DF131" s="4" t="s">
        <v>359</v>
      </c>
    </row>
    <row r="132" spans="1:190" ht="12.75" x14ac:dyDescent="0.2">
      <c r="A132" s="3">
        <v>43507.702308715277</v>
      </c>
      <c r="B132" s="4" t="s">
        <v>482</v>
      </c>
      <c r="C132" s="4" t="s">
        <v>902</v>
      </c>
      <c r="D132" s="5">
        <v>43504</v>
      </c>
      <c r="E132" s="4" t="s">
        <v>484</v>
      </c>
      <c r="J132" s="6">
        <v>0.47916666666424135</v>
      </c>
      <c r="K132" s="4" t="s">
        <v>379</v>
      </c>
      <c r="L132" s="4" t="s">
        <v>358</v>
      </c>
      <c r="M132" s="4" t="s">
        <v>350</v>
      </c>
      <c r="N132" s="4" t="s">
        <v>351</v>
      </c>
      <c r="R132" s="4">
        <v>45</v>
      </c>
      <c r="S132" s="4">
        <v>23</v>
      </c>
      <c r="Z132" s="4">
        <v>65</v>
      </c>
      <c r="AB132" s="4">
        <v>6</v>
      </c>
      <c r="AE132" s="4">
        <v>18</v>
      </c>
      <c r="AF132" s="4">
        <v>111</v>
      </c>
      <c r="AK132" s="4">
        <v>4</v>
      </c>
      <c r="AM132" s="4">
        <v>65</v>
      </c>
      <c r="BC132" s="4">
        <v>2</v>
      </c>
      <c r="BE132" s="4">
        <v>8</v>
      </c>
      <c r="BF132" s="4">
        <v>223</v>
      </c>
      <c r="BJ132" s="4" t="s">
        <v>364</v>
      </c>
    </row>
    <row r="133" spans="1:190" ht="12.75" x14ac:dyDescent="0.2">
      <c r="A133" s="3">
        <v>43515.357174432866</v>
      </c>
      <c r="B133" s="4" t="s">
        <v>511</v>
      </c>
      <c r="C133" s="4" t="s">
        <v>903</v>
      </c>
      <c r="D133" s="5">
        <v>43503</v>
      </c>
      <c r="E133" s="4" t="s">
        <v>676</v>
      </c>
      <c r="J133" s="6">
        <v>0.37638888889341615</v>
      </c>
      <c r="M133" s="4" t="s">
        <v>350</v>
      </c>
      <c r="N133" s="4" t="s">
        <v>351</v>
      </c>
      <c r="P133" s="4">
        <v>0</v>
      </c>
      <c r="Q133" s="4"/>
      <c r="R133" s="4"/>
      <c r="S133" s="4"/>
      <c r="T133" s="4"/>
      <c r="U133" s="4"/>
      <c r="V133" s="4"/>
      <c r="W133" s="4"/>
      <c r="X133" s="4"/>
      <c r="Y133" s="4"/>
      <c r="Z133" s="4"/>
      <c r="AA133" s="4"/>
      <c r="AB133" s="4"/>
      <c r="AC133" s="4"/>
      <c r="AD133" s="4"/>
      <c r="AE133" s="4">
        <v>2</v>
      </c>
      <c r="AF133" s="4">
        <v>2</v>
      </c>
      <c r="AG133" s="4"/>
      <c r="AH133" s="4"/>
      <c r="AI133" s="4"/>
      <c r="AJ133" s="4"/>
      <c r="AK133" s="4"/>
      <c r="AL133" s="4"/>
      <c r="AM133" s="4">
        <v>4</v>
      </c>
      <c r="AN133" s="4"/>
      <c r="AO133" s="4"/>
      <c r="AP133" s="4"/>
      <c r="AQ133" s="4"/>
      <c r="AR133" s="4">
        <v>1</v>
      </c>
      <c r="AS133" s="4"/>
      <c r="AT133" s="4"/>
      <c r="AU133" s="4"/>
      <c r="AV133" s="4"/>
      <c r="AW133" s="4"/>
      <c r="AX133" s="4"/>
      <c r="AY133" s="4"/>
      <c r="AZ133" s="4"/>
      <c r="BA133" s="4"/>
      <c r="BB133" s="4">
        <v>1</v>
      </c>
      <c r="BC133" s="4"/>
      <c r="BD133" s="4"/>
      <c r="BE133" s="4">
        <v>3</v>
      </c>
      <c r="BF133" s="4">
        <v>3</v>
      </c>
      <c r="BG133" s="4">
        <v>2</v>
      </c>
      <c r="BH133" s="4"/>
      <c r="BI133" s="4"/>
      <c r="BJ133" s="4" t="s">
        <v>353</v>
      </c>
      <c r="BK133" s="4">
        <v>26.867999999999999</v>
      </c>
      <c r="BL133" s="4">
        <v>-82.32</v>
      </c>
      <c r="BM133" s="4">
        <v>0</v>
      </c>
      <c r="BO133" s="4">
        <v>1</v>
      </c>
      <c r="BQ133" s="4">
        <v>0</v>
      </c>
      <c r="BS133" s="4">
        <v>0</v>
      </c>
      <c r="BU133" s="4">
        <v>0</v>
      </c>
      <c r="BW133" s="4">
        <v>0</v>
      </c>
      <c r="BZ133" s="4" t="s">
        <v>354</v>
      </c>
    </row>
    <row r="134" spans="1:190" ht="12.75" x14ac:dyDescent="0.2">
      <c r="A134" s="3">
        <v>43507.714767974539</v>
      </c>
      <c r="B134" s="4" t="s">
        <v>573</v>
      </c>
      <c r="C134" s="4" t="s">
        <v>904</v>
      </c>
      <c r="D134" s="5">
        <v>43501</v>
      </c>
      <c r="E134" s="4" t="s">
        <v>581</v>
      </c>
      <c r="J134" s="6">
        <v>0.53611111111240461</v>
      </c>
      <c r="L134" s="4" t="s">
        <v>358</v>
      </c>
      <c r="M134" s="4" t="s">
        <v>350</v>
      </c>
      <c r="N134" s="4" t="s">
        <v>351</v>
      </c>
      <c r="R134" s="4">
        <v>4</v>
      </c>
      <c r="AE134" s="4">
        <v>13</v>
      </c>
      <c r="AX134" s="4">
        <v>2</v>
      </c>
      <c r="BJ134" s="4" t="s">
        <v>364</v>
      </c>
    </row>
    <row r="135" spans="1:190" ht="12.75" x14ac:dyDescent="0.2">
      <c r="A135" s="3">
        <v>43522.664048425926</v>
      </c>
      <c r="B135" s="4" t="s">
        <v>905</v>
      </c>
      <c r="C135" s="4" t="s">
        <v>906</v>
      </c>
      <c r="D135" s="5">
        <v>43503</v>
      </c>
      <c r="E135" s="4" t="s">
        <v>907</v>
      </c>
      <c r="F135" s="4">
        <v>25.18224</v>
      </c>
      <c r="G135" s="4">
        <v>-81.137900000000002</v>
      </c>
      <c r="H135" s="4">
        <v>25.033280000000001</v>
      </c>
      <c r="I135" s="4">
        <v>-81.010300000000001</v>
      </c>
      <c r="J135" s="6">
        <v>0.42708333333575865</v>
      </c>
      <c r="K135" s="4" t="s">
        <v>379</v>
      </c>
      <c r="L135" s="4" t="s">
        <v>390</v>
      </c>
      <c r="M135" s="4" t="s">
        <v>350</v>
      </c>
      <c r="N135" s="4" t="s">
        <v>351</v>
      </c>
      <c r="O135" s="4" t="s">
        <v>908</v>
      </c>
      <c r="P135" s="4">
        <v>0</v>
      </c>
      <c r="Q135" s="4"/>
      <c r="R135" s="4">
        <v>21</v>
      </c>
      <c r="S135" s="4">
        <v>7</v>
      </c>
      <c r="T135" s="4"/>
      <c r="U135" s="4"/>
      <c r="V135" s="4">
        <v>176</v>
      </c>
      <c r="W135" s="4"/>
      <c r="X135" s="4"/>
      <c r="Y135" s="4"/>
      <c r="Z135" s="4">
        <v>156</v>
      </c>
      <c r="AA135" s="4"/>
      <c r="AB135" s="4">
        <v>8</v>
      </c>
      <c r="AC135" s="4"/>
      <c r="AD135" s="4"/>
      <c r="AE135" s="4">
        <v>1</v>
      </c>
      <c r="AF135" s="4"/>
      <c r="AG135" s="4">
        <v>31</v>
      </c>
      <c r="AH135" s="4"/>
      <c r="AI135" s="4"/>
      <c r="AJ135" s="4">
        <v>28</v>
      </c>
      <c r="AK135" s="4">
        <v>1910</v>
      </c>
      <c r="AL135" s="4">
        <v>14</v>
      </c>
      <c r="AM135" s="4">
        <v>182</v>
      </c>
      <c r="AN135" s="4">
        <v>2</v>
      </c>
      <c r="AO135" s="4"/>
      <c r="AP135" s="4">
        <v>162</v>
      </c>
      <c r="AQ135" s="4"/>
      <c r="AR135" s="4"/>
      <c r="AS135" s="4"/>
      <c r="AT135" s="4"/>
      <c r="AU135" s="4">
        <v>10</v>
      </c>
      <c r="AV135" s="4">
        <v>41</v>
      </c>
      <c r="AW135" s="4"/>
      <c r="AX135" s="4">
        <v>330</v>
      </c>
      <c r="AY135" s="4"/>
      <c r="AZ135" s="4"/>
      <c r="BA135" s="4"/>
      <c r="BB135" s="4"/>
      <c r="BC135" s="4"/>
      <c r="BD135" s="4">
        <v>1</v>
      </c>
      <c r="BE135" s="4"/>
      <c r="BF135" s="4"/>
      <c r="BG135" s="4"/>
      <c r="BH135" s="4"/>
      <c r="BI135" s="4">
        <v>845</v>
      </c>
      <c r="BJ135" s="4" t="s">
        <v>353</v>
      </c>
      <c r="BK135" s="4">
        <v>25.141712999999999</v>
      </c>
      <c r="BL135" s="4">
        <v>-81.089135999999996</v>
      </c>
      <c r="BM135" s="4">
        <v>0</v>
      </c>
      <c r="BN135" s="4" t="s">
        <v>828</v>
      </c>
      <c r="BO135" s="4">
        <v>0</v>
      </c>
      <c r="BP135" s="4" t="s">
        <v>828</v>
      </c>
      <c r="BQ135" s="4">
        <v>0</v>
      </c>
      <c r="BR135" s="4" t="s">
        <v>828</v>
      </c>
      <c r="BS135" s="4">
        <v>0</v>
      </c>
      <c r="BT135" s="4" t="s">
        <v>828</v>
      </c>
      <c r="BU135" s="4">
        <v>0</v>
      </c>
      <c r="BV135" s="4" t="s">
        <v>828</v>
      </c>
      <c r="BW135" s="4">
        <v>1</v>
      </c>
      <c r="BX135" s="4" t="s">
        <v>846</v>
      </c>
      <c r="BY135" s="4">
        <v>0</v>
      </c>
      <c r="BZ135" s="4" t="s">
        <v>353</v>
      </c>
      <c r="CA135" s="4">
        <v>25.141728000000001</v>
      </c>
      <c r="CB135" s="4">
        <v>-81.088954999999999</v>
      </c>
      <c r="CC135" s="4">
        <v>0</v>
      </c>
      <c r="CD135" s="4" t="s">
        <v>828</v>
      </c>
      <c r="CE135" s="4">
        <v>0</v>
      </c>
      <c r="CF135" s="4" t="s">
        <v>828</v>
      </c>
      <c r="CG135" s="4">
        <v>0</v>
      </c>
      <c r="CH135" s="4" t="s">
        <v>828</v>
      </c>
      <c r="CI135" s="4">
        <v>0</v>
      </c>
      <c r="CJ135" s="4" t="s">
        <v>828</v>
      </c>
      <c r="CK135" s="4">
        <v>0</v>
      </c>
      <c r="CL135" s="4" t="s">
        <v>828</v>
      </c>
      <c r="CM135" s="4">
        <v>1</v>
      </c>
      <c r="CN135" s="4" t="s">
        <v>846</v>
      </c>
      <c r="CO135" s="4">
        <v>0</v>
      </c>
      <c r="CP135" s="4" t="s">
        <v>466</v>
      </c>
    </row>
    <row r="136" spans="1:190" ht="12.75" x14ac:dyDescent="0.2">
      <c r="A136" s="3">
        <v>43509.64348712963</v>
      </c>
      <c r="B136" s="4" t="s">
        <v>909</v>
      </c>
      <c r="C136" s="4" t="s">
        <v>910</v>
      </c>
      <c r="D136" s="5">
        <v>43502</v>
      </c>
      <c r="E136" s="4" t="s">
        <v>911</v>
      </c>
      <c r="J136" s="6">
        <v>0.5625</v>
      </c>
      <c r="M136" s="4" t="s">
        <v>350</v>
      </c>
      <c r="N136" s="4" t="s">
        <v>351</v>
      </c>
      <c r="O136" s="4" t="s">
        <v>912</v>
      </c>
      <c r="R136" s="4">
        <v>50</v>
      </c>
      <c r="S136" s="4">
        <v>2</v>
      </c>
      <c r="T136" s="4">
        <v>1</v>
      </c>
      <c r="U136" s="4">
        <v>3</v>
      </c>
      <c r="V136" s="4">
        <v>30</v>
      </c>
      <c r="W136" s="4">
        <v>4</v>
      </c>
      <c r="Y136" s="4">
        <v>30</v>
      </c>
      <c r="AO136" s="4">
        <v>2</v>
      </c>
      <c r="AR136" s="4">
        <v>205</v>
      </c>
      <c r="AS136" s="4">
        <v>3</v>
      </c>
      <c r="AU136" s="4">
        <v>12</v>
      </c>
      <c r="AV136" s="4">
        <v>63</v>
      </c>
      <c r="AX136" s="4">
        <v>31</v>
      </c>
      <c r="AY136" s="4">
        <v>23</v>
      </c>
      <c r="BB136" s="4">
        <v>5</v>
      </c>
      <c r="BC136" s="4">
        <v>170</v>
      </c>
      <c r="BE136" s="4">
        <v>53</v>
      </c>
      <c r="BJ136" s="4" t="s">
        <v>353</v>
      </c>
      <c r="BK136" s="4">
        <v>27.140499999999999</v>
      </c>
      <c r="BL136" s="4">
        <v>-80.858000000000004</v>
      </c>
      <c r="BO136" s="4">
        <v>205</v>
      </c>
      <c r="BZ136" s="4" t="s">
        <v>353</v>
      </c>
      <c r="FB136" s="4" t="s">
        <v>359</v>
      </c>
    </row>
    <row r="137" spans="1:190" ht="12.75" x14ac:dyDescent="0.2">
      <c r="A137" s="3">
        <v>43509.647301307872</v>
      </c>
      <c r="B137" s="4" t="s">
        <v>909</v>
      </c>
      <c r="C137" s="4" t="s">
        <v>913</v>
      </c>
      <c r="D137" s="5">
        <v>43502</v>
      </c>
      <c r="E137" s="4" t="s">
        <v>911</v>
      </c>
      <c r="J137" s="6">
        <v>0.60416666666424135</v>
      </c>
      <c r="M137" s="4" t="s">
        <v>350</v>
      </c>
      <c r="N137" s="4" t="s">
        <v>351</v>
      </c>
      <c r="O137" s="4" t="s">
        <v>914</v>
      </c>
      <c r="S137" s="4">
        <v>2</v>
      </c>
      <c r="T137" s="4">
        <v>62</v>
      </c>
      <c r="U137" s="4">
        <v>143</v>
      </c>
      <c r="V137" s="4">
        <v>77</v>
      </c>
      <c r="W137" s="4">
        <v>250</v>
      </c>
      <c r="Y137" s="4">
        <v>550</v>
      </c>
      <c r="AO137" s="4">
        <v>16</v>
      </c>
      <c r="AV137" s="4">
        <v>20</v>
      </c>
      <c r="AX137" s="4">
        <v>49</v>
      </c>
      <c r="AY137" s="4">
        <v>9</v>
      </c>
      <c r="BC137" s="4">
        <v>201</v>
      </c>
      <c r="BE137" s="4">
        <v>5</v>
      </c>
      <c r="BJ137" s="4" t="s">
        <v>364</v>
      </c>
    </row>
    <row r="138" spans="1:190" ht="12.75" x14ac:dyDescent="0.2">
      <c r="A138" s="3">
        <v>43509.63572225695</v>
      </c>
      <c r="B138" s="4" t="s">
        <v>909</v>
      </c>
      <c r="C138" s="4" t="s">
        <v>915</v>
      </c>
      <c r="D138" s="5">
        <v>43502</v>
      </c>
      <c r="E138" s="4" t="s">
        <v>911</v>
      </c>
      <c r="J138" s="6">
        <v>0.60069444444525288</v>
      </c>
      <c r="M138" s="4" t="s">
        <v>350</v>
      </c>
      <c r="N138" s="4" t="s">
        <v>351</v>
      </c>
      <c r="O138" s="4" t="s">
        <v>916</v>
      </c>
      <c r="T138" s="4">
        <v>1</v>
      </c>
      <c r="W138" s="4">
        <v>2</v>
      </c>
      <c r="Y138" s="4">
        <v>2</v>
      </c>
      <c r="AO138" s="4">
        <v>1</v>
      </c>
      <c r="BC138" s="4">
        <v>2</v>
      </c>
      <c r="BJ138" s="4" t="s">
        <v>364</v>
      </c>
    </row>
    <row r="139" spans="1:190" ht="12.75" x14ac:dyDescent="0.2">
      <c r="A139" s="3">
        <v>43509.653937280091</v>
      </c>
      <c r="B139" s="4" t="s">
        <v>909</v>
      </c>
      <c r="C139" s="4" t="s">
        <v>917</v>
      </c>
      <c r="D139" s="5">
        <v>43500</v>
      </c>
      <c r="E139" s="4" t="s">
        <v>911</v>
      </c>
      <c r="J139" s="6">
        <v>0.58333333333575865</v>
      </c>
      <c r="N139" s="4" t="s">
        <v>351</v>
      </c>
      <c r="O139" s="4" t="s">
        <v>918</v>
      </c>
      <c r="U139" s="4">
        <v>6</v>
      </c>
      <c r="AU139" s="4">
        <v>2</v>
      </c>
      <c r="AV139" s="4">
        <v>1</v>
      </c>
      <c r="AX139" s="4">
        <v>3</v>
      </c>
      <c r="AY139" s="4">
        <v>1</v>
      </c>
      <c r="BC139" s="4">
        <v>59</v>
      </c>
      <c r="BE139" s="4">
        <v>20</v>
      </c>
      <c r="BJ139" s="4" t="s">
        <v>364</v>
      </c>
    </row>
    <row r="140" spans="1:190" ht="12.75" x14ac:dyDescent="0.2">
      <c r="A140" s="3">
        <v>43503.576439606477</v>
      </c>
      <c r="B140" s="4" t="s">
        <v>919</v>
      </c>
      <c r="C140" s="4" t="s">
        <v>920</v>
      </c>
      <c r="D140" s="5">
        <v>43503</v>
      </c>
      <c r="E140" s="4" t="s">
        <v>654</v>
      </c>
      <c r="J140" s="6">
        <v>0</v>
      </c>
      <c r="K140" s="4" t="s">
        <v>379</v>
      </c>
      <c r="L140" s="4" t="s">
        <v>358</v>
      </c>
      <c r="M140" s="4" t="s">
        <v>350</v>
      </c>
      <c r="N140" s="4" t="s">
        <v>351</v>
      </c>
      <c r="S140" s="4">
        <v>17</v>
      </c>
      <c r="V140" s="4">
        <v>7</v>
      </c>
      <c r="Y140" s="4">
        <v>3</v>
      </c>
      <c r="AQ140" s="4">
        <v>50</v>
      </c>
      <c r="AY140" s="4">
        <v>2</v>
      </c>
      <c r="BJ140" s="4" t="s">
        <v>364</v>
      </c>
    </row>
    <row r="141" spans="1:190" ht="12.75" x14ac:dyDescent="0.2">
      <c r="A141" s="3">
        <v>43508.566469907411</v>
      </c>
      <c r="B141" s="4" t="s">
        <v>921</v>
      </c>
      <c r="C141" s="4" t="s">
        <v>922</v>
      </c>
      <c r="D141" s="5">
        <v>43498</v>
      </c>
      <c r="E141" s="4" t="s">
        <v>923</v>
      </c>
      <c r="F141" s="4">
        <v>26.361740000000001</v>
      </c>
      <c r="G141" s="4">
        <v>-80.025800000000004</v>
      </c>
      <c r="H141" s="4">
        <v>26.355899999999998</v>
      </c>
      <c r="I141" s="4">
        <v>-80.025800000000004</v>
      </c>
      <c r="J141" s="6">
        <v>0.50833333333139308</v>
      </c>
      <c r="K141" s="4" t="s">
        <v>379</v>
      </c>
      <c r="M141" s="4" t="s">
        <v>350</v>
      </c>
      <c r="N141" s="4" t="s">
        <v>351</v>
      </c>
      <c r="O141" s="4" t="s">
        <v>923</v>
      </c>
      <c r="P141" s="4">
        <v>0</v>
      </c>
      <c r="Q141" s="4"/>
      <c r="R141" s="4">
        <v>80</v>
      </c>
      <c r="S141" s="4"/>
      <c r="T141" s="4"/>
      <c r="U141" s="4"/>
      <c r="V141" s="4"/>
      <c r="W141" s="4"/>
      <c r="X141" s="4"/>
      <c r="Y141" s="4"/>
      <c r="Z141" s="4">
        <v>2</v>
      </c>
      <c r="AA141" s="4"/>
      <c r="AB141" s="4"/>
      <c r="AC141" s="4"/>
      <c r="AD141" s="4"/>
      <c r="AE141" s="4"/>
      <c r="AF141" s="4"/>
      <c r="AG141" s="4"/>
      <c r="AH141" s="4"/>
      <c r="AI141" s="4"/>
      <c r="AJ141" s="4"/>
      <c r="AK141" s="4"/>
      <c r="AL141" s="4"/>
      <c r="AM141" s="4"/>
      <c r="AN141" s="4"/>
      <c r="AO141" s="4"/>
      <c r="AP141" s="4"/>
      <c r="AQ141" s="4"/>
      <c r="AR141" s="4"/>
      <c r="AS141" s="4"/>
      <c r="AT141" s="4"/>
      <c r="AU141" s="4">
        <v>17</v>
      </c>
      <c r="AV141" s="4"/>
      <c r="AW141" s="4"/>
      <c r="AX141" s="4">
        <v>1</v>
      </c>
      <c r="AY141" s="4"/>
      <c r="AZ141" s="4"/>
      <c r="BA141" s="4"/>
      <c r="BB141" s="4"/>
      <c r="BC141" s="4">
        <v>4</v>
      </c>
      <c r="BD141" s="4"/>
      <c r="BE141" s="4">
        <v>5</v>
      </c>
      <c r="BF141" s="4">
        <v>15</v>
      </c>
      <c r="BG141" s="4"/>
      <c r="BH141" s="4"/>
      <c r="BI141" s="4"/>
      <c r="BJ141" s="4" t="s">
        <v>364</v>
      </c>
    </row>
    <row r="142" spans="1:190" ht="12.75" x14ac:dyDescent="0.2">
      <c r="A142" s="3">
        <v>43513.899209756943</v>
      </c>
      <c r="B142" s="4" t="s">
        <v>360</v>
      </c>
      <c r="C142" s="4" t="s">
        <v>924</v>
      </c>
      <c r="D142" s="5">
        <v>43501</v>
      </c>
      <c r="E142" s="4" t="s">
        <v>925</v>
      </c>
      <c r="F142" s="4">
        <v>27.12</v>
      </c>
      <c r="G142" s="4">
        <v>-80.671999999999997</v>
      </c>
      <c r="H142" s="4">
        <v>27.157</v>
      </c>
      <c r="I142" s="4">
        <v>-80.677000000000007</v>
      </c>
      <c r="J142" s="6">
        <v>0.33333333333575865</v>
      </c>
      <c r="K142" s="4" t="s">
        <v>348</v>
      </c>
      <c r="L142" s="4" t="s">
        <v>349</v>
      </c>
      <c r="M142" s="4" t="s">
        <v>350</v>
      </c>
      <c r="N142" s="4" t="s">
        <v>351</v>
      </c>
      <c r="O142" s="4" t="s">
        <v>926</v>
      </c>
      <c r="U142" s="4">
        <v>9</v>
      </c>
      <c r="AX142" s="4">
        <v>45</v>
      </c>
      <c r="BC142" s="4">
        <v>6</v>
      </c>
      <c r="BE142" s="4">
        <v>4</v>
      </c>
      <c r="BJ142" s="4" t="s">
        <v>364</v>
      </c>
    </row>
    <row r="143" spans="1:190" ht="12.75" x14ac:dyDescent="0.2">
      <c r="A143" s="3">
        <v>43508.552710775461</v>
      </c>
      <c r="B143" s="4" t="s">
        <v>573</v>
      </c>
      <c r="C143" s="4" t="s">
        <v>927</v>
      </c>
      <c r="D143" s="5">
        <v>43502</v>
      </c>
      <c r="E143" s="4" t="s">
        <v>575</v>
      </c>
      <c r="J143" s="6">
        <v>0.54861111110949423</v>
      </c>
      <c r="K143" s="4" t="s">
        <v>348</v>
      </c>
      <c r="M143" s="4" t="s">
        <v>350</v>
      </c>
      <c r="N143" s="4" t="s">
        <v>351</v>
      </c>
      <c r="P143" s="4">
        <v>132</v>
      </c>
      <c r="Q143" s="4"/>
      <c r="R143" s="4">
        <v>29</v>
      </c>
      <c r="S143" s="4">
        <v>467</v>
      </c>
      <c r="T143" s="4"/>
      <c r="U143" s="4"/>
      <c r="V143" s="4"/>
      <c r="W143" s="4"/>
      <c r="X143" s="4"/>
      <c r="Y143" s="4"/>
      <c r="Z143" s="4">
        <v>107</v>
      </c>
      <c r="AA143" s="4"/>
      <c r="AB143" s="4">
        <v>326</v>
      </c>
      <c r="AC143" s="4">
        <v>6</v>
      </c>
      <c r="AD143" s="4"/>
      <c r="AE143" s="4">
        <v>17</v>
      </c>
      <c r="AF143" s="4">
        <v>160</v>
      </c>
      <c r="AG143" s="4">
        <v>18</v>
      </c>
      <c r="AH143" s="4">
        <v>18</v>
      </c>
      <c r="AI143" s="4"/>
      <c r="AJ143" s="4"/>
      <c r="AK143" s="4"/>
      <c r="AL143" s="4"/>
      <c r="AM143" s="4">
        <v>255</v>
      </c>
      <c r="AN143" s="4">
        <v>2</v>
      </c>
      <c r="AO143" s="4"/>
      <c r="AP143" s="4"/>
      <c r="AQ143" s="4"/>
      <c r="AR143" s="4">
        <v>1</v>
      </c>
      <c r="AS143" s="4"/>
      <c r="AT143" s="4"/>
      <c r="AU143" s="4"/>
      <c r="AV143" s="4">
        <v>1</v>
      </c>
      <c r="AW143" s="4"/>
      <c r="AX143" s="4"/>
      <c r="AY143" s="4">
        <v>8</v>
      </c>
      <c r="AZ143" s="4"/>
      <c r="BA143" s="4"/>
      <c r="BB143" s="4">
        <v>7</v>
      </c>
      <c r="BC143" s="4">
        <v>42</v>
      </c>
      <c r="BD143" s="4"/>
      <c r="BE143" s="4">
        <v>19</v>
      </c>
      <c r="BF143" s="4"/>
      <c r="BG143" s="4"/>
      <c r="BH143" s="4"/>
      <c r="BI143" s="4"/>
      <c r="BJ143" s="4" t="s">
        <v>353</v>
      </c>
      <c r="BK143" s="4">
        <v>29.871510000000001</v>
      </c>
      <c r="BL143" s="4">
        <v>-84.591210000000004</v>
      </c>
      <c r="BM143" s="4">
        <v>2</v>
      </c>
      <c r="BZ143" s="4" t="s">
        <v>353</v>
      </c>
      <c r="CA143" s="4">
        <v>29.869910000000001</v>
      </c>
      <c r="CB143" s="4">
        <v>-84.59469</v>
      </c>
      <c r="CC143" s="4">
        <v>2</v>
      </c>
      <c r="CP143" s="4" t="s">
        <v>353</v>
      </c>
      <c r="CQ143" s="4">
        <v>29.869</v>
      </c>
      <c r="CR143" s="4">
        <v>-84.596919999999997</v>
      </c>
      <c r="CS143" s="4">
        <v>3</v>
      </c>
      <c r="DF143" s="4" t="s">
        <v>353</v>
      </c>
      <c r="DG143" s="4">
        <v>29.869260000000001</v>
      </c>
      <c r="DH143" s="4">
        <v>-84.593800000000002</v>
      </c>
      <c r="DI143" s="4">
        <v>2</v>
      </c>
      <c r="DV143" s="4" t="s">
        <v>353</v>
      </c>
      <c r="DW143" s="4">
        <v>29.869910000000001</v>
      </c>
      <c r="DX143" s="4">
        <v>-84.592380000000006</v>
      </c>
      <c r="DY143" s="4">
        <v>2</v>
      </c>
      <c r="EL143" s="4" t="s">
        <v>353</v>
      </c>
      <c r="EM143" s="4">
        <v>29.870719999999999</v>
      </c>
      <c r="EN143" s="4">
        <v>-84.589309999999998</v>
      </c>
      <c r="EO143" s="4">
        <v>5</v>
      </c>
      <c r="FB143" s="4" t="s">
        <v>353</v>
      </c>
      <c r="FC143" s="4">
        <v>29.871310000000001</v>
      </c>
      <c r="FD143" s="4">
        <v>-84.587530000000001</v>
      </c>
      <c r="FE143" s="4">
        <v>3</v>
      </c>
      <c r="FI143" s="4">
        <v>6</v>
      </c>
      <c r="FJ143" s="4" t="s">
        <v>928</v>
      </c>
      <c r="FO143" s="4">
        <v>2</v>
      </c>
      <c r="FR143" s="4" t="s">
        <v>353</v>
      </c>
      <c r="FS143" s="4">
        <v>29.875889999999998</v>
      </c>
      <c r="FT143" s="4">
        <v>-84.572519999999997</v>
      </c>
      <c r="FU143" s="4">
        <v>113</v>
      </c>
      <c r="FV143" s="4" t="s">
        <v>929</v>
      </c>
      <c r="FW143" s="4">
        <v>1</v>
      </c>
      <c r="GH143" s="4" t="s">
        <v>359</v>
      </c>
    </row>
    <row r="144" spans="1:190" ht="12.75" x14ac:dyDescent="0.2">
      <c r="A144" s="3">
        <v>43504.674155625005</v>
      </c>
      <c r="B144" s="4" t="s">
        <v>930</v>
      </c>
      <c r="C144" s="4" t="s">
        <v>931</v>
      </c>
      <c r="D144" s="5">
        <v>43503</v>
      </c>
      <c r="E144" s="4" t="s">
        <v>932</v>
      </c>
      <c r="J144" s="6">
        <v>0.42708333333575865</v>
      </c>
      <c r="K144" s="4" t="s">
        <v>379</v>
      </c>
      <c r="L144" s="4" t="s">
        <v>358</v>
      </c>
      <c r="M144" s="4" t="s">
        <v>350</v>
      </c>
      <c r="N144" s="4" t="s">
        <v>351</v>
      </c>
      <c r="R144" s="4">
        <v>4</v>
      </c>
      <c r="S144" s="4">
        <v>8</v>
      </c>
      <c r="Z144" s="4">
        <v>1</v>
      </c>
      <c r="AB144" s="4">
        <v>20</v>
      </c>
      <c r="AG144" s="4">
        <v>6</v>
      </c>
      <c r="AK144" s="4">
        <v>7</v>
      </c>
      <c r="AM144" s="4">
        <v>4</v>
      </c>
      <c r="AU144" s="4">
        <v>10</v>
      </c>
      <c r="BC144" s="4">
        <v>18</v>
      </c>
      <c r="BE144" s="4">
        <v>2</v>
      </c>
      <c r="BJ144" s="4" t="s">
        <v>364</v>
      </c>
    </row>
    <row r="145" spans="1:270" ht="12.75" x14ac:dyDescent="0.2">
      <c r="A145" s="3">
        <v>43504.400363969908</v>
      </c>
      <c r="B145" s="4" t="s">
        <v>933</v>
      </c>
      <c r="C145" s="4" t="s">
        <v>934</v>
      </c>
      <c r="D145" s="5">
        <v>43501</v>
      </c>
      <c r="E145" s="4" t="s">
        <v>935</v>
      </c>
      <c r="J145" s="6">
        <v>0.4375</v>
      </c>
      <c r="K145" s="4" t="s">
        <v>379</v>
      </c>
      <c r="M145" s="4" t="s">
        <v>350</v>
      </c>
      <c r="N145" s="4" t="s">
        <v>533</v>
      </c>
      <c r="BJ145" s="4" t="s">
        <v>364</v>
      </c>
    </row>
    <row r="146" spans="1:270" ht="12.75" x14ac:dyDescent="0.2">
      <c r="A146" s="3">
        <v>43508.493235046291</v>
      </c>
      <c r="B146" s="4" t="s">
        <v>936</v>
      </c>
      <c r="C146" s="4" t="s">
        <v>937</v>
      </c>
      <c r="D146" s="5">
        <v>43501</v>
      </c>
      <c r="E146" s="4" t="s">
        <v>938</v>
      </c>
      <c r="J146" s="6">
        <v>0.42013888889050577</v>
      </c>
      <c r="N146" s="4" t="s">
        <v>351</v>
      </c>
      <c r="O146" s="4" t="s">
        <v>939</v>
      </c>
      <c r="P146" s="4">
        <v>0</v>
      </c>
      <c r="Q146" s="4"/>
      <c r="R146" s="4">
        <v>3</v>
      </c>
      <c r="S146" s="4"/>
      <c r="T146" s="4"/>
      <c r="U146" s="4"/>
      <c r="V146" s="4"/>
      <c r="W146" s="4"/>
      <c r="X146" s="4"/>
      <c r="Y146" s="4"/>
      <c r="Z146" s="4"/>
      <c r="AA146" s="4"/>
      <c r="AB146" s="4"/>
      <c r="AC146" s="4"/>
      <c r="AD146" s="4"/>
      <c r="AE146" s="4"/>
      <c r="AF146" s="4">
        <v>49</v>
      </c>
      <c r="AG146" s="4"/>
      <c r="AH146" s="4"/>
      <c r="AI146" s="4"/>
      <c r="AJ146" s="4"/>
      <c r="AK146" s="4"/>
      <c r="AL146" s="4"/>
      <c r="AM146" s="4">
        <v>1</v>
      </c>
      <c r="AN146" s="4"/>
      <c r="AO146" s="4"/>
      <c r="AP146" s="4"/>
      <c r="AQ146" s="4"/>
      <c r="AR146" s="4"/>
      <c r="AS146" s="4"/>
      <c r="AT146" s="4"/>
      <c r="AV146" s="4"/>
      <c r="AW146" s="4"/>
      <c r="AX146" s="4"/>
      <c r="AY146" s="4">
        <v>11</v>
      </c>
      <c r="AZ146" s="4"/>
      <c r="BA146" s="4"/>
      <c r="BB146" s="4">
        <v>7</v>
      </c>
      <c r="BC146" s="4">
        <v>112</v>
      </c>
      <c r="BD146" s="4">
        <v>1</v>
      </c>
      <c r="BE146" s="4">
        <v>29</v>
      </c>
      <c r="BF146" s="4">
        <v>26</v>
      </c>
      <c r="BG146" s="4">
        <v>10</v>
      </c>
      <c r="BH146" s="4"/>
      <c r="BI146" s="4"/>
      <c r="BJ146" s="4" t="s">
        <v>353</v>
      </c>
      <c r="BK146" s="4">
        <v>27.314558600000002</v>
      </c>
      <c r="BL146" s="4">
        <v>-82.581585200000006</v>
      </c>
      <c r="BM146" s="4">
        <v>0</v>
      </c>
      <c r="BN146" s="4">
        <v>0</v>
      </c>
      <c r="BO146" s="4">
        <v>0</v>
      </c>
      <c r="BP146" s="4">
        <v>0</v>
      </c>
      <c r="BQ146" s="4">
        <v>0</v>
      </c>
      <c r="BR146" s="4">
        <v>0</v>
      </c>
      <c r="BS146" s="4">
        <v>0</v>
      </c>
      <c r="BT146" s="4">
        <v>0</v>
      </c>
      <c r="BU146" s="4">
        <v>0</v>
      </c>
      <c r="BV146" s="4">
        <v>0</v>
      </c>
      <c r="BW146" s="4">
        <v>0</v>
      </c>
      <c r="BX146" s="4">
        <v>0</v>
      </c>
      <c r="BY146" s="4" t="s">
        <v>940</v>
      </c>
      <c r="BZ146" s="4" t="s">
        <v>353</v>
      </c>
      <c r="CA146" s="4">
        <v>27.318996500000001</v>
      </c>
      <c r="CB146" s="4">
        <v>-82.586634500000002</v>
      </c>
      <c r="CC146" s="4">
        <v>0</v>
      </c>
      <c r="CD146" s="4">
        <v>0</v>
      </c>
      <c r="CE146" s="4">
        <v>0</v>
      </c>
      <c r="CF146" s="4">
        <v>0</v>
      </c>
      <c r="CG146" s="4">
        <v>0</v>
      </c>
      <c r="CH146" s="4">
        <v>0</v>
      </c>
      <c r="CI146" s="4">
        <v>0</v>
      </c>
      <c r="CJ146" s="4">
        <v>0</v>
      </c>
      <c r="CK146" s="4">
        <v>0</v>
      </c>
      <c r="CL146" s="4">
        <v>0</v>
      </c>
      <c r="CM146" s="4">
        <v>0</v>
      </c>
      <c r="CN146" s="4">
        <v>0</v>
      </c>
      <c r="CO146" s="4" t="s">
        <v>941</v>
      </c>
      <c r="CP146" s="4" t="s">
        <v>466</v>
      </c>
    </row>
    <row r="147" spans="1:270" ht="12.75" x14ac:dyDescent="0.2">
      <c r="A147" s="3">
        <v>43504.707000937502</v>
      </c>
      <c r="B147" s="4" t="s">
        <v>942</v>
      </c>
      <c r="C147" s="4" t="s">
        <v>943</v>
      </c>
      <c r="D147" s="5">
        <v>43503</v>
      </c>
      <c r="E147" s="4" t="s">
        <v>944</v>
      </c>
      <c r="J147" s="6">
        <v>0.44097222221898846</v>
      </c>
      <c r="K147" s="4" t="s">
        <v>379</v>
      </c>
      <c r="L147" s="4" t="s">
        <v>349</v>
      </c>
      <c r="M147" s="4" t="s">
        <v>350</v>
      </c>
      <c r="N147" s="4" t="s">
        <v>351</v>
      </c>
      <c r="P147" s="4">
        <v>0</v>
      </c>
      <c r="Q147" s="4"/>
      <c r="R147" s="4">
        <v>104</v>
      </c>
      <c r="S147" s="4">
        <v>171</v>
      </c>
      <c r="T147" s="4"/>
      <c r="U147" s="4"/>
      <c r="V147" s="4"/>
      <c r="W147" s="4"/>
      <c r="X147" s="4"/>
      <c r="Y147" s="4"/>
      <c r="Z147" s="4"/>
      <c r="AA147" s="4">
        <v>70</v>
      </c>
      <c r="AB147" s="4"/>
      <c r="AC147" s="4">
        <v>2</v>
      </c>
      <c r="AD147" s="4"/>
      <c r="AE147" s="4">
        <v>81</v>
      </c>
      <c r="AF147" s="4">
        <v>79</v>
      </c>
      <c r="AG147" s="4">
        <v>14</v>
      </c>
      <c r="AH147" s="4">
        <v>1</v>
      </c>
      <c r="AI147" s="4">
        <v>2</v>
      </c>
      <c r="AJ147" s="4"/>
      <c r="AK147" s="4">
        <v>2</v>
      </c>
      <c r="AL147" s="4"/>
      <c r="AM147" s="4">
        <v>5</v>
      </c>
      <c r="AN147" s="4">
        <v>17</v>
      </c>
      <c r="AO147" s="4"/>
      <c r="AP147" s="4"/>
      <c r="AQ147" s="4"/>
      <c r="AS147" s="4"/>
      <c r="AT147" s="4"/>
      <c r="AU147" s="4">
        <v>5</v>
      </c>
      <c r="AV147" s="4">
        <v>1</v>
      </c>
      <c r="AW147" s="4"/>
      <c r="AX147" s="4">
        <v>4</v>
      </c>
      <c r="AY147" s="4"/>
      <c r="AZ147" s="4"/>
      <c r="BA147" s="4"/>
      <c r="BB147" s="4">
        <v>1</v>
      </c>
      <c r="BC147" s="4">
        <v>1</v>
      </c>
      <c r="BD147" s="4"/>
      <c r="BE147" s="4">
        <v>9</v>
      </c>
      <c r="BF147" s="4">
        <v>33</v>
      </c>
      <c r="BG147" s="4">
        <v>2</v>
      </c>
      <c r="BH147" s="4"/>
      <c r="BI147" s="4"/>
      <c r="BJ147" s="4" t="s">
        <v>353</v>
      </c>
      <c r="BK147" s="4">
        <v>26.40128</v>
      </c>
      <c r="BL147" s="4">
        <v>-81.886669999999995</v>
      </c>
      <c r="BM147" s="4">
        <v>0</v>
      </c>
      <c r="BO147" s="4">
        <v>0</v>
      </c>
      <c r="BQ147" s="4">
        <v>0</v>
      </c>
      <c r="BS147" s="4">
        <v>0</v>
      </c>
      <c r="BU147" s="4">
        <v>0</v>
      </c>
      <c r="BW147" s="4">
        <v>17</v>
      </c>
      <c r="BZ147" s="4" t="s">
        <v>353</v>
      </c>
      <c r="CA147" s="4">
        <v>26.401540000000001</v>
      </c>
      <c r="CB147" s="4">
        <v>-81.887990000000002</v>
      </c>
      <c r="CG147" s="4">
        <v>1</v>
      </c>
      <c r="CP147" s="4" t="s">
        <v>353</v>
      </c>
      <c r="CQ147" s="4">
        <v>26.401720000000001</v>
      </c>
      <c r="CR147" s="4">
        <v>-81.888319999999993</v>
      </c>
      <c r="CW147" s="4">
        <v>1</v>
      </c>
      <c r="DA147" s="4">
        <v>2</v>
      </c>
      <c r="DF147" s="4" t="s">
        <v>359</v>
      </c>
    </row>
    <row r="148" spans="1:270" ht="12.75" x14ac:dyDescent="0.2">
      <c r="A148" s="3">
        <v>43515.313819016199</v>
      </c>
      <c r="B148" s="4" t="s">
        <v>511</v>
      </c>
      <c r="C148" s="4" t="s">
        <v>945</v>
      </c>
      <c r="D148" s="5">
        <v>43500</v>
      </c>
      <c r="E148" s="4">
        <v>2</v>
      </c>
      <c r="J148" s="6">
        <v>0.44583333333139308</v>
      </c>
      <c r="M148" s="4" t="s">
        <v>350</v>
      </c>
      <c r="N148" s="4" t="s">
        <v>351</v>
      </c>
      <c r="P148" s="4">
        <v>0</v>
      </c>
      <c r="Q148" s="4"/>
      <c r="R148" s="4"/>
      <c r="S148" s="4"/>
      <c r="T148" s="4"/>
      <c r="U148" s="4"/>
      <c r="V148" s="4"/>
      <c r="W148" s="4"/>
      <c r="X148" s="4"/>
      <c r="Y148" s="4"/>
      <c r="Z148" s="4"/>
      <c r="AA148" s="4"/>
      <c r="AB148" s="4"/>
      <c r="AC148" s="4"/>
      <c r="AD148" s="4"/>
      <c r="AE148" s="4"/>
      <c r="AF148" s="4"/>
      <c r="AG148" s="4">
        <v>1</v>
      </c>
      <c r="AH148" s="4"/>
      <c r="AI148" s="4"/>
      <c r="AJ148" s="4"/>
      <c r="AK148" s="4"/>
      <c r="AL148" s="4"/>
      <c r="AM148" s="4">
        <v>9</v>
      </c>
      <c r="AN148" s="4"/>
      <c r="AO148" s="4"/>
      <c r="AP148" s="4"/>
      <c r="AQ148" s="4"/>
      <c r="AR148" s="4"/>
      <c r="AS148" s="4"/>
      <c r="AT148" s="4"/>
      <c r="AU148" s="4"/>
      <c r="AV148" s="4"/>
      <c r="AW148" s="4"/>
      <c r="AX148" s="4"/>
      <c r="AY148" s="4"/>
      <c r="AZ148" s="4"/>
      <c r="BA148" s="4"/>
      <c r="BB148" s="4"/>
      <c r="BC148" s="4">
        <v>2</v>
      </c>
      <c r="BD148" s="4"/>
      <c r="BE148" s="4">
        <v>9</v>
      </c>
      <c r="BF148" s="4">
        <v>33</v>
      </c>
      <c r="BG148" s="4">
        <v>17</v>
      </c>
      <c r="BH148" s="4"/>
      <c r="BI148" s="4"/>
      <c r="BJ148" s="4" t="s">
        <v>364</v>
      </c>
    </row>
    <row r="149" spans="1:270" ht="12.75" x14ac:dyDescent="0.2">
      <c r="A149" s="3">
        <v>43516.397314710644</v>
      </c>
      <c r="B149" s="4" t="s">
        <v>666</v>
      </c>
      <c r="C149" s="4" t="s">
        <v>946</v>
      </c>
      <c r="D149" s="5">
        <v>43501</v>
      </c>
      <c r="E149" s="4" t="s">
        <v>738</v>
      </c>
      <c r="J149" s="6">
        <v>0.37152777778101154</v>
      </c>
      <c r="L149" s="4" t="s">
        <v>358</v>
      </c>
      <c r="M149" s="4" t="s">
        <v>350</v>
      </c>
      <c r="N149" s="4" t="s">
        <v>351</v>
      </c>
      <c r="O149" s="4" t="s">
        <v>947</v>
      </c>
      <c r="P149" s="4">
        <v>0</v>
      </c>
      <c r="Q149" s="4"/>
      <c r="R149" s="4">
        <v>5</v>
      </c>
      <c r="S149" s="4">
        <v>7</v>
      </c>
      <c r="T149" s="4"/>
      <c r="U149" s="4"/>
      <c r="V149" s="4"/>
      <c r="W149" s="4"/>
      <c r="X149" s="4"/>
      <c r="Y149" s="4"/>
      <c r="Z149" s="4"/>
      <c r="AA149" s="4"/>
      <c r="AB149" s="4"/>
      <c r="AC149" s="4"/>
      <c r="AD149" s="4"/>
      <c r="AE149" s="4">
        <v>8</v>
      </c>
      <c r="AF149" s="4">
        <v>47</v>
      </c>
      <c r="AG149" s="4"/>
      <c r="AH149" s="4"/>
      <c r="AI149" s="4">
        <v>15</v>
      </c>
      <c r="AJ149" s="4"/>
      <c r="AK149" s="4"/>
      <c r="AL149" s="4"/>
      <c r="AM149" s="4">
        <v>16</v>
      </c>
      <c r="AN149" s="4"/>
      <c r="AO149" s="4"/>
      <c r="AP149" s="4"/>
      <c r="AQ149" s="4"/>
      <c r="AR149" s="4"/>
      <c r="AS149" s="4"/>
      <c r="AT149" s="4"/>
      <c r="AU149" s="4">
        <v>2</v>
      </c>
      <c r="AV149" s="4"/>
      <c r="AW149" s="4"/>
      <c r="AX149" s="4">
        <v>11</v>
      </c>
      <c r="AY149" s="4">
        <v>86</v>
      </c>
      <c r="AZ149" s="4"/>
      <c r="BA149" s="4"/>
      <c r="BB149" s="4">
        <v>14</v>
      </c>
      <c r="BC149" s="4">
        <v>565</v>
      </c>
      <c r="BD149" s="4"/>
      <c r="BE149" s="4">
        <v>114</v>
      </c>
      <c r="BF149" s="4">
        <v>47</v>
      </c>
      <c r="BG149" s="4"/>
      <c r="BH149" s="4"/>
      <c r="BI149" s="4">
        <v>10</v>
      </c>
      <c r="BJ149" s="4" t="s">
        <v>353</v>
      </c>
      <c r="BK149" s="4">
        <v>29.603940000000001</v>
      </c>
      <c r="BL149" s="4">
        <v>-85.067850000000007</v>
      </c>
      <c r="BM149" s="4">
        <v>0</v>
      </c>
      <c r="BO149" s="4">
        <v>0</v>
      </c>
      <c r="BQ149" s="4">
        <v>0</v>
      </c>
      <c r="BS149" s="4">
        <v>0</v>
      </c>
      <c r="BU149" s="4">
        <v>2</v>
      </c>
      <c r="BW149" s="4">
        <v>0</v>
      </c>
      <c r="BY149" s="4">
        <v>0</v>
      </c>
      <c r="BZ149" s="4" t="s">
        <v>353</v>
      </c>
      <c r="CA149" s="4">
        <v>29.609290000000001</v>
      </c>
      <c r="CB149" s="4">
        <v>-85.075130000000001</v>
      </c>
      <c r="CC149" s="4">
        <v>0</v>
      </c>
      <c r="CE149" s="4">
        <v>0</v>
      </c>
      <c r="CG149" s="4">
        <v>0</v>
      </c>
      <c r="CI149" s="4">
        <v>0</v>
      </c>
      <c r="CK149" s="4">
        <v>2</v>
      </c>
      <c r="CL149" s="4" t="s">
        <v>948</v>
      </c>
      <c r="CM149" s="4">
        <v>0</v>
      </c>
      <c r="CP149" s="4" t="s">
        <v>353</v>
      </c>
      <c r="CQ149" s="4">
        <v>29.613600000000002</v>
      </c>
      <c r="CR149" s="4">
        <v>-85.082049999999995</v>
      </c>
      <c r="CS149" s="4">
        <v>0</v>
      </c>
      <c r="CU149" s="4">
        <v>0</v>
      </c>
      <c r="CW149" s="4">
        <v>0</v>
      </c>
      <c r="CY149" s="4">
        <v>0</v>
      </c>
      <c r="DA149" s="4">
        <v>2</v>
      </c>
      <c r="DC149" s="4">
        <v>0</v>
      </c>
      <c r="DF149" s="4" t="s">
        <v>353</v>
      </c>
      <c r="DG149" s="4">
        <v>29.617699999999999</v>
      </c>
      <c r="DH149" s="4">
        <v>-85.089640000000003</v>
      </c>
      <c r="DI149" s="4">
        <v>0</v>
      </c>
      <c r="DK149" s="4">
        <v>0</v>
      </c>
      <c r="DM149" s="4">
        <v>0</v>
      </c>
      <c r="DO149" s="4">
        <v>0</v>
      </c>
      <c r="DQ149" s="4">
        <v>2</v>
      </c>
      <c r="DS149" s="4">
        <v>0</v>
      </c>
      <c r="DV149" s="4" t="s">
        <v>353</v>
      </c>
      <c r="DW149" s="4">
        <v>29.615629999999999</v>
      </c>
      <c r="DX149" s="4">
        <v>-85.085620000000006</v>
      </c>
      <c r="DY149" s="4">
        <v>0</v>
      </c>
      <c r="EA149" s="4">
        <v>0</v>
      </c>
      <c r="EC149" s="4">
        <v>0</v>
      </c>
      <c r="EE149" s="4">
        <v>0</v>
      </c>
      <c r="EF149" s="4">
        <v>1</v>
      </c>
      <c r="EJ149" s="4">
        <v>0</v>
      </c>
      <c r="EL149" s="4" t="s">
        <v>353</v>
      </c>
      <c r="EM149" s="4">
        <v>29.605789999999999</v>
      </c>
      <c r="EN149" s="4">
        <v>-85.070279999999997</v>
      </c>
      <c r="EO149" s="4">
        <v>0</v>
      </c>
      <c r="EQ149" s="4">
        <v>0</v>
      </c>
      <c r="ES149" s="4">
        <v>0</v>
      </c>
      <c r="EU149" s="4">
        <v>0</v>
      </c>
      <c r="EV149" s="4">
        <v>1</v>
      </c>
      <c r="EW149" s="4">
        <v>1</v>
      </c>
      <c r="EX149" s="4" t="s">
        <v>949</v>
      </c>
      <c r="EY149" s="4">
        <v>0</v>
      </c>
      <c r="FB149" s="4" t="s">
        <v>353</v>
      </c>
      <c r="FC149" s="4">
        <v>29.604600000000001</v>
      </c>
      <c r="FD149" s="4">
        <v>-85.068700000000007</v>
      </c>
      <c r="FE149" s="4">
        <v>0</v>
      </c>
      <c r="FG149" s="4">
        <v>0</v>
      </c>
      <c r="FI149" s="4">
        <v>0</v>
      </c>
      <c r="FK149" s="4">
        <v>0</v>
      </c>
      <c r="FM149" s="4">
        <v>2</v>
      </c>
      <c r="FO149" s="4">
        <v>0</v>
      </c>
      <c r="FR149" s="4" t="s">
        <v>353</v>
      </c>
      <c r="FS149" s="4">
        <v>29.603429999999999</v>
      </c>
      <c r="FT149" s="4">
        <v>-85.067250000000001</v>
      </c>
      <c r="FU149" s="4">
        <v>0</v>
      </c>
      <c r="FW149" s="4">
        <v>0</v>
      </c>
      <c r="FY149" s="4">
        <v>0</v>
      </c>
      <c r="GA149" s="4">
        <v>0</v>
      </c>
      <c r="GC149" s="4">
        <v>2</v>
      </c>
      <c r="GD149" s="4" t="s">
        <v>950</v>
      </c>
      <c r="GE149" s="4">
        <v>0</v>
      </c>
      <c r="GH149" s="4" t="s">
        <v>353</v>
      </c>
      <c r="GI149" s="4">
        <v>29.600359999999998</v>
      </c>
      <c r="GJ149" s="4">
        <v>-85.063180000000003</v>
      </c>
      <c r="GK149" s="4">
        <v>0</v>
      </c>
      <c r="GM149" s="4">
        <v>0</v>
      </c>
      <c r="GO149" s="4">
        <v>0</v>
      </c>
      <c r="GQ149" s="4">
        <v>0</v>
      </c>
      <c r="GS149" s="4">
        <v>1</v>
      </c>
      <c r="GU149" s="4">
        <v>0</v>
      </c>
      <c r="GX149" s="4" t="s">
        <v>353</v>
      </c>
      <c r="GY149" s="4">
        <v>29.612839999999998</v>
      </c>
      <c r="GZ149" s="4">
        <v>-84.960849999999994</v>
      </c>
      <c r="HA149" s="4">
        <v>0</v>
      </c>
      <c r="HC149" s="4">
        <v>0</v>
      </c>
      <c r="HE149" s="4">
        <v>0</v>
      </c>
      <c r="HG149" s="4">
        <v>0</v>
      </c>
      <c r="HI149" s="4">
        <v>0</v>
      </c>
      <c r="HK149" s="4">
        <v>0</v>
      </c>
      <c r="HM149" s="4" t="s">
        <v>951</v>
      </c>
      <c r="HN149" s="4" t="s">
        <v>353</v>
      </c>
      <c r="HO149" s="4">
        <v>29.602150000000002</v>
      </c>
      <c r="HP149" s="4">
        <v>-85.071430000000007</v>
      </c>
      <c r="HQ149" s="4">
        <v>0</v>
      </c>
      <c r="HS149" s="4">
        <v>0</v>
      </c>
      <c r="HU149" s="4">
        <v>0</v>
      </c>
      <c r="HW149" s="4">
        <v>0</v>
      </c>
      <c r="HY149" s="4">
        <v>0</v>
      </c>
      <c r="IA149" s="4">
        <v>0</v>
      </c>
      <c r="IC149" s="4" t="s">
        <v>952</v>
      </c>
      <c r="ID149" s="4" t="s">
        <v>359</v>
      </c>
    </row>
    <row r="150" spans="1:270" ht="12.75" x14ac:dyDescent="0.2">
      <c r="A150" s="3">
        <v>43524.401899699078</v>
      </c>
      <c r="B150" s="4" t="s">
        <v>387</v>
      </c>
      <c r="C150" s="4" t="s">
        <v>953</v>
      </c>
      <c r="D150" s="5">
        <v>43497</v>
      </c>
      <c r="E150" s="4" t="s">
        <v>954</v>
      </c>
      <c r="F150" s="4">
        <v>30.4259959</v>
      </c>
      <c r="G150" s="4">
        <v>-81.410634700000003</v>
      </c>
      <c r="H150" s="4">
        <v>30.485429499999999</v>
      </c>
      <c r="I150" s="4">
        <v>-81.426348700000005</v>
      </c>
      <c r="J150" s="6">
        <v>0.38541666666424135</v>
      </c>
      <c r="K150" s="4" t="s">
        <v>363</v>
      </c>
      <c r="L150" s="4" t="s">
        <v>390</v>
      </c>
      <c r="M150" s="4" t="s">
        <v>350</v>
      </c>
      <c r="N150" s="4" t="s">
        <v>351</v>
      </c>
      <c r="P150" s="4">
        <v>2</v>
      </c>
      <c r="Q150" s="4"/>
      <c r="R150" s="4">
        <v>2</v>
      </c>
      <c r="S150" s="4">
        <v>26</v>
      </c>
      <c r="T150" s="4"/>
      <c r="U150" s="4"/>
      <c r="V150" s="4"/>
      <c r="W150" s="4"/>
      <c r="X150" s="4"/>
      <c r="Y150" s="4"/>
      <c r="Z150" s="4"/>
      <c r="AA150" s="4"/>
      <c r="AB150" s="4"/>
      <c r="AC150" s="4">
        <v>28</v>
      </c>
      <c r="AD150" s="4">
        <v>61</v>
      </c>
      <c r="AE150" s="4">
        <v>8</v>
      </c>
      <c r="AF150" s="4">
        <v>20</v>
      </c>
      <c r="AG150" s="4">
        <v>39</v>
      </c>
      <c r="AH150" s="4"/>
      <c r="AI150" s="4"/>
      <c r="AJ150" s="4"/>
      <c r="AK150" s="4"/>
      <c r="AL150" s="4"/>
      <c r="AM150" s="4"/>
      <c r="AN150" s="4">
        <v>1</v>
      </c>
      <c r="AO150" s="4"/>
      <c r="AP150" s="4"/>
      <c r="AQ150" s="4"/>
      <c r="AR150" s="4"/>
      <c r="AS150" s="4">
        <v>4</v>
      </c>
      <c r="AT150" s="4"/>
      <c r="AU150" s="4">
        <v>2</v>
      </c>
      <c r="AV150" s="4"/>
      <c r="AW150" s="4"/>
      <c r="AX150" s="4">
        <v>33</v>
      </c>
      <c r="AY150" s="4">
        <v>37</v>
      </c>
      <c r="AZ150" s="4"/>
      <c r="BA150" s="4"/>
      <c r="BB150" s="4"/>
      <c r="BC150" s="4">
        <v>1</v>
      </c>
      <c r="BD150" s="4"/>
      <c r="BE150" s="4">
        <v>6</v>
      </c>
      <c r="BF150" s="4"/>
      <c r="BG150" s="4"/>
      <c r="BH150" s="4"/>
      <c r="BI150" s="4">
        <v>18</v>
      </c>
      <c r="BJ150" s="4" t="s">
        <v>353</v>
      </c>
      <c r="BK150" s="4">
        <v>30.438047000000001</v>
      </c>
      <c r="BL150" s="4">
        <v>-81.405960699999994</v>
      </c>
      <c r="BM150" s="4">
        <v>0</v>
      </c>
      <c r="BN150" s="4" t="s">
        <v>393</v>
      </c>
      <c r="BO150" s="4">
        <v>0</v>
      </c>
      <c r="BP150" s="4" t="s">
        <v>393</v>
      </c>
      <c r="BQ150" s="4">
        <v>0</v>
      </c>
      <c r="BR150" s="4" t="s">
        <v>393</v>
      </c>
      <c r="BS150" s="4">
        <v>38</v>
      </c>
      <c r="BT150" s="4" t="s">
        <v>400</v>
      </c>
      <c r="BU150" s="4">
        <v>0</v>
      </c>
      <c r="BV150" s="4" t="s">
        <v>393</v>
      </c>
      <c r="BW150" s="4">
        <v>0</v>
      </c>
      <c r="BX150" s="4" t="s">
        <v>393</v>
      </c>
      <c r="BZ150" s="4" t="s">
        <v>353</v>
      </c>
      <c r="CA150" s="4">
        <v>30.436986699999999</v>
      </c>
      <c r="CB150" s="4">
        <v>-81.407378499999993</v>
      </c>
      <c r="CC150" s="4">
        <v>0</v>
      </c>
      <c r="CD150" s="4" t="s">
        <v>393</v>
      </c>
      <c r="CE150" s="4">
        <v>0</v>
      </c>
      <c r="CF150" s="4" t="s">
        <v>393</v>
      </c>
      <c r="CG150" s="4">
        <v>1</v>
      </c>
      <c r="CH150" s="4" t="s">
        <v>400</v>
      </c>
      <c r="CI150" s="4">
        <v>23</v>
      </c>
      <c r="CJ150" s="4" t="s">
        <v>955</v>
      </c>
      <c r="CK150" s="4">
        <v>0</v>
      </c>
      <c r="CL150" s="4" t="s">
        <v>393</v>
      </c>
      <c r="CM150" s="4">
        <v>0</v>
      </c>
      <c r="CN150" s="4" t="s">
        <v>393</v>
      </c>
      <c r="CP150" s="4" t="s">
        <v>353</v>
      </c>
      <c r="CQ150" s="4">
        <v>30.4301554</v>
      </c>
      <c r="CR150" s="4">
        <v>-81.408831199999995</v>
      </c>
      <c r="CS150" s="4">
        <v>0</v>
      </c>
      <c r="CT150" s="4" t="s">
        <v>393</v>
      </c>
      <c r="CU150" s="4">
        <v>0</v>
      </c>
      <c r="CV150" s="4" t="s">
        <v>393</v>
      </c>
      <c r="CW150" s="4">
        <v>4</v>
      </c>
      <c r="CX150" s="4" t="s">
        <v>400</v>
      </c>
      <c r="CY150" s="4">
        <v>0</v>
      </c>
      <c r="CZ150" s="4" t="s">
        <v>393</v>
      </c>
      <c r="DA150" s="4">
        <v>0</v>
      </c>
      <c r="DB150" s="4" t="s">
        <v>393</v>
      </c>
      <c r="DC150" s="4">
        <v>0</v>
      </c>
      <c r="DD150" s="4" t="s">
        <v>393</v>
      </c>
      <c r="DF150" s="4" t="s">
        <v>353</v>
      </c>
      <c r="DG150" s="4">
        <v>30.435283999999999</v>
      </c>
      <c r="DH150" s="4">
        <v>-81.406360199999995</v>
      </c>
      <c r="DI150" s="4">
        <v>0</v>
      </c>
      <c r="DJ150" s="4" t="s">
        <v>393</v>
      </c>
      <c r="DK150" s="4">
        <v>0</v>
      </c>
      <c r="DL150" s="4" t="s">
        <v>393</v>
      </c>
      <c r="DM150" s="4">
        <v>0</v>
      </c>
      <c r="DN150" s="4" t="s">
        <v>393</v>
      </c>
      <c r="DO150" s="4">
        <v>0</v>
      </c>
      <c r="DP150" s="4" t="s">
        <v>393</v>
      </c>
      <c r="DQ150" s="4">
        <v>0</v>
      </c>
      <c r="DR150" s="4" t="s">
        <v>393</v>
      </c>
      <c r="DS150" s="4">
        <v>1</v>
      </c>
      <c r="DT150" s="4" t="s">
        <v>400</v>
      </c>
      <c r="DV150" s="4" t="s">
        <v>353</v>
      </c>
      <c r="DW150" s="4">
        <v>30.4501183</v>
      </c>
      <c r="DX150" s="4">
        <v>-81.409339799999998</v>
      </c>
      <c r="DY150" s="4">
        <v>0</v>
      </c>
      <c r="DZ150" s="4" t="s">
        <v>393</v>
      </c>
      <c r="EA150" s="4">
        <v>0</v>
      </c>
      <c r="EB150" s="4" t="s">
        <v>393</v>
      </c>
      <c r="EC150" s="4">
        <v>2</v>
      </c>
      <c r="ED150" s="4" t="s">
        <v>956</v>
      </c>
      <c r="EE150" s="4">
        <v>0</v>
      </c>
      <c r="EF150" s="4">
        <v>0</v>
      </c>
      <c r="EG150" s="4" t="s">
        <v>393</v>
      </c>
      <c r="EH150" s="4" t="s">
        <v>393</v>
      </c>
      <c r="EI150" s="4" t="s">
        <v>393</v>
      </c>
      <c r="EJ150" s="4">
        <v>0</v>
      </c>
      <c r="EL150" s="4" t="s">
        <v>353</v>
      </c>
      <c r="EM150" s="4">
        <v>30.4612719</v>
      </c>
      <c r="EN150" s="4">
        <v>-81.410736600000007</v>
      </c>
      <c r="EO150" s="4">
        <v>0</v>
      </c>
      <c r="EP150" s="4" t="s">
        <v>393</v>
      </c>
      <c r="EQ150" s="4">
        <v>0</v>
      </c>
      <c r="ER150" s="4" t="s">
        <v>393</v>
      </c>
      <c r="ES150" s="4">
        <v>1</v>
      </c>
      <c r="ET150" s="4" t="s">
        <v>400</v>
      </c>
      <c r="EU150" s="4">
        <v>0</v>
      </c>
      <c r="EV150" s="4" t="s">
        <v>393</v>
      </c>
      <c r="EW150" s="4">
        <v>0</v>
      </c>
      <c r="EX150" s="4" t="s">
        <v>393</v>
      </c>
      <c r="EY150" s="4">
        <v>0</v>
      </c>
      <c r="EZ150" s="4" t="s">
        <v>393</v>
      </c>
      <c r="FB150" s="4" t="s">
        <v>353</v>
      </c>
      <c r="FC150" s="4">
        <v>30.471797299999999</v>
      </c>
      <c r="FD150" s="4">
        <v>-81.412200400000003</v>
      </c>
      <c r="FE150" s="4">
        <v>0</v>
      </c>
      <c r="FF150" s="4" t="s">
        <v>393</v>
      </c>
      <c r="FG150" s="4">
        <v>0</v>
      </c>
      <c r="FH150" s="4" t="s">
        <v>393</v>
      </c>
      <c r="FI150" s="4">
        <v>1</v>
      </c>
      <c r="FJ150" s="4" t="s">
        <v>400</v>
      </c>
      <c r="FK150" s="4">
        <v>0</v>
      </c>
      <c r="FL150" s="4" t="s">
        <v>393</v>
      </c>
      <c r="FM150" s="4">
        <v>0</v>
      </c>
      <c r="FN150" s="4" t="s">
        <v>393</v>
      </c>
      <c r="FO150" s="4">
        <v>0</v>
      </c>
      <c r="FP150" s="4" t="s">
        <v>393</v>
      </c>
      <c r="FR150" s="4" t="s">
        <v>353</v>
      </c>
      <c r="FS150" s="4">
        <v>30.4749993</v>
      </c>
      <c r="FT150" s="4">
        <v>-81.412809899999999</v>
      </c>
      <c r="FU150" s="4">
        <v>0</v>
      </c>
      <c r="FV150" s="4" t="s">
        <v>393</v>
      </c>
      <c r="FW150" s="4">
        <v>0</v>
      </c>
      <c r="FX150" s="4" t="s">
        <v>393</v>
      </c>
      <c r="FY150" s="4">
        <v>5</v>
      </c>
      <c r="FZ150" s="4" t="s">
        <v>414</v>
      </c>
      <c r="GA150" s="4">
        <v>0</v>
      </c>
      <c r="GB150" s="4" t="s">
        <v>393</v>
      </c>
      <c r="GC150" s="4">
        <v>0</v>
      </c>
      <c r="GD150" s="4" t="s">
        <v>393</v>
      </c>
      <c r="GE150" s="4">
        <v>0</v>
      </c>
      <c r="GF150" s="4" t="s">
        <v>393</v>
      </c>
      <c r="GH150" s="4" t="s">
        <v>353</v>
      </c>
      <c r="GI150" s="4">
        <v>30.476957809999998</v>
      </c>
      <c r="GJ150" s="4">
        <v>-81.412419299999996</v>
      </c>
      <c r="GK150" s="4">
        <v>0</v>
      </c>
      <c r="GL150" s="4" t="s">
        <v>393</v>
      </c>
      <c r="GM150" s="4">
        <v>0</v>
      </c>
      <c r="GN150" s="4" t="s">
        <v>393</v>
      </c>
      <c r="GO150" s="4">
        <v>4</v>
      </c>
      <c r="GP150" s="4" t="s">
        <v>957</v>
      </c>
      <c r="GQ150" s="4">
        <v>0</v>
      </c>
      <c r="GR150" s="4" t="s">
        <v>393</v>
      </c>
      <c r="GS150" s="4">
        <v>0</v>
      </c>
      <c r="GT150" s="4" t="s">
        <v>393</v>
      </c>
      <c r="GU150" s="4">
        <v>0</v>
      </c>
      <c r="GV150" s="4" t="s">
        <v>393</v>
      </c>
      <c r="GX150" s="4" t="s">
        <v>353</v>
      </c>
      <c r="GY150" s="4">
        <v>30.487857900000002</v>
      </c>
      <c r="GZ150" s="4">
        <v>-81.417545000000004</v>
      </c>
      <c r="HA150" s="4">
        <v>0</v>
      </c>
      <c r="HB150" s="4" t="s">
        <v>393</v>
      </c>
      <c r="HC150" s="4">
        <v>0</v>
      </c>
      <c r="HD150" s="4" t="s">
        <v>393</v>
      </c>
      <c r="HE150" s="4">
        <v>2</v>
      </c>
      <c r="HF150" s="4" t="s">
        <v>414</v>
      </c>
      <c r="HG150" s="4">
        <v>0</v>
      </c>
      <c r="HH150" s="4" t="s">
        <v>393</v>
      </c>
      <c r="HI150" s="4">
        <v>0</v>
      </c>
      <c r="HJ150" s="4" t="s">
        <v>393</v>
      </c>
      <c r="HK150" s="4">
        <v>0</v>
      </c>
      <c r="HL150" s="4" t="s">
        <v>393</v>
      </c>
      <c r="HN150" s="4" t="s">
        <v>353</v>
      </c>
      <c r="HO150" s="4">
        <v>30.485429499999999</v>
      </c>
      <c r="HP150" s="4">
        <v>-81.426348700000005</v>
      </c>
      <c r="HQ150" s="4">
        <v>2</v>
      </c>
      <c r="HR150" s="4" t="s">
        <v>958</v>
      </c>
      <c r="HS150" s="4">
        <v>0</v>
      </c>
      <c r="HT150" s="4" t="s">
        <v>393</v>
      </c>
      <c r="HU150" s="4">
        <v>0</v>
      </c>
      <c r="HV150" s="4" t="s">
        <v>393</v>
      </c>
      <c r="HW150" s="4">
        <v>0</v>
      </c>
      <c r="HX150" s="4" t="s">
        <v>393</v>
      </c>
      <c r="HY150" s="4">
        <v>0</v>
      </c>
      <c r="HZ150" s="4" t="s">
        <v>393</v>
      </c>
      <c r="IA150" s="4">
        <v>0</v>
      </c>
      <c r="IB150" s="4" t="s">
        <v>393</v>
      </c>
      <c r="ID150" s="4" t="s">
        <v>353</v>
      </c>
      <c r="IE150" s="4">
        <v>30.485993199999999</v>
      </c>
      <c r="IF150" s="4">
        <v>-81.419748100000007</v>
      </c>
      <c r="IG150" s="4">
        <v>0</v>
      </c>
      <c r="IH150" s="4" t="s">
        <v>393</v>
      </c>
      <c r="II150" s="4">
        <v>0</v>
      </c>
      <c r="IJ150" s="4" t="s">
        <v>393</v>
      </c>
      <c r="IK150" s="4">
        <v>8</v>
      </c>
      <c r="IL150" s="4" t="s">
        <v>959</v>
      </c>
      <c r="IM150" s="4">
        <v>0</v>
      </c>
      <c r="IN150" s="4" t="s">
        <v>393</v>
      </c>
      <c r="IO150" s="4">
        <v>0</v>
      </c>
      <c r="IP150" s="4" t="s">
        <v>393</v>
      </c>
      <c r="IQ150" s="4">
        <v>0</v>
      </c>
      <c r="IR150" s="4" t="s">
        <v>393</v>
      </c>
      <c r="IT150" s="4" t="s">
        <v>353</v>
      </c>
      <c r="IU150" s="4">
        <v>30.492610500000001</v>
      </c>
      <c r="IV150" s="4">
        <v>-81.420114900000002</v>
      </c>
      <c r="IW150" s="4">
        <v>0</v>
      </c>
      <c r="IX150" s="4" t="s">
        <v>393</v>
      </c>
      <c r="IY150" s="4">
        <v>0</v>
      </c>
      <c r="IZ150" s="4" t="s">
        <v>393</v>
      </c>
      <c r="JA150" s="4">
        <v>0</v>
      </c>
      <c r="JB150" s="4" t="s">
        <v>393</v>
      </c>
      <c r="JC150" s="4">
        <v>0</v>
      </c>
      <c r="JD150" s="4" t="s">
        <v>393</v>
      </c>
      <c r="JE150" s="4">
        <v>0</v>
      </c>
      <c r="JF150" s="4" t="s">
        <v>393</v>
      </c>
      <c r="JG150" s="4">
        <v>0</v>
      </c>
      <c r="JH150" s="4" t="s">
        <v>393</v>
      </c>
      <c r="JI150" s="4" t="s">
        <v>960</v>
      </c>
      <c r="JJ150" s="4" t="s">
        <v>359</v>
      </c>
    </row>
    <row r="151" spans="1:270" ht="12.75" x14ac:dyDescent="0.2">
      <c r="A151" s="3">
        <v>43502.371849398143</v>
      </c>
      <c r="B151" s="4" t="s">
        <v>470</v>
      </c>
      <c r="C151" s="4" t="s">
        <v>961</v>
      </c>
      <c r="D151" s="5">
        <v>43500</v>
      </c>
      <c r="E151" s="4" t="s">
        <v>472</v>
      </c>
      <c r="J151" s="6">
        <v>0.48402777777664596</v>
      </c>
      <c r="K151" s="4" t="s">
        <v>348</v>
      </c>
      <c r="L151" s="4" t="s">
        <v>358</v>
      </c>
      <c r="M151" s="4" t="s">
        <v>350</v>
      </c>
      <c r="N151" s="4" t="s">
        <v>351</v>
      </c>
      <c r="P151" s="4">
        <v>0</v>
      </c>
      <c r="Q151" s="4"/>
      <c r="R151" s="4">
        <v>7</v>
      </c>
      <c r="S151" s="4"/>
      <c r="T151" s="4"/>
      <c r="U151" s="4"/>
      <c r="V151" s="4"/>
      <c r="W151" s="4"/>
      <c r="X151" s="4"/>
      <c r="Y151" s="4"/>
      <c r="Z151" s="4">
        <v>28</v>
      </c>
      <c r="AA151" s="4"/>
      <c r="AB151" s="4"/>
      <c r="AC151" s="4"/>
      <c r="AD151" s="4"/>
      <c r="AE151" s="4">
        <v>4</v>
      </c>
      <c r="AF151" s="4">
        <v>27</v>
      </c>
      <c r="AG151" s="4">
        <v>68</v>
      </c>
      <c r="AH151" s="4">
        <v>11</v>
      </c>
      <c r="AI151" s="4"/>
      <c r="AJ151" s="4"/>
      <c r="AK151" s="4"/>
      <c r="AL151" s="4"/>
      <c r="AM151" s="4">
        <v>5</v>
      </c>
      <c r="AN151" s="4"/>
      <c r="AO151" s="4"/>
      <c r="AP151" s="4"/>
      <c r="AQ151" s="4"/>
      <c r="AR151" s="4"/>
      <c r="AS151" s="4"/>
      <c r="AT151" s="4"/>
      <c r="AU151" s="4"/>
      <c r="AV151" s="4"/>
      <c r="AW151" s="4"/>
      <c r="AX151" s="4"/>
      <c r="AY151" s="4"/>
      <c r="AZ151" s="4"/>
      <c r="BA151" s="4"/>
      <c r="BB151" s="4">
        <v>1</v>
      </c>
      <c r="BC151" s="4"/>
      <c r="BD151" s="4"/>
      <c r="BE151" s="4"/>
      <c r="BF151" s="4"/>
      <c r="BG151" s="4"/>
      <c r="BH151" s="4"/>
      <c r="BI151" s="4"/>
      <c r="BJ151" s="4" t="s">
        <v>353</v>
      </c>
      <c r="BK151" s="4">
        <v>24.808499999999999</v>
      </c>
      <c r="BL151" s="4">
        <v>-80.832599999999999</v>
      </c>
      <c r="BM151" s="4">
        <v>0</v>
      </c>
      <c r="BN151" s="4">
        <v>0</v>
      </c>
      <c r="BO151" s="4">
        <v>0</v>
      </c>
      <c r="BP151" s="4">
        <v>0</v>
      </c>
      <c r="BQ151" s="4">
        <v>0</v>
      </c>
      <c r="BR151" s="4">
        <v>0</v>
      </c>
      <c r="BS151" s="4">
        <v>0</v>
      </c>
      <c r="BT151" s="4">
        <v>0</v>
      </c>
      <c r="BU151" s="4">
        <v>0</v>
      </c>
      <c r="BV151" s="4">
        <v>0</v>
      </c>
      <c r="BW151" s="4">
        <v>0</v>
      </c>
      <c r="BX151" s="4">
        <v>0</v>
      </c>
      <c r="BY151" s="4" t="s">
        <v>962</v>
      </c>
      <c r="BZ151" s="4" t="s">
        <v>364</v>
      </c>
    </row>
    <row r="152" spans="1:270" ht="12.75" x14ac:dyDescent="0.2">
      <c r="A152" s="3">
        <v>43509.355672384263</v>
      </c>
      <c r="B152" s="4" t="s">
        <v>470</v>
      </c>
      <c r="C152" s="4" t="s">
        <v>961</v>
      </c>
      <c r="D152" s="5">
        <v>43500</v>
      </c>
      <c r="E152" s="4" t="s">
        <v>472</v>
      </c>
      <c r="J152" s="6">
        <v>0.48402777777664596</v>
      </c>
      <c r="K152" s="4" t="s">
        <v>348</v>
      </c>
      <c r="L152" s="4" t="s">
        <v>358</v>
      </c>
      <c r="M152" s="4" t="s">
        <v>350</v>
      </c>
      <c r="N152" s="4" t="s">
        <v>351</v>
      </c>
      <c r="P152" s="4">
        <v>0</v>
      </c>
      <c r="Q152" s="4"/>
      <c r="R152" s="4">
        <v>7</v>
      </c>
      <c r="S152" s="4"/>
      <c r="T152" s="4"/>
      <c r="U152" s="4"/>
      <c r="V152" s="4"/>
      <c r="W152" s="4"/>
      <c r="X152" s="4"/>
      <c r="Y152" s="4"/>
      <c r="Z152" s="4">
        <v>28</v>
      </c>
      <c r="AB152" s="4"/>
      <c r="AC152" s="4"/>
      <c r="AD152" s="4"/>
      <c r="AE152" s="4">
        <v>4</v>
      </c>
      <c r="AF152" s="4">
        <v>27</v>
      </c>
      <c r="AG152" s="4">
        <v>68</v>
      </c>
      <c r="AH152" s="4">
        <v>11</v>
      </c>
      <c r="AI152" s="4"/>
      <c r="AJ152" s="4"/>
      <c r="AK152" s="4"/>
      <c r="AL152" s="4"/>
      <c r="AM152" s="4">
        <v>5</v>
      </c>
      <c r="AN152" s="4"/>
      <c r="AO152" s="4"/>
      <c r="AR152" s="4"/>
      <c r="AS152" s="4"/>
      <c r="AT152" s="4"/>
      <c r="AU152" s="4"/>
      <c r="AV152" s="4"/>
      <c r="AW152" s="4"/>
      <c r="AX152" s="4"/>
      <c r="AY152" s="4"/>
      <c r="AZ152" s="4"/>
      <c r="BA152" s="4"/>
      <c r="BB152" s="4">
        <v>1</v>
      </c>
      <c r="BC152" s="4"/>
      <c r="BD152" s="4"/>
      <c r="BE152" s="4"/>
      <c r="BF152" s="4"/>
      <c r="BG152" s="4"/>
      <c r="BH152" s="4"/>
      <c r="BI152" s="4"/>
      <c r="BJ152" s="4" t="s">
        <v>353</v>
      </c>
      <c r="BK152" s="4">
        <v>24.808499999999999</v>
      </c>
      <c r="BL152" s="4">
        <v>-80.832599999999999</v>
      </c>
      <c r="BM152" s="4">
        <v>0</v>
      </c>
      <c r="BN152" s="4">
        <v>0</v>
      </c>
      <c r="BO152" s="4">
        <v>0</v>
      </c>
      <c r="BP152" s="4">
        <v>0</v>
      </c>
      <c r="BQ152" s="4">
        <v>0</v>
      </c>
      <c r="BR152" s="4">
        <v>0</v>
      </c>
      <c r="BS152" s="4">
        <v>0</v>
      </c>
      <c r="BT152" s="4">
        <v>0</v>
      </c>
      <c r="BU152" s="4">
        <v>0</v>
      </c>
      <c r="BV152" s="4">
        <v>0</v>
      </c>
      <c r="BW152" s="4">
        <v>0</v>
      </c>
      <c r="BX152" s="4">
        <v>0</v>
      </c>
      <c r="BY152" s="4" t="s">
        <v>963</v>
      </c>
      <c r="BZ152" s="4" t="s">
        <v>354</v>
      </c>
    </row>
    <row r="153" spans="1:270" ht="12.75" x14ac:dyDescent="0.2">
      <c r="A153" s="3">
        <v>43502.449454606482</v>
      </c>
      <c r="B153" s="4" t="s">
        <v>964</v>
      </c>
      <c r="C153" s="4" t="s">
        <v>965</v>
      </c>
      <c r="D153" s="5">
        <v>43500</v>
      </c>
      <c r="E153" s="4" t="s">
        <v>966</v>
      </c>
      <c r="J153" s="6">
        <v>0.29513888889050577</v>
      </c>
      <c r="K153" s="4" t="s">
        <v>348</v>
      </c>
      <c r="L153" s="4" t="s">
        <v>349</v>
      </c>
      <c r="M153" s="4" t="s">
        <v>350</v>
      </c>
      <c r="N153" s="4" t="s">
        <v>351</v>
      </c>
      <c r="O153" s="4" t="s">
        <v>967</v>
      </c>
      <c r="R153" s="4">
        <v>1</v>
      </c>
      <c r="AE153" s="4">
        <v>6</v>
      </c>
      <c r="AF153" s="4">
        <v>19</v>
      </c>
      <c r="AJ153" s="4">
        <v>1</v>
      </c>
      <c r="AR153" s="4">
        <v>11</v>
      </c>
      <c r="AU153" s="4">
        <v>24</v>
      </c>
      <c r="AW153" s="4">
        <v>13</v>
      </c>
      <c r="AX153" s="4">
        <v>2</v>
      </c>
      <c r="AY153" s="4">
        <v>220</v>
      </c>
      <c r="BB153" s="4">
        <v>5</v>
      </c>
      <c r="BC153" s="4">
        <v>192</v>
      </c>
      <c r="BD153" s="4">
        <v>1</v>
      </c>
      <c r="BE153" s="4">
        <v>47</v>
      </c>
      <c r="BF153" s="4">
        <v>25</v>
      </c>
      <c r="BG153" s="4">
        <v>68</v>
      </c>
      <c r="BJ153" s="4" t="s">
        <v>353</v>
      </c>
      <c r="BK153" s="4">
        <v>27.430969999999999</v>
      </c>
      <c r="BL153" s="4">
        <v>-82.684780000000003</v>
      </c>
      <c r="BO153" s="4">
        <v>11</v>
      </c>
      <c r="BP153" s="4" t="s">
        <v>400</v>
      </c>
      <c r="BY153" s="4" t="s">
        <v>968</v>
      </c>
      <c r="BZ153" s="4" t="s">
        <v>364</v>
      </c>
    </row>
    <row r="154" spans="1:270" ht="12.75" x14ac:dyDescent="0.2">
      <c r="A154" s="3">
        <v>43502.438496840274</v>
      </c>
      <c r="B154" s="4" t="s">
        <v>964</v>
      </c>
      <c r="C154" s="4" t="s">
        <v>969</v>
      </c>
      <c r="D154" s="5">
        <v>43499</v>
      </c>
      <c r="E154" s="4" t="s">
        <v>970</v>
      </c>
      <c r="J154" s="6">
        <v>0.29861111110949423</v>
      </c>
      <c r="K154" s="4" t="s">
        <v>348</v>
      </c>
      <c r="L154" s="4" t="s">
        <v>358</v>
      </c>
      <c r="M154" s="4" t="s">
        <v>350</v>
      </c>
      <c r="N154" s="4" t="s">
        <v>351</v>
      </c>
      <c r="O154" s="4" t="s">
        <v>971</v>
      </c>
      <c r="AF154" s="4">
        <v>18</v>
      </c>
      <c r="AM154" s="4">
        <v>1</v>
      </c>
      <c r="AU154" s="4">
        <v>50</v>
      </c>
      <c r="AX154" s="4">
        <v>5</v>
      </c>
      <c r="AY154" s="4">
        <v>76</v>
      </c>
      <c r="BB154" s="4">
        <v>2</v>
      </c>
      <c r="BC154" s="4">
        <v>70</v>
      </c>
      <c r="BD154" s="4">
        <v>6</v>
      </c>
      <c r="BE154" s="4">
        <v>37</v>
      </c>
      <c r="BF154" s="4">
        <v>133</v>
      </c>
      <c r="BG154" s="4">
        <v>10</v>
      </c>
      <c r="BJ154" s="4" t="s">
        <v>353</v>
      </c>
      <c r="BK154" s="4">
        <v>27.361190000000001</v>
      </c>
      <c r="BL154" s="4">
        <v>-82.622730000000004</v>
      </c>
      <c r="BY154" s="4" t="s">
        <v>972</v>
      </c>
      <c r="BZ154" s="4" t="s">
        <v>353</v>
      </c>
      <c r="CA154" s="4">
        <v>27.369859999999999</v>
      </c>
      <c r="CB154" s="4">
        <v>-82.629509999999996</v>
      </c>
      <c r="CO154" s="4" t="s">
        <v>973</v>
      </c>
      <c r="CP154" s="4" t="s">
        <v>353</v>
      </c>
      <c r="CQ154" s="4">
        <v>27.38109</v>
      </c>
      <c r="CR154" s="4">
        <v>-82.637680000000003</v>
      </c>
      <c r="DE154" s="4" t="s">
        <v>974</v>
      </c>
      <c r="DF154" s="4" t="s">
        <v>359</v>
      </c>
    </row>
    <row r="155" spans="1:270" ht="12.75" x14ac:dyDescent="0.2">
      <c r="A155" s="3">
        <v>43504.398283518516</v>
      </c>
      <c r="B155" s="4" t="s">
        <v>660</v>
      </c>
      <c r="C155" s="4" t="s">
        <v>975</v>
      </c>
      <c r="D155" s="5">
        <v>43501</v>
      </c>
      <c r="E155" s="4" t="s">
        <v>976</v>
      </c>
      <c r="J155" s="6">
        <v>0.42847222222189885</v>
      </c>
      <c r="K155" s="4" t="s">
        <v>348</v>
      </c>
      <c r="L155" s="4" t="s">
        <v>349</v>
      </c>
      <c r="M155" s="4" t="s">
        <v>350</v>
      </c>
      <c r="N155" s="4" t="s">
        <v>351</v>
      </c>
      <c r="O155" s="4" t="s">
        <v>977</v>
      </c>
      <c r="P155" s="4">
        <v>2</v>
      </c>
      <c r="Q155" s="4"/>
      <c r="R155" s="4"/>
      <c r="S155" s="4"/>
      <c r="T155" s="4"/>
      <c r="U155" s="4"/>
      <c r="V155" s="4"/>
      <c r="W155" s="4"/>
      <c r="X155" s="4"/>
      <c r="Y155" s="4"/>
      <c r="Z155" s="4"/>
      <c r="AA155" s="4"/>
      <c r="AB155" s="4"/>
      <c r="AC155" s="4"/>
      <c r="AD155" s="4"/>
      <c r="AE155" s="4">
        <v>4</v>
      </c>
      <c r="AF155" s="4">
        <v>37</v>
      </c>
      <c r="AG155" s="4"/>
      <c r="AH155" s="4"/>
      <c r="AI155" s="4"/>
      <c r="AJ155" s="4">
        <v>1</v>
      </c>
      <c r="AK155" s="4"/>
      <c r="AL155" s="4"/>
      <c r="AM155" s="4">
        <v>19</v>
      </c>
      <c r="AN155" s="4">
        <v>2</v>
      </c>
      <c r="AO155" s="4"/>
      <c r="AP155" s="4"/>
      <c r="AQ155" s="4"/>
      <c r="AR155" s="4"/>
      <c r="AS155" s="4"/>
      <c r="AT155" s="4"/>
      <c r="AU155" s="4">
        <v>1</v>
      </c>
      <c r="AV155" s="4"/>
      <c r="AW155" s="4"/>
      <c r="AX155" s="4">
        <v>2</v>
      </c>
      <c r="AY155" s="4"/>
      <c r="AZ155" s="4"/>
      <c r="BA155" s="4"/>
      <c r="BB155" s="4">
        <v>1</v>
      </c>
      <c r="BC155" s="4">
        <v>18</v>
      </c>
      <c r="BD155" s="4"/>
      <c r="BE155" s="4">
        <v>11</v>
      </c>
      <c r="BF155" s="4">
        <v>3</v>
      </c>
      <c r="BG155" s="4">
        <v>16</v>
      </c>
      <c r="BH155" s="4"/>
      <c r="BI155" s="4"/>
      <c r="BJ155" s="4" t="s">
        <v>353</v>
      </c>
      <c r="BK155" s="4">
        <v>26.388290000000001</v>
      </c>
      <c r="BL155" s="4">
        <v>-81.877809999999997</v>
      </c>
      <c r="BM155" s="4">
        <v>0</v>
      </c>
      <c r="BO155" s="4">
        <v>0</v>
      </c>
      <c r="BQ155" s="4">
        <v>0</v>
      </c>
      <c r="BS155" s="4">
        <v>0</v>
      </c>
      <c r="BU155" s="4">
        <v>0</v>
      </c>
      <c r="BW155" s="4">
        <v>2</v>
      </c>
      <c r="BX155" s="4" t="s">
        <v>385</v>
      </c>
      <c r="BZ155" s="4" t="s">
        <v>353</v>
      </c>
      <c r="CA155" s="4">
        <v>26.384620000000002</v>
      </c>
      <c r="CB155" s="4">
        <v>-81.874080000000006</v>
      </c>
      <c r="CC155" s="4">
        <v>2</v>
      </c>
      <c r="CD155" s="4" t="s">
        <v>978</v>
      </c>
      <c r="CE155" s="4">
        <v>0</v>
      </c>
      <c r="CF155" s="4">
        <v>0</v>
      </c>
      <c r="CG155" s="4">
        <v>0</v>
      </c>
      <c r="CH155" s="4">
        <v>0</v>
      </c>
      <c r="CI155" s="4">
        <v>0</v>
      </c>
      <c r="CK155" s="4">
        <v>0</v>
      </c>
      <c r="CM155" s="4">
        <v>0</v>
      </c>
      <c r="CP155" s="4" t="s">
        <v>466</v>
      </c>
    </row>
    <row r="156" spans="1:270" ht="12.75" x14ac:dyDescent="0.2">
      <c r="A156" s="3">
        <v>43505.717578425931</v>
      </c>
      <c r="B156" s="4" t="s">
        <v>979</v>
      </c>
      <c r="C156" s="4" t="s">
        <v>980</v>
      </c>
      <c r="D156" s="5">
        <v>43500</v>
      </c>
      <c r="E156" s="4" t="s">
        <v>981</v>
      </c>
      <c r="J156" s="6">
        <v>0.367361111115315</v>
      </c>
      <c r="K156" s="4" t="s">
        <v>348</v>
      </c>
      <c r="L156" s="4" t="s">
        <v>358</v>
      </c>
      <c r="M156" s="4" t="s">
        <v>350</v>
      </c>
      <c r="N156" s="4" t="s">
        <v>351</v>
      </c>
      <c r="O156" s="4" t="s">
        <v>982</v>
      </c>
      <c r="P156" s="4">
        <v>0</v>
      </c>
      <c r="Q156" s="4"/>
      <c r="R156" s="4">
        <v>4</v>
      </c>
      <c r="S156" s="4"/>
      <c r="T156" s="4"/>
      <c r="U156" s="4"/>
      <c r="V156" s="4"/>
      <c r="W156" s="4"/>
      <c r="X156" s="4"/>
      <c r="Y156" s="4"/>
      <c r="Z156" s="4"/>
      <c r="AA156" s="4"/>
      <c r="AB156" s="4"/>
      <c r="AC156" s="4"/>
      <c r="AD156" s="4"/>
      <c r="AE156" s="4">
        <v>4</v>
      </c>
      <c r="AF156" s="4">
        <v>2</v>
      </c>
      <c r="AG156" s="4"/>
      <c r="AH156" s="4"/>
      <c r="AI156" s="4"/>
      <c r="AJ156" s="4"/>
      <c r="AK156" s="4"/>
      <c r="AL156" s="4"/>
      <c r="AM156" s="4">
        <v>1</v>
      </c>
      <c r="AN156" s="4"/>
      <c r="AO156" s="4"/>
      <c r="AP156" s="4"/>
      <c r="AQ156" s="4"/>
      <c r="AR156" s="4"/>
      <c r="AS156" s="4"/>
      <c r="AT156" s="4"/>
      <c r="AU156" s="4"/>
      <c r="AV156" s="4"/>
      <c r="AW156" s="4"/>
      <c r="AX156" s="4"/>
      <c r="AY156" s="4">
        <v>18</v>
      </c>
      <c r="AZ156" s="4"/>
      <c r="BA156" s="4"/>
      <c r="BB156" s="4"/>
      <c r="BC156" s="4">
        <v>22</v>
      </c>
      <c r="BD156" s="4"/>
      <c r="BE156" s="4">
        <v>35</v>
      </c>
      <c r="BF156" s="4">
        <v>43</v>
      </c>
      <c r="BG156" s="4"/>
      <c r="BH156" s="4"/>
      <c r="BI156" s="4"/>
      <c r="BJ156" s="4" t="s">
        <v>353</v>
      </c>
      <c r="BK156" s="4">
        <v>27.010411999999999</v>
      </c>
      <c r="BL156" s="4">
        <v>-82.412914999999998</v>
      </c>
      <c r="BM156" s="4">
        <v>0</v>
      </c>
      <c r="BN156" s="4" t="s">
        <v>828</v>
      </c>
      <c r="BO156" s="4">
        <v>0</v>
      </c>
      <c r="BP156" s="4" t="s">
        <v>828</v>
      </c>
      <c r="BQ156" s="4">
        <v>0</v>
      </c>
      <c r="BR156" s="4" t="s">
        <v>828</v>
      </c>
      <c r="BS156" s="4">
        <v>0</v>
      </c>
      <c r="BT156" s="4" t="s">
        <v>828</v>
      </c>
      <c r="BU156" s="4">
        <v>0</v>
      </c>
      <c r="BV156" s="4" t="s">
        <v>828</v>
      </c>
      <c r="BW156" s="4">
        <v>0</v>
      </c>
      <c r="BX156" s="4" t="s">
        <v>828</v>
      </c>
      <c r="BY156" s="4" t="s">
        <v>983</v>
      </c>
      <c r="BZ156" s="4" t="s">
        <v>353</v>
      </c>
      <c r="CA156" s="4">
        <v>27.012039000000001</v>
      </c>
      <c r="CB156" s="4">
        <v>-82.414053999999993</v>
      </c>
      <c r="CC156" s="4">
        <v>0</v>
      </c>
      <c r="CD156" s="4" t="s">
        <v>828</v>
      </c>
      <c r="CE156" s="4">
        <v>0</v>
      </c>
      <c r="CF156" s="4" t="s">
        <v>828</v>
      </c>
      <c r="CG156" s="4">
        <v>0</v>
      </c>
      <c r="CH156" s="4" t="s">
        <v>828</v>
      </c>
      <c r="CI156" s="4">
        <v>0</v>
      </c>
      <c r="CJ156" s="4" t="s">
        <v>828</v>
      </c>
      <c r="CK156" s="4">
        <v>0</v>
      </c>
      <c r="CL156" s="4" t="s">
        <v>828</v>
      </c>
      <c r="CM156" s="4">
        <v>0</v>
      </c>
      <c r="CN156" s="4" t="s">
        <v>828</v>
      </c>
      <c r="CO156" s="4" t="s">
        <v>984</v>
      </c>
      <c r="CP156" s="4" t="s">
        <v>466</v>
      </c>
    </row>
    <row r="157" spans="1:270" ht="12.75" x14ac:dyDescent="0.2">
      <c r="A157" s="3">
        <v>43504.399065648147</v>
      </c>
      <c r="B157" s="4" t="s">
        <v>933</v>
      </c>
      <c r="C157" s="4" t="s">
        <v>985</v>
      </c>
      <c r="D157" s="5">
        <v>43502</v>
      </c>
      <c r="E157" s="4" t="s">
        <v>986</v>
      </c>
      <c r="J157" s="6">
        <v>0.33333333333575865</v>
      </c>
      <c r="K157" s="4" t="s">
        <v>348</v>
      </c>
      <c r="L157" s="4" t="s">
        <v>390</v>
      </c>
      <c r="M157" s="4" t="s">
        <v>350</v>
      </c>
      <c r="N157" s="4" t="s">
        <v>351</v>
      </c>
      <c r="R157" s="4">
        <v>5</v>
      </c>
      <c r="S157" s="4">
        <v>80</v>
      </c>
      <c r="AC157" s="4">
        <v>11</v>
      </c>
      <c r="AE157" s="4">
        <v>15</v>
      </c>
      <c r="AF157" s="4">
        <v>90</v>
      </c>
      <c r="AH157" s="4">
        <v>15</v>
      </c>
      <c r="AJ157" s="4">
        <v>1</v>
      </c>
      <c r="AN157" s="4">
        <v>1</v>
      </c>
      <c r="AU157" s="4">
        <v>38</v>
      </c>
      <c r="AX157" s="4">
        <v>2</v>
      </c>
      <c r="BA157" s="4">
        <v>5</v>
      </c>
      <c r="BC157" s="4">
        <v>32</v>
      </c>
      <c r="BF157" s="4">
        <v>250</v>
      </c>
      <c r="BJ157" s="4" t="s">
        <v>353</v>
      </c>
      <c r="BK157" s="4">
        <v>26.09517</v>
      </c>
      <c r="BL157" s="4">
        <v>-80.105180000000004</v>
      </c>
      <c r="BY157" s="4" t="s">
        <v>987</v>
      </c>
      <c r="BZ157" s="4" t="s">
        <v>353</v>
      </c>
      <c r="CA157" s="4">
        <v>27.168420000000001</v>
      </c>
      <c r="CB157" s="4">
        <v>-80.154970000000006</v>
      </c>
      <c r="CO157" s="4" t="s">
        <v>988</v>
      </c>
      <c r="CP157" s="4" t="s">
        <v>353</v>
      </c>
      <c r="CQ157" s="4">
        <v>27.17146</v>
      </c>
      <c r="CR157" s="4">
        <v>-80.171379999999999</v>
      </c>
      <c r="CW157" s="4">
        <v>11</v>
      </c>
      <c r="DC157" s="4">
        <v>1</v>
      </c>
      <c r="DE157" s="4" t="s">
        <v>989</v>
      </c>
      <c r="DF157" s="4" t="s">
        <v>353</v>
      </c>
      <c r="DG157" s="4">
        <v>27.204809999999998</v>
      </c>
      <c r="DH157" s="4">
        <v>-80.170940000000002</v>
      </c>
      <c r="DU157" s="4" t="s">
        <v>990</v>
      </c>
      <c r="DV157" s="4" t="s">
        <v>359</v>
      </c>
    </row>
    <row r="158" spans="1:270" ht="12.75" x14ac:dyDescent="0.2">
      <c r="A158" s="3">
        <v>43502.688837638889</v>
      </c>
      <c r="B158" s="4" t="s">
        <v>991</v>
      </c>
      <c r="C158" s="4" t="s">
        <v>992</v>
      </c>
      <c r="D158" s="5">
        <v>43502</v>
      </c>
      <c r="E158" s="4" t="s">
        <v>993</v>
      </c>
      <c r="F158" s="4">
        <v>26.986719999999998</v>
      </c>
      <c r="G158" s="4">
        <v>-80.085400000000007</v>
      </c>
      <c r="H158" s="4">
        <v>27.087399999999999</v>
      </c>
      <c r="I158" s="4">
        <v>-80.125200000000007</v>
      </c>
      <c r="J158" s="6">
        <v>4.8611111124046147E-3</v>
      </c>
      <c r="K158" s="4" t="s">
        <v>379</v>
      </c>
      <c r="L158" s="4" t="s">
        <v>349</v>
      </c>
      <c r="M158" s="4" t="s">
        <v>350</v>
      </c>
      <c r="N158" s="4" t="s">
        <v>351</v>
      </c>
      <c r="P158" s="4">
        <v>0</v>
      </c>
      <c r="Q158" s="4"/>
      <c r="R158" s="4"/>
      <c r="S158" s="4"/>
      <c r="T158" s="4"/>
      <c r="U158" s="4">
        <v>1</v>
      </c>
      <c r="V158" s="4"/>
      <c r="W158" s="4"/>
      <c r="X158" s="4"/>
      <c r="Y158" s="4"/>
      <c r="Z158" s="4"/>
      <c r="AA158" s="4"/>
      <c r="AB158" s="4"/>
      <c r="AC158" s="4"/>
      <c r="AD158" s="4"/>
      <c r="AE158" s="4">
        <v>29</v>
      </c>
      <c r="AF158" s="4">
        <v>96</v>
      </c>
      <c r="AG158" s="4"/>
      <c r="AH158" s="4"/>
      <c r="AI158" s="4"/>
      <c r="AJ158" s="4"/>
      <c r="AK158" s="4"/>
      <c r="AL158" s="4"/>
      <c r="AM158" s="4">
        <v>28</v>
      </c>
      <c r="AN158" s="4"/>
      <c r="AO158" s="4"/>
      <c r="AP158" s="4"/>
      <c r="AQ158" s="4"/>
      <c r="AS158" s="4"/>
      <c r="AT158" s="4"/>
      <c r="AU158" s="4"/>
      <c r="AV158" s="4"/>
      <c r="AW158" s="4"/>
      <c r="AX158" s="4"/>
      <c r="AY158" s="4"/>
      <c r="AZ158" s="4"/>
      <c r="BA158" s="4"/>
      <c r="BB158" s="4"/>
      <c r="BC158" s="4">
        <v>2</v>
      </c>
      <c r="BD158" s="4">
        <v>14</v>
      </c>
      <c r="BE158" s="4">
        <v>37</v>
      </c>
      <c r="BF158" s="4">
        <v>3</v>
      </c>
      <c r="BJ158" s="4" t="s">
        <v>364</v>
      </c>
    </row>
    <row r="159" spans="1:270" ht="12.75" x14ac:dyDescent="0.2">
      <c r="A159" s="3">
        <v>43510.651124201388</v>
      </c>
      <c r="B159" s="4" t="s">
        <v>991</v>
      </c>
      <c r="C159" s="4" t="s">
        <v>992</v>
      </c>
      <c r="D159" s="5">
        <v>43497</v>
      </c>
      <c r="E159" s="4" t="s">
        <v>994</v>
      </c>
      <c r="F159" s="4">
        <v>26.986719999999998</v>
      </c>
      <c r="G159" s="4">
        <v>-80.085400000000007</v>
      </c>
      <c r="H159" s="4">
        <v>27.087399999999999</v>
      </c>
      <c r="I159" s="4">
        <v>-80.125200000000007</v>
      </c>
      <c r="J159" s="6">
        <v>4.8611111124046147E-3</v>
      </c>
      <c r="K159" s="4" t="s">
        <v>379</v>
      </c>
      <c r="L159" s="4" t="s">
        <v>349</v>
      </c>
      <c r="M159" s="4" t="s">
        <v>350</v>
      </c>
      <c r="N159" s="4" t="s">
        <v>351</v>
      </c>
      <c r="P159" s="4">
        <v>0</v>
      </c>
      <c r="Q159" s="4"/>
      <c r="R159" s="4"/>
      <c r="S159" s="4"/>
      <c r="T159" s="4"/>
      <c r="U159" s="4">
        <v>1</v>
      </c>
      <c r="V159" s="4"/>
      <c r="W159" s="4"/>
      <c r="X159" s="4"/>
      <c r="Y159" s="4"/>
      <c r="Z159" s="4"/>
      <c r="AA159" s="4"/>
      <c r="AB159" s="4"/>
      <c r="AC159" s="4"/>
      <c r="AD159" s="4"/>
      <c r="AE159" s="4">
        <v>29</v>
      </c>
      <c r="AF159" s="4">
        <v>96</v>
      </c>
      <c r="AG159" s="4"/>
      <c r="AH159" s="4"/>
      <c r="AI159" s="4"/>
      <c r="AJ159" s="4"/>
      <c r="AK159" s="4"/>
      <c r="AL159" s="4"/>
      <c r="AM159" s="4">
        <v>28</v>
      </c>
      <c r="AN159" s="4"/>
      <c r="AO159" s="4"/>
      <c r="AP159" s="4"/>
      <c r="AQ159" s="4"/>
      <c r="AR159" s="4"/>
      <c r="AS159" s="4"/>
      <c r="AT159" s="4"/>
      <c r="AU159" s="4"/>
      <c r="AV159" s="4"/>
      <c r="AW159" s="4"/>
      <c r="AX159" s="4"/>
      <c r="AY159" s="4"/>
      <c r="AZ159" s="4"/>
      <c r="BA159" s="4"/>
      <c r="BB159" s="4"/>
      <c r="BC159" s="4">
        <v>2</v>
      </c>
      <c r="BD159" s="4">
        <v>14</v>
      </c>
      <c r="BE159" s="4">
        <v>37</v>
      </c>
      <c r="BF159" s="4">
        <v>3</v>
      </c>
      <c r="BG159" s="4"/>
      <c r="BH159" s="4"/>
      <c r="BI159" s="4"/>
      <c r="BJ159" s="4" t="s">
        <v>364</v>
      </c>
    </row>
    <row r="160" spans="1:270" ht="12.75" x14ac:dyDescent="0.2">
      <c r="A160" s="3">
        <v>43503.65774667824</v>
      </c>
      <c r="B160" s="4" t="s">
        <v>460</v>
      </c>
      <c r="C160" s="4" t="str">
        <f>O160</f>
        <v>Mash Sands County Park</v>
      </c>
      <c r="D160" s="5">
        <v>43502</v>
      </c>
      <c r="E160" s="4" t="s">
        <v>461</v>
      </c>
      <c r="F160" s="4">
        <v>29.974810000000002</v>
      </c>
      <c r="G160" s="4">
        <v>-84.346260000000001</v>
      </c>
      <c r="H160" s="4">
        <v>29.970359999999999</v>
      </c>
      <c r="I160" s="4">
        <v>-84.345140000000001</v>
      </c>
      <c r="J160" s="6">
        <v>0.53125</v>
      </c>
      <c r="K160" s="4" t="s">
        <v>348</v>
      </c>
      <c r="L160" s="4" t="s">
        <v>358</v>
      </c>
      <c r="M160" s="4" t="s">
        <v>350</v>
      </c>
      <c r="N160" s="4" t="s">
        <v>351</v>
      </c>
      <c r="O160" s="4" t="s">
        <v>995</v>
      </c>
      <c r="P160" s="4">
        <v>2</v>
      </c>
      <c r="Q160" s="4"/>
      <c r="R160" s="4">
        <v>4</v>
      </c>
      <c r="S160" s="4"/>
      <c r="T160" s="4">
        <v>6</v>
      </c>
      <c r="U160" s="4"/>
      <c r="V160" s="4"/>
      <c r="W160" s="4"/>
      <c r="X160" s="4"/>
      <c r="Y160" s="4"/>
      <c r="Z160" s="4"/>
      <c r="AA160" s="4"/>
      <c r="AB160" s="4"/>
      <c r="AC160" s="4"/>
      <c r="AD160" s="4"/>
      <c r="AE160" s="4"/>
      <c r="AF160" s="4"/>
      <c r="AG160" s="4"/>
      <c r="AH160" s="4"/>
      <c r="AI160" s="4"/>
      <c r="AJ160" s="4"/>
      <c r="AK160" s="4"/>
      <c r="AL160" s="4"/>
      <c r="AM160" s="4">
        <v>10</v>
      </c>
      <c r="AN160" s="4"/>
      <c r="AO160" s="4"/>
      <c r="AP160" s="4"/>
      <c r="AQ160" s="4"/>
      <c r="AR160" s="4">
        <v>20</v>
      </c>
      <c r="AS160" s="4"/>
      <c r="AT160" s="4"/>
      <c r="AU160" s="4">
        <v>4</v>
      </c>
      <c r="AV160" s="4"/>
      <c r="AW160" s="4"/>
      <c r="AX160" s="4">
        <v>3</v>
      </c>
      <c r="AY160" s="4">
        <v>4</v>
      </c>
      <c r="AZ160" s="4"/>
      <c r="BA160" s="4"/>
      <c r="BB160" s="4"/>
      <c r="BC160" s="4"/>
      <c r="BD160" s="4"/>
      <c r="BE160" s="4">
        <v>28</v>
      </c>
      <c r="BF160" s="4"/>
      <c r="BG160" s="4"/>
      <c r="BH160" s="4"/>
      <c r="BI160" s="4"/>
      <c r="BJ160" s="4" t="s">
        <v>353</v>
      </c>
      <c r="BK160" s="4">
        <v>29.980979999999999</v>
      </c>
      <c r="BL160" s="4">
        <v>-84.351640000000003</v>
      </c>
      <c r="BM160" s="4">
        <v>2</v>
      </c>
      <c r="BN160" s="4" t="s">
        <v>464</v>
      </c>
      <c r="BO160" s="4">
        <v>0</v>
      </c>
      <c r="BQ160" s="4">
        <v>0</v>
      </c>
      <c r="BS160" s="4">
        <v>0</v>
      </c>
      <c r="BU160" s="4">
        <v>0</v>
      </c>
      <c r="BW160" s="4">
        <v>0</v>
      </c>
      <c r="BY160" s="4" t="s">
        <v>375</v>
      </c>
      <c r="BZ160" s="4" t="s">
        <v>353</v>
      </c>
      <c r="CA160" s="4">
        <v>29.971</v>
      </c>
      <c r="CB160" s="4">
        <v>-84.341679999999997</v>
      </c>
      <c r="CC160" s="4">
        <v>0</v>
      </c>
      <c r="CE160" s="4">
        <v>20</v>
      </c>
      <c r="CF160" s="4" t="s">
        <v>996</v>
      </c>
      <c r="CG160" s="4">
        <v>0</v>
      </c>
      <c r="CI160" s="4">
        <v>0</v>
      </c>
      <c r="CK160" s="4">
        <v>0</v>
      </c>
      <c r="CM160" s="4">
        <v>0</v>
      </c>
      <c r="CO160" s="4" t="s">
        <v>997</v>
      </c>
      <c r="CP160" s="4" t="s">
        <v>466</v>
      </c>
    </row>
    <row r="161" spans="1:158" ht="12.75" x14ac:dyDescent="0.2">
      <c r="A161" s="3">
        <v>43515.454476990737</v>
      </c>
      <c r="B161" s="4" t="s">
        <v>757</v>
      </c>
      <c r="C161" s="4" t="s">
        <v>998</v>
      </c>
      <c r="D161" s="5">
        <v>43497</v>
      </c>
      <c r="E161" s="4" t="s">
        <v>999</v>
      </c>
      <c r="J161" s="6">
        <v>0.45833333333575865</v>
      </c>
      <c r="K161" s="4" t="s">
        <v>348</v>
      </c>
      <c r="L161" s="4" t="s">
        <v>390</v>
      </c>
      <c r="M161" s="4" t="s">
        <v>350</v>
      </c>
      <c r="N161" s="4" t="s">
        <v>351</v>
      </c>
      <c r="P161" s="4">
        <v>0</v>
      </c>
      <c r="Q161" s="4"/>
      <c r="R161" s="4">
        <v>1</v>
      </c>
      <c r="S161" s="4">
        <v>2</v>
      </c>
      <c r="T161" s="4"/>
      <c r="U161" s="4"/>
      <c r="V161" s="4"/>
      <c r="W161" s="4"/>
      <c r="X161" s="4"/>
      <c r="Y161" s="4"/>
      <c r="Z161" s="4"/>
      <c r="AA161" s="4"/>
      <c r="AB161" s="4"/>
      <c r="AC161" s="4"/>
      <c r="AD161" s="4"/>
      <c r="AE161" s="4">
        <v>8</v>
      </c>
      <c r="AF161" s="4">
        <v>16</v>
      </c>
      <c r="AG161" s="4"/>
      <c r="AH161" s="4"/>
      <c r="AI161" s="4"/>
      <c r="AJ161" s="4"/>
      <c r="AK161" s="4"/>
      <c r="AL161" s="4"/>
      <c r="AM161" s="4">
        <v>5</v>
      </c>
      <c r="AN161" s="4"/>
      <c r="AO161" s="4"/>
      <c r="AP161" s="4"/>
      <c r="AQ161" s="4"/>
      <c r="AR161" s="4">
        <v>20</v>
      </c>
      <c r="AS161" s="4">
        <v>8</v>
      </c>
      <c r="AT161" s="4"/>
      <c r="AU161" s="4">
        <v>44</v>
      </c>
      <c r="AV161" s="4"/>
      <c r="AW161" s="4"/>
      <c r="AX161" s="4">
        <v>7</v>
      </c>
      <c r="AY161" s="4">
        <v>8</v>
      </c>
      <c r="AZ161" s="4"/>
      <c r="BA161" s="4">
        <v>3</v>
      </c>
      <c r="BB161" s="4">
        <v>1</v>
      </c>
      <c r="BC161" s="4">
        <v>131</v>
      </c>
      <c r="BD161" s="4"/>
      <c r="BE161" s="4">
        <v>10</v>
      </c>
      <c r="BF161" s="4">
        <v>91</v>
      </c>
      <c r="BG161" s="4"/>
      <c r="BH161" s="4"/>
      <c r="BI161" s="4"/>
      <c r="BJ161" s="4" t="s">
        <v>353</v>
      </c>
      <c r="BK161" s="4">
        <v>29.703785</v>
      </c>
      <c r="BL161" s="4">
        <v>-81.226464000000007</v>
      </c>
      <c r="BM161" s="4">
        <v>0</v>
      </c>
      <c r="BN161" s="4">
        <v>0</v>
      </c>
      <c r="BO161" s="4">
        <v>20</v>
      </c>
      <c r="BP161" s="4">
        <v>0</v>
      </c>
      <c r="BQ161" s="4">
        <v>0</v>
      </c>
      <c r="BR161" s="4">
        <v>0</v>
      </c>
      <c r="BS161" s="4">
        <v>0</v>
      </c>
      <c r="BT161" s="4">
        <v>0</v>
      </c>
      <c r="BU161" s="4">
        <v>0</v>
      </c>
      <c r="BV161" s="4">
        <v>0</v>
      </c>
      <c r="BW161" s="4">
        <v>0</v>
      </c>
      <c r="BX161" s="4">
        <v>0</v>
      </c>
      <c r="BY161" s="4" t="s">
        <v>481</v>
      </c>
      <c r="BZ161" s="4" t="s">
        <v>354</v>
      </c>
    </row>
    <row r="162" spans="1:158" ht="12.75" x14ac:dyDescent="0.2">
      <c r="A162" s="3">
        <v>43507.670926631945</v>
      </c>
      <c r="B162" s="4" t="s">
        <v>402</v>
      </c>
      <c r="C162" s="4" t="s">
        <v>1000</v>
      </c>
      <c r="D162" s="5">
        <v>43503</v>
      </c>
      <c r="E162" s="4" t="s">
        <v>1001</v>
      </c>
      <c r="F162" s="4">
        <v>29.893283</v>
      </c>
      <c r="G162" s="4">
        <v>-81.307858999999993</v>
      </c>
      <c r="H162" s="4">
        <v>29.718361000000002</v>
      </c>
      <c r="I162" s="4">
        <v>-81.243555999999998</v>
      </c>
      <c r="J162" s="6">
        <v>0.46388888888759539</v>
      </c>
      <c r="K162" s="4" t="s">
        <v>348</v>
      </c>
      <c r="L162" s="4" t="s">
        <v>349</v>
      </c>
      <c r="M162" s="4" t="s">
        <v>350</v>
      </c>
      <c r="N162" s="4" t="s">
        <v>351</v>
      </c>
      <c r="O162" s="4" t="s">
        <v>1002</v>
      </c>
      <c r="P162" s="4">
        <v>45</v>
      </c>
      <c r="R162" s="4">
        <v>68</v>
      </c>
      <c r="AA162" s="4">
        <v>90</v>
      </c>
      <c r="AE162" s="4">
        <v>21</v>
      </c>
      <c r="AM162" s="4">
        <v>31</v>
      </c>
      <c r="BJ162" s="4" t="s">
        <v>353</v>
      </c>
      <c r="BK162" s="4">
        <v>29.88486</v>
      </c>
      <c r="BL162" s="4">
        <v>-81.299340000000001</v>
      </c>
      <c r="BM162" s="4">
        <v>2</v>
      </c>
      <c r="BZ162" s="4" t="s">
        <v>353</v>
      </c>
      <c r="CA162" s="4">
        <v>29.885339999999999</v>
      </c>
      <c r="CB162" s="4">
        <v>-81.300060000000002</v>
      </c>
      <c r="CC162" s="4">
        <v>3</v>
      </c>
      <c r="CD162" s="4" t="s">
        <v>1003</v>
      </c>
      <c r="CP162" s="4" t="s">
        <v>353</v>
      </c>
      <c r="CQ162" s="4">
        <v>29.857040000000001</v>
      </c>
      <c r="CR162" s="4">
        <v>-81.311329999999998</v>
      </c>
      <c r="CS162" s="4">
        <v>8</v>
      </c>
      <c r="CT162" s="4" t="s">
        <v>1003</v>
      </c>
      <c r="DF162" s="4" t="s">
        <v>353</v>
      </c>
      <c r="DG162" s="4">
        <v>29.79364</v>
      </c>
      <c r="DH162" s="4">
        <v>-81.271889999999999</v>
      </c>
      <c r="DI162" s="4">
        <v>28</v>
      </c>
      <c r="DJ162" s="4" t="s">
        <v>1003</v>
      </c>
      <c r="DV162" s="4" t="s">
        <v>353</v>
      </c>
      <c r="DW162" s="4">
        <v>29.738769999999999</v>
      </c>
      <c r="DX162" s="4">
        <v>-81.246420000000001</v>
      </c>
      <c r="DY162" s="4">
        <v>2</v>
      </c>
      <c r="EL162" s="4" t="s">
        <v>353</v>
      </c>
      <c r="EM162" s="4">
        <v>29.725629999999999</v>
      </c>
      <c r="EN162" s="4">
        <v>-81.246809999999996</v>
      </c>
      <c r="EO162" s="4">
        <v>2</v>
      </c>
      <c r="FB162" s="4" t="s">
        <v>359</v>
      </c>
    </row>
    <row r="163" spans="1:158" ht="12.75" x14ac:dyDescent="0.2">
      <c r="A163" s="3">
        <v>43523.906441516199</v>
      </c>
      <c r="B163" s="4" t="s">
        <v>1004</v>
      </c>
      <c r="C163" s="4" t="s">
        <v>1005</v>
      </c>
      <c r="D163" s="5">
        <v>43497</v>
      </c>
      <c r="E163" s="4" t="s">
        <v>1006</v>
      </c>
      <c r="J163" s="6">
        <v>0.39583333333575865</v>
      </c>
      <c r="M163" s="4" t="s">
        <v>350</v>
      </c>
      <c r="N163" s="4" t="s">
        <v>351</v>
      </c>
      <c r="P163" s="4">
        <v>0</v>
      </c>
      <c r="Q163" s="4"/>
      <c r="R163" s="4"/>
      <c r="S163" s="4"/>
      <c r="T163" s="4"/>
      <c r="U163" s="4"/>
      <c r="V163" s="4"/>
      <c r="W163" s="4"/>
      <c r="X163" s="4"/>
      <c r="Y163" s="4"/>
      <c r="Z163" s="4"/>
      <c r="AA163" s="4"/>
      <c r="AB163" s="4"/>
      <c r="AC163" s="4">
        <v>2</v>
      </c>
      <c r="AD163" s="4"/>
      <c r="AE163" s="4">
        <v>44</v>
      </c>
      <c r="AF163" s="4">
        <v>120</v>
      </c>
      <c r="AG163" s="4"/>
      <c r="AH163" s="4"/>
      <c r="AI163" s="4"/>
      <c r="AJ163" s="4"/>
      <c r="AK163" s="4"/>
      <c r="AL163" s="4"/>
      <c r="AM163" s="4">
        <v>30</v>
      </c>
      <c r="AN163" s="4"/>
      <c r="AO163" s="4"/>
      <c r="AP163" s="4"/>
      <c r="AQ163" s="4"/>
      <c r="AR163" s="4">
        <v>14</v>
      </c>
      <c r="AS163" s="4"/>
      <c r="AT163" s="4"/>
      <c r="AU163" s="4">
        <v>121</v>
      </c>
      <c r="AV163" s="4"/>
      <c r="AW163" s="4"/>
      <c r="AX163" s="4">
        <v>216</v>
      </c>
      <c r="AY163" s="4">
        <v>27</v>
      </c>
      <c r="AZ163" s="4"/>
      <c r="BA163" s="4">
        <v>9</v>
      </c>
      <c r="BB163" s="4">
        <v>266</v>
      </c>
      <c r="BC163" s="4">
        <v>585</v>
      </c>
      <c r="BD163" s="4"/>
      <c r="BE163" s="4">
        <v>230</v>
      </c>
      <c r="BF163" s="4">
        <v>23</v>
      </c>
      <c r="BG163" s="4"/>
      <c r="BH163" s="4"/>
      <c r="BI163" s="4"/>
      <c r="BJ163" s="4" t="s">
        <v>353</v>
      </c>
      <c r="BK163" s="4">
        <v>30.397171</v>
      </c>
      <c r="BL163" s="4">
        <v>-81.391529000000006</v>
      </c>
      <c r="BM163" s="4">
        <v>0</v>
      </c>
      <c r="BN163" s="4">
        <v>0</v>
      </c>
      <c r="BO163" s="4">
        <v>14</v>
      </c>
      <c r="BP163" s="4" t="s">
        <v>1007</v>
      </c>
      <c r="BQ163" s="4">
        <v>0</v>
      </c>
      <c r="BR163" s="4" t="s">
        <v>1007</v>
      </c>
      <c r="BS163" s="4">
        <v>0</v>
      </c>
      <c r="BT163" s="4" t="s">
        <v>1007</v>
      </c>
      <c r="BU163" s="4">
        <v>0</v>
      </c>
      <c r="BV163" s="4" t="s">
        <v>1007</v>
      </c>
      <c r="BW163" s="4">
        <v>0</v>
      </c>
      <c r="BX163" s="4" t="s">
        <v>1007</v>
      </c>
      <c r="BY163" s="4" t="s">
        <v>1007</v>
      </c>
      <c r="BZ163" s="4" t="s">
        <v>353</v>
      </c>
      <c r="CA163" s="4">
        <v>30.392181399999998</v>
      </c>
      <c r="CB163" s="4">
        <v>-81.393956000000003</v>
      </c>
      <c r="CC163" s="4">
        <v>0</v>
      </c>
      <c r="CD163" s="4" t="s">
        <v>1007</v>
      </c>
      <c r="CE163" s="4">
        <v>0</v>
      </c>
      <c r="CF163" s="4" t="s">
        <v>1007</v>
      </c>
      <c r="CG163" s="4">
        <v>2</v>
      </c>
      <c r="CH163" s="4" t="s">
        <v>1008</v>
      </c>
      <c r="CI163" s="4">
        <v>0</v>
      </c>
      <c r="CJ163" s="4" t="s">
        <v>1009</v>
      </c>
      <c r="CK163" s="4">
        <v>0</v>
      </c>
      <c r="CL163" s="4">
        <v>0</v>
      </c>
      <c r="CM163" s="4">
        <v>0</v>
      </c>
      <c r="CN163" s="4" t="s">
        <v>1007</v>
      </c>
      <c r="CO163" s="4" t="s">
        <v>1007</v>
      </c>
      <c r="CP163" s="4" t="s">
        <v>466</v>
      </c>
    </row>
    <row r="164" spans="1:158" ht="12.75" x14ac:dyDescent="0.2">
      <c r="A164" s="3">
        <v>43507.706460983798</v>
      </c>
      <c r="B164" s="4" t="s">
        <v>482</v>
      </c>
      <c r="C164" s="4" t="s">
        <v>1010</v>
      </c>
      <c r="D164" s="5">
        <v>43504</v>
      </c>
      <c r="E164" s="4" t="s">
        <v>484</v>
      </c>
      <c r="J164" s="6">
        <v>0.538888888884685</v>
      </c>
      <c r="K164" s="4" t="s">
        <v>379</v>
      </c>
      <c r="L164" s="4" t="s">
        <v>358</v>
      </c>
      <c r="M164" s="4" t="s">
        <v>350</v>
      </c>
      <c r="N164" s="4" t="s">
        <v>351</v>
      </c>
      <c r="R164" s="4">
        <v>101</v>
      </c>
      <c r="S164" s="4">
        <v>550</v>
      </c>
      <c r="V164" s="4">
        <v>3</v>
      </c>
      <c r="Z164" s="4">
        <v>500</v>
      </c>
      <c r="AC164" s="4">
        <v>16</v>
      </c>
      <c r="AD164" s="4">
        <v>20</v>
      </c>
      <c r="AE164" s="4">
        <v>21</v>
      </c>
      <c r="AF164" s="4">
        <v>5</v>
      </c>
      <c r="AG164" s="4">
        <v>69</v>
      </c>
      <c r="AJ164" s="4">
        <v>1</v>
      </c>
      <c r="AK164" s="4">
        <v>500</v>
      </c>
      <c r="AL164" s="4">
        <v>1</v>
      </c>
      <c r="AN164" s="4">
        <v>18</v>
      </c>
      <c r="BI164" s="4">
        <v>125</v>
      </c>
      <c r="BJ164" s="4" t="s">
        <v>353</v>
      </c>
      <c r="BK164" s="4">
        <v>25.855231</v>
      </c>
      <c r="BL164" s="4">
        <v>-81.683981000000003</v>
      </c>
      <c r="BQ164" s="4">
        <v>16</v>
      </c>
      <c r="BR164" s="4" t="s">
        <v>1011</v>
      </c>
      <c r="BS164" s="4">
        <v>20</v>
      </c>
      <c r="BW164" s="4">
        <v>18</v>
      </c>
      <c r="BZ164" s="4" t="s">
        <v>354</v>
      </c>
    </row>
    <row r="165" spans="1:158" ht="12.75" x14ac:dyDescent="0.2">
      <c r="A165" s="3">
        <v>43510.371361678241</v>
      </c>
      <c r="B165" s="4" t="s">
        <v>493</v>
      </c>
      <c r="C165" s="4" t="s">
        <v>1012</v>
      </c>
      <c r="D165" s="5">
        <v>43497</v>
      </c>
      <c r="E165" s="4" t="s">
        <v>495</v>
      </c>
      <c r="J165" s="6">
        <v>0.32986111110949423</v>
      </c>
      <c r="K165" s="4" t="s">
        <v>708</v>
      </c>
      <c r="L165" s="4" t="s">
        <v>349</v>
      </c>
      <c r="M165" s="4" t="s">
        <v>350</v>
      </c>
      <c r="N165" s="4" t="s">
        <v>351</v>
      </c>
      <c r="R165" s="4">
        <v>1</v>
      </c>
      <c r="S165" s="4">
        <v>6</v>
      </c>
      <c r="T165" s="4"/>
      <c r="U165" s="4">
        <v>1</v>
      </c>
      <c r="V165" s="4"/>
      <c r="W165" s="4"/>
      <c r="X165" s="4"/>
      <c r="Y165" s="4"/>
      <c r="Z165" s="4"/>
      <c r="AA165" s="4"/>
      <c r="AB165" s="4"/>
      <c r="AC165" s="4"/>
      <c r="AD165" s="4"/>
      <c r="AE165" s="4"/>
      <c r="AF165" s="4">
        <v>35</v>
      </c>
      <c r="AG165" s="4"/>
      <c r="AH165" s="4"/>
      <c r="AI165" s="4"/>
      <c r="AJ165" s="4"/>
      <c r="AK165" s="4"/>
      <c r="AL165" s="4"/>
      <c r="AN165" s="4"/>
      <c r="AO165" s="4"/>
      <c r="AP165" s="4"/>
      <c r="AQ165" s="4"/>
      <c r="AR165" s="4"/>
      <c r="AS165" s="4"/>
      <c r="AT165" s="4"/>
      <c r="AU165" s="4"/>
      <c r="AV165" s="4"/>
      <c r="AW165" s="4"/>
      <c r="AX165" s="4"/>
      <c r="AY165" s="4"/>
      <c r="AZ165" s="4"/>
      <c r="BA165" s="4"/>
      <c r="BB165" s="4"/>
      <c r="BC165" s="4">
        <v>3</v>
      </c>
      <c r="BD165" s="4"/>
      <c r="BE165" s="4">
        <v>1</v>
      </c>
      <c r="BF165" s="4"/>
      <c r="BG165" s="4"/>
      <c r="BH165" s="4"/>
      <c r="BI165" s="4"/>
      <c r="BJ165" s="4" t="s">
        <v>364</v>
      </c>
    </row>
    <row r="166" spans="1:158" ht="12.75" x14ac:dyDescent="0.2">
      <c r="A166" s="3">
        <v>43497.869746145836</v>
      </c>
      <c r="B166" s="4" t="s">
        <v>1013</v>
      </c>
      <c r="C166" s="4" t="s">
        <v>1014</v>
      </c>
      <c r="D166" s="5">
        <v>43497</v>
      </c>
      <c r="E166" s="4" t="s">
        <v>1015</v>
      </c>
      <c r="J166" s="6">
        <v>0.38541666666424135</v>
      </c>
      <c r="K166" s="4" t="s">
        <v>348</v>
      </c>
      <c r="L166" s="4" t="s">
        <v>390</v>
      </c>
      <c r="M166" s="4" t="s">
        <v>350</v>
      </c>
      <c r="N166" s="4" t="s">
        <v>351</v>
      </c>
      <c r="R166" s="4">
        <v>1</v>
      </c>
      <c r="AE166" s="4">
        <v>56</v>
      </c>
      <c r="AF166" s="4">
        <v>121</v>
      </c>
      <c r="AM166" s="4">
        <v>76</v>
      </c>
      <c r="AN166" s="4"/>
      <c r="AR166" s="4">
        <v>14</v>
      </c>
      <c r="AU166" s="4">
        <v>19</v>
      </c>
      <c r="AY166" s="4">
        <v>120</v>
      </c>
      <c r="BA166" s="4">
        <v>1</v>
      </c>
      <c r="BC166" s="4">
        <v>150</v>
      </c>
      <c r="BD166" s="4">
        <v>1</v>
      </c>
      <c r="BE166" s="4">
        <v>54</v>
      </c>
      <c r="BF166" s="4">
        <v>116</v>
      </c>
      <c r="BG166" s="4">
        <v>7</v>
      </c>
      <c r="BJ166" s="4" t="s">
        <v>353</v>
      </c>
      <c r="BO166" s="4">
        <v>14</v>
      </c>
      <c r="DF166" s="4" t="s">
        <v>359</v>
      </c>
    </row>
    <row r="167" spans="1:158" ht="12.75" x14ac:dyDescent="0.2">
      <c r="A167" s="3">
        <v>43514.512213020833</v>
      </c>
      <c r="B167" s="4" t="s">
        <v>1013</v>
      </c>
      <c r="C167" s="4" t="s">
        <v>1014</v>
      </c>
      <c r="D167" s="5">
        <v>43497</v>
      </c>
      <c r="E167" s="4" t="s">
        <v>1015</v>
      </c>
      <c r="J167" s="6">
        <v>0.4375</v>
      </c>
      <c r="K167" s="4" t="s">
        <v>348</v>
      </c>
      <c r="L167" s="4" t="s">
        <v>390</v>
      </c>
      <c r="M167" s="4" t="s">
        <v>350</v>
      </c>
      <c r="N167" s="4" t="s">
        <v>351</v>
      </c>
      <c r="R167" s="4"/>
      <c r="AD167" s="4"/>
      <c r="AE167" s="4">
        <v>56</v>
      </c>
      <c r="AF167" s="4">
        <v>121</v>
      </c>
      <c r="AM167" s="4">
        <v>76</v>
      </c>
      <c r="AR167" s="4">
        <v>14</v>
      </c>
      <c r="AU167" s="4">
        <v>17</v>
      </c>
      <c r="AY167" s="4">
        <v>120</v>
      </c>
      <c r="BF167" s="4">
        <v>116</v>
      </c>
      <c r="BG167" s="4">
        <v>7</v>
      </c>
      <c r="BJ167" s="4" t="s">
        <v>364</v>
      </c>
    </row>
    <row r="168" spans="1:158" ht="12.75" x14ac:dyDescent="0.2">
      <c r="A168" s="3">
        <v>43497.874444618057</v>
      </c>
      <c r="B168" s="4" t="s">
        <v>1013</v>
      </c>
      <c r="C168" s="4" t="s">
        <v>1016</v>
      </c>
      <c r="D168" s="5">
        <v>43497</v>
      </c>
      <c r="E168" s="4" t="s">
        <v>1015</v>
      </c>
      <c r="J168" s="6">
        <v>0.4375</v>
      </c>
      <c r="K168" s="4" t="s">
        <v>348</v>
      </c>
      <c r="L168" s="4" t="s">
        <v>349</v>
      </c>
      <c r="M168" s="4" t="s">
        <v>350</v>
      </c>
      <c r="N168" s="4" t="s">
        <v>351</v>
      </c>
      <c r="R168" s="4">
        <v>1</v>
      </c>
      <c r="AC168" s="4">
        <v>1</v>
      </c>
      <c r="AD168" s="4">
        <v>11</v>
      </c>
      <c r="AE168" s="4">
        <v>39</v>
      </c>
      <c r="AF168" s="4">
        <v>140</v>
      </c>
      <c r="AG168" s="4">
        <v>2</v>
      </c>
      <c r="AM168" s="4">
        <v>15</v>
      </c>
      <c r="AR168" s="4">
        <v>64</v>
      </c>
      <c r="AU168" s="4">
        <v>26</v>
      </c>
      <c r="AY168" s="4">
        <v>40</v>
      </c>
      <c r="BA168" s="4">
        <v>2</v>
      </c>
      <c r="BC168" s="4">
        <v>200</v>
      </c>
      <c r="BE168" s="4">
        <v>100</v>
      </c>
      <c r="BF168" s="4">
        <v>53</v>
      </c>
      <c r="BG168" s="4">
        <v>27</v>
      </c>
      <c r="BJ168" s="4" t="s">
        <v>353</v>
      </c>
      <c r="BO168" s="4">
        <v>64</v>
      </c>
      <c r="BQ168" s="4">
        <v>1</v>
      </c>
      <c r="BR168" s="4" t="s">
        <v>1017</v>
      </c>
      <c r="BS168" s="4">
        <v>11</v>
      </c>
      <c r="BT168" s="4" t="s">
        <v>1018</v>
      </c>
      <c r="BZ168" s="4" t="s">
        <v>364</v>
      </c>
    </row>
    <row r="169" spans="1:158" ht="12.75" x14ac:dyDescent="0.2">
      <c r="A169" s="3">
        <v>43514.519045844907</v>
      </c>
      <c r="B169" s="4" t="s">
        <v>1013</v>
      </c>
      <c r="C169" s="4" t="s">
        <v>1016</v>
      </c>
      <c r="D169" s="5">
        <v>43497</v>
      </c>
      <c r="E169" s="4" t="s">
        <v>1015</v>
      </c>
      <c r="J169" s="6">
        <v>0.38541666666424135</v>
      </c>
      <c r="K169" s="4" t="s">
        <v>363</v>
      </c>
      <c r="L169" s="4" t="s">
        <v>349</v>
      </c>
      <c r="M169" s="4" t="s">
        <v>350</v>
      </c>
      <c r="N169" s="4" t="s">
        <v>351</v>
      </c>
      <c r="R169" s="4">
        <v>1</v>
      </c>
      <c r="AC169" s="4">
        <v>1</v>
      </c>
      <c r="AD169" s="4">
        <v>11</v>
      </c>
      <c r="AE169" s="4">
        <v>39</v>
      </c>
      <c r="AF169" s="4">
        <v>140</v>
      </c>
      <c r="AG169" s="4">
        <v>2</v>
      </c>
      <c r="AM169" s="4">
        <v>15</v>
      </c>
      <c r="AR169" s="4">
        <v>64</v>
      </c>
      <c r="AU169" s="4">
        <v>19</v>
      </c>
      <c r="AX169" s="4">
        <v>4</v>
      </c>
      <c r="AY169" s="4">
        <v>46</v>
      </c>
      <c r="BB169" s="4">
        <v>8</v>
      </c>
      <c r="BC169" s="4">
        <v>150</v>
      </c>
      <c r="BE169" s="4">
        <v>36</v>
      </c>
      <c r="BF169" s="4">
        <v>53</v>
      </c>
      <c r="BG169" s="4">
        <v>27</v>
      </c>
      <c r="BJ169" s="4" t="s">
        <v>353</v>
      </c>
      <c r="BK169" s="4">
        <v>29.0462527</v>
      </c>
      <c r="BL169" s="4">
        <v>-80.9003905</v>
      </c>
      <c r="BO169" s="4">
        <v>64</v>
      </c>
      <c r="BQ169" s="4">
        <v>1</v>
      </c>
      <c r="BR169" s="4" t="s">
        <v>1019</v>
      </c>
      <c r="BS169" s="4">
        <v>11</v>
      </c>
      <c r="BT169" s="4" t="s">
        <v>1020</v>
      </c>
      <c r="BZ169" s="4" t="s">
        <v>354</v>
      </c>
    </row>
    <row r="170" spans="1:158" ht="12.75" x14ac:dyDescent="0.2">
      <c r="A170" s="3">
        <v>43504.868066516203</v>
      </c>
      <c r="B170" s="4" t="s">
        <v>1021</v>
      </c>
      <c r="C170" s="4" t="s">
        <v>1016</v>
      </c>
      <c r="D170" s="5">
        <v>43502</v>
      </c>
      <c r="E170" s="4" t="s">
        <v>1022</v>
      </c>
      <c r="J170" s="6">
        <v>0.62152777778101154</v>
      </c>
      <c r="K170" s="4" t="s">
        <v>379</v>
      </c>
      <c r="L170" s="4" t="s">
        <v>349</v>
      </c>
      <c r="M170" s="4" t="s">
        <v>350</v>
      </c>
      <c r="N170" s="4" t="s">
        <v>351</v>
      </c>
      <c r="AE170" s="4">
        <v>15</v>
      </c>
      <c r="AF170" s="4">
        <v>69</v>
      </c>
      <c r="AI170" s="4">
        <v>1</v>
      </c>
      <c r="AM170" s="4">
        <v>5</v>
      </c>
      <c r="AU170" s="4">
        <v>2</v>
      </c>
      <c r="AY170" s="4">
        <v>19</v>
      </c>
      <c r="BB170" s="4">
        <v>20</v>
      </c>
      <c r="BC170" s="4">
        <v>225</v>
      </c>
      <c r="BD170" s="4">
        <v>2</v>
      </c>
      <c r="BE170" s="4">
        <v>152</v>
      </c>
      <c r="BF170" s="4">
        <v>147</v>
      </c>
      <c r="BG170" s="4">
        <v>5</v>
      </c>
      <c r="BJ170" s="4" t="s">
        <v>353</v>
      </c>
      <c r="BK170" s="4">
        <v>29.045833330000001</v>
      </c>
      <c r="BL170" s="4">
        <v>-80.898055560000003</v>
      </c>
      <c r="BU170" s="4">
        <v>1</v>
      </c>
      <c r="BY170" s="4" t="s">
        <v>1023</v>
      </c>
      <c r="BZ170" s="4" t="s">
        <v>354</v>
      </c>
    </row>
    <row r="171" spans="1:158" ht="12.75" x14ac:dyDescent="0.2">
      <c r="A171" s="3">
        <v>43499.38091680556</v>
      </c>
      <c r="B171" s="4" t="s">
        <v>437</v>
      </c>
      <c r="C171" s="4" t="s">
        <v>1024</v>
      </c>
      <c r="D171" s="5">
        <v>43497</v>
      </c>
      <c r="E171" s="4" t="s">
        <v>439</v>
      </c>
      <c r="J171" s="6">
        <v>0.39930555555474712</v>
      </c>
      <c r="K171" s="4" t="s">
        <v>363</v>
      </c>
      <c r="L171" s="4" t="s">
        <v>349</v>
      </c>
      <c r="M171" s="4" t="s">
        <v>350</v>
      </c>
      <c r="N171" s="4" t="s">
        <v>351</v>
      </c>
      <c r="O171" s="4" t="s">
        <v>1025</v>
      </c>
      <c r="P171" s="4">
        <v>0</v>
      </c>
      <c r="Q171" s="4"/>
      <c r="R171" s="4">
        <v>6</v>
      </c>
      <c r="S171" s="4">
        <v>4</v>
      </c>
      <c r="T171" s="4"/>
      <c r="U171" s="4"/>
      <c r="V171" s="4"/>
      <c r="W171" s="4"/>
      <c r="X171" s="4"/>
      <c r="Y171" s="4"/>
      <c r="Z171" s="4"/>
      <c r="AA171" s="4"/>
      <c r="AB171" s="4"/>
      <c r="AC171" s="4"/>
      <c r="AD171" s="4"/>
      <c r="AE171" s="4">
        <v>24</v>
      </c>
      <c r="AF171" s="4">
        <v>20</v>
      </c>
      <c r="AG171" s="4"/>
      <c r="AH171" s="4"/>
      <c r="AI171" s="4"/>
      <c r="AJ171" s="4"/>
      <c r="AK171" s="4"/>
      <c r="AL171" s="4"/>
      <c r="AM171" s="4">
        <v>4</v>
      </c>
      <c r="AN171" s="4"/>
      <c r="AO171" s="4"/>
      <c r="AP171" s="4"/>
      <c r="AQ171" s="4"/>
      <c r="AR171" s="4"/>
      <c r="AS171" s="4"/>
      <c r="AT171" s="4"/>
      <c r="AU171" s="4">
        <v>85</v>
      </c>
      <c r="AV171" s="4"/>
      <c r="AW171" s="4"/>
      <c r="AX171" s="4">
        <v>500</v>
      </c>
      <c r="AY171" s="4">
        <v>16</v>
      </c>
      <c r="AZ171" s="4"/>
      <c r="BA171" s="4"/>
      <c r="BB171" s="4">
        <v>60</v>
      </c>
      <c r="BC171" s="4">
        <v>95</v>
      </c>
      <c r="BD171" s="4"/>
      <c r="BE171" s="4">
        <v>60</v>
      </c>
      <c r="BF171" s="4">
        <v>195</v>
      </c>
      <c r="BG171" s="4"/>
      <c r="BH171" s="4"/>
      <c r="BI171" s="4"/>
      <c r="BJ171" s="4" t="s">
        <v>364</v>
      </c>
    </row>
    <row r="172" spans="1:158" ht="12.75" x14ac:dyDescent="0.2">
      <c r="A172" s="3">
        <v>43502.553672916663</v>
      </c>
      <c r="B172" s="4" t="s">
        <v>355</v>
      </c>
      <c r="C172" s="4" t="s">
        <v>1026</v>
      </c>
      <c r="D172" s="5">
        <v>43502</v>
      </c>
      <c r="E172" s="4" t="s">
        <v>752</v>
      </c>
      <c r="J172" s="6">
        <v>0.41666666666424135</v>
      </c>
      <c r="K172" s="4" t="s">
        <v>348</v>
      </c>
      <c r="L172" s="4" t="s">
        <v>358</v>
      </c>
      <c r="N172" s="4" t="s">
        <v>351</v>
      </c>
      <c r="P172" s="4">
        <v>0</v>
      </c>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v>124</v>
      </c>
      <c r="AS172" s="4"/>
      <c r="AT172" s="4"/>
      <c r="AU172" s="4"/>
      <c r="AV172" s="4"/>
      <c r="AW172" s="4"/>
      <c r="AX172" s="4">
        <v>2</v>
      </c>
      <c r="AY172" s="4">
        <v>1</v>
      </c>
      <c r="AZ172" s="4"/>
      <c r="BA172" s="4"/>
      <c r="BB172" s="4"/>
      <c r="BC172" s="4">
        <v>15</v>
      </c>
      <c r="BD172" s="4">
        <v>1</v>
      </c>
      <c r="BE172" s="4">
        <v>20</v>
      </c>
      <c r="BF172" s="4">
        <v>103</v>
      </c>
      <c r="BG172" s="4">
        <v>6</v>
      </c>
      <c r="BH172" s="4"/>
      <c r="BI172" s="4"/>
      <c r="BJ172" s="4" t="s">
        <v>353</v>
      </c>
      <c r="BK172" s="4">
        <v>27.820788</v>
      </c>
      <c r="BL172" s="4">
        <v>-82.827218000000002</v>
      </c>
      <c r="BM172" s="4">
        <v>0</v>
      </c>
      <c r="BO172" s="4">
        <v>124</v>
      </c>
      <c r="BQ172" s="4">
        <v>0</v>
      </c>
      <c r="BS172" s="4">
        <v>0</v>
      </c>
      <c r="BU172" s="4">
        <v>0</v>
      </c>
      <c r="BW172" s="4">
        <v>0</v>
      </c>
      <c r="BZ172" s="4" t="s">
        <v>354</v>
      </c>
    </row>
    <row r="173" spans="1:158" ht="12.75" x14ac:dyDescent="0.2">
      <c r="A173" s="3">
        <v>43503.600568530092</v>
      </c>
      <c r="B173" s="4" t="s">
        <v>1027</v>
      </c>
      <c r="C173" s="4" t="s">
        <v>1026</v>
      </c>
      <c r="D173" s="5">
        <v>43503</v>
      </c>
      <c r="E173" s="4" t="s">
        <v>1028</v>
      </c>
      <c r="J173" s="6">
        <v>0.45833333333575865</v>
      </c>
      <c r="K173" s="4" t="s">
        <v>379</v>
      </c>
      <c r="L173" s="4" t="s">
        <v>358</v>
      </c>
      <c r="M173" s="4" t="s">
        <v>350</v>
      </c>
      <c r="N173" s="4" t="s">
        <v>351</v>
      </c>
      <c r="P173" s="4">
        <v>0</v>
      </c>
      <c r="Q173" s="4"/>
      <c r="R173" s="4"/>
      <c r="S173" s="4"/>
      <c r="T173" s="4"/>
      <c r="U173" s="4"/>
      <c r="V173" s="4"/>
      <c r="W173" s="4"/>
      <c r="X173" s="4"/>
      <c r="Y173" s="4"/>
      <c r="Z173" s="4"/>
      <c r="AA173" s="4"/>
      <c r="AB173" s="4"/>
      <c r="AC173" s="4"/>
      <c r="AD173" s="4"/>
      <c r="AE173" s="4">
        <v>1</v>
      </c>
      <c r="AF173" s="4"/>
      <c r="AG173" s="4"/>
      <c r="AH173" s="4"/>
      <c r="AI173" s="4"/>
      <c r="AJ173" s="4"/>
      <c r="AK173" s="4"/>
      <c r="AL173" s="4"/>
      <c r="AM173" s="4"/>
      <c r="AN173" s="4"/>
      <c r="AO173" s="4"/>
      <c r="AP173" s="4"/>
      <c r="AQ173" s="4"/>
      <c r="AR173" s="4">
        <v>83</v>
      </c>
      <c r="AS173" s="4"/>
      <c r="AT173" s="4"/>
      <c r="AU173" s="4">
        <v>30</v>
      </c>
      <c r="AV173" s="4"/>
      <c r="AW173" s="4"/>
      <c r="AX173" s="4">
        <v>54</v>
      </c>
      <c r="AY173" s="4">
        <v>5</v>
      </c>
      <c r="AZ173" s="4"/>
      <c r="BA173" s="4"/>
      <c r="BB173" s="4">
        <v>6</v>
      </c>
      <c r="BC173" s="4">
        <v>74</v>
      </c>
      <c r="BD173" s="4">
        <v>2</v>
      </c>
      <c r="BE173" s="4">
        <v>64</v>
      </c>
      <c r="BF173" s="4">
        <v>226</v>
      </c>
      <c r="BG173" s="4">
        <v>37</v>
      </c>
      <c r="BH173" s="4"/>
      <c r="BI173" s="4"/>
      <c r="BJ173" s="4" t="s">
        <v>353</v>
      </c>
      <c r="BK173" s="4">
        <v>27.820499999999999</v>
      </c>
      <c r="BL173" s="4">
        <v>-82.827299999999994</v>
      </c>
      <c r="BM173" s="4">
        <v>0</v>
      </c>
      <c r="BO173" s="4">
        <v>83</v>
      </c>
      <c r="BP173" s="4">
        <v>0</v>
      </c>
      <c r="BQ173" s="4">
        <v>0</v>
      </c>
      <c r="BS173" s="4">
        <v>0</v>
      </c>
      <c r="BU173" s="4">
        <v>0</v>
      </c>
      <c r="BW173" s="4">
        <v>0</v>
      </c>
      <c r="BZ173" s="4" t="s">
        <v>354</v>
      </c>
    </row>
    <row r="174" spans="1:158" ht="12.75" x14ac:dyDescent="0.2">
      <c r="A174" s="3">
        <v>43512.576618460647</v>
      </c>
      <c r="B174" s="4" t="s">
        <v>930</v>
      </c>
      <c r="C174" s="4" t="s">
        <v>1029</v>
      </c>
      <c r="D174" s="5">
        <v>43503</v>
      </c>
      <c r="E174" s="4" t="s">
        <v>932</v>
      </c>
      <c r="J174" s="6">
        <v>0.375</v>
      </c>
      <c r="K174" s="4" t="s">
        <v>379</v>
      </c>
      <c r="L174" s="4" t="s">
        <v>358</v>
      </c>
      <c r="M174" s="4" t="s">
        <v>350</v>
      </c>
      <c r="N174" s="4" t="s">
        <v>351</v>
      </c>
      <c r="R174" s="4">
        <v>2</v>
      </c>
      <c r="S174" s="4">
        <v>2</v>
      </c>
      <c r="AB174" s="4">
        <v>8</v>
      </c>
      <c r="AF174" s="4">
        <v>7</v>
      </c>
      <c r="AG174" s="4">
        <v>2</v>
      </c>
      <c r="AK174" s="4">
        <v>6</v>
      </c>
      <c r="AM174" s="4">
        <v>2</v>
      </c>
      <c r="AR174" s="4">
        <v>372</v>
      </c>
      <c r="AU174" s="4">
        <v>51</v>
      </c>
      <c r="AX174" s="4">
        <v>9</v>
      </c>
      <c r="AY174" s="4">
        <v>33</v>
      </c>
      <c r="BC174" s="4">
        <v>48</v>
      </c>
      <c r="BE174" s="4">
        <v>8</v>
      </c>
      <c r="BF174" s="4">
        <v>1</v>
      </c>
      <c r="BI174" s="4">
        <v>1</v>
      </c>
      <c r="BJ174" s="4" t="s">
        <v>353</v>
      </c>
      <c r="BK174" s="4">
        <v>27.781903</v>
      </c>
      <c r="BL174" s="4">
        <v>-82.624386000000001</v>
      </c>
      <c r="BO174" s="4">
        <v>372</v>
      </c>
      <c r="BP174" s="4" t="s">
        <v>1030</v>
      </c>
      <c r="BZ174" s="4" t="s">
        <v>354</v>
      </c>
    </row>
    <row r="175" spans="1:158" ht="12.75" x14ac:dyDescent="0.2">
      <c r="A175" s="3">
        <v>43513.893987013886</v>
      </c>
      <c r="B175" s="4" t="s">
        <v>360</v>
      </c>
      <c r="C175" s="4" t="s">
        <v>1031</v>
      </c>
      <c r="D175" s="5">
        <v>43501</v>
      </c>
      <c r="E175" s="4" t="s">
        <v>1032</v>
      </c>
      <c r="J175" s="6">
        <v>0.39583333333575865</v>
      </c>
      <c r="K175" s="4" t="s">
        <v>348</v>
      </c>
      <c r="L175" s="4" t="s">
        <v>349</v>
      </c>
      <c r="M175" s="4" t="s">
        <v>350</v>
      </c>
      <c r="N175" s="4" t="s">
        <v>351</v>
      </c>
      <c r="T175" s="4">
        <v>30</v>
      </c>
      <c r="W175" s="4">
        <v>50</v>
      </c>
      <c r="Y175" s="4">
        <v>200</v>
      </c>
      <c r="AX175" s="4">
        <v>33</v>
      </c>
      <c r="BJ175" s="4" t="s">
        <v>364</v>
      </c>
    </row>
    <row r="176" spans="1:158" ht="12.75" x14ac:dyDescent="0.2">
      <c r="A176" s="3">
        <v>43524.428577118058</v>
      </c>
      <c r="B176" s="4" t="s">
        <v>387</v>
      </c>
      <c r="C176" s="4" t="s">
        <v>1033</v>
      </c>
      <c r="D176" s="5">
        <v>43497</v>
      </c>
      <c r="E176" s="4" t="s">
        <v>498</v>
      </c>
      <c r="F176" s="4">
        <v>30.51491</v>
      </c>
      <c r="G176" s="4">
        <v>-81.456273999999993</v>
      </c>
      <c r="H176" s="4">
        <v>30.520489999999999</v>
      </c>
      <c r="I176" s="4">
        <v>-81.461905000000002</v>
      </c>
      <c r="J176" s="6">
        <v>0.4375</v>
      </c>
      <c r="K176" s="4" t="s">
        <v>363</v>
      </c>
      <c r="L176" s="4" t="s">
        <v>390</v>
      </c>
      <c r="M176" s="4" t="s">
        <v>350</v>
      </c>
      <c r="N176" s="4" t="s">
        <v>351</v>
      </c>
      <c r="O176" s="4" t="s">
        <v>1034</v>
      </c>
      <c r="P176" s="4">
        <v>2</v>
      </c>
      <c r="Q176" s="4"/>
      <c r="R176" s="4">
        <v>10</v>
      </c>
      <c r="S176" s="4"/>
      <c r="T176" s="4"/>
      <c r="U176" s="4"/>
      <c r="V176" s="4"/>
      <c r="W176" s="4"/>
      <c r="X176" s="4"/>
      <c r="Y176" s="4"/>
      <c r="Z176" s="4">
        <v>167</v>
      </c>
      <c r="AA176" s="4"/>
      <c r="AB176" s="4"/>
      <c r="AC176" s="4"/>
      <c r="AD176" s="4"/>
      <c r="AE176" s="4">
        <v>3</v>
      </c>
      <c r="AF176" s="4">
        <v>89</v>
      </c>
      <c r="AG176" s="4">
        <v>17</v>
      </c>
      <c r="AH176" s="4"/>
      <c r="AI176" s="4"/>
      <c r="AJ176" s="4"/>
      <c r="AK176" s="4"/>
      <c r="AL176" s="4"/>
      <c r="AM176" s="4"/>
      <c r="AN176" s="4"/>
      <c r="AO176" s="4"/>
      <c r="AP176" s="4"/>
      <c r="AQ176" s="4"/>
      <c r="AR176" s="4"/>
      <c r="AS176" s="4"/>
      <c r="AT176" s="4"/>
      <c r="AU176" s="4">
        <v>2</v>
      </c>
      <c r="AV176" s="4"/>
      <c r="AW176" s="4"/>
      <c r="AX176" s="4"/>
      <c r="AY176" s="4">
        <v>2</v>
      </c>
      <c r="AZ176" s="4"/>
      <c r="BA176" s="4"/>
      <c r="BB176" s="4"/>
      <c r="BC176" s="4"/>
      <c r="BD176" s="4"/>
      <c r="BE176" s="4"/>
      <c r="BF176" s="4"/>
      <c r="BG176" s="4"/>
      <c r="BH176" s="4"/>
      <c r="BI176" s="4"/>
      <c r="BJ176" s="4" t="s">
        <v>353</v>
      </c>
      <c r="BK176" s="4">
        <v>30.5201463</v>
      </c>
      <c r="BL176" s="4">
        <v>-81.457906600000001</v>
      </c>
      <c r="BM176" s="4">
        <v>2</v>
      </c>
      <c r="BN176" s="4" t="s">
        <v>400</v>
      </c>
      <c r="BO176" s="4">
        <v>0</v>
      </c>
      <c r="BP176" s="4" t="s">
        <v>393</v>
      </c>
      <c r="BQ176" s="4">
        <v>0</v>
      </c>
      <c r="BR176" s="4" t="s">
        <v>393</v>
      </c>
      <c r="BS176" s="4">
        <v>0</v>
      </c>
      <c r="BT176" s="4" t="s">
        <v>393</v>
      </c>
      <c r="BU176" s="4">
        <v>0</v>
      </c>
      <c r="BV176" s="4" t="s">
        <v>393</v>
      </c>
      <c r="BW176" s="4">
        <v>0</v>
      </c>
      <c r="BX176" s="4" t="s">
        <v>393</v>
      </c>
      <c r="BZ176" s="4" t="s">
        <v>354</v>
      </c>
    </row>
    <row r="177" spans="1:158" ht="12.75" x14ac:dyDescent="0.2">
      <c r="A177" s="3">
        <v>43501.660588263891</v>
      </c>
      <c r="B177" s="4" t="s">
        <v>788</v>
      </c>
      <c r="C177" s="4" t="s">
        <v>1035</v>
      </c>
      <c r="D177" s="5">
        <v>43501</v>
      </c>
      <c r="E177" s="4" t="s">
        <v>790</v>
      </c>
      <c r="J177" s="6">
        <v>0.35416666666424135</v>
      </c>
      <c r="K177" s="4" t="s">
        <v>348</v>
      </c>
      <c r="L177" s="4" t="s">
        <v>349</v>
      </c>
      <c r="M177" s="4" t="s">
        <v>350</v>
      </c>
      <c r="N177" s="4" t="s">
        <v>351</v>
      </c>
      <c r="P177" s="4">
        <v>2</v>
      </c>
      <c r="Q177" s="4"/>
      <c r="R177" s="4">
        <v>120</v>
      </c>
      <c r="S177" s="4">
        <v>14</v>
      </c>
      <c r="T177" s="4"/>
      <c r="U177" s="4"/>
      <c r="V177" s="4">
        <v>5</v>
      </c>
      <c r="W177" s="4"/>
      <c r="X177" s="4"/>
      <c r="Y177" s="4"/>
      <c r="Z177" s="4">
        <v>81</v>
      </c>
      <c r="AA177" s="4"/>
      <c r="AB177" s="4"/>
      <c r="AC177" s="4">
        <v>34</v>
      </c>
      <c r="AD177" s="4">
        <v>50</v>
      </c>
      <c r="AE177" s="4">
        <v>48</v>
      </c>
      <c r="AF177" s="4">
        <v>200</v>
      </c>
      <c r="AG177" s="4">
        <v>65</v>
      </c>
      <c r="AH177" s="4"/>
      <c r="AI177" s="4">
        <v>5</v>
      </c>
      <c r="AJ177" s="4"/>
      <c r="AK177" s="4"/>
      <c r="AL177" s="4"/>
      <c r="AM177" s="4">
        <v>56</v>
      </c>
      <c r="AN177" s="4">
        <v>9</v>
      </c>
      <c r="AO177" s="4"/>
      <c r="AP177" s="4"/>
      <c r="AQ177" s="4"/>
      <c r="AR177" s="4">
        <v>53</v>
      </c>
      <c r="AS177" s="4"/>
      <c r="AT177" s="4"/>
      <c r="AU177" s="4">
        <v>19</v>
      </c>
      <c r="AV177" s="4"/>
      <c r="AW177" s="4">
        <v>1</v>
      </c>
      <c r="AX177" s="4">
        <v>1</v>
      </c>
      <c r="AY177" s="4">
        <v>185</v>
      </c>
      <c r="AZ177" s="4"/>
      <c r="BA177" s="4"/>
      <c r="BB177" s="4">
        <v>5</v>
      </c>
      <c r="BC177" s="4">
        <v>62</v>
      </c>
      <c r="BD177" s="4"/>
      <c r="BE177" s="4">
        <v>22</v>
      </c>
      <c r="BF177" s="4">
        <v>42</v>
      </c>
      <c r="BG177" s="4">
        <v>92</v>
      </c>
      <c r="BH177" s="4"/>
      <c r="BI177" s="4"/>
      <c r="BJ177" s="4" t="s">
        <v>353</v>
      </c>
      <c r="BK177" s="4">
        <v>27.64143</v>
      </c>
      <c r="BL177" s="4">
        <v>-82.742099999999994</v>
      </c>
      <c r="BM177" s="4">
        <v>0</v>
      </c>
      <c r="BN177" s="4">
        <v>0</v>
      </c>
      <c r="BO177" s="4">
        <v>53</v>
      </c>
      <c r="BP177" s="4">
        <v>0</v>
      </c>
      <c r="BQ177" s="4">
        <v>0</v>
      </c>
      <c r="BR177" s="4">
        <v>0</v>
      </c>
      <c r="BS177" s="4">
        <v>40</v>
      </c>
      <c r="BT177" s="4" t="s">
        <v>1036</v>
      </c>
      <c r="BU177" s="4">
        <v>0</v>
      </c>
      <c r="BV177" s="4">
        <v>0</v>
      </c>
      <c r="BW177" s="4">
        <v>0</v>
      </c>
      <c r="BX177" s="4">
        <v>0</v>
      </c>
      <c r="BZ177" s="4" t="s">
        <v>353</v>
      </c>
      <c r="CA177" s="4">
        <v>27.642969999999998</v>
      </c>
      <c r="CB177" s="4">
        <v>-80.743269999999995</v>
      </c>
      <c r="CC177" s="4">
        <v>0</v>
      </c>
      <c r="CD177" s="4">
        <v>0</v>
      </c>
      <c r="CE177" s="4">
        <v>0</v>
      </c>
      <c r="CF177" s="4">
        <v>0</v>
      </c>
      <c r="CG177" s="4">
        <v>28</v>
      </c>
      <c r="CH177" s="4" t="s">
        <v>1037</v>
      </c>
      <c r="CI177" s="4">
        <v>4</v>
      </c>
      <c r="CJ177" s="4">
        <v>0</v>
      </c>
      <c r="CK177" s="4">
        <v>4</v>
      </c>
      <c r="CL177" s="4">
        <v>0</v>
      </c>
      <c r="CM177" s="4">
        <v>1</v>
      </c>
      <c r="CN177" s="4">
        <v>0</v>
      </c>
      <c r="CP177" s="4" t="s">
        <v>353</v>
      </c>
      <c r="CQ177" s="4">
        <v>27.646270000000001</v>
      </c>
      <c r="CR177" s="4">
        <v>-80.745450000000005</v>
      </c>
      <c r="CS177" s="4">
        <v>0</v>
      </c>
      <c r="CT177" s="4">
        <v>0</v>
      </c>
      <c r="CU177" s="4">
        <v>0</v>
      </c>
      <c r="CV177" s="4">
        <v>0</v>
      </c>
      <c r="CW177" s="4">
        <v>3</v>
      </c>
      <c r="CX177" s="4" t="s">
        <v>1038</v>
      </c>
      <c r="CY177" s="4">
        <v>0</v>
      </c>
      <c r="CZ177" s="4">
        <v>0</v>
      </c>
      <c r="DA177" s="4">
        <v>0</v>
      </c>
      <c r="DB177" s="4">
        <v>0</v>
      </c>
      <c r="DC177" s="4">
        <v>0</v>
      </c>
      <c r="DD177" s="4">
        <v>0</v>
      </c>
      <c r="DF177" s="4" t="s">
        <v>353</v>
      </c>
      <c r="DG177" s="4">
        <v>27.645700000000001</v>
      </c>
      <c r="DH177" s="4">
        <v>-82.746719999999996</v>
      </c>
      <c r="DI177" s="4">
        <v>0</v>
      </c>
      <c r="DJ177" s="4">
        <v>0</v>
      </c>
      <c r="DK177" s="4">
        <v>0</v>
      </c>
      <c r="DL177" s="4">
        <v>0</v>
      </c>
      <c r="DM177" s="4">
        <v>0</v>
      </c>
      <c r="DN177" s="4">
        <v>0</v>
      </c>
      <c r="DO177" s="4">
        <v>6</v>
      </c>
      <c r="DP177" s="4">
        <v>0</v>
      </c>
      <c r="DQ177" s="4">
        <v>0</v>
      </c>
      <c r="DR177" s="4">
        <v>0</v>
      </c>
      <c r="DS177" s="4">
        <v>0</v>
      </c>
      <c r="DT177" s="4">
        <v>0</v>
      </c>
      <c r="DV177" s="4" t="s">
        <v>353</v>
      </c>
      <c r="DW177" s="4">
        <v>27.649699999999999</v>
      </c>
      <c r="DX177" s="4">
        <v>-82.750370000000004</v>
      </c>
      <c r="DY177" s="4">
        <v>0</v>
      </c>
      <c r="DZ177" s="4">
        <v>0</v>
      </c>
      <c r="EA177" s="4">
        <v>0</v>
      </c>
      <c r="EB177" s="4">
        <v>0</v>
      </c>
      <c r="EC177" s="4">
        <v>2</v>
      </c>
      <c r="ED177" s="4">
        <v>0</v>
      </c>
      <c r="EE177" s="4">
        <v>0</v>
      </c>
      <c r="EF177" s="4">
        <v>0</v>
      </c>
      <c r="EG177" s="4">
        <v>0</v>
      </c>
      <c r="EH177" s="4">
        <v>0</v>
      </c>
      <c r="EI177" s="4">
        <v>0</v>
      </c>
      <c r="EJ177" s="4">
        <v>8</v>
      </c>
      <c r="EL177" s="4" t="s">
        <v>353</v>
      </c>
      <c r="EM177" s="4">
        <v>27.65072</v>
      </c>
      <c r="EN177" s="4">
        <v>-80.74718</v>
      </c>
      <c r="EO177" s="4">
        <v>2</v>
      </c>
      <c r="EP177" s="4" t="s">
        <v>1039</v>
      </c>
      <c r="EQ177" s="4">
        <v>0</v>
      </c>
      <c r="ER177" s="4">
        <v>0</v>
      </c>
      <c r="ES177" s="4">
        <v>1</v>
      </c>
      <c r="ET177" s="4">
        <v>0</v>
      </c>
      <c r="EU177" s="4">
        <v>0</v>
      </c>
      <c r="EV177" s="4">
        <v>0</v>
      </c>
      <c r="EW177" s="4">
        <v>0</v>
      </c>
      <c r="EX177" s="4">
        <v>0</v>
      </c>
      <c r="EY177" s="4">
        <v>0</v>
      </c>
      <c r="EZ177" s="4">
        <v>0</v>
      </c>
      <c r="FB177" s="4" t="s">
        <v>359</v>
      </c>
    </row>
    <row r="178" spans="1:158" ht="12.75" x14ac:dyDescent="0.2">
      <c r="A178" s="3">
        <v>43510.486474108795</v>
      </c>
      <c r="B178" s="4" t="s">
        <v>467</v>
      </c>
      <c r="C178" s="4" t="s">
        <v>1040</v>
      </c>
      <c r="D178" s="5">
        <v>43500</v>
      </c>
      <c r="E178" s="4" t="s">
        <v>1041</v>
      </c>
      <c r="J178" s="6">
        <v>0.58680555555474712</v>
      </c>
      <c r="N178" s="4" t="s">
        <v>351</v>
      </c>
      <c r="U178" s="4">
        <v>7</v>
      </c>
      <c r="AE178" s="4">
        <v>9</v>
      </c>
      <c r="AF178" s="4">
        <v>23</v>
      </c>
      <c r="BC178" s="4">
        <v>1</v>
      </c>
      <c r="BD178" s="4">
        <v>121</v>
      </c>
      <c r="BE178" s="4">
        <v>58</v>
      </c>
      <c r="BJ178" s="4" t="s">
        <v>364</v>
      </c>
    </row>
    <row r="179" spans="1:158" ht="12.75" x14ac:dyDescent="0.2">
      <c r="A179" s="3">
        <v>43510.478060706024</v>
      </c>
      <c r="B179" s="4" t="s">
        <v>467</v>
      </c>
      <c r="C179" s="4" t="s">
        <v>1042</v>
      </c>
      <c r="D179" s="5">
        <v>43501</v>
      </c>
      <c r="E179" s="4" t="s">
        <v>1043</v>
      </c>
      <c r="F179" s="4">
        <v>26.814299999999999</v>
      </c>
      <c r="G179" s="4">
        <v>-80.035499999999999</v>
      </c>
      <c r="H179" s="4">
        <v>26.773599999999998</v>
      </c>
      <c r="I179" s="4">
        <v>-80.031899999999993</v>
      </c>
      <c r="J179" s="6">
        <v>0.58333333333575865</v>
      </c>
      <c r="N179" s="4" t="s">
        <v>351</v>
      </c>
      <c r="O179" s="4" t="s">
        <v>1044</v>
      </c>
      <c r="AF179" s="4">
        <v>3</v>
      </c>
      <c r="AR179" s="4">
        <v>84</v>
      </c>
      <c r="BA179" s="4">
        <v>16</v>
      </c>
      <c r="BB179" s="4">
        <v>1</v>
      </c>
      <c r="BC179" s="4">
        <v>296</v>
      </c>
      <c r="BD179" s="4">
        <v>24</v>
      </c>
      <c r="BE179" s="4">
        <v>63</v>
      </c>
      <c r="BF179" s="4">
        <v>19</v>
      </c>
      <c r="BJ179" s="4" t="s">
        <v>353</v>
      </c>
      <c r="BK179" s="4">
        <v>26.785</v>
      </c>
      <c r="BL179" s="4">
        <v>-80.031499999999994</v>
      </c>
      <c r="BO179" s="4">
        <v>84</v>
      </c>
      <c r="BP179" s="4" t="s">
        <v>1045</v>
      </c>
      <c r="BZ179" s="4" t="s">
        <v>354</v>
      </c>
    </row>
    <row r="180" spans="1:158" ht="12.75" x14ac:dyDescent="0.2">
      <c r="A180" s="3">
        <v>43515.348153599538</v>
      </c>
      <c r="B180" s="4" t="s">
        <v>511</v>
      </c>
      <c r="C180" s="4" t="s">
        <v>1046</v>
      </c>
      <c r="D180" s="5">
        <v>43503</v>
      </c>
      <c r="E180" s="4" t="s">
        <v>676</v>
      </c>
      <c r="F180" s="4">
        <v>26.878</v>
      </c>
      <c r="G180" s="4">
        <v>-82.328000000000003</v>
      </c>
      <c r="H180" s="4">
        <v>26.898</v>
      </c>
      <c r="I180" s="4">
        <v>-82.338999999999999</v>
      </c>
      <c r="J180" s="6">
        <v>0.38472222222480923</v>
      </c>
      <c r="M180" s="4" t="s">
        <v>350</v>
      </c>
      <c r="N180" s="4" t="s">
        <v>351</v>
      </c>
      <c r="P180" s="4">
        <v>0</v>
      </c>
      <c r="Q180" s="4"/>
      <c r="R180" s="4">
        <v>45</v>
      </c>
      <c r="S180" s="4"/>
      <c r="T180" s="4"/>
      <c r="U180" s="4"/>
      <c r="V180" s="4"/>
      <c r="W180" s="4"/>
      <c r="X180" s="4"/>
      <c r="Y180" s="4"/>
      <c r="Z180" s="4"/>
      <c r="AA180" s="4"/>
      <c r="AB180" s="4"/>
      <c r="AC180" s="4"/>
      <c r="AD180" s="4"/>
      <c r="AE180" s="4">
        <v>13</v>
      </c>
      <c r="AF180" s="4">
        <v>28</v>
      </c>
      <c r="AG180" s="4">
        <v>7</v>
      </c>
      <c r="AH180" s="4"/>
      <c r="AI180" s="4">
        <v>2</v>
      </c>
      <c r="AJ180" s="4">
        <v>1</v>
      </c>
      <c r="AK180" s="4"/>
      <c r="AL180" s="4"/>
      <c r="AM180" s="4">
        <v>5</v>
      </c>
      <c r="AN180" s="4">
        <v>6</v>
      </c>
      <c r="AO180" s="4"/>
      <c r="AP180" s="4"/>
      <c r="AQ180" s="4"/>
      <c r="AR180" s="4" t="s">
        <v>1047</v>
      </c>
      <c r="AS180" s="4"/>
      <c r="AT180" s="4"/>
      <c r="AU180" s="4">
        <v>30</v>
      </c>
      <c r="AV180" s="4"/>
      <c r="AW180" s="4"/>
      <c r="AX180" s="4"/>
      <c r="AY180" s="4">
        <v>3</v>
      </c>
      <c r="AZ180" s="4"/>
      <c r="BA180" s="4"/>
      <c r="BB180" s="4">
        <v>4</v>
      </c>
      <c r="BC180" s="4">
        <v>130</v>
      </c>
      <c r="BD180" s="4"/>
      <c r="BE180" s="4">
        <v>14</v>
      </c>
      <c r="BF180" s="4">
        <v>52</v>
      </c>
      <c r="BG180" s="4">
        <v>22</v>
      </c>
      <c r="BH180" s="4"/>
      <c r="BI180" s="4"/>
      <c r="BJ180" s="4" t="s">
        <v>353</v>
      </c>
      <c r="BK180" s="4">
        <v>26.885999999999999</v>
      </c>
      <c r="BL180" s="4">
        <v>-82.335999999999999</v>
      </c>
      <c r="BM180" s="4">
        <v>0</v>
      </c>
      <c r="BO180" s="4">
        <v>300</v>
      </c>
      <c r="BQ180" s="4">
        <v>0</v>
      </c>
      <c r="BS180" s="4">
        <v>0</v>
      </c>
      <c r="BU180" s="4">
        <v>0</v>
      </c>
      <c r="BW180" s="4">
        <v>0</v>
      </c>
      <c r="BZ180" s="4" t="s">
        <v>353</v>
      </c>
      <c r="CA180" s="4">
        <v>26.888999999999999</v>
      </c>
      <c r="CB180" s="4">
        <v>-82.337999999999994</v>
      </c>
      <c r="CC180" s="4">
        <v>0</v>
      </c>
      <c r="CE180" s="4">
        <v>0</v>
      </c>
      <c r="CG180" s="4">
        <v>0</v>
      </c>
      <c r="CI180" s="4">
        <v>0</v>
      </c>
      <c r="CK180" s="4">
        <v>0</v>
      </c>
      <c r="CM180" s="4">
        <v>6</v>
      </c>
      <c r="CP180" s="4" t="s">
        <v>353</v>
      </c>
      <c r="CQ180" s="4">
        <v>26.89</v>
      </c>
      <c r="CR180" s="4">
        <v>-82.338999999999999</v>
      </c>
      <c r="CS180" s="4">
        <v>0</v>
      </c>
      <c r="CU180" s="4">
        <v>0</v>
      </c>
      <c r="CW180" s="4">
        <v>0</v>
      </c>
      <c r="CY180" s="4">
        <v>0</v>
      </c>
      <c r="DA180" s="4">
        <v>2</v>
      </c>
      <c r="DC180" s="4">
        <v>0</v>
      </c>
      <c r="DF180" s="4" t="s">
        <v>359</v>
      </c>
    </row>
    <row r="181" spans="1:158" ht="12.75" x14ac:dyDescent="0.2">
      <c r="A181" s="3">
        <v>43502.778197511579</v>
      </c>
      <c r="B181" s="4" t="s">
        <v>1048</v>
      </c>
      <c r="C181" s="4" t="s">
        <v>1049</v>
      </c>
      <c r="D181" s="5">
        <v>43500</v>
      </c>
      <c r="E181" s="4" t="s">
        <v>1050</v>
      </c>
      <c r="J181" s="6">
        <v>0.375</v>
      </c>
      <c r="K181" s="4" t="s">
        <v>348</v>
      </c>
      <c r="L181" s="4" t="s">
        <v>358</v>
      </c>
      <c r="M181" s="4" t="s">
        <v>350</v>
      </c>
      <c r="N181" s="4" t="s">
        <v>351</v>
      </c>
      <c r="AM181" s="4">
        <v>77</v>
      </c>
      <c r="BC181" s="4">
        <v>83</v>
      </c>
      <c r="BE181" s="4">
        <v>35</v>
      </c>
      <c r="BF181" s="4">
        <v>35</v>
      </c>
      <c r="BG181" s="4">
        <v>12</v>
      </c>
      <c r="BJ181" s="4" t="s">
        <v>364</v>
      </c>
    </row>
    <row r="182" spans="1:158" ht="12.75" x14ac:dyDescent="0.2">
      <c r="A182" s="3">
        <v>43503.531441967592</v>
      </c>
      <c r="B182" s="4" t="s">
        <v>1051</v>
      </c>
      <c r="C182" s="4" t="s">
        <v>1052</v>
      </c>
      <c r="D182" s="5">
        <v>43501</v>
      </c>
      <c r="E182" s="4" t="s">
        <v>1053</v>
      </c>
      <c r="J182" s="6">
        <v>0.58472222222189885</v>
      </c>
      <c r="K182" s="4" t="s">
        <v>379</v>
      </c>
      <c r="L182" s="4" t="s">
        <v>349</v>
      </c>
      <c r="M182" s="4" t="s">
        <v>350</v>
      </c>
      <c r="N182" s="4" t="s">
        <v>351</v>
      </c>
      <c r="R182" s="4">
        <v>48</v>
      </c>
      <c r="AE182" s="4">
        <v>20</v>
      </c>
      <c r="AF182" s="4">
        <v>91</v>
      </c>
      <c r="AM182" s="4">
        <v>37</v>
      </c>
      <c r="BB182" s="4">
        <v>3</v>
      </c>
      <c r="BE182" s="4">
        <v>25</v>
      </c>
      <c r="BF182" s="4">
        <v>78</v>
      </c>
      <c r="BG182" s="4">
        <v>33</v>
      </c>
      <c r="BJ182" s="4" t="s">
        <v>353</v>
      </c>
      <c r="BK182" s="4">
        <v>28.248200000000001</v>
      </c>
      <c r="BL182" s="4">
        <v>-80.602230000000006</v>
      </c>
      <c r="BY182" s="4" t="s">
        <v>1054</v>
      </c>
      <c r="BZ182" s="4" t="s">
        <v>354</v>
      </c>
    </row>
    <row r="183" spans="1:158" ht="12.75" x14ac:dyDescent="0.2">
      <c r="A183" s="3">
        <v>43522.413801921299</v>
      </c>
      <c r="B183" s="4" t="s">
        <v>1055</v>
      </c>
      <c r="C183" s="4" t="s">
        <v>1056</v>
      </c>
      <c r="D183" s="5">
        <v>43499</v>
      </c>
      <c r="E183" s="4" t="s">
        <v>1057</v>
      </c>
      <c r="J183" s="6">
        <v>0.29166666666424135</v>
      </c>
      <c r="K183" s="4" t="s">
        <v>348</v>
      </c>
      <c r="L183" s="4" t="s">
        <v>349</v>
      </c>
      <c r="M183" s="4" t="s">
        <v>350</v>
      </c>
      <c r="N183" s="4" t="s">
        <v>351</v>
      </c>
      <c r="P183" s="4">
        <v>0</v>
      </c>
      <c r="Q183" s="4"/>
      <c r="R183" s="4">
        <v>17</v>
      </c>
      <c r="S183" s="4"/>
      <c r="T183" s="4"/>
      <c r="U183" s="4"/>
      <c r="V183" s="4"/>
      <c r="W183" s="4"/>
      <c r="Y183" s="4"/>
      <c r="Z183" s="4"/>
      <c r="AA183" s="4"/>
      <c r="AB183" s="4"/>
      <c r="AC183" s="4"/>
      <c r="AD183" s="4"/>
      <c r="AE183" s="4">
        <v>40</v>
      </c>
      <c r="AF183" s="4">
        <v>155</v>
      </c>
      <c r="AG183" s="4"/>
      <c r="AH183" s="4"/>
      <c r="AI183" s="4"/>
      <c r="AJ183" s="4"/>
      <c r="AK183" s="4"/>
      <c r="AL183" s="4"/>
      <c r="AM183" s="4">
        <v>116</v>
      </c>
      <c r="AN183" s="4"/>
      <c r="AO183" s="4"/>
      <c r="AP183" s="4"/>
      <c r="AQ183" s="4"/>
      <c r="AR183" s="4">
        <v>1</v>
      </c>
      <c r="AS183" s="4"/>
      <c r="AT183" s="4"/>
      <c r="AU183" s="4">
        <v>30</v>
      </c>
      <c r="AV183" s="4"/>
      <c r="AW183" s="4"/>
      <c r="AX183" s="4"/>
      <c r="AY183" s="4">
        <v>8</v>
      </c>
      <c r="AZ183" s="4"/>
      <c r="BA183" s="4"/>
      <c r="BB183" s="4"/>
      <c r="BC183" s="4">
        <v>14</v>
      </c>
      <c r="BD183" s="4">
        <v>3</v>
      </c>
      <c r="BE183" s="4">
        <v>131</v>
      </c>
      <c r="BF183" s="4">
        <v>200</v>
      </c>
      <c r="BG183" s="4">
        <v>27</v>
      </c>
      <c r="BH183" s="4"/>
      <c r="BI183" s="4"/>
      <c r="BJ183" s="4" t="s">
        <v>364</v>
      </c>
    </row>
    <row r="184" spans="1:158" ht="12.75" x14ac:dyDescent="0.2">
      <c r="A184" s="3">
        <v>43520.596772789351</v>
      </c>
      <c r="B184" s="4" t="s">
        <v>1058</v>
      </c>
      <c r="C184" s="4" t="s">
        <v>1059</v>
      </c>
      <c r="D184" s="5">
        <v>43503</v>
      </c>
      <c r="E184" s="4" t="s">
        <v>1060</v>
      </c>
      <c r="F184" s="4">
        <v>26.776499999999999</v>
      </c>
      <c r="G184" s="4">
        <v>-80.04401</v>
      </c>
      <c r="H184" s="4">
        <v>26.770589999999999</v>
      </c>
      <c r="I184" s="4">
        <v>-80.049170000000004</v>
      </c>
      <c r="J184" s="6">
        <v>0.44444444444525288</v>
      </c>
      <c r="K184" s="4" t="s">
        <v>379</v>
      </c>
      <c r="L184" s="4" t="s">
        <v>390</v>
      </c>
      <c r="M184" s="4" t="s">
        <v>350</v>
      </c>
      <c r="N184" s="4" t="s">
        <v>351</v>
      </c>
      <c r="O184" s="4" t="s">
        <v>1061</v>
      </c>
      <c r="R184" s="4">
        <v>13</v>
      </c>
      <c r="AF184" s="4">
        <v>18</v>
      </c>
      <c r="AX184" s="4">
        <v>1</v>
      </c>
      <c r="BB184" s="4">
        <v>5</v>
      </c>
      <c r="BC184" s="4">
        <v>17</v>
      </c>
      <c r="BE184" s="4">
        <v>6</v>
      </c>
      <c r="BJ184" s="4" t="s">
        <v>364</v>
      </c>
    </row>
    <row r="185" spans="1:158" ht="12.75" x14ac:dyDescent="0.2">
      <c r="A185" s="3">
        <v>43504.248739201386</v>
      </c>
      <c r="B185" s="4" t="s">
        <v>376</v>
      </c>
      <c r="C185" s="4" t="str">
        <f>O185</f>
        <v>Perdido Key State Park</v>
      </c>
      <c r="D185" s="5">
        <v>43497</v>
      </c>
      <c r="E185" s="4" t="s">
        <v>1062</v>
      </c>
      <c r="F185" s="4">
        <v>30.292570000000001</v>
      </c>
      <c r="G185" s="4">
        <v>-87.45308</v>
      </c>
      <c r="H185" s="4">
        <v>30.287700000000001</v>
      </c>
      <c r="I185" s="4">
        <v>-87.479979999999998</v>
      </c>
      <c r="J185" s="6">
        <v>0.45833333333575865</v>
      </c>
      <c r="K185" s="4" t="s">
        <v>348</v>
      </c>
      <c r="L185" s="4" t="s">
        <v>349</v>
      </c>
      <c r="M185" s="4" t="s">
        <v>350</v>
      </c>
      <c r="N185" s="4" t="s">
        <v>351</v>
      </c>
      <c r="O185" s="4" t="s">
        <v>1063</v>
      </c>
      <c r="P185" s="4">
        <v>0</v>
      </c>
      <c r="Q185" s="4"/>
      <c r="R185" s="4"/>
      <c r="S185" s="4"/>
      <c r="T185" s="4"/>
      <c r="U185" s="4"/>
      <c r="V185" s="4"/>
      <c r="W185" s="4"/>
      <c r="X185" s="4"/>
      <c r="Y185" s="4"/>
      <c r="Z185" s="4"/>
      <c r="AA185" s="4"/>
      <c r="AB185" s="4"/>
      <c r="AC185" s="4"/>
      <c r="AD185" s="4"/>
      <c r="AE185" s="4"/>
      <c r="AF185" s="4">
        <v>9</v>
      </c>
      <c r="AG185" s="4"/>
      <c r="AH185" s="4"/>
      <c r="AI185" s="4">
        <v>2</v>
      </c>
      <c r="AJ185" s="4"/>
      <c r="AK185" s="4"/>
      <c r="AL185" s="4"/>
      <c r="AM185" s="4">
        <v>1</v>
      </c>
      <c r="AN185" s="4"/>
      <c r="AO185" s="4"/>
      <c r="AP185" s="4"/>
      <c r="AQ185" s="4"/>
      <c r="AR185" s="4"/>
      <c r="AS185" s="4">
        <v>1</v>
      </c>
      <c r="AT185" s="4" t="s">
        <v>1064</v>
      </c>
      <c r="AU185" s="4">
        <v>1</v>
      </c>
      <c r="AV185" s="4"/>
      <c r="AW185" s="4"/>
      <c r="AX185" s="4">
        <v>2</v>
      </c>
      <c r="AY185" s="4">
        <v>21</v>
      </c>
      <c r="AZ185" s="4"/>
      <c r="BA185" s="4"/>
      <c r="BB185" s="4"/>
      <c r="BC185" s="4"/>
      <c r="BD185" s="4"/>
      <c r="BE185" s="4"/>
      <c r="BF185" s="4"/>
      <c r="BG185" s="4"/>
      <c r="BH185" s="4"/>
      <c r="BI185" s="4"/>
      <c r="BJ185" s="4" t="s">
        <v>353</v>
      </c>
      <c r="BK185" s="4">
        <v>30.288820000000001</v>
      </c>
      <c r="BL185" s="4">
        <v>-87.473209999999995</v>
      </c>
      <c r="BU185" s="4">
        <v>2</v>
      </c>
      <c r="BV185" s="4" t="s">
        <v>1065</v>
      </c>
      <c r="BZ185" s="4" t="s">
        <v>354</v>
      </c>
    </row>
    <row r="186" spans="1:158" ht="12.75" x14ac:dyDescent="0.2">
      <c r="A186" s="3">
        <v>43510.605105196759</v>
      </c>
      <c r="B186" s="4" t="s">
        <v>1066</v>
      </c>
      <c r="C186" s="4" t="s">
        <v>1067</v>
      </c>
      <c r="D186" s="5">
        <v>43500</v>
      </c>
      <c r="E186" s="4" t="s">
        <v>1068</v>
      </c>
      <c r="J186" s="6">
        <v>0.33333333333575865</v>
      </c>
      <c r="K186" s="4" t="s">
        <v>348</v>
      </c>
      <c r="M186" s="4" t="s">
        <v>350</v>
      </c>
      <c r="N186" s="4" t="s">
        <v>351</v>
      </c>
      <c r="O186" s="4" t="s">
        <v>1069</v>
      </c>
      <c r="R186" s="4">
        <v>10</v>
      </c>
      <c r="S186" s="4">
        <v>106</v>
      </c>
      <c r="AE186" s="4">
        <v>1</v>
      </c>
      <c r="AF186" s="4">
        <v>2</v>
      </c>
      <c r="AG186" s="4">
        <v>3</v>
      </c>
      <c r="AJ186" s="4">
        <v>2</v>
      </c>
      <c r="AN186" s="4">
        <v>6</v>
      </c>
      <c r="AU186" s="4">
        <v>61</v>
      </c>
      <c r="AX186" s="4">
        <v>5</v>
      </c>
      <c r="AY186" s="4">
        <v>40</v>
      </c>
      <c r="BC186" s="4">
        <v>58</v>
      </c>
      <c r="BE186" s="4">
        <v>76</v>
      </c>
      <c r="BF186" s="4">
        <v>4</v>
      </c>
      <c r="BI186" s="4">
        <v>40</v>
      </c>
      <c r="BJ186" s="4" t="s">
        <v>353</v>
      </c>
      <c r="BK186" s="4">
        <v>27.849270000000001</v>
      </c>
      <c r="BL186" s="4">
        <v>-82.546505999999994</v>
      </c>
      <c r="BW186" s="4">
        <v>5</v>
      </c>
      <c r="BZ186" s="4" t="s">
        <v>354</v>
      </c>
    </row>
    <row r="187" spans="1:158" ht="12.75" x14ac:dyDescent="0.2">
      <c r="A187" s="3">
        <v>43508.712249421296</v>
      </c>
      <c r="B187" s="4" t="s">
        <v>485</v>
      </c>
      <c r="C187" s="4" t="s">
        <v>1070</v>
      </c>
      <c r="D187" s="5">
        <v>43501</v>
      </c>
      <c r="E187" s="4" t="s">
        <v>487</v>
      </c>
      <c r="J187" s="6">
        <v>0.33333333333575865</v>
      </c>
      <c r="M187" s="4" t="s">
        <v>350</v>
      </c>
      <c r="N187" s="4" t="s">
        <v>351</v>
      </c>
      <c r="S187" s="4">
        <v>7</v>
      </c>
      <c r="Z187" s="4">
        <v>1</v>
      </c>
      <c r="AM187" s="4">
        <v>2</v>
      </c>
      <c r="AR187" s="4">
        <v>72</v>
      </c>
      <c r="AU187" s="4">
        <v>4</v>
      </c>
      <c r="AX187" s="4">
        <v>1</v>
      </c>
      <c r="BC187" s="4">
        <v>406</v>
      </c>
      <c r="BE187" s="4">
        <v>427</v>
      </c>
      <c r="BF187" s="4">
        <v>5</v>
      </c>
      <c r="BJ187" s="4" t="s">
        <v>353</v>
      </c>
      <c r="BK187" s="4">
        <v>28.568265</v>
      </c>
      <c r="BL187" s="4">
        <v>-82.656772000000004</v>
      </c>
      <c r="BO187" s="4">
        <v>72</v>
      </c>
      <c r="BP187" s="4" t="s">
        <v>385</v>
      </c>
      <c r="BZ187" s="4" t="s">
        <v>354</v>
      </c>
    </row>
    <row r="188" spans="1:158" ht="12.75" x14ac:dyDescent="0.2">
      <c r="A188" s="3">
        <v>43502.726907245371</v>
      </c>
      <c r="B188" s="4" t="s">
        <v>889</v>
      </c>
      <c r="C188" s="4" t="s">
        <v>1071</v>
      </c>
      <c r="D188" s="5">
        <v>43500</v>
      </c>
      <c r="E188" s="4" t="s">
        <v>1072</v>
      </c>
      <c r="J188" s="6">
        <v>0.375</v>
      </c>
      <c r="K188" s="4" t="s">
        <v>348</v>
      </c>
      <c r="L188" s="4" t="s">
        <v>349</v>
      </c>
      <c r="M188" s="4" t="s">
        <v>350</v>
      </c>
      <c r="N188" s="4" t="s">
        <v>351</v>
      </c>
      <c r="P188" s="4">
        <v>2</v>
      </c>
      <c r="AJ188" s="4">
        <v>1</v>
      </c>
      <c r="AU188" s="4">
        <v>4</v>
      </c>
      <c r="AX188" s="4">
        <v>1</v>
      </c>
      <c r="BC188" s="4">
        <v>28</v>
      </c>
      <c r="BJ188" s="4" t="s">
        <v>353</v>
      </c>
      <c r="BK188" s="4">
        <v>27.916803000000002</v>
      </c>
      <c r="BL188" s="4">
        <v>-82.827954000000005</v>
      </c>
      <c r="BM188" s="4">
        <v>2</v>
      </c>
      <c r="BN188" s="4" t="s">
        <v>1073</v>
      </c>
      <c r="BZ188" s="4" t="s">
        <v>354</v>
      </c>
    </row>
    <row r="189" spans="1:158" ht="12.75" x14ac:dyDescent="0.2">
      <c r="A189" s="3">
        <v>43499.685363391203</v>
      </c>
      <c r="B189" s="4" t="s">
        <v>1074</v>
      </c>
      <c r="C189" s="4" t="s">
        <v>1075</v>
      </c>
      <c r="D189" s="5">
        <v>43499</v>
      </c>
      <c r="E189" s="4" t="s">
        <v>1076</v>
      </c>
      <c r="J189" s="6">
        <v>0.59375</v>
      </c>
      <c r="K189" s="4" t="s">
        <v>348</v>
      </c>
      <c r="L189" s="4" t="s">
        <v>358</v>
      </c>
      <c r="M189" s="4" t="s">
        <v>350</v>
      </c>
      <c r="N189" s="4" t="s">
        <v>351</v>
      </c>
      <c r="O189" s="4" t="s">
        <v>1077</v>
      </c>
      <c r="R189" s="4">
        <v>14</v>
      </c>
      <c r="S189" s="4">
        <v>1</v>
      </c>
      <c r="Z189" s="4">
        <v>160</v>
      </c>
      <c r="AB189" s="4">
        <v>82</v>
      </c>
      <c r="AE189" s="4">
        <v>6</v>
      </c>
      <c r="AM189" s="4">
        <v>58</v>
      </c>
      <c r="AY189" s="4">
        <v>1</v>
      </c>
      <c r="BJ189" s="4" t="s">
        <v>364</v>
      </c>
    </row>
    <row r="190" spans="1:158" ht="12.75" x14ac:dyDescent="0.2">
      <c r="A190" s="3">
        <v>43503.572488599537</v>
      </c>
      <c r="B190" s="4" t="s">
        <v>652</v>
      </c>
      <c r="C190" s="4" t="s">
        <v>1078</v>
      </c>
      <c r="D190" s="5">
        <v>43503</v>
      </c>
      <c r="E190" s="4" t="s">
        <v>654</v>
      </c>
      <c r="J190" s="6">
        <v>0.45486111110949423</v>
      </c>
      <c r="K190" s="4" t="s">
        <v>379</v>
      </c>
      <c r="L190" s="4" t="s">
        <v>358</v>
      </c>
      <c r="M190" s="4" t="s">
        <v>350</v>
      </c>
      <c r="N190" s="4" t="s">
        <v>351</v>
      </c>
      <c r="AJ190" s="4">
        <v>1</v>
      </c>
      <c r="AX190" s="4">
        <v>8</v>
      </c>
      <c r="BJ190" s="4" t="s">
        <v>364</v>
      </c>
    </row>
    <row r="191" spans="1:158" ht="12.75" x14ac:dyDescent="0.2">
      <c r="A191" s="3">
        <v>43503.570397916672</v>
      </c>
      <c r="B191" s="4" t="s">
        <v>652</v>
      </c>
      <c r="C191" s="4" t="s">
        <v>1079</v>
      </c>
      <c r="D191" s="5">
        <v>43503</v>
      </c>
      <c r="E191" s="4" t="s">
        <v>654</v>
      </c>
      <c r="J191" s="6">
        <v>0.61458333333575865</v>
      </c>
      <c r="K191" s="4" t="s">
        <v>379</v>
      </c>
      <c r="L191" s="4" t="s">
        <v>358</v>
      </c>
      <c r="M191" s="4" t="s">
        <v>350</v>
      </c>
      <c r="N191" s="4" t="s">
        <v>351</v>
      </c>
      <c r="U191" s="4">
        <v>2</v>
      </c>
      <c r="AX191" s="4">
        <v>16</v>
      </c>
      <c r="BE191" s="4">
        <v>1</v>
      </c>
      <c r="BJ191" s="4" t="s">
        <v>364</v>
      </c>
    </row>
    <row r="192" spans="1:158" ht="12.75" x14ac:dyDescent="0.2">
      <c r="A192" s="3">
        <v>43518.762292824074</v>
      </c>
      <c r="B192" s="4" t="s">
        <v>1080</v>
      </c>
      <c r="C192" s="4" t="s">
        <v>1081</v>
      </c>
      <c r="D192" s="5">
        <v>43503</v>
      </c>
      <c r="E192" s="4" t="s">
        <v>1082</v>
      </c>
      <c r="F192" s="4">
        <v>27.783059999999999</v>
      </c>
      <c r="G192" s="4">
        <v>-82.784099999999995</v>
      </c>
      <c r="H192" s="4">
        <v>27.811869999999999</v>
      </c>
      <c r="I192" s="4">
        <v>-82.817599999999999</v>
      </c>
      <c r="J192" s="6">
        <v>0.41666666666424135</v>
      </c>
      <c r="K192" s="4" t="s">
        <v>379</v>
      </c>
      <c r="L192" s="4" t="s">
        <v>349</v>
      </c>
      <c r="M192" s="4" t="s">
        <v>350</v>
      </c>
      <c r="N192" s="4" t="s">
        <v>351</v>
      </c>
      <c r="AE192" s="4">
        <v>17</v>
      </c>
      <c r="AF192" s="4">
        <v>110</v>
      </c>
      <c r="AM192" s="4">
        <v>67</v>
      </c>
      <c r="AR192" s="4">
        <v>107</v>
      </c>
      <c r="AW192" s="4">
        <v>11</v>
      </c>
      <c r="AX192" s="4">
        <v>2</v>
      </c>
      <c r="AY192" s="4">
        <v>11</v>
      </c>
      <c r="BC192" s="4">
        <v>112</v>
      </c>
      <c r="BD192" s="4">
        <v>3</v>
      </c>
      <c r="BE192" s="4">
        <v>35</v>
      </c>
      <c r="BF192" s="4">
        <v>92</v>
      </c>
      <c r="BG192" s="4">
        <v>43</v>
      </c>
      <c r="BJ192" s="4" t="s">
        <v>353</v>
      </c>
      <c r="BK192" s="4">
        <v>27.790998999999999</v>
      </c>
      <c r="BL192" s="4">
        <v>-82.790583999999996</v>
      </c>
      <c r="BO192" s="4">
        <v>101</v>
      </c>
      <c r="BZ192" s="4" t="s">
        <v>353</v>
      </c>
      <c r="CA192" s="4">
        <v>27.792452000000001</v>
      </c>
      <c r="CB192" s="4">
        <v>-82.791962999999996</v>
      </c>
      <c r="CE192" s="4">
        <v>6</v>
      </c>
      <c r="CP192" s="4" t="s">
        <v>353</v>
      </c>
      <c r="CQ192" s="4">
        <v>27.791250000000002</v>
      </c>
      <c r="CR192" s="4">
        <v>-82.790666999999999</v>
      </c>
      <c r="DE192" s="4" t="s">
        <v>1083</v>
      </c>
      <c r="DF192" s="4" t="s">
        <v>359</v>
      </c>
    </row>
    <row r="193" spans="1:142" ht="12.75" x14ac:dyDescent="0.2">
      <c r="A193" s="3">
        <v>43522.59827052083</v>
      </c>
      <c r="B193" s="4" t="s">
        <v>583</v>
      </c>
      <c r="C193" s="4" t="s">
        <v>1084</v>
      </c>
      <c r="D193" s="5">
        <v>43503</v>
      </c>
      <c r="E193" s="4" t="s">
        <v>1085</v>
      </c>
      <c r="F193" s="4">
        <v>29.513390000000001</v>
      </c>
      <c r="G193" s="4">
        <v>-83.365910999999997</v>
      </c>
      <c r="H193" s="4">
        <v>29.513394999999999</v>
      </c>
      <c r="I193" s="4">
        <v>-83.369552999999996</v>
      </c>
      <c r="J193" s="6">
        <v>0.625</v>
      </c>
      <c r="K193" s="4" t="s">
        <v>348</v>
      </c>
      <c r="L193" s="4" t="s">
        <v>358</v>
      </c>
      <c r="M193" s="4" t="s">
        <v>350</v>
      </c>
      <c r="N193" s="4" t="s">
        <v>351</v>
      </c>
      <c r="O193" s="4" t="s">
        <v>1086</v>
      </c>
      <c r="R193" s="4">
        <v>39</v>
      </c>
      <c r="S193" s="4">
        <v>112</v>
      </c>
      <c r="V193" s="4">
        <v>140</v>
      </c>
      <c r="AA193" s="4">
        <v>4</v>
      </c>
      <c r="AC193" s="4">
        <v>2</v>
      </c>
      <c r="AG193" s="4">
        <v>200</v>
      </c>
      <c r="AN193" s="4">
        <v>9</v>
      </c>
      <c r="AP193" s="4">
        <v>29</v>
      </c>
      <c r="AQ193" s="4">
        <v>1</v>
      </c>
      <c r="BJ193" s="4" t="s">
        <v>353</v>
      </c>
      <c r="BK193" s="4">
        <v>29.513394999999999</v>
      </c>
      <c r="BL193" s="4">
        <v>-83.369552999999996</v>
      </c>
      <c r="BQ193" s="4">
        <v>2</v>
      </c>
      <c r="BW193" s="4">
        <v>9</v>
      </c>
      <c r="BY193" s="4" t="s">
        <v>1087</v>
      </c>
      <c r="BZ193" s="4" t="s">
        <v>354</v>
      </c>
    </row>
    <row r="194" spans="1:142" ht="12.75" x14ac:dyDescent="0.2">
      <c r="A194" s="3">
        <v>43504.262098796295</v>
      </c>
      <c r="B194" s="4" t="s">
        <v>376</v>
      </c>
      <c r="C194" s="4" t="s">
        <v>1088</v>
      </c>
      <c r="D194" s="5">
        <v>43497</v>
      </c>
      <c r="E194" s="4" t="s">
        <v>1062</v>
      </c>
      <c r="J194" s="6">
        <v>0.38194444444525288</v>
      </c>
      <c r="K194" s="4" t="s">
        <v>363</v>
      </c>
      <c r="L194" s="4" t="s">
        <v>390</v>
      </c>
      <c r="M194" s="4" t="s">
        <v>350</v>
      </c>
      <c r="N194" s="4" t="s">
        <v>351</v>
      </c>
      <c r="P194" s="4">
        <v>0</v>
      </c>
      <c r="Q194" s="4"/>
      <c r="R194" s="4">
        <v>1</v>
      </c>
      <c r="S194" s="4"/>
      <c r="T194" s="4"/>
      <c r="U194" s="4"/>
      <c r="V194" s="4"/>
      <c r="W194" s="4"/>
      <c r="X194" s="4"/>
      <c r="Y194" s="4"/>
      <c r="Z194" s="4"/>
      <c r="AA194" s="4"/>
      <c r="AB194" s="4"/>
      <c r="AC194" s="4"/>
      <c r="AD194" s="4"/>
      <c r="AE194" s="4"/>
      <c r="AF194" s="4">
        <v>13</v>
      </c>
      <c r="AG194" s="4"/>
      <c r="AH194" s="4"/>
      <c r="AI194" s="4"/>
      <c r="AJ194" s="4"/>
      <c r="AK194" s="4"/>
      <c r="AL194" s="4"/>
      <c r="AM194" s="4">
        <v>6</v>
      </c>
      <c r="AN194" s="4"/>
      <c r="AO194" s="4"/>
      <c r="AP194" s="4"/>
      <c r="AQ194" s="4"/>
      <c r="AR194" s="4"/>
      <c r="AS194" s="4"/>
      <c r="AT194" s="4"/>
      <c r="AU194" s="4">
        <v>8</v>
      </c>
      <c r="AV194" s="4"/>
      <c r="AW194" s="4"/>
      <c r="AX194" s="4"/>
      <c r="AY194" s="4">
        <v>2</v>
      </c>
      <c r="AZ194" s="4"/>
      <c r="BA194" s="4"/>
      <c r="BB194" s="4"/>
      <c r="BC194" s="4"/>
      <c r="BD194" s="4"/>
      <c r="BE194" s="4"/>
      <c r="BF194" s="4"/>
      <c r="BG194" s="4"/>
      <c r="BH194" s="4"/>
      <c r="BI194" s="4"/>
      <c r="BJ194" s="4" t="s">
        <v>364</v>
      </c>
    </row>
    <row r="195" spans="1:142" ht="12.75" x14ac:dyDescent="0.2">
      <c r="A195" s="3">
        <v>43508.307418912038</v>
      </c>
      <c r="B195" s="4" t="s">
        <v>615</v>
      </c>
      <c r="C195" s="4" t="s">
        <v>1089</v>
      </c>
      <c r="D195" s="5">
        <v>43503</v>
      </c>
      <c r="E195" s="4" t="s">
        <v>617</v>
      </c>
      <c r="J195" s="6">
        <v>0.46875</v>
      </c>
      <c r="K195" s="4" t="s">
        <v>379</v>
      </c>
      <c r="L195" s="4" t="s">
        <v>349</v>
      </c>
      <c r="M195" s="4" t="s">
        <v>350</v>
      </c>
      <c r="N195" s="4" t="s">
        <v>351</v>
      </c>
      <c r="P195" s="4">
        <v>0</v>
      </c>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v>1</v>
      </c>
      <c r="AP195" s="4"/>
      <c r="AQ195" s="4"/>
      <c r="AR195" s="4"/>
      <c r="AS195" s="4"/>
      <c r="AT195" s="4"/>
      <c r="AU195" s="4"/>
      <c r="AV195" s="4"/>
      <c r="AW195" s="4"/>
      <c r="AX195" s="4">
        <v>4</v>
      </c>
      <c r="AY195" s="4"/>
      <c r="AZ195" s="4"/>
      <c r="BA195" s="4"/>
      <c r="BB195" s="4"/>
      <c r="BC195" s="4"/>
      <c r="BD195" s="4"/>
      <c r="BE195" s="4"/>
      <c r="BF195" s="4"/>
      <c r="BG195" s="4"/>
      <c r="BH195" s="4"/>
      <c r="BI195" s="4">
        <v>3</v>
      </c>
      <c r="BJ195" s="4" t="s">
        <v>364</v>
      </c>
    </row>
    <row r="196" spans="1:142" ht="12.75" x14ac:dyDescent="0.2">
      <c r="A196" s="3">
        <v>43508.364610000004</v>
      </c>
      <c r="B196" s="4" t="s">
        <v>365</v>
      </c>
      <c r="C196" s="4" t="s">
        <v>1090</v>
      </c>
      <c r="D196" s="5">
        <v>43501</v>
      </c>
      <c r="E196" s="4" t="s">
        <v>1091</v>
      </c>
      <c r="J196" s="6">
        <v>0.45833333333575865</v>
      </c>
      <c r="K196" s="4" t="s">
        <v>379</v>
      </c>
      <c r="L196" s="4" t="s">
        <v>349</v>
      </c>
      <c r="M196" s="4" t="s">
        <v>350</v>
      </c>
      <c r="N196" s="4" t="s">
        <v>351</v>
      </c>
      <c r="U196" s="4">
        <v>10</v>
      </c>
      <c r="AC196" s="4">
        <v>2</v>
      </c>
      <c r="AE196" s="4">
        <v>84</v>
      </c>
      <c r="AF196" s="4">
        <v>133</v>
      </c>
      <c r="AG196" s="4">
        <v>4</v>
      </c>
      <c r="AM196" s="4">
        <v>16</v>
      </c>
      <c r="BB196" s="4">
        <v>1</v>
      </c>
      <c r="BC196" s="4">
        <v>29</v>
      </c>
      <c r="BD196" s="4">
        <v>15</v>
      </c>
      <c r="BE196" s="4">
        <v>78</v>
      </c>
      <c r="BF196" s="4">
        <v>20</v>
      </c>
      <c r="BJ196" s="4" t="s">
        <v>353</v>
      </c>
      <c r="BK196" s="4">
        <v>27.254960000000001</v>
      </c>
      <c r="BL196" s="4">
        <v>-80.195959999999999</v>
      </c>
      <c r="BZ196" s="4" t="s">
        <v>353</v>
      </c>
      <c r="CA196" s="4">
        <v>27.168723</v>
      </c>
      <c r="CB196" s="4">
        <v>-80.154202999999995</v>
      </c>
      <c r="CG196" s="4">
        <v>2</v>
      </c>
      <c r="CP196" s="4" t="s">
        <v>466</v>
      </c>
    </row>
    <row r="197" spans="1:142" ht="12.75" x14ac:dyDescent="0.2">
      <c r="A197" s="3">
        <v>43501.595088622686</v>
      </c>
      <c r="B197" s="4" t="s">
        <v>663</v>
      </c>
      <c r="C197" s="4" t="s">
        <v>1092</v>
      </c>
      <c r="D197" s="5">
        <v>43501</v>
      </c>
      <c r="E197" s="4" t="s">
        <v>665</v>
      </c>
      <c r="J197" s="6">
        <v>0.46527777778101154</v>
      </c>
      <c r="K197" s="4" t="s">
        <v>379</v>
      </c>
      <c r="L197" s="4" t="s">
        <v>349</v>
      </c>
      <c r="M197" s="4" t="s">
        <v>350</v>
      </c>
      <c r="N197" s="4" t="s">
        <v>351</v>
      </c>
      <c r="AE197" s="4">
        <v>10</v>
      </c>
      <c r="AF197" s="4">
        <v>82</v>
      </c>
      <c r="AM197" s="4">
        <v>5</v>
      </c>
      <c r="AU197" s="4">
        <v>6</v>
      </c>
      <c r="BA197" s="4">
        <v>1</v>
      </c>
      <c r="BB197" s="4">
        <v>8</v>
      </c>
      <c r="BC197" s="4">
        <v>5</v>
      </c>
      <c r="BD197" s="4">
        <v>12</v>
      </c>
      <c r="BE197" s="4">
        <v>20</v>
      </c>
      <c r="BF197" s="4">
        <v>41</v>
      </c>
      <c r="BJ197" s="4" t="s">
        <v>364</v>
      </c>
    </row>
    <row r="198" spans="1:142" ht="12.75" x14ac:dyDescent="0.2">
      <c r="A198" s="3">
        <v>43509.342415520834</v>
      </c>
      <c r="B198" s="4" t="s">
        <v>663</v>
      </c>
      <c r="C198" s="4" t="s">
        <v>1092</v>
      </c>
      <c r="D198" s="5">
        <v>43501</v>
      </c>
      <c r="E198" s="4" t="s">
        <v>665</v>
      </c>
      <c r="J198" s="6">
        <v>0.46527777778101154</v>
      </c>
      <c r="K198" s="4" t="s">
        <v>379</v>
      </c>
      <c r="L198" s="4" t="s">
        <v>349</v>
      </c>
      <c r="M198" s="4" t="s">
        <v>350</v>
      </c>
      <c r="N198" s="4" t="s">
        <v>351</v>
      </c>
      <c r="AE198" s="4">
        <v>10</v>
      </c>
      <c r="AF198" s="4">
        <v>82</v>
      </c>
      <c r="AM198" s="4">
        <v>5</v>
      </c>
      <c r="AU198" s="4">
        <v>6</v>
      </c>
      <c r="BA198" s="4">
        <v>1</v>
      </c>
      <c r="BB198" s="4">
        <v>8</v>
      </c>
      <c r="BC198" s="4">
        <v>5</v>
      </c>
      <c r="BD198" s="4">
        <v>12</v>
      </c>
      <c r="BE198" s="4">
        <v>20</v>
      </c>
      <c r="BF198" s="4">
        <v>41</v>
      </c>
      <c r="BJ198" s="4" t="s">
        <v>364</v>
      </c>
    </row>
    <row r="199" spans="1:142" ht="12.75" x14ac:dyDescent="0.2">
      <c r="A199" s="3">
        <v>43502.54840378472</v>
      </c>
      <c r="B199" s="4" t="s">
        <v>355</v>
      </c>
      <c r="C199" s="4" t="s">
        <v>1093</v>
      </c>
      <c r="D199" s="5">
        <v>43502</v>
      </c>
      <c r="E199" s="4" t="s">
        <v>752</v>
      </c>
      <c r="J199" s="6">
        <v>0.29166666666424135</v>
      </c>
      <c r="K199" s="4" t="s">
        <v>363</v>
      </c>
      <c r="L199" s="4" t="s">
        <v>358</v>
      </c>
      <c r="N199" s="4" t="s">
        <v>351</v>
      </c>
      <c r="P199" s="4">
        <v>0</v>
      </c>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v>34</v>
      </c>
      <c r="BD199" s="4"/>
      <c r="BE199" s="4">
        <v>55</v>
      </c>
      <c r="BF199" s="4"/>
      <c r="BG199" s="4"/>
      <c r="BH199" s="4"/>
      <c r="BI199" s="4"/>
      <c r="BJ199" s="4" t="s">
        <v>364</v>
      </c>
    </row>
    <row r="200" spans="1:142" ht="12.75" x14ac:dyDescent="0.2">
      <c r="A200" s="3">
        <v>43508.594974976848</v>
      </c>
      <c r="B200" s="4" t="s">
        <v>570</v>
      </c>
      <c r="C200" s="4" t="s">
        <v>1094</v>
      </c>
      <c r="D200" s="5">
        <v>43501</v>
      </c>
      <c r="E200" s="4" t="s">
        <v>572</v>
      </c>
      <c r="J200" s="6">
        <v>0.37847222221898846</v>
      </c>
      <c r="K200" s="4" t="s">
        <v>348</v>
      </c>
      <c r="L200" s="4" t="s">
        <v>358</v>
      </c>
      <c r="M200" s="4" t="s">
        <v>350</v>
      </c>
      <c r="N200" s="4" t="s">
        <v>351</v>
      </c>
      <c r="P200" s="4">
        <v>0</v>
      </c>
      <c r="Q200" s="4"/>
      <c r="R200" s="4"/>
      <c r="S200" s="4"/>
      <c r="T200" s="4"/>
      <c r="U200" s="4"/>
      <c r="V200" s="4"/>
      <c r="W200" s="4"/>
      <c r="X200" s="4"/>
      <c r="Y200" s="4"/>
      <c r="Z200" s="4"/>
      <c r="AA200" s="4"/>
      <c r="AB200" s="4"/>
      <c r="AC200" s="4"/>
      <c r="AD200" s="4"/>
      <c r="AE200" s="4">
        <v>2</v>
      </c>
      <c r="AF200" s="4">
        <v>148</v>
      </c>
      <c r="AG200" s="4"/>
      <c r="AH200" s="4"/>
      <c r="AI200" s="4"/>
      <c r="AJ200" s="4"/>
      <c r="AK200" s="4"/>
      <c r="AL200" s="4"/>
      <c r="AM200" s="4">
        <v>17</v>
      </c>
      <c r="AN200" s="4"/>
      <c r="AO200" s="4"/>
      <c r="AP200" s="4"/>
      <c r="AQ200" s="4"/>
      <c r="AR200" s="4"/>
      <c r="AS200" s="4"/>
      <c r="AT200" s="4"/>
      <c r="AU200" s="4">
        <v>31</v>
      </c>
      <c r="AV200" s="4"/>
      <c r="AW200" s="4">
        <v>1</v>
      </c>
      <c r="AX200" s="4">
        <v>1</v>
      </c>
      <c r="AY200" s="4">
        <v>28</v>
      </c>
      <c r="AZ200" s="4"/>
      <c r="BA200" s="4"/>
      <c r="BB200" s="4"/>
      <c r="BC200" s="4">
        <v>88</v>
      </c>
      <c r="BD200" s="4">
        <v>3</v>
      </c>
      <c r="BE200" s="4">
        <v>21</v>
      </c>
      <c r="BF200" s="4">
        <v>243</v>
      </c>
      <c r="BG200" s="4">
        <v>320</v>
      </c>
      <c r="BH200" s="4"/>
      <c r="BI200" s="4"/>
      <c r="BJ200" s="4" t="s">
        <v>353</v>
      </c>
      <c r="BK200" s="4">
        <v>26.457975000000001</v>
      </c>
      <c r="BL200" s="4">
        <v>-82.155444000000003</v>
      </c>
      <c r="BM200" s="4">
        <v>0</v>
      </c>
      <c r="BO200" s="4">
        <v>0</v>
      </c>
      <c r="BQ200" s="4">
        <v>0</v>
      </c>
      <c r="BS200" s="4">
        <v>0</v>
      </c>
      <c r="BU200" s="4">
        <v>0</v>
      </c>
      <c r="BW200" s="4">
        <v>0</v>
      </c>
      <c r="BY200" s="4" t="s">
        <v>1095</v>
      </c>
      <c r="BZ200" s="4" t="s">
        <v>354</v>
      </c>
    </row>
    <row r="201" spans="1:142" ht="12.75" x14ac:dyDescent="0.2">
      <c r="A201" s="3">
        <v>43500.661082175924</v>
      </c>
      <c r="B201" s="4" t="s">
        <v>570</v>
      </c>
      <c r="C201" s="4" t="s">
        <v>1096</v>
      </c>
      <c r="D201" s="5">
        <v>43499</v>
      </c>
      <c r="E201" s="4" t="s">
        <v>572</v>
      </c>
      <c r="J201" s="6">
        <v>0.37152777778101154</v>
      </c>
      <c r="K201" s="4" t="s">
        <v>348</v>
      </c>
      <c r="L201" s="4" t="s">
        <v>358</v>
      </c>
      <c r="M201" s="4" t="s">
        <v>350</v>
      </c>
      <c r="N201" s="4" t="s">
        <v>351</v>
      </c>
      <c r="O201" s="4" t="s">
        <v>1097</v>
      </c>
      <c r="P201" s="4">
        <v>0</v>
      </c>
      <c r="Q201" s="4"/>
      <c r="R201" s="4">
        <v>28</v>
      </c>
      <c r="S201" s="4"/>
      <c r="T201" s="4"/>
      <c r="U201" s="4"/>
      <c r="V201" s="4"/>
      <c r="W201" s="4"/>
      <c r="X201" s="4"/>
      <c r="Y201" s="4"/>
      <c r="Z201" s="4"/>
      <c r="AA201" s="4"/>
      <c r="AB201" s="4"/>
      <c r="AC201" s="4"/>
      <c r="AD201" s="4">
        <v>33</v>
      </c>
      <c r="AE201" s="4">
        <v>70</v>
      </c>
      <c r="AF201" s="4">
        <v>126</v>
      </c>
      <c r="AG201" s="4"/>
      <c r="AH201" s="4"/>
      <c r="AI201" s="4">
        <v>1</v>
      </c>
      <c r="AJ201" s="4"/>
      <c r="AK201" s="4"/>
      <c r="AL201" s="4"/>
      <c r="AM201" s="4">
        <v>22</v>
      </c>
      <c r="AN201" s="4"/>
      <c r="AO201" s="4"/>
      <c r="AP201" s="4"/>
      <c r="AQ201" s="4"/>
      <c r="AR201" s="4"/>
      <c r="AS201" s="4"/>
      <c r="AT201" s="4"/>
      <c r="AU201" s="4">
        <v>123</v>
      </c>
      <c r="AV201" s="4"/>
      <c r="AW201" s="4"/>
      <c r="AX201" s="4"/>
      <c r="AY201" s="4">
        <v>1</v>
      </c>
      <c r="AZ201" s="4"/>
      <c r="BA201" s="4"/>
      <c r="BB201" s="4"/>
      <c r="BC201" s="4">
        <v>72</v>
      </c>
      <c r="BD201" s="4">
        <v>14</v>
      </c>
      <c r="BE201" s="4">
        <v>42</v>
      </c>
      <c r="BF201" s="4">
        <v>61</v>
      </c>
      <c r="BG201" s="4">
        <v>85</v>
      </c>
      <c r="BH201" s="4"/>
      <c r="BI201" s="4"/>
      <c r="BJ201" s="4" t="s">
        <v>353</v>
      </c>
      <c r="BK201" s="4">
        <v>26.438185000000001</v>
      </c>
      <c r="BL201" s="4">
        <v>-82.037323000000001</v>
      </c>
      <c r="BS201" s="4">
        <v>11</v>
      </c>
      <c r="BT201" s="4" t="s">
        <v>1098</v>
      </c>
      <c r="BZ201" s="4" t="s">
        <v>353</v>
      </c>
      <c r="CA201" s="4">
        <v>26.434282</v>
      </c>
      <c r="CB201" s="4">
        <v>-82.044398000000001</v>
      </c>
      <c r="CI201" s="4">
        <v>21</v>
      </c>
      <c r="CJ201" s="4" t="s">
        <v>375</v>
      </c>
      <c r="CP201" s="4" t="s">
        <v>353</v>
      </c>
      <c r="CQ201" s="4">
        <v>26.425267000000002</v>
      </c>
      <c r="CR201" s="4">
        <v>-82.062957999999995</v>
      </c>
      <c r="DA201" s="4">
        <v>1</v>
      </c>
      <c r="DB201" s="4" t="s">
        <v>1099</v>
      </c>
      <c r="DF201" s="4" t="s">
        <v>359</v>
      </c>
    </row>
    <row r="202" spans="1:142" ht="12.75" x14ac:dyDescent="0.2">
      <c r="A202" s="3">
        <v>43500.68037037037</v>
      </c>
      <c r="B202" s="4" t="s">
        <v>570</v>
      </c>
      <c r="C202" s="4" t="s">
        <v>1100</v>
      </c>
      <c r="D202" s="5">
        <v>43500</v>
      </c>
      <c r="E202" s="4" t="s">
        <v>572</v>
      </c>
      <c r="J202" s="6">
        <v>0.38888888889050577</v>
      </c>
      <c r="K202" s="4" t="s">
        <v>379</v>
      </c>
      <c r="L202" s="4" t="s">
        <v>358</v>
      </c>
      <c r="M202" s="4" t="s">
        <v>350</v>
      </c>
      <c r="N202" s="4" t="s">
        <v>351</v>
      </c>
      <c r="O202" s="4" t="s">
        <v>1101</v>
      </c>
      <c r="P202" s="4">
        <v>0</v>
      </c>
      <c r="Q202" s="4"/>
      <c r="R202" s="4">
        <v>2</v>
      </c>
      <c r="S202" s="4">
        <v>2</v>
      </c>
      <c r="T202" s="4"/>
      <c r="U202" s="4"/>
      <c r="V202" s="4"/>
      <c r="W202" s="4"/>
      <c r="X202" s="4"/>
      <c r="Y202" s="4"/>
      <c r="Z202" s="4"/>
      <c r="AA202" s="4"/>
      <c r="AB202" s="4"/>
      <c r="AC202" s="4"/>
      <c r="AD202" s="4"/>
      <c r="AE202" s="4">
        <v>34</v>
      </c>
      <c r="AF202" s="4">
        <v>190</v>
      </c>
      <c r="AG202" s="4"/>
      <c r="AH202" s="4"/>
      <c r="AI202" s="4"/>
      <c r="AJ202" s="4"/>
      <c r="AK202" s="4"/>
      <c r="AL202" s="4"/>
      <c r="AM202" s="4">
        <v>13</v>
      </c>
      <c r="AN202" s="4"/>
      <c r="AO202" s="4"/>
      <c r="AP202" s="4"/>
      <c r="AQ202" s="4"/>
      <c r="AR202" s="4"/>
      <c r="AS202" s="4"/>
      <c r="AT202" s="4"/>
      <c r="AU202" s="4">
        <v>7</v>
      </c>
      <c r="AV202" s="4"/>
      <c r="AW202" s="4"/>
      <c r="AX202" s="4">
        <v>1</v>
      </c>
      <c r="AY202" s="4"/>
      <c r="AZ202" s="4"/>
      <c r="BA202" s="4"/>
      <c r="BB202" s="4"/>
      <c r="BC202" s="4">
        <v>21</v>
      </c>
      <c r="BD202" s="4">
        <v>9</v>
      </c>
      <c r="BE202" s="4">
        <v>20</v>
      </c>
      <c r="BF202" s="4">
        <v>31</v>
      </c>
      <c r="BG202" s="4">
        <v>30</v>
      </c>
      <c r="BH202" s="4"/>
      <c r="BI202" s="4"/>
      <c r="BJ202" s="4" t="s">
        <v>364</v>
      </c>
    </row>
    <row r="203" spans="1:142" ht="12.75" x14ac:dyDescent="0.2">
      <c r="A203" s="3">
        <v>43509.656552835644</v>
      </c>
      <c r="B203" s="4" t="s">
        <v>909</v>
      </c>
      <c r="C203" s="4" t="s">
        <v>1102</v>
      </c>
      <c r="D203" s="5">
        <v>43497</v>
      </c>
      <c r="E203" s="4" t="s">
        <v>911</v>
      </c>
      <c r="J203" s="6">
        <v>0.36458333333575865</v>
      </c>
      <c r="N203" s="4" t="s">
        <v>351</v>
      </c>
      <c r="O203" s="4" t="s">
        <v>1103</v>
      </c>
      <c r="T203" s="4">
        <v>12</v>
      </c>
      <c r="U203" s="4">
        <v>15</v>
      </c>
      <c r="V203" s="4">
        <v>20</v>
      </c>
      <c r="W203" s="4">
        <v>24</v>
      </c>
      <c r="Y203" s="4">
        <v>15</v>
      </c>
      <c r="BJ203" s="4" t="s">
        <v>364</v>
      </c>
    </row>
    <row r="204" spans="1:142" ht="12.75" x14ac:dyDescent="0.2">
      <c r="A204" s="3">
        <v>43507.709161863429</v>
      </c>
      <c r="B204" s="4" t="s">
        <v>482</v>
      </c>
      <c r="C204" s="4" t="s">
        <v>1104</v>
      </c>
      <c r="D204" s="5">
        <v>43504</v>
      </c>
      <c r="E204" s="4" t="s">
        <v>484</v>
      </c>
      <c r="J204" s="6">
        <v>0.11041666666278616</v>
      </c>
      <c r="K204" s="4" t="s">
        <v>379</v>
      </c>
      <c r="L204" s="4" t="s">
        <v>358</v>
      </c>
      <c r="M204" s="4" t="s">
        <v>350</v>
      </c>
      <c r="N204" s="4" t="s">
        <v>351</v>
      </c>
      <c r="S204" s="4">
        <v>250</v>
      </c>
      <c r="V204" s="4">
        <v>3</v>
      </c>
      <c r="AC204" s="4">
        <v>18</v>
      </c>
      <c r="AE204" s="4">
        <v>10</v>
      </c>
      <c r="AF204" s="4">
        <v>132</v>
      </c>
      <c r="AG204" s="4">
        <v>28</v>
      </c>
      <c r="AI204" s="4">
        <v>1</v>
      </c>
      <c r="AK204" s="4">
        <v>125</v>
      </c>
      <c r="AM204" s="4">
        <v>1</v>
      </c>
      <c r="AN204" s="4">
        <v>13</v>
      </c>
      <c r="BI204" s="4">
        <v>6</v>
      </c>
      <c r="BJ204" s="4" t="s">
        <v>353</v>
      </c>
      <c r="BK204" s="4">
        <v>25.839676999999998</v>
      </c>
      <c r="BL204" s="4">
        <v>-81.666149000000004</v>
      </c>
      <c r="BQ204" s="4">
        <v>18</v>
      </c>
      <c r="BR204" s="4" t="s">
        <v>1011</v>
      </c>
      <c r="BU204" s="4">
        <v>1</v>
      </c>
      <c r="BW204" s="4">
        <v>13</v>
      </c>
      <c r="BZ204" s="4" t="s">
        <v>354</v>
      </c>
    </row>
    <row r="205" spans="1:142" ht="12.75" x14ac:dyDescent="0.2">
      <c r="A205" s="3">
        <v>43504.199971354166</v>
      </c>
      <c r="B205" s="4" t="s">
        <v>376</v>
      </c>
      <c r="C205" s="4" t="s">
        <v>1105</v>
      </c>
      <c r="D205" s="5">
        <v>43499</v>
      </c>
      <c r="E205" s="4" t="s">
        <v>1106</v>
      </c>
      <c r="J205" s="6">
        <v>0.65902777777955635</v>
      </c>
      <c r="K205" s="4" t="s">
        <v>348</v>
      </c>
      <c r="L205" s="4" t="s">
        <v>349</v>
      </c>
      <c r="M205" s="4" t="s">
        <v>350</v>
      </c>
      <c r="N205" s="4" t="s">
        <v>351</v>
      </c>
      <c r="P205" s="4">
        <v>0</v>
      </c>
      <c r="Q205" s="4"/>
      <c r="R205" s="4">
        <v>8</v>
      </c>
      <c r="S205" s="4">
        <v>20</v>
      </c>
      <c r="T205" s="4"/>
      <c r="U205" s="4"/>
      <c r="V205" s="4"/>
      <c r="W205" s="4"/>
      <c r="X205" s="4"/>
      <c r="Y205" s="4"/>
      <c r="Z205" s="4"/>
      <c r="AA205" s="4"/>
      <c r="AB205" s="4"/>
      <c r="AC205" s="4"/>
      <c r="AD205" s="4"/>
      <c r="AE205" s="4">
        <v>3</v>
      </c>
      <c r="AF205" s="4">
        <v>168</v>
      </c>
      <c r="AG205" s="4"/>
      <c r="AH205" s="4"/>
      <c r="AI205" s="4">
        <v>5</v>
      </c>
      <c r="AJ205" s="4"/>
      <c r="AK205" s="4"/>
      <c r="AL205" s="4"/>
      <c r="AM205" s="4"/>
      <c r="AN205" s="4"/>
      <c r="AO205" s="4"/>
      <c r="AP205" s="4"/>
      <c r="AQ205" s="4"/>
      <c r="AR205" s="4"/>
      <c r="AS205" s="4"/>
      <c r="AT205" s="4"/>
      <c r="AU205" s="4">
        <v>6</v>
      </c>
      <c r="AV205" s="4"/>
      <c r="AW205" s="4"/>
      <c r="AX205" s="4"/>
      <c r="AY205" s="4"/>
      <c r="AZ205" s="4"/>
      <c r="BA205" s="4"/>
      <c r="BB205" s="4">
        <v>1</v>
      </c>
      <c r="BC205" s="4"/>
      <c r="BD205" s="4"/>
      <c r="BE205" s="4">
        <v>1</v>
      </c>
      <c r="BF205" s="4">
        <v>1</v>
      </c>
      <c r="BG205" s="4"/>
      <c r="BH205" s="4"/>
      <c r="BI205" s="4"/>
      <c r="BJ205" s="4" t="s">
        <v>353</v>
      </c>
      <c r="BK205" s="4">
        <v>30.093309999999999</v>
      </c>
      <c r="BL205" s="4">
        <v>-85.686589999999995</v>
      </c>
      <c r="BU205" s="4">
        <v>1</v>
      </c>
      <c r="BV205" s="4" t="s">
        <v>1107</v>
      </c>
      <c r="BZ205" s="4" t="s">
        <v>353</v>
      </c>
      <c r="CA205" s="4">
        <v>30.10453</v>
      </c>
      <c r="CB205" s="4">
        <v>-85.708240000000004</v>
      </c>
      <c r="CK205" s="4">
        <v>2</v>
      </c>
      <c r="CL205" s="4" t="s">
        <v>1108</v>
      </c>
      <c r="CO205" s="4" t="s">
        <v>1109</v>
      </c>
      <c r="CP205" s="4" t="s">
        <v>353</v>
      </c>
      <c r="CQ205" s="4">
        <v>30.116630000000001</v>
      </c>
      <c r="CR205" s="4">
        <v>-85.727080000000001</v>
      </c>
      <c r="DA205" s="4">
        <v>2</v>
      </c>
      <c r="DB205" s="4" t="s">
        <v>1110</v>
      </c>
      <c r="DF205" s="4" t="s">
        <v>359</v>
      </c>
    </row>
    <row r="206" spans="1:142" ht="12.75" x14ac:dyDescent="0.2">
      <c r="A206" s="3">
        <v>43502.389597951391</v>
      </c>
      <c r="B206" s="4" t="s">
        <v>611</v>
      </c>
      <c r="C206" s="4" t="s">
        <v>1111</v>
      </c>
      <c r="D206" s="5">
        <v>43501</v>
      </c>
      <c r="E206" s="4" t="s">
        <v>1112</v>
      </c>
      <c r="J206" s="6">
        <v>0.375</v>
      </c>
      <c r="K206" s="4" t="s">
        <v>348</v>
      </c>
      <c r="L206" s="4" t="s">
        <v>358</v>
      </c>
      <c r="M206" s="4" t="s">
        <v>350</v>
      </c>
      <c r="N206" s="4" t="s">
        <v>351</v>
      </c>
      <c r="P206" s="4">
        <v>1</v>
      </c>
      <c r="Q206" s="4"/>
      <c r="R206" s="4">
        <v>52</v>
      </c>
      <c r="S206" s="4">
        <v>18</v>
      </c>
      <c r="T206" s="4"/>
      <c r="U206" s="4"/>
      <c r="V206" s="4">
        <v>4</v>
      </c>
      <c r="W206" s="4"/>
      <c r="X206" s="4"/>
      <c r="Y206" s="4"/>
      <c r="Z206" s="4">
        <v>4</v>
      </c>
      <c r="AB206" s="4"/>
      <c r="AC206" s="4"/>
      <c r="AD206" s="4"/>
      <c r="AE206" s="4"/>
      <c r="AF206" s="4">
        <v>47</v>
      </c>
      <c r="AG206" s="4">
        <v>1</v>
      </c>
      <c r="AH206" s="4"/>
      <c r="AI206" s="4"/>
      <c r="AJ206" s="4"/>
      <c r="AK206" s="4">
        <v>31</v>
      </c>
      <c r="AL206" s="4"/>
      <c r="AM206" s="4">
        <v>106</v>
      </c>
      <c r="AN206" s="4"/>
      <c r="AO206" s="4"/>
      <c r="AR206" s="4">
        <v>250</v>
      </c>
      <c r="AS206" s="4"/>
      <c r="AT206" s="4"/>
      <c r="AU206" s="4">
        <v>19</v>
      </c>
      <c r="AV206" s="4"/>
      <c r="AW206" s="4"/>
      <c r="AX206" s="4">
        <v>2</v>
      </c>
      <c r="AY206" s="4">
        <v>6</v>
      </c>
      <c r="AZ206" s="4"/>
      <c r="BA206" s="4"/>
      <c r="BB206" s="4">
        <v>9</v>
      </c>
      <c r="BC206" s="4">
        <v>41</v>
      </c>
      <c r="BD206" s="4"/>
      <c r="BE206" s="4">
        <v>48</v>
      </c>
      <c r="BF206" s="4">
        <v>8</v>
      </c>
      <c r="BG206" s="4"/>
      <c r="BH206" s="4"/>
      <c r="BI206" s="4">
        <v>29</v>
      </c>
      <c r="BJ206" s="4" t="s">
        <v>353</v>
      </c>
      <c r="BK206" s="4">
        <v>27.6493</v>
      </c>
      <c r="BL206" s="4">
        <v>-82.734499999999997</v>
      </c>
      <c r="BM206" s="4">
        <v>1</v>
      </c>
      <c r="BO206" s="4">
        <v>250</v>
      </c>
      <c r="BZ206" s="4" t="s">
        <v>364</v>
      </c>
    </row>
    <row r="207" spans="1:142" ht="12.75" x14ac:dyDescent="0.2">
      <c r="A207" s="3">
        <v>43500.767439062503</v>
      </c>
      <c r="B207" s="4" t="s">
        <v>936</v>
      </c>
      <c r="C207" s="4" t="s">
        <v>1113</v>
      </c>
      <c r="D207" s="5">
        <v>43498</v>
      </c>
      <c r="E207" s="4" t="s">
        <v>938</v>
      </c>
      <c r="J207" s="6">
        <v>0.367361111115315</v>
      </c>
      <c r="K207" s="4" t="s">
        <v>363</v>
      </c>
      <c r="L207" s="4" t="s">
        <v>358</v>
      </c>
      <c r="M207" s="4" t="s">
        <v>350</v>
      </c>
      <c r="N207" s="4" t="s">
        <v>351</v>
      </c>
      <c r="P207" s="4">
        <v>0</v>
      </c>
      <c r="Q207" s="4"/>
      <c r="R207" s="4"/>
      <c r="S207" s="4"/>
      <c r="T207" s="4"/>
      <c r="U207" s="4"/>
      <c r="V207" s="4"/>
      <c r="W207" s="4"/>
      <c r="X207" s="4"/>
      <c r="Y207" s="4"/>
      <c r="Z207" s="4"/>
      <c r="AA207" s="4"/>
      <c r="AB207" s="4"/>
      <c r="AC207" s="4"/>
      <c r="AD207" s="4"/>
      <c r="AE207" s="4"/>
      <c r="AF207" s="4">
        <v>15</v>
      </c>
      <c r="AG207" s="4"/>
      <c r="AH207" s="4"/>
      <c r="AI207" s="4">
        <v>13</v>
      </c>
      <c r="AJ207" s="4"/>
      <c r="AK207" s="4"/>
      <c r="AL207" s="4"/>
      <c r="AM207" s="4"/>
      <c r="AN207" s="4"/>
      <c r="AO207" s="4"/>
      <c r="AP207" s="4"/>
      <c r="AQ207" s="4"/>
      <c r="AR207" s="4"/>
      <c r="AS207" s="4"/>
      <c r="AT207" s="4"/>
      <c r="AU207" s="4">
        <v>5</v>
      </c>
      <c r="AV207" s="4"/>
      <c r="AW207" s="4"/>
      <c r="AX207" s="4"/>
      <c r="AY207" s="4"/>
      <c r="AZ207" s="4"/>
      <c r="BA207" s="4"/>
      <c r="BB207" s="4"/>
      <c r="BC207" s="4">
        <v>1</v>
      </c>
      <c r="BD207" s="4"/>
      <c r="BE207" s="4">
        <v>6</v>
      </c>
      <c r="BF207" s="4"/>
      <c r="BG207" s="4"/>
      <c r="BH207" s="4"/>
      <c r="BI207" s="4"/>
      <c r="BJ207" s="4" t="s">
        <v>353</v>
      </c>
      <c r="BK207" s="4">
        <v>27.266643200000001</v>
      </c>
      <c r="BL207" s="4">
        <v>-82.557375199999996</v>
      </c>
      <c r="BM207" s="4">
        <v>0</v>
      </c>
      <c r="BN207" s="4">
        <v>0</v>
      </c>
      <c r="BO207" s="4">
        <v>0</v>
      </c>
      <c r="BP207" s="4">
        <v>0</v>
      </c>
      <c r="BQ207" s="4">
        <v>0</v>
      </c>
      <c r="BR207" s="4">
        <v>0</v>
      </c>
      <c r="BS207" s="4">
        <v>0</v>
      </c>
      <c r="BT207" s="4">
        <v>0</v>
      </c>
      <c r="BU207" s="4">
        <v>3</v>
      </c>
      <c r="BV207" s="4" t="s">
        <v>1114</v>
      </c>
      <c r="BW207" s="4">
        <v>0</v>
      </c>
      <c r="BX207" s="4">
        <v>0</v>
      </c>
      <c r="BY207" s="4" t="s">
        <v>481</v>
      </c>
      <c r="BZ207" s="4" t="s">
        <v>353</v>
      </c>
      <c r="CA207" s="4">
        <v>27.266977000000001</v>
      </c>
      <c r="CB207" s="4">
        <v>-82.580923999999996</v>
      </c>
      <c r="CC207" s="4">
        <v>0</v>
      </c>
      <c r="CD207" s="4">
        <v>0</v>
      </c>
      <c r="CE207" s="4">
        <v>0</v>
      </c>
      <c r="CF207" s="4">
        <v>0</v>
      </c>
      <c r="CG207" s="4">
        <v>0</v>
      </c>
      <c r="CH207" s="4">
        <v>0</v>
      </c>
      <c r="CI207" s="4">
        <v>0</v>
      </c>
      <c r="CJ207" s="4">
        <v>0</v>
      </c>
      <c r="CK207" s="4">
        <v>1</v>
      </c>
      <c r="CL207" s="4">
        <v>0</v>
      </c>
      <c r="CM207" s="4">
        <v>0</v>
      </c>
      <c r="CN207" s="4">
        <v>0</v>
      </c>
      <c r="CO207" s="4" t="s">
        <v>481</v>
      </c>
      <c r="CP207" s="4" t="s">
        <v>353</v>
      </c>
      <c r="CQ207" s="4">
        <v>27.267131599999999</v>
      </c>
      <c r="CR207" s="4">
        <v>-82.558575500000003</v>
      </c>
      <c r="CS207" s="4">
        <v>0</v>
      </c>
      <c r="CT207" s="4">
        <v>0</v>
      </c>
      <c r="CU207" s="4">
        <v>0</v>
      </c>
      <c r="CV207" s="4">
        <v>0</v>
      </c>
      <c r="CW207" s="4">
        <v>0</v>
      </c>
      <c r="CX207" s="4">
        <v>0</v>
      </c>
      <c r="CY207" s="4">
        <v>0</v>
      </c>
      <c r="CZ207" s="4">
        <v>0</v>
      </c>
      <c r="DA207" s="4">
        <v>3</v>
      </c>
      <c r="DB207" s="4">
        <v>0</v>
      </c>
      <c r="DC207" s="4">
        <v>0</v>
      </c>
      <c r="DD207" s="4">
        <v>0</v>
      </c>
      <c r="DE207" s="4" t="s">
        <v>481</v>
      </c>
      <c r="DF207" s="4" t="s">
        <v>353</v>
      </c>
      <c r="DG207" s="4">
        <v>27.267235299999999</v>
      </c>
      <c r="DH207" s="4">
        <v>-82.559124699999998</v>
      </c>
      <c r="DI207" s="4">
        <v>0</v>
      </c>
      <c r="DJ207" s="4">
        <v>0</v>
      </c>
      <c r="DK207" s="4">
        <v>0</v>
      </c>
      <c r="DL207" s="4">
        <v>0</v>
      </c>
      <c r="DM207" s="4">
        <v>0</v>
      </c>
      <c r="DN207" s="4">
        <v>0</v>
      </c>
      <c r="DO207" s="4">
        <v>0</v>
      </c>
      <c r="DP207" s="4">
        <v>0</v>
      </c>
      <c r="DQ207" s="4">
        <v>4</v>
      </c>
      <c r="DR207" s="4" t="s">
        <v>1115</v>
      </c>
      <c r="DS207" s="4">
        <v>0</v>
      </c>
      <c r="DT207" s="4">
        <v>0</v>
      </c>
      <c r="DU207" s="4" t="s">
        <v>481</v>
      </c>
      <c r="DV207" s="4" t="s">
        <v>353</v>
      </c>
      <c r="DW207" s="4">
        <v>27.267236499999999</v>
      </c>
      <c r="DX207" s="4">
        <v>-82.559488200000004</v>
      </c>
      <c r="DY207" s="4">
        <v>0</v>
      </c>
      <c r="DZ207" s="4">
        <v>0</v>
      </c>
      <c r="EA207" s="4">
        <v>0</v>
      </c>
      <c r="EB207" s="4">
        <v>0</v>
      </c>
      <c r="EC207" s="4">
        <v>0</v>
      </c>
      <c r="ED207" s="4">
        <v>0</v>
      </c>
      <c r="EE207" s="4">
        <v>0</v>
      </c>
      <c r="EF207" s="4">
        <v>2</v>
      </c>
      <c r="EG207" s="4">
        <v>0</v>
      </c>
      <c r="EH207" s="4">
        <v>0</v>
      </c>
      <c r="EI207" s="4">
        <v>0</v>
      </c>
      <c r="EJ207" s="4">
        <v>0</v>
      </c>
      <c r="EK207" s="4" t="s">
        <v>481</v>
      </c>
      <c r="EL207" s="4" t="s">
        <v>364</v>
      </c>
    </row>
    <row r="208" spans="1:142" ht="12.75" x14ac:dyDescent="0.2">
      <c r="A208" s="3">
        <v>43500.482083645838</v>
      </c>
      <c r="B208" s="4" t="s">
        <v>1116</v>
      </c>
      <c r="C208" s="4" t="s">
        <v>1117</v>
      </c>
      <c r="D208" s="5">
        <v>43500</v>
      </c>
      <c r="E208" s="4" t="s">
        <v>1118</v>
      </c>
      <c r="J208" s="6">
        <v>0.30833333333430346</v>
      </c>
      <c r="K208" s="4" t="s">
        <v>348</v>
      </c>
      <c r="L208" s="4" t="s">
        <v>358</v>
      </c>
      <c r="M208" s="4" t="s">
        <v>350</v>
      </c>
      <c r="N208" s="4" t="s">
        <v>351</v>
      </c>
      <c r="P208" s="4">
        <v>0</v>
      </c>
      <c r="Q208" s="4"/>
      <c r="R208" s="4">
        <v>1</v>
      </c>
      <c r="S208" s="4"/>
      <c r="T208" s="4"/>
      <c r="U208" s="4"/>
      <c r="V208" s="4"/>
      <c r="W208" s="4"/>
      <c r="X208" s="4"/>
      <c r="Y208" s="4"/>
      <c r="Z208" s="4"/>
      <c r="AA208" s="4"/>
      <c r="AB208" s="4"/>
      <c r="AC208" s="4"/>
      <c r="AD208" s="4"/>
      <c r="AE208" s="4">
        <v>6</v>
      </c>
      <c r="AF208" s="4">
        <v>11</v>
      </c>
      <c r="AG208" s="4"/>
      <c r="AH208" s="4"/>
      <c r="AI208" s="4">
        <v>10</v>
      </c>
      <c r="AJ208" s="4"/>
      <c r="AK208" s="4"/>
      <c r="AL208" s="4"/>
      <c r="AM208" s="4">
        <v>1</v>
      </c>
      <c r="AN208" s="4"/>
      <c r="AO208" s="4"/>
      <c r="AP208" s="4"/>
      <c r="AQ208" s="4"/>
      <c r="AR208" s="4">
        <v>320</v>
      </c>
      <c r="AS208" s="4"/>
      <c r="AT208" s="4"/>
      <c r="AU208" s="4">
        <v>15</v>
      </c>
      <c r="AV208" s="4"/>
      <c r="AW208" s="4"/>
      <c r="AX208" s="4">
        <v>2</v>
      </c>
      <c r="AY208" s="4">
        <v>15</v>
      </c>
      <c r="AZ208" s="4"/>
      <c r="BA208" s="4"/>
      <c r="BB208" s="4">
        <v>130</v>
      </c>
      <c r="BC208" s="4">
        <v>290</v>
      </c>
      <c r="BD208" s="4">
        <v>4</v>
      </c>
      <c r="BE208" s="4">
        <v>142</v>
      </c>
      <c r="BF208" s="4">
        <v>61</v>
      </c>
      <c r="BG208" s="4">
        <v>12</v>
      </c>
      <c r="BH208" s="4"/>
      <c r="BI208" s="4"/>
      <c r="BJ208" s="4" t="s">
        <v>353</v>
      </c>
      <c r="BK208" s="4">
        <v>27.249721999999998</v>
      </c>
      <c r="BL208" s="4">
        <v>-82.537222</v>
      </c>
      <c r="BO208" s="4">
        <v>155</v>
      </c>
      <c r="BZ208" s="4" t="s">
        <v>353</v>
      </c>
      <c r="CA208" s="4">
        <v>27.262222000000001</v>
      </c>
      <c r="CB208" s="4">
        <v>-82.549443999999994</v>
      </c>
      <c r="CF208" s="4" t="s">
        <v>1119</v>
      </c>
      <c r="CP208" s="4" t="s">
        <v>353</v>
      </c>
      <c r="CQ208" s="4">
        <v>27.267330000000001</v>
      </c>
      <c r="CR208" s="4">
        <v>-82.555661999999998</v>
      </c>
      <c r="DA208" s="4">
        <v>10</v>
      </c>
      <c r="DB208" s="4" t="s">
        <v>1120</v>
      </c>
      <c r="DF208" s="4" t="s">
        <v>359</v>
      </c>
    </row>
    <row r="209" spans="1:366" ht="12.75" x14ac:dyDescent="0.2">
      <c r="A209" s="3">
        <v>43524.469643888893</v>
      </c>
      <c r="B209" s="4" t="s">
        <v>549</v>
      </c>
      <c r="C209" s="4" t="s">
        <v>1121</v>
      </c>
      <c r="D209" s="5">
        <v>43501</v>
      </c>
      <c r="E209" s="4" t="s">
        <v>1122</v>
      </c>
      <c r="J209" s="6">
        <v>0.53472222221898846</v>
      </c>
      <c r="K209" s="4" t="s">
        <v>348</v>
      </c>
      <c r="L209" s="4" t="s">
        <v>349</v>
      </c>
      <c r="M209" s="4" t="s">
        <v>350</v>
      </c>
      <c r="N209" s="4" t="s">
        <v>351</v>
      </c>
      <c r="O209" s="4" t="s">
        <v>1123</v>
      </c>
      <c r="P209" s="4">
        <v>0</v>
      </c>
      <c r="Q209" s="4"/>
      <c r="R209" s="4"/>
      <c r="S209" s="4"/>
      <c r="T209" s="4"/>
      <c r="U209" s="4"/>
      <c r="V209" s="4"/>
      <c r="W209" s="4"/>
      <c r="X209" s="4"/>
      <c r="Y209" s="4"/>
      <c r="Z209" s="4"/>
      <c r="AA209" s="4"/>
      <c r="AB209" s="4"/>
      <c r="AC209" s="4"/>
      <c r="AD209" s="4"/>
      <c r="AE209" s="4"/>
      <c r="AF209" s="4">
        <v>4</v>
      </c>
      <c r="AG209" s="4"/>
      <c r="AH209" s="4"/>
      <c r="AI209" s="4"/>
      <c r="AJ209" s="4"/>
      <c r="AK209" s="4"/>
      <c r="AL209" s="4"/>
      <c r="AM209" s="4">
        <v>1</v>
      </c>
      <c r="AN209" s="4"/>
      <c r="AO209" s="4"/>
      <c r="AP209" s="4"/>
      <c r="AQ209" s="4"/>
      <c r="AR209" s="4"/>
      <c r="AS209" s="4"/>
      <c r="AT209" s="4"/>
      <c r="AU209" s="4"/>
      <c r="AV209" s="4"/>
      <c r="AW209" s="4"/>
      <c r="AX209" s="4"/>
      <c r="AY209" s="4"/>
      <c r="AZ209" s="4"/>
      <c r="BA209" s="4"/>
      <c r="BB209" s="4"/>
      <c r="BC209" s="4"/>
      <c r="BD209" s="4"/>
      <c r="BE209" s="4"/>
      <c r="BF209" s="4"/>
      <c r="BG209" s="4"/>
      <c r="BH209" s="4"/>
      <c r="BI209" s="4"/>
      <c r="BJ209" s="4" t="s">
        <v>364</v>
      </c>
    </row>
    <row r="210" spans="1:366" ht="12.75" x14ac:dyDescent="0.2">
      <c r="A210" s="3">
        <v>43508.328757465279</v>
      </c>
      <c r="B210" s="4" t="s">
        <v>365</v>
      </c>
      <c r="C210" s="4" t="s">
        <v>1124</v>
      </c>
      <c r="D210" s="5">
        <v>43500</v>
      </c>
      <c r="E210" s="4" t="s">
        <v>1125</v>
      </c>
      <c r="J210" s="6">
        <v>0.40069444444088731</v>
      </c>
      <c r="K210" s="4" t="s">
        <v>348</v>
      </c>
      <c r="L210" s="4" t="s">
        <v>349</v>
      </c>
      <c r="M210" s="4" t="s">
        <v>350</v>
      </c>
      <c r="N210" s="4" t="s">
        <v>351</v>
      </c>
      <c r="P210" s="4">
        <v>0</v>
      </c>
      <c r="Q210" s="4"/>
      <c r="R210" s="4"/>
      <c r="S210" s="4"/>
      <c r="T210" s="4"/>
      <c r="U210" s="4"/>
      <c r="V210" s="4"/>
      <c r="W210" s="4"/>
      <c r="X210" s="4"/>
      <c r="Y210" s="4"/>
      <c r="Z210" s="4"/>
      <c r="AA210" s="4"/>
      <c r="AB210" s="4"/>
      <c r="AC210" s="4"/>
      <c r="AD210" s="4"/>
      <c r="AE210" s="4">
        <v>22</v>
      </c>
      <c r="AF210" s="4">
        <v>61</v>
      </c>
      <c r="AG210" s="4"/>
      <c r="AH210" s="4"/>
      <c r="AI210" s="4"/>
      <c r="AJ210" s="4"/>
      <c r="AK210" s="4"/>
      <c r="AL210" s="4"/>
      <c r="AM210" s="4">
        <v>4</v>
      </c>
      <c r="AN210" s="4"/>
      <c r="AO210" s="4"/>
      <c r="AP210" s="4"/>
      <c r="AQ210" s="4"/>
      <c r="AR210" s="4">
        <v>85</v>
      </c>
      <c r="AS210" s="4">
        <v>22</v>
      </c>
      <c r="AT210" s="4"/>
      <c r="AU210" s="4">
        <v>5</v>
      </c>
      <c r="AV210" s="4"/>
      <c r="AW210" s="4"/>
      <c r="AX210" s="4"/>
      <c r="AY210" s="4">
        <v>4</v>
      </c>
      <c r="AZ210" s="4"/>
      <c r="BA210" s="4">
        <v>2</v>
      </c>
      <c r="BB210" s="4">
        <v>24</v>
      </c>
      <c r="BC210" s="4">
        <v>82</v>
      </c>
      <c r="BD210" s="4">
        <v>13</v>
      </c>
      <c r="BE210" s="4">
        <v>16</v>
      </c>
      <c r="BF210" s="4">
        <v>147</v>
      </c>
      <c r="BG210" s="4">
        <v>15</v>
      </c>
      <c r="BH210" s="4"/>
      <c r="BI210" s="4"/>
      <c r="BJ210" s="4" t="s">
        <v>353</v>
      </c>
      <c r="BK210" s="4">
        <v>27.84028</v>
      </c>
      <c r="BL210" s="4">
        <v>-80.436949999999996</v>
      </c>
      <c r="BZ210" s="4" t="s">
        <v>353</v>
      </c>
      <c r="CA210" s="4">
        <v>27.84797</v>
      </c>
      <c r="CB210" s="4">
        <v>-80.440969999999993</v>
      </c>
      <c r="CP210" s="4" t="s">
        <v>353</v>
      </c>
      <c r="CQ210" s="4">
        <v>27.857589999999998</v>
      </c>
      <c r="CR210" s="4">
        <v>-80.446070000000006</v>
      </c>
      <c r="CU210" s="4">
        <v>85</v>
      </c>
      <c r="DF210" s="4" t="s">
        <v>359</v>
      </c>
    </row>
    <row r="211" spans="1:366" ht="12.75" x14ac:dyDescent="0.2">
      <c r="A211" s="3">
        <v>43506.758997060184</v>
      </c>
      <c r="B211" s="4" t="s">
        <v>1126</v>
      </c>
      <c r="C211" s="4" t="s">
        <v>1127</v>
      </c>
      <c r="D211" s="5">
        <v>43502</v>
      </c>
      <c r="E211" s="4" t="s">
        <v>1128</v>
      </c>
      <c r="J211" s="6">
        <v>0.47708333333139308</v>
      </c>
      <c r="K211" s="4" t="s">
        <v>348</v>
      </c>
      <c r="L211" s="4" t="s">
        <v>349</v>
      </c>
      <c r="M211" s="4" t="s">
        <v>350</v>
      </c>
      <c r="N211" s="4" t="s">
        <v>351</v>
      </c>
      <c r="P211" s="4">
        <v>0</v>
      </c>
      <c r="Q211" s="4"/>
      <c r="R211" s="4">
        <v>19</v>
      </c>
      <c r="S211" s="4">
        <v>1502</v>
      </c>
      <c r="T211" s="4">
        <v>55</v>
      </c>
      <c r="U211" s="4">
        <v>13</v>
      </c>
      <c r="V211" s="4">
        <v>33</v>
      </c>
      <c r="W211" s="4"/>
      <c r="X211" s="4"/>
      <c r="Y211" s="4">
        <v>15</v>
      </c>
      <c r="Z211" s="4">
        <v>353</v>
      </c>
      <c r="AA211" s="4"/>
      <c r="AB211" s="4">
        <v>1</v>
      </c>
      <c r="AC211" s="4"/>
      <c r="AD211" s="4"/>
      <c r="AE211" s="4">
        <v>154</v>
      </c>
      <c r="AF211" s="4"/>
      <c r="AG211" s="4">
        <v>45</v>
      </c>
      <c r="AH211" s="4"/>
      <c r="AI211" s="4"/>
      <c r="AJ211" s="4"/>
      <c r="AK211" s="4">
        <v>150</v>
      </c>
      <c r="AL211" s="4"/>
      <c r="AM211" s="4">
        <v>318</v>
      </c>
      <c r="AN211" s="4"/>
      <c r="AO211" s="4"/>
      <c r="AP211" s="4"/>
      <c r="AQ211" s="4"/>
      <c r="AR211" s="4"/>
      <c r="AS211" s="4"/>
      <c r="AT211" s="4"/>
      <c r="AU211" s="4"/>
      <c r="AV211" s="4"/>
      <c r="AW211" s="4"/>
      <c r="AX211" s="4">
        <v>5</v>
      </c>
      <c r="AY211" s="4"/>
      <c r="AZ211" s="4"/>
      <c r="BA211" s="4"/>
      <c r="BB211" s="4">
        <v>1</v>
      </c>
      <c r="BC211" s="4"/>
      <c r="BD211" s="4"/>
      <c r="BE211" s="4">
        <v>9</v>
      </c>
      <c r="BF211" s="4"/>
      <c r="BG211" s="4"/>
      <c r="BH211" s="4"/>
      <c r="BI211" s="4">
        <v>4</v>
      </c>
      <c r="BJ211" s="4" t="s">
        <v>353</v>
      </c>
      <c r="BK211" s="4">
        <v>30.088270999999999</v>
      </c>
      <c r="BL211" s="4">
        <v>-84.158494000000005</v>
      </c>
      <c r="BM211" s="4">
        <v>0</v>
      </c>
      <c r="BN211" s="4" t="s">
        <v>375</v>
      </c>
      <c r="BO211" s="4">
        <v>0</v>
      </c>
      <c r="BP211" s="4" t="s">
        <v>375</v>
      </c>
      <c r="BQ211" s="4">
        <v>0</v>
      </c>
      <c r="BR211" s="4" t="s">
        <v>375</v>
      </c>
      <c r="BS211" s="4">
        <v>0</v>
      </c>
      <c r="BT211" s="4" t="s">
        <v>375</v>
      </c>
      <c r="BU211" s="4">
        <v>0</v>
      </c>
      <c r="BV211" s="4" t="s">
        <v>375</v>
      </c>
      <c r="BW211" s="4">
        <v>0</v>
      </c>
      <c r="BX211" s="4" t="s">
        <v>375</v>
      </c>
      <c r="BY211" s="4" t="s">
        <v>1129</v>
      </c>
      <c r="BZ211" s="4" t="s">
        <v>353</v>
      </c>
      <c r="CA211" s="4">
        <v>30.082311000000001</v>
      </c>
      <c r="CB211" s="4">
        <v>-84.165548000000001</v>
      </c>
      <c r="CC211" s="4">
        <v>0</v>
      </c>
      <c r="CD211" s="4">
        <v>0</v>
      </c>
      <c r="CE211" s="4">
        <v>0</v>
      </c>
      <c r="CF211" s="4" t="s">
        <v>375</v>
      </c>
      <c r="CG211" s="4">
        <v>0</v>
      </c>
      <c r="CH211" s="4" t="s">
        <v>375</v>
      </c>
      <c r="CI211" s="4">
        <v>0</v>
      </c>
      <c r="CJ211" s="4" t="s">
        <v>375</v>
      </c>
      <c r="CK211" s="4">
        <v>0</v>
      </c>
      <c r="CL211" s="4" t="s">
        <v>375</v>
      </c>
      <c r="CM211" s="4">
        <v>0</v>
      </c>
      <c r="CN211" s="4" t="s">
        <v>375</v>
      </c>
      <c r="CO211" s="4" t="s">
        <v>1130</v>
      </c>
      <c r="CP211" s="4" t="s">
        <v>466</v>
      </c>
    </row>
    <row r="212" spans="1:366" ht="12.75" x14ac:dyDescent="0.2">
      <c r="A212" s="3">
        <v>43499.867782164351</v>
      </c>
      <c r="B212" s="4" t="s">
        <v>608</v>
      </c>
      <c r="C212" s="4" t="str">
        <f t="shared" ref="C212:C213" si="1">O212</f>
        <v>South Clearwater Beach=Pinellas</v>
      </c>
      <c r="D212" s="5">
        <v>43499</v>
      </c>
      <c r="E212" s="4" t="s">
        <v>610</v>
      </c>
      <c r="F212" s="4">
        <v>27.997844000000001</v>
      </c>
      <c r="G212" s="4">
        <v>-82.826960999999997</v>
      </c>
      <c r="H212" s="4">
        <v>27.970766000000001</v>
      </c>
      <c r="I212" s="4">
        <v>-82.824579999999997</v>
      </c>
      <c r="J212" s="6">
        <v>0.38888888889050577</v>
      </c>
      <c r="K212" s="4" t="s">
        <v>348</v>
      </c>
      <c r="L212" s="4" t="s">
        <v>358</v>
      </c>
      <c r="M212" s="4" t="s">
        <v>350</v>
      </c>
      <c r="N212" s="4" t="s">
        <v>351</v>
      </c>
      <c r="O212" s="4" t="s">
        <v>1131</v>
      </c>
      <c r="AF212" s="4">
        <v>20</v>
      </c>
      <c r="AM212" s="4">
        <v>4</v>
      </c>
      <c r="AU212" s="4">
        <v>10</v>
      </c>
      <c r="AY212" s="4">
        <v>4</v>
      </c>
      <c r="BC212" s="4">
        <v>27</v>
      </c>
      <c r="BE212" s="4">
        <v>12</v>
      </c>
      <c r="BJ212" s="4" t="s">
        <v>364</v>
      </c>
    </row>
    <row r="213" spans="1:366" ht="12.75" x14ac:dyDescent="0.2">
      <c r="A213" s="3">
        <v>43515.480468113426</v>
      </c>
      <c r="B213" s="4" t="s">
        <v>757</v>
      </c>
      <c r="C213" s="4" t="str">
        <f t="shared" si="1"/>
        <v>South East ICW Park</v>
      </c>
      <c r="D213" s="5">
        <v>43503</v>
      </c>
      <c r="E213" s="4" t="s">
        <v>758</v>
      </c>
      <c r="F213" s="4">
        <v>29.716791000000001</v>
      </c>
      <c r="G213" s="4">
        <v>-81.238129000000001</v>
      </c>
      <c r="H213" s="4">
        <v>29.719878000000001</v>
      </c>
      <c r="I213" s="4">
        <v>-81.236106000000007</v>
      </c>
      <c r="J213" s="6">
        <v>0.375</v>
      </c>
      <c r="K213" s="4" t="s">
        <v>348</v>
      </c>
      <c r="L213" s="4" t="s">
        <v>349</v>
      </c>
      <c r="M213" s="4" t="s">
        <v>350</v>
      </c>
      <c r="N213" s="4" t="s">
        <v>351</v>
      </c>
      <c r="O213" s="4" t="s">
        <v>1132</v>
      </c>
      <c r="P213" s="4">
        <v>0</v>
      </c>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v>3</v>
      </c>
      <c r="AV213" s="4"/>
      <c r="AW213" s="4"/>
      <c r="AX213" s="4">
        <v>1</v>
      </c>
      <c r="AY213" s="4">
        <v>2</v>
      </c>
      <c r="AZ213" s="4"/>
      <c r="BA213" s="4"/>
      <c r="BB213" s="4"/>
      <c r="BC213" s="4">
        <v>1</v>
      </c>
      <c r="BD213" s="4"/>
      <c r="BE213" s="4"/>
      <c r="BF213" s="4"/>
      <c r="BG213" s="4"/>
      <c r="BH213" s="4"/>
      <c r="BI213" s="4"/>
      <c r="BJ213" s="4" t="s">
        <v>364</v>
      </c>
    </row>
    <row r="214" spans="1:366" ht="12.75" x14ac:dyDescent="0.2">
      <c r="A214" s="3">
        <v>43509.807640937499</v>
      </c>
      <c r="B214" s="4" t="s">
        <v>522</v>
      </c>
      <c r="C214" s="4" t="s">
        <v>1133</v>
      </c>
      <c r="D214" s="5">
        <v>43501</v>
      </c>
      <c r="E214" s="4" t="s">
        <v>1134</v>
      </c>
      <c r="J214" s="6">
        <v>0.65069444444088731</v>
      </c>
      <c r="K214" s="4" t="s">
        <v>348</v>
      </c>
      <c r="L214" s="4" t="s">
        <v>349</v>
      </c>
      <c r="M214" s="4" t="s">
        <v>350</v>
      </c>
      <c r="N214" s="4" t="s">
        <v>351</v>
      </c>
      <c r="AF214" s="4">
        <v>48</v>
      </c>
      <c r="AG214" s="4">
        <v>3</v>
      </c>
      <c r="AM214" s="4">
        <v>13</v>
      </c>
      <c r="AU214" s="4">
        <v>1</v>
      </c>
      <c r="AW214" s="4">
        <v>1</v>
      </c>
      <c r="AY214" s="4">
        <v>2</v>
      </c>
      <c r="BB214" s="4">
        <v>3</v>
      </c>
      <c r="BC214" s="4">
        <v>21</v>
      </c>
      <c r="BE214" s="4">
        <v>36</v>
      </c>
      <c r="BJ214" s="4" t="s">
        <v>364</v>
      </c>
    </row>
    <row r="215" spans="1:366" ht="12.75" x14ac:dyDescent="0.2">
      <c r="A215" s="3">
        <v>43501.763710173611</v>
      </c>
      <c r="B215" s="4" t="s">
        <v>847</v>
      </c>
      <c r="C215" s="4" t="s">
        <v>1135</v>
      </c>
      <c r="D215" s="5">
        <v>43499</v>
      </c>
      <c r="E215" s="4" t="s">
        <v>1136</v>
      </c>
      <c r="J215" s="6">
        <v>0.40277777778101154</v>
      </c>
      <c r="K215" s="4" t="s">
        <v>708</v>
      </c>
      <c r="L215" s="4" t="s">
        <v>358</v>
      </c>
      <c r="M215" s="4" t="s">
        <v>350</v>
      </c>
      <c r="N215" s="4" t="s">
        <v>351</v>
      </c>
      <c r="O215" s="4" t="s">
        <v>1137</v>
      </c>
      <c r="AM215" s="4">
        <v>26</v>
      </c>
      <c r="AS215" s="4">
        <v>4</v>
      </c>
      <c r="AW215" s="4">
        <v>1</v>
      </c>
      <c r="AY215" s="4">
        <v>5</v>
      </c>
      <c r="BB215" s="4">
        <v>2</v>
      </c>
      <c r="BC215" s="4">
        <v>84</v>
      </c>
      <c r="BE215" s="4">
        <v>63</v>
      </c>
      <c r="BF215" s="4">
        <v>8</v>
      </c>
      <c r="BJ215" s="4" t="s">
        <v>364</v>
      </c>
    </row>
    <row r="216" spans="1:366" ht="12.75" x14ac:dyDescent="0.2">
      <c r="A216" s="3">
        <v>43509.814989618055</v>
      </c>
      <c r="B216" s="4" t="s">
        <v>522</v>
      </c>
      <c r="C216" s="4" t="s">
        <v>1138</v>
      </c>
      <c r="D216" s="5">
        <v>43502</v>
      </c>
      <c r="E216" s="4" t="s">
        <v>1139</v>
      </c>
      <c r="J216" s="6">
        <v>0.43055555555474712</v>
      </c>
      <c r="K216" s="4" t="s">
        <v>348</v>
      </c>
      <c r="L216" s="4" t="s">
        <v>349</v>
      </c>
      <c r="N216" s="4" t="s">
        <v>351</v>
      </c>
      <c r="O216" s="4" t="s">
        <v>1140</v>
      </c>
      <c r="R216" s="4">
        <v>7</v>
      </c>
      <c r="S216" s="4">
        <v>380</v>
      </c>
      <c r="T216" s="4">
        <v>66</v>
      </c>
      <c r="V216" s="4">
        <v>113</v>
      </c>
      <c r="AE216" s="4">
        <v>3</v>
      </c>
      <c r="AF216" s="4">
        <v>5</v>
      </c>
      <c r="AG216" s="4">
        <v>21</v>
      </c>
      <c r="AM216" s="4">
        <v>104</v>
      </c>
      <c r="AS216" s="4">
        <v>2</v>
      </c>
      <c r="AU216" s="4">
        <v>11</v>
      </c>
      <c r="AX216" s="4">
        <v>15</v>
      </c>
      <c r="AY216" s="4">
        <v>57</v>
      </c>
      <c r="BB216" s="4">
        <v>27</v>
      </c>
      <c r="BE216" s="4">
        <v>115</v>
      </c>
      <c r="BI216" s="4">
        <v>3</v>
      </c>
      <c r="BJ216" s="4" t="s">
        <v>364</v>
      </c>
    </row>
    <row r="217" spans="1:366" ht="12.75" x14ac:dyDescent="0.2">
      <c r="A217" s="3">
        <v>43503.503441354165</v>
      </c>
      <c r="B217" s="4" t="s">
        <v>456</v>
      </c>
      <c r="C217" s="4" t="s">
        <v>1138</v>
      </c>
      <c r="D217" s="5">
        <v>43502</v>
      </c>
      <c r="E217" s="4" t="s">
        <v>458</v>
      </c>
      <c r="J217" s="6">
        <v>0.48750000000291038</v>
      </c>
      <c r="K217" s="4" t="s">
        <v>363</v>
      </c>
      <c r="L217" s="4" t="s">
        <v>358</v>
      </c>
      <c r="M217" s="4" t="s">
        <v>350</v>
      </c>
      <c r="N217" s="4" t="s">
        <v>351</v>
      </c>
      <c r="P217" s="4">
        <v>115</v>
      </c>
      <c r="Q217" s="4"/>
      <c r="R217" s="4">
        <v>40</v>
      </c>
      <c r="S217" s="4">
        <v>315</v>
      </c>
      <c r="T217" s="4"/>
      <c r="U217" s="4">
        <v>2</v>
      </c>
      <c r="V217" s="4">
        <v>26</v>
      </c>
      <c r="W217" s="4"/>
      <c r="X217" s="4"/>
      <c r="Y217" s="4"/>
      <c r="Z217" s="4">
        <v>249</v>
      </c>
      <c r="AA217" s="4"/>
      <c r="AB217" s="4">
        <v>4</v>
      </c>
      <c r="AC217" s="4"/>
      <c r="AD217" s="4"/>
      <c r="AE217" s="4">
        <v>146</v>
      </c>
      <c r="AF217" s="4">
        <v>15</v>
      </c>
      <c r="AG217" s="4">
        <v>8</v>
      </c>
      <c r="AH217" s="4"/>
      <c r="AI217" s="4"/>
      <c r="AJ217" s="4"/>
      <c r="AK217" s="4"/>
      <c r="AL217" s="4">
        <v>2</v>
      </c>
      <c r="AM217" s="4">
        <v>380</v>
      </c>
      <c r="AN217" s="4"/>
      <c r="AO217" s="4"/>
      <c r="AP217" s="4"/>
      <c r="AQ217" s="4"/>
      <c r="AR217" s="4"/>
      <c r="AS217" s="4"/>
      <c r="AT217" s="4"/>
      <c r="AU217" s="4">
        <v>56</v>
      </c>
      <c r="AV217" s="4"/>
      <c r="AW217" s="4"/>
      <c r="AX217" s="4">
        <v>444</v>
      </c>
      <c r="AY217" s="4">
        <v>19</v>
      </c>
      <c r="AZ217" s="4"/>
      <c r="BA217" s="4"/>
      <c r="BB217" s="4">
        <v>5</v>
      </c>
      <c r="BC217" s="4">
        <v>7</v>
      </c>
      <c r="BD217" s="4"/>
      <c r="BE217" s="4">
        <v>65</v>
      </c>
      <c r="BF217" s="4">
        <v>6</v>
      </c>
      <c r="BG217" s="4"/>
      <c r="BH217" s="4"/>
      <c r="BI217" s="4">
        <v>1</v>
      </c>
      <c r="BJ217" s="4" t="s">
        <v>353</v>
      </c>
      <c r="BK217" s="4">
        <v>30.07864</v>
      </c>
      <c r="BL217" s="4">
        <v>-84.190380000000005</v>
      </c>
      <c r="BM217" s="4">
        <v>7</v>
      </c>
      <c r="BN217" s="4" t="s">
        <v>1141</v>
      </c>
      <c r="BO217" s="4">
        <v>0</v>
      </c>
      <c r="BP217" s="4">
        <v>0</v>
      </c>
      <c r="BQ217" s="4">
        <v>0</v>
      </c>
      <c r="BR217" s="4">
        <v>0</v>
      </c>
      <c r="BS217" s="4">
        <v>0</v>
      </c>
      <c r="BT217" s="4">
        <v>0</v>
      </c>
      <c r="BU217" s="4">
        <v>0</v>
      </c>
      <c r="BV217" s="4">
        <v>0</v>
      </c>
      <c r="BW217" s="4">
        <v>0</v>
      </c>
      <c r="BX217" s="4">
        <v>0</v>
      </c>
      <c r="BY217" s="4">
        <v>0</v>
      </c>
      <c r="BZ217" s="4" t="s">
        <v>353</v>
      </c>
      <c r="CA217" s="4">
        <v>30.085709999999999</v>
      </c>
      <c r="CB217" s="4">
        <v>-84.191400000000002</v>
      </c>
      <c r="CC217" s="4">
        <v>1</v>
      </c>
      <c r="CD217" s="4">
        <v>0</v>
      </c>
      <c r="CE217" s="4">
        <v>0</v>
      </c>
      <c r="CF217" s="4">
        <v>0</v>
      </c>
      <c r="CG217" s="4">
        <v>0</v>
      </c>
      <c r="CH217" s="4">
        <v>0</v>
      </c>
      <c r="CI217" s="4">
        <v>0</v>
      </c>
      <c r="CJ217" s="4">
        <v>0</v>
      </c>
      <c r="CK217" s="4">
        <v>0</v>
      </c>
      <c r="CL217" s="4">
        <v>0</v>
      </c>
      <c r="CM217" s="4">
        <v>0</v>
      </c>
      <c r="CN217" s="4">
        <v>0</v>
      </c>
      <c r="CO217" s="4" t="s">
        <v>1142</v>
      </c>
      <c r="CP217" s="4" t="s">
        <v>353</v>
      </c>
      <c r="CQ217" s="4">
        <v>30.0899</v>
      </c>
      <c r="CR217" s="4">
        <v>-84.193650000000005</v>
      </c>
      <c r="CS217" s="4">
        <v>2</v>
      </c>
      <c r="CT217" s="4">
        <v>0</v>
      </c>
      <c r="CU217" s="4">
        <v>0</v>
      </c>
      <c r="CV217" s="4">
        <v>0</v>
      </c>
      <c r="CW217" s="4">
        <v>0</v>
      </c>
      <c r="CX217" s="4">
        <v>0</v>
      </c>
      <c r="CY217" s="4">
        <v>0</v>
      </c>
      <c r="CZ217" s="4">
        <v>0</v>
      </c>
      <c r="DA217" s="4">
        <v>0</v>
      </c>
      <c r="DB217" s="4">
        <v>0</v>
      </c>
      <c r="DC217" s="4">
        <v>0</v>
      </c>
      <c r="DD217" s="4">
        <v>0</v>
      </c>
      <c r="DE217" s="4">
        <v>0</v>
      </c>
      <c r="DF217" s="4" t="s">
        <v>353</v>
      </c>
      <c r="DG217" s="4">
        <v>30.093800000000002</v>
      </c>
      <c r="DH217" s="4">
        <v>-84.192790000000002</v>
      </c>
      <c r="DI217" s="4">
        <v>0</v>
      </c>
      <c r="DJ217" s="4">
        <v>0</v>
      </c>
      <c r="DK217" s="4">
        <v>0</v>
      </c>
      <c r="DL217" s="4">
        <v>0</v>
      </c>
      <c r="DM217" s="4">
        <v>0</v>
      </c>
      <c r="DN217" s="4">
        <v>0</v>
      </c>
      <c r="DO217" s="4">
        <v>0</v>
      </c>
      <c r="DP217" s="4">
        <v>0</v>
      </c>
      <c r="DQ217" s="4">
        <v>0</v>
      </c>
      <c r="DR217" s="4">
        <v>0</v>
      </c>
      <c r="DS217" s="4">
        <v>0</v>
      </c>
      <c r="DT217" s="4">
        <v>0</v>
      </c>
      <c r="DU217" s="4" t="s">
        <v>1143</v>
      </c>
      <c r="DV217" s="4" t="s">
        <v>353</v>
      </c>
      <c r="DW217" s="4">
        <v>30.085809999999999</v>
      </c>
      <c r="DX217" s="4">
        <v>-84.213059999999999</v>
      </c>
      <c r="DY217" s="4">
        <v>5</v>
      </c>
      <c r="DZ217" s="4">
        <v>0</v>
      </c>
      <c r="EA217" s="4">
        <v>0</v>
      </c>
      <c r="EB217" s="4">
        <v>0</v>
      </c>
      <c r="EC217" s="4">
        <v>0</v>
      </c>
      <c r="ED217" s="4">
        <v>0</v>
      </c>
      <c r="EE217" s="4">
        <v>0</v>
      </c>
      <c r="EF217" s="4">
        <v>0</v>
      </c>
      <c r="EG217" s="4">
        <v>0</v>
      </c>
      <c r="EH217" s="4">
        <v>0</v>
      </c>
      <c r="EI217" s="4">
        <v>0</v>
      </c>
      <c r="EJ217" s="4">
        <v>0</v>
      </c>
      <c r="EK217" s="4">
        <v>0</v>
      </c>
      <c r="EL217" s="4" t="s">
        <v>353</v>
      </c>
      <c r="EM217" s="4">
        <v>30.080690000000001</v>
      </c>
      <c r="EN217" s="4">
        <v>-84.252110000000002</v>
      </c>
      <c r="EO217" s="4">
        <v>2</v>
      </c>
      <c r="EP217" s="4">
        <v>0</v>
      </c>
      <c r="EQ217" s="4">
        <v>0</v>
      </c>
      <c r="ER217" s="4">
        <v>0</v>
      </c>
      <c r="ES217" s="4">
        <v>0</v>
      </c>
      <c r="ET217" s="4">
        <v>0</v>
      </c>
      <c r="EU217" s="4">
        <v>0</v>
      </c>
      <c r="EV217" s="4">
        <v>0</v>
      </c>
      <c r="EW217" s="4">
        <v>0</v>
      </c>
      <c r="EX217" s="4">
        <v>0</v>
      </c>
      <c r="EY217" s="4">
        <v>0</v>
      </c>
      <c r="EZ217" s="4">
        <v>0</v>
      </c>
      <c r="FA217" s="4">
        <v>0</v>
      </c>
      <c r="FB217" s="4" t="s">
        <v>353</v>
      </c>
      <c r="FC217" s="4">
        <v>30.022749999999998</v>
      </c>
      <c r="FD217" s="4">
        <v>-84.360349999999997</v>
      </c>
      <c r="FE217" s="4">
        <v>2</v>
      </c>
      <c r="FF217" s="4">
        <v>0</v>
      </c>
      <c r="FG217" s="4">
        <v>0</v>
      </c>
      <c r="FH217" s="4">
        <v>0</v>
      </c>
      <c r="FI217" s="4">
        <v>0</v>
      </c>
      <c r="FJ217" s="4">
        <v>0</v>
      </c>
      <c r="FK217" s="4">
        <v>0</v>
      </c>
      <c r="FL217" s="4">
        <v>0</v>
      </c>
      <c r="FM217" s="4">
        <v>0</v>
      </c>
      <c r="FN217" s="4">
        <v>0</v>
      </c>
      <c r="FO217" s="4">
        <v>0</v>
      </c>
      <c r="FP217" s="4">
        <v>0</v>
      </c>
      <c r="FQ217" s="4">
        <v>0</v>
      </c>
      <c r="FR217" s="4" t="s">
        <v>353</v>
      </c>
      <c r="FS217" s="4">
        <v>30.036470000000001</v>
      </c>
      <c r="FT217" s="4">
        <v>-84.352919999999997</v>
      </c>
      <c r="FU217" s="4">
        <v>0</v>
      </c>
      <c r="FV217" s="4">
        <v>0</v>
      </c>
      <c r="FW217" s="4">
        <v>0</v>
      </c>
      <c r="FX217" s="4">
        <v>0</v>
      </c>
      <c r="FY217" s="4">
        <v>0</v>
      </c>
      <c r="FZ217" s="4">
        <v>0</v>
      </c>
      <c r="GA217" s="4">
        <v>0</v>
      </c>
      <c r="GB217" s="4">
        <v>0</v>
      </c>
      <c r="GC217" s="4">
        <v>0</v>
      </c>
      <c r="GD217" s="4">
        <v>0</v>
      </c>
      <c r="GE217" s="4">
        <v>0</v>
      </c>
      <c r="GF217" s="4">
        <v>0</v>
      </c>
      <c r="GG217" s="4" t="s">
        <v>1144</v>
      </c>
      <c r="GH217" s="4" t="s">
        <v>353</v>
      </c>
      <c r="GI217" s="4">
        <v>30.045750000000002</v>
      </c>
      <c r="GJ217" s="4">
        <v>-84.357349999999997</v>
      </c>
      <c r="GK217" s="4">
        <v>2</v>
      </c>
      <c r="GL217" s="4">
        <v>0</v>
      </c>
      <c r="GM217" s="4">
        <v>0</v>
      </c>
      <c r="GN217" s="4">
        <v>0</v>
      </c>
      <c r="GO217" s="4">
        <v>0</v>
      </c>
      <c r="GP217" s="4">
        <v>0</v>
      </c>
      <c r="GQ217" s="4">
        <v>0</v>
      </c>
      <c r="GR217" s="4">
        <v>0</v>
      </c>
      <c r="GS217" s="4">
        <v>0</v>
      </c>
      <c r="GT217" s="4">
        <v>0</v>
      </c>
      <c r="GU217" s="4">
        <v>0</v>
      </c>
      <c r="GV217" s="4">
        <v>0</v>
      </c>
      <c r="GW217" s="4" t="s">
        <v>1145</v>
      </c>
      <c r="GX217" s="4" t="s">
        <v>353</v>
      </c>
      <c r="GY217" s="4">
        <v>30.055579999999999</v>
      </c>
      <c r="GZ217" s="4">
        <v>-84.35078</v>
      </c>
      <c r="HA217" s="4">
        <v>1</v>
      </c>
      <c r="HB217" s="4">
        <v>0</v>
      </c>
      <c r="HC217" s="4">
        <v>0</v>
      </c>
      <c r="HD217" s="4">
        <v>0</v>
      </c>
      <c r="HE217" s="4">
        <v>0</v>
      </c>
      <c r="HF217" s="4">
        <v>0</v>
      </c>
      <c r="HG217" s="4">
        <v>0</v>
      </c>
      <c r="HH217" s="4">
        <v>0</v>
      </c>
      <c r="HI217" s="4">
        <v>0</v>
      </c>
      <c r="HJ217" s="4">
        <v>0</v>
      </c>
      <c r="HK217" s="4">
        <v>0</v>
      </c>
      <c r="HL217" s="4">
        <v>0</v>
      </c>
      <c r="HM217" s="4" t="s">
        <v>1146</v>
      </c>
      <c r="HN217" s="4" t="s">
        <v>353</v>
      </c>
      <c r="HO217" s="4">
        <v>30.05443</v>
      </c>
      <c r="HP217" s="4">
        <v>-84.345870000000005</v>
      </c>
      <c r="HQ217" s="4">
        <v>3</v>
      </c>
      <c r="HR217" s="4">
        <v>0</v>
      </c>
      <c r="HS217" s="4">
        <v>0</v>
      </c>
      <c r="HT217" s="4">
        <v>0</v>
      </c>
      <c r="HU217" s="4">
        <v>0</v>
      </c>
      <c r="HV217" s="4">
        <v>0</v>
      </c>
      <c r="HW217" s="4">
        <v>0</v>
      </c>
      <c r="HX217" s="4">
        <v>0</v>
      </c>
      <c r="HY217" s="4">
        <v>0</v>
      </c>
      <c r="HZ217" s="4">
        <v>0</v>
      </c>
      <c r="IA217" s="4">
        <v>0</v>
      </c>
      <c r="IB217" s="4">
        <v>0</v>
      </c>
      <c r="IC217" s="4" t="s">
        <v>1147</v>
      </c>
      <c r="ID217" s="4" t="s">
        <v>353</v>
      </c>
      <c r="IE217" s="4">
        <v>30.062439999999999</v>
      </c>
      <c r="IF217" s="4">
        <v>-84.302930000000003</v>
      </c>
      <c r="IG217" s="4">
        <v>36</v>
      </c>
      <c r="IH217" s="4" t="s">
        <v>1148</v>
      </c>
      <c r="II217" s="4">
        <v>0</v>
      </c>
      <c r="IJ217" s="4">
        <v>0</v>
      </c>
      <c r="IK217" s="4">
        <v>0</v>
      </c>
      <c r="IL217" s="4">
        <v>0</v>
      </c>
      <c r="IM217" s="4">
        <v>0</v>
      </c>
      <c r="IN217" s="4">
        <v>0</v>
      </c>
      <c r="IO217" s="4">
        <v>0</v>
      </c>
      <c r="IP217" s="4">
        <v>0</v>
      </c>
      <c r="IQ217" s="4">
        <v>0</v>
      </c>
      <c r="IR217" s="4">
        <v>0</v>
      </c>
      <c r="IS217" s="4" t="s">
        <v>1149</v>
      </c>
      <c r="IT217" s="4" t="s">
        <v>353</v>
      </c>
      <c r="IU217" s="4">
        <v>30.061340000000001</v>
      </c>
      <c r="IV217" s="4">
        <v>-84.314019999999999</v>
      </c>
      <c r="IW217" s="4">
        <v>2</v>
      </c>
      <c r="IX217" s="4">
        <v>0</v>
      </c>
      <c r="IY217" s="4">
        <v>0</v>
      </c>
      <c r="IZ217" s="4">
        <v>0</v>
      </c>
      <c r="JA217" s="4">
        <v>0</v>
      </c>
      <c r="JB217" s="4">
        <v>0</v>
      </c>
      <c r="JC217" s="4">
        <v>0</v>
      </c>
      <c r="JD217" s="4">
        <v>0</v>
      </c>
      <c r="JE217" s="4">
        <v>0</v>
      </c>
      <c r="JF217" s="4">
        <v>0</v>
      </c>
      <c r="JG217" s="4">
        <v>0</v>
      </c>
      <c r="JH217" s="4">
        <v>0</v>
      </c>
      <c r="JI217" s="4" t="s">
        <v>1150</v>
      </c>
      <c r="JJ217" s="4" t="s">
        <v>353</v>
      </c>
      <c r="JK217" s="4">
        <v>30.0565</v>
      </c>
      <c r="JL217" s="4">
        <v>-84.313940000000002</v>
      </c>
      <c r="JM217" s="4">
        <v>2</v>
      </c>
      <c r="JN217" s="4">
        <v>0</v>
      </c>
      <c r="JO217" s="4">
        <v>0</v>
      </c>
      <c r="JP217" s="4">
        <v>0</v>
      </c>
      <c r="JQ217" s="4">
        <v>0</v>
      </c>
      <c r="JR217" s="4">
        <v>0</v>
      </c>
      <c r="JS217" s="4">
        <v>0</v>
      </c>
      <c r="JT217" s="4">
        <v>0</v>
      </c>
      <c r="JU217" s="4">
        <v>0</v>
      </c>
      <c r="JV217" s="4">
        <v>0</v>
      </c>
      <c r="JW217" s="4">
        <v>0</v>
      </c>
      <c r="JX217" s="4">
        <v>0</v>
      </c>
      <c r="JY217" s="4">
        <v>0</v>
      </c>
      <c r="JZ217" s="4" t="s">
        <v>353</v>
      </c>
      <c r="KA217" s="4">
        <v>30.051680000000001</v>
      </c>
      <c r="KB217" s="4">
        <v>-84.31747</v>
      </c>
      <c r="KC217" s="4">
        <v>50</v>
      </c>
      <c r="KD217" s="4" t="s">
        <v>1151</v>
      </c>
      <c r="KE217" s="4">
        <v>0</v>
      </c>
      <c r="KF217" s="4">
        <v>0</v>
      </c>
      <c r="KG217" s="4">
        <v>0</v>
      </c>
      <c r="KH217" s="4">
        <v>0</v>
      </c>
      <c r="KI217" s="4">
        <v>0</v>
      </c>
      <c r="KJ217" s="4">
        <v>0</v>
      </c>
      <c r="KK217" s="4">
        <v>0</v>
      </c>
      <c r="KL217" s="4">
        <v>0</v>
      </c>
      <c r="KM217" s="4">
        <v>0</v>
      </c>
      <c r="KN217" s="4">
        <v>0</v>
      </c>
      <c r="KO217" s="4" t="s">
        <v>1152</v>
      </c>
      <c r="KP217" s="4" t="s">
        <v>359</v>
      </c>
    </row>
    <row r="218" spans="1:366" ht="12.75" x14ac:dyDescent="0.2">
      <c r="A218" s="3">
        <v>43502.821583935191</v>
      </c>
      <c r="B218" s="4" t="s">
        <v>1153</v>
      </c>
      <c r="C218" s="4" t="s">
        <v>1154</v>
      </c>
      <c r="D218" s="5">
        <v>43502</v>
      </c>
      <c r="E218" s="4" t="s">
        <v>1155</v>
      </c>
      <c r="F218" s="4">
        <v>27.707350999999999</v>
      </c>
      <c r="G218" s="4">
        <v>-82.73818</v>
      </c>
      <c r="H218" s="4">
        <v>27.730912</v>
      </c>
      <c r="I218" s="4">
        <v>-82.746866999999995</v>
      </c>
      <c r="J218" s="6">
        <v>3.7499999998544808E-2</v>
      </c>
      <c r="K218" s="4" t="s">
        <v>1156</v>
      </c>
      <c r="L218" s="4" t="s">
        <v>358</v>
      </c>
      <c r="M218" s="4" t="s">
        <v>350</v>
      </c>
      <c r="N218" s="4" t="s">
        <v>351</v>
      </c>
      <c r="P218" s="4">
        <v>0</v>
      </c>
      <c r="Q218" s="4"/>
      <c r="R218" s="4"/>
      <c r="S218" s="4"/>
      <c r="T218" s="4"/>
      <c r="U218" s="4"/>
      <c r="V218" s="4"/>
      <c r="W218" s="4"/>
      <c r="X218" s="4"/>
      <c r="Y218" s="4"/>
      <c r="Z218" s="4"/>
      <c r="AA218" s="4"/>
      <c r="AB218" s="4"/>
      <c r="AC218" s="4"/>
      <c r="AD218" s="4"/>
      <c r="AE218" s="4"/>
      <c r="AF218" s="4"/>
      <c r="AG218" s="4"/>
      <c r="AH218" s="4"/>
      <c r="AI218" s="4"/>
      <c r="AJ218" s="4"/>
      <c r="AK218" s="4">
        <v>7</v>
      </c>
      <c r="AL218" s="4"/>
      <c r="AM218" s="4"/>
      <c r="AN218" s="4"/>
      <c r="AO218" s="4"/>
      <c r="AP218" s="4"/>
      <c r="AQ218" s="4"/>
      <c r="AR218" s="4">
        <v>22</v>
      </c>
      <c r="AS218" s="4"/>
      <c r="AT218" s="4"/>
      <c r="AU218" s="4">
        <v>2</v>
      </c>
      <c r="AV218" s="4"/>
      <c r="AW218" s="4"/>
      <c r="AX218" s="4">
        <v>2</v>
      </c>
      <c r="AY218" s="4">
        <v>10</v>
      </c>
      <c r="AZ218" s="4"/>
      <c r="BA218" s="4"/>
      <c r="BB218" s="4"/>
      <c r="BC218" s="4">
        <v>152</v>
      </c>
      <c r="BD218" s="4"/>
      <c r="BE218" s="4">
        <v>23</v>
      </c>
      <c r="BF218" s="4">
        <v>290</v>
      </c>
      <c r="BG218" s="4">
        <v>7</v>
      </c>
      <c r="BH218" s="4"/>
      <c r="BI218" s="4"/>
      <c r="BJ218" s="4" t="s">
        <v>353</v>
      </c>
      <c r="BK218" s="4">
        <v>27.721004000000001</v>
      </c>
      <c r="BL218" s="4">
        <v>-82.741439</v>
      </c>
      <c r="BM218" s="4">
        <v>0</v>
      </c>
      <c r="BN218" s="4">
        <v>0</v>
      </c>
      <c r="BO218" s="4">
        <v>15</v>
      </c>
      <c r="BP218" s="4">
        <v>0</v>
      </c>
      <c r="BQ218" s="4">
        <v>0</v>
      </c>
      <c r="BR218" s="4">
        <v>0</v>
      </c>
      <c r="BS218" s="4">
        <v>0</v>
      </c>
      <c r="BT218" s="4">
        <v>0</v>
      </c>
      <c r="BU218" s="4">
        <v>0</v>
      </c>
      <c r="BV218" s="4">
        <v>0</v>
      </c>
      <c r="BW218" s="4">
        <v>0</v>
      </c>
      <c r="BX218" s="4">
        <v>0</v>
      </c>
      <c r="BZ218" s="4" t="s">
        <v>353</v>
      </c>
      <c r="CA218" s="4">
        <v>27.724214</v>
      </c>
      <c r="CB218" s="4">
        <v>-82.742785999999995</v>
      </c>
      <c r="CC218" s="4">
        <v>0</v>
      </c>
      <c r="CD218" s="4">
        <v>0</v>
      </c>
      <c r="CE218" s="4">
        <v>3</v>
      </c>
      <c r="CF218" s="4">
        <v>0</v>
      </c>
      <c r="CG218" s="4">
        <v>0</v>
      </c>
      <c r="CH218" s="4">
        <v>0</v>
      </c>
      <c r="CI218" s="4">
        <v>0</v>
      </c>
      <c r="CJ218" s="4">
        <v>0</v>
      </c>
      <c r="CK218" s="4">
        <v>0</v>
      </c>
      <c r="CL218" s="4">
        <v>0</v>
      </c>
      <c r="CN218" s="4">
        <v>0</v>
      </c>
      <c r="CO218" s="4">
        <v>0</v>
      </c>
      <c r="CP218" s="4" t="s">
        <v>353</v>
      </c>
      <c r="CQ218" s="4">
        <v>27.730871</v>
      </c>
      <c r="CR218" s="4">
        <v>-82.747021000000004</v>
      </c>
      <c r="CS218" s="4">
        <v>0</v>
      </c>
      <c r="CT218" s="4">
        <v>0</v>
      </c>
      <c r="CU218" s="4">
        <v>4</v>
      </c>
      <c r="CV218" s="4">
        <v>0</v>
      </c>
      <c r="CW218" s="4">
        <v>0</v>
      </c>
      <c r="CX218" s="4">
        <v>0</v>
      </c>
      <c r="CY218" s="4">
        <v>0</v>
      </c>
      <c r="CZ218" s="4">
        <v>0</v>
      </c>
      <c r="DA218" s="4">
        <v>0</v>
      </c>
      <c r="DB218" s="4">
        <v>0</v>
      </c>
      <c r="DC218" s="4">
        <v>0</v>
      </c>
      <c r="DD218" s="4">
        <v>0</v>
      </c>
      <c r="DE218" s="4">
        <v>0</v>
      </c>
      <c r="DF218" s="4" t="s">
        <v>359</v>
      </c>
    </row>
    <row r="219" spans="1:366" ht="12.75" x14ac:dyDescent="0.2">
      <c r="A219" s="3">
        <v>43504.522156458333</v>
      </c>
      <c r="B219" s="4" t="s">
        <v>456</v>
      </c>
      <c r="C219" s="4" t="s">
        <v>1157</v>
      </c>
      <c r="D219" s="5">
        <v>43501</v>
      </c>
      <c r="E219" s="4" t="s">
        <v>458</v>
      </c>
      <c r="J219" s="6">
        <v>0.49444444444088731</v>
      </c>
      <c r="K219" s="4" t="s">
        <v>363</v>
      </c>
      <c r="L219" s="4" t="s">
        <v>358</v>
      </c>
      <c r="M219" s="4" t="s">
        <v>350</v>
      </c>
      <c r="N219" s="4" t="s">
        <v>351</v>
      </c>
      <c r="P219" s="4">
        <v>2</v>
      </c>
      <c r="Q219" s="4"/>
      <c r="R219" s="4">
        <v>9</v>
      </c>
      <c r="S219" s="4">
        <v>10</v>
      </c>
      <c r="T219" s="4">
        <v>1</v>
      </c>
      <c r="U219" s="4"/>
      <c r="V219" s="4"/>
      <c r="W219" s="4"/>
      <c r="X219" s="4"/>
      <c r="Y219" s="4"/>
      <c r="Z219" s="4">
        <v>5</v>
      </c>
      <c r="AA219" s="4"/>
      <c r="AB219" s="4"/>
      <c r="AC219" s="4">
        <v>7</v>
      </c>
      <c r="AD219" s="4"/>
      <c r="AE219" s="4">
        <v>8</v>
      </c>
      <c r="AF219" s="4">
        <v>61</v>
      </c>
      <c r="AG219" s="4">
        <v>8</v>
      </c>
      <c r="AH219" s="4"/>
      <c r="AI219" s="4">
        <v>5</v>
      </c>
      <c r="AJ219" s="4">
        <v>1</v>
      </c>
      <c r="AK219" s="4">
        <v>2</v>
      </c>
      <c r="AL219" s="4"/>
      <c r="AM219" s="4">
        <v>28</v>
      </c>
      <c r="AN219" s="4"/>
      <c r="AO219" s="4"/>
      <c r="AP219" s="4"/>
      <c r="AQ219" s="4"/>
      <c r="AR219" s="4">
        <v>12</v>
      </c>
      <c r="AS219" s="4">
        <v>3</v>
      </c>
      <c r="AT219" s="4"/>
      <c r="AU219" s="4">
        <v>41</v>
      </c>
      <c r="AV219" s="4"/>
      <c r="AW219" s="4"/>
      <c r="AX219" s="4">
        <v>43</v>
      </c>
      <c r="AY219" s="4">
        <v>87</v>
      </c>
      <c r="AZ219" s="4"/>
      <c r="BA219" s="4"/>
      <c r="BB219" s="4">
        <v>5</v>
      </c>
      <c r="BC219" s="4">
        <v>82</v>
      </c>
      <c r="BD219" s="4"/>
      <c r="BE219" s="4">
        <v>53</v>
      </c>
      <c r="BF219" s="4">
        <v>46</v>
      </c>
      <c r="BG219" s="4"/>
      <c r="BH219" s="4"/>
      <c r="BI219" s="4">
        <v>20</v>
      </c>
      <c r="BJ219" s="4" t="s">
        <v>353</v>
      </c>
      <c r="BK219" s="4">
        <v>29.67473</v>
      </c>
      <c r="BL219" s="4">
        <v>-85.08278</v>
      </c>
      <c r="BM219" s="4">
        <v>2</v>
      </c>
      <c r="BN219" s="4">
        <v>0</v>
      </c>
      <c r="BO219" s="4">
        <v>0</v>
      </c>
      <c r="BP219" s="4">
        <v>0</v>
      </c>
      <c r="BQ219" s="4">
        <v>0</v>
      </c>
      <c r="BR219" s="4">
        <v>0</v>
      </c>
      <c r="BS219" s="4">
        <v>0</v>
      </c>
      <c r="BT219" s="4">
        <v>0</v>
      </c>
      <c r="BU219" s="4">
        <v>0</v>
      </c>
      <c r="BV219" s="4">
        <v>0</v>
      </c>
      <c r="BW219" s="4">
        <v>0</v>
      </c>
      <c r="BX219" s="4">
        <v>0</v>
      </c>
      <c r="BY219" s="4" t="s">
        <v>1158</v>
      </c>
      <c r="BZ219" s="4" t="s">
        <v>353</v>
      </c>
      <c r="CA219" s="4">
        <v>29.638390000000001</v>
      </c>
      <c r="CB219" s="4">
        <v>-85.147890000000004</v>
      </c>
      <c r="CC219" s="4">
        <v>0</v>
      </c>
      <c r="CD219" s="4">
        <v>0</v>
      </c>
      <c r="CE219" s="4">
        <v>0</v>
      </c>
      <c r="CF219" s="4">
        <v>0</v>
      </c>
      <c r="CG219" s="4">
        <v>7</v>
      </c>
      <c r="CH219" s="4" t="s">
        <v>1159</v>
      </c>
      <c r="CI219" s="4">
        <v>0</v>
      </c>
      <c r="CJ219" s="4">
        <v>0</v>
      </c>
      <c r="CK219" s="4">
        <v>1</v>
      </c>
      <c r="CL219" s="4">
        <v>0</v>
      </c>
      <c r="CM219" s="4">
        <v>0</v>
      </c>
      <c r="CN219" s="4">
        <v>0</v>
      </c>
      <c r="CO219" s="4" t="s">
        <v>1160</v>
      </c>
      <c r="CP219" s="4" t="s">
        <v>353</v>
      </c>
      <c r="CQ219" s="4">
        <v>29.67652</v>
      </c>
      <c r="CR219" s="4">
        <v>-85.219610000000003</v>
      </c>
      <c r="CS219" s="4">
        <v>0</v>
      </c>
      <c r="CT219" s="4">
        <v>0</v>
      </c>
      <c r="CU219" s="4">
        <v>0</v>
      </c>
      <c r="CV219" s="4">
        <v>0</v>
      </c>
      <c r="CW219" s="4">
        <v>0</v>
      </c>
      <c r="CX219" s="4">
        <v>0</v>
      </c>
      <c r="CY219" s="4">
        <v>0</v>
      </c>
      <c r="CZ219" s="4">
        <v>0</v>
      </c>
      <c r="DA219" s="4">
        <v>4</v>
      </c>
      <c r="DB219" s="4" t="s">
        <v>1161</v>
      </c>
      <c r="DC219" s="4">
        <v>0</v>
      </c>
      <c r="DD219" s="4">
        <v>0</v>
      </c>
      <c r="DE219" s="4">
        <v>0</v>
      </c>
      <c r="DF219" s="4" t="s">
        <v>353</v>
      </c>
      <c r="DG219" s="4">
        <v>29.676939999999998</v>
      </c>
      <c r="DH219" s="4">
        <v>-85.220889999999997</v>
      </c>
      <c r="DI219" s="4">
        <v>0</v>
      </c>
      <c r="DJ219" s="4">
        <v>0</v>
      </c>
      <c r="DK219" s="4">
        <v>12</v>
      </c>
      <c r="DL219" s="4">
        <v>0</v>
      </c>
      <c r="DM219" s="4">
        <v>0</v>
      </c>
      <c r="DN219" s="4">
        <v>0</v>
      </c>
      <c r="DO219" s="4">
        <v>0</v>
      </c>
      <c r="DP219" s="4">
        <v>0</v>
      </c>
      <c r="DQ219" s="4">
        <v>0</v>
      </c>
      <c r="DR219" s="4">
        <v>0</v>
      </c>
      <c r="DS219" s="4">
        <v>0</v>
      </c>
      <c r="DT219" s="4">
        <v>0</v>
      </c>
      <c r="DU219" s="4" t="s">
        <v>1162</v>
      </c>
      <c r="DV219" s="4" t="s">
        <v>353</v>
      </c>
      <c r="DW219" s="4">
        <v>29.67934</v>
      </c>
      <c r="DX219" s="4">
        <v>-85.223089999999999</v>
      </c>
      <c r="DY219" s="4">
        <v>0</v>
      </c>
      <c r="DZ219" s="4">
        <v>0</v>
      </c>
      <c r="EA219" s="4">
        <v>0</v>
      </c>
      <c r="EB219" s="4">
        <v>0</v>
      </c>
      <c r="EC219" s="4">
        <v>0</v>
      </c>
      <c r="ED219" s="4">
        <v>0</v>
      </c>
      <c r="EE219" s="4">
        <v>0</v>
      </c>
      <c r="EF219" s="4">
        <v>0</v>
      </c>
      <c r="EG219" s="4">
        <v>0</v>
      </c>
      <c r="EH219" s="4">
        <v>0</v>
      </c>
      <c r="EI219" s="4">
        <v>0</v>
      </c>
      <c r="EJ219" s="4">
        <v>0</v>
      </c>
      <c r="EK219" s="4" t="s">
        <v>1163</v>
      </c>
      <c r="EL219" s="4" t="s">
        <v>364</v>
      </c>
    </row>
    <row r="220" spans="1:366" ht="12.75" x14ac:dyDescent="0.2">
      <c r="A220" s="3">
        <v>43505.241503599536</v>
      </c>
      <c r="B220" s="4" t="s">
        <v>1164</v>
      </c>
      <c r="C220" s="4" t="s">
        <v>1165</v>
      </c>
      <c r="D220" s="5">
        <v>43500</v>
      </c>
      <c r="E220" s="4" t="s">
        <v>1166</v>
      </c>
      <c r="J220" s="6">
        <v>0.58958333333430346</v>
      </c>
      <c r="K220" s="4" t="s">
        <v>379</v>
      </c>
      <c r="L220" s="4" t="s">
        <v>349</v>
      </c>
      <c r="M220" s="4" t="s">
        <v>350</v>
      </c>
      <c r="N220" s="4" t="s">
        <v>351</v>
      </c>
      <c r="P220" s="4">
        <v>0</v>
      </c>
      <c r="Q220" s="4"/>
      <c r="R220" s="4"/>
      <c r="S220" s="4"/>
      <c r="T220" s="4"/>
      <c r="U220" s="4"/>
      <c r="V220" s="4"/>
      <c r="W220" s="4"/>
      <c r="X220" s="4"/>
      <c r="Y220" s="4"/>
      <c r="Z220" s="4"/>
      <c r="AA220" s="4"/>
      <c r="AB220" s="4"/>
      <c r="AC220" s="4"/>
      <c r="AD220" s="4"/>
      <c r="AE220" s="4">
        <v>16</v>
      </c>
      <c r="AF220" s="4">
        <v>13</v>
      </c>
      <c r="AG220" s="4"/>
      <c r="AH220" s="4"/>
      <c r="AI220" s="4"/>
      <c r="AJ220" s="4"/>
      <c r="AK220" s="4"/>
      <c r="AL220" s="4"/>
      <c r="AM220" s="4"/>
      <c r="AN220" s="4"/>
      <c r="AO220" s="4"/>
      <c r="AP220" s="4"/>
      <c r="AQ220" s="4"/>
      <c r="AR220" s="4"/>
      <c r="AS220" s="4"/>
      <c r="AT220" s="4"/>
      <c r="AU220" s="4">
        <v>3</v>
      </c>
      <c r="AV220" s="4"/>
      <c r="AW220" s="4"/>
      <c r="AX220" s="4">
        <v>7</v>
      </c>
      <c r="AY220" s="4"/>
      <c r="AZ220" s="4"/>
      <c r="BA220" s="4"/>
      <c r="BB220" s="4"/>
      <c r="BC220" s="4">
        <v>1</v>
      </c>
      <c r="BD220" s="4"/>
      <c r="BE220" s="4">
        <v>2</v>
      </c>
      <c r="BF220" s="4">
        <v>3</v>
      </c>
      <c r="BG220" s="4"/>
      <c r="BH220" s="4"/>
      <c r="BI220" s="4"/>
      <c r="BJ220" s="4" t="s">
        <v>364</v>
      </c>
    </row>
    <row r="221" spans="1:366" ht="12.75" x14ac:dyDescent="0.2">
      <c r="A221" s="3">
        <v>43507.688786817132</v>
      </c>
      <c r="B221" s="4" t="s">
        <v>573</v>
      </c>
      <c r="C221" s="4" t="s">
        <v>1167</v>
      </c>
      <c r="D221" s="5">
        <v>43501</v>
      </c>
      <c r="E221" s="4" t="s">
        <v>581</v>
      </c>
      <c r="J221" s="6">
        <v>0.41319444444525288</v>
      </c>
      <c r="L221" s="4" t="s">
        <v>358</v>
      </c>
      <c r="M221" s="4" t="s">
        <v>350</v>
      </c>
      <c r="N221" s="4" t="s">
        <v>351</v>
      </c>
      <c r="O221" s="4" t="s">
        <v>1168</v>
      </c>
      <c r="AJ221" s="4">
        <v>9</v>
      </c>
      <c r="AU221" s="4">
        <v>21</v>
      </c>
      <c r="AX221" s="4">
        <v>2</v>
      </c>
      <c r="BE221" s="4">
        <v>1</v>
      </c>
      <c r="BJ221" s="4" t="s">
        <v>364</v>
      </c>
    </row>
    <row r="222" spans="1:366" ht="12.75" x14ac:dyDescent="0.2">
      <c r="A222" s="3">
        <v>43503.720108831018</v>
      </c>
      <c r="B222" s="4" t="s">
        <v>376</v>
      </c>
      <c r="C222" s="4" t="s">
        <v>1169</v>
      </c>
      <c r="D222" s="5">
        <v>43501</v>
      </c>
      <c r="E222" s="4" t="s">
        <v>1170</v>
      </c>
      <c r="J222" s="6">
        <v>0.445138888884685</v>
      </c>
      <c r="K222" s="4" t="s">
        <v>379</v>
      </c>
      <c r="L222" s="4" t="s">
        <v>358</v>
      </c>
      <c r="M222" s="4" t="s">
        <v>350</v>
      </c>
      <c r="N222" s="4" t="s">
        <v>351</v>
      </c>
      <c r="P222" s="4">
        <v>3</v>
      </c>
      <c r="Q222" s="4"/>
      <c r="R222" s="4">
        <v>7</v>
      </c>
      <c r="S222" s="4">
        <v>12</v>
      </c>
      <c r="T222" s="4"/>
      <c r="U222" s="4"/>
      <c r="V222" s="4"/>
      <c r="W222" s="4"/>
      <c r="X222" s="4"/>
      <c r="Y222" s="4"/>
      <c r="Z222" s="4"/>
      <c r="AA222" s="4"/>
      <c r="AB222" s="4"/>
      <c r="AC222" s="4">
        <v>6</v>
      </c>
      <c r="AD222" s="4"/>
      <c r="AE222" s="4">
        <v>7</v>
      </c>
      <c r="AF222" s="4">
        <v>67</v>
      </c>
      <c r="AG222" s="4">
        <v>25</v>
      </c>
      <c r="AH222" s="4"/>
      <c r="AI222" s="4">
        <v>14</v>
      </c>
      <c r="AJ222" s="4"/>
      <c r="AK222" s="4"/>
      <c r="AL222" s="4"/>
      <c r="AM222" s="4">
        <v>41</v>
      </c>
      <c r="AN222" s="4"/>
      <c r="AO222" s="4"/>
      <c r="AP222" s="4"/>
      <c r="AQ222" s="4"/>
      <c r="AR222" s="4"/>
      <c r="AS222" s="4"/>
      <c r="AT222" s="4"/>
      <c r="AU222" s="4"/>
      <c r="AV222" s="4"/>
      <c r="AW222" s="4"/>
      <c r="AX222" s="4">
        <v>5</v>
      </c>
      <c r="AY222" s="4">
        <v>7</v>
      </c>
      <c r="AZ222" s="4"/>
      <c r="BA222" s="4"/>
      <c r="BB222" s="4">
        <v>6</v>
      </c>
      <c r="BC222" s="4">
        <v>1</v>
      </c>
      <c r="BD222" s="4"/>
      <c r="BE222" s="4">
        <v>22</v>
      </c>
      <c r="BF222" s="4">
        <v>1</v>
      </c>
      <c r="BG222" s="4"/>
      <c r="BH222" s="4"/>
      <c r="BI222" s="4"/>
      <c r="BJ222" s="4" t="s">
        <v>353</v>
      </c>
      <c r="BK222" s="4">
        <v>29.699470000000002</v>
      </c>
      <c r="BL222" s="4">
        <v>-84.76934</v>
      </c>
      <c r="BM222" s="4">
        <v>2</v>
      </c>
      <c r="BN222" s="4" t="s">
        <v>398</v>
      </c>
      <c r="BZ222" s="4" t="s">
        <v>353</v>
      </c>
      <c r="CA222" s="4">
        <v>29.700939999999999</v>
      </c>
      <c r="CB222" s="4">
        <v>-84.764160000000004</v>
      </c>
      <c r="CK222" s="4">
        <v>1</v>
      </c>
      <c r="CL222" s="4" t="s">
        <v>1171</v>
      </c>
      <c r="CO222" s="4" t="s">
        <v>1172</v>
      </c>
      <c r="CP222" s="4" t="s">
        <v>353</v>
      </c>
      <c r="CQ222" s="4">
        <v>29.714849999999998</v>
      </c>
      <c r="CR222" s="4">
        <v>-84.748440000000002</v>
      </c>
      <c r="DA222" s="4">
        <v>2</v>
      </c>
      <c r="DB222" s="4" t="s">
        <v>1173</v>
      </c>
      <c r="DF222" s="4" t="s">
        <v>353</v>
      </c>
      <c r="DG222" s="4">
        <v>29.727509999999999</v>
      </c>
      <c r="DH222" s="4">
        <v>-84.732990000000001</v>
      </c>
      <c r="DQ222" s="4">
        <v>3</v>
      </c>
      <c r="DR222" s="4" t="s">
        <v>1174</v>
      </c>
      <c r="DV222" s="4" t="s">
        <v>353</v>
      </c>
      <c r="DW222" s="4">
        <v>29.733350000000002</v>
      </c>
      <c r="DX222" s="4">
        <v>-84.726560000000006</v>
      </c>
      <c r="EF222" s="4">
        <v>2</v>
      </c>
      <c r="EG222" s="4" t="s">
        <v>1175</v>
      </c>
      <c r="EL222" s="4" t="s">
        <v>353</v>
      </c>
      <c r="EM222" s="4">
        <v>29.73404</v>
      </c>
      <c r="EN222" s="4">
        <v>-84.725160000000002</v>
      </c>
      <c r="ES222" s="4">
        <v>3</v>
      </c>
      <c r="ET222" s="4" t="s">
        <v>1176</v>
      </c>
      <c r="EW222" s="4">
        <v>3</v>
      </c>
      <c r="EX222" s="4" t="s">
        <v>1177</v>
      </c>
      <c r="FA222" s="4" t="s">
        <v>1178</v>
      </c>
      <c r="FB222" s="4" t="s">
        <v>353</v>
      </c>
      <c r="FC222" s="4">
        <v>29.7593</v>
      </c>
      <c r="FD222" s="4">
        <v>-84.697749999999999</v>
      </c>
      <c r="FM222" s="4">
        <v>2</v>
      </c>
      <c r="FN222" s="4" t="s">
        <v>1179</v>
      </c>
      <c r="FR222" s="4" t="s">
        <v>353</v>
      </c>
      <c r="FS222" s="4">
        <v>29.752199999999998</v>
      </c>
      <c r="FT222" s="4">
        <v>-84.705730000000003</v>
      </c>
      <c r="FY222" s="4">
        <v>3</v>
      </c>
      <c r="FZ222" s="4" t="s">
        <v>1180</v>
      </c>
      <c r="GH222" s="4" t="s">
        <v>353</v>
      </c>
      <c r="GI222" s="4">
        <v>29.760390000000001</v>
      </c>
      <c r="GJ222" s="4">
        <v>-84.696340000000006</v>
      </c>
      <c r="GS222" s="4">
        <v>1</v>
      </c>
      <c r="GT222" s="4" t="s">
        <v>1181</v>
      </c>
      <c r="GX222" s="4" t="s">
        <v>353</v>
      </c>
      <c r="GY222" s="4">
        <v>29.762969999999999</v>
      </c>
      <c r="GZ222" s="4">
        <v>-84.692859999999996</v>
      </c>
      <c r="HA222" s="4">
        <v>1</v>
      </c>
      <c r="HB222" s="4" t="s">
        <v>380</v>
      </c>
      <c r="HM222" s="4" t="s">
        <v>1182</v>
      </c>
      <c r="HN222" s="4" t="s">
        <v>359</v>
      </c>
    </row>
    <row r="223" spans="1:366" ht="12.75" x14ac:dyDescent="0.2">
      <c r="A223" s="3">
        <v>43507.377575740742</v>
      </c>
      <c r="B223" s="4" t="s">
        <v>573</v>
      </c>
      <c r="C223" s="4" t="s">
        <v>1183</v>
      </c>
      <c r="D223" s="5">
        <v>43500</v>
      </c>
      <c r="E223" s="4" t="s">
        <v>1184</v>
      </c>
      <c r="J223" s="6">
        <v>0.39583333333575865</v>
      </c>
      <c r="L223" s="4" t="s">
        <v>358</v>
      </c>
      <c r="M223" s="4" t="s">
        <v>350</v>
      </c>
      <c r="N223" s="4" t="s">
        <v>351</v>
      </c>
      <c r="O223" s="4" t="s">
        <v>1185</v>
      </c>
      <c r="P223" s="4">
        <v>0</v>
      </c>
      <c r="Q223" s="4"/>
      <c r="R223" s="4">
        <v>15</v>
      </c>
      <c r="S223" s="4">
        <v>224</v>
      </c>
      <c r="T223" s="4">
        <v>1</v>
      </c>
      <c r="U223" s="4"/>
      <c r="V223" s="4"/>
      <c r="W223" s="4"/>
      <c r="X223" s="4"/>
      <c r="Y223" s="4"/>
      <c r="Z223" s="4">
        <v>127</v>
      </c>
      <c r="AA223" s="4"/>
      <c r="AB223" s="4">
        <v>2</v>
      </c>
      <c r="AC223" s="4"/>
      <c r="AD223" s="4">
        <v>11</v>
      </c>
      <c r="AE223" s="4">
        <v>8</v>
      </c>
      <c r="AF223" s="4"/>
      <c r="AG223" s="4">
        <v>9</v>
      </c>
      <c r="AH223" s="4">
        <v>15</v>
      </c>
      <c r="AI223" s="4"/>
      <c r="AJ223" s="4"/>
      <c r="AK223" s="4">
        <v>8</v>
      </c>
      <c r="AL223" s="4"/>
      <c r="AM223" s="4">
        <v>33</v>
      </c>
      <c r="AN223" s="4">
        <v>1</v>
      </c>
      <c r="AO223" s="4"/>
      <c r="AP223" s="4"/>
      <c r="AQ223" s="4"/>
      <c r="AR223" s="4"/>
      <c r="AS223" s="4"/>
      <c r="AT223" s="4"/>
      <c r="AU223" s="4"/>
      <c r="AV223" s="4"/>
      <c r="AW223" s="4"/>
      <c r="AX223" s="4"/>
      <c r="AY223" s="4">
        <v>12</v>
      </c>
      <c r="AZ223" s="4"/>
      <c r="BA223" s="4"/>
      <c r="BB223" s="4"/>
      <c r="BC223" s="4">
        <v>1</v>
      </c>
      <c r="BD223" s="4"/>
      <c r="BE223" s="4">
        <v>3</v>
      </c>
      <c r="BF223" s="4"/>
      <c r="BG223" s="4"/>
      <c r="BH223" s="4"/>
      <c r="BI223" s="4">
        <v>39</v>
      </c>
      <c r="BJ223" s="4" t="s">
        <v>353</v>
      </c>
      <c r="BK223" s="4">
        <v>29.71518</v>
      </c>
      <c r="BL223" s="4">
        <v>-85.310950000000005</v>
      </c>
      <c r="BS223" s="4">
        <v>9</v>
      </c>
      <c r="BT223" s="4" t="s">
        <v>1186</v>
      </c>
      <c r="BZ223" s="4" t="s">
        <v>353</v>
      </c>
      <c r="CA223" s="4">
        <v>29.69849</v>
      </c>
      <c r="CB223" s="4">
        <v>-85.312200000000004</v>
      </c>
      <c r="CI223" s="4">
        <v>2</v>
      </c>
      <c r="CP223" s="4" t="s">
        <v>353</v>
      </c>
      <c r="CQ223" s="4">
        <v>29.693989999999999</v>
      </c>
      <c r="CR223" s="4">
        <v>-85.312010000000001</v>
      </c>
      <c r="DC223" s="4">
        <v>1</v>
      </c>
      <c r="DD223" s="4" t="s">
        <v>1187</v>
      </c>
      <c r="DF223" s="4" t="s">
        <v>359</v>
      </c>
    </row>
    <row r="224" spans="1:366" ht="12.75" x14ac:dyDescent="0.2">
      <c r="A224" s="3">
        <v>43505.481107523148</v>
      </c>
      <c r="B224" s="4" t="s">
        <v>538</v>
      </c>
      <c r="C224" s="4" t="s">
        <v>1188</v>
      </c>
      <c r="D224" s="5">
        <v>43500</v>
      </c>
      <c r="E224" s="4" t="s">
        <v>1189</v>
      </c>
      <c r="J224" s="6">
        <v>0.40347222222044365</v>
      </c>
      <c r="K224" s="4" t="s">
        <v>348</v>
      </c>
      <c r="L224" s="4" t="s">
        <v>349</v>
      </c>
      <c r="M224" s="4" t="s">
        <v>350</v>
      </c>
      <c r="N224" s="4" t="s">
        <v>351</v>
      </c>
      <c r="P224" s="4">
        <v>0</v>
      </c>
      <c r="Q224" s="4"/>
      <c r="R224" s="4">
        <v>13</v>
      </c>
      <c r="S224" s="4">
        <v>32</v>
      </c>
      <c r="T224" s="4">
        <v>8</v>
      </c>
      <c r="U224" s="4"/>
      <c r="V224" s="4">
        <v>2</v>
      </c>
      <c r="W224" s="4"/>
      <c r="X224" s="4"/>
      <c r="Y224" s="4"/>
      <c r="Z224" s="4"/>
      <c r="AA224" s="4"/>
      <c r="AB224" s="4"/>
      <c r="AC224" s="4"/>
      <c r="AD224" s="4">
        <v>40</v>
      </c>
      <c r="AE224" s="4">
        <v>11</v>
      </c>
      <c r="AF224" s="4">
        <v>254</v>
      </c>
      <c r="AG224" s="4">
        <v>13</v>
      </c>
      <c r="AH224" s="4"/>
      <c r="AI224" s="4">
        <v>37</v>
      </c>
      <c r="AJ224" s="4"/>
      <c r="AK224" s="4"/>
      <c r="AL224" s="4"/>
      <c r="AM224" s="4">
        <v>58</v>
      </c>
      <c r="AN224" s="4"/>
      <c r="AO224" s="4"/>
      <c r="AP224" s="4"/>
      <c r="AQ224" s="4"/>
      <c r="AR224" s="4"/>
      <c r="AS224" s="4">
        <v>20</v>
      </c>
      <c r="AT224" s="4"/>
      <c r="AU224" s="4">
        <v>53</v>
      </c>
      <c r="AV224" s="4"/>
      <c r="AW224" s="4"/>
      <c r="AX224" s="4">
        <v>8</v>
      </c>
      <c r="AY224" s="4">
        <v>182</v>
      </c>
      <c r="AZ224" s="4"/>
      <c r="BA224" s="4"/>
      <c r="BB224" s="4">
        <v>38</v>
      </c>
      <c r="BC224" s="4">
        <v>40</v>
      </c>
      <c r="BD224" s="4"/>
      <c r="BE224" s="4">
        <v>68</v>
      </c>
      <c r="BF224" s="4">
        <v>3</v>
      </c>
      <c r="BG224" s="4"/>
      <c r="BH224" s="4"/>
      <c r="BI224" s="4"/>
      <c r="BJ224" s="4" t="s">
        <v>353</v>
      </c>
      <c r="BK224" s="4">
        <v>29.766629999999999</v>
      </c>
      <c r="BL224" s="4">
        <v>-85.403710000000004</v>
      </c>
      <c r="BM224" s="4">
        <v>0</v>
      </c>
      <c r="BN224" s="4">
        <v>0</v>
      </c>
      <c r="BO224" s="4">
        <v>0</v>
      </c>
      <c r="BP224" s="4">
        <v>0</v>
      </c>
      <c r="BQ224" s="4">
        <v>0</v>
      </c>
      <c r="BR224" s="4">
        <v>0</v>
      </c>
      <c r="BS224" s="4">
        <v>1</v>
      </c>
      <c r="BT224" s="4">
        <v>0</v>
      </c>
      <c r="BU224" s="4">
        <v>0</v>
      </c>
      <c r="BV224" s="4">
        <v>0</v>
      </c>
      <c r="BW224" s="4">
        <v>0</v>
      </c>
      <c r="BX224" s="4">
        <v>0</v>
      </c>
      <c r="BY224" s="4" t="s">
        <v>1190</v>
      </c>
      <c r="BZ224" s="4" t="s">
        <v>353</v>
      </c>
      <c r="CA224" s="4">
        <v>29.84572</v>
      </c>
      <c r="CB224" s="4">
        <v>-85.415329999999997</v>
      </c>
      <c r="CC224" s="4">
        <v>0</v>
      </c>
      <c r="CD224" s="4">
        <v>0</v>
      </c>
      <c r="CE224" s="4">
        <v>0</v>
      </c>
      <c r="CF224" s="4">
        <v>0</v>
      </c>
      <c r="CG224" s="4">
        <v>0</v>
      </c>
      <c r="CH224" s="4">
        <v>0</v>
      </c>
      <c r="CI224" s="4">
        <v>13</v>
      </c>
      <c r="CJ224" s="4">
        <v>0</v>
      </c>
      <c r="CK224" s="4">
        <v>2</v>
      </c>
      <c r="CL224" s="4" t="s">
        <v>1191</v>
      </c>
      <c r="CM224" s="4">
        <v>0</v>
      </c>
      <c r="CN224" s="4">
        <v>0</v>
      </c>
      <c r="CO224" s="4" t="s">
        <v>1192</v>
      </c>
      <c r="CP224" s="4" t="s">
        <v>353</v>
      </c>
      <c r="CQ224" s="4">
        <v>29.850809999999999</v>
      </c>
      <c r="CR224" s="4">
        <v>-85.414379999999994</v>
      </c>
      <c r="CS224" s="4">
        <v>0</v>
      </c>
      <c r="CT224" s="4">
        <v>0</v>
      </c>
      <c r="CU224" s="4">
        <v>0</v>
      </c>
      <c r="CV224" s="4">
        <v>0</v>
      </c>
      <c r="CW224" s="4">
        <v>0</v>
      </c>
      <c r="CX224" s="4">
        <v>0</v>
      </c>
      <c r="CY224" s="4">
        <v>0</v>
      </c>
      <c r="CZ224" s="4">
        <v>0</v>
      </c>
      <c r="DA224" s="4">
        <v>2</v>
      </c>
      <c r="DB224" s="4" t="s">
        <v>1193</v>
      </c>
      <c r="DC224" s="4">
        <v>0</v>
      </c>
      <c r="DD224" s="4">
        <v>0</v>
      </c>
      <c r="DE224" s="4">
        <v>0</v>
      </c>
      <c r="DF224" s="4" t="s">
        <v>353</v>
      </c>
      <c r="DG224" s="4">
        <v>29.856310000000001</v>
      </c>
      <c r="DH224" s="4">
        <v>-85.413139999999999</v>
      </c>
      <c r="DI224" s="4">
        <v>0</v>
      </c>
      <c r="DJ224" s="4">
        <v>0</v>
      </c>
      <c r="DK224" s="4">
        <v>0</v>
      </c>
      <c r="DL224" s="4">
        <v>0</v>
      </c>
      <c r="DM224" s="4">
        <v>0</v>
      </c>
      <c r="DN224" s="4">
        <v>0</v>
      </c>
      <c r="DO224" s="4">
        <v>8</v>
      </c>
      <c r="DP224" s="4">
        <v>0</v>
      </c>
      <c r="DQ224" s="4">
        <v>0</v>
      </c>
      <c r="DR224" s="4">
        <v>0</v>
      </c>
      <c r="DS224" s="4">
        <v>0</v>
      </c>
      <c r="DT224" s="4">
        <v>0</v>
      </c>
      <c r="DU224" s="4" t="s">
        <v>1194</v>
      </c>
      <c r="DV224" s="4" t="s">
        <v>353</v>
      </c>
      <c r="DW224" s="4">
        <v>29.866060000000001</v>
      </c>
      <c r="DX224" s="4">
        <v>-85.408159999999995</v>
      </c>
      <c r="DY224" s="4">
        <v>0</v>
      </c>
      <c r="DZ224" s="4">
        <v>0</v>
      </c>
      <c r="EA224" s="4">
        <v>0</v>
      </c>
      <c r="EB224" s="4">
        <v>0</v>
      </c>
      <c r="EC224" s="4">
        <v>0</v>
      </c>
      <c r="ED224" s="4">
        <v>0</v>
      </c>
      <c r="EE224" s="4">
        <v>0</v>
      </c>
      <c r="EF224" s="4">
        <v>4</v>
      </c>
      <c r="EG224" s="4">
        <v>0</v>
      </c>
      <c r="EH224" s="4" t="s">
        <v>1195</v>
      </c>
      <c r="EI224" s="4">
        <v>0</v>
      </c>
      <c r="EJ224" s="4">
        <v>0</v>
      </c>
      <c r="EK224" s="4">
        <v>0</v>
      </c>
      <c r="EL224" s="4" t="s">
        <v>353</v>
      </c>
      <c r="EM224" s="4">
        <v>29.868300000000001</v>
      </c>
      <c r="EN224" s="4">
        <v>-85.216520000000003</v>
      </c>
      <c r="EO224" s="4">
        <v>0</v>
      </c>
      <c r="EP224" s="4">
        <v>0</v>
      </c>
      <c r="EQ224" s="4">
        <v>0</v>
      </c>
      <c r="ER224" s="4">
        <v>0</v>
      </c>
      <c r="ES224" s="4">
        <v>0</v>
      </c>
      <c r="ET224" s="4">
        <v>0</v>
      </c>
      <c r="EU224" s="4">
        <v>0</v>
      </c>
      <c r="EV224" s="4">
        <v>0</v>
      </c>
      <c r="EW224" s="4">
        <v>2</v>
      </c>
      <c r="EX224" s="4" t="s">
        <v>1196</v>
      </c>
      <c r="EY224" s="4">
        <v>0</v>
      </c>
      <c r="EZ224" s="4">
        <v>0</v>
      </c>
      <c r="FA224" s="4">
        <v>0</v>
      </c>
      <c r="FB224" s="4" t="s">
        <v>353</v>
      </c>
      <c r="FC224" s="4">
        <v>29.87557</v>
      </c>
      <c r="FD224" s="4">
        <v>-85.397239999999996</v>
      </c>
      <c r="FE224" s="4">
        <v>0</v>
      </c>
      <c r="FF224" s="4">
        <v>0</v>
      </c>
      <c r="FG224" s="4">
        <v>0</v>
      </c>
      <c r="FH224" s="4">
        <v>0</v>
      </c>
      <c r="FI224" s="4">
        <v>0</v>
      </c>
      <c r="FJ224" s="4">
        <v>0</v>
      </c>
      <c r="FK224" s="4">
        <v>0</v>
      </c>
      <c r="FL224" s="4">
        <v>0</v>
      </c>
      <c r="FM224" s="4">
        <v>2</v>
      </c>
      <c r="FN224" s="4" t="s">
        <v>1197</v>
      </c>
      <c r="FO224" s="4">
        <v>0</v>
      </c>
      <c r="FP224" s="4">
        <v>0</v>
      </c>
      <c r="FQ224" s="4">
        <v>0</v>
      </c>
      <c r="FR224" s="4" t="s">
        <v>353</v>
      </c>
      <c r="FS224" s="4">
        <v>29.874860000000002</v>
      </c>
      <c r="FT224" s="4">
        <v>-85.3977</v>
      </c>
      <c r="FU224" s="4">
        <v>0</v>
      </c>
      <c r="FV224" s="4">
        <v>0</v>
      </c>
      <c r="FW224" s="4">
        <v>0</v>
      </c>
      <c r="FX224" s="4">
        <v>0</v>
      </c>
      <c r="FY224" s="4">
        <v>0</v>
      </c>
      <c r="FZ224" s="4">
        <v>0</v>
      </c>
      <c r="GA224" s="4">
        <v>0</v>
      </c>
      <c r="GB224" s="4">
        <v>0</v>
      </c>
      <c r="GC224" s="4">
        <v>2</v>
      </c>
      <c r="GD224" s="4" t="s">
        <v>1198</v>
      </c>
      <c r="GE224" s="4">
        <v>0</v>
      </c>
      <c r="GF224" s="4">
        <v>0</v>
      </c>
      <c r="GG224" s="4">
        <v>0</v>
      </c>
      <c r="GH224" s="4" t="s">
        <v>353</v>
      </c>
      <c r="GI224" s="4">
        <v>29.876449999999998</v>
      </c>
      <c r="GJ224" s="4">
        <v>-85.395300000000006</v>
      </c>
      <c r="GK224" s="4">
        <v>0</v>
      </c>
      <c r="GL224" s="4">
        <v>0</v>
      </c>
      <c r="GM224" s="4">
        <v>0</v>
      </c>
      <c r="GN224" s="4">
        <v>0</v>
      </c>
      <c r="GO224" s="4">
        <v>0</v>
      </c>
      <c r="GP224" s="4">
        <v>0</v>
      </c>
      <c r="GQ224" s="4">
        <v>0</v>
      </c>
      <c r="GR224" s="4">
        <v>0</v>
      </c>
      <c r="GS224" s="4">
        <v>2</v>
      </c>
      <c r="GT224" s="4" t="s">
        <v>1199</v>
      </c>
      <c r="GU224" s="4">
        <v>0</v>
      </c>
      <c r="GV224" s="4">
        <v>0</v>
      </c>
      <c r="GW224" s="4">
        <v>0</v>
      </c>
      <c r="GX224" s="4" t="s">
        <v>353</v>
      </c>
      <c r="GY224" s="4">
        <v>29.877590000000001</v>
      </c>
      <c r="GZ224" s="4">
        <v>-85.393450000000001</v>
      </c>
      <c r="HA224" s="4">
        <v>0</v>
      </c>
      <c r="HB224" s="4">
        <v>0</v>
      </c>
      <c r="HC224" s="4">
        <v>0</v>
      </c>
      <c r="HD224" s="4">
        <v>0</v>
      </c>
      <c r="HE224" s="4">
        <v>0</v>
      </c>
      <c r="HF224" s="4">
        <v>0</v>
      </c>
      <c r="HG224" s="4">
        <v>0</v>
      </c>
      <c r="HH224" s="4">
        <v>0</v>
      </c>
      <c r="HI224" s="4">
        <v>2</v>
      </c>
      <c r="HJ224" s="4" t="s">
        <v>1200</v>
      </c>
      <c r="HK224" s="4">
        <v>0</v>
      </c>
      <c r="HL224" s="4">
        <v>0</v>
      </c>
      <c r="HM224" s="4" t="s">
        <v>1201</v>
      </c>
      <c r="HN224" s="4" t="s">
        <v>353</v>
      </c>
      <c r="HO224" s="4">
        <v>29.878450000000001</v>
      </c>
      <c r="HP224" s="4">
        <v>-85.390569999999997</v>
      </c>
      <c r="HQ224" s="4">
        <v>0</v>
      </c>
      <c r="HR224" s="4">
        <v>0</v>
      </c>
      <c r="HS224" s="4">
        <v>0</v>
      </c>
      <c r="HT224" s="4">
        <v>0</v>
      </c>
      <c r="HU224" s="4">
        <v>0</v>
      </c>
      <c r="HV224" s="4">
        <v>0</v>
      </c>
      <c r="HW224" s="4">
        <v>0</v>
      </c>
      <c r="HX224" s="4">
        <v>0</v>
      </c>
      <c r="HY224" s="4">
        <v>2</v>
      </c>
      <c r="HZ224" s="4" t="s">
        <v>1202</v>
      </c>
      <c r="IA224" s="4">
        <v>0</v>
      </c>
      <c r="IB224" s="4">
        <v>0</v>
      </c>
      <c r="IC224" s="4" t="s">
        <v>1203</v>
      </c>
      <c r="ID224" s="4" t="s">
        <v>353</v>
      </c>
      <c r="IE224" s="4">
        <v>29.875769999999999</v>
      </c>
      <c r="IF224" s="4">
        <v>-85.395030000000006</v>
      </c>
      <c r="IG224" s="4">
        <v>0</v>
      </c>
      <c r="IH224" s="4">
        <v>0</v>
      </c>
      <c r="II224" s="4">
        <v>0</v>
      </c>
      <c r="IJ224" s="4">
        <v>0</v>
      </c>
      <c r="IK224" s="4">
        <v>0</v>
      </c>
      <c r="IL224" s="4">
        <v>0</v>
      </c>
      <c r="IM224" s="4">
        <v>0</v>
      </c>
      <c r="IN224" s="4">
        <v>0</v>
      </c>
      <c r="IO224" s="4">
        <v>2</v>
      </c>
      <c r="IP224" s="4" t="s">
        <v>1204</v>
      </c>
      <c r="IQ224" s="4">
        <v>0</v>
      </c>
      <c r="IR224" s="4">
        <v>0</v>
      </c>
      <c r="IS224" s="4">
        <v>0</v>
      </c>
      <c r="IT224" s="4" t="s">
        <v>353</v>
      </c>
      <c r="IU224" s="4">
        <v>29.876439999999999</v>
      </c>
      <c r="IV224" s="4">
        <v>-85.394130000000004</v>
      </c>
      <c r="IW224" s="4">
        <v>0</v>
      </c>
      <c r="IX224" s="4">
        <v>0</v>
      </c>
      <c r="IY224" s="4">
        <v>0</v>
      </c>
      <c r="IZ224" s="4">
        <v>0</v>
      </c>
      <c r="JA224" s="4">
        <v>0</v>
      </c>
      <c r="JB224" s="4">
        <v>0</v>
      </c>
      <c r="JC224" s="4">
        <v>0</v>
      </c>
      <c r="JD224" s="4">
        <v>0</v>
      </c>
      <c r="JE224" s="4">
        <v>2</v>
      </c>
      <c r="JF224" s="4" t="s">
        <v>1205</v>
      </c>
      <c r="JG224" s="4">
        <v>0</v>
      </c>
      <c r="JH224" s="4">
        <v>0</v>
      </c>
      <c r="JI224" s="4">
        <v>0</v>
      </c>
      <c r="JJ224" s="4" t="s">
        <v>353</v>
      </c>
      <c r="JK224" s="4">
        <v>29.87632</v>
      </c>
      <c r="JL224" s="4">
        <v>-85.392120000000006</v>
      </c>
      <c r="JM224" s="4">
        <v>0</v>
      </c>
      <c r="JN224" s="4">
        <v>0</v>
      </c>
      <c r="JO224" s="4">
        <v>0</v>
      </c>
      <c r="JP224" s="4">
        <v>0</v>
      </c>
      <c r="JQ224" s="4">
        <v>0</v>
      </c>
      <c r="JR224" s="4">
        <v>0</v>
      </c>
      <c r="JS224" s="4">
        <v>0</v>
      </c>
      <c r="JT224" s="4">
        <v>0</v>
      </c>
      <c r="JU224" s="4">
        <v>1</v>
      </c>
      <c r="JV224" s="4">
        <v>0</v>
      </c>
      <c r="JW224" s="4" t="s">
        <v>1206</v>
      </c>
      <c r="JX224" s="4">
        <v>0</v>
      </c>
      <c r="JY224" s="4" t="s">
        <v>1207</v>
      </c>
      <c r="JZ224" s="4" t="s">
        <v>353</v>
      </c>
      <c r="KA224" s="4">
        <v>29.877800000000001</v>
      </c>
      <c r="KB224" s="4">
        <v>-85.387540000000001</v>
      </c>
      <c r="KC224" s="4">
        <v>0</v>
      </c>
      <c r="KD224" s="4">
        <v>0</v>
      </c>
      <c r="KE224" s="4">
        <v>0</v>
      </c>
      <c r="KF224" s="4">
        <v>0</v>
      </c>
      <c r="KG224" s="4">
        <v>0</v>
      </c>
      <c r="KH224" s="4">
        <v>0</v>
      </c>
      <c r="KI224" s="4">
        <v>0</v>
      </c>
      <c r="KJ224" s="4">
        <v>0</v>
      </c>
      <c r="KK224" s="4">
        <v>3</v>
      </c>
      <c r="KL224" s="4" t="s">
        <v>1208</v>
      </c>
      <c r="KM224" s="4">
        <v>0</v>
      </c>
      <c r="KN224" s="4">
        <v>0</v>
      </c>
      <c r="KO224" s="4" t="s">
        <v>1209</v>
      </c>
      <c r="KP224" s="4" t="s">
        <v>353</v>
      </c>
      <c r="KQ224" s="4">
        <v>29.873840000000001</v>
      </c>
      <c r="KR224" s="4">
        <v>-85.38991</v>
      </c>
      <c r="KS224" s="4">
        <v>0</v>
      </c>
      <c r="KT224" s="4">
        <v>0</v>
      </c>
      <c r="KU224" s="4">
        <v>0</v>
      </c>
      <c r="KV224" s="4">
        <v>0</v>
      </c>
      <c r="KW224" s="4">
        <v>0</v>
      </c>
      <c r="KX224" s="4">
        <v>0</v>
      </c>
      <c r="KY224" s="4">
        <v>0</v>
      </c>
      <c r="KZ224" s="4">
        <v>0</v>
      </c>
      <c r="LA224" s="4">
        <v>2</v>
      </c>
      <c r="LB224" s="4" t="s">
        <v>1210</v>
      </c>
      <c r="LC224" s="4">
        <v>0</v>
      </c>
      <c r="LD224" s="4">
        <v>0</v>
      </c>
      <c r="LE224" s="4" t="s">
        <v>1211</v>
      </c>
      <c r="LF224" s="4" t="s">
        <v>1212</v>
      </c>
      <c r="LG224" s="4">
        <v>29.865020000000001</v>
      </c>
      <c r="LH224" s="4">
        <v>-85.408839999999998</v>
      </c>
      <c r="LI224" s="4">
        <v>0</v>
      </c>
      <c r="LJ224" s="4">
        <v>0</v>
      </c>
      <c r="LK224" s="4">
        <v>0</v>
      </c>
      <c r="LL224" s="4">
        <v>0</v>
      </c>
      <c r="LM224" s="4">
        <v>0</v>
      </c>
      <c r="LN224" s="4">
        <v>0</v>
      </c>
      <c r="LO224" s="4">
        <v>0</v>
      </c>
      <c r="LP224" s="4">
        <v>0</v>
      </c>
      <c r="LQ224" s="4">
        <v>2</v>
      </c>
      <c r="LR224" s="4" t="s">
        <v>1213</v>
      </c>
      <c r="LS224" s="4">
        <v>0</v>
      </c>
      <c r="LT224" s="4">
        <v>0</v>
      </c>
      <c r="LU224" s="4">
        <v>0</v>
      </c>
      <c r="LV224" s="4" t="s">
        <v>1212</v>
      </c>
      <c r="LW224" s="4">
        <v>29.83766</v>
      </c>
      <c r="LX224" s="4">
        <v>-85.416460000000001</v>
      </c>
      <c r="LY224" s="4">
        <v>0</v>
      </c>
      <c r="LZ224" s="4">
        <v>0</v>
      </c>
      <c r="MA224" s="4">
        <v>0</v>
      </c>
      <c r="MB224" s="4">
        <v>0</v>
      </c>
      <c r="MC224" s="4">
        <v>0</v>
      </c>
      <c r="MD224" s="4">
        <v>0</v>
      </c>
      <c r="ME224" s="4">
        <v>0</v>
      </c>
      <c r="MF224" s="4">
        <v>0</v>
      </c>
      <c r="MG224" s="4">
        <v>2</v>
      </c>
      <c r="MH224" s="4" t="s">
        <v>1214</v>
      </c>
      <c r="MI224" s="4">
        <v>0</v>
      </c>
      <c r="MJ224" s="4">
        <v>0</v>
      </c>
      <c r="MK224" s="4">
        <v>0</v>
      </c>
      <c r="ML224" s="4" t="s">
        <v>1212</v>
      </c>
      <c r="MM224" s="4">
        <v>29.82846</v>
      </c>
      <c r="MN224" s="4">
        <v>-85.417000000000002</v>
      </c>
      <c r="MO224" s="4">
        <v>0</v>
      </c>
      <c r="MP224" s="4">
        <v>0</v>
      </c>
      <c r="MQ224" s="4">
        <v>0</v>
      </c>
      <c r="MR224" s="4">
        <v>0</v>
      </c>
      <c r="MS224" s="4">
        <v>0</v>
      </c>
      <c r="MT224" s="4">
        <v>0</v>
      </c>
      <c r="MU224" s="4">
        <v>0</v>
      </c>
      <c r="MV224" s="4">
        <v>0</v>
      </c>
      <c r="MW224" s="4">
        <v>3</v>
      </c>
      <c r="MX224" s="4" t="s">
        <v>1215</v>
      </c>
      <c r="MY224" s="4">
        <v>0</v>
      </c>
      <c r="MZ224" s="4">
        <v>0</v>
      </c>
      <c r="NA224" s="4">
        <v>0</v>
      </c>
      <c r="NB224" s="4" t="s">
        <v>1216</v>
      </c>
    </row>
    <row r="225" spans="1:366" ht="12.75" x14ac:dyDescent="0.2">
      <c r="A225" s="3">
        <v>43502.651598495373</v>
      </c>
      <c r="B225" s="4" t="s">
        <v>855</v>
      </c>
      <c r="C225" s="4" t="s">
        <v>1217</v>
      </c>
      <c r="D225" s="5">
        <v>43502</v>
      </c>
      <c r="E225" s="4" t="s">
        <v>857</v>
      </c>
      <c r="J225" s="6">
        <v>0.54166666666424135</v>
      </c>
      <c r="K225" s="4" t="s">
        <v>379</v>
      </c>
      <c r="L225" s="4" t="s">
        <v>349</v>
      </c>
      <c r="M225" s="4" t="s">
        <v>350</v>
      </c>
      <c r="N225" s="4" t="s">
        <v>351</v>
      </c>
      <c r="AE225" s="4">
        <v>8</v>
      </c>
      <c r="AF225" s="4">
        <v>123</v>
      </c>
      <c r="AM225" s="4">
        <v>4</v>
      </c>
      <c r="AN225" s="4">
        <v>1</v>
      </c>
      <c r="BJ225" s="4" t="s">
        <v>353</v>
      </c>
      <c r="BK225" s="4">
        <v>27.140999999999998</v>
      </c>
      <c r="BL225" s="4">
        <v>-80.149100000000004</v>
      </c>
      <c r="BW225" s="4">
        <v>1</v>
      </c>
      <c r="BZ225" s="4" t="s">
        <v>354</v>
      </c>
    </row>
    <row r="226" spans="1:366" ht="12.75" x14ac:dyDescent="0.2">
      <c r="A226" s="3">
        <v>43507.4009347338</v>
      </c>
      <c r="B226" s="4" t="s">
        <v>1218</v>
      </c>
      <c r="C226" s="4" t="s">
        <v>1219</v>
      </c>
      <c r="D226" s="5">
        <v>43501</v>
      </c>
      <c r="E226" s="4" t="s">
        <v>1220</v>
      </c>
      <c r="J226" s="6">
        <v>0.33333333333575865</v>
      </c>
      <c r="K226" s="4" t="s">
        <v>348</v>
      </c>
      <c r="L226" s="4" t="s">
        <v>358</v>
      </c>
      <c r="M226" s="4" t="s">
        <v>350</v>
      </c>
      <c r="N226" s="4" t="s">
        <v>351</v>
      </c>
      <c r="R226" s="4">
        <v>31</v>
      </c>
      <c r="U226" s="4">
        <v>2</v>
      </c>
      <c r="AC226" s="4">
        <v>3</v>
      </c>
      <c r="AE226" s="4">
        <v>41</v>
      </c>
      <c r="AF226" s="4">
        <v>66</v>
      </c>
      <c r="AG226" s="4">
        <v>10</v>
      </c>
      <c r="AM226" s="4">
        <v>4</v>
      </c>
      <c r="BB226" s="4">
        <v>4</v>
      </c>
      <c r="BD226" s="4">
        <v>1</v>
      </c>
      <c r="BE226" s="4">
        <v>10</v>
      </c>
      <c r="BJ226" s="4" t="s">
        <v>353</v>
      </c>
      <c r="BK226" s="4">
        <v>27.421060000000001</v>
      </c>
      <c r="BL226" s="4">
        <v>-80.272220000000004</v>
      </c>
      <c r="BQ226" s="4">
        <v>3</v>
      </c>
      <c r="BR226" s="4" t="s">
        <v>1221</v>
      </c>
      <c r="BZ226" s="4" t="s">
        <v>354</v>
      </c>
    </row>
    <row r="227" spans="1:366" ht="12.75" x14ac:dyDescent="0.2">
      <c r="A227" s="3">
        <v>43501.77877957176</v>
      </c>
      <c r="B227" s="4" t="s">
        <v>847</v>
      </c>
      <c r="C227" s="4" t="s">
        <v>1222</v>
      </c>
      <c r="D227" s="5">
        <v>43500</v>
      </c>
      <c r="E227" s="4" t="s">
        <v>849</v>
      </c>
      <c r="J227" s="6">
        <v>0.5</v>
      </c>
      <c r="K227" s="4" t="s">
        <v>363</v>
      </c>
      <c r="L227" s="4" t="s">
        <v>349</v>
      </c>
      <c r="M227" s="4" t="s">
        <v>350</v>
      </c>
      <c r="N227" s="4" t="s">
        <v>351</v>
      </c>
      <c r="O227" s="4" t="s">
        <v>1223</v>
      </c>
      <c r="AF227" s="4">
        <v>8</v>
      </c>
      <c r="AM227" s="4">
        <v>22</v>
      </c>
      <c r="AS227" s="4">
        <v>3</v>
      </c>
      <c r="AY227" s="4">
        <v>31</v>
      </c>
      <c r="BB227" s="4">
        <v>6</v>
      </c>
      <c r="BC227" s="4">
        <v>37</v>
      </c>
      <c r="BE227" s="4">
        <v>90</v>
      </c>
      <c r="BF227" s="4">
        <v>1</v>
      </c>
      <c r="BJ227" s="4" t="s">
        <v>364</v>
      </c>
    </row>
    <row r="228" spans="1:366" ht="12.75" x14ac:dyDescent="0.2">
      <c r="A228" s="3">
        <v>43513.871407662038</v>
      </c>
      <c r="B228" s="4" t="s">
        <v>360</v>
      </c>
      <c r="C228" s="4" t="s">
        <v>1224</v>
      </c>
      <c r="D228" s="5">
        <v>43498</v>
      </c>
      <c r="E228" s="4" t="s">
        <v>1225</v>
      </c>
      <c r="J228" s="6">
        <v>0.29166666666424135</v>
      </c>
      <c r="K228" s="4" t="s">
        <v>348</v>
      </c>
      <c r="L228" s="4" t="s">
        <v>349</v>
      </c>
      <c r="M228" s="4" t="s">
        <v>350</v>
      </c>
      <c r="N228" s="4" t="s">
        <v>351</v>
      </c>
      <c r="R228" s="4">
        <v>151</v>
      </c>
      <c r="S228" s="4">
        <v>26</v>
      </c>
      <c r="T228" s="4">
        <v>10</v>
      </c>
      <c r="W228" s="4">
        <v>30</v>
      </c>
      <c r="Y228" s="4">
        <v>165</v>
      </c>
      <c r="AG228" s="4">
        <v>4</v>
      </c>
      <c r="AV228" s="4">
        <v>95</v>
      </c>
      <c r="AX228" s="4">
        <v>25</v>
      </c>
      <c r="AY228" s="4">
        <v>17</v>
      </c>
      <c r="BE228" s="4">
        <v>2</v>
      </c>
      <c r="BF228" s="4">
        <v>1</v>
      </c>
      <c r="BI228" s="4">
        <v>3</v>
      </c>
      <c r="BJ228" s="4" t="s">
        <v>353</v>
      </c>
      <c r="BK228" s="4">
        <v>26.676690000000001</v>
      </c>
      <c r="BL228" s="4">
        <v>-80.352000000000004</v>
      </c>
      <c r="BO228" s="4">
        <v>175</v>
      </c>
      <c r="BP228" s="4">
        <v>0</v>
      </c>
      <c r="BZ228" s="4" t="s">
        <v>354</v>
      </c>
    </row>
    <row r="229" spans="1:366" ht="12.75" x14ac:dyDescent="0.2">
      <c r="A229" s="3">
        <v>43513.876590590276</v>
      </c>
      <c r="B229" s="4" t="s">
        <v>360</v>
      </c>
      <c r="C229" s="4" t="s">
        <v>1226</v>
      </c>
      <c r="D229" s="5">
        <v>43503</v>
      </c>
      <c r="E229" s="4" t="s">
        <v>925</v>
      </c>
      <c r="J229" s="6">
        <v>0.31597222221898846</v>
      </c>
      <c r="K229" s="4" t="s">
        <v>348</v>
      </c>
      <c r="L229" s="4" t="s">
        <v>349</v>
      </c>
      <c r="M229" s="4" t="s">
        <v>350</v>
      </c>
      <c r="N229" s="4" t="s">
        <v>351</v>
      </c>
      <c r="S229" s="4">
        <v>30</v>
      </c>
      <c r="U229" s="4">
        <v>20</v>
      </c>
      <c r="V229" s="4">
        <v>20</v>
      </c>
      <c r="W229" s="4">
        <v>1</v>
      </c>
      <c r="AK229" s="4">
        <v>10</v>
      </c>
      <c r="AV229" s="4">
        <v>6</v>
      </c>
      <c r="AX229" s="4">
        <v>40</v>
      </c>
      <c r="AY229" s="4">
        <v>15</v>
      </c>
      <c r="BJ229" s="4" t="s">
        <v>364</v>
      </c>
    </row>
    <row r="230" spans="1:366" ht="12.75" x14ac:dyDescent="0.2">
      <c r="A230" s="3">
        <v>43513.879637847218</v>
      </c>
      <c r="B230" s="4" t="s">
        <v>360</v>
      </c>
      <c r="C230" s="4" t="s">
        <v>1227</v>
      </c>
      <c r="D230" s="5">
        <v>43503</v>
      </c>
      <c r="E230" s="4" t="s">
        <v>1228</v>
      </c>
      <c r="J230" s="6">
        <v>0.59027777778101154</v>
      </c>
      <c r="K230" s="4" t="s">
        <v>379</v>
      </c>
      <c r="L230" s="4" t="s">
        <v>349</v>
      </c>
      <c r="M230" s="4" t="s">
        <v>350</v>
      </c>
      <c r="N230" s="4" t="s">
        <v>351</v>
      </c>
      <c r="T230" s="4">
        <v>1</v>
      </c>
      <c r="U230" s="4">
        <v>13</v>
      </c>
      <c r="AX230" s="4">
        <v>131</v>
      </c>
      <c r="BJ230" s="4" t="s">
        <v>364</v>
      </c>
    </row>
    <row r="231" spans="1:366" ht="12.75" x14ac:dyDescent="0.2">
      <c r="A231" s="3">
        <v>43513.882366400459</v>
      </c>
      <c r="B231" s="4" t="s">
        <v>360</v>
      </c>
      <c r="C231" s="4" t="s">
        <v>1229</v>
      </c>
      <c r="D231" s="5">
        <v>43500</v>
      </c>
      <c r="E231" s="4" t="s">
        <v>925</v>
      </c>
      <c r="J231" s="6">
        <v>0.34375</v>
      </c>
      <c r="K231" s="4" t="s">
        <v>363</v>
      </c>
      <c r="L231" s="4" t="s">
        <v>390</v>
      </c>
      <c r="M231" s="4" t="s">
        <v>350</v>
      </c>
      <c r="N231" s="4" t="s">
        <v>351</v>
      </c>
      <c r="U231" s="4">
        <v>8</v>
      </c>
      <c r="AO231" s="4">
        <v>1</v>
      </c>
      <c r="AX231" s="4">
        <v>119</v>
      </c>
      <c r="BJ231" s="4" t="s">
        <v>364</v>
      </c>
    </row>
    <row r="232" spans="1:366" ht="12.75" x14ac:dyDescent="0.2">
      <c r="A232" s="3">
        <v>43513.88776114583</v>
      </c>
      <c r="B232" s="4" t="s">
        <v>360</v>
      </c>
      <c r="C232" s="4" t="s">
        <v>1230</v>
      </c>
      <c r="D232" s="5">
        <v>43502</v>
      </c>
      <c r="E232" s="4" t="s">
        <v>1231</v>
      </c>
      <c r="J232" s="6">
        <v>0.35416666666424135</v>
      </c>
      <c r="K232" s="4" t="s">
        <v>348</v>
      </c>
      <c r="L232" s="4" t="s">
        <v>349</v>
      </c>
      <c r="M232" s="4" t="s">
        <v>350</v>
      </c>
      <c r="N232" s="4" t="s">
        <v>351</v>
      </c>
      <c r="T232" s="4">
        <v>7</v>
      </c>
      <c r="U232" s="4">
        <v>20</v>
      </c>
      <c r="V232" s="4">
        <v>9</v>
      </c>
      <c r="W232" s="4">
        <v>1</v>
      </c>
      <c r="Y232" s="4">
        <v>4</v>
      </c>
      <c r="AV232" s="4">
        <v>8</v>
      </c>
      <c r="AX232" s="4">
        <v>263</v>
      </c>
      <c r="BI232" s="4">
        <v>176</v>
      </c>
      <c r="BJ232" s="4" t="s">
        <v>364</v>
      </c>
    </row>
    <row r="233" spans="1:366" ht="12.75" x14ac:dyDescent="0.2">
      <c r="A233" s="3">
        <v>43515.363332372683</v>
      </c>
      <c r="B233" s="4" t="s">
        <v>511</v>
      </c>
      <c r="C233" s="4" t="str">
        <f>O233</f>
        <v>Stump Pass Beach State Park=Charlotte</v>
      </c>
      <c r="D233" s="5">
        <v>43502</v>
      </c>
      <c r="E233" s="4" t="s">
        <v>1232</v>
      </c>
      <c r="F233" s="4">
        <v>26.899799999999999</v>
      </c>
      <c r="G233" s="4">
        <v>-82.341800000000006</v>
      </c>
      <c r="H233" s="4">
        <v>26.910900000000002</v>
      </c>
      <c r="I233" s="4">
        <v>-82.353399999999993</v>
      </c>
      <c r="J233" s="6">
        <v>0.47569444444525288</v>
      </c>
      <c r="M233" s="4" t="s">
        <v>350</v>
      </c>
      <c r="N233" s="4" t="s">
        <v>351</v>
      </c>
      <c r="O233" s="4" t="s">
        <v>1233</v>
      </c>
      <c r="P233" s="4">
        <v>0</v>
      </c>
      <c r="Q233" s="4"/>
      <c r="R233" s="4">
        <v>1</v>
      </c>
      <c r="S233" s="4"/>
      <c r="T233" s="4"/>
      <c r="U233" s="4"/>
      <c r="V233" s="4"/>
      <c r="W233" s="4"/>
      <c r="X233" s="4"/>
      <c r="Y233" s="4"/>
      <c r="Z233" s="4"/>
      <c r="AA233" s="4"/>
      <c r="AB233" s="4"/>
      <c r="AC233" s="4"/>
      <c r="AD233" s="4"/>
      <c r="AE233" s="4">
        <v>12</v>
      </c>
      <c r="AF233" s="4"/>
      <c r="AG233" s="4">
        <v>2</v>
      </c>
      <c r="AH233" s="4"/>
      <c r="AI233" s="4"/>
      <c r="AJ233" s="4"/>
      <c r="AK233" s="4"/>
      <c r="AL233" s="4"/>
      <c r="AM233" s="4">
        <v>1</v>
      </c>
      <c r="AN233" s="4"/>
      <c r="AO233" s="4"/>
      <c r="AP233" s="4"/>
      <c r="AQ233" s="4"/>
      <c r="AR233" s="4"/>
      <c r="AS233" s="4"/>
      <c r="AT233" s="4"/>
      <c r="AU233" s="4"/>
      <c r="AV233" s="4"/>
      <c r="AW233" s="4"/>
      <c r="AX233" s="4"/>
      <c r="AY233" s="4"/>
      <c r="AZ233" s="4"/>
      <c r="BA233" s="4"/>
      <c r="BB233" s="4"/>
      <c r="BC233" s="4">
        <v>17</v>
      </c>
      <c r="BD233" s="4"/>
      <c r="BE233" s="4">
        <v>3</v>
      </c>
      <c r="BF233" s="4">
        <v>2</v>
      </c>
      <c r="BG233" s="4"/>
      <c r="BH233" s="4"/>
      <c r="BI233" s="4"/>
      <c r="BJ233" s="4" t="s">
        <v>364</v>
      </c>
    </row>
    <row r="234" spans="1:366" ht="12.75" x14ac:dyDescent="0.2">
      <c r="A234" s="3">
        <v>43513.890241469911</v>
      </c>
      <c r="B234" s="4" t="s">
        <v>360</v>
      </c>
      <c r="C234" s="4" t="s">
        <v>1234</v>
      </c>
      <c r="D234" s="5">
        <v>43501</v>
      </c>
      <c r="E234" s="4" t="s">
        <v>925</v>
      </c>
      <c r="J234" s="6">
        <v>0.5</v>
      </c>
      <c r="K234" s="4" t="s">
        <v>379</v>
      </c>
      <c r="L234" s="4" t="s">
        <v>358</v>
      </c>
      <c r="M234" s="4" t="s">
        <v>350</v>
      </c>
      <c r="N234" s="4" t="s">
        <v>351</v>
      </c>
      <c r="AX234" s="4">
        <v>14</v>
      </c>
      <c r="BJ234" s="4" t="s">
        <v>364</v>
      </c>
    </row>
    <row r="235" spans="1:366" ht="12.75" x14ac:dyDescent="0.2">
      <c r="A235" s="3">
        <v>43508.548188518515</v>
      </c>
      <c r="B235" s="4" t="s">
        <v>896</v>
      </c>
      <c r="C235" s="4" t="s">
        <v>1235</v>
      </c>
      <c r="D235" s="5">
        <v>43503</v>
      </c>
      <c r="E235" s="4" t="s">
        <v>1236</v>
      </c>
      <c r="J235" s="6">
        <v>0.43958333333284827</v>
      </c>
      <c r="K235" s="4" t="s">
        <v>379</v>
      </c>
      <c r="L235" s="4" t="s">
        <v>750</v>
      </c>
      <c r="M235" s="4" t="s">
        <v>350</v>
      </c>
      <c r="N235" s="4" t="s">
        <v>351</v>
      </c>
      <c r="R235" s="4">
        <v>2</v>
      </c>
      <c r="AF235" s="4">
        <v>43</v>
      </c>
      <c r="BB235" s="4">
        <v>1</v>
      </c>
      <c r="BE235" s="4">
        <v>4</v>
      </c>
      <c r="BJ235" s="4" t="s">
        <v>364</v>
      </c>
    </row>
    <row r="236" spans="1:366" ht="12.75" x14ac:dyDescent="0.2">
      <c r="A236" s="3">
        <v>43499.425550567132</v>
      </c>
      <c r="B236" s="4" t="s">
        <v>437</v>
      </c>
      <c r="C236" s="4" t="s">
        <v>1237</v>
      </c>
      <c r="D236" s="5">
        <v>43497</v>
      </c>
      <c r="E236" s="4" t="s">
        <v>1238</v>
      </c>
      <c r="J236" s="6">
        <v>0.41666666666424135</v>
      </c>
      <c r="K236" s="4" t="s">
        <v>348</v>
      </c>
      <c r="L236" s="4" t="s">
        <v>349</v>
      </c>
      <c r="M236" s="4" t="s">
        <v>350</v>
      </c>
      <c r="N236" s="4" t="s">
        <v>351</v>
      </c>
      <c r="O236" s="4" t="s">
        <v>1239</v>
      </c>
      <c r="P236" s="4">
        <v>0</v>
      </c>
      <c r="Q236" s="4"/>
      <c r="R236" s="4"/>
      <c r="S236" s="4">
        <v>17</v>
      </c>
      <c r="T236" s="4"/>
      <c r="U236" s="4"/>
      <c r="V236" s="4">
        <v>1</v>
      </c>
      <c r="W236" s="4"/>
      <c r="X236" s="4"/>
      <c r="Y236" s="4"/>
      <c r="Z236" s="4"/>
      <c r="AA236" s="4"/>
      <c r="AB236" s="4"/>
      <c r="AC236" s="4"/>
      <c r="AD236" s="4"/>
      <c r="AE236" s="4">
        <v>4</v>
      </c>
      <c r="AG236" s="4">
        <v>18</v>
      </c>
      <c r="AH236" s="4">
        <v>1</v>
      </c>
      <c r="AI236" s="4"/>
      <c r="AJ236" s="4"/>
      <c r="AK236" s="4"/>
      <c r="AL236" s="4"/>
      <c r="AM236" s="4">
        <v>3</v>
      </c>
      <c r="AN236" s="4"/>
      <c r="AO236" s="4"/>
      <c r="AP236" s="4"/>
      <c r="AQ236" s="4"/>
      <c r="AR236" s="4"/>
      <c r="AS236" s="4"/>
      <c r="AT236" s="4"/>
      <c r="AU236" s="4"/>
      <c r="AV236" s="4"/>
      <c r="AW236" s="4"/>
      <c r="AX236" s="4"/>
      <c r="AY236" s="4"/>
      <c r="AZ236" s="4"/>
      <c r="BA236" s="4"/>
      <c r="BB236" s="4"/>
      <c r="BC236" s="4">
        <v>3</v>
      </c>
      <c r="BD236" s="4"/>
      <c r="BE236" s="4">
        <v>14</v>
      </c>
      <c r="BF236" s="4">
        <v>1</v>
      </c>
      <c r="BG236" s="4"/>
      <c r="BH236" s="4"/>
      <c r="BI236" s="4"/>
      <c r="BJ236" s="4" t="s">
        <v>364</v>
      </c>
    </row>
    <row r="237" spans="1:366" ht="12.75" x14ac:dyDescent="0.2">
      <c r="A237" s="3">
        <v>43501.366846817131</v>
      </c>
      <c r="B237" s="4" t="s">
        <v>437</v>
      </c>
      <c r="C237" s="4" t="s">
        <v>1240</v>
      </c>
      <c r="D237" s="5">
        <v>43497</v>
      </c>
      <c r="E237" s="4" t="s">
        <v>1241</v>
      </c>
      <c r="J237" s="6">
        <v>0.39583333333575865</v>
      </c>
      <c r="K237" s="4" t="s">
        <v>348</v>
      </c>
      <c r="L237" s="4" t="s">
        <v>349</v>
      </c>
      <c r="M237" s="4" t="s">
        <v>350</v>
      </c>
      <c r="N237" s="4" t="s">
        <v>351</v>
      </c>
      <c r="O237" s="4" t="s">
        <v>1242</v>
      </c>
      <c r="P237" s="4">
        <v>3</v>
      </c>
      <c r="Q237" s="4"/>
      <c r="R237" s="4">
        <v>28</v>
      </c>
      <c r="S237" s="4">
        <v>52</v>
      </c>
      <c r="T237" s="4">
        <v>1</v>
      </c>
      <c r="U237" s="4"/>
      <c r="V237" s="4">
        <v>1</v>
      </c>
      <c r="W237" s="4"/>
      <c r="X237" s="4"/>
      <c r="Y237" s="4"/>
      <c r="Z237" s="4">
        <v>58</v>
      </c>
      <c r="AA237" s="4"/>
      <c r="AB237" s="4"/>
      <c r="AC237" s="4">
        <v>47</v>
      </c>
      <c r="AD237" s="4">
        <v>1</v>
      </c>
      <c r="AE237" s="4">
        <v>30</v>
      </c>
      <c r="AF237" s="4">
        <v>42</v>
      </c>
      <c r="AG237" s="4">
        <v>74</v>
      </c>
      <c r="AH237" s="4"/>
      <c r="AI237" s="4">
        <v>5</v>
      </c>
      <c r="AJ237" s="4"/>
      <c r="AK237" s="4">
        <v>20</v>
      </c>
      <c r="AL237" s="4"/>
      <c r="AM237" s="4">
        <v>27</v>
      </c>
      <c r="AN237" s="4">
        <v>2</v>
      </c>
      <c r="AO237" s="4"/>
      <c r="AP237" s="4"/>
      <c r="AQ237" s="4"/>
      <c r="AR237" s="4"/>
      <c r="AS237" s="4"/>
      <c r="AT237" s="4"/>
      <c r="AU237" s="4">
        <v>23</v>
      </c>
      <c r="AV237" s="4"/>
      <c r="AW237" s="4"/>
      <c r="AX237" s="4">
        <v>120</v>
      </c>
      <c r="AY237" s="4">
        <v>7</v>
      </c>
      <c r="AZ237" s="4"/>
      <c r="BA237" s="4"/>
      <c r="BB237" s="4">
        <v>8</v>
      </c>
      <c r="BC237" s="4"/>
      <c r="BD237" s="4"/>
      <c r="BE237" s="4">
        <v>48</v>
      </c>
      <c r="BF237" s="4">
        <v>56</v>
      </c>
      <c r="BG237" s="4"/>
      <c r="BH237" s="4"/>
      <c r="BI237" s="4"/>
      <c r="BJ237" s="4" t="s">
        <v>353</v>
      </c>
      <c r="BK237" s="4">
        <v>28.105550000000001</v>
      </c>
      <c r="BL237" s="4">
        <v>-82.833960000000005</v>
      </c>
      <c r="BM237" s="4">
        <v>1</v>
      </c>
      <c r="BN237" s="4" t="s">
        <v>444</v>
      </c>
      <c r="BO237" s="4">
        <v>0</v>
      </c>
      <c r="BQ237" s="4">
        <v>0</v>
      </c>
      <c r="BS237" s="4">
        <v>0</v>
      </c>
      <c r="BU237" s="4">
        <v>2</v>
      </c>
      <c r="BV237" s="4" t="s">
        <v>444</v>
      </c>
      <c r="BW237" s="4">
        <v>0</v>
      </c>
      <c r="BZ237" s="4" t="s">
        <v>353</v>
      </c>
      <c r="CA237" s="4">
        <v>28.111699999999999</v>
      </c>
      <c r="CB237" s="4">
        <v>-82.837100000000007</v>
      </c>
      <c r="CC237" s="4">
        <v>0</v>
      </c>
      <c r="CE237" s="4">
        <v>0</v>
      </c>
      <c r="CG237" s="4">
        <v>2</v>
      </c>
      <c r="CH237" s="4" t="s">
        <v>444</v>
      </c>
      <c r="CI237" s="4">
        <v>0</v>
      </c>
      <c r="CK237" s="4">
        <v>0</v>
      </c>
      <c r="CM237" s="4">
        <v>0</v>
      </c>
      <c r="CP237" s="4" t="s">
        <v>353</v>
      </c>
      <c r="CQ237" s="4">
        <v>28.113</v>
      </c>
      <c r="CR237" s="4">
        <v>-82.837010000000006</v>
      </c>
      <c r="CS237" s="4">
        <v>2</v>
      </c>
      <c r="CT237" s="4" t="s">
        <v>444</v>
      </c>
      <c r="CU237" s="4">
        <v>0</v>
      </c>
      <c r="CW237" s="4">
        <v>26</v>
      </c>
      <c r="CX237" s="4" t="s">
        <v>444</v>
      </c>
      <c r="CY237" s="4">
        <v>0</v>
      </c>
      <c r="DA237" s="4">
        <v>0</v>
      </c>
      <c r="DC237" s="4">
        <v>0</v>
      </c>
      <c r="DF237" s="4" t="s">
        <v>353</v>
      </c>
      <c r="DG237" s="4">
        <v>28.114650000000001</v>
      </c>
      <c r="DH237" s="4">
        <v>-82.837069999999997</v>
      </c>
      <c r="DI237" s="4">
        <v>0</v>
      </c>
      <c r="DK237" s="4">
        <v>0</v>
      </c>
      <c r="DM237" s="4">
        <v>17</v>
      </c>
      <c r="DN237" s="4" t="s">
        <v>1243</v>
      </c>
      <c r="DO237" s="4">
        <v>0</v>
      </c>
      <c r="DQ237" s="4">
        <v>3</v>
      </c>
      <c r="DR237" s="4" t="s">
        <v>1244</v>
      </c>
      <c r="DS237" s="4">
        <v>0</v>
      </c>
      <c r="DV237" s="4" t="s">
        <v>353</v>
      </c>
      <c r="DW237" s="4">
        <v>28.11552</v>
      </c>
      <c r="DX237" s="4">
        <v>-82.836780000000005</v>
      </c>
      <c r="DY237" s="4">
        <v>0</v>
      </c>
      <c r="EA237" s="4">
        <v>0</v>
      </c>
      <c r="EC237" s="4">
        <v>2</v>
      </c>
      <c r="ED237" s="4" t="s">
        <v>444</v>
      </c>
      <c r="EE237" s="4">
        <v>0</v>
      </c>
      <c r="EF237" s="4">
        <v>0</v>
      </c>
      <c r="EJ237" s="4">
        <v>0</v>
      </c>
      <c r="EL237" s="4" t="s">
        <v>353</v>
      </c>
      <c r="EM237" s="4">
        <v>28.112500000000001</v>
      </c>
      <c r="EN237" s="4">
        <v>-82.837000000000003</v>
      </c>
      <c r="EO237" s="4">
        <v>0</v>
      </c>
      <c r="EQ237" s="4">
        <v>0</v>
      </c>
      <c r="ES237" s="4">
        <v>0</v>
      </c>
      <c r="EU237" s="4">
        <v>0</v>
      </c>
      <c r="EW237" s="4">
        <v>0</v>
      </c>
      <c r="EY237" s="4">
        <v>2</v>
      </c>
      <c r="EZ237" s="4" t="s">
        <v>444</v>
      </c>
      <c r="FB237" s="4" t="s">
        <v>353</v>
      </c>
      <c r="FC237" s="4">
        <v>28.104769999999998</v>
      </c>
      <c r="FD237" s="4">
        <v>-82.830349999999996</v>
      </c>
      <c r="FE237" s="4">
        <v>0</v>
      </c>
      <c r="FG237" s="4">
        <v>0</v>
      </c>
      <c r="FI237" s="4">
        <v>0</v>
      </c>
      <c r="FK237" s="4">
        <v>1</v>
      </c>
      <c r="FL237" s="4" t="s">
        <v>1245</v>
      </c>
      <c r="FM237" s="4">
        <v>0</v>
      </c>
      <c r="FO237" s="4">
        <v>0</v>
      </c>
      <c r="FR237" s="4" t="s">
        <v>359</v>
      </c>
    </row>
    <row r="238" spans="1:366" ht="12.75" x14ac:dyDescent="0.2">
      <c r="A238" s="3">
        <v>43507.664678229165</v>
      </c>
      <c r="B238" s="4" t="s">
        <v>402</v>
      </c>
      <c r="C238" s="4" t="s">
        <v>1246</v>
      </c>
      <c r="D238" s="5">
        <v>43503</v>
      </c>
      <c r="E238" s="4" t="s">
        <v>1001</v>
      </c>
      <c r="J238" s="6">
        <v>0.36041666666278616</v>
      </c>
      <c r="K238" s="4" t="s">
        <v>348</v>
      </c>
      <c r="L238" s="4" t="s">
        <v>349</v>
      </c>
      <c r="M238" s="4" t="s">
        <v>350</v>
      </c>
      <c r="N238" s="4" t="s">
        <v>351</v>
      </c>
      <c r="P238" s="4">
        <v>63</v>
      </c>
      <c r="R238" s="4">
        <v>121</v>
      </c>
      <c r="S238" s="4">
        <v>303</v>
      </c>
      <c r="T238" s="4">
        <v>32</v>
      </c>
      <c r="V238" s="4">
        <v>80</v>
      </c>
      <c r="X238" s="4">
        <v>1</v>
      </c>
      <c r="Z238" s="4">
        <v>690</v>
      </c>
      <c r="AE238" s="4">
        <v>68</v>
      </c>
      <c r="AM238" s="4">
        <v>149</v>
      </c>
      <c r="AP238" s="4">
        <v>1</v>
      </c>
      <c r="AS238" s="4">
        <v>3</v>
      </c>
      <c r="AU238" s="4">
        <v>142</v>
      </c>
      <c r="AV238" s="4">
        <v>2</v>
      </c>
      <c r="AX238" s="4">
        <v>40</v>
      </c>
      <c r="AY238" s="4">
        <v>51</v>
      </c>
      <c r="BB238" s="4">
        <v>30</v>
      </c>
      <c r="BC238" s="4">
        <v>50</v>
      </c>
      <c r="BE238" s="4">
        <v>23</v>
      </c>
      <c r="BF238" s="4">
        <v>1</v>
      </c>
      <c r="BI238" s="4">
        <v>261</v>
      </c>
      <c r="BJ238" s="4" t="s">
        <v>353</v>
      </c>
      <c r="BK238" s="4">
        <v>29.91046</v>
      </c>
      <c r="BL238" s="4">
        <v>-81.306004999999999</v>
      </c>
      <c r="BM238" s="4">
        <v>4</v>
      </c>
      <c r="BN238" s="4" t="s">
        <v>593</v>
      </c>
      <c r="BY238" s="4" t="s">
        <v>1247</v>
      </c>
      <c r="BZ238" s="4" t="s">
        <v>353</v>
      </c>
      <c r="CA238" s="4">
        <v>29.95983</v>
      </c>
      <c r="CB238" s="4">
        <v>-81.317059999999998</v>
      </c>
      <c r="CC238" s="4">
        <v>2</v>
      </c>
      <c r="CD238" s="4" t="s">
        <v>407</v>
      </c>
      <c r="CP238" s="4" t="s">
        <v>353</v>
      </c>
      <c r="CQ238" s="4">
        <v>29.96115</v>
      </c>
      <c r="CR238" s="4">
        <v>-81.318939999999998</v>
      </c>
      <c r="CS238" s="4">
        <v>2</v>
      </c>
      <c r="CT238" s="4" t="s">
        <v>407</v>
      </c>
      <c r="DF238" s="4" t="s">
        <v>353</v>
      </c>
      <c r="DG238" s="4">
        <v>29.963170000000002</v>
      </c>
      <c r="DH238" s="4">
        <v>-81.322199999999995</v>
      </c>
      <c r="DI238" s="4">
        <v>2</v>
      </c>
      <c r="DV238" s="4" t="s">
        <v>353</v>
      </c>
      <c r="DW238" s="4">
        <v>29.96416</v>
      </c>
      <c r="DX238" s="4">
        <v>-81.323120000000003</v>
      </c>
      <c r="DY238" s="4">
        <v>3</v>
      </c>
      <c r="DZ238" s="4" t="s">
        <v>1003</v>
      </c>
      <c r="EL238" s="4" t="s">
        <v>353</v>
      </c>
      <c r="EM238" s="4">
        <v>29.970649999999999</v>
      </c>
      <c r="EN238" s="4">
        <v>-81.327749999999995</v>
      </c>
      <c r="EO238" s="4">
        <v>1</v>
      </c>
      <c r="FB238" s="4" t="s">
        <v>353</v>
      </c>
      <c r="FC238" s="4">
        <v>29.977049999999998</v>
      </c>
      <c r="FD238" s="4">
        <v>-81.32826</v>
      </c>
      <c r="FE238" s="4">
        <v>12</v>
      </c>
      <c r="FF238" s="4" t="s">
        <v>1248</v>
      </c>
      <c r="FR238" s="4" t="s">
        <v>353</v>
      </c>
      <c r="FS238" s="4">
        <v>29.982620000000001</v>
      </c>
      <c r="FT238" s="4">
        <v>-81.327430000000007</v>
      </c>
      <c r="FU238" s="4">
        <v>2</v>
      </c>
      <c r="GH238" s="4" t="s">
        <v>353</v>
      </c>
      <c r="GI238" s="4">
        <v>30.038730000000001</v>
      </c>
      <c r="GJ238" s="4">
        <v>-81.366579999999999</v>
      </c>
      <c r="GK238" s="4">
        <v>2</v>
      </c>
      <c r="GL238" s="4" t="s">
        <v>407</v>
      </c>
      <c r="GX238" s="4" t="s">
        <v>353</v>
      </c>
      <c r="GY238" s="4">
        <v>30.021159999999998</v>
      </c>
      <c r="GZ238" s="4">
        <v>-81.353129999999993</v>
      </c>
      <c r="HA238" s="4">
        <v>3</v>
      </c>
      <c r="HB238" s="4" t="s">
        <v>1249</v>
      </c>
      <c r="HN238" s="4" t="s">
        <v>353</v>
      </c>
      <c r="HO238" s="4">
        <v>30.019909999999999</v>
      </c>
      <c r="HP238" s="4">
        <v>-81.351200000000006</v>
      </c>
      <c r="HQ238" s="4">
        <v>1</v>
      </c>
      <c r="ID238" s="4" t="s">
        <v>353</v>
      </c>
      <c r="IE238" s="4">
        <v>30.019030000000001</v>
      </c>
      <c r="IF238" s="4">
        <v>-81.350650000000002</v>
      </c>
      <c r="IG238" s="4">
        <v>2</v>
      </c>
      <c r="IH238" s="4" t="s">
        <v>1250</v>
      </c>
      <c r="IT238" s="4" t="s">
        <v>353</v>
      </c>
      <c r="IU238" s="4">
        <v>30.011189999999999</v>
      </c>
      <c r="IV238" s="4">
        <v>-81.348799999999997</v>
      </c>
      <c r="IW238" s="4">
        <v>2</v>
      </c>
      <c r="IX238" s="4" t="s">
        <v>1003</v>
      </c>
      <c r="JJ238" s="4" t="s">
        <v>353</v>
      </c>
      <c r="JK238" s="4">
        <v>30.002520000000001</v>
      </c>
      <c r="JL238" s="4">
        <v>-81.344740000000002</v>
      </c>
      <c r="JM238" s="4">
        <v>2</v>
      </c>
      <c r="JZ238" s="4" t="s">
        <v>353</v>
      </c>
      <c r="KA238" s="4">
        <v>30.000699999999998</v>
      </c>
      <c r="KB238" s="4">
        <v>-81.342359999999999</v>
      </c>
      <c r="KC238" s="4">
        <v>3</v>
      </c>
      <c r="KD238" s="4" t="s">
        <v>593</v>
      </c>
      <c r="KP238" s="4" t="s">
        <v>353</v>
      </c>
      <c r="KQ238" s="4">
        <v>29.998249999999999</v>
      </c>
      <c r="KR238" s="4">
        <v>-81.331209999999999</v>
      </c>
      <c r="KS238" s="4">
        <v>2</v>
      </c>
      <c r="KT238" s="4" t="s">
        <v>1251</v>
      </c>
      <c r="LF238" s="4" t="s">
        <v>1212</v>
      </c>
      <c r="LG238" s="4">
        <v>29.983170000000001</v>
      </c>
      <c r="LH238" s="4">
        <v>-81.331209999999999</v>
      </c>
      <c r="LI238" s="4">
        <v>2</v>
      </c>
      <c r="LJ238" s="4" t="s">
        <v>407</v>
      </c>
      <c r="LV238" s="4" t="s">
        <v>1212</v>
      </c>
      <c r="LW238" s="4">
        <v>29.97963</v>
      </c>
      <c r="LX238" s="4">
        <v>-81.332340000000002</v>
      </c>
      <c r="LY238" s="4">
        <v>6</v>
      </c>
      <c r="LZ238" s="4" t="s">
        <v>1003</v>
      </c>
      <c r="ML238" s="4" t="s">
        <v>1212</v>
      </c>
      <c r="MM238" s="4">
        <v>29.977409999999999</v>
      </c>
      <c r="MN238" s="4">
        <v>-81.332239999999999</v>
      </c>
      <c r="MO238" s="4">
        <v>2</v>
      </c>
      <c r="NB238" s="4" t="s">
        <v>1252</v>
      </c>
    </row>
    <row r="239" spans="1:366" ht="12.75" x14ac:dyDescent="0.2">
      <c r="A239" s="3">
        <v>43504.233704710648</v>
      </c>
      <c r="B239" s="4" t="s">
        <v>376</v>
      </c>
      <c r="C239" s="4" t="s">
        <v>1253</v>
      </c>
      <c r="D239" s="5">
        <v>43498</v>
      </c>
      <c r="E239" s="4" t="s">
        <v>838</v>
      </c>
      <c r="J239" s="6">
        <v>0.5625</v>
      </c>
      <c r="K239" s="4" t="s">
        <v>348</v>
      </c>
      <c r="L239" s="4" t="s">
        <v>349</v>
      </c>
      <c r="M239" s="4" t="s">
        <v>350</v>
      </c>
      <c r="N239" s="4" t="s">
        <v>351</v>
      </c>
      <c r="P239" s="4">
        <v>0</v>
      </c>
      <c r="Q239" s="4"/>
      <c r="R239" s="4">
        <v>1</v>
      </c>
      <c r="S239" s="4"/>
      <c r="T239" s="4"/>
      <c r="U239" s="4"/>
      <c r="V239" s="4"/>
      <c r="W239" s="4"/>
      <c r="X239" s="4"/>
      <c r="Y239" s="4"/>
      <c r="Z239" s="4"/>
      <c r="AA239" s="4"/>
      <c r="AB239" s="4"/>
      <c r="AC239" s="4"/>
      <c r="AD239" s="4"/>
      <c r="AE239" s="4"/>
      <c r="AF239" s="4">
        <v>57</v>
      </c>
      <c r="AG239" s="4"/>
      <c r="AH239" s="4"/>
      <c r="AI239" s="4">
        <v>5</v>
      </c>
      <c r="AJ239" s="4"/>
      <c r="AK239" s="4"/>
      <c r="AL239" s="4"/>
      <c r="AM239" s="4"/>
      <c r="AN239" s="4"/>
      <c r="AO239" s="4"/>
      <c r="AP239" s="4"/>
      <c r="AQ239" s="4"/>
      <c r="AR239" s="4"/>
      <c r="AS239" s="4"/>
      <c r="AT239" s="4"/>
      <c r="AU239" s="4">
        <v>4</v>
      </c>
      <c r="AV239" s="4"/>
      <c r="AW239" s="4"/>
      <c r="AX239" s="4"/>
      <c r="AY239" s="4"/>
      <c r="AZ239" s="4"/>
      <c r="BA239" s="4"/>
      <c r="BB239" s="4"/>
      <c r="BC239" s="4">
        <v>1</v>
      </c>
      <c r="BD239" s="4"/>
      <c r="BE239" s="4"/>
      <c r="BF239" s="4"/>
      <c r="BG239" s="4"/>
      <c r="BH239" s="4"/>
      <c r="BI239" s="4"/>
      <c r="BJ239" s="4" t="s">
        <v>353</v>
      </c>
      <c r="BK239" s="4">
        <v>30.365379999999998</v>
      </c>
      <c r="BL239" s="4">
        <v>-86.309359999999998</v>
      </c>
      <c r="BU239" s="4">
        <v>2</v>
      </c>
      <c r="BV239" s="4" t="s">
        <v>1254</v>
      </c>
      <c r="BZ239" s="4" t="s">
        <v>353</v>
      </c>
      <c r="CA239" s="4">
        <v>30.366029999999999</v>
      </c>
      <c r="CB239" s="4">
        <v>-86.313079999999999</v>
      </c>
      <c r="CK239" s="4">
        <v>2</v>
      </c>
      <c r="CL239" s="4" t="s">
        <v>1255</v>
      </c>
      <c r="CP239" s="4" t="s">
        <v>353</v>
      </c>
      <c r="CQ239" s="4">
        <v>30.366320000000002</v>
      </c>
      <c r="CR239" s="4">
        <v>-86.31456</v>
      </c>
      <c r="DA239" s="4">
        <v>1</v>
      </c>
      <c r="DB239" s="4" t="s">
        <v>1256</v>
      </c>
      <c r="DF239" s="4" t="s">
        <v>359</v>
      </c>
    </row>
    <row r="240" spans="1:366" ht="12.75" x14ac:dyDescent="0.2">
      <c r="A240" s="3">
        <v>43498.442217199074</v>
      </c>
      <c r="B240" s="4" t="s">
        <v>1074</v>
      </c>
      <c r="C240" s="4" t="s">
        <v>1257</v>
      </c>
      <c r="D240" s="5">
        <v>43498</v>
      </c>
      <c r="E240" s="4" t="s">
        <v>1076</v>
      </c>
      <c r="J240" s="6">
        <v>0.32291666666424135</v>
      </c>
      <c r="K240" s="4" t="s">
        <v>348</v>
      </c>
      <c r="L240" s="4" t="s">
        <v>349</v>
      </c>
      <c r="M240" s="4" t="s">
        <v>350</v>
      </c>
      <c r="N240" s="4" t="s">
        <v>351</v>
      </c>
      <c r="AF240" s="4">
        <v>12</v>
      </c>
      <c r="AR240" s="4">
        <v>62</v>
      </c>
      <c r="AU240" s="4">
        <v>1</v>
      </c>
      <c r="AY240" s="4">
        <v>4</v>
      </c>
      <c r="BB240" s="4">
        <v>2</v>
      </c>
      <c r="BC240" s="4">
        <v>250</v>
      </c>
      <c r="BD240" s="4">
        <v>4</v>
      </c>
      <c r="BE240" s="4">
        <v>102</v>
      </c>
      <c r="BF240" s="4">
        <v>311</v>
      </c>
      <c r="BJ240" s="4" t="s">
        <v>353</v>
      </c>
      <c r="BK240" s="4">
        <v>27.774999999999999</v>
      </c>
      <c r="BL240" s="4">
        <v>-82.780600000000007</v>
      </c>
      <c r="BO240" s="4">
        <v>55</v>
      </c>
      <c r="BY240" s="4" t="s">
        <v>1258</v>
      </c>
      <c r="BZ240" s="4" t="s">
        <v>353</v>
      </c>
      <c r="CA240" s="4">
        <v>27.764099999999999</v>
      </c>
      <c r="CB240" s="4">
        <v>-82.769599999999997</v>
      </c>
      <c r="CE240" s="4">
        <v>7</v>
      </c>
      <c r="CO240" s="4" t="s">
        <v>1259</v>
      </c>
      <c r="CP240" s="4" t="s">
        <v>359</v>
      </c>
    </row>
    <row r="241" spans="1:302" ht="12.75" x14ac:dyDescent="0.2">
      <c r="A241" s="3">
        <v>43500.467428275464</v>
      </c>
      <c r="B241" s="4" t="s">
        <v>1074</v>
      </c>
      <c r="C241" s="4" t="str">
        <f>O241</f>
        <v xml:space="preserve">Treasure Island South.  Apparently not surveyed in 2018 but was covered previous to that. </v>
      </c>
      <c r="D241" s="5">
        <v>43500</v>
      </c>
      <c r="E241" s="4" t="s">
        <v>1076</v>
      </c>
      <c r="F241" s="4">
        <v>27.755800000000001</v>
      </c>
      <c r="G241" s="4">
        <v>-82.765500000000003</v>
      </c>
      <c r="H241" s="4">
        <v>27.738700000000001</v>
      </c>
      <c r="I241" s="4">
        <v>-82.756699999999995</v>
      </c>
      <c r="J241" s="6">
        <v>0.31944444444525288</v>
      </c>
      <c r="K241" s="4" t="s">
        <v>348</v>
      </c>
      <c r="L241" s="4" t="s">
        <v>358</v>
      </c>
      <c r="M241" s="4" t="s">
        <v>350</v>
      </c>
      <c r="N241" s="4" t="s">
        <v>351</v>
      </c>
      <c r="O241" s="4" t="s">
        <v>1260</v>
      </c>
      <c r="AF241" s="4">
        <v>84</v>
      </c>
      <c r="AR241" s="4">
        <v>1</v>
      </c>
      <c r="AY241" s="4">
        <v>1</v>
      </c>
      <c r="BB241" s="4">
        <v>11</v>
      </c>
      <c r="BC241" s="4">
        <v>129</v>
      </c>
      <c r="BE241" s="4">
        <v>63</v>
      </c>
      <c r="BF241" s="4">
        <v>87</v>
      </c>
      <c r="BG241" s="4">
        <v>16</v>
      </c>
      <c r="BJ241" s="4" t="s">
        <v>353</v>
      </c>
      <c r="BK241" s="4">
        <v>27.739699999999999</v>
      </c>
      <c r="BL241" s="4">
        <v>-82.757000000000005</v>
      </c>
      <c r="BO241" s="4">
        <v>1</v>
      </c>
      <c r="BY241" s="4" t="s">
        <v>1261</v>
      </c>
      <c r="BZ241" s="4" t="s">
        <v>364</v>
      </c>
    </row>
    <row r="242" spans="1:302" ht="12.75" x14ac:dyDescent="0.2">
      <c r="A242" s="3">
        <v>43500.888642349542</v>
      </c>
      <c r="B242" s="4" t="s">
        <v>1262</v>
      </c>
      <c r="C242" s="4" t="s">
        <v>1263</v>
      </c>
      <c r="D242" s="5">
        <v>43498</v>
      </c>
      <c r="E242" s="4" t="s">
        <v>1264</v>
      </c>
      <c r="J242" s="6">
        <v>0.70833333333575865</v>
      </c>
      <c r="K242" s="4" t="s">
        <v>348</v>
      </c>
      <c r="L242" s="4" t="s">
        <v>358</v>
      </c>
      <c r="M242" s="4" t="s">
        <v>350</v>
      </c>
      <c r="N242" s="4" t="s">
        <v>533</v>
      </c>
      <c r="O242" s="4" t="s">
        <v>1265</v>
      </c>
      <c r="P242" s="7" t="s">
        <v>368</v>
      </c>
      <c r="R242" s="4">
        <v>2</v>
      </c>
      <c r="S242" s="4"/>
      <c r="T242" s="7" t="s">
        <v>368</v>
      </c>
      <c r="V242" s="4"/>
      <c r="W242" s="4"/>
      <c r="X242" s="4"/>
      <c r="Y242" s="4"/>
      <c r="Z242" s="4"/>
      <c r="AA242" s="4"/>
      <c r="AB242" s="4"/>
      <c r="AC242" s="4"/>
      <c r="AD242" s="4"/>
      <c r="AE242" s="4" t="s">
        <v>1266</v>
      </c>
      <c r="AF242" s="4">
        <v>3</v>
      </c>
      <c r="AG242" s="4"/>
      <c r="AH242" s="4"/>
      <c r="AI242" s="4"/>
      <c r="AJ242" s="4"/>
      <c r="AK242" s="4"/>
      <c r="AL242" s="4"/>
      <c r="AM242" s="7" t="s">
        <v>1267</v>
      </c>
      <c r="AN242" s="4">
        <v>2</v>
      </c>
      <c r="AO242" s="4"/>
      <c r="AP242" s="4"/>
      <c r="AQ242" s="4"/>
      <c r="AR242" s="4"/>
      <c r="AS242" s="4"/>
      <c r="AT242" s="4"/>
      <c r="AU242" s="4">
        <v>20</v>
      </c>
      <c r="AV242" s="4"/>
      <c r="AW242" s="4"/>
      <c r="AX242" s="4"/>
      <c r="AY242" s="4"/>
      <c r="AZ242" s="4"/>
      <c r="BA242" s="4"/>
      <c r="BB242" s="4"/>
      <c r="BC242" s="4"/>
      <c r="BD242" s="4"/>
      <c r="BE242" s="4"/>
      <c r="BF242" s="4">
        <v>1</v>
      </c>
      <c r="BG242" s="4"/>
      <c r="BH242" s="4"/>
      <c r="BI242" s="4"/>
      <c r="BJ242" s="4" t="s">
        <v>364</v>
      </c>
    </row>
    <row r="243" spans="1:302" ht="12.75" x14ac:dyDescent="0.2">
      <c r="A243" s="3">
        <v>43500.480758807869</v>
      </c>
      <c r="B243" s="4" t="s">
        <v>460</v>
      </c>
      <c r="C243" s="4" t="s">
        <v>1268</v>
      </c>
      <c r="D243" s="5">
        <v>43499</v>
      </c>
      <c r="E243" s="4" t="s">
        <v>635</v>
      </c>
      <c r="J243" s="6">
        <v>0.56527777777955635</v>
      </c>
      <c r="K243" s="4" t="s">
        <v>348</v>
      </c>
      <c r="L243" s="4" t="s">
        <v>349</v>
      </c>
      <c r="M243" s="4" t="s">
        <v>350</v>
      </c>
      <c r="N243" s="4" t="s">
        <v>351</v>
      </c>
      <c r="P243" s="4">
        <v>0</v>
      </c>
      <c r="Q243" s="4"/>
      <c r="R243" s="4">
        <v>10</v>
      </c>
      <c r="S243" s="4">
        <v>55</v>
      </c>
      <c r="T243" s="4"/>
      <c r="U243" s="4"/>
      <c r="V243" s="4"/>
      <c r="W243" s="4"/>
      <c r="X243" s="4"/>
      <c r="Y243" s="4"/>
      <c r="Z243" s="4"/>
      <c r="AA243" s="4"/>
      <c r="AB243" s="4"/>
      <c r="AC243" s="4">
        <v>2</v>
      </c>
      <c r="AD243" s="4"/>
      <c r="AE243" s="4"/>
      <c r="AF243" s="4">
        <v>55</v>
      </c>
      <c r="AG243" s="4"/>
      <c r="AH243" s="4"/>
      <c r="AI243" s="4">
        <v>4</v>
      </c>
      <c r="AJ243" s="4"/>
      <c r="AK243" s="4"/>
      <c r="AL243" s="4"/>
      <c r="AM243" s="4">
        <v>40</v>
      </c>
      <c r="AN243" s="4"/>
      <c r="AO243" s="4"/>
      <c r="AP243" s="4"/>
      <c r="AQ243" s="4"/>
      <c r="AR243" s="4"/>
      <c r="AS243" s="4"/>
      <c r="AT243" s="4"/>
      <c r="AU243" s="4"/>
      <c r="AV243" s="4"/>
      <c r="AW243" s="4"/>
      <c r="AX243" s="4"/>
      <c r="AY243" s="4"/>
      <c r="AZ243" s="4"/>
      <c r="BA243" s="4"/>
      <c r="BB243" s="4"/>
      <c r="BC243" s="4"/>
      <c r="BD243" s="4"/>
      <c r="BE243" s="4">
        <v>10</v>
      </c>
      <c r="BF243" s="4"/>
      <c r="BG243" s="4"/>
      <c r="BH243" s="4"/>
      <c r="BI243" s="4"/>
      <c r="BJ243" s="4" t="s">
        <v>353</v>
      </c>
      <c r="BK243" s="4">
        <v>30.070820000000001</v>
      </c>
      <c r="BL243" s="4">
        <v>-85.636300000000006</v>
      </c>
      <c r="BM243" s="4">
        <v>0</v>
      </c>
      <c r="BO243" s="4">
        <v>0</v>
      </c>
      <c r="BQ243" s="4">
        <v>1</v>
      </c>
      <c r="BR243" s="4" t="s">
        <v>1269</v>
      </c>
      <c r="BS243" s="4">
        <v>0</v>
      </c>
      <c r="BU243" s="4">
        <v>2</v>
      </c>
      <c r="BV243" s="4" t="s">
        <v>1270</v>
      </c>
      <c r="BW243" s="4">
        <v>0</v>
      </c>
      <c r="BY243" s="4" t="s">
        <v>375</v>
      </c>
      <c r="BZ243" s="4" t="s">
        <v>353</v>
      </c>
      <c r="CA243" s="4">
        <v>30.055319999999998</v>
      </c>
      <c r="CB243" s="4">
        <v>-85.605999999999995</v>
      </c>
      <c r="CC243" s="4">
        <v>0</v>
      </c>
      <c r="CE243" s="4">
        <v>0</v>
      </c>
      <c r="CG243" s="4">
        <v>0</v>
      </c>
      <c r="CI243" s="4">
        <v>0</v>
      </c>
      <c r="CK243" s="4">
        <v>2</v>
      </c>
      <c r="CL243" s="4" t="s">
        <v>1271</v>
      </c>
      <c r="CM243" s="4">
        <v>0</v>
      </c>
      <c r="CO243" s="4" t="s">
        <v>375</v>
      </c>
      <c r="CP243" s="4" t="s">
        <v>353</v>
      </c>
      <c r="CQ243" s="4">
        <v>30.082280000000001</v>
      </c>
      <c r="CR243" s="4">
        <v>-85.662440000000004</v>
      </c>
      <c r="CS243" s="4">
        <v>0</v>
      </c>
      <c r="CU243" s="4">
        <v>0</v>
      </c>
      <c r="CW243" s="4">
        <v>1</v>
      </c>
      <c r="CX243" s="4" t="s">
        <v>1272</v>
      </c>
      <c r="CY243" s="4">
        <v>0</v>
      </c>
      <c r="DA243" s="4">
        <v>0</v>
      </c>
      <c r="DC243" s="4">
        <v>0</v>
      </c>
      <c r="DE243" s="4" t="s">
        <v>375</v>
      </c>
      <c r="DF243" s="4" t="s">
        <v>359</v>
      </c>
    </row>
    <row r="244" spans="1:302" ht="12.75" x14ac:dyDescent="0.2">
      <c r="A244" s="3">
        <v>43502.608961921302</v>
      </c>
      <c r="B244" s="4" t="s">
        <v>936</v>
      </c>
      <c r="C244" s="4" t="s">
        <v>1273</v>
      </c>
      <c r="D244" s="5">
        <v>43500</v>
      </c>
      <c r="E244" s="4" t="s">
        <v>938</v>
      </c>
      <c r="J244" s="6">
        <v>0.43611111110658385</v>
      </c>
      <c r="K244" s="4" t="s">
        <v>348</v>
      </c>
      <c r="L244" s="4" t="s">
        <v>358</v>
      </c>
      <c r="M244" s="4" t="s">
        <v>350</v>
      </c>
      <c r="N244" s="4" t="s">
        <v>351</v>
      </c>
      <c r="P244" s="4">
        <v>0</v>
      </c>
      <c r="Q244" s="4"/>
      <c r="R244" s="4">
        <v>24</v>
      </c>
      <c r="S244" s="4"/>
      <c r="T244" s="4"/>
      <c r="U244" s="4">
        <v>4</v>
      </c>
      <c r="V244" s="4"/>
      <c r="W244" s="4"/>
      <c r="X244" s="4"/>
      <c r="Y244" s="4"/>
      <c r="Z244" s="4"/>
      <c r="AA244" s="4"/>
      <c r="AB244" s="4"/>
      <c r="AC244" s="4"/>
      <c r="AD244" s="4"/>
      <c r="AE244" s="4">
        <v>17</v>
      </c>
      <c r="AF244" s="4">
        <v>18</v>
      </c>
      <c r="AG244" s="4">
        <v>13</v>
      </c>
      <c r="AH244" s="4"/>
      <c r="AI244" s="4"/>
      <c r="AJ244" s="4"/>
      <c r="AK244" s="4"/>
      <c r="AL244" s="4"/>
      <c r="AM244" s="4">
        <v>2</v>
      </c>
      <c r="AN244" s="4"/>
      <c r="AO244" s="4"/>
      <c r="AP244" s="4"/>
      <c r="AQ244" s="4"/>
      <c r="AR244" s="4"/>
      <c r="AS244" s="4">
        <v>2</v>
      </c>
      <c r="AT244" s="4"/>
      <c r="AU244" s="4"/>
      <c r="AV244" s="4"/>
      <c r="AW244" s="4">
        <v>1</v>
      </c>
      <c r="AX244" s="4"/>
      <c r="AY244" s="4">
        <v>88</v>
      </c>
      <c r="AZ244" s="4"/>
      <c r="BA244" s="4"/>
      <c r="BB244" s="4">
        <v>8</v>
      </c>
      <c r="BC244" s="4">
        <v>227</v>
      </c>
      <c r="BD244" s="4"/>
      <c r="BE244" s="4">
        <v>67</v>
      </c>
      <c r="BF244" s="4">
        <v>134</v>
      </c>
      <c r="BG244" s="4">
        <v>130</v>
      </c>
      <c r="BH244" s="4"/>
      <c r="BI244" s="4"/>
      <c r="BJ244" s="4" t="s">
        <v>353</v>
      </c>
      <c r="BK244" s="4">
        <v>27.100932100000001</v>
      </c>
      <c r="BL244" s="4">
        <v>-82.461390399999999</v>
      </c>
      <c r="BY244" s="4" t="s">
        <v>1274</v>
      </c>
      <c r="BZ244" s="4" t="s">
        <v>353</v>
      </c>
      <c r="CA244" s="4">
        <v>27.0901961</v>
      </c>
      <c r="CB244" s="4">
        <v>-82.457848900000002</v>
      </c>
      <c r="CO244" s="4" t="s">
        <v>1275</v>
      </c>
      <c r="CP244" s="4" t="s">
        <v>353</v>
      </c>
      <c r="CQ244" s="4">
        <v>27.075141500000001</v>
      </c>
      <c r="CR244" s="4">
        <v>-82.451816199999996</v>
      </c>
      <c r="DE244" s="4" t="s">
        <v>1276</v>
      </c>
      <c r="DF244" s="4" t="s">
        <v>359</v>
      </c>
    </row>
    <row r="245" spans="1:302" ht="12.75" x14ac:dyDescent="0.2">
      <c r="A245" s="3">
        <v>43523.334823738427</v>
      </c>
      <c r="B245" s="4" t="s">
        <v>1277</v>
      </c>
      <c r="C245" s="4" t="s">
        <v>1278</v>
      </c>
      <c r="D245" s="5">
        <v>43503</v>
      </c>
      <c r="E245" s="4" t="s">
        <v>1279</v>
      </c>
      <c r="F245" s="4">
        <v>27.111111099999999</v>
      </c>
      <c r="G245" s="4">
        <v>-82.465555559999999</v>
      </c>
      <c r="H245" s="4">
        <v>27.105277778000001</v>
      </c>
      <c r="I245" s="4">
        <v>-82.463055560000001</v>
      </c>
      <c r="J245" s="6">
        <v>0.6875</v>
      </c>
      <c r="K245" s="4" t="s">
        <v>379</v>
      </c>
      <c r="L245" s="4" t="s">
        <v>358</v>
      </c>
      <c r="M245" s="4" t="s">
        <v>350</v>
      </c>
      <c r="N245" s="4" t="s">
        <v>351</v>
      </c>
      <c r="O245" s="4" t="s">
        <v>1278</v>
      </c>
      <c r="P245" s="4">
        <v>0</v>
      </c>
      <c r="Q245" s="4"/>
      <c r="R245" s="4">
        <v>6</v>
      </c>
      <c r="S245" s="4"/>
      <c r="T245" s="4"/>
      <c r="U245" s="4"/>
      <c r="V245" s="4">
        <v>1</v>
      </c>
      <c r="W245" s="4"/>
      <c r="X245" s="4"/>
      <c r="Y245" s="4"/>
      <c r="Z245" s="4"/>
      <c r="AA245" s="4"/>
      <c r="AB245" s="4"/>
      <c r="AC245" s="4"/>
      <c r="AD245" s="4"/>
      <c r="AE245" s="4">
        <v>14</v>
      </c>
      <c r="AF245" s="4">
        <v>14</v>
      </c>
      <c r="AG245" s="4">
        <v>8</v>
      </c>
      <c r="AH245" s="4"/>
      <c r="AI245" s="4"/>
      <c r="AJ245" s="4"/>
      <c r="AK245" s="4"/>
      <c r="AL245" s="4"/>
      <c r="AM245" s="4">
        <v>1</v>
      </c>
      <c r="AN245" s="4"/>
      <c r="AO245" s="4"/>
      <c r="AP245" s="4"/>
      <c r="AQ245" s="4"/>
      <c r="AR245" s="4"/>
      <c r="AS245" s="4"/>
      <c r="AT245" s="4"/>
      <c r="AU245" s="4"/>
      <c r="AV245" s="4"/>
      <c r="AW245" s="4"/>
      <c r="AX245" s="4"/>
      <c r="AY245" s="4"/>
      <c r="AZ245" s="4"/>
      <c r="BA245" s="4"/>
      <c r="BB245" s="4"/>
      <c r="BC245" s="4"/>
      <c r="BD245" s="4"/>
      <c r="BE245" s="4"/>
      <c r="BF245" s="4"/>
      <c r="BG245" s="4"/>
      <c r="BH245" s="4"/>
      <c r="BI245" s="4"/>
      <c r="BJ245" s="4" t="s">
        <v>364</v>
      </c>
    </row>
    <row r="246" spans="1:302" ht="12.75" x14ac:dyDescent="0.2">
      <c r="A246" s="3">
        <v>43507.367912476853</v>
      </c>
      <c r="B246" s="4" t="s">
        <v>506</v>
      </c>
      <c r="C246" s="4" t="s">
        <v>1280</v>
      </c>
      <c r="D246" s="5">
        <v>43499</v>
      </c>
      <c r="E246" s="4" t="s">
        <v>508</v>
      </c>
      <c r="J246" s="6">
        <v>0.32638888889050577</v>
      </c>
      <c r="K246" s="4" t="s">
        <v>379</v>
      </c>
      <c r="L246" s="4" t="s">
        <v>349</v>
      </c>
      <c r="M246" s="4" t="s">
        <v>350</v>
      </c>
      <c r="N246" s="4" t="s">
        <v>351</v>
      </c>
      <c r="AX246" s="4">
        <v>13</v>
      </c>
      <c r="BC246" s="4">
        <v>21</v>
      </c>
      <c r="BD246" s="4">
        <v>1</v>
      </c>
      <c r="BE246" s="4">
        <v>17</v>
      </c>
      <c r="BF246" s="4">
        <v>1</v>
      </c>
      <c r="BJ246" s="4" t="s">
        <v>364</v>
      </c>
    </row>
    <row r="247" spans="1:302" ht="12.75" x14ac:dyDescent="0.2">
      <c r="A247" s="3">
        <v>43504.419927986106</v>
      </c>
      <c r="B247" s="4" t="s">
        <v>933</v>
      </c>
      <c r="C247" s="4" t="s">
        <v>1281</v>
      </c>
      <c r="D247" s="5">
        <v>43503</v>
      </c>
      <c r="E247" s="4" t="s">
        <v>1282</v>
      </c>
      <c r="J247" s="6">
        <v>0.4375</v>
      </c>
      <c r="K247" s="4" t="s">
        <v>379</v>
      </c>
      <c r="L247" s="4" t="s">
        <v>349</v>
      </c>
      <c r="M247" s="4" t="s">
        <v>350</v>
      </c>
      <c r="N247" s="4" t="s">
        <v>351</v>
      </c>
      <c r="R247" s="4">
        <v>220</v>
      </c>
      <c r="AE247" s="4">
        <v>9</v>
      </c>
      <c r="AF247" s="4">
        <v>4</v>
      </c>
      <c r="AG247" s="4">
        <v>21</v>
      </c>
      <c r="AN247" s="4">
        <v>4</v>
      </c>
      <c r="AU247" s="4">
        <v>31</v>
      </c>
      <c r="AX247" s="4">
        <v>53</v>
      </c>
      <c r="BC247" s="4">
        <v>50</v>
      </c>
      <c r="BE247" s="4">
        <v>2</v>
      </c>
      <c r="BJ247" s="4" t="s">
        <v>353</v>
      </c>
      <c r="BK247" s="4">
        <v>25.723389999999998</v>
      </c>
      <c r="BL247" s="4">
        <v>-80.155550000000005</v>
      </c>
      <c r="BY247" s="4" t="s">
        <v>1283</v>
      </c>
      <c r="BZ247" s="4" t="s">
        <v>353</v>
      </c>
      <c r="CA247" s="4">
        <v>25.761330000000001</v>
      </c>
      <c r="CB247" s="4">
        <v>-80.131609999999995</v>
      </c>
      <c r="CM247" s="4">
        <v>4</v>
      </c>
      <c r="CO247" s="4" t="s">
        <v>1284</v>
      </c>
      <c r="CP247" s="4" t="s">
        <v>353</v>
      </c>
      <c r="CQ247" s="4">
        <v>25.767189999999999</v>
      </c>
      <c r="CR247" s="4">
        <v>-80.139240000000001</v>
      </c>
      <c r="CU247" s="4">
        <v>265</v>
      </c>
      <c r="CV247" s="4" t="s">
        <v>1285</v>
      </c>
      <c r="DE247" s="4" t="s">
        <v>1286</v>
      </c>
      <c r="DF247" s="4" t="s">
        <v>359</v>
      </c>
    </row>
    <row r="248" spans="1:302" ht="12.75" x14ac:dyDescent="0.2">
      <c r="A248" s="3">
        <v>43502.632958078699</v>
      </c>
      <c r="B248" s="4" t="s">
        <v>684</v>
      </c>
      <c r="C248" s="4" t="s">
        <v>1287</v>
      </c>
      <c r="D248" s="5">
        <v>43497</v>
      </c>
      <c r="E248" s="4" t="s">
        <v>686</v>
      </c>
      <c r="J248" s="6">
        <v>0.33333333333575865</v>
      </c>
      <c r="K248" s="4" t="s">
        <v>348</v>
      </c>
      <c r="L248" s="4" t="s">
        <v>349</v>
      </c>
      <c r="M248" s="4" t="s">
        <v>391</v>
      </c>
      <c r="N248" s="4" t="s">
        <v>351</v>
      </c>
      <c r="O248" s="4" t="s">
        <v>1288</v>
      </c>
      <c r="R248" s="4">
        <v>51</v>
      </c>
      <c r="AC248" s="4">
        <v>3</v>
      </c>
      <c r="AD248" s="4">
        <v>377</v>
      </c>
      <c r="AE248" s="4">
        <v>115</v>
      </c>
      <c r="AF248" s="4">
        <v>478</v>
      </c>
      <c r="AG248" s="4">
        <v>7</v>
      </c>
      <c r="AM248" s="4">
        <v>131</v>
      </c>
      <c r="AR248" s="4">
        <v>257</v>
      </c>
      <c r="AY248" s="4">
        <v>137</v>
      </c>
      <c r="BA248" s="4">
        <v>13</v>
      </c>
      <c r="BB248" s="4">
        <v>820</v>
      </c>
      <c r="BC248" s="4">
        <v>3249</v>
      </c>
      <c r="BD248" s="4">
        <v>8</v>
      </c>
      <c r="BE248" s="4">
        <v>1394</v>
      </c>
      <c r="BF248" s="4">
        <v>381</v>
      </c>
      <c r="BG248" s="4">
        <v>11</v>
      </c>
      <c r="BJ248" s="4" t="s">
        <v>353</v>
      </c>
      <c r="BK248" s="4">
        <v>29.325555999999999</v>
      </c>
      <c r="BL248" s="4">
        <v>-81.053832999999997</v>
      </c>
      <c r="BS248" s="4">
        <v>21</v>
      </c>
      <c r="BT248" s="4" t="s">
        <v>1289</v>
      </c>
      <c r="BZ248" s="4" t="s">
        <v>353</v>
      </c>
      <c r="CA248" s="4">
        <v>29.351944</v>
      </c>
      <c r="CB248" s="4">
        <v>-81.067778000000004</v>
      </c>
      <c r="CI248" s="4">
        <v>1</v>
      </c>
      <c r="CJ248" s="4" t="s">
        <v>763</v>
      </c>
      <c r="CP248" s="4" t="s">
        <v>353</v>
      </c>
      <c r="CQ248" s="4">
        <v>29.360833</v>
      </c>
      <c r="CR248" s="4">
        <v>-81.071667000000005</v>
      </c>
      <c r="CY248" s="4">
        <v>60</v>
      </c>
      <c r="CZ248" s="4" t="s">
        <v>1290</v>
      </c>
      <c r="DF248" s="4" t="s">
        <v>353</v>
      </c>
      <c r="DG248" s="4">
        <v>29.296389000000001</v>
      </c>
      <c r="DH248" s="4">
        <v>-81.041667000000004</v>
      </c>
      <c r="DO248" s="4">
        <v>29</v>
      </c>
      <c r="DP248" s="4" t="s">
        <v>763</v>
      </c>
      <c r="DV248" s="4" t="s">
        <v>353</v>
      </c>
      <c r="DW248" s="4">
        <v>29.251944000000002</v>
      </c>
      <c r="DX248" s="4">
        <v>-81.019443999999993</v>
      </c>
      <c r="EC248" s="4">
        <v>1</v>
      </c>
      <c r="ED248" s="4" t="s">
        <v>763</v>
      </c>
      <c r="EL248" s="4" t="s">
        <v>353</v>
      </c>
      <c r="EM248" s="4">
        <v>29.246110999999999</v>
      </c>
      <c r="EN248" s="4">
        <v>-81.017222000000004</v>
      </c>
      <c r="EU248" s="4">
        <v>4</v>
      </c>
      <c r="EV248" s="4" t="s">
        <v>1291</v>
      </c>
      <c r="FB248" s="4" t="s">
        <v>353</v>
      </c>
      <c r="FC248" s="4">
        <v>29.125556</v>
      </c>
      <c r="FD248" s="4">
        <v>-80.953889000000004</v>
      </c>
      <c r="FK248" s="4">
        <v>44</v>
      </c>
      <c r="FL248" s="4" t="s">
        <v>1292</v>
      </c>
      <c r="FR248" s="4" t="s">
        <v>353</v>
      </c>
      <c r="FS248" s="4">
        <v>29.118055999999999</v>
      </c>
      <c r="FT248" s="4">
        <v>-80.949444</v>
      </c>
      <c r="GA248" s="4">
        <v>10</v>
      </c>
      <c r="GB248" s="4" t="s">
        <v>1291</v>
      </c>
      <c r="GH248" s="4" t="s">
        <v>353</v>
      </c>
      <c r="GI248" s="4">
        <v>29.1175</v>
      </c>
      <c r="GJ248" s="4">
        <v>-80.948611</v>
      </c>
      <c r="GQ248" s="4">
        <v>153</v>
      </c>
      <c r="GR248" s="4" t="s">
        <v>1293</v>
      </c>
      <c r="GX248" s="4" t="s">
        <v>353</v>
      </c>
      <c r="GY248" s="4">
        <v>29.1175</v>
      </c>
      <c r="GZ248" s="4">
        <v>-80.948333000000005</v>
      </c>
      <c r="HG248" s="4">
        <v>48</v>
      </c>
      <c r="HH248" s="4" t="s">
        <v>763</v>
      </c>
      <c r="HN248" s="4" t="s">
        <v>353</v>
      </c>
      <c r="HO248" s="4">
        <v>29.102222000000001</v>
      </c>
      <c r="HP248" s="4">
        <v>-80.943888999999999</v>
      </c>
      <c r="HW248" s="4">
        <v>2</v>
      </c>
      <c r="HX248" s="4" t="s">
        <v>763</v>
      </c>
      <c r="ID248" s="4" t="s">
        <v>353</v>
      </c>
      <c r="IE248" s="4">
        <v>29.089721999999998</v>
      </c>
      <c r="IF248" s="4">
        <v>-80.928888999999998</v>
      </c>
      <c r="IK248" s="4">
        <v>1</v>
      </c>
      <c r="IL248" s="4" t="s">
        <v>763</v>
      </c>
      <c r="IT248" s="4" t="s">
        <v>353</v>
      </c>
      <c r="IU248" s="4">
        <v>29.087222000000001</v>
      </c>
      <c r="IV248" s="4">
        <v>-80.927778000000004</v>
      </c>
      <c r="JC248" s="4">
        <v>5</v>
      </c>
      <c r="JD248" s="4" t="s">
        <v>763</v>
      </c>
      <c r="JJ248" s="4" t="s">
        <v>353</v>
      </c>
      <c r="JK248" s="4">
        <v>29.085882999999999</v>
      </c>
      <c r="JL248" s="4">
        <v>-80.926666999999995</v>
      </c>
      <c r="JQ248" s="4">
        <v>1</v>
      </c>
      <c r="JR248" s="4" t="s">
        <v>1291</v>
      </c>
      <c r="JZ248" s="4" t="s">
        <v>353</v>
      </c>
      <c r="KA248" s="4">
        <v>29.1175</v>
      </c>
      <c r="KB248" s="4">
        <v>-80.948611</v>
      </c>
      <c r="KE248" s="4">
        <v>257</v>
      </c>
      <c r="KF248" s="4" t="s">
        <v>1294</v>
      </c>
      <c r="KP248" s="4" t="s">
        <v>359</v>
      </c>
    </row>
    <row r="249" spans="1:302" ht="12.75" x14ac:dyDescent="0.2">
      <c r="A249" s="3">
        <v>43504.526399166665</v>
      </c>
      <c r="B249" s="4" t="s">
        <v>456</v>
      </c>
      <c r="C249" s="4" t="s">
        <v>1295</v>
      </c>
      <c r="D249" s="5">
        <v>43498</v>
      </c>
      <c r="E249" s="4" t="s">
        <v>458</v>
      </c>
      <c r="J249" s="6">
        <v>0.41527777777810115</v>
      </c>
      <c r="K249" s="4" t="s">
        <v>363</v>
      </c>
      <c r="L249" s="4" t="s">
        <v>349</v>
      </c>
      <c r="M249" s="4" t="s">
        <v>350</v>
      </c>
      <c r="N249" s="4" t="s">
        <v>351</v>
      </c>
      <c r="P249" s="4">
        <v>0</v>
      </c>
      <c r="Q249" s="4"/>
      <c r="R249" s="4"/>
      <c r="S249" s="4"/>
      <c r="T249" s="4"/>
      <c r="U249" s="4"/>
      <c r="V249" s="4"/>
      <c r="W249" s="4"/>
      <c r="X249" s="4"/>
      <c r="Y249" s="4"/>
      <c r="Z249" s="4"/>
      <c r="AA249" s="4"/>
      <c r="AB249" s="4"/>
      <c r="AC249" s="4"/>
      <c r="AD249" s="4"/>
      <c r="AE249" s="4"/>
      <c r="AF249" s="4">
        <v>8</v>
      </c>
      <c r="AG249" s="4"/>
      <c r="AH249" s="4"/>
      <c r="AI249" s="4"/>
      <c r="AJ249" s="4"/>
      <c r="AK249" s="4"/>
      <c r="AL249" s="4"/>
      <c r="AM249" s="4"/>
      <c r="AN249" s="4"/>
      <c r="AO249" s="4"/>
      <c r="AP249" s="4"/>
      <c r="AQ249" s="4"/>
      <c r="AR249" s="4"/>
      <c r="AS249" s="4">
        <v>1</v>
      </c>
      <c r="AT249" s="4"/>
      <c r="AU249" s="4">
        <v>2</v>
      </c>
      <c r="AV249" s="4"/>
      <c r="AW249" s="4"/>
      <c r="AX249" s="4"/>
      <c r="AY249" s="4">
        <v>21</v>
      </c>
      <c r="AZ249" s="4"/>
      <c r="BA249" s="4"/>
      <c r="BB249" s="4"/>
      <c r="BC249" s="4">
        <v>3</v>
      </c>
      <c r="BD249" s="4"/>
      <c r="BE249" s="4">
        <v>1</v>
      </c>
      <c r="BF249" s="4"/>
      <c r="BG249" s="4"/>
      <c r="BH249" s="4"/>
      <c r="BI249" s="4"/>
      <c r="BJ249" s="4" t="s">
        <v>364</v>
      </c>
    </row>
    <row r="250" spans="1:302" ht="12.75" x14ac:dyDescent="0.2">
      <c r="A250" s="3">
        <v>43515.466417013886</v>
      </c>
      <c r="B250" s="4" t="s">
        <v>757</v>
      </c>
      <c r="C250" s="4" t="s">
        <v>1296</v>
      </c>
      <c r="D250" s="5">
        <v>43503</v>
      </c>
      <c r="E250" s="4" t="s">
        <v>1297</v>
      </c>
      <c r="J250" s="6">
        <v>0.41666666666424135</v>
      </c>
      <c r="K250" s="4" t="s">
        <v>348</v>
      </c>
      <c r="L250" s="4" t="s">
        <v>349</v>
      </c>
      <c r="M250" s="4" t="s">
        <v>350</v>
      </c>
      <c r="N250" s="4" t="s">
        <v>351</v>
      </c>
      <c r="P250" s="4">
        <v>15</v>
      </c>
      <c r="Q250" s="4"/>
      <c r="R250" s="4">
        <v>94</v>
      </c>
      <c r="S250" s="4">
        <v>90</v>
      </c>
      <c r="T250" s="4">
        <v>2</v>
      </c>
      <c r="U250" s="4"/>
      <c r="V250" s="4"/>
      <c r="W250" s="4"/>
      <c r="X250" s="4"/>
      <c r="Y250" s="4"/>
      <c r="Z250" s="4">
        <v>41</v>
      </c>
      <c r="AA250" s="4"/>
      <c r="AB250" s="4"/>
      <c r="AC250" s="4"/>
      <c r="AD250" s="4"/>
      <c r="AE250" s="4">
        <v>48</v>
      </c>
      <c r="AF250" s="4"/>
      <c r="AG250" s="4"/>
      <c r="AH250" s="4"/>
      <c r="AI250" s="4"/>
      <c r="AJ250" s="4">
        <v>6</v>
      </c>
      <c r="AK250" s="4"/>
      <c r="AL250" s="4">
        <v>8</v>
      </c>
      <c r="AM250" s="4">
        <v>12</v>
      </c>
      <c r="AN250" s="4"/>
      <c r="AO250" s="4"/>
      <c r="AP250" s="4"/>
      <c r="AQ250" s="4"/>
      <c r="AR250" s="4"/>
      <c r="AS250" s="4"/>
      <c r="AT250" s="4"/>
      <c r="AU250" s="4">
        <v>4</v>
      </c>
      <c r="AV250" s="4"/>
      <c r="AW250" s="4"/>
      <c r="AX250" s="4">
        <v>33</v>
      </c>
      <c r="AY250" s="4"/>
      <c r="AZ250" s="4"/>
      <c r="BA250" s="4"/>
      <c r="BB250" s="4"/>
      <c r="BC250" s="4">
        <v>6</v>
      </c>
      <c r="BD250" s="4"/>
      <c r="BE250" s="4">
        <v>4</v>
      </c>
      <c r="BF250" s="4">
        <v>3</v>
      </c>
      <c r="BG250" s="4"/>
      <c r="BH250" s="4"/>
      <c r="BI250" s="4">
        <v>34</v>
      </c>
      <c r="BJ250" s="4" t="s">
        <v>353</v>
      </c>
      <c r="BK250" s="4">
        <v>29.790870000000002</v>
      </c>
      <c r="BL250" s="4">
        <v>-81.268299999999996</v>
      </c>
      <c r="BM250" s="4">
        <v>15</v>
      </c>
      <c r="BN250" s="4" t="s">
        <v>763</v>
      </c>
      <c r="BO250" s="4">
        <v>0</v>
      </c>
      <c r="BP250" s="4">
        <v>0</v>
      </c>
      <c r="BQ250" s="4">
        <v>0</v>
      </c>
      <c r="BR250" s="4">
        <v>0</v>
      </c>
      <c r="BS250" s="4">
        <v>0</v>
      </c>
      <c r="BT250" s="4">
        <v>0</v>
      </c>
      <c r="BU250" s="4">
        <v>0</v>
      </c>
      <c r="BV250" s="4">
        <v>0</v>
      </c>
      <c r="BW250" s="4">
        <v>0</v>
      </c>
      <c r="BX250" s="4">
        <v>0</v>
      </c>
      <c r="BY250" s="4">
        <v>0</v>
      </c>
      <c r="BZ250" s="4" t="s">
        <v>354</v>
      </c>
    </row>
    <row r="251" spans="1:302" ht="12.75" x14ac:dyDescent="0.2">
      <c r="A251" s="3">
        <v>43508.393018333329</v>
      </c>
      <c r="B251" s="4" t="s">
        <v>538</v>
      </c>
      <c r="C251" s="4" t="s">
        <v>1298</v>
      </c>
      <c r="D251" s="5">
        <v>43499</v>
      </c>
      <c r="E251" s="4" t="s">
        <v>540</v>
      </c>
      <c r="J251" s="6">
        <v>0.58472222222189885</v>
      </c>
      <c r="L251" s="4" t="s">
        <v>358</v>
      </c>
      <c r="M251" s="4" t="s">
        <v>350</v>
      </c>
      <c r="N251" s="4" t="s">
        <v>351</v>
      </c>
      <c r="P251" s="4">
        <v>0</v>
      </c>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v>1</v>
      </c>
      <c r="AY251" s="4"/>
      <c r="AZ251" s="4"/>
      <c r="BA251" s="4"/>
      <c r="BB251" s="4"/>
      <c r="BC251" s="4"/>
      <c r="BD251" s="4"/>
      <c r="BE251" s="4"/>
      <c r="BF251" s="4"/>
      <c r="BG251" s="4"/>
      <c r="BH251" s="4"/>
      <c r="BI251" s="4"/>
      <c r="BJ251" s="4" t="s">
        <v>364</v>
      </c>
    </row>
    <row r="252" spans="1:302" ht="12.75" x14ac:dyDescent="0.2">
      <c r="A252" s="3">
        <v>43501.788399826386</v>
      </c>
      <c r="B252" s="4" t="s">
        <v>847</v>
      </c>
      <c r="C252" s="4" t="s">
        <v>1299</v>
      </c>
      <c r="D252" s="5">
        <v>43500</v>
      </c>
      <c r="E252" s="4" t="s">
        <v>849</v>
      </c>
      <c r="J252" s="6">
        <v>0.37847222221898846</v>
      </c>
      <c r="K252" s="4" t="s">
        <v>348</v>
      </c>
      <c r="L252" s="4" t="s">
        <v>358</v>
      </c>
      <c r="M252" s="4" t="s">
        <v>350</v>
      </c>
      <c r="N252" s="4" t="s">
        <v>351</v>
      </c>
      <c r="O252" s="4" t="s">
        <v>1300</v>
      </c>
      <c r="R252" s="4">
        <v>1</v>
      </c>
      <c r="AE252" s="4">
        <v>4</v>
      </c>
      <c r="AM252" s="4">
        <v>44</v>
      </c>
      <c r="AS252" s="4">
        <v>3</v>
      </c>
      <c r="BE252" s="4">
        <v>19</v>
      </c>
      <c r="BJ252" s="4" t="s">
        <v>364</v>
      </c>
    </row>
    <row r="253" spans="1:302" ht="12.75" x14ac:dyDescent="0.2">
      <c r="A253" s="3">
        <v>43523.476355868057</v>
      </c>
      <c r="B253" s="4" t="s">
        <v>1301</v>
      </c>
      <c r="C253" s="4" t="s">
        <v>1302</v>
      </c>
      <c r="D253" s="5">
        <v>43501</v>
      </c>
      <c r="E253" s="4" t="s">
        <v>1303</v>
      </c>
      <c r="F253" s="4">
        <v>29.785990000000002</v>
      </c>
      <c r="G253" s="4">
        <v>-84.767920000000004</v>
      </c>
      <c r="H253" s="4">
        <v>29.793119999999998</v>
      </c>
      <c r="I253" s="4">
        <v>-84.749600000000001</v>
      </c>
      <c r="J253" s="6">
        <v>0.44791666666424135</v>
      </c>
      <c r="K253" s="4" t="s">
        <v>348</v>
      </c>
      <c r="L253" s="4" t="s">
        <v>358</v>
      </c>
      <c r="M253" s="4" t="s">
        <v>350</v>
      </c>
      <c r="N253" s="4" t="s">
        <v>351</v>
      </c>
      <c r="O253" s="4" t="s">
        <v>1304</v>
      </c>
      <c r="P253" s="4">
        <v>0</v>
      </c>
      <c r="Q253" s="4"/>
      <c r="R253" s="4">
        <v>3</v>
      </c>
      <c r="S253" s="4">
        <v>81</v>
      </c>
      <c r="T253" s="4">
        <v>1</v>
      </c>
      <c r="U253" s="4"/>
      <c r="V253" s="4"/>
      <c r="W253" s="4"/>
      <c r="X253" s="4"/>
      <c r="Y253" s="4"/>
      <c r="Z253" s="4"/>
      <c r="AA253" s="4"/>
      <c r="AB253" s="4"/>
      <c r="AC253" s="4"/>
      <c r="AD253" s="4"/>
      <c r="AE253" s="4">
        <v>2</v>
      </c>
      <c r="AF253" s="4">
        <v>117</v>
      </c>
      <c r="AG253" s="4">
        <v>24</v>
      </c>
      <c r="AH253" s="4"/>
      <c r="AI253" s="4"/>
      <c r="AJ253" s="4"/>
      <c r="AK253" s="4"/>
      <c r="AL253" s="4"/>
      <c r="AM253" s="4">
        <v>15</v>
      </c>
      <c r="AN253" s="4"/>
      <c r="AO253" s="4"/>
      <c r="AP253" s="4"/>
      <c r="AQ253" s="4"/>
      <c r="AR253" s="4"/>
      <c r="AS253" s="4"/>
      <c r="AT253" s="4"/>
      <c r="AU253" s="4">
        <v>1</v>
      </c>
      <c r="AV253" s="4"/>
      <c r="AW253" s="4"/>
      <c r="AX253" s="4">
        <v>2</v>
      </c>
      <c r="AY253" s="4"/>
      <c r="AZ253" s="4"/>
      <c r="BA253" s="4"/>
      <c r="BB253" s="4">
        <v>1</v>
      </c>
      <c r="BC253" s="4"/>
      <c r="BD253" s="4"/>
      <c r="BE253" s="4">
        <v>3</v>
      </c>
      <c r="BF253" s="4"/>
      <c r="BG253" s="4">
        <v>1</v>
      </c>
      <c r="BH253" s="4"/>
      <c r="BI253" s="4"/>
      <c r="BJ253" s="4" t="s">
        <v>364</v>
      </c>
    </row>
    <row r="254" spans="1:302" ht="12.75" x14ac:dyDescent="0.2">
      <c r="A254" s="3">
        <v>43524.474855208333</v>
      </c>
      <c r="B254" s="4" t="s">
        <v>611</v>
      </c>
      <c r="C254" s="4" t="s">
        <v>1305</v>
      </c>
      <c r="D254" s="5">
        <v>43503</v>
      </c>
      <c r="E254" s="4" t="s">
        <v>1306</v>
      </c>
      <c r="J254" s="6">
        <v>0.37013888888759539</v>
      </c>
      <c r="K254" s="4" t="s">
        <v>348</v>
      </c>
      <c r="L254" s="4" t="s">
        <v>349</v>
      </c>
      <c r="M254" s="4" t="s">
        <v>350</v>
      </c>
      <c r="N254" s="4" t="s">
        <v>351</v>
      </c>
      <c r="O254" s="4" t="s">
        <v>1307</v>
      </c>
      <c r="P254" s="4">
        <v>0</v>
      </c>
      <c r="Q254" s="4"/>
      <c r="R254" s="4">
        <v>2</v>
      </c>
      <c r="S254" s="4"/>
      <c r="T254" s="4"/>
      <c r="U254" s="4"/>
      <c r="V254" s="4"/>
      <c r="W254" s="4"/>
      <c r="X254" s="4"/>
      <c r="Y254" s="4"/>
      <c r="Z254" s="4"/>
      <c r="AB254" s="4"/>
      <c r="AC254" s="4"/>
      <c r="AD254" s="4"/>
      <c r="AE254" s="4">
        <v>15</v>
      </c>
      <c r="AF254" s="4">
        <v>25</v>
      </c>
      <c r="AG254" s="4"/>
      <c r="AH254" s="4"/>
      <c r="AI254" s="4"/>
      <c r="AJ254" s="4"/>
      <c r="AK254" s="4"/>
      <c r="AL254" s="4"/>
      <c r="AM254" s="4">
        <v>8</v>
      </c>
      <c r="AN254" s="4"/>
      <c r="AO254" s="4"/>
      <c r="AR254" s="4"/>
      <c r="AS254" s="4"/>
      <c r="AT254" s="4"/>
      <c r="AU254" s="4">
        <v>8</v>
      </c>
      <c r="AV254" s="4"/>
      <c r="AW254" s="4">
        <v>2</v>
      </c>
      <c r="AX254" s="4">
        <v>14</v>
      </c>
      <c r="AY254" s="4">
        <v>20</v>
      </c>
      <c r="AZ254" s="4"/>
      <c r="BA254" s="4"/>
      <c r="BB254" s="4">
        <v>2</v>
      </c>
      <c r="BC254" s="4">
        <v>45</v>
      </c>
      <c r="BD254" s="4"/>
      <c r="BE254" s="4">
        <v>27</v>
      </c>
      <c r="BF254" s="4">
        <v>35</v>
      </c>
      <c r="BG254" s="4">
        <v>10</v>
      </c>
      <c r="BH254" s="4"/>
      <c r="BI254" s="4"/>
      <c r="BJ254" s="4" t="s">
        <v>364</v>
      </c>
    </row>
    <row r="255" spans="1:302" ht="12.75" x14ac:dyDescent="0.2">
      <c r="A255" s="3">
        <v>43524.486711724538</v>
      </c>
      <c r="B255" s="4" t="s">
        <v>1308</v>
      </c>
      <c r="C255" s="4" t="s">
        <v>1309</v>
      </c>
      <c r="D255" s="5">
        <v>43503</v>
      </c>
      <c r="E255" s="4" t="s">
        <v>1310</v>
      </c>
      <c r="J255" s="6">
        <v>0.28472222221898846</v>
      </c>
      <c r="N255" s="4" t="s">
        <v>351</v>
      </c>
      <c r="O255" s="4" t="s">
        <v>1311</v>
      </c>
      <c r="P255" s="4">
        <v>45</v>
      </c>
      <c r="Q255" s="4"/>
      <c r="R255" s="4">
        <v>52</v>
      </c>
      <c r="S255" s="4">
        <v>107</v>
      </c>
      <c r="T255" s="4"/>
      <c r="U255" s="4">
        <v>18</v>
      </c>
      <c r="V255" s="4">
        <v>265</v>
      </c>
      <c r="W255" s="4"/>
      <c r="X255" s="4"/>
      <c r="Y255" s="4"/>
      <c r="Z255" s="4">
        <v>40</v>
      </c>
      <c r="AB255" s="4">
        <v>12</v>
      </c>
      <c r="AC255" s="4"/>
      <c r="AD255" s="4">
        <v>19</v>
      </c>
      <c r="AE255" s="4">
        <v>48</v>
      </c>
      <c r="AF255" s="4">
        <v>32</v>
      </c>
      <c r="AG255" s="4">
        <v>137</v>
      </c>
      <c r="AH255" s="4"/>
      <c r="AI255" s="4"/>
      <c r="AJ255" s="4">
        <v>15</v>
      </c>
      <c r="AK255" s="4">
        <v>25</v>
      </c>
      <c r="AL255" s="4"/>
      <c r="AM255" s="4">
        <v>52</v>
      </c>
      <c r="AN255" s="4">
        <v>4</v>
      </c>
      <c r="AO255" s="4"/>
      <c r="AR255" s="4">
        <v>192</v>
      </c>
      <c r="AS255" s="4">
        <v>26</v>
      </c>
      <c r="AT255" s="4"/>
      <c r="AU255" s="4">
        <v>42</v>
      </c>
      <c r="AV255" s="4">
        <v>2</v>
      </c>
      <c r="AW255" s="4"/>
      <c r="AX255" s="4">
        <v>24</v>
      </c>
      <c r="AY255" s="4">
        <v>42</v>
      </c>
      <c r="AZ255" s="4"/>
      <c r="BA255" s="4"/>
      <c r="BB255" s="4"/>
      <c r="BC255" s="4">
        <v>342</v>
      </c>
      <c r="BD255" s="4">
        <v>3</v>
      </c>
      <c r="BE255" s="4">
        <v>57</v>
      </c>
      <c r="BF255" s="4">
        <v>34</v>
      </c>
      <c r="BG255" s="4"/>
      <c r="BH255" s="4"/>
      <c r="BI255" s="4"/>
      <c r="BJ255" s="4" t="s">
        <v>353</v>
      </c>
      <c r="BK255" s="4">
        <v>27.960100000000001</v>
      </c>
      <c r="BL255" s="4">
        <v>-82.719200000000001</v>
      </c>
      <c r="BM255" s="4">
        <v>2</v>
      </c>
      <c r="BN255" s="4" t="s">
        <v>385</v>
      </c>
      <c r="BW255" s="4">
        <v>2</v>
      </c>
      <c r="BX255" s="4" t="s">
        <v>385</v>
      </c>
      <c r="BZ255" s="4" t="s">
        <v>353</v>
      </c>
      <c r="CA255" s="4">
        <v>27.960799999999999</v>
      </c>
      <c r="CB255" s="4">
        <v>-82.697800000000001</v>
      </c>
      <c r="CE255" s="4">
        <v>78</v>
      </c>
      <c r="CI255" s="4">
        <v>19</v>
      </c>
      <c r="CJ255" s="4" t="s">
        <v>1312</v>
      </c>
      <c r="CM255" s="4">
        <v>4</v>
      </c>
      <c r="CP255" s="4" t="s">
        <v>353</v>
      </c>
      <c r="CQ255" s="4">
        <v>27.963100000000001</v>
      </c>
      <c r="CR255" s="4">
        <v>-82.679100000000005</v>
      </c>
      <c r="CS255" s="4">
        <v>2</v>
      </c>
      <c r="DF255" s="4" t="s">
        <v>353</v>
      </c>
      <c r="DG255" s="4">
        <v>27.968399999999999</v>
      </c>
      <c r="DH255" s="4">
        <v>-82.573800000000006</v>
      </c>
      <c r="DK255" s="4">
        <v>114</v>
      </c>
      <c r="DV255" s="4" t="s">
        <v>353</v>
      </c>
      <c r="DW255" s="4">
        <v>27.962199999999999</v>
      </c>
      <c r="DX255" s="4">
        <v>-82.570599999999999</v>
      </c>
      <c r="DY255" s="4">
        <v>2</v>
      </c>
      <c r="EL255" s="4" t="s">
        <v>353</v>
      </c>
      <c r="EM255" s="4">
        <v>27.968599999999999</v>
      </c>
      <c r="EN255" s="4">
        <v>-82.638199999999998</v>
      </c>
      <c r="EO255" s="4">
        <v>35</v>
      </c>
      <c r="EP255" s="4" t="s">
        <v>1313</v>
      </c>
      <c r="FB255" s="4" t="s">
        <v>353</v>
      </c>
      <c r="FC255" s="4">
        <v>27.9648</v>
      </c>
      <c r="FD255" s="4">
        <v>-82.669300000000007</v>
      </c>
      <c r="FE255" s="4">
        <v>4</v>
      </c>
      <c r="FF255" s="4" t="s">
        <v>1314</v>
      </c>
      <c r="FR255" s="4" t="s">
        <v>359</v>
      </c>
    </row>
    <row r="256" spans="1:302" ht="12.75" x14ac:dyDescent="0.2">
      <c r="A256" s="3">
        <v>43524.58675243055</v>
      </c>
      <c r="B256" s="4" t="s">
        <v>1315</v>
      </c>
      <c r="C256" s="4" t="s">
        <v>1033</v>
      </c>
      <c r="D256" s="5">
        <v>43502</v>
      </c>
      <c r="E256" s="4" t="s">
        <v>1316</v>
      </c>
      <c r="F256" s="4">
        <v>30.068292</v>
      </c>
      <c r="G256" s="4">
        <v>-81.333153999999993</v>
      </c>
      <c r="H256" s="4">
        <v>29.914304999999999</v>
      </c>
      <c r="I256" s="4">
        <v>-81.288809999999998</v>
      </c>
      <c r="J256" s="6">
        <v>0.60416666666424135</v>
      </c>
      <c r="K256" s="4" t="s">
        <v>348</v>
      </c>
      <c r="L256" s="4" t="s">
        <v>750</v>
      </c>
      <c r="M256" s="4" t="s">
        <v>350</v>
      </c>
      <c r="N256" s="4" t="s">
        <v>351</v>
      </c>
      <c r="O256" s="4" t="s">
        <v>1317</v>
      </c>
      <c r="S256" s="4">
        <v>2</v>
      </c>
      <c r="AE256" s="4">
        <v>3</v>
      </c>
      <c r="AF256" s="4">
        <v>87</v>
      </c>
      <c r="AG256" s="4">
        <v>2</v>
      </c>
      <c r="AM256" s="4">
        <v>25</v>
      </c>
      <c r="AP256" s="4">
        <v>5</v>
      </c>
      <c r="AR256" s="4">
        <v>104</v>
      </c>
      <c r="AS256" s="4">
        <v>4</v>
      </c>
      <c r="AW256" s="4">
        <v>2</v>
      </c>
      <c r="AY256" s="4">
        <v>55</v>
      </c>
      <c r="AZ256" s="4">
        <v>5</v>
      </c>
      <c r="BB256" s="4">
        <v>1</v>
      </c>
      <c r="BC256" s="4">
        <v>65</v>
      </c>
      <c r="BE256" s="4">
        <v>131</v>
      </c>
      <c r="BF256" s="4">
        <v>50</v>
      </c>
      <c r="BJ256" s="4" t="s">
        <v>353</v>
      </c>
      <c r="BK256" s="4">
        <v>30.022158999999998</v>
      </c>
      <c r="BL256" s="4">
        <v>-81.322671</v>
      </c>
      <c r="BO256" s="4">
        <v>9</v>
      </c>
      <c r="BP256" s="4" t="s">
        <v>400</v>
      </c>
      <c r="BZ256" s="4" t="s">
        <v>353</v>
      </c>
      <c r="CA256" s="4">
        <v>30.016629999999999</v>
      </c>
      <c r="CB256" s="4">
        <v>-81.322477000000006</v>
      </c>
      <c r="CE256" s="4">
        <v>37</v>
      </c>
      <c r="CF256" s="4" t="s">
        <v>1318</v>
      </c>
      <c r="CP256" s="4" t="s">
        <v>353</v>
      </c>
      <c r="CQ256" s="4">
        <v>30.004636999999999</v>
      </c>
      <c r="CR256" s="4">
        <v>-81.318354999999997</v>
      </c>
      <c r="CU256" s="4">
        <v>58</v>
      </c>
      <c r="CV256" s="4" t="s">
        <v>400</v>
      </c>
      <c r="DF256" s="4" t="s">
        <v>359</v>
      </c>
    </row>
    <row r="257" spans="1:78" ht="12.75" x14ac:dyDescent="0.2">
      <c r="A257" s="3">
        <v>43524.594096643516</v>
      </c>
      <c r="B257" s="4" t="s">
        <v>1315</v>
      </c>
      <c r="C257" s="4" t="s">
        <v>1319</v>
      </c>
      <c r="D257" s="5">
        <v>43501</v>
      </c>
      <c r="E257" s="4" t="s">
        <v>1320</v>
      </c>
      <c r="F257" s="4">
        <v>29.718195000000001</v>
      </c>
      <c r="G257" s="4">
        <v>-81.230894000000006</v>
      </c>
      <c r="H257" s="4">
        <v>29.859636200000001</v>
      </c>
      <c r="I257" s="4">
        <v>-81.265501</v>
      </c>
      <c r="J257" s="6">
        <v>0.64236111110949423</v>
      </c>
      <c r="K257" s="4" t="s">
        <v>363</v>
      </c>
      <c r="L257" s="4" t="s">
        <v>750</v>
      </c>
      <c r="M257" s="4" t="s">
        <v>350</v>
      </c>
      <c r="N257" s="4" t="s">
        <v>351</v>
      </c>
      <c r="AF257" s="4">
        <v>16</v>
      </c>
      <c r="BC257" s="4">
        <v>8</v>
      </c>
      <c r="BE257" s="4">
        <v>207</v>
      </c>
      <c r="BF257" s="4">
        <v>2</v>
      </c>
      <c r="BJ257" s="4" t="s">
        <v>364</v>
      </c>
    </row>
    <row r="258" spans="1:78" ht="12.75" x14ac:dyDescent="0.2">
      <c r="A258" s="3">
        <v>43524.595628530093</v>
      </c>
      <c r="B258" s="4" t="s">
        <v>549</v>
      </c>
      <c r="C258" s="4" t="s">
        <v>1133</v>
      </c>
      <c r="D258" s="5">
        <v>43501</v>
      </c>
      <c r="E258" s="4" t="s">
        <v>1122</v>
      </c>
      <c r="J258" s="6">
        <v>0.46180555555474712</v>
      </c>
      <c r="K258" s="4" t="s">
        <v>348</v>
      </c>
      <c r="L258" s="4" t="s">
        <v>349</v>
      </c>
      <c r="M258" s="4" t="s">
        <v>350</v>
      </c>
      <c r="N258" s="4" t="s">
        <v>351</v>
      </c>
      <c r="O258" s="4" t="s">
        <v>1321</v>
      </c>
      <c r="P258" s="4">
        <v>0</v>
      </c>
      <c r="Q258" s="4"/>
      <c r="R258" s="4"/>
      <c r="S258" s="4"/>
      <c r="T258" s="4"/>
      <c r="U258" s="4"/>
      <c r="V258" s="4"/>
      <c r="W258" s="4"/>
      <c r="X258" s="4"/>
      <c r="Y258" s="4"/>
      <c r="Z258" s="4"/>
      <c r="AA258" s="4"/>
      <c r="AB258" s="4"/>
      <c r="AC258" s="4"/>
      <c r="AD258" s="4"/>
      <c r="AE258" s="4">
        <v>5</v>
      </c>
      <c r="AF258" s="4">
        <v>1</v>
      </c>
      <c r="AG258" s="4"/>
      <c r="AH258" s="4"/>
      <c r="AI258" s="4"/>
      <c r="AJ258" s="4"/>
      <c r="AK258" s="4"/>
      <c r="AL258" s="4"/>
      <c r="AM258" s="4"/>
      <c r="AN258" s="4"/>
      <c r="AO258" s="4"/>
      <c r="AP258" s="4"/>
      <c r="AQ258" s="4"/>
      <c r="AR258" s="4"/>
      <c r="AS258" s="4"/>
      <c r="AT258" s="4"/>
      <c r="AU258" s="4">
        <v>22</v>
      </c>
      <c r="AV258" s="4"/>
      <c r="AW258" s="4"/>
      <c r="AX258" s="4">
        <v>1</v>
      </c>
      <c r="AY258" s="4">
        <v>1</v>
      </c>
      <c r="AZ258" s="4"/>
      <c r="BA258" s="4"/>
      <c r="BB258" s="4"/>
      <c r="BC258" s="4"/>
      <c r="BD258" s="4"/>
      <c r="BE258" s="4">
        <v>1</v>
      </c>
      <c r="BF258" s="4"/>
      <c r="BG258" s="4"/>
      <c r="BH258" s="4"/>
      <c r="BI258" s="4"/>
      <c r="BJ258" s="4" t="s">
        <v>364</v>
      </c>
    </row>
    <row r="259" spans="1:78" ht="12.75" x14ac:dyDescent="0.2">
      <c r="A259" s="3">
        <v>43524.599698749997</v>
      </c>
      <c r="B259" s="4" t="s">
        <v>1315</v>
      </c>
      <c r="C259" s="4" t="s">
        <v>1033</v>
      </c>
      <c r="D259" s="5">
        <v>43500</v>
      </c>
      <c r="E259" s="4" t="s">
        <v>1322</v>
      </c>
      <c r="F259" s="4">
        <v>30.162125</v>
      </c>
      <c r="G259" s="4">
        <v>-81.355570900000004</v>
      </c>
      <c r="H259" s="4">
        <v>30.252908000000001</v>
      </c>
      <c r="I259" s="4">
        <v>-81.380105999999998</v>
      </c>
      <c r="J259" s="6">
        <v>0.53194444444670808</v>
      </c>
      <c r="K259" s="4" t="s">
        <v>363</v>
      </c>
      <c r="L259" s="4" t="s">
        <v>750</v>
      </c>
      <c r="M259" s="4" t="s">
        <v>350</v>
      </c>
      <c r="N259" s="4" t="s">
        <v>351</v>
      </c>
      <c r="O259" s="4" t="s">
        <v>1323</v>
      </c>
      <c r="AF259" s="4">
        <v>75</v>
      </c>
      <c r="AM259" s="4">
        <v>11</v>
      </c>
      <c r="AY259" s="4">
        <v>40</v>
      </c>
      <c r="BB259" s="4">
        <v>6</v>
      </c>
      <c r="BC259" s="4">
        <v>27</v>
      </c>
      <c r="BE259" s="4">
        <v>39</v>
      </c>
      <c r="BF259" s="4">
        <v>3</v>
      </c>
      <c r="BJ259" s="4" t="s">
        <v>364</v>
      </c>
    </row>
    <row r="260" spans="1:78" ht="12.75" x14ac:dyDescent="0.2">
      <c r="A260" s="3">
        <v>43524.603470983799</v>
      </c>
      <c r="B260" s="4" t="s">
        <v>1315</v>
      </c>
      <c r="C260" s="4" t="s">
        <v>1033</v>
      </c>
      <c r="D260" s="5">
        <v>43500</v>
      </c>
      <c r="E260" s="4" t="s">
        <v>1322</v>
      </c>
      <c r="F260" s="4">
        <v>30.162125</v>
      </c>
      <c r="G260" s="4">
        <v>-81.355709000000004</v>
      </c>
      <c r="H260" s="4">
        <v>30.127255999999999</v>
      </c>
      <c r="I260" s="4">
        <v>-81.347172</v>
      </c>
      <c r="J260" s="6">
        <v>0.59305555555329192</v>
      </c>
      <c r="K260" s="4" t="s">
        <v>363</v>
      </c>
      <c r="L260" s="4" t="s">
        <v>750</v>
      </c>
      <c r="M260" s="4" t="s">
        <v>350</v>
      </c>
      <c r="N260" s="4" t="s">
        <v>351</v>
      </c>
      <c r="O260" s="4" t="s">
        <v>1324</v>
      </c>
      <c r="AF260" s="4">
        <v>17</v>
      </c>
      <c r="AM260" s="4">
        <v>4</v>
      </c>
      <c r="AY260" s="4">
        <v>2</v>
      </c>
      <c r="BB260" s="4">
        <v>2</v>
      </c>
      <c r="BC260" s="4">
        <v>4</v>
      </c>
      <c r="BE260" s="4">
        <v>10</v>
      </c>
      <c r="BJ260" s="4" t="s">
        <v>364</v>
      </c>
    </row>
    <row r="261" spans="1:78" ht="12.75" x14ac:dyDescent="0.2">
      <c r="A261" s="3">
        <v>43524.608263460643</v>
      </c>
      <c r="B261" s="4" t="s">
        <v>1325</v>
      </c>
      <c r="C261" s="4" t="s">
        <v>1033</v>
      </c>
      <c r="D261" s="5">
        <v>43501</v>
      </c>
      <c r="E261" s="4" t="s">
        <v>1326</v>
      </c>
      <c r="F261" s="4">
        <v>29.647849999999998</v>
      </c>
      <c r="G261" s="4">
        <v>-84.893320000000003</v>
      </c>
      <c r="H261" s="4">
        <v>29.61572</v>
      </c>
      <c r="I261" s="4">
        <v>-84.953710000000001</v>
      </c>
      <c r="J261" s="6">
        <v>9.1666666667151731E-2</v>
      </c>
      <c r="K261" s="4" t="s">
        <v>348</v>
      </c>
      <c r="L261" s="4" t="s">
        <v>349</v>
      </c>
      <c r="M261" s="4" t="s">
        <v>350</v>
      </c>
      <c r="N261" s="4" t="s">
        <v>351</v>
      </c>
      <c r="O261" s="4" t="s">
        <v>1327</v>
      </c>
      <c r="P261" s="4">
        <v>0</v>
      </c>
      <c r="Q261" s="4"/>
      <c r="R261" s="4"/>
      <c r="S261" s="4"/>
      <c r="T261" s="4"/>
      <c r="U261" s="4"/>
      <c r="V261" s="4"/>
      <c r="W261" s="4"/>
      <c r="X261" s="4"/>
      <c r="Y261" s="4"/>
      <c r="Z261" s="4"/>
      <c r="AA261" s="4"/>
      <c r="AB261" s="4"/>
      <c r="AC261" s="4"/>
      <c r="AD261" s="4"/>
      <c r="AE261" s="4"/>
      <c r="AF261" s="4">
        <v>23</v>
      </c>
      <c r="AG261" s="4"/>
      <c r="AH261" s="4"/>
      <c r="AI261" s="4"/>
      <c r="AJ261" s="4"/>
      <c r="AK261" s="4"/>
      <c r="AL261" s="4"/>
      <c r="AM261" s="4">
        <v>13</v>
      </c>
      <c r="AN261" s="4"/>
      <c r="AO261" s="4"/>
      <c r="AP261" s="4"/>
      <c r="AQ261" s="4"/>
      <c r="AR261" s="4"/>
      <c r="AS261" s="4"/>
      <c r="AT261" s="4"/>
      <c r="AU261" s="4"/>
      <c r="AV261" s="4"/>
      <c r="AW261" s="4"/>
      <c r="AX261" s="4"/>
      <c r="AY261" s="4"/>
      <c r="AZ261" s="4"/>
      <c r="BA261" s="4"/>
      <c r="BB261" s="4">
        <v>3</v>
      </c>
      <c r="BC261" s="4"/>
      <c r="BD261" s="4"/>
      <c r="BE261" s="4">
        <v>7</v>
      </c>
      <c r="BF261" s="4"/>
      <c r="BG261" s="4"/>
      <c r="BH261" s="4"/>
      <c r="BI261" s="4"/>
      <c r="BJ261" s="4" t="s">
        <v>364</v>
      </c>
    </row>
    <row r="262" spans="1:78" ht="12.75" x14ac:dyDescent="0.2">
      <c r="A262" s="3">
        <v>43524.664586631945</v>
      </c>
      <c r="B262" s="4" t="s">
        <v>1328</v>
      </c>
      <c r="C262" s="4" t="s">
        <v>1329</v>
      </c>
      <c r="D262" s="5">
        <v>43497</v>
      </c>
      <c r="E262" s="4" t="s">
        <v>1330</v>
      </c>
      <c r="J262" s="6">
        <v>0.3125</v>
      </c>
      <c r="K262" s="4" t="s">
        <v>348</v>
      </c>
      <c r="L262" s="4" t="s">
        <v>349</v>
      </c>
      <c r="M262" s="4" t="s">
        <v>350</v>
      </c>
      <c r="N262" s="4" t="s">
        <v>351</v>
      </c>
      <c r="R262" s="4">
        <v>4</v>
      </c>
      <c r="AE262" s="4">
        <v>9</v>
      </c>
      <c r="AF262" s="4">
        <v>36</v>
      </c>
      <c r="BA262" s="4">
        <v>1</v>
      </c>
      <c r="BE262" s="4">
        <v>4</v>
      </c>
      <c r="BF262" s="4">
        <v>50</v>
      </c>
      <c r="BJ262" s="4" t="s">
        <v>364</v>
      </c>
    </row>
    <row r="263" spans="1:78" ht="12.75" x14ac:dyDescent="0.2">
      <c r="A263" s="3">
        <v>43524.666656932866</v>
      </c>
      <c r="B263" s="4" t="s">
        <v>1328</v>
      </c>
      <c r="C263" s="4" t="s">
        <v>1329</v>
      </c>
      <c r="D263" s="5">
        <v>43498</v>
      </c>
      <c r="E263" s="4" t="s">
        <v>1331</v>
      </c>
      <c r="J263" s="6">
        <v>0.3125</v>
      </c>
      <c r="K263" s="4" t="s">
        <v>348</v>
      </c>
      <c r="L263" s="4" t="s">
        <v>349</v>
      </c>
      <c r="M263" s="4" t="s">
        <v>350</v>
      </c>
      <c r="N263" s="4" t="s">
        <v>351</v>
      </c>
      <c r="R263" s="4">
        <v>11</v>
      </c>
      <c r="AE263" s="4">
        <v>5</v>
      </c>
      <c r="AF263" s="4">
        <v>19</v>
      </c>
      <c r="BC263" s="4">
        <v>2</v>
      </c>
      <c r="BJ263" s="4" t="s">
        <v>364</v>
      </c>
    </row>
    <row r="264" spans="1:78" ht="12.75" x14ac:dyDescent="0.2">
      <c r="A264" s="3">
        <v>43524.668373599532</v>
      </c>
      <c r="B264" s="4" t="s">
        <v>1328</v>
      </c>
      <c r="C264" s="4" t="s">
        <v>1329</v>
      </c>
      <c r="D264" s="5">
        <v>43499</v>
      </c>
      <c r="E264" s="4" t="s">
        <v>1332</v>
      </c>
      <c r="J264" s="6">
        <v>0.3125</v>
      </c>
      <c r="K264" s="4" t="s">
        <v>348</v>
      </c>
      <c r="L264" s="4" t="s">
        <v>390</v>
      </c>
      <c r="M264" s="4" t="s">
        <v>350</v>
      </c>
      <c r="N264" s="4" t="s">
        <v>351</v>
      </c>
      <c r="R264" s="4">
        <v>14</v>
      </c>
      <c r="AE264" s="4">
        <v>7</v>
      </c>
      <c r="AF264" s="4">
        <v>34</v>
      </c>
      <c r="BJ264" s="4" t="s">
        <v>364</v>
      </c>
    </row>
    <row r="265" spans="1:78" ht="12.75" x14ac:dyDescent="0.2">
      <c r="A265" s="3">
        <v>43524.670121516203</v>
      </c>
      <c r="B265" s="4" t="s">
        <v>1328</v>
      </c>
      <c r="C265" s="4" t="s">
        <v>1329</v>
      </c>
      <c r="D265" s="5">
        <v>43499</v>
      </c>
      <c r="E265" s="4" t="s">
        <v>1333</v>
      </c>
      <c r="J265" s="6">
        <v>0.60416666666424135</v>
      </c>
      <c r="K265" s="4" t="s">
        <v>379</v>
      </c>
      <c r="L265" s="4" t="s">
        <v>349</v>
      </c>
      <c r="M265" s="4" t="s">
        <v>350</v>
      </c>
      <c r="N265" s="4" t="s">
        <v>351</v>
      </c>
      <c r="R265" s="4">
        <v>10</v>
      </c>
      <c r="U265" s="4">
        <v>2</v>
      </c>
      <c r="AE265" s="4">
        <v>14</v>
      </c>
      <c r="AF265" s="4">
        <v>29</v>
      </c>
      <c r="BA265" s="4">
        <v>1</v>
      </c>
      <c r="BE265" s="4">
        <v>5</v>
      </c>
      <c r="BJ265" s="4" t="s">
        <v>364</v>
      </c>
    </row>
    <row r="266" spans="1:78" ht="12.75" x14ac:dyDescent="0.2">
      <c r="A266" s="3">
        <v>43524.672951493056</v>
      </c>
      <c r="B266" s="4" t="s">
        <v>1328</v>
      </c>
      <c r="C266" s="4" t="s">
        <v>1329</v>
      </c>
      <c r="D266" s="5">
        <v>43500</v>
      </c>
      <c r="E266" s="4" t="s">
        <v>1333</v>
      </c>
      <c r="J266" s="6">
        <v>0.3125</v>
      </c>
      <c r="K266" s="4" t="s">
        <v>348</v>
      </c>
      <c r="L266" s="4" t="s">
        <v>349</v>
      </c>
      <c r="M266" s="4" t="s">
        <v>350</v>
      </c>
      <c r="N266" s="4" t="s">
        <v>351</v>
      </c>
      <c r="R266" s="4">
        <v>11</v>
      </c>
      <c r="AE266" s="4">
        <v>4</v>
      </c>
      <c r="AF266" s="4">
        <v>16</v>
      </c>
      <c r="BJ266" s="4" t="s">
        <v>364</v>
      </c>
    </row>
    <row r="267" spans="1:78" ht="12.75" x14ac:dyDescent="0.2">
      <c r="A267" s="3">
        <v>43524.675198680554</v>
      </c>
      <c r="B267" s="4" t="s">
        <v>1328</v>
      </c>
      <c r="C267" s="4" t="s">
        <v>1329</v>
      </c>
      <c r="D267" s="5">
        <v>43500</v>
      </c>
      <c r="E267" s="4" t="s">
        <v>1332</v>
      </c>
      <c r="J267" s="6">
        <v>0.60416666666424135</v>
      </c>
      <c r="K267" s="4" t="s">
        <v>379</v>
      </c>
      <c r="L267" s="4" t="s">
        <v>390</v>
      </c>
      <c r="M267" s="4" t="s">
        <v>350</v>
      </c>
      <c r="N267" s="4" t="s">
        <v>351</v>
      </c>
      <c r="R267" s="4">
        <v>7</v>
      </c>
      <c r="U267" s="4">
        <v>2</v>
      </c>
      <c r="AE267" s="4">
        <v>31</v>
      </c>
      <c r="AF267" s="4">
        <v>15</v>
      </c>
      <c r="AU267" s="4">
        <v>1</v>
      </c>
      <c r="BA267" s="4">
        <v>1</v>
      </c>
      <c r="BE267" s="4">
        <v>2</v>
      </c>
      <c r="BF267" s="4">
        <v>15</v>
      </c>
      <c r="BJ267" s="4" t="s">
        <v>364</v>
      </c>
    </row>
    <row r="268" spans="1:78" ht="12.75" x14ac:dyDescent="0.2">
      <c r="A268" s="3">
        <v>43524.678034212964</v>
      </c>
      <c r="B268" s="4" t="s">
        <v>1328</v>
      </c>
      <c r="C268" s="4" t="s">
        <v>1329</v>
      </c>
      <c r="D268" s="5">
        <v>43501</v>
      </c>
      <c r="E268" s="4" t="s">
        <v>1333</v>
      </c>
      <c r="J268" s="6">
        <v>0.3125</v>
      </c>
      <c r="K268" s="4" t="s">
        <v>348</v>
      </c>
      <c r="L268" s="4" t="s">
        <v>349</v>
      </c>
      <c r="M268" s="4" t="s">
        <v>350</v>
      </c>
      <c r="N268" s="4" t="s">
        <v>351</v>
      </c>
      <c r="R268" s="4">
        <v>9</v>
      </c>
      <c r="AE268" s="4">
        <v>11</v>
      </c>
      <c r="AF268" s="4">
        <v>14</v>
      </c>
      <c r="BA268" s="4">
        <v>1</v>
      </c>
      <c r="BE268" s="4">
        <v>3</v>
      </c>
      <c r="BJ268" s="4" t="s">
        <v>364</v>
      </c>
    </row>
    <row r="269" spans="1:78" ht="12.75" x14ac:dyDescent="0.2">
      <c r="A269" s="3">
        <v>43524.680099976853</v>
      </c>
      <c r="B269" s="4" t="s">
        <v>1328</v>
      </c>
      <c r="C269" s="4" t="s">
        <v>1329</v>
      </c>
      <c r="D269" s="5">
        <v>43502</v>
      </c>
      <c r="E269" s="4" t="s">
        <v>1334</v>
      </c>
      <c r="J269" s="6">
        <v>0.3125</v>
      </c>
      <c r="K269" s="4" t="s">
        <v>348</v>
      </c>
      <c r="L269" s="4" t="s">
        <v>390</v>
      </c>
      <c r="M269" s="4" t="s">
        <v>350</v>
      </c>
      <c r="N269" s="4" t="s">
        <v>351</v>
      </c>
      <c r="R269" s="4">
        <v>10</v>
      </c>
      <c r="AE269" s="4">
        <v>4</v>
      </c>
      <c r="AF269" s="4">
        <v>21</v>
      </c>
      <c r="BE269" s="4">
        <v>3</v>
      </c>
      <c r="BJ269" s="4" t="s">
        <v>364</v>
      </c>
    </row>
    <row r="270" spans="1:78" ht="12.75" x14ac:dyDescent="0.2">
      <c r="A270" s="3">
        <v>43524.681913518521</v>
      </c>
      <c r="B270" s="4" t="s">
        <v>1328</v>
      </c>
      <c r="C270" s="4" t="s">
        <v>1329</v>
      </c>
      <c r="D270" s="5">
        <v>43503</v>
      </c>
      <c r="E270" s="4" t="s">
        <v>1332</v>
      </c>
      <c r="J270" s="6">
        <v>0.3125</v>
      </c>
      <c r="K270" s="4" t="s">
        <v>348</v>
      </c>
      <c r="L270" s="4" t="s">
        <v>358</v>
      </c>
      <c r="M270" s="4" t="s">
        <v>350</v>
      </c>
      <c r="N270" s="4" t="s">
        <v>351</v>
      </c>
      <c r="R270" s="4">
        <v>11</v>
      </c>
      <c r="AE270" s="4">
        <v>22</v>
      </c>
      <c r="AF270" s="4">
        <v>35</v>
      </c>
      <c r="BE270" s="4">
        <v>4</v>
      </c>
      <c r="BJ270" s="4" t="s">
        <v>364</v>
      </c>
    </row>
    <row r="271" spans="1:78" ht="12.75" x14ac:dyDescent="0.2">
      <c r="A271" s="3">
        <v>43524.68368263889</v>
      </c>
      <c r="B271" s="4" t="s">
        <v>1328</v>
      </c>
      <c r="C271" s="4" t="s">
        <v>1329</v>
      </c>
      <c r="D271" s="5">
        <v>43503</v>
      </c>
      <c r="E271" s="4" t="s">
        <v>1335</v>
      </c>
      <c r="J271" s="6">
        <v>0.625</v>
      </c>
      <c r="K271" s="4" t="s">
        <v>379</v>
      </c>
      <c r="L271" s="4" t="s">
        <v>349</v>
      </c>
      <c r="M271" s="4" t="s">
        <v>350</v>
      </c>
      <c r="N271" s="4" t="s">
        <v>351</v>
      </c>
      <c r="AJ271" s="4">
        <v>1</v>
      </c>
      <c r="BJ271" s="4" t="s">
        <v>364</v>
      </c>
    </row>
    <row r="272" spans="1:78" ht="12.75" x14ac:dyDescent="0.2">
      <c r="A272" s="3">
        <v>43524.763959143515</v>
      </c>
      <c r="B272" s="4" t="s">
        <v>1336</v>
      </c>
      <c r="C272" s="4" t="s">
        <v>1337</v>
      </c>
      <c r="D272" s="5">
        <v>43499</v>
      </c>
      <c r="E272" s="4" t="s">
        <v>1338</v>
      </c>
      <c r="J272" s="6">
        <v>0.33333333333575865</v>
      </c>
      <c r="M272" s="4" t="s">
        <v>350</v>
      </c>
      <c r="N272" s="4" t="s">
        <v>351</v>
      </c>
      <c r="V272" s="4">
        <v>5</v>
      </c>
      <c r="AC272" s="4">
        <v>12</v>
      </c>
      <c r="AE272" s="4">
        <v>2</v>
      </c>
      <c r="AF272" s="4">
        <v>32</v>
      </c>
      <c r="AG272" s="4">
        <v>8</v>
      </c>
      <c r="AX272" s="4">
        <v>11</v>
      </c>
      <c r="BC272" s="4">
        <v>115</v>
      </c>
      <c r="BD272" s="4">
        <v>6</v>
      </c>
      <c r="BE272" s="4">
        <v>6</v>
      </c>
      <c r="BF272" s="4">
        <v>83</v>
      </c>
      <c r="BJ272" s="4" t="s">
        <v>353</v>
      </c>
      <c r="BK272" s="4">
        <v>25.701342700000001</v>
      </c>
      <c r="BL272" s="4">
        <v>-80.154757700000005</v>
      </c>
      <c r="BQ272" s="4">
        <v>12</v>
      </c>
      <c r="BR272" s="4" t="s">
        <v>1339</v>
      </c>
      <c r="BZ272" s="4" t="s">
        <v>354</v>
      </c>
    </row>
    <row r="273" spans="1:110" ht="12.75" x14ac:dyDescent="0.2">
      <c r="A273" s="3">
        <v>43524.868329999998</v>
      </c>
      <c r="B273" s="4" t="s">
        <v>603</v>
      </c>
      <c r="C273" s="4" t="s">
        <v>1340</v>
      </c>
      <c r="D273" s="5">
        <v>43500</v>
      </c>
      <c r="E273" s="4" t="s">
        <v>1341</v>
      </c>
      <c r="J273" s="6">
        <v>0.33333333333575865</v>
      </c>
      <c r="K273" s="4" t="s">
        <v>348</v>
      </c>
      <c r="L273" s="4" t="s">
        <v>358</v>
      </c>
      <c r="M273" s="4" t="s">
        <v>350</v>
      </c>
      <c r="N273" s="4" t="s">
        <v>351</v>
      </c>
      <c r="P273" s="4">
        <v>0</v>
      </c>
      <c r="Q273" s="4"/>
      <c r="R273" s="4"/>
      <c r="S273" s="4"/>
      <c r="T273" s="4"/>
      <c r="U273" s="4"/>
      <c r="V273" s="4"/>
      <c r="W273" s="4"/>
      <c r="X273" s="4"/>
      <c r="Y273" s="4"/>
      <c r="Z273" s="4"/>
      <c r="AA273" s="4"/>
      <c r="AB273" s="4"/>
      <c r="AC273" s="4"/>
      <c r="AD273" s="4"/>
      <c r="AE273" s="4"/>
      <c r="AF273" s="4">
        <v>91</v>
      </c>
      <c r="AG273" s="4"/>
      <c r="AH273" s="4"/>
      <c r="AI273" s="4"/>
      <c r="AJ273" s="4"/>
      <c r="AK273" s="4"/>
      <c r="AL273" s="4"/>
      <c r="AM273" s="4"/>
      <c r="AN273" s="4"/>
      <c r="AO273" s="4"/>
      <c r="AP273" s="4"/>
      <c r="AQ273" s="4"/>
      <c r="AR273" s="4"/>
      <c r="AS273" s="4">
        <v>1</v>
      </c>
      <c r="AT273" s="4"/>
      <c r="AU273" s="4">
        <v>11</v>
      </c>
      <c r="AV273" s="4"/>
      <c r="AW273" s="4"/>
      <c r="AX273" s="4"/>
      <c r="AY273" s="4"/>
      <c r="AZ273" s="4"/>
      <c r="BA273" s="4"/>
      <c r="BB273" s="4">
        <v>2</v>
      </c>
      <c r="BC273" s="4">
        <v>8</v>
      </c>
      <c r="BD273" s="4"/>
      <c r="BE273" s="4">
        <v>4</v>
      </c>
      <c r="BF273" s="4">
        <v>6</v>
      </c>
      <c r="BG273" s="4">
        <v>169</v>
      </c>
      <c r="BH273" s="4"/>
      <c r="BI273" s="4"/>
      <c r="BJ273" s="4" t="s">
        <v>364</v>
      </c>
    </row>
    <row r="274" spans="1:110" ht="12.75" x14ac:dyDescent="0.2">
      <c r="A274" s="3">
        <v>43525.480119722226</v>
      </c>
      <c r="B274" s="4" t="s">
        <v>847</v>
      </c>
      <c r="C274" s="4" t="s">
        <v>1342</v>
      </c>
      <c r="D274" s="5">
        <v>43499</v>
      </c>
      <c r="E274" s="4">
        <v>1</v>
      </c>
      <c r="J274" s="6">
        <v>0.36458333333575865</v>
      </c>
      <c r="K274" s="4" t="s">
        <v>363</v>
      </c>
      <c r="L274" s="4" t="s">
        <v>358</v>
      </c>
      <c r="M274" s="4" t="s">
        <v>350</v>
      </c>
      <c r="N274" s="4" t="s">
        <v>351</v>
      </c>
      <c r="P274" s="4">
        <v>0</v>
      </c>
      <c r="Q274" s="4"/>
      <c r="R274" s="4"/>
      <c r="S274" s="4"/>
      <c r="T274" s="4"/>
      <c r="U274" s="4"/>
      <c r="V274" s="4"/>
      <c r="W274" s="4"/>
      <c r="X274" s="4"/>
      <c r="Y274" s="4"/>
      <c r="Z274" s="4"/>
      <c r="AA274" s="4"/>
      <c r="AB274" s="4"/>
      <c r="AC274" s="4"/>
      <c r="AD274" s="4"/>
      <c r="AE274" s="4"/>
      <c r="AF274" s="4">
        <v>32</v>
      </c>
      <c r="AG274" s="4"/>
      <c r="AH274" s="4"/>
      <c r="AI274" s="4"/>
      <c r="AJ274" s="4"/>
      <c r="AK274" s="4"/>
      <c r="AL274" s="4"/>
      <c r="AM274" s="4">
        <v>2</v>
      </c>
      <c r="AN274" s="4"/>
      <c r="AO274" s="4"/>
      <c r="AP274" s="4"/>
      <c r="AQ274" s="4"/>
      <c r="AR274" s="4"/>
      <c r="AS274" s="4">
        <v>1</v>
      </c>
      <c r="AT274" s="4"/>
      <c r="AU274" s="4">
        <v>6</v>
      </c>
      <c r="AV274" s="4"/>
      <c r="AW274" s="4"/>
      <c r="AX274" s="4">
        <v>1</v>
      </c>
      <c r="AY274" s="4">
        <v>5</v>
      </c>
      <c r="AZ274" s="4"/>
      <c r="BA274" s="4"/>
      <c r="BB274" s="4">
        <v>1</v>
      </c>
      <c r="BC274" s="4">
        <v>18</v>
      </c>
      <c r="BD274" s="4"/>
      <c r="BE274" s="4">
        <v>50</v>
      </c>
      <c r="BF274" s="4">
        <v>11</v>
      </c>
      <c r="BG274" s="4">
        <v>5</v>
      </c>
      <c r="BH274" s="4"/>
      <c r="BI274" s="4"/>
      <c r="BJ274" s="4" t="s">
        <v>364</v>
      </c>
    </row>
    <row r="275" spans="1:110" ht="12.75" x14ac:dyDescent="0.2">
      <c r="A275" s="3">
        <v>43525.527676018522</v>
      </c>
      <c r="B275" s="4" t="s">
        <v>1343</v>
      </c>
      <c r="C275" s="4" t="s">
        <v>1344</v>
      </c>
      <c r="D275" s="5">
        <v>43503</v>
      </c>
      <c r="E275" s="4" t="s">
        <v>1345</v>
      </c>
      <c r="H275" s="4">
        <v>25.797511</v>
      </c>
      <c r="I275" s="4">
        <v>-80.177880999999999</v>
      </c>
      <c r="J275" s="6">
        <v>0.5</v>
      </c>
      <c r="L275" s="4" t="s">
        <v>390</v>
      </c>
      <c r="N275" s="4" t="s">
        <v>351</v>
      </c>
      <c r="AU275" s="4">
        <v>53</v>
      </c>
      <c r="AX275" s="4">
        <v>43</v>
      </c>
      <c r="BC275" s="4">
        <v>115</v>
      </c>
      <c r="BE275" s="4">
        <v>10</v>
      </c>
      <c r="BF275" s="4">
        <v>3</v>
      </c>
      <c r="BJ275" s="4" t="s">
        <v>353</v>
      </c>
      <c r="BK275" s="4">
        <v>25.850268</v>
      </c>
      <c r="BL275" s="4">
        <v>-80.164606000000006</v>
      </c>
      <c r="BY275" s="4" t="s">
        <v>1346</v>
      </c>
      <c r="BZ275" s="4" t="s">
        <v>353</v>
      </c>
      <c r="CA275" s="4">
        <v>25.847989999999999</v>
      </c>
      <c r="CB275" s="4">
        <v>-80.171276000000006</v>
      </c>
      <c r="CO275" s="4" t="s">
        <v>1347</v>
      </c>
      <c r="CP275" s="4" t="s">
        <v>353</v>
      </c>
      <c r="CQ275" s="4">
        <v>25.838448</v>
      </c>
      <c r="CR275" s="4">
        <v>-80.168403999999995</v>
      </c>
      <c r="DE275" s="4" t="s">
        <v>1348</v>
      </c>
      <c r="DF275" s="4" t="s">
        <v>359</v>
      </c>
    </row>
    <row r="276" spans="1:110" ht="12.75" x14ac:dyDescent="0.2">
      <c r="A276" s="3">
        <v>43525.697413043978</v>
      </c>
      <c r="B276" s="4" t="s">
        <v>1349</v>
      </c>
      <c r="C276" s="4" t="s">
        <v>1350</v>
      </c>
      <c r="D276" s="5">
        <v>43500</v>
      </c>
      <c r="E276" s="4" t="s">
        <v>1351</v>
      </c>
      <c r="J276" s="6">
        <v>0.35416666666424135</v>
      </c>
      <c r="K276" s="4" t="s">
        <v>348</v>
      </c>
      <c r="L276" s="4" t="s">
        <v>390</v>
      </c>
      <c r="M276" s="4" t="s">
        <v>350</v>
      </c>
      <c r="N276" s="4" t="s">
        <v>351</v>
      </c>
      <c r="AE276" s="4">
        <v>56</v>
      </c>
      <c r="AF276" s="4">
        <v>50</v>
      </c>
      <c r="AJ276" s="4">
        <v>10</v>
      </c>
      <c r="AM276" s="4">
        <v>75</v>
      </c>
      <c r="AR276" s="4">
        <v>54</v>
      </c>
      <c r="AS276" s="4">
        <v>18</v>
      </c>
      <c r="AU276" s="4">
        <v>20</v>
      </c>
      <c r="AY276" s="4">
        <v>27</v>
      </c>
      <c r="BB276" s="4">
        <v>70</v>
      </c>
      <c r="BC276" s="4">
        <v>135</v>
      </c>
      <c r="BD276" s="4">
        <v>8</v>
      </c>
      <c r="BE276" s="4">
        <v>38</v>
      </c>
      <c r="BF276" s="4">
        <v>78</v>
      </c>
      <c r="BG276" s="4">
        <v>128</v>
      </c>
      <c r="BJ276" s="4" t="s">
        <v>353</v>
      </c>
      <c r="BO276" s="4">
        <v>54</v>
      </c>
      <c r="BP276" s="4">
        <v>0</v>
      </c>
      <c r="BZ276" s="4" t="s">
        <v>354</v>
      </c>
    </row>
    <row r="277" spans="1:110" ht="12.75" x14ac:dyDescent="0.2">
      <c r="A277" s="3">
        <v>43529.648739421296</v>
      </c>
      <c r="B277" s="4" t="s">
        <v>1352</v>
      </c>
      <c r="C277" s="4" t="s">
        <v>1353</v>
      </c>
      <c r="D277" s="5">
        <v>43503</v>
      </c>
      <c r="E277" s="4" t="s">
        <v>1354</v>
      </c>
      <c r="J277" s="6">
        <v>0.40625</v>
      </c>
      <c r="K277" s="4" t="s">
        <v>379</v>
      </c>
      <c r="L277" s="4" t="s">
        <v>349</v>
      </c>
      <c r="M277" s="4" t="s">
        <v>350</v>
      </c>
      <c r="N277" s="4" t="s">
        <v>351</v>
      </c>
      <c r="R277" s="4">
        <v>10</v>
      </c>
      <c r="AF277" s="4">
        <v>47</v>
      </c>
      <c r="BC277" s="4">
        <v>29</v>
      </c>
      <c r="BD277" s="4">
        <v>1</v>
      </c>
      <c r="BE277" s="4">
        <v>21</v>
      </c>
      <c r="BJ277" s="4" t="s">
        <v>364</v>
      </c>
    </row>
    <row r="278" spans="1:110" ht="12.75" x14ac:dyDescent="0.2">
      <c r="A278" s="3">
        <v>43529.652659525462</v>
      </c>
      <c r="B278" s="4" t="s">
        <v>1352</v>
      </c>
      <c r="C278" s="4" t="s">
        <v>1355</v>
      </c>
      <c r="D278" s="5">
        <v>43503</v>
      </c>
      <c r="E278" s="4" t="s">
        <v>1354</v>
      </c>
      <c r="J278" s="6">
        <v>0.47916666666424135</v>
      </c>
      <c r="K278" s="4" t="s">
        <v>379</v>
      </c>
      <c r="L278" s="4" t="s">
        <v>349</v>
      </c>
      <c r="M278" s="4" t="s">
        <v>350</v>
      </c>
      <c r="N278" s="4" t="s">
        <v>351</v>
      </c>
      <c r="AE278" s="4">
        <v>3</v>
      </c>
      <c r="AF278" s="4">
        <v>14</v>
      </c>
      <c r="BA278" s="4">
        <v>4</v>
      </c>
      <c r="BC278" s="4">
        <v>32</v>
      </c>
      <c r="BE278" s="4">
        <v>104</v>
      </c>
      <c r="BF278" s="4">
        <v>38</v>
      </c>
      <c r="BJ278" s="4" t="s">
        <v>364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7"/>
  <sheetViews>
    <sheetView workbookViewId="0"/>
  </sheetViews>
  <sheetFormatPr defaultColWidth="14.42578125" defaultRowHeight="15.75" customHeight="1" x14ac:dyDescent="0.2"/>
  <cols>
    <col min="1" max="1" width="25" customWidth="1"/>
  </cols>
  <sheetData>
    <row r="1" spans="1:25" ht="15.75" customHeight="1" x14ac:dyDescent="0.2">
      <c r="A1" s="4" t="s">
        <v>421</v>
      </c>
      <c r="B1" t="s">
        <v>16</v>
      </c>
      <c r="C1" t="s">
        <v>17</v>
      </c>
      <c r="D1" t="s">
        <v>18</v>
      </c>
      <c r="E1" s="4" t="s">
        <v>422</v>
      </c>
      <c r="F1" t="s">
        <v>20</v>
      </c>
      <c r="G1" t="s">
        <v>21</v>
      </c>
      <c r="H1" s="4" t="s">
        <v>423</v>
      </c>
      <c r="I1" t="s">
        <v>23</v>
      </c>
      <c r="J1" s="4" t="s">
        <v>424</v>
      </c>
      <c r="K1" t="s">
        <v>25</v>
      </c>
      <c r="L1" s="4" t="s">
        <v>425</v>
      </c>
      <c r="M1" s="4" t="s">
        <v>426</v>
      </c>
      <c r="N1" t="s">
        <v>28</v>
      </c>
      <c r="O1" t="s">
        <v>29</v>
      </c>
      <c r="P1" t="s">
        <v>30</v>
      </c>
      <c r="Q1" s="4" t="s">
        <v>427</v>
      </c>
      <c r="R1" s="4" t="s">
        <v>428</v>
      </c>
      <c r="S1" s="4" t="s">
        <v>429</v>
      </c>
      <c r="T1" t="s">
        <v>34</v>
      </c>
      <c r="U1" t="s">
        <v>35</v>
      </c>
      <c r="V1" t="s">
        <v>36</v>
      </c>
      <c r="W1" t="s">
        <v>37</v>
      </c>
      <c r="X1" s="4" t="s">
        <v>430</v>
      </c>
      <c r="Y1" t="s">
        <v>39</v>
      </c>
    </row>
    <row r="2" spans="1:25" ht="15.75" customHeight="1" x14ac:dyDescent="0.2">
      <c r="A2">
        <f>SUM('Form Responses 1'!P7:P378)</f>
        <v>2803</v>
      </c>
      <c r="B2">
        <f>SUM('Form Responses 1'!Q7:Q378)</f>
        <v>395</v>
      </c>
      <c r="C2">
        <f>SUM('Form Responses 1'!R7:R378)</f>
        <v>2995</v>
      </c>
      <c r="D2">
        <f>SUM('Form Responses 1'!S7:S378)</f>
        <v>10717</v>
      </c>
      <c r="E2">
        <f>SUM('Form Responses 1'!T7:T378)</f>
        <v>351</v>
      </c>
      <c r="F2">
        <f>SUM('Form Responses 1'!U7:U378)</f>
        <v>347</v>
      </c>
      <c r="G2">
        <f>SUM('Form Responses 1'!V7:V378)</f>
        <v>1378</v>
      </c>
      <c r="H2">
        <f>SUM('Form Responses 1'!W7:W378)</f>
        <v>409</v>
      </c>
      <c r="I2">
        <f>SUM('Form Responses 1'!X7:X378)</f>
        <v>1</v>
      </c>
      <c r="J2">
        <f>SUM('Form Responses 1'!Y7:Y378)</f>
        <v>1097</v>
      </c>
      <c r="K2">
        <f>SUM('Form Responses 1'!AB7:AB378)</f>
        <v>577</v>
      </c>
      <c r="L2">
        <f>SUM('Form Responses 1'!AC7:AC378)</f>
        <v>308</v>
      </c>
      <c r="M2">
        <f>SUM('Form Responses 1'!AD7:AD378)</f>
        <v>1194</v>
      </c>
      <c r="N2">
        <f>SUM('Form Responses 1'!AE7:AE378)</f>
        <v>3367</v>
      </c>
      <c r="O2">
        <f>SUM('Form Responses 1'!AF7:AF378)</f>
        <v>11409</v>
      </c>
      <c r="P2">
        <f>SUM('Form Responses 1'!AG7:AG378)</f>
        <v>4573</v>
      </c>
      <c r="Q2">
        <f>SUM('Form Responses 1'!AH7:AH378)</f>
        <v>85</v>
      </c>
      <c r="R2">
        <f>SUM('Form Responses 1'!Z7:Z378)</f>
        <v>4170</v>
      </c>
      <c r="S2">
        <f>SUM('Form Responses 1'!AI7:AI378)</f>
        <v>327</v>
      </c>
      <c r="T2">
        <f>SUM('Form Responses 1'!AJ7:AJ378)</f>
        <v>110</v>
      </c>
      <c r="U2">
        <f>SUM('Form Responses 1'!AK7:AK378)</f>
        <v>4914</v>
      </c>
      <c r="V2">
        <f>SUM('Form Responses 1'!AL7:AL378)</f>
        <v>50</v>
      </c>
      <c r="W2">
        <f>SUM('Form Responses 1'!AM7:AM378)</f>
        <v>5311</v>
      </c>
      <c r="X2">
        <f>SUM('Form Responses 1'!AN7:AN378)</f>
        <v>284</v>
      </c>
      <c r="Y2">
        <f>SUM('Form Responses 1'!AO7:AO378)</f>
        <v>35</v>
      </c>
    </row>
    <row r="4" spans="1:25" ht="15.75" customHeight="1" x14ac:dyDescent="0.2">
      <c r="A4" s="4" t="s">
        <v>448</v>
      </c>
      <c r="B4" t="s">
        <v>44</v>
      </c>
      <c r="C4" t="s">
        <v>45</v>
      </c>
      <c r="D4" t="s">
        <v>46</v>
      </c>
      <c r="E4" t="s">
        <v>47</v>
      </c>
      <c r="F4" t="s">
        <v>48</v>
      </c>
      <c r="G4" t="s">
        <v>49</v>
      </c>
      <c r="H4" t="s">
        <v>50</v>
      </c>
      <c r="I4" t="s">
        <v>51</v>
      </c>
      <c r="J4" t="s">
        <v>52</v>
      </c>
      <c r="K4" t="s">
        <v>53</v>
      </c>
      <c r="L4" t="s">
        <v>54</v>
      </c>
      <c r="M4" t="s">
        <v>55</v>
      </c>
      <c r="N4" t="s">
        <v>56</v>
      </c>
      <c r="O4" t="s">
        <v>57</v>
      </c>
      <c r="P4" t="s">
        <v>58</v>
      </c>
      <c r="Q4" t="s">
        <v>59</v>
      </c>
      <c r="R4" t="s">
        <v>60</v>
      </c>
    </row>
    <row r="5" spans="1:25" ht="15.75" customHeight="1" x14ac:dyDescent="0.2">
      <c r="A5">
        <f>SUM('Form Responses 1'!AR4:AR378)</f>
        <v>7879</v>
      </c>
      <c r="B5">
        <f>SUM('Form Responses 1'!AS4:AS378)</f>
        <v>515</v>
      </c>
      <c r="C5">
        <f>SUM('Form Responses 1'!AT4:AT378)</f>
        <v>2</v>
      </c>
      <c r="D5">
        <f>SUM('Form Responses 1'!AU4:AU378)</f>
        <v>2761</v>
      </c>
      <c r="E5">
        <f>SUM('Form Responses 1'!AV4:AV378)</f>
        <v>485</v>
      </c>
      <c r="F5">
        <f>SUM('Form Responses 1'!AW4:AW378)</f>
        <v>40</v>
      </c>
      <c r="G5">
        <f>SUM('Form Responses 1'!AX4:AX378)</f>
        <v>4242</v>
      </c>
      <c r="H5">
        <f>SUM('Form Responses 1'!AY4:AY378)</f>
        <v>3341</v>
      </c>
      <c r="I5">
        <f>SUM('Form Responses 1'!AZ4:AZ378)</f>
        <v>5</v>
      </c>
      <c r="J5">
        <f>SUM('Form Responses 1'!BA4:BA378)</f>
        <v>75</v>
      </c>
      <c r="K5">
        <f>SUM('Form Responses 1'!BB4:BB378)</f>
        <v>2260</v>
      </c>
      <c r="L5">
        <f>SUM('Form Responses 1'!BC4:BC378)</f>
        <v>14273</v>
      </c>
      <c r="M5">
        <f>SUM('Form Responses 1'!BD4:BD378)</f>
        <v>435</v>
      </c>
      <c r="N5">
        <f>SUM('Form Responses 1'!BE4:BE378)</f>
        <v>8039</v>
      </c>
      <c r="O5">
        <f>SUM('Form Responses 1'!BF4:BF378)</f>
        <v>6832</v>
      </c>
      <c r="P5">
        <f>SUM('Form Responses 1'!BG4:BG378)</f>
        <v>1898</v>
      </c>
      <c r="Q5">
        <f>SUM('Form Responses 1'!BH4:BH378)</f>
        <v>0</v>
      </c>
      <c r="R5">
        <f>SUM('Form Responses 1'!BI4:BI378)</f>
        <v>2605</v>
      </c>
    </row>
    <row r="7" spans="1:25" ht="15.75" customHeight="1" x14ac:dyDescent="0.2">
      <c r="B7">
        <f>COUNTA('Form Responses 1'!A4:A378)</f>
        <v>275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88"/>
  <sheetViews>
    <sheetView workbookViewId="0">
      <pane ySplit="1" topLeftCell="A2" activePane="bottomLeft" state="frozen"/>
      <selection pane="bottomLeft" activeCell="B3" sqref="B3"/>
    </sheetView>
  </sheetViews>
  <sheetFormatPr defaultColWidth="14.42578125" defaultRowHeight="15.75" customHeight="1" x14ac:dyDescent="0.2"/>
  <cols>
    <col min="1" max="1" width="72.85546875" customWidth="1"/>
  </cols>
  <sheetData>
    <row r="1" spans="1:1" ht="15.75" customHeight="1" x14ac:dyDescent="0.2">
      <c r="A1" s="1"/>
    </row>
    <row r="88" spans="1:1" ht="15.75" customHeight="1" x14ac:dyDescent="0.2"/>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4"/>
  <sheetViews>
    <sheetView workbookViewId="0"/>
  </sheetViews>
  <sheetFormatPr defaultColWidth="14.42578125" defaultRowHeight="15.75" customHeight="1" x14ac:dyDescent="0.2"/>
  <sheetData>
    <row r="1" spans="1:26" x14ac:dyDescent="0.25">
      <c r="A1" s="19" t="s">
        <v>520</v>
      </c>
      <c r="B1" s="20"/>
      <c r="C1" s="20"/>
      <c r="D1" s="20"/>
      <c r="E1" s="20"/>
      <c r="F1" s="20"/>
    </row>
    <row r="2" spans="1:26" x14ac:dyDescent="0.25">
      <c r="A2" s="16" t="s">
        <v>525</v>
      </c>
      <c r="B2" s="17"/>
      <c r="C2" s="18"/>
      <c r="D2" s="16">
        <f>Summary!B7</f>
        <v>275</v>
      </c>
      <c r="E2" s="17"/>
      <c r="F2" s="18"/>
    </row>
    <row r="3" spans="1:26" x14ac:dyDescent="0.25">
      <c r="A3" s="10"/>
      <c r="B3" s="10"/>
      <c r="C3" s="10"/>
      <c r="D3" s="10"/>
      <c r="E3" s="10"/>
      <c r="F3" s="10"/>
      <c r="G3" s="11"/>
      <c r="H3" s="11"/>
      <c r="I3" s="11"/>
      <c r="J3" s="11"/>
      <c r="K3" s="11"/>
      <c r="L3" s="11"/>
      <c r="M3" s="11"/>
      <c r="N3" s="11"/>
      <c r="O3" s="11"/>
      <c r="P3" s="11"/>
      <c r="Q3" s="11"/>
      <c r="R3" s="11"/>
      <c r="S3" s="11"/>
      <c r="T3" s="11"/>
      <c r="U3" s="11"/>
      <c r="V3" s="11"/>
      <c r="W3" s="11"/>
      <c r="X3" s="11"/>
      <c r="Y3" s="11"/>
      <c r="Z3" s="11"/>
    </row>
    <row r="4" spans="1:26" x14ac:dyDescent="0.25">
      <c r="A4" s="21" t="s">
        <v>534</v>
      </c>
      <c r="B4" s="20"/>
      <c r="C4" s="20"/>
      <c r="D4" s="20"/>
      <c r="E4" s="20"/>
      <c r="F4" s="20"/>
      <c r="G4" s="20"/>
      <c r="H4" s="20"/>
      <c r="I4" s="20"/>
    </row>
    <row r="24" spans="1:9" x14ac:dyDescent="0.25">
      <c r="A24" s="21" t="s">
        <v>535</v>
      </c>
      <c r="B24" s="20"/>
      <c r="C24" s="20"/>
      <c r="D24" s="20"/>
      <c r="E24" s="20"/>
      <c r="F24" s="20"/>
      <c r="G24" s="20"/>
      <c r="H24" s="20"/>
      <c r="I24" s="20"/>
    </row>
  </sheetData>
  <mergeCells count="5">
    <mergeCell ref="A2:C2"/>
    <mergeCell ref="D2:F2"/>
    <mergeCell ref="A1:F1"/>
    <mergeCell ref="A24:I24"/>
    <mergeCell ref="A4:I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 Responses 1</vt:lpstr>
      <vt:lpstr>Summary</vt:lpstr>
      <vt:lpstr>Transect_Total</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Brush, Janell</cp:lastModifiedBy>
  <dcterms:modified xsi:type="dcterms:W3CDTF">2022-06-01T12:28:27Z</dcterms:modified>
</cp:coreProperties>
</file>