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janell.brush\Documents\Brush\Shorebird Program\Nonbreeding Data\Mid Winter Shorebird Survey Data All Years\"/>
    </mc:Choice>
  </mc:AlternateContent>
  <xr:revisionPtr revIDLastSave="0" documentId="13_ncr:1_{8F1D7C49-63F9-4BE6-BC87-873E2006DE20}" xr6:coauthVersionLast="47" xr6:coauthVersionMax="47" xr10:uidLastSave="{00000000-0000-0000-0000-000000000000}"/>
  <bookViews>
    <workbookView xWindow="28680" yWindow="-120" windowWidth="29040" windowHeight="17640" activeTab="1" xr2:uid="{00000000-000D-0000-FFFF-FFFF00000000}"/>
  </bookViews>
  <sheets>
    <sheet name="Introduction" sheetId="1" r:id="rId1"/>
    <sheet name="Total Survey Counts" sheetId="2" r:id="rId2"/>
    <sheet name="Indiv Flock GPS &amp; band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I3" i="2" l="1"/>
  <c r="AS3" i="2"/>
  <c r="BA3" i="2"/>
  <c r="BL252" i="2"/>
  <c r="BL251" i="2"/>
  <c r="BL250" i="2"/>
  <c r="BL249" i="2"/>
  <c r="BL248" i="2"/>
  <c r="BL247" i="2"/>
  <c r="BL246" i="2"/>
  <c r="BL245" i="2"/>
  <c r="BL244" i="2"/>
  <c r="BL243" i="2"/>
  <c r="BL242" i="2"/>
  <c r="BL241" i="2"/>
  <c r="BL240" i="2"/>
  <c r="BL239" i="2"/>
  <c r="BL238" i="2"/>
  <c r="BL237" i="2"/>
  <c r="BL236" i="2"/>
  <c r="BL235" i="2"/>
  <c r="BL227" i="2"/>
  <c r="BL226" i="2"/>
  <c r="BL225" i="2"/>
  <c r="BL224" i="2"/>
  <c r="BL223" i="2"/>
  <c r="BL222" i="2"/>
  <c r="BL221" i="2"/>
  <c r="BL218" i="2"/>
  <c r="BL217" i="2"/>
  <c r="BL216" i="2"/>
  <c r="BL215" i="2"/>
  <c r="BL214" i="2"/>
  <c r="BL213" i="2"/>
  <c r="BL212" i="2"/>
  <c r="BL211" i="2"/>
  <c r="BL210" i="2"/>
  <c r="BL209" i="2"/>
  <c r="BL208" i="2"/>
  <c r="BL207" i="2"/>
  <c r="BL206" i="2"/>
  <c r="BL205" i="2"/>
  <c r="BL204" i="2"/>
  <c r="BL203" i="2"/>
  <c r="BL202" i="2"/>
  <c r="BL201" i="2"/>
  <c r="BL200" i="2"/>
  <c r="BL199" i="2"/>
  <c r="BL198" i="2"/>
  <c r="BL197" i="2"/>
  <c r="BL196" i="2"/>
  <c r="BL195" i="2"/>
  <c r="BL194" i="2"/>
  <c r="BL193" i="2"/>
  <c r="BL192" i="2"/>
  <c r="BL188" i="2"/>
  <c r="BL187" i="2"/>
  <c r="BL186" i="2"/>
  <c r="BL185" i="2"/>
  <c r="BL184" i="2"/>
  <c r="BL183" i="2"/>
  <c r="BL182" i="2"/>
  <c r="BL181" i="2"/>
  <c r="BL180" i="2"/>
  <c r="BL179" i="2"/>
  <c r="BL178" i="2"/>
  <c r="BL177" i="2"/>
  <c r="BL176" i="2"/>
  <c r="BL175" i="2"/>
  <c r="BL174" i="2"/>
  <c r="BL173" i="2"/>
  <c r="BL172" i="2"/>
  <c r="BL171" i="2"/>
  <c r="BL170" i="2"/>
  <c r="BL169" i="2"/>
  <c r="BL168" i="2"/>
  <c r="BL167" i="2"/>
  <c r="BL166" i="2"/>
  <c r="BL165" i="2"/>
  <c r="BL164" i="2"/>
  <c r="BL163" i="2"/>
  <c r="BL162" i="2"/>
  <c r="BL161" i="2"/>
  <c r="BL160" i="2"/>
  <c r="BL159" i="2"/>
  <c r="BL158" i="2"/>
  <c r="BL157" i="2"/>
  <c r="BL156" i="2"/>
  <c r="BL155" i="2"/>
  <c r="BL154" i="2"/>
  <c r="BL153" i="2"/>
  <c r="BL152" i="2"/>
  <c r="BL150" i="2"/>
  <c r="BL149" i="2"/>
  <c r="BL148" i="2"/>
  <c r="BL147" i="2"/>
  <c r="BL146" i="2"/>
  <c r="BL145" i="2"/>
  <c r="BL144" i="2"/>
  <c r="BL143" i="2"/>
  <c r="BL142" i="2"/>
  <c r="BL141" i="2"/>
  <c r="BL140" i="2"/>
  <c r="BL139" i="2"/>
  <c r="BL138" i="2"/>
  <c r="BL137" i="2"/>
  <c r="BL136" i="2"/>
  <c r="BL135" i="2"/>
  <c r="BL134" i="2"/>
  <c r="BL133" i="2"/>
  <c r="BL132" i="2"/>
  <c r="BL131" i="2"/>
  <c r="BL130" i="2"/>
  <c r="BL129" i="2"/>
  <c r="BL128" i="2"/>
  <c r="BL127" i="2"/>
  <c r="BL126" i="2"/>
  <c r="BL125" i="2"/>
  <c r="BL124" i="2"/>
  <c r="BL123" i="2"/>
  <c r="BL122" i="2"/>
  <c r="BL120" i="2"/>
  <c r="BL119" i="2"/>
  <c r="BL118" i="2"/>
  <c r="BL117" i="2"/>
  <c r="BL116" i="2"/>
  <c r="BL115" i="2"/>
  <c r="BL114" i="2"/>
  <c r="BL113" i="2"/>
  <c r="BL112" i="2"/>
  <c r="BL111" i="2"/>
  <c r="BL110" i="2"/>
  <c r="BL109" i="2"/>
  <c r="BL108" i="2"/>
  <c r="BL107" i="2"/>
  <c r="BL106" i="2"/>
  <c r="BL105" i="2"/>
  <c r="BL104" i="2"/>
  <c r="BL103" i="2"/>
  <c r="BL102" i="2"/>
  <c r="BL101" i="2"/>
  <c r="BL100" i="2"/>
  <c r="BL99" i="2"/>
  <c r="BL98" i="2"/>
  <c r="BL97" i="2"/>
  <c r="BL96" i="2"/>
  <c r="BL95" i="2"/>
  <c r="BL94" i="2"/>
  <c r="BL93" i="2"/>
  <c r="BL92" i="2"/>
  <c r="BL91" i="2"/>
  <c r="BL90" i="2"/>
  <c r="BL89" i="2"/>
  <c r="BL88" i="2"/>
  <c r="BL84" i="2"/>
  <c r="BL83" i="2"/>
  <c r="BL82" i="2"/>
  <c r="BL81" i="2"/>
  <c r="BL80" i="2"/>
  <c r="BL79" i="2"/>
  <c r="BL78" i="2"/>
  <c r="BL77" i="2"/>
  <c r="BL76" i="2"/>
  <c r="BL75" i="2"/>
  <c r="BL74" i="2"/>
  <c r="BL73" i="2"/>
  <c r="BL72" i="2"/>
  <c r="BL71" i="2"/>
  <c r="BL70" i="2"/>
  <c r="BL69" i="2"/>
  <c r="BL68" i="2"/>
  <c r="BL67" i="2"/>
  <c r="BL66" i="2"/>
  <c r="BL65" i="2"/>
  <c r="BL64" i="2"/>
  <c r="BL63" i="2"/>
  <c r="BL62" i="2"/>
  <c r="BL61" i="2"/>
  <c r="BL60" i="2"/>
  <c r="BL59" i="2"/>
  <c r="BL58" i="2"/>
  <c r="BL57" i="2"/>
  <c r="BL56" i="2"/>
  <c r="BL55" i="2"/>
  <c r="BL54" i="2"/>
  <c r="BL53" i="2"/>
  <c r="BL52" i="2"/>
  <c r="BL50" i="2"/>
  <c r="BL49" i="2"/>
  <c r="BL48" i="2"/>
  <c r="BL47" i="2"/>
  <c r="BL46" i="2"/>
  <c r="BL45" i="2"/>
  <c r="BL44" i="2"/>
  <c r="BL43" i="2"/>
  <c r="BL42" i="2"/>
  <c r="BL41" i="2"/>
  <c r="BL40" i="2"/>
  <c r="BL39" i="2"/>
  <c r="BL38" i="2"/>
  <c r="BL37" i="2"/>
  <c r="BL36" i="2"/>
  <c r="BL35" i="2"/>
  <c r="BL34" i="2"/>
  <c r="BL32" i="2"/>
  <c r="BL28" i="2"/>
  <c r="BL27" i="2"/>
  <c r="BL26" i="2"/>
  <c r="BL25" i="2"/>
  <c r="BL24" i="2"/>
  <c r="BL23" i="2"/>
  <c r="BL22" i="2"/>
  <c r="BL21" i="2"/>
  <c r="BL20" i="2"/>
  <c r="BL19" i="2"/>
  <c r="BL18" i="2"/>
  <c r="BL17" i="2"/>
  <c r="BL16" i="2"/>
  <c r="BL15" i="2"/>
  <c r="BL14" i="2"/>
  <c r="BL13" i="2"/>
  <c r="BL12" i="2"/>
  <c r="BL11" i="2"/>
  <c r="BL10" i="2"/>
  <c r="BL9" i="2"/>
  <c r="BL8" i="2"/>
  <c r="BL7" i="2"/>
  <c r="BL6" i="2"/>
  <c r="BL5" i="2"/>
  <c r="BL4" i="2"/>
  <c r="BK2" i="2"/>
  <c r="BJ2" i="2"/>
  <c r="BI2" i="2"/>
  <c r="BH2" i="2"/>
  <c r="BG2" i="2"/>
  <c r="BF2" i="2"/>
  <c r="BE2" i="2"/>
  <c r="BD2" i="2"/>
  <c r="BC2" i="2"/>
  <c r="BB2" i="2"/>
  <c r="BA2" i="2"/>
  <c r="AZ2" i="2"/>
  <c r="AY2" i="2"/>
  <c r="AX2" i="2"/>
  <c r="AW2" i="2"/>
  <c r="AV2" i="2"/>
  <c r="AU2" i="2"/>
  <c r="AT2" i="2"/>
  <c r="AS2" i="2"/>
  <c r="AR2" i="2"/>
  <c r="AQ2" i="2"/>
  <c r="AP2" i="2"/>
  <c r="AO2" i="2"/>
  <c r="AN2" i="2"/>
  <c r="AM2" i="2"/>
  <c r="AL2" i="2"/>
  <c r="AK2" i="2"/>
  <c r="AJ2" i="2"/>
  <c r="AI2" i="2"/>
  <c r="AH2" i="2"/>
  <c r="AG2" i="2"/>
  <c r="AF2" i="2"/>
  <c r="AE2" i="2"/>
  <c r="AD2" i="2"/>
  <c r="AC2" i="2"/>
  <c r="AB2" i="2"/>
  <c r="AA2" i="2"/>
  <c r="Z2" i="2"/>
  <c r="Y2" i="2"/>
  <c r="X2" i="2"/>
  <c r="W2" i="2"/>
  <c r="V2" i="2"/>
  <c r="U2" i="2"/>
  <c r="T2" i="2"/>
  <c r="S2" i="2"/>
  <c r="R2" i="2"/>
  <c r="Q2" i="2"/>
  <c r="P2" i="2"/>
  <c r="O2" i="2"/>
  <c r="N2" i="2"/>
  <c r="M2" i="2"/>
  <c r="L2" i="2"/>
  <c r="K2" i="2"/>
  <c r="BL2" i="2" l="1"/>
</calcChain>
</file>

<file path=xl/sharedStrings.xml><?xml version="1.0" encoding="utf-8"?>
<sst xmlns="http://schemas.openxmlformats.org/spreadsheetml/2006/main" count="3263" uniqueCount="1564">
  <si>
    <t>Route Name</t>
  </si>
  <si>
    <t>Please get a GPS location for individuals and groups of focal species (Snowy Plover SNPL, Piping Plover PIPL, Wilson's Plover WIPL, Red Knot REKN, and American Oystercatcher AMOY) OR Color-banded individuals OR Large aggregations or flocks of birds of 50 or more.  In addition, put your totals for the entire survey route on the "Total Survey Counts" tab.</t>
  </si>
  <si>
    <t>Google saves automatically.</t>
  </si>
  <si>
    <t>Date</t>
  </si>
  <si>
    <t>If more than one person is entering data at the same time, you may need to move down a few rows and enter your data.  We'll fix this later.</t>
  </si>
  <si>
    <t>If you are experienced using Excel, please note that several of the features (such as using Ctrl down) work in google spreadsheets.</t>
  </si>
  <si>
    <t xml:space="preserve">Go to the "tabs" located in the lower left hand part of the screen and click on the "Total Survey Counts" tab to enter general survey data.  Please note that this year we are only collecting data on Seabirds &amp; Shorebirds.  </t>
  </si>
  <si>
    <t>If you have banded bird info or GPS for focal species (American Oystercatchers, Red Knots, Piping Plovers, Snowy Plovers, Wilson's Plovers) or groups 50 or larger, please enter this on the "Indiv Flock GPS &amp; bands" (tab at the bottom)</t>
  </si>
  <si>
    <t xml:space="preserve">If you need a copy of the packet with instructions and forms, please use this link: </t>
  </si>
  <si>
    <t>Observer(s)</t>
  </si>
  <si>
    <t>Group or Point #</t>
  </si>
  <si>
    <t>(Individual bird or flock) Latitude in decimal degrees, e.g. 27.123456</t>
  </si>
  <si>
    <t>(Individual bird or flock) Longitude in decimal degrees e.g. -81.123456</t>
  </si>
  <si>
    <t>Species and number of individuals</t>
  </si>
  <si>
    <t>band information (list species and describe band colors for upper left, lower left, upper right and lower right)</t>
  </si>
  <si>
    <t>for banded birds is there a photo available?</t>
  </si>
  <si>
    <t>NOTES</t>
  </si>
  <si>
    <t>Southern Blvd to Palm Beach Inlet</t>
  </si>
  <si>
    <t>Thomas Stanley, Nancy Bock</t>
  </si>
  <si>
    <t>LBBG(80), RBGU(53), HERG(32), SAND(35)</t>
  </si>
  <si>
    <t>County</t>
  </si>
  <si>
    <t>Starting Latitude</t>
  </si>
  <si>
    <t>Starting Longitude</t>
  </si>
  <si>
    <t>Ending Latitude</t>
  </si>
  <si>
    <t>Ending Longitude</t>
  </si>
  <si>
    <t>Observers</t>
  </si>
  <si>
    <t>Email address (of primary observer)</t>
  </si>
  <si>
    <t>Starting Time</t>
  </si>
  <si>
    <t>Black Skimmer</t>
  </si>
  <si>
    <t>Bonaparte's Gull</t>
  </si>
  <si>
    <t>Brown Booby</t>
  </si>
  <si>
    <t>Brown Pelican</t>
  </si>
  <si>
    <t>Caspian Tern</t>
  </si>
  <si>
    <t>Common Loon</t>
  </si>
  <si>
    <t>Common Tern</t>
  </si>
  <si>
    <t>Double-crested Cormorant</t>
  </si>
  <si>
    <t>Forster's Tern</t>
  </si>
  <si>
    <t>Franklin's Gull</t>
  </si>
  <si>
    <t>Glaucous Gull</t>
  </si>
  <si>
    <t>Great Black-backed Gull</t>
  </si>
  <si>
    <t>Herring Gull</t>
  </si>
  <si>
    <t>Horned Grebe</t>
  </si>
  <si>
    <t>Laughing Gull</t>
  </si>
  <si>
    <t>Lesser Black-backed Gull</t>
  </si>
  <si>
    <t>Northern Gannet</t>
  </si>
  <si>
    <t>Parasitic Jaeger</t>
  </si>
  <si>
    <t>Pomarine Jaeger</t>
  </si>
  <si>
    <t>Red-throated Loon</t>
  </si>
  <si>
    <t>Ring-billed Gull</t>
  </si>
  <si>
    <t>Royal Tern</t>
  </si>
  <si>
    <t>Sandwich Tern</t>
  </si>
  <si>
    <t>Vega Gull</t>
  </si>
  <si>
    <t>Bald Point State Park</t>
  </si>
  <si>
    <t>White Pelican</t>
  </si>
  <si>
    <t>John Murphy</t>
  </si>
  <si>
    <t>American Oystercatcher</t>
  </si>
  <si>
    <t>American Avocet</t>
  </si>
  <si>
    <t>Black-bellied Plover</t>
  </si>
  <si>
    <t>Dunlin</t>
  </si>
  <si>
    <t>Greater Yellowlegs</t>
  </si>
  <si>
    <t>Killdeer</t>
  </si>
  <si>
    <t>Least Sandpiper</t>
  </si>
  <si>
    <t>WILL (1); DUNL (6); LAGU (2); RBGU (8); BOGU (68); FOTE (5); CATE (1)</t>
  </si>
  <si>
    <t>Lesser Yellowlegs</t>
  </si>
  <si>
    <t>Long-billed Curlew</t>
  </si>
  <si>
    <t>Long-billed Dowitcher</t>
  </si>
  <si>
    <t>Marbled Godwit</t>
  </si>
  <si>
    <t>Piping Plover</t>
  </si>
  <si>
    <t>Red Knot</t>
  </si>
  <si>
    <t>Ruddy Turnstone</t>
  </si>
  <si>
    <t>Sanderling</t>
  </si>
  <si>
    <t>Semi-palmated Plover</t>
  </si>
  <si>
    <t>Semi-palmated Sandpiper</t>
  </si>
  <si>
    <t>Short-billed Dowitcher</t>
  </si>
  <si>
    <t>Snowy Plover</t>
  </si>
  <si>
    <t>Spotted Sandpiper</t>
  </si>
  <si>
    <t>Western Sandpiper</t>
  </si>
  <si>
    <t>Whimbrel</t>
  </si>
  <si>
    <t>Willet</t>
  </si>
  <si>
    <t>Wilson's Plover</t>
  </si>
  <si>
    <t>Wilson's Snipe</t>
  </si>
  <si>
    <t>Dowitcher sp (unknown)</t>
  </si>
  <si>
    <t>WILL (14); BBPL (3); SAND (20); RUTU (48); HERG (9)</t>
  </si>
  <si>
    <t>Phipps Preserve</t>
  </si>
  <si>
    <t>WILL (54); RBGU; (9); HERG (1)</t>
  </si>
  <si>
    <t>PIPL (1)</t>
  </si>
  <si>
    <t>Sandpiper sp (unknown)</t>
  </si>
  <si>
    <t xml:space="preserve">PIPL
Upper left: FO
Lower left: Y/Lb
Upper right: -
Lower right: Y
</t>
  </si>
  <si>
    <t>Yellowlegs sp. (unkown)</t>
  </si>
  <si>
    <t>yes</t>
  </si>
  <si>
    <t>GRAND TOTAL</t>
  </si>
  <si>
    <t>PIPL (4)</t>
  </si>
  <si>
    <t>SNPL (10)</t>
  </si>
  <si>
    <t>REKN (1)</t>
  </si>
  <si>
    <t>REKN
Upper left: FLg (347)
Lower left: -
Upper right: FG
Lower right: S</t>
  </si>
  <si>
    <t>Comments on survey such as weather or tide.   (FYI:  we are not collecting data on other species.  Feel free to enter your data into eBird)</t>
  </si>
  <si>
    <t>REKN (11)</t>
  </si>
  <si>
    <t>Leave blank</t>
  </si>
  <si>
    <t>REKN
Upper left: FLg
Lower left: -
Upper right: -
Lower right: -</t>
  </si>
  <si>
    <t>no</t>
  </si>
  <si>
    <t>REKN (7)</t>
  </si>
  <si>
    <t>AMOY (2)</t>
  </si>
  <si>
    <t>St. Augustine Beach</t>
  </si>
  <si>
    <t>Teddy Shuler, Ned Shuler, Jade Dupuis</t>
  </si>
  <si>
    <t>REKN (3)</t>
  </si>
  <si>
    <t xml:space="preserve">Weff Rd. </t>
  </si>
  <si>
    <t>Teddy and Ned Shuler, Jacqui Sulek, Peggy Cook, CJ McCartney</t>
  </si>
  <si>
    <t>AMOY (12)</t>
  </si>
  <si>
    <t>South Clearwater Beach</t>
  </si>
  <si>
    <t>John Hood</t>
  </si>
  <si>
    <t>LAGU (54), RBGU (6)</t>
  </si>
  <si>
    <t>Three Rooker Island - south</t>
  </si>
  <si>
    <t>Laura Marie Koitsch</t>
  </si>
  <si>
    <t>DCCO (75)- flushed when boat approached for landing; 10 BRPE</t>
  </si>
  <si>
    <t>PIPL, AMOY(2)</t>
  </si>
  <si>
    <t>PIPL: lower left: G/R; lower right: K/</t>
  </si>
  <si>
    <t>PIPL (5 TOTAL, 3 banded; roosting with bands not clearly visible); DUNL (45), SEPL (10), SAND (5), WIPL (1)</t>
  </si>
  <si>
    <t>PIPL: upper left: F(G); lower left: B/Y</t>
  </si>
  <si>
    <t>PIPL (4 total, 2 banded, birds roosting on upper beach, bands on 2nd banded PIPL not clearly visible); WIPL (1)</t>
  </si>
  <si>
    <t>upper left: R; lower right: Y</t>
  </si>
  <si>
    <t>PIPL (5 total, 1 banded)</t>
  </si>
  <si>
    <t>upper left: F(Y); lower left: W/Lb; lower right: P/G</t>
  </si>
  <si>
    <t>LESA (30), SAND (15), WILL (3), BBPL (3)</t>
  </si>
  <si>
    <t>NA</t>
  </si>
  <si>
    <t>Weff Road docks</t>
  </si>
  <si>
    <t xml:space="preserve">SBDO (650), DUNL (150), SEPL (112), RBGU (1), WHPE (18),AMOY (12),DCCO (10), BBPL (14), </t>
  </si>
  <si>
    <t>Palmetto Road docks</t>
  </si>
  <si>
    <t>Teddy Shuler and group</t>
  </si>
  <si>
    <t xml:space="preserve">RBGU (38), BRPE (8), DCCO (10), DUNL (14), ROTE (1), RUTU(1), SBDO (35), GRYE (2), WHIM (17), COLO (1) </t>
  </si>
  <si>
    <t>Matanzas Inlet South to Flagler County Line</t>
  </si>
  <si>
    <t>Peggy Cook, Susan Bergman</t>
  </si>
  <si>
    <t>REKN (8)</t>
  </si>
  <si>
    <t>No Bands Observable</t>
  </si>
  <si>
    <t xml:space="preserve"> BLSK (800)</t>
  </si>
  <si>
    <t>Indian Rocks Beach- 26th ave south to Whitehurst ave</t>
  </si>
  <si>
    <t>Rebecca Ruthberg and Jonathan Campagna</t>
  </si>
  <si>
    <t>REKN (4)</t>
  </si>
  <si>
    <t>No bands observed</t>
  </si>
  <si>
    <t>REKN (15)</t>
  </si>
  <si>
    <t>Lovers Key State Park</t>
  </si>
  <si>
    <t>Katie Moses/ Pam Jones-Morton</t>
  </si>
  <si>
    <t>DCCO (300), REKN (20), PIPL (5), LESA (30), SAND (130), SEPL (25), , SNPL (3), WIPL (5), gulls, sp. (100)</t>
  </si>
  <si>
    <t>SNPL (11), WIPL (1), PIPL (2)</t>
  </si>
  <si>
    <t>PIPL (2 total, 1 banded), WIPL (1)</t>
  </si>
  <si>
    <t>bands unreadable under roosting conditions</t>
  </si>
  <si>
    <t>PIPL (4 total, 2 banded)</t>
  </si>
  <si>
    <t>Three Rooker Island - north</t>
  </si>
  <si>
    <t>Marianne Korosy</t>
  </si>
  <si>
    <t>not banded</t>
  </si>
  <si>
    <t>PIPL (2 total, 1 banded)</t>
  </si>
  <si>
    <t>upper left: F(G); lower left: B/Y; lower right: Y and bird has no toes on right foot</t>
  </si>
  <si>
    <t>PIPL (4 total, 1 banded); 11 REKN (no bands observed); SBDO (24); SEPL (20); HEGU (4), RBGU (5), BLSK (1), BBPL (7)</t>
  </si>
  <si>
    <t>PIPL flushed with flock before all bands could be read - upper right: O; lower right: Y</t>
  </si>
  <si>
    <t>DUNL (18), SAND (13), SBDO (14), LESA (23), WESA (1)</t>
  </si>
  <si>
    <t>RBGU (4), HEGU (1), DUNL (14), WESA (1), SAND (8), RUTU (1), BBPL (1), SEPL (5), LESA (2)</t>
  </si>
  <si>
    <t>Manasota Key - Turtle Patrol Zone 6</t>
  </si>
  <si>
    <t>Curt Lundeen/Pam Lundeen</t>
  </si>
  <si>
    <t>BOGU (1), FOTE (3), HEGU (2), LAGU (12), RBGU (9), ROTE (40), SATE (3)</t>
  </si>
  <si>
    <t>SAND (70)</t>
  </si>
  <si>
    <t>Fort De Soto Park North Beach</t>
  </si>
  <si>
    <t>Don/Lorraine Margeson</t>
  </si>
  <si>
    <t>27 38'05.74"</t>
  </si>
  <si>
    <t>82 44'26.18"</t>
  </si>
  <si>
    <t>WIPL 11</t>
  </si>
  <si>
    <t>27 38'45.15"</t>
  </si>
  <si>
    <t>72 44'26.09"</t>
  </si>
  <si>
    <t>AMOY 2</t>
  </si>
  <si>
    <t>27 38'07.30"</t>
  </si>
  <si>
    <t>82 44'21.89"</t>
  </si>
  <si>
    <t>112 REKN</t>
  </si>
  <si>
    <t>27 38'52.89"</t>
  </si>
  <si>
    <t>82 44'38.69"</t>
  </si>
  <si>
    <t>2000 DCCO</t>
  </si>
  <si>
    <t>Anclote Key</t>
  </si>
  <si>
    <t>DLarremore PPlage EPlage</t>
  </si>
  <si>
    <t>PIPL 2</t>
  </si>
  <si>
    <t>UL?,LL-yellow/black,UR?,LR-green/orange</t>
  </si>
  <si>
    <t>N</t>
  </si>
  <si>
    <t>SNPL 9</t>
  </si>
  <si>
    <t>UL?,LL-black,UR metal,LR-blue/white</t>
  </si>
  <si>
    <t>PPlage EPlage</t>
  </si>
  <si>
    <t>PIPL 17, SPPL 67, SAND 5, DUNL 156, BBPL 3, REKN 1, WESP 16, LESP 23, SBDO 16</t>
  </si>
  <si>
    <t>SNPL 2, WIPL 2</t>
  </si>
  <si>
    <t>DCCO 70, SNPL2</t>
  </si>
  <si>
    <t>SNPL 3</t>
  </si>
  <si>
    <t>DLarremore</t>
  </si>
  <si>
    <t>SNPL 2, DBCO 100, RUTU 20, SBDO 20, BBPL 20, RBGU 20</t>
  </si>
  <si>
    <t>Avalon State Park</t>
  </si>
  <si>
    <t xml:space="preserve"> St. Lucie</t>
  </si>
  <si>
    <t>PIPL 40, SPPL 104, SAND 4, DUNL 444, BBPL 21, REKN 35, WESP 73, LESP 157, SBDO 127, LAGU 100, HEGU 5, LEBB 1, ROTE 97, CATE 2, FOTE 34, DCCO 130, BRPE 21, GRYL 1,</t>
  </si>
  <si>
    <t>1) UL-O,LL-black/blue,UR-metal,LR-black 2)UL-green flag,LL-black/blue,UR-0, LR-yellow/white 3)UL-metal,LL-green,UR-orange,LR-black/red</t>
  </si>
  <si>
    <t>Y</t>
  </si>
  <si>
    <t>Lisa Phillips</t>
  </si>
  <si>
    <t xml:space="preserve">DLarremore  </t>
  </si>
  <si>
    <t>lisa.phillips@dep.state.fl.us</t>
  </si>
  <si>
    <t>SNPL 4</t>
  </si>
  <si>
    <t>SNPL 39, WIPL16, PIPL 5, SPPL 12, DUNL 48, SBDO 31, BBPL 23, SAND 50, REKN 4, RUTU 60, WILL 40, LESP 33, WESP 9, RBGU 50</t>
  </si>
  <si>
    <t>1)UL?,LL-white/yellow,UR?,LR-yellow 2)UL?,LL-orange,UR?,LR-orange </t>
  </si>
  <si>
    <t>Camp Helen State Park</t>
  </si>
  <si>
    <t>Bay</t>
  </si>
  <si>
    <t>Bonita Beach</t>
  </si>
  <si>
    <t>Keith Laakkonen</t>
  </si>
  <si>
    <t>Marvin Friel</t>
  </si>
  <si>
    <t>marvin.friel@dep.state.fl.us</t>
  </si>
  <si>
    <t>No "focal" species but worthy of note- WILL 50, RBGU 63, BRPR 55, BBPL 41, ROTE 175, BLSK 45</t>
  </si>
  <si>
    <t>No "focal" species but worthy of note-ROTE 150</t>
  </si>
  <si>
    <t>Sebastian Inlet - Indian River Side</t>
  </si>
  <si>
    <t>Jason DePue Terese Harber</t>
  </si>
  <si>
    <t>Sebastian Inlet - Brevard County Side</t>
  </si>
  <si>
    <t>Jason DePue and Terese Harber</t>
  </si>
  <si>
    <t>Sunset Beach</t>
  </si>
  <si>
    <t>John Herrick and Brenda Budd</t>
  </si>
  <si>
    <t>AMOY (3)</t>
  </si>
  <si>
    <t>none</t>
  </si>
  <si>
    <t>N/A</t>
  </si>
  <si>
    <t>St. Andrews State Park</t>
  </si>
  <si>
    <t>Marvin Friel, Joe Mocilan, Clayton Iron Wolf</t>
  </si>
  <si>
    <t>AMOY (1)</t>
  </si>
  <si>
    <t>Sanderlings (130), Willets (22)</t>
  </si>
  <si>
    <t>Elliott Key Oceanside, Biscayne National Park</t>
  </si>
  <si>
    <t>Shelby Moneysmith, Vanessa McDonough, Elsa Alvear, Arend Thibodeau</t>
  </si>
  <si>
    <t>Sanderlings (70)</t>
  </si>
  <si>
    <t>Gulf Islands National Seashore Santa Rosa South</t>
  </si>
  <si>
    <t>Mark Nicholas</t>
  </si>
  <si>
    <t>Snowy Plovers (5, 2 banded)</t>
  </si>
  <si>
    <t>Snowy Plover, not all bands confirmed, -/-:-/RY; Snowy Plover -/violetA : -/S</t>
  </si>
  <si>
    <t>Gulf Islands National Seashore Santa Rosa North</t>
  </si>
  <si>
    <t>Piping Plovers (3: 2 unbanded, 1 banded-&gt; bands not readable)</t>
  </si>
  <si>
    <t>bands unreadable</t>
  </si>
  <si>
    <t>Piping Plovers (12: 10 unbanded, 2 banded)</t>
  </si>
  <si>
    <t>Piping Plover: FY/GB:S/PG (yellow flag could see A1, but nothing else); Piping Plover: S/YK:FY/GB</t>
  </si>
  <si>
    <t>Gulf Islands National Seashore Fort Pickens North</t>
  </si>
  <si>
    <t>Monica Hardin</t>
  </si>
  <si>
    <t>Ring-billed Gull (43), Herring Gull (4), Laughing Gull (3), Willet (3), Sanderling (1)</t>
  </si>
  <si>
    <t>Gulf Islands National Seashore Fort Pickens South</t>
  </si>
  <si>
    <t>Ring-billed Gull (284)</t>
  </si>
  <si>
    <t>Snowy Plovers (2, 1 unbanded, 1 banded)</t>
  </si>
  <si>
    <t>Snowy Plover YLb/-:GG/-</t>
  </si>
  <si>
    <t>Crooked Island West- Tyndall Air Force Base</t>
  </si>
  <si>
    <t>Raya Pruner, Marvin Friel</t>
  </si>
  <si>
    <t>Snowy Plovers (9, 3 unbanded, 6 banded-&gt; 1 unreadable)</t>
  </si>
  <si>
    <t>raya.pruner@dep.state.fl.us</t>
  </si>
  <si>
    <t>Snowy Plovers  OO/-:KO/-,  LbY/-:LbY/-,  YG/-:LbO/-,  YY/-:LbG/-,  YK/-:LbY/-</t>
  </si>
  <si>
    <t>yes (of at least 2)</t>
  </si>
  <si>
    <t xml:space="preserve">Gulf Islands National Seashore Perdido Key North </t>
  </si>
  <si>
    <t>Toby Stapleton</t>
  </si>
  <si>
    <t>Sanderling (36), Willet (3), Ring-billed Gull (34), Bonaparte's Gull (1), Black Skimmer (15), Royal Tern (1), Herring Gull (53), Laughing Gull (175), Forster's Tern (128)</t>
  </si>
  <si>
    <t>Gulf Islands National Seashore Perdido Key South</t>
  </si>
  <si>
    <t>Snowy Plovers (8)</t>
  </si>
  <si>
    <t>Snowy Plover (1)</t>
  </si>
  <si>
    <t>Porpoise Point</t>
  </si>
  <si>
    <t>Diana Doyle</t>
  </si>
  <si>
    <t>Sanderling (1), Ruddy Turnstone (1), Laughing Gull (10), Royal Tern (2), Forster's Tern (28), Ring-billed Gull (54), Black Skimmer (28)</t>
  </si>
  <si>
    <t>Vilano Beach, Reef Restaurant to Surfside Park</t>
  </si>
  <si>
    <t>Diana Doyle, Lia Sansom</t>
  </si>
  <si>
    <t>Willet (3), Sanderling (2), Ring-billed Gull (160), Forster's Tern (9), Laughing Gull (17), Herring Gull (1)</t>
  </si>
  <si>
    <t>AMI - Alamanda Rd (Bean Point) to Longboat Pass</t>
  </si>
  <si>
    <t>Glenn Wiseman</t>
  </si>
  <si>
    <t>REKN (52) RUTU (4)</t>
  </si>
  <si>
    <t>REKN (41)  RUTU (3) SPPL (32) SNPL (1) PIPL (92) BBPL (31) DUNL (1) SAND (106) WILL (5)</t>
  </si>
  <si>
    <t>Shell Island- Tyndall Air Force Base</t>
  </si>
  <si>
    <t xml:space="preserve">DCCO (34) AMOY (5) BRPE (7) LAGU (18) ROYT (12) FOTE (1) RBGU (1) </t>
  </si>
  <si>
    <t xml:space="preserve">Tyler Brown </t>
  </si>
  <si>
    <t>Tyler.A.Brown@dep.state.fl.us</t>
  </si>
  <si>
    <t xml:space="preserve">LAGU (121) HEGU (4) RBGU (6) WILL (1) </t>
  </si>
  <si>
    <t>ROYT (3) FOTE (2) HEGU (2) RBGU (16) LAGU (97)</t>
  </si>
  <si>
    <t>SNPL (9)</t>
  </si>
  <si>
    <t>8 banded and recorded: S//K:KK, YR:S//W, S//R:YB, BY:S//W, S/RR:RR, S//G:G//, LbO//:OLb//, OR:S//W</t>
  </si>
  <si>
    <t>NO</t>
  </si>
  <si>
    <t>SAND (17), BOGU (460), HERG (2), RBGU (3), FOTE (1), KILL (1), WILL (1)</t>
  </si>
  <si>
    <t>Deer Lake State Park</t>
  </si>
  <si>
    <t>SNPL (2)</t>
  </si>
  <si>
    <t>2 banded and recorded: OO:S//K, S//Y:KR</t>
  </si>
  <si>
    <t>2 banded and recorded: KY:S//K, S//R:WR</t>
  </si>
  <si>
    <t>Eastern Lake</t>
  </si>
  <si>
    <t>Shell Island- St. Andrews State Park</t>
  </si>
  <si>
    <t>Tyler Brown, Melissa LeMatty</t>
  </si>
  <si>
    <t>RBGU (3), LAGU (3), SAND (24), BOGU (51), FOTE (1)</t>
  </si>
  <si>
    <t>1 banded: GB:S//B</t>
  </si>
  <si>
    <t>DCCO (23), BOGU (1), LAGU (12), SAND (2), HERG (1), RBGU (2), ROYT (2), FOTE (6), RUTU (5)</t>
  </si>
  <si>
    <t>Watersound/ Camp Creek</t>
  </si>
  <si>
    <t>SNPL (3), FOTE (18), BOGU (120), HERG (1), RBGU (1), SAND (3)</t>
  </si>
  <si>
    <t>3 SNPL banded: KR:S//B, RG:S//K, S//:W//B</t>
  </si>
  <si>
    <t>Grayton Beach State Park</t>
  </si>
  <si>
    <t>Tyler Brown</t>
  </si>
  <si>
    <t>SNPL (7), SAND (19), SPSA (1)</t>
  </si>
  <si>
    <t>6 SNPL banded: S//Y:WY, RK:S//K, S//R:RO, OO:S//W, BW:S//W, KY:S//W</t>
  </si>
  <si>
    <t>Topsail Hill Preserve State Park</t>
  </si>
  <si>
    <t>Crooked Island East- Tyndall Air Force Base</t>
  </si>
  <si>
    <t>BOGU (401)</t>
  </si>
  <si>
    <t>na</t>
  </si>
  <si>
    <t>St. George Island State Park</t>
  </si>
  <si>
    <t>BBPL (7), SNPL (14), SEPL (16), SAND (32), DUNL (21)</t>
  </si>
  <si>
    <t>5 banded SNPL: YG:S//K, KW:S//K, BB:S//K, WB:S//K, S//R:YG</t>
  </si>
  <si>
    <t>PIPL (6), SAND (37), AMOY (2), DUNL (72), WILL (27), BBPL (2), SEPL (9)</t>
  </si>
  <si>
    <t>3 banded PIPL: S//UB//FY//K, FY (A41)//PR:S//PG, S//BB:FY (C00)//PG</t>
  </si>
  <si>
    <t>PIPL (5), SNPL (2)</t>
  </si>
  <si>
    <t>2 banded PIPL: FW//R:S//YO, FY (P72)//:S// 1 banded SNPL:S//:YB</t>
  </si>
  <si>
    <t>1 banded SNPL: S//K:YR</t>
  </si>
  <si>
    <t>Bonfire Beach</t>
  </si>
  <si>
    <t>SNPL (1)</t>
  </si>
  <si>
    <t>Barbara Eells</t>
  </si>
  <si>
    <t>SNPL (1), BOGU (49), HERG (6), SAND (7), LAGU (5), FOTE (4), RBGU (32)</t>
  </si>
  <si>
    <t>1 banded SNPL:S//R:RK</t>
  </si>
  <si>
    <t>SNPL (7)</t>
  </si>
  <si>
    <t>6 banded SNPL: OK:S//K, S//K:BG, GY:K, S//K:BY, GB:S//W, G//:KR</t>
  </si>
  <si>
    <t>Crooked Island West- Tyndall AFB</t>
  </si>
  <si>
    <t>pelican@fairpoint.net</t>
  </si>
  <si>
    <t>Raya Pruner</t>
  </si>
  <si>
    <t>7:15CST</t>
  </si>
  <si>
    <t>1 banded: RO:S//K</t>
  </si>
  <si>
    <t>1 banded: KY:S//B</t>
  </si>
  <si>
    <t>1 banded: KB:S//Y</t>
  </si>
  <si>
    <t>1 banded: S//K:RB</t>
  </si>
  <si>
    <t>SNPL (6)</t>
  </si>
  <si>
    <t>3 banded: WR:S//K. B:S//GG, GW:S//W</t>
  </si>
  <si>
    <t>SNPL (19), BBPL (3), FOTE (11), RBGU (27), WILL (1), SAND (32), PIPL (7)</t>
  </si>
  <si>
    <t>15 banded SNPL: S//K:YB, G//:S//O, R:OO, WY:S//W, OB:S//K, WK:S//W, S//K:GO, YY:S//K, S//:K, YO:S//K, BG:S//R, RG:S//B   3 banDed PIPL: O//G:S//G, FO//KB:S//Y, S//BO:FY(B19)//YK</t>
  </si>
  <si>
    <t>WIPL (5)</t>
  </si>
  <si>
    <t>1 banded: GR:S//B</t>
  </si>
  <si>
    <t>WILL (2), RBGU (26), HERG (1), BBPL (4), FOTE (3), BOGU (2), SAND (15)</t>
  </si>
  <si>
    <t>2 banded: YY:S//Y, S//K:RY</t>
  </si>
  <si>
    <t>clear and sunny  pelicans counted resting on Mexico Beach canal posts/roofs</t>
  </si>
  <si>
    <t>Mexico Beach</t>
  </si>
  <si>
    <t>SNPL (3)</t>
  </si>
  <si>
    <t>2 banded: S//Y:YO, BB:S//R</t>
  </si>
  <si>
    <t>SNPL (11)</t>
  </si>
  <si>
    <t>5 banded: S//K:GG, S//:R//B, OK:RS, RB:S//W, S//:OR</t>
  </si>
  <si>
    <t>8:15CST</t>
  </si>
  <si>
    <t>HERG (2), RBGU (12), FOTE (49), BOGU (61), HOGR (103), SNPL (2), ROYT (2)</t>
  </si>
  <si>
    <t>SNPL (6), PIPL (1)</t>
  </si>
  <si>
    <t>4 banded SNPL: WK:S//, S//:KW, OY:S//W, O//W:S//</t>
  </si>
  <si>
    <t>SAND (41), RBGU (39), DUNL (78), HERG (2), BBPL (1), BOGU (53), FOTE (3)</t>
  </si>
  <si>
    <t>Vilano Beach Reef Restaurant north to Fire Station</t>
  </si>
  <si>
    <t>J Becker
R Becker</t>
  </si>
  <si>
    <t>BOGU(1), ROYT (2), FOTE (31), BLSK (23), RBGU (14), WILL (8), LAGU (23)</t>
  </si>
  <si>
    <t>LAGU (111), RBGU (6)</t>
  </si>
  <si>
    <t>clear, most laugulls behind El Governor Motel; ringbills spread resting</t>
  </si>
  <si>
    <t>Cape Canaveral Air Force Station</t>
  </si>
  <si>
    <t>Brevard</t>
  </si>
  <si>
    <t>LAGU (55), BOGU (3), RTLO (1), COLO (2)</t>
  </si>
  <si>
    <t>Angy Chambers, Martha Carroll, Richard Brust</t>
  </si>
  <si>
    <t>angy.chambers@us.af.mil</t>
  </si>
  <si>
    <t>LAGU (200), RBGU (5)</t>
  </si>
  <si>
    <t>Amelia Island State Park</t>
  </si>
  <si>
    <t>ROYT (3), BRPE (23), DCCO (24), LAGU (79), BOGU (1), FOTE (8), GBBG (5), RBGU (28), BLSK (1), HERG (6)</t>
  </si>
  <si>
    <t>REKN (2)</t>
  </si>
  <si>
    <t>WIPL (1)</t>
  </si>
  <si>
    <t>WIPL (39)</t>
  </si>
  <si>
    <t>Little Talbot Island State Park</t>
  </si>
  <si>
    <t>LAGU (265), FOTE (26), RBGU (3), HERG (1)</t>
  </si>
  <si>
    <t>GLGU (1), BRPE (28), LAGU (111), RBGU (21), HERG (27), GBBG (6), LBBG (1), BOGU (2)</t>
  </si>
  <si>
    <t>Sunny, winds E 5-10mph, 55 degrees F, low tide 11:17am</t>
  </si>
  <si>
    <t>DUNL (136), BBPL (3), FOTE (1), SAND (3)</t>
  </si>
  <si>
    <t>ACNWR Route 1</t>
  </si>
  <si>
    <t>28 2'18.23"N</t>
  </si>
  <si>
    <t>80 32'36.97"W</t>
  </si>
  <si>
    <t>27 59'0.12"N</t>
  </si>
  <si>
    <t>80 30'56.40"W</t>
  </si>
  <si>
    <t>REKN (9)</t>
  </si>
  <si>
    <t>Nichole Perna</t>
  </si>
  <si>
    <t>nichole.perna@brevardparks.com</t>
  </si>
  <si>
    <t>PIPL (2)</t>
  </si>
  <si>
    <t>PIPL (7)</t>
  </si>
  <si>
    <t>3 banded: S,Y:FO,YG; FO,W:S, G; FG,_:O,_</t>
  </si>
  <si>
    <t>Yes for S,Y:FO,YG</t>
  </si>
  <si>
    <t>Bill Baggs Cape Florida State Park</t>
  </si>
  <si>
    <t>E. Golden, K. Martinez</t>
  </si>
  <si>
    <t>Sanderling (45), Semipalmated Plover (5), Ruddy Turnstone (3)</t>
  </si>
  <si>
    <t>No bands seen</t>
  </si>
  <si>
    <t>n/a</t>
  </si>
  <si>
    <t>South BC Spoil Islands</t>
  </si>
  <si>
    <t>Sanderling (31), Semipalmated Plover (28), Ruddy Turnstone (3)</t>
  </si>
  <si>
    <t>Marc Virgilio, Dana Maira</t>
  </si>
  <si>
    <t>Marc.Virgilio@dep.state.fl.us</t>
  </si>
  <si>
    <t>Village of Key Biscayne - beach</t>
  </si>
  <si>
    <t>Laughing Gull (50), Ring-billed Gull (25), Lesser Black-backed Gull (1)</t>
  </si>
  <si>
    <t>Laughing Gull (65), Ring-billed Gull (9)</t>
  </si>
  <si>
    <t>Note:  These birds were loafing on the flat roof of a single-story building about 150' west of the open beach.</t>
  </si>
  <si>
    <t>Laughing Gull (110), Royal Tern (1)</t>
  </si>
  <si>
    <t>BLSK 25, BOGU 5, HERG 85, ROYT 3, SAND 3, WILL 1, FRGU 2, RBGU 1</t>
  </si>
  <si>
    <t xml:space="preserve">SAND 17, BBPL 9, HERG 68, FOTE 2, DCCO 1, WILL 5, </t>
  </si>
  <si>
    <t>Windy (15-20knts), sunny, 60F</t>
  </si>
  <si>
    <t>ACNWR Route 2</t>
  </si>
  <si>
    <t>SAND 100, BBPL 35, WILL 4</t>
  </si>
  <si>
    <t>27 59' 0.12"N</t>
  </si>
  <si>
    <t>BRPE 1, DCCO 24, ROYT 10, HERG 80</t>
  </si>
  <si>
    <t>ROYT 20, HERG 35, RBGU 5, WILL 1, FOTE 1</t>
  </si>
  <si>
    <t>27 56'8.63"N</t>
  </si>
  <si>
    <t>80 29'23.43"W</t>
  </si>
  <si>
    <t>BRPE 17, ROYT 65, DCCO 1, SATE 7, COTE 2, HERG 35</t>
  </si>
  <si>
    <t>Kristen Kneifl</t>
  </si>
  <si>
    <t>Kristen_Kneifl@fws.gov</t>
  </si>
  <si>
    <t>BRPE 46, ROYT 35, SATE 3, HERG 60</t>
  </si>
  <si>
    <t>BRPE 3, ROYT 17, HERG 46, BLSK 1, DCCO 3, SATE 4, FOTE 2</t>
  </si>
  <si>
    <t>Mashes Island County Park</t>
  </si>
  <si>
    <t>BLSK (67); BRPE (17)</t>
  </si>
  <si>
    <t>Broadmoor Unit of TM Goodwin WMA</t>
  </si>
  <si>
    <t>Shell Point Beach</t>
  </si>
  <si>
    <t>Carolyn Cimino</t>
  </si>
  <si>
    <t>sailcarm@aol.com</t>
  </si>
  <si>
    <t>Canaveral National Seashore - Playalinda District</t>
  </si>
  <si>
    <t>Keewaydin Island</t>
  </si>
  <si>
    <t>Beverly Anderson, Deborah Woods, Pete Hansen</t>
  </si>
  <si>
    <t>WIPL (2)</t>
  </si>
  <si>
    <t>John Stiner, Randy Schau, Joyce Schau</t>
  </si>
  <si>
    <t>johnstiner85@yahoo.com</t>
  </si>
  <si>
    <t>BRPE (93), DCCO (7), HEGU (42), ROYT (124), SATE (1), RBGU (15), DUNL (35), REKN (3), RUTU (1), SAND (100), SBDO (8), WILL (26)</t>
  </si>
  <si>
    <t>BRPE (36) one banded, DCCO (20)</t>
  </si>
  <si>
    <t>BRPE:UL-W (Y64 - vertical on band);  LL - nothing; UR - metal; LR - nothing (photo)</t>
  </si>
  <si>
    <t>BRPE (6), ROYT (65), LAGU (2), RBGU (3), BBPL (46), RUTU (9), SAND (90), SATE (1), WILL ( 5), REKN (1) no bands</t>
  </si>
  <si>
    <t>Caladesi Island State Park</t>
  </si>
  <si>
    <t>Kevin Christman, Brooke Hoerner, Joe Brady</t>
  </si>
  <si>
    <t xml:space="preserve">N 28.05076 </t>
  </si>
  <si>
    <t>W 082.81929</t>
  </si>
  <si>
    <t>SNPL (2), no bands</t>
  </si>
  <si>
    <t>N 28.05048</t>
  </si>
  <si>
    <t>W 082.81961</t>
  </si>
  <si>
    <t>PIPL (5), 1 banded</t>
  </si>
  <si>
    <t>Band combo: UL: S, LL: B, UR: FK, LR: K/B</t>
  </si>
  <si>
    <t>Yes</t>
  </si>
  <si>
    <t>Note: this bird has been spotted many times on this island.</t>
  </si>
  <si>
    <t>Noth Anclote Bar</t>
  </si>
  <si>
    <t>Clear, cool</t>
  </si>
  <si>
    <t>Stephen Mann, Jane Mann</t>
  </si>
  <si>
    <t>ACNWR Route 3</t>
  </si>
  <si>
    <t>N 28.23055</t>
  </si>
  <si>
    <t xml:space="preserve">Brevard </t>
  </si>
  <si>
    <t>W 82.84037</t>
  </si>
  <si>
    <t>27 56' 8.63"N</t>
  </si>
  <si>
    <t>DCCO (220) ROYT(26)</t>
  </si>
  <si>
    <t>80 29' 23.43"W</t>
  </si>
  <si>
    <t>27 52' 34.38"N</t>
  </si>
  <si>
    <t>80 27' 19.44"W</t>
  </si>
  <si>
    <t>Doug Sutherland</t>
  </si>
  <si>
    <t>North Anclote Bar</t>
  </si>
  <si>
    <t>djaygator12@yahoo.com</t>
  </si>
  <si>
    <t>N 28.23294</t>
  </si>
  <si>
    <t>W 82.83941</t>
  </si>
  <si>
    <t>PIPL (1), DUNL (176), ROYT (214)</t>
  </si>
  <si>
    <t>N 28.23322</t>
  </si>
  <si>
    <t>W 82.83912</t>
  </si>
  <si>
    <t>SNPL (2), PIPL (1), DUNL(145), REKN (2)</t>
  </si>
  <si>
    <t>PIPL UL-Yellow flag "A92", UR metal</t>
  </si>
  <si>
    <t>N 28.23482</t>
  </si>
  <si>
    <t>W 82.83684</t>
  </si>
  <si>
    <t>WIPL (1), SNPL (2), PIPL (2)</t>
  </si>
  <si>
    <t>Kice Island</t>
  </si>
  <si>
    <t>SAND (10), BBPL (3), RUTU (1), DUNL (14), WESP (4), LESP (11), SBDO (4), SEPL (48), PIPL (4), RBGU (3), BRPE (4)</t>
  </si>
  <si>
    <t>1 banded PIPL R/Y,-:R/b,-  (banded 6/10/2010 at Assateague National Seashore, MD and  seen 6 times between 2011 and 2014 on Kice Island)</t>
  </si>
  <si>
    <t>WILL (238), SBDO (57), MAGO (15)</t>
  </si>
  <si>
    <t>N 28.05024</t>
  </si>
  <si>
    <t>W 082.81965</t>
  </si>
  <si>
    <t>PIPL (12), SEPL (1), WIPL (3), Dunlin (2)</t>
  </si>
  <si>
    <t>N 28.05006</t>
  </si>
  <si>
    <t>W 082.8169</t>
  </si>
  <si>
    <t>PIPL (5), SEPL (29), SNPL (1), WIPL (6), Dunlin (4), Black-bellied plover (1), Sanderling (2), Ruddy Turnstone (1)</t>
  </si>
  <si>
    <t>N 28.04941</t>
  </si>
  <si>
    <t>W 082.81981</t>
  </si>
  <si>
    <t>PIPL (7), SEPL (1), two banded PIPL</t>
  </si>
  <si>
    <t xml:space="preserve">band combo: PlPL number1 = UL: FG, LL: B/K, UR: S, LR: O/G ----- PIPL number 2 = UL: S, LL: Y/K, UR: FY (C15), LR: K/B </t>
  </si>
  <si>
    <t>Photo available for PIPL number2 </t>
  </si>
  <si>
    <t>Overcast and cool w/light to moderate NNW breeze. Low tide. Dead birds noted: 1 NOGA, 1 BRPE, 1 ROYT, 1 Loon sp, 1 Unidentified. Also 1 NOGA at edge of surf about to expire. Also noted hundreds of NOGA's just beyond surf line diving and feeding.</t>
  </si>
  <si>
    <t>Note: both piping plovers have been spotted previously on this island.</t>
  </si>
  <si>
    <t>Hollywood to Dania Beach</t>
  </si>
  <si>
    <t>Broward</t>
  </si>
  <si>
    <t>N 28.0443</t>
  </si>
  <si>
    <t>W 082.81994</t>
  </si>
  <si>
    <t>Millie &amp; David Pressler</t>
  </si>
  <si>
    <t>Black-bellied Plover (32), Red Knot (100 - no bands seen, all were resting so hard to see), Dunlin (623), Sanderling (80), SEPL (31), Short-billed dowitcher (92)</t>
  </si>
  <si>
    <t>CountessP@aol.com</t>
  </si>
  <si>
    <t>N 28.03644</t>
  </si>
  <si>
    <t>W 082.82162</t>
  </si>
  <si>
    <t>AMOY (2) - no bands</t>
  </si>
  <si>
    <t>N 28.099317</t>
  </si>
  <si>
    <t>W 082.837558</t>
  </si>
  <si>
    <t>Double-crested corm. (103), Ring-billed Gull (9), Marbled Godwit (4), Willet (65), Brown pelican (4) laughing gull (1), Royal tern (1)</t>
  </si>
  <si>
    <t>Note: these birds were resting/feeding on the shrinking exposed mudflats on the northeast side of the island - seen throuhg binoculars and spotting scope</t>
  </si>
  <si>
    <t>W 082.831228</t>
  </si>
  <si>
    <t>Willet (100), Double-crested corm. (84), Brown pelican (7), Laughing Gull (2), Ring-billed gull (1), Herring Gull (1)</t>
  </si>
  <si>
    <t>Note: These birds were resting on the exposed, shrinking sandbar on the north west side of the island - seen with binoculars and spotting scope</t>
  </si>
  <si>
    <t>South Beach Park, Vero Beach, Indian River County</t>
  </si>
  <si>
    <t>Tim Towles, Billi Wagner</t>
  </si>
  <si>
    <t xml:space="preserve">27 37.957'N   </t>
  </si>
  <si>
    <t>80 21.029'W</t>
  </si>
  <si>
    <t>PIPL(3)</t>
  </si>
  <si>
    <t xml:space="preserve">none flagged. </t>
  </si>
  <si>
    <t>Indian River Lagoon, Martin County</t>
  </si>
  <si>
    <t>Ricardo Zambrano, Carol Rizkalla</t>
  </si>
  <si>
    <t xml:space="preserve"> 27.190181°</t>
  </si>
  <si>
    <t>-80.187891°</t>
  </si>
  <si>
    <t>BRPE (83), WOST, GREG, GBHE, WHIB, DCCO (10), LBHE, SNEG, ROSP, MAFR </t>
  </si>
  <si>
    <t>Morgan Island/Cape Romano</t>
  </si>
  <si>
    <t>morning fog seemed to lift by the time we started.  lots of people traffic</t>
  </si>
  <si>
    <t>Lauderdale by the Sea / Oakland Park to Commercial Blvd.</t>
  </si>
  <si>
    <t>AWPE (63), BBPL (43)</t>
  </si>
  <si>
    <t>Monica Seas &amp; Carla Marghieri</t>
  </si>
  <si>
    <t>cmarghieri@hotmail.com</t>
  </si>
  <si>
    <t>BRPE (65), SAND (22), BBPL (38), RUTU ( 32), LAGU (64), BLSK (61), ROYT (68), RBGU (53), PIPL (1), LESA (17), SEPL (29), WILL, (7), GBBG (14), REKN (1)</t>
  </si>
  <si>
    <t>SEPL (59), PIPL (9), WIPL (27), WESP (42), DUNL (105), SAND (12), LESP (2), SPSA (1)</t>
  </si>
  <si>
    <t>Second Chance</t>
  </si>
  <si>
    <t>Beverly Anderson, Deborah Woods, Pere Hansen</t>
  </si>
  <si>
    <t>ROYT (59), BRPE (29), DCCO (11), RBGU (4), HEGU (3), LAGU (3)</t>
  </si>
  <si>
    <t>Data entered by Naomi Avissar; no GPS coordinates provided so used Google Maps to find route start &amp; end points.</t>
  </si>
  <si>
    <t>Oakland Park Blvd - Sunrise Blvd.</t>
  </si>
  <si>
    <t>SAND (103), RBGU (20), GBBG (2), WILL (1)</t>
  </si>
  <si>
    <t>Christian Petrisko &amp; Dana Fahey</t>
  </si>
  <si>
    <t>St. Joseph State Park</t>
  </si>
  <si>
    <t>?</t>
  </si>
  <si>
    <t>Marvin Friel, Jessy K</t>
  </si>
  <si>
    <t>BOGU (7), WILL (63), ROYT (3), LAGU (3), FOTE (5), RBGU (1), HERG (2), SAND (1)</t>
  </si>
  <si>
    <t>SNPL (14), DUNL (20), SAND (32), SEPL (10), PIPL (3), BBPL (1)</t>
  </si>
  <si>
    <t>SNPL: 7 banded: WR:S//, KO:S//R, RO:S//W, S//K:YY, S//K:GK, S//:K//Y, OY:S//K; 1 banded PIPL: O//S:LOL</t>
  </si>
  <si>
    <t>Data entered by Naomi Avissar</t>
  </si>
  <si>
    <t>John Lloyd Beach</t>
  </si>
  <si>
    <t>DUNL (14), HERG (6), ROYT (1), BOGU (40, FOTE (8), RBGU (5), SAND (2), BBPL (3), WILL (1), RUTU (1)</t>
  </si>
  <si>
    <t>Christopher Leon,Dana Martin</t>
  </si>
  <si>
    <t>Christopher.L.Leon@dep.state.fl.us</t>
  </si>
  <si>
    <t>PIPL (3), RBGU (1), SAND (39), AMOY (2), BRPE (6), WILL (3), FOTE (2)</t>
  </si>
  <si>
    <t>2 pipl banded: FG//YB:WR, FG//BK:GY</t>
  </si>
  <si>
    <t>SNPL (13)</t>
  </si>
  <si>
    <t>8 banded SNPL: YK:S//W, S:B, S//R:R//, BO:S//W, GY:S//W, W//G:S//, BK:S//K, S//Y:GW</t>
  </si>
  <si>
    <t>1 banded: KG:S//B</t>
  </si>
  <si>
    <t>SNPL (8)</t>
  </si>
  <si>
    <t>8 SNPL banded: RK:S//K, B//O:S//, S//:Y//Y, S//R:OW, KW:S//W, KW:S//Y, BB:S//Y, GG:S//B</t>
  </si>
  <si>
    <t>SNPL (5)</t>
  </si>
  <si>
    <t>4 banded SNPL: YW:S//Y, RB:S//Y, GR:S//W, GR:S//R</t>
  </si>
  <si>
    <t>SNPL (4)</t>
  </si>
  <si>
    <t>3 banded SNPL: S//:G//R, S//R:RB, YR:G//</t>
  </si>
  <si>
    <t>Goose Island- St. George Island State Park</t>
  </si>
  <si>
    <t>Tyler Brown, Hatch W</t>
  </si>
  <si>
    <t>AMOY (10)</t>
  </si>
  <si>
    <t xml:space="preserve">1 banded: Red(68)//:Red(68)//S </t>
  </si>
  <si>
    <t>Sunny, no wind. Data entered by Carol Rizkalla</t>
  </si>
  <si>
    <t>SNPL (10), AMOY (2)</t>
  </si>
  <si>
    <t>Hollywood FL</t>
  </si>
  <si>
    <t>6 banded SNPL: K//K:S//, S//R:BG, GG:S//K, G//:RY, RY:S//W, RR:S//W</t>
  </si>
  <si>
    <t>26.03.247</t>
  </si>
  <si>
    <t>-80.06.726</t>
  </si>
  <si>
    <t>26.02.044</t>
  </si>
  <si>
    <t>-80.08.48</t>
  </si>
  <si>
    <t>Debra Martin</t>
  </si>
  <si>
    <t>1 banded: Red(AY)//:Red(AY)//S</t>
  </si>
  <si>
    <t>lawless_ma@bellsouth.net</t>
  </si>
  <si>
    <t>1 LETE &amp; 1 BRPE observed in air</t>
  </si>
  <si>
    <t>Deerfield Beach Pier to Hillsboro Lighthouse</t>
  </si>
  <si>
    <t>Lita Andreano, Laura Swager, Gina Dotson</t>
  </si>
  <si>
    <t>gdotson007@gmail.com</t>
  </si>
  <si>
    <t>LAGU(122), ROYT(5), RBGU(19), LBBG(5), SAND(5)</t>
  </si>
  <si>
    <t>Stump Pass Beach State Park</t>
  </si>
  <si>
    <t>Charlotte</t>
  </si>
  <si>
    <t>Betty Baust, Marty Shirley</t>
  </si>
  <si>
    <t>Jennifer.Manis@dep.state.fl.us</t>
  </si>
  <si>
    <t>Honeymoon Island State Park North</t>
  </si>
  <si>
    <t>Jennifer Manis</t>
  </si>
  <si>
    <t>WIPL (6) - 1 banded, PIPL (1) - banded</t>
  </si>
  <si>
    <t>WIPL- LL-Y/O, LR-B, PIPL-UL-FO, LL-LG/O UR-S, LR-Y</t>
  </si>
  <si>
    <t>No</t>
  </si>
  <si>
    <t>WIPL (7), SNPL (4), PIPL (2)</t>
  </si>
  <si>
    <t>WIPL (4)</t>
  </si>
  <si>
    <t>Double-crested corm. (81), Osprey (2), Herring Gulls (2), Royal Terns (28)</t>
  </si>
  <si>
    <t>PIPL (5), Semi-palm plovers (42), Short-billed dowitcher (4)</t>
  </si>
  <si>
    <t>Long Key State Park</t>
  </si>
  <si>
    <t>Janice Duquesnel, Aldin Matthews</t>
  </si>
  <si>
    <t>royal tern (45), laughing gull (6), Black bellied plover (1) glaucous gull (1), semi palmated plover (1)</t>
  </si>
  <si>
    <t xml:space="preserve">Occasional birds found along survey, majority of birds located on the southern spit of the park.  Sunny conditions, winds under 3 mph, total survey ~1.3 miles. </t>
  </si>
  <si>
    <t>Bahia Honda State Park/Oceanside</t>
  </si>
  <si>
    <t>Don Pedro State Park</t>
  </si>
  <si>
    <t>Janice Duquesnel, Brittany Buttner, Linda Spencer</t>
  </si>
  <si>
    <t>sanderling (56), ruddy turnstone (66), semi-palmated plover (18), ring billed gull (1), black bellied plover (2)</t>
  </si>
  <si>
    <t>ruddy turnstone (25), black bellied plover (1), sanderling (120), semi-palmated sandpiper (24)</t>
  </si>
  <si>
    <t>Delnor-Wiggins Pass State Park/Gulfside and Wiggins Pass</t>
  </si>
  <si>
    <t>Cheryl Metzger</t>
  </si>
  <si>
    <t>N26 17.125</t>
  </si>
  <si>
    <t>W081 49.909</t>
  </si>
  <si>
    <t>Royal tern (93)</t>
  </si>
  <si>
    <t>Royal Terns (67)</t>
  </si>
  <si>
    <t>Gasparilla Island State Park</t>
  </si>
  <si>
    <t>Royal Terns (39), Sandwich Terns (9), Brown Pelicans (7), Double-crested corms. (29), Herring Gull (1), Ring-billed Gulls (8)</t>
  </si>
  <si>
    <t>Royal Terns (81), Sandwich Terns (25), Laughing Gulls (16)</t>
  </si>
  <si>
    <t>Mayport Ferry to Helen Cooper Floyd Park</t>
  </si>
  <si>
    <t>-81;2617</t>
  </si>
  <si>
    <t>Dunlin (65), Black-bellied Plover (2)</t>
  </si>
  <si>
    <t>Siesta Key Public S to Point of Rocks</t>
  </si>
  <si>
    <t>Claire Herzog, Kelley Berkey</t>
  </si>
  <si>
    <t>-82.3315.35</t>
  </si>
  <si>
    <t>Herring Gulls (473), Lesser Black-backed Gulls (2) Royal Tern (1), Ring-billed Gulls(5)</t>
  </si>
  <si>
    <t>a</t>
  </si>
  <si>
    <t>Di</t>
  </si>
  <si>
    <t>Atlantic Dunes Park</t>
  </si>
  <si>
    <t>Bob Satkowski, Mary Jane Nehring</t>
  </si>
  <si>
    <t>Sanderlings (peeps) 120, Semipalmated plavers (9), Ring-Billed Gull (32)</t>
  </si>
  <si>
    <t>dania to hollywood beach</t>
  </si>
  <si>
    <t xml:space="preserve"> Millie and David Pressler</t>
  </si>
  <si>
    <t xml:space="preserve">Sunny, high tide, wind 2-5 mph, tons of dog prints, and two visitors walking dogs during survey.  Dogs are probably the biggest issue for birds in this area.  </t>
  </si>
  <si>
    <t>SNPL 12, PIPL 1</t>
  </si>
  <si>
    <t>Gasparilla Island (GINorth)</t>
  </si>
  <si>
    <t>ACNWR RT 3</t>
  </si>
  <si>
    <t>27 55' 45.06"N</t>
  </si>
  <si>
    <t>80 29' 09.91"W</t>
  </si>
  <si>
    <t>SAND 5, RBGU 17, WILL 1, FOTE 15, ROYT 25, BLSK 1, LAGU 1,</t>
  </si>
  <si>
    <t>None</t>
  </si>
  <si>
    <t>Kathleen Rohrer</t>
  </si>
  <si>
    <t>katrohrer@centurylink.net</t>
  </si>
  <si>
    <t>9:15 a.m.</t>
  </si>
  <si>
    <t xml:space="preserve">None </t>
  </si>
  <si>
    <t>27 53' 47.76" N</t>
  </si>
  <si>
    <t>80 28' 00.78"W</t>
  </si>
  <si>
    <t>BRPE 150, RBGU 25, FOTE 7, ROYT 18, GBBG 2, WILL 1, SAND 13, BOGU 10, LAGU 2, HERG 6</t>
  </si>
  <si>
    <t>Hobe Sound National Wildlife Refuge (HSNWR)</t>
  </si>
  <si>
    <t>Joseph Scarola</t>
  </si>
  <si>
    <t>Willet (2), Sanderlings (3), Ruddy Turnstone (1), Royal Tern (41), Laughing Gull (5), Ring-Billed Gull (2), Great Black-Backed Gull (1), Brown Pelican (2), Bonaparte's Gull (1)</t>
  </si>
  <si>
    <t>Willet (5), Sanderlings (1), Royal Tern (141), Laughing Gull (2), Ring-Billed Gull (10), Great Black-Backed Gull (2), Brown Pelican (95), Bonaparte's Gull (2), Herring Gull (12)</t>
  </si>
  <si>
    <t>Gasparilla Island GINorth</t>
  </si>
  <si>
    <t>SNPL 2</t>
  </si>
  <si>
    <t>Photo yes - no bands</t>
  </si>
  <si>
    <t>Fog, clouds, calm 70F; max ebb 02:06</t>
  </si>
  <si>
    <t>Palm Island Resort</t>
  </si>
  <si>
    <t>WIPL 15</t>
  </si>
  <si>
    <t>Kevin Edwards, Lynette Auger</t>
  </si>
  <si>
    <t>Kevin.edwards@charlottefl.com</t>
  </si>
  <si>
    <t>Southern Blvd to Lake Worth Pier</t>
  </si>
  <si>
    <t>Theresa Alderman, Stephanie Farmer</t>
  </si>
  <si>
    <t>RBGU(1)</t>
  </si>
  <si>
    <t>RBGU
Upper left-none
Lower left-O
Upper right-none
Lower right-S</t>
  </si>
  <si>
    <t xml:space="preserve">         Yes</t>
  </si>
  <si>
    <t>Sanibel Zone #1</t>
  </si>
  <si>
    <t>Kelly Sloan; Shea Gibbs</t>
  </si>
  <si>
    <t>A</t>
  </si>
  <si>
    <t>SNPL(6)</t>
  </si>
  <si>
    <t>Sanibel Island Zone #1</t>
  </si>
  <si>
    <t>B</t>
  </si>
  <si>
    <t>SAND(90)</t>
  </si>
  <si>
    <t>C</t>
  </si>
  <si>
    <t>Clear  and breezy around 50 degrees</t>
  </si>
  <si>
    <t>ROYT(140); LAGU(60)</t>
  </si>
  <si>
    <t>Little Gasparilla Island</t>
  </si>
  <si>
    <t>Sanibel Island Zone #2</t>
  </si>
  <si>
    <t>Joel Caouette</t>
  </si>
  <si>
    <t>SNPL(2)</t>
  </si>
  <si>
    <t>UL-S; LL-G//UR-none; LR-O/K</t>
  </si>
  <si>
    <t>Sanibel Island Zone #3</t>
  </si>
  <si>
    <t>Linda Soderquist, Susan Harrison</t>
  </si>
  <si>
    <t>linist@hotmail.com</t>
  </si>
  <si>
    <t>SNPL(9)</t>
  </si>
  <si>
    <t>UL-none; LL-Y/W//UR-S; LR-W</t>
  </si>
  <si>
    <t>RUTU(21); SAND(48); BBPL(4)</t>
  </si>
  <si>
    <t>D</t>
  </si>
  <si>
    <t>BRPE(130)</t>
  </si>
  <si>
    <t>Sanibel Island Zone #5</t>
  </si>
  <si>
    <t>Elizabeth Errickson</t>
  </si>
  <si>
    <t>SAND(52)</t>
  </si>
  <si>
    <t>SAND/WILL(70)</t>
  </si>
  <si>
    <t>Sanibel Island Zone #6</t>
  </si>
  <si>
    <t>Joel Caouette; Kelly Sloan</t>
  </si>
  <si>
    <t>LAGU(11); RBGU(1); ROYT(127); SATE(9); FOTE(7)</t>
  </si>
  <si>
    <t>REKN(13)</t>
  </si>
  <si>
    <t>Sanibel Island Zone #7</t>
  </si>
  <si>
    <t>LAGU(19); RBGU(2); ROYT(141); SATE(6); FOTE(6); WILL(1)</t>
  </si>
  <si>
    <t>WIPL(2)</t>
  </si>
  <si>
    <t>Captiva Island Zone #1</t>
  </si>
  <si>
    <t>overcast, slight breeze, 65 degrees, fog rolling in at end of survey</t>
  </si>
  <si>
    <t>SNAD(10); BBPL(18); DUNL(33); REKN(39)</t>
  </si>
  <si>
    <t>Gasparilla Island Sound</t>
  </si>
  <si>
    <t>REKN(1)</t>
  </si>
  <si>
    <t>Kathleen Rohrer, Sylvia Marek</t>
  </si>
  <si>
    <t>Captiva Island Zone #2</t>
  </si>
  <si>
    <t>BLSK(100); RBGU(4); ROYT(112); SAND(25)</t>
  </si>
  <si>
    <t>Hutchinson Island South</t>
  </si>
  <si>
    <t>Niki Desjardin</t>
  </si>
  <si>
    <t>RBGU (39); LAGU (18); ROYT (21); SATE (15); SAND (3); GBBG (1)</t>
  </si>
  <si>
    <t>None banded</t>
  </si>
  <si>
    <t>SAND (2); SATE (2); ROYT (61); FOTE (4); LAGU (48); RBGU (6); BRPE (1)</t>
  </si>
  <si>
    <t>SATE (10); ROYT (26); LAGU (15); RBGU (2); BOGU (1)</t>
  </si>
  <si>
    <t>RUTU (4); ROYT (2); LAGU (17); RBGU (10); BRPE (37)</t>
  </si>
  <si>
    <t>Gandy Beach</t>
  </si>
  <si>
    <t>Beth Forys</t>
  </si>
  <si>
    <t>ROYT (28), BLSK (22), LAGU (29), RBGU (10)</t>
  </si>
  <si>
    <t>Courtney Campbell Causeway</t>
  </si>
  <si>
    <t>Mardy &amp; Cy Hornsby, Cindy Maxwell</t>
  </si>
  <si>
    <t>206 BLSK</t>
  </si>
  <si>
    <t>Clear, calm, 70F, max ebb 17:38</t>
  </si>
  <si>
    <t>2 AMOY</t>
  </si>
  <si>
    <t>Linda Soderquist</t>
  </si>
  <si>
    <t>55 Brown Pelican &amp; 37 Double-crested Cormorant on pilings under pedestrian bridge. Lat &amp; Long indicate the point from which we observed them</t>
  </si>
  <si>
    <t>Indian Pass</t>
  </si>
  <si>
    <t>162 Bl skimmers</t>
  </si>
  <si>
    <t>All atrest/could see none</t>
  </si>
  <si>
    <t>9 PIPL (2 banded)</t>
  </si>
  <si>
    <t>GF//:G/B/B;;;;;;GF/O/O:/Gray/B</t>
  </si>
  <si>
    <t xml:space="preserve">Indian Pass </t>
  </si>
  <si>
    <t>BlSkimmer</t>
  </si>
  <si>
    <t>sitting in a small group of Foresters</t>
  </si>
  <si>
    <t>CapeSanBlas/Eglin AFB</t>
  </si>
  <si>
    <t>Bl skimmer</t>
  </si>
  <si>
    <t>sitting in group of bonies and Foresters</t>
  </si>
  <si>
    <t>Cape San Blas/Eglin AFB</t>
  </si>
  <si>
    <t>Bonepart Gulls (56)</t>
  </si>
  <si>
    <t>Forester's terns (42)</t>
  </si>
  <si>
    <t>Windmark Beach</t>
  </si>
  <si>
    <t>Citrus Co. Barge Canal Spoil Islands</t>
  </si>
  <si>
    <t>Citrus</t>
  </si>
  <si>
    <t>sanderlings (42)</t>
  </si>
  <si>
    <t>Ann Paul, March Rachal, Adele Mills, William Watson</t>
  </si>
  <si>
    <t>apaul@audubon.org</t>
  </si>
  <si>
    <t>SNPL (9) 5 banded and 1 immature within the group</t>
  </si>
  <si>
    <t>5 banded SNPL:
/B/O:S//W;;;/O/O:S//W;;/O/B:S//K;;S//Y:G//W;;//W:/R/S</t>
  </si>
  <si>
    <t>Bonepart Gulls(350)</t>
  </si>
  <si>
    <t>Highland View</t>
  </si>
  <si>
    <t>Ring-bill gulls (60)</t>
  </si>
  <si>
    <t>on sandbar about 40' from shore GPS taken from this point</t>
  </si>
  <si>
    <t>data entered by billy brooks</t>
  </si>
  <si>
    <t>Collier</t>
  </si>
  <si>
    <t xml:space="preserve">Bonepart Gulls (56) </t>
  </si>
  <si>
    <t>GPS taken from shore as they were on a sandbar about 30' from shoreline</t>
  </si>
  <si>
    <t>beverly.anderson@dep.state.fl.us</t>
  </si>
  <si>
    <t>SNPL (2) 1 banded</t>
  </si>
  <si>
    <t>//R/K:S//W</t>
  </si>
  <si>
    <t xml:space="preserve">Bonfire Beach </t>
  </si>
  <si>
    <t>SNPL (1) no bands</t>
  </si>
  <si>
    <t>Fair/clear; wind SW 7-12 mph; 78F; tide mid-rising. Survey by boat &amp; on foot.</t>
  </si>
  <si>
    <t>/G/G:S//K</t>
  </si>
  <si>
    <t>Laughing gulls (64 of 149) behind El Governor Motel No GPS</t>
  </si>
  <si>
    <t xml:space="preserve">Simmons Bayou/Port St. Joe </t>
  </si>
  <si>
    <t>Am Brown pelicans (58)</t>
  </si>
  <si>
    <t>all observations are taken from roadside only birds viewed were counted as they lounged on a small palm island about 100-150 yds from shore</t>
  </si>
  <si>
    <t>Simmons Bayou/Port St.Joe</t>
  </si>
  <si>
    <t>White pelicans (34)</t>
  </si>
  <si>
    <t>smae as above....only viewed were counted (group usually has 65-72 in it each year)</t>
  </si>
  <si>
    <t>Simmons Bayou /Port St. Joe</t>
  </si>
  <si>
    <t>PC;WNW at 5, 78F. Tide high. Eco-tour boat with 5 shellers caused birds to flush after count.</t>
  </si>
  <si>
    <t xml:space="preserve">Ring-bill gulls (47) </t>
  </si>
  <si>
    <t>resting on two sand bars within 50 yds of each other in the area across from Methodist Church</t>
  </si>
  <si>
    <t>IRC Spoil Islands</t>
  </si>
  <si>
    <t>k</t>
  </si>
  <si>
    <t>Marc Virgilio, David Heuberger</t>
  </si>
  <si>
    <t>None Banded</t>
  </si>
  <si>
    <t>Dayson Basin Perimeter Marsh Transect - Marine Corps Support Facility Blount Island</t>
  </si>
  <si>
    <t>John Martin, Gabriel Dupree</t>
  </si>
  <si>
    <t>LESP (175)</t>
  </si>
  <si>
    <t>Dayson Basin Dredge Disposal Area - Marine Corps Support Facility Blount Island</t>
  </si>
  <si>
    <t>AMAV (64), DUNL (750), LESA (430), WESA (540), Dowitcher sp. (75)</t>
  </si>
  <si>
    <t>ACNWR RT 1</t>
  </si>
  <si>
    <t>28 02'17.65"N</t>
  </si>
  <si>
    <t>80 32'33.67"W</t>
  </si>
  <si>
    <t>BRPE (180), LAGU (150), RBGU (50), ROYT (75)</t>
  </si>
  <si>
    <t>27 59'37.01"N</t>
  </si>
  <si>
    <t>80 31'15.06"W</t>
  </si>
  <si>
    <t>BRPE (25), ROYT (18), RBGU (10), LAGU (10), SAND (7)</t>
  </si>
  <si>
    <t>Kevin Edwards</t>
  </si>
  <si>
    <t>PC, wind WNW at 9mph, 78F, tide near high and falling</t>
  </si>
  <si>
    <t>WIPL (17) Sand(150) REKN(15)</t>
  </si>
  <si>
    <t>SNPL(5)</t>
  </si>
  <si>
    <t>REKN(20)</t>
  </si>
  <si>
    <t>Banding unknown</t>
  </si>
  <si>
    <t>Jupiter Beach</t>
  </si>
  <si>
    <t>Kelly Martin, Sandra Wallace, Chris Johnson</t>
  </si>
  <si>
    <t>Brown Pelican (168) Northern Gannet (1)</t>
  </si>
  <si>
    <t>Banding Unknown</t>
  </si>
  <si>
    <t>Laughing gull (129) Forster's Tern (2) Royal Tern (15)</t>
  </si>
  <si>
    <t>4 Royal Terns with silver bands on lower right leg. Number not legible.</t>
  </si>
  <si>
    <t>Big Marco Pass</t>
  </si>
  <si>
    <t>Ricardo Zambrano, Carol Rizkalla, Charlette Roman</t>
  </si>
  <si>
    <t>Clear, wind W at 10mph, 80F , tide high and falling. Birds resting  on extreme tip. 3 boats, 14 people and 2 dogs off-leash.</t>
  </si>
  <si>
    <t>N26 16.339</t>
  </si>
  <si>
    <t>W081 49.666</t>
  </si>
  <si>
    <t>N26 17.350</t>
  </si>
  <si>
    <t>W081 49.691</t>
  </si>
  <si>
    <t>Cheryl.Metzger@dep.state.fl.us</t>
  </si>
  <si>
    <t xml:space="preserve">SNPL (9) </t>
  </si>
  <si>
    <t>1 SNPL: UL - metal, LL - yellow, LR - black</t>
  </si>
  <si>
    <t>DUNL (2400), SAND (220), SPSA (2), WESA (5), LESA (1), SBDO (85), BBPL (59), RUTU (4)</t>
  </si>
  <si>
    <t>WIPL (51)</t>
  </si>
  <si>
    <t>WIPL (3), PIPL (1)</t>
  </si>
  <si>
    <t xml:space="preserve">Sunny, wind from the west @ ~3mph. Where largest group of birds were resting, birds were flushed several times by people walking. </t>
  </si>
  <si>
    <t>1 PIPL: UL - Green flag, UR - metal, LR - Green, gray</t>
  </si>
  <si>
    <t>ricardo.zambrano@myfwc.com</t>
  </si>
  <si>
    <t>WIPL (14), LESA (65), DUNL (1), RUTU (1)</t>
  </si>
  <si>
    <t>WIPL (11)</t>
  </si>
  <si>
    <t>WIPL (7), WESA (2), ROYT (17), RUTU (1)</t>
  </si>
  <si>
    <t>Ten Thousand Islands</t>
  </si>
  <si>
    <t>ROYT (93), DCCO (40)</t>
  </si>
  <si>
    <t>SAND (150), DCCO (4), BBPL (8), RUTU (11), SBDO (10)</t>
  </si>
  <si>
    <t>ROYT (70), SAND (2), HERG (3)</t>
  </si>
  <si>
    <t>clear and sunny, 75 degrees</t>
  </si>
  <si>
    <t>Collier/Montroe</t>
  </si>
  <si>
    <t>BRPE (14), AWPE (165), DCCO (16)</t>
  </si>
  <si>
    <t>AWPE (1), BRPE (11), DCCO (8), HEGU (14), ROYT (250), RUTU (2), SAND (1), BBPL (2)</t>
  </si>
  <si>
    <t>AWPE (152), ROYT (18), BRPE (1), BLSK (1), BBPL (2), unknown sandpiper (20)</t>
  </si>
  <si>
    <t>Lake Worth Lagoon</t>
  </si>
  <si>
    <t>Ricardo Zambrano</t>
  </si>
  <si>
    <t>PIPL (3)</t>
  </si>
  <si>
    <t>Duval</t>
  </si>
  <si>
    <t>Joan &amp; Richard Becker</t>
  </si>
  <si>
    <t>j-b@songstar.org</t>
  </si>
  <si>
    <t>ACNWR RT2</t>
  </si>
  <si>
    <t>27 58' 23.48"N</t>
  </si>
  <si>
    <t>80 30'36.07"W</t>
  </si>
  <si>
    <t>BRPE (30), LAGU (5), RBGU (15), ROYT (35), BBPL (6)</t>
  </si>
  <si>
    <t>27 59"41.79N</t>
  </si>
  <si>
    <t>80 29'42.60"W</t>
  </si>
  <si>
    <t>BRPE (33), FOTE (9), RBGU (8), ROST (5), NOGA (2)</t>
  </si>
  <si>
    <t>North Captiva</t>
  </si>
  <si>
    <t>Joel Caouette; Hannah Joergens; Elizabeth Errickson; Bill Thomas</t>
  </si>
  <si>
    <t>BLSK(150); LAGU(10); AWPE(8); BBPL(2); LESA(100); SAND(155); SEPL(3); SBDO(365); WILL(228); WIPL(2)</t>
  </si>
  <si>
    <t>Fort Matanzas/Matanzas Inlet</t>
  </si>
  <si>
    <t>Jacqui Sulek;Chris Farrell, Dawn Evans</t>
  </si>
  <si>
    <t>#1</t>
  </si>
  <si>
    <t>BLSK(400); BOGU(1);BRPE(5); DUNL(3);FOTE(3);LAGU(65);ROTE(7);WIPL(5)</t>
  </si>
  <si>
    <t>#2</t>
  </si>
  <si>
    <t>BLSK(100); FOTE(25); HEGU(2); LAGU(20); LBBG(2); RBGU(20); ROTE(15); RUTU(9)</t>
  </si>
  <si>
    <t>Biscayne Bay Aquatic Preserve</t>
  </si>
  <si>
    <t>Carol Rizkalla</t>
  </si>
  <si>
    <t>BRPE (45), DCCO (14), LAGU (2)</t>
  </si>
  <si>
    <t>LAGU (103), ROYT (1), RBGG (3)</t>
  </si>
  <si>
    <t>LAGU (246), HERG (3), BRPE (13), DCCO (20), RBGG (12), GBBG (3), ROYT (2)</t>
  </si>
  <si>
    <t>Gamble Rogers MSRA South to Flagler / Volusia County Line</t>
  </si>
  <si>
    <t>Meret Wilson, John Demkar</t>
  </si>
  <si>
    <t>RUTU (4), RBGU (1), HERG (3), FOTE (16), NOGA (1), BLSK (48), ROYT (5)</t>
  </si>
  <si>
    <t>Mid-Ft. De Soto Rte. 1</t>
  </si>
  <si>
    <t>Nancy Ogden</t>
  </si>
  <si>
    <t>J Becker, R Becker</t>
  </si>
  <si>
    <t>SNPL 1</t>
  </si>
  <si>
    <t>jbbecker@songstar.org</t>
  </si>
  <si>
    <t>Mid-Ft. De Soto Rte. 2</t>
  </si>
  <si>
    <t>Just north of concrete area near chimney</t>
  </si>
  <si>
    <t>North Redington Beach &amp; Redington Shores</t>
  </si>
  <si>
    <t>Bonnie Jenks &amp; Wendy Meehan</t>
  </si>
  <si>
    <t>BLSK (183)</t>
  </si>
  <si>
    <t>LAGU (174), ROTE (73)</t>
  </si>
  <si>
    <t>Gasp Sound</t>
  </si>
  <si>
    <t>Kathleen Rohrer;Sylvia Marek</t>
  </si>
  <si>
    <t>AMOY 1, BLSK 50, ROTE 50</t>
  </si>
  <si>
    <t>Washington OaksSP North to Flagler County Line: Ocean</t>
  </si>
  <si>
    <t>Joe &amp; Judie Dziak, Karen Brown, Marylou Baiata, Sandi Cipolloni</t>
  </si>
  <si>
    <t>WILL (1), ROTE (75), LAGU (1), RBGU (2)</t>
  </si>
  <si>
    <t>Pond A Transect - Marine Corps Support Facility - Blount Island</t>
  </si>
  <si>
    <t>BLSK (75), HERG (4), SEPL (1)</t>
  </si>
  <si>
    <t>john.martin@ch2m.com</t>
  </si>
  <si>
    <t>Flagler Pier to Varn Park (Flagler County)</t>
  </si>
  <si>
    <t>Sandy &amp; Mark Turner, Debbi Black, Maryann Andreychak</t>
  </si>
  <si>
    <t xml:space="preserve">BLSK (75) </t>
  </si>
  <si>
    <t>BLSK (40), ROTE (13), FOTE (7), BOGU (1)</t>
  </si>
  <si>
    <t xml:space="preserve">Flagler Pier South to Gamble Rogers MSRA </t>
  </si>
  <si>
    <t>Amber Higginbotham, Doris Grazulis</t>
  </si>
  <si>
    <t>BLSK (131), RBGU (34), LAGU (54), ROTE (4), FOTE (1)</t>
  </si>
  <si>
    <t>East of St. Marks Lighthouse</t>
  </si>
  <si>
    <t>Joe Reinman</t>
  </si>
  <si>
    <t>SEPL (10), BRPE (2), RBGU (1)</t>
  </si>
  <si>
    <t>Huguenot Memorial Park</t>
  </si>
  <si>
    <t>Shelley Beville, Joan Becker, Richard Becker, John Connelly</t>
  </si>
  <si>
    <t>NONE</t>
  </si>
  <si>
    <t>Windy (20+ mph), overcast, about 45 deg F</t>
  </si>
  <si>
    <t>Dayson Basin Perimter Marsh - Marine Corps Support Facility - Blount Island</t>
  </si>
  <si>
    <t>SEPL (48), WIPL (30), SBDO (25), WESA (20), RUTU (3), BBPL (2), DUNL (86)</t>
  </si>
  <si>
    <t>SBDO(6), DUNL (90), SAND (5), BBPL(2), FOTE(2), DCCO(18), LBBG (2), RBGU(3)</t>
  </si>
  <si>
    <t>Dayson Basin Dredge Disposal Area - Marine Corps Support Facility - Blount Island</t>
  </si>
  <si>
    <t>REKN(27)</t>
  </si>
  <si>
    <t>REKN(160), FOTE(26), BOGU(3), RBGU(100)</t>
  </si>
  <si>
    <t>HERG(52), RUTU(12), SAND(6), BOGU(1), GBBG(3), LBBG(1), BBPL(4), FOTE(2)</t>
  </si>
  <si>
    <t xml:space="preserve">Canaveral National Seashore - Playalinda District </t>
  </si>
  <si>
    <t>28.39.453</t>
  </si>
  <si>
    <t>-80.37.993</t>
  </si>
  <si>
    <t>ROTE(24), HERG(5), FOTE(35), LAGU(2), SATU(1)</t>
  </si>
  <si>
    <t>Lake Tomroy, Pond A-A, Pond C Transect - Marine Corps Support Facility - Blount Island</t>
  </si>
  <si>
    <t>28.39.553</t>
  </si>
  <si>
    <t>-80.38.053</t>
  </si>
  <si>
    <t xml:space="preserve">ROTE(9), HERG(1), FOTE(40), LAGU(3), SATU(2), RBGU(15),  </t>
  </si>
  <si>
    <t>28.41.621</t>
  </si>
  <si>
    <t>-80.39.627</t>
  </si>
  <si>
    <t>ROTE(16), HERG(1), FOTE(14), RBGU(4), WILL(1), SAND(1), BLSK(80)</t>
  </si>
  <si>
    <t>28.42.504</t>
  </si>
  <si>
    <t>-80.40.316</t>
  </si>
  <si>
    <t xml:space="preserve">ROTE(42), HERG(5), FOTE(34), RBGU(6), SAND(2), </t>
  </si>
  <si>
    <t>Windy (20+ mph), overcast, about 50 deg F</t>
  </si>
  <si>
    <t>South Shore Transect - Marine Corps Support Facility - Blount Island</t>
  </si>
  <si>
    <t>28.44.691</t>
  </si>
  <si>
    <t>-80.42.069</t>
  </si>
  <si>
    <t>ROTE(47), HERG(2), FOTE(6), RBGU(6), BRPE(6)</t>
  </si>
  <si>
    <t>28.45.988</t>
  </si>
  <si>
    <t>-80.42.999</t>
  </si>
  <si>
    <t>ROTE(9), FOTE(32), RBGU(1), SAND(25), LAGU(1)</t>
  </si>
  <si>
    <t>Canaveral National Seashore - Apollo District</t>
  </si>
  <si>
    <t>Mike Daley, Leo Wilcox</t>
  </si>
  <si>
    <t>28.56.051</t>
  </si>
  <si>
    <t>-80.49.633</t>
  </si>
  <si>
    <t>WIPL(4)</t>
  </si>
  <si>
    <t>East Point Shoreline - Marine Corps Support Facility - Blount Island</t>
  </si>
  <si>
    <t>28.55.352</t>
  </si>
  <si>
    <t>-80.49.463</t>
  </si>
  <si>
    <t>WIPL(15)</t>
  </si>
  <si>
    <t>28.54.797</t>
  </si>
  <si>
    <t>-80.48.772</t>
  </si>
  <si>
    <t>WIPL(28)</t>
  </si>
  <si>
    <t>28.51.850</t>
  </si>
  <si>
    <t>-80.46.793</t>
  </si>
  <si>
    <t>WIPL(6)</t>
  </si>
  <si>
    <t>Pond B Transect - Marine Corps Support Facility - Blount Island</t>
  </si>
  <si>
    <t>Lake Okeechobee Indian Prairie</t>
  </si>
  <si>
    <t>Tyler Beck, Paul Gray</t>
  </si>
  <si>
    <t>Killdeer 50</t>
  </si>
  <si>
    <t>S. Beville, J.&amp;R. Bevker, J. Connelly</t>
  </si>
  <si>
    <t>sbeville@coj.net</t>
  </si>
  <si>
    <t>Lake Okeechobee Buckhead Ridge and King's Bar</t>
  </si>
  <si>
    <t>Least Sandpiper 50</t>
  </si>
  <si>
    <t>SEVAS VIII Mosquito Lagoon in boat</t>
  </si>
  <si>
    <t>Don Picard, Bill Rostok</t>
  </si>
  <si>
    <t>SEVAS IV, Dunes Park border to Flagler Ave</t>
  </si>
  <si>
    <t>Ken Park, Michelle Luce</t>
  </si>
  <si>
    <t>BLSK (200)</t>
  </si>
  <si>
    <t>SEVAS V, beach from Flagler Ave to 27th Ave park</t>
  </si>
  <si>
    <t>Bob Stalnaker, Dawn Holloway, +4</t>
  </si>
  <si>
    <t>overcast,windy10-15mph,foggy, 60-65degrees</t>
  </si>
  <si>
    <t>ROTE (60)</t>
  </si>
  <si>
    <t>Mayport Jetty south to Duval/St John County Line</t>
  </si>
  <si>
    <t xml:space="preserve"> SEVAS Intracoastal by boat, Edgewater Dock south to Blue Hole </t>
  </si>
  <si>
    <t>Jake and Leslie Sachs</t>
  </si>
  <si>
    <t>Carole Adams, Lesley Royce</t>
  </si>
  <si>
    <t>calie29@comcast.net</t>
  </si>
  <si>
    <t xml:space="preserve"> SEVAS Intracoastal by boat, Edgewater Dock (Kennedy Park) south to Blue Hole </t>
  </si>
  <si>
    <t>REKN (6)</t>
  </si>
  <si>
    <t>SEVAS VII, beach from Canaveral NS north boundary to Bullhead walkover</t>
  </si>
  <si>
    <t>John Pierce, Mary Schreiber</t>
  </si>
  <si>
    <t>PIPL (5)</t>
  </si>
  <si>
    <t>Data entered by Billy Brooks. Weather breezy, low 50 degrees.</t>
  </si>
  <si>
    <t>Escambia</t>
  </si>
  <si>
    <t>mark_nicholas@nps.gov</t>
  </si>
  <si>
    <t>Pahoke Marina, Lake Okechobee</t>
  </si>
  <si>
    <t>Paul Gray</t>
  </si>
  <si>
    <t>Black Skimmer 340</t>
  </si>
  <si>
    <t>South Casey Key, Sarasota County</t>
  </si>
  <si>
    <t>Jennifer Rogers</t>
  </si>
  <si>
    <t>Skimmers (151); Ring-billed gulls (63); laughing gulls (113) including one aberrant laughing gull (photo avail); royal terns (12) including one royal tern w/silver band; forest terns (9)</t>
  </si>
  <si>
    <t>one royal tern w/silver band on right leg</t>
  </si>
  <si>
    <t>Sanderlings= 114</t>
  </si>
  <si>
    <t>Perdido Key - GUIS to AL</t>
  </si>
  <si>
    <t>Anne Harvey, Mickey Quigley</t>
  </si>
  <si>
    <t>SNPL = 2</t>
  </si>
  <si>
    <t>Upper left = O, Upper right O/O Confirmed, Upper left = Y, Upper right =Y -Not confirmed - may have been additional band upper right</t>
  </si>
  <si>
    <t>Dog Island, Franklin County</t>
  </si>
  <si>
    <t>Bonnie Samuelsen, Marvin Friel, Julie Merritt, Kim Middlebrooks</t>
  </si>
  <si>
    <t>REKN (2), BOGU (12), FOTE (5), WILL (3), RBGU (2), LAGU (2)</t>
  </si>
  <si>
    <t>no bands</t>
  </si>
  <si>
    <t>AMOY (2), SAND (5), RUTU (7), WILL (3)</t>
  </si>
  <si>
    <t>-84. 65192</t>
  </si>
  <si>
    <t>63 degrees, rising tide, sunny; lots of people and 2 dogs observed</t>
  </si>
  <si>
    <t>AMOY (2), SNPL (10), PIPL (1), WILL (1)</t>
  </si>
  <si>
    <t>AMOY-unknown,  4 banded SNPL  ?//K:B/Y,  W//:S//Y, B/R:S//K, G//R:Y  PIPL one banded  FG//:YRY//K all reported</t>
  </si>
  <si>
    <t>photo for B/R:S//K, W//:S//Y</t>
  </si>
  <si>
    <t>Marvin Friel, Bonnie Samuelsen, Julie Merritt, Kim Middlebrooks</t>
  </si>
  <si>
    <t>AMOY (2), HERG (1), BBPL (1), SAND (4)</t>
  </si>
  <si>
    <t>unbanded</t>
  </si>
  <si>
    <t>PIPL (2), WIPL (1), SEPL (8), BBPL (3), DUNL (1)</t>
  </si>
  <si>
    <t>REKN (2), WILL (4), BBPL (5), HERG (3), RBGU (4), AMOY (2), SAND (42), BOGU (10), FOTE (2)</t>
  </si>
  <si>
    <t>Kim Middlebrooks, Bonnie Samuelsen, Marvin Friel, Julie Merritt</t>
  </si>
  <si>
    <t>-84..63938</t>
  </si>
  <si>
    <t>REKN (6), RUTU (2)</t>
  </si>
  <si>
    <t>PIPL (2), REKN (2), SAND (33),</t>
  </si>
  <si>
    <t>63 degrees, rising tide, sunny</t>
  </si>
  <si>
    <t>Bahia Honda State Park</t>
  </si>
  <si>
    <t>Janice Duquesnel, entered by Janell Brush</t>
  </si>
  <si>
    <t>SAND(33), SBDO (37), RUTU (4), SESA (1)</t>
  </si>
  <si>
    <t>Janice Duquesnel, data entered by Janell Brush</t>
  </si>
  <si>
    <t>monica_hardin@nps.gov</t>
  </si>
  <si>
    <t>RUTU(8), SAND (27), SBDO (3), SESA (18), LESA (4)</t>
  </si>
  <si>
    <t>Egmont Key NWR and State Park</t>
  </si>
  <si>
    <t>Joyce Kleen, Barb Flynn</t>
  </si>
  <si>
    <t>BBPL(1)</t>
  </si>
  <si>
    <t>AMOY (2) immatures</t>
  </si>
  <si>
    <t>60 degrees, low tide, mostly sunny; dogs on beach at beginning of survey</t>
  </si>
  <si>
    <t xml:space="preserve"> Gulf Islands National Seashore Santa Rosa North </t>
  </si>
  <si>
    <t>AMOY (1) immature</t>
  </si>
  <si>
    <t>Mary Inabnit</t>
  </si>
  <si>
    <t>tidalimage@gmail.com</t>
  </si>
  <si>
    <t>RUTU (9)</t>
  </si>
  <si>
    <t>RUTU (1)</t>
  </si>
  <si>
    <t>Ft Myers Beach Route 3</t>
  </si>
  <si>
    <t>Charlie Ewell, Keith Laakkonen</t>
  </si>
  <si>
    <t>58 degrees, low tide, windy and sunny, a few people in groups and walking along shoreline</t>
  </si>
  <si>
    <t>WIPL (29), PIPL (8), LESA (50)</t>
  </si>
  <si>
    <t>SNPL (29), SAND (100), WILL (65), RBGU (100)</t>
  </si>
  <si>
    <t>Ft Myers Beach Route 2</t>
  </si>
  <si>
    <t>Marie Di Rosa, Anita Marshall</t>
  </si>
  <si>
    <t>ROTE (145)</t>
  </si>
  <si>
    <t>ROTE (117)</t>
  </si>
  <si>
    <t>WILL (90)</t>
  </si>
  <si>
    <t>Cayo Costa Route 2</t>
  </si>
  <si>
    <t>Charlie Ewell, Arlyne Salcedo</t>
  </si>
  <si>
    <t xml:space="preserve">AMOY (1), PIPL (1), SNPL (1), WIPL (9), REKN (25), SAND (50), DUNL (150), SBDO (125), </t>
  </si>
  <si>
    <t>REKN: UR: Lime Green Flag with code YHL </t>
  </si>
  <si>
    <t>Cayo Costa Route 3</t>
  </si>
  <si>
    <t>PIPL (1), SNPL (1), REKN (4), ROTE (74)</t>
  </si>
  <si>
    <t>PIPL: UL:G, LL:-; UR:Y, LR:G</t>
  </si>
  <si>
    <t>SNPL (1), SAND (60), RUTU (50)</t>
  </si>
  <si>
    <t>PIPL (1), SNPL (6)</t>
  </si>
  <si>
    <t>65 degrees, low tide, partly sunny; quite a few people spread all over the beach</t>
  </si>
  <si>
    <t>Gulf Islands National Seashore Perdido Key North</t>
  </si>
  <si>
    <t>toby_stapleton@nps.gov</t>
  </si>
  <si>
    <t>Cayo Costa Route 4</t>
  </si>
  <si>
    <t>PIPL (6), AMOY (2), SAND (80), ROTE (54)</t>
  </si>
  <si>
    <t>Bunche Beach Salt Flats</t>
  </si>
  <si>
    <t>Charlie Ewell</t>
  </si>
  <si>
    <t>WIPL (9)</t>
  </si>
  <si>
    <t xml:space="preserve">Bunche Beach </t>
  </si>
  <si>
    <t>AMOY (2), WIPL (4), PIPL (10), DUNL (100), WESA (50), BLSK (100)</t>
  </si>
  <si>
    <t>PIPL: UL:-, LL:K/Y; UR:S, LR:Y/A</t>
  </si>
  <si>
    <t>WIPL (8)</t>
  </si>
  <si>
    <t>Royal Terns (280)</t>
  </si>
  <si>
    <t>WIPL (12)</t>
  </si>
  <si>
    <t>South Longboat Key (Sarasota Co. half of Longboat Key)</t>
  </si>
  <si>
    <t>Stu Wilson (Naomi Avissar entered data)</t>
  </si>
  <si>
    <t>63 degrees, low tide, partly sunny, few people observed</t>
  </si>
  <si>
    <t>REKN (210) - about 5% banded, BRPE 15, LAGU 80, BLSK 120, RBGU 15, HEGU 3, LBBG 1, WILL 30, FOTE 1, BBPL 2, SAND 3, ROYT 2 (other spp include 5 Osprey, 1 great egret and 1 snowy egret)</t>
  </si>
  <si>
    <t>5 banded REKN: 39A green, E6V green, 2AC green, XV green, IYC green (with several more bands for IYC, unable to read)</t>
  </si>
  <si>
    <t>Crandon Park Beach</t>
  </si>
  <si>
    <t>Robin Diaz, Jim King, Martina Hillbrand</t>
  </si>
  <si>
    <t>SEPL (105), LESA (3), DUNL (5)</t>
  </si>
  <si>
    <t>SEPL (11), SAND (46), LESA (26)</t>
  </si>
  <si>
    <t>DUNL (8), LESA (10), WIPL (2), SEPL (30), PIPL (14, 2 banded)</t>
  </si>
  <si>
    <t xml:space="preserve"> 1) PIPL:  X,-:ANF,- (yellow C72) banded as chick 6/13 at Lake Sakakawea, ND  2) PIPL:  X,-:O,B/O  banded as chick (2013) on Manitoulin Island, Ontario, Canada</t>
  </si>
  <si>
    <t>SAND (10)</t>
  </si>
  <si>
    <t>SAND (190)</t>
  </si>
  <si>
    <t>ROYT (180)</t>
  </si>
  <si>
    <t>ROYT: 15 banded with USGS only</t>
  </si>
  <si>
    <t>PIPL (23)</t>
  </si>
  <si>
    <t xml:space="preserve">1) PIPL:  Of,OB:X,b  female hatched 2012 at Sleeping Bear Dunes National Lakeshore; banded on North Manitou Island  2) PIPL:  X,YG:bf,GK  banded as adult 6/13 along Lower Platte River near Fremont, NE  3) PIPL:  Of,OR:X,Y  female banded 2009 at Cross Village, MI; 5th winter on Crandon  4) PIPL:  ANF,-:X,- (yellow N75) banded as chick 7/13 on Garrison Reach of the Missouri River, ND  5) PIPL:  -,Ob:X,b [ROCKY] male hatched 2004 and banded 2006 on North Manitou Island; 7th (!) documented winter on Crandon </t>
  </si>
  <si>
    <t>Two other banded PIPL usually seen and observed 2/14/2014  1) Of,GG:X,Y  female from Ludington Beach SP, MI; 2nd winter on Crandon  2) Gf,OY:G,-  banded as chick 6/13 on Missouri River near Yankton, SD</t>
  </si>
  <si>
    <t>Fort Pierce Inlet State Park - Main Beach</t>
  </si>
  <si>
    <t>BLSK (28), ROYT (3), LAGU (3), SATE (2), LETE (12), WILL (1)</t>
  </si>
  <si>
    <t>none banded</t>
  </si>
  <si>
    <t>naomi avissar entered</t>
  </si>
  <si>
    <t>Sandpipers (6), ROYT (79), SATE (6), LETE (2), LAGU (2), RUTU (1)</t>
  </si>
  <si>
    <t>67 degrees, rising tide, mostly cloudy, several people toward end of survey</t>
  </si>
  <si>
    <t>John D MacArthur Beach State Park</t>
  </si>
  <si>
    <t>Jeff Bach</t>
  </si>
  <si>
    <t>anne.harvey@dep.state.fl.us</t>
  </si>
  <si>
    <t>ROYT(18), Sanderling(8), LAGU (145), HERG (54) RBGU (31)</t>
  </si>
  <si>
    <t>Mayport Jetty to Duval/St. John County Line</t>
  </si>
  <si>
    <t>(1,000) FOTE, LAGU, BLSK, RBGU, HEGU, BONA</t>
  </si>
  <si>
    <t>billy brooks entered</t>
  </si>
  <si>
    <t>(92) FOTE, RBGU, HEGU, SAND, WILL</t>
  </si>
  <si>
    <t>Gamble Rogers MSRA South to Flagler /Volusia County Line</t>
  </si>
  <si>
    <t>Flager</t>
  </si>
  <si>
    <t>mileybug15@gmail.com</t>
  </si>
  <si>
    <t>Overcast w/ ocnl rain.  48 increasing to 54 degrees F. Wind N'ly 10 - 15 mph</t>
  </si>
  <si>
    <t>Betty Steflik Preserve</t>
  </si>
  <si>
    <t>Flagler</t>
  </si>
  <si>
    <t>Laura G. Ostapko, Cassy Moran, Meret Wilson, Liz Rourke</t>
  </si>
  <si>
    <t>lauragostap@yahoo.com</t>
  </si>
  <si>
    <t>Overcast w/ intmt lgt rain bcmg steady.  48 degrees F. Wind N'ly 10 - 15 mph</t>
  </si>
  <si>
    <t>(97) FOTE, RBGU, SAND, WILL, ROYT</t>
  </si>
  <si>
    <t>Gamble Rogers MSRA (ICW)</t>
  </si>
  <si>
    <t>mayport Jetty to Duval/St. John County Line</t>
  </si>
  <si>
    <t>Laura G. Ostapko, Cassy Moran, Margot Booth</t>
  </si>
  <si>
    <t>(100) FOTE, RBFU, LAGU, SAND, WILL, ROYT</t>
  </si>
  <si>
    <t>none bandeed</t>
  </si>
  <si>
    <t>carole Adams, Lesley Royce</t>
  </si>
  <si>
    <t>(282) FOTE, LAGU, BLSK, RBGU, BONA, WILL, ROYT</t>
  </si>
  <si>
    <t>Overcast w/ intmt light rain, Wind N'ly 10-15 mph, 50 degrees F</t>
  </si>
  <si>
    <t xml:space="preserve">Flagler </t>
  </si>
  <si>
    <t>jjdziak@att.net</t>
  </si>
  <si>
    <t>Overcast with occasional rain, 48 degrees F, wind Northerly 10 - 15 mph</t>
  </si>
  <si>
    <t>Flagler County Line South to Washington Oaks SP: ICW</t>
  </si>
  <si>
    <t xml:space="preserve">jjdziak@att.net
</t>
  </si>
  <si>
    <t>Overcast with occasional rain, 53 degrees F, wind Northerly 8 - 12 mph</t>
  </si>
  <si>
    <t>Varn Park to Washington Oaks SP</t>
  </si>
  <si>
    <t>Neil Davies, Rodney &amp; Carmella Fowkes, Charlie Tomlinson</t>
  </si>
  <si>
    <t>nlmdavies@gmail.com</t>
  </si>
  <si>
    <t>Overcast with rain/mist, 48 degrees increasing to 53 degrees F, Wind Northerly 10-15 mph</t>
  </si>
  <si>
    <t>Flagler Pier to Varn Park</t>
  </si>
  <si>
    <t>tmsprgm@gmail.com</t>
  </si>
  <si>
    <t>Overcast with rain/mist, 48 degrees increasing to 53 degrees F, Wind Northerly 15-20 mph</t>
  </si>
  <si>
    <t>Flagler Pier South to Gamble Rogers MSRA</t>
  </si>
  <si>
    <t>Linda &amp; Don White, Alice Clark, Amber Higginbotham, Doris Grazulis</t>
  </si>
  <si>
    <t>lwhite1230@gmail.com</t>
  </si>
  <si>
    <t xml:space="preserve">Overcast with intmt rain, 48 to 50 degrees F, Wind Northery 15-20 mph
</t>
  </si>
  <si>
    <t>Franklin</t>
  </si>
  <si>
    <t>southmoonunder@mchsi.com</t>
  </si>
  <si>
    <t>41 deg.; wind NE @ 10 mph; falling tide; very cold, very few birds</t>
  </si>
  <si>
    <t xml:space="preserve">50 deg.; winds subsiding; falling tide; </t>
  </si>
  <si>
    <t>Dog Island</t>
  </si>
  <si>
    <t>bsamuelsen@audubon.org</t>
  </si>
  <si>
    <t>Stilt Sandpiper 8 (marvn friel); Dead BRPE reported to FWC website</t>
  </si>
  <si>
    <t>Glades</t>
  </si>
  <si>
    <t>PGray@Audubon.org</t>
  </si>
  <si>
    <t>2.5 hour survey of marshes by airboat</t>
  </si>
  <si>
    <t>Glades, Okeechobee</t>
  </si>
  <si>
    <t>80 minute survey by airboat</t>
  </si>
  <si>
    <t>Gulf</t>
  </si>
  <si>
    <t>Marvin Friel, Jessie K</t>
  </si>
  <si>
    <t>Marvin.friel@dep.state.fl.us</t>
  </si>
  <si>
    <t>clear 48-50F seabirds resting; shorebirds feeding coquinas etc39 humas 12 dogs</t>
  </si>
  <si>
    <t>Cape  San Blas/Eglin AFBase</t>
  </si>
  <si>
    <t>clear 50F seabirds resting, pelicans,cormrants in water near spitother shorebirds feeding in salt water ponds</t>
  </si>
  <si>
    <t>Port St Joe/Simmons Bayou</t>
  </si>
  <si>
    <t>birds counted from road /white/brown pelicans counted on palm island 100yds from shore...counted only those observed</t>
  </si>
  <si>
    <t>pelican@farpoint.net</t>
  </si>
  <si>
    <t>clear low tides snowys,snaderlings,bonies on spit of sand feeding resting</t>
  </si>
  <si>
    <t>St Joe Beach</t>
  </si>
  <si>
    <t>seabirds resting, loons in canal;others feeding inwarck line</t>
  </si>
  <si>
    <t>St. Joseph's Peninsula</t>
  </si>
  <si>
    <t>clear, windy 50F low tide but high waves</t>
  </si>
  <si>
    <t>Stormwater Treatment Area 5</t>
  </si>
  <si>
    <t>Hendry</t>
  </si>
  <si>
    <t>26 26 02.66N</t>
  </si>
  <si>
    <t>80 56 49.41W</t>
  </si>
  <si>
    <t>26 26 50.33N</t>
  </si>
  <si>
    <t>80 52 59.55W</t>
  </si>
  <si>
    <t>Margaret England</t>
  </si>
  <si>
    <t>sta5birding@embarqmail.com</t>
  </si>
  <si>
    <t>Egmont Key NWR &amp; SP</t>
  </si>
  <si>
    <t>Hillsborough</t>
  </si>
  <si>
    <t>Joyce Kleen and Barb Flynn</t>
  </si>
  <si>
    <t>joyce_kleen@fws.gov</t>
  </si>
  <si>
    <t>High tide to start and falling throughout day, sunny, 58-74 degrees</t>
  </si>
  <si>
    <t>Hillsbourough Bay</t>
  </si>
  <si>
    <t>Ann Paul, Mark Rachal, Carol Cassels</t>
  </si>
  <si>
    <t>Data entered by Billy Brooks.</t>
  </si>
  <si>
    <t>E.G. Simmons County Park</t>
  </si>
  <si>
    <t>Charles H. Fisher, Jr.</t>
  </si>
  <si>
    <t>chfishercpa@hotmail.com</t>
  </si>
  <si>
    <t>McKay Bay</t>
  </si>
  <si>
    <t>Pelican Island National Wildlife Refuge (Birds Impoundment)</t>
  </si>
  <si>
    <t>Indian River</t>
  </si>
  <si>
    <t>Andrew Eastwick</t>
  </si>
  <si>
    <t>andrew_eastwick@fws.gov</t>
  </si>
  <si>
    <t>70 degrees, mostly sunny, calm winds, only 1 person observed</t>
  </si>
  <si>
    <t>ACNWR Route 4</t>
  </si>
  <si>
    <t>27 50' 0.83" N</t>
  </si>
  <si>
    <t>80 26' 0.15"W</t>
  </si>
  <si>
    <t>27 45' 49.22"N</t>
  </si>
  <si>
    <t>80 23' 48.55"W</t>
  </si>
  <si>
    <t>Doug Sutherland &amp; Christine Trammell</t>
  </si>
  <si>
    <t>Clear and cool w/light to moderate NNE wind. Tide coming in. Counted 9 dead N Gannet's, and 4 more that were most likely going to perish w/in a day or two. Also found carcasses of 1 ROYT, 1 Loon sp, 1 Gull sp and 1 BRPE.</t>
  </si>
  <si>
    <t>Clear, 70F, 10knot North Winds</t>
  </si>
  <si>
    <t>South Beach Park, Vero Beach</t>
  </si>
  <si>
    <t xml:space="preserve">Indian River </t>
  </si>
  <si>
    <t>27 37.957'N</t>
  </si>
  <si>
    <t xml:space="preserve"> 80 21.029'W</t>
  </si>
  <si>
    <t>Billi Wagner, Tim Towles</t>
  </si>
  <si>
    <t>cassowary@bellsouth.net</t>
  </si>
  <si>
    <t>Strong westerlies (offshore winds), good obs conditions. Mostly an aggregation of loafing birds of various species. Beachgoers rerouted for us so as not to disturb flock.</t>
  </si>
  <si>
    <t>16th St. Causeway, Vero Beach</t>
  </si>
  <si>
    <t xml:space="preserve">27 38.003'N  </t>
  </si>
  <si>
    <t>80 22.170'W</t>
  </si>
  <si>
    <t>perched on forested island in lagoon, obs from bridge.</t>
  </si>
  <si>
    <t>Lee</t>
  </si>
  <si>
    <t>Katie Moses/ Pamela Jones-Morton</t>
  </si>
  <si>
    <t>Catherine.Moses@dep.state.fl.us</t>
  </si>
  <si>
    <t>Warm, mild, sunny skies, Falling Tide.</t>
  </si>
  <si>
    <t>keith_laakkonen@hotmail.com</t>
  </si>
  <si>
    <t>Low tide rising. Calm seas. Low clouds/fog at start of survey (visibility still greater than 1 mile) gaveway to sunny skies. Start temps low 60's warming to upper 60's by the end</t>
  </si>
  <si>
    <t>26. 718165</t>
  </si>
  <si>
    <t>Sunny, high tide entering, winds 5-10 mph, newly renourished beach.</t>
  </si>
  <si>
    <t xml:space="preserve">Gasparilla Island (GISouth)  </t>
  </si>
  <si>
    <t>7:30 a.m.</t>
  </si>
  <si>
    <t>Clouds to sun wind 8mph 59F; max ebb 10:32</t>
  </si>
  <si>
    <t>jcaouette@sccf.org</t>
  </si>
  <si>
    <t>Sanibel Island Zone #4</t>
  </si>
  <si>
    <t>Joel Caouette; KellySloan</t>
  </si>
  <si>
    <t>Count was done outside window because of scheduling and weather</t>
  </si>
  <si>
    <t>Cayo Costa Route 1</t>
  </si>
  <si>
    <t>Charlie Ewell; Arlyne Salcedo</t>
  </si>
  <si>
    <t>anhinga42@comcast.net</t>
  </si>
  <si>
    <t>Low level clouds/fog, calm winds, 65 degrees F.</t>
  </si>
  <si>
    <t>10:00.00</t>
  </si>
  <si>
    <t>Low level clouds/fog, calm winds, 75 degrees F.</t>
  </si>
  <si>
    <t>Marie Di Rosa; Anita Marshall; Gail Campbell</t>
  </si>
  <si>
    <t>mariegrayson1@yahoo.com</t>
  </si>
  <si>
    <t>Charlie Ewell; Keith Laakkonen</t>
  </si>
  <si>
    <t>Clear, calm wind, 70 degrees F.</t>
  </si>
  <si>
    <t>Ft Myers Beach Route 1</t>
  </si>
  <si>
    <t>Marie Di Rosa; Anita Marshall</t>
  </si>
  <si>
    <t>Clear; wind 5-10 mph</t>
  </si>
  <si>
    <t>Bunche Beach</t>
  </si>
  <si>
    <t>Clear; light winds 0-5 mph; 65-70 degrees F; incoming tide</t>
  </si>
  <si>
    <t>Clear; calm wind; 60 degrees F</t>
  </si>
  <si>
    <t>North end of Little Estero CWA to Carlos Point Condos</t>
  </si>
  <si>
    <t>Diane S. &amp; Leo Pajak</t>
  </si>
  <si>
    <t>dps717@yahoo.com</t>
  </si>
  <si>
    <t xml:space="preserve"> Cedar Key (west side)</t>
  </si>
  <si>
    <t xml:space="preserve">Levy </t>
  </si>
  <si>
    <t xml:space="preserve">Doris and Pat Leary </t>
  </si>
  <si>
    <t xml:space="preserve">prleary@bellsouth.net </t>
  </si>
  <si>
    <t>AMOY banding data submitted elsewhere. PIPL band code reported elsewhere</t>
  </si>
  <si>
    <t>Cedar Key (town flats)</t>
  </si>
  <si>
    <t>High offshore winds suppressed high tide - no vessel survey on this date</t>
  </si>
  <si>
    <t>Cedar Key (east side)</t>
  </si>
  <si>
    <t>X</t>
  </si>
  <si>
    <t xml:space="preserve">REKN present but intergrated into dense flocks. WESA, LESA and other unknown small sandpipers in huge, integrated, flocks aloft over Corrigan's Reef  </t>
  </si>
  <si>
    <t>Manatee</t>
  </si>
  <si>
    <t>wiseman.glenn@gmail.com</t>
  </si>
  <si>
    <t>Lots of walkers flushing birds, making it impossible to see any bands. Cloudy &amp; overcast</t>
  </si>
  <si>
    <t>North Longboat Key</t>
  </si>
  <si>
    <t>Stu Wildon and Teresa Ginaven</t>
  </si>
  <si>
    <t>stuwilson@comcast.net</t>
  </si>
  <si>
    <t>Town of Jupiter Island Beach</t>
  </si>
  <si>
    <t>Martin</t>
  </si>
  <si>
    <t>N 27.08635</t>
  </si>
  <si>
    <t>W 80.12497</t>
  </si>
  <si>
    <t>N 26.98660</t>
  </si>
  <si>
    <t>W 80.08625</t>
  </si>
  <si>
    <t>Peter A. Quincy</t>
  </si>
  <si>
    <t>2paqman@comcast.net</t>
  </si>
  <si>
    <t>Flat calm, warm conditions and falling tide. Large groups of pelicans, gulls and terns offshore working schools of glass minnows. Sharks hitting larger fish including mackerel. Beach goers and anglers present at local county park.</t>
  </si>
  <si>
    <t>boat and foot survey, outgoing tide, strengthening winds</t>
  </si>
  <si>
    <t>Joe@ecological-associates.com</t>
  </si>
  <si>
    <t>54 degrees and Sunny with 5-10 mph winds NNW. High Tide. 1 osprey included in total, not in columns. 3 dead birds, Gannet (2) and Unidentified (1). Sand Bypassing Project on beach, most of birds near construction zone.</t>
  </si>
  <si>
    <t>Port Mayaca/S-308 Lake Okeechobee</t>
  </si>
  <si>
    <t>St Lucie Inlet Sand Bar</t>
  </si>
  <si>
    <t>Greg Braun, Bob Matheson, Bin James</t>
  </si>
  <si>
    <t>dgregbraun@aol.com</t>
  </si>
  <si>
    <t>Sunny, NW wind~30 mph., 1 dead gannet also present. Data entered by Carol Rizkalla</t>
  </si>
  <si>
    <t>St.Lucie Inlet Preserve State Park</t>
  </si>
  <si>
    <t>Jeff Bach, Christine raininger</t>
  </si>
  <si>
    <t>jeffrey.bach@dep.state.fl.us</t>
  </si>
  <si>
    <t>Boca Chita, Biscayne National Park</t>
  </si>
  <si>
    <t>Miami-Dade</t>
  </si>
  <si>
    <t>Shelby_moneysmith@nps.gov</t>
  </si>
  <si>
    <t>Partly cloudy, 80 deg, NW 8mph, Note that the Starting and Ending Points are the same because we circumvented the island.</t>
  </si>
  <si>
    <t>Elliott Key Harbor, Biscayne National Park</t>
  </si>
  <si>
    <t>Same weather as above</t>
  </si>
  <si>
    <t>MIami-Dade</t>
  </si>
  <si>
    <t>Elliott Key University Dock Beaches, Biscayne National Park</t>
  </si>
  <si>
    <t>Convoy Point Jetty, Biscayne National Park</t>
  </si>
  <si>
    <t>Elizabeth Golden, Karen Martinez</t>
  </si>
  <si>
    <t>Elizabeth.Golden@dep.state.fl.us</t>
  </si>
  <si>
    <t>Rickenbacker Causeway</t>
  </si>
  <si>
    <t>25 44"45'N</t>
  </si>
  <si>
    <t>80 10"41'W</t>
  </si>
  <si>
    <t>25 44"55'N</t>
  </si>
  <si>
    <t>80 12"7'W</t>
  </si>
  <si>
    <t>Hans Gonzembach</t>
  </si>
  <si>
    <t>Hgonzembach@gmail.com</t>
  </si>
  <si>
    <t>Cutler Wetlands</t>
  </si>
  <si>
    <t>25 33"33'N</t>
  </si>
  <si>
    <t>80 21"0'</t>
  </si>
  <si>
    <t>25 33"22N</t>
  </si>
  <si>
    <t>80 20"53'</t>
  </si>
  <si>
    <t>hgonzembach@gmail.com</t>
  </si>
  <si>
    <t>3*</t>
  </si>
  <si>
    <t>carol.rizkalla@myfwc.com</t>
  </si>
  <si>
    <t xml:space="preserve">Robin Diaz, Jim King, Martina Hillbrand </t>
  </si>
  <si>
    <t>rd4birds@bellsouth.net</t>
  </si>
  <si>
    <t>Banded PIPL's previously confirmed by ACE.Two other banded PIPL's normally seen: female from MI (2nd winter on Crandon) and SD bird banded as chick 6/13. Both birds seen 2 days after survey. Started survey on high tide. Windy with SE 12-15 kts.</t>
  </si>
  <si>
    <t>JPCRSP - South Sound Creek</t>
  </si>
  <si>
    <t>Monroe</t>
  </si>
  <si>
    <t>25 6 9.493</t>
  </si>
  <si>
    <t>-80 24 50.715</t>
  </si>
  <si>
    <t>25 5 50.26</t>
  </si>
  <si>
    <t>-80 24 8.294</t>
  </si>
  <si>
    <t>Trudy Ferraro</t>
  </si>
  <si>
    <t>Trudy.Ferraro@dep.state.fl.us</t>
  </si>
  <si>
    <t>partly cloudy, warm 76F boat survey</t>
  </si>
  <si>
    <t>JPCRSP - Beaches</t>
  </si>
  <si>
    <t>25 7 25.385</t>
  </si>
  <si>
    <t>-80 24 2.929</t>
  </si>
  <si>
    <t>25 7 34.87</t>
  </si>
  <si>
    <t>-80 24 19.727</t>
  </si>
  <si>
    <t>Boat survey</t>
  </si>
  <si>
    <t>JPCRSP - North Sound Creek</t>
  </si>
  <si>
    <t>25 9  56.948</t>
  </si>
  <si>
    <t>-80 21 50.83</t>
  </si>
  <si>
    <t>25 10 36.846</t>
  </si>
  <si>
    <t>-80 20 39.743</t>
  </si>
  <si>
    <t>JPCRSP - Ocean Forest</t>
  </si>
  <si>
    <t>25 13 24.449</t>
  </si>
  <si>
    <t>-80 19 39.756</t>
  </si>
  <si>
    <t>25 13 45.631</t>
  </si>
  <si>
    <t>-80 19 29.096</t>
  </si>
  <si>
    <t>JPCRSP - Dynamite Island</t>
  </si>
  <si>
    <t>25 16 29.108</t>
  </si>
  <si>
    <t>-80 17 31.612</t>
  </si>
  <si>
    <t>25 16 29.693</t>
  </si>
  <si>
    <t>-80 17 29.721</t>
  </si>
  <si>
    <t>DJKLHBSP - Carysfort Marina</t>
  </si>
  <si>
    <t>25 15 4.981</t>
  </si>
  <si>
    <t>-80 18 46.503</t>
  </si>
  <si>
    <t>25 15 16.077</t>
  </si>
  <si>
    <t>-80 18 37.015</t>
  </si>
  <si>
    <t>Janice.Duquesnel@dep.state.fl.us</t>
  </si>
  <si>
    <t>Survey was conducted at low tide along the beach by the day use area and the campground. We walked the entire survey route. The majority of the birds were loafing but the willets and the black bellied plover were foraging. There was a heavy accumulation of wrack which does not get removed at this park. Weather conditions were sunny with only a slight wind</t>
  </si>
  <si>
    <t>Survey was conducted at low tide, we walked the entire survey route. Weather conditions were mosly sunny, however a storm passed over us midway along the route with heavy rain and high winds. We took shelter under mangroves until the storm passed. There was a heavy accumulation of wrack which does not get removed from this park. Park visitation was high at Sandspur day use and Loggerhead beach, and there were very few birds at these locations. A portion of the birds in Group 2 were in a closed area on the beach established to provide resting areas for birds.</t>
  </si>
  <si>
    <t>Bahia Honda State Park/Calusa Beach</t>
  </si>
  <si>
    <t>-81.279.40</t>
  </si>
  <si>
    <t>Weather conditions at his beach were sunny and windy and there was a large number of park visitors on this small section of beach.</t>
  </si>
  <si>
    <t>Calm surf, tide falling low</t>
  </si>
  <si>
    <t>Ft. Clinch State Park inlet shore</t>
  </si>
  <si>
    <t>Nassau</t>
  </si>
  <si>
    <t>Doris and Pat Leary</t>
  </si>
  <si>
    <t>loon distant</t>
  </si>
  <si>
    <t>1 carcass</t>
  </si>
  <si>
    <t>PUSA 1</t>
  </si>
  <si>
    <t>clear, calm, late PM  WWSC, BLSC, RBME at jetty</t>
  </si>
  <si>
    <t>The Plantation Amelia Island</t>
  </si>
  <si>
    <t>Jessica Paarlberg and Kari McDonald</t>
  </si>
  <si>
    <t>Henderson Beach State Park</t>
  </si>
  <si>
    <t>Okaloosa</t>
  </si>
  <si>
    <t>Jaycee Park Lake Okeechobee</t>
  </si>
  <si>
    <t>Okeechobee</t>
  </si>
  <si>
    <t>Tim Towles and Billi Wagner</t>
  </si>
  <si>
    <t>Spanish River Road to Broward county border</t>
  </si>
  <si>
    <t>Palm  Beach</t>
  </si>
  <si>
    <t>Mary Jane Nehring</t>
  </si>
  <si>
    <t>mjnehring@gmail.com</t>
  </si>
  <si>
    <t xml:space="preserve"> Juno Beach Pier south to Palm Beach Inlet</t>
  </si>
  <si>
    <t>Palm Beach</t>
  </si>
  <si>
    <t>Rebecca Mott, Adrienne McCracken</t>
  </si>
  <si>
    <t>rmott@marinelife.org</t>
  </si>
  <si>
    <t>Sunny and 75 degrees F.</t>
  </si>
  <si>
    <t>Thomas Stanley; Nancy Bock</t>
  </si>
  <si>
    <t>twstanley@roadrunner.com</t>
  </si>
  <si>
    <t>75 deg; partly cloudy; both sides of low tide</t>
  </si>
  <si>
    <t>Boca Raton</t>
  </si>
  <si>
    <t>Melanie Stadler</t>
  </si>
  <si>
    <t>mstadler@myboca.us</t>
  </si>
  <si>
    <t>Sunny, 70F, SW wind 12 mph, water calm</t>
  </si>
  <si>
    <t>Atlantic Dunes Park to Delray Beach Hotel</t>
  </si>
  <si>
    <t>Boca Raton South</t>
  </si>
  <si>
    <t>Kirt Rusenko</t>
  </si>
  <si>
    <t>krusenko@myboca.us</t>
  </si>
  <si>
    <t>11 AM</t>
  </si>
  <si>
    <t>clear, 72 degrees, lt breeze most in South Inlet Park, just after high tide</t>
  </si>
  <si>
    <t>theresasmail@comcast.net</t>
  </si>
  <si>
    <t>80 deg.  No people present til we got to Four Seasons resort.  Most birds loafing.  Willet, Ruddy turnstones, and Sanderlings foraging.  Low tide at end of count.  We saw several pelicans, cormorant, terns flying but didn't include in count, as requested.</t>
  </si>
  <si>
    <t>kelly@projectleatherback.com</t>
  </si>
  <si>
    <t>Sunny. Temp approx 50 degrees. Calm Seas. Very little wind.</t>
  </si>
  <si>
    <t>Pahokee Marina, Lake Okeechobee</t>
  </si>
  <si>
    <t>Highland Beach - Atlantic Dunes to Broward Line</t>
  </si>
  <si>
    <t>262359 N?</t>
  </si>
  <si>
    <t>8046 W?</t>
  </si>
  <si>
    <t>26399710 N?</t>
  </si>
  <si>
    <t>80068416 W?</t>
  </si>
  <si>
    <t>Bob Satkowski</t>
  </si>
  <si>
    <t>Data entered by Naomi Avissar; no GPS coordinates provided for start &amp; end points - used coordinates provided for RUTU and SAND sightings instead.</t>
  </si>
  <si>
    <t>Werner-Boyce Salt Springs State Park</t>
  </si>
  <si>
    <t>Pasco</t>
  </si>
  <si>
    <t>Jennifer Manis, Jeanne Parks, Chris Dorrier, Cody Nolan</t>
  </si>
  <si>
    <t>Historically, there have been observations of Wilson's Plovers on the salt flats.  Park staff is going to start surveying all salt flats at this park.  Conditions were steady rain, 55 F, light wind under 3 mph.</t>
  </si>
  <si>
    <t>Pasco Palms, Pasco Elamp</t>
  </si>
  <si>
    <t>Ken Tracey</t>
  </si>
  <si>
    <t>kftracey@verizon.net</t>
  </si>
  <si>
    <t>Small salt barrens flooded attracting sandpipers</t>
  </si>
  <si>
    <t>Green Key Beach, Robert K. Rees county park</t>
  </si>
  <si>
    <t>Strong NW winds kept people off the small beach and allowed birds some shelter</t>
  </si>
  <si>
    <t xml:space="preserve">Pasco </t>
  </si>
  <si>
    <t>stephenmann@tampabay.rr.com</t>
  </si>
  <si>
    <t xml:space="preserve">Just past high tide. </t>
  </si>
  <si>
    <t>Pasco/Pinellas</t>
  </si>
  <si>
    <t>DLarremore, PPlage, EPlage</t>
  </si>
  <si>
    <t>daniel.larremore@dep.state.fl.us</t>
  </si>
  <si>
    <t>60-65 deg, partly cloudy, NW10mph, South end concentration highest</t>
  </si>
  <si>
    <t>Sand Key Clearwater</t>
  </si>
  <si>
    <t>Pinellas</t>
  </si>
  <si>
    <t>David Hopkins</t>
  </si>
  <si>
    <t>dhop166@msn.com</t>
  </si>
  <si>
    <t>60 deg overcast, north breeze, mid rising tide</t>
  </si>
  <si>
    <t>jhood2@tampabay.rr.com</t>
  </si>
  <si>
    <t>Marianne Korosy, Dana Kerstein, Traci Castellon, Genevieve Dimmitt</t>
  </si>
  <si>
    <t>mkorosy@audubon.org</t>
  </si>
  <si>
    <t>60 deg, partly cloudy, wind est. NNW 10-12 mph; birds all on leeward side of island</t>
  </si>
  <si>
    <t>27 38'03.59"</t>
  </si>
  <si>
    <t>82 44'27.34"</t>
  </si>
  <si>
    <t>27 38'45.01"</t>
  </si>
  <si>
    <t>82 44'25.89"</t>
  </si>
  <si>
    <t>donlocomm@aol.com</t>
  </si>
  <si>
    <t>1 Greater</t>
  </si>
  <si>
    <t>cold foggy start rest of day great.  middling tide</t>
  </si>
  <si>
    <t>rruthberg@gmail.com</t>
  </si>
  <si>
    <t>Beautiful, mild, and clear sunny skies. Low tide.</t>
  </si>
  <si>
    <t>goldplatedshovel@gmail.com</t>
  </si>
  <si>
    <t>74 degrees, NNW wind 10knots, sunny, low humidity, tide medium to low</t>
  </si>
  <si>
    <t>Clam Bayou</t>
  </si>
  <si>
    <t>Saskia Janes</t>
  </si>
  <si>
    <t>icegull@netzero.com</t>
  </si>
  <si>
    <t>clear, sunny, 70s</t>
  </si>
  <si>
    <t>St Pete Beach</t>
  </si>
  <si>
    <t>Marilyn Grossman, Saskia Janes</t>
  </si>
  <si>
    <t>jogmsg@gamil.com</t>
  </si>
  <si>
    <t>N 28.05177</t>
  </si>
  <si>
    <t>W 082.81603</t>
  </si>
  <si>
    <t>N 28.01948</t>
  </si>
  <si>
    <t>W 082.82685</t>
  </si>
  <si>
    <t>kevinwchristman@gmail.com</t>
  </si>
  <si>
    <t>Light east breeze (less than 5mph), near high tide rising, wet wrack present - sparse, water was calm, 100% sun, 9:25am-11:55am, some beach walkers present during survey</t>
  </si>
  <si>
    <t xml:space="preserve">Sunny, high tide, 65 F, winds 5-7 mph, people a major factor in flushing of birds.  Survey started on gulf side, then wrapped around island. </t>
  </si>
  <si>
    <t>Honeymoon Island State Park South</t>
  </si>
  <si>
    <t xml:space="preserve">Sunny, exiting high tide, 70 F, TONS of people on the beach, southern end of island is a dog beach, and no birds were found at southern spit. </t>
  </si>
  <si>
    <t>mardy.hornsby@gmail.com</t>
  </si>
  <si>
    <t>60F, light rain then sunny &amp; windy; low tide 10:30</t>
  </si>
  <si>
    <t>forysea@eckerd.edu</t>
  </si>
  <si>
    <t>Rainy, Cool (60 degrees), Windy.  Few people because of weather</t>
  </si>
  <si>
    <t>St Pete Beach - Pass-a-Grille (South of Don Cesar)</t>
  </si>
  <si>
    <t>Sue Muntner</t>
  </si>
  <si>
    <t>muntnesj@eckerd.edu</t>
  </si>
  <si>
    <t>Mid-Ft. De Soto Rt. 1</t>
  </si>
  <si>
    <t>verdnan23@gmail.com</t>
  </si>
  <si>
    <t>Clear, calm wind, start at 51 degrees F.; very low tide</t>
  </si>
  <si>
    <t>Mid-Ft. De Soto Rt. 2</t>
  </si>
  <si>
    <t xml:space="preserve">Calm, sunny, a little warmer </t>
  </si>
  <si>
    <t>sbjenks@hotmail.com</t>
  </si>
  <si>
    <t>Calm and sunny; start temp. was 48 degrees, but warmed up quickly.</t>
  </si>
  <si>
    <t>Fort Desoto East</t>
  </si>
  <si>
    <t>Tom and Lindsay Bell</t>
  </si>
  <si>
    <t>tandl1621@gmail.com</t>
  </si>
  <si>
    <t>data entered by bill brooks</t>
  </si>
  <si>
    <t>Lassing Park</t>
  </si>
  <si>
    <t>Stacie Koslovsky, Tiffanie Cross, Byron Cross, Robert Hardy</t>
  </si>
  <si>
    <t>rfhardy@gmail.com</t>
  </si>
  <si>
    <t>North Shore Park</t>
  </si>
  <si>
    <t>Robert Hardy</t>
  </si>
  <si>
    <t xml:space="preserve">Pinellas </t>
  </si>
  <si>
    <t>Laura-Marie Koitsch, Matt Davids, David Hopkins</t>
  </si>
  <si>
    <t>thebirdnerd42@gmail.com</t>
  </si>
  <si>
    <t xml:space="preserve"> </t>
  </si>
  <si>
    <t>North Clearwater Beach</t>
  </si>
  <si>
    <t>N 28.01712</t>
  </si>
  <si>
    <t>W 082.82735</t>
  </si>
  <si>
    <t>Kevin Christman, Brooke Hoerner</t>
  </si>
  <si>
    <t>Wind now out of northwest - moderate (5-10mph), high tide, still 100% sun, wwet wrack present - sparse, many beach walkers in area, dog tracks present on beach</t>
  </si>
  <si>
    <t>Manasota Key</t>
  </si>
  <si>
    <t>Sarasota</t>
  </si>
  <si>
    <t>MikeShalasko,John Leon</t>
  </si>
  <si>
    <t>jozn57@gmail.com</t>
  </si>
  <si>
    <t>8:00.00</t>
  </si>
  <si>
    <t>overcast but warm,low tide</t>
  </si>
  <si>
    <t>9:15.00</t>
  </si>
  <si>
    <t>thelundeens@hotmail.com</t>
  </si>
  <si>
    <t>Partly cloudy, warm. Outgoing tide.</t>
  </si>
  <si>
    <t>Siesta Key Public Beach south to Point of Rocks</t>
  </si>
  <si>
    <t>-82.33123.13</t>
  </si>
  <si>
    <t>Claire Herzog, Kelly Berkey</t>
  </si>
  <si>
    <t>ceherzog@gmail.com</t>
  </si>
  <si>
    <t>Sunny, 48F, calm, Tractor scraping public beach</t>
  </si>
  <si>
    <t>Pam Davis</t>
  </si>
  <si>
    <t>samandpam@verizon.net</t>
  </si>
  <si>
    <t>51˚, sunny, rough surf, &amp; a full moon low tide</t>
  </si>
  <si>
    <t>Same as above....also a couple with their 2 mid-sized dogs running on the beach at the northern end may have scared birds away before I got there.</t>
  </si>
  <si>
    <t>John Leon</t>
  </si>
  <si>
    <t>windy incoming tide</t>
  </si>
  <si>
    <t>Zoe Bass,John Leon</t>
  </si>
  <si>
    <t>Windy, incoming tide</t>
  </si>
  <si>
    <t>North Casey Key</t>
  </si>
  <si>
    <t>Kristen Mazzarella</t>
  </si>
  <si>
    <t>kristen@mote.org</t>
  </si>
  <si>
    <t>South Siesta Key</t>
  </si>
  <si>
    <t>Angel Wynn</t>
  </si>
  <si>
    <t>awynn@scheda.com</t>
  </si>
  <si>
    <t>South Casey Key</t>
  </si>
  <si>
    <t>forseaturtles7@yahoo.com</t>
  </si>
  <si>
    <t>one of the laughing gulls was an aberrant gull (photo avail.)</t>
  </si>
  <si>
    <t>Lido Key</t>
  </si>
  <si>
    <t>Stu Wilson</t>
  </si>
  <si>
    <t>Stu Wilson, Teresa Ginaven</t>
  </si>
  <si>
    <t>Manasota Key (Zones 1 &amp; 2)</t>
  </si>
  <si>
    <t>Carol &amp; Jeff Rice</t>
  </si>
  <si>
    <t>cjlemonbay@comcast.net</t>
  </si>
  <si>
    <t>Data entered by Naomi Avissar - observers note other birds seen in flight (not counted here).</t>
  </si>
  <si>
    <t>St Johns</t>
  </si>
  <si>
    <t>Susan Bergman,Peggy Cook</t>
  </si>
  <si>
    <t>irateparrot@aol.com</t>
  </si>
  <si>
    <t>Light Rain, Cold, Bonaparte's walking on surf.</t>
  </si>
  <si>
    <t>St. John's</t>
  </si>
  <si>
    <t>diana@semi-local.com</t>
  </si>
  <si>
    <t>Two off-lease dogs at inlet sandspit, drastically reduced usual numbers.</t>
  </si>
  <si>
    <t>Vilano Beach Reef Restaurant to Surfside Park</t>
  </si>
  <si>
    <t>St. Augustine Beach, A St. to Matanzas Ramp </t>
  </si>
  <si>
    <t>St. Johns</t>
  </si>
  <si>
    <t>teddys23@bellsouth.net</t>
  </si>
  <si>
    <t>Windy, blowing sand, light rain</t>
  </si>
  <si>
    <t>Weff Rd. docks</t>
  </si>
  <si>
    <t>High tide count of birds resting on long docks and sandbar, wind and drizzle, bands not visible with scope.</t>
  </si>
  <si>
    <t>Palmetto Rd. docks</t>
  </si>
  <si>
    <t xml:space="preserve">  </t>
  </si>
  <si>
    <t>Stationary high tide count of docks.</t>
  </si>
  <si>
    <t>A Street to South Anastasia State Park</t>
  </si>
  <si>
    <t>CJ McCartney, Lydia Schindler, Debbie Cusick, Judy Kempt</t>
  </si>
  <si>
    <t>beachbirding@gmail.com</t>
  </si>
  <si>
    <t>sunny, 60 degrees, low tide, minimal dog or people disturbances, low humidity, minimal wind, great day to be on the beach!</t>
  </si>
  <si>
    <t>Surfside Park to North Beach Access of GTM Research Reserve</t>
  </si>
  <si>
    <t>Diane Reed, Tina VanGhent</t>
  </si>
  <si>
    <t>dreedster@aol.com</t>
  </si>
  <si>
    <t>Jacqui Sulek; Chris Farrell; Dawn Evans</t>
  </si>
  <si>
    <t>jsulek@audubon.org</t>
  </si>
  <si>
    <t xml:space="preserve">Cold with light but driving rain. 50 degrees, 10-15 mph </t>
  </si>
  <si>
    <t>Ponte Vedra Beach County Line to Mickler Landing</t>
  </si>
  <si>
    <t>Mike Golubovich and Joe Geiger</t>
  </si>
  <si>
    <t>mgolubovich@sjcfl.us</t>
  </si>
  <si>
    <t>Ponte Vedra Beach Mickler Landing to GTMNERR</t>
  </si>
  <si>
    <t>North End. South Hutchinson Island</t>
  </si>
  <si>
    <t>St. Lucie</t>
  </si>
  <si>
    <t>27 28'14.48"N</t>
  </si>
  <si>
    <t>80 17'22.37" W</t>
  </si>
  <si>
    <t>27 18'32.50"N</t>
  </si>
  <si>
    <t>80 13'15.76"W</t>
  </si>
  <si>
    <t>Ryan Welsh</t>
  </si>
  <si>
    <t>rwelsh@inwater.org</t>
  </si>
  <si>
    <t>High tide, high 60's, no wind, no clouds, flat seas</t>
  </si>
  <si>
    <t>Fort Pierce Inlet State Park - Dynamite Point</t>
  </si>
  <si>
    <t>St. Lucie/Martin</t>
  </si>
  <si>
    <t>niki@ecological-associates.com</t>
  </si>
  <si>
    <t>Sunny, 60 degrees, wind N 10-15. Low tide ~1pm. Also noted 1 GBHE and 3 SNEG. Saw several NOGA flying but none on beach. Noted 8 dead NOGA and 1 dead HERG.</t>
  </si>
  <si>
    <t>Hickory Mound Impoundment</t>
  </si>
  <si>
    <t>Taylor</t>
  </si>
  <si>
    <t>N 30 01.901'</t>
  </si>
  <si>
    <t>W 83 52.616'</t>
  </si>
  <si>
    <t>N 30 01.502'</t>
  </si>
  <si>
    <t>W 83 50.813'</t>
  </si>
  <si>
    <t>Sharon Hester</t>
  </si>
  <si>
    <t>sharon.hester@myfwc.com</t>
  </si>
  <si>
    <t>SEVAS I, inland, land and adjoining waters from Edgewater (S.R. 442) to County line</t>
  </si>
  <si>
    <t>Volusia</t>
  </si>
  <si>
    <t>Richard and Gail Domroski</t>
  </si>
  <si>
    <t>rdomroski@cfl.rr.com</t>
  </si>
  <si>
    <t>36 deg, clear, wind N 5-10 mph</t>
  </si>
  <si>
    <t>hearttoharp@yahoo.com</t>
  </si>
  <si>
    <t>Smyrna Dunes Park</t>
  </si>
  <si>
    <t>A. Bridges</t>
  </si>
  <si>
    <t>abridges@volusia.org</t>
  </si>
  <si>
    <t>data entered by billy brooks. Sunny, NW wind 5-10</t>
  </si>
  <si>
    <t>Lighthouse Point Park</t>
  </si>
  <si>
    <t>S.Bell, J.Winters, B.Noel, E.Shaperow</t>
  </si>
  <si>
    <t>sbell@volusia.org</t>
  </si>
  <si>
    <t>Ponce Inlet South Rockhouse Creek Shoal</t>
  </si>
  <si>
    <t>Ponce Inlet North Rockhouse Creek Shoals</t>
  </si>
  <si>
    <t>Ponce Inlet, Shoals south of Boat Ramp</t>
  </si>
  <si>
    <t>Flagler/Volusia County Line to Ponce Inlet</t>
  </si>
  <si>
    <t>David Hartgrove, Marion Monaghan, Dan Bribbin</t>
  </si>
  <si>
    <t>birdman9@earthlink.net</t>
  </si>
  <si>
    <t>Rookery Island</t>
  </si>
  <si>
    <t>North Peninsula State Park Marsh Restoration (N)</t>
  </si>
  <si>
    <t xml:space="preserve">Volusia
</t>
  </si>
  <si>
    <t>Laura G. Ostapko, Cassy Moran, Margot Booth, Meret Wilson</t>
  </si>
  <si>
    <t>Overcast; Wind N'ly 12-16 mph, 50 degrees F</t>
  </si>
  <si>
    <t>North Peninsula State Park Marsh Restoration (S)</t>
  </si>
  <si>
    <t>Laura G. Ostapko, Cassy Moran, Meret Wilson, Margot Booth, Debbi Black, Maryann Andreychak</t>
  </si>
  <si>
    <t>Overcast, Wind N'ly 12-16 mph,53 degrees F</t>
  </si>
  <si>
    <t>28.56.313</t>
  </si>
  <si>
    <t>-80.49.810</t>
  </si>
  <si>
    <t>28.47.648</t>
  </si>
  <si>
    <t>-80.44.096</t>
  </si>
  <si>
    <t>miked129e@gmail.com</t>
  </si>
  <si>
    <t>SEVAS VIII, Mosquito Lagoon from boat</t>
  </si>
  <si>
    <t>president@SEVolusiaAudubon.org</t>
  </si>
  <si>
    <t>water very high with few oyster bars visible. chilly with North wind.</t>
  </si>
  <si>
    <t>SEVAS VI, beach from 27th Ave park to Bullhead Walkover</t>
  </si>
  <si>
    <t>Marsha Cox, Jessica Dambach</t>
  </si>
  <si>
    <t>billnmarsha@pshift.com</t>
  </si>
  <si>
    <t>high tide at beach</t>
  </si>
  <si>
    <t>park.kenneth72@gmail.com</t>
  </si>
  <si>
    <t>robert.wildlife@yahoo.com</t>
  </si>
  <si>
    <t>jake421@cfl.rr.com</t>
  </si>
  <si>
    <t>Wakulla</t>
  </si>
  <si>
    <t>Heavy clouds; 52 degrees; wind ENE 10-15 mph; low tide</t>
  </si>
  <si>
    <t>Heavy clouds; heavy rain during latter part of survey; 48 degrees; wind ENE 10-15 mph; low tide</t>
  </si>
  <si>
    <t>joseph_reinman@fws.gov</t>
  </si>
  <si>
    <t>Clear; wind 10-15 mph</t>
  </si>
  <si>
    <t>Walton</t>
  </si>
  <si>
    <t>Watersound/Camp Creek</t>
  </si>
  <si>
    <t>Tyler Brown, Jeff Talbert</t>
  </si>
  <si>
    <t>Canaveral National Seashore</t>
  </si>
  <si>
    <t>SEVAS III, U.S.1 Rose Bay, Spruce Creek Park to Turnbull Bay</t>
  </si>
  <si>
    <t>Dennis and Barbara Travis</t>
  </si>
  <si>
    <t>dbtravis@src-milp.com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</si>
</sst>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m/d/yyyy\ h:mm:ss"/>
    <numFmt numFmtId="167" formatCode="#,##0.###############"/>
  </numFmts>
  <fonts count="9" x14ac:knownFonts="1">
    <font>
      <sz val="10"/>
      <color rgb="FF000000"/>
      <name val="Arial"/>
    </font>
    <font>
      <sz val="12"/>
      <color rgb="FF000000"/>
      <name val="Arial"/>
    </font>
    <font>
      <sz val="10"/>
      <name val="Arial"/>
    </font>
    <font>
      <sz val="11"/>
      <color rgb="FF000000"/>
      <name val="Arial"/>
    </font>
    <font>
      <sz val="11"/>
      <name val="Arial"/>
    </font>
    <font>
      <sz val="24"/>
      <color rgb="FF000000"/>
      <name val="Arial"/>
    </font>
    <font>
      <sz val="10"/>
      <color rgb="FF000000"/>
      <name val="Arial"/>
    </font>
    <font>
      <i/>
      <sz val="11"/>
      <color rgb="FF000000"/>
      <name val="Arial"/>
    </font>
    <font>
      <b/>
      <sz val="10"/>
      <color rgb="FF000000"/>
      <name val="Arial"/>
    </font>
  </fonts>
  <fills count="12">
    <fill>
      <patternFill patternType="none"/>
    </fill>
    <fill>
      <patternFill patternType="gray125"/>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3F3F3"/>
        <bgColor rgb="FFF3F3F3"/>
      </patternFill>
    </fill>
    <fill>
      <patternFill patternType="solid">
        <fgColor rgb="FFFFFF99"/>
        <bgColor rgb="FFFFFF99"/>
      </patternFill>
    </fill>
    <fill>
      <patternFill patternType="solid">
        <fgColor rgb="FFFFCC99"/>
        <bgColor rgb="FFFFCC99"/>
      </patternFill>
    </fill>
    <fill>
      <patternFill patternType="solid">
        <fgColor rgb="FFCCFFFF"/>
        <bgColor rgb="FFCCFFFF"/>
      </patternFill>
    </fill>
    <fill>
      <patternFill patternType="solid">
        <fgColor rgb="FFDDDDDD"/>
        <bgColor rgb="FFDDDDDD"/>
      </patternFill>
    </fill>
    <fill>
      <patternFill patternType="solid">
        <fgColor rgb="FF00FFFF"/>
        <bgColor rgb="FF00FFFF"/>
      </patternFill>
    </fill>
  </fills>
  <borders count="6">
    <border>
      <left/>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45">
    <xf numFmtId="0" fontId="0" fillId="0" borderId="0" xfId="0" applyFont="1" applyAlignment="1">
      <alignment wrapText="1"/>
    </xf>
    <xf numFmtId="0" fontId="1" fillId="2" borderId="1" xfId="0" applyFont="1" applyFill="1" applyBorder="1" applyAlignment="1">
      <alignment wrapText="1"/>
    </xf>
    <xf numFmtId="0" fontId="2" fillId="0" borderId="2" xfId="0" applyFont="1" applyBorder="1" applyAlignment="1">
      <alignment wrapText="1"/>
    </xf>
    <xf numFmtId="0" fontId="1" fillId="3" borderId="3" xfId="0" applyFont="1" applyFill="1" applyBorder="1" applyAlignment="1">
      <alignment wrapText="1"/>
    </xf>
    <xf numFmtId="0" fontId="3" fillId="4" borderId="0" xfId="0" applyFont="1" applyFill="1" applyAlignment="1">
      <alignment wrapText="1"/>
    </xf>
    <xf numFmtId="0" fontId="1" fillId="5" borderId="3" xfId="0" applyFont="1" applyFill="1" applyBorder="1" applyAlignment="1">
      <alignment wrapText="1"/>
    </xf>
    <xf numFmtId="0" fontId="4" fillId="4" borderId="0" xfId="0" applyFont="1" applyFill="1" applyAlignment="1">
      <alignment wrapText="1"/>
    </xf>
    <xf numFmtId="0" fontId="1" fillId="3" borderId="4" xfId="0" applyFont="1" applyFill="1" applyBorder="1" applyAlignment="1">
      <alignment wrapText="1"/>
    </xf>
    <xf numFmtId="0" fontId="2" fillId="0" borderId="0" xfId="0" applyFont="1" applyAlignment="1">
      <alignment wrapText="1"/>
    </xf>
    <xf numFmtId="164" fontId="5" fillId="6" borderId="5" xfId="0" applyNumberFormat="1" applyFont="1" applyFill="1" applyBorder="1" applyAlignment="1">
      <alignment wrapText="1"/>
    </xf>
    <xf numFmtId="14" fontId="6" fillId="0" borderId="0" xfId="0" applyNumberFormat="1" applyFont="1" applyAlignment="1">
      <alignment wrapText="1"/>
    </xf>
    <xf numFmtId="0" fontId="6" fillId="0" borderId="0" xfId="0" applyFont="1" applyAlignment="1">
      <alignment wrapText="1"/>
    </xf>
    <xf numFmtId="0" fontId="3" fillId="7" borderId="0" xfId="0" applyFont="1" applyFill="1" applyAlignment="1">
      <alignment wrapText="1"/>
    </xf>
    <xf numFmtId="14" fontId="6" fillId="0" borderId="0" xfId="0" applyNumberFormat="1" applyFont="1" applyAlignment="1">
      <alignment wrapText="1"/>
    </xf>
    <xf numFmtId="0" fontId="6" fillId="0" borderId="0" xfId="0" applyFont="1" applyAlignment="1">
      <alignment wrapText="1"/>
    </xf>
    <xf numFmtId="0" fontId="7" fillId="7" borderId="0" xfId="0" applyFont="1" applyFill="1" applyAlignment="1">
      <alignment wrapText="1"/>
    </xf>
    <xf numFmtId="3" fontId="3" fillId="8" borderId="0" xfId="0" applyNumberFormat="1" applyFont="1" applyFill="1" applyAlignment="1">
      <alignment wrapText="1"/>
    </xf>
    <xf numFmtId="0" fontId="3" fillId="9" borderId="0" xfId="0" applyFont="1" applyFill="1" applyAlignment="1">
      <alignment wrapText="1"/>
    </xf>
    <xf numFmtId="0" fontId="3" fillId="10" borderId="0" xfId="0" applyFont="1" applyFill="1" applyAlignment="1">
      <alignment wrapText="1"/>
    </xf>
    <xf numFmtId="0" fontId="3" fillId="10" borderId="0" xfId="0" applyFont="1" applyFill="1" applyAlignment="1">
      <alignment wrapText="1"/>
    </xf>
    <xf numFmtId="165" fontId="6" fillId="0" borderId="0" xfId="0" applyNumberFormat="1" applyFont="1" applyAlignment="1">
      <alignment wrapText="1"/>
    </xf>
    <xf numFmtId="14" fontId="2" fillId="0" borderId="0" xfId="0" applyNumberFormat="1" applyFont="1" applyAlignment="1">
      <alignment wrapText="1"/>
    </xf>
    <xf numFmtId="14" fontId="6" fillId="0" borderId="0" xfId="0" applyNumberFormat="1" applyFont="1" applyAlignment="1">
      <alignment horizontal="right" wrapText="1"/>
    </xf>
    <xf numFmtId="21" fontId="2" fillId="0" borderId="0" xfId="0" applyNumberFormat="1" applyFont="1" applyAlignment="1">
      <alignment wrapText="1"/>
    </xf>
    <xf numFmtId="0" fontId="6" fillId="0" borderId="0" xfId="0" applyFont="1" applyAlignment="1">
      <alignment horizontal="right" wrapText="1"/>
    </xf>
    <xf numFmtId="0" fontId="6" fillId="0" borderId="0" xfId="0" applyFont="1" applyAlignment="1">
      <alignment horizontal="right" wrapText="1"/>
    </xf>
    <xf numFmtId="166" fontId="6" fillId="0" borderId="0" xfId="0" applyNumberFormat="1" applyFont="1" applyAlignment="1">
      <alignment wrapText="1"/>
    </xf>
    <xf numFmtId="21" fontId="6" fillId="0" borderId="0" xfId="0" applyNumberFormat="1" applyFont="1" applyAlignment="1">
      <alignment wrapText="1"/>
    </xf>
    <xf numFmtId="0" fontId="6" fillId="0" borderId="0" xfId="0" applyFont="1" applyAlignment="1"/>
    <xf numFmtId="3" fontId="3" fillId="10" borderId="0" xfId="0" applyNumberFormat="1" applyFont="1" applyFill="1" applyAlignment="1">
      <alignment wrapText="1"/>
    </xf>
    <xf numFmtId="14" fontId="3" fillId="11" borderId="0" xfId="0" applyNumberFormat="1" applyFont="1" applyFill="1" applyAlignment="1">
      <alignment wrapText="1"/>
    </xf>
    <xf numFmtId="0" fontId="3" fillId="11" borderId="0" xfId="0" applyFont="1" applyFill="1" applyAlignment="1">
      <alignment wrapText="1"/>
    </xf>
    <xf numFmtId="0" fontId="6" fillId="11" borderId="0" xfId="0" applyFont="1" applyFill="1" applyAlignment="1">
      <alignment wrapText="1"/>
    </xf>
    <xf numFmtId="0" fontId="2" fillId="11" borderId="0" xfId="0" applyFont="1" applyFill="1" applyAlignment="1">
      <alignment wrapText="1"/>
    </xf>
    <xf numFmtId="3" fontId="3" fillId="10" borderId="0" xfId="0" applyNumberFormat="1" applyFont="1" applyFill="1" applyAlignment="1">
      <alignment wrapText="1"/>
    </xf>
    <xf numFmtId="0" fontId="8" fillId="0" borderId="0" xfId="0" applyFont="1" applyAlignment="1">
      <alignment wrapText="1"/>
    </xf>
    <xf numFmtId="166" fontId="6" fillId="0" borderId="0" xfId="0" applyNumberFormat="1" applyFont="1" applyAlignment="1">
      <alignment wrapText="1"/>
    </xf>
    <xf numFmtId="0" fontId="6" fillId="3" borderId="0" xfId="0" applyFont="1" applyFill="1" applyAlignment="1">
      <alignment wrapText="1"/>
    </xf>
    <xf numFmtId="21" fontId="6" fillId="3" borderId="0" xfId="0" applyNumberFormat="1" applyFont="1" applyFill="1" applyAlignment="1">
      <alignment wrapText="1"/>
    </xf>
    <xf numFmtId="0" fontId="6" fillId="3" borderId="0" xfId="0" applyFont="1" applyFill="1" applyAlignment="1">
      <alignment wrapText="1"/>
    </xf>
    <xf numFmtId="21" fontId="3" fillId="11" borderId="0" xfId="0" applyNumberFormat="1" applyFont="1" applyFill="1" applyAlignment="1">
      <alignment wrapText="1"/>
    </xf>
    <xf numFmtId="0" fontId="6" fillId="11" borderId="0" xfId="0" applyFont="1" applyFill="1" applyAlignment="1">
      <alignment wrapText="1"/>
    </xf>
    <xf numFmtId="167" fontId="2" fillId="0" borderId="0" xfId="0" applyNumberFormat="1" applyFont="1" applyAlignment="1">
      <alignment wrapText="1"/>
    </xf>
    <xf numFmtId="0" fontId="2" fillId="2" borderId="0" xfId="0" applyFont="1" applyFill="1" applyAlignment="1">
      <alignment wrapText="1"/>
    </xf>
    <xf numFmtId="0" fontId="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
  <sheetViews>
    <sheetView workbookViewId="0"/>
  </sheetViews>
  <sheetFormatPr defaultColWidth="14.42578125" defaultRowHeight="12.75" customHeight="1" x14ac:dyDescent="0.2"/>
  <cols>
    <col min="1" max="1" width="160.5703125" customWidth="1"/>
    <col min="2" max="20" width="17.28515625" customWidth="1"/>
  </cols>
  <sheetData>
    <row r="1" spans="1:2" ht="12.75" customHeight="1" x14ac:dyDescent="0.2">
      <c r="A1" s="1"/>
      <c r="B1" s="2"/>
    </row>
    <row r="2" spans="1:2" ht="12.75" customHeight="1" x14ac:dyDescent="0.2">
      <c r="A2" s="3" t="s">
        <v>2</v>
      </c>
      <c r="B2" s="2"/>
    </row>
    <row r="3" spans="1:2" ht="12.75" customHeight="1" x14ac:dyDescent="0.2">
      <c r="A3" s="3" t="s">
        <v>4</v>
      </c>
      <c r="B3" s="2"/>
    </row>
    <row r="4" spans="1:2" ht="12.75" customHeight="1" x14ac:dyDescent="0.2">
      <c r="A4" s="3" t="s">
        <v>5</v>
      </c>
      <c r="B4" s="2"/>
    </row>
    <row r="5" spans="1:2" ht="12.75" customHeight="1" x14ac:dyDescent="0.2">
      <c r="A5" s="3" t="s">
        <v>6</v>
      </c>
      <c r="B5" s="2"/>
    </row>
    <row r="6" spans="1:2" ht="12.75" customHeight="1" x14ac:dyDescent="0.2">
      <c r="A6" s="3" t="s">
        <v>7</v>
      </c>
      <c r="B6" s="2"/>
    </row>
    <row r="7" spans="1:2" ht="12.75" customHeight="1" x14ac:dyDescent="0.2">
      <c r="A7" s="5" t="s">
        <v>8</v>
      </c>
      <c r="B7" s="2"/>
    </row>
    <row r="8" spans="1:2" ht="12.75" customHeight="1" x14ac:dyDescent="0.2">
      <c r="A8" s="7"/>
      <c r="B8" s="2"/>
    </row>
    <row r="9" spans="1:2" ht="12.75" customHeight="1" x14ac:dyDescent="0.4">
      <c r="A9"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M271"/>
  <sheetViews>
    <sheetView tabSelected="1" workbookViewId="0">
      <pane xSplit="1" ySplit="2" topLeftCell="AZ3" activePane="bottomRight" state="frozen"/>
      <selection pane="topRight" activeCell="B1" sqref="B1"/>
      <selection pane="bottomLeft" activeCell="A3" sqref="A3"/>
      <selection pane="bottomRight" activeCell="BI7" sqref="BI7"/>
    </sheetView>
  </sheetViews>
  <sheetFormatPr defaultColWidth="14.42578125" defaultRowHeight="12.75" customHeight="1" x14ac:dyDescent="0.2"/>
  <cols>
    <col min="1" max="1" width="27" customWidth="1"/>
    <col min="2" max="2" width="17" customWidth="1"/>
    <col min="3" max="3" width="15" customWidth="1"/>
    <col min="4" max="4" width="15.7109375" customWidth="1"/>
    <col min="5" max="5" width="14.140625" customWidth="1"/>
    <col min="6" max="6" width="15.140625" customWidth="1"/>
    <col min="7" max="7" width="30" customWidth="1"/>
    <col min="8" max="8" width="27" customWidth="1"/>
    <col min="9" max="9" width="10.28515625" customWidth="1"/>
    <col min="10" max="64" width="17.28515625" customWidth="1"/>
    <col min="65" max="65" width="47.5703125" customWidth="1"/>
  </cols>
  <sheetData>
    <row r="1" spans="1:65" ht="32.25" customHeight="1" x14ac:dyDescent="0.2">
      <c r="A1" s="12" t="s">
        <v>0</v>
      </c>
      <c r="B1" s="12" t="s">
        <v>20</v>
      </c>
      <c r="C1" s="12" t="s">
        <v>21</v>
      </c>
      <c r="D1" s="12" t="s">
        <v>22</v>
      </c>
      <c r="E1" s="12" t="s">
        <v>23</v>
      </c>
      <c r="F1" s="12" t="s">
        <v>24</v>
      </c>
      <c r="G1" s="12" t="s">
        <v>25</v>
      </c>
      <c r="H1" s="12" t="s">
        <v>26</v>
      </c>
      <c r="I1" s="12" t="s">
        <v>3</v>
      </c>
      <c r="J1" s="12" t="s">
        <v>27</v>
      </c>
      <c r="K1" s="12" t="s">
        <v>28</v>
      </c>
      <c r="L1" s="12" t="s">
        <v>29</v>
      </c>
      <c r="M1" s="12" t="s">
        <v>30</v>
      </c>
      <c r="N1" s="12" t="s">
        <v>31</v>
      </c>
      <c r="O1" s="12" t="s">
        <v>32</v>
      </c>
      <c r="P1" s="12" t="s">
        <v>33</v>
      </c>
      <c r="Q1" s="12" t="s">
        <v>34</v>
      </c>
      <c r="R1" s="12" t="s">
        <v>35</v>
      </c>
      <c r="S1" s="12" t="s">
        <v>36</v>
      </c>
      <c r="T1" s="12" t="s">
        <v>37</v>
      </c>
      <c r="U1" s="12" t="s">
        <v>38</v>
      </c>
      <c r="V1" s="12" t="s">
        <v>39</v>
      </c>
      <c r="W1" s="12" t="s">
        <v>40</v>
      </c>
      <c r="X1" s="12" t="s">
        <v>41</v>
      </c>
      <c r="Y1" s="12" t="s">
        <v>42</v>
      </c>
      <c r="Z1" s="12" t="s">
        <v>43</v>
      </c>
      <c r="AA1" s="12" t="s">
        <v>44</v>
      </c>
      <c r="AB1" s="12" t="s">
        <v>45</v>
      </c>
      <c r="AC1" s="12" t="s">
        <v>46</v>
      </c>
      <c r="AD1" s="12" t="s">
        <v>47</v>
      </c>
      <c r="AE1" s="12" t="s">
        <v>48</v>
      </c>
      <c r="AF1" s="12" t="s">
        <v>49</v>
      </c>
      <c r="AG1" s="12" t="s">
        <v>50</v>
      </c>
      <c r="AH1" s="12" t="s">
        <v>51</v>
      </c>
      <c r="AI1" s="12" t="s">
        <v>53</v>
      </c>
      <c r="AJ1" s="12" t="s">
        <v>55</v>
      </c>
      <c r="AK1" s="12" t="s">
        <v>56</v>
      </c>
      <c r="AL1" s="12" t="s">
        <v>57</v>
      </c>
      <c r="AM1" s="12" t="s">
        <v>58</v>
      </c>
      <c r="AN1" s="12" t="s">
        <v>59</v>
      </c>
      <c r="AO1" s="12" t="s">
        <v>60</v>
      </c>
      <c r="AP1" s="12" t="s">
        <v>61</v>
      </c>
      <c r="AQ1" s="12" t="s">
        <v>63</v>
      </c>
      <c r="AR1" s="12" t="s">
        <v>64</v>
      </c>
      <c r="AS1" s="12" t="s">
        <v>65</v>
      </c>
      <c r="AT1" s="12" t="s">
        <v>66</v>
      </c>
      <c r="AU1" s="12" t="s">
        <v>67</v>
      </c>
      <c r="AV1" s="12" t="s">
        <v>68</v>
      </c>
      <c r="AW1" s="12" t="s">
        <v>69</v>
      </c>
      <c r="AX1" s="12" t="s">
        <v>70</v>
      </c>
      <c r="AY1" s="12" t="s">
        <v>71</v>
      </c>
      <c r="AZ1" s="12" t="s">
        <v>72</v>
      </c>
      <c r="BA1" s="12" t="s">
        <v>73</v>
      </c>
      <c r="BB1" s="12" t="s">
        <v>74</v>
      </c>
      <c r="BC1" s="12" t="s">
        <v>75</v>
      </c>
      <c r="BD1" s="12" t="s">
        <v>76</v>
      </c>
      <c r="BE1" s="12" t="s">
        <v>77</v>
      </c>
      <c r="BF1" s="12" t="s">
        <v>78</v>
      </c>
      <c r="BG1" s="12" t="s">
        <v>79</v>
      </c>
      <c r="BH1" s="12" t="s">
        <v>80</v>
      </c>
      <c r="BI1" s="15" t="s">
        <v>81</v>
      </c>
      <c r="BJ1" s="15" t="s">
        <v>86</v>
      </c>
      <c r="BK1" s="15" t="s">
        <v>88</v>
      </c>
      <c r="BL1" s="16" t="s">
        <v>90</v>
      </c>
      <c r="BM1" s="17" t="s">
        <v>95</v>
      </c>
    </row>
    <row r="2" spans="1:65" ht="15" customHeight="1" x14ac:dyDescent="0.2">
      <c r="A2" s="18" t="s">
        <v>97</v>
      </c>
      <c r="B2" s="18" t="s">
        <v>97</v>
      </c>
      <c r="C2" s="18" t="s">
        <v>97</v>
      </c>
      <c r="D2" s="18" t="s">
        <v>97</v>
      </c>
      <c r="E2" s="18" t="s">
        <v>97</v>
      </c>
      <c r="F2" s="18" t="s">
        <v>97</v>
      </c>
      <c r="G2" s="18" t="s">
        <v>97</v>
      </c>
      <c r="H2" s="18" t="s">
        <v>97</v>
      </c>
      <c r="I2" s="18" t="s">
        <v>97</v>
      </c>
      <c r="J2" s="18" t="s">
        <v>97</v>
      </c>
      <c r="K2" s="19">
        <f t="shared" ref="K2:BK2" si="0">SUM(K4:K318)</f>
        <v>6617</v>
      </c>
      <c r="L2" s="19">
        <f t="shared" si="0"/>
        <v>2677</v>
      </c>
      <c r="M2" s="19">
        <f t="shared" si="0"/>
        <v>0</v>
      </c>
      <c r="N2" s="19">
        <f t="shared" si="0"/>
        <v>5062</v>
      </c>
      <c r="O2" s="19">
        <f t="shared" si="0"/>
        <v>227</v>
      </c>
      <c r="P2" s="19">
        <f t="shared" si="0"/>
        <v>150</v>
      </c>
      <c r="Q2" s="19">
        <f t="shared" si="0"/>
        <v>46</v>
      </c>
      <c r="R2" s="19">
        <f t="shared" si="0"/>
        <v>6601</v>
      </c>
      <c r="S2" s="19">
        <f t="shared" si="0"/>
        <v>4726</v>
      </c>
      <c r="T2" s="19">
        <f t="shared" si="0"/>
        <v>5</v>
      </c>
      <c r="U2" s="19">
        <f t="shared" si="0"/>
        <v>2</v>
      </c>
      <c r="V2" s="19">
        <f t="shared" si="0"/>
        <v>168</v>
      </c>
      <c r="W2" s="19">
        <f t="shared" si="0"/>
        <v>3473</v>
      </c>
      <c r="X2" s="19">
        <f t="shared" si="0"/>
        <v>388</v>
      </c>
      <c r="Y2" s="19">
        <f t="shared" si="0"/>
        <v>13900</v>
      </c>
      <c r="Z2" s="19">
        <f t="shared" si="0"/>
        <v>115</v>
      </c>
      <c r="AA2" s="19">
        <f t="shared" si="0"/>
        <v>2040</v>
      </c>
      <c r="AB2" s="19">
        <f t="shared" si="0"/>
        <v>0</v>
      </c>
      <c r="AC2" s="19">
        <f t="shared" si="0"/>
        <v>0</v>
      </c>
      <c r="AD2" s="19">
        <f t="shared" si="0"/>
        <v>12</v>
      </c>
      <c r="AE2" s="19">
        <f t="shared" si="0"/>
        <v>11059</v>
      </c>
      <c r="AF2" s="19">
        <f t="shared" si="0"/>
        <v>8581</v>
      </c>
      <c r="AG2" s="19">
        <f t="shared" si="0"/>
        <v>373</v>
      </c>
      <c r="AH2" s="19">
        <f t="shared" si="0"/>
        <v>56</v>
      </c>
      <c r="AI2" s="19">
        <f t="shared" si="0"/>
        <v>2026</v>
      </c>
      <c r="AJ2" s="19">
        <f t="shared" si="0"/>
        <v>1562</v>
      </c>
      <c r="AK2" s="19">
        <f t="shared" si="0"/>
        <v>381</v>
      </c>
      <c r="AL2" s="19">
        <f t="shared" si="0"/>
        <v>1586</v>
      </c>
      <c r="AM2" s="19">
        <f t="shared" si="0"/>
        <v>12492</v>
      </c>
      <c r="AN2" s="19">
        <f t="shared" si="0"/>
        <v>248</v>
      </c>
      <c r="AO2" s="19">
        <f t="shared" si="0"/>
        <v>307</v>
      </c>
      <c r="AP2" s="19">
        <f t="shared" si="0"/>
        <v>1724</v>
      </c>
      <c r="AQ2" s="19">
        <f t="shared" si="0"/>
        <v>173</v>
      </c>
      <c r="AR2" s="19">
        <f t="shared" si="0"/>
        <v>6</v>
      </c>
      <c r="AS2" s="19">
        <f t="shared" si="0"/>
        <v>325</v>
      </c>
      <c r="AT2" s="19">
        <f t="shared" si="0"/>
        <v>400</v>
      </c>
      <c r="AU2" s="19">
        <f t="shared" si="0"/>
        <v>340</v>
      </c>
      <c r="AV2" s="19">
        <f t="shared" si="0"/>
        <v>1577</v>
      </c>
      <c r="AW2" s="19">
        <f t="shared" si="0"/>
        <v>2903</v>
      </c>
      <c r="AX2" s="19">
        <f t="shared" si="0"/>
        <v>11460</v>
      </c>
      <c r="AY2" s="19">
        <f t="shared" si="0"/>
        <v>1636</v>
      </c>
      <c r="AZ2" s="19">
        <f t="shared" si="0"/>
        <v>94</v>
      </c>
      <c r="BA2" s="19">
        <f t="shared" si="0"/>
        <v>2540</v>
      </c>
      <c r="BB2" s="19">
        <f t="shared" si="0"/>
        <v>519</v>
      </c>
      <c r="BC2" s="19">
        <f t="shared" si="0"/>
        <v>35</v>
      </c>
      <c r="BD2" s="19">
        <f t="shared" si="0"/>
        <v>1176</v>
      </c>
      <c r="BE2" s="19">
        <f t="shared" si="0"/>
        <v>41</v>
      </c>
      <c r="BF2" s="19">
        <f t="shared" si="0"/>
        <v>4896</v>
      </c>
      <c r="BG2" s="19">
        <f t="shared" si="0"/>
        <v>525</v>
      </c>
      <c r="BH2" s="19">
        <f t="shared" si="0"/>
        <v>29</v>
      </c>
      <c r="BI2" s="19">
        <f t="shared" si="0"/>
        <v>77</v>
      </c>
      <c r="BJ2" s="19">
        <f t="shared" si="0"/>
        <v>6772</v>
      </c>
      <c r="BK2" s="19">
        <f t="shared" si="0"/>
        <v>2</v>
      </c>
      <c r="BL2" s="19">
        <f t="shared" ref="BL2:BL4" si="1">SUM(K2:BK2)</f>
        <v>122130</v>
      </c>
    </row>
    <row r="3" spans="1:65" ht="15" customHeight="1" x14ac:dyDescent="0.2">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f>COUNT(AS4:AS252)</f>
        <v>2</v>
      </c>
      <c r="AT3" s="19"/>
      <c r="AU3" s="19"/>
      <c r="AV3" s="19"/>
      <c r="AW3" s="19"/>
      <c r="AX3" s="19"/>
      <c r="AY3" s="19"/>
      <c r="AZ3" s="19"/>
      <c r="BA3" s="19">
        <f>COUNT(BA4:BA252)</f>
        <v>31</v>
      </c>
      <c r="BB3" s="19"/>
      <c r="BC3" s="19"/>
      <c r="BD3" s="19"/>
      <c r="BE3" s="19"/>
      <c r="BF3" s="19"/>
      <c r="BG3" s="19"/>
      <c r="BH3" s="19"/>
      <c r="BI3" s="19">
        <f>COUNT(BI4:BI252)</f>
        <v>2</v>
      </c>
      <c r="BJ3" s="19"/>
      <c r="BK3" s="19"/>
      <c r="BL3" s="19"/>
    </row>
    <row r="4" spans="1:65" ht="15" customHeight="1" x14ac:dyDescent="0.2">
      <c r="A4" s="8" t="s">
        <v>187</v>
      </c>
      <c r="B4" s="8" t="s">
        <v>188</v>
      </c>
      <c r="C4" s="8">
        <v>27.322600000000001</v>
      </c>
      <c r="D4" s="8">
        <v>-80.191100000000006</v>
      </c>
      <c r="E4" s="8">
        <v>27.333300000000001</v>
      </c>
      <c r="F4" s="8">
        <v>-80.192800000000005</v>
      </c>
      <c r="G4" s="8" t="s">
        <v>192</v>
      </c>
      <c r="H4" s="8" t="s">
        <v>194</v>
      </c>
      <c r="I4" s="21">
        <v>41677</v>
      </c>
      <c r="J4" s="8">
        <v>730</v>
      </c>
      <c r="N4" s="8">
        <v>2</v>
      </c>
      <c r="Y4" s="8">
        <v>2</v>
      </c>
      <c r="AE4" s="8">
        <v>1</v>
      </c>
      <c r="AF4" s="8">
        <v>3</v>
      </c>
      <c r="BL4" s="19">
        <f t="shared" si="1"/>
        <v>8</v>
      </c>
    </row>
    <row r="5" spans="1:65" ht="14.25" x14ac:dyDescent="0.2">
      <c r="A5" s="8" t="s">
        <v>198</v>
      </c>
      <c r="B5" s="8" t="s">
        <v>199</v>
      </c>
      <c r="C5" s="8">
        <v>30.269369999999999</v>
      </c>
      <c r="D5" s="8">
        <v>-85.995919999999998</v>
      </c>
      <c r="E5" s="8">
        <v>30.266020000000001</v>
      </c>
      <c r="F5" s="8">
        <v>-85.988770000000002</v>
      </c>
      <c r="G5" s="8" t="s">
        <v>202</v>
      </c>
      <c r="H5" s="8" t="s">
        <v>203</v>
      </c>
      <c r="I5" s="21">
        <v>41680</v>
      </c>
      <c r="J5" s="23">
        <v>0.54166666666666663</v>
      </c>
      <c r="K5" s="8"/>
      <c r="L5" s="8">
        <v>460</v>
      </c>
      <c r="M5" s="8"/>
      <c r="N5" s="8">
        <v>1</v>
      </c>
      <c r="O5" s="8"/>
      <c r="P5" s="11"/>
      <c r="Q5" s="11"/>
      <c r="R5" s="11"/>
      <c r="S5" s="8">
        <v>1</v>
      </c>
      <c r="T5" s="11"/>
      <c r="U5" s="11"/>
      <c r="V5" s="11"/>
      <c r="W5" s="8">
        <v>3</v>
      </c>
      <c r="Y5" s="8">
        <v>21</v>
      </c>
      <c r="Z5" s="11"/>
      <c r="AA5" s="11"/>
      <c r="AB5" s="11"/>
      <c r="AC5" s="11"/>
      <c r="AD5" s="11"/>
      <c r="AE5" s="8">
        <v>8</v>
      </c>
      <c r="AF5" s="11"/>
      <c r="AG5" s="11"/>
      <c r="AH5" s="11"/>
      <c r="AI5" s="11"/>
      <c r="AJ5" s="11"/>
      <c r="AK5" s="11"/>
      <c r="AL5" s="11"/>
      <c r="AM5" s="11"/>
      <c r="AN5" s="11"/>
      <c r="AO5" s="8">
        <v>1</v>
      </c>
      <c r="AP5" s="11"/>
      <c r="AQ5" s="11"/>
      <c r="AR5" s="11"/>
      <c r="AS5" s="11"/>
      <c r="AT5" s="11"/>
      <c r="AU5" s="11"/>
      <c r="AV5" s="11"/>
      <c r="AW5" s="11"/>
      <c r="AX5" s="8">
        <v>33</v>
      </c>
      <c r="AY5" s="11"/>
      <c r="AZ5" s="11"/>
      <c r="BA5" s="11"/>
      <c r="BB5" s="8">
        <v>9</v>
      </c>
      <c r="BC5" s="11"/>
      <c r="BD5" s="11"/>
      <c r="BE5" s="11"/>
      <c r="BF5" s="8">
        <v>1</v>
      </c>
      <c r="BG5" s="11"/>
      <c r="BH5" s="11"/>
      <c r="BI5" s="11"/>
      <c r="BJ5" s="11"/>
      <c r="BK5" s="11"/>
      <c r="BL5" s="19">
        <f>SUM(K5:BK5)</f>
        <v>538</v>
      </c>
    </row>
    <row r="6" spans="1:65" ht="25.5" x14ac:dyDescent="0.2">
      <c r="A6" s="8" t="s">
        <v>215</v>
      </c>
      <c r="B6" s="8" t="s">
        <v>199</v>
      </c>
      <c r="C6" s="8">
        <v>30.13091</v>
      </c>
      <c r="D6" s="8">
        <v>-85.721149999999994</v>
      </c>
      <c r="E6" s="8">
        <v>30.1327</v>
      </c>
      <c r="F6" s="8">
        <v>-85.745559999999998</v>
      </c>
      <c r="G6" s="11" t="s">
        <v>216</v>
      </c>
      <c r="H6" s="11" t="s">
        <v>203</v>
      </c>
      <c r="I6" s="13">
        <v>41680</v>
      </c>
      <c r="J6" s="23">
        <v>0.37361111111111112</v>
      </c>
      <c r="K6" s="8"/>
      <c r="L6" s="8">
        <v>1</v>
      </c>
      <c r="M6" s="8"/>
      <c r="N6" s="8"/>
      <c r="O6" s="8">
        <v>3</v>
      </c>
      <c r="P6" s="8"/>
      <c r="Q6" s="8"/>
      <c r="R6" s="8">
        <v>26</v>
      </c>
      <c r="S6" s="8">
        <v>7</v>
      </c>
      <c r="T6" s="8"/>
      <c r="U6" s="8"/>
      <c r="V6" s="8"/>
      <c r="W6" s="8">
        <v>1</v>
      </c>
      <c r="X6" s="8"/>
      <c r="Y6" s="8">
        <v>19</v>
      </c>
      <c r="Z6" s="8"/>
      <c r="AA6" s="8"/>
      <c r="AB6" s="8"/>
      <c r="AC6" s="8"/>
      <c r="AD6" s="8"/>
      <c r="AE6" s="8">
        <v>11</v>
      </c>
      <c r="AF6" s="8">
        <v>2</v>
      </c>
      <c r="AG6" s="8"/>
      <c r="AH6" s="8"/>
      <c r="AI6" s="8"/>
      <c r="AJ6" s="8"/>
      <c r="AK6" s="8"/>
      <c r="AL6" s="8"/>
      <c r="AM6" s="8"/>
      <c r="AN6" s="8"/>
      <c r="AO6" s="8"/>
      <c r="AP6" s="8"/>
      <c r="AQ6" s="8"/>
      <c r="AR6" s="8"/>
      <c r="AS6" s="8"/>
      <c r="AT6" s="8"/>
      <c r="AU6" s="8"/>
      <c r="AV6" s="8"/>
      <c r="AW6" s="8">
        <v>5</v>
      </c>
      <c r="AX6" s="8">
        <v>82</v>
      </c>
      <c r="AY6" s="8"/>
      <c r="AZ6" s="8"/>
      <c r="BA6" s="8"/>
      <c r="BB6" s="8">
        <v>2</v>
      </c>
      <c r="BC6" s="8"/>
      <c r="BD6" s="8"/>
      <c r="BE6" s="8"/>
      <c r="BF6" s="8">
        <v>3</v>
      </c>
      <c r="BG6" s="8"/>
      <c r="BH6" s="8"/>
      <c r="BI6" s="8"/>
      <c r="BJ6" s="8"/>
      <c r="BK6" s="8"/>
      <c r="BL6" s="19">
        <f t="shared" ref="BL6:BL10" si="2">SUM(K6:BK6)</f>
        <v>162</v>
      </c>
    </row>
    <row r="7" spans="1:65" ht="57" customHeight="1" x14ac:dyDescent="0.2">
      <c r="A7" s="11" t="s">
        <v>238</v>
      </c>
      <c r="B7" s="11" t="s">
        <v>199</v>
      </c>
      <c r="C7" s="11">
        <v>30.05293</v>
      </c>
      <c r="D7" s="11">
        <v>-85.600629999999995</v>
      </c>
      <c r="E7" s="11">
        <v>30.00038</v>
      </c>
      <c r="F7" s="11">
        <v>-85.530079999999998</v>
      </c>
      <c r="G7" s="11" t="s">
        <v>239</v>
      </c>
      <c r="H7" s="11" t="s">
        <v>241</v>
      </c>
      <c r="I7" s="13">
        <v>41679</v>
      </c>
      <c r="J7" s="27">
        <v>0.37152777777777779</v>
      </c>
      <c r="K7" s="11"/>
      <c r="L7" s="11">
        <v>117</v>
      </c>
      <c r="M7" s="11"/>
      <c r="N7" s="11"/>
      <c r="O7" s="11"/>
      <c r="P7" s="11">
        <v>1</v>
      </c>
      <c r="Q7" s="11"/>
      <c r="R7" s="11">
        <v>25</v>
      </c>
      <c r="S7" s="11">
        <v>67</v>
      </c>
      <c r="T7" s="11"/>
      <c r="U7" s="11"/>
      <c r="V7" s="11"/>
      <c r="W7" s="11">
        <v>12</v>
      </c>
      <c r="X7" s="11">
        <v>103</v>
      </c>
      <c r="Y7" s="11"/>
      <c r="Z7" s="11"/>
      <c r="AA7" s="11"/>
      <c r="AB7" s="11"/>
      <c r="AC7" s="11"/>
      <c r="AD7" s="11"/>
      <c r="AE7" s="11">
        <v>153</v>
      </c>
      <c r="AF7" s="11">
        <v>2</v>
      </c>
      <c r="AG7" s="11"/>
      <c r="AH7" s="11"/>
      <c r="AI7" s="11"/>
      <c r="AJ7" s="11"/>
      <c r="AK7" s="11"/>
      <c r="AL7" s="11">
        <v>12</v>
      </c>
      <c r="AM7" s="11">
        <v>78</v>
      </c>
      <c r="AN7" s="11"/>
      <c r="AO7" s="11">
        <v>2</v>
      </c>
      <c r="AP7" s="11"/>
      <c r="AQ7" s="11"/>
      <c r="AR7" s="11"/>
      <c r="AS7" s="11"/>
      <c r="AT7" s="11"/>
      <c r="AU7" s="11">
        <v>8</v>
      </c>
      <c r="AV7" s="11"/>
      <c r="AW7" s="11">
        <v>2</v>
      </c>
      <c r="AX7" s="11">
        <v>154</v>
      </c>
      <c r="AY7" s="11"/>
      <c r="AZ7" s="11"/>
      <c r="BA7" s="11"/>
      <c r="BB7" s="11">
        <v>56</v>
      </c>
      <c r="BC7" s="11"/>
      <c r="BD7" s="11"/>
      <c r="BE7" s="11"/>
      <c r="BF7" s="11">
        <v>30</v>
      </c>
      <c r="BG7" s="11">
        <v>5</v>
      </c>
      <c r="BH7" s="11"/>
      <c r="BI7" s="11"/>
      <c r="BJ7" s="11"/>
      <c r="BK7" s="11"/>
      <c r="BL7" s="19">
        <f t="shared" si="2"/>
        <v>827</v>
      </c>
    </row>
    <row r="8" spans="1:65" ht="25.5" x14ac:dyDescent="0.2">
      <c r="A8" s="11" t="s">
        <v>260</v>
      </c>
      <c r="B8" s="11" t="s">
        <v>199</v>
      </c>
      <c r="C8" s="11">
        <v>30.05293</v>
      </c>
      <c r="D8" s="11">
        <v>-85.600629999999995</v>
      </c>
      <c r="E8" s="11">
        <v>30.088940000000001</v>
      </c>
      <c r="F8" s="11">
        <v>-85.678719999999998</v>
      </c>
      <c r="G8" s="11" t="s">
        <v>262</v>
      </c>
      <c r="H8" s="11" t="s">
        <v>263</v>
      </c>
      <c r="I8" s="13">
        <v>41677</v>
      </c>
      <c r="J8" s="27">
        <v>0.39930555555555558</v>
      </c>
      <c r="K8" s="8"/>
      <c r="L8" s="8"/>
      <c r="M8" s="8"/>
      <c r="N8" s="8">
        <v>2</v>
      </c>
      <c r="O8" s="8"/>
      <c r="P8" s="8"/>
      <c r="Q8" s="8"/>
      <c r="R8" s="8"/>
      <c r="S8" s="8">
        <v>6</v>
      </c>
      <c r="T8" s="8"/>
      <c r="U8" s="8"/>
      <c r="V8" s="8"/>
      <c r="W8" s="8"/>
      <c r="X8" s="11"/>
      <c r="Y8" s="8"/>
      <c r="Z8" s="8"/>
      <c r="AA8" s="8"/>
      <c r="AB8" s="8"/>
      <c r="AC8" s="8"/>
      <c r="AD8" s="11"/>
      <c r="AE8" s="8">
        <v>25</v>
      </c>
      <c r="AF8" s="8">
        <v>1</v>
      </c>
      <c r="AG8" s="11"/>
      <c r="AH8" s="8"/>
      <c r="AI8" s="11">
        <v>16</v>
      </c>
      <c r="AJ8" s="8"/>
      <c r="AK8" s="8"/>
      <c r="AL8" s="11">
        <v>12</v>
      </c>
      <c r="AM8" s="8">
        <v>55</v>
      </c>
      <c r="AN8" s="11"/>
      <c r="AO8" s="8"/>
      <c r="AP8" s="8">
        <v>2</v>
      </c>
      <c r="AQ8" s="8"/>
      <c r="AR8" s="8"/>
      <c r="AS8" s="8"/>
      <c r="AT8" s="8"/>
      <c r="AU8" s="8">
        <v>11</v>
      </c>
      <c r="AV8" s="11"/>
      <c r="AW8" s="11"/>
      <c r="AX8" s="8">
        <v>41</v>
      </c>
      <c r="AY8" s="8">
        <v>9</v>
      </c>
      <c r="AZ8" s="8"/>
      <c r="BA8" s="8"/>
      <c r="BB8" s="8">
        <v>18</v>
      </c>
      <c r="BC8" s="8"/>
      <c r="BD8" s="8"/>
      <c r="BE8" s="8"/>
      <c r="BF8" s="8">
        <v>5</v>
      </c>
      <c r="BG8" s="8">
        <v>1</v>
      </c>
      <c r="BH8" s="8"/>
      <c r="BI8" s="8"/>
      <c r="BJ8" s="8"/>
      <c r="BK8" s="11"/>
      <c r="BL8" s="19">
        <f t="shared" si="2"/>
        <v>204</v>
      </c>
      <c r="BM8" s="14"/>
    </row>
    <row r="9" spans="1:65" ht="25.5" x14ac:dyDescent="0.2">
      <c r="A9" s="11" t="s">
        <v>275</v>
      </c>
      <c r="B9" s="11" t="s">
        <v>199</v>
      </c>
      <c r="C9" s="24">
        <v>30.088940000000001</v>
      </c>
      <c r="D9" s="24">
        <v>-85.678719999999998</v>
      </c>
      <c r="E9" s="11">
        <v>30.118829999999999</v>
      </c>
      <c r="F9" s="11">
        <v>-85.725629999999995</v>
      </c>
      <c r="G9" s="11" t="s">
        <v>276</v>
      </c>
      <c r="H9" s="11" t="s">
        <v>263</v>
      </c>
      <c r="I9" s="13">
        <v>41677</v>
      </c>
      <c r="J9" s="27">
        <v>0.5444444444444444</v>
      </c>
      <c r="K9" s="8"/>
      <c r="L9" s="8"/>
      <c r="M9" s="8"/>
      <c r="N9" s="8"/>
      <c r="O9" s="8"/>
      <c r="P9" s="8"/>
      <c r="Q9" s="8"/>
      <c r="R9" s="8"/>
      <c r="S9" s="8"/>
      <c r="T9" s="8"/>
      <c r="U9" s="8"/>
      <c r="V9" s="8"/>
      <c r="W9" s="8"/>
      <c r="X9" s="8"/>
      <c r="Y9" s="8"/>
      <c r="Z9" s="8"/>
      <c r="AA9" s="8"/>
      <c r="AB9" s="8"/>
      <c r="AC9" s="8"/>
      <c r="AD9" s="8"/>
      <c r="AE9" s="8">
        <v>2</v>
      </c>
      <c r="AF9" s="8"/>
      <c r="AG9" s="8"/>
      <c r="AH9" s="8"/>
      <c r="AI9" s="8"/>
      <c r="AJ9" s="8"/>
      <c r="AK9" s="8"/>
      <c r="AL9" s="8">
        <v>17</v>
      </c>
      <c r="AM9" s="8">
        <v>32</v>
      </c>
      <c r="AN9" s="8"/>
      <c r="AO9" s="8"/>
      <c r="AP9" s="8"/>
      <c r="AQ9" s="8"/>
      <c r="AR9" s="8"/>
      <c r="AS9" s="8"/>
      <c r="AT9" s="8"/>
      <c r="AU9" s="8"/>
      <c r="AV9" s="8"/>
      <c r="AW9" s="8">
        <v>3</v>
      </c>
      <c r="AX9" s="8">
        <v>54</v>
      </c>
      <c r="AY9" s="8"/>
      <c r="AZ9" s="8"/>
      <c r="BA9" s="8"/>
      <c r="BB9" s="8">
        <v>28</v>
      </c>
      <c r="BC9" s="8"/>
      <c r="BD9" s="8"/>
      <c r="BE9" s="8"/>
      <c r="BF9" s="8">
        <v>12</v>
      </c>
      <c r="BG9" s="8"/>
      <c r="BH9" s="8"/>
      <c r="BI9" s="8"/>
      <c r="BJ9" s="8"/>
      <c r="BK9" s="8"/>
      <c r="BL9" s="19">
        <f t="shared" si="2"/>
        <v>148</v>
      </c>
      <c r="BM9" s="14"/>
    </row>
    <row r="10" spans="1:65" ht="25.5" x14ac:dyDescent="0.2">
      <c r="A10" s="11" t="s">
        <v>288</v>
      </c>
      <c r="B10" s="11" t="s">
        <v>199</v>
      </c>
      <c r="C10" s="11">
        <v>29.954470000000001</v>
      </c>
      <c r="D10" s="11">
        <v>-85.447789999999998</v>
      </c>
      <c r="E10" s="11">
        <v>29.99896</v>
      </c>
      <c r="F10" s="11">
        <v>-85.530289999999994</v>
      </c>
      <c r="G10" s="11" t="s">
        <v>239</v>
      </c>
      <c r="H10" s="11" t="s">
        <v>241</v>
      </c>
      <c r="I10" s="13">
        <v>41679</v>
      </c>
      <c r="J10" s="27">
        <v>0.5395833333333333</v>
      </c>
      <c r="K10" s="8"/>
      <c r="L10" s="8">
        <v>187</v>
      </c>
      <c r="M10" s="8"/>
      <c r="N10" s="8">
        <v>2</v>
      </c>
      <c r="O10" s="8"/>
      <c r="P10" s="8">
        <v>4</v>
      </c>
      <c r="Q10" s="8"/>
      <c r="R10" s="8"/>
      <c r="S10" s="8">
        <v>68</v>
      </c>
      <c r="T10" s="8"/>
      <c r="U10" s="8"/>
      <c r="V10" s="8"/>
      <c r="W10" s="8">
        <v>7</v>
      </c>
      <c r="X10" s="8">
        <v>200</v>
      </c>
      <c r="Y10" s="8">
        <v>13</v>
      </c>
      <c r="Z10" s="8"/>
      <c r="AA10" s="8"/>
      <c r="AB10" s="8"/>
      <c r="AC10" s="8"/>
      <c r="AD10" s="8"/>
      <c r="AE10" s="8">
        <v>138</v>
      </c>
      <c r="AF10" s="8">
        <v>2</v>
      </c>
      <c r="AG10" s="11"/>
      <c r="AH10" s="8"/>
      <c r="AI10" s="11"/>
      <c r="AJ10" s="8">
        <v>1</v>
      </c>
      <c r="AK10" s="8"/>
      <c r="AL10" s="11">
        <v>19</v>
      </c>
      <c r="AM10" s="8">
        <v>43</v>
      </c>
      <c r="AN10" s="11"/>
      <c r="AO10" s="8"/>
      <c r="AP10" s="8"/>
      <c r="AQ10" s="8">
        <v>2</v>
      </c>
      <c r="AR10" s="8"/>
      <c r="AS10" s="8"/>
      <c r="AT10" s="8"/>
      <c r="AU10" s="8"/>
      <c r="AV10" s="8"/>
      <c r="AW10" s="11">
        <v>3</v>
      </c>
      <c r="AX10" s="8">
        <v>131</v>
      </c>
      <c r="AY10" s="8"/>
      <c r="AZ10" s="8"/>
      <c r="BA10" s="8"/>
      <c r="BB10" s="8">
        <v>44</v>
      </c>
      <c r="BC10" s="11"/>
      <c r="BD10" s="8"/>
      <c r="BE10" s="8"/>
      <c r="BF10" s="8">
        <v>44</v>
      </c>
      <c r="BG10" s="8"/>
      <c r="BH10" s="11"/>
      <c r="BI10" s="8"/>
      <c r="BJ10" s="8"/>
      <c r="BK10" s="8"/>
      <c r="BL10" s="19">
        <f t="shared" si="2"/>
        <v>908</v>
      </c>
      <c r="BM10" s="14"/>
    </row>
    <row r="11" spans="1:65" ht="25.5" x14ac:dyDescent="0.2">
      <c r="A11" s="8" t="s">
        <v>299</v>
      </c>
      <c r="B11" s="8" t="s">
        <v>199</v>
      </c>
      <c r="C11" s="8">
        <v>29.950800000000001</v>
      </c>
      <c r="D11" s="8">
        <v>-85.298599999999993</v>
      </c>
      <c r="E11" s="8">
        <v>29.955030000000001</v>
      </c>
      <c r="F11" s="8">
        <v>-85.449060000000003</v>
      </c>
      <c r="G11" s="8" t="s">
        <v>301</v>
      </c>
      <c r="H11" s="8" t="s">
        <v>307</v>
      </c>
      <c r="I11" s="21">
        <v>41683</v>
      </c>
      <c r="J11" s="8" t="s">
        <v>309</v>
      </c>
      <c r="K11" s="8"/>
      <c r="L11" s="8">
        <v>46</v>
      </c>
      <c r="M11" s="8"/>
      <c r="N11" s="8">
        <v>26</v>
      </c>
      <c r="O11" s="8"/>
      <c r="P11" s="8"/>
      <c r="Q11" s="8"/>
      <c r="R11" s="8"/>
      <c r="S11" s="8"/>
      <c r="T11" s="8"/>
      <c r="U11" s="8"/>
      <c r="V11" s="8"/>
      <c r="W11" s="8"/>
      <c r="X11" s="8"/>
      <c r="Y11" s="8">
        <v>2</v>
      </c>
      <c r="Z11" s="8"/>
      <c r="AA11" s="8"/>
      <c r="AB11" s="8"/>
      <c r="AC11" s="8"/>
      <c r="AD11" s="8"/>
      <c r="AE11" s="8">
        <v>12</v>
      </c>
      <c r="AF11" s="8"/>
      <c r="AG11" s="8"/>
      <c r="AH11" s="8"/>
      <c r="AI11" s="8"/>
      <c r="AJ11" s="8"/>
      <c r="AK11" s="8"/>
      <c r="AL11" s="8">
        <v>2</v>
      </c>
      <c r="AM11" s="8"/>
      <c r="AN11" s="8"/>
      <c r="AO11" s="8"/>
      <c r="AP11" s="8"/>
      <c r="AQ11" s="8"/>
      <c r="AR11" s="8"/>
      <c r="AS11" s="8"/>
      <c r="AT11" s="8"/>
      <c r="AU11" s="8"/>
      <c r="AV11" s="8"/>
      <c r="AW11" s="8">
        <v>5</v>
      </c>
      <c r="AX11" s="8">
        <v>31</v>
      </c>
      <c r="AY11" s="8">
        <v>2</v>
      </c>
      <c r="AZ11" s="8"/>
      <c r="BA11" s="8"/>
      <c r="BB11" s="8">
        <v>5</v>
      </c>
      <c r="BC11" s="8"/>
      <c r="BD11" s="8"/>
      <c r="BE11" s="8"/>
      <c r="BF11" s="8">
        <v>2</v>
      </c>
      <c r="BG11" s="8"/>
      <c r="BH11" s="8"/>
      <c r="BI11" s="8"/>
      <c r="BJ11" s="8"/>
      <c r="BK11" s="8"/>
      <c r="BL11" s="19">
        <f t="shared" ref="BL11:BL12" si="3">SUM(K11:BK11)</f>
        <v>133</v>
      </c>
      <c r="BM11" s="8" t="s">
        <v>322</v>
      </c>
    </row>
    <row r="12" spans="1:65" ht="25.5" x14ac:dyDescent="0.2">
      <c r="A12" s="8" t="s">
        <v>323</v>
      </c>
      <c r="B12" s="8" t="s">
        <v>199</v>
      </c>
      <c r="C12" s="8">
        <v>29.924900000000001</v>
      </c>
      <c r="D12" s="8">
        <v>-85.389399999999995</v>
      </c>
      <c r="E12" s="8">
        <v>29.9251</v>
      </c>
      <c r="F12" s="8">
        <v>-85.383960000000002</v>
      </c>
      <c r="G12" s="8" t="s">
        <v>301</v>
      </c>
      <c r="H12" s="8" t="s">
        <v>307</v>
      </c>
      <c r="I12" s="21">
        <v>41683</v>
      </c>
      <c r="J12" s="8" t="s">
        <v>328</v>
      </c>
      <c r="K12" s="8"/>
      <c r="L12" s="8">
        <v>3</v>
      </c>
      <c r="M12" s="8"/>
      <c r="N12" s="8">
        <v>3</v>
      </c>
      <c r="O12" s="8"/>
      <c r="P12" s="8"/>
      <c r="Q12" s="8"/>
      <c r="R12" s="8"/>
      <c r="S12" s="8">
        <v>4</v>
      </c>
      <c r="T12" s="8"/>
      <c r="U12" s="8"/>
      <c r="V12" s="8"/>
      <c r="W12" s="8">
        <v>2</v>
      </c>
      <c r="X12" s="8"/>
      <c r="Y12" s="8">
        <v>149</v>
      </c>
      <c r="Z12" s="8"/>
      <c r="AA12" s="8"/>
      <c r="AB12" s="8"/>
      <c r="AC12" s="8"/>
      <c r="AD12" s="8"/>
      <c r="AE12" s="8">
        <v>50</v>
      </c>
      <c r="AF12" s="8">
        <v>6</v>
      </c>
      <c r="AG12" s="8"/>
      <c r="AH12" s="8"/>
      <c r="AI12" s="8"/>
      <c r="AJ12" s="8"/>
      <c r="AK12" s="8"/>
      <c r="AL12" s="8"/>
      <c r="AM12" s="8"/>
      <c r="AN12" s="8"/>
      <c r="AO12" s="8"/>
      <c r="AP12" s="8"/>
      <c r="AQ12" s="8"/>
      <c r="AR12" s="8"/>
      <c r="AS12" s="8"/>
      <c r="AT12" s="8"/>
      <c r="AU12" s="8"/>
      <c r="AV12" s="8"/>
      <c r="AW12" s="8"/>
      <c r="AX12" s="8">
        <v>3</v>
      </c>
      <c r="AY12" s="8"/>
      <c r="AZ12" s="8"/>
      <c r="BA12" s="8"/>
      <c r="BB12" s="8"/>
      <c r="BC12" s="8"/>
      <c r="BD12" s="8"/>
      <c r="BE12" s="8"/>
      <c r="BF12" s="8"/>
      <c r="BG12" s="8"/>
      <c r="BH12" s="8"/>
      <c r="BI12" s="8"/>
      <c r="BJ12" s="8"/>
      <c r="BK12" s="8"/>
      <c r="BL12" s="19">
        <f t="shared" si="3"/>
        <v>220</v>
      </c>
      <c r="BM12" s="8" t="s">
        <v>337</v>
      </c>
    </row>
    <row r="13" spans="1:65" ht="28.5" customHeight="1" x14ac:dyDescent="0.2">
      <c r="A13" s="11" t="s">
        <v>338</v>
      </c>
      <c r="B13" s="11" t="s">
        <v>339</v>
      </c>
      <c r="C13" s="11">
        <v>28.411259999999999</v>
      </c>
      <c r="D13" s="11">
        <v>-80.583470000000005</v>
      </c>
      <c r="E13" s="11">
        <v>28.568760000000001</v>
      </c>
      <c r="F13" s="11">
        <v>-80.569400000000002</v>
      </c>
      <c r="G13" s="11" t="s">
        <v>341</v>
      </c>
      <c r="H13" s="11" t="s">
        <v>342</v>
      </c>
      <c r="I13" s="13">
        <v>41681</v>
      </c>
      <c r="J13" s="27">
        <v>0.39583333333333331</v>
      </c>
      <c r="K13" s="11">
        <v>26</v>
      </c>
      <c r="L13" s="11">
        <v>5</v>
      </c>
      <c r="M13" s="11"/>
      <c r="N13" s="11">
        <v>99</v>
      </c>
      <c r="O13" s="11"/>
      <c r="P13" s="11"/>
      <c r="Q13" s="11">
        <v>2</v>
      </c>
      <c r="R13" s="11">
        <v>44</v>
      </c>
      <c r="S13" s="11">
        <v>5</v>
      </c>
      <c r="T13" s="11">
        <v>3</v>
      </c>
      <c r="U13" s="11"/>
      <c r="V13" s="11"/>
      <c r="W13" s="11">
        <v>429</v>
      </c>
      <c r="X13" s="11"/>
      <c r="Y13" s="11"/>
      <c r="Z13" s="11"/>
      <c r="AA13" s="11">
        <v>30</v>
      </c>
      <c r="AB13" s="11"/>
      <c r="AC13" s="11"/>
      <c r="AD13" s="11"/>
      <c r="AE13" s="11">
        <v>19</v>
      </c>
      <c r="AF13" s="11">
        <v>160</v>
      </c>
      <c r="AG13" s="11">
        <v>14</v>
      </c>
      <c r="AH13" s="11"/>
      <c r="AI13" s="11"/>
      <c r="AJ13" s="11"/>
      <c r="AK13" s="11"/>
      <c r="AL13" s="11">
        <v>86</v>
      </c>
      <c r="AM13" s="11"/>
      <c r="AN13" s="11"/>
      <c r="AO13" s="11">
        <v>23</v>
      </c>
      <c r="AP13" s="11"/>
      <c r="AQ13" s="11"/>
      <c r="AR13" s="11"/>
      <c r="AS13" s="11"/>
      <c r="AT13" s="11"/>
      <c r="AU13" s="11"/>
      <c r="AV13" s="11"/>
      <c r="AW13" s="11">
        <v>5</v>
      </c>
      <c r="AX13" s="11">
        <v>275</v>
      </c>
      <c r="AY13" s="11"/>
      <c r="AZ13" s="11"/>
      <c r="BA13" s="11"/>
      <c r="BB13" s="11"/>
      <c r="BC13" s="11"/>
      <c r="BD13" s="11"/>
      <c r="BE13" s="11"/>
      <c r="BF13" s="11">
        <v>72</v>
      </c>
      <c r="BG13" s="11"/>
      <c r="BH13" s="11"/>
      <c r="BI13" s="11"/>
      <c r="BJ13" s="11"/>
      <c r="BK13" s="11"/>
      <c r="BL13" s="19">
        <f>SUM(K13:BK13)</f>
        <v>1297</v>
      </c>
      <c r="BM13" s="8" t="s">
        <v>352</v>
      </c>
    </row>
    <row r="14" spans="1:65" ht="25.5" x14ac:dyDescent="0.2">
      <c r="A14" s="8" t="s">
        <v>354</v>
      </c>
      <c r="B14" s="8" t="s">
        <v>339</v>
      </c>
      <c r="C14" s="8" t="s">
        <v>355</v>
      </c>
      <c r="D14" s="8" t="s">
        <v>356</v>
      </c>
      <c r="E14" s="8" t="s">
        <v>357</v>
      </c>
      <c r="F14" s="8" t="s">
        <v>358</v>
      </c>
      <c r="G14" s="8" t="s">
        <v>360</v>
      </c>
      <c r="H14" s="8" t="s">
        <v>361</v>
      </c>
      <c r="I14" s="21">
        <v>41677</v>
      </c>
      <c r="J14" s="8">
        <v>800</v>
      </c>
      <c r="K14" s="8">
        <v>12</v>
      </c>
      <c r="N14" s="8">
        <v>280</v>
      </c>
      <c r="R14" s="8">
        <v>1</v>
      </c>
      <c r="S14" s="8">
        <v>32</v>
      </c>
      <c r="W14" s="8">
        <v>15</v>
      </c>
      <c r="Y14" s="8">
        <v>228</v>
      </c>
      <c r="AA14" s="8">
        <v>72</v>
      </c>
      <c r="AE14" s="8">
        <v>72</v>
      </c>
      <c r="AF14" s="8">
        <v>159</v>
      </c>
      <c r="AL14" s="8">
        <v>9</v>
      </c>
      <c r="AW14" s="8">
        <v>15</v>
      </c>
      <c r="AX14" s="8">
        <v>108</v>
      </c>
      <c r="BF14" s="8">
        <v>25</v>
      </c>
      <c r="BL14" s="19">
        <f t="shared" ref="BL14:BL18" si="4">SUM(K14:BK14)</f>
        <v>1028</v>
      </c>
    </row>
    <row r="15" spans="1:65" ht="14.25" x14ac:dyDescent="0.2">
      <c r="A15" s="8" t="s">
        <v>371</v>
      </c>
      <c r="B15" s="8" t="s">
        <v>339</v>
      </c>
      <c r="C15" s="8">
        <v>27.995073000000001</v>
      </c>
      <c r="D15" s="8">
        <v>-80.546756000000002</v>
      </c>
      <c r="E15" s="8">
        <v>27.930572999999999</v>
      </c>
      <c r="F15" s="8">
        <v>-80.521134000000004</v>
      </c>
      <c r="G15" s="8" t="s">
        <v>373</v>
      </c>
      <c r="H15" s="8" t="s">
        <v>374</v>
      </c>
      <c r="I15" s="21">
        <v>41681</v>
      </c>
      <c r="J15" s="23">
        <v>0.54166666666666663</v>
      </c>
      <c r="K15" s="8"/>
      <c r="L15" s="8"/>
      <c r="M15" s="8"/>
      <c r="N15" s="8"/>
      <c r="O15" s="8"/>
      <c r="P15" s="8"/>
      <c r="Q15" s="8"/>
      <c r="R15" s="8"/>
      <c r="S15" s="8"/>
      <c r="T15" s="8"/>
      <c r="U15" s="8"/>
      <c r="V15" s="8"/>
      <c r="W15" s="8"/>
      <c r="X15" s="8"/>
      <c r="Y15" s="8"/>
      <c r="Z15" s="8"/>
      <c r="AA15" s="8"/>
      <c r="AB15" s="8"/>
      <c r="AC15" s="8"/>
      <c r="AD15" s="8"/>
      <c r="AE15" s="8">
        <v>3</v>
      </c>
      <c r="AF15" s="8">
        <v>2</v>
      </c>
      <c r="AG15" s="8"/>
      <c r="AH15" s="8"/>
      <c r="AI15" s="8">
        <v>3</v>
      </c>
      <c r="AJ15" s="8"/>
      <c r="AK15" s="8"/>
      <c r="AL15" s="8">
        <v>1</v>
      </c>
      <c r="AM15" s="8"/>
      <c r="AN15" s="8"/>
      <c r="AO15" s="8"/>
      <c r="AP15" s="8"/>
      <c r="AQ15" s="8"/>
      <c r="AR15" s="8"/>
      <c r="AS15" s="8"/>
      <c r="AT15" s="8"/>
      <c r="AU15" s="8"/>
      <c r="AV15" s="8"/>
      <c r="AW15" s="8"/>
      <c r="AX15" s="8">
        <v>5</v>
      </c>
      <c r="AY15" s="8"/>
      <c r="AZ15" s="8"/>
      <c r="BA15" s="8"/>
      <c r="BB15" s="8"/>
      <c r="BC15" s="8"/>
      <c r="BD15" s="8"/>
      <c r="BE15" s="8"/>
      <c r="BF15" s="8"/>
      <c r="BG15" s="8"/>
      <c r="BH15" s="8"/>
      <c r="BI15" s="8"/>
      <c r="BJ15" s="8"/>
      <c r="BK15" s="8"/>
      <c r="BL15" s="19">
        <f t="shared" si="4"/>
        <v>14</v>
      </c>
      <c r="BM15" s="8" t="s">
        <v>382</v>
      </c>
    </row>
    <row r="16" spans="1:65" ht="14.25" x14ac:dyDescent="0.2">
      <c r="A16" s="8" t="s">
        <v>383</v>
      </c>
      <c r="B16" s="8" t="s">
        <v>339</v>
      </c>
      <c r="C16" s="8" t="s">
        <v>385</v>
      </c>
      <c r="D16" s="8" t="s">
        <v>358</v>
      </c>
      <c r="E16" s="8" t="s">
        <v>388</v>
      </c>
      <c r="F16" s="8" t="s">
        <v>389</v>
      </c>
      <c r="G16" s="8" t="s">
        <v>391</v>
      </c>
      <c r="H16" s="8" t="s">
        <v>392</v>
      </c>
      <c r="I16" s="21">
        <v>41677</v>
      </c>
      <c r="J16" s="23">
        <v>0.35416666666666669</v>
      </c>
      <c r="K16" s="8">
        <v>1</v>
      </c>
      <c r="N16" s="8">
        <v>78</v>
      </c>
      <c r="S16" s="8">
        <v>1</v>
      </c>
      <c r="V16" s="8">
        <v>20</v>
      </c>
      <c r="W16" s="8">
        <v>3</v>
      </c>
      <c r="Y16" s="8">
        <v>6</v>
      </c>
      <c r="AE16" s="8">
        <v>94</v>
      </c>
      <c r="AF16" s="8">
        <v>127</v>
      </c>
      <c r="AG16" s="8">
        <v>45</v>
      </c>
      <c r="AL16" s="8">
        <v>1</v>
      </c>
      <c r="AW16" s="8">
        <v>1</v>
      </c>
      <c r="AX16" s="8">
        <v>5</v>
      </c>
      <c r="BF16" s="8">
        <v>65</v>
      </c>
      <c r="BL16" s="19">
        <f t="shared" si="4"/>
        <v>447</v>
      </c>
    </row>
    <row r="17" spans="1:65" ht="25.5" x14ac:dyDescent="0.2">
      <c r="A17" s="8" t="s">
        <v>397</v>
      </c>
      <c r="B17" s="8" t="s">
        <v>339</v>
      </c>
      <c r="C17" s="8">
        <v>27.869109999999999</v>
      </c>
      <c r="D17" s="8">
        <v>80.746030000000005</v>
      </c>
      <c r="E17" s="8">
        <v>27.889209999999999</v>
      </c>
      <c r="F17" s="8">
        <v>80.72963</v>
      </c>
      <c r="G17" s="8" t="s">
        <v>399</v>
      </c>
      <c r="H17" s="8" t="s">
        <v>400</v>
      </c>
      <c r="I17" s="21">
        <v>41683</v>
      </c>
      <c r="J17" s="23">
        <v>0.39583333333333331</v>
      </c>
      <c r="K17" s="8">
        <v>2</v>
      </c>
      <c r="O17" s="8">
        <v>4</v>
      </c>
      <c r="S17" s="8">
        <v>25</v>
      </c>
      <c r="AE17" s="8">
        <v>20</v>
      </c>
      <c r="AI17" s="8">
        <v>800</v>
      </c>
      <c r="AN17" s="8">
        <v>170</v>
      </c>
      <c r="AQ17" s="8">
        <v>30</v>
      </c>
      <c r="AS17" s="8">
        <v>75</v>
      </c>
      <c r="BL17" s="19">
        <f t="shared" si="4"/>
        <v>1126</v>
      </c>
    </row>
    <row r="18" spans="1:65" ht="25.5" x14ac:dyDescent="0.2">
      <c r="A18" s="8" t="s">
        <v>401</v>
      </c>
      <c r="B18" s="8" t="s">
        <v>339</v>
      </c>
      <c r="C18" s="8">
        <v>28.643885999999998</v>
      </c>
      <c r="D18" s="8">
        <v>-80.623974000000004</v>
      </c>
      <c r="E18" s="8">
        <v>28.794108999999999</v>
      </c>
      <c r="F18" s="8">
        <v>-80.735131999999993</v>
      </c>
      <c r="G18" s="8" t="s">
        <v>405</v>
      </c>
      <c r="H18" s="8" t="s">
        <v>406</v>
      </c>
      <c r="I18" s="21">
        <v>41684</v>
      </c>
      <c r="J18" s="23">
        <v>0.34375</v>
      </c>
      <c r="K18" s="8">
        <v>80</v>
      </c>
      <c r="L18" s="8"/>
      <c r="M18" s="8"/>
      <c r="N18" s="8">
        <v>32</v>
      </c>
      <c r="O18" s="8"/>
      <c r="P18" s="8">
        <v>1</v>
      </c>
      <c r="Q18" s="8"/>
      <c r="R18" s="8">
        <v>21</v>
      </c>
      <c r="S18" s="8">
        <v>259</v>
      </c>
      <c r="T18" s="8"/>
      <c r="U18" s="8"/>
      <c r="V18" s="8"/>
      <c r="W18" s="8">
        <v>24</v>
      </c>
      <c r="X18" s="8"/>
      <c r="Y18" s="8">
        <v>11</v>
      </c>
      <c r="Z18" s="8"/>
      <c r="AA18" s="8">
        <v>42</v>
      </c>
      <c r="AB18" s="8"/>
      <c r="AC18" s="8"/>
      <c r="AD18" s="8"/>
      <c r="AE18" s="8">
        <v>83</v>
      </c>
      <c r="AF18" s="8">
        <v>226</v>
      </c>
      <c r="AG18" s="8">
        <v>12</v>
      </c>
      <c r="AH18" s="8"/>
      <c r="AI18" s="8"/>
      <c r="AJ18" s="8"/>
      <c r="AK18" s="8"/>
      <c r="AL18" s="8"/>
      <c r="AM18" s="8"/>
      <c r="AN18" s="8"/>
      <c r="AO18" s="8">
        <v>4</v>
      </c>
      <c r="AP18" s="8"/>
      <c r="AQ18" s="8"/>
      <c r="AR18" s="8"/>
      <c r="AS18" s="8"/>
      <c r="AT18" s="8"/>
      <c r="AU18" s="8"/>
      <c r="AV18" s="8"/>
      <c r="AW18" s="8">
        <v>14</v>
      </c>
      <c r="AX18" s="8">
        <v>198</v>
      </c>
      <c r="AY18" s="8"/>
      <c r="AZ18" s="8"/>
      <c r="BA18" s="8"/>
      <c r="BB18" s="8"/>
      <c r="BC18" s="8"/>
      <c r="BD18" s="8"/>
      <c r="BE18" s="8"/>
      <c r="BF18" s="8">
        <v>37</v>
      </c>
      <c r="BG18" s="8"/>
      <c r="BH18" s="8"/>
      <c r="BI18" s="8"/>
      <c r="BJ18" s="8"/>
      <c r="BK18" s="8"/>
      <c r="BL18" s="19">
        <f t="shared" si="4"/>
        <v>1044</v>
      </c>
      <c r="BM18" s="8" t="s">
        <v>423</v>
      </c>
    </row>
    <row r="19" spans="1:65" ht="63.75" x14ac:dyDescent="0.2">
      <c r="A19" s="8" t="s">
        <v>425</v>
      </c>
      <c r="B19" s="8" t="s">
        <v>427</v>
      </c>
      <c r="C19" s="8" t="s">
        <v>429</v>
      </c>
      <c r="D19" s="8" t="s">
        <v>431</v>
      </c>
      <c r="E19" s="8" t="s">
        <v>432</v>
      </c>
      <c r="F19" s="8" t="s">
        <v>433</v>
      </c>
      <c r="G19" s="8" t="s">
        <v>434</v>
      </c>
      <c r="H19" s="8" t="s">
        <v>436</v>
      </c>
      <c r="I19" s="21">
        <v>41677</v>
      </c>
      <c r="J19" s="8">
        <v>845</v>
      </c>
      <c r="K19" s="8">
        <v>1</v>
      </c>
      <c r="L19" s="8">
        <v>70</v>
      </c>
      <c r="N19" s="8">
        <v>152</v>
      </c>
      <c r="S19" s="8">
        <v>57</v>
      </c>
      <c r="V19" s="8">
        <v>4</v>
      </c>
      <c r="W19" s="8">
        <v>14</v>
      </c>
      <c r="Y19" s="8">
        <v>9</v>
      </c>
      <c r="AE19" s="8">
        <v>84</v>
      </c>
      <c r="AF19" s="8">
        <v>188</v>
      </c>
      <c r="AG19" s="8">
        <v>2</v>
      </c>
      <c r="AL19" s="8">
        <v>6</v>
      </c>
      <c r="AW19" s="8">
        <v>24</v>
      </c>
      <c r="AX19" s="8">
        <v>394</v>
      </c>
      <c r="BF19" s="8">
        <v>75</v>
      </c>
      <c r="BL19" s="19">
        <f t="shared" ref="BL19:BL22" si="5">SUM(K19:BK19)</f>
        <v>1080</v>
      </c>
      <c r="BM19" s="8" t="s">
        <v>462</v>
      </c>
    </row>
    <row r="20" spans="1:65" ht="15" customHeight="1" x14ac:dyDescent="0.2">
      <c r="A20" s="11" t="s">
        <v>464</v>
      </c>
      <c r="B20" s="11" t="s">
        <v>465</v>
      </c>
      <c r="C20" s="11">
        <v>26.019500000000001</v>
      </c>
      <c r="D20" s="11">
        <v>-80.115499999999997</v>
      </c>
      <c r="E20" s="11">
        <v>26.051200000000001</v>
      </c>
      <c r="F20" s="11">
        <v>-80.112300000000005</v>
      </c>
      <c r="G20" s="11" t="s">
        <v>468</v>
      </c>
      <c r="H20" s="11" t="s">
        <v>470</v>
      </c>
      <c r="I20" s="13">
        <v>41679</v>
      </c>
      <c r="J20" s="27">
        <v>0.375</v>
      </c>
      <c r="K20" s="11"/>
      <c r="L20" s="11"/>
      <c r="M20" s="11"/>
      <c r="N20" s="11">
        <v>2</v>
      </c>
      <c r="O20" s="11"/>
      <c r="P20" s="11"/>
      <c r="Q20" s="11"/>
      <c r="R20" s="11"/>
      <c r="S20" s="11"/>
      <c r="T20" s="11"/>
      <c r="U20" s="11"/>
      <c r="V20" s="11"/>
      <c r="W20" s="11"/>
      <c r="X20" s="11"/>
      <c r="Y20" s="11">
        <v>17</v>
      </c>
      <c r="Z20" s="11"/>
      <c r="AA20" s="11"/>
      <c r="AB20" s="11"/>
      <c r="AC20" s="11"/>
      <c r="AD20" s="11"/>
      <c r="AE20" s="11">
        <v>58</v>
      </c>
      <c r="AF20" s="11"/>
      <c r="AG20" s="11"/>
      <c r="AH20" s="11"/>
      <c r="AI20" s="11"/>
      <c r="AJ20" s="11"/>
      <c r="AK20" s="11"/>
      <c r="AL20" s="11"/>
      <c r="AM20" s="11"/>
      <c r="AN20" s="11"/>
      <c r="AO20" s="11"/>
      <c r="AP20" s="11"/>
      <c r="AQ20" s="11"/>
      <c r="AR20" s="11"/>
      <c r="AS20" s="11"/>
      <c r="AT20" s="11"/>
      <c r="AU20" s="11">
        <v>1</v>
      </c>
      <c r="AV20" s="11"/>
      <c r="AW20" s="11"/>
      <c r="AX20" s="11"/>
      <c r="AY20" s="11"/>
      <c r="AZ20" s="11"/>
      <c r="BA20" s="11"/>
      <c r="BB20" s="11">
        <v>12</v>
      </c>
      <c r="BC20" s="11"/>
      <c r="BD20" s="11"/>
      <c r="BE20" s="11"/>
      <c r="BF20" s="11"/>
      <c r="BG20" s="11"/>
      <c r="BH20" s="11"/>
      <c r="BI20" s="11"/>
      <c r="BJ20" s="11"/>
      <c r="BK20" s="11"/>
      <c r="BL20" s="19">
        <f t="shared" si="5"/>
        <v>90</v>
      </c>
      <c r="BM20" s="8" t="s">
        <v>493</v>
      </c>
    </row>
    <row r="21" spans="1:65" ht="38.25" x14ac:dyDescent="0.2">
      <c r="A21" s="8" t="s">
        <v>494</v>
      </c>
      <c r="B21" s="8" t="s">
        <v>465</v>
      </c>
      <c r="C21" s="8">
        <v>26.167532999999999</v>
      </c>
      <c r="D21" s="8">
        <v>-80.100116999999997</v>
      </c>
      <c r="E21" s="8">
        <v>26.189793999999999</v>
      </c>
      <c r="F21" s="8">
        <v>-80.095073999999997</v>
      </c>
      <c r="G21" s="8" t="s">
        <v>496</v>
      </c>
      <c r="H21" s="8" t="s">
        <v>497</v>
      </c>
      <c r="I21" s="21">
        <v>41686</v>
      </c>
      <c r="J21" s="23">
        <v>0.55555555555555558</v>
      </c>
      <c r="T21" s="8">
        <v>1</v>
      </c>
      <c r="Z21" s="8">
        <v>1</v>
      </c>
      <c r="AE21" s="8">
        <v>2</v>
      </c>
      <c r="AF21" s="8">
        <v>6</v>
      </c>
      <c r="AH21" s="8">
        <v>56</v>
      </c>
      <c r="BL21" s="19">
        <f t="shared" si="5"/>
        <v>66</v>
      </c>
      <c r="BM21" s="8" t="s">
        <v>503</v>
      </c>
    </row>
    <row r="22" spans="1:65" ht="25.5" x14ac:dyDescent="0.2">
      <c r="A22" s="8" t="s">
        <v>504</v>
      </c>
      <c r="B22" s="8" t="s">
        <v>465</v>
      </c>
      <c r="C22" s="8">
        <v>26.143999999999998</v>
      </c>
      <c r="D22" s="8">
        <v>-80.105000000000004</v>
      </c>
      <c r="E22" s="8">
        <v>26.167999999999999</v>
      </c>
      <c r="F22" s="8">
        <v>-80.099000000000004</v>
      </c>
      <c r="G22" s="8" t="s">
        <v>506</v>
      </c>
      <c r="H22" s="8" t="s">
        <v>508</v>
      </c>
      <c r="I22" s="21">
        <v>41686</v>
      </c>
      <c r="J22" s="8" t="s">
        <v>508</v>
      </c>
      <c r="N22" s="8">
        <v>7</v>
      </c>
      <c r="W22" s="8">
        <v>26</v>
      </c>
      <c r="AX22" s="8">
        <v>71</v>
      </c>
      <c r="BL22" s="19">
        <f t="shared" si="5"/>
        <v>104</v>
      </c>
      <c r="BM22" s="8" t="s">
        <v>513</v>
      </c>
    </row>
    <row r="23" spans="1:65" ht="25.5" x14ac:dyDescent="0.2">
      <c r="A23" s="8" t="s">
        <v>514</v>
      </c>
      <c r="B23" s="8" t="s">
        <v>465</v>
      </c>
      <c r="C23" s="8">
        <v>26.09177</v>
      </c>
      <c r="D23" s="8">
        <v>-80.108090000000004</v>
      </c>
      <c r="E23" s="8">
        <v>26.06061</v>
      </c>
      <c r="F23" s="8">
        <v>-80.111680000000007</v>
      </c>
      <c r="G23" s="8" t="s">
        <v>516</v>
      </c>
      <c r="H23" s="8" t="s">
        <v>517</v>
      </c>
      <c r="I23" s="21">
        <v>41680</v>
      </c>
      <c r="J23" s="8">
        <v>700</v>
      </c>
      <c r="N23" s="8">
        <v>9</v>
      </c>
      <c r="P23" s="8">
        <v>1</v>
      </c>
      <c r="R23" s="8">
        <v>5</v>
      </c>
      <c r="S23" s="8">
        <v>2</v>
      </c>
      <c r="W23" s="8">
        <v>4</v>
      </c>
      <c r="Y23" s="8">
        <v>7</v>
      </c>
      <c r="AA23" s="8">
        <v>4</v>
      </c>
      <c r="AE23" s="8">
        <v>89</v>
      </c>
      <c r="AW23" s="8">
        <v>1</v>
      </c>
      <c r="AX23" s="8">
        <v>5</v>
      </c>
      <c r="BF23" s="8">
        <v>2</v>
      </c>
      <c r="BL23" s="29">
        <f t="shared" ref="BL23:BL25" si="6">SUM(K23:BK23)</f>
        <v>129</v>
      </c>
      <c r="BM23" s="8" t="s">
        <v>533</v>
      </c>
    </row>
    <row r="24" spans="1:65" ht="14.25" x14ac:dyDescent="0.2">
      <c r="A24" s="8" t="s">
        <v>535</v>
      </c>
      <c r="B24" s="8" t="s">
        <v>465</v>
      </c>
      <c r="C24" s="8" t="s">
        <v>537</v>
      </c>
      <c r="D24" s="8" t="s">
        <v>538</v>
      </c>
      <c r="E24" s="8" t="s">
        <v>539</v>
      </c>
      <c r="F24" s="8" t="s">
        <v>540</v>
      </c>
      <c r="G24" s="8" t="s">
        <v>541</v>
      </c>
      <c r="H24" s="8" t="s">
        <v>543</v>
      </c>
      <c r="I24" s="21">
        <v>41679</v>
      </c>
      <c r="J24" s="8">
        <v>718</v>
      </c>
      <c r="AE24" s="8">
        <v>28</v>
      </c>
      <c r="BL24" s="29">
        <f t="shared" si="6"/>
        <v>28</v>
      </c>
      <c r="BM24" s="8" t="s">
        <v>544</v>
      </c>
    </row>
    <row r="25" spans="1:65" ht="25.5" x14ac:dyDescent="0.2">
      <c r="A25" s="8" t="s">
        <v>545</v>
      </c>
      <c r="B25" s="8" t="s">
        <v>465</v>
      </c>
      <c r="C25" s="8">
        <v>26.316300399999999</v>
      </c>
      <c r="D25" s="8">
        <v>-80.075530999999998</v>
      </c>
      <c r="E25" s="8">
        <v>26.2599488</v>
      </c>
      <c r="F25" s="8">
        <v>-80.080300300000005</v>
      </c>
      <c r="G25" s="8" t="s">
        <v>546</v>
      </c>
      <c r="H25" s="8" t="s">
        <v>547</v>
      </c>
      <c r="I25" s="21">
        <v>41679</v>
      </c>
      <c r="J25" s="8">
        <v>915</v>
      </c>
      <c r="AV25" s="8">
        <v>83</v>
      </c>
      <c r="BL25" s="29">
        <f t="shared" si="6"/>
        <v>83</v>
      </c>
      <c r="BM25" s="8" t="s">
        <v>513</v>
      </c>
    </row>
    <row r="26" spans="1:65" ht="51" x14ac:dyDescent="0.2">
      <c r="A26" s="8" t="s">
        <v>549</v>
      </c>
      <c r="B26" s="8" t="s">
        <v>550</v>
      </c>
      <c r="C26" s="8">
        <v>26.910955999999999</v>
      </c>
      <c r="D26" s="8">
        <v>-82.353364999999997</v>
      </c>
      <c r="E26" s="8">
        <v>26.899023</v>
      </c>
      <c r="F26" s="8">
        <v>-82.341192000000007</v>
      </c>
      <c r="G26" s="8" t="s">
        <v>551</v>
      </c>
      <c r="H26" s="8" t="s">
        <v>552</v>
      </c>
      <c r="I26" s="21">
        <v>41682</v>
      </c>
      <c r="J26" s="23">
        <v>0.2986111111111111</v>
      </c>
      <c r="K26" s="8">
        <v>3</v>
      </c>
      <c r="L26" s="8"/>
      <c r="M26" s="8"/>
      <c r="N26" s="8">
        <v>5</v>
      </c>
      <c r="O26" s="8"/>
      <c r="P26" s="8"/>
      <c r="Q26" s="8"/>
      <c r="R26" s="8">
        <v>3</v>
      </c>
      <c r="S26" s="8">
        <v>27</v>
      </c>
      <c r="T26" s="8"/>
      <c r="U26" s="8"/>
      <c r="V26" s="8"/>
      <c r="W26" s="8">
        <v>7</v>
      </c>
      <c r="X26" s="8"/>
      <c r="Y26" s="8">
        <v>11</v>
      </c>
      <c r="Z26" s="8"/>
      <c r="AA26" s="8"/>
      <c r="AB26" s="8"/>
      <c r="AC26" s="8"/>
      <c r="AD26" s="8"/>
      <c r="AE26" s="8">
        <v>8</v>
      </c>
      <c r="AF26" s="8">
        <v>67</v>
      </c>
      <c r="AG26" s="8"/>
      <c r="AH26" s="8"/>
      <c r="AI26" s="8"/>
      <c r="AJ26" s="8"/>
      <c r="AK26" s="8">
        <v>1</v>
      </c>
      <c r="AL26" s="8">
        <v>2</v>
      </c>
      <c r="AM26" s="8"/>
      <c r="AN26" s="8"/>
      <c r="AO26" s="8"/>
      <c r="AP26" s="8"/>
      <c r="AQ26" s="8"/>
      <c r="AR26" s="8"/>
      <c r="AS26" s="8"/>
      <c r="AT26" s="8"/>
      <c r="AU26" s="8"/>
      <c r="AV26" s="8"/>
      <c r="AW26" s="8">
        <v>17</v>
      </c>
      <c r="AX26" s="8">
        <v>5</v>
      </c>
      <c r="AY26" s="8">
        <v>1</v>
      </c>
      <c r="AZ26" s="8"/>
      <c r="BA26" s="8"/>
      <c r="BB26" s="8"/>
      <c r="BC26" s="8">
        <v>1</v>
      </c>
      <c r="BD26" s="8"/>
      <c r="BE26" s="8"/>
      <c r="BF26" s="8">
        <v>13</v>
      </c>
      <c r="BG26" s="8">
        <v>5</v>
      </c>
      <c r="BH26" s="8"/>
      <c r="BI26" s="8"/>
      <c r="BJ26" s="8"/>
      <c r="BK26" s="8"/>
      <c r="BL26" s="19">
        <f t="shared" ref="BL26:BL28" si="7">SUM(K26:BK26)</f>
        <v>176</v>
      </c>
      <c r="BM26" s="8" t="s">
        <v>565</v>
      </c>
    </row>
    <row r="27" spans="1:65" ht="52.5" customHeight="1" x14ac:dyDescent="0.2">
      <c r="A27" s="11" t="s">
        <v>567</v>
      </c>
      <c r="B27" s="11" t="s">
        <v>550</v>
      </c>
      <c r="C27" s="11">
        <v>26.854828000000001</v>
      </c>
      <c r="D27" s="11">
        <v>-82.310214999999999</v>
      </c>
      <c r="E27" s="11">
        <v>26.839278</v>
      </c>
      <c r="F27" s="11">
        <v>-82.298679000000007</v>
      </c>
      <c r="G27" s="11" t="s">
        <v>554</v>
      </c>
      <c r="H27" s="11" t="s">
        <v>552</v>
      </c>
      <c r="I27" s="13">
        <v>41681</v>
      </c>
      <c r="J27" s="27">
        <v>0.41666666666666669</v>
      </c>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v>5</v>
      </c>
      <c r="AM27" s="11"/>
      <c r="AN27" s="11"/>
      <c r="AO27" s="11"/>
      <c r="AP27" s="11"/>
      <c r="AQ27" s="11"/>
      <c r="AR27" s="11"/>
      <c r="AS27" s="11"/>
      <c r="AT27" s="11"/>
      <c r="AU27" s="11"/>
      <c r="AV27" s="11"/>
      <c r="AW27" s="11"/>
      <c r="AX27" s="11">
        <v>68</v>
      </c>
      <c r="AY27" s="11"/>
      <c r="AZ27" s="11"/>
      <c r="BA27" s="11"/>
      <c r="BB27" s="11"/>
      <c r="BC27" s="11"/>
      <c r="BD27" s="11"/>
      <c r="BE27" s="11"/>
      <c r="BF27" s="11">
        <v>9</v>
      </c>
      <c r="BG27" s="11"/>
      <c r="BH27" s="11"/>
      <c r="BI27" s="11"/>
      <c r="BJ27" s="11"/>
      <c r="BK27" s="11"/>
      <c r="BL27" s="19">
        <f t="shared" si="7"/>
        <v>82</v>
      </c>
      <c r="BM27" s="8" t="s">
        <v>594</v>
      </c>
    </row>
    <row r="28" spans="1:65" ht="14.25" x14ac:dyDescent="0.2">
      <c r="A28" s="8" t="s">
        <v>596</v>
      </c>
      <c r="B28" s="8" t="s">
        <v>550</v>
      </c>
      <c r="C28" s="8">
        <v>26.780833000000001</v>
      </c>
      <c r="D28" s="8">
        <v>82.268995000000004</v>
      </c>
      <c r="E28" s="8">
        <v>26.810549999999999</v>
      </c>
      <c r="F28" s="8">
        <v>82.282480000000007</v>
      </c>
      <c r="G28" s="8" t="s">
        <v>602</v>
      </c>
      <c r="H28" s="8" t="s">
        <v>603</v>
      </c>
      <c r="I28" s="21">
        <v>41678</v>
      </c>
      <c r="J28" s="8" t="s">
        <v>604</v>
      </c>
      <c r="K28" s="8"/>
      <c r="L28" s="8"/>
      <c r="M28" s="8"/>
      <c r="N28" s="8">
        <v>49</v>
      </c>
      <c r="O28" s="8"/>
      <c r="P28" s="8"/>
      <c r="Q28" s="8"/>
      <c r="R28" s="8">
        <v>4</v>
      </c>
      <c r="S28" s="8">
        <v>1</v>
      </c>
      <c r="T28" s="8"/>
      <c r="U28" s="8"/>
      <c r="V28" s="8"/>
      <c r="W28" s="8"/>
      <c r="X28" s="8"/>
      <c r="Y28" s="8">
        <v>3</v>
      </c>
      <c r="Z28" s="8"/>
      <c r="AA28" s="8"/>
      <c r="AB28" s="8"/>
      <c r="AC28" s="8"/>
      <c r="AD28" s="8"/>
      <c r="AE28" s="8">
        <v>3</v>
      </c>
      <c r="AF28" s="8">
        <v>12</v>
      </c>
      <c r="AG28" s="8"/>
      <c r="AH28" s="8"/>
      <c r="AI28" s="8"/>
      <c r="AJ28" s="8"/>
      <c r="AK28" s="8"/>
      <c r="AL28" s="8">
        <v>15</v>
      </c>
      <c r="AM28" s="8"/>
      <c r="AN28" s="8"/>
      <c r="AO28" s="8"/>
      <c r="AP28" s="8"/>
      <c r="AQ28" s="8"/>
      <c r="AR28" s="8"/>
      <c r="AS28" s="8"/>
      <c r="AT28" s="8"/>
      <c r="AU28" s="8"/>
      <c r="AV28" s="8"/>
      <c r="AW28" s="8">
        <v>2</v>
      </c>
      <c r="AX28" s="8">
        <v>105</v>
      </c>
      <c r="AY28" s="8"/>
      <c r="AZ28" s="8"/>
      <c r="BA28" s="8"/>
      <c r="BB28" s="8">
        <v>2</v>
      </c>
      <c r="BC28" s="8"/>
      <c r="BD28" s="8"/>
      <c r="BE28" s="8"/>
      <c r="BF28" s="8">
        <v>37</v>
      </c>
      <c r="BG28" s="8">
        <v>15</v>
      </c>
      <c r="BH28" s="8"/>
      <c r="BI28" s="8"/>
      <c r="BJ28" s="8"/>
      <c r="BK28" s="8"/>
      <c r="BL28" s="19">
        <f t="shared" si="7"/>
        <v>248</v>
      </c>
      <c r="BM28" s="8" t="s">
        <v>616</v>
      </c>
    </row>
    <row r="29" spans="1:65" ht="25.5" x14ac:dyDescent="0.2">
      <c r="A29" s="8" t="s">
        <v>617</v>
      </c>
      <c r="B29" s="8" t="s">
        <v>550</v>
      </c>
      <c r="C29" s="8">
        <v>26.895066</v>
      </c>
      <c r="D29" s="8">
        <v>-82.339932000000005</v>
      </c>
      <c r="E29" s="8">
        <v>26.878803000000001</v>
      </c>
      <c r="F29" s="8">
        <v>-82.327878999999996</v>
      </c>
      <c r="G29" s="8" t="s">
        <v>619</v>
      </c>
      <c r="H29" s="8" t="s">
        <v>620</v>
      </c>
      <c r="I29" s="21">
        <v>41677</v>
      </c>
      <c r="J29" s="23">
        <v>0.35416666666666669</v>
      </c>
      <c r="N29" s="8">
        <v>5</v>
      </c>
      <c r="R29" s="8">
        <v>1</v>
      </c>
      <c r="W29" s="8">
        <v>2</v>
      </c>
      <c r="AE29" s="8">
        <v>3</v>
      </c>
      <c r="AF29" s="8">
        <v>1</v>
      </c>
      <c r="AG29" s="8"/>
      <c r="AL29" s="8">
        <v>3</v>
      </c>
      <c r="AV29" s="8">
        <v>35</v>
      </c>
      <c r="AW29" s="8">
        <v>4</v>
      </c>
      <c r="AX29" s="8">
        <v>150</v>
      </c>
      <c r="AY29" s="8">
        <v>15</v>
      </c>
      <c r="BB29" s="8">
        <v>5</v>
      </c>
      <c r="BF29" s="8">
        <v>5</v>
      </c>
      <c r="BG29" s="8">
        <v>17</v>
      </c>
      <c r="BL29" s="18">
        <v>14</v>
      </c>
      <c r="BM29" s="8" t="s">
        <v>634</v>
      </c>
    </row>
    <row r="30" spans="1:65" ht="25.5" x14ac:dyDescent="0.2">
      <c r="A30" s="8" t="s">
        <v>636</v>
      </c>
      <c r="B30" s="8" t="s">
        <v>550</v>
      </c>
      <c r="C30" s="8">
        <v>26.838854999999999</v>
      </c>
      <c r="D30" s="8">
        <v>-82.298387000000005</v>
      </c>
      <c r="E30" s="8">
        <v>26.816030000000001</v>
      </c>
      <c r="F30" s="8">
        <v>-82.281221000000002</v>
      </c>
      <c r="G30" s="8" t="s">
        <v>642</v>
      </c>
      <c r="H30" s="8" t="s">
        <v>643</v>
      </c>
      <c r="I30" s="21">
        <v>41682</v>
      </c>
      <c r="J30" s="23">
        <v>0.32291666666666669</v>
      </c>
      <c r="K30" s="8"/>
      <c r="L30" s="8"/>
      <c r="M30" s="8"/>
      <c r="N30" s="8">
        <v>2</v>
      </c>
      <c r="O30" s="8"/>
      <c r="P30" s="8"/>
      <c r="Q30" s="8"/>
      <c r="R30" s="8"/>
      <c r="S30" s="8"/>
      <c r="T30" s="8"/>
      <c r="U30" s="8"/>
      <c r="V30" s="8"/>
      <c r="W30" s="8">
        <v>1</v>
      </c>
      <c r="X30" s="8"/>
      <c r="Y30" s="8">
        <v>2</v>
      </c>
      <c r="Z30" s="8"/>
      <c r="AA30" s="8"/>
      <c r="AB30" s="8"/>
      <c r="AC30" s="8"/>
      <c r="AD30" s="8"/>
      <c r="AE30" s="8">
        <v>5</v>
      </c>
      <c r="AF30" s="8">
        <v>280</v>
      </c>
      <c r="AG30" s="8"/>
      <c r="AH30" s="8"/>
      <c r="AI30" s="8"/>
      <c r="AJ30" s="8"/>
      <c r="AK30" s="8"/>
      <c r="AL30" s="8"/>
      <c r="AM30" s="8"/>
      <c r="AN30" s="8"/>
      <c r="AO30" s="8"/>
      <c r="AP30" s="8"/>
      <c r="AQ30" s="8"/>
      <c r="AR30" s="8"/>
      <c r="AS30" s="8"/>
      <c r="AT30" s="8"/>
      <c r="AU30" s="8"/>
      <c r="AV30" s="8"/>
      <c r="AW30" s="8">
        <v>29</v>
      </c>
      <c r="AX30" s="8">
        <v>123</v>
      </c>
      <c r="AY30" s="8"/>
      <c r="AZ30" s="8"/>
      <c r="BA30" s="8"/>
      <c r="BB30" s="8">
        <v>2</v>
      </c>
      <c r="BC30" s="8"/>
      <c r="BD30" s="8"/>
      <c r="BE30" s="8"/>
      <c r="BF30" s="8">
        <v>14</v>
      </c>
      <c r="BG30" s="8">
        <v>20</v>
      </c>
      <c r="BH30" s="8"/>
      <c r="BI30" s="8"/>
      <c r="BJ30" s="8">
        <v>4</v>
      </c>
      <c r="BK30" s="8"/>
      <c r="BL30" s="18">
        <v>378</v>
      </c>
      <c r="BM30" s="8" t="s">
        <v>661</v>
      </c>
    </row>
    <row r="31" spans="1:65" ht="14.25" x14ac:dyDescent="0.2">
      <c r="A31" s="8" t="s">
        <v>663</v>
      </c>
      <c r="B31" s="8" t="s">
        <v>550</v>
      </c>
      <c r="C31" s="8">
        <v>26.824646000000001</v>
      </c>
      <c r="D31" s="8">
        <v>-82.272060999999994</v>
      </c>
      <c r="E31" s="8">
        <v>26.824646000000001</v>
      </c>
      <c r="F31" s="8">
        <v>-82.272060999999994</v>
      </c>
      <c r="G31" s="8" t="s">
        <v>665</v>
      </c>
      <c r="H31" s="8" t="s">
        <v>603</v>
      </c>
      <c r="I31" s="21">
        <v>41684</v>
      </c>
      <c r="J31" s="23">
        <v>0.70833333333333337</v>
      </c>
      <c r="K31" s="8">
        <v>50</v>
      </c>
      <c r="L31" s="8"/>
      <c r="M31" s="8"/>
      <c r="N31" s="8">
        <v>12</v>
      </c>
      <c r="O31" s="8">
        <v>1</v>
      </c>
      <c r="P31" s="8"/>
      <c r="Q31" s="8"/>
      <c r="R31" s="8">
        <v>28</v>
      </c>
      <c r="S31" s="8">
        <v>15</v>
      </c>
      <c r="T31" s="8"/>
      <c r="U31" s="8"/>
      <c r="V31" s="8"/>
      <c r="W31" s="8"/>
      <c r="X31" s="8"/>
      <c r="Y31" s="8">
        <v>3</v>
      </c>
      <c r="Z31" s="8"/>
      <c r="AA31" s="8"/>
      <c r="AB31" s="8"/>
      <c r="AC31" s="8"/>
      <c r="AD31" s="8"/>
      <c r="AE31" s="8">
        <v>30</v>
      </c>
      <c r="AF31" s="8">
        <v>50</v>
      </c>
      <c r="AG31" s="8">
        <v>10</v>
      </c>
      <c r="AH31" s="8"/>
      <c r="AI31" s="8">
        <v>6</v>
      </c>
      <c r="AJ31" s="8">
        <v>1</v>
      </c>
      <c r="AK31" s="8"/>
      <c r="AL31" s="8">
        <v>10</v>
      </c>
      <c r="AM31" s="8">
        <v>25</v>
      </c>
      <c r="AN31" s="8"/>
      <c r="AO31" s="8"/>
      <c r="AP31" s="8"/>
      <c r="AQ31" s="8"/>
      <c r="AR31" s="8"/>
      <c r="AS31" s="8"/>
      <c r="AT31" s="8"/>
      <c r="AU31" s="8"/>
      <c r="AV31" s="8"/>
      <c r="AW31" s="8"/>
      <c r="AX31" s="8">
        <v>20</v>
      </c>
      <c r="AY31" s="8">
        <v>20</v>
      </c>
      <c r="AZ31" s="8"/>
      <c r="BA31" s="8">
        <v>20</v>
      </c>
      <c r="BB31" s="8"/>
      <c r="BC31" s="8"/>
      <c r="BD31" s="8"/>
      <c r="BE31" s="8"/>
      <c r="BF31" s="8">
        <v>15</v>
      </c>
      <c r="BG31" s="8"/>
      <c r="BH31" s="8"/>
      <c r="BI31" s="8"/>
      <c r="BJ31" s="8"/>
      <c r="BK31" s="8"/>
      <c r="BL31" s="34">
        <v>14</v>
      </c>
      <c r="BM31" s="8" t="s">
        <v>681</v>
      </c>
    </row>
    <row r="32" spans="1:65" ht="14.25" x14ac:dyDescent="0.2">
      <c r="A32" s="11" t="s">
        <v>636</v>
      </c>
      <c r="B32" s="8" t="s">
        <v>550</v>
      </c>
      <c r="C32" s="11">
        <v>26.838854999999999</v>
      </c>
      <c r="D32" s="11">
        <v>-82.298387000000005</v>
      </c>
      <c r="E32" s="11">
        <v>26.816030000000001</v>
      </c>
      <c r="F32" s="11">
        <v>-82.281221000000002</v>
      </c>
      <c r="G32" s="11" t="s">
        <v>683</v>
      </c>
      <c r="H32" s="8" t="s">
        <v>643</v>
      </c>
      <c r="I32" s="13">
        <v>41682</v>
      </c>
      <c r="J32" s="8">
        <v>745</v>
      </c>
      <c r="AE32" s="8">
        <v>5</v>
      </c>
      <c r="AF32" s="8">
        <v>280</v>
      </c>
      <c r="AW32" s="8">
        <v>29</v>
      </c>
      <c r="AX32" s="8">
        <v>123</v>
      </c>
      <c r="BB32" s="8">
        <v>2</v>
      </c>
      <c r="BC32" s="8">
        <v>1</v>
      </c>
      <c r="BF32" s="8">
        <v>14</v>
      </c>
      <c r="BG32" s="8">
        <v>20</v>
      </c>
      <c r="BJ32" s="8">
        <v>4</v>
      </c>
      <c r="BL32" s="29">
        <f>SUM(K32:BK32)</f>
        <v>478</v>
      </c>
      <c r="BM32" s="8" t="s">
        <v>513</v>
      </c>
    </row>
    <row r="33" spans="1:65" ht="25.5" x14ac:dyDescent="0.2">
      <c r="A33" s="8" t="s">
        <v>700</v>
      </c>
      <c r="B33" s="8" t="s">
        <v>701</v>
      </c>
      <c r="C33" s="8">
        <v>29.01304</v>
      </c>
      <c r="D33" s="8">
        <v>-82.662120000000002</v>
      </c>
      <c r="G33" s="8" t="s">
        <v>703</v>
      </c>
      <c r="H33" s="8" t="s">
        <v>704</v>
      </c>
      <c r="I33" s="21">
        <v>41680</v>
      </c>
      <c r="J33" s="8">
        <v>957</v>
      </c>
      <c r="N33" s="8">
        <v>55</v>
      </c>
      <c r="P33" s="8">
        <v>59</v>
      </c>
      <c r="R33" s="8">
        <v>621</v>
      </c>
      <c r="W33" s="8">
        <v>4</v>
      </c>
      <c r="X33" s="8">
        <v>30</v>
      </c>
      <c r="Y33" s="8">
        <v>79</v>
      </c>
      <c r="AE33" s="8">
        <v>312</v>
      </c>
      <c r="AF33" s="8">
        <v>30</v>
      </c>
      <c r="AI33" s="8">
        <v>97</v>
      </c>
      <c r="AJ33" s="8">
        <v>317</v>
      </c>
      <c r="AL33" s="8">
        <v>33</v>
      </c>
      <c r="AP33" s="8">
        <v>5</v>
      </c>
      <c r="AW33" s="8">
        <v>196</v>
      </c>
      <c r="AX33" s="8">
        <v>62</v>
      </c>
      <c r="BC33" s="8">
        <v>1</v>
      </c>
      <c r="BD33" s="8">
        <v>213</v>
      </c>
      <c r="BF33" s="8">
        <v>93</v>
      </c>
      <c r="BL33" s="29"/>
      <c r="BM33" s="8" t="s">
        <v>711</v>
      </c>
    </row>
    <row r="34" spans="1:65" ht="25.5" x14ac:dyDescent="0.2">
      <c r="A34" s="11" t="s">
        <v>402</v>
      </c>
      <c r="B34" s="11" t="s">
        <v>712</v>
      </c>
      <c r="C34" s="24">
        <v>25.989172</v>
      </c>
      <c r="D34" s="24">
        <v>-81.749735000000001</v>
      </c>
      <c r="E34" s="24">
        <v>26.091757999999999</v>
      </c>
      <c r="F34" s="24">
        <v>-81.801919999999996</v>
      </c>
      <c r="G34" s="11" t="s">
        <v>403</v>
      </c>
      <c r="H34" s="11" t="s">
        <v>715</v>
      </c>
      <c r="I34" s="13">
        <v>41681</v>
      </c>
      <c r="J34" s="27">
        <v>0.41666666666666669</v>
      </c>
      <c r="K34" s="11"/>
      <c r="L34" s="8"/>
      <c r="M34" s="8"/>
      <c r="N34" s="11">
        <v>136</v>
      </c>
      <c r="O34" s="8"/>
      <c r="P34" s="8"/>
      <c r="Q34" s="8"/>
      <c r="R34" s="8">
        <v>28</v>
      </c>
      <c r="S34" s="8"/>
      <c r="T34" s="8"/>
      <c r="U34" s="8"/>
      <c r="V34" s="8"/>
      <c r="W34" s="8">
        <v>42</v>
      </c>
      <c r="X34" s="11"/>
      <c r="Y34" s="8">
        <v>2</v>
      </c>
      <c r="Z34" s="8"/>
      <c r="AA34" s="8"/>
      <c r="AB34" s="8"/>
      <c r="AC34" s="8"/>
      <c r="AD34" s="11"/>
      <c r="AE34" s="8">
        <v>18</v>
      </c>
      <c r="AF34" s="8">
        <v>189</v>
      </c>
      <c r="AG34" s="8">
        <v>2</v>
      </c>
      <c r="AH34" s="8"/>
      <c r="AI34" s="11"/>
      <c r="AJ34" s="8"/>
      <c r="AK34" s="8"/>
      <c r="AL34" s="8">
        <v>46</v>
      </c>
      <c r="AM34" s="8">
        <v>35</v>
      </c>
      <c r="AN34" s="8"/>
      <c r="AO34" s="8"/>
      <c r="AP34" s="8"/>
      <c r="AQ34" s="8"/>
      <c r="AR34" s="8"/>
      <c r="AS34" s="8"/>
      <c r="AT34" s="8"/>
      <c r="AU34" s="8"/>
      <c r="AV34" s="8">
        <v>4</v>
      </c>
      <c r="AW34" s="11">
        <v>16</v>
      </c>
      <c r="AX34" s="8">
        <v>201</v>
      </c>
      <c r="AY34" s="8">
        <v>14</v>
      </c>
      <c r="AZ34" s="8"/>
      <c r="BA34" s="8">
        <v>8</v>
      </c>
      <c r="BB34" s="8"/>
      <c r="BC34" s="8"/>
      <c r="BD34" s="8"/>
      <c r="BE34" s="8"/>
      <c r="BF34" s="8">
        <v>52</v>
      </c>
      <c r="BG34" s="8">
        <v>2</v>
      </c>
      <c r="BH34" s="8"/>
      <c r="BI34" s="8"/>
      <c r="BJ34" s="8"/>
      <c r="BK34" s="8"/>
      <c r="BL34" s="19">
        <f t="shared" ref="BL34:BL38" si="8">SUM(K34:BK34)</f>
        <v>795</v>
      </c>
      <c r="BM34" s="11" t="s">
        <v>720</v>
      </c>
    </row>
    <row r="35" spans="1:65" ht="34.5" customHeight="1" x14ac:dyDescent="0.2">
      <c r="A35" s="11" t="s">
        <v>447</v>
      </c>
      <c r="B35" s="11" t="s">
        <v>712</v>
      </c>
      <c r="C35" s="11">
        <v>25.901389999999999</v>
      </c>
      <c r="D35" s="11">
        <v>-81.715789000000001</v>
      </c>
      <c r="E35" s="11">
        <v>25.871003999999999</v>
      </c>
      <c r="F35" s="11">
        <v>-81.696949000000004</v>
      </c>
      <c r="G35" s="11" t="s">
        <v>403</v>
      </c>
      <c r="H35" s="11" t="s">
        <v>715</v>
      </c>
      <c r="I35" s="13">
        <v>41680</v>
      </c>
      <c r="J35" s="27">
        <v>0.44791666666666669</v>
      </c>
      <c r="K35" s="11"/>
      <c r="L35" s="11"/>
      <c r="M35" s="11"/>
      <c r="N35" s="11">
        <v>4</v>
      </c>
      <c r="O35" s="11"/>
      <c r="P35" s="11"/>
      <c r="Q35" s="11"/>
      <c r="R35" s="11"/>
      <c r="S35" s="11"/>
      <c r="T35" s="11"/>
      <c r="U35" s="11"/>
      <c r="V35" s="11"/>
      <c r="W35" s="11"/>
      <c r="X35" s="11"/>
      <c r="Y35" s="11"/>
      <c r="Z35" s="11"/>
      <c r="AA35" s="11"/>
      <c r="AB35" s="11"/>
      <c r="AC35" s="11"/>
      <c r="AD35" s="11"/>
      <c r="AE35" s="11">
        <v>3</v>
      </c>
      <c r="AF35" s="11"/>
      <c r="AG35" s="11"/>
      <c r="AH35" s="11"/>
      <c r="AI35" s="11"/>
      <c r="AJ35" s="11"/>
      <c r="AK35" s="11"/>
      <c r="AL35" s="11">
        <v>3</v>
      </c>
      <c r="AM35" s="11">
        <v>14</v>
      </c>
      <c r="AN35" s="11"/>
      <c r="AO35" s="11"/>
      <c r="AP35" s="11">
        <v>11</v>
      </c>
      <c r="AQ35" s="11"/>
      <c r="AR35" s="11"/>
      <c r="AS35" s="11"/>
      <c r="AT35" s="11">
        <v>15</v>
      </c>
      <c r="AU35" s="11">
        <v>4</v>
      </c>
      <c r="AV35" s="11"/>
      <c r="AW35" s="11">
        <v>1</v>
      </c>
      <c r="AX35" s="11">
        <v>22</v>
      </c>
      <c r="AY35" s="11">
        <v>48</v>
      </c>
      <c r="AZ35" s="11"/>
      <c r="BA35" s="11">
        <v>61</v>
      </c>
      <c r="BB35" s="11"/>
      <c r="BC35" s="11"/>
      <c r="BD35" s="11">
        <v>4</v>
      </c>
      <c r="BE35" s="11"/>
      <c r="BF35" s="11">
        <v>238</v>
      </c>
      <c r="BG35" s="11"/>
      <c r="BH35" s="11"/>
      <c r="BI35" s="11"/>
      <c r="BJ35" s="11"/>
      <c r="BK35" s="11"/>
      <c r="BL35" s="19">
        <f t="shared" si="8"/>
        <v>428</v>
      </c>
      <c r="BM35" s="11" t="s">
        <v>730</v>
      </c>
    </row>
    <row r="36" spans="1:65" ht="26.25" customHeight="1" x14ac:dyDescent="0.2">
      <c r="A36" s="11" t="s">
        <v>492</v>
      </c>
      <c r="B36" s="11" t="s">
        <v>712</v>
      </c>
      <c r="C36" s="11">
        <v>25.870115999999999</v>
      </c>
      <c r="D36" s="11">
        <v>-81.696884999999995</v>
      </c>
      <c r="E36" s="11">
        <v>25.844512000000002</v>
      </c>
      <c r="F36" s="11" t="s">
        <v>734</v>
      </c>
      <c r="G36" s="11" t="s">
        <v>403</v>
      </c>
      <c r="H36" s="11" t="s">
        <v>715</v>
      </c>
      <c r="I36" s="13">
        <v>41680</v>
      </c>
      <c r="J36" s="27">
        <v>0.52083333333333337</v>
      </c>
      <c r="K36" s="8"/>
      <c r="L36" s="8"/>
      <c r="M36" s="8"/>
      <c r="N36" s="11"/>
      <c r="O36" s="8"/>
      <c r="P36" s="8"/>
      <c r="Q36" s="8"/>
      <c r="R36" s="8"/>
      <c r="S36" s="8"/>
      <c r="T36" s="8"/>
      <c r="U36" s="8"/>
      <c r="V36" s="8"/>
      <c r="W36" s="8"/>
      <c r="X36" s="8"/>
      <c r="Y36" s="8"/>
      <c r="Z36" s="8"/>
      <c r="AA36" s="8"/>
      <c r="AB36" s="8"/>
      <c r="AC36" s="8"/>
      <c r="AD36" s="8"/>
      <c r="AE36" s="8">
        <v>1</v>
      </c>
      <c r="AF36" s="8"/>
      <c r="AG36" s="11"/>
      <c r="AH36" s="8"/>
      <c r="AI36" s="8">
        <v>63</v>
      </c>
      <c r="AJ36" s="8"/>
      <c r="AK36" s="8"/>
      <c r="AL36" s="11">
        <v>43</v>
      </c>
      <c r="AM36" s="8">
        <v>105</v>
      </c>
      <c r="AN36" s="11"/>
      <c r="AO36" s="11"/>
      <c r="AP36" s="8">
        <v>2</v>
      </c>
      <c r="AQ36" s="8"/>
      <c r="AR36" s="8"/>
      <c r="AS36" s="8"/>
      <c r="AT36" s="8"/>
      <c r="AU36" s="8">
        <v>9</v>
      </c>
      <c r="AV36" s="11"/>
      <c r="AW36" s="11"/>
      <c r="AX36" s="11">
        <v>12</v>
      </c>
      <c r="AY36" s="11">
        <v>59</v>
      </c>
      <c r="AZ36" s="11"/>
      <c r="BA36" s="11"/>
      <c r="BB36" s="8"/>
      <c r="BC36" s="8">
        <v>1</v>
      </c>
      <c r="BD36" s="8">
        <v>42</v>
      </c>
      <c r="BE36" s="8"/>
      <c r="BF36" s="8"/>
      <c r="BG36" s="8">
        <v>27</v>
      </c>
      <c r="BH36" s="8"/>
      <c r="BI36" s="8"/>
      <c r="BJ36" s="8"/>
      <c r="BK36" s="8"/>
      <c r="BL36" s="19">
        <f t="shared" si="8"/>
        <v>364</v>
      </c>
      <c r="BM36" s="11" t="s">
        <v>750</v>
      </c>
    </row>
    <row r="37" spans="1:65" ht="31.5" customHeight="1" x14ac:dyDescent="0.2">
      <c r="A37" s="11" t="s">
        <v>500</v>
      </c>
      <c r="B37" s="11" t="s">
        <v>712</v>
      </c>
      <c r="C37" s="11">
        <v>25.846703999999999</v>
      </c>
      <c r="D37" s="11">
        <v>-81.663646999999997</v>
      </c>
      <c r="E37" s="11">
        <v>25.839673999999999</v>
      </c>
      <c r="F37" s="11">
        <v>-81.665234999999996</v>
      </c>
      <c r="G37" s="11" t="s">
        <v>403</v>
      </c>
      <c r="H37" s="11" t="s">
        <v>715</v>
      </c>
      <c r="I37" s="13">
        <v>41680</v>
      </c>
      <c r="J37" s="27">
        <v>0.57291666666666663</v>
      </c>
      <c r="K37" s="8"/>
      <c r="L37" s="8"/>
      <c r="M37" s="8"/>
      <c r="N37" s="8">
        <v>29</v>
      </c>
      <c r="O37" s="8"/>
      <c r="P37" s="8"/>
      <c r="Q37" s="8"/>
      <c r="R37" s="8">
        <v>11</v>
      </c>
      <c r="S37" s="8"/>
      <c r="T37" s="8"/>
      <c r="U37" s="8"/>
      <c r="V37" s="8"/>
      <c r="W37" s="8">
        <v>3</v>
      </c>
      <c r="X37" s="8"/>
      <c r="Y37" s="8">
        <v>3</v>
      </c>
      <c r="Z37" s="8"/>
      <c r="AA37" s="8"/>
      <c r="AB37" s="8"/>
      <c r="AC37" s="8"/>
      <c r="AD37" s="8"/>
      <c r="AE37" s="8">
        <v>4</v>
      </c>
      <c r="AF37" s="8">
        <v>59</v>
      </c>
      <c r="AG37" s="11"/>
      <c r="AH37" s="8"/>
      <c r="AI37" s="11"/>
      <c r="AJ37" s="8"/>
      <c r="AK37" s="8"/>
      <c r="AL37" s="11"/>
      <c r="AM37" s="8"/>
      <c r="AN37" s="11"/>
      <c r="AO37" s="8"/>
      <c r="AP37" s="8"/>
      <c r="AQ37" s="8"/>
      <c r="AR37" s="8"/>
      <c r="AS37" s="8"/>
      <c r="AT37" s="8"/>
      <c r="AU37" s="8"/>
      <c r="AV37" s="11"/>
      <c r="AW37" s="8"/>
      <c r="AX37" s="11"/>
      <c r="AY37" s="11"/>
      <c r="AZ37" s="8"/>
      <c r="BA37" s="8"/>
      <c r="BB37" s="8"/>
      <c r="BC37" s="8"/>
      <c r="BD37" s="8"/>
      <c r="BE37" s="8"/>
      <c r="BF37" s="8"/>
      <c r="BG37" s="8"/>
      <c r="BH37" s="8"/>
      <c r="BI37" s="11"/>
      <c r="BJ37" s="8"/>
      <c r="BK37" s="8"/>
      <c r="BL37" s="19">
        <f t="shared" si="8"/>
        <v>109</v>
      </c>
      <c r="BM37" s="11" t="s">
        <v>763</v>
      </c>
    </row>
    <row r="38" spans="1:65" ht="28.5" customHeight="1" x14ac:dyDescent="0.2">
      <c r="A38" s="11" t="s">
        <v>571</v>
      </c>
      <c r="B38" s="11" t="s">
        <v>712</v>
      </c>
      <c r="C38" s="11" t="s">
        <v>764</v>
      </c>
      <c r="D38" s="11" t="s">
        <v>765</v>
      </c>
      <c r="E38" s="11" t="s">
        <v>766</v>
      </c>
      <c r="F38" s="11" t="s">
        <v>767</v>
      </c>
      <c r="G38" s="11" t="s">
        <v>572</v>
      </c>
      <c r="H38" s="11" t="s">
        <v>768</v>
      </c>
      <c r="I38" s="13">
        <v>41684</v>
      </c>
      <c r="J38" s="27">
        <v>0.4152777777777778</v>
      </c>
      <c r="K38" s="11">
        <v>5</v>
      </c>
      <c r="L38" s="11"/>
      <c r="M38" s="11"/>
      <c r="N38" s="11">
        <v>2</v>
      </c>
      <c r="O38" s="11"/>
      <c r="P38" s="11"/>
      <c r="Q38" s="11"/>
      <c r="R38" s="11"/>
      <c r="S38" s="11"/>
      <c r="T38" s="11"/>
      <c r="U38" s="11"/>
      <c r="V38" s="11"/>
      <c r="W38" s="11"/>
      <c r="X38" s="11"/>
      <c r="Y38" s="11">
        <v>13</v>
      </c>
      <c r="Z38" s="11"/>
      <c r="AA38" s="11"/>
      <c r="AB38" s="11"/>
      <c r="AC38" s="11"/>
      <c r="AD38" s="11"/>
      <c r="AE38" s="11">
        <v>10</v>
      </c>
      <c r="AF38" s="11">
        <v>93</v>
      </c>
      <c r="AG38" s="11">
        <v>3</v>
      </c>
      <c r="AH38" s="11"/>
      <c r="AI38" s="11"/>
      <c r="AJ38" s="11"/>
      <c r="AK38" s="11"/>
      <c r="AL38" s="11"/>
      <c r="AM38" s="11"/>
      <c r="AN38" s="11"/>
      <c r="AO38" s="11"/>
      <c r="AP38" s="11"/>
      <c r="AQ38" s="11"/>
      <c r="AR38" s="11"/>
      <c r="AS38" s="11"/>
      <c r="AT38" s="11"/>
      <c r="AU38" s="11"/>
      <c r="AV38" s="11"/>
      <c r="AW38" s="11">
        <v>8</v>
      </c>
      <c r="AX38" s="11">
        <v>45</v>
      </c>
      <c r="AY38" s="11"/>
      <c r="AZ38" s="11"/>
      <c r="BA38" s="11"/>
      <c r="BB38" s="11"/>
      <c r="BC38" s="11"/>
      <c r="BD38" s="11"/>
      <c r="BE38" s="11"/>
      <c r="BF38" s="11">
        <v>6</v>
      </c>
      <c r="BG38" s="11"/>
      <c r="BH38" s="11"/>
      <c r="BI38" s="11"/>
      <c r="BJ38" s="11"/>
      <c r="BK38" s="11"/>
      <c r="BL38" s="19">
        <f t="shared" si="8"/>
        <v>185</v>
      </c>
      <c r="BM38" s="11" t="s">
        <v>774</v>
      </c>
    </row>
    <row r="39" spans="1:65" ht="25.5" x14ac:dyDescent="0.2">
      <c r="A39" s="8" t="s">
        <v>761</v>
      </c>
      <c r="B39" s="8" t="s">
        <v>712</v>
      </c>
      <c r="C39" s="8">
        <v>25.947600000000001</v>
      </c>
      <c r="D39" s="8">
        <v>-81.744029999999995</v>
      </c>
      <c r="E39" s="8">
        <v>25.96808</v>
      </c>
      <c r="F39" s="8">
        <v>-81.745159999999998</v>
      </c>
      <c r="G39" s="8" t="s">
        <v>762</v>
      </c>
      <c r="H39" s="8" t="s">
        <v>776</v>
      </c>
      <c r="I39" s="21">
        <v>41680</v>
      </c>
      <c r="J39" s="23">
        <v>0.41666666666666669</v>
      </c>
      <c r="N39" s="8">
        <v>58</v>
      </c>
      <c r="P39" s="8">
        <v>1</v>
      </c>
      <c r="R39" s="8">
        <v>20</v>
      </c>
      <c r="W39" s="8">
        <v>7</v>
      </c>
      <c r="Y39" s="8">
        <v>1</v>
      </c>
      <c r="AF39" s="8">
        <v>17</v>
      </c>
      <c r="AI39" s="8">
        <v>1</v>
      </c>
      <c r="AL39" s="8">
        <v>71</v>
      </c>
      <c r="AM39" s="8">
        <v>2400</v>
      </c>
      <c r="AP39" s="8">
        <v>96</v>
      </c>
      <c r="AQ39" s="8">
        <v>3</v>
      </c>
      <c r="AU39" s="8">
        <v>5</v>
      </c>
      <c r="AW39" s="8">
        <v>13</v>
      </c>
      <c r="AX39" s="8">
        <v>220</v>
      </c>
      <c r="AY39" s="8">
        <v>5</v>
      </c>
      <c r="BA39" s="8">
        <v>86</v>
      </c>
      <c r="BB39" s="8">
        <v>10</v>
      </c>
      <c r="BC39" s="8">
        <v>2</v>
      </c>
      <c r="BD39" s="8">
        <v>7</v>
      </c>
      <c r="BF39" s="8">
        <v>1</v>
      </c>
      <c r="BG39" s="8">
        <v>92</v>
      </c>
      <c r="BL39" s="29">
        <f t="shared" ref="BL39:BL40" si="9">SUM(K39:BK39)</f>
        <v>3116</v>
      </c>
      <c r="BM39" s="8" t="s">
        <v>784</v>
      </c>
    </row>
    <row r="40" spans="1:65" ht="25.5" x14ac:dyDescent="0.2">
      <c r="A40" s="8" t="s">
        <v>780</v>
      </c>
      <c r="B40" s="8" t="s">
        <v>785</v>
      </c>
      <c r="C40" s="8">
        <v>25.695066000000001</v>
      </c>
      <c r="D40" s="8">
        <v>-81.356700000000004</v>
      </c>
      <c r="E40" s="8">
        <v>25.873650000000001</v>
      </c>
      <c r="F40" s="8">
        <v>-81.577399999999997</v>
      </c>
      <c r="G40" s="8" t="s">
        <v>488</v>
      </c>
      <c r="H40" s="8" t="s">
        <v>776</v>
      </c>
      <c r="I40" s="21">
        <v>41680</v>
      </c>
      <c r="J40" s="23">
        <v>0.61805555555555558</v>
      </c>
      <c r="K40" s="8">
        <v>1</v>
      </c>
      <c r="N40" s="8">
        <v>38</v>
      </c>
      <c r="R40" s="8">
        <v>105</v>
      </c>
      <c r="W40" s="8">
        <v>19</v>
      </c>
      <c r="AF40" s="8">
        <v>436</v>
      </c>
      <c r="AI40" s="8">
        <v>362</v>
      </c>
      <c r="AL40" s="8">
        <v>12</v>
      </c>
      <c r="AW40" s="8">
        <v>4</v>
      </c>
      <c r="AX40" s="8">
        <v>150</v>
      </c>
      <c r="BA40" s="8">
        <v>10</v>
      </c>
      <c r="BJ40" s="8">
        <v>20</v>
      </c>
      <c r="BL40" s="29">
        <f t="shared" si="9"/>
        <v>1157</v>
      </c>
      <c r="BM40" s="8" t="s">
        <v>784</v>
      </c>
    </row>
    <row r="41" spans="1:65" ht="14.25" x14ac:dyDescent="0.2">
      <c r="A41" s="8" t="s">
        <v>349</v>
      </c>
      <c r="B41" s="8" t="s">
        <v>792</v>
      </c>
      <c r="C41" s="8">
        <v>30.2546</v>
      </c>
      <c r="D41" s="8">
        <v>-81.243600000000001</v>
      </c>
      <c r="E41" s="8">
        <v>30.291599999999999</v>
      </c>
      <c r="F41" s="8">
        <v>-81.245000000000005</v>
      </c>
      <c r="G41" s="11" t="s">
        <v>793</v>
      </c>
      <c r="H41" s="11" t="s">
        <v>794</v>
      </c>
      <c r="I41" s="21">
        <v>41681</v>
      </c>
      <c r="J41" s="23">
        <v>0.47083333333333333</v>
      </c>
      <c r="K41" s="8"/>
      <c r="L41" s="8">
        <v>8</v>
      </c>
      <c r="M41" s="8"/>
      <c r="N41" s="8">
        <v>28</v>
      </c>
      <c r="O41" s="8"/>
      <c r="P41" s="8"/>
      <c r="Q41" s="8"/>
      <c r="R41" s="8">
        <v>20</v>
      </c>
      <c r="S41" s="8">
        <v>138</v>
      </c>
      <c r="T41" s="8"/>
      <c r="U41" s="8">
        <v>1</v>
      </c>
      <c r="V41" s="8">
        <v>9</v>
      </c>
      <c r="W41" s="8">
        <v>14</v>
      </c>
      <c r="X41" s="8">
        <v>9</v>
      </c>
      <c r="Y41" s="8">
        <v>382</v>
      </c>
      <c r="Z41" s="8">
        <v>2</v>
      </c>
      <c r="AA41" s="8"/>
      <c r="AB41" s="8"/>
      <c r="AC41" s="8"/>
      <c r="AD41" s="8"/>
      <c r="AE41" s="8">
        <v>40</v>
      </c>
      <c r="AF41" s="8">
        <v>4</v>
      </c>
      <c r="AG41" s="8"/>
      <c r="AH41" s="8"/>
      <c r="AI41" s="8"/>
      <c r="AJ41" s="8"/>
      <c r="AK41" s="8"/>
      <c r="AL41" s="8">
        <v>5</v>
      </c>
      <c r="AM41" s="8">
        <v>136</v>
      </c>
      <c r="AN41" s="8"/>
      <c r="AO41" s="8"/>
      <c r="AP41" s="8"/>
      <c r="AQ41" s="8"/>
      <c r="AS41" s="8"/>
      <c r="AT41" s="8"/>
      <c r="AU41" s="8">
        <v>9</v>
      </c>
      <c r="AV41" s="8">
        <v>9</v>
      </c>
      <c r="AW41" s="8">
        <v>6</v>
      </c>
      <c r="AX41" s="8">
        <v>8</v>
      </c>
      <c r="AY41" s="8"/>
      <c r="AZ41" s="8"/>
      <c r="BA41" s="8"/>
      <c r="BB41" s="8"/>
      <c r="BC41" s="8"/>
      <c r="BD41" s="8"/>
      <c r="BE41" s="8"/>
      <c r="BF41" s="8">
        <v>4</v>
      </c>
      <c r="BG41" s="8"/>
      <c r="BH41" s="8"/>
      <c r="BI41" s="8"/>
      <c r="BJ41" s="8"/>
      <c r="BL41" s="19">
        <f t="shared" ref="BL41:BL42" si="10">SUM(K41:BK41)</f>
        <v>832</v>
      </c>
    </row>
    <row r="42" spans="1:65" ht="25.5" x14ac:dyDescent="0.2">
      <c r="A42" s="11" t="s">
        <v>580</v>
      </c>
      <c r="B42" s="11" t="s">
        <v>792</v>
      </c>
      <c r="C42" s="11">
        <v>30.234999999999999</v>
      </c>
      <c r="D42" s="11">
        <v>-81.253900000000002</v>
      </c>
      <c r="E42" s="11">
        <v>30.224499999999999</v>
      </c>
      <c r="F42" s="11">
        <v>-81.261700000000005</v>
      </c>
      <c r="G42" s="11" t="s">
        <v>821</v>
      </c>
      <c r="H42" s="11" t="s">
        <v>823</v>
      </c>
      <c r="I42" s="13">
        <v>41684</v>
      </c>
      <c r="J42" s="27">
        <v>0.47638888888888886</v>
      </c>
      <c r="K42" s="8"/>
      <c r="L42" s="8">
        <v>7</v>
      </c>
      <c r="M42" s="8"/>
      <c r="N42" s="8">
        <v>25</v>
      </c>
      <c r="O42" s="8"/>
      <c r="P42" s="8"/>
      <c r="Q42" s="8"/>
      <c r="R42" s="8">
        <v>40</v>
      </c>
      <c r="S42" s="8">
        <v>3</v>
      </c>
      <c r="T42" s="8"/>
      <c r="U42" s="8"/>
      <c r="V42" s="8">
        <v>6</v>
      </c>
      <c r="W42" s="8">
        <v>4</v>
      </c>
      <c r="X42" s="8"/>
      <c r="Y42" s="8">
        <v>27</v>
      </c>
      <c r="Z42" s="8">
        <v>1</v>
      </c>
      <c r="AA42" s="8"/>
      <c r="AB42" s="8"/>
      <c r="AC42" s="8"/>
      <c r="AD42" s="11"/>
      <c r="AE42" s="8">
        <v>58</v>
      </c>
      <c r="AF42" s="8"/>
      <c r="AG42" s="8"/>
      <c r="AH42" s="8"/>
      <c r="AI42" s="11"/>
      <c r="AJ42" s="8"/>
      <c r="AK42" s="8"/>
      <c r="AL42" s="11">
        <v>2</v>
      </c>
      <c r="AM42" s="8">
        <v>65</v>
      </c>
      <c r="AN42" s="11"/>
      <c r="AO42" s="8"/>
      <c r="AP42" s="8"/>
      <c r="AQ42" s="8"/>
      <c r="AR42" s="8"/>
      <c r="AS42" s="8"/>
      <c r="AT42" s="8"/>
      <c r="AU42" s="8"/>
      <c r="AV42" s="8"/>
      <c r="AW42" s="8">
        <v>6</v>
      </c>
      <c r="AX42" s="8"/>
      <c r="AY42" s="8"/>
      <c r="AZ42" s="8"/>
      <c r="BA42" s="8"/>
      <c r="BB42" s="8"/>
      <c r="BC42" s="8"/>
      <c r="BD42" s="8"/>
      <c r="BE42" s="8"/>
      <c r="BF42" s="8"/>
      <c r="BG42" s="8"/>
      <c r="BH42" s="11"/>
      <c r="BI42" s="8"/>
      <c r="BJ42" s="8"/>
      <c r="BK42" s="8">
        <v>1</v>
      </c>
      <c r="BL42" s="19">
        <f t="shared" si="10"/>
        <v>245</v>
      </c>
      <c r="BM42" s="14"/>
    </row>
    <row r="43" spans="1:65" ht="38.25" x14ac:dyDescent="0.2">
      <c r="A43" s="8" t="s">
        <v>836</v>
      </c>
      <c r="B43" s="8" t="s">
        <v>792</v>
      </c>
      <c r="C43" s="8">
        <v>30.409800000000001</v>
      </c>
      <c r="D43" s="8">
        <v>-81.532300000000006</v>
      </c>
      <c r="E43" s="8">
        <v>30.408200000000001</v>
      </c>
      <c r="F43" s="8">
        <v>-81.5227</v>
      </c>
      <c r="G43" s="8" t="s">
        <v>738</v>
      </c>
      <c r="H43" s="8" t="s">
        <v>838</v>
      </c>
      <c r="I43" s="21">
        <v>41683</v>
      </c>
      <c r="J43" s="23">
        <v>0.34375</v>
      </c>
      <c r="R43" s="8">
        <v>2</v>
      </c>
      <c r="S43" s="8">
        <v>18</v>
      </c>
      <c r="AO43" s="8">
        <v>5</v>
      </c>
      <c r="BL43" s="19">
        <f t="shared" ref="BL43:BL50" si="11">SUM(K43:BK43)</f>
        <v>25</v>
      </c>
      <c r="BM43" s="8" t="s">
        <v>852</v>
      </c>
    </row>
    <row r="44" spans="1:65" ht="38.25" x14ac:dyDescent="0.2">
      <c r="A44" s="8" t="s">
        <v>853</v>
      </c>
      <c r="B44" s="8" t="s">
        <v>792</v>
      </c>
      <c r="C44" s="8">
        <v>30.4054</v>
      </c>
      <c r="D44" s="8">
        <v>-81.505700000000004</v>
      </c>
      <c r="E44" s="8">
        <v>30.3992</v>
      </c>
      <c r="F44" s="8">
        <v>-81.493600000000001</v>
      </c>
      <c r="G44" s="8" t="s">
        <v>738</v>
      </c>
      <c r="H44" s="8" t="s">
        <v>838</v>
      </c>
      <c r="I44" s="21">
        <v>41683</v>
      </c>
      <c r="J44" s="23">
        <v>0.42708333333333331</v>
      </c>
      <c r="AP44" s="8">
        <v>175</v>
      </c>
      <c r="BL44" s="19">
        <f t="shared" si="11"/>
        <v>175</v>
      </c>
      <c r="BM44" s="8" t="s">
        <v>852</v>
      </c>
    </row>
    <row r="45" spans="1:65" ht="38.25" x14ac:dyDescent="0.2">
      <c r="A45" s="8" t="s">
        <v>856</v>
      </c>
      <c r="B45" s="8" t="s">
        <v>792</v>
      </c>
      <c r="C45" s="8">
        <v>30.4054</v>
      </c>
      <c r="D45" s="8">
        <v>-81.505700000000004</v>
      </c>
      <c r="E45" s="8">
        <v>30.404699999999998</v>
      </c>
      <c r="F45" s="8">
        <v>-81.505600000000001</v>
      </c>
      <c r="G45" s="8" t="s">
        <v>738</v>
      </c>
      <c r="H45" s="8" t="s">
        <v>838</v>
      </c>
      <c r="I45" s="21">
        <v>41683</v>
      </c>
      <c r="J45" s="23">
        <v>0.37777777777777777</v>
      </c>
      <c r="AE45" s="8">
        <v>3</v>
      </c>
      <c r="AK45" s="8">
        <v>64</v>
      </c>
      <c r="AL45" s="8">
        <v>12</v>
      </c>
      <c r="AM45" s="8">
        <v>750</v>
      </c>
      <c r="AN45" s="8">
        <v>6</v>
      </c>
      <c r="AO45" s="8">
        <v>3</v>
      </c>
      <c r="AP45" s="8">
        <v>430</v>
      </c>
      <c r="AQ45" s="8">
        <v>8</v>
      </c>
      <c r="AW45" s="8">
        <v>4</v>
      </c>
      <c r="AY45" s="8">
        <v>32</v>
      </c>
      <c r="BD45" s="8">
        <v>540</v>
      </c>
      <c r="BI45" s="8">
        <v>75</v>
      </c>
      <c r="BL45" s="19">
        <f t="shared" si="11"/>
        <v>1927</v>
      </c>
      <c r="BM45" s="8" t="s">
        <v>852</v>
      </c>
    </row>
    <row r="46" spans="1:65" ht="38.25" x14ac:dyDescent="0.2">
      <c r="A46" s="8" t="s">
        <v>864</v>
      </c>
      <c r="B46" s="8" t="s">
        <v>792</v>
      </c>
      <c r="C46" s="8">
        <v>30.4071</v>
      </c>
      <c r="D46" s="8">
        <v>-81.527000000000001</v>
      </c>
      <c r="E46" s="8">
        <v>30.413699999999999</v>
      </c>
      <c r="F46" s="8">
        <v>-81.531999999999996</v>
      </c>
      <c r="G46" s="8" t="s">
        <v>738</v>
      </c>
      <c r="H46" s="8" t="s">
        <v>838</v>
      </c>
      <c r="I46" s="21">
        <v>41683</v>
      </c>
      <c r="J46" s="23">
        <v>0.53680555555555554</v>
      </c>
      <c r="N46" s="8">
        <v>1</v>
      </c>
      <c r="S46" s="8">
        <v>6</v>
      </c>
      <c r="AN46" s="8">
        <v>3</v>
      </c>
      <c r="AQ46" s="8">
        <v>1</v>
      </c>
      <c r="BL46" s="19">
        <f t="shared" si="11"/>
        <v>11</v>
      </c>
      <c r="BM46" s="8" t="s">
        <v>874</v>
      </c>
    </row>
    <row r="47" spans="1:65" ht="38.25" x14ac:dyDescent="0.2">
      <c r="A47" s="8" t="s">
        <v>875</v>
      </c>
      <c r="B47" s="8" t="s">
        <v>792</v>
      </c>
      <c r="C47" s="8">
        <v>30.3918</v>
      </c>
      <c r="D47" s="8">
        <v>-81.524900000000002</v>
      </c>
      <c r="E47" s="8">
        <v>30.392900000000001</v>
      </c>
      <c r="F47" s="8">
        <v>-81.517700000000005</v>
      </c>
      <c r="G47" s="8" t="s">
        <v>738</v>
      </c>
      <c r="H47" s="8" t="s">
        <v>838</v>
      </c>
      <c r="I47" s="21">
        <v>41683</v>
      </c>
      <c r="J47" s="23">
        <v>0.56944444444444442</v>
      </c>
      <c r="AO47" s="8">
        <v>16</v>
      </c>
      <c r="BL47" s="19">
        <f t="shared" si="11"/>
        <v>16</v>
      </c>
      <c r="BM47" s="8" t="s">
        <v>874</v>
      </c>
    </row>
    <row r="48" spans="1:65" ht="38.25" x14ac:dyDescent="0.2">
      <c r="A48" s="8" t="s">
        <v>887</v>
      </c>
      <c r="B48" s="8" t="s">
        <v>792</v>
      </c>
      <c r="D48" s="8">
        <v>-81.517099999999999</v>
      </c>
      <c r="E48" s="8">
        <v>30.407599999999999</v>
      </c>
      <c r="F48" s="8">
        <v>-81.521699999999996</v>
      </c>
      <c r="G48" s="8" t="s">
        <v>738</v>
      </c>
      <c r="H48" s="8" t="s">
        <v>838</v>
      </c>
      <c r="I48" s="21">
        <v>41683</v>
      </c>
      <c r="J48" s="23">
        <v>0.59166666666666667</v>
      </c>
      <c r="R48" s="8">
        <v>2</v>
      </c>
      <c r="Y48" s="8">
        <v>1</v>
      </c>
      <c r="AE48" s="8">
        <v>7</v>
      </c>
      <c r="AF48" s="8">
        <v>1</v>
      </c>
      <c r="BL48" s="19">
        <f t="shared" si="11"/>
        <v>11</v>
      </c>
      <c r="BM48" s="8" t="s">
        <v>874</v>
      </c>
    </row>
    <row r="49" spans="1:65" ht="38.25" x14ac:dyDescent="0.2">
      <c r="A49" s="8" t="s">
        <v>897</v>
      </c>
      <c r="B49" s="8" t="s">
        <v>792</v>
      </c>
      <c r="C49" s="8">
        <v>30.399000000000001</v>
      </c>
      <c r="D49" s="8">
        <v>-81.5167</v>
      </c>
      <c r="E49" s="8">
        <v>30.401399999999999</v>
      </c>
      <c r="F49" s="8">
        <v>-81.515900000000002</v>
      </c>
      <c r="G49" s="8" t="s">
        <v>738</v>
      </c>
      <c r="H49" s="8" t="s">
        <v>838</v>
      </c>
      <c r="I49" s="21">
        <v>41683</v>
      </c>
      <c r="J49" s="23">
        <v>0.62013888888888891</v>
      </c>
      <c r="R49" s="8">
        <v>1</v>
      </c>
      <c r="BL49" s="19">
        <f t="shared" si="11"/>
        <v>1</v>
      </c>
    </row>
    <row r="50" spans="1:65" ht="25.5" x14ac:dyDescent="0.2">
      <c r="A50" s="8" t="s">
        <v>849</v>
      </c>
      <c r="B50" s="8" t="s">
        <v>792</v>
      </c>
      <c r="C50" s="8">
        <v>30.409597000000002</v>
      </c>
      <c r="D50" s="8">
        <v>-81.415644</v>
      </c>
      <c r="E50" s="8">
        <v>30.403898000000002</v>
      </c>
      <c r="F50" s="8">
        <v>-81.403542000000002</v>
      </c>
      <c r="G50" s="8" t="s">
        <v>901</v>
      </c>
      <c r="H50" s="8" t="s">
        <v>902</v>
      </c>
      <c r="I50" s="21">
        <v>41677</v>
      </c>
      <c r="J50" s="23">
        <v>0.375</v>
      </c>
      <c r="K50" s="8"/>
      <c r="L50" s="8">
        <v>6</v>
      </c>
      <c r="M50" s="8"/>
      <c r="N50" s="8">
        <v>8</v>
      </c>
      <c r="O50" s="8"/>
      <c r="P50" s="8"/>
      <c r="Q50" s="8"/>
      <c r="R50" s="8">
        <v>21</v>
      </c>
      <c r="S50" s="8">
        <v>40</v>
      </c>
      <c r="T50" s="8"/>
      <c r="U50" s="8"/>
      <c r="V50" s="8">
        <v>5</v>
      </c>
      <c r="W50" s="8">
        <v>53</v>
      </c>
      <c r="X50" s="8">
        <v>4</v>
      </c>
      <c r="Y50" s="8">
        <v>2</v>
      </c>
      <c r="Z50" s="8">
        <v>3</v>
      </c>
      <c r="AA50" s="8">
        <v>2</v>
      </c>
      <c r="AB50" s="8"/>
      <c r="AC50" s="8"/>
      <c r="AD50" s="8"/>
      <c r="AE50" s="8">
        <v>151</v>
      </c>
      <c r="AF50" s="8"/>
      <c r="AG50" s="8"/>
      <c r="AH50" s="8"/>
      <c r="AI50" s="8"/>
      <c r="AJ50" s="8"/>
      <c r="AK50" s="8"/>
      <c r="AL50" s="8">
        <v>23</v>
      </c>
      <c r="AM50" s="8">
        <v>211</v>
      </c>
      <c r="AN50" s="8"/>
      <c r="AO50" s="8"/>
      <c r="AP50" s="8"/>
      <c r="AQ50" s="8"/>
      <c r="AR50" s="8"/>
      <c r="AS50" s="8"/>
      <c r="AT50" s="8"/>
      <c r="AU50" s="8"/>
      <c r="AV50" s="8">
        <v>187</v>
      </c>
      <c r="AW50" s="8">
        <v>46</v>
      </c>
      <c r="AX50" s="8">
        <v>48</v>
      </c>
      <c r="AY50" s="8">
        <v>72</v>
      </c>
      <c r="AZ50" s="8"/>
      <c r="BA50" s="8">
        <v>31</v>
      </c>
      <c r="BB50" s="8"/>
      <c r="BC50" s="8"/>
      <c r="BD50" s="8">
        <v>21</v>
      </c>
      <c r="BE50" s="8"/>
      <c r="BF50" s="8">
        <v>1</v>
      </c>
      <c r="BG50" s="8">
        <v>36</v>
      </c>
      <c r="BH50" s="8"/>
      <c r="BI50" s="8"/>
      <c r="BJ50" s="8"/>
      <c r="BK50" s="8"/>
      <c r="BL50" s="19">
        <f t="shared" si="11"/>
        <v>971</v>
      </c>
      <c r="BM50" s="8" t="s">
        <v>912</v>
      </c>
    </row>
    <row r="51" spans="1:65" ht="25.5" x14ac:dyDescent="0.2">
      <c r="A51" s="8" t="s">
        <v>914</v>
      </c>
      <c r="B51" s="8" t="s">
        <v>792</v>
      </c>
      <c r="C51" s="8">
        <v>30.3966666</v>
      </c>
      <c r="D51" s="8">
        <v>-81.392777699999996</v>
      </c>
      <c r="E51" s="8">
        <v>30.252905500000001</v>
      </c>
      <c r="F51" s="8">
        <v>-81.380277699999994</v>
      </c>
      <c r="G51" s="8" t="s">
        <v>917</v>
      </c>
      <c r="H51" s="8" t="s">
        <v>918</v>
      </c>
      <c r="I51" s="21">
        <v>41677</v>
      </c>
      <c r="J51" s="8">
        <v>900</v>
      </c>
      <c r="K51" s="8">
        <v>200</v>
      </c>
      <c r="L51" s="8">
        <v>35</v>
      </c>
      <c r="N51" s="8">
        <v>60</v>
      </c>
      <c r="R51" s="8">
        <v>213</v>
      </c>
      <c r="S51" s="8">
        <v>374</v>
      </c>
      <c r="V51" s="8">
        <v>14</v>
      </c>
      <c r="W51" s="8">
        <v>152</v>
      </c>
      <c r="Y51" s="8">
        <v>258</v>
      </c>
      <c r="AA51" s="8">
        <v>47</v>
      </c>
      <c r="AE51" s="8">
        <v>238</v>
      </c>
      <c r="AF51" s="8">
        <v>12</v>
      </c>
      <c r="AW51" s="8">
        <v>28</v>
      </c>
      <c r="AX51" s="8">
        <v>65</v>
      </c>
      <c r="BF51" s="8">
        <v>35</v>
      </c>
      <c r="BL51" s="29"/>
      <c r="BM51" s="8" t="s">
        <v>924</v>
      </c>
    </row>
    <row r="52" spans="1:65" ht="25.5" x14ac:dyDescent="0.2">
      <c r="A52" s="11" t="s">
        <v>222</v>
      </c>
      <c r="B52" s="11" t="s">
        <v>925</v>
      </c>
      <c r="C52" s="11">
        <v>30.349191999999999</v>
      </c>
      <c r="D52" s="11">
        <v>-87.044635</v>
      </c>
      <c r="E52" s="11">
        <v>30.371337</v>
      </c>
      <c r="F52" s="11">
        <v>-86.918422000000007</v>
      </c>
      <c r="G52" s="11" t="s">
        <v>223</v>
      </c>
      <c r="H52" s="11" t="s">
        <v>926</v>
      </c>
      <c r="I52" s="13">
        <v>41680</v>
      </c>
      <c r="J52" s="27">
        <v>0.53125</v>
      </c>
      <c r="K52" s="8"/>
      <c r="L52" s="8">
        <v>2</v>
      </c>
      <c r="M52" s="8"/>
      <c r="N52" s="8">
        <v>5</v>
      </c>
      <c r="O52" s="8"/>
      <c r="P52" s="8"/>
      <c r="Q52" s="8"/>
      <c r="R52" s="8"/>
      <c r="S52" s="8"/>
      <c r="T52" s="8"/>
      <c r="U52" s="8"/>
      <c r="V52" s="8"/>
      <c r="W52" s="8">
        <v>9</v>
      </c>
      <c r="X52" s="8"/>
      <c r="Y52" s="8">
        <v>27</v>
      </c>
      <c r="Z52" s="8"/>
      <c r="AA52" s="8"/>
      <c r="AB52" s="8"/>
      <c r="AC52" s="8"/>
      <c r="AD52" s="8"/>
      <c r="AE52" s="8">
        <v>93</v>
      </c>
      <c r="AF52" s="8"/>
      <c r="AG52" s="11"/>
      <c r="AH52" s="8"/>
      <c r="AI52" s="8"/>
      <c r="AJ52" s="8"/>
      <c r="AK52" s="8"/>
      <c r="AL52" s="8"/>
      <c r="AM52" s="8">
        <v>22</v>
      </c>
      <c r="AN52" s="11"/>
      <c r="AO52" s="8"/>
      <c r="AP52" s="8"/>
      <c r="AQ52" s="8"/>
      <c r="AR52" s="8"/>
      <c r="AS52" s="8"/>
      <c r="AT52" s="8"/>
      <c r="AU52" s="8"/>
      <c r="AV52" s="8"/>
      <c r="AW52" s="8"/>
      <c r="AX52" s="8">
        <v>279</v>
      </c>
      <c r="AY52" s="8"/>
      <c r="AZ52" s="8"/>
      <c r="BA52" s="11"/>
      <c r="BB52" s="8">
        <v>5</v>
      </c>
      <c r="BC52" s="8"/>
      <c r="BD52" s="8"/>
      <c r="BE52" s="8"/>
      <c r="BF52" s="8">
        <v>5</v>
      </c>
      <c r="BG52" s="8"/>
      <c r="BH52" s="8"/>
      <c r="BI52" s="8"/>
      <c r="BJ52" s="8"/>
      <c r="BK52" s="8"/>
      <c r="BL52" s="19">
        <f t="shared" ref="BL52:BL84" si="12">SUM(K52:BK52)</f>
        <v>447</v>
      </c>
      <c r="BM52" s="11" t="s">
        <v>945</v>
      </c>
    </row>
    <row r="53" spans="1:65" ht="1.5" customHeight="1" x14ac:dyDescent="0.2">
      <c r="A53" s="11" t="s">
        <v>226</v>
      </c>
      <c r="B53" s="11" t="s">
        <v>925</v>
      </c>
      <c r="C53" s="20">
        <v>30.374554</v>
      </c>
      <c r="D53" s="11">
        <v>-86.918619000000007</v>
      </c>
      <c r="E53" s="20">
        <v>30.357776999999999</v>
      </c>
      <c r="F53" s="11">
        <v>-87.043330999999995</v>
      </c>
      <c r="G53" s="11" t="s">
        <v>223</v>
      </c>
      <c r="H53" s="11" t="s">
        <v>926</v>
      </c>
      <c r="I53" s="13">
        <v>41680</v>
      </c>
      <c r="J53" s="27">
        <v>0.58680555555555558</v>
      </c>
      <c r="K53" s="11"/>
      <c r="L53" s="11"/>
      <c r="M53" s="11"/>
      <c r="N53" s="11"/>
      <c r="O53" s="11"/>
      <c r="P53" s="11">
        <v>1</v>
      </c>
      <c r="Q53" s="11"/>
      <c r="R53" s="11"/>
      <c r="S53" s="11"/>
      <c r="T53" s="11"/>
      <c r="U53" s="11"/>
      <c r="V53" s="11"/>
      <c r="W53" s="11"/>
      <c r="X53" s="11"/>
      <c r="Y53" s="11"/>
      <c r="Z53" s="11"/>
      <c r="AA53" s="11"/>
      <c r="AB53" s="11"/>
      <c r="AC53" s="11"/>
      <c r="AD53" s="11"/>
      <c r="AE53" s="11">
        <v>2</v>
      </c>
      <c r="AF53" s="11"/>
      <c r="AG53" s="11"/>
      <c r="AH53" s="11"/>
      <c r="AI53" s="11"/>
      <c r="AJ53" s="11"/>
      <c r="AK53" s="11"/>
      <c r="AL53" s="11">
        <v>7</v>
      </c>
      <c r="AM53" s="11">
        <v>47</v>
      </c>
      <c r="AN53" s="11"/>
      <c r="AO53" s="11">
        <v>4</v>
      </c>
      <c r="AP53" s="11"/>
      <c r="AQ53" s="11"/>
      <c r="AR53" s="11"/>
      <c r="AS53" s="11"/>
      <c r="AT53" s="11"/>
      <c r="AU53" s="11">
        <v>15</v>
      </c>
      <c r="AV53" s="11"/>
      <c r="AW53" s="11"/>
      <c r="AX53" s="11">
        <v>32</v>
      </c>
      <c r="AY53" s="11">
        <v>22</v>
      </c>
      <c r="AZ53" s="11"/>
      <c r="BA53" s="11"/>
      <c r="BB53" s="11"/>
      <c r="BC53" s="11"/>
      <c r="BD53" s="11"/>
      <c r="BE53" s="11"/>
      <c r="BF53" s="11">
        <v>25</v>
      </c>
      <c r="BG53" s="11"/>
      <c r="BH53" s="11"/>
      <c r="BI53" s="11">
        <v>2</v>
      </c>
      <c r="BJ53" s="11"/>
      <c r="BK53" s="11"/>
      <c r="BL53" s="19">
        <f t="shared" si="12"/>
        <v>157</v>
      </c>
      <c r="BM53" s="11" t="s">
        <v>958</v>
      </c>
    </row>
    <row r="54" spans="1:65" ht="32.25" customHeight="1" x14ac:dyDescent="0.2">
      <c r="A54" s="11" t="s">
        <v>226</v>
      </c>
      <c r="B54" s="11" t="s">
        <v>925</v>
      </c>
      <c r="C54" s="11">
        <v>30.331330000000001</v>
      </c>
      <c r="D54" s="11">
        <v>-87.301680000000005</v>
      </c>
      <c r="E54" s="11">
        <v>30.327159999999999</v>
      </c>
      <c r="F54" s="11">
        <v>-87.181209999999993</v>
      </c>
      <c r="G54" s="11" t="s">
        <v>232</v>
      </c>
      <c r="H54" s="11" t="s">
        <v>963</v>
      </c>
      <c r="I54" s="13">
        <v>41680</v>
      </c>
      <c r="J54" s="27">
        <v>0.38055555555555554</v>
      </c>
      <c r="K54" s="8"/>
      <c r="L54" s="8"/>
      <c r="M54" s="8"/>
      <c r="N54" s="8">
        <v>5</v>
      </c>
      <c r="O54" s="8"/>
      <c r="P54" s="8">
        <v>8</v>
      </c>
      <c r="Q54" s="8"/>
      <c r="R54" s="8"/>
      <c r="S54" s="8"/>
      <c r="T54" s="8"/>
      <c r="U54" s="8"/>
      <c r="V54" s="8"/>
      <c r="W54" s="8">
        <v>18</v>
      </c>
      <c r="X54" s="8"/>
      <c r="Y54" s="8">
        <v>10</v>
      </c>
      <c r="Z54" s="8"/>
      <c r="AA54" s="8"/>
      <c r="AB54" s="8"/>
      <c r="AC54" s="8"/>
      <c r="AD54" s="8"/>
      <c r="AE54" s="8">
        <v>84</v>
      </c>
      <c r="AF54" s="8"/>
      <c r="AG54" s="11"/>
      <c r="AH54" s="8"/>
      <c r="AI54" s="11"/>
      <c r="AJ54" s="8"/>
      <c r="AK54" s="8"/>
      <c r="AL54" s="11">
        <v>3</v>
      </c>
      <c r="AM54" s="11">
        <v>14</v>
      </c>
      <c r="AN54" s="11"/>
      <c r="AO54" s="8">
        <v>10</v>
      </c>
      <c r="AP54" s="8"/>
      <c r="AQ54" s="8"/>
      <c r="AR54" s="8"/>
      <c r="AS54" s="8"/>
      <c r="AT54" s="8"/>
      <c r="AU54" s="8"/>
      <c r="AV54" s="11"/>
      <c r="AW54" s="11">
        <v>8</v>
      </c>
      <c r="AX54" s="11">
        <v>78</v>
      </c>
      <c r="AY54" s="8"/>
      <c r="AZ54" s="8"/>
      <c r="BA54" s="8"/>
      <c r="BB54" s="8"/>
      <c r="BC54" s="8"/>
      <c r="BD54" s="8"/>
      <c r="BE54" s="8"/>
      <c r="BF54" s="8">
        <v>16</v>
      </c>
      <c r="BG54" s="8"/>
      <c r="BH54" s="8"/>
      <c r="BI54" s="8"/>
      <c r="BJ54" s="8">
        <v>3</v>
      </c>
      <c r="BK54" s="8">
        <v>1</v>
      </c>
      <c r="BL54" s="19">
        <f t="shared" si="12"/>
        <v>258</v>
      </c>
      <c r="BM54" s="11" t="s">
        <v>969</v>
      </c>
    </row>
    <row r="55" spans="1:65" ht="32.25" customHeight="1" x14ac:dyDescent="0.2">
      <c r="A55" s="11" t="s">
        <v>970</v>
      </c>
      <c r="B55" s="11" t="s">
        <v>925</v>
      </c>
      <c r="C55" s="11">
        <v>30.192900000000002</v>
      </c>
      <c r="D55" s="11">
        <v>-87.105199999999996</v>
      </c>
      <c r="E55" s="11">
        <v>30.1937</v>
      </c>
      <c r="F55" s="11">
        <v>-87.1023</v>
      </c>
      <c r="G55" s="11" t="s">
        <v>972</v>
      </c>
      <c r="H55" s="11" t="s">
        <v>973</v>
      </c>
      <c r="I55" s="10">
        <v>41685</v>
      </c>
      <c r="J55" s="27">
        <v>0.45833333333333331</v>
      </c>
      <c r="K55" s="8"/>
      <c r="L55" s="8"/>
      <c r="M55" s="8"/>
      <c r="N55" s="8">
        <v>3</v>
      </c>
      <c r="O55" s="8"/>
      <c r="P55" s="8"/>
      <c r="Q55" s="8"/>
      <c r="R55" s="8"/>
      <c r="S55" s="8"/>
      <c r="T55" s="8"/>
      <c r="U55" s="8"/>
      <c r="V55" s="8"/>
      <c r="W55" s="8"/>
      <c r="X55" s="8"/>
      <c r="Y55" s="8">
        <v>58</v>
      </c>
      <c r="Z55" s="8"/>
      <c r="AA55" s="8"/>
      <c r="AB55" s="8"/>
      <c r="AC55" s="8"/>
      <c r="AD55" s="8"/>
      <c r="AE55" s="8"/>
      <c r="AF55" s="8"/>
      <c r="AG55" s="11"/>
      <c r="AH55" s="8"/>
      <c r="AI55" s="11"/>
      <c r="AJ55" s="8"/>
      <c r="AK55" s="8"/>
      <c r="AL55" s="11"/>
      <c r="AM55" s="11"/>
      <c r="AN55" s="11"/>
      <c r="AO55" s="8"/>
      <c r="AP55" s="8"/>
      <c r="AQ55" s="8"/>
      <c r="AR55" s="8"/>
      <c r="AS55" s="8"/>
      <c r="AT55" s="8"/>
      <c r="AU55" s="8"/>
      <c r="AV55" s="11"/>
      <c r="AW55" s="11">
        <v>2</v>
      </c>
      <c r="AX55" s="11">
        <v>15</v>
      </c>
      <c r="AY55" s="8"/>
      <c r="AZ55" s="8"/>
      <c r="BA55" s="8"/>
      <c r="BB55" s="8"/>
      <c r="BC55" s="8"/>
      <c r="BD55" s="8"/>
      <c r="BE55" s="8"/>
      <c r="BF55" s="8">
        <v>3</v>
      </c>
      <c r="BG55" s="8"/>
      <c r="BH55" s="8"/>
      <c r="BI55" s="8"/>
      <c r="BJ55" s="8">
        <v>8</v>
      </c>
      <c r="BK55" s="8"/>
      <c r="BL55" s="19">
        <f t="shared" si="12"/>
        <v>89</v>
      </c>
      <c r="BM55" s="11" t="s">
        <v>978</v>
      </c>
    </row>
    <row r="56" spans="1:65" ht="25.5" x14ac:dyDescent="0.2">
      <c r="A56" s="11" t="s">
        <v>222</v>
      </c>
      <c r="B56" s="11" t="s">
        <v>925</v>
      </c>
      <c r="C56" s="11">
        <v>30.325030000000002</v>
      </c>
      <c r="D56" s="11">
        <v>-87.180999999999997</v>
      </c>
      <c r="E56" s="11">
        <v>30.331009999999999</v>
      </c>
      <c r="F56" s="11">
        <v>-87.299030000000002</v>
      </c>
      <c r="G56" s="11" t="s">
        <v>232</v>
      </c>
      <c r="H56" s="11" t="s">
        <v>963</v>
      </c>
      <c r="I56" s="10">
        <v>41680</v>
      </c>
      <c r="J56" s="27">
        <v>0.47847222222222224</v>
      </c>
      <c r="K56" s="11"/>
      <c r="L56" s="11"/>
      <c r="M56" s="11"/>
      <c r="N56" s="11">
        <v>1</v>
      </c>
      <c r="O56" s="11"/>
      <c r="P56" s="11"/>
      <c r="Q56" s="11"/>
      <c r="R56" s="11"/>
      <c r="S56" s="11"/>
      <c r="T56" s="11"/>
      <c r="U56" s="11"/>
      <c r="V56" s="11"/>
      <c r="W56" s="11">
        <v>1</v>
      </c>
      <c r="X56" s="11"/>
      <c r="Y56" s="11">
        <v>1</v>
      </c>
      <c r="Z56" s="11"/>
      <c r="AA56" s="11"/>
      <c r="AB56" s="11"/>
      <c r="AC56" s="11"/>
      <c r="AD56" s="11"/>
      <c r="AE56" s="11">
        <v>290</v>
      </c>
      <c r="AF56" s="11"/>
      <c r="AG56" s="11"/>
      <c r="AH56" s="11"/>
      <c r="AI56" s="11"/>
      <c r="AJ56" s="11"/>
      <c r="AK56" s="11"/>
      <c r="AL56" s="11"/>
      <c r="AM56" s="11"/>
      <c r="AN56" s="11"/>
      <c r="AO56" s="11"/>
      <c r="AP56" s="11"/>
      <c r="AQ56" s="11"/>
      <c r="AR56" s="11"/>
      <c r="AS56" s="11"/>
      <c r="AT56" s="11"/>
      <c r="AU56" s="11"/>
      <c r="AV56" s="11"/>
      <c r="AW56" s="11">
        <v>11</v>
      </c>
      <c r="AX56" s="11">
        <v>153</v>
      </c>
      <c r="AY56" s="11"/>
      <c r="AZ56" s="11"/>
      <c r="BA56" s="11"/>
      <c r="BB56" s="11">
        <v>11</v>
      </c>
      <c r="BC56" s="11"/>
      <c r="BD56" s="11"/>
      <c r="BE56" s="11"/>
      <c r="BF56" s="11">
        <v>44</v>
      </c>
      <c r="BG56" s="11"/>
      <c r="BH56" s="11"/>
      <c r="BI56" s="11"/>
      <c r="BJ56" s="11"/>
      <c r="BK56" s="11"/>
      <c r="BL56" s="19">
        <f t="shared" si="12"/>
        <v>512</v>
      </c>
      <c r="BM56" s="11" t="s">
        <v>995</v>
      </c>
    </row>
    <row r="57" spans="1:65" ht="25.5" x14ac:dyDescent="0.2">
      <c r="A57" s="8" t="s">
        <v>996</v>
      </c>
      <c r="B57" s="8" t="s">
        <v>925</v>
      </c>
      <c r="C57" s="8">
        <v>30.302948000000001</v>
      </c>
      <c r="D57" s="8">
        <v>-87.414710999999997</v>
      </c>
      <c r="E57" s="8">
        <v>30.328268000000001</v>
      </c>
      <c r="F57" s="8">
        <v>-87.313874999999996</v>
      </c>
      <c r="G57" s="8" t="s">
        <v>245</v>
      </c>
      <c r="H57" s="8" t="s">
        <v>997</v>
      </c>
      <c r="I57" s="21">
        <v>41680</v>
      </c>
      <c r="J57" s="23">
        <v>0.39583333333333331</v>
      </c>
      <c r="K57" s="8">
        <v>15</v>
      </c>
      <c r="L57" s="8">
        <v>2</v>
      </c>
      <c r="M57" s="8"/>
      <c r="N57" s="8">
        <v>2</v>
      </c>
      <c r="O57" s="8"/>
      <c r="P57" s="8">
        <v>10</v>
      </c>
      <c r="Q57" s="8"/>
      <c r="R57" s="8"/>
      <c r="S57" s="8">
        <v>128</v>
      </c>
      <c r="T57" s="8"/>
      <c r="U57" s="8"/>
      <c r="V57" s="8"/>
      <c r="W57" s="8">
        <v>53</v>
      </c>
      <c r="X57" s="8"/>
      <c r="Y57" s="8">
        <v>179</v>
      </c>
      <c r="Z57" s="8"/>
      <c r="AA57" s="8"/>
      <c r="AB57" s="8"/>
      <c r="AC57" s="8"/>
      <c r="AD57" s="8"/>
      <c r="AE57" s="8">
        <v>38</v>
      </c>
      <c r="AF57" s="8">
        <v>1</v>
      </c>
      <c r="AG57" s="8"/>
      <c r="AH57" s="8"/>
      <c r="AI57" s="8"/>
      <c r="AJ57" s="8"/>
      <c r="AK57" s="8"/>
      <c r="AL57" s="8">
        <v>3</v>
      </c>
      <c r="AM57" s="8"/>
      <c r="AN57" s="8"/>
      <c r="AO57" s="8">
        <v>3</v>
      </c>
      <c r="AP57" s="8"/>
      <c r="AQ57" s="8"/>
      <c r="AR57" s="8"/>
      <c r="AS57" s="8"/>
      <c r="AT57" s="8"/>
      <c r="AU57" s="8"/>
      <c r="AV57" s="8"/>
      <c r="AW57" s="8">
        <v>7</v>
      </c>
      <c r="AX57" s="8">
        <v>95</v>
      </c>
      <c r="AY57" s="8"/>
      <c r="AZ57" s="8"/>
      <c r="BA57" s="8"/>
      <c r="BB57" s="8"/>
      <c r="BC57" s="8"/>
      <c r="BD57" s="8"/>
      <c r="BE57" s="8"/>
      <c r="BF57" s="8">
        <v>17</v>
      </c>
      <c r="BG57" s="8"/>
      <c r="BH57" s="8"/>
      <c r="BI57" s="8"/>
      <c r="BJ57" s="8"/>
      <c r="BK57" s="8"/>
      <c r="BL57" s="19">
        <f t="shared" si="12"/>
        <v>553</v>
      </c>
      <c r="BM57" s="8" t="s">
        <v>1011</v>
      </c>
    </row>
    <row r="58" spans="1:65" ht="25.5" x14ac:dyDescent="0.2">
      <c r="A58" s="8" t="s">
        <v>247</v>
      </c>
      <c r="B58" s="8" t="s">
        <v>925</v>
      </c>
      <c r="C58" s="8">
        <v>30.328268000000001</v>
      </c>
      <c r="D58" s="8">
        <v>-87.313874999999996</v>
      </c>
      <c r="E58" s="8">
        <v>30.297635</v>
      </c>
      <c r="F58" s="8">
        <v>-87.419089999999997</v>
      </c>
      <c r="G58" s="8" t="s">
        <v>245</v>
      </c>
      <c r="H58" s="8" t="s">
        <v>997</v>
      </c>
      <c r="I58" s="21">
        <v>41680</v>
      </c>
      <c r="J58" s="23">
        <v>0.50694444444444442</v>
      </c>
      <c r="K58" s="8"/>
      <c r="L58" s="8">
        <v>2</v>
      </c>
      <c r="M58" s="8"/>
      <c r="N58" s="8">
        <v>2</v>
      </c>
      <c r="O58" s="8"/>
      <c r="P58" s="8"/>
      <c r="Q58" s="8"/>
      <c r="R58" s="8"/>
      <c r="S58" s="8">
        <v>7</v>
      </c>
      <c r="T58" s="8"/>
      <c r="U58" s="8"/>
      <c r="V58" s="8"/>
      <c r="W58" s="8">
        <v>1</v>
      </c>
      <c r="X58" s="8"/>
      <c r="Y58" s="8">
        <v>64</v>
      </c>
      <c r="Z58" s="8"/>
      <c r="AA58" s="8"/>
      <c r="AB58" s="8"/>
      <c r="AC58" s="8"/>
      <c r="AD58" s="8"/>
      <c r="AE58" s="8">
        <v>7</v>
      </c>
      <c r="AF58" s="8"/>
      <c r="AG58" s="8"/>
      <c r="AH58" s="8"/>
      <c r="AI58" s="8"/>
      <c r="AJ58" s="8"/>
      <c r="AK58" s="8"/>
      <c r="AL58" s="8">
        <v>3</v>
      </c>
      <c r="AM58" s="8"/>
      <c r="AN58" s="8"/>
      <c r="AO58" s="8"/>
      <c r="AP58" s="8"/>
      <c r="AQ58" s="8"/>
      <c r="AR58" s="8"/>
      <c r="AS58" s="8"/>
      <c r="AT58" s="8"/>
      <c r="AU58" s="8"/>
      <c r="AV58" s="8"/>
      <c r="AW58" s="8">
        <v>11</v>
      </c>
      <c r="AX58" s="8">
        <v>163</v>
      </c>
      <c r="AY58" s="8"/>
      <c r="AZ58" s="8"/>
      <c r="BA58" s="8"/>
      <c r="BB58" s="8">
        <v>9</v>
      </c>
      <c r="BC58" s="8"/>
      <c r="BD58" s="8"/>
      <c r="BE58" s="8"/>
      <c r="BF58" s="8">
        <v>65</v>
      </c>
      <c r="BG58" s="8"/>
      <c r="BH58" s="8"/>
      <c r="BI58" s="8"/>
      <c r="BJ58" s="8"/>
      <c r="BK58" s="8"/>
      <c r="BL58" s="19">
        <f t="shared" si="12"/>
        <v>334</v>
      </c>
      <c r="BM58" s="8" t="s">
        <v>1032</v>
      </c>
    </row>
    <row r="59" spans="1:65" ht="14.25" x14ac:dyDescent="0.2">
      <c r="A59" s="8" t="s">
        <v>935</v>
      </c>
      <c r="B59" s="8" t="s">
        <v>925</v>
      </c>
      <c r="C59" s="8">
        <v>30.297713000000002</v>
      </c>
      <c r="D59" s="8">
        <v>-87.419545999999997</v>
      </c>
      <c r="E59" s="8">
        <v>30.28013</v>
      </c>
      <c r="F59" s="8">
        <v>-87.518315999999999</v>
      </c>
      <c r="G59" s="8" t="s">
        <v>936</v>
      </c>
      <c r="H59" s="8" t="s">
        <v>1035</v>
      </c>
      <c r="I59" s="21">
        <v>41685</v>
      </c>
      <c r="J59" s="23">
        <v>0.42222222222222222</v>
      </c>
      <c r="N59" s="8">
        <v>13</v>
      </c>
      <c r="Q59" s="8">
        <v>1</v>
      </c>
      <c r="R59" s="8">
        <v>1</v>
      </c>
      <c r="Y59" s="8">
        <v>103</v>
      </c>
      <c r="AE59" s="8">
        <v>19</v>
      </c>
      <c r="AO59" s="8">
        <v>2</v>
      </c>
      <c r="AX59" s="8">
        <v>52</v>
      </c>
      <c r="BB59" s="8">
        <v>2</v>
      </c>
      <c r="BF59" s="8">
        <v>44</v>
      </c>
      <c r="BL59" s="19">
        <f t="shared" si="12"/>
        <v>237</v>
      </c>
    </row>
    <row r="60" spans="1:65" ht="25.5" x14ac:dyDescent="0.2">
      <c r="A60" s="8" t="s">
        <v>1041</v>
      </c>
      <c r="B60" s="8" t="s">
        <v>1042</v>
      </c>
      <c r="C60" s="8">
        <v>29.442312000000001</v>
      </c>
      <c r="D60" s="8">
        <v>-81108901</v>
      </c>
      <c r="E60" s="8">
        <v>29.427198000000001</v>
      </c>
      <c r="F60" s="8">
        <v>-81102115</v>
      </c>
      <c r="G60" s="8" t="s">
        <v>817</v>
      </c>
      <c r="H60" s="8" t="s">
        <v>1043</v>
      </c>
      <c r="I60" s="21">
        <v>41677</v>
      </c>
      <c r="J60" s="23">
        <v>0.35416666666666669</v>
      </c>
      <c r="K60" s="8">
        <v>48</v>
      </c>
      <c r="L60" s="8"/>
      <c r="M60" s="8"/>
      <c r="N60" s="8">
        <v>1</v>
      </c>
      <c r="O60" s="8"/>
      <c r="P60" s="8"/>
      <c r="Q60" s="8"/>
      <c r="R60" s="8"/>
      <c r="S60" s="8">
        <v>37</v>
      </c>
      <c r="T60" s="8"/>
      <c r="U60" s="8"/>
      <c r="V60" s="8"/>
      <c r="W60" s="8">
        <v>3</v>
      </c>
      <c r="X60" s="8"/>
      <c r="Y60" s="8"/>
      <c r="Z60" s="8"/>
      <c r="AA60" s="8">
        <v>17</v>
      </c>
      <c r="AB60" s="8"/>
      <c r="AC60" s="8"/>
      <c r="AD60" s="8"/>
      <c r="AE60" s="8">
        <v>4</v>
      </c>
      <c r="AF60" s="8">
        <v>10</v>
      </c>
      <c r="AG60" s="8">
        <v>1</v>
      </c>
      <c r="AH60" s="8"/>
      <c r="AI60" s="8"/>
      <c r="AJ60" s="8"/>
      <c r="AK60" s="8"/>
      <c r="AL60" s="8">
        <v>1</v>
      </c>
      <c r="AM60" s="8"/>
      <c r="AN60" s="8"/>
      <c r="AO60" s="8"/>
      <c r="AP60" s="8"/>
      <c r="AQ60" s="8"/>
      <c r="AR60" s="8"/>
      <c r="AS60" s="8"/>
      <c r="AT60" s="8"/>
      <c r="AU60" s="8"/>
      <c r="AV60" s="8"/>
      <c r="AW60" s="8">
        <v>4</v>
      </c>
      <c r="AX60" s="8">
        <v>7</v>
      </c>
      <c r="AY60" s="8"/>
      <c r="AZ60" s="8"/>
      <c r="BA60" s="8"/>
      <c r="BB60" s="8"/>
      <c r="BC60" s="8"/>
      <c r="BD60" s="8"/>
      <c r="BE60" s="8"/>
      <c r="BF60" s="8">
        <v>5</v>
      </c>
      <c r="BG60" s="8"/>
      <c r="BH60" s="8"/>
      <c r="BI60" s="8"/>
      <c r="BJ60" s="8"/>
      <c r="BK60" s="8"/>
      <c r="BL60" s="19">
        <f t="shared" si="12"/>
        <v>138</v>
      </c>
      <c r="BM60" s="8" t="s">
        <v>1044</v>
      </c>
    </row>
    <row r="61" spans="1:65" ht="25.5" x14ac:dyDescent="0.2">
      <c r="A61" s="8" t="s">
        <v>1045</v>
      </c>
      <c r="B61" s="8" t="s">
        <v>1046</v>
      </c>
      <c r="C61" s="8">
        <v>29.475577999999999</v>
      </c>
      <c r="D61" s="8">
        <v>-81.128405999999998</v>
      </c>
      <c r="E61" s="8">
        <v>29.474129999999999</v>
      </c>
      <c r="F61" s="8">
        <v>-81.134703999999999</v>
      </c>
      <c r="G61" s="8" t="s">
        <v>1047</v>
      </c>
      <c r="H61" s="8" t="s">
        <v>1048</v>
      </c>
      <c r="I61" s="21">
        <v>41677</v>
      </c>
      <c r="J61" s="23">
        <v>0.2951388888888889</v>
      </c>
      <c r="K61" s="8">
        <v>1</v>
      </c>
      <c r="L61" s="8">
        <v>2</v>
      </c>
      <c r="M61" s="8"/>
      <c r="N61" s="8"/>
      <c r="O61" s="8"/>
      <c r="P61" s="8"/>
      <c r="Q61" s="8"/>
      <c r="R61" s="8"/>
      <c r="S61" s="8">
        <v>1</v>
      </c>
      <c r="T61" s="8"/>
      <c r="U61" s="8"/>
      <c r="V61" s="8"/>
      <c r="W61" s="8"/>
      <c r="X61" s="8"/>
      <c r="Y61" s="8"/>
      <c r="Z61" s="8"/>
      <c r="AA61" s="8"/>
      <c r="AB61" s="8"/>
      <c r="AC61" s="8"/>
      <c r="AD61" s="8"/>
      <c r="AE61" s="8">
        <v>6</v>
      </c>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19">
        <f t="shared" si="12"/>
        <v>10</v>
      </c>
      <c r="BM61" s="8" t="s">
        <v>1049</v>
      </c>
    </row>
    <row r="62" spans="1:65" ht="25.5" x14ac:dyDescent="0.2">
      <c r="A62" s="8" t="s">
        <v>1051</v>
      </c>
      <c r="B62" s="8" t="s">
        <v>1046</v>
      </c>
      <c r="C62" s="8">
        <v>29.438808000000002</v>
      </c>
      <c r="D62" s="8">
        <v>-81.111217999999994</v>
      </c>
      <c r="E62" s="8">
        <v>29.434266999999998</v>
      </c>
      <c r="F62" s="8">
        <v>-81.110456999999997</v>
      </c>
      <c r="G62" s="8" t="s">
        <v>1053</v>
      </c>
      <c r="H62" s="8" t="s">
        <v>1048</v>
      </c>
      <c r="I62" s="21">
        <v>41677</v>
      </c>
      <c r="J62" s="23">
        <v>0.35416666666666669</v>
      </c>
      <c r="K62" s="8"/>
      <c r="L62" s="8"/>
      <c r="M62" s="8"/>
      <c r="N62" s="8">
        <v>12</v>
      </c>
      <c r="O62" s="8">
        <v>5</v>
      </c>
      <c r="P62" s="8"/>
      <c r="Q62" s="8"/>
      <c r="R62" s="8">
        <v>2</v>
      </c>
      <c r="S62" s="8">
        <v>2</v>
      </c>
      <c r="T62" s="8"/>
      <c r="U62" s="8"/>
      <c r="V62" s="8"/>
      <c r="W62" s="8"/>
      <c r="X62" s="8"/>
      <c r="Y62" s="8"/>
      <c r="Z62" s="8"/>
      <c r="AA62" s="8"/>
      <c r="AB62" s="8"/>
      <c r="AC62" s="8"/>
      <c r="AD62" s="8"/>
      <c r="AE62" s="8">
        <v>15</v>
      </c>
      <c r="AF62" s="8">
        <v>3</v>
      </c>
      <c r="AG62" s="8"/>
      <c r="AH62" s="8"/>
      <c r="AI62" s="8"/>
      <c r="AJ62" s="8"/>
      <c r="AK62" s="8"/>
      <c r="AL62" s="8"/>
      <c r="AM62" s="8"/>
      <c r="AN62" s="8"/>
      <c r="AO62" s="8">
        <v>6</v>
      </c>
      <c r="AP62" s="8"/>
      <c r="AQ62" s="8"/>
      <c r="AR62" s="8"/>
      <c r="AS62" s="8"/>
      <c r="AT62" s="8"/>
      <c r="AU62" s="8"/>
      <c r="AV62" s="8"/>
      <c r="AW62" s="8"/>
      <c r="AX62" s="8"/>
      <c r="AY62" s="8"/>
      <c r="AZ62" s="8"/>
      <c r="BA62" s="8"/>
      <c r="BB62" s="8"/>
      <c r="BC62" s="8"/>
      <c r="BD62" s="8"/>
      <c r="BE62" s="8"/>
      <c r="BF62" s="8"/>
      <c r="BG62" s="8"/>
      <c r="BH62" s="8"/>
      <c r="BI62" s="8"/>
      <c r="BJ62" s="8"/>
      <c r="BK62" s="8"/>
      <c r="BL62" s="19">
        <f t="shared" si="12"/>
        <v>45</v>
      </c>
      <c r="BM62" s="8" t="s">
        <v>1058</v>
      </c>
    </row>
    <row r="63" spans="1:65" ht="25.5" x14ac:dyDescent="0.2">
      <c r="A63" s="8" t="s">
        <v>833</v>
      </c>
      <c r="B63" s="8" t="s">
        <v>1059</v>
      </c>
      <c r="C63" s="8">
        <v>29.633559999999999</v>
      </c>
      <c r="D63" s="8">
        <v>-81.197687000000002</v>
      </c>
      <c r="E63" s="8">
        <v>29.67</v>
      </c>
      <c r="F63" s="8">
        <v>-81.211944000000003</v>
      </c>
      <c r="G63" s="8" t="s">
        <v>834</v>
      </c>
      <c r="H63" s="8" t="s">
        <v>1060</v>
      </c>
      <c r="I63" s="21">
        <v>41677</v>
      </c>
      <c r="J63" s="23">
        <v>0.33333333333333331</v>
      </c>
      <c r="K63" s="8">
        <v>75</v>
      </c>
      <c r="L63" s="8"/>
      <c r="M63" s="8"/>
      <c r="N63" s="8"/>
      <c r="O63" s="8"/>
      <c r="P63" s="8"/>
      <c r="Q63" s="8"/>
      <c r="R63" s="8"/>
      <c r="S63" s="8">
        <v>3</v>
      </c>
      <c r="T63" s="8"/>
      <c r="U63" s="8"/>
      <c r="V63" s="8"/>
      <c r="W63" s="8">
        <v>5</v>
      </c>
      <c r="X63" s="8"/>
      <c r="Y63" s="8">
        <v>1</v>
      </c>
      <c r="Z63" s="8"/>
      <c r="AA63" s="8">
        <v>10</v>
      </c>
      <c r="AB63" s="8"/>
      <c r="AC63" s="8"/>
      <c r="AD63" s="8"/>
      <c r="AE63" s="8">
        <v>25</v>
      </c>
      <c r="AF63" s="8">
        <v>100</v>
      </c>
      <c r="AG63" s="8">
        <v>61</v>
      </c>
      <c r="AH63" s="8"/>
      <c r="AI63" s="8"/>
      <c r="AJ63" s="8"/>
      <c r="AK63" s="8"/>
      <c r="AL63" s="8"/>
      <c r="AM63" s="8"/>
      <c r="AN63" s="8"/>
      <c r="AO63" s="8"/>
      <c r="AP63" s="8"/>
      <c r="AQ63" s="8"/>
      <c r="AR63" s="8"/>
      <c r="AS63" s="8"/>
      <c r="AT63" s="8"/>
      <c r="AU63" s="8"/>
      <c r="AV63" s="8"/>
      <c r="AW63" s="8"/>
      <c r="AX63" s="8">
        <v>2</v>
      </c>
      <c r="AY63" s="8">
        <v>1</v>
      </c>
      <c r="AZ63" s="8"/>
      <c r="BA63" s="8"/>
      <c r="BB63" s="8"/>
      <c r="BC63" s="8"/>
      <c r="BD63" s="8"/>
      <c r="BE63" s="8"/>
      <c r="BF63" s="8">
        <v>10</v>
      </c>
      <c r="BG63" s="8"/>
      <c r="BH63" s="8"/>
      <c r="BI63" s="8"/>
      <c r="BJ63" s="8"/>
      <c r="BK63" s="8"/>
      <c r="BL63" s="19">
        <f t="shared" si="12"/>
        <v>293</v>
      </c>
      <c r="BM63" s="8" t="s">
        <v>1061</v>
      </c>
    </row>
    <row r="64" spans="1:65" ht="25.5" x14ac:dyDescent="0.2">
      <c r="A64" s="8" t="s">
        <v>1062</v>
      </c>
      <c r="B64" s="8" t="s">
        <v>1059</v>
      </c>
      <c r="C64" s="8">
        <v>29.670556000000001</v>
      </c>
      <c r="D64" s="8">
        <v>-81.208888999999999</v>
      </c>
      <c r="E64" s="8">
        <v>29.628889000000001</v>
      </c>
      <c r="F64" s="8">
        <v>-81.208888999999999</v>
      </c>
      <c r="G64" s="8" t="s">
        <v>834</v>
      </c>
      <c r="H64" s="8" t="s">
        <v>1063</v>
      </c>
      <c r="I64" s="21">
        <v>41677</v>
      </c>
      <c r="J64" s="23">
        <v>0.40625</v>
      </c>
      <c r="K64" s="8"/>
      <c r="L64" s="8"/>
      <c r="M64" s="8"/>
      <c r="N64" s="8">
        <v>36</v>
      </c>
      <c r="O64" s="8"/>
      <c r="P64" s="8"/>
      <c r="Q64" s="8"/>
      <c r="R64" s="8">
        <v>20</v>
      </c>
      <c r="S64" s="8"/>
      <c r="T64" s="8"/>
      <c r="U64" s="8"/>
      <c r="V64" s="8"/>
      <c r="W64" s="8"/>
      <c r="X64" s="8"/>
      <c r="Y64" s="8"/>
      <c r="Z64" s="8"/>
      <c r="AA64" s="8"/>
      <c r="AB64" s="8"/>
      <c r="AC64" s="8"/>
      <c r="AD64" s="8"/>
      <c r="AE64" s="8">
        <v>32</v>
      </c>
      <c r="AF64" s="8"/>
      <c r="AG64" s="8"/>
      <c r="AH64" s="8"/>
      <c r="AI64" s="8"/>
      <c r="AJ64" s="8"/>
      <c r="AK64" s="8"/>
      <c r="AL64" s="8"/>
      <c r="AM64" s="8"/>
      <c r="AN64" s="8"/>
      <c r="AO64" s="8"/>
      <c r="AP64" s="8"/>
      <c r="AQ64" s="8"/>
      <c r="AR64" s="8"/>
      <c r="AS64" s="8"/>
      <c r="AT64" s="8"/>
      <c r="AU64" s="8"/>
      <c r="AV64" s="8"/>
      <c r="AW64" s="8"/>
      <c r="AX64" s="8"/>
      <c r="AY64" s="8"/>
      <c r="AZ64" s="8"/>
      <c r="BA64" s="8"/>
      <c r="BB64" s="8"/>
      <c r="BC64" s="8">
        <v>3</v>
      </c>
      <c r="BD64" s="8"/>
      <c r="BE64" s="8"/>
      <c r="BF64" s="8"/>
      <c r="BG64" s="8"/>
      <c r="BH64" s="8"/>
      <c r="BI64" s="8"/>
      <c r="BJ64" s="8"/>
      <c r="BK64" s="8"/>
      <c r="BL64" s="19">
        <f t="shared" si="12"/>
        <v>91</v>
      </c>
      <c r="BM64" s="8" t="s">
        <v>1064</v>
      </c>
    </row>
    <row r="65" spans="1:65" ht="25.5" x14ac:dyDescent="0.2">
      <c r="A65" s="8" t="s">
        <v>1065</v>
      </c>
      <c r="B65" s="8" t="s">
        <v>1059</v>
      </c>
      <c r="C65" s="8">
        <v>29.548888999999999</v>
      </c>
      <c r="D65" s="8">
        <v>-81.160832999999997</v>
      </c>
      <c r="E65" s="8">
        <v>29.633559999999999</v>
      </c>
      <c r="F65" s="8">
        <v>-81.197687000000002</v>
      </c>
      <c r="G65" s="8" t="s">
        <v>1066</v>
      </c>
      <c r="H65" s="8" t="s">
        <v>1067</v>
      </c>
      <c r="I65" s="21">
        <v>41677</v>
      </c>
      <c r="J65" s="23">
        <v>0.33333333333333331</v>
      </c>
      <c r="K65" s="8">
        <v>84</v>
      </c>
      <c r="L65" s="8">
        <v>41</v>
      </c>
      <c r="M65" s="8"/>
      <c r="N65" s="8">
        <v>39</v>
      </c>
      <c r="O65" s="8"/>
      <c r="P65" s="8"/>
      <c r="Q65" s="8"/>
      <c r="R65" s="8">
        <v>9</v>
      </c>
      <c r="S65" s="8">
        <v>137</v>
      </c>
      <c r="T65" s="8"/>
      <c r="U65" s="8"/>
      <c r="V65" s="8">
        <v>1</v>
      </c>
      <c r="W65" s="8">
        <v>2</v>
      </c>
      <c r="X65" s="8"/>
      <c r="Y65" s="8">
        <v>20</v>
      </c>
      <c r="Z65" s="8"/>
      <c r="AA65" s="8">
        <v>15</v>
      </c>
      <c r="AB65" s="8"/>
      <c r="AC65" s="8"/>
      <c r="AD65" s="8"/>
      <c r="AE65" s="8">
        <v>39</v>
      </c>
      <c r="AF65" s="8">
        <v>22</v>
      </c>
      <c r="AG65" s="8"/>
      <c r="AH65" s="8"/>
      <c r="AI65" s="8"/>
      <c r="AJ65" s="8"/>
      <c r="AK65" s="8"/>
      <c r="AL65" s="8"/>
      <c r="AM65" s="8"/>
      <c r="AN65" s="8"/>
      <c r="AO65" s="8"/>
      <c r="AP65" s="8"/>
      <c r="AQ65" s="8"/>
      <c r="AR65" s="8"/>
      <c r="AS65" s="8"/>
      <c r="AT65" s="8"/>
      <c r="AU65" s="8"/>
      <c r="AV65" s="8"/>
      <c r="AW65" s="8">
        <v>1</v>
      </c>
      <c r="AX65" s="8">
        <v>75</v>
      </c>
      <c r="AY65" s="8"/>
      <c r="AZ65" s="8"/>
      <c r="BA65" s="8"/>
      <c r="BB65" s="8"/>
      <c r="BC65" s="8"/>
      <c r="BD65" s="8"/>
      <c r="BE65" s="8"/>
      <c r="BF65" s="8">
        <v>32</v>
      </c>
      <c r="BG65" s="8"/>
      <c r="BH65" s="8"/>
      <c r="BI65" s="8"/>
      <c r="BJ65" s="8"/>
      <c r="BK65" s="8"/>
      <c r="BL65" s="19">
        <f t="shared" si="12"/>
        <v>517</v>
      </c>
      <c r="BM65" s="8" t="s">
        <v>1068</v>
      </c>
    </row>
    <row r="66" spans="1:65" ht="25.5" x14ac:dyDescent="0.2">
      <c r="A66" s="8" t="s">
        <v>1069</v>
      </c>
      <c r="B66" s="8" t="s">
        <v>1059</v>
      </c>
      <c r="C66" s="8">
        <v>29.48</v>
      </c>
      <c r="D66" s="8">
        <v>-81.126125999999999</v>
      </c>
      <c r="E66" s="8">
        <v>29.548888999999999</v>
      </c>
      <c r="F66" s="8">
        <v>-81.160832999999997</v>
      </c>
      <c r="G66" s="8" t="s">
        <v>840</v>
      </c>
      <c r="H66" s="8" t="s">
        <v>1070</v>
      </c>
      <c r="I66" s="21">
        <v>41677</v>
      </c>
      <c r="J66" s="23">
        <v>0.34722222222222221</v>
      </c>
      <c r="K66" s="8">
        <v>115</v>
      </c>
      <c r="L66" s="8">
        <v>1</v>
      </c>
      <c r="N66" s="8">
        <v>2</v>
      </c>
      <c r="O66" s="8">
        <v>2</v>
      </c>
      <c r="P66" s="8">
        <v>1</v>
      </c>
      <c r="Q66" s="8"/>
      <c r="R66" s="8"/>
      <c r="S66" s="8">
        <v>57</v>
      </c>
      <c r="T66" s="8"/>
      <c r="U66" s="8"/>
      <c r="V66" s="8"/>
      <c r="W66" s="8">
        <v>10</v>
      </c>
      <c r="X66" s="8"/>
      <c r="Y66" s="8">
        <v>14</v>
      </c>
      <c r="Z66" s="8"/>
      <c r="AA66" s="8">
        <v>21</v>
      </c>
      <c r="AB66" s="8"/>
      <c r="AC66" s="8"/>
      <c r="AD66" s="8"/>
      <c r="AE66" s="8">
        <v>37</v>
      </c>
      <c r="AF66" s="8">
        <v>29</v>
      </c>
      <c r="AG66" s="8"/>
      <c r="AH66" s="8"/>
      <c r="AI66" s="8"/>
      <c r="AJ66" s="8"/>
      <c r="AK66" s="8"/>
      <c r="AL66" s="8"/>
      <c r="AM66" s="8"/>
      <c r="AN66" s="8"/>
      <c r="AO66" s="8"/>
      <c r="AP66" s="8"/>
      <c r="AQ66" s="8"/>
      <c r="AR66" s="8"/>
      <c r="AS66" s="8"/>
      <c r="AT66" s="8"/>
      <c r="AU66" s="8"/>
      <c r="AV66" s="8"/>
      <c r="AW66" s="8">
        <v>5</v>
      </c>
      <c r="AX66" s="8">
        <v>26</v>
      </c>
      <c r="AY66" s="8"/>
      <c r="AZ66" s="8"/>
      <c r="BA66" s="8"/>
      <c r="BB66" s="8"/>
      <c r="BC66" s="8"/>
      <c r="BD66" s="8"/>
      <c r="BE66" s="8"/>
      <c r="BF66" s="8">
        <v>31</v>
      </c>
      <c r="BG66" s="8"/>
      <c r="BH66" s="8"/>
      <c r="BI66" s="8"/>
      <c r="BJ66" s="8"/>
      <c r="BK66" s="8"/>
      <c r="BL66" s="19">
        <f t="shared" si="12"/>
        <v>351</v>
      </c>
      <c r="BM66" s="8" t="s">
        <v>1071</v>
      </c>
    </row>
    <row r="67" spans="1:65" ht="38.25" x14ac:dyDescent="0.2">
      <c r="A67" s="8" t="s">
        <v>1072</v>
      </c>
      <c r="B67" s="8" t="s">
        <v>1059</v>
      </c>
      <c r="C67" s="8">
        <v>29.48</v>
      </c>
      <c r="D67" s="8">
        <v>-81.126125999999999</v>
      </c>
      <c r="E67" s="8">
        <v>29.442312000000001</v>
      </c>
      <c r="F67" s="8">
        <v>-81.108901000000003</v>
      </c>
      <c r="G67" s="8" t="s">
        <v>1073</v>
      </c>
      <c r="H67" s="8" t="s">
        <v>1074</v>
      </c>
      <c r="I67" s="21">
        <v>41677</v>
      </c>
      <c r="J67" s="23">
        <v>0.3576388888888889</v>
      </c>
      <c r="K67" s="8">
        <v>131</v>
      </c>
      <c r="L67" s="8">
        <v>9</v>
      </c>
      <c r="M67" s="8"/>
      <c r="N67" s="8">
        <v>6</v>
      </c>
      <c r="O67" s="8"/>
      <c r="P67" s="8"/>
      <c r="Q67" s="8"/>
      <c r="R67" s="8">
        <v>1</v>
      </c>
      <c r="S67" s="8">
        <v>38</v>
      </c>
      <c r="T67" s="8"/>
      <c r="U67" s="8"/>
      <c r="V67" s="8">
        <v>3</v>
      </c>
      <c r="W67" s="8">
        <v>7</v>
      </c>
      <c r="X67" s="8"/>
      <c r="Y67" s="8">
        <v>70</v>
      </c>
      <c r="Z67" s="8"/>
      <c r="AA67" s="8">
        <v>9</v>
      </c>
      <c r="AB67" s="8"/>
      <c r="AC67" s="8"/>
      <c r="AD67" s="8"/>
      <c r="AE67" s="8">
        <v>60</v>
      </c>
      <c r="AF67" s="8">
        <v>30</v>
      </c>
      <c r="AG67" s="8"/>
      <c r="AH67" s="8"/>
      <c r="AI67" s="8"/>
      <c r="AJ67" s="8"/>
      <c r="AK67" s="8"/>
      <c r="AL67" s="8">
        <v>2</v>
      </c>
      <c r="AM67" s="8"/>
      <c r="AN67" s="8"/>
      <c r="AO67" s="8"/>
      <c r="AP67" s="8"/>
      <c r="AQ67" s="8"/>
      <c r="AR67" s="8"/>
      <c r="AS67" s="8"/>
      <c r="AT67" s="8"/>
      <c r="AU67" s="8"/>
      <c r="AV67" s="8"/>
      <c r="AW67" s="8">
        <v>5</v>
      </c>
      <c r="AX67" s="8">
        <v>4</v>
      </c>
      <c r="AY67" s="8"/>
      <c r="AZ67" s="8"/>
      <c r="BA67" s="8"/>
      <c r="BB67" s="8"/>
      <c r="BC67" s="8"/>
      <c r="BD67" s="8"/>
      <c r="BE67" s="8"/>
      <c r="BF67" s="8">
        <v>17</v>
      </c>
      <c r="BG67" s="8"/>
      <c r="BH67" s="8"/>
      <c r="BI67" s="8"/>
      <c r="BJ67" s="8"/>
      <c r="BK67" s="8"/>
      <c r="BL67" s="19">
        <f t="shared" si="12"/>
        <v>392</v>
      </c>
      <c r="BM67" s="8" t="s">
        <v>1075</v>
      </c>
    </row>
    <row r="68" spans="1:65" ht="28.5" customHeight="1" x14ac:dyDescent="0.2">
      <c r="A68" s="11" t="s">
        <v>52</v>
      </c>
      <c r="B68" s="11" t="s">
        <v>1076</v>
      </c>
      <c r="C68" s="11">
        <v>29.93788</v>
      </c>
      <c r="D68" s="11">
        <v>-84.335620000000006</v>
      </c>
      <c r="E68" s="11">
        <v>29.94755</v>
      </c>
      <c r="F68" s="11">
        <v>-84.34402</v>
      </c>
      <c r="G68" s="11" t="s">
        <v>54</v>
      </c>
      <c r="H68" s="11" t="s">
        <v>1077</v>
      </c>
      <c r="I68" s="13">
        <v>41677</v>
      </c>
      <c r="J68" s="27">
        <v>0.3125</v>
      </c>
      <c r="L68" s="8">
        <v>68</v>
      </c>
      <c r="N68" s="8">
        <v>2</v>
      </c>
      <c r="O68" s="8">
        <v>1</v>
      </c>
      <c r="P68" s="8">
        <v>4</v>
      </c>
      <c r="R68" s="8">
        <v>16</v>
      </c>
      <c r="S68" s="8">
        <v>5</v>
      </c>
      <c r="W68" s="8">
        <v>9</v>
      </c>
      <c r="X68" s="8">
        <v>3</v>
      </c>
      <c r="Y68" s="11">
        <v>2</v>
      </c>
      <c r="AB68" s="14"/>
      <c r="AE68" s="11">
        <v>9</v>
      </c>
      <c r="AG68" s="14"/>
      <c r="AI68" s="14"/>
      <c r="AL68" s="11">
        <v>4</v>
      </c>
      <c r="AM68" s="8">
        <v>6</v>
      </c>
      <c r="AN68" s="14"/>
      <c r="AV68" s="14"/>
      <c r="AW68" s="11">
        <v>49</v>
      </c>
      <c r="AX68" s="11">
        <v>20</v>
      </c>
      <c r="BA68" s="14"/>
      <c r="BB68" s="14"/>
      <c r="BC68" s="14"/>
      <c r="BD68" s="14"/>
      <c r="BE68" s="14"/>
      <c r="BF68" s="11">
        <v>17</v>
      </c>
      <c r="BG68" s="14"/>
      <c r="BH68" s="14"/>
      <c r="BI68" s="14"/>
      <c r="BJ68" s="14"/>
      <c r="BK68" s="14"/>
      <c r="BL68" s="19">
        <f t="shared" si="12"/>
        <v>215</v>
      </c>
      <c r="BM68" s="8" t="s">
        <v>1078</v>
      </c>
    </row>
    <row r="69" spans="1:65" ht="26.25" customHeight="1" x14ac:dyDescent="0.2">
      <c r="A69" s="11" t="s">
        <v>83</v>
      </c>
      <c r="B69" s="11" t="s">
        <v>1076</v>
      </c>
      <c r="C69" s="11">
        <v>29.904720000000001</v>
      </c>
      <c r="D69" s="11">
        <v>-84.424149999999997</v>
      </c>
      <c r="E69" s="11">
        <v>29.91891</v>
      </c>
      <c r="F69" s="11">
        <v>-84.44135</v>
      </c>
      <c r="G69" s="11" t="s">
        <v>54</v>
      </c>
      <c r="H69" s="11" t="s">
        <v>1077</v>
      </c>
      <c r="I69" s="13">
        <v>41677</v>
      </c>
      <c r="J69" s="27">
        <v>0.40625</v>
      </c>
      <c r="K69" s="14"/>
      <c r="L69" s="11">
        <v>4</v>
      </c>
      <c r="M69" s="14"/>
      <c r="N69" s="11">
        <v>3</v>
      </c>
      <c r="O69" s="14"/>
      <c r="P69" s="11">
        <v>2</v>
      </c>
      <c r="Q69" s="14"/>
      <c r="R69" s="14"/>
      <c r="S69" s="11">
        <v>15</v>
      </c>
      <c r="T69" s="14"/>
      <c r="U69" s="14"/>
      <c r="V69" s="14"/>
      <c r="W69" s="11">
        <v>4</v>
      </c>
      <c r="X69" s="14"/>
      <c r="Y69" s="14"/>
      <c r="Z69" s="14"/>
      <c r="AA69" s="14"/>
      <c r="AB69" s="14"/>
      <c r="AC69" s="14"/>
      <c r="AD69" s="14"/>
      <c r="AE69" s="11">
        <v>16</v>
      </c>
      <c r="AF69" s="11">
        <v>1</v>
      </c>
      <c r="AG69" s="14"/>
      <c r="AH69" s="14"/>
      <c r="AI69" s="14"/>
      <c r="AJ69" s="11">
        <v>6</v>
      </c>
      <c r="AK69" s="14"/>
      <c r="AL69" s="11">
        <v>9</v>
      </c>
      <c r="AM69" s="11">
        <v>10</v>
      </c>
      <c r="AN69" s="14"/>
      <c r="AO69" s="11">
        <v>1</v>
      </c>
      <c r="AP69" s="14"/>
      <c r="AQ69" s="14"/>
      <c r="AR69" s="14"/>
      <c r="AS69" s="14"/>
      <c r="AT69" s="14"/>
      <c r="AU69" s="11">
        <v>5</v>
      </c>
      <c r="AV69" s="11">
        <v>21</v>
      </c>
      <c r="AW69" s="11">
        <v>1</v>
      </c>
      <c r="AX69" s="11">
        <v>60</v>
      </c>
      <c r="AY69" s="14"/>
      <c r="AZ69" s="14"/>
      <c r="BA69" s="11">
        <v>1</v>
      </c>
      <c r="BB69" s="11">
        <v>10</v>
      </c>
      <c r="BC69" s="14"/>
      <c r="BD69" s="14"/>
      <c r="BE69" s="14"/>
      <c r="BF69" s="11">
        <v>70</v>
      </c>
      <c r="BG69" s="14"/>
      <c r="BH69" s="14"/>
      <c r="BI69" s="14"/>
      <c r="BJ69" s="14"/>
      <c r="BK69" s="14"/>
      <c r="BL69" s="19">
        <f t="shared" si="12"/>
        <v>239</v>
      </c>
      <c r="BM69" s="11" t="s">
        <v>1079</v>
      </c>
    </row>
    <row r="70" spans="1:65" ht="42" customHeight="1" x14ac:dyDescent="0.2">
      <c r="A70" s="11" t="s">
        <v>291</v>
      </c>
      <c r="B70" s="11" t="s">
        <v>1076</v>
      </c>
      <c r="C70" s="11">
        <v>29.682649999999999</v>
      </c>
      <c r="D70" s="11">
        <v>-84.796430000000001</v>
      </c>
      <c r="E70" s="11">
        <v>29.772469999999998</v>
      </c>
      <c r="F70" s="11">
        <v>-84.694289999999995</v>
      </c>
      <c r="G70" s="11" t="s">
        <v>202</v>
      </c>
      <c r="H70" s="11" t="s">
        <v>203</v>
      </c>
      <c r="I70" s="13">
        <v>41681</v>
      </c>
      <c r="J70" s="27">
        <v>0.49027777777777776</v>
      </c>
      <c r="K70" s="8"/>
      <c r="L70" s="8">
        <v>69</v>
      </c>
      <c r="M70" s="8"/>
      <c r="N70" s="8">
        <v>4</v>
      </c>
      <c r="O70" s="8"/>
      <c r="P70" s="8">
        <v>5</v>
      </c>
      <c r="Q70" s="8"/>
      <c r="R70" s="8">
        <v>5</v>
      </c>
      <c r="S70" s="8">
        <v>22</v>
      </c>
      <c r="T70" s="8"/>
      <c r="U70" s="8"/>
      <c r="V70" s="8"/>
      <c r="W70" s="8">
        <v>18</v>
      </c>
      <c r="X70" s="8"/>
      <c r="Y70" s="11">
        <v>6</v>
      </c>
      <c r="Z70" s="8"/>
      <c r="AA70" s="8">
        <v>1</v>
      </c>
      <c r="AB70" s="8"/>
      <c r="AC70" s="8"/>
      <c r="AD70" s="8"/>
      <c r="AE70" s="11">
        <v>144</v>
      </c>
      <c r="AF70" s="8"/>
      <c r="AG70" s="11"/>
      <c r="AH70" s="8"/>
      <c r="AI70" s="11"/>
      <c r="AJ70" s="8">
        <v>4</v>
      </c>
      <c r="AK70" s="8"/>
      <c r="AL70" s="11">
        <v>15</v>
      </c>
      <c r="AM70" s="8">
        <v>101</v>
      </c>
      <c r="AN70" s="11"/>
      <c r="AO70" s="11"/>
      <c r="AP70" s="8"/>
      <c r="AQ70" s="8"/>
      <c r="AR70" s="8"/>
      <c r="AS70" s="8"/>
      <c r="AT70" s="8"/>
      <c r="AU70" s="8">
        <v>11</v>
      </c>
      <c r="AV70" s="11"/>
      <c r="AW70" s="11">
        <v>9</v>
      </c>
      <c r="AX70" s="11">
        <v>233</v>
      </c>
      <c r="AY70" s="8">
        <v>25</v>
      </c>
      <c r="AZ70" s="8"/>
      <c r="BA70" s="8"/>
      <c r="BB70" s="8">
        <v>29</v>
      </c>
      <c r="BC70" s="8"/>
      <c r="BD70" s="8"/>
      <c r="BE70" s="8"/>
      <c r="BF70" s="8">
        <v>52</v>
      </c>
      <c r="BG70" s="8"/>
      <c r="BH70" s="8"/>
      <c r="BI70" s="11"/>
      <c r="BJ70" s="8"/>
      <c r="BK70" s="8"/>
      <c r="BL70" s="19">
        <f t="shared" si="12"/>
        <v>753</v>
      </c>
      <c r="BM70" s="14"/>
    </row>
    <row r="71" spans="1:65" ht="32.25" customHeight="1" x14ac:dyDescent="0.2">
      <c r="A71" s="11" t="s">
        <v>529</v>
      </c>
      <c r="B71" s="11" t="s">
        <v>1076</v>
      </c>
      <c r="C71" s="8">
        <v>29.69341</v>
      </c>
      <c r="D71" s="8">
        <v>-84.786519999999996</v>
      </c>
      <c r="E71" s="8">
        <v>29.70919</v>
      </c>
      <c r="F71" s="8">
        <v>-84.804649999999995</v>
      </c>
      <c r="G71" s="11" t="s">
        <v>530</v>
      </c>
      <c r="H71" s="11" t="s">
        <v>263</v>
      </c>
      <c r="I71" s="13">
        <v>41681</v>
      </c>
      <c r="J71" s="27">
        <v>0.3125</v>
      </c>
      <c r="K71" s="11"/>
      <c r="L71" s="11"/>
      <c r="M71" s="11"/>
      <c r="N71" s="11"/>
      <c r="O71" s="11"/>
      <c r="P71" s="11"/>
      <c r="Q71" s="11"/>
      <c r="R71" s="11"/>
      <c r="S71" s="11"/>
      <c r="T71" s="11"/>
      <c r="U71" s="11"/>
      <c r="V71" s="11"/>
      <c r="W71" s="11"/>
      <c r="X71" s="11"/>
      <c r="Y71" s="11"/>
      <c r="Z71" s="11"/>
      <c r="AA71" s="11"/>
      <c r="AB71" s="11"/>
      <c r="AC71" s="11"/>
      <c r="AD71" s="11"/>
      <c r="AE71" s="11">
        <v>3</v>
      </c>
      <c r="AF71" s="11"/>
      <c r="AG71" s="11"/>
      <c r="AH71" s="11"/>
      <c r="AI71" s="11"/>
      <c r="AJ71" s="11">
        <v>16</v>
      </c>
      <c r="AK71" s="11"/>
      <c r="AL71" s="11">
        <v>7</v>
      </c>
      <c r="AM71" s="11">
        <v>44</v>
      </c>
      <c r="AN71" s="11"/>
      <c r="AO71" s="11"/>
      <c r="AP71" s="11"/>
      <c r="AQ71" s="11"/>
      <c r="AR71" s="11"/>
      <c r="AS71" s="11"/>
      <c r="AT71" s="11"/>
      <c r="AU71" s="11"/>
      <c r="AV71" s="11"/>
      <c r="AW71" s="11">
        <v>19</v>
      </c>
      <c r="AX71" s="11">
        <v>5</v>
      </c>
      <c r="AY71" s="11"/>
      <c r="AZ71" s="11"/>
      <c r="BA71" s="11"/>
      <c r="BB71" s="11">
        <v>10</v>
      </c>
      <c r="BC71" s="11"/>
      <c r="BD71" s="11"/>
      <c r="BE71" s="11"/>
      <c r="BF71" s="11">
        <v>15</v>
      </c>
      <c r="BG71" s="11"/>
      <c r="BH71" s="11"/>
      <c r="BI71" s="11"/>
      <c r="BJ71" s="11"/>
      <c r="BK71" s="11"/>
      <c r="BL71" s="19">
        <f t="shared" si="12"/>
        <v>119</v>
      </c>
    </row>
    <row r="72" spans="1:65" ht="25.5" x14ac:dyDescent="0.2">
      <c r="A72" s="8" t="s">
        <v>1080</v>
      </c>
      <c r="B72" s="8" t="s">
        <v>1076</v>
      </c>
      <c r="C72" s="8">
        <v>29.832211999999998</v>
      </c>
      <c r="D72" s="8">
        <v>-84.573656</v>
      </c>
      <c r="E72" s="8">
        <v>29.782859999999999</v>
      </c>
      <c r="F72" s="8">
        <v>-84.674449999999993</v>
      </c>
      <c r="G72" s="8" t="s">
        <v>940</v>
      </c>
      <c r="H72" s="8" t="s">
        <v>1081</v>
      </c>
      <c r="I72" s="21">
        <v>41677</v>
      </c>
      <c r="J72" s="23">
        <v>0.47847222222222224</v>
      </c>
      <c r="K72" s="8"/>
      <c r="L72" s="8">
        <v>23</v>
      </c>
      <c r="M72" s="8"/>
      <c r="N72" s="8">
        <v>2</v>
      </c>
      <c r="O72" s="8"/>
      <c r="P72" s="8"/>
      <c r="Q72" s="8"/>
      <c r="R72" s="8">
        <v>5</v>
      </c>
      <c r="S72" s="8">
        <v>14</v>
      </c>
      <c r="T72" s="8"/>
      <c r="U72" s="8"/>
      <c r="V72" s="8"/>
      <c r="W72" s="8">
        <v>11</v>
      </c>
      <c r="X72" s="8">
        <v>3</v>
      </c>
      <c r="Y72" s="8">
        <v>2</v>
      </c>
      <c r="Z72" s="8"/>
      <c r="AA72" s="8"/>
      <c r="AB72" s="8"/>
      <c r="AC72" s="8"/>
      <c r="AD72" s="8"/>
      <c r="AE72" s="8">
        <v>15</v>
      </c>
      <c r="AF72" s="8"/>
      <c r="AG72" s="8"/>
      <c r="AH72" s="8"/>
      <c r="AI72" s="8"/>
      <c r="AJ72" s="8">
        <v>12</v>
      </c>
      <c r="AK72" s="8"/>
      <c r="AL72" s="8">
        <v>14</v>
      </c>
      <c r="AM72" s="8">
        <v>1</v>
      </c>
      <c r="AN72" s="8">
        <v>1</v>
      </c>
      <c r="AO72" s="8">
        <v>2</v>
      </c>
      <c r="AP72" s="8"/>
      <c r="AQ72" s="8">
        <v>2</v>
      </c>
      <c r="AR72" s="8"/>
      <c r="AS72" s="8"/>
      <c r="AT72" s="8"/>
      <c r="AU72" s="8">
        <v>6</v>
      </c>
      <c r="AV72" s="8">
        <v>14</v>
      </c>
      <c r="AW72" s="8">
        <v>34</v>
      </c>
      <c r="AX72" s="8">
        <v>175</v>
      </c>
      <c r="AY72" s="8">
        <v>19</v>
      </c>
      <c r="AZ72" s="8"/>
      <c r="BA72" s="8"/>
      <c r="BB72" s="8">
        <v>14</v>
      </c>
      <c r="BC72" s="8"/>
      <c r="BD72" s="8"/>
      <c r="BE72" s="8"/>
      <c r="BF72" s="8">
        <v>83</v>
      </c>
      <c r="BG72" s="8">
        <v>1</v>
      </c>
      <c r="BH72" s="8"/>
      <c r="BL72" s="19">
        <f t="shared" si="12"/>
        <v>453</v>
      </c>
      <c r="BM72" s="8" t="s">
        <v>1082</v>
      </c>
    </row>
    <row r="73" spans="1:65" ht="25.5" x14ac:dyDescent="0.2">
      <c r="A73" s="8" t="s">
        <v>898</v>
      </c>
      <c r="B73" s="8" t="s">
        <v>1083</v>
      </c>
      <c r="C73" s="8">
        <v>27.108532180000001</v>
      </c>
      <c r="D73" s="8">
        <v>-80.887560280000002</v>
      </c>
      <c r="E73" s="8">
        <v>27.092802620000001</v>
      </c>
      <c r="F73" s="8">
        <v>80.862290689999995</v>
      </c>
      <c r="G73" s="8" t="s">
        <v>899</v>
      </c>
      <c r="H73" s="8" t="s">
        <v>1084</v>
      </c>
      <c r="I73" s="21">
        <v>41682</v>
      </c>
      <c r="J73" s="23">
        <v>0.39027777777777778</v>
      </c>
      <c r="AN73" s="8">
        <v>3</v>
      </c>
      <c r="AO73" s="8">
        <v>53</v>
      </c>
      <c r="AP73" s="8">
        <v>9</v>
      </c>
      <c r="AQ73" s="8">
        <v>11</v>
      </c>
      <c r="BH73" s="8">
        <v>18</v>
      </c>
      <c r="BL73" s="19">
        <f t="shared" si="12"/>
        <v>94</v>
      </c>
      <c r="BM73" s="8" t="s">
        <v>1085</v>
      </c>
    </row>
    <row r="74" spans="1:65" ht="25.5" x14ac:dyDescent="0.2">
      <c r="A74" s="8" t="s">
        <v>903</v>
      </c>
      <c r="B74" s="8" t="s">
        <v>1086</v>
      </c>
      <c r="C74" s="8">
        <v>27.928026200000001</v>
      </c>
      <c r="D74" s="8">
        <v>-80.862290689999995</v>
      </c>
      <c r="E74" s="8">
        <v>27.15111023</v>
      </c>
      <c r="F74" s="8">
        <v>-80.863933369999998</v>
      </c>
      <c r="G74" s="8" t="s">
        <v>899</v>
      </c>
      <c r="H74" s="8" t="s">
        <v>1084</v>
      </c>
      <c r="I74" s="21">
        <v>41682</v>
      </c>
      <c r="J74" s="23">
        <v>0.5</v>
      </c>
      <c r="O74" s="8">
        <v>30</v>
      </c>
      <c r="S74" s="8">
        <v>36</v>
      </c>
      <c r="Y74" s="8">
        <v>15</v>
      </c>
      <c r="AE74" s="8">
        <v>4</v>
      </c>
      <c r="AL74" s="8">
        <v>3</v>
      </c>
      <c r="AN74" s="8">
        <v>5</v>
      </c>
      <c r="AO74" s="8">
        <v>12</v>
      </c>
      <c r="AP74" s="8">
        <v>53</v>
      </c>
      <c r="AQ74" s="8">
        <v>30</v>
      </c>
      <c r="BH74" s="8">
        <v>7</v>
      </c>
      <c r="BL74" s="19">
        <f t="shared" si="12"/>
        <v>195</v>
      </c>
      <c r="BM74" s="8" t="s">
        <v>1087</v>
      </c>
    </row>
    <row r="75" spans="1:65" ht="39" customHeight="1" x14ac:dyDescent="0.2">
      <c r="A75" s="11" t="s">
        <v>507</v>
      </c>
      <c r="B75" s="11" t="s">
        <v>1088</v>
      </c>
      <c r="C75" s="11">
        <v>29.759239999999998</v>
      </c>
      <c r="D75" s="11">
        <v>-85.40343</v>
      </c>
      <c r="E75" s="11">
        <v>29.877839999999999</v>
      </c>
      <c r="F75" s="11">
        <v>-85.384069999999994</v>
      </c>
      <c r="G75" s="11" t="s">
        <v>1089</v>
      </c>
      <c r="H75" s="11" t="s">
        <v>1090</v>
      </c>
      <c r="I75" s="13">
        <v>41683</v>
      </c>
      <c r="J75" s="27">
        <v>1011</v>
      </c>
      <c r="K75" s="8"/>
      <c r="L75" s="8">
        <v>86</v>
      </c>
      <c r="M75" s="8"/>
      <c r="N75" s="8">
        <v>20</v>
      </c>
      <c r="O75" s="8"/>
      <c r="P75" s="8">
        <v>2</v>
      </c>
      <c r="Q75" s="8"/>
      <c r="R75" s="8">
        <v>1</v>
      </c>
      <c r="S75" s="8">
        <v>21</v>
      </c>
      <c r="T75" s="8"/>
      <c r="U75" s="8"/>
      <c r="V75" s="8"/>
      <c r="W75" s="8">
        <v>50</v>
      </c>
      <c r="X75" s="8"/>
      <c r="Y75" s="11"/>
      <c r="Z75" s="8"/>
      <c r="AA75" s="8"/>
      <c r="AB75" s="8"/>
      <c r="AC75" s="11"/>
      <c r="AD75" s="8"/>
      <c r="AE75" s="8">
        <v>82</v>
      </c>
      <c r="AF75" s="8">
        <v>10</v>
      </c>
      <c r="AG75" s="11"/>
      <c r="AH75" s="11"/>
      <c r="AI75" s="11"/>
      <c r="AJ75" s="8">
        <v>2</v>
      </c>
      <c r="AK75" s="8"/>
      <c r="AL75" s="11">
        <v>20</v>
      </c>
      <c r="AM75" s="8">
        <v>34</v>
      </c>
      <c r="AN75" s="11"/>
      <c r="AO75" s="8">
        <v>8</v>
      </c>
      <c r="AP75" s="8"/>
      <c r="AQ75" s="8"/>
      <c r="AR75" s="8"/>
      <c r="AS75" s="8"/>
      <c r="AT75" s="8"/>
      <c r="AU75" s="8">
        <v>6</v>
      </c>
      <c r="AV75" s="11"/>
      <c r="AW75" s="8">
        <v>6</v>
      </c>
      <c r="AX75" s="8">
        <v>111</v>
      </c>
      <c r="AY75" s="8">
        <v>10</v>
      </c>
      <c r="AZ75" s="8"/>
      <c r="BA75" s="11"/>
      <c r="BB75" s="8">
        <v>47</v>
      </c>
      <c r="BC75" s="8"/>
      <c r="BD75" s="8"/>
      <c r="BE75" s="8"/>
      <c r="BF75" s="8">
        <v>113</v>
      </c>
      <c r="BG75" s="8"/>
      <c r="BH75" s="8"/>
      <c r="BI75" s="11"/>
      <c r="BJ75" s="8"/>
      <c r="BK75" s="8"/>
      <c r="BL75" s="19">
        <f t="shared" si="12"/>
        <v>629</v>
      </c>
      <c r="BM75" s="14"/>
    </row>
    <row r="76" spans="1:65" ht="25.5" x14ac:dyDescent="0.2">
      <c r="A76" s="8" t="s">
        <v>685</v>
      </c>
      <c r="B76" s="8" t="s">
        <v>1088</v>
      </c>
      <c r="C76" s="8">
        <v>29.6831</v>
      </c>
      <c r="D76" s="8">
        <v>-85.222309999999993</v>
      </c>
      <c r="E76" s="8">
        <v>29.675799999999999</v>
      </c>
      <c r="F76" s="8">
        <v>-85.33372</v>
      </c>
      <c r="G76" s="8" t="s">
        <v>301</v>
      </c>
      <c r="H76" s="8" t="s">
        <v>307</v>
      </c>
      <c r="I76" s="21">
        <v>41679</v>
      </c>
      <c r="J76" s="23">
        <v>0.35416666666666669</v>
      </c>
      <c r="K76" s="8">
        <v>163</v>
      </c>
      <c r="L76" s="8"/>
      <c r="M76" s="8"/>
      <c r="N76" s="8">
        <v>20</v>
      </c>
      <c r="O76" s="8"/>
      <c r="P76" s="8"/>
      <c r="Q76" s="8"/>
      <c r="R76" s="8">
        <v>6</v>
      </c>
      <c r="S76" s="8">
        <v>35</v>
      </c>
      <c r="T76" s="8"/>
      <c r="U76" s="8"/>
      <c r="V76" s="8"/>
      <c r="W76" s="8">
        <v>4</v>
      </c>
      <c r="X76" s="8"/>
      <c r="Y76" s="8">
        <v>9</v>
      </c>
      <c r="Z76" s="8"/>
      <c r="AA76" s="8"/>
      <c r="AB76" s="8"/>
      <c r="AC76" s="8"/>
      <c r="AD76" s="8"/>
      <c r="AE76" s="8">
        <v>29</v>
      </c>
      <c r="AF76" s="8">
        <v>2</v>
      </c>
      <c r="AG76" s="8"/>
      <c r="AH76" s="8"/>
      <c r="AI76" s="8"/>
      <c r="AJ76" s="8"/>
      <c r="AK76" s="8"/>
      <c r="AL76" s="8"/>
      <c r="AM76" s="8">
        <v>3</v>
      </c>
      <c r="AN76" s="8"/>
      <c r="AO76" s="8"/>
      <c r="AP76" s="8"/>
      <c r="AQ76" s="8"/>
      <c r="AR76" s="8"/>
      <c r="AS76" s="8"/>
      <c r="AT76" s="8"/>
      <c r="AU76" s="8">
        <v>9</v>
      </c>
      <c r="AV76" s="8"/>
      <c r="AW76" s="8">
        <v>25</v>
      </c>
      <c r="AX76" s="8">
        <v>45</v>
      </c>
      <c r="AY76" s="8"/>
      <c r="AZ76" s="8"/>
      <c r="BA76" s="8"/>
      <c r="BB76" s="8"/>
      <c r="BC76" s="8"/>
      <c r="BD76" s="8"/>
      <c r="BE76" s="8"/>
      <c r="BF76" s="8">
        <v>27</v>
      </c>
      <c r="BG76" s="8"/>
      <c r="BH76" s="8"/>
      <c r="BI76" s="8"/>
      <c r="BJ76" s="8"/>
      <c r="BK76" s="8"/>
      <c r="BL76" s="19">
        <f t="shared" si="12"/>
        <v>377</v>
      </c>
      <c r="BM76" s="8" t="s">
        <v>1091</v>
      </c>
    </row>
    <row r="77" spans="1:65" ht="25.5" x14ac:dyDescent="0.2">
      <c r="A77" s="8" t="s">
        <v>1092</v>
      </c>
      <c r="B77" s="8" t="s">
        <v>1088</v>
      </c>
      <c r="C77" s="8">
        <v>29.675799999999999</v>
      </c>
      <c r="D77" s="8">
        <v>-85.33372</v>
      </c>
      <c r="E77" s="8">
        <v>29.6691</v>
      </c>
      <c r="F77" s="8">
        <v>-85.355000000000004</v>
      </c>
      <c r="G77" s="8" t="s">
        <v>301</v>
      </c>
      <c r="H77" s="8" t="s">
        <v>307</v>
      </c>
      <c r="I77" s="21">
        <v>41679</v>
      </c>
      <c r="J77" s="27">
        <v>0.42708333333333331</v>
      </c>
      <c r="K77" s="8">
        <v>1</v>
      </c>
      <c r="L77" s="8">
        <v>56</v>
      </c>
      <c r="M77" s="8"/>
      <c r="N77" s="8">
        <v>30</v>
      </c>
      <c r="O77" s="8"/>
      <c r="P77" s="8">
        <v>2</v>
      </c>
      <c r="Q77" s="8"/>
      <c r="R77" s="8">
        <v>5</v>
      </c>
      <c r="S77" s="8">
        <v>42</v>
      </c>
      <c r="T77" s="8"/>
      <c r="U77" s="8"/>
      <c r="V77" s="8"/>
      <c r="W77" s="8">
        <v>13</v>
      </c>
      <c r="X77" s="8"/>
      <c r="Y77" s="8">
        <v>5</v>
      </c>
      <c r="Z77" s="8"/>
      <c r="AA77" s="8"/>
      <c r="AB77" s="8"/>
      <c r="AC77" s="8"/>
      <c r="AD77" s="8"/>
      <c r="AE77" s="8">
        <v>16</v>
      </c>
      <c r="AF77" s="8"/>
      <c r="AG77" s="8"/>
      <c r="AH77" s="8"/>
      <c r="AI77" s="8"/>
      <c r="AJ77" s="8"/>
      <c r="AK77" s="8"/>
      <c r="AL77" s="8"/>
      <c r="AM77" s="8">
        <v>30</v>
      </c>
      <c r="AN77" s="8"/>
      <c r="AO77" s="8"/>
      <c r="AP77" s="8"/>
      <c r="AQ77" s="8"/>
      <c r="AR77" s="8"/>
      <c r="AS77" s="8"/>
      <c r="AT77" s="8"/>
      <c r="AU77" s="8"/>
      <c r="AV77" s="8"/>
      <c r="AW77" s="8"/>
      <c r="AX77" s="8">
        <v>2</v>
      </c>
      <c r="AY77" s="8"/>
      <c r="AZ77" s="8">
        <v>2</v>
      </c>
      <c r="BA77" s="8"/>
      <c r="BB77" s="8"/>
      <c r="BC77" s="8"/>
      <c r="BD77" s="8"/>
      <c r="BE77" s="8"/>
      <c r="BF77" s="8">
        <v>5</v>
      </c>
      <c r="BG77" s="8"/>
      <c r="BH77" s="8"/>
      <c r="BI77" s="8"/>
      <c r="BJ77" s="8"/>
      <c r="BK77" s="8"/>
      <c r="BL77" s="19">
        <f t="shared" si="12"/>
        <v>209</v>
      </c>
      <c r="BM77" s="8" t="s">
        <v>1093</v>
      </c>
    </row>
    <row r="78" spans="1:65" ht="38.25" x14ac:dyDescent="0.2">
      <c r="A78" s="8" t="s">
        <v>1094</v>
      </c>
      <c r="B78" s="8" t="s">
        <v>1088</v>
      </c>
      <c r="C78" s="8">
        <v>29.751329999999999</v>
      </c>
      <c r="D78" s="8">
        <v>-85.334029999999998</v>
      </c>
      <c r="E78" s="8">
        <v>29.7895</v>
      </c>
      <c r="F78" s="8">
        <v>-85.268389999999997</v>
      </c>
      <c r="G78" s="8" t="s">
        <v>301</v>
      </c>
      <c r="H78" s="8" t="s">
        <v>307</v>
      </c>
      <c r="I78" s="21">
        <v>41679</v>
      </c>
      <c r="J78" s="23">
        <v>0.51041666666666663</v>
      </c>
      <c r="K78" s="8"/>
      <c r="L78" s="8"/>
      <c r="M78" s="8"/>
      <c r="N78" s="8">
        <v>61</v>
      </c>
      <c r="O78" s="8"/>
      <c r="P78" s="8"/>
      <c r="Q78" s="8"/>
      <c r="R78" s="8">
        <v>2</v>
      </c>
      <c r="S78" s="8"/>
      <c r="T78" s="8"/>
      <c r="U78" s="8"/>
      <c r="V78" s="8"/>
      <c r="W78" s="8">
        <v>9</v>
      </c>
      <c r="X78" s="8"/>
      <c r="Y78" s="8"/>
      <c r="Z78" s="8"/>
      <c r="AA78" s="8"/>
      <c r="AB78" s="8"/>
      <c r="AC78" s="8"/>
      <c r="AD78" s="8"/>
      <c r="AE78" s="8">
        <v>51</v>
      </c>
      <c r="AF78" s="8">
        <v>12</v>
      </c>
      <c r="AG78" s="8"/>
      <c r="AH78" s="8"/>
      <c r="AI78" s="8">
        <v>34</v>
      </c>
      <c r="AJ78" s="8"/>
      <c r="AK78" s="8"/>
      <c r="AL78" s="8"/>
      <c r="AM78" s="8">
        <v>20</v>
      </c>
      <c r="AN78" s="8"/>
      <c r="AO78" s="8">
        <v>2</v>
      </c>
      <c r="AP78" s="8"/>
      <c r="AQ78" s="8"/>
      <c r="AR78" s="8"/>
      <c r="AS78" s="8"/>
      <c r="AT78" s="8"/>
      <c r="AU78" s="8"/>
      <c r="AV78" s="8"/>
      <c r="AW78" s="8"/>
      <c r="AX78" s="8"/>
      <c r="AY78" s="8"/>
      <c r="AZ78" s="8"/>
      <c r="BA78" s="8"/>
      <c r="BB78" s="8"/>
      <c r="BC78" s="8"/>
      <c r="BD78" s="8"/>
      <c r="BE78" s="8"/>
      <c r="BF78" s="8">
        <v>10</v>
      </c>
      <c r="BG78" s="8"/>
      <c r="BH78" s="8"/>
      <c r="BI78" s="8"/>
      <c r="BJ78" s="8"/>
      <c r="BK78" s="8"/>
      <c r="BL78" s="19">
        <f t="shared" si="12"/>
        <v>201</v>
      </c>
      <c r="BM78" s="8" t="s">
        <v>1095</v>
      </c>
    </row>
    <row r="79" spans="1:65" ht="25.5" x14ac:dyDescent="0.2">
      <c r="A79" s="8" t="s">
        <v>699</v>
      </c>
      <c r="B79" s="8" t="s">
        <v>1088</v>
      </c>
      <c r="C79" s="8">
        <v>29.893219999999999</v>
      </c>
      <c r="D79" s="8">
        <v>-85.360169999999997</v>
      </c>
      <c r="E79" s="8">
        <v>29.8506</v>
      </c>
      <c r="F79" s="8">
        <v>-85.337100000000007</v>
      </c>
      <c r="G79" s="8" t="s">
        <v>301</v>
      </c>
      <c r="H79" s="8" t="s">
        <v>1096</v>
      </c>
      <c r="I79" s="21">
        <v>41681</v>
      </c>
      <c r="J79" s="23">
        <v>0.33333333333333331</v>
      </c>
      <c r="K79" s="8"/>
      <c r="L79" s="8">
        <v>350</v>
      </c>
      <c r="M79" s="8"/>
      <c r="N79" s="8">
        <v>2</v>
      </c>
      <c r="O79" s="8"/>
      <c r="P79" s="8"/>
      <c r="Q79" s="8"/>
      <c r="R79" s="8"/>
      <c r="S79" s="8"/>
      <c r="T79" s="8"/>
      <c r="U79" s="8"/>
      <c r="V79" s="8"/>
      <c r="W79" s="8">
        <v>3</v>
      </c>
      <c r="X79" s="8"/>
      <c r="Y79" s="8"/>
      <c r="Z79" s="8"/>
      <c r="AA79" s="8"/>
      <c r="AB79" s="8"/>
      <c r="AC79" s="8"/>
      <c r="AD79" s="8"/>
      <c r="AE79" s="8">
        <v>23</v>
      </c>
      <c r="AF79" s="8"/>
      <c r="AH79" s="8"/>
      <c r="AI79" s="8"/>
      <c r="AJ79" s="8"/>
      <c r="AK79" s="8"/>
      <c r="AL79" s="8">
        <v>1</v>
      </c>
      <c r="AM79" s="8"/>
      <c r="AN79" s="8"/>
      <c r="AO79" s="8">
        <v>5</v>
      </c>
      <c r="AP79" s="8"/>
      <c r="AQ79" s="8"/>
      <c r="AR79" s="8"/>
      <c r="AS79" s="8"/>
      <c r="AT79" s="8"/>
      <c r="AU79" s="8"/>
      <c r="AV79" s="8"/>
      <c r="AW79" s="8"/>
      <c r="AX79" s="8">
        <v>48</v>
      </c>
      <c r="AY79" s="8"/>
      <c r="AZ79" s="8"/>
      <c r="BA79" s="8"/>
      <c r="BB79" s="8">
        <v>9</v>
      </c>
      <c r="BC79" s="8"/>
      <c r="BD79" s="8"/>
      <c r="BE79" s="8"/>
      <c r="BF79" s="8">
        <v>20</v>
      </c>
      <c r="BG79" s="8"/>
      <c r="BH79" s="8"/>
      <c r="BI79" s="8"/>
      <c r="BJ79" s="8"/>
      <c r="BK79" s="8"/>
      <c r="BL79" s="19">
        <f t="shared" si="12"/>
        <v>461</v>
      </c>
      <c r="BM79" s="8" t="s">
        <v>1097</v>
      </c>
    </row>
    <row r="80" spans="1:65" ht="25.5" x14ac:dyDescent="0.2">
      <c r="A80" s="8" t="s">
        <v>1098</v>
      </c>
      <c r="B80" s="8" t="s">
        <v>1088</v>
      </c>
      <c r="C80" s="8">
        <v>29.893219999999999</v>
      </c>
      <c r="D80" s="8">
        <v>-85.360169999999997</v>
      </c>
      <c r="E80" s="8">
        <v>29.9251</v>
      </c>
      <c r="F80" s="8">
        <v>-85.389359999999996</v>
      </c>
      <c r="G80" s="8" t="s">
        <v>301</v>
      </c>
      <c r="H80" s="8" t="s">
        <v>307</v>
      </c>
      <c r="I80" s="21">
        <v>41681</v>
      </c>
      <c r="J80" s="23">
        <v>0.40625</v>
      </c>
      <c r="K80" s="8"/>
      <c r="L80" s="8"/>
      <c r="M80" s="8"/>
      <c r="N80" s="8">
        <v>2</v>
      </c>
      <c r="O80" s="8"/>
      <c r="P80" s="8"/>
      <c r="Q80" s="8"/>
      <c r="R80" s="8"/>
      <c r="S80" s="8">
        <v>2</v>
      </c>
      <c r="T80" s="8"/>
      <c r="U80" s="8"/>
      <c r="V80" s="8"/>
      <c r="W80" s="8"/>
      <c r="X80" s="8"/>
      <c r="Y80" s="8">
        <v>1</v>
      </c>
      <c r="Z80" s="8"/>
      <c r="AA80" s="8"/>
      <c r="AB80" s="8"/>
      <c r="AC80" s="8"/>
      <c r="AD80" s="8"/>
      <c r="AE80" s="8">
        <v>71</v>
      </c>
      <c r="AF80" s="8"/>
      <c r="AG80" s="8"/>
      <c r="AH80" s="8"/>
      <c r="AI80" s="8"/>
      <c r="AJ80" s="8"/>
      <c r="AK80" s="8"/>
      <c r="AL80" s="8"/>
      <c r="AM80" s="8"/>
      <c r="AN80" s="8"/>
      <c r="AO80" s="8">
        <v>2</v>
      </c>
      <c r="AP80" s="8"/>
      <c r="AQ80" s="8"/>
      <c r="AR80" s="8"/>
      <c r="AS80" s="8"/>
      <c r="AT80" s="8"/>
      <c r="AU80" s="8"/>
      <c r="AV80" s="8"/>
      <c r="AW80" s="8"/>
      <c r="AX80" s="8">
        <v>87</v>
      </c>
      <c r="AY80" s="8"/>
      <c r="AZ80" s="8"/>
      <c r="BA80" s="8"/>
      <c r="BB80" s="8"/>
      <c r="BC80" s="8"/>
      <c r="BD80" s="8"/>
      <c r="BE80" s="8"/>
      <c r="BF80" s="8">
        <v>16</v>
      </c>
      <c r="BG80" s="8"/>
      <c r="BH80" s="8"/>
      <c r="BI80" s="8"/>
      <c r="BJ80" s="8"/>
      <c r="BK80" s="8"/>
      <c r="BL80" s="19">
        <f t="shared" si="12"/>
        <v>181</v>
      </c>
      <c r="BM80" s="8" t="s">
        <v>1097</v>
      </c>
    </row>
    <row r="81" spans="1:65" ht="25.5" x14ac:dyDescent="0.2">
      <c r="A81" s="8" t="s">
        <v>708</v>
      </c>
      <c r="B81" s="8" t="s">
        <v>1088</v>
      </c>
      <c r="C81" s="8">
        <v>29.841059999999999</v>
      </c>
      <c r="D81" s="8">
        <v>-85.32</v>
      </c>
      <c r="E81" s="8">
        <v>29.832609999999999</v>
      </c>
      <c r="F81" s="8">
        <v>-85.313999999999993</v>
      </c>
      <c r="G81" s="8" t="s">
        <v>301</v>
      </c>
      <c r="H81" s="8" t="s">
        <v>307</v>
      </c>
      <c r="I81" s="21">
        <v>41681</v>
      </c>
      <c r="J81" s="23">
        <v>0.45833333333333331</v>
      </c>
      <c r="K81" s="8"/>
      <c r="L81" s="8">
        <v>17</v>
      </c>
      <c r="M81" s="8"/>
      <c r="N81" s="8">
        <v>6</v>
      </c>
      <c r="O81" s="8"/>
      <c r="P81" s="8">
        <v>5</v>
      </c>
      <c r="Q81" s="8"/>
      <c r="R81" s="8"/>
      <c r="S81" s="8">
        <v>10</v>
      </c>
      <c r="T81" s="8"/>
      <c r="U81" s="8"/>
      <c r="V81" s="8"/>
      <c r="W81" s="8"/>
      <c r="X81" s="8"/>
      <c r="Y81" s="8"/>
      <c r="Z81" s="8"/>
      <c r="AA81" s="8"/>
      <c r="AB81" s="8"/>
      <c r="AC81" s="8"/>
      <c r="AD81" s="8"/>
      <c r="AE81" s="8">
        <v>70</v>
      </c>
      <c r="AF81" s="8"/>
      <c r="AG81" s="8"/>
      <c r="AH81" s="8"/>
      <c r="AI81" s="8"/>
      <c r="AJ81" s="8"/>
      <c r="AK81" s="8"/>
      <c r="AL81" s="8"/>
      <c r="AM81" s="8">
        <v>20</v>
      </c>
      <c r="AN81" s="8"/>
      <c r="AO81" s="8"/>
      <c r="AP81" s="8"/>
      <c r="AQ81" s="8"/>
      <c r="AR81" s="8"/>
      <c r="AS81" s="8"/>
      <c r="AT81" s="8"/>
      <c r="AU81" s="8"/>
      <c r="AV81" s="8"/>
      <c r="AW81" s="8">
        <v>1</v>
      </c>
      <c r="AX81" s="8">
        <v>1</v>
      </c>
      <c r="AY81" s="8">
        <v>1</v>
      </c>
      <c r="AZ81" s="8">
        <v>6</v>
      </c>
      <c r="BA81" s="8"/>
      <c r="BB81" s="8"/>
      <c r="BC81" s="8"/>
      <c r="BD81" s="8"/>
      <c r="BE81" s="8"/>
      <c r="BF81" s="8">
        <v>2</v>
      </c>
      <c r="BG81" s="8"/>
      <c r="BH81" s="8"/>
      <c r="BI81" s="8"/>
      <c r="BJ81" s="8"/>
      <c r="BK81" s="8"/>
      <c r="BL81" s="19">
        <f t="shared" si="12"/>
        <v>139</v>
      </c>
      <c r="BM81" s="8" t="s">
        <v>1099</v>
      </c>
    </row>
    <row r="82" spans="1:65" ht="14.25" x14ac:dyDescent="0.2">
      <c r="A82" s="8" t="s">
        <v>1100</v>
      </c>
      <c r="B82" s="8" t="s">
        <v>1088</v>
      </c>
      <c r="C82" s="8">
        <v>29.759250000000002</v>
      </c>
      <c r="D82" s="8">
        <v>-85.403419999999997</v>
      </c>
      <c r="E82" s="8">
        <v>29.680810000000001</v>
      </c>
      <c r="F82" s="8">
        <v>-85.36636</v>
      </c>
      <c r="G82" s="8" t="s">
        <v>301</v>
      </c>
      <c r="H82" s="8" t="s">
        <v>307</v>
      </c>
      <c r="I82" s="21">
        <v>41685</v>
      </c>
      <c r="J82" s="23">
        <v>0.38541666666666669</v>
      </c>
      <c r="K82" s="8"/>
      <c r="M82" s="8"/>
      <c r="N82" s="8">
        <v>3</v>
      </c>
      <c r="O82" s="8"/>
      <c r="P82" s="8"/>
      <c r="Q82" s="8"/>
      <c r="R82" s="8"/>
      <c r="S82" s="8"/>
      <c r="T82" s="8"/>
      <c r="U82" s="8"/>
      <c r="V82" s="8"/>
      <c r="W82" s="8">
        <v>1</v>
      </c>
      <c r="X82" s="8"/>
      <c r="Y82" s="8"/>
      <c r="Z82" s="8"/>
      <c r="AA82" s="8"/>
      <c r="AB82" s="8"/>
      <c r="AC82" s="8"/>
      <c r="AD82" s="8"/>
      <c r="AE82" s="8">
        <v>58</v>
      </c>
      <c r="AF82" s="8"/>
      <c r="AG82" s="8"/>
      <c r="AH82" s="8"/>
      <c r="AI82" s="8"/>
      <c r="AJ82" s="8"/>
      <c r="AK82" s="8"/>
      <c r="AL82" s="8"/>
      <c r="AM82" s="8"/>
      <c r="AN82" s="8"/>
      <c r="AO82" s="8"/>
      <c r="AP82" s="8"/>
      <c r="AQ82" s="8"/>
      <c r="AR82" s="8"/>
      <c r="AS82" s="8"/>
      <c r="AT82" s="8"/>
      <c r="AU82" s="8"/>
      <c r="AV82" s="8"/>
      <c r="AW82" s="8"/>
      <c r="AX82" s="8">
        <v>34</v>
      </c>
      <c r="AY82" s="8"/>
      <c r="AZ82" s="8"/>
      <c r="BA82" s="8"/>
      <c r="BB82" s="8"/>
      <c r="BC82" s="8"/>
      <c r="BD82" s="8"/>
      <c r="BE82" s="8"/>
      <c r="BF82" s="8">
        <v>18</v>
      </c>
      <c r="BG82" s="8"/>
      <c r="BH82" s="8"/>
      <c r="BI82" s="8"/>
      <c r="BJ82" s="8"/>
      <c r="BK82" s="8"/>
      <c r="BL82" s="19">
        <f t="shared" si="12"/>
        <v>114</v>
      </c>
      <c r="BM82" s="8" t="s">
        <v>1101</v>
      </c>
    </row>
    <row r="83" spans="1:65" ht="14.25" x14ac:dyDescent="0.2">
      <c r="A83" s="8" t="s">
        <v>1102</v>
      </c>
      <c r="B83" s="8" t="s">
        <v>1103</v>
      </c>
      <c r="C83" s="8" t="s">
        <v>1104</v>
      </c>
      <c r="D83" s="8" t="s">
        <v>1105</v>
      </c>
      <c r="E83" s="8" t="s">
        <v>1106</v>
      </c>
      <c r="F83" s="8" t="s">
        <v>1107</v>
      </c>
      <c r="G83" s="8" t="s">
        <v>1108</v>
      </c>
      <c r="H83" s="8" t="s">
        <v>1109</v>
      </c>
      <c r="I83" s="21">
        <v>40955</v>
      </c>
      <c r="J83" s="23">
        <v>0.35416666666666669</v>
      </c>
      <c r="K83" s="8">
        <v>201</v>
      </c>
      <c r="O83" s="8">
        <v>80</v>
      </c>
      <c r="R83" s="8">
        <v>80</v>
      </c>
      <c r="S83" s="8">
        <v>12</v>
      </c>
      <c r="AI83" s="8">
        <v>150</v>
      </c>
      <c r="AK83" s="8">
        <v>30</v>
      </c>
      <c r="AM83" s="8">
        <v>4</v>
      </c>
      <c r="AN83" s="8">
        <v>40</v>
      </c>
      <c r="AO83" s="8">
        <v>3</v>
      </c>
      <c r="AP83" s="8">
        <v>1</v>
      </c>
      <c r="AQ83" s="8">
        <v>46</v>
      </c>
      <c r="AS83" s="8">
        <v>250</v>
      </c>
      <c r="BH83" s="8">
        <v>1</v>
      </c>
      <c r="BL83" s="19">
        <f t="shared" si="12"/>
        <v>898</v>
      </c>
    </row>
    <row r="84" spans="1:65" ht="25.5" x14ac:dyDescent="0.2">
      <c r="A84" s="8" t="s">
        <v>1110</v>
      </c>
      <c r="B84" s="8" t="s">
        <v>1111</v>
      </c>
      <c r="C84" s="8">
        <v>27.586244000000001</v>
      </c>
      <c r="D84" s="8">
        <v>-82.760480999999999</v>
      </c>
      <c r="E84" s="8">
        <v>27.587019000000002</v>
      </c>
      <c r="F84" s="8">
        <v>-82.760499999999993</v>
      </c>
      <c r="G84" s="8" t="s">
        <v>1112</v>
      </c>
      <c r="H84" s="8" t="s">
        <v>1113</v>
      </c>
      <c r="I84" s="21">
        <v>41681</v>
      </c>
      <c r="J84" s="8">
        <v>800</v>
      </c>
      <c r="K84" s="8"/>
      <c r="L84" s="8"/>
      <c r="M84" s="8"/>
      <c r="N84" s="8">
        <v>10</v>
      </c>
      <c r="O84" s="8"/>
      <c r="P84" s="8">
        <v>3</v>
      </c>
      <c r="Q84" s="8"/>
      <c r="R84" s="8">
        <v>30</v>
      </c>
      <c r="S84" s="8"/>
      <c r="T84" s="8"/>
      <c r="U84" s="8"/>
      <c r="V84" s="8"/>
      <c r="W84" s="8">
        <v>3</v>
      </c>
      <c r="X84" s="8"/>
      <c r="Y84" s="8">
        <v>444</v>
      </c>
      <c r="Z84" s="8"/>
      <c r="AA84" s="8"/>
      <c r="AB84" s="8"/>
      <c r="AC84" s="8"/>
      <c r="AD84" s="8"/>
      <c r="AE84" s="8">
        <v>5</v>
      </c>
      <c r="AF84" s="8">
        <v>13</v>
      </c>
      <c r="AG84" s="8"/>
      <c r="AH84" s="8"/>
      <c r="AI84" s="8"/>
      <c r="AJ84" s="8">
        <v>13</v>
      </c>
      <c r="AK84" s="8"/>
      <c r="AL84" s="8">
        <v>1</v>
      </c>
      <c r="AM84" s="8"/>
      <c r="AN84" s="8"/>
      <c r="AO84" s="8"/>
      <c r="AP84" s="8"/>
      <c r="AQ84" s="8"/>
      <c r="AR84" s="8"/>
      <c r="AS84" s="8"/>
      <c r="AT84" s="8"/>
      <c r="AU84" s="8"/>
      <c r="AV84" s="8"/>
      <c r="AW84" s="8">
        <v>10</v>
      </c>
      <c r="AX84" s="8"/>
      <c r="AY84" s="8"/>
      <c r="AZ84" s="8"/>
      <c r="BA84" s="8"/>
      <c r="BB84" s="8"/>
      <c r="BC84" s="8"/>
      <c r="BD84" s="8"/>
      <c r="BE84" s="8"/>
      <c r="BF84" s="8">
        <v>45</v>
      </c>
      <c r="BG84" s="8"/>
      <c r="BH84" s="8"/>
      <c r="BI84" s="8"/>
      <c r="BJ84" s="8"/>
      <c r="BK84" s="8"/>
      <c r="BL84" s="19">
        <f t="shared" si="12"/>
        <v>577</v>
      </c>
      <c r="BM84" s="8" t="s">
        <v>1114</v>
      </c>
    </row>
    <row r="85" spans="1:65" ht="25.5" x14ac:dyDescent="0.2">
      <c r="A85" s="8" t="s">
        <v>1115</v>
      </c>
      <c r="B85" s="8" t="s">
        <v>1111</v>
      </c>
      <c r="C85" s="8">
        <v>27.85999</v>
      </c>
      <c r="D85" s="8">
        <v>-82.38485</v>
      </c>
      <c r="G85" s="8" t="s">
        <v>1116</v>
      </c>
      <c r="H85" s="8" t="s">
        <v>704</v>
      </c>
      <c r="I85" s="21">
        <v>41684</v>
      </c>
      <c r="J85" s="23">
        <v>0.39583333333333331</v>
      </c>
      <c r="N85" s="8">
        <v>158</v>
      </c>
      <c r="O85" s="8">
        <v>10</v>
      </c>
      <c r="P85" s="8">
        <v>10</v>
      </c>
      <c r="R85" s="8">
        <v>110</v>
      </c>
      <c r="S85" s="8">
        <v>35</v>
      </c>
      <c r="W85" s="8">
        <v>2</v>
      </c>
      <c r="X85" s="8">
        <v>3</v>
      </c>
      <c r="Y85" s="8">
        <v>41</v>
      </c>
      <c r="AE85" s="8">
        <v>24</v>
      </c>
      <c r="AF85" s="8">
        <v>43</v>
      </c>
      <c r="AG85" s="8">
        <v>2</v>
      </c>
      <c r="AI85" s="8">
        <v>176</v>
      </c>
      <c r="AJ85" s="8">
        <v>72</v>
      </c>
      <c r="AL85" s="8">
        <v>21</v>
      </c>
      <c r="AO85" s="8">
        <v>13</v>
      </c>
      <c r="AP85" s="8">
        <v>26</v>
      </c>
      <c r="AR85" s="8">
        <v>4</v>
      </c>
      <c r="AT85" s="8">
        <v>2</v>
      </c>
      <c r="AW85" s="8">
        <v>45</v>
      </c>
      <c r="AX85" s="8">
        <v>22</v>
      </c>
      <c r="AY85" s="8">
        <v>25</v>
      </c>
      <c r="BC85" s="8">
        <v>10</v>
      </c>
      <c r="BD85" s="8">
        <v>61</v>
      </c>
      <c r="BF85" s="8">
        <v>143</v>
      </c>
      <c r="BL85" s="29"/>
      <c r="BM85" s="8" t="s">
        <v>1117</v>
      </c>
    </row>
    <row r="86" spans="1:65" ht="14.25" x14ac:dyDescent="0.2">
      <c r="A86" s="8" t="s">
        <v>1118</v>
      </c>
      <c r="B86" s="8" t="s">
        <v>1111</v>
      </c>
      <c r="C86" s="8">
        <v>27.7395</v>
      </c>
      <c r="D86" s="8">
        <v>-82.4696</v>
      </c>
      <c r="E86" s="8">
        <v>27.748699999999999</v>
      </c>
      <c r="F86" s="8">
        <v>-82.466999999999999</v>
      </c>
      <c r="G86" s="8" t="s">
        <v>1119</v>
      </c>
      <c r="H86" s="8" t="s">
        <v>1120</v>
      </c>
      <c r="I86" s="21">
        <v>41678</v>
      </c>
      <c r="J86" s="8">
        <v>940</v>
      </c>
      <c r="N86" s="8">
        <v>9</v>
      </c>
      <c r="R86" s="8">
        <v>2</v>
      </c>
      <c r="S86" s="8">
        <v>3</v>
      </c>
      <c r="X86" s="8">
        <v>15</v>
      </c>
      <c r="Y86" s="8">
        <v>28</v>
      </c>
      <c r="AE86" s="8">
        <v>6</v>
      </c>
      <c r="AF86" s="8">
        <v>1</v>
      </c>
      <c r="AW86" s="8">
        <v>2</v>
      </c>
      <c r="BC86" s="8">
        <v>2</v>
      </c>
      <c r="BF86" s="8">
        <v>1</v>
      </c>
      <c r="BL86" s="29"/>
      <c r="BM86" s="8" t="s">
        <v>711</v>
      </c>
    </row>
    <row r="87" spans="1:65" ht="14.25" x14ac:dyDescent="0.2">
      <c r="A87" s="8" t="s">
        <v>1121</v>
      </c>
      <c r="B87" s="8" t="s">
        <v>1111</v>
      </c>
      <c r="C87" s="8">
        <v>27.9315</v>
      </c>
      <c r="D87" s="8">
        <v>-82.428399999999996</v>
      </c>
      <c r="E87" s="8">
        <v>27.9345</v>
      </c>
      <c r="F87" s="8">
        <v>-82.418499999999995</v>
      </c>
      <c r="G87" s="8" t="s">
        <v>1119</v>
      </c>
      <c r="H87" s="8" t="s">
        <v>1120</v>
      </c>
      <c r="I87" s="21">
        <v>41678</v>
      </c>
      <c r="J87" s="8">
        <v>1330</v>
      </c>
      <c r="N87" s="8">
        <v>3</v>
      </c>
      <c r="P87" s="8">
        <v>1</v>
      </c>
      <c r="R87" s="8">
        <v>34</v>
      </c>
      <c r="S87" s="8">
        <v>5</v>
      </c>
      <c r="Y87" s="8">
        <v>7</v>
      </c>
      <c r="AE87" s="8">
        <v>1</v>
      </c>
      <c r="AI87" s="8">
        <v>2</v>
      </c>
      <c r="AJ87" s="8">
        <v>1</v>
      </c>
      <c r="BC87" s="8">
        <v>1</v>
      </c>
      <c r="BF87" s="8">
        <v>2</v>
      </c>
      <c r="BL87" s="29"/>
      <c r="BM87" s="8" t="s">
        <v>711</v>
      </c>
    </row>
    <row r="88" spans="1:65" ht="25.5" x14ac:dyDescent="0.2">
      <c r="A88" s="11" t="s">
        <v>1122</v>
      </c>
      <c r="B88" s="11" t="s">
        <v>1123</v>
      </c>
      <c r="C88" s="11">
        <v>27.484175</v>
      </c>
      <c r="D88" s="11">
        <v>80.252638000000005</v>
      </c>
      <c r="E88" s="11">
        <v>27.484175</v>
      </c>
      <c r="F88" s="11">
        <v>80.252638000000005</v>
      </c>
      <c r="G88" s="11" t="s">
        <v>1124</v>
      </c>
      <c r="H88" s="11" t="s">
        <v>1125</v>
      </c>
      <c r="I88" s="13">
        <v>41681</v>
      </c>
      <c r="J88" s="27">
        <v>0.30208333333333331</v>
      </c>
      <c r="K88" s="11"/>
      <c r="L88" s="11"/>
      <c r="M88" s="11"/>
      <c r="N88" s="11">
        <v>11</v>
      </c>
      <c r="O88" s="11"/>
      <c r="P88" s="11"/>
      <c r="Q88" s="11"/>
      <c r="R88" s="11">
        <v>11</v>
      </c>
      <c r="S88" s="11"/>
      <c r="T88" s="11"/>
      <c r="U88" s="11"/>
      <c r="V88" s="11"/>
      <c r="W88" s="11"/>
      <c r="X88" s="11"/>
      <c r="Y88" s="11">
        <v>2</v>
      </c>
      <c r="Z88" s="11"/>
      <c r="AA88" s="11"/>
      <c r="AB88" s="11"/>
      <c r="AC88" s="11"/>
      <c r="AD88" s="11"/>
      <c r="AE88" s="11">
        <v>3</v>
      </c>
      <c r="AF88" s="11"/>
      <c r="AG88" s="11"/>
      <c r="AH88" s="11"/>
      <c r="AI88" s="11">
        <v>1</v>
      </c>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9">
        <f t="shared" ref="BL88:BL120" si="13">SUM(K88:BK88)</f>
        <v>28</v>
      </c>
      <c r="BM88" s="11" t="s">
        <v>1126</v>
      </c>
    </row>
    <row r="89" spans="1:65" ht="24" customHeight="1" x14ac:dyDescent="0.2">
      <c r="A89" s="11" t="s">
        <v>1127</v>
      </c>
      <c r="B89" s="11" t="s">
        <v>1123</v>
      </c>
      <c r="C89" s="11" t="s">
        <v>1128</v>
      </c>
      <c r="D89" s="11" t="s">
        <v>1129</v>
      </c>
      <c r="E89" s="11" t="s">
        <v>1130</v>
      </c>
      <c r="F89" s="11" t="s">
        <v>1131</v>
      </c>
      <c r="G89" s="11" t="s">
        <v>1132</v>
      </c>
      <c r="H89" s="11" t="s">
        <v>436</v>
      </c>
      <c r="I89" s="13">
        <v>41681</v>
      </c>
      <c r="J89" s="11">
        <v>1100</v>
      </c>
      <c r="K89" s="14"/>
      <c r="O89" s="14"/>
      <c r="Y89" s="14"/>
      <c r="AB89" s="14"/>
      <c r="AE89" s="11">
        <v>27</v>
      </c>
      <c r="AG89" s="14"/>
      <c r="AI89" s="14"/>
      <c r="AL89" s="14"/>
      <c r="AN89" s="14"/>
      <c r="AO89" s="14"/>
      <c r="AV89" s="14"/>
      <c r="AW89" s="14"/>
      <c r="AX89" s="8">
        <v>32</v>
      </c>
      <c r="BA89" s="14"/>
      <c r="BB89" s="14"/>
      <c r="BC89" s="14"/>
      <c r="BD89" s="14"/>
      <c r="BE89" s="14"/>
      <c r="BF89" s="8">
        <v>7</v>
      </c>
      <c r="BI89" s="14"/>
      <c r="BL89" s="19">
        <f t="shared" si="13"/>
        <v>66</v>
      </c>
      <c r="BM89" s="11" t="s">
        <v>1133</v>
      </c>
    </row>
    <row r="90" spans="1:65" ht="14.25" x14ac:dyDescent="0.2">
      <c r="A90" s="8" t="s">
        <v>733</v>
      </c>
      <c r="B90" s="8" t="s">
        <v>1123</v>
      </c>
      <c r="C90" s="8">
        <v>27.553474999999999</v>
      </c>
      <c r="D90" s="8">
        <v>-80.349518000000003</v>
      </c>
      <c r="E90" s="8">
        <v>27.782786000000002</v>
      </c>
      <c r="F90" s="8">
        <v>-80.441104999999993</v>
      </c>
      <c r="G90" s="8" t="s">
        <v>735</v>
      </c>
      <c r="H90" s="8" t="s">
        <v>374</v>
      </c>
      <c r="I90" s="21">
        <v>41680</v>
      </c>
      <c r="J90" s="23">
        <v>0.41666666666666669</v>
      </c>
      <c r="K90" s="8"/>
      <c r="L90" s="8"/>
      <c r="M90" s="8"/>
      <c r="N90" s="8">
        <v>78</v>
      </c>
      <c r="O90" s="8">
        <v>3</v>
      </c>
      <c r="P90" s="8"/>
      <c r="Q90" s="8"/>
      <c r="R90" s="8">
        <v>87</v>
      </c>
      <c r="S90" s="8"/>
      <c r="T90" s="8"/>
      <c r="U90" s="8"/>
      <c r="V90" s="8"/>
      <c r="W90" s="8">
        <v>1</v>
      </c>
      <c r="X90" s="8"/>
      <c r="Y90" s="8">
        <v>3</v>
      </c>
      <c r="Z90" s="8"/>
      <c r="AA90" s="8"/>
      <c r="AB90" s="8"/>
      <c r="AC90" s="8"/>
      <c r="AD90" s="8"/>
      <c r="AE90" s="8">
        <v>18</v>
      </c>
      <c r="AF90" s="8">
        <v>2</v>
      </c>
      <c r="AG90" s="8"/>
      <c r="AH90" s="8"/>
      <c r="AI90" s="8">
        <v>5</v>
      </c>
      <c r="AJ90" s="8">
        <v>2</v>
      </c>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19">
        <f t="shared" si="13"/>
        <v>199</v>
      </c>
      <c r="BM90" s="8" t="s">
        <v>1134</v>
      </c>
    </row>
    <row r="91" spans="1:65" ht="38.25" customHeight="1" x14ac:dyDescent="0.2">
      <c r="A91" s="11" t="s">
        <v>1135</v>
      </c>
      <c r="B91" s="11" t="s">
        <v>1136</v>
      </c>
      <c r="C91" s="11" t="s">
        <v>1137</v>
      </c>
      <c r="D91" s="11" t="s">
        <v>1138</v>
      </c>
      <c r="E91" s="11" t="s">
        <v>1137</v>
      </c>
      <c r="F91" s="11" t="s">
        <v>1138</v>
      </c>
      <c r="G91" s="11" t="s">
        <v>1139</v>
      </c>
      <c r="H91" s="11" t="s">
        <v>1140</v>
      </c>
      <c r="I91" s="13">
        <v>41683</v>
      </c>
      <c r="J91" s="27">
        <v>0.34375</v>
      </c>
      <c r="K91" s="14"/>
      <c r="L91" s="11">
        <v>2</v>
      </c>
      <c r="M91" s="14"/>
      <c r="N91" s="11">
        <v>25</v>
      </c>
      <c r="O91" s="14"/>
      <c r="P91" s="14"/>
      <c r="Q91" s="14"/>
      <c r="R91" s="14"/>
      <c r="S91" s="11">
        <v>4</v>
      </c>
      <c r="T91" s="14"/>
      <c r="U91" s="14"/>
      <c r="V91" s="14"/>
      <c r="W91" s="11">
        <v>1</v>
      </c>
      <c r="X91" s="14"/>
      <c r="Y91" s="11">
        <v>27</v>
      </c>
      <c r="Z91" s="14"/>
      <c r="AA91" s="11">
        <v>21</v>
      </c>
      <c r="AB91" s="14"/>
      <c r="AC91" s="14"/>
      <c r="AD91" s="14"/>
      <c r="AE91" s="11">
        <v>30</v>
      </c>
      <c r="AF91" s="11">
        <v>35</v>
      </c>
      <c r="AG91" s="11">
        <v>7</v>
      </c>
      <c r="AH91" s="14"/>
      <c r="AI91" s="14"/>
      <c r="AJ91" s="14"/>
      <c r="AK91" s="14"/>
      <c r="AL91" s="14"/>
      <c r="AM91" s="14"/>
      <c r="AN91" s="14"/>
      <c r="AO91" s="14"/>
      <c r="AP91" s="14"/>
      <c r="AQ91" s="14"/>
      <c r="AR91" s="14"/>
      <c r="AS91" s="14"/>
      <c r="AT91" s="14"/>
      <c r="AU91" s="11">
        <v>3</v>
      </c>
      <c r="AV91" s="14"/>
      <c r="AW91" s="11">
        <v>6</v>
      </c>
      <c r="AX91" s="11">
        <v>23</v>
      </c>
      <c r="AY91" s="14"/>
      <c r="AZ91" s="14"/>
      <c r="BA91" s="14"/>
      <c r="BB91" s="14"/>
      <c r="BC91" s="14"/>
      <c r="BD91" s="14"/>
      <c r="BE91" s="14"/>
      <c r="BF91" s="11">
        <v>1</v>
      </c>
      <c r="BG91" s="14"/>
      <c r="BH91" s="14"/>
      <c r="BI91" s="14"/>
      <c r="BJ91" s="14"/>
      <c r="BK91" s="14"/>
      <c r="BL91" s="19">
        <f t="shared" si="13"/>
        <v>185</v>
      </c>
      <c r="BM91" s="8" t="s">
        <v>1141</v>
      </c>
    </row>
    <row r="92" spans="1:65" ht="24.75" customHeight="1" x14ac:dyDescent="0.2">
      <c r="A92" s="11" t="s">
        <v>1142</v>
      </c>
      <c r="B92" s="11" t="s">
        <v>1136</v>
      </c>
      <c r="C92" s="11" t="s">
        <v>1143</v>
      </c>
      <c r="D92" s="11" t="s">
        <v>1144</v>
      </c>
      <c r="E92" s="11" t="s">
        <v>1143</v>
      </c>
      <c r="F92" s="11" t="s">
        <v>1144</v>
      </c>
      <c r="G92" s="11" t="s">
        <v>1139</v>
      </c>
      <c r="H92" s="11" t="s">
        <v>1140</v>
      </c>
      <c r="I92" s="13">
        <v>41683</v>
      </c>
      <c r="J92" s="27">
        <v>0.375</v>
      </c>
      <c r="N92" s="8">
        <v>45</v>
      </c>
      <c r="AE92" s="14"/>
      <c r="AG92" s="14"/>
      <c r="AI92" s="14"/>
      <c r="AL92" s="14"/>
      <c r="AN92" s="14"/>
      <c r="AV92" s="14"/>
      <c r="AW92" s="14"/>
      <c r="AX92" s="14"/>
      <c r="BL92" s="19">
        <f t="shared" si="13"/>
        <v>45</v>
      </c>
      <c r="BM92" s="8" t="s">
        <v>1145</v>
      </c>
    </row>
    <row r="93" spans="1:65" ht="25.5" x14ac:dyDescent="0.2">
      <c r="A93" s="11" t="s">
        <v>139</v>
      </c>
      <c r="B93" s="11" t="s">
        <v>1146</v>
      </c>
      <c r="C93" s="11">
        <v>26.40305</v>
      </c>
      <c r="D93" s="11">
        <v>-81.878079999999997</v>
      </c>
      <c r="E93" s="11">
        <v>26.37912</v>
      </c>
      <c r="F93" s="11">
        <v>-81.869169999999997</v>
      </c>
      <c r="G93" s="11" t="s">
        <v>1147</v>
      </c>
      <c r="H93" s="11" t="s">
        <v>1148</v>
      </c>
      <c r="I93" s="13">
        <v>41677</v>
      </c>
      <c r="J93" s="27">
        <v>0.39583333333333331</v>
      </c>
      <c r="K93" s="11"/>
      <c r="L93" s="11"/>
      <c r="M93" s="11"/>
      <c r="N93" s="11">
        <v>17</v>
      </c>
      <c r="O93" s="11"/>
      <c r="P93" s="11"/>
      <c r="Q93" s="11"/>
      <c r="R93" s="11">
        <v>1</v>
      </c>
      <c r="S93" s="11"/>
      <c r="T93" s="11"/>
      <c r="U93" s="11"/>
      <c r="V93" s="11"/>
      <c r="W93" s="11">
        <v>1</v>
      </c>
      <c r="X93" s="11"/>
      <c r="Y93" s="11">
        <v>3</v>
      </c>
      <c r="Z93" s="11"/>
      <c r="AA93" s="11"/>
      <c r="AB93" s="11"/>
      <c r="AC93" s="11"/>
      <c r="AD93" s="11"/>
      <c r="AE93" s="11">
        <v>4</v>
      </c>
      <c r="AF93" s="11">
        <v>1</v>
      </c>
      <c r="AG93" s="11">
        <v>1</v>
      </c>
      <c r="AH93" s="11"/>
      <c r="AI93" s="11"/>
      <c r="AJ93" s="11">
        <v>2</v>
      </c>
      <c r="AK93" s="11"/>
      <c r="AL93" s="11"/>
      <c r="AM93" s="11"/>
      <c r="AN93" s="11"/>
      <c r="AO93" s="11"/>
      <c r="AP93" s="11"/>
      <c r="AQ93" s="11"/>
      <c r="AR93" s="11"/>
      <c r="AS93" s="11"/>
      <c r="AT93" s="11"/>
      <c r="AU93" s="11"/>
      <c r="AV93" s="11"/>
      <c r="AW93" s="11">
        <v>6</v>
      </c>
      <c r="AX93" s="11">
        <v>28</v>
      </c>
      <c r="AY93" s="11"/>
      <c r="AZ93" s="11"/>
      <c r="BA93" s="11"/>
      <c r="BB93" s="11"/>
      <c r="BC93" s="11">
        <v>2</v>
      </c>
      <c r="BD93" s="11">
        <v>29</v>
      </c>
      <c r="BE93" s="11"/>
      <c r="BF93" s="11">
        <v>40</v>
      </c>
      <c r="BG93" s="11"/>
      <c r="BH93" s="11"/>
      <c r="BI93" s="11"/>
      <c r="BJ93" s="11"/>
      <c r="BK93" s="11"/>
      <c r="BL93" s="19">
        <f t="shared" si="13"/>
        <v>135</v>
      </c>
      <c r="BM93" s="11" t="s">
        <v>1149</v>
      </c>
    </row>
    <row r="94" spans="1:65" ht="51" x14ac:dyDescent="0.2">
      <c r="A94" s="11" t="s">
        <v>200</v>
      </c>
      <c r="B94" s="11" t="s">
        <v>1146</v>
      </c>
      <c r="C94" s="11">
        <v>26.365037399999999</v>
      </c>
      <c r="D94" s="11">
        <v>-81.863230999999999</v>
      </c>
      <c r="E94" s="11">
        <v>26.330372000000001</v>
      </c>
      <c r="F94" s="11">
        <v>-82.845616000000007</v>
      </c>
      <c r="G94" s="11" t="s">
        <v>201</v>
      </c>
      <c r="H94" s="11" t="s">
        <v>1150</v>
      </c>
      <c r="I94" s="13">
        <v>41677</v>
      </c>
      <c r="J94" s="27">
        <v>0.35416666666666669</v>
      </c>
      <c r="K94" s="11">
        <v>47</v>
      </c>
      <c r="L94" s="11"/>
      <c r="M94" s="11"/>
      <c r="N94" s="11">
        <v>58</v>
      </c>
      <c r="O94" s="11">
        <v>1</v>
      </c>
      <c r="P94" s="11"/>
      <c r="Q94" s="11"/>
      <c r="R94" s="11"/>
      <c r="S94" s="11"/>
      <c r="T94" s="11"/>
      <c r="U94" s="11"/>
      <c r="V94" s="11"/>
      <c r="W94" s="11">
        <v>1</v>
      </c>
      <c r="X94" s="11"/>
      <c r="Y94" s="11">
        <v>130</v>
      </c>
      <c r="Z94" s="11"/>
      <c r="AA94" s="11"/>
      <c r="AB94" s="11"/>
      <c r="AC94" s="11"/>
      <c r="AD94" s="11"/>
      <c r="AE94" s="11">
        <v>74</v>
      </c>
      <c r="AF94" s="11">
        <v>355</v>
      </c>
      <c r="AG94" s="11"/>
      <c r="AH94" s="11"/>
      <c r="AI94" s="11"/>
      <c r="AJ94" s="11"/>
      <c r="AK94" s="11"/>
      <c r="AL94" s="11">
        <v>41</v>
      </c>
      <c r="AM94" s="11"/>
      <c r="AN94" s="11"/>
      <c r="AO94" s="11"/>
      <c r="AP94" s="11"/>
      <c r="AQ94" s="11"/>
      <c r="AR94" s="11"/>
      <c r="AS94" s="11"/>
      <c r="AT94" s="11"/>
      <c r="AU94" s="11"/>
      <c r="AV94" s="11">
        <v>1</v>
      </c>
      <c r="AW94" s="11">
        <v>80</v>
      </c>
      <c r="AX94" s="11">
        <v>181</v>
      </c>
      <c r="AY94" s="11">
        <v>1</v>
      </c>
      <c r="AZ94" s="11"/>
      <c r="BA94" s="11"/>
      <c r="BB94" s="11"/>
      <c r="BC94" s="11"/>
      <c r="BD94" s="11"/>
      <c r="BE94" s="11"/>
      <c r="BF94" s="11">
        <v>74</v>
      </c>
      <c r="BG94" s="11">
        <v>3</v>
      </c>
      <c r="BH94" s="11"/>
      <c r="BI94" s="11"/>
      <c r="BJ94" s="11"/>
      <c r="BK94" s="11"/>
      <c r="BL94" s="19">
        <f t="shared" si="13"/>
        <v>1047</v>
      </c>
      <c r="BM94" s="8" t="s">
        <v>1151</v>
      </c>
    </row>
    <row r="95" spans="1:65" ht="25.5" x14ac:dyDescent="0.2">
      <c r="A95" s="11" t="s">
        <v>577</v>
      </c>
      <c r="B95" s="11" t="s">
        <v>1146</v>
      </c>
      <c r="C95" s="11">
        <v>26.743158999999999</v>
      </c>
      <c r="D95" s="11">
        <v>-82.264139</v>
      </c>
      <c r="E95" s="11" t="s">
        <v>1152</v>
      </c>
      <c r="F95" s="11">
        <v>-82.259028000000001</v>
      </c>
      <c r="G95" s="11" t="s">
        <v>554</v>
      </c>
      <c r="H95" s="11" t="s">
        <v>552</v>
      </c>
      <c r="I95" s="13">
        <v>41680</v>
      </c>
      <c r="J95" s="27">
        <v>0.375</v>
      </c>
      <c r="K95" s="8"/>
      <c r="L95" s="8"/>
      <c r="M95" s="8"/>
      <c r="N95" s="8">
        <v>7</v>
      </c>
      <c r="O95" s="8"/>
      <c r="P95" s="8"/>
      <c r="Q95" s="8"/>
      <c r="R95" s="8">
        <v>29</v>
      </c>
      <c r="S95" s="8"/>
      <c r="T95" s="8"/>
      <c r="U95" s="8"/>
      <c r="V95" s="8"/>
      <c r="W95" s="8">
        <v>3</v>
      </c>
      <c r="X95" s="8"/>
      <c r="Y95" s="8">
        <v>31</v>
      </c>
      <c r="Z95" s="8"/>
      <c r="AA95" s="8"/>
      <c r="AB95" s="8"/>
      <c r="AC95" s="8"/>
      <c r="AD95" s="8"/>
      <c r="AE95" s="8">
        <v>19</v>
      </c>
      <c r="AF95" s="8">
        <v>126</v>
      </c>
      <c r="AG95" s="11">
        <v>34</v>
      </c>
      <c r="AH95" s="8"/>
      <c r="AI95" s="11"/>
      <c r="AJ95" s="8"/>
      <c r="AK95" s="8"/>
      <c r="AL95" s="11"/>
      <c r="AM95" s="8"/>
      <c r="AN95" s="11"/>
      <c r="AO95" s="11"/>
      <c r="AP95" s="8"/>
      <c r="AQ95" s="8"/>
      <c r="AR95" s="8"/>
      <c r="AS95" s="8"/>
      <c r="AT95" s="8"/>
      <c r="AU95" s="8"/>
      <c r="AV95" s="11"/>
      <c r="AW95" s="11"/>
      <c r="AX95" s="8">
        <v>2</v>
      </c>
      <c r="AY95" s="8"/>
      <c r="AZ95" s="8"/>
      <c r="BA95" s="8"/>
      <c r="BB95" s="8"/>
      <c r="BC95" s="8"/>
      <c r="BD95" s="8"/>
      <c r="BE95" s="8"/>
      <c r="BF95" s="8">
        <v>2</v>
      </c>
      <c r="BG95" s="8"/>
      <c r="BH95" s="8"/>
      <c r="BI95" s="8"/>
      <c r="BJ95" s="8"/>
      <c r="BK95" s="8"/>
      <c r="BL95" s="19">
        <f t="shared" si="13"/>
        <v>253</v>
      </c>
      <c r="BM95" s="8" t="s">
        <v>1153</v>
      </c>
    </row>
    <row r="96" spans="1:65" ht="14.25" x14ac:dyDescent="0.2">
      <c r="A96" s="8" t="s">
        <v>1154</v>
      </c>
      <c r="B96" s="8" t="s">
        <v>1146</v>
      </c>
      <c r="C96" s="8">
        <v>26.727221</v>
      </c>
      <c r="D96" s="8">
        <v>-82.263914</v>
      </c>
      <c r="E96" s="8">
        <v>26.780833000000001</v>
      </c>
      <c r="F96" s="8">
        <v>-82.268995000000004</v>
      </c>
      <c r="G96" s="8" t="s">
        <v>602</v>
      </c>
      <c r="H96" s="8" t="s">
        <v>603</v>
      </c>
      <c r="I96" s="21">
        <v>41677</v>
      </c>
      <c r="J96" s="8" t="s">
        <v>1155</v>
      </c>
      <c r="K96" s="8">
        <v>30</v>
      </c>
      <c r="L96" s="8"/>
      <c r="M96" s="8"/>
      <c r="N96" s="8">
        <v>14</v>
      </c>
      <c r="O96" s="8"/>
      <c r="P96" s="8"/>
      <c r="Q96" s="8"/>
      <c r="R96" s="8">
        <v>21</v>
      </c>
      <c r="S96" s="8">
        <v>3</v>
      </c>
      <c r="T96" s="8"/>
      <c r="U96" s="8"/>
      <c r="V96" s="8"/>
      <c r="W96" s="8">
        <v>2</v>
      </c>
      <c r="X96" s="8"/>
      <c r="Y96" s="8">
        <v>7</v>
      </c>
      <c r="Z96" s="8"/>
      <c r="AA96" s="8"/>
      <c r="AB96" s="8"/>
      <c r="AC96" s="8"/>
      <c r="AD96" s="8"/>
      <c r="AE96" s="8">
        <v>10</v>
      </c>
      <c r="AF96" s="8">
        <v>1</v>
      </c>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v>3</v>
      </c>
      <c r="BG96" s="8"/>
      <c r="BH96" s="8"/>
      <c r="BI96" s="8"/>
      <c r="BJ96" s="8"/>
      <c r="BK96" s="8"/>
      <c r="BL96" s="19">
        <f t="shared" si="13"/>
        <v>91</v>
      </c>
      <c r="BM96" s="8" t="s">
        <v>1156</v>
      </c>
    </row>
    <row r="97" spans="1:65" ht="14.25" x14ac:dyDescent="0.2">
      <c r="A97" s="8" t="s">
        <v>630</v>
      </c>
      <c r="B97" s="8" t="s">
        <v>1146</v>
      </c>
      <c r="C97" s="8">
        <v>26.453620000000001</v>
      </c>
      <c r="D97" s="8">
        <v>-82.014110000000002</v>
      </c>
      <c r="E97" s="8">
        <v>26.438420000000001</v>
      </c>
      <c r="F97" s="8">
        <v>-82.037589999999994</v>
      </c>
      <c r="G97" s="8" t="s">
        <v>627</v>
      </c>
      <c r="H97" s="8" t="s">
        <v>1157</v>
      </c>
      <c r="I97" s="21">
        <v>41682</v>
      </c>
      <c r="J97" s="8">
        <v>914</v>
      </c>
      <c r="K97" s="8">
        <v>40</v>
      </c>
      <c r="V97" s="8">
        <v>2</v>
      </c>
      <c r="W97" s="8">
        <v>2</v>
      </c>
      <c r="Y97" s="8">
        <v>76</v>
      </c>
      <c r="Z97" s="8">
        <v>6</v>
      </c>
      <c r="AE97" s="8">
        <v>13</v>
      </c>
      <c r="AF97" s="8">
        <v>182</v>
      </c>
      <c r="AG97" s="8">
        <v>1</v>
      </c>
      <c r="AW97" s="8">
        <v>31</v>
      </c>
      <c r="AX97" s="8">
        <v>122</v>
      </c>
      <c r="BB97" s="8">
        <v>6</v>
      </c>
      <c r="BF97" s="8">
        <v>65</v>
      </c>
      <c r="BL97" s="19">
        <f t="shared" si="13"/>
        <v>546</v>
      </c>
    </row>
    <row r="98" spans="1:65" ht="14.25" x14ac:dyDescent="0.2">
      <c r="A98" s="8" t="s">
        <v>637</v>
      </c>
      <c r="B98" s="8" t="s">
        <v>1146</v>
      </c>
      <c r="C98" s="8">
        <v>26.438420000000001</v>
      </c>
      <c r="D98" s="8">
        <v>-82.037589999999994</v>
      </c>
      <c r="E98" s="8">
        <v>26.431010000000001</v>
      </c>
      <c r="F98" s="8">
        <v>-82.051209999999998</v>
      </c>
      <c r="G98" s="8" t="s">
        <v>638</v>
      </c>
      <c r="H98" s="8" t="s">
        <v>1157</v>
      </c>
      <c r="I98" s="21">
        <v>41682</v>
      </c>
      <c r="J98" s="8">
        <v>858</v>
      </c>
      <c r="Y98" s="8">
        <v>1</v>
      </c>
      <c r="Z98" s="8">
        <v>1</v>
      </c>
      <c r="AE98" s="8">
        <v>13</v>
      </c>
      <c r="AL98" s="8">
        <v>9</v>
      </c>
      <c r="AW98" s="8">
        <v>38</v>
      </c>
      <c r="AX98" s="8">
        <v>84</v>
      </c>
      <c r="BB98" s="8">
        <v>2</v>
      </c>
      <c r="BF98" s="8">
        <v>4</v>
      </c>
      <c r="BL98" s="19">
        <f t="shared" si="13"/>
        <v>152</v>
      </c>
    </row>
    <row r="99" spans="1:65" ht="14.25" x14ac:dyDescent="0.2">
      <c r="A99" s="8" t="s">
        <v>641</v>
      </c>
      <c r="B99" s="8" t="s">
        <v>1146</v>
      </c>
      <c r="C99" s="8">
        <v>26.431010000000001</v>
      </c>
      <c r="D99" s="8">
        <v>-82.051209999999998</v>
      </c>
      <c r="E99" s="8">
        <v>26.421959999999999</v>
      </c>
      <c r="F99" s="8">
        <v>-82.080100000000002</v>
      </c>
      <c r="G99" s="8" t="s">
        <v>638</v>
      </c>
      <c r="H99" s="8" t="s">
        <v>1157</v>
      </c>
      <c r="I99" s="21">
        <v>41682</v>
      </c>
      <c r="J99" s="8">
        <v>926</v>
      </c>
      <c r="N99" s="8">
        <v>130</v>
      </c>
      <c r="S99" s="8">
        <v>1</v>
      </c>
      <c r="W99" s="8">
        <v>1</v>
      </c>
      <c r="Y99" s="8">
        <v>21</v>
      </c>
      <c r="AE99" s="8">
        <v>14</v>
      </c>
      <c r="AF99" s="8">
        <v>1</v>
      </c>
      <c r="AL99" s="8">
        <v>11</v>
      </c>
      <c r="AW99" s="8">
        <v>51</v>
      </c>
      <c r="AX99" s="8">
        <v>83</v>
      </c>
      <c r="BB99" s="8">
        <v>11</v>
      </c>
      <c r="BF99" s="8">
        <v>6</v>
      </c>
      <c r="BL99" s="19">
        <f t="shared" si="13"/>
        <v>330</v>
      </c>
    </row>
    <row r="100" spans="1:65" ht="14.25" x14ac:dyDescent="0.2">
      <c r="A100" s="8" t="s">
        <v>1158</v>
      </c>
      <c r="B100" s="8" t="s">
        <v>1146</v>
      </c>
      <c r="C100" s="8">
        <v>26.421959999999999</v>
      </c>
      <c r="D100" s="8">
        <v>-82.080100000000002</v>
      </c>
      <c r="E100" s="8">
        <v>26.43009</v>
      </c>
      <c r="F100" s="8">
        <v>-82.111980000000003</v>
      </c>
      <c r="G100" s="8" t="s">
        <v>650</v>
      </c>
      <c r="H100" s="8" t="s">
        <v>1157</v>
      </c>
      <c r="I100" s="21">
        <v>41682</v>
      </c>
      <c r="J100" s="8">
        <v>800</v>
      </c>
      <c r="N100" s="8">
        <v>6</v>
      </c>
      <c r="O100" s="8">
        <v>7</v>
      </c>
      <c r="Q100" s="8">
        <v>1</v>
      </c>
      <c r="R100" s="8">
        <v>2</v>
      </c>
      <c r="S100" s="8">
        <v>9</v>
      </c>
      <c r="W100" s="8">
        <v>3</v>
      </c>
      <c r="Y100" s="8">
        <v>10</v>
      </c>
      <c r="Z100" s="8">
        <v>1</v>
      </c>
      <c r="AE100" s="8">
        <v>20</v>
      </c>
      <c r="AF100" s="8">
        <v>51</v>
      </c>
      <c r="AG100" s="8">
        <v>2</v>
      </c>
      <c r="AL100" s="8">
        <v>6</v>
      </c>
      <c r="AW100" s="8">
        <v>24</v>
      </c>
      <c r="AX100" s="8">
        <v>150</v>
      </c>
      <c r="BE100" s="8">
        <v>7</v>
      </c>
      <c r="BL100" s="19">
        <f t="shared" si="13"/>
        <v>299</v>
      </c>
    </row>
    <row r="101" spans="1:65" ht="14.25" x14ac:dyDescent="0.2">
      <c r="A101" s="8" t="s">
        <v>649</v>
      </c>
      <c r="B101" s="8" t="s">
        <v>1146</v>
      </c>
      <c r="C101" s="8">
        <v>26.43009</v>
      </c>
      <c r="D101" s="8">
        <v>-82.111980000000003</v>
      </c>
      <c r="E101" s="8">
        <v>26.44961</v>
      </c>
      <c r="F101" s="8">
        <v>-82.142759999999996</v>
      </c>
      <c r="G101" s="8" t="s">
        <v>650</v>
      </c>
      <c r="H101" s="8" t="s">
        <v>1157</v>
      </c>
      <c r="I101" s="21">
        <v>41682</v>
      </c>
      <c r="J101" s="8">
        <v>920</v>
      </c>
      <c r="N101" s="8">
        <v>4</v>
      </c>
      <c r="Y101" s="8">
        <v>3</v>
      </c>
      <c r="Z101" s="8">
        <v>9</v>
      </c>
      <c r="AE101" s="8">
        <v>10</v>
      </c>
      <c r="AF101" s="8">
        <v>2</v>
      </c>
      <c r="AL101" s="8">
        <v>25</v>
      </c>
      <c r="AM101" s="8">
        <v>8</v>
      </c>
      <c r="AW101" s="8">
        <v>30</v>
      </c>
      <c r="AX101" s="8">
        <v>132</v>
      </c>
      <c r="BF101" s="8">
        <v>71</v>
      </c>
      <c r="BL101" s="19">
        <f t="shared" si="13"/>
        <v>294</v>
      </c>
    </row>
    <row r="102" spans="1:65" ht="14.25" x14ac:dyDescent="0.2">
      <c r="A102" s="8" t="s">
        <v>653</v>
      </c>
      <c r="B102" s="8" t="s">
        <v>1146</v>
      </c>
      <c r="C102" s="8">
        <v>26.44961</v>
      </c>
      <c r="D102" s="8">
        <v>-82.142759999999996</v>
      </c>
      <c r="E102" s="8">
        <v>26.465070000000001</v>
      </c>
      <c r="F102" s="8">
        <v>-82.167100000000005</v>
      </c>
      <c r="G102" s="8" t="s">
        <v>1159</v>
      </c>
      <c r="H102" s="8" t="s">
        <v>1157</v>
      </c>
      <c r="I102" s="21">
        <v>41682</v>
      </c>
      <c r="J102" s="8">
        <v>1443</v>
      </c>
      <c r="S102" s="8">
        <v>7</v>
      </c>
      <c r="Y102" s="8">
        <v>23</v>
      </c>
      <c r="AE102" s="8">
        <v>6</v>
      </c>
      <c r="AF102" s="8">
        <v>128</v>
      </c>
      <c r="AG102" s="8">
        <v>9</v>
      </c>
      <c r="AL102" s="8">
        <v>6</v>
      </c>
      <c r="AV102" s="8">
        <v>13</v>
      </c>
      <c r="AW102" s="8">
        <v>31</v>
      </c>
      <c r="AX102" s="8">
        <v>24</v>
      </c>
      <c r="BF102" s="8">
        <v>17</v>
      </c>
      <c r="BL102" s="19">
        <f t="shared" si="13"/>
        <v>264</v>
      </c>
    </row>
    <row r="103" spans="1:65" ht="14.25" x14ac:dyDescent="0.2">
      <c r="A103" s="8" t="s">
        <v>657</v>
      </c>
      <c r="B103" s="8" t="s">
        <v>1146</v>
      </c>
      <c r="C103" s="8">
        <v>26.465070000000001</v>
      </c>
      <c r="D103" s="8">
        <v>-82.167100000000005</v>
      </c>
      <c r="E103" s="8">
        <v>26.482579999999999</v>
      </c>
      <c r="F103" s="8">
        <v>-82.182209999999998</v>
      </c>
      <c r="G103" s="8" t="s">
        <v>1159</v>
      </c>
      <c r="H103" s="8" t="s">
        <v>1157</v>
      </c>
      <c r="I103" s="21">
        <v>41682</v>
      </c>
      <c r="J103" s="8">
        <v>1342</v>
      </c>
      <c r="N103" s="8">
        <v>2</v>
      </c>
      <c r="S103" s="8">
        <v>6</v>
      </c>
      <c r="W103" s="8">
        <v>1</v>
      </c>
      <c r="Y103" s="8">
        <v>33</v>
      </c>
      <c r="AE103" s="8">
        <v>6</v>
      </c>
      <c r="AF103" s="8">
        <v>141</v>
      </c>
      <c r="AG103" s="8">
        <v>6</v>
      </c>
      <c r="AL103" s="8">
        <v>4</v>
      </c>
      <c r="AO103" s="8">
        <v>2</v>
      </c>
      <c r="AW103" s="8">
        <v>3</v>
      </c>
      <c r="AX103" s="8">
        <v>20</v>
      </c>
      <c r="BF103" s="8">
        <v>53</v>
      </c>
      <c r="BG103" s="8">
        <v>2</v>
      </c>
      <c r="BL103" s="19">
        <f t="shared" si="13"/>
        <v>279</v>
      </c>
    </row>
    <row r="104" spans="1:65" ht="14.25" x14ac:dyDescent="0.2">
      <c r="A104" s="8" t="s">
        <v>660</v>
      </c>
      <c r="B104" s="8" t="s">
        <v>1146</v>
      </c>
      <c r="C104" s="8">
        <v>26.482479999999999</v>
      </c>
      <c r="D104" s="8">
        <v>-82.183779999999999</v>
      </c>
      <c r="E104" s="8">
        <v>26.517700000000001</v>
      </c>
      <c r="F104" s="8">
        <v>-82.192750000000004</v>
      </c>
      <c r="G104" s="8" t="s">
        <v>1159</v>
      </c>
      <c r="H104" s="8" t="s">
        <v>1157</v>
      </c>
      <c r="I104" s="21">
        <v>41684</v>
      </c>
      <c r="J104" s="8">
        <v>1104</v>
      </c>
      <c r="Y104" s="8">
        <v>13</v>
      </c>
      <c r="AE104" s="8">
        <v>10</v>
      </c>
      <c r="AF104" s="8">
        <v>9</v>
      </c>
      <c r="AL104" s="8">
        <v>33</v>
      </c>
      <c r="AM104" s="8">
        <v>33</v>
      </c>
      <c r="AV104" s="8">
        <v>30</v>
      </c>
      <c r="AW104" s="8">
        <v>1</v>
      </c>
      <c r="AX104" s="8">
        <v>45</v>
      </c>
      <c r="BF104" s="8">
        <v>20</v>
      </c>
      <c r="BL104" s="19">
        <f t="shared" si="13"/>
        <v>194</v>
      </c>
    </row>
    <row r="105" spans="1:65" ht="14.25" x14ac:dyDescent="0.2">
      <c r="A105" s="8" t="s">
        <v>666</v>
      </c>
      <c r="B105" s="8" t="s">
        <v>1146</v>
      </c>
      <c r="C105" s="8">
        <v>26.517700000000001</v>
      </c>
      <c r="D105" s="8">
        <v>-82.192750000000004</v>
      </c>
      <c r="E105" s="8">
        <v>26.551600000000001</v>
      </c>
      <c r="F105" s="8">
        <v>-82.201319999999996</v>
      </c>
      <c r="G105" s="8" t="s">
        <v>1159</v>
      </c>
      <c r="H105" s="8" t="s">
        <v>1157</v>
      </c>
      <c r="I105" s="21">
        <v>41684</v>
      </c>
      <c r="J105" s="8">
        <v>956</v>
      </c>
      <c r="K105" s="8">
        <v>100</v>
      </c>
      <c r="N105" s="8">
        <v>7</v>
      </c>
      <c r="R105" s="8">
        <v>1</v>
      </c>
      <c r="W105" s="8">
        <v>1</v>
      </c>
      <c r="Y105" s="8">
        <v>27</v>
      </c>
      <c r="AE105" s="8">
        <v>13</v>
      </c>
      <c r="AF105" s="8">
        <v>114</v>
      </c>
      <c r="AO105" s="8">
        <v>9</v>
      </c>
      <c r="AX105" s="8">
        <v>49</v>
      </c>
      <c r="BF105" s="8">
        <v>27</v>
      </c>
      <c r="BL105" s="19">
        <f t="shared" si="13"/>
        <v>348</v>
      </c>
    </row>
    <row r="106" spans="1:65" ht="25.5" x14ac:dyDescent="0.2">
      <c r="A106" s="8" t="s">
        <v>802</v>
      </c>
      <c r="B106" s="8" t="s">
        <v>1146</v>
      </c>
      <c r="C106" s="8">
        <v>26.556329000000002</v>
      </c>
      <c r="D106" s="8">
        <v>-82.200613000000004</v>
      </c>
      <c r="E106" s="8">
        <v>26.578444999999999</v>
      </c>
      <c r="F106" s="8">
        <v>-82.212207000000006</v>
      </c>
      <c r="G106" s="8" t="s">
        <v>803</v>
      </c>
      <c r="H106" s="8" t="s">
        <v>1157</v>
      </c>
      <c r="I106" s="21">
        <v>41689</v>
      </c>
      <c r="J106" s="8">
        <v>955</v>
      </c>
      <c r="K106" s="8">
        <v>150</v>
      </c>
      <c r="Y106" s="8">
        <v>18</v>
      </c>
      <c r="AE106" s="8">
        <v>3</v>
      </c>
      <c r="AI106" s="8">
        <v>8</v>
      </c>
      <c r="AL106" s="8">
        <v>2</v>
      </c>
      <c r="AM106" s="8">
        <v>1</v>
      </c>
      <c r="AP106" s="8">
        <v>100</v>
      </c>
      <c r="AW106" s="8">
        <v>72</v>
      </c>
      <c r="AX106" s="8">
        <v>257</v>
      </c>
      <c r="AY106" s="8">
        <v>3</v>
      </c>
      <c r="BA106" s="8">
        <v>369</v>
      </c>
      <c r="BF106" s="8">
        <v>254</v>
      </c>
      <c r="BG106" s="8">
        <v>2</v>
      </c>
      <c r="BL106" s="19">
        <f t="shared" si="13"/>
        <v>1239</v>
      </c>
      <c r="BM106" s="8" t="s">
        <v>1160</v>
      </c>
    </row>
    <row r="107" spans="1:65" ht="14.25" x14ac:dyDescent="0.2">
      <c r="A107" s="8" t="s">
        <v>1161</v>
      </c>
      <c r="B107" s="8" t="s">
        <v>1146</v>
      </c>
      <c r="C107" s="8">
        <v>26.707623999999999</v>
      </c>
      <c r="D107" s="8">
        <v>-82.250394</v>
      </c>
      <c r="E107" s="8">
        <v>26.684349999999998</v>
      </c>
      <c r="F107" s="8">
        <v>-82.261420000000001</v>
      </c>
      <c r="G107" s="8" t="s">
        <v>1162</v>
      </c>
      <c r="H107" s="8" t="s">
        <v>1163</v>
      </c>
      <c r="I107" s="21">
        <v>41678</v>
      </c>
      <c r="J107" s="23">
        <v>0.375</v>
      </c>
      <c r="K107" s="8"/>
      <c r="L107" s="8"/>
      <c r="M107" s="8"/>
      <c r="N107" s="8">
        <v>5</v>
      </c>
      <c r="O107" s="8"/>
      <c r="P107" s="8"/>
      <c r="Q107" s="8"/>
      <c r="R107" s="8"/>
      <c r="S107" s="8">
        <v>1</v>
      </c>
      <c r="T107" s="8"/>
      <c r="U107" s="8"/>
      <c r="V107" s="8"/>
      <c r="W107" s="8"/>
      <c r="X107" s="8"/>
      <c r="Y107" s="8">
        <v>1</v>
      </c>
      <c r="Z107" s="8"/>
      <c r="AA107" s="8"/>
      <c r="AB107" s="8"/>
      <c r="AC107" s="8"/>
      <c r="AD107" s="8"/>
      <c r="AE107" s="8">
        <v>1</v>
      </c>
      <c r="AF107" s="8">
        <v>1</v>
      </c>
      <c r="AG107" s="8"/>
      <c r="AH107" s="8"/>
      <c r="AI107" s="8"/>
      <c r="AJ107" s="8"/>
      <c r="AK107" s="8"/>
      <c r="AL107" s="8">
        <v>10</v>
      </c>
      <c r="AM107" s="8"/>
      <c r="AN107" s="8"/>
      <c r="AO107" s="8"/>
      <c r="AP107" s="8"/>
      <c r="AQ107" s="8"/>
      <c r="AR107" s="8"/>
      <c r="AS107" s="8"/>
      <c r="AT107" s="8"/>
      <c r="AU107" s="8"/>
      <c r="AV107" s="8"/>
      <c r="AW107" s="8">
        <v>1</v>
      </c>
      <c r="AX107" s="8">
        <v>40</v>
      </c>
      <c r="AY107" s="8">
        <v>2</v>
      </c>
      <c r="AZ107" s="8"/>
      <c r="BA107" s="8"/>
      <c r="BB107" s="8"/>
      <c r="BC107" s="8"/>
      <c r="BD107" s="8"/>
      <c r="BE107" s="8"/>
      <c r="BF107" s="8">
        <v>16</v>
      </c>
      <c r="BG107" s="8"/>
      <c r="BH107" s="8"/>
      <c r="BI107" s="8"/>
      <c r="BJ107" s="8"/>
      <c r="BK107" s="8"/>
      <c r="BL107" s="19">
        <f t="shared" si="13"/>
        <v>78</v>
      </c>
      <c r="BM107" s="8" t="s">
        <v>1164</v>
      </c>
    </row>
    <row r="108" spans="1:65" ht="14.25" x14ac:dyDescent="0.2">
      <c r="A108" s="8" t="s">
        <v>986</v>
      </c>
      <c r="B108" s="8" t="s">
        <v>1146</v>
      </c>
      <c r="C108" s="8">
        <v>26.684349999999998</v>
      </c>
      <c r="D108" s="8">
        <v>-82.261420000000001</v>
      </c>
      <c r="E108" s="8">
        <v>26.669090000000001</v>
      </c>
      <c r="F108" s="8">
        <v>-82.25515</v>
      </c>
      <c r="G108" s="8" t="s">
        <v>1162</v>
      </c>
      <c r="H108" s="8" t="s">
        <v>1163</v>
      </c>
      <c r="I108" s="21">
        <v>41678</v>
      </c>
      <c r="J108" s="8" t="s">
        <v>1165</v>
      </c>
      <c r="K108" s="8"/>
      <c r="L108" s="8"/>
      <c r="M108" s="8"/>
      <c r="N108" s="8">
        <v>13</v>
      </c>
      <c r="O108" s="8">
        <v>1</v>
      </c>
      <c r="P108" s="8"/>
      <c r="Q108" s="8"/>
      <c r="R108" s="8"/>
      <c r="S108" s="8"/>
      <c r="T108" s="8"/>
      <c r="U108" s="8"/>
      <c r="V108" s="8"/>
      <c r="W108" s="8">
        <v>7</v>
      </c>
      <c r="X108" s="8"/>
      <c r="Y108" s="8">
        <v>8</v>
      </c>
      <c r="Z108" s="8"/>
      <c r="AA108" s="8"/>
      <c r="AB108" s="8"/>
      <c r="AC108" s="8"/>
      <c r="AD108" s="8"/>
      <c r="AE108" s="8"/>
      <c r="AF108" s="8">
        <v>200</v>
      </c>
      <c r="AG108" s="8">
        <v>10</v>
      </c>
      <c r="AH108" s="8"/>
      <c r="AI108" s="8"/>
      <c r="AJ108" s="8">
        <v>1</v>
      </c>
      <c r="AK108" s="8"/>
      <c r="AL108" s="8">
        <v>13</v>
      </c>
      <c r="AM108" s="8">
        <v>150</v>
      </c>
      <c r="AN108" s="8"/>
      <c r="AO108" s="8"/>
      <c r="AP108" s="8"/>
      <c r="AQ108" s="8"/>
      <c r="AR108" s="8"/>
      <c r="AS108" s="8"/>
      <c r="AT108" s="8"/>
      <c r="AU108" s="8">
        <v>1</v>
      </c>
      <c r="AV108" s="8">
        <v>25</v>
      </c>
      <c r="AW108" s="8">
        <v>24</v>
      </c>
      <c r="AX108" s="8">
        <v>50</v>
      </c>
      <c r="AY108" s="8">
        <v>3</v>
      </c>
      <c r="AZ108" s="8"/>
      <c r="BA108" s="8">
        <v>125</v>
      </c>
      <c r="BB108" s="8">
        <v>1</v>
      </c>
      <c r="BC108" s="8"/>
      <c r="BD108" s="8">
        <v>1</v>
      </c>
      <c r="BE108" s="8"/>
      <c r="BF108" s="8">
        <v>20</v>
      </c>
      <c r="BG108" s="8">
        <v>9</v>
      </c>
      <c r="BH108" s="8"/>
      <c r="BI108" s="8"/>
      <c r="BJ108" s="8"/>
      <c r="BK108" s="8"/>
      <c r="BL108" s="19">
        <f t="shared" si="13"/>
        <v>662</v>
      </c>
      <c r="BM108" s="8" t="s">
        <v>1166</v>
      </c>
    </row>
    <row r="109" spans="1:65" ht="25.5" x14ac:dyDescent="0.2">
      <c r="A109" s="8" t="s">
        <v>990</v>
      </c>
      <c r="B109" s="8" t="s">
        <v>1146</v>
      </c>
      <c r="C109" s="8">
        <v>26.669090000000001</v>
      </c>
      <c r="D109" s="8">
        <v>-82.25515</v>
      </c>
      <c r="E109" s="8">
        <v>26.635149999999999</v>
      </c>
      <c r="F109" s="8">
        <v>-82.232470000000006</v>
      </c>
      <c r="G109" s="8" t="s">
        <v>1167</v>
      </c>
      <c r="H109" s="8" t="s">
        <v>1168</v>
      </c>
      <c r="I109" s="21">
        <v>41678</v>
      </c>
      <c r="J109" s="23">
        <v>0.35416666666666669</v>
      </c>
      <c r="K109" s="8"/>
      <c r="L109" s="8"/>
      <c r="M109" s="8"/>
      <c r="N109" s="8">
        <v>2</v>
      </c>
      <c r="O109" s="8"/>
      <c r="P109" s="8"/>
      <c r="Q109" s="8"/>
      <c r="R109" s="8"/>
      <c r="S109" s="8"/>
      <c r="T109" s="8"/>
      <c r="U109" s="8"/>
      <c r="V109" s="8"/>
      <c r="W109" s="8">
        <v>6</v>
      </c>
      <c r="X109" s="8"/>
      <c r="Y109" s="8">
        <v>2</v>
      </c>
      <c r="Z109" s="8"/>
      <c r="AA109" s="8"/>
      <c r="AB109" s="8"/>
      <c r="AC109" s="8"/>
      <c r="AD109" s="8"/>
      <c r="AE109" s="8">
        <v>3</v>
      </c>
      <c r="AF109" s="8">
        <v>114</v>
      </c>
      <c r="AG109" s="8">
        <v>33</v>
      </c>
      <c r="AH109" s="8"/>
      <c r="AI109" s="8"/>
      <c r="AJ109" s="8"/>
      <c r="AK109" s="8"/>
      <c r="AL109" s="8">
        <v>12</v>
      </c>
      <c r="AM109" s="8">
        <v>20</v>
      </c>
      <c r="AN109" s="8"/>
      <c r="AO109" s="8"/>
      <c r="AP109" s="8">
        <v>1</v>
      </c>
      <c r="AQ109" s="8"/>
      <c r="AR109" s="8"/>
      <c r="AS109" s="8"/>
      <c r="AT109" s="8"/>
      <c r="AU109" s="8">
        <v>2</v>
      </c>
      <c r="AV109" s="8">
        <v>4</v>
      </c>
      <c r="AW109" s="8">
        <v>51</v>
      </c>
      <c r="AX109" s="8">
        <v>119</v>
      </c>
      <c r="AY109" s="8"/>
      <c r="AZ109" s="8"/>
      <c r="BA109" s="8">
        <v>34</v>
      </c>
      <c r="BB109" s="8">
        <v>10</v>
      </c>
      <c r="BC109" s="8"/>
      <c r="BD109" s="8"/>
      <c r="BE109" s="8"/>
      <c r="BF109" s="8">
        <v>30</v>
      </c>
      <c r="BG109" s="8"/>
      <c r="BH109" s="8"/>
      <c r="BI109" s="8"/>
      <c r="BJ109" s="8"/>
      <c r="BK109" s="8"/>
      <c r="BL109" s="19">
        <f t="shared" si="13"/>
        <v>443</v>
      </c>
      <c r="BM109" s="8" t="s">
        <v>1164</v>
      </c>
    </row>
    <row r="110" spans="1:65" ht="25.5" x14ac:dyDescent="0.2">
      <c r="A110" s="8" t="s">
        <v>998</v>
      </c>
      <c r="B110" s="8" t="s">
        <v>1146</v>
      </c>
      <c r="C110" s="8">
        <v>26.635149999999999</v>
      </c>
      <c r="D110" s="8">
        <v>-82.232470000000006</v>
      </c>
      <c r="E110" s="8">
        <v>26.613287</v>
      </c>
      <c r="F110" s="8">
        <v>-82.222590999999994</v>
      </c>
      <c r="G110" s="8" t="s">
        <v>1167</v>
      </c>
      <c r="H110" s="8" t="s">
        <v>1168</v>
      </c>
      <c r="I110" s="21">
        <v>41678</v>
      </c>
      <c r="J110" s="23">
        <v>0.5</v>
      </c>
      <c r="K110" s="8"/>
      <c r="L110" s="8"/>
      <c r="M110" s="8"/>
      <c r="N110" s="8">
        <v>13</v>
      </c>
      <c r="O110" s="8"/>
      <c r="P110" s="8"/>
      <c r="Q110" s="8"/>
      <c r="R110" s="8">
        <v>6</v>
      </c>
      <c r="S110" s="8"/>
      <c r="T110" s="8"/>
      <c r="U110" s="8"/>
      <c r="V110" s="8"/>
      <c r="W110" s="8">
        <v>2</v>
      </c>
      <c r="X110" s="8"/>
      <c r="Y110" s="8">
        <v>3</v>
      </c>
      <c r="Z110" s="8"/>
      <c r="AA110" s="8"/>
      <c r="AB110" s="8"/>
      <c r="AC110" s="8"/>
      <c r="AD110" s="8"/>
      <c r="AE110" s="8">
        <v>2</v>
      </c>
      <c r="AF110" s="8">
        <v>54</v>
      </c>
      <c r="AG110" s="8"/>
      <c r="AH110" s="8"/>
      <c r="AI110" s="8"/>
      <c r="AJ110" s="8">
        <v>2</v>
      </c>
      <c r="AK110" s="8"/>
      <c r="AL110" s="8">
        <v>6</v>
      </c>
      <c r="AM110" s="8"/>
      <c r="AN110" s="8"/>
      <c r="AO110" s="8"/>
      <c r="AQ110" s="8"/>
      <c r="AR110" s="8"/>
      <c r="AS110" s="8"/>
      <c r="AT110" s="8"/>
      <c r="AU110" s="8">
        <v>6</v>
      </c>
      <c r="AV110" s="8"/>
      <c r="AW110" s="8">
        <v>1</v>
      </c>
      <c r="AX110" s="8">
        <v>100</v>
      </c>
      <c r="AY110" s="8"/>
      <c r="AZ110" s="8"/>
      <c r="BA110" s="8"/>
      <c r="BB110" s="8"/>
      <c r="BC110" s="8"/>
      <c r="BD110" s="8"/>
      <c r="BE110" s="8"/>
      <c r="BF110" s="8">
        <v>3</v>
      </c>
      <c r="BG110" s="8"/>
      <c r="BH110" s="8"/>
      <c r="BI110" s="8"/>
      <c r="BJ110" s="8"/>
      <c r="BK110" s="8"/>
      <c r="BL110" s="19">
        <f t="shared" si="13"/>
        <v>198</v>
      </c>
      <c r="BM110" s="8" t="s">
        <v>1166</v>
      </c>
    </row>
    <row r="111" spans="1:65" ht="14.25" x14ac:dyDescent="0.2">
      <c r="A111" s="8" t="s">
        <v>976</v>
      </c>
      <c r="B111" s="8" t="s">
        <v>1146</v>
      </c>
      <c r="C111" s="8">
        <v>26.412510999999999</v>
      </c>
      <c r="D111" s="8">
        <v>-81.904492000000005</v>
      </c>
      <c r="E111" s="8">
        <v>26.403593999999998</v>
      </c>
      <c r="F111" s="8">
        <v>-81.883377999999993</v>
      </c>
      <c r="G111" s="8" t="s">
        <v>1169</v>
      </c>
      <c r="H111" s="8" t="s">
        <v>1163</v>
      </c>
      <c r="I111" s="21">
        <v>41680</v>
      </c>
      <c r="J111" s="23">
        <v>0.66666666666666663</v>
      </c>
      <c r="K111" s="8"/>
      <c r="L111" s="8"/>
      <c r="M111" s="8"/>
      <c r="N111" s="8">
        <v>10</v>
      </c>
      <c r="O111" s="8"/>
      <c r="P111" s="8"/>
      <c r="Q111" s="8"/>
      <c r="R111" s="8">
        <v>4</v>
      </c>
      <c r="S111" s="8">
        <v>1</v>
      </c>
      <c r="T111" s="8"/>
      <c r="U111" s="8"/>
      <c r="V111" s="8"/>
      <c r="W111" s="8">
        <v>3</v>
      </c>
      <c r="X111" s="8"/>
      <c r="Y111" s="8">
        <v>40</v>
      </c>
      <c r="Z111" s="8"/>
      <c r="AA111" s="8"/>
      <c r="AB111" s="8"/>
      <c r="AC111" s="8"/>
      <c r="AD111" s="8"/>
      <c r="AE111" s="8">
        <v>100</v>
      </c>
      <c r="AF111" s="8">
        <v>15</v>
      </c>
      <c r="AG111" s="8">
        <v>5</v>
      </c>
      <c r="AH111" s="8"/>
      <c r="AI111" s="8"/>
      <c r="AJ111" s="8"/>
      <c r="AK111" s="8"/>
      <c r="AL111" s="8">
        <v>3</v>
      </c>
      <c r="AM111" s="8">
        <v>25</v>
      </c>
      <c r="AN111" s="8"/>
      <c r="AO111" s="8"/>
      <c r="AP111" s="8">
        <v>50</v>
      </c>
      <c r="AQ111" s="8"/>
      <c r="AR111" s="8"/>
      <c r="AS111" s="8"/>
      <c r="AT111" s="8"/>
      <c r="AU111" s="8">
        <v>8</v>
      </c>
      <c r="AV111" s="8"/>
      <c r="AW111" s="8">
        <v>19</v>
      </c>
      <c r="AX111" s="8">
        <v>100</v>
      </c>
      <c r="AY111" s="8">
        <v>7</v>
      </c>
      <c r="AZ111" s="8"/>
      <c r="BA111" s="8"/>
      <c r="BB111" s="8">
        <v>29</v>
      </c>
      <c r="BC111" s="8"/>
      <c r="BD111" s="8">
        <v>2</v>
      </c>
      <c r="BE111" s="8"/>
      <c r="BF111" s="8">
        <v>65</v>
      </c>
      <c r="BG111" s="8">
        <v>29</v>
      </c>
      <c r="BH111" s="8"/>
      <c r="BI111" s="8"/>
      <c r="BJ111" s="8"/>
      <c r="BK111" s="8"/>
      <c r="BL111" s="19">
        <f t="shared" si="13"/>
        <v>515</v>
      </c>
      <c r="BM111" s="8" t="s">
        <v>1170</v>
      </c>
    </row>
    <row r="112" spans="1:65" ht="14.25" x14ac:dyDescent="0.2">
      <c r="A112" s="8" t="s">
        <v>1171</v>
      </c>
      <c r="B112" s="8" t="s">
        <v>1146</v>
      </c>
      <c r="C112" s="8">
        <v>26.465730000000001</v>
      </c>
      <c r="D112" s="8">
        <v>-81.967579999999998</v>
      </c>
      <c r="E112" s="8">
        <v>26.4421</v>
      </c>
      <c r="F112" s="8">
        <v>-81.931790000000007</v>
      </c>
      <c r="G112" s="8" t="s">
        <v>1172</v>
      </c>
      <c r="H112" s="8" t="s">
        <v>1168</v>
      </c>
      <c r="I112" s="21">
        <v>41681</v>
      </c>
      <c r="J112" s="23">
        <v>0.66666666666666663</v>
      </c>
      <c r="K112" s="8"/>
      <c r="L112" s="8"/>
      <c r="M112" s="8"/>
      <c r="N112" s="8"/>
      <c r="O112" s="8"/>
      <c r="P112" s="8"/>
      <c r="Q112" s="8"/>
      <c r="R112" s="8"/>
      <c r="S112" s="8"/>
      <c r="T112" s="8"/>
      <c r="U112" s="8"/>
      <c r="V112" s="8"/>
      <c r="W112" s="8"/>
      <c r="X112" s="8"/>
      <c r="Y112" s="8">
        <v>160</v>
      </c>
      <c r="Z112" s="8"/>
      <c r="AA112" s="8"/>
      <c r="AB112" s="8"/>
      <c r="AC112" s="8"/>
      <c r="AD112" s="8"/>
      <c r="AE112" s="8">
        <v>34</v>
      </c>
      <c r="AF112" s="8">
        <v>8</v>
      </c>
      <c r="AG112" s="8"/>
      <c r="AH112" s="8"/>
      <c r="AI112" s="8"/>
      <c r="AJ112" s="8"/>
      <c r="AK112" s="8"/>
      <c r="AL112" s="8"/>
      <c r="AM112" s="8"/>
      <c r="AN112" s="8"/>
      <c r="AO112" s="8"/>
      <c r="AP112" s="8"/>
      <c r="AQ112" s="8"/>
      <c r="AR112" s="8"/>
      <c r="AS112" s="8"/>
      <c r="AT112" s="8"/>
      <c r="AU112" s="8"/>
      <c r="AV112" s="8"/>
      <c r="AW112" s="8">
        <v>14</v>
      </c>
      <c r="AX112" s="8">
        <v>191</v>
      </c>
      <c r="AY112" s="8"/>
      <c r="AZ112" s="8"/>
      <c r="BA112" s="8"/>
      <c r="BB112" s="8"/>
      <c r="BC112" s="8"/>
      <c r="BD112" s="8"/>
      <c r="BE112" s="8"/>
      <c r="BF112" s="8">
        <v>62</v>
      </c>
      <c r="BG112" s="8"/>
      <c r="BH112" s="8"/>
      <c r="BI112" s="8"/>
      <c r="BJ112" s="8"/>
      <c r="BK112" s="8"/>
      <c r="BL112" s="19">
        <f t="shared" si="13"/>
        <v>469</v>
      </c>
      <c r="BM112" s="8" t="s">
        <v>1173</v>
      </c>
    </row>
    <row r="113" spans="1:65" ht="14.25" x14ac:dyDescent="0.2">
      <c r="A113" s="8" t="s">
        <v>981</v>
      </c>
      <c r="B113" s="8" t="s">
        <v>1146</v>
      </c>
      <c r="C113" s="8">
        <v>26.4421</v>
      </c>
      <c r="D113" s="8">
        <v>-81.931790000000007</v>
      </c>
      <c r="E113" s="8">
        <v>26.41581</v>
      </c>
      <c r="F113" s="8">
        <v>-81.904870000000003</v>
      </c>
      <c r="G113" s="8" t="s">
        <v>1172</v>
      </c>
      <c r="H113" s="8" t="s">
        <v>1168</v>
      </c>
      <c r="I113" s="21">
        <v>41681</v>
      </c>
      <c r="J113" s="23">
        <v>0.625</v>
      </c>
      <c r="K113" s="8">
        <v>45</v>
      </c>
      <c r="L113" s="8"/>
      <c r="M113" s="8"/>
      <c r="N113" s="8"/>
      <c r="O113" s="8"/>
      <c r="P113" s="8"/>
      <c r="Q113" s="8"/>
      <c r="R113" s="8"/>
      <c r="S113" s="8">
        <v>6</v>
      </c>
      <c r="T113" s="8"/>
      <c r="U113" s="8"/>
      <c r="V113" s="8"/>
      <c r="W113" s="8"/>
      <c r="X113" s="8"/>
      <c r="Y113" s="8">
        <v>46</v>
      </c>
      <c r="Z113" s="8"/>
      <c r="AA113" s="8"/>
      <c r="AB113" s="8"/>
      <c r="AC113" s="8"/>
      <c r="AD113" s="8"/>
      <c r="AE113" s="8">
        <v>19</v>
      </c>
      <c r="AF113" s="8">
        <v>264</v>
      </c>
      <c r="AG113" s="8">
        <v>11</v>
      </c>
      <c r="AH113" s="8"/>
      <c r="AI113" s="8"/>
      <c r="AJ113" s="8"/>
      <c r="AK113" s="8"/>
      <c r="AM113" s="8"/>
      <c r="AN113" s="8"/>
      <c r="AO113" s="8"/>
      <c r="AP113" s="8"/>
      <c r="AQ113" s="8"/>
      <c r="AR113" s="8"/>
      <c r="AW113" s="8">
        <v>12</v>
      </c>
      <c r="AX113" s="8">
        <v>72</v>
      </c>
      <c r="AY113" s="8"/>
      <c r="AZ113" s="8"/>
      <c r="BA113" s="8"/>
      <c r="BB113" s="8"/>
      <c r="BC113" s="8"/>
      <c r="BD113" s="8"/>
      <c r="BE113" s="8"/>
      <c r="BF113" s="8">
        <v>165</v>
      </c>
      <c r="BG113" s="8"/>
      <c r="BH113" s="8"/>
      <c r="BI113" s="8"/>
      <c r="BJ113" s="8"/>
      <c r="BK113" s="8"/>
      <c r="BL113" s="19">
        <f t="shared" si="13"/>
        <v>640</v>
      </c>
      <c r="BM113" s="8" t="s">
        <v>1173</v>
      </c>
    </row>
    <row r="114" spans="1:65" ht="25.5" x14ac:dyDescent="0.2">
      <c r="A114" s="8" t="s">
        <v>1174</v>
      </c>
      <c r="B114" s="8" t="s">
        <v>1146</v>
      </c>
      <c r="C114" s="8">
        <v>26.479676999999999</v>
      </c>
      <c r="D114" s="8">
        <v>-81.982684000000006</v>
      </c>
      <c r="E114" s="8">
        <v>26.467461</v>
      </c>
      <c r="F114" s="8">
        <v>-81.956676999999999</v>
      </c>
      <c r="G114" s="8" t="s">
        <v>1001</v>
      </c>
      <c r="H114" s="8" t="s">
        <v>1163</v>
      </c>
      <c r="I114" s="21">
        <v>41685</v>
      </c>
      <c r="J114" s="23">
        <v>0.33333333333333331</v>
      </c>
      <c r="K114" s="8">
        <v>100</v>
      </c>
      <c r="L114" s="8"/>
      <c r="M114" s="8"/>
      <c r="N114" s="8">
        <v>7</v>
      </c>
      <c r="O114" s="8">
        <v>1</v>
      </c>
      <c r="P114" s="8"/>
      <c r="Q114" s="8"/>
      <c r="R114" s="8">
        <v>5</v>
      </c>
      <c r="S114" s="8">
        <v>2</v>
      </c>
      <c r="T114" s="8"/>
      <c r="U114" s="8"/>
      <c r="V114" s="8"/>
      <c r="W114" s="8"/>
      <c r="X114" s="8"/>
      <c r="Y114" s="8">
        <v>10</v>
      </c>
      <c r="Z114" s="8"/>
      <c r="AA114" s="8"/>
      <c r="AB114" s="8"/>
      <c r="AC114" s="8"/>
      <c r="AD114" s="8"/>
      <c r="AE114" s="8">
        <v>3</v>
      </c>
      <c r="AF114" s="8">
        <v>30</v>
      </c>
      <c r="AG114" s="8">
        <v>4</v>
      </c>
      <c r="AH114" s="8"/>
      <c r="AI114" s="8">
        <v>5</v>
      </c>
      <c r="AJ114" s="8">
        <v>2</v>
      </c>
      <c r="AK114" s="8"/>
      <c r="AL114" s="8">
        <v>5</v>
      </c>
      <c r="AM114" s="8">
        <v>100</v>
      </c>
      <c r="AN114" s="8"/>
      <c r="AO114" s="8"/>
      <c r="AP114" s="8">
        <v>25</v>
      </c>
      <c r="AQ114" s="8"/>
      <c r="AR114" s="8">
        <v>1</v>
      </c>
      <c r="AS114" s="8"/>
      <c r="AT114" s="8">
        <v>12</v>
      </c>
      <c r="AU114" s="8">
        <v>10</v>
      </c>
      <c r="AV114" s="8"/>
      <c r="AW114" s="8">
        <v>2</v>
      </c>
      <c r="AX114" s="8">
        <v>25</v>
      </c>
      <c r="AY114" s="8">
        <v>15</v>
      </c>
      <c r="AZ114" s="8"/>
      <c r="BA114" s="8">
        <v>15</v>
      </c>
      <c r="BB114" s="8"/>
      <c r="BC114" s="8">
        <v>1</v>
      </c>
      <c r="BD114" s="8">
        <v>50</v>
      </c>
      <c r="BE114" s="8"/>
      <c r="BF114" s="8">
        <v>5</v>
      </c>
      <c r="BG114" s="8">
        <v>4</v>
      </c>
      <c r="BH114" s="8"/>
      <c r="BI114" s="8"/>
      <c r="BJ114" s="8"/>
      <c r="BK114" s="8"/>
      <c r="BL114" s="19">
        <f t="shared" si="13"/>
        <v>439</v>
      </c>
      <c r="BM114" s="8" t="s">
        <v>1175</v>
      </c>
    </row>
    <row r="115" spans="1:65" ht="14.25" x14ac:dyDescent="0.2">
      <c r="A115" s="8" t="s">
        <v>1000</v>
      </c>
      <c r="B115" s="8" t="s">
        <v>1146</v>
      </c>
      <c r="C115" s="8">
        <v>26.488135</v>
      </c>
      <c r="D115" s="8">
        <v>-81.967990999999998</v>
      </c>
      <c r="E115" s="8">
        <v>26.492405999999999</v>
      </c>
      <c r="F115" s="8">
        <v>-81.979455000000002</v>
      </c>
      <c r="G115" s="8" t="s">
        <v>1001</v>
      </c>
      <c r="H115" s="8" t="s">
        <v>1163</v>
      </c>
      <c r="I115" s="21">
        <v>41679</v>
      </c>
      <c r="J115" s="23">
        <v>0.35416666666666669</v>
      </c>
      <c r="K115" s="8"/>
      <c r="L115" s="8"/>
      <c r="M115" s="8"/>
      <c r="N115" s="8">
        <v>2</v>
      </c>
      <c r="O115" s="8"/>
      <c r="P115" s="8"/>
      <c r="Q115" s="8"/>
      <c r="R115" s="8"/>
      <c r="S115" s="8"/>
      <c r="T115" s="8"/>
      <c r="U115" s="8"/>
      <c r="V115" s="8"/>
      <c r="W115" s="8"/>
      <c r="X115" s="8"/>
      <c r="Y115" s="8"/>
      <c r="Z115" s="8"/>
      <c r="AA115" s="8"/>
      <c r="AB115" s="8"/>
      <c r="AC115" s="8"/>
      <c r="AD115" s="8"/>
      <c r="AE115" s="8"/>
      <c r="AF115" s="8"/>
      <c r="AG115" s="8"/>
      <c r="AH115" s="8"/>
      <c r="AI115" s="8">
        <v>12</v>
      </c>
      <c r="AJ115" s="8"/>
      <c r="AK115" s="8"/>
      <c r="AL115" s="8"/>
      <c r="AM115" s="8"/>
      <c r="AN115" s="8"/>
      <c r="AO115" s="8">
        <v>1</v>
      </c>
      <c r="AP115" s="8">
        <v>3</v>
      </c>
      <c r="AQ115" s="8">
        <v>2</v>
      </c>
      <c r="AR115" s="8"/>
      <c r="AS115" s="8"/>
      <c r="AT115" s="8"/>
      <c r="AU115" s="8"/>
      <c r="AV115" s="8"/>
      <c r="AW115" s="8"/>
      <c r="AX115" s="8"/>
      <c r="AY115" s="8">
        <v>8</v>
      </c>
      <c r="AZ115" s="8"/>
      <c r="BA115" s="8"/>
      <c r="BB115" s="8"/>
      <c r="BC115" s="8"/>
      <c r="BD115" s="8"/>
      <c r="BE115" s="8"/>
      <c r="BF115" s="8"/>
      <c r="BG115" s="8">
        <v>9</v>
      </c>
      <c r="BH115" s="8">
        <v>2</v>
      </c>
      <c r="BI115" s="8"/>
      <c r="BJ115" s="8"/>
      <c r="BK115" s="8"/>
      <c r="BL115" s="19">
        <f t="shared" si="13"/>
        <v>39</v>
      </c>
      <c r="BM115" s="8" t="s">
        <v>1176</v>
      </c>
    </row>
    <row r="116" spans="1:65" ht="25.5" x14ac:dyDescent="0.2">
      <c r="A116" s="8" t="s">
        <v>1177</v>
      </c>
      <c r="B116" s="8" t="s">
        <v>1146</v>
      </c>
      <c r="C116" s="8" t="s">
        <v>508</v>
      </c>
      <c r="D116" s="8" t="s">
        <v>508</v>
      </c>
      <c r="E116" s="8">
        <v>26.402168</v>
      </c>
      <c r="F116" s="8">
        <v>-81.888474000000002</v>
      </c>
      <c r="G116" s="8" t="s">
        <v>1178</v>
      </c>
      <c r="H116" s="8" t="s">
        <v>1179</v>
      </c>
      <c r="I116" s="8" t="s">
        <v>508</v>
      </c>
      <c r="J116" s="8" t="s">
        <v>508</v>
      </c>
      <c r="N116" s="8">
        <v>7</v>
      </c>
      <c r="R116" s="8">
        <v>6</v>
      </c>
      <c r="V116" s="8">
        <v>2</v>
      </c>
      <c r="W116" s="8">
        <v>2</v>
      </c>
      <c r="Y116" s="8">
        <v>34</v>
      </c>
      <c r="AF116" s="8">
        <v>6</v>
      </c>
      <c r="AG116" s="8">
        <v>2</v>
      </c>
      <c r="AL116" s="8">
        <v>7</v>
      </c>
      <c r="AU116" s="8">
        <v>2</v>
      </c>
      <c r="AW116" s="8">
        <v>28</v>
      </c>
      <c r="AX116" s="8">
        <v>35</v>
      </c>
      <c r="BB116" s="8">
        <v>13</v>
      </c>
      <c r="BF116" s="8">
        <v>5</v>
      </c>
      <c r="BG116" s="8">
        <v>22</v>
      </c>
      <c r="BL116" s="19">
        <f t="shared" si="13"/>
        <v>171</v>
      </c>
      <c r="BM116" s="8" t="s">
        <v>513</v>
      </c>
    </row>
    <row r="117" spans="1:65" ht="25.5" x14ac:dyDescent="0.2">
      <c r="A117" s="8" t="s">
        <v>1180</v>
      </c>
      <c r="B117" s="8" t="s">
        <v>1181</v>
      </c>
      <c r="C117" s="8">
        <v>29.187618000000001</v>
      </c>
      <c r="D117" s="8">
        <v>-83.070696999999996</v>
      </c>
      <c r="E117" s="8">
        <v>29.132010999999999</v>
      </c>
      <c r="F117" s="8">
        <v>-83.047786000000002</v>
      </c>
      <c r="G117" s="8" t="s">
        <v>1182</v>
      </c>
      <c r="H117" s="8" t="s">
        <v>1183</v>
      </c>
      <c r="I117" s="21">
        <v>41684</v>
      </c>
      <c r="J117" s="23">
        <v>0.45833333333333331</v>
      </c>
      <c r="K117" s="8">
        <v>20</v>
      </c>
      <c r="N117" s="8">
        <v>24</v>
      </c>
      <c r="P117" s="8">
        <v>4</v>
      </c>
      <c r="R117" s="8">
        <v>21</v>
      </c>
      <c r="X117" s="8">
        <v>2</v>
      </c>
      <c r="Y117" s="8">
        <v>8</v>
      </c>
      <c r="AE117" s="8">
        <v>118</v>
      </c>
      <c r="AF117" s="8">
        <v>11</v>
      </c>
      <c r="AJ117" s="8">
        <v>664</v>
      </c>
      <c r="AL117" s="8">
        <v>45</v>
      </c>
      <c r="AM117" s="8">
        <v>1313</v>
      </c>
      <c r="AP117" s="8">
        <v>49</v>
      </c>
      <c r="AT117" s="8">
        <v>272</v>
      </c>
      <c r="AU117" s="8">
        <v>3</v>
      </c>
      <c r="AV117" s="8">
        <v>27</v>
      </c>
      <c r="AW117" s="8">
        <v>43</v>
      </c>
      <c r="AX117" s="8">
        <v>42</v>
      </c>
      <c r="AY117" s="8">
        <v>38</v>
      </c>
      <c r="BA117" s="8">
        <v>267</v>
      </c>
      <c r="BD117" s="8">
        <v>8</v>
      </c>
      <c r="BE117" s="8">
        <v>3</v>
      </c>
      <c r="BF117" s="8">
        <v>107</v>
      </c>
      <c r="BG117" s="8">
        <v>1</v>
      </c>
      <c r="BJ117" s="8">
        <v>1500</v>
      </c>
      <c r="BL117" s="19">
        <f t="shared" si="13"/>
        <v>4590</v>
      </c>
      <c r="BM117" s="8" t="s">
        <v>1184</v>
      </c>
    </row>
    <row r="118" spans="1:65" ht="25.5" x14ac:dyDescent="0.2">
      <c r="A118" s="8" t="s">
        <v>1185</v>
      </c>
      <c r="B118" s="8" t="s">
        <v>1181</v>
      </c>
      <c r="G118" s="8" t="s">
        <v>1182</v>
      </c>
      <c r="H118" s="8" t="s">
        <v>1183</v>
      </c>
      <c r="I118" s="21">
        <v>41685</v>
      </c>
      <c r="J118" s="23">
        <v>0.45833333333333331</v>
      </c>
      <c r="AM118" s="8">
        <v>800</v>
      </c>
      <c r="AP118" s="8">
        <v>50</v>
      </c>
      <c r="BA118" s="8">
        <v>200</v>
      </c>
      <c r="BL118" s="19">
        <f t="shared" si="13"/>
        <v>1050</v>
      </c>
      <c r="BM118" s="8" t="s">
        <v>1186</v>
      </c>
    </row>
    <row r="119" spans="1:65" ht="38.25" x14ac:dyDescent="0.2">
      <c r="A119" s="8" t="s">
        <v>1187</v>
      </c>
      <c r="B119" s="8" t="s">
        <v>1181</v>
      </c>
      <c r="C119" s="8">
        <v>29.135964000000001</v>
      </c>
      <c r="D119" s="8">
        <v>-83.029995</v>
      </c>
      <c r="E119" s="8">
        <v>29.156291</v>
      </c>
      <c r="F119" s="8">
        <v>-83.990598000000006</v>
      </c>
      <c r="G119" s="8" t="s">
        <v>1182</v>
      </c>
      <c r="H119" s="8" t="s">
        <v>1183</v>
      </c>
      <c r="I119" s="21">
        <v>41686</v>
      </c>
      <c r="J119" s="23">
        <v>0.47222222222222221</v>
      </c>
      <c r="N119" s="8">
        <v>12</v>
      </c>
      <c r="R119" s="8">
        <v>15</v>
      </c>
      <c r="S119" s="8">
        <v>13</v>
      </c>
      <c r="W119" s="8">
        <v>26</v>
      </c>
      <c r="X119" s="8">
        <v>2</v>
      </c>
      <c r="AE119" s="8">
        <v>550</v>
      </c>
      <c r="AF119" s="8">
        <v>3</v>
      </c>
      <c r="AI119" s="8">
        <v>157</v>
      </c>
      <c r="AJ119" s="8">
        <v>386</v>
      </c>
      <c r="AK119" s="8">
        <v>286</v>
      </c>
      <c r="AL119" s="8">
        <v>99</v>
      </c>
      <c r="AM119" s="8">
        <v>3000</v>
      </c>
      <c r="AP119" s="8">
        <v>50</v>
      </c>
      <c r="AV119" s="8" t="s">
        <v>1188</v>
      </c>
      <c r="AW119" s="8">
        <v>5</v>
      </c>
      <c r="AX119" s="8">
        <v>12</v>
      </c>
      <c r="BA119" s="8">
        <v>59</v>
      </c>
      <c r="BE119" s="8">
        <v>12</v>
      </c>
      <c r="BF119" s="8">
        <v>141</v>
      </c>
      <c r="BJ119" s="8">
        <v>5000</v>
      </c>
      <c r="BL119" s="19">
        <f t="shared" si="13"/>
        <v>9828</v>
      </c>
      <c r="BM119" s="8" t="s">
        <v>1189</v>
      </c>
    </row>
    <row r="120" spans="1:65" ht="28.5" customHeight="1" x14ac:dyDescent="0.2">
      <c r="A120" s="11" t="s">
        <v>256</v>
      </c>
      <c r="B120" s="11" t="s">
        <v>1190</v>
      </c>
      <c r="C120" s="11">
        <v>27.53782</v>
      </c>
      <c r="D120" s="11">
        <v>-82.739909999999995</v>
      </c>
      <c r="E120" s="11">
        <v>27.444310000000002</v>
      </c>
      <c r="F120" s="20">
        <v>-82.690950000000001</v>
      </c>
      <c r="G120" s="11" t="s">
        <v>257</v>
      </c>
      <c r="H120" s="11" t="s">
        <v>1191</v>
      </c>
      <c r="I120" s="13">
        <v>41679</v>
      </c>
      <c r="J120" s="27">
        <v>0.375</v>
      </c>
      <c r="K120" s="11"/>
      <c r="L120" s="11"/>
      <c r="M120" s="11"/>
      <c r="N120" s="11">
        <v>39</v>
      </c>
      <c r="O120" s="11"/>
      <c r="P120" s="11">
        <v>2</v>
      </c>
      <c r="Q120" s="11"/>
      <c r="R120" s="11">
        <v>39</v>
      </c>
      <c r="S120" s="11">
        <v>11</v>
      </c>
      <c r="T120" s="11"/>
      <c r="U120" s="11"/>
      <c r="V120" s="11"/>
      <c r="W120" s="11">
        <v>14</v>
      </c>
      <c r="X120" s="11"/>
      <c r="Y120" s="11">
        <v>800</v>
      </c>
      <c r="Z120" s="11"/>
      <c r="AA120" s="11"/>
      <c r="AB120" s="11"/>
      <c r="AC120" s="11"/>
      <c r="AD120" s="11"/>
      <c r="AE120" s="11">
        <v>63</v>
      </c>
      <c r="AF120" s="11">
        <v>42</v>
      </c>
      <c r="AG120" s="11">
        <v>6</v>
      </c>
      <c r="AH120" s="11"/>
      <c r="AI120" s="11"/>
      <c r="AJ120" s="11">
        <v>5</v>
      </c>
      <c r="AK120" s="11"/>
      <c r="AL120" s="11">
        <v>42</v>
      </c>
      <c r="AM120" s="11">
        <v>1</v>
      </c>
      <c r="AN120" s="11"/>
      <c r="AO120" s="11"/>
      <c r="AP120" s="11"/>
      <c r="AQ120" s="11"/>
      <c r="AR120" s="11"/>
      <c r="AS120" s="11"/>
      <c r="AT120" s="11"/>
      <c r="AU120" s="11">
        <v>2</v>
      </c>
      <c r="AV120" s="11">
        <v>105</v>
      </c>
      <c r="AW120" s="11">
        <v>24</v>
      </c>
      <c r="AX120" s="11">
        <v>164</v>
      </c>
      <c r="AY120" s="11">
        <v>32</v>
      </c>
      <c r="AZ120" s="11"/>
      <c r="BA120" s="11">
        <v>5</v>
      </c>
      <c r="BB120" s="11">
        <v>1</v>
      </c>
      <c r="BC120" s="11"/>
      <c r="BD120" s="11"/>
      <c r="BE120" s="11"/>
      <c r="BF120" s="11">
        <v>113</v>
      </c>
      <c r="BG120" s="11"/>
      <c r="BH120" s="11"/>
      <c r="BI120" s="11"/>
      <c r="BJ120" s="11"/>
      <c r="BK120" s="11"/>
      <c r="BL120" s="19">
        <f t="shared" si="13"/>
        <v>1510</v>
      </c>
      <c r="BM120" s="8" t="s">
        <v>1192</v>
      </c>
    </row>
    <row r="121" spans="1:65" ht="14.25" x14ac:dyDescent="0.2">
      <c r="A121" s="8" t="s">
        <v>1193</v>
      </c>
      <c r="B121" s="8" t="s">
        <v>1190</v>
      </c>
      <c r="C121" s="8">
        <v>27.389379999999999</v>
      </c>
      <c r="D121" s="8">
        <v>-82.642570000000006</v>
      </c>
      <c r="E121" s="8">
        <v>27.440650000000002</v>
      </c>
      <c r="F121" s="8">
        <v>-82.686449999999994</v>
      </c>
      <c r="G121" s="8" t="s">
        <v>1194</v>
      </c>
      <c r="H121" s="8" t="s">
        <v>1195</v>
      </c>
      <c r="I121" s="21">
        <v>41683</v>
      </c>
      <c r="J121" s="8">
        <v>700</v>
      </c>
      <c r="N121" s="8">
        <v>7</v>
      </c>
      <c r="R121" s="8">
        <v>189</v>
      </c>
      <c r="W121" s="8">
        <v>1</v>
      </c>
      <c r="Y121" s="8">
        <v>3</v>
      </c>
      <c r="AE121" s="8">
        <v>16</v>
      </c>
      <c r="AF121" s="8">
        <v>3</v>
      </c>
      <c r="AG121" s="8">
        <v>1</v>
      </c>
      <c r="AW121" s="8">
        <v>4</v>
      </c>
      <c r="AX121" s="8">
        <v>120</v>
      </c>
      <c r="BB121" s="8">
        <v>2</v>
      </c>
      <c r="BC121" s="8">
        <v>2</v>
      </c>
      <c r="BF121" s="8">
        <v>3</v>
      </c>
      <c r="BL121" s="29"/>
      <c r="BM121" s="8" t="s">
        <v>711</v>
      </c>
    </row>
    <row r="122" spans="1:65" ht="1.5" customHeight="1" x14ac:dyDescent="0.2">
      <c r="A122" s="11" t="s">
        <v>1196</v>
      </c>
      <c r="B122" s="11" t="s">
        <v>1197</v>
      </c>
      <c r="C122" s="8" t="s">
        <v>1198</v>
      </c>
      <c r="D122" s="8" t="s">
        <v>1199</v>
      </c>
      <c r="E122" s="8" t="s">
        <v>1200</v>
      </c>
      <c r="F122" s="8" t="s">
        <v>1201</v>
      </c>
      <c r="G122" s="11" t="s">
        <v>1202</v>
      </c>
      <c r="H122" s="11" t="s">
        <v>1203</v>
      </c>
      <c r="I122" s="13">
        <v>41682</v>
      </c>
      <c r="J122" s="27">
        <v>0.30208333333333331</v>
      </c>
      <c r="K122" s="11"/>
      <c r="L122" s="11"/>
      <c r="M122" s="11"/>
      <c r="N122" s="11">
        <v>173</v>
      </c>
      <c r="O122" s="11"/>
      <c r="P122" s="11"/>
      <c r="Q122" s="11"/>
      <c r="R122" s="11">
        <v>2</v>
      </c>
      <c r="S122" s="11"/>
      <c r="T122" s="11"/>
      <c r="U122" s="11"/>
      <c r="V122" s="11"/>
      <c r="W122" s="11">
        <v>9</v>
      </c>
      <c r="X122" s="11"/>
      <c r="Y122" s="11">
        <v>138</v>
      </c>
      <c r="Z122" s="11"/>
      <c r="AA122" s="11">
        <v>34</v>
      </c>
      <c r="AB122" s="11"/>
      <c r="AC122" s="11"/>
      <c r="AD122" s="11"/>
      <c r="AE122" s="11">
        <v>25</v>
      </c>
      <c r="AF122" s="11">
        <v>68</v>
      </c>
      <c r="AG122" s="11">
        <v>28</v>
      </c>
      <c r="AH122" s="11"/>
      <c r="AI122" s="11"/>
      <c r="AJ122" s="11"/>
      <c r="AK122" s="11"/>
      <c r="AL122" s="11">
        <v>36</v>
      </c>
      <c r="AM122" s="11"/>
      <c r="AN122" s="11"/>
      <c r="AO122" s="11">
        <v>9</v>
      </c>
      <c r="AP122" s="11"/>
      <c r="AQ122" s="11"/>
      <c r="AR122" s="11"/>
      <c r="AS122" s="11"/>
      <c r="AT122" s="11"/>
      <c r="AU122" s="11"/>
      <c r="AV122" s="11"/>
      <c r="AW122" s="11">
        <v>45</v>
      </c>
      <c r="AX122" s="11">
        <v>37</v>
      </c>
      <c r="AY122" s="11"/>
      <c r="AZ122" s="11"/>
      <c r="BA122" s="11"/>
      <c r="BB122" s="11"/>
      <c r="BC122" s="11"/>
      <c r="BD122" s="11"/>
      <c r="BE122" s="11"/>
      <c r="BF122" s="11">
        <v>52</v>
      </c>
      <c r="BG122" s="11"/>
      <c r="BH122" s="11"/>
      <c r="BI122" s="11"/>
      <c r="BJ122" s="11"/>
      <c r="BK122" s="11"/>
      <c r="BL122" s="19">
        <f t="shared" ref="BL122:BL125" si="14">SUM(K122:BK122)</f>
        <v>656</v>
      </c>
      <c r="BM122" s="8" t="s">
        <v>1204</v>
      </c>
    </row>
    <row r="123" spans="1:65" ht="25.5" x14ac:dyDescent="0.2">
      <c r="A123" s="8" t="s">
        <v>487</v>
      </c>
      <c r="B123" s="8" t="s">
        <v>1197</v>
      </c>
      <c r="C123" s="8">
        <v>27.25975</v>
      </c>
      <c r="D123" s="8">
        <v>-80.211160000000007</v>
      </c>
      <c r="E123" s="8">
        <v>27.166982999999998</v>
      </c>
      <c r="F123" s="8">
        <v>-80.187529999999995</v>
      </c>
      <c r="G123" s="8" t="s">
        <v>488</v>
      </c>
      <c r="H123" s="8" t="s">
        <v>776</v>
      </c>
      <c r="I123" s="21">
        <v>41682</v>
      </c>
      <c r="J123" s="23">
        <v>0.42708333333333331</v>
      </c>
      <c r="K123" s="8">
        <v>61</v>
      </c>
      <c r="N123" s="8">
        <v>159</v>
      </c>
      <c r="R123" s="8">
        <v>39</v>
      </c>
      <c r="V123" s="8">
        <v>17</v>
      </c>
      <c r="Y123" s="8">
        <v>93</v>
      </c>
      <c r="AA123" s="8">
        <v>1</v>
      </c>
      <c r="AE123" s="8">
        <v>109</v>
      </c>
      <c r="AF123" s="8">
        <v>69</v>
      </c>
      <c r="AL123" s="8">
        <v>38</v>
      </c>
      <c r="AP123" s="8">
        <v>17</v>
      </c>
      <c r="AU123" s="8">
        <v>1</v>
      </c>
      <c r="AV123" s="8">
        <v>1</v>
      </c>
      <c r="AW123" s="8">
        <v>47</v>
      </c>
      <c r="AX123" s="8">
        <v>125</v>
      </c>
      <c r="AY123" s="8">
        <v>29</v>
      </c>
      <c r="BF123" s="8">
        <v>8</v>
      </c>
      <c r="BL123" s="19">
        <f t="shared" si="14"/>
        <v>814</v>
      </c>
      <c r="BM123" s="8" t="s">
        <v>1205</v>
      </c>
    </row>
    <row r="124" spans="1:65" ht="16.5" customHeight="1" x14ac:dyDescent="0.2">
      <c r="A124" s="11" t="s">
        <v>609</v>
      </c>
      <c r="B124" s="8" t="s">
        <v>1197</v>
      </c>
      <c r="C124" s="8">
        <v>27.086386999999998</v>
      </c>
      <c r="D124" s="8">
        <v>-80.124793999999994</v>
      </c>
      <c r="E124" s="8">
        <v>27.130727</v>
      </c>
      <c r="F124" s="8">
        <v>-80.145131000000006</v>
      </c>
      <c r="G124" s="8" t="s">
        <v>610</v>
      </c>
      <c r="H124" s="8" t="s">
        <v>1206</v>
      </c>
      <c r="I124" s="21">
        <v>41686</v>
      </c>
      <c r="J124" s="23">
        <v>0.34930555555555554</v>
      </c>
      <c r="L124" s="8">
        <v>3</v>
      </c>
      <c r="N124" s="8">
        <v>97</v>
      </c>
      <c r="V124" s="8">
        <v>3</v>
      </c>
      <c r="W124" s="8">
        <v>12</v>
      </c>
      <c r="Y124" s="8">
        <v>8</v>
      </c>
      <c r="AE124" s="8">
        <v>19</v>
      </c>
      <c r="AF124" s="8">
        <v>185</v>
      </c>
      <c r="AL124" s="8">
        <v>7</v>
      </c>
      <c r="AU124" s="8">
        <v>1</v>
      </c>
      <c r="AW124" s="8">
        <v>15</v>
      </c>
      <c r="AX124" s="8">
        <v>41</v>
      </c>
      <c r="BF124" s="8">
        <v>17</v>
      </c>
      <c r="BL124" s="19">
        <f t="shared" si="14"/>
        <v>408</v>
      </c>
      <c r="BM124" s="8" t="s">
        <v>1207</v>
      </c>
    </row>
    <row r="125" spans="1:65" ht="25.5" x14ac:dyDescent="0.2">
      <c r="A125" s="8" t="s">
        <v>1208</v>
      </c>
      <c r="B125" s="8" t="s">
        <v>1197</v>
      </c>
      <c r="C125" s="8">
        <v>26.591117000000001</v>
      </c>
      <c r="D125" s="8">
        <v>-80.370320000000007</v>
      </c>
      <c r="E125" s="8">
        <v>26.591522999999999</v>
      </c>
      <c r="F125" s="8">
        <v>-80.371399999999994</v>
      </c>
      <c r="G125" s="8" t="s">
        <v>928</v>
      </c>
      <c r="H125" s="8" t="s">
        <v>1084</v>
      </c>
      <c r="I125" s="21">
        <v>41685</v>
      </c>
      <c r="J125" s="23">
        <v>0.7</v>
      </c>
      <c r="R125" s="8">
        <v>86</v>
      </c>
      <c r="S125" s="8">
        <v>20</v>
      </c>
      <c r="W125" s="8">
        <v>12</v>
      </c>
      <c r="Y125" s="8">
        <v>140</v>
      </c>
      <c r="AE125" s="8">
        <v>2</v>
      </c>
      <c r="AO125" s="8">
        <v>3</v>
      </c>
      <c r="BL125" s="19">
        <f t="shared" si="14"/>
        <v>263</v>
      </c>
    </row>
    <row r="126" spans="1:65" ht="25.5" x14ac:dyDescent="0.2">
      <c r="A126" s="8" t="s">
        <v>1209</v>
      </c>
      <c r="B126" s="8" t="s">
        <v>1197</v>
      </c>
      <c r="C126" s="8">
        <v>27.171150000000001</v>
      </c>
      <c r="D126" s="8">
        <v>-80.176486100000005</v>
      </c>
      <c r="E126" s="8">
        <v>27.171058299999999</v>
      </c>
      <c r="F126" s="8">
        <v>-80.175854999999999</v>
      </c>
      <c r="G126" s="8" t="s">
        <v>1210</v>
      </c>
      <c r="H126" s="8" t="s">
        <v>1211</v>
      </c>
      <c r="I126" s="21">
        <v>41683</v>
      </c>
      <c r="J126" s="8">
        <v>1320</v>
      </c>
      <c r="K126" s="8">
        <v>36</v>
      </c>
      <c r="L126" s="8">
        <v>1</v>
      </c>
      <c r="N126" s="8">
        <v>172</v>
      </c>
      <c r="R126" s="8">
        <v>1</v>
      </c>
      <c r="S126" s="8">
        <v>1</v>
      </c>
      <c r="W126" s="8">
        <v>18</v>
      </c>
      <c r="Y126" s="8">
        <v>11</v>
      </c>
      <c r="AE126" s="8">
        <v>13</v>
      </c>
      <c r="AF126" s="8">
        <v>310</v>
      </c>
      <c r="AG126" s="8">
        <v>1</v>
      </c>
      <c r="AL126" s="8">
        <v>1</v>
      </c>
      <c r="AM126" s="8">
        <v>3</v>
      </c>
      <c r="AX126" s="8">
        <v>33</v>
      </c>
      <c r="BF126" s="8">
        <v>1</v>
      </c>
      <c r="BL126" s="29">
        <f t="shared" ref="BL126:BL127" si="15">SUM(K126:BK126)</f>
        <v>602</v>
      </c>
      <c r="BM126" s="8" t="s">
        <v>1212</v>
      </c>
    </row>
    <row r="127" spans="1:65" ht="25.5" x14ac:dyDescent="0.2">
      <c r="A127" s="8" t="s">
        <v>1213</v>
      </c>
      <c r="B127" s="8" t="s">
        <v>1197</v>
      </c>
      <c r="C127" s="8">
        <v>27.172222000000001</v>
      </c>
      <c r="D127" s="8">
        <v>-80.164439999999999</v>
      </c>
      <c r="E127" s="8">
        <v>27.131111000000001</v>
      </c>
      <c r="F127" s="8">
        <v>-80.145832999999996</v>
      </c>
      <c r="G127" s="8" t="s">
        <v>1214</v>
      </c>
      <c r="H127" s="8" t="s">
        <v>1215</v>
      </c>
      <c r="I127" s="21">
        <v>41680</v>
      </c>
      <c r="J127" s="8">
        <v>1100</v>
      </c>
      <c r="N127" s="8">
        <v>2</v>
      </c>
      <c r="AE127" s="8">
        <v>3</v>
      </c>
      <c r="AF127" s="8">
        <v>1</v>
      </c>
      <c r="AL127" s="8">
        <v>8</v>
      </c>
      <c r="AO127" s="8">
        <v>18</v>
      </c>
      <c r="AX127" s="8">
        <v>83</v>
      </c>
      <c r="BF127" s="8">
        <v>12</v>
      </c>
      <c r="BL127" s="29">
        <f t="shared" si="15"/>
        <v>127</v>
      </c>
    </row>
    <row r="128" spans="1:65" ht="36.75" customHeight="1" x14ac:dyDescent="0.2">
      <c r="A128" s="11" t="s">
        <v>1216</v>
      </c>
      <c r="B128" s="11" t="s">
        <v>1217</v>
      </c>
      <c r="C128" s="11">
        <v>25.524333299999999</v>
      </c>
      <c r="D128" s="11">
        <v>-80.174766599999998</v>
      </c>
      <c r="E128" s="11">
        <v>25.524333299999999</v>
      </c>
      <c r="F128" s="11">
        <v>-80.174766599999998</v>
      </c>
      <c r="G128" s="11" t="s">
        <v>220</v>
      </c>
      <c r="H128" s="11" t="s">
        <v>1218</v>
      </c>
      <c r="I128" s="13">
        <v>41680</v>
      </c>
      <c r="J128" s="27">
        <v>0.38819444444444445</v>
      </c>
      <c r="K128" s="14"/>
      <c r="L128" s="14"/>
      <c r="M128" s="14"/>
      <c r="N128" s="11">
        <v>5</v>
      </c>
      <c r="O128" s="14"/>
      <c r="P128" s="14"/>
      <c r="Q128" s="14"/>
      <c r="R128" s="11">
        <v>35</v>
      </c>
      <c r="S128" s="14"/>
      <c r="T128" s="14"/>
      <c r="U128" s="14"/>
      <c r="V128" s="14"/>
      <c r="W128" s="14"/>
      <c r="X128" s="14"/>
      <c r="Y128" s="11">
        <v>13</v>
      </c>
      <c r="Z128" s="11">
        <v>4</v>
      </c>
      <c r="AA128" s="14"/>
      <c r="AB128" s="14"/>
      <c r="AC128" s="14"/>
      <c r="AD128" s="14"/>
      <c r="AE128" s="11">
        <v>45</v>
      </c>
      <c r="AF128" s="11">
        <v>42</v>
      </c>
      <c r="AG128" s="14"/>
      <c r="AH128" s="14"/>
      <c r="AI128" s="14"/>
      <c r="AJ128" s="14"/>
      <c r="AK128" s="14"/>
      <c r="AL128" s="14"/>
      <c r="AM128" s="14"/>
      <c r="AN128" s="14"/>
      <c r="AO128" s="14"/>
      <c r="AP128" s="14"/>
      <c r="AQ128" s="14"/>
      <c r="AR128" s="14"/>
      <c r="AS128" s="14"/>
      <c r="AT128" s="14"/>
      <c r="AU128" s="14"/>
      <c r="AV128" s="14"/>
      <c r="AW128" s="11">
        <v>11</v>
      </c>
      <c r="AX128" s="14"/>
      <c r="AY128" s="14"/>
      <c r="AZ128" s="14"/>
      <c r="BA128" s="14"/>
      <c r="BB128" s="14"/>
      <c r="BC128" s="14"/>
      <c r="BD128" s="14"/>
      <c r="BE128" s="14"/>
      <c r="BF128" s="14"/>
      <c r="BG128" s="14"/>
      <c r="BH128" s="14"/>
      <c r="BI128" s="14"/>
      <c r="BJ128" s="14"/>
      <c r="BK128" s="14"/>
      <c r="BL128" s="19">
        <f t="shared" ref="BL128:BL150" si="16">SUM(K128:BK128)</f>
        <v>155</v>
      </c>
      <c r="BM128" s="8" t="s">
        <v>1219</v>
      </c>
    </row>
    <row r="129" spans="1:65" ht="30.75" customHeight="1" x14ac:dyDescent="0.2">
      <c r="A129" s="11" t="s">
        <v>1220</v>
      </c>
      <c r="B129" s="11" t="s">
        <v>1217</v>
      </c>
      <c r="C129" s="11">
        <v>25.451766599999999</v>
      </c>
      <c r="D129" s="11">
        <v>-80.197383299999998</v>
      </c>
      <c r="E129" s="11">
        <v>25.454149999999998</v>
      </c>
      <c r="F129" s="11">
        <v>-80.196283300000005</v>
      </c>
      <c r="G129" s="11" t="s">
        <v>220</v>
      </c>
      <c r="H129" s="11" t="s">
        <v>1218</v>
      </c>
      <c r="I129" s="13">
        <v>41680</v>
      </c>
      <c r="J129" s="27">
        <v>0.44791666666666669</v>
      </c>
      <c r="K129" s="14"/>
      <c r="L129" s="14"/>
      <c r="M129" s="14"/>
      <c r="N129" s="14"/>
      <c r="O129" s="14"/>
      <c r="P129" s="14"/>
      <c r="Q129" s="14"/>
      <c r="R129" s="11">
        <v>24</v>
      </c>
      <c r="S129" s="14"/>
      <c r="T129" s="14"/>
      <c r="U129" s="14"/>
      <c r="V129" s="14"/>
      <c r="W129" s="14"/>
      <c r="X129" s="14"/>
      <c r="Y129" s="11">
        <v>9</v>
      </c>
      <c r="Z129" s="11">
        <v>1</v>
      </c>
      <c r="AA129" s="14"/>
      <c r="AB129" s="14"/>
      <c r="AC129" s="14"/>
      <c r="AD129" s="14"/>
      <c r="AE129" s="11">
        <v>20</v>
      </c>
      <c r="AF129" s="11">
        <v>11</v>
      </c>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9">
        <f t="shared" si="16"/>
        <v>65</v>
      </c>
      <c r="BM129" s="8" t="s">
        <v>1221</v>
      </c>
    </row>
    <row r="130" spans="1:65" ht="38.25" x14ac:dyDescent="0.2">
      <c r="A130" s="37" t="s">
        <v>219</v>
      </c>
      <c r="B130" s="37" t="s">
        <v>1222</v>
      </c>
      <c r="C130" s="37">
        <v>25.451799999999999</v>
      </c>
      <c r="D130" s="37">
        <v>-80.191066599999999</v>
      </c>
      <c r="E130" s="37">
        <v>25.457066600000001</v>
      </c>
      <c r="F130" s="37">
        <v>-80.189983299999994</v>
      </c>
      <c r="G130" s="37" t="s">
        <v>220</v>
      </c>
      <c r="H130" s="37" t="s">
        <v>1218</v>
      </c>
      <c r="I130" s="13">
        <v>41680</v>
      </c>
      <c r="J130" s="38">
        <v>0.46875</v>
      </c>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7">
        <v>70</v>
      </c>
      <c r="AY130" s="39"/>
      <c r="AZ130" s="39"/>
      <c r="BA130" s="39"/>
      <c r="BB130" s="39"/>
      <c r="BC130" s="39"/>
      <c r="BD130" s="39"/>
      <c r="BE130" s="39"/>
      <c r="BF130" s="39"/>
      <c r="BG130" s="39"/>
      <c r="BH130" s="39"/>
      <c r="BI130" s="39"/>
      <c r="BJ130" s="39"/>
      <c r="BK130" s="39"/>
      <c r="BL130" s="19">
        <f t="shared" si="16"/>
        <v>70</v>
      </c>
      <c r="BM130" s="37" t="s">
        <v>1221</v>
      </c>
    </row>
    <row r="131" spans="1:65" ht="42.75" customHeight="1" x14ac:dyDescent="0.2">
      <c r="A131" s="11" t="s">
        <v>1223</v>
      </c>
      <c r="B131" s="11" t="s">
        <v>1217</v>
      </c>
      <c r="C131" s="11">
        <v>25.473833299999999</v>
      </c>
      <c r="D131" s="11">
        <v>-80.190966599999996</v>
      </c>
      <c r="E131" s="11">
        <v>25.480583299999999</v>
      </c>
      <c r="F131" s="11">
        <v>-80.188216600000004</v>
      </c>
      <c r="G131" s="11" t="s">
        <v>220</v>
      </c>
      <c r="H131" s="11" t="s">
        <v>1218</v>
      </c>
      <c r="I131" s="13">
        <v>41680</v>
      </c>
      <c r="J131" s="27">
        <v>0.5625</v>
      </c>
      <c r="R131" s="8">
        <v>42</v>
      </c>
      <c r="Y131" s="14"/>
      <c r="AC131" s="14"/>
      <c r="AE131" s="8">
        <v>13</v>
      </c>
      <c r="AF131" s="8">
        <v>17</v>
      </c>
      <c r="AG131" s="14"/>
      <c r="AH131" s="14"/>
      <c r="AI131" s="14"/>
      <c r="AL131" s="14"/>
      <c r="AN131" s="14"/>
      <c r="AV131" s="14"/>
      <c r="BA131" s="14"/>
      <c r="BI131" s="14"/>
      <c r="BL131" s="19">
        <f t="shared" si="16"/>
        <v>72</v>
      </c>
      <c r="BM131" s="8" t="s">
        <v>1221</v>
      </c>
    </row>
    <row r="132" spans="1:65" ht="42.75" customHeight="1" x14ac:dyDescent="0.2">
      <c r="A132" s="11" t="s">
        <v>1224</v>
      </c>
      <c r="B132" s="11" t="s">
        <v>1217</v>
      </c>
      <c r="C132" s="11">
        <v>25.463149999999999</v>
      </c>
      <c r="D132" s="11">
        <v>-80.319083300000003</v>
      </c>
      <c r="E132" s="11">
        <v>25.463083300000001</v>
      </c>
      <c r="F132" s="11">
        <v>80.338383300000004</v>
      </c>
      <c r="G132" s="11" t="s">
        <v>220</v>
      </c>
      <c r="H132" s="11" t="s">
        <v>1218</v>
      </c>
      <c r="I132" s="13">
        <v>41680</v>
      </c>
      <c r="J132" s="27">
        <v>0.59375</v>
      </c>
      <c r="K132" s="14"/>
      <c r="L132" s="14"/>
      <c r="M132" s="14"/>
      <c r="N132" s="11">
        <v>16</v>
      </c>
      <c r="O132" s="11">
        <v>1</v>
      </c>
      <c r="P132" s="14"/>
      <c r="Q132" s="14"/>
      <c r="R132" s="11">
        <v>96</v>
      </c>
      <c r="S132" s="14"/>
      <c r="T132" s="14"/>
      <c r="U132" s="14"/>
      <c r="V132" s="14"/>
      <c r="W132" s="11">
        <v>4</v>
      </c>
      <c r="X132" s="14"/>
      <c r="Y132" s="11">
        <v>17</v>
      </c>
      <c r="Z132" s="14"/>
      <c r="AA132" s="11">
        <v>1</v>
      </c>
      <c r="AB132" s="14"/>
      <c r="AC132" s="14"/>
      <c r="AD132" s="14"/>
      <c r="AE132" s="11">
        <v>9</v>
      </c>
      <c r="AF132" s="11">
        <v>38</v>
      </c>
      <c r="AG132" s="14"/>
      <c r="AH132" s="14"/>
      <c r="AI132" s="14"/>
      <c r="AJ132" s="14"/>
      <c r="AK132" s="14"/>
      <c r="AL132" s="14"/>
      <c r="AM132" s="14"/>
      <c r="AN132" s="14"/>
      <c r="AO132" s="14"/>
      <c r="AP132" s="14"/>
      <c r="AQ132" s="14"/>
      <c r="AR132" s="14"/>
      <c r="AS132" s="14"/>
      <c r="AT132" s="14"/>
      <c r="AU132" s="14"/>
      <c r="AV132" s="14"/>
      <c r="AW132" s="11">
        <v>5</v>
      </c>
      <c r="AX132" s="14"/>
      <c r="AY132" s="14"/>
      <c r="AZ132" s="14"/>
      <c r="BA132" s="14"/>
      <c r="BB132" s="14"/>
      <c r="BC132" s="11">
        <v>1</v>
      </c>
      <c r="BD132" s="14"/>
      <c r="BE132" s="14"/>
      <c r="BF132" s="14"/>
      <c r="BG132" s="14"/>
      <c r="BH132" s="14"/>
      <c r="BI132" s="14"/>
      <c r="BJ132" s="14"/>
      <c r="BK132" s="14"/>
      <c r="BL132" s="19">
        <f t="shared" si="16"/>
        <v>188</v>
      </c>
      <c r="BM132" s="8" t="s">
        <v>1221</v>
      </c>
    </row>
    <row r="133" spans="1:65" ht="23.25" customHeight="1" x14ac:dyDescent="0.2">
      <c r="A133" s="11" t="s">
        <v>366</v>
      </c>
      <c r="B133" s="11" t="s">
        <v>1217</v>
      </c>
      <c r="C133" s="11">
        <v>25.666699999999999</v>
      </c>
      <c r="D133" s="11">
        <v>-80.155699999999996</v>
      </c>
      <c r="E133" s="11">
        <v>25.683</v>
      </c>
      <c r="F133" s="11">
        <v>-80.155299999999997</v>
      </c>
      <c r="G133" s="11" t="s">
        <v>1225</v>
      </c>
      <c r="H133" s="11" t="s">
        <v>1226</v>
      </c>
      <c r="I133" s="13">
        <v>41682</v>
      </c>
      <c r="J133" s="27">
        <v>0.3125</v>
      </c>
      <c r="K133" s="14"/>
      <c r="L133" s="14"/>
      <c r="M133" s="14"/>
      <c r="N133" s="14"/>
      <c r="O133" s="14"/>
      <c r="P133" s="14"/>
      <c r="Q133" s="14"/>
      <c r="R133" s="14"/>
      <c r="S133" s="14"/>
      <c r="T133" s="14"/>
      <c r="U133" s="14"/>
      <c r="V133" s="14"/>
      <c r="W133" s="14"/>
      <c r="X133" s="14"/>
      <c r="Y133" s="14"/>
      <c r="Z133" s="14"/>
      <c r="AA133" s="14"/>
      <c r="AB133" s="14"/>
      <c r="AC133" s="14"/>
      <c r="AD133" s="14"/>
      <c r="AE133" s="11">
        <v>11</v>
      </c>
      <c r="AF133" s="14"/>
      <c r="AG133" s="14"/>
      <c r="AH133" s="14"/>
      <c r="AI133" s="14"/>
      <c r="AJ133" s="14"/>
      <c r="AK133" s="14"/>
      <c r="AL133" s="14"/>
      <c r="AM133" s="14"/>
      <c r="AN133" s="14"/>
      <c r="AO133" s="14"/>
      <c r="AP133" s="14"/>
      <c r="AQ133" s="14"/>
      <c r="AR133" s="14"/>
      <c r="AS133" s="14"/>
      <c r="AT133" s="14"/>
      <c r="AU133" s="14"/>
      <c r="AV133" s="14"/>
      <c r="AW133" s="11">
        <v>6</v>
      </c>
      <c r="AX133" s="11">
        <v>100</v>
      </c>
      <c r="AY133" s="11">
        <v>37</v>
      </c>
      <c r="AZ133" s="14"/>
      <c r="BA133" s="14"/>
      <c r="BB133" s="14"/>
      <c r="BC133" s="14"/>
      <c r="BD133" s="14"/>
      <c r="BE133" s="14"/>
      <c r="BF133" s="14"/>
      <c r="BG133" s="14"/>
      <c r="BH133" s="14"/>
      <c r="BI133" s="14"/>
      <c r="BJ133" s="14"/>
      <c r="BK133" s="14"/>
      <c r="BL133" s="19">
        <f t="shared" si="16"/>
        <v>154</v>
      </c>
      <c r="BM133" s="14"/>
    </row>
    <row r="134" spans="1:65" ht="24" customHeight="1" x14ac:dyDescent="0.2">
      <c r="A134" s="11" t="s">
        <v>375</v>
      </c>
      <c r="B134" s="11" t="s">
        <v>1217</v>
      </c>
      <c r="C134" s="11">
        <v>25.683</v>
      </c>
      <c r="D134" s="11">
        <v>-80.155299999999997</v>
      </c>
      <c r="E134" s="11">
        <v>25.700199999999999</v>
      </c>
      <c r="F134" s="11">
        <v>-80.155299999999997</v>
      </c>
      <c r="G134" s="11" t="s">
        <v>1225</v>
      </c>
      <c r="H134" s="11" t="s">
        <v>1226</v>
      </c>
      <c r="I134" s="13">
        <v>41682</v>
      </c>
      <c r="J134" s="27">
        <v>0.35416666666666669</v>
      </c>
      <c r="K134" s="14"/>
      <c r="L134" s="14"/>
      <c r="M134" s="14"/>
      <c r="N134" s="14"/>
      <c r="O134" s="14"/>
      <c r="P134" s="14"/>
      <c r="Q134" s="14"/>
      <c r="R134" s="11">
        <v>18</v>
      </c>
      <c r="S134" s="14"/>
      <c r="T134" s="14"/>
      <c r="U134" s="14"/>
      <c r="V134" s="14"/>
      <c r="W134" s="14"/>
      <c r="X134" s="14"/>
      <c r="Y134" s="11">
        <v>225</v>
      </c>
      <c r="Z134" s="11">
        <v>1</v>
      </c>
      <c r="AA134" s="14"/>
      <c r="AB134" s="14"/>
      <c r="AC134" s="14"/>
      <c r="AD134" s="14"/>
      <c r="AE134" s="11">
        <v>50</v>
      </c>
      <c r="AF134" s="11">
        <v>1</v>
      </c>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9">
        <f t="shared" si="16"/>
        <v>295</v>
      </c>
    </row>
    <row r="135" spans="1:65" ht="22.5" customHeight="1" x14ac:dyDescent="0.2">
      <c r="A135" s="11" t="s">
        <v>1227</v>
      </c>
      <c r="B135" s="11" t="s">
        <v>1217</v>
      </c>
      <c r="C135" s="11" t="s">
        <v>1228</v>
      </c>
      <c r="D135" s="11" t="s">
        <v>1229</v>
      </c>
      <c r="E135" s="11" t="s">
        <v>1230</v>
      </c>
      <c r="F135" s="11" t="s">
        <v>1231</v>
      </c>
      <c r="G135" s="11" t="s">
        <v>1232</v>
      </c>
      <c r="H135" s="11" t="s">
        <v>1233</v>
      </c>
      <c r="I135" s="13">
        <v>41682</v>
      </c>
      <c r="J135" s="27">
        <v>0.38541666666666669</v>
      </c>
      <c r="K135" s="14"/>
      <c r="L135" s="14"/>
      <c r="M135" s="14"/>
      <c r="N135" s="11">
        <v>1</v>
      </c>
      <c r="O135" s="14"/>
      <c r="P135" s="14"/>
      <c r="Q135" s="14"/>
      <c r="R135" s="11">
        <v>2</v>
      </c>
      <c r="S135" s="14"/>
      <c r="T135" s="14"/>
      <c r="U135" s="14"/>
      <c r="V135" s="11">
        <v>1</v>
      </c>
      <c r="W135" s="14"/>
      <c r="X135" s="14"/>
      <c r="Y135" s="11">
        <v>8</v>
      </c>
      <c r="Z135" s="14"/>
      <c r="AA135" s="14"/>
      <c r="AB135" s="14"/>
      <c r="AC135" s="14"/>
      <c r="AD135" s="14"/>
      <c r="AE135" s="11">
        <v>13</v>
      </c>
      <c r="AF135" s="14"/>
      <c r="AG135" s="14"/>
      <c r="AH135" s="14"/>
      <c r="AI135" s="14"/>
      <c r="AJ135" s="14"/>
      <c r="AK135" s="14"/>
      <c r="AL135" s="14"/>
      <c r="AM135" s="14"/>
      <c r="AN135" s="14"/>
      <c r="AO135" s="14"/>
      <c r="AP135" s="14"/>
      <c r="AQ135" s="14"/>
      <c r="AR135" s="14"/>
      <c r="AS135" s="14"/>
      <c r="AT135" s="14"/>
      <c r="AU135" s="14"/>
      <c r="AV135" s="14"/>
      <c r="AW135" s="11">
        <v>43</v>
      </c>
      <c r="AX135" s="14"/>
      <c r="AY135" s="14"/>
      <c r="AZ135" s="14"/>
      <c r="BA135" s="14"/>
      <c r="BB135" s="14"/>
      <c r="BC135" s="11">
        <v>3</v>
      </c>
      <c r="BD135" s="14"/>
      <c r="BE135" s="14"/>
      <c r="BF135" s="11">
        <v>2</v>
      </c>
      <c r="BG135" s="14"/>
      <c r="BH135" s="14"/>
      <c r="BI135" s="14"/>
      <c r="BJ135" s="14"/>
      <c r="BK135" s="14"/>
      <c r="BL135" s="19">
        <f t="shared" si="16"/>
        <v>73</v>
      </c>
      <c r="BM135" s="14"/>
    </row>
    <row r="136" spans="1:65" ht="28.5" customHeight="1" x14ac:dyDescent="0.2">
      <c r="A136" s="11" t="s">
        <v>1234</v>
      </c>
      <c r="B136" s="11" t="s">
        <v>1217</v>
      </c>
      <c r="C136" s="11" t="s">
        <v>1235</v>
      </c>
      <c r="D136" s="11" t="s">
        <v>1236</v>
      </c>
      <c r="E136" s="11" t="s">
        <v>1237</v>
      </c>
      <c r="F136" s="11" t="s">
        <v>1238</v>
      </c>
      <c r="G136" s="11" t="s">
        <v>1232</v>
      </c>
      <c r="H136" s="11" t="s">
        <v>1239</v>
      </c>
      <c r="I136" s="13">
        <v>41682</v>
      </c>
      <c r="J136" s="27">
        <v>0.36458333333333331</v>
      </c>
      <c r="K136" s="14"/>
      <c r="L136" s="14"/>
      <c r="M136" s="14"/>
      <c r="N136" s="14"/>
      <c r="O136" s="14"/>
      <c r="P136" s="14"/>
      <c r="Q136" s="14"/>
      <c r="R136" s="11">
        <v>1</v>
      </c>
      <c r="S136" s="14"/>
      <c r="T136" s="14"/>
      <c r="U136" s="14"/>
      <c r="V136" s="14"/>
      <c r="W136" s="14"/>
      <c r="X136" s="14"/>
      <c r="Y136" s="14"/>
      <c r="Z136" s="14"/>
      <c r="AA136" s="14"/>
      <c r="AB136" s="14"/>
      <c r="AC136" s="14"/>
      <c r="AD136" s="14"/>
      <c r="AE136" s="14"/>
      <c r="AF136" s="14"/>
      <c r="AG136" s="14"/>
      <c r="AH136" s="14"/>
      <c r="AI136" s="11">
        <v>3</v>
      </c>
      <c r="AJ136" s="14"/>
      <c r="AK136" s="14"/>
      <c r="AL136" s="14"/>
      <c r="AM136" s="14"/>
      <c r="AN136" s="14"/>
      <c r="AO136" s="14"/>
      <c r="AP136" s="14"/>
      <c r="AQ136" s="11" t="s">
        <v>1240</v>
      </c>
      <c r="AR136" s="14"/>
      <c r="AS136" s="14"/>
      <c r="AT136" s="14"/>
      <c r="AU136" s="14"/>
      <c r="AV136" s="14"/>
      <c r="AW136" s="14"/>
      <c r="AX136" s="14"/>
      <c r="AY136" s="14"/>
      <c r="AZ136" s="14"/>
      <c r="BA136" s="14"/>
      <c r="BB136" s="14"/>
      <c r="BC136" s="14"/>
      <c r="BD136" s="14"/>
      <c r="BE136" s="14"/>
      <c r="BF136" s="14"/>
      <c r="BG136" s="14"/>
      <c r="BH136" s="14"/>
      <c r="BI136" s="14"/>
      <c r="BJ136" s="14"/>
      <c r="BK136" s="14"/>
      <c r="BL136" s="19">
        <f t="shared" si="16"/>
        <v>4</v>
      </c>
    </row>
    <row r="137" spans="1:65" ht="25.5" x14ac:dyDescent="0.2">
      <c r="A137" s="8" t="s">
        <v>811</v>
      </c>
      <c r="B137" s="8" t="s">
        <v>1217</v>
      </c>
      <c r="C137" s="8">
        <v>25.846250000000001</v>
      </c>
      <c r="D137" s="8">
        <v>-80.169449999999998</v>
      </c>
      <c r="E137" s="8">
        <v>25.763449999999999</v>
      </c>
      <c r="F137" s="8">
        <v>-80.150182999999998</v>
      </c>
      <c r="G137" s="8" t="s">
        <v>812</v>
      </c>
      <c r="H137" s="8" t="s">
        <v>1241</v>
      </c>
      <c r="I137" s="21">
        <v>41684</v>
      </c>
      <c r="J137" s="23">
        <v>0.4375</v>
      </c>
      <c r="N137" s="8">
        <v>83</v>
      </c>
      <c r="R137" s="8">
        <v>78</v>
      </c>
      <c r="V137" s="8">
        <v>5</v>
      </c>
      <c r="W137" s="8">
        <v>3</v>
      </c>
      <c r="Y137" s="8">
        <v>373</v>
      </c>
      <c r="AE137" s="8">
        <v>16</v>
      </c>
      <c r="AF137" s="8">
        <v>5</v>
      </c>
      <c r="BL137" s="19">
        <f t="shared" si="16"/>
        <v>563</v>
      </c>
      <c r="BM137" s="8" t="s">
        <v>784</v>
      </c>
    </row>
    <row r="138" spans="1:65" ht="63.75" x14ac:dyDescent="0.2">
      <c r="A138" s="8" t="s">
        <v>1014</v>
      </c>
      <c r="B138" s="8" t="s">
        <v>1217</v>
      </c>
      <c r="C138" s="8">
        <v>25.699259000000001</v>
      </c>
      <c r="D138" s="8">
        <v>-80.155556000000004</v>
      </c>
      <c r="E138" s="8">
        <v>25.705366999999999</v>
      </c>
      <c r="F138" s="8">
        <v>-80.152371000000002</v>
      </c>
      <c r="G138" s="8" t="s">
        <v>1242</v>
      </c>
      <c r="H138" s="8" t="s">
        <v>1243</v>
      </c>
      <c r="I138" s="21">
        <v>41682</v>
      </c>
      <c r="J138" s="8">
        <v>740</v>
      </c>
      <c r="N138" s="8">
        <v>9</v>
      </c>
      <c r="O138" s="8">
        <v>1</v>
      </c>
      <c r="R138" s="8">
        <v>8</v>
      </c>
      <c r="S138" s="8">
        <v>1</v>
      </c>
      <c r="Y138" s="8">
        <v>101</v>
      </c>
      <c r="Z138" s="8">
        <v>23</v>
      </c>
      <c r="AE138" s="8">
        <v>17</v>
      </c>
      <c r="AF138" s="8">
        <v>180</v>
      </c>
      <c r="AM138" s="8">
        <v>13</v>
      </c>
      <c r="AP138" s="8">
        <v>39</v>
      </c>
      <c r="AU138" s="8">
        <v>37</v>
      </c>
      <c r="AX138" s="8">
        <v>246</v>
      </c>
      <c r="AY138" s="8">
        <v>146</v>
      </c>
      <c r="BG138" s="8">
        <v>2</v>
      </c>
      <c r="BL138" s="19">
        <f t="shared" si="16"/>
        <v>823</v>
      </c>
      <c r="BM138" s="8" t="s">
        <v>1244</v>
      </c>
    </row>
    <row r="139" spans="1:65" ht="42.75" customHeight="1" x14ac:dyDescent="0.2">
      <c r="A139" s="11" t="s">
        <v>1245</v>
      </c>
      <c r="B139" s="11" t="s">
        <v>1246</v>
      </c>
      <c r="C139" s="11" t="s">
        <v>1247</v>
      </c>
      <c r="D139" s="11" t="s">
        <v>1248</v>
      </c>
      <c r="E139" s="11" t="s">
        <v>1249</v>
      </c>
      <c r="F139" s="11" t="s">
        <v>1250</v>
      </c>
      <c r="G139" s="11" t="s">
        <v>1251</v>
      </c>
      <c r="H139" s="11" t="s">
        <v>1252</v>
      </c>
      <c r="I139" s="13">
        <v>41681</v>
      </c>
      <c r="J139" s="27">
        <v>0.36458333333333331</v>
      </c>
      <c r="K139" s="11"/>
      <c r="L139" s="11"/>
      <c r="M139" s="11"/>
      <c r="N139" s="11">
        <v>4</v>
      </c>
      <c r="O139" s="11"/>
      <c r="P139" s="11"/>
      <c r="Q139" s="11"/>
      <c r="R139" s="11">
        <v>42</v>
      </c>
      <c r="S139" s="11"/>
      <c r="T139" s="11"/>
      <c r="U139" s="11"/>
      <c r="V139" s="11"/>
      <c r="W139" s="11"/>
      <c r="X139" s="11"/>
      <c r="Y139" s="11">
        <v>2</v>
      </c>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9">
        <f t="shared" si="16"/>
        <v>48</v>
      </c>
      <c r="BM139" s="8" t="s">
        <v>1253</v>
      </c>
    </row>
    <row r="140" spans="1:65" ht="14.25" x14ac:dyDescent="0.2">
      <c r="A140" s="11" t="s">
        <v>1254</v>
      </c>
      <c r="B140" s="8" t="s">
        <v>1246</v>
      </c>
      <c r="C140" s="8" t="s">
        <v>1255</v>
      </c>
      <c r="D140" s="8" t="s">
        <v>1256</v>
      </c>
      <c r="E140" s="8" t="s">
        <v>1257</v>
      </c>
      <c r="F140" s="8" t="s">
        <v>1258</v>
      </c>
      <c r="G140" s="11" t="s">
        <v>1251</v>
      </c>
      <c r="H140" s="11" t="s">
        <v>1252</v>
      </c>
      <c r="I140" s="13">
        <v>41681</v>
      </c>
      <c r="J140" s="23">
        <v>0.37986111111111109</v>
      </c>
      <c r="K140" s="8"/>
      <c r="L140" s="8"/>
      <c r="M140" s="8"/>
      <c r="N140" s="8"/>
      <c r="O140" s="8"/>
      <c r="P140" s="8"/>
      <c r="Q140" s="8"/>
      <c r="R140" s="8">
        <v>15</v>
      </c>
      <c r="S140" s="8"/>
      <c r="T140" s="8"/>
      <c r="U140" s="8"/>
      <c r="V140" s="8"/>
      <c r="W140" s="8"/>
      <c r="X140" s="8"/>
      <c r="Y140" s="8">
        <v>2</v>
      </c>
      <c r="Z140" s="8"/>
      <c r="AA140" s="8"/>
      <c r="AB140" s="8"/>
      <c r="AC140" s="8"/>
      <c r="AD140" s="8"/>
      <c r="AE140" s="8"/>
      <c r="AF140" s="8">
        <v>1</v>
      </c>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19">
        <f t="shared" si="16"/>
        <v>18</v>
      </c>
      <c r="BM140" s="8" t="s">
        <v>1259</v>
      </c>
    </row>
    <row r="141" spans="1:65" ht="14.25" x14ac:dyDescent="0.2">
      <c r="A141" s="11" t="s">
        <v>1260</v>
      </c>
      <c r="B141" s="11" t="s">
        <v>1246</v>
      </c>
      <c r="C141" s="11" t="s">
        <v>1261</v>
      </c>
      <c r="D141" s="11" t="s">
        <v>1262</v>
      </c>
      <c r="E141" s="11" t="s">
        <v>1263</v>
      </c>
      <c r="F141" s="11" t="s">
        <v>1264</v>
      </c>
      <c r="G141" s="11" t="s">
        <v>1251</v>
      </c>
      <c r="H141" s="11" t="s">
        <v>1252</v>
      </c>
      <c r="I141" s="13">
        <v>41681</v>
      </c>
      <c r="J141" s="27">
        <v>0.39444444444444443</v>
      </c>
      <c r="K141" s="8"/>
      <c r="L141" s="8"/>
      <c r="M141" s="8"/>
      <c r="N141" s="8">
        <v>4</v>
      </c>
      <c r="O141" s="8"/>
      <c r="P141" s="8"/>
      <c r="Q141" s="8"/>
      <c r="R141" s="8">
        <v>27</v>
      </c>
      <c r="S141" s="8"/>
      <c r="T141" s="8"/>
      <c r="U141" s="8"/>
      <c r="V141" s="8"/>
      <c r="W141" s="8">
        <v>3</v>
      </c>
      <c r="X141" s="8"/>
      <c r="Y141" s="8">
        <v>3</v>
      </c>
      <c r="Z141" s="8"/>
      <c r="AA141" s="8"/>
      <c r="AB141" s="8"/>
      <c r="AC141" s="8"/>
      <c r="AD141" s="8"/>
      <c r="AE141" s="8"/>
      <c r="AF141" s="8">
        <v>6</v>
      </c>
      <c r="AG141" s="11"/>
      <c r="AH141" s="8"/>
      <c r="AI141" s="11"/>
      <c r="AJ141" s="8"/>
      <c r="AK141" s="8"/>
      <c r="AL141" s="11"/>
      <c r="AM141" s="8"/>
      <c r="AN141" s="11"/>
      <c r="AO141" s="8"/>
      <c r="AP141" s="8"/>
      <c r="AQ141" s="8"/>
      <c r="AR141" s="8"/>
      <c r="AS141" s="8"/>
      <c r="AT141" s="8"/>
      <c r="AU141" s="8"/>
      <c r="AV141" s="11"/>
      <c r="AW141" s="8"/>
      <c r="AX141" s="8"/>
      <c r="AY141" s="8"/>
      <c r="AZ141" s="8"/>
      <c r="BA141" s="8"/>
      <c r="BB141" s="8"/>
      <c r="BC141" s="8"/>
      <c r="BD141" s="8"/>
      <c r="BE141" s="8"/>
      <c r="BF141" s="8"/>
      <c r="BG141" s="8"/>
      <c r="BH141" s="8"/>
      <c r="BI141" s="8"/>
      <c r="BJ141" s="8"/>
      <c r="BK141" s="8"/>
      <c r="BL141" s="19">
        <f t="shared" si="16"/>
        <v>43</v>
      </c>
      <c r="BM141" s="8" t="s">
        <v>1259</v>
      </c>
    </row>
    <row r="142" spans="1:65" ht="14.25" x14ac:dyDescent="0.2">
      <c r="A142" s="11" t="s">
        <v>1265</v>
      </c>
      <c r="B142" s="11" t="s">
        <v>1246</v>
      </c>
      <c r="C142" s="11" t="s">
        <v>1266</v>
      </c>
      <c r="D142" s="11" t="s">
        <v>1267</v>
      </c>
      <c r="E142" s="11" t="s">
        <v>1268</v>
      </c>
      <c r="F142" s="11" t="s">
        <v>1269</v>
      </c>
      <c r="G142" s="11" t="s">
        <v>1251</v>
      </c>
      <c r="H142" s="11" t="s">
        <v>1252</v>
      </c>
      <c r="I142" s="13">
        <v>41681</v>
      </c>
      <c r="J142" s="27">
        <v>0.41319444444444442</v>
      </c>
      <c r="K142" s="8"/>
      <c r="L142" s="8"/>
      <c r="M142" s="8"/>
      <c r="N142" s="8"/>
      <c r="O142" s="8"/>
      <c r="P142" s="8"/>
      <c r="Q142" s="8"/>
      <c r="R142" s="8">
        <v>28</v>
      </c>
      <c r="S142" s="8"/>
      <c r="T142" s="8"/>
      <c r="U142" s="8"/>
      <c r="V142" s="8"/>
      <c r="W142" s="8"/>
      <c r="X142" s="8"/>
      <c r="Y142" s="11"/>
      <c r="Z142" s="8"/>
      <c r="AA142" s="8"/>
      <c r="AB142" s="8"/>
      <c r="AC142" s="8"/>
      <c r="AD142" s="8"/>
      <c r="AE142" s="8"/>
      <c r="AF142" s="8">
        <v>1</v>
      </c>
      <c r="AG142" s="11"/>
      <c r="AH142" s="8"/>
      <c r="AI142" s="8"/>
      <c r="AJ142" s="8"/>
      <c r="AK142" s="8"/>
      <c r="AL142" s="11"/>
      <c r="AM142" s="8"/>
      <c r="AN142" s="11"/>
      <c r="AO142" s="8"/>
      <c r="AP142" s="8"/>
      <c r="AQ142" s="8"/>
      <c r="AR142" s="8"/>
      <c r="AS142" s="8"/>
      <c r="AT142" s="8"/>
      <c r="AU142" s="8"/>
      <c r="AV142" s="8"/>
      <c r="AW142" s="11"/>
      <c r="AX142" s="8"/>
      <c r="AY142" s="8"/>
      <c r="AZ142" s="8"/>
      <c r="BA142" s="8"/>
      <c r="BB142" s="8"/>
      <c r="BC142" s="8"/>
      <c r="BD142" s="8"/>
      <c r="BE142" s="8"/>
      <c r="BF142" s="8"/>
      <c r="BG142" s="8"/>
      <c r="BH142" s="8"/>
      <c r="BI142" s="8"/>
      <c r="BJ142" s="8"/>
      <c r="BK142" s="8"/>
      <c r="BL142" s="19">
        <f t="shared" si="16"/>
        <v>29</v>
      </c>
      <c r="BM142" s="8" t="s">
        <v>1259</v>
      </c>
    </row>
    <row r="143" spans="1:65" ht="14.25" x14ac:dyDescent="0.2">
      <c r="A143" s="11" t="s">
        <v>1270</v>
      </c>
      <c r="B143" s="8" t="s">
        <v>1246</v>
      </c>
      <c r="C143" s="11" t="s">
        <v>1271</v>
      </c>
      <c r="D143" s="11" t="s">
        <v>1272</v>
      </c>
      <c r="E143" s="11" t="s">
        <v>1273</v>
      </c>
      <c r="F143" s="11" t="s">
        <v>1274</v>
      </c>
      <c r="G143" s="11" t="s">
        <v>1251</v>
      </c>
      <c r="H143" s="11" t="s">
        <v>1252</v>
      </c>
      <c r="I143" s="13">
        <v>41681</v>
      </c>
      <c r="J143" s="23">
        <v>0.4236111111111111</v>
      </c>
      <c r="K143" s="8"/>
      <c r="L143" s="8"/>
      <c r="M143" s="8"/>
      <c r="N143" s="8">
        <v>3</v>
      </c>
      <c r="O143" s="8"/>
      <c r="P143" s="8"/>
      <c r="Q143" s="8"/>
      <c r="R143" s="8">
        <v>41</v>
      </c>
      <c r="S143" s="8"/>
      <c r="T143" s="8"/>
      <c r="U143" s="8"/>
      <c r="V143" s="8"/>
      <c r="W143" s="8">
        <v>1</v>
      </c>
      <c r="X143" s="8"/>
      <c r="Y143" s="8">
        <v>1</v>
      </c>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19">
        <f t="shared" si="16"/>
        <v>46</v>
      </c>
      <c r="BM143" s="8" t="s">
        <v>1259</v>
      </c>
    </row>
    <row r="144" spans="1:65" ht="14.25" x14ac:dyDescent="0.2">
      <c r="A144" s="11" t="s">
        <v>1275</v>
      </c>
      <c r="B144" s="11" t="s">
        <v>1246</v>
      </c>
      <c r="C144" s="11" t="s">
        <v>1276</v>
      </c>
      <c r="D144" s="11" t="s">
        <v>1277</v>
      </c>
      <c r="E144" s="11" t="s">
        <v>1278</v>
      </c>
      <c r="F144" s="11" t="s">
        <v>1279</v>
      </c>
      <c r="G144" s="11" t="s">
        <v>1251</v>
      </c>
      <c r="H144" s="11" t="s">
        <v>1252</v>
      </c>
      <c r="I144" s="13">
        <v>41681</v>
      </c>
      <c r="J144" s="27">
        <v>0.5625</v>
      </c>
      <c r="K144" s="8"/>
      <c r="L144" s="8"/>
      <c r="M144" s="8"/>
      <c r="N144" s="8">
        <v>1</v>
      </c>
      <c r="O144" s="8"/>
      <c r="P144" s="8"/>
      <c r="Q144" s="8"/>
      <c r="R144" s="8">
        <v>46</v>
      </c>
      <c r="S144" s="8"/>
      <c r="T144" s="8"/>
      <c r="U144" s="8"/>
      <c r="V144" s="8"/>
      <c r="W144" s="8">
        <v>2</v>
      </c>
      <c r="X144" s="8"/>
      <c r="Y144" s="11"/>
      <c r="Z144" s="8"/>
      <c r="AA144" s="8"/>
      <c r="AB144" s="8"/>
      <c r="AC144" s="8"/>
      <c r="AD144" s="8"/>
      <c r="AE144" s="11"/>
      <c r="AF144" s="8">
        <v>17</v>
      </c>
      <c r="AG144" s="11"/>
      <c r="AH144" s="11"/>
      <c r="AI144" s="11"/>
      <c r="AJ144" s="8"/>
      <c r="AK144" s="8"/>
      <c r="AL144" s="11"/>
      <c r="AM144" s="8"/>
      <c r="AN144" s="11"/>
      <c r="AO144" s="11">
        <v>2</v>
      </c>
      <c r="AP144" s="8">
        <v>11</v>
      </c>
      <c r="AQ144" s="11"/>
      <c r="AR144" s="8"/>
      <c r="AS144" s="8"/>
      <c r="AT144" s="8"/>
      <c r="AU144" s="8"/>
      <c r="AV144" s="11"/>
      <c r="AW144" s="8">
        <v>2</v>
      </c>
      <c r="AX144" s="11"/>
      <c r="AY144" s="11"/>
      <c r="AZ144" s="8"/>
      <c r="BA144" s="8"/>
      <c r="BB144" s="8"/>
      <c r="BC144" s="8"/>
      <c r="BD144" s="8"/>
      <c r="BE144" s="8"/>
      <c r="BF144" s="8"/>
      <c r="BG144" s="8">
        <v>10</v>
      </c>
      <c r="BH144" s="8"/>
      <c r="BI144" s="8"/>
      <c r="BJ144" s="8"/>
      <c r="BK144" s="8"/>
      <c r="BL144" s="19">
        <f t="shared" si="16"/>
        <v>91</v>
      </c>
      <c r="BM144" s="8" t="s">
        <v>1259</v>
      </c>
    </row>
    <row r="145" spans="1:65" ht="27.75" customHeight="1" x14ac:dyDescent="0.2">
      <c r="A145" s="11" t="s">
        <v>562</v>
      </c>
      <c r="B145" s="11" t="s">
        <v>1246</v>
      </c>
      <c r="C145" s="11">
        <v>24.805599999999998</v>
      </c>
      <c r="D145" s="11">
        <v>-80.841932999999997</v>
      </c>
      <c r="E145" s="11">
        <v>24.812116</v>
      </c>
      <c r="F145" s="11">
        <v>-80.825050000000005</v>
      </c>
      <c r="G145" s="11" t="s">
        <v>563</v>
      </c>
      <c r="H145" s="11" t="s">
        <v>1280</v>
      </c>
      <c r="I145" s="13">
        <v>41681</v>
      </c>
      <c r="J145" s="27">
        <v>0.52777777777777779</v>
      </c>
      <c r="R145" s="8">
        <v>5</v>
      </c>
      <c r="U145" s="8">
        <v>1</v>
      </c>
      <c r="Y145" s="8">
        <v>6</v>
      </c>
      <c r="AF145" s="8">
        <v>45</v>
      </c>
      <c r="AG145" s="14"/>
      <c r="AI145" s="14"/>
      <c r="AL145" s="11">
        <v>15</v>
      </c>
      <c r="AN145" s="14"/>
      <c r="AO145" s="14"/>
      <c r="AP145" s="8">
        <v>6</v>
      </c>
      <c r="AV145" s="14"/>
      <c r="AW145" s="11">
        <v>1</v>
      </c>
      <c r="AX145" s="14"/>
      <c r="AY145" s="8">
        <v>23</v>
      </c>
      <c r="BA145" s="11">
        <v>4</v>
      </c>
      <c r="BF145" s="8">
        <v>14</v>
      </c>
      <c r="BL145" s="19">
        <f t="shared" si="16"/>
        <v>120</v>
      </c>
      <c r="BM145" s="11" t="s">
        <v>1281</v>
      </c>
    </row>
    <row r="146" spans="1:65" ht="140.25" x14ac:dyDescent="0.2">
      <c r="A146" s="11" t="s">
        <v>566</v>
      </c>
      <c r="B146" s="11" t="s">
        <v>1246</v>
      </c>
      <c r="C146" s="24">
        <v>24.654039999999998</v>
      </c>
      <c r="D146" s="24">
        <v>-81.280619999999999</v>
      </c>
      <c r="E146" s="24">
        <v>24.667770000000001</v>
      </c>
      <c r="F146" s="24">
        <v>-81.249899999999997</v>
      </c>
      <c r="G146" s="11" t="s">
        <v>568</v>
      </c>
      <c r="H146" s="11" t="s">
        <v>1280</v>
      </c>
      <c r="I146" s="13">
        <v>41682</v>
      </c>
      <c r="J146" s="27">
        <v>0.52083333333333337</v>
      </c>
      <c r="K146" s="14"/>
      <c r="L146" s="14"/>
      <c r="M146" s="14"/>
      <c r="N146" s="11">
        <v>3</v>
      </c>
      <c r="O146" s="14"/>
      <c r="P146" s="14"/>
      <c r="Q146" s="14"/>
      <c r="R146" s="14"/>
      <c r="S146" s="14"/>
      <c r="T146" s="14"/>
      <c r="U146" s="14"/>
      <c r="V146" s="14"/>
      <c r="W146" s="14"/>
      <c r="X146" s="14"/>
      <c r="Y146" s="11">
        <v>7</v>
      </c>
      <c r="Z146" s="14"/>
      <c r="AA146" s="14"/>
      <c r="AB146" s="14"/>
      <c r="AC146" s="14"/>
      <c r="AD146" s="14"/>
      <c r="AE146" s="11">
        <v>2</v>
      </c>
      <c r="AF146" s="14"/>
      <c r="AG146" s="14"/>
      <c r="AH146" s="14"/>
      <c r="AI146" s="14"/>
      <c r="AJ146" s="14"/>
      <c r="AK146" s="14"/>
      <c r="AL146" s="11">
        <v>6</v>
      </c>
      <c r="AM146" s="14"/>
      <c r="AN146" s="14"/>
      <c r="AO146" s="14"/>
      <c r="AP146" s="11">
        <v>5</v>
      </c>
      <c r="AQ146" s="14"/>
      <c r="AR146" s="14"/>
      <c r="AS146" s="14"/>
      <c r="AT146" s="14"/>
      <c r="AU146" s="14"/>
      <c r="AV146" s="14"/>
      <c r="AW146" s="11">
        <v>91</v>
      </c>
      <c r="AX146" s="11">
        <v>177</v>
      </c>
      <c r="AY146" s="11">
        <v>18</v>
      </c>
      <c r="AZ146" s="11">
        <v>24</v>
      </c>
      <c r="BA146" s="14"/>
      <c r="BB146" s="14"/>
      <c r="BC146" s="14"/>
      <c r="BD146" s="14"/>
      <c r="BE146" s="14"/>
      <c r="BF146" s="14"/>
      <c r="BG146" s="14"/>
      <c r="BH146" s="14"/>
      <c r="BI146" s="14"/>
      <c r="BJ146" s="14"/>
      <c r="BK146" s="14"/>
      <c r="BL146" s="19">
        <f t="shared" si="16"/>
        <v>333</v>
      </c>
      <c r="BM146" s="11" t="s">
        <v>1282</v>
      </c>
    </row>
    <row r="147" spans="1:65" ht="38.25" x14ac:dyDescent="0.2">
      <c r="A147" s="8" t="s">
        <v>1283</v>
      </c>
      <c r="B147" s="8" t="s">
        <v>1246</v>
      </c>
      <c r="C147" s="8">
        <v>24.655110000000001</v>
      </c>
      <c r="D147" s="8">
        <v>-81.280889999999999</v>
      </c>
      <c r="E147" s="8">
        <v>24.656479999999998</v>
      </c>
      <c r="F147" s="8" t="s">
        <v>1284</v>
      </c>
      <c r="G147" s="8" t="s">
        <v>568</v>
      </c>
      <c r="H147" s="8" t="s">
        <v>1280</v>
      </c>
      <c r="I147" s="21">
        <v>41682</v>
      </c>
      <c r="J147" s="23">
        <v>9.0972222222222218E-2</v>
      </c>
      <c r="Y147" s="8">
        <v>11</v>
      </c>
      <c r="BL147" s="19">
        <f t="shared" si="16"/>
        <v>11</v>
      </c>
      <c r="BM147" s="8" t="s">
        <v>1285</v>
      </c>
    </row>
    <row r="148" spans="1:65" ht="25.5" x14ac:dyDescent="0.2">
      <c r="A148" s="8" t="s">
        <v>959</v>
      </c>
      <c r="B148" s="8" t="s">
        <v>1246</v>
      </c>
      <c r="C148" s="8">
        <v>24.654</v>
      </c>
      <c r="D148" s="8">
        <v>-81.280619999999999</v>
      </c>
      <c r="E148" s="8">
        <v>24.6677</v>
      </c>
      <c r="F148" s="8">
        <v>-81.249899999999997</v>
      </c>
      <c r="G148" s="8" t="s">
        <v>962</v>
      </c>
      <c r="H148" s="8" t="s">
        <v>1280</v>
      </c>
      <c r="I148" s="21">
        <v>41675</v>
      </c>
      <c r="J148" s="23">
        <v>0.41597222222222224</v>
      </c>
      <c r="K148" s="8"/>
      <c r="L148" s="8"/>
      <c r="M148" s="8"/>
      <c r="N148" s="8">
        <v>3</v>
      </c>
      <c r="O148" s="8"/>
      <c r="P148" s="8"/>
      <c r="Q148" s="8"/>
      <c r="R148" s="8"/>
      <c r="S148" s="8"/>
      <c r="T148" s="8"/>
      <c r="U148" s="8"/>
      <c r="V148" s="8"/>
      <c r="W148" s="8"/>
      <c r="X148" s="8"/>
      <c r="Y148" s="8"/>
      <c r="Z148" s="8"/>
      <c r="AA148" s="8"/>
      <c r="AB148" s="8"/>
      <c r="AC148" s="8"/>
      <c r="AD148" s="8"/>
      <c r="AE148" s="8"/>
      <c r="AF148" s="8"/>
      <c r="AG148" s="8"/>
      <c r="AH148" s="8"/>
      <c r="AI148" s="8"/>
      <c r="AJ148" s="8"/>
      <c r="AK148" s="8"/>
      <c r="AL148" s="8">
        <v>3</v>
      </c>
      <c r="AM148" s="8"/>
      <c r="AN148" s="8"/>
      <c r="AO148" s="8"/>
      <c r="AP148" s="8">
        <v>6</v>
      </c>
      <c r="AQ148" s="8"/>
      <c r="AR148" s="8"/>
      <c r="AS148" s="8"/>
      <c r="AT148" s="8"/>
      <c r="AU148" s="8"/>
      <c r="AV148" s="8"/>
      <c r="AW148" s="8">
        <v>67</v>
      </c>
      <c r="AX148" s="8">
        <v>111</v>
      </c>
      <c r="AY148" s="8"/>
      <c r="AZ148" s="8">
        <v>62</v>
      </c>
      <c r="BA148" s="8"/>
      <c r="BB148" s="8"/>
      <c r="BC148" s="8"/>
      <c r="BD148" s="8"/>
      <c r="BE148" s="8"/>
      <c r="BF148" s="8">
        <v>1</v>
      </c>
      <c r="BG148" s="8"/>
      <c r="BH148" s="8"/>
      <c r="BI148" s="8"/>
      <c r="BJ148" s="8"/>
      <c r="BK148" s="8"/>
      <c r="BL148" s="19">
        <f t="shared" si="16"/>
        <v>253</v>
      </c>
      <c r="BM148" s="8" t="s">
        <v>1286</v>
      </c>
    </row>
    <row r="149" spans="1:65" ht="25.5" x14ac:dyDescent="0.2">
      <c r="A149" s="8" t="s">
        <v>1287</v>
      </c>
      <c r="B149" s="8" t="s">
        <v>1288</v>
      </c>
      <c r="C149" s="8">
        <v>30.704097999999998</v>
      </c>
      <c r="D149" s="8">
        <v>-81.458016000000001</v>
      </c>
      <c r="E149" s="8">
        <v>30.702822000000001</v>
      </c>
      <c r="F149" s="8">
        <v>-81.421954999999997</v>
      </c>
      <c r="G149" s="8" t="s">
        <v>1289</v>
      </c>
      <c r="H149" s="8" t="s">
        <v>1183</v>
      </c>
      <c r="I149" s="21">
        <v>41680</v>
      </c>
      <c r="J149" s="8">
        <v>1300</v>
      </c>
      <c r="K149" s="8">
        <v>11</v>
      </c>
      <c r="L149" s="8">
        <v>50</v>
      </c>
      <c r="N149" s="8">
        <v>2</v>
      </c>
      <c r="P149" s="8" t="s">
        <v>1290</v>
      </c>
      <c r="R149" s="8">
        <v>50</v>
      </c>
      <c r="S149" s="8">
        <v>150</v>
      </c>
      <c r="W149" s="8">
        <v>5</v>
      </c>
      <c r="X149" s="8">
        <v>1</v>
      </c>
      <c r="Y149" s="8">
        <v>53</v>
      </c>
      <c r="AA149" s="8">
        <v>3</v>
      </c>
      <c r="AD149" s="8" t="s">
        <v>1290</v>
      </c>
      <c r="AI149" s="8" t="s">
        <v>1291</v>
      </c>
      <c r="AW149" s="8">
        <v>244</v>
      </c>
      <c r="AX149" s="8">
        <v>2</v>
      </c>
      <c r="BF149" s="8">
        <v>2</v>
      </c>
      <c r="BJ149" s="8" t="s">
        <v>1292</v>
      </c>
      <c r="BL149" s="19">
        <f t="shared" si="16"/>
        <v>573</v>
      </c>
      <c r="BM149" s="8" t="s">
        <v>1293</v>
      </c>
    </row>
    <row r="150" spans="1:65" ht="14.25" x14ac:dyDescent="0.2">
      <c r="A150" s="8" t="s">
        <v>344</v>
      </c>
      <c r="B150" s="8" t="s">
        <v>1288</v>
      </c>
      <c r="C150" s="8">
        <v>30.311699999999998</v>
      </c>
      <c r="D150" s="8">
        <v>-81.264300000000006</v>
      </c>
      <c r="E150" s="8">
        <v>30.314699999999998</v>
      </c>
      <c r="F150" s="8">
        <v>-81.261300000000006</v>
      </c>
      <c r="G150" s="11" t="s">
        <v>793</v>
      </c>
      <c r="H150" s="11" t="s">
        <v>794</v>
      </c>
      <c r="I150" s="21">
        <v>41681</v>
      </c>
      <c r="J150" s="23">
        <v>0.3888888888888889</v>
      </c>
      <c r="K150" s="8">
        <v>25</v>
      </c>
      <c r="L150" s="8">
        <v>24</v>
      </c>
      <c r="M150" s="8"/>
      <c r="N150" s="8">
        <v>61</v>
      </c>
      <c r="O150" s="8"/>
      <c r="P150" s="8"/>
      <c r="Q150" s="8"/>
      <c r="R150" s="8">
        <v>34</v>
      </c>
      <c r="S150" s="8">
        <v>62</v>
      </c>
      <c r="T150" s="8"/>
      <c r="U150" s="8"/>
      <c r="V150" s="8">
        <v>5</v>
      </c>
      <c r="W150" s="8">
        <v>7</v>
      </c>
      <c r="X150" s="8">
        <v>7</v>
      </c>
      <c r="Y150" s="8">
        <v>79</v>
      </c>
      <c r="Z150" s="8"/>
      <c r="AA150" s="8">
        <v>2</v>
      </c>
      <c r="AB150" s="8"/>
      <c r="AC150" s="8"/>
      <c r="AD150" s="8"/>
      <c r="AE150" s="8">
        <v>67</v>
      </c>
      <c r="AF150" s="8">
        <v>3</v>
      </c>
      <c r="AG150" s="8"/>
      <c r="AH150" s="8"/>
      <c r="AI150" s="8"/>
      <c r="AJ150" s="8"/>
      <c r="AK150" s="8"/>
      <c r="AL150" s="8"/>
      <c r="AM150" s="8"/>
      <c r="AN150" s="8"/>
      <c r="AO150" s="8"/>
      <c r="AP150" s="8"/>
      <c r="AQ150" s="8"/>
      <c r="AR150" s="8"/>
      <c r="AS150" s="8"/>
      <c r="AT150" s="8"/>
      <c r="AU150" s="8"/>
      <c r="AV150" s="8">
        <v>2</v>
      </c>
      <c r="AW150" s="8"/>
      <c r="AX150" s="8">
        <v>7</v>
      </c>
      <c r="AY150" s="8"/>
      <c r="AZ150" s="8"/>
      <c r="BA150" s="8"/>
      <c r="BB150" s="8"/>
      <c r="BC150" s="8"/>
      <c r="BD150" s="8"/>
      <c r="BE150" s="8"/>
      <c r="BF150" s="8">
        <v>3</v>
      </c>
      <c r="BG150" s="8">
        <v>40</v>
      </c>
      <c r="BH150" s="8"/>
      <c r="BI150" s="8"/>
      <c r="BJ150" s="8"/>
      <c r="BK150" s="8"/>
      <c r="BL150" s="19">
        <f t="shared" si="16"/>
        <v>428</v>
      </c>
    </row>
    <row r="151" spans="1:65" ht="25.5" x14ac:dyDescent="0.2">
      <c r="A151" s="8" t="s">
        <v>1294</v>
      </c>
      <c r="B151" s="8" t="s">
        <v>1288</v>
      </c>
      <c r="C151" s="8">
        <v>30.568922199999999</v>
      </c>
      <c r="D151" s="8">
        <v>-81.443511099999995</v>
      </c>
      <c r="E151" s="8">
        <v>30.5254333</v>
      </c>
      <c r="F151" s="8">
        <v>-81.4359666</v>
      </c>
      <c r="G151" s="8" t="s">
        <v>1295</v>
      </c>
      <c r="I151" s="21">
        <v>41680</v>
      </c>
      <c r="J151" s="8">
        <v>824</v>
      </c>
      <c r="K151" s="8">
        <v>6</v>
      </c>
      <c r="Q151" s="8">
        <v>20</v>
      </c>
      <c r="R151" s="8">
        <v>2</v>
      </c>
      <c r="S151" s="8">
        <v>3</v>
      </c>
      <c r="W151" s="8">
        <v>2</v>
      </c>
      <c r="Y151" s="8">
        <v>42</v>
      </c>
      <c r="AA151" s="8">
        <v>9</v>
      </c>
      <c r="AE151" s="8">
        <v>32</v>
      </c>
      <c r="AF151" s="8">
        <v>4</v>
      </c>
      <c r="AW151" s="8">
        <v>6</v>
      </c>
      <c r="AX151" s="8">
        <v>20</v>
      </c>
      <c r="BF151" s="8">
        <v>7</v>
      </c>
      <c r="BL151" s="29"/>
      <c r="BM151" s="8" t="s">
        <v>711</v>
      </c>
    </row>
    <row r="152" spans="1:65" ht="14.25" x14ac:dyDescent="0.2">
      <c r="A152" s="8" t="s">
        <v>1296</v>
      </c>
      <c r="B152" s="8" t="s">
        <v>1297</v>
      </c>
      <c r="C152" s="8">
        <v>30.38231</v>
      </c>
      <c r="D152" s="8">
        <v>-86.432190000000006</v>
      </c>
      <c r="E152" s="8">
        <v>30.38335</v>
      </c>
      <c r="F152" s="8">
        <v>-86.453329999999994</v>
      </c>
      <c r="G152" s="37" t="s">
        <v>284</v>
      </c>
      <c r="H152" s="11" t="s">
        <v>263</v>
      </c>
      <c r="I152" s="13">
        <v>41680</v>
      </c>
      <c r="J152" s="23">
        <v>0.4236111111111111</v>
      </c>
      <c r="K152" s="8"/>
      <c r="L152" s="8"/>
      <c r="M152" s="8"/>
      <c r="N152" s="8"/>
      <c r="O152" s="8"/>
      <c r="P152" s="8"/>
      <c r="Q152" s="8"/>
      <c r="R152" s="8"/>
      <c r="S152" s="8"/>
      <c r="T152" s="8"/>
      <c r="U152" s="8"/>
      <c r="V152" s="8"/>
      <c r="W152" s="8"/>
      <c r="X152" s="8"/>
      <c r="Y152" s="8">
        <v>16</v>
      </c>
      <c r="Z152" s="8"/>
      <c r="AA152" s="8"/>
      <c r="AB152" s="8"/>
      <c r="AC152" s="8"/>
      <c r="AD152" s="8"/>
      <c r="AE152" s="8">
        <v>5</v>
      </c>
      <c r="AF152" s="8"/>
      <c r="AG152" s="8"/>
      <c r="AH152" s="8"/>
      <c r="AI152" s="8"/>
      <c r="AJ152" s="8"/>
      <c r="AK152" s="8"/>
      <c r="AL152" s="8"/>
      <c r="AM152" s="8"/>
      <c r="AN152" s="8"/>
      <c r="AO152" s="8"/>
      <c r="AP152" s="8"/>
      <c r="AQ152" s="8"/>
      <c r="AR152" s="8"/>
      <c r="AS152" s="8"/>
      <c r="AT152" s="8"/>
      <c r="AU152" s="8"/>
      <c r="AV152" s="8"/>
      <c r="AW152" s="8"/>
      <c r="AX152" s="8">
        <v>31</v>
      </c>
      <c r="AY152" s="8"/>
      <c r="AZ152" s="8"/>
      <c r="BA152" s="8"/>
      <c r="BB152" s="8"/>
      <c r="BC152" s="8"/>
      <c r="BD152" s="8"/>
      <c r="BE152" s="8"/>
      <c r="BF152" s="8">
        <v>2</v>
      </c>
      <c r="BG152" s="8"/>
      <c r="BH152" s="8"/>
      <c r="BI152" s="8"/>
      <c r="BJ152" s="8"/>
      <c r="BK152" s="8"/>
      <c r="BL152" s="19">
        <f t="shared" ref="BL152:BL165" si="17">SUM(K152:BK152)</f>
        <v>54</v>
      </c>
    </row>
    <row r="153" spans="1:65" ht="25.5" x14ac:dyDescent="0.2">
      <c r="A153" s="8" t="s">
        <v>1298</v>
      </c>
      <c r="B153" s="8" t="s">
        <v>1299</v>
      </c>
      <c r="C153" s="8">
        <v>27.195340000000002</v>
      </c>
      <c r="D153" s="8">
        <v>80.831940000000003</v>
      </c>
      <c r="E153" s="8">
        <v>27.195340000000002</v>
      </c>
      <c r="F153" s="8">
        <v>80.831940000000003</v>
      </c>
      <c r="G153" s="8" t="s">
        <v>1300</v>
      </c>
      <c r="H153" s="8" t="s">
        <v>1140</v>
      </c>
      <c r="I153" s="21">
        <v>41684</v>
      </c>
      <c r="J153" s="8">
        <v>1530</v>
      </c>
      <c r="N153" s="8">
        <v>5</v>
      </c>
      <c r="O153" s="8">
        <v>5</v>
      </c>
      <c r="R153" s="8">
        <v>6</v>
      </c>
      <c r="S153" s="8">
        <v>10</v>
      </c>
      <c r="W153" s="8">
        <v>1</v>
      </c>
      <c r="Y153" s="8">
        <v>63</v>
      </c>
      <c r="AE153" s="8">
        <v>95</v>
      </c>
      <c r="BL153" s="19">
        <f t="shared" si="17"/>
        <v>185</v>
      </c>
    </row>
    <row r="154" spans="1:65" ht="25.5" x14ac:dyDescent="0.2">
      <c r="A154" s="8" t="s">
        <v>1298</v>
      </c>
      <c r="B154" s="8" t="s">
        <v>1299</v>
      </c>
      <c r="C154" s="8">
        <v>27.195340000000002</v>
      </c>
      <c r="D154" s="8">
        <v>-80.831940000000003</v>
      </c>
      <c r="E154" s="8">
        <v>27.195340000000002</v>
      </c>
      <c r="F154" s="8">
        <v>-80.831940000000003</v>
      </c>
      <c r="G154" s="8" t="s">
        <v>928</v>
      </c>
      <c r="H154" s="8" t="s">
        <v>1084</v>
      </c>
      <c r="I154" s="21">
        <v>41685</v>
      </c>
      <c r="J154" s="23">
        <v>0.64236111111111116</v>
      </c>
      <c r="N154" s="8">
        <v>9</v>
      </c>
      <c r="O154" s="8">
        <v>9</v>
      </c>
      <c r="R154" s="8">
        <v>5</v>
      </c>
      <c r="S154" s="8">
        <v>14</v>
      </c>
      <c r="W154" s="8">
        <v>1</v>
      </c>
      <c r="Y154" s="8">
        <v>115</v>
      </c>
      <c r="AE154" s="8">
        <v>120</v>
      </c>
      <c r="AI154" s="8">
        <v>1</v>
      </c>
      <c r="AO154" s="8">
        <v>1</v>
      </c>
      <c r="AP154" s="8">
        <v>3</v>
      </c>
      <c r="AQ154" s="8">
        <v>1</v>
      </c>
      <c r="BL154" s="19">
        <f t="shared" si="17"/>
        <v>279</v>
      </c>
    </row>
    <row r="155" spans="1:65" ht="25.5" x14ac:dyDescent="0.2">
      <c r="A155" s="11" t="s">
        <v>1301</v>
      </c>
      <c r="B155" s="11" t="s">
        <v>1302</v>
      </c>
      <c r="C155" s="11">
        <v>26.234100000000002</v>
      </c>
      <c r="D155" s="11">
        <v>-80.042000000000002</v>
      </c>
      <c r="E155" s="11">
        <v>26.191500000000001</v>
      </c>
      <c r="F155" s="11">
        <v>-80.042900000000003</v>
      </c>
      <c r="G155" s="11" t="s">
        <v>1303</v>
      </c>
      <c r="H155" s="11" t="s">
        <v>1304</v>
      </c>
      <c r="I155" s="13">
        <v>41681</v>
      </c>
      <c r="J155" s="27">
        <v>0.39583333333333331</v>
      </c>
      <c r="K155" s="8"/>
      <c r="L155" s="8"/>
      <c r="M155" s="8"/>
      <c r="N155" s="8"/>
      <c r="O155" s="8"/>
      <c r="P155" s="8"/>
      <c r="Q155" s="8"/>
      <c r="R155" s="8"/>
      <c r="S155" s="8"/>
      <c r="T155" s="8"/>
      <c r="U155" s="8"/>
      <c r="V155" s="8"/>
      <c r="W155" s="8">
        <v>1</v>
      </c>
      <c r="X155" s="8"/>
      <c r="Y155" s="8">
        <v>9</v>
      </c>
      <c r="Z155" s="8"/>
      <c r="AA155" s="8">
        <v>1</v>
      </c>
      <c r="AB155" s="8"/>
      <c r="AC155" s="8"/>
      <c r="AD155" s="8"/>
      <c r="AE155" s="8">
        <v>95</v>
      </c>
      <c r="AF155" s="8">
        <v>20</v>
      </c>
      <c r="AG155" s="11"/>
      <c r="AH155" s="8"/>
      <c r="AI155" s="11"/>
      <c r="AJ155" s="8"/>
      <c r="AK155" s="8"/>
      <c r="AL155" s="11"/>
      <c r="AM155" s="8"/>
      <c r="AN155" s="11"/>
      <c r="AO155" s="11"/>
      <c r="AP155" s="8"/>
      <c r="AQ155" s="11"/>
      <c r="AR155" s="8"/>
      <c r="AS155" s="8"/>
      <c r="AT155" s="8"/>
      <c r="AU155" s="8"/>
      <c r="AV155" s="11"/>
      <c r="AW155" s="8"/>
      <c r="AX155" s="8">
        <v>51</v>
      </c>
      <c r="AY155" s="11"/>
      <c r="AZ155" s="8"/>
      <c r="BA155" s="8"/>
      <c r="BB155" s="8"/>
      <c r="BC155" s="8"/>
      <c r="BD155" s="8"/>
      <c r="BE155" s="8"/>
      <c r="BF155" s="8"/>
      <c r="BG155" s="8"/>
      <c r="BH155" s="8"/>
      <c r="BI155" s="8"/>
      <c r="BJ155" s="8"/>
      <c r="BK155" s="8"/>
      <c r="BL155" s="19">
        <f t="shared" si="17"/>
        <v>177</v>
      </c>
      <c r="BM155" s="14"/>
    </row>
    <row r="156" spans="1:65" ht="28.5" customHeight="1" x14ac:dyDescent="0.2">
      <c r="A156" s="11" t="s">
        <v>1305</v>
      </c>
      <c r="B156" s="11" t="s">
        <v>1306</v>
      </c>
      <c r="C156" s="11">
        <v>26.892161000000002</v>
      </c>
      <c r="D156" s="11">
        <v>-80.056304999999995</v>
      </c>
      <c r="E156" s="11">
        <v>26.773965</v>
      </c>
      <c r="F156" s="11">
        <v>-80.031668999999994</v>
      </c>
      <c r="G156" s="11" t="s">
        <v>1307</v>
      </c>
      <c r="H156" s="11" t="s">
        <v>1308</v>
      </c>
      <c r="I156" s="21">
        <v>41681</v>
      </c>
      <c r="J156" s="27">
        <v>0.55555555555555558</v>
      </c>
      <c r="K156" s="8">
        <v>38</v>
      </c>
      <c r="L156" s="8">
        <v>2</v>
      </c>
      <c r="M156" s="8"/>
      <c r="N156" s="11">
        <v>43</v>
      </c>
      <c r="O156" s="11">
        <v>27</v>
      </c>
      <c r="P156" s="11"/>
      <c r="Q156" s="11"/>
      <c r="R156" s="11"/>
      <c r="S156" s="11"/>
      <c r="T156" s="11"/>
      <c r="U156" s="11"/>
      <c r="V156" s="11"/>
      <c r="W156" s="11">
        <v>88</v>
      </c>
      <c r="X156" s="11"/>
      <c r="Y156" s="11">
        <v>532</v>
      </c>
      <c r="Z156" s="11"/>
      <c r="AA156" s="11">
        <v>5</v>
      </c>
      <c r="AB156" s="11"/>
      <c r="AC156" s="11"/>
      <c r="AD156" s="11"/>
      <c r="AE156" s="11">
        <v>264</v>
      </c>
      <c r="AF156" s="11">
        <v>21</v>
      </c>
      <c r="AG156" s="11"/>
      <c r="AH156" s="11"/>
      <c r="AI156" s="11"/>
      <c r="AJ156" s="11"/>
      <c r="AK156" s="11"/>
      <c r="AL156" s="11">
        <v>20</v>
      </c>
      <c r="AM156" s="11"/>
      <c r="AN156" s="11"/>
      <c r="AO156" s="11"/>
      <c r="AP156" s="11"/>
      <c r="AQ156" s="11"/>
      <c r="AR156" s="11"/>
      <c r="AS156" s="11"/>
      <c r="AT156" s="11"/>
      <c r="AU156" s="11"/>
      <c r="AV156" s="11"/>
      <c r="AW156" s="11">
        <v>10</v>
      </c>
      <c r="AX156" s="11">
        <v>41</v>
      </c>
      <c r="AY156" s="11"/>
      <c r="AZ156" s="11"/>
      <c r="BA156" s="11"/>
      <c r="BB156" s="11"/>
      <c r="BC156" s="11"/>
      <c r="BD156" s="11"/>
      <c r="BE156" s="11"/>
      <c r="BF156" s="11">
        <v>4</v>
      </c>
      <c r="BG156" s="11"/>
      <c r="BH156" s="11"/>
      <c r="BI156" s="11"/>
      <c r="BJ156" s="11"/>
      <c r="BK156" s="11"/>
      <c r="BL156" s="19">
        <f t="shared" si="17"/>
        <v>1095</v>
      </c>
      <c r="BM156" s="8" t="s">
        <v>1309</v>
      </c>
    </row>
    <row r="157" spans="1:65" ht="52.5" customHeight="1" x14ac:dyDescent="0.2">
      <c r="A157" s="31" t="s">
        <v>17</v>
      </c>
      <c r="B157" s="31" t="s">
        <v>1306</v>
      </c>
      <c r="C157" s="31">
        <v>26.675277999999999</v>
      </c>
      <c r="D157" s="31">
        <v>-80.035556</v>
      </c>
      <c r="E157" s="31">
        <v>26.749721999999998</v>
      </c>
      <c r="F157" s="31">
        <v>-80.035278000000005</v>
      </c>
      <c r="G157" s="31" t="s">
        <v>1310</v>
      </c>
      <c r="H157" s="31" t="s">
        <v>1311</v>
      </c>
      <c r="I157" s="30">
        <v>41681</v>
      </c>
      <c r="J157" s="40">
        <v>0.40625</v>
      </c>
      <c r="K157" s="32"/>
      <c r="L157" s="41">
        <v>1</v>
      </c>
      <c r="M157" s="32"/>
      <c r="N157" s="32"/>
      <c r="O157" s="32"/>
      <c r="P157" s="32"/>
      <c r="Q157" s="32"/>
      <c r="R157" s="32"/>
      <c r="S157" s="32"/>
      <c r="T157" s="32"/>
      <c r="U157" s="32"/>
      <c r="V157" s="32"/>
      <c r="W157" s="41">
        <v>3</v>
      </c>
      <c r="X157" s="32"/>
      <c r="Y157" s="41">
        <v>24</v>
      </c>
      <c r="Z157" s="41">
        <v>5</v>
      </c>
      <c r="AA157" s="41">
        <v>1</v>
      </c>
      <c r="AB157" s="32"/>
      <c r="AC157" s="32"/>
      <c r="AD157" s="32"/>
      <c r="AE157" s="41">
        <v>65</v>
      </c>
      <c r="AF157" s="41">
        <v>6</v>
      </c>
      <c r="AG157" s="32"/>
      <c r="AH157" s="32"/>
      <c r="AI157" s="32"/>
      <c r="AJ157" s="32"/>
      <c r="AK157" s="32"/>
      <c r="AL157" s="32"/>
      <c r="AM157" s="32"/>
      <c r="AN157" s="32"/>
      <c r="AO157" s="32"/>
      <c r="AP157" s="32"/>
      <c r="AQ157" s="32"/>
      <c r="AR157" s="32"/>
      <c r="AS157" s="32"/>
      <c r="AT157" s="32"/>
      <c r="AU157" s="32"/>
      <c r="AV157" s="32"/>
      <c r="AW157" s="41">
        <v>16</v>
      </c>
      <c r="AX157" s="41">
        <v>82</v>
      </c>
      <c r="AY157" s="32"/>
      <c r="AZ157" s="32"/>
      <c r="BA157" s="32"/>
      <c r="BB157" s="32"/>
      <c r="BC157" s="32"/>
      <c r="BD157" s="32"/>
      <c r="BE157" s="32"/>
      <c r="BF157" s="32"/>
      <c r="BG157" s="32"/>
      <c r="BH157" s="32"/>
      <c r="BI157" s="32"/>
      <c r="BJ157" s="32"/>
      <c r="BK157" s="32"/>
      <c r="BL157" s="19">
        <f t="shared" si="17"/>
        <v>203</v>
      </c>
      <c r="BM157" s="31" t="s">
        <v>1312</v>
      </c>
    </row>
    <row r="158" spans="1:65" ht="14.25" x14ac:dyDescent="0.2">
      <c r="A158" s="11" t="s">
        <v>1313</v>
      </c>
      <c r="B158" s="11" t="s">
        <v>1306</v>
      </c>
      <c r="C158" s="11">
        <v>26.336200000000002</v>
      </c>
      <c r="D158" s="11">
        <v>-80.070599999999999</v>
      </c>
      <c r="E158" s="11">
        <v>26.390899999999998</v>
      </c>
      <c r="F158" s="11">
        <v>-80.066199999999995</v>
      </c>
      <c r="G158" s="11" t="s">
        <v>1314</v>
      </c>
      <c r="H158" s="11" t="s">
        <v>1315</v>
      </c>
      <c r="I158" s="13">
        <v>41685</v>
      </c>
      <c r="J158" s="27">
        <v>0.35833333333333334</v>
      </c>
      <c r="K158" s="8"/>
      <c r="L158" s="8"/>
      <c r="M158" s="8"/>
      <c r="N158" s="8">
        <v>28</v>
      </c>
      <c r="O158" s="8"/>
      <c r="P158" s="8"/>
      <c r="Q158" s="8"/>
      <c r="R158" s="8"/>
      <c r="S158" s="8"/>
      <c r="T158" s="8"/>
      <c r="U158" s="8"/>
      <c r="V158" s="8"/>
      <c r="W158" s="8">
        <v>4</v>
      </c>
      <c r="X158" s="8"/>
      <c r="Y158" s="8"/>
      <c r="Z158" s="8"/>
      <c r="AA158" s="8"/>
      <c r="AB158" s="8"/>
      <c r="AC158" s="8"/>
      <c r="AD158" s="8"/>
      <c r="AE158" s="8">
        <v>73</v>
      </c>
      <c r="AF158" s="8">
        <v>9</v>
      </c>
      <c r="AG158" s="8"/>
      <c r="AH158" s="11"/>
      <c r="AI158" s="11"/>
      <c r="AJ158" s="8"/>
      <c r="AK158" s="8"/>
      <c r="AL158" s="11"/>
      <c r="AM158" s="8"/>
      <c r="AN158" s="11"/>
      <c r="AO158" s="8"/>
      <c r="AP158" s="8"/>
      <c r="AQ158" s="8"/>
      <c r="AR158" s="8"/>
      <c r="AS158" s="8"/>
      <c r="AT158" s="8"/>
      <c r="AU158" s="8"/>
      <c r="AV158" s="11"/>
      <c r="AW158" s="8"/>
      <c r="AX158" s="11">
        <v>57</v>
      </c>
      <c r="AY158" s="8"/>
      <c r="AZ158" s="8"/>
      <c r="BA158" s="8"/>
      <c r="BB158" s="8"/>
      <c r="BC158" s="8"/>
      <c r="BD158" s="8"/>
      <c r="BE158" s="8"/>
      <c r="BF158" s="8"/>
      <c r="BG158" s="8"/>
      <c r="BH158" s="8"/>
      <c r="BI158" s="11"/>
      <c r="BJ158" s="8"/>
      <c r="BK158" s="8"/>
      <c r="BL158" s="19">
        <f t="shared" si="17"/>
        <v>171</v>
      </c>
      <c r="BM158" s="8" t="s">
        <v>1316</v>
      </c>
    </row>
    <row r="159" spans="1:65" ht="25.5" x14ac:dyDescent="0.2">
      <c r="A159" s="11" t="s">
        <v>1317</v>
      </c>
      <c r="B159" s="11" t="s">
        <v>1306</v>
      </c>
      <c r="C159" s="11">
        <v>26.262599999999999</v>
      </c>
      <c r="D159" s="11">
        <v>-80.033699999999996</v>
      </c>
      <c r="E159" s="11">
        <v>26.252500000000001</v>
      </c>
      <c r="F159" s="11">
        <v>-80.034800000000004</v>
      </c>
      <c r="G159" s="11" t="s">
        <v>590</v>
      </c>
      <c r="H159" s="11" t="s">
        <v>1304</v>
      </c>
      <c r="I159" s="13">
        <v>41680</v>
      </c>
      <c r="J159" s="27">
        <v>0.39583333333333331</v>
      </c>
      <c r="K159" s="11"/>
      <c r="L159" s="11"/>
      <c r="M159" s="11"/>
      <c r="N159" s="11"/>
      <c r="O159" s="11"/>
      <c r="P159" s="11"/>
      <c r="Q159" s="11"/>
      <c r="R159" s="11"/>
      <c r="S159" s="11"/>
      <c r="T159" s="11"/>
      <c r="U159" s="11"/>
      <c r="V159" s="11"/>
      <c r="W159" s="11"/>
      <c r="X159" s="11"/>
      <c r="Y159" s="11">
        <v>2</v>
      </c>
      <c r="Z159" s="11"/>
      <c r="AA159" s="11"/>
      <c r="AB159" s="11"/>
      <c r="AC159" s="8"/>
      <c r="AD159" s="11"/>
      <c r="AE159" s="11">
        <v>71</v>
      </c>
      <c r="AF159" s="11">
        <v>2</v>
      </c>
      <c r="AG159" s="11"/>
      <c r="AH159" s="11"/>
      <c r="AI159" s="11"/>
      <c r="AJ159" s="11"/>
      <c r="AK159" s="11"/>
      <c r="AL159" s="11"/>
      <c r="AM159" s="11"/>
      <c r="AN159" s="11"/>
      <c r="AO159" s="11"/>
      <c r="AP159" s="11"/>
      <c r="AQ159" s="11"/>
      <c r="AR159" s="11"/>
      <c r="AS159" s="11"/>
      <c r="AT159" s="11"/>
      <c r="AU159" s="11"/>
      <c r="AV159" s="11"/>
      <c r="AW159" s="11"/>
      <c r="AX159" s="11">
        <v>130</v>
      </c>
      <c r="AY159" s="11">
        <v>10</v>
      </c>
      <c r="AZ159" s="11"/>
      <c r="BA159" s="11"/>
      <c r="BB159" s="11"/>
      <c r="BC159" s="11"/>
      <c r="BD159" s="11"/>
      <c r="BE159" s="11"/>
      <c r="BF159" s="11"/>
      <c r="BG159" s="11"/>
      <c r="BH159" s="11"/>
      <c r="BI159" s="11"/>
      <c r="BJ159" s="11"/>
      <c r="BK159" s="11"/>
      <c r="BL159" s="19">
        <f t="shared" si="17"/>
        <v>215</v>
      </c>
      <c r="BM159" s="14"/>
    </row>
    <row r="160" spans="1:65" ht="25.5" x14ac:dyDescent="0.2">
      <c r="A160" s="8" t="s">
        <v>1318</v>
      </c>
      <c r="B160" s="8" t="s">
        <v>1306</v>
      </c>
      <c r="C160" s="8">
        <v>26.335470000000001</v>
      </c>
      <c r="D160" s="8">
        <v>-80.071899999999999</v>
      </c>
      <c r="E160" s="8">
        <v>26.32105</v>
      </c>
      <c r="F160" s="8">
        <v>-80.074444999999997</v>
      </c>
      <c r="G160" s="8" t="s">
        <v>1319</v>
      </c>
      <c r="H160" s="8" t="s">
        <v>1320</v>
      </c>
      <c r="I160" s="21">
        <v>41686</v>
      </c>
      <c r="J160" s="8" t="s">
        <v>1321</v>
      </c>
      <c r="K160" s="8"/>
      <c r="L160" s="8"/>
      <c r="M160" s="8"/>
      <c r="N160" s="8">
        <v>2</v>
      </c>
      <c r="O160" s="8"/>
      <c r="P160" s="8"/>
      <c r="Q160" s="8"/>
      <c r="R160" s="8"/>
      <c r="S160" s="8"/>
      <c r="T160" s="8"/>
      <c r="U160" s="8"/>
      <c r="V160" s="8"/>
      <c r="W160" s="8"/>
      <c r="X160" s="8"/>
      <c r="Y160" s="8">
        <v>4</v>
      </c>
      <c r="Z160" s="8"/>
      <c r="AA160" s="8"/>
      <c r="AB160" s="8"/>
      <c r="AC160" s="8"/>
      <c r="AD160" s="8"/>
      <c r="AE160" s="8">
        <v>18</v>
      </c>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19">
        <f t="shared" si="17"/>
        <v>24</v>
      </c>
      <c r="BM160" s="8" t="s">
        <v>1322</v>
      </c>
    </row>
    <row r="161" spans="1:65" ht="63.75" x14ac:dyDescent="0.2">
      <c r="A161" s="8" t="s">
        <v>621</v>
      </c>
      <c r="B161" s="8" t="s">
        <v>1306</v>
      </c>
      <c r="C161" s="8">
        <v>26.6744588</v>
      </c>
      <c r="D161" s="8">
        <v>-80.035829539999995</v>
      </c>
      <c r="E161" s="8">
        <v>26.614166999999998</v>
      </c>
      <c r="F161" s="8">
        <v>-80.036389</v>
      </c>
      <c r="G161" s="8" t="s">
        <v>622</v>
      </c>
      <c r="H161" s="8" t="s">
        <v>1323</v>
      </c>
      <c r="I161" s="21">
        <v>41680</v>
      </c>
      <c r="J161" s="23">
        <v>0.41666666666666669</v>
      </c>
      <c r="K161" s="8"/>
      <c r="L161" s="8"/>
      <c r="M161" s="8"/>
      <c r="N161" s="8"/>
      <c r="O161" s="8"/>
      <c r="P161" s="8"/>
      <c r="Q161" s="8"/>
      <c r="R161" s="8"/>
      <c r="S161" s="8"/>
      <c r="T161" s="42"/>
      <c r="U161" s="42"/>
      <c r="V161" s="42"/>
      <c r="W161" s="42">
        <v>7</v>
      </c>
      <c r="X161" s="42"/>
      <c r="Y161" s="42">
        <v>52</v>
      </c>
      <c r="Z161" s="42"/>
      <c r="AA161" s="42"/>
      <c r="AB161" s="42"/>
      <c r="AC161" s="42"/>
      <c r="AD161" s="42"/>
      <c r="AE161" s="42">
        <v>62</v>
      </c>
      <c r="AF161" s="42">
        <v>4</v>
      </c>
      <c r="AG161" s="42"/>
      <c r="AH161" s="42"/>
      <c r="AI161" s="42"/>
      <c r="AJ161" s="42"/>
      <c r="AK161" s="42"/>
      <c r="AL161" s="42">
        <v>4</v>
      </c>
      <c r="AM161" s="42">
        <v>12</v>
      </c>
      <c r="AN161" s="42"/>
      <c r="AO161" s="42"/>
      <c r="AP161" s="42"/>
      <c r="AQ161" s="42"/>
      <c r="AR161" s="42"/>
      <c r="AS161" s="42"/>
      <c r="AT161" s="42"/>
      <c r="AU161" s="42"/>
      <c r="AV161" s="42"/>
      <c r="AW161" s="42">
        <v>12</v>
      </c>
      <c r="AX161" s="42">
        <v>91</v>
      </c>
      <c r="AY161" s="42"/>
      <c r="AZ161" s="42"/>
      <c r="BA161" s="42"/>
      <c r="BB161" s="42"/>
      <c r="BC161" s="42"/>
      <c r="BD161" s="42"/>
      <c r="BE161" s="42"/>
      <c r="BF161" s="42">
        <v>3</v>
      </c>
      <c r="BG161" s="42"/>
      <c r="BH161" s="42"/>
      <c r="BI161" s="42"/>
      <c r="BJ161" s="42"/>
      <c r="BK161" s="42"/>
      <c r="BL161" s="19">
        <f t="shared" si="17"/>
        <v>247</v>
      </c>
      <c r="BM161" s="8" t="s">
        <v>1324</v>
      </c>
    </row>
    <row r="162" spans="1:65" ht="25.5" x14ac:dyDescent="0.2">
      <c r="A162" s="8" t="s">
        <v>755</v>
      </c>
      <c r="B162" s="8" t="s">
        <v>1306</v>
      </c>
      <c r="C162" s="8">
        <v>26.893319999999999</v>
      </c>
      <c r="D162" s="8">
        <v>-80.05677</v>
      </c>
      <c r="E162" s="8">
        <v>26.943549999999998</v>
      </c>
      <c r="F162" s="8">
        <v>-80.05677</v>
      </c>
      <c r="G162" s="8" t="s">
        <v>756</v>
      </c>
      <c r="H162" s="8" t="s">
        <v>1325</v>
      </c>
      <c r="I162" s="21">
        <v>41684</v>
      </c>
      <c r="J162" s="23">
        <v>0.33750000000000002</v>
      </c>
      <c r="K162" s="8"/>
      <c r="L162" s="8"/>
      <c r="M162" s="8"/>
      <c r="N162" s="8">
        <v>203</v>
      </c>
      <c r="O162" s="8"/>
      <c r="P162" s="8"/>
      <c r="Q162" s="8"/>
      <c r="R162" s="8"/>
      <c r="S162" s="8">
        <v>2</v>
      </c>
      <c r="T162" s="8"/>
      <c r="U162" s="8"/>
      <c r="V162" s="8"/>
      <c r="W162" s="8">
        <v>1</v>
      </c>
      <c r="X162" s="8"/>
      <c r="Y162" s="8">
        <v>131</v>
      </c>
      <c r="Z162" s="8">
        <v>1</v>
      </c>
      <c r="AA162" s="8">
        <v>8</v>
      </c>
      <c r="AB162" s="8"/>
      <c r="AC162" s="8"/>
      <c r="AD162" s="8"/>
      <c r="AE162" s="8">
        <v>58</v>
      </c>
      <c r="AF162" s="8">
        <v>30</v>
      </c>
      <c r="AG162" s="8"/>
      <c r="AH162" s="8"/>
      <c r="AI162" s="8"/>
      <c r="AJ162" s="8"/>
      <c r="AK162" s="8"/>
      <c r="AL162" s="8"/>
      <c r="AM162" s="8"/>
      <c r="AN162" s="8"/>
      <c r="AO162" s="8"/>
      <c r="AP162" s="8"/>
      <c r="AQ162" s="8"/>
      <c r="AR162" s="8"/>
      <c r="AS162" s="8"/>
      <c r="AT162" s="8"/>
      <c r="AU162" s="8"/>
      <c r="AV162" s="8"/>
      <c r="AW162" s="8">
        <v>49</v>
      </c>
      <c r="AX162" s="8">
        <v>75</v>
      </c>
      <c r="AY162" s="8"/>
      <c r="AZ162" s="8"/>
      <c r="BA162" s="8"/>
      <c r="BB162" s="8"/>
      <c r="BC162" s="8"/>
      <c r="BD162" s="8"/>
      <c r="BE162" s="8"/>
      <c r="BF162" s="8">
        <v>13</v>
      </c>
      <c r="BG162" s="8"/>
      <c r="BH162" s="8"/>
      <c r="BI162" s="8"/>
      <c r="BJ162" s="8"/>
      <c r="BK162" s="8"/>
      <c r="BL162" s="19">
        <f t="shared" si="17"/>
        <v>571</v>
      </c>
      <c r="BM162" s="8" t="s">
        <v>1326</v>
      </c>
    </row>
    <row r="163" spans="1:65" ht="25.5" x14ac:dyDescent="0.2">
      <c r="A163" s="8" t="s">
        <v>789</v>
      </c>
      <c r="B163" s="8" t="s">
        <v>1306</v>
      </c>
      <c r="C163" s="8">
        <v>26.547229999999999</v>
      </c>
      <c r="D163" s="8">
        <v>-80.045249999999996</v>
      </c>
      <c r="E163" s="8">
        <v>26.775649999999999</v>
      </c>
      <c r="F163" s="8">
        <v>-80.042632999999995</v>
      </c>
      <c r="G163" s="8" t="s">
        <v>790</v>
      </c>
      <c r="H163" s="8" t="s">
        <v>776</v>
      </c>
      <c r="I163" s="21">
        <v>41681</v>
      </c>
      <c r="J163" s="23">
        <v>0.5</v>
      </c>
      <c r="N163" s="8">
        <v>17</v>
      </c>
      <c r="Y163" s="8">
        <v>1</v>
      </c>
      <c r="AJ163" s="8">
        <v>3</v>
      </c>
      <c r="AU163" s="8">
        <v>3</v>
      </c>
      <c r="AW163" s="8">
        <v>3</v>
      </c>
      <c r="AX163" s="8">
        <v>25</v>
      </c>
      <c r="AY163" s="8">
        <v>18</v>
      </c>
      <c r="BL163" s="19">
        <f t="shared" si="17"/>
        <v>70</v>
      </c>
      <c r="BM163" s="8" t="s">
        <v>784</v>
      </c>
    </row>
    <row r="164" spans="1:65" ht="25.5" x14ac:dyDescent="0.2">
      <c r="A164" s="8" t="s">
        <v>1327</v>
      </c>
      <c r="B164" s="8" t="s">
        <v>1306</v>
      </c>
      <c r="C164" s="8">
        <v>26.493417000000001</v>
      </c>
      <c r="D164" s="8">
        <v>-80.395477999999997</v>
      </c>
      <c r="E164" s="8">
        <v>26.492891</v>
      </c>
      <c r="F164" s="8">
        <v>-80.400497999999999</v>
      </c>
      <c r="G164" s="8" t="s">
        <v>928</v>
      </c>
      <c r="H164" s="8" t="s">
        <v>1084</v>
      </c>
      <c r="I164" s="21">
        <v>41685</v>
      </c>
      <c r="J164" s="23">
        <v>0.72499999999999998</v>
      </c>
      <c r="K164" s="8">
        <v>340</v>
      </c>
      <c r="N164" s="8">
        <v>2</v>
      </c>
      <c r="S164" s="8">
        <v>15</v>
      </c>
      <c r="W164" s="8">
        <v>43</v>
      </c>
      <c r="Y164" s="8">
        <v>22</v>
      </c>
      <c r="AE164" s="8">
        <v>8</v>
      </c>
      <c r="AW164" s="8">
        <v>14</v>
      </c>
      <c r="BC164" s="8">
        <v>1</v>
      </c>
      <c r="BL164" s="19">
        <f t="shared" si="17"/>
        <v>445</v>
      </c>
    </row>
    <row r="165" spans="1:65" ht="38.25" x14ac:dyDescent="0.2">
      <c r="A165" s="8" t="s">
        <v>1328</v>
      </c>
      <c r="B165" s="8" t="s">
        <v>1306</v>
      </c>
      <c r="C165" s="8" t="s">
        <v>1329</v>
      </c>
      <c r="D165" s="8" t="s">
        <v>1330</v>
      </c>
      <c r="E165" s="8" t="s">
        <v>1331</v>
      </c>
      <c r="F165" s="8" t="s">
        <v>1332</v>
      </c>
      <c r="G165" s="8" t="s">
        <v>1333</v>
      </c>
      <c r="H165" s="8" t="s">
        <v>508</v>
      </c>
      <c r="I165" s="21">
        <v>41683</v>
      </c>
      <c r="J165" s="8" t="s">
        <v>508</v>
      </c>
      <c r="AE165" s="8">
        <v>17</v>
      </c>
      <c r="AW165" s="8">
        <v>2</v>
      </c>
      <c r="AX165" s="8">
        <v>21</v>
      </c>
      <c r="BL165" s="19">
        <f t="shared" si="17"/>
        <v>40</v>
      </c>
      <c r="BM165" s="8" t="s">
        <v>1334</v>
      </c>
    </row>
    <row r="166" spans="1:65" ht="25.5" x14ac:dyDescent="0.2">
      <c r="A166" s="8" t="s">
        <v>1033</v>
      </c>
      <c r="B166" s="8" t="s">
        <v>1306</v>
      </c>
      <c r="C166" s="8">
        <v>25.836110000000001</v>
      </c>
      <c r="D166" s="8">
        <v>-80.041110000000003</v>
      </c>
      <c r="E166" s="8">
        <v>24.814167000000001</v>
      </c>
      <c r="F166" s="8">
        <v>-80.035278000000005</v>
      </c>
      <c r="G166" s="8" t="s">
        <v>1034</v>
      </c>
      <c r="H166" s="8" t="s">
        <v>1215</v>
      </c>
      <c r="I166" s="21">
        <v>41681</v>
      </c>
      <c r="J166" s="8">
        <v>1015</v>
      </c>
      <c r="W166" s="8">
        <v>61</v>
      </c>
      <c r="Y166" s="8">
        <v>150</v>
      </c>
      <c r="AE166" s="8">
        <v>34</v>
      </c>
      <c r="AF166" s="8">
        <v>23</v>
      </c>
      <c r="AX166" s="8">
        <v>14</v>
      </c>
      <c r="BL166" s="29">
        <f>SUM(K166:BK166)</f>
        <v>282</v>
      </c>
    </row>
    <row r="167" spans="1:65" ht="51" x14ac:dyDescent="0.2">
      <c r="A167" s="11" t="s">
        <v>1335</v>
      </c>
      <c r="B167" s="11" t="s">
        <v>1336</v>
      </c>
      <c r="C167" s="11">
        <v>28.311598</v>
      </c>
      <c r="D167" s="11">
        <v>-82.721153999999999</v>
      </c>
      <c r="E167" s="11">
        <v>28.312847000000001</v>
      </c>
      <c r="F167" s="11">
        <v>-82.724466000000007</v>
      </c>
      <c r="G167" s="11" t="s">
        <v>1337</v>
      </c>
      <c r="H167" s="11" t="s">
        <v>552</v>
      </c>
      <c r="I167" s="13">
        <v>41677</v>
      </c>
      <c r="J167" s="27">
        <v>0.41666666666666669</v>
      </c>
      <c r="K167" s="8"/>
      <c r="L167" s="8"/>
      <c r="M167" s="8"/>
      <c r="N167" s="8"/>
      <c r="O167" s="8"/>
      <c r="P167" s="8"/>
      <c r="Q167" s="8"/>
      <c r="R167" s="8"/>
      <c r="S167" s="8"/>
      <c r="T167" s="8"/>
      <c r="U167" s="8"/>
      <c r="V167" s="8"/>
      <c r="W167" s="8"/>
      <c r="X167" s="8"/>
      <c r="Y167" s="11"/>
      <c r="Z167" s="8"/>
      <c r="AA167" s="8"/>
      <c r="AB167" s="8"/>
      <c r="AC167" s="8"/>
      <c r="AD167" s="8"/>
      <c r="AE167" s="8"/>
      <c r="AF167" s="8"/>
      <c r="AG167" s="11"/>
      <c r="AH167" s="8"/>
      <c r="AI167" s="11"/>
      <c r="AJ167" s="8"/>
      <c r="AK167" s="8"/>
      <c r="AL167" s="11"/>
      <c r="AM167" s="11"/>
      <c r="AN167" s="11"/>
      <c r="AO167" s="11">
        <v>7</v>
      </c>
      <c r="AP167" s="8"/>
      <c r="AQ167" s="8"/>
      <c r="AR167" s="8"/>
      <c r="AS167" s="8"/>
      <c r="AT167" s="8"/>
      <c r="AU167" s="8"/>
      <c r="AV167" s="11"/>
      <c r="AW167" s="11"/>
      <c r="AX167" s="8"/>
      <c r="AY167" s="11"/>
      <c r="AZ167" s="11"/>
      <c r="BA167" s="11"/>
      <c r="BB167" s="11"/>
      <c r="BC167" s="11"/>
      <c r="BD167" s="11"/>
      <c r="BE167" s="8"/>
      <c r="BF167" s="8"/>
      <c r="BG167" s="8"/>
      <c r="BH167" s="8"/>
      <c r="BI167" s="11"/>
      <c r="BJ167" s="8"/>
      <c r="BK167" s="11"/>
      <c r="BL167" s="19">
        <f t="shared" ref="BL167:BL188" si="18">SUM(K167:BK167)</f>
        <v>7</v>
      </c>
      <c r="BM167" s="8" t="s">
        <v>1338</v>
      </c>
    </row>
    <row r="168" spans="1:65" ht="14.25" x14ac:dyDescent="0.2">
      <c r="A168" s="11" t="s">
        <v>1339</v>
      </c>
      <c r="B168" s="11" t="s">
        <v>1336</v>
      </c>
      <c r="C168" s="11">
        <v>28.215990000000001</v>
      </c>
      <c r="D168" s="11">
        <v>-82.754729999999995</v>
      </c>
      <c r="E168" s="11">
        <v>28.215990000000001</v>
      </c>
      <c r="F168" s="11">
        <v>-82.754729999999995</v>
      </c>
      <c r="G168" s="11" t="s">
        <v>1340</v>
      </c>
      <c r="H168" s="11" t="s">
        <v>1341</v>
      </c>
      <c r="I168" s="13">
        <v>41683</v>
      </c>
      <c r="J168" s="27">
        <v>0.375</v>
      </c>
      <c r="K168" s="8"/>
      <c r="L168" s="8"/>
      <c r="M168" s="8"/>
      <c r="N168" s="8"/>
      <c r="O168" s="8"/>
      <c r="P168" s="8"/>
      <c r="Q168" s="8"/>
      <c r="R168" s="8"/>
      <c r="S168" s="8"/>
      <c r="T168" s="8"/>
      <c r="U168" s="8"/>
      <c r="V168" s="8"/>
      <c r="W168" s="8"/>
      <c r="X168" s="8"/>
      <c r="Y168" s="11"/>
      <c r="Z168" s="8"/>
      <c r="AA168" s="8"/>
      <c r="AB168" s="11"/>
      <c r="AC168" s="8"/>
      <c r="AD168" s="8"/>
      <c r="AE168" s="8"/>
      <c r="AF168" s="8"/>
      <c r="AG168" s="11"/>
      <c r="AH168" s="8"/>
      <c r="AI168" s="11"/>
      <c r="AJ168" s="8"/>
      <c r="AK168" s="8"/>
      <c r="AL168" s="11"/>
      <c r="AM168" s="8"/>
      <c r="AN168" s="11"/>
      <c r="AO168" s="11">
        <v>20</v>
      </c>
      <c r="AP168" s="11">
        <v>49</v>
      </c>
      <c r="AQ168" s="8"/>
      <c r="AR168" s="8"/>
      <c r="AS168" s="8"/>
      <c r="AT168" s="8"/>
      <c r="AU168" s="8"/>
      <c r="AV168" s="11"/>
      <c r="AW168" s="11"/>
      <c r="AX168" s="11"/>
      <c r="AY168" s="11">
        <v>2</v>
      </c>
      <c r="AZ168" s="11"/>
      <c r="BA168" s="11"/>
      <c r="BB168" s="8"/>
      <c r="BC168" s="8"/>
      <c r="BD168" s="8"/>
      <c r="BE168" s="8"/>
      <c r="BF168" s="8"/>
      <c r="BG168" s="8"/>
      <c r="BH168" s="8">
        <v>1</v>
      </c>
      <c r="BI168" s="8"/>
      <c r="BJ168" s="8"/>
      <c r="BK168" s="8"/>
      <c r="BL168" s="19">
        <f t="shared" si="18"/>
        <v>72</v>
      </c>
      <c r="BM168" s="8" t="s">
        <v>1342</v>
      </c>
    </row>
    <row r="169" spans="1:65" ht="57" customHeight="1" x14ac:dyDescent="0.2">
      <c r="A169" s="11" t="s">
        <v>1343</v>
      </c>
      <c r="B169" s="11" t="s">
        <v>1336</v>
      </c>
      <c r="C169" s="11">
        <v>28.253609999999998</v>
      </c>
      <c r="D169" s="11">
        <v>-82.757559999999998</v>
      </c>
      <c r="E169" s="11">
        <v>28.253609999999998</v>
      </c>
      <c r="F169" s="11">
        <v>-82.757559999999998</v>
      </c>
      <c r="G169" s="11" t="s">
        <v>1340</v>
      </c>
      <c r="H169" s="11" t="s">
        <v>1341</v>
      </c>
      <c r="I169" s="13">
        <v>41685</v>
      </c>
      <c r="J169" s="27">
        <v>0.375</v>
      </c>
      <c r="K169" s="8">
        <v>140</v>
      </c>
      <c r="L169" s="8"/>
      <c r="M169" s="8"/>
      <c r="N169" s="8">
        <v>6</v>
      </c>
      <c r="O169" s="8">
        <v>1</v>
      </c>
      <c r="P169" s="8"/>
      <c r="Q169" s="8"/>
      <c r="R169" s="8"/>
      <c r="S169" s="8">
        <v>1</v>
      </c>
      <c r="T169" s="8"/>
      <c r="U169" s="8"/>
      <c r="V169" s="8"/>
      <c r="W169" s="8">
        <v>1</v>
      </c>
      <c r="X169" s="8"/>
      <c r="Y169" s="11">
        <v>134</v>
      </c>
      <c r="Z169" s="8"/>
      <c r="AA169" s="8"/>
      <c r="AB169" s="8"/>
      <c r="AC169" s="8"/>
      <c r="AD169" s="8"/>
      <c r="AE169" s="11">
        <v>6</v>
      </c>
      <c r="AF169" s="8">
        <v>25</v>
      </c>
      <c r="AG169" s="11"/>
      <c r="AH169" s="8"/>
      <c r="AI169" s="11"/>
      <c r="AJ169" s="8"/>
      <c r="AK169" s="8"/>
      <c r="AL169" s="8">
        <v>1</v>
      </c>
      <c r="AM169" s="8">
        <v>38</v>
      </c>
      <c r="AN169" s="11"/>
      <c r="AO169" s="11"/>
      <c r="AP169" s="8"/>
      <c r="AQ169" s="8"/>
      <c r="AR169" s="8"/>
      <c r="AS169" s="8"/>
      <c r="AT169" s="8"/>
      <c r="AU169" s="8"/>
      <c r="AV169" s="8"/>
      <c r="AW169" s="8">
        <v>8</v>
      </c>
      <c r="AX169" s="8"/>
      <c r="AY169" s="8">
        <v>10</v>
      </c>
      <c r="AZ169" s="8"/>
      <c r="BA169" s="8"/>
      <c r="BB169" s="8"/>
      <c r="BC169" s="8"/>
      <c r="BD169" s="8"/>
      <c r="BE169" s="8"/>
      <c r="BF169" s="8">
        <v>8</v>
      </c>
      <c r="BG169" s="8"/>
      <c r="BH169" s="8"/>
      <c r="BI169" s="8"/>
      <c r="BJ169" s="8"/>
      <c r="BK169" s="8"/>
      <c r="BL169" s="19">
        <f t="shared" si="18"/>
        <v>379</v>
      </c>
      <c r="BM169" s="8" t="s">
        <v>1344</v>
      </c>
    </row>
    <row r="170" spans="1:65" ht="42.75" customHeight="1" x14ac:dyDescent="0.2">
      <c r="A170" s="11" t="s">
        <v>435</v>
      </c>
      <c r="B170" s="11" t="s">
        <v>1345</v>
      </c>
      <c r="C170" s="11">
        <v>28.230550000000001</v>
      </c>
      <c r="D170" s="11">
        <v>-82.840369999999993</v>
      </c>
      <c r="E170" s="11">
        <v>28.23565</v>
      </c>
      <c r="F170" s="11">
        <v>-82.835250000000002</v>
      </c>
      <c r="G170" s="11" t="s">
        <v>424</v>
      </c>
      <c r="H170" s="11" t="s">
        <v>1346</v>
      </c>
      <c r="I170" s="13">
        <v>41679</v>
      </c>
      <c r="J170" s="27">
        <v>0.37152777777777779</v>
      </c>
      <c r="K170" s="14"/>
      <c r="L170" s="14"/>
      <c r="M170" s="14"/>
      <c r="N170" s="14"/>
      <c r="O170" s="14"/>
      <c r="P170" s="14"/>
      <c r="Q170" s="14"/>
      <c r="R170" s="11">
        <v>310</v>
      </c>
      <c r="S170" s="11">
        <v>3</v>
      </c>
      <c r="T170" s="14"/>
      <c r="U170" s="14"/>
      <c r="V170" s="14"/>
      <c r="W170" s="11">
        <v>11</v>
      </c>
      <c r="X170" s="14"/>
      <c r="Y170" s="11">
        <v>20</v>
      </c>
      <c r="Z170" s="14"/>
      <c r="AA170" s="14"/>
      <c r="AB170" s="14"/>
      <c r="AC170" s="14"/>
      <c r="AD170" s="14"/>
      <c r="AE170" s="11">
        <v>20</v>
      </c>
      <c r="AF170" s="11">
        <v>240</v>
      </c>
      <c r="AG170" s="14"/>
      <c r="AH170" s="14"/>
      <c r="AI170" s="14"/>
      <c r="AJ170" s="14"/>
      <c r="AK170" s="14"/>
      <c r="AL170" s="14"/>
      <c r="AM170" s="11">
        <v>450</v>
      </c>
      <c r="AN170" s="14"/>
      <c r="AO170" s="14"/>
      <c r="AP170" s="11">
        <v>50</v>
      </c>
      <c r="AQ170" s="14"/>
      <c r="AR170" s="14"/>
      <c r="AS170" s="14"/>
      <c r="AT170" s="14"/>
      <c r="AU170" s="11">
        <v>4</v>
      </c>
      <c r="AV170" s="11">
        <v>2</v>
      </c>
      <c r="AW170" s="11">
        <v>2</v>
      </c>
      <c r="AX170" s="11">
        <v>15</v>
      </c>
      <c r="AY170" s="11">
        <v>21</v>
      </c>
      <c r="AZ170" s="14"/>
      <c r="BA170" s="11">
        <v>33</v>
      </c>
      <c r="BB170" s="11">
        <v>4</v>
      </c>
      <c r="BC170" s="14"/>
      <c r="BD170" s="11">
        <v>43</v>
      </c>
      <c r="BE170" s="14"/>
      <c r="BF170" s="11">
        <v>7</v>
      </c>
      <c r="BG170" s="11">
        <v>1</v>
      </c>
      <c r="BH170" s="14"/>
      <c r="BI170" s="14"/>
      <c r="BJ170" s="14"/>
      <c r="BK170" s="14"/>
      <c r="BL170" s="19">
        <f t="shared" si="18"/>
        <v>1236</v>
      </c>
      <c r="BM170" s="8" t="s">
        <v>1347</v>
      </c>
    </row>
    <row r="171" spans="1:65" ht="25.5" x14ac:dyDescent="0.2">
      <c r="A171" s="11" t="s">
        <v>173</v>
      </c>
      <c r="B171" s="11" t="s">
        <v>1348</v>
      </c>
      <c r="C171" s="8">
        <v>28.213747999999999</v>
      </c>
      <c r="D171" s="8">
        <v>-82.846541999999999</v>
      </c>
      <c r="E171" s="11">
        <v>28.157511</v>
      </c>
      <c r="F171" s="11">
        <v>-82.837485999999998</v>
      </c>
      <c r="G171" s="11" t="s">
        <v>1349</v>
      </c>
      <c r="H171" s="11" t="s">
        <v>1350</v>
      </c>
      <c r="I171" s="13">
        <v>41679</v>
      </c>
      <c r="J171" s="27">
        <v>0.36458333333333331</v>
      </c>
      <c r="K171" s="11">
        <v>2</v>
      </c>
      <c r="L171" s="11"/>
      <c r="M171" s="11"/>
      <c r="N171" s="11">
        <v>36</v>
      </c>
      <c r="O171" s="11">
        <v>2</v>
      </c>
      <c r="P171" s="11"/>
      <c r="Q171" s="11"/>
      <c r="R171" s="11">
        <v>310</v>
      </c>
      <c r="S171" s="11">
        <v>36</v>
      </c>
      <c r="T171" s="11"/>
      <c r="U171" s="11"/>
      <c r="V171" s="11"/>
      <c r="W171" s="11">
        <v>8</v>
      </c>
      <c r="X171" s="11"/>
      <c r="Y171" s="11">
        <v>100</v>
      </c>
      <c r="Z171" s="11">
        <v>1</v>
      </c>
      <c r="AA171" s="11"/>
      <c r="AB171" s="11"/>
      <c r="AC171" s="11"/>
      <c r="AD171" s="11"/>
      <c r="AE171" s="11">
        <v>160</v>
      </c>
      <c r="AF171" s="11">
        <v>116</v>
      </c>
      <c r="AG171" s="11"/>
      <c r="AH171" s="11"/>
      <c r="AI171" s="11"/>
      <c r="AJ171" s="11"/>
      <c r="AK171" s="11"/>
      <c r="AL171" s="11">
        <v>124</v>
      </c>
      <c r="AM171" s="11">
        <v>650</v>
      </c>
      <c r="AN171" s="11">
        <v>1</v>
      </c>
      <c r="AO171" s="11"/>
      <c r="AP171" s="11">
        <v>213</v>
      </c>
      <c r="AQ171" s="11"/>
      <c r="AR171" s="11"/>
      <c r="AS171" s="11"/>
      <c r="AT171" s="11"/>
      <c r="AU171" s="11">
        <v>64</v>
      </c>
      <c r="AV171" s="11">
        <v>40</v>
      </c>
      <c r="AW171" s="11">
        <v>85</v>
      </c>
      <c r="AX171" s="11">
        <v>122</v>
      </c>
      <c r="AY171" s="11">
        <v>183</v>
      </c>
      <c r="AZ171" s="11"/>
      <c r="BA171" s="11">
        <v>194</v>
      </c>
      <c r="BB171" s="11">
        <v>61</v>
      </c>
      <c r="BC171" s="11"/>
      <c r="BD171" s="11">
        <v>106</v>
      </c>
      <c r="BE171" s="11"/>
      <c r="BF171" s="11">
        <v>175</v>
      </c>
      <c r="BG171" s="11">
        <v>20</v>
      </c>
      <c r="BH171" s="11"/>
      <c r="BI171" s="11"/>
      <c r="BJ171" s="11"/>
      <c r="BK171" s="11"/>
      <c r="BL171" s="19">
        <f t="shared" si="18"/>
        <v>2809</v>
      </c>
      <c r="BM171" s="8" t="s">
        <v>1351</v>
      </c>
    </row>
    <row r="172" spans="1:65" ht="14.25" x14ac:dyDescent="0.2">
      <c r="A172" s="11" t="s">
        <v>1352</v>
      </c>
      <c r="B172" s="11" t="s">
        <v>1353</v>
      </c>
      <c r="C172" s="11">
        <v>27.96442</v>
      </c>
      <c r="D172" s="11">
        <v>-82.831230000000005</v>
      </c>
      <c r="E172" s="11">
        <v>27.936530000000001</v>
      </c>
      <c r="F172" s="11">
        <v>-82.840540000000004</v>
      </c>
      <c r="G172" s="11" t="s">
        <v>1354</v>
      </c>
      <c r="H172" s="11" t="s">
        <v>1355</v>
      </c>
      <c r="I172" s="13">
        <v>41677</v>
      </c>
      <c r="J172" s="27">
        <v>0.41666666666666669</v>
      </c>
      <c r="Q172" s="8">
        <v>2</v>
      </c>
      <c r="W172" s="8">
        <v>3</v>
      </c>
      <c r="Y172" s="8">
        <v>10</v>
      </c>
      <c r="AE172" s="8">
        <v>39</v>
      </c>
      <c r="AF172" s="8">
        <v>5</v>
      </c>
      <c r="AG172" s="8">
        <v>1</v>
      </c>
      <c r="AL172" s="14"/>
      <c r="AW172" s="8">
        <v>2</v>
      </c>
      <c r="AX172" s="8">
        <v>6</v>
      </c>
      <c r="BF172" s="8">
        <v>6</v>
      </c>
      <c r="BL172" s="19">
        <f t="shared" si="18"/>
        <v>74</v>
      </c>
      <c r="BM172" s="11" t="s">
        <v>1356</v>
      </c>
    </row>
    <row r="173" spans="1:65" ht="27.75" customHeight="1" x14ac:dyDescent="0.2">
      <c r="A173" s="11" t="s">
        <v>108</v>
      </c>
      <c r="B173" s="11" t="s">
        <v>1353</v>
      </c>
      <c r="C173" s="11">
        <v>27.96575</v>
      </c>
      <c r="D173" s="11">
        <v>82.818820000000002</v>
      </c>
      <c r="E173" s="11">
        <v>27.996479999999998</v>
      </c>
      <c r="F173" s="11">
        <v>-82.827799999999996</v>
      </c>
      <c r="G173" s="11" t="s">
        <v>109</v>
      </c>
      <c r="H173" s="11" t="s">
        <v>1357</v>
      </c>
      <c r="I173" s="13">
        <v>41677</v>
      </c>
      <c r="J173" s="27">
        <v>0.33333333333333331</v>
      </c>
      <c r="K173" s="14"/>
      <c r="L173" s="14"/>
      <c r="M173" s="14"/>
      <c r="N173" s="11">
        <v>1</v>
      </c>
      <c r="O173" s="14"/>
      <c r="P173" s="14"/>
      <c r="Q173" s="14"/>
      <c r="R173" s="11">
        <v>8</v>
      </c>
      <c r="S173" s="11">
        <v>9</v>
      </c>
      <c r="T173" s="14"/>
      <c r="U173" s="14"/>
      <c r="V173" s="14"/>
      <c r="W173" s="11">
        <v>5</v>
      </c>
      <c r="X173" s="14"/>
      <c r="Y173" s="11">
        <v>134</v>
      </c>
      <c r="Z173" s="14"/>
      <c r="AA173" s="14"/>
      <c r="AB173" s="14"/>
      <c r="AC173" s="14"/>
      <c r="AD173" s="14"/>
      <c r="AE173" s="11">
        <v>34</v>
      </c>
      <c r="AF173" s="11">
        <v>16</v>
      </c>
      <c r="AG173" s="14"/>
      <c r="AH173" s="14"/>
      <c r="AI173" s="14"/>
      <c r="AJ173" s="11">
        <v>2</v>
      </c>
      <c r="AK173" s="14"/>
      <c r="AL173" s="14"/>
      <c r="AM173" s="11">
        <v>2</v>
      </c>
      <c r="AN173" s="14"/>
      <c r="AO173" s="14"/>
      <c r="AP173" s="14"/>
      <c r="AQ173" s="14"/>
      <c r="AR173" s="14"/>
      <c r="AS173" s="14"/>
      <c r="AT173" s="14"/>
      <c r="AU173" s="14"/>
      <c r="AV173" s="14"/>
      <c r="AW173" s="11">
        <v>30</v>
      </c>
      <c r="AX173" s="11">
        <v>26</v>
      </c>
      <c r="AY173" s="11">
        <v>20</v>
      </c>
      <c r="AZ173" s="14"/>
      <c r="BA173" s="14"/>
      <c r="BB173" s="14"/>
      <c r="BC173" s="14"/>
      <c r="BD173" s="14"/>
      <c r="BE173" s="14"/>
      <c r="BF173" s="11">
        <v>6</v>
      </c>
      <c r="BG173" s="14"/>
      <c r="BH173" s="14"/>
      <c r="BI173" s="14"/>
      <c r="BJ173" s="14"/>
      <c r="BK173" s="14"/>
      <c r="BL173" s="19">
        <f t="shared" si="18"/>
        <v>293</v>
      </c>
    </row>
    <row r="174" spans="1:65" ht="38.25" x14ac:dyDescent="0.2">
      <c r="A174" s="11" t="s">
        <v>146</v>
      </c>
      <c r="B174" s="11" t="s">
        <v>1353</v>
      </c>
      <c r="C174" s="11">
        <v>28.12181</v>
      </c>
      <c r="D174" s="11">
        <v>-82.83869</v>
      </c>
      <c r="E174" s="11">
        <v>28.131450000000001</v>
      </c>
      <c r="F174" s="11">
        <v>-82.827740000000006</v>
      </c>
      <c r="G174" s="11" t="s">
        <v>1358</v>
      </c>
      <c r="H174" s="11" t="s">
        <v>1359</v>
      </c>
      <c r="I174" s="13">
        <v>41679</v>
      </c>
      <c r="J174" s="27">
        <v>0.41666666666666669</v>
      </c>
      <c r="K174" s="11">
        <v>1</v>
      </c>
      <c r="L174" s="14"/>
      <c r="M174" s="14"/>
      <c r="N174" s="11">
        <v>1</v>
      </c>
      <c r="O174" s="14"/>
      <c r="P174" s="14"/>
      <c r="Q174" s="14"/>
      <c r="R174" s="11">
        <v>16</v>
      </c>
      <c r="S174" s="14"/>
      <c r="T174" s="14"/>
      <c r="U174" s="14"/>
      <c r="V174" s="14"/>
      <c r="W174" s="11">
        <v>9</v>
      </c>
      <c r="X174" s="14"/>
      <c r="Y174" s="14"/>
      <c r="Z174" s="14"/>
      <c r="AA174" s="14"/>
      <c r="AB174" s="14"/>
      <c r="AC174" s="14"/>
      <c r="AD174" s="14"/>
      <c r="AE174" s="11">
        <v>14</v>
      </c>
      <c r="AF174" s="11">
        <v>4</v>
      </c>
      <c r="AG174" s="14"/>
      <c r="AH174" s="14"/>
      <c r="AI174" s="14"/>
      <c r="AJ174" s="14"/>
      <c r="AK174" s="14"/>
      <c r="AL174" s="11">
        <v>13</v>
      </c>
      <c r="AM174" s="11">
        <v>120</v>
      </c>
      <c r="AN174" s="11">
        <v>1</v>
      </c>
      <c r="AO174" s="14"/>
      <c r="AP174" s="11">
        <v>40</v>
      </c>
      <c r="AQ174" s="14"/>
      <c r="AR174" s="14"/>
      <c r="AS174" s="14"/>
      <c r="AT174" s="14"/>
      <c r="AU174" s="11">
        <v>7</v>
      </c>
      <c r="AV174" s="11">
        <v>11</v>
      </c>
      <c r="AW174" s="11">
        <v>13</v>
      </c>
      <c r="AX174" s="11">
        <v>50</v>
      </c>
      <c r="AY174" s="11">
        <v>35</v>
      </c>
      <c r="AZ174" s="14"/>
      <c r="BA174" s="11">
        <v>62</v>
      </c>
      <c r="BB174" s="14"/>
      <c r="BC174" s="14"/>
      <c r="BD174" s="11">
        <v>2</v>
      </c>
      <c r="BE174" s="14"/>
      <c r="BF174" s="14"/>
      <c r="BG174" s="14"/>
      <c r="BH174" s="14"/>
      <c r="BI174" s="14"/>
      <c r="BJ174" s="14"/>
      <c r="BK174" s="14"/>
      <c r="BL174" s="19">
        <f t="shared" si="18"/>
        <v>399</v>
      </c>
      <c r="BM174" s="8" t="s">
        <v>1360</v>
      </c>
    </row>
    <row r="175" spans="1:65" ht="25.5" x14ac:dyDescent="0.2">
      <c r="A175" s="11" t="s">
        <v>159</v>
      </c>
      <c r="B175" s="11" t="s">
        <v>1353</v>
      </c>
      <c r="C175" s="11" t="s">
        <v>1361</v>
      </c>
      <c r="D175" s="11" t="s">
        <v>1362</v>
      </c>
      <c r="E175" s="11" t="s">
        <v>1363</v>
      </c>
      <c r="F175" s="11" t="s">
        <v>1364</v>
      </c>
      <c r="G175" s="11" t="s">
        <v>160</v>
      </c>
      <c r="H175" s="11" t="s">
        <v>1365</v>
      </c>
      <c r="I175" s="13">
        <v>41679</v>
      </c>
      <c r="J175" s="27">
        <v>0.39583333333333331</v>
      </c>
      <c r="N175" s="8">
        <v>38</v>
      </c>
      <c r="R175" s="8">
        <v>2000</v>
      </c>
      <c r="S175" s="8">
        <v>4</v>
      </c>
      <c r="W175" s="8">
        <v>13</v>
      </c>
      <c r="Y175" s="8">
        <v>126</v>
      </c>
      <c r="Z175" s="8">
        <v>1</v>
      </c>
      <c r="AA175" s="8">
        <v>8</v>
      </c>
      <c r="AE175" s="8">
        <v>135</v>
      </c>
      <c r="AF175" s="8">
        <v>33</v>
      </c>
      <c r="AG175" s="11">
        <v>4</v>
      </c>
      <c r="AI175" s="8">
        <v>66</v>
      </c>
      <c r="AJ175" s="8">
        <v>2</v>
      </c>
      <c r="AL175" s="11">
        <v>116</v>
      </c>
      <c r="AM175" s="8">
        <v>62</v>
      </c>
      <c r="AN175" s="11">
        <v>1</v>
      </c>
      <c r="AR175" s="8">
        <v>1</v>
      </c>
      <c r="AV175" s="8">
        <v>232</v>
      </c>
      <c r="AW175" s="8">
        <v>12</v>
      </c>
      <c r="AX175" s="11">
        <v>45</v>
      </c>
      <c r="AY175" s="11">
        <v>60</v>
      </c>
      <c r="BA175" s="8">
        <v>95</v>
      </c>
      <c r="BC175" s="8">
        <v>1</v>
      </c>
      <c r="BF175" s="8">
        <v>169</v>
      </c>
      <c r="BG175" s="8">
        <v>11</v>
      </c>
      <c r="BK175" s="8" t="s">
        <v>1366</v>
      </c>
      <c r="BL175" s="19">
        <f t="shared" si="18"/>
        <v>3235</v>
      </c>
      <c r="BM175" s="11" t="s">
        <v>1367</v>
      </c>
    </row>
    <row r="176" spans="1:65" ht="43.5" customHeight="1" x14ac:dyDescent="0.2">
      <c r="A176" s="11" t="s">
        <v>134</v>
      </c>
      <c r="B176" s="11" t="s">
        <v>1353</v>
      </c>
      <c r="C176" s="14"/>
      <c r="D176" s="14"/>
      <c r="E176" s="14"/>
      <c r="F176" s="14"/>
      <c r="G176" s="11" t="s">
        <v>135</v>
      </c>
      <c r="H176" s="11" t="s">
        <v>1368</v>
      </c>
      <c r="I176" s="10">
        <v>41680</v>
      </c>
      <c r="J176" s="27">
        <v>0.35069444444444442</v>
      </c>
      <c r="S176" s="8">
        <v>1</v>
      </c>
      <c r="W176" s="8">
        <v>3</v>
      </c>
      <c r="Y176" s="8">
        <v>99</v>
      </c>
      <c r="AB176" s="14"/>
      <c r="AE176" s="8">
        <v>38</v>
      </c>
      <c r="AF176" s="8">
        <v>1</v>
      </c>
      <c r="AG176" s="14"/>
      <c r="AI176" s="14"/>
      <c r="AJ176" s="8">
        <v>2</v>
      </c>
      <c r="AL176" s="11">
        <v>10</v>
      </c>
      <c r="AN176" s="14"/>
      <c r="AO176" s="14"/>
      <c r="AP176" s="8">
        <v>1</v>
      </c>
      <c r="AV176" s="11">
        <v>19</v>
      </c>
      <c r="AW176" s="11">
        <v>12</v>
      </c>
      <c r="AX176" s="11">
        <v>51</v>
      </c>
      <c r="AY176" s="11">
        <v>6</v>
      </c>
      <c r="BA176" s="8">
        <v>3</v>
      </c>
      <c r="BF176" s="8">
        <v>9</v>
      </c>
      <c r="BJ176" s="14"/>
      <c r="BL176" s="19">
        <f t="shared" si="18"/>
        <v>255</v>
      </c>
      <c r="BM176" s="11" t="s">
        <v>1369</v>
      </c>
    </row>
    <row r="177" spans="1:65" ht="18.75" customHeight="1" x14ac:dyDescent="0.2">
      <c r="A177" s="11" t="s">
        <v>210</v>
      </c>
      <c r="B177" s="11" t="s">
        <v>1353</v>
      </c>
      <c r="C177" s="11">
        <v>27.78046389</v>
      </c>
      <c r="D177" s="11">
        <v>-82.783352780000001</v>
      </c>
      <c r="E177" s="11">
        <v>27.738524999999999</v>
      </c>
      <c r="F177" s="11">
        <v>-82.756702779999998</v>
      </c>
      <c r="G177" s="11" t="s">
        <v>211</v>
      </c>
      <c r="H177" s="11" t="s">
        <v>1370</v>
      </c>
      <c r="I177" s="13">
        <v>41679</v>
      </c>
      <c r="J177" s="27">
        <v>0.5625</v>
      </c>
      <c r="K177" s="11">
        <v>13</v>
      </c>
      <c r="L177" s="11"/>
      <c r="M177" s="11"/>
      <c r="N177" s="11">
        <v>3</v>
      </c>
      <c r="O177" s="11"/>
      <c r="P177" s="11"/>
      <c r="Q177" s="11"/>
      <c r="R177" s="11">
        <v>4</v>
      </c>
      <c r="S177" s="11">
        <v>18</v>
      </c>
      <c r="T177" s="11"/>
      <c r="U177" s="11"/>
      <c r="V177" s="11">
        <v>1</v>
      </c>
      <c r="W177" s="11">
        <v>4</v>
      </c>
      <c r="X177" s="11"/>
      <c r="Y177" s="11">
        <v>216</v>
      </c>
      <c r="Z177" s="11"/>
      <c r="AA177" s="11"/>
      <c r="AB177" s="11"/>
      <c r="AC177" s="11"/>
      <c r="AD177" s="11"/>
      <c r="AE177" s="11">
        <v>66</v>
      </c>
      <c r="AF177" s="11">
        <v>74</v>
      </c>
      <c r="AG177" s="11"/>
      <c r="AH177" s="11"/>
      <c r="AI177" s="11"/>
      <c r="AJ177" s="11">
        <v>4</v>
      </c>
      <c r="AK177" s="11"/>
      <c r="AL177" s="11"/>
      <c r="AM177" s="11"/>
      <c r="AN177" s="11"/>
      <c r="AO177" s="11"/>
      <c r="AP177" s="11"/>
      <c r="AQ177" s="11"/>
      <c r="AR177" s="11"/>
      <c r="AS177" s="11"/>
      <c r="AT177" s="11"/>
      <c r="AU177" s="11"/>
      <c r="AV177" s="11"/>
      <c r="AW177" s="11"/>
      <c r="AX177" s="11">
        <v>264</v>
      </c>
      <c r="AY177" s="11"/>
      <c r="AZ177" s="11"/>
      <c r="BA177" s="11"/>
      <c r="BB177" s="11"/>
      <c r="BC177" s="11"/>
      <c r="BD177" s="11"/>
      <c r="BE177" s="11"/>
      <c r="BF177" s="11">
        <v>74</v>
      </c>
      <c r="BG177" s="11"/>
      <c r="BH177" s="11"/>
      <c r="BI177" s="11"/>
      <c r="BJ177" s="11"/>
      <c r="BK177" s="11"/>
      <c r="BL177" s="19">
        <f t="shared" si="18"/>
        <v>741</v>
      </c>
      <c r="BM177" s="11" t="s">
        <v>1371</v>
      </c>
    </row>
    <row r="178" spans="1:65" ht="21.75" customHeight="1" x14ac:dyDescent="0.2">
      <c r="A178" s="11" t="s">
        <v>1372</v>
      </c>
      <c r="B178" s="11" t="s">
        <v>1353</v>
      </c>
      <c r="C178" s="11">
        <v>27.740549999999999</v>
      </c>
      <c r="D178" s="11">
        <v>-82.694540000000003</v>
      </c>
      <c r="E178" s="11">
        <v>27.737459999999999</v>
      </c>
      <c r="F178" s="11">
        <v>-82.694580000000002</v>
      </c>
      <c r="G178" s="11" t="s">
        <v>1373</v>
      </c>
      <c r="H178" s="11" t="s">
        <v>1374</v>
      </c>
      <c r="I178" s="13">
        <v>41681</v>
      </c>
      <c r="J178" s="27">
        <v>0.41666666666666669</v>
      </c>
      <c r="K178" s="11"/>
      <c r="L178" s="11"/>
      <c r="M178" s="11"/>
      <c r="N178" s="11"/>
      <c r="O178" s="11"/>
      <c r="P178" s="11"/>
      <c r="Q178" s="11"/>
      <c r="R178" s="11"/>
      <c r="S178" s="11"/>
      <c r="T178" s="11"/>
      <c r="U178" s="11"/>
      <c r="V178" s="11"/>
      <c r="W178" s="11"/>
      <c r="X178" s="11"/>
      <c r="Y178" s="11">
        <v>5</v>
      </c>
      <c r="Z178" s="11"/>
      <c r="AA178" s="11"/>
      <c r="AB178" s="11"/>
      <c r="AC178" s="11"/>
      <c r="AD178" s="11"/>
      <c r="AE178" s="11">
        <v>2</v>
      </c>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9">
        <f t="shared" si="18"/>
        <v>7</v>
      </c>
      <c r="BM178" s="11" t="s">
        <v>1375</v>
      </c>
    </row>
    <row r="179" spans="1:65" ht="14.25" x14ac:dyDescent="0.2">
      <c r="A179" s="11" t="s">
        <v>1376</v>
      </c>
      <c r="B179" s="11" t="s">
        <v>1353</v>
      </c>
      <c r="C179" s="11">
        <v>27.709610000000001</v>
      </c>
      <c r="D179" s="11">
        <v>-82.738860000000003</v>
      </c>
      <c r="E179" s="11">
        <v>27.737310000000001</v>
      </c>
      <c r="F179" s="11">
        <v>-82.754729999999995</v>
      </c>
      <c r="G179" s="11" t="s">
        <v>1377</v>
      </c>
      <c r="H179" s="11" t="s">
        <v>1378</v>
      </c>
      <c r="I179" s="13">
        <v>41681</v>
      </c>
      <c r="J179" s="27">
        <v>0.33333333333333331</v>
      </c>
      <c r="K179" s="8"/>
      <c r="L179" s="8"/>
      <c r="M179" s="8"/>
      <c r="N179" s="8">
        <v>11</v>
      </c>
      <c r="O179" s="8"/>
      <c r="P179" s="8"/>
      <c r="Q179" s="8"/>
      <c r="R179" s="8">
        <v>2</v>
      </c>
      <c r="S179" s="8"/>
      <c r="T179" s="8"/>
      <c r="U179" s="8"/>
      <c r="V179" s="8"/>
      <c r="W179" s="8">
        <v>10</v>
      </c>
      <c r="X179" s="8"/>
      <c r="Y179" s="11">
        <v>47</v>
      </c>
      <c r="Z179" s="8"/>
      <c r="AA179" s="8"/>
      <c r="AB179" s="8"/>
      <c r="AC179" s="8"/>
      <c r="AD179" s="8"/>
      <c r="AE179" s="8">
        <v>21</v>
      </c>
      <c r="AF179" s="8">
        <v>25</v>
      </c>
      <c r="AG179" s="11">
        <v>6</v>
      </c>
      <c r="AH179" s="8"/>
      <c r="AI179" s="11"/>
      <c r="AJ179" s="8"/>
      <c r="AK179" s="8"/>
      <c r="AL179" s="11"/>
      <c r="AM179" s="8"/>
      <c r="AN179" s="11"/>
      <c r="AO179" s="8"/>
      <c r="AP179" s="8"/>
      <c r="AQ179" s="8"/>
      <c r="AR179" s="8"/>
      <c r="AS179" s="8"/>
      <c r="AT179" s="8"/>
      <c r="AU179" s="8"/>
      <c r="AV179" s="11"/>
      <c r="AW179" s="8"/>
      <c r="AX179" s="8"/>
      <c r="AY179" s="8"/>
      <c r="AZ179" s="8"/>
      <c r="BA179" s="8"/>
      <c r="BB179" s="8"/>
      <c r="BC179" s="8"/>
      <c r="BD179" s="8"/>
      <c r="BE179" s="8"/>
      <c r="BF179" s="8">
        <v>14</v>
      </c>
      <c r="BG179" s="8"/>
      <c r="BH179" s="8"/>
      <c r="BI179" s="8"/>
      <c r="BJ179" s="8"/>
      <c r="BK179" s="8"/>
      <c r="BL179" s="19">
        <f t="shared" si="18"/>
        <v>136</v>
      </c>
      <c r="BM179" s="11" t="s">
        <v>1375</v>
      </c>
    </row>
    <row r="180" spans="1:65" ht="15.75" customHeight="1" x14ac:dyDescent="0.2">
      <c r="A180" s="8" t="s">
        <v>411</v>
      </c>
      <c r="B180" s="8" t="s">
        <v>1353</v>
      </c>
      <c r="C180" s="8" t="s">
        <v>1379</v>
      </c>
      <c r="D180" s="8" t="s">
        <v>1380</v>
      </c>
      <c r="E180" s="8" t="s">
        <v>1381</v>
      </c>
      <c r="F180" s="8" t="s">
        <v>1382</v>
      </c>
      <c r="G180" s="8" t="s">
        <v>412</v>
      </c>
      <c r="H180" s="8" t="s">
        <v>1383</v>
      </c>
      <c r="I180" s="21">
        <v>41679</v>
      </c>
      <c r="J180" s="23">
        <v>0.3923611111111111</v>
      </c>
      <c r="K180" s="8">
        <v>3</v>
      </c>
      <c r="N180" s="8">
        <v>31</v>
      </c>
      <c r="R180" s="8">
        <v>187</v>
      </c>
      <c r="W180" s="8">
        <v>6</v>
      </c>
      <c r="Y180" s="8">
        <v>6</v>
      </c>
      <c r="AE180" s="8">
        <v>26</v>
      </c>
      <c r="AF180" s="8">
        <v>5</v>
      </c>
      <c r="AJ180" s="8">
        <v>2</v>
      </c>
      <c r="AL180" s="8">
        <v>35</v>
      </c>
      <c r="AM180" s="8">
        <v>645</v>
      </c>
      <c r="AT180" s="8">
        <v>4</v>
      </c>
      <c r="AU180" s="8">
        <v>29</v>
      </c>
      <c r="AV180" s="8">
        <v>100</v>
      </c>
      <c r="AW180" s="8">
        <v>24</v>
      </c>
      <c r="AX180" s="8">
        <v>127</v>
      </c>
      <c r="AY180" s="8">
        <v>71</v>
      </c>
      <c r="BA180" s="8">
        <v>93</v>
      </c>
      <c r="BB180" s="8">
        <v>3</v>
      </c>
      <c r="BD180" s="8">
        <v>3</v>
      </c>
      <c r="BF180" s="8">
        <v>237</v>
      </c>
      <c r="BG180" s="8">
        <v>9</v>
      </c>
      <c r="BL180" s="19">
        <f t="shared" si="18"/>
        <v>1646</v>
      </c>
      <c r="BM180" s="8" t="s">
        <v>1384</v>
      </c>
    </row>
    <row r="181" spans="1:65" ht="38.25" x14ac:dyDescent="0.2">
      <c r="A181" s="8" t="s">
        <v>553</v>
      </c>
      <c r="B181" s="8" t="s">
        <v>1353</v>
      </c>
      <c r="C181" s="8">
        <v>28.061516999999998</v>
      </c>
      <c r="D181" s="8">
        <v>-82.830427999999998</v>
      </c>
      <c r="E181" s="8">
        <v>28.091426999999999</v>
      </c>
      <c r="F181" s="8">
        <v>-82.834467000000004</v>
      </c>
      <c r="G181" s="8" t="s">
        <v>554</v>
      </c>
      <c r="H181" s="8" t="s">
        <v>552</v>
      </c>
      <c r="I181" s="21">
        <v>41679</v>
      </c>
      <c r="J181" s="23">
        <v>0.375</v>
      </c>
      <c r="K181" s="8"/>
      <c r="L181" s="8"/>
      <c r="M181" s="8"/>
      <c r="N181" s="8">
        <v>1</v>
      </c>
      <c r="O181" s="8"/>
      <c r="P181" s="8"/>
      <c r="Q181" s="8"/>
      <c r="R181" s="8">
        <v>81</v>
      </c>
      <c r="S181" s="8"/>
      <c r="T181" s="8"/>
      <c r="U181" s="8"/>
      <c r="V181" s="8"/>
      <c r="W181" s="8">
        <v>4</v>
      </c>
      <c r="X181" s="8"/>
      <c r="Y181" s="8">
        <v>9</v>
      </c>
      <c r="Z181" s="8"/>
      <c r="AA181" s="8"/>
      <c r="AB181" s="8"/>
      <c r="AC181" s="8"/>
      <c r="AD181" s="8"/>
      <c r="AE181" s="8">
        <v>22</v>
      </c>
      <c r="AF181" s="8">
        <v>53</v>
      </c>
      <c r="AG181" s="8"/>
      <c r="AH181" s="8"/>
      <c r="AI181" s="8"/>
      <c r="AJ181" s="8">
        <v>4</v>
      </c>
      <c r="AK181" s="8"/>
      <c r="AL181" s="8">
        <v>2</v>
      </c>
      <c r="AM181" s="8">
        <v>2</v>
      </c>
      <c r="AN181" s="8"/>
      <c r="AO181" s="8">
        <v>4</v>
      </c>
      <c r="AP181" s="8">
        <v>6</v>
      </c>
      <c r="AQ181" s="8"/>
      <c r="AR181" s="8"/>
      <c r="AS181" s="8"/>
      <c r="AT181" s="8"/>
      <c r="AU181" s="8">
        <v>9</v>
      </c>
      <c r="AV181" s="8"/>
      <c r="AW181" s="8">
        <v>7</v>
      </c>
      <c r="AX181" s="8">
        <v>4</v>
      </c>
      <c r="AY181" s="8">
        <v>47</v>
      </c>
      <c r="AZ181" s="8"/>
      <c r="BA181" s="8">
        <v>4</v>
      </c>
      <c r="BB181" s="8">
        <v>6</v>
      </c>
      <c r="BC181" s="8"/>
      <c r="BD181" s="8"/>
      <c r="BE181" s="8"/>
      <c r="BF181" s="8">
        <v>38</v>
      </c>
      <c r="BG181" s="8">
        <v>17</v>
      </c>
      <c r="BH181" s="8"/>
      <c r="BI181" s="8"/>
      <c r="BJ181" s="8"/>
      <c r="BK181" s="8"/>
      <c r="BL181" s="19">
        <f t="shared" si="18"/>
        <v>320</v>
      </c>
      <c r="BM181" s="8" t="s">
        <v>1385</v>
      </c>
    </row>
    <row r="182" spans="1:65" ht="27.75" customHeight="1" x14ac:dyDescent="0.2">
      <c r="A182" s="11" t="s">
        <v>1386</v>
      </c>
      <c r="B182" s="11" t="s">
        <v>1353</v>
      </c>
      <c r="C182" s="11">
        <v>28.061516999999998</v>
      </c>
      <c r="D182" s="11">
        <v>-82.830427999999998</v>
      </c>
      <c r="E182" s="11">
        <v>28.055845999999999</v>
      </c>
      <c r="F182" s="11">
        <v>-82.815894999999998</v>
      </c>
      <c r="G182" s="11" t="s">
        <v>554</v>
      </c>
      <c r="H182" s="11" t="s">
        <v>552</v>
      </c>
      <c r="I182" s="13">
        <v>41679</v>
      </c>
      <c r="J182" s="27">
        <v>0.52083333333333337</v>
      </c>
      <c r="K182" s="11"/>
      <c r="L182" s="11"/>
      <c r="M182" s="11"/>
      <c r="N182" s="11"/>
      <c r="O182" s="11"/>
      <c r="P182" s="11"/>
      <c r="Q182" s="11"/>
      <c r="R182" s="11">
        <v>2</v>
      </c>
      <c r="S182" s="11"/>
      <c r="T182" s="11"/>
      <c r="U182" s="11"/>
      <c r="V182" s="11"/>
      <c r="W182" s="11">
        <v>1</v>
      </c>
      <c r="X182" s="11"/>
      <c r="Y182" s="11">
        <v>49</v>
      </c>
      <c r="Z182" s="11"/>
      <c r="AA182" s="11"/>
      <c r="AB182" s="11"/>
      <c r="AC182" s="11"/>
      <c r="AD182" s="11"/>
      <c r="AE182" s="11">
        <v>31</v>
      </c>
      <c r="AF182" s="11">
        <v>6</v>
      </c>
      <c r="AG182" s="11"/>
      <c r="AH182" s="11"/>
      <c r="AI182" s="11"/>
      <c r="AJ182" s="11"/>
      <c r="AK182" s="11"/>
      <c r="AL182" s="11"/>
      <c r="AM182" s="11"/>
      <c r="AN182" s="11"/>
      <c r="AO182" s="11"/>
      <c r="AP182" s="11"/>
      <c r="AQ182" s="11"/>
      <c r="AR182" s="11"/>
      <c r="AS182" s="11"/>
      <c r="AT182" s="11"/>
      <c r="AU182" s="11"/>
      <c r="AV182" s="11"/>
      <c r="AW182" s="11">
        <v>8</v>
      </c>
      <c r="AX182" s="11">
        <v>7</v>
      </c>
      <c r="AY182" s="11"/>
      <c r="AZ182" s="11"/>
      <c r="BA182" s="11"/>
      <c r="BB182" s="11"/>
      <c r="BC182" s="11"/>
      <c r="BD182" s="11"/>
      <c r="BE182" s="11"/>
      <c r="BF182" s="11">
        <v>4</v>
      </c>
      <c r="BG182" s="11"/>
      <c r="BH182" s="11"/>
      <c r="BI182" s="11"/>
      <c r="BJ182" s="11"/>
      <c r="BK182" s="11"/>
      <c r="BL182" s="19">
        <f t="shared" si="18"/>
        <v>108</v>
      </c>
      <c r="BM182" s="8" t="s">
        <v>1387</v>
      </c>
    </row>
    <row r="183" spans="1:65" ht="25.5" x14ac:dyDescent="0.2">
      <c r="A183" s="8" t="s">
        <v>678</v>
      </c>
      <c r="B183" s="8" t="s">
        <v>1353</v>
      </c>
      <c r="C183" s="8">
        <v>27.959761</v>
      </c>
      <c r="D183" s="8">
        <v>-82.705894000000001</v>
      </c>
      <c r="E183" s="8">
        <v>27.967843999999999</v>
      </c>
      <c r="F183" s="8">
        <v>-82.571976000000006</v>
      </c>
      <c r="G183" s="8" t="s">
        <v>679</v>
      </c>
      <c r="H183" s="8" t="s">
        <v>1388</v>
      </c>
      <c r="I183" s="21">
        <v>41685</v>
      </c>
      <c r="J183" s="23">
        <v>0.33680555555555558</v>
      </c>
      <c r="K183" s="8">
        <v>257</v>
      </c>
      <c r="L183" s="8">
        <v>28</v>
      </c>
      <c r="M183" s="8"/>
      <c r="N183" s="8">
        <v>70</v>
      </c>
      <c r="O183" s="8"/>
      <c r="P183" s="8">
        <v>1</v>
      </c>
      <c r="Q183" s="8"/>
      <c r="R183" s="8">
        <v>46</v>
      </c>
      <c r="S183" s="8">
        <v>26</v>
      </c>
      <c r="T183" s="8"/>
      <c r="U183" s="8"/>
      <c r="V183" s="8"/>
      <c r="W183" s="8">
        <v>1</v>
      </c>
      <c r="X183" s="8">
        <v>3</v>
      </c>
      <c r="Y183" s="8">
        <v>258</v>
      </c>
      <c r="Z183" s="8">
        <v>1</v>
      </c>
      <c r="AA183" s="8"/>
      <c r="AB183" s="8"/>
      <c r="AC183" s="8"/>
      <c r="AD183" s="8"/>
      <c r="AE183" s="8">
        <v>61</v>
      </c>
      <c r="AF183" s="8">
        <v>41</v>
      </c>
      <c r="AG183" s="8"/>
      <c r="AH183" s="8"/>
      <c r="AI183" s="8"/>
      <c r="AJ183" s="8">
        <v>4</v>
      </c>
      <c r="AK183" s="8"/>
      <c r="AL183" s="8">
        <v>9</v>
      </c>
      <c r="AM183" s="8"/>
      <c r="AN183" s="8"/>
      <c r="AO183" s="8"/>
      <c r="AP183" s="8">
        <v>1</v>
      </c>
      <c r="AQ183" s="8"/>
      <c r="AR183" s="8"/>
      <c r="AS183" s="8"/>
      <c r="AT183" s="8">
        <v>91</v>
      </c>
      <c r="AU183" s="8"/>
      <c r="AV183" s="8"/>
      <c r="AW183" s="8">
        <v>22</v>
      </c>
      <c r="AX183" s="8">
        <v>12</v>
      </c>
      <c r="AY183" s="8">
        <v>11</v>
      </c>
      <c r="AZ183" s="8"/>
      <c r="BA183" s="8">
        <v>1</v>
      </c>
      <c r="BB183" s="8"/>
      <c r="BC183" s="8"/>
      <c r="BD183" s="8"/>
      <c r="BE183" s="8"/>
      <c r="BF183" s="8">
        <v>13</v>
      </c>
      <c r="BG183" s="8"/>
      <c r="BH183" s="8"/>
      <c r="BI183" s="8"/>
      <c r="BJ183" s="8">
        <v>9</v>
      </c>
      <c r="BK183" s="8"/>
      <c r="BL183" s="19">
        <f t="shared" si="18"/>
        <v>966</v>
      </c>
      <c r="BM183" s="8" t="s">
        <v>1389</v>
      </c>
    </row>
    <row r="184" spans="1:65" ht="25.5" x14ac:dyDescent="0.2">
      <c r="A184" s="8" t="s">
        <v>675</v>
      </c>
      <c r="B184" s="8" t="s">
        <v>1353</v>
      </c>
      <c r="C184" s="11">
        <v>27.874666000000001</v>
      </c>
      <c r="D184" s="11">
        <v>-82.597703999999993</v>
      </c>
      <c r="E184" s="11">
        <v>27.877132</v>
      </c>
      <c r="F184" s="11">
        <v>-82.589185000000001</v>
      </c>
      <c r="G184" s="8" t="s">
        <v>676</v>
      </c>
      <c r="H184" s="8" t="s">
        <v>1390</v>
      </c>
      <c r="I184" s="21">
        <v>41685</v>
      </c>
      <c r="J184" s="8">
        <v>700</v>
      </c>
      <c r="K184" s="8">
        <v>22</v>
      </c>
      <c r="L184" s="8"/>
      <c r="M184" s="8"/>
      <c r="N184" s="8"/>
      <c r="O184" s="8"/>
      <c r="P184" s="8"/>
      <c r="Q184" s="8"/>
      <c r="R184" s="8"/>
      <c r="S184" s="8">
        <v>2</v>
      </c>
      <c r="T184" s="8"/>
      <c r="U184" s="8"/>
      <c r="V184" s="8"/>
      <c r="W184" s="8"/>
      <c r="X184" s="8"/>
      <c r="Y184" s="8">
        <v>56</v>
      </c>
      <c r="Z184" s="8"/>
      <c r="AA184" s="8"/>
      <c r="AB184" s="8"/>
      <c r="AC184" s="8"/>
      <c r="AD184" s="8"/>
      <c r="AE184" s="8">
        <v>38</v>
      </c>
      <c r="AF184" s="8">
        <v>28</v>
      </c>
      <c r="AG184" s="8">
        <v>4</v>
      </c>
      <c r="AH184" s="8"/>
      <c r="AI184" s="8"/>
      <c r="AJ184" s="8">
        <v>2</v>
      </c>
      <c r="AK184" s="8"/>
      <c r="AL184" s="8">
        <v>4</v>
      </c>
      <c r="AM184" s="8">
        <v>12</v>
      </c>
      <c r="AN184" s="8"/>
      <c r="AO184" s="8"/>
      <c r="AP184" s="8"/>
      <c r="AQ184" s="8"/>
      <c r="AR184" s="8"/>
      <c r="AS184" s="8"/>
      <c r="AT184" s="8"/>
      <c r="AU184" s="8"/>
      <c r="AV184" s="8"/>
      <c r="AW184" s="8">
        <v>4</v>
      </c>
      <c r="AX184" s="8">
        <v>8</v>
      </c>
      <c r="AY184" s="8">
        <v>7</v>
      </c>
      <c r="AZ184" s="8"/>
      <c r="BA184" s="8">
        <v>6</v>
      </c>
      <c r="BB184" s="8"/>
      <c r="BC184" s="8"/>
      <c r="BD184" s="8"/>
      <c r="BE184" s="8"/>
      <c r="BF184" s="8">
        <v>29</v>
      </c>
      <c r="BG184" s="8"/>
      <c r="BH184" s="8"/>
      <c r="BI184" s="8"/>
      <c r="BJ184" s="8"/>
      <c r="BK184" s="8"/>
      <c r="BL184" s="19">
        <f t="shared" si="18"/>
        <v>222</v>
      </c>
      <c r="BM184" s="8" t="s">
        <v>1391</v>
      </c>
    </row>
    <row r="185" spans="1:65" ht="25.5" x14ac:dyDescent="0.2">
      <c r="A185" s="8" t="s">
        <v>1392</v>
      </c>
      <c r="B185" s="8" t="s">
        <v>1353</v>
      </c>
      <c r="C185" s="8">
        <v>27.683223999999999</v>
      </c>
      <c r="D185" s="8">
        <v>-82.738212000000004</v>
      </c>
      <c r="E185" s="8">
        <v>27.709063</v>
      </c>
      <c r="F185" s="8">
        <v>-82.738597999999996</v>
      </c>
      <c r="G185" s="8" t="s">
        <v>1393</v>
      </c>
      <c r="H185" s="8" t="s">
        <v>1394</v>
      </c>
      <c r="I185" s="21">
        <v>41685</v>
      </c>
      <c r="J185" s="23">
        <v>0.35416666666666669</v>
      </c>
      <c r="W185" s="8">
        <v>4</v>
      </c>
      <c r="Y185" s="8">
        <v>48</v>
      </c>
      <c r="AE185" s="8">
        <v>42</v>
      </c>
      <c r="AF185" s="8">
        <v>4</v>
      </c>
      <c r="AW185" s="8">
        <v>2</v>
      </c>
      <c r="BF185" s="8">
        <v>7</v>
      </c>
      <c r="BL185" s="19">
        <f t="shared" si="18"/>
        <v>107</v>
      </c>
    </row>
    <row r="186" spans="1:65" ht="14.25" x14ac:dyDescent="0.2">
      <c r="A186" s="8" t="s">
        <v>1395</v>
      </c>
      <c r="B186" s="8" t="s">
        <v>1353</v>
      </c>
      <c r="C186" s="8">
        <v>27.789020000000001</v>
      </c>
      <c r="D186" s="8">
        <v>82.636179999999996</v>
      </c>
      <c r="E186" s="8">
        <v>27.632349999999999</v>
      </c>
      <c r="F186" s="8">
        <v>82.741069999999993</v>
      </c>
      <c r="G186" s="8" t="s">
        <v>820</v>
      </c>
      <c r="H186" s="8" t="s">
        <v>1396</v>
      </c>
      <c r="I186" s="21">
        <v>41686</v>
      </c>
      <c r="J186" s="23">
        <v>0.375</v>
      </c>
      <c r="K186" s="8"/>
      <c r="L186" s="8"/>
      <c r="M186" s="8"/>
      <c r="N186" s="8"/>
      <c r="O186" s="8"/>
      <c r="P186" s="8"/>
      <c r="Q186" s="8"/>
      <c r="R186" s="8">
        <v>24</v>
      </c>
      <c r="S186" s="8"/>
      <c r="T186" s="8"/>
      <c r="U186" s="8"/>
      <c r="V186" s="8"/>
      <c r="X186" s="8"/>
      <c r="Y186" s="8"/>
      <c r="Z186" s="8"/>
      <c r="AA186" s="8"/>
      <c r="AB186" s="8"/>
      <c r="AC186" s="8"/>
      <c r="AD186" s="8"/>
      <c r="AE186" s="8">
        <v>5</v>
      </c>
      <c r="AF186" s="8"/>
      <c r="AG186" s="8"/>
      <c r="AH186" s="8"/>
      <c r="AI186" s="8"/>
      <c r="AJ186" s="8"/>
      <c r="AK186" s="8"/>
      <c r="AL186" s="8">
        <v>1</v>
      </c>
      <c r="AM186" s="8"/>
      <c r="AN186" s="8"/>
      <c r="AO186" s="8"/>
      <c r="AP186" s="8"/>
      <c r="AQ186" s="8"/>
      <c r="AR186" s="8"/>
      <c r="AS186" s="8"/>
      <c r="AT186" s="8"/>
      <c r="AU186" s="8"/>
      <c r="AV186" s="8">
        <v>1</v>
      </c>
      <c r="AW186" s="8">
        <v>25</v>
      </c>
      <c r="AX186" s="8">
        <v>6</v>
      </c>
      <c r="AY186" s="8"/>
      <c r="AZ186" s="8"/>
      <c r="BA186" s="8"/>
      <c r="BB186" s="8">
        <v>1</v>
      </c>
      <c r="BC186" s="8"/>
      <c r="BD186" s="8"/>
      <c r="BE186" s="8"/>
      <c r="BF186" s="8">
        <v>8</v>
      </c>
      <c r="BG186" s="8"/>
      <c r="BH186" s="8"/>
      <c r="BI186" s="8"/>
      <c r="BJ186" s="8"/>
      <c r="BK186" s="8"/>
      <c r="BL186" s="19">
        <f t="shared" si="18"/>
        <v>71</v>
      </c>
      <c r="BM186" s="8" t="s">
        <v>1397</v>
      </c>
    </row>
    <row r="187" spans="1:65" ht="14.25" x14ac:dyDescent="0.2">
      <c r="A187" s="8" t="s">
        <v>1398</v>
      </c>
      <c r="B187" s="8" t="s">
        <v>1353</v>
      </c>
      <c r="C187" s="8">
        <v>27.789020000000001</v>
      </c>
      <c r="D187" s="8">
        <v>82.636179999999996</v>
      </c>
      <c r="E187" s="8">
        <v>27.613099999999999</v>
      </c>
      <c r="F187" s="8">
        <v>82.737020000000001</v>
      </c>
      <c r="G187" s="8" t="s">
        <v>820</v>
      </c>
      <c r="H187" s="8" t="s">
        <v>1396</v>
      </c>
      <c r="I187" s="21">
        <v>41686</v>
      </c>
      <c r="J187" s="23">
        <v>0.4375</v>
      </c>
      <c r="K187" s="8"/>
      <c r="L187" s="8"/>
      <c r="M187" s="8"/>
      <c r="N187" s="8">
        <v>6</v>
      </c>
      <c r="O187" s="8"/>
      <c r="P187" s="8">
        <v>1</v>
      </c>
      <c r="Q187" s="8"/>
      <c r="R187" s="8">
        <v>12</v>
      </c>
      <c r="S187" s="8">
        <v>1</v>
      </c>
      <c r="T187" s="8"/>
      <c r="U187" s="8"/>
      <c r="V187" s="8"/>
      <c r="W187" s="8">
        <v>2</v>
      </c>
      <c r="X187" s="8"/>
      <c r="Y187" s="8">
        <v>204</v>
      </c>
      <c r="Z187" s="8"/>
      <c r="AA187" s="8"/>
      <c r="AB187" s="8"/>
      <c r="AC187" s="8"/>
      <c r="AD187" s="8"/>
      <c r="AE187" s="8">
        <v>6</v>
      </c>
      <c r="AF187" s="8">
        <v>1</v>
      </c>
      <c r="AG187" s="8"/>
      <c r="AH187" s="8"/>
      <c r="AI187" s="8"/>
      <c r="AJ187" s="8">
        <v>2</v>
      </c>
      <c r="AK187" s="8"/>
      <c r="AL187" s="8"/>
      <c r="AM187" s="8"/>
      <c r="AN187" s="8"/>
      <c r="AO187" s="8"/>
      <c r="AP187" s="8"/>
      <c r="AQ187" s="8"/>
      <c r="AR187" s="8"/>
      <c r="AS187" s="8"/>
      <c r="AT187" s="8"/>
      <c r="AU187" s="8"/>
      <c r="AV187" s="8">
        <v>1</v>
      </c>
      <c r="AW187" s="8">
        <v>10</v>
      </c>
      <c r="AX187" s="8"/>
      <c r="AY187" s="8"/>
      <c r="AZ187" s="8"/>
      <c r="BA187" s="8"/>
      <c r="BB187" s="8"/>
      <c r="BC187" s="8"/>
      <c r="BD187" s="8"/>
      <c r="BE187" s="8"/>
      <c r="BF187" s="8">
        <v>6</v>
      </c>
      <c r="BG187" s="8"/>
      <c r="BH187" s="8"/>
      <c r="BI187" s="8"/>
      <c r="BJ187" s="8"/>
      <c r="BK187" s="8"/>
      <c r="BL187" s="19">
        <f t="shared" si="18"/>
        <v>252</v>
      </c>
      <c r="BM187" s="8" t="s">
        <v>1399</v>
      </c>
    </row>
    <row r="188" spans="1:65" ht="25.5" x14ac:dyDescent="0.2">
      <c r="A188" s="8" t="s">
        <v>826</v>
      </c>
      <c r="B188" s="8" t="s">
        <v>1353</v>
      </c>
      <c r="C188" s="8">
        <v>27.812533299999998</v>
      </c>
      <c r="D188" s="8">
        <v>-82.818749999999994</v>
      </c>
      <c r="E188" s="8">
        <v>27.843050000000002</v>
      </c>
      <c r="F188" s="8">
        <v>-82.841583299999996</v>
      </c>
      <c r="G188" s="8" t="s">
        <v>827</v>
      </c>
      <c r="H188" s="8" t="s">
        <v>1400</v>
      </c>
      <c r="I188" s="21">
        <v>41684</v>
      </c>
      <c r="J188" s="23">
        <v>0.33680555555555558</v>
      </c>
      <c r="K188" s="8">
        <v>236</v>
      </c>
      <c r="L188" s="8"/>
      <c r="M188" s="8"/>
      <c r="N188" s="8">
        <v>12</v>
      </c>
      <c r="O188" s="8"/>
      <c r="P188" s="8">
        <v>1</v>
      </c>
      <c r="Q188" s="8">
        <v>4</v>
      </c>
      <c r="R188" s="8">
        <v>23</v>
      </c>
      <c r="S188" s="8">
        <v>3</v>
      </c>
      <c r="T188" s="8"/>
      <c r="U188" s="8"/>
      <c r="V188" s="8"/>
      <c r="W188" s="8">
        <v>4</v>
      </c>
      <c r="X188" s="8"/>
      <c r="Y188" s="8">
        <v>366</v>
      </c>
      <c r="Z188" s="8">
        <v>5</v>
      </c>
      <c r="AA188" s="8"/>
      <c r="AB188" s="8"/>
      <c r="AC188" s="8"/>
      <c r="AD188" s="8"/>
      <c r="AE188" s="8">
        <v>74</v>
      </c>
      <c r="AF188" s="8">
        <v>151</v>
      </c>
      <c r="AG188" s="8">
        <v>6</v>
      </c>
      <c r="AH188" s="8"/>
      <c r="AI188" s="8"/>
      <c r="AJ188" s="8"/>
      <c r="AK188" s="8"/>
      <c r="AL188" s="8"/>
      <c r="AM188" s="8"/>
      <c r="AN188" s="8"/>
      <c r="AO188" s="8"/>
      <c r="AP188" s="8"/>
      <c r="AQ188" s="8"/>
      <c r="AR188" s="8"/>
      <c r="AS188" s="8"/>
      <c r="AT188" s="8"/>
      <c r="AU188" s="8"/>
      <c r="AV188" s="8"/>
      <c r="AW188" s="8">
        <v>10</v>
      </c>
      <c r="AX188" s="8">
        <v>48</v>
      </c>
      <c r="AY188" s="8"/>
      <c r="AZ188" s="8"/>
      <c r="BA188" s="8"/>
      <c r="BB188" s="8"/>
      <c r="BC188" s="8"/>
      <c r="BD188" s="8">
        <v>1</v>
      </c>
      <c r="BE188" s="8"/>
      <c r="BF188" s="8">
        <v>10</v>
      </c>
      <c r="BG188" s="8"/>
      <c r="BH188" s="8"/>
      <c r="BI188" s="8"/>
      <c r="BJ188" s="8"/>
      <c r="BK188" s="8"/>
      <c r="BL188" s="19">
        <f t="shared" si="18"/>
        <v>954</v>
      </c>
      <c r="BM188" s="8" t="s">
        <v>1401</v>
      </c>
    </row>
    <row r="189" spans="1:65" ht="14.25" x14ac:dyDescent="0.2">
      <c r="A189" s="8" t="s">
        <v>1402</v>
      </c>
      <c r="B189" s="8" t="s">
        <v>1353</v>
      </c>
      <c r="C189" s="8">
        <v>27.637329999999999</v>
      </c>
      <c r="D189" s="8">
        <v>-82.698430000000002</v>
      </c>
      <c r="E189" s="8">
        <v>27.616150000000001</v>
      </c>
      <c r="F189" s="8">
        <v>-82.729579999999999</v>
      </c>
      <c r="G189" s="8" t="s">
        <v>1403</v>
      </c>
      <c r="H189" s="8" t="s">
        <v>1404</v>
      </c>
      <c r="I189" s="21">
        <v>41681</v>
      </c>
      <c r="J189" s="8">
        <v>1540</v>
      </c>
      <c r="R189" s="8">
        <v>3</v>
      </c>
      <c r="Y189" s="8">
        <v>13</v>
      </c>
      <c r="AE189" s="8">
        <v>2</v>
      </c>
      <c r="AJ189" s="8">
        <v>2</v>
      </c>
      <c r="AL189" s="8">
        <v>1</v>
      </c>
      <c r="AM189" s="8">
        <v>45</v>
      </c>
      <c r="AO189" s="8">
        <v>5</v>
      </c>
      <c r="AP189" s="8">
        <v>34</v>
      </c>
      <c r="AU189" s="8">
        <v>2</v>
      </c>
      <c r="AW189" s="8">
        <v>13</v>
      </c>
      <c r="AX189" s="8">
        <v>81</v>
      </c>
      <c r="AY189" s="8">
        <v>24</v>
      </c>
      <c r="BA189" s="8">
        <v>42</v>
      </c>
      <c r="BF189" s="8">
        <v>18</v>
      </c>
      <c r="BG189" s="8">
        <v>13</v>
      </c>
      <c r="BL189" s="29"/>
      <c r="BM189" s="8" t="s">
        <v>1405</v>
      </c>
    </row>
    <row r="190" spans="1:65" ht="25.5" x14ac:dyDescent="0.2">
      <c r="A190" s="8" t="s">
        <v>1406</v>
      </c>
      <c r="B190" s="8" t="s">
        <v>1353</v>
      </c>
      <c r="G190" s="8" t="s">
        <v>1407</v>
      </c>
      <c r="H190" s="8" t="s">
        <v>1408</v>
      </c>
      <c r="I190" s="21">
        <v>41679</v>
      </c>
      <c r="J190" s="8">
        <v>900</v>
      </c>
      <c r="L190" s="8">
        <v>5</v>
      </c>
      <c r="N190" s="8">
        <v>1</v>
      </c>
      <c r="W190" s="8">
        <v>1</v>
      </c>
      <c r="Y190" s="8">
        <v>1</v>
      </c>
      <c r="AE190" s="8">
        <v>6</v>
      </c>
      <c r="AF190" s="8">
        <v>1</v>
      </c>
      <c r="AL190" s="8">
        <v>10</v>
      </c>
      <c r="AM190" s="8">
        <v>10</v>
      </c>
      <c r="AO190" s="8">
        <v>4</v>
      </c>
      <c r="AT190" s="8">
        <v>1</v>
      </c>
      <c r="AX190" s="8">
        <v>10</v>
      </c>
      <c r="BF190" s="8">
        <v>18</v>
      </c>
      <c r="BL190" s="29"/>
      <c r="BM190" s="8" t="s">
        <v>711</v>
      </c>
    </row>
    <row r="191" spans="1:65" ht="14.25" x14ac:dyDescent="0.2">
      <c r="A191" s="8" t="s">
        <v>1409</v>
      </c>
      <c r="B191" s="8" t="s">
        <v>1353</v>
      </c>
      <c r="G191" s="8" t="s">
        <v>1410</v>
      </c>
      <c r="I191" s="21">
        <v>41679</v>
      </c>
      <c r="K191" s="8">
        <v>200</v>
      </c>
      <c r="N191" s="8">
        <v>13</v>
      </c>
      <c r="R191" s="8">
        <v>2</v>
      </c>
      <c r="S191" s="8">
        <v>89</v>
      </c>
      <c r="Y191" s="8">
        <v>91</v>
      </c>
      <c r="AE191" s="8">
        <v>41</v>
      </c>
      <c r="AF191" s="8">
        <v>4</v>
      </c>
      <c r="AI191" s="8">
        <v>16</v>
      </c>
      <c r="AL191" s="8">
        <v>23</v>
      </c>
      <c r="AM191" s="8">
        <v>90</v>
      </c>
      <c r="AT191" s="8">
        <v>1</v>
      </c>
      <c r="AW191" s="8">
        <v>5</v>
      </c>
      <c r="AX191" s="8">
        <v>72</v>
      </c>
      <c r="BF191" s="8">
        <v>1</v>
      </c>
      <c r="BG191" s="8">
        <v>1</v>
      </c>
      <c r="BL191" s="29"/>
      <c r="BM191" s="8" t="s">
        <v>711</v>
      </c>
    </row>
    <row r="192" spans="1:65" ht="25.5" x14ac:dyDescent="0.2">
      <c r="A192" s="11" t="s">
        <v>111</v>
      </c>
      <c r="B192" s="11" t="s">
        <v>1411</v>
      </c>
      <c r="C192" s="11">
        <v>28.105329999999999</v>
      </c>
      <c r="D192" s="11">
        <v>-82.828379999999996</v>
      </c>
      <c r="E192" s="11">
        <v>28.12135</v>
      </c>
      <c r="F192" s="11">
        <v>-82.838719999999995</v>
      </c>
      <c r="G192" s="11" t="s">
        <v>1412</v>
      </c>
      <c r="H192" s="11" t="s">
        <v>1413</v>
      </c>
      <c r="I192" s="13">
        <v>41679</v>
      </c>
      <c r="J192" s="27">
        <v>0.40625</v>
      </c>
      <c r="K192" s="8">
        <v>10</v>
      </c>
      <c r="N192" s="8">
        <v>10</v>
      </c>
      <c r="R192" s="8">
        <v>300</v>
      </c>
      <c r="S192" s="8">
        <v>1</v>
      </c>
      <c r="W192" s="8">
        <v>8</v>
      </c>
      <c r="X192" s="14"/>
      <c r="Y192" s="11">
        <v>65</v>
      </c>
      <c r="Z192" s="8" t="s">
        <v>1414</v>
      </c>
      <c r="AD192" s="14"/>
      <c r="AE192" s="8">
        <v>62</v>
      </c>
      <c r="AF192" s="8">
        <v>9</v>
      </c>
      <c r="AG192" s="14"/>
      <c r="AI192" s="14"/>
      <c r="AJ192" s="8">
        <v>2</v>
      </c>
      <c r="AL192" s="11">
        <v>31</v>
      </c>
      <c r="AM192" s="8">
        <v>90</v>
      </c>
      <c r="AN192" s="14"/>
      <c r="AP192" s="8">
        <v>72</v>
      </c>
      <c r="AU192" s="8">
        <v>28</v>
      </c>
      <c r="AV192" s="11">
        <v>20</v>
      </c>
      <c r="AW192" s="11">
        <v>60</v>
      </c>
      <c r="AX192" s="8">
        <v>235</v>
      </c>
      <c r="AY192" s="8">
        <v>61</v>
      </c>
      <c r="BA192" s="8">
        <v>25</v>
      </c>
      <c r="BB192" s="8">
        <v>14</v>
      </c>
      <c r="BD192" s="8">
        <v>7</v>
      </c>
      <c r="BE192" s="8">
        <v>2</v>
      </c>
      <c r="BF192" s="8">
        <v>36</v>
      </c>
      <c r="BG192" s="8">
        <v>14</v>
      </c>
      <c r="BL192" s="19">
        <f t="shared" ref="BL192:BL218" si="19">SUM(K192:BK192)</f>
        <v>1162</v>
      </c>
      <c r="BM192" s="14"/>
    </row>
    <row r="193" spans="1:65" ht="36.75" customHeight="1" x14ac:dyDescent="0.2">
      <c r="A193" s="11" t="s">
        <v>1415</v>
      </c>
      <c r="B193" s="11" t="s">
        <v>1411</v>
      </c>
      <c r="C193" s="11" t="s">
        <v>1381</v>
      </c>
      <c r="D193" s="11" t="s">
        <v>1382</v>
      </c>
      <c r="E193" s="11" t="s">
        <v>1416</v>
      </c>
      <c r="F193" s="11" t="s">
        <v>1417</v>
      </c>
      <c r="G193" s="11" t="s">
        <v>1418</v>
      </c>
      <c r="H193" s="11" t="s">
        <v>1383</v>
      </c>
      <c r="I193" s="13">
        <v>41679</v>
      </c>
      <c r="J193" s="27">
        <v>0.49652777777777779</v>
      </c>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1">
        <v>2</v>
      </c>
      <c r="BG193" s="14"/>
      <c r="BH193" s="14"/>
      <c r="BI193" s="14"/>
      <c r="BJ193" s="14"/>
      <c r="BK193" s="14"/>
      <c r="BL193" s="19">
        <f t="shared" si="19"/>
        <v>2</v>
      </c>
      <c r="BM193" s="8" t="s">
        <v>1419</v>
      </c>
    </row>
    <row r="194" spans="1:65" ht="14.25" x14ac:dyDescent="0.2">
      <c r="A194" s="8" t="s">
        <v>1420</v>
      </c>
      <c r="B194" s="8" t="s">
        <v>1421</v>
      </c>
      <c r="C194" s="8">
        <v>26.987629999999999</v>
      </c>
      <c r="D194" s="8">
        <v>82.401129999999995</v>
      </c>
      <c r="E194" s="8">
        <v>27.010120000000001</v>
      </c>
      <c r="F194" s="8">
        <v>-82.412520000000001</v>
      </c>
      <c r="G194" s="8" t="s">
        <v>1422</v>
      </c>
      <c r="H194" s="8" t="s">
        <v>1423</v>
      </c>
      <c r="I194" s="21">
        <v>41678</v>
      </c>
      <c r="J194" s="8" t="s">
        <v>1424</v>
      </c>
      <c r="K194" s="8">
        <v>5</v>
      </c>
      <c r="N194" s="8">
        <v>2</v>
      </c>
      <c r="P194" s="8">
        <v>1</v>
      </c>
      <c r="R194" s="8">
        <v>4</v>
      </c>
      <c r="S194" s="8">
        <v>9</v>
      </c>
      <c r="AE194" s="8">
        <v>1</v>
      </c>
      <c r="AL194" s="8">
        <v>1</v>
      </c>
      <c r="AW194" s="8">
        <v>1</v>
      </c>
      <c r="AX194" s="8">
        <v>117</v>
      </c>
      <c r="BF194" s="8">
        <v>12</v>
      </c>
      <c r="BL194" s="19">
        <f t="shared" si="19"/>
        <v>153</v>
      </c>
      <c r="BM194" s="8" t="s">
        <v>1425</v>
      </c>
    </row>
    <row r="195" spans="1:65" ht="14.25" x14ac:dyDescent="0.2">
      <c r="A195" s="11" t="s">
        <v>1420</v>
      </c>
      <c r="B195" s="11" t="s">
        <v>1421</v>
      </c>
      <c r="C195" s="11">
        <v>27.036760000000001</v>
      </c>
      <c r="D195" s="11">
        <v>82.429379999999995</v>
      </c>
      <c r="E195" s="11">
        <v>27.01688</v>
      </c>
      <c r="F195" s="11">
        <v>-82.416640000000001</v>
      </c>
      <c r="G195" s="11" t="s">
        <v>1422</v>
      </c>
      <c r="H195" s="11" t="s">
        <v>1423</v>
      </c>
      <c r="I195" s="13">
        <v>41678</v>
      </c>
      <c r="J195" s="26" t="s">
        <v>1426</v>
      </c>
      <c r="N195" s="8">
        <v>1</v>
      </c>
      <c r="R195" s="8">
        <v>2</v>
      </c>
      <c r="S195" s="8">
        <v>4</v>
      </c>
      <c r="Y195" s="8">
        <v>1</v>
      </c>
      <c r="AE195" s="8">
        <v>1</v>
      </c>
      <c r="AG195" s="14"/>
      <c r="AI195" s="14"/>
      <c r="AL195" s="11">
        <v>5</v>
      </c>
      <c r="AN195" s="14"/>
      <c r="AV195" s="14"/>
      <c r="AW195" s="11">
        <v>5</v>
      </c>
      <c r="AX195" s="11">
        <v>14</v>
      </c>
      <c r="BF195" s="8">
        <v>10</v>
      </c>
      <c r="BI195" s="14"/>
      <c r="BL195" s="19">
        <f t="shared" si="19"/>
        <v>43</v>
      </c>
      <c r="BM195" s="8" t="s">
        <v>1425</v>
      </c>
    </row>
    <row r="196" spans="1:65" ht="25.5" x14ac:dyDescent="0.2">
      <c r="A196" s="11" t="s">
        <v>155</v>
      </c>
      <c r="B196" s="11" t="s">
        <v>1421</v>
      </c>
      <c r="C196" s="11">
        <v>27.009941999999999</v>
      </c>
      <c r="D196" s="11">
        <v>-82.412841</v>
      </c>
      <c r="E196" s="11">
        <v>27.016615000000002</v>
      </c>
      <c r="F196" s="11">
        <v>-82.416781999999998</v>
      </c>
      <c r="G196" s="11" t="s">
        <v>156</v>
      </c>
      <c r="H196" s="11" t="s">
        <v>1427</v>
      </c>
      <c r="I196" s="13">
        <v>41677</v>
      </c>
      <c r="J196" s="27">
        <v>0.35416666666666669</v>
      </c>
      <c r="L196" s="8">
        <v>1</v>
      </c>
      <c r="S196" s="8">
        <v>3</v>
      </c>
      <c r="W196" s="8">
        <v>2</v>
      </c>
      <c r="Y196" s="8">
        <v>12</v>
      </c>
      <c r="AE196" s="8">
        <v>9</v>
      </c>
      <c r="AF196" s="8">
        <v>40</v>
      </c>
      <c r="AG196" s="11">
        <v>3</v>
      </c>
      <c r="AI196" s="14"/>
      <c r="AL196" s="11">
        <v>1</v>
      </c>
      <c r="AN196" s="14"/>
      <c r="AO196" s="14"/>
      <c r="AW196" s="8">
        <v>11</v>
      </c>
      <c r="AX196" s="8">
        <v>124</v>
      </c>
      <c r="BL196" s="19">
        <f t="shared" si="19"/>
        <v>206</v>
      </c>
      <c r="BM196" s="8" t="s">
        <v>1428</v>
      </c>
    </row>
    <row r="197" spans="1:65" ht="16.5" customHeight="1" x14ac:dyDescent="0.2">
      <c r="A197" s="11" t="s">
        <v>1429</v>
      </c>
      <c r="B197" s="11" t="s">
        <v>1421</v>
      </c>
      <c r="C197" s="11">
        <v>27.15598</v>
      </c>
      <c r="D197" s="11" t="s">
        <v>1430</v>
      </c>
      <c r="E197" s="11">
        <v>27.144652000000001</v>
      </c>
      <c r="F197" s="11">
        <v>-82.320898</v>
      </c>
      <c r="G197" s="11" t="s">
        <v>1431</v>
      </c>
      <c r="H197" s="11" t="s">
        <v>1432</v>
      </c>
      <c r="I197" s="13">
        <v>41684</v>
      </c>
      <c r="J197" s="27">
        <v>0.30208333333333331</v>
      </c>
      <c r="K197" s="11"/>
      <c r="L197" s="11"/>
      <c r="M197" s="11"/>
      <c r="N197" s="11">
        <v>10</v>
      </c>
      <c r="O197" s="11"/>
      <c r="P197" s="11"/>
      <c r="Q197" s="11"/>
      <c r="R197" s="11">
        <v>9</v>
      </c>
      <c r="S197" s="11">
        <v>5</v>
      </c>
      <c r="T197" s="11"/>
      <c r="U197" s="11"/>
      <c r="V197" s="11"/>
      <c r="W197" s="11">
        <v>437</v>
      </c>
      <c r="X197" s="11"/>
      <c r="Y197" s="11">
        <v>193</v>
      </c>
      <c r="Z197" s="11">
        <v>2</v>
      </c>
      <c r="AA197" s="11"/>
      <c r="AB197" s="11"/>
      <c r="AC197" s="11"/>
      <c r="AD197" s="11"/>
      <c r="AE197" s="11">
        <v>73</v>
      </c>
      <c r="AF197" s="11">
        <v>7</v>
      </c>
      <c r="AG197" s="11"/>
      <c r="AH197" s="11"/>
      <c r="AI197" s="11"/>
      <c r="AJ197" s="11"/>
      <c r="AK197" s="11"/>
      <c r="AL197" s="11"/>
      <c r="AM197" s="11"/>
      <c r="AN197" s="11"/>
      <c r="AO197" s="11"/>
      <c r="AP197" s="11"/>
      <c r="AQ197" s="11"/>
      <c r="AR197" s="11"/>
      <c r="AS197" s="11"/>
      <c r="AT197" s="11"/>
      <c r="AU197" s="11"/>
      <c r="AV197" s="11"/>
      <c r="AW197" s="11"/>
      <c r="AX197" s="11">
        <v>16</v>
      </c>
      <c r="AY197" s="11"/>
      <c r="AZ197" s="11"/>
      <c r="BA197" s="11"/>
      <c r="BB197" s="11"/>
      <c r="BC197" s="11"/>
      <c r="BD197" s="11"/>
      <c r="BE197" s="11"/>
      <c r="BF197" s="11">
        <v>3</v>
      </c>
      <c r="BG197" s="11"/>
      <c r="BH197" s="11"/>
      <c r="BI197" s="11"/>
      <c r="BJ197" s="11"/>
      <c r="BK197" s="11"/>
      <c r="BL197" s="19">
        <f t="shared" si="19"/>
        <v>755</v>
      </c>
      <c r="BM197" s="8" t="s">
        <v>1433</v>
      </c>
    </row>
    <row r="198" spans="1:65" ht="14.25" x14ac:dyDescent="0.2">
      <c r="A198" s="11" t="s">
        <v>1420</v>
      </c>
      <c r="B198" s="11" t="s">
        <v>1421</v>
      </c>
      <c r="C198" s="11">
        <v>26.96247</v>
      </c>
      <c r="D198" s="11">
        <v>-82.384720000000002</v>
      </c>
      <c r="E198" s="11">
        <v>26.970510000000001</v>
      </c>
      <c r="F198" s="11">
        <v>-82.39049</v>
      </c>
      <c r="G198" s="11" t="s">
        <v>1434</v>
      </c>
      <c r="H198" s="11" t="s">
        <v>1435</v>
      </c>
      <c r="I198" s="10">
        <v>41684</v>
      </c>
      <c r="J198" s="27">
        <v>0.36458333333333331</v>
      </c>
      <c r="K198" s="8"/>
      <c r="L198" s="8"/>
      <c r="M198" s="8"/>
      <c r="N198" s="8"/>
      <c r="O198" s="8"/>
      <c r="P198" s="8"/>
      <c r="Q198" s="8"/>
      <c r="R198" s="8"/>
      <c r="S198" s="8"/>
      <c r="T198" s="8"/>
      <c r="U198" s="8"/>
      <c r="V198" s="8"/>
      <c r="W198" s="8"/>
      <c r="X198" s="8"/>
      <c r="Y198" s="11"/>
      <c r="Z198" s="8"/>
      <c r="AA198" s="8"/>
      <c r="AB198" s="8"/>
      <c r="AC198" s="8"/>
      <c r="AD198" s="8"/>
      <c r="AE198" s="11">
        <v>2</v>
      </c>
      <c r="AF198" s="8"/>
      <c r="AG198" s="11"/>
      <c r="AH198" s="8"/>
      <c r="AI198" s="11"/>
      <c r="AJ198" s="8"/>
      <c r="AK198" s="8"/>
      <c r="AL198" s="8"/>
      <c r="AM198" s="8"/>
      <c r="AN198" s="11"/>
      <c r="AO198" s="11"/>
      <c r="AP198" s="8"/>
      <c r="AQ198" s="8"/>
      <c r="AR198" s="8"/>
      <c r="AS198" s="8"/>
      <c r="AT198" s="8"/>
      <c r="AU198" s="8"/>
      <c r="AV198" s="8"/>
      <c r="AW198" s="8"/>
      <c r="AX198" s="8"/>
      <c r="AY198" s="8"/>
      <c r="AZ198" s="8"/>
      <c r="BA198" s="8"/>
      <c r="BB198" s="8"/>
      <c r="BC198" s="8"/>
      <c r="BD198" s="8"/>
      <c r="BE198" s="8"/>
      <c r="BF198" s="8"/>
      <c r="BG198" s="8"/>
      <c r="BH198" s="8"/>
      <c r="BI198" s="8"/>
      <c r="BJ198" s="8"/>
      <c r="BK198" s="8"/>
      <c r="BL198" s="19">
        <f t="shared" si="19"/>
        <v>2</v>
      </c>
      <c r="BM198" s="8" t="s">
        <v>1436</v>
      </c>
    </row>
    <row r="199" spans="1:65" ht="38.25" x14ac:dyDescent="0.2">
      <c r="A199" s="11" t="s">
        <v>1420</v>
      </c>
      <c r="B199" s="11" t="s">
        <v>1421</v>
      </c>
      <c r="C199" s="11">
        <v>26.970510000000001</v>
      </c>
      <c r="D199" s="11">
        <v>-82.39049</v>
      </c>
      <c r="E199" s="11">
        <v>26.978649999999998</v>
      </c>
      <c r="F199" s="11">
        <v>-82.393609999999995</v>
      </c>
      <c r="G199" s="11" t="s">
        <v>1434</v>
      </c>
      <c r="H199" s="11" t="s">
        <v>1435</v>
      </c>
      <c r="I199" s="13">
        <v>41684</v>
      </c>
      <c r="J199" s="27">
        <v>0.38541666666666669</v>
      </c>
      <c r="K199" s="11"/>
      <c r="L199" s="11"/>
      <c r="M199" s="11"/>
      <c r="N199" s="11"/>
      <c r="O199" s="11"/>
      <c r="P199" s="11"/>
      <c r="Q199" s="11"/>
      <c r="R199" s="11"/>
      <c r="S199" s="11"/>
      <c r="T199" s="11"/>
      <c r="U199" s="11"/>
      <c r="V199" s="11"/>
      <c r="W199" s="11"/>
      <c r="X199" s="11"/>
      <c r="Y199" s="11"/>
      <c r="Z199" s="11"/>
      <c r="AA199" s="11"/>
      <c r="AB199" s="11"/>
      <c r="AC199" s="11"/>
      <c r="AD199" s="11"/>
      <c r="AE199" s="11">
        <v>2</v>
      </c>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v>4</v>
      </c>
      <c r="BG199" s="11"/>
      <c r="BH199" s="11"/>
      <c r="BI199" s="11"/>
      <c r="BJ199" s="11"/>
      <c r="BK199" s="11"/>
      <c r="BL199" s="19">
        <f t="shared" si="19"/>
        <v>6</v>
      </c>
      <c r="BM199" s="11" t="s">
        <v>1437</v>
      </c>
    </row>
    <row r="200" spans="1:65" ht="14.25" x14ac:dyDescent="0.2">
      <c r="A200" s="11" t="s">
        <v>1420</v>
      </c>
      <c r="B200" s="11" t="s">
        <v>1421</v>
      </c>
      <c r="C200" s="11">
        <v>26.987590000000001</v>
      </c>
      <c r="D200" s="11">
        <v>82.401120000000006</v>
      </c>
      <c r="E200" s="11">
        <v>26.476890000000001</v>
      </c>
      <c r="F200" s="11">
        <v>82.396320000000003</v>
      </c>
      <c r="G200" s="11" t="s">
        <v>1438</v>
      </c>
      <c r="H200" s="11" t="s">
        <v>1423</v>
      </c>
      <c r="I200" s="13">
        <v>41684</v>
      </c>
      <c r="J200" s="27">
        <v>0.375</v>
      </c>
      <c r="N200" s="8">
        <v>3</v>
      </c>
      <c r="R200" s="8">
        <v>1</v>
      </c>
      <c r="S200" s="8">
        <v>5</v>
      </c>
      <c r="Y200" s="8">
        <v>2</v>
      </c>
      <c r="AG200" s="14"/>
      <c r="AI200" s="14"/>
      <c r="AL200" s="14"/>
      <c r="AN200" s="14"/>
      <c r="AO200" s="14"/>
      <c r="AQ200" s="14"/>
      <c r="AV200" s="14"/>
      <c r="AY200" s="14"/>
      <c r="BF200" s="8">
        <v>6</v>
      </c>
      <c r="BL200" s="19">
        <f t="shared" si="19"/>
        <v>17</v>
      </c>
      <c r="BM200" s="11" t="s">
        <v>1439</v>
      </c>
    </row>
    <row r="201" spans="1:65" ht="43.5" customHeight="1" x14ac:dyDescent="0.2">
      <c r="A201" s="11" t="s">
        <v>1420</v>
      </c>
      <c r="B201" s="11" t="s">
        <v>1421</v>
      </c>
      <c r="C201" s="11">
        <v>26.962399999999999</v>
      </c>
      <c r="D201" s="11">
        <v>82.384919999999994</v>
      </c>
      <c r="E201" s="11">
        <v>26.946269999999998</v>
      </c>
      <c r="F201" s="11">
        <v>82.37433</v>
      </c>
      <c r="G201" s="11" t="s">
        <v>1440</v>
      </c>
      <c r="H201" s="11" t="s">
        <v>1423</v>
      </c>
      <c r="I201" s="13">
        <v>41685</v>
      </c>
      <c r="J201" s="27">
        <v>0.375</v>
      </c>
      <c r="K201" s="14"/>
      <c r="L201" s="14"/>
      <c r="M201" s="14"/>
      <c r="N201" s="11">
        <v>7</v>
      </c>
      <c r="O201" s="14"/>
      <c r="P201" s="14"/>
      <c r="Q201" s="14"/>
      <c r="R201" s="11">
        <v>2</v>
      </c>
      <c r="S201" s="11">
        <v>5</v>
      </c>
      <c r="T201" s="14"/>
      <c r="U201" s="14"/>
      <c r="V201" s="14"/>
      <c r="W201" s="14"/>
      <c r="X201" s="14"/>
      <c r="Y201" s="14"/>
      <c r="Z201" s="14"/>
      <c r="AA201" s="14"/>
      <c r="AB201" s="14"/>
      <c r="AC201" s="14"/>
      <c r="AD201" s="14"/>
      <c r="AE201" s="11">
        <v>2</v>
      </c>
      <c r="AF201" s="14"/>
      <c r="AG201" s="14"/>
      <c r="AH201" s="14"/>
      <c r="AI201" s="14"/>
      <c r="AJ201" s="14"/>
      <c r="AK201" s="14"/>
      <c r="AL201" s="14"/>
      <c r="AM201" s="14"/>
      <c r="AN201" s="14"/>
      <c r="AO201" s="14"/>
      <c r="AP201" s="14"/>
      <c r="AQ201" s="14"/>
      <c r="AR201" s="14"/>
      <c r="AS201" s="14"/>
      <c r="AT201" s="14"/>
      <c r="AU201" s="14"/>
      <c r="AV201" s="14"/>
      <c r="AW201" s="14"/>
      <c r="AX201" s="11">
        <v>12</v>
      </c>
      <c r="AY201" s="14"/>
      <c r="AZ201" s="14"/>
      <c r="BA201" s="14"/>
      <c r="BB201" s="14"/>
      <c r="BC201" s="14"/>
      <c r="BD201" s="14"/>
      <c r="BE201" s="14"/>
      <c r="BF201" s="11">
        <v>27</v>
      </c>
      <c r="BG201" s="14"/>
      <c r="BH201" s="14"/>
      <c r="BI201" s="14"/>
      <c r="BJ201" s="14"/>
      <c r="BK201" s="14"/>
      <c r="BL201" s="19">
        <f t="shared" si="19"/>
        <v>55</v>
      </c>
      <c r="BM201" s="11" t="s">
        <v>1441</v>
      </c>
    </row>
    <row r="202" spans="1:65" ht="24" customHeight="1" x14ac:dyDescent="0.2">
      <c r="A202" s="11" t="s">
        <v>1442</v>
      </c>
      <c r="B202" s="11" t="s">
        <v>1421</v>
      </c>
      <c r="C202" s="11">
        <v>27.194600000000001</v>
      </c>
      <c r="D202" s="11">
        <v>-82.504900000000006</v>
      </c>
      <c r="E202" s="11">
        <v>27.154399999999999</v>
      </c>
      <c r="F202" s="11">
        <v>-82.483699999999999</v>
      </c>
      <c r="G202" s="11" t="s">
        <v>1443</v>
      </c>
      <c r="H202" s="11" t="s">
        <v>1444</v>
      </c>
      <c r="I202" s="13">
        <v>41684</v>
      </c>
      <c r="J202" s="27">
        <v>0.73611111111111116</v>
      </c>
      <c r="K202" s="14"/>
      <c r="L202" s="14"/>
      <c r="M202" s="14"/>
      <c r="N202" s="11">
        <v>8</v>
      </c>
      <c r="O202" s="14"/>
      <c r="P202" s="14"/>
      <c r="Q202" s="11">
        <v>2</v>
      </c>
      <c r="R202" s="14"/>
      <c r="S202" s="14"/>
      <c r="T202" s="14"/>
      <c r="U202" s="14"/>
      <c r="V202" s="14"/>
      <c r="W202" s="14"/>
      <c r="X202" s="14"/>
      <c r="Y202" s="14"/>
      <c r="Z202" s="14"/>
      <c r="AA202" s="14"/>
      <c r="AB202" s="14"/>
      <c r="AC202" s="14"/>
      <c r="AD202" s="14"/>
      <c r="AE202" s="14"/>
      <c r="AF202" s="14"/>
      <c r="AG202" s="14"/>
      <c r="AH202" s="14"/>
      <c r="AI202" s="14"/>
      <c r="AJ202" s="14"/>
      <c r="AK202" s="14"/>
      <c r="AL202" s="11">
        <v>8</v>
      </c>
      <c r="AM202" s="14"/>
      <c r="AN202" s="14"/>
      <c r="AO202" s="14"/>
      <c r="AP202" s="14"/>
      <c r="AQ202" s="14"/>
      <c r="AR202" s="14"/>
      <c r="AS202" s="14"/>
      <c r="AU202" s="14"/>
      <c r="AV202" s="14"/>
      <c r="AW202" s="14"/>
      <c r="AX202" s="11">
        <v>86</v>
      </c>
      <c r="AY202" s="14"/>
      <c r="AZ202" s="14"/>
      <c r="BA202" s="14"/>
      <c r="BB202" s="14"/>
      <c r="BC202" s="14"/>
      <c r="BD202" s="14"/>
      <c r="BE202" s="14"/>
      <c r="BF202" s="11">
        <v>16</v>
      </c>
      <c r="BG202" s="14"/>
      <c r="BH202" s="14"/>
      <c r="BI202" s="14"/>
      <c r="BJ202" s="14"/>
      <c r="BK202" s="14"/>
      <c r="BL202" s="19">
        <f t="shared" si="19"/>
        <v>120</v>
      </c>
    </row>
    <row r="203" spans="1:65" ht="1.5" customHeight="1" x14ac:dyDescent="0.2">
      <c r="A203" s="8" t="s">
        <v>1445</v>
      </c>
      <c r="B203" s="8" t="s">
        <v>1421</v>
      </c>
      <c r="C203" s="8">
        <v>27.219838328000002</v>
      </c>
      <c r="D203" s="8">
        <v>-82.517775647999997</v>
      </c>
      <c r="E203" s="8">
        <v>27.235811921</v>
      </c>
      <c r="F203" s="8">
        <v>-82.526380916999997</v>
      </c>
      <c r="G203" s="8" t="s">
        <v>1446</v>
      </c>
      <c r="H203" s="8" t="s">
        <v>1447</v>
      </c>
      <c r="I203" s="21">
        <v>41684</v>
      </c>
      <c r="J203" s="23">
        <v>0.36458333333333331</v>
      </c>
      <c r="AX203" s="8">
        <v>4</v>
      </c>
      <c r="BF203" s="8">
        <v>12</v>
      </c>
      <c r="BL203" s="19">
        <f t="shared" si="19"/>
        <v>16</v>
      </c>
    </row>
    <row r="204" spans="1:65" ht="14.25" x14ac:dyDescent="0.2">
      <c r="A204" s="8" t="s">
        <v>1445</v>
      </c>
      <c r="B204" s="8" t="s">
        <v>1421</v>
      </c>
      <c r="C204" s="8">
        <v>27.220091844999999</v>
      </c>
      <c r="D204" s="8">
        <v>-82.517902336000006</v>
      </c>
      <c r="E204" s="8">
        <v>27.210461866999999</v>
      </c>
      <c r="F204" s="8">
        <v>-82.513361670999998</v>
      </c>
      <c r="G204" s="8" t="s">
        <v>1446</v>
      </c>
      <c r="H204" s="8" t="s">
        <v>1447</v>
      </c>
      <c r="I204" s="21">
        <v>41684</v>
      </c>
      <c r="J204" s="23">
        <v>0.4513888888888889</v>
      </c>
      <c r="Y204" s="8">
        <v>1</v>
      </c>
      <c r="AE204" s="8">
        <v>1</v>
      </c>
      <c r="BF204" s="8">
        <v>28</v>
      </c>
      <c r="BL204" s="19">
        <f t="shared" si="19"/>
        <v>30</v>
      </c>
    </row>
    <row r="205" spans="1:65" ht="25.5" x14ac:dyDescent="0.2">
      <c r="A205" s="8" t="s">
        <v>1448</v>
      </c>
      <c r="B205" s="8" t="s">
        <v>1421</v>
      </c>
      <c r="C205" s="8">
        <v>27.154399999999999</v>
      </c>
      <c r="D205" s="8">
        <v>82.483699999999999</v>
      </c>
      <c r="G205" s="8" t="s">
        <v>931</v>
      </c>
      <c r="H205" s="8" t="s">
        <v>1449</v>
      </c>
      <c r="I205" s="21">
        <v>41686</v>
      </c>
      <c r="J205" s="23">
        <v>0.30902777777777779</v>
      </c>
      <c r="K205" s="8">
        <v>151</v>
      </c>
      <c r="L205" s="8">
        <v>1</v>
      </c>
      <c r="N205" s="8">
        <v>18</v>
      </c>
      <c r="R205" s="8">
        <v>2</v>
      </c>
      <c r="S205" s="8">
        <v>9</v>
      </c>
      <c r="W205" s="8">
        <v>1</v>
      </c>
      <c r="Y205" s="8">
        <v>121</v>
      </c>
      <c r="AE205" s="8">
        <v>78</v>
      </c>
      <c r="AF205" s="8">
        <v>12</v>
      </c>
      <c r="AX205" s="8">
        <v>136</v>
      </c>
      <c r="BF205" s="8">
        <v>11</v>
      </c>
      <c r="BL205" s="19">
        <f t="shared" si="19"/>
        <v>540</v>
      </c>
      <c r="BM205" s="8" t="s">
        <v>1450</v>
      </c>
    </row>
    <row r="206" spans="1:65" ht="14.25" x14ac:dyDescent="0.2">
      <c r="A206" s="8" t="s">
        <v>1451</v>
      </c>
      <c r="B206" s="8" t="s">
        <v>1421</v>
      </c>
      <c r="C206" s="8">
        <v>27.307980000000001</v>
      </c>
      <c r="D206" s="8">
        <v>-82.565100000000001</v>
      </c>
      <c r="E206" s="8">
        <v>27.32527</v>
      </c>
      <c r="F206" s="8">
        <v>-82.588310000000007</v>
      </c>
      <c r="G206" s="8" t="s">
        <v>1452</v>
      </c>
      <c r="H206" s="8" t="s">
        <v>1195</v>
      </c>
      <c r="I206" s="21">
        <v>41681</v>
      </c>
      <c r="J206" s="8">
        <v>700</v>
      </c>
      <c r="N206" s="8">
        <v>7</v>
      </c>
      <c r="R206" s="8">
        <v>4</v>
      </c>
      <c r="W206" s="8">
        <v>17</v>
      </c>
      <c r="Y206" s="8">
        <v>41</v>
      </c>
      <c r="Z206" s="8">
        <v>1</v>
      </c>
      <c r="AE206" s="8">
        <v>41</v>
      </c>
      <c r="AF206" s="8">
        <v>5</v>
      </c>
      <c r="AX206" s="8">
        <v>2</v>
      </c>
      <c r="BF206" s="8">
        <v>12</v>
      </c>
      <c r="BL206" s="19">
        <f t="shared" si="19"/>
        <v>130</v>
      </c>
      <c r="BM206" s="8" t="s">
        <v>513</v>
      </c>
    </row>
    <row r="207" spans="1:65" ht="25.5" x14ac:dyDescent="0.2">
      <c r="A207" s="8" t="s">
        <v>1009</v>
      </c>
      <c r="B207" s="8" t="s">
        <v>1421</v>
      </c>
      <c r="C207" s="8">
        <v>27.32846</v>
      </c>
      <c r="D207" s="8">
        <v>-82.588949999999997</v>
      </c>
      <c r="E207" s="8">
        <v>27.38926</v>
      </c>
      <c r="F207" s="8">
        <v>-82.642600000000002</v>
      </c>
      <c r="G207" s="8" t="s">
        <v>1453</v>
      </c>
      <c r="H207" s="8" t="s">
        <v>1195</v>
      </c>
      <c r="I207" s="21">
        <v>41680</v>
      </c>
      <c r="J207" s="8">
        <v>700</v>
      </c>
      <c r="K207" s="8">
        <v>120</v>
      </c>
      <c r="N207" s="8">
        <v>32</v>
      </c>
      <c r="R207" s="8">
        <v>21</v>
      </c>
      <c r="S207" s="8">
        <v>23</v>
      </c>
      <c r="W207" s="8">
        <v>6</v>
      </c>
      <c r="Y207" s="8">
        <v>119</v>
      </c>
      <c r="Z207" s="8">
        <v>4</v>
      </c>
      <c r="AE207" s="8">
        <v>44</v>
      </c>
      <c r="AF207" s="8">
        <v>14</v>
      </c>
      <c r="AL207" s="8">
        <v>6</v>
      </c>
      <c r="AV207" s="8">
        <v>210</v>
      </c>
      <c r="AW207" s="8">
        <v>2</v>
      </c>
      <c r="AX207" s="8">
        <v>11</v>
      </c>
      <c r="BF207" s="8">
        <v>46</v>
      </c>
      <c r="BL207" s="19">
        <f t="shared" si="19"/>
        <v>658</v>
      </c>
      <c r="BM207" s="8" t="s">
        <v>513</v>
      </c>
    </row>
    <row r="208" spans="1:65" ht="25.5" x14ac:dyDescent="0.2">
      <c r="A208" s="8" t="s">
        <v>1454</v>
      </c>
      <c r="B208" s="8" t="s">
        <v>1421</v>
      </c>
      <c r="C208" s="8">
        <v>27.036760000000001</v>
      </c>
      <c r="D208" s="8">
        <v>-82.429379999999995</v>
      </c>
      <c r="E208" s="8">
        <v>27.055</v>
      </c>
      <c r="F208" s="8">
        <v>-82.441800000000001</v>
      </c>
      <c r="G208" s="8" t="s">
        <v>1455</v>
      </c>
      <c r="H208" s="8" t="s">
        <v>1456</v>
      </c>
      <c r="I208" s="21">
        <v>41685</v>
      </c>
      <c r="J208" s="8">
        <v>800</v>
      </c>
      <c r="AW208" s="8">
        <v>17</v>
      </c>
      <c r="AX208" s="8">
        <v>1</v>
      </c>
      <c r="BF208" s="8">
        <v>2</v>
      </c>
      <c r="BL208" s="19">
        <f t="shared" si="19"/>
        <v>20</v>
      </c>
      <c r="BM208" s="8" t="s">
        <v>1457</v>
      </c>
    </row>
    <row r="209" spans="1:65" ht="25.5" x14ac:dyDescent="0.2">
      <c r="A209" s="11" t="s">
        <v>129</v>
      </c>
      <c r="B209" s="11" t="s">
        <v>1458</v>
      </c>
      <c r="C209" s="11">
        <v>29.704376</v>
      </c>
      <c r="D209" s="11">
        <v>-81.227159999999998</v>
      </c>
      <c r="E209" s="11">
        <v>29.67127</v>
      </c>
      <c r="F209" s="11">
        <v>-81.213727000000006</v>
      </c>
      <c r="G209" s="11" t="s">
        <v>1459</v>
      </c>
      <c r="H209" s="11" t="s">
        <v>1460</v>
      </c>
      <c r="I209" s="13">
        <v>41677</v>
      </c>
      <c r="J209" s="27">
        <v>0.375</v>
      </c>
      <c r="K209" s="8">
        <v>881</v>
      </c>
      <c r="L209" s="8">
        <v>3</v>
      </c>
      <c r="N209" s="8">
        <v>25</v>
      </c>
      <c r="P209" s="8">
        <v>1</v>
      </c>
      <c r="R209" s="8">
        <v>24</v>
      </c>
      <c r="S209" s="8">
        <v>149</v>
      </c>
      <c r="W209" s="8">
        <v>11</v>
      </c>
      <c r="Y209" s="8">
        <v>75</v>
      </c>
      <c r="AA209" s="8">
        <v>3</v>
      </c>
      <c r="AE209" s="8">
        <v>78</v>
      </c>
      <c r="AF209" s="8">
        <v>188</v>
      </c>
      <c r="AG209" s="11">
        <v>1</v>
      </c>
      <c r="AL209" s="14"/>
      <c r="AN209" s="14"/>
      <c r="AO209" s="8">
        <v>1</v>
      </c>
      <c r="AV209" s="8">
        <v>8</v>
      </c>
      <c r="AW209" s="8">
        <v>1</v>
      </c>
      <c r="AX209" s="8">
        <v>25</v>
      </c>
      <c r="BF209" s="8">
        <v>5</v>
      </c>
      <c r="BL209" s="19">
        <f t="shared" si="19"/>
        <v>1479</v>
      </c>
      <c r="BM209" s="11" t="s">
        <v>1461</v>
      </c>
    </row>
    <row r="210" spans="1:65" ht="25.5" x14ac:dyDescent="0.2">
      <c r="A210" s="11" t="s">
        <v>250</v>
      </c>
      <c r="B210" s="11" t="s">
        <v>1462</v>
      </c>
      <c r="C210" s="11">
        <v>29.924099999999999</v>
      </c>
      <c r="D210" s="11">
        <v>-81.293400000000005</v>
      </c>
      <c r="E210" s="11">
        <v>29.910499999999999</v>
      </c>
      <c r="F210" s="11">
        <v>-81.294600000000003</v>
      </c>
      <c r="G210" s="11" t="s">
        <v>251</v>
      </c>
      <c r="H210" s="11" t="s">
        <v>1463</v>
      </c>
      <c r="I210" s="21">
        <v>41677</v>
      </c>
      <c r="J210" s="27">
        <v>0.34375</v>
      </c>
      <c r="K210" s="8">
        <v>28</v>
      </c>
      <c r="L210" s="8">
        <v>121</v>
      </c>
      <c r="M210" s="8"/>
      <c r="N210" s="8">
        <v>2</v>
      </c>
      <c r="O210" s="8"/>
      <c r="P210" s="8"/>
      <c r="Q210" s="8"/>
      <c r="R210" s="8">
        <v>3</v>
      </c>
      <c r="S210" s="8">
        <v>189</v>
      </c>
      <c r="T210" s="8"/>
      <c r="U210" s="8"/>
      <c r="V210" s="8"/>
      <c r="W210" s="8"/>
      <c r="X210" s="8"/>
      <c r="Y210" s="8">
        <v>13</v>
      </c>
      <c r="Z210" s="8"/>
      <c r="AA210" s="8">
        <v>2</v>
      </c>
      <c r="AB210" s="8"/>
      <c r="AC210" s="8"/>
      <c r="AD210" s="8"/>
      <c r="AE210" s="8">
        <v>79</v>
      </c>
      <c r="AF210" s="8">
        <v>2</v>
      </c>
      <c r="AG210" s="11"/>
      <c r="AH210" s="11"/>
      <c r="AI210" s="8"/>
      <c r="AJ210" s="8"/>
      <c r="AK210" s="8"/>
      <c r="AL210" s="8"/>
      <c r="AM210" s="8"/>
      <c r="AN210" s="11"/>
      <c r="AO210" s="8"/>
      <c r="AP210" s="8"/>
      <c r="AQ210" s="8"/>
      <c r="AR210" s="8"/>
      <c r="AS210" s="8"/>
      <c r="AT210" s="8"/>
      <c r="AU210" s="8"/>
      <c r="AV210" s="8"/>
      <c r="AW210" s="8">
        <v>8</v>
      </c>
      <c r="AX210" s="8">
        <v>29</v>
      </c>
      <c r="AY210" s="8"/>
      <c r="AZ210" s="8"/>
      <c r="BA210" s="8"/>
      <c r="BB210" s="8"/>
      <c r="BC210" s="8"/>
      <c r="BD210" s="8"/>
      <c r="BE210" s="8"/>
      <c r="BF210" s="8">
        <v>7</v>
      </c>
      <c r="BG210" s="8"/>
      <c r="BH210" s="8"/>
      <c r="BI210" s="8"/>
      <c r="BJ210" s="8"/>
      <c r="BK210" s="8"/>
      <c r="BL210" s="19">
        <f t="shared" si="19"/>
        <v>483</v>
      </c>
      <c r="BM210" s="8" t="s">
        <v>1464</v>
      </c>
    </row>
    <row r="211" spans="1:65" ht="28.5" customHeight="1" x14ac:dyDescent="0.2">
      <c r="A211" s="11" t="s">
        <v>1465</v>
      </c>
      <c r="B211" s="11" t="s">
        <v>1462</v>
      </c>
      <c r="C211" s="11">
        <v>29.9404</v>
      </c>
      <c r="D211" s="11">
        <v>-81.314800000000005</v>
      </c>
      <c r="E211" s="11">
        <v>29.924399999999999</v>
      </c>
      <c r="F211" s="11">
        <v>-81.293800000000005</v>
      </c>
      <c r="G211" s="11" t="s">
        <v>254</v>
      </c>
      <c r="H211" s="11" t="s">
        <v>1463</v>
      </c>
      <c r="I211" s="10">
        <v>41680</v>
      </c>
      <c r="J211" s="27">
        <v>0.34375</v>
      </c>
      <c r="K211" s="11">
        <v>15</v>
      </c>
      <c r="L211" s="11">
        <v>2</v>
      </c>
      <c r="M211" s="11"/>
      <c r="N211" s="11"/>
      <c r="O211" s="11"/>
      <c r="P211" s="11"/>
      <c r="Q211" s="11"/>
      <c r="R211" s="11">
        <v>6</v>
      </c>
      <c r="S211" s="11">
        <v>138</v>
      </c>
      <c r="T211" s="11"/>
      <c r="U211" s="11"/>
      <c r="V211" s="11"/>
      <c r="W211" s="11">
        <v>1</v>
      </c>
      <c r="X211" s="11"/>
      <c r="Y211" s="11">
        <v>30</v>
      </c>
      <c r="Z211" s="11"/>
      <c r="AA211" s="11">
        <v>18</v>
      </c>
      <c r="AB211" s="11"/>
      <c r="AC211" s="11"/>
      <c r="AD211" s="11"/>
      <c r="AE211" s="11">
        <v>198</v>
      </c>
      <c r="AF211" s="11">
        <v>9</v>
      </c>
      <c r="AG211" s="11"/>
      <c r="AH211" s="11"/>
      <c r="AI211" s="11"/>
      <c r="AJ211" s="11"/>
      <c r="AK211" s="11"/>
      <c r="AL211" s="11"/>
      <c r="AM211" s="11"/>
      <c r="AN211" s="11"/>
      <c r="AO211" s="11"/>
      <c r="AP211" s="11"/>
      <c r="AQ211" s="11"/>
      <c r="AR211" s="11"/>
      <c r="AS211" s="11"/>
      <c r="AT211" s="14"/>
      <c r="AU211" s="14"/>
      <c r="AV211" s="14"/>
      <c r="AW211" s="11">
        <v>11</v>
      </c>
      <c r="AX211" s="11">
        <v>28</v>
      </c>
      <c r="AY211" s="11"/>
      <c r="AZ211" s="11"/>
      <c r="BA211" s="11"/>
      <c r="BB211" s="11"/>
      <c r="BC211" s="11"/>
      <c r="BD211" s="11"/>
      <c r="BE211" s="11"/>
      <c r="BF211" s="11">
        <v>22</v>
      </c>
      <c r="BG211" s="11"/>
      <c r="BH211" s="11"/>
      <c r="BI211" s="11"/>
      <c r="BJ211" s="11"/>
      <c r="BK211" s="11"/>
      <c r="BL211" s="19">
        <f t="shared" si="19"/>
        <v>478</v>
      </c>
      <c r="BM211" s="14"/>
    </row>
    <row r="212" spans="1:65" ht="42.75" customHeight="1" x14ac:dyDescent="0.2">
      <c r="A212" s="11" t="s">
        <v>1466</v>
      </c>
      <c r="B212" s="11" t="s">
        <v>1467</v>
      </c>
      <c r="C212" s="11">
        <v>29.84451</v>
      </c>
      <c r="D212" s="11">
        <v>-81.264579999999995</v>
      </c>
      <c r="E212" s="11">
        <v>29.718129999999999</v>
      </c>
      <c r="F212" s="11">
        <v>-81.230410000000006</v>
      </c>
      <c r="G212" s="11" t="s">
        <v>103</v>
      </c>
      <c r="H212" s="11" t="s">
        <v>1468</v>
      </c>
      <c r="I212" s="13">
        <v>41677</v>
      </c>
      <c r="J212" s="27">
        <v>0.34027777777777779</v>
      </c>
      <c r="K212" s="11">
        <v>7</v>
      </c>
      <c r="L212" s="8">
        <v>12</v>
      </c>
      <c r="N212" s="8">
        <v>17</v>
      </c>
      <c r="R212" s="8">
        <v>1</v>
      </c>
      <c r="S212" s="8">
        <v>294</v>
      </c>
      <c r="V212" s="8">
        <v>1</v>
      </c>
      <c r="W212" s="8">
        <v>4</v>
      </c>
      <c r="Y212" s="11">
        <v>20</v>
      </c>
      <c r="Z212" s="8">
        <v>1</v>
      </c>
      <c r="AA212" s="8">
        <v>27</v>
      </c>
      <c r="AB212" s="14"/>
      <c r="AC212" s="14"/>
      <c r="AE212" s="11">
        <v>197</v>
      </c>
      <c r="AF212" s="8">
        <v>96</v>
      </c>
      <c r="AG212" s="14"/>
      <c r="AI212" s="14"/>
      <c r="AL212" s="14"/>
      <c r="AN212" s="14"/>
      <c r="AO212" s="14"/>
      <c r="AU212" s="14"/>
      <c r="AV212" s="11">
        <v>13</v>
      </c>
      <c r="AW212" s="11">
        <v>8</v>
      </c>
      <c r="AX212" s="11">
        <v>91</v>
      </c>
      <c r="AY212" s="14"/>
      <c r="AZ212" s="14"/>
      <c r="BA212" s="14"/>
      <c r="BB212" s="14"/>
      <c r="BC212" s="14"/>
      <c r="BD212" s="14"/>
      <c r="BE212" s="14"/>
      <c r="BF212" s="11">
        <v>8</v>
      </c>
      <c r="BG212" s="14"/>
      <c r="BH212" s="14"/>
      <c r="BI212" s="14"/>
      <c r="BK212" s="14"/>
      <c r="BL212" s="19">
        <f t="shared" si="19"/>
        <v>797</v>
      </c>
      <c r="BM212" s="8" t="s">
        <v>1469</v>
      </c>
    </row>
    <row r="213" spans="1:65" ht="38.25" x14ac:dyDescent="0.2">
      <c r="A213" s="8" t="s">
        <v>1470</v>
      </c>
      <c r="B213" s="8" t="s">
        <v>1467</v>
      </c>
      <c r="C213" s="8">
        <v>29.797519999999999</v>
      </c>
      <c r="D213" s="8">
        <v>-81.271630000000002</v>
      </c>
      <c r="E213" s="8">
        <v>29.797519999999999</v>
      </c>
      <c r="F213" s="8">
        <v>-81.271630000000002</v>
      </c>
      <c r="G213" s="8" t="s">
        <v>106</v>
      </c>
      <c r="H213" s="8" t="s">
        <v>1468</v>
      </c>
      <c r="I213" s="21">
        <v>41677</v>
      </c>
      <c r="J213" s="23">
        <v>7.6388888888888895E-2</v>
      </c>
      <c r="R213" s="8">
        <v>10</v>
      </c>
      <c r="AE213" s="8">
        <v>1</v>
      </c>
      <c r="AI213" s="8">
        <v>18</v>
      </c>
      <c r="AJ213" s="8">
        <v>12</v>
      </c>
      <c r="AL213" s="8">
        <v>14</v>
      </c>
      <c r="AM213" s="8">
        <v>150</v>
      </c>
      <c r="AY213" s="8">
        <v>112</v>
      </c>
      <c r="BA213" s="8">
        <v>650</v>
      </c>
      <c r="BL213" s="19">
        <f t="shared" si="19"/>
        <v>967</v>
      </c>
      <c r="BM213" s="8" t="s">
        <v>1471</v>
      </c>
    </row>
    <row r="214" spans="1:65" ht="42.75" customHeight="1" x14ac:dyDescent="0.2">
      <c r="A214" s="11" t="s">
        <v>1472</v>
      </c>
      <c r="B214" s="11" t="s">
        <v>1467</v>
      </c>
      <c r="C214" s="20">
        <v>29.79081</v>
      </c>
      <c r="D214" s="11">
        <v>-81.269139999999993</v>
      </c>
      <c r="E214" s="11">
        <v>29.79081</v>
      </c>
      <c r="F214" s="11">
        <v>-81.269139999999993</v>
      </c>
      <c r="G214" s="11" t="s">
        <v>106</v>
      </c>
      <c r="H214" s="11" t="s">
        <v>1468</v>
      </c>
      <c r="I214" s="13">
        <v>41677</v>
      </c>
      <c r="J214" s="27">
        <v>9.7222222222222224E-2</v>
      </c>
      <c r="K214" s="14"/>
      <c r="L214" s="14"/>
      <c r="M214" s="14"/>
      <c r="N214" s="11">
        <v>8</v>
      </c>
      <c r="O214" s="14"/>
      <c r="P214" s="11">
        <v>1</v>
      </c>
      <c r="Q214" s="14"/>
      <c r="R214" s="11">
        <v>10</v>
      </c>
      <c r="S214" s="11">
        <v>1</v>
      </c>
      <c r="T214" s="14"/>
      <c r="U214" s="14"/>
      <c r="V214" s="14"/>
      <c r="W214" s="14"/>
      <c r="X214" s="14"/>
      <c r="Y214" s="14"/>
      <c r="Z214" s="14"/>
      <c r="AA214" s="14"/>
      <c r="AB214" s="14"/>
      <c r="AC214" s="14"/>
      <c r="AD214" s="14"/>
      <c r="AE214" s="11">
        <v>38</v>
      </c>
      <c r="AF214" s="11">
        <v>1</v>
      </c>
      <c r="AG214" s="14"/>
      <c r="AH214" s="14"/>
      <c r="AI214" s="14"/>
      <c r="AJ214" s="14"/>
      <c r="AK214" s="14"/>
      <c r="AL214" s="14"/>
      <c r="AM214" s="11">
        <v>14</v>
      </c>
      <c r="AN214" s="11">
        <v>2</v>
      </c>
      <c r="AO214" s="14"/>
      <c r="AP214" s="14"/>
      <c r="AQ214" s="14"/>
      <c r="AR214" s="14"/>
      <c r="AS214" s="14"/>
      <c r="AT214" s="14"/>
      <c r="AU214" s="14"/>
      <c r="AV214" s="14"/>
      <c r="AW214" s="11">
        <v>1</v>
      </c>
      <c r="AX214" s="14"/>
      <c r="AY214" s="14"/>
      <c r="AZ214" s="14"/>
      <c r="BA214" s="11">
        <v>35</v>
      </c>
      <c r="BB214" s="14"/>
      <c r="BC214" s="14"/>
      <c r="BD214" s="14"/>
      <c r="BE214" s="11">
        <v>17</v>
      </c>
      <c r="BF214" s="14"/>
      <c r="BG214" s="14"/>
      <c r="BH214" s="14"/>
      <c r="BI214" s="11" t="s">
        <v>1473</v>
      </c>
      <c r="BJ214" s="14"/>
      <c r="BK214" s="14"/>
      <c r="BL214" s="19">
        <f t="shared" si="19"/>
        <v>128</v>
      </c>
      <c r="BM214" s="8" t="s">
        <v>1474</v>
      </c>
    </row>
    <row r="215" spans="1:65" ht="38.25" x14ac:dyDescent="0.2">
      <c r="A215" s="11" t="s">
        <v>1475</v>
      </c>
      <c r="B215" s="11" t="s">
        <v>1467</v>
      </c>
      <c r="C215" s="11">
        <v>29.844607113999999</v>
      </c>
      <c r="D215" s="11">
        <v>81.265917419999994</v>
      </c>
      <c r="E215" s="11">
        <v>29.8594303</v>
      </c>
      <c r="F215" s="11">
        <v>81.267036959999999</v>
      </c>
      <c r="G215" s="11" t="s">
        <v>1476</v>
      </c>
      <c r="H215" s="11" t="s">
        <v>1477</v>
      </c>
      <c r="I215" s="13">
        <v>41681</v>
      </c>
      <c r="J215" s="27">
        <v>0.33333333333333331</v>
      </c>
      <c r="K215" s="11">
        <v>5</v>
      </c>
      <c r="L215" s="11">
        <v>12</v>
      </c>
      <c r="M215" s="11"/>
      <c r="N215" s="11">
        <v>12</v>
      </c>
      <c r="O215" s="11"/>
      <c r="P215" s="11"/>
      <c r="Q215" s="11"/>
      <c r="R215" s="11">
        <v>5</v>
      </c>
      <c r="S215" s="11">
        <v>192</v>
      </c>
      <c r="T215" s="11"/>
      <c r="U215" s="11"/>
      <c r="V215" s="11">
        <v>1</v>
      </c>
      <c r="W215" s="11">
        <v>1</v>
      </c>
      <c r="X215" s="11"/>
      <c r="Y215" s="11">
        <v>296</v>
      </c>
      <c r="Z215" s="11"/>
      <c r="AA215" s="11">
        <v>116</v>
      </c>
      <c r="AB215" s="11"/>
      <c r="AC215" s="11"/>
      <c r="AD215" s="11"/>
      <c r="AE215" s="11">
        <v>243</v>
      </c>
      <c r="AF215" s="11">
        <v>15</v>
      </c>
      <c r="AG215" s="11"/>
      <c r="AH215" s="11"/>
      <c r="AI215" s="11"/>
      <c r="AJ215" s="11"/>
      <c r="AK215" s="11"/>
      <c r="AL215" s="11"/>
      <c r="AM215" s="11"/>
      <c r="AN215" s="11"/>
      <c r="AO215" s="11"/>
      <c r="AP215" s="11"/>
      <c r="AQ215" s="11"/>
      <c r="AR215" s="11"/>
      <c r="AS215" s="11"/>
      <c r="AT215" s="11"/>
      <c r="AU215" s="11"/>
      <c r="AV215" s="11"/>
      <c r="AW215" s="11">
        <v>39</v>
      </c>
      <c r="AX215" s="11">
        <v>10</v>
      </c>
      <c r="AY215" s="11"/>
      <c r="AZ215" s="11"/>
      <c r="BA215" s="11"/>
      <c r="BB215" s="11"/>
      <c r="BC215" s="11"/>
      <c r="BD215" s="11">
        <v>1</v>
      </c>
      <c r="BE215" s="11"/>
      <c r="BF215" s="11">
        <v>1</v>
      </c>
      <c r="BG215" s="11"/>
      <c r="BH215" s="11"/>
      <c r="BI215" s="11"/>
      <c r="BJ215" s="11"/>
      <c r="BK215" s="11"/>
      <c r="BL215" s="19">
        <f t="shared" si="19"/>
        <v>949</v>
      </c>
      <c r="BM215" s="8" t="s">
        <v>1478</v>
      </c>
    </row>
    <row r="216" spans="1:65" ht="28.5" customHeight="1" x14ac:dyDescent="0.2">
      <c r="A216" s="11" t="s">
        <v>1479</v>
      </c>
      <c r="B216" s="11" t="s">
        <v>1467</v>
      </c>
      <c r="C216" s="11">
        <v>29.9404</v>
      </c>
      <c r="D216" s="11">
        <v>-81.314800000000005</v>
      </c>
      <c r="E216" s="11">
        <v>29.924399999999999</v>
      </c>
      <c r="F216" s="11">
        <v>-81.346903999999995</v>
      </c>
      <c r="G216" s="11" t="s">
        <v>1480</v>
      </c>
      <c r="H216" s="11" t="s">
        <v>1481</v>
      </c>
      <c r="I216" s="10">
        <v>41684</v>
      </c>
      <c r="J216" s="27">
        <v>0.47916666666666669</v>
      </c>
      <c r="K216" s="11">
        <v>73</v>
      </c>
      <c r="L216" s="11">
        <v>5</v>
      </c>
      <c r="M216" s="14"/>
      <c r="N216" s="11">
        <v>16</v>
      </c>
      <c r="O216" s="11">
        <v>5</v>
      </c>
      <c r="P216" s="14"/>
      <c r="Q216" s="14"/>
      <c r="R216" s="11">
        <v>5</v>
      </c>
      <c r="S216" s="11">
        <v>160</v>
      </c>
      <c r="T216" s="14"/>
      <c r="U216" s="14"/>
      <c r="V216" s="11">
        <v>1</v>
      </c>
      <c r="W216" s="11">
        <v>1</v>
      </c>
      <c r="X216" s="14"/>
      <c r="Y216" s="11">
        <v>26</v>
      </c>
      <c r="Z216" s="14"/>
      <c r="AA216" s="11">
        <v>36</v>
      </c>
      <c r="AB216" s="14"/>
      <c r="AC216" s="14"/>
      <c r="AD216" s="11">
        <v>1</v>
      </c>
      <c r="AE216" s="11">
        <v>35</v>
      </c>
      <c r="AF216" s="11">
        <v>36</v>
      </c>
      <c r="AG216" s="14"/>
      <c r="AH216" s="14"/>
      <c r="AI216" s="14"/>
      <c r="AJ216" s="14"/>
      <c r="AK216" s="14"/>
      <c r="AL216" s="11">
        <v>7</v>
      </c>
      <c r="AM216" s="14"/>
      <c r="AN216" s="14"/>
      <c r="AO216" s="14"/>
      <c r="AP216" s="14"/>
      <c r="AQ216" s="14"/>
      <c r="AR216" s="14"/>
      <c r="AS216" s="14"/>
      <c r="AT216" s="14"/>
      <c r="AU216" s="14"/>
      <c r="AV216" s="14"/>
      <c r="AW216" s="11">
        <v>15</v>
      </c>
      <c r="AX216" s="11">
        <v>40</v>
      </c>
      <c r="AY216" s="14"/>
      <c r="AZ216" s="14"/>
      <c r="BA216" s="14"/>
      <c r="BB216" s="14"/>
      <c r="BC216" s="14"/>
      <c r="BD216" s="14"/>
      <c r="BE216" s="14"/>
      <c r="BF216" s="11">
        <v>28</v>
      </c>
      <c r="BG216" s="14"/>
      <c r="BH216" s="14"/>
      <c r="BI216" s="14"/>
      <c r="BJ216" s="14"/>
      <c r="BK216" s="14"/>
      <c r="BL216" s="19">
        <f t="shared" si="19"/>
        <v>490</v>
      </c>
    </row>
    <row r="217" spans="1:65" ht="25.5" x14ac:dyDescent="0.2">
      <c r="A217" s="8" t="s">
        <v>805</v>
      </c>
      <c r="B217" s="8" t="s">
        <v>1467</v>
      </c>
      <c r="C217" s="8">
        <v>29.427040000000002</v>
      </c>
      <c r="D217" s="8">
        <v>-81.138229999999993</v>
      </c>
      <c r="E217" s="8">
        <v>29.424720000000001</v>
      </c>
      <c r="F217" s="8">
        <v>-81.136170000000007</v>
      </c>
      <c r="G217" s="8" t="s">
        <v>1482</v>
      </c>
      <c r="H217" s="8" t="s">
        <v>1483</v>
      </c>
      <c r="I217" s="21">
        <v>41677</v>
      </c>
      <c r="J217" s="23">
        <v>0.4236111111111111</v>
      </c>
      <c r="K217" s="8">
        <v>500</v>
      </c>
      <c r="L217" s="8">
        <v>16</v>
      </c>
      <c r="M217" s="8"/>
      <c r="N217" s="8">
        <v>14</v>
      </c>
      <c r="O217" s="8"/>
      <c r="P217" s="8"/>
      <c r="Q217" s="8"/>
      <c r="R217" s="8"/>
      <c r="S217" s="8">
        <v>28</v>
      </c>
      <c r="T217" s="8"/>
      <c r="U217" s="8"/>
      <c r="V217" s="8"/>
      <c r="W217" s="8">
        <v>2</v>
      </c>
      <c r="X217" s="8"/>
      <c r="Y217" s="8">
        <v>85</v>
      </c>
      <c r="Z217" s="8">
        <v>1</v>
      </c>
      <c r="AA217" s="8"/>
      <c r="AB217" s="8"/>
      <c r="AC217" s="8"/>
      <c r="AD217" s="8"/>
      <c r="AE217" s="8">
        <v>40</v>
      </c>
      <c r="AF217" s="8">
        <v>22</v>
      </c>
      <c r="AG217" s="8"/>
      <c r="AH217" s="8"/>
      <c r="AI217" s="8"/>
      <c r="AJ217" s="8"/>
      <c r="AK217" s="8"/>
      <c r="AL217" s="8"/>
      <c r="AM217" s="8">
        <v>3</v>
      </c>
      <c r="AN217" s="8"/>
      <c r="AO217" s="8"/>
      <c r="AP217" s="8"/>
      <c r="AQ217" s="8"/>
      <c r="AR217" s="8"/>
      <c r="AS217" s="8"/>
      <c r="AT217" s="8"/>
      <c r="AU217" s="8"/>
      <c r="AV217" s="8"/>
      <c r="AW217" s="8">
        <v>11</v>
      </c>
      <c r="AX217" s="8">
        <v>10</v>
      </c>
      <c r="AY217" s="8"/>
      <c r="AZ217" s="8"/>
      <c r="BA217" s="8"/>
      <c r="BB217" s="8"/>
      <c r="BC217" s="8"/>
      <c r="BD217" s="8"/>
      <c r="BE217" s="8"/>
      <c r="BF217" s="8">
        <v>3</v>
      </c>
      <c r="BG217" s="8">
        <v>5</v>
      </c>
      <c r="BH217" s="8"/>
      <c r="BI217" s="8"/>
      <c r="BJ217" s="8">
        <v>2</v>
      </c>
      <c r="BK217" s="8"/>
      <c r="BL217" s="19">
        <f t="shared" si="19"/>
        <v>742</v>
      </c>
      <c r="BM217" s="8" t="s">
        <v>1484</v>
      </c>
    </row>
    <row r="218" spans="1:65" ht="25.5" x14ac:dyDescent="0.2">
      <c r="A218" s="11" t="s">
        <v>333</v>
      </c>
      <c r="B218" s="11" t="s">
        <v>1462</v>
      </c>
      <c r="C218" s="11">
        <v>29.570900000000002</v>
      </c>
      <c r="D218" s="11">
        <v>-81.181399999999996</v>
      </c>
      <c r="E218" s="11">
        <v>29.5916</v>
      </c>
      <c r="F218" s="11">
        <v>-81.185000000000002</v>
      </c>
      <c r="G218" s="11" t="s">
        <v>793</v>
      </c>
      <c r="H218" s="11" t="s">
        <v>794</v>
      </c>
      <c r="I218" s="13">
        <v>41680</v>
      </c>
      <c r="J218" s="27">
        <v>0.34375</v>
      </c>
      <c r="K218" s="11">
        <v>23</v>
      </c>
      <c r="L218" s="11">
        <v>105</v>
      </c>
      <c r="M218" s="11"/>
      <c r="N218" s="11">
        <v>2</v>
      </c>
      <c r="O218" s="11"/>
      <c r="P218" s="11">
        <v>8</v>
      </c>
      <c r="Q218" s="11"/>
      <c r="R218" s="11">
        <v>4</v>
      </c>
      <c r="S218" s="11">
        <v>31</v>
      </c>
      <c r="T218" s="11"/>
      <c r="U218" s="11"/>
      <c r="V218" s="11"/>
      <c r="W218" s="11"/>
      <c r="X218" s="11">
        <v>2</v>
      </c>
      <c r="Y218" s="11">
        <v>389</v>
      </c>
      <c r="Z218" s="11"/>
      <c r="AA218" s="11">
        <v>2</v>
      </c>
      <c r="AB218" s="11"/>
      <c r="AC218" s="11"/>
      <c r="AD218" s="11">
        <v>11</v>
      </c>
      <c r="AE218" s="11">
        <v>23</v>
      </c>
      <c r="AF218" s="11">
        <v>2</v>
      </c>
      <c r="AG218" s="11"/>
      <c r="AH218" s="11"/>
      <c r="AI218" s="11"/>
      <c r="AJ218" s="11"/>
      <c r="AK218" s="11"/>
      <c r="AL218" s="11"/>
      <c r="AM218" s="11"/>
      <c r="AN218" s="11"/>
      <c r="AO218" s="11">
        <v>1</v>
      </c>
      <c r="AP218" s="11"/>
      <c r="AQ218" s="11"/>
      <c r="AR218" s="11"/>
      <c r="AS218" s="11"/>
      <c r="AT218" s="11"/>
      <c r="AU218" s="11"/>
      <c r="AV218" s="11"/>
      <c r="AW218" s="11">
        <v>15</v>
      </c>
      <c r="AX218" s="11">
        <v>18</v>
      </c>
      <c r="AY218" s="11"/>
      <c r="AZ218" s="11"/>
      <c r="BA218" s="11"/>
      <c r="BB218" s="11"/>
      <c r="BC218" s="11"/>
      <c r="BD218" s="11"/>
      <c r="BE218" s="11"/>
      <c r="BF218" s="11">
        <v>28</v>
      </c>
      <c r="BG218" s="11"/>
      <c r="BH218" s="11"/>
      <c r="BI218" s="11"/>
      <c r="BJ218" s="11"/>
      <c r="BK218" s="11"/>
      <c r="BL218" s="19">
        <f t="shared" si="19"/>
        <v>664</v>
      </c>
      <c r="BM218" s="14"/>
    </row>
    <row r="219" spans="1:65" ht="25.5" x14ac:dyDescent="0.2">
      <c r="A219" s="8" t="s">
        <v>1485</v>
      </c>
      <c r="B219" s="8" t="s">
        <v>1467</v>
      </c>
      <c r="C219" s="8">
        <v>30.162125</v>
      </c>
      <c r="D219" s="8">
        <v>-81.355709000000004</v>
      </c>
      <c r="E219" s="8">
        <v>30.252908900000001</v>
      </c>
      <c r="F219" s="8">
        <v>-81.380105999999998</v>
      </c>
      <c r="G219" s="8" t="s">
        <v>1486</v>
      </c>
      <c r="H219" s="8" t="s">
        <v>1487</v>
      </c>
      <c r="I219" s="21">
        <v>41677</v>
      </c>
      <c r="J219" s="8">
        <v>814</v>
      </c>
      <c r="K219" s="8">
        <v>4</v>
      </c>
      <c r="N219" s="8">
        <v>198</v>
      </c>
      <c r="R219" s="8">
        <v>64</v>
      </c>
      <c r="S219" s="8">
        <v>215</v>
      </c>
      <c r="V219" s="8">
        <v>1</v>
      </c>
      <c r="W219" s="8">
        <v>3</v>
      </c>
      <c r="Y219" s="8">
        <v>167</v>
      </c>
      <c r="AA219" s="8">
        <v>37</v>
      </c>
      <c r="AE219" s="8">
        <v>24</v>
      </c>
      <c r="AF219" s="8">
        <v>12</v>
      </c>
      <c r="AM219" s="8">
        <v>13</v>
      </c>
      <c r="AW219" s="8">
        <v>2</v>
      </c>
      <c r="AX219" s="8">
        <v>22</v>
      </c>
      <c r="BL219" s="29"/>
      <c r="BM219" s="8" t="s">
        <v>711</v>
      </c>
    </row>
    <row r="220" spans="1:65" ht="25.5" x14ac:dyDescent="0.2">
      <c r="A220" s="8" t="s">
        <v>1488</v>
      </c>
      <c r="B220" s="8" t="s">
        <v>1467</v>
      </c>
      <c r="C220" s="8">
        <v>30.162140999999998</v>
      </c>
      <c r="D220" s="8">
        <v>-81.355744999999999</v>
      </c>
      <c r="E220" s="8">
        <v>30.127096000000002</v>
      </c>
      <c r="F220" s="8">
        <v>-81.347115000000002</v>
      </c>
      <c r="G220" s="8" t="s">
        <v>1486</v>
      </c>
      <c r="H220" s="8" t="s">
        <v>1487</v>
      </c>
      <c r="I220" s="21">
        <v>41677</v>
      </c>
      <c r="J220" s="8">
        <v>935</v>
      </c>
      <c r="N220" s="8">
        <v>2</v>
      </c>
      <c r="S220" s="8">
        <v>42</v>
      </c>
      <c r="Y220" s="8">
        <v>89</v>
      </c>
      <c r="AA220" s="8">
        <v>12</v>
      </c>
      <c r="AE220" s="8">
        <v>1</v>
      </c>
      <c r="AF220" s="8">
        <v>2</v>
      </c>
      <c r="AX220" s="8">
        <v>3</v>
      </c>
      <c r="BL220" s="29"/>
      <c r="BM220" s="8" t="s">
        <v>711</v>
      </c>
    </row>
    <row r="221" spans="1:65" ht="25.5" x14ac:dyDescent="0.2">
      <c r="A221" s="11" t="s">
        <v>1489</v>
      </c>
      <c r="B221" s="8" t="s">
        <v>1490</v>
      </c>
      <c r="C221" s="11" t="s">
        <v>1491</v>
      </c>
      <c r="D221" s="11" t="s">
        <v>1492</v>
      </c>
      <c r="E221" s="8" t="s">
        <v>1493</v>
      </c>
      <c r="F221" s="8" t="s">
        <v>1494</v>
      </c>
      <c r="G221" s="11" t="s">
        <v>1495</v>
      </c>
      <c r="H221" s="11" t="s">
        <v>1496</v>
      </c>
      <c r="I221" s="13">
        <v>41682</v>
      </c>
      <c r="J221" s="23">
        <v>0.30208333333333331</v>
      </c>
      <c r="K221" s="8">
        <v>80</v>
      </c>
      <c r="L221" s="8">
        <v>2</v>
      </c>
      <c r="M221" s="8"/>
      <c r="N221" s="8">
        <v>106</v>
      </c>
      <c r="O221" s="8">
        <v>10</v>
      </c>
      <c r="P221" s="8"/>
      <c r="Q221" s="8"/>
      <c r="R221" s="8">
        <v>2</v>
      </c>
      <c r="S221" s="8">
        <v>10</v>
      </c>
      <c r="T221" s="8"/>
      <c r="U221" s="8"/>
      <c r="V221" s="8">
        <v>13</v>
      </c>
      <c r="W221" s="8">
        <v>92</v>
      </c>
      <c r="X221" s="8"/>
      <c r="Y221" s="8">
        <v>39</v>
      </c>
      <c r="Z221" s="8">
        <v>36</v>
      </c>
      <c r="AA221" s="8">
        <v>149</v>
      </c>
      <c r="AB221" s="8"/>
      <c r="AC221" s="8"/>
      <c r="AD221" s="8"/>
      <c r="AE221" s="8">
        <v>203</v>
      </c>
      <c r="AF221" s="8">
        <v>274</v>
      </c>
      <c r="AG221" s="8">
        <v>7</v>
      </c>
      <c r="AH221" s="8"/>
      <c r="AI221" s="8"/>
      <c r="AJ221" s="8"/>
      <c r="AK221" s="8"/>
      <c r="AL221" s="8">
        <v>5</v>
      </c>
      <c r="AM221" s="8"/>
      <c r="AN221" s="8"/>
      <c r="AO221" s="8">
        <v>7</v>
      </c>
      <c r="AP221" s="8"/>
      <c r="AQ221" s="8"/>
      <c r="AR221" s="8"/>
      <c r="AS221" s="8"/>
      <c r="AT221" s="8"/>
      <c r="AU221" s="8"/>
      <c r="AV221" s="8"/>
      <c r="AW221" s="8">
        <v>17</v>
      </c>
      <c r="AX221" s="8">
        <v>96</v>
      </c>
      <c r="AY221" s="8"/>
      <c r="AZ221" s="8"/>
      <c r="BA221" s="8"/>
      <c r="BB221" s="8"/>
      <c r="BC221" s="8"/>
      <c r="BD221" s="8"/>
      <c r="BE221" s="8"/>
      <c r="BF221" s="8"/>
      <c r="BG221" s="8"/>
      <c r="BH221" s="8"/>
      <c r="BI221" s="8"/>
      <c r="BJ221" s="8"/>
      <c r="BK221" s="8"/>
      <c r="BL221" s="19">
        <f t="shared" ref="BL221:BL227" si="20">SUM(K221:BK221)</f>
        <v>1148</v>
      </c>
      <c r="BM221" s="8" t="s">
        <v>1497</v>
      </c>
    </row>
    <row r="222" spans="1:65" ht="25.5" x14ac:dyDescent="0.2">
      <c r="A222" s="8" t="s">
        <v>1498</v>
      </c>
      <c r="B222" s="8" t="s">
        <v>1490</v>
      </c>
      <c r="C222" s="8">
        <v>27.28209</v>
      </c>
      <c r="D222" s="8">
        <v>-80.173580000000001</v>
      </c>
      <c r="E222" s="8">
        <v>27.28445</v>
      </c>
      <c r="F222" s="8">
        <v>-80.173370000000006</v>
      </c>
      <c r="G222" s="8" t="s">
        <v>192</v>
      </c>
      <c r="H222" s="8" t="s">
        <v>194</v>
      </c>
      <c r="I222" s="21">
        <v>41677</v>
      </c>
      <c r="J222" s="8">
        <v>915</v>
      </c>
      <c r="Y222" s="8">
        <v>2</v>
      </c>
      <c r="BF222" s="8">
        <v>2</v>
      </c>
      <c r="BL222" s="19">
        <f t="shared" si="20"/>
        <v>4</v>
      </c>
    </row>
    <row r="223" spans="1:65" ht="25.5" x14ac:dyDescent="0.2">
      <c r="A223" s="8" t="s">
        <v>1027</v>
      </c>
      <c r="B223" s="8" t="s">
        <v>1490</v>
      </c>
      <c r="C223" s="8">
        <v>27.282389999999999</v>
      </c>
      <c r="D223" s="8">
        <v>-80.172280000000001</v>
      </c>
      <c r="E223" s="8">
        <v>27.28445</v>
      </c>
      <c r="F223" s="8">
        <v>-80.173370000000006</v>
      </c>
      <c r="G223" s="8" t="s">
        <v>192</v>
      </c>
      <c r="H223" s="8" t="s">
        <v>194</v>
      </c>
      <c r="I223" s="21">
        <v>41677</v>
      </c>
      <c r="J223" s="8">
        <v>819</v>
      </c>
      <c r="K223" s="8">
        <v>28</v>
      </c>
      <c r="N223" s="8">
        <v>9</v>
      </c>
      <c r="Q223" s="8">
        <v>14</v>
      </c>
      <c r="W223" s="8">
        <v>1</v>
      </c>
      <c r="Y223" s="8">
        <v>5</v>
      </c>
      <c r="AF223" s="8">
        <v>82</v>
      </c>
      <c r="AG223" s="8">
        <v>8</v>
      </c>
      <c r="AW223" s="8">
        <v>1</v>
      </c>
      <c r="BF223" s="8">
        <v>2</v>
      </c>
      <c r="BJ223" s="8">
        <v>8</v>
      </c>
      <c r="BL223" s="19">
        <f t="shared" si="20"/>
        <v>158</v>
      </c>
    </row>
    <row r="224" spans="1:65" ht="51" x14ac:dyDescent="0.2">
      <c r="A224" s="8" t="s">
        <v>668</v>
      </c>
      <c r="B224" s="8" t="s">
        <v>1499</v>
      </c>
      <c r="C224" s="8">
        <v>27.309149999999999</v>
      </c>
      <c r="D224" s="8">
        <v>-80.221000000000004</v>
      </c>
      <c r="E224" s="8">
        <v>27.16901</v>
      </c>
      <c r="F224" s="8">
        <v>-80.156649999999999</v>
      </c>
      <c r="G224" s="8" t="s">
        <v>669</v>
      </c>
      <c r="H224" s="8" t="s">
        <v>1500</v>
      </c>
      <c r="I224" s="21">
        <v>41684</v>
      </c>
      <c r="J224" s="8">
        <v>1108</v>
      </c>
      <c r="K224" s="8"/>
      <c r="L224" s="8">
        <v>2</v>
      </c>
      <c r="M224" s="8"/>
      <c r="N224" s="8">
        <v>43</v>
      </c>
      <c r="O224" s="8"/>
      <c r="P224" s="8"/>
      <c r="Q224" s="8"/>
      <c r="R224" s="8"/>
      <c r="S224" s="8">
        <v>6</v>
      </c>
      <c r="T224" s="8"/>
      <c r="U224" s="8"/>
      <c r="V224" s="8">
        <v>8</v>
      </c>
      <c r="W224" s="8"/>
      <c r="X224" s="8"/>
      <c r="Y224" s="8">
        <v>152</v>
      </c>
      <c r="Z224" s="8"/>
      <c r="AA224" s="8"/>
      <c r="AB224" s="8"/>
      <c r="AC224" s="8"/>
      <c r="AD224" s="8"/>
      <c r="AE224" s="8">
        <v>175</v>
      </c>
      <c r="AF224" s="8">
        <v>160</v>
      </c>
      <c r="AG224" s="8">
        <v>15</v>
      </c>
      <c r="AH224" s="8"/>
      <c r="AI224" s="8"/>
      <c r="AJ224" s="8"/>
      <c r="AK224" s="8"/>
      <c r="AL224" s="8">
        <v>1</v>
      </c>
      <c r="AM224" s="8"/>
      <c r="AN224" s="8"/>
      <c r="AO224" s="8"/>
      <c r="AP224" s="8"/>
      <c r="AQ224" s="8"/>
      <c r="AR224" s="8"/>
      <c r="AS224" s="8"/>
      <c r="AT224" s="8"/>
      <c r="AU224" s="8"/>
      <c r="AV224" s="8"/>
      <c r="AW224" s="8">
        <v>42</v>
      </c>
      <c r="AX224" s="8">
        <v>179</v>
      </c>
      <c r="AY224" s="8"/>
      <c r="AZ224" s="8"/>
      <c r="BA224" s="8"/>
      <c r="BB224" s="8"/>
      <c r="BC224" s="8"/>
      <c r="BD224" s="8"/>
      <c r="BE224" s="8"/>
      <c r="BF224" s="8">
        <v>22</v>
      </c>
      <c r="BG224" s="8"/>
      <c r="BH224" s="8"/>
      <c r="BI224" s="8"/>
      <c r="BJ224" s="8"/>
      <c r="BK224" s="8"/>
      <c r="BL224" s="19">
        <f t="shared" si="20"/>
        <v>805</v>
      </c>
      <c r="BM224" s="8" t="s">
        <v>1501</v>
      </c>
    </row>
    <row r="225" spans="1:65" ht="14.25" x14ac:dyDescent="0.2">
      <c r="A225" s="11" t="s">
        <v>1502</v>
      </c>
      <c r="B225" s="8" t="s">
        <v>1503</v>
      </c>
      <c r="C225" s="8" t="s">
        <v>1504</v>
      </c>
      <c r="D225" s="8" t="s">
        <v>1505</v>
      </c>
      <c r="E225" s="8" t="s">
        <v>1506</v>
      </c>
      <c r="F225" s="8" t="s">
        <v>1507</v>
      </c>
      <c r="G225" s="11" t="s">
        <v>1508</v>
      </c>
      <c r="H225" s="11" t="s">
        <v>1509</v>
      </c>
      <c r="I225" s="13">
        <v>41681</v>
      </c>
      <c r="J225" s="23">
        <v>0.57291666666666663</v>
      </c>
      <c r="K225" s="8"/>
      <c r="L225" s="8"/>
      <c r="M225" s="8"/>
      <c r="N225" s="8"/>
      <c r="O225" s="8"/>
      <c r="P225" s="8"/>
      <c r="Q225" s="8"/>
      <c r="R225" s="8">
        <v>12</v>
      </c>
      <c r="S225" s="8">
        <v>2</v>
      </c>
      <c r="T225" s="8"/>
      <c r="U225" s="8"/>
      <c r="V225" s="8"/>
      <c r="W225" s="8"/>
      <c r="X225" s="8"/>
      <c r="Y225" s="8">
        <v>3</v>
      </c>
      <c r="Z225" s="8"/>
      <c r="AA225" s="8"/>
      <c r="AB225" s="8"/>
      <c r="AC225" s="8"/>
      <c r="AD225" s="8"/>
      <c r="AE225" s="8">
        <v>20</v>
      </c>
      <c r="AF225" s="8"/>
      <c r="AG225" s="8"/>
      <c r="AH225" s="8"/>
      <c r="AI225" s="8"/>
      <c r="AJ225" s="8"/>
      <c r="AK225" s="8"/>
      <c r="AL225" s="8">
        <v>3</v>
      </c>
      <c r="AM225" s="8"/>
      <c r="AN225" s="8">
        <v>4</v>
      </c>
      <c r="AO225" s="8">
        <v>1</v>
      </c>
      <c r="AP225" s="8"/>
      <c r="AQ225" s="8"/>
      <c r="AR225" s="8"/>
      <c r="AS225" s="8"/>
      <c r="AT225" s="8"/>
      <c r="AU225" s="8"/>
      <c r="AV225" s="8"/>
      <c r="AW225" s="8"/>
      <c r="AX225" s="8"/>
      <c r="AY225" s="8"/>
      <c r="AZ225" s="8"/>
      <c r="BA225" s="8"/>
      <c r="BB225" s="8"/>
      <c r="BC225" s="8"/>
      <c r="BD225" s="8"/>
      <c r="BE225" s="8"/>
      <c r="BF225" s="8">
        <v>17</v>
      </c>
      <c r="BG225" s="8"/>
      <c r="BH225" s="8"/>
      <c r="BI225" s="8"/>
      <c r="BJ225" s="8"/>
      <c r="BK225" s="8"/>
      <c r="BL225" s="19">
        <f t="shared" si="20"/>
        <v>62</v>
      </c>
    </row>
    <row r="226" spans="1:65" ht="51" x14ac:dyDescent="0.2">
      <c r="A226" s="8" t="s">
        <v>1510</v>
      </c>
      <c r="B226" s="8" t="s">
        <v>1511</v>
      </c>
      <c r="C226" s="8">
        <v>28.973033000000001</v>
      </c>
      <c r="D226" s="8">
        <v>-80.892966000000001</v>
      </c>
      <c r="E226" s="8">
        <v>28.801300000000001</v>
      </c>
      <c r="F226" s="8">
        <v>-80.847283000000004</v>
      </c>
      <c r="G226" s="8" t="s">
        <v>1512</v>
      </c>
      <c r="H226" s="8" t="s">
        <v>1513</v>
      </c>
      <c r="I226" s="21">
        <v>41684</v>
      </c>
      <c r="J226" s="8">
        <v>800</v>
      </c>
      <c r="K226" s="8">
        <v>4</v>
      </c>
      <c r="L226" s="8">
        <v>1</v>
      </c>
      <c r="N226" s="8">
        <v>8</v>
      </c>
      <c r="O226" s="8">
        <v>1</v>
      </c>
      <c r="P226" s="8">
        <v>1</v>
      </c>
      <c r="R226" s="8">
        <v>2</v>
      </c>
      <c r="S226" s="8">
        <v>4</v>
      </c>
      <c r="V226" s="8">
        <v>1</v>
      </c>
      <c r="Y226" s="8">
        <v>45</v>
      </c>
      <c r="AE226" s="8">
        <v>17</v>
      </c>
      <c r="AF226" s="8">
        <v>18</v>
      </c>
      <c r="AI226" s="8">
        <v>4</v>
      </c>
      <c r="AM226" s="8">
        <v>10</v>
      </c>
      <c r="AN226" s="8">
        <v>4</v>
      </c>
      <c r="AO226" s="8">
        <v>20</v>
      </c>
      <c r="AQ226" s="8">
        <v>15</v>
      </c>
      <c r="AW226" s="8">
        <v>3</v>
      </c>
      <c r="BA226" s="8">
        <v>1</v>
      </c>
      <c r="BF226" s="8">
        <v>13</v>
      </c>
      <c r="BL226" s="19">
        <f t="shared" si="20"/>
        <v>172</v>
      </c>
      <c r="BM226" s="8" t="s">
        <v>1514</v>
      </c>
    </row>
    <row r="227" spans="1:65" ht="38.25" x14ac:dyDescent="0.2">
      <c r="A227" s="8" t="s">
        <v>921</v>
      </c>
      <c r="B227" s="8" t="s">
        <v>1511</v>
      </c>
      <c r="C227" s="8">
        <v>28.929210999999999</v>
      </c>
      <c r="D227" s="8">
        <v>-80.823763999999997</v>
      </c>
      <c r="E227" s="8">
        <v>28.967296999999999</v>
      </c>
      <c r="F227" s="8">
        <v>-80.849903999999995</v>
      </c>
      <c r="G227" s="8" t="s">
        <v>922</v>
      </c>
      <c r="H227" s="8" t="s">
        <v>1515</v>
      </c>
      <c r="I227" s="21">
        <v>41684</v>
      </c>
      <c r="J227" s="8">
        <v>800</v>
      </c>
      <c r="K227" s="8">
        <v>75</v>
      </c>
      <c r="N227" s="8">
        <v>9</v>
      </c>
      <c r="S227" s="8">
        <v>45</v>
      </c>
      <c r="Y227" s="8">
        <v>56</v>
      </c>
      <c r="AE227" s="8">
        <v>48</v>
      </c>
      <c r="AF227" s="8">
        <v>112</v>
      </c>
      <c r="AU227" s="8">
        <v>14</v>
      </c>
      <c r="AW227" s="8">
        <v>15</v>
      </c>
      <c r="AX227" s="8">
        <v>48</v>
      </c>
      <c r="AY227" s="8">
        <v>21</v>
      </c>
      <c r="BF227" s="8">
        <v>12</v>
      </c>
      <c r="BG227" s="8">
        <v>2</v>
      </c>
      <c r="BL227" s="19">
        <f t="shared" si="20"/>
        <v>457</v>
      </c>
    </row>
    <row r="228" spans="1:65" ht="14.25" x14ac:dyDescent="0.2">
      <c r="A228" s="8" t="s">
        <v>1516</v>
      </c>
      <c r="B228" s="8" t="s">
        <v>1511</v>
      </c>
      <c r="C228" s="8">
        <v>29.064235</v>
      </c>
      <c r="D228" s="8">
        <v>-80.907397000000003</v>
      </c>
      <c r="E228" s="8">
        <v>29.064890999999999</v>
      </c>
      <c r="F228" s="8">
        <v>-80.916431000000003</v>
      </c>
      <c r="G228" s="8" t="s">
        <v>1517</v>
      </c>
      <c r="H228" s="8" t="s">
        <v>1518</v>
      </c>
      <c r="I228" s="21">
        <v>41684</v>
      </c>
      <c r="J228" s="8">
        <v>942</v>
      </c>
      <c r="N228" s="8">
        <v>2</v>
      </c>
      <c r="S228" s="8">
        <v>1</v>
      </c>
      <c r="AE228" s="8">
        <v>3</v>
      </c>
      <c r="AF228" s="8">
        <v>6</v>
      </c>
      <c r="AL228" s="8">
        <v>1</v>
      </c>
      <c r="AN228" s="8">
        <v>1</v>
      </c>
      <c r="AQ228" s="8">
        <v>2</v>
      </c>
      <c r="AV228" s="8">
        <v>53</v>
      </c>
      <c r="AW228" s="8">
        <v>5</v>
      </c>
      <c r="AX228" s="8">
        <v>37</v>
      </c>
      <c r="BF228" s="8">
        <v>4</v>
      </c>
      <c r="BL228" s="29"/>
      <c r="BM228" s="8" t="s">
        <v>1519</v>
      </c>
    </row>
    <row r="229" spans="1:65" ht="25.5" x14ac:dyDescent="0.2">
      <c r="A229" s="8" t="s">
        <v>1520</v>
      </c>
      <c r="B229" s="8" t="s">
        <v>1511</v>
      </c>
      <c r="C229" s="8">
        <v>29.076871000000001</v>
      </c>
      <c r="D229" s="8">
        <v>-80.925363000000004</v>
      </c>
      <c r="E229" s="8">
        <v>29.077382</v>
      </c>
      <c r="F229" s="8">
        <v>-80.922567999999998</v>
      </c>
      <c r="G229" s="8" t="s">
        <v>1521</v>
      </c>
      <c r="H229" s="8" t="s">
        <v>1522</v>
      </c>
      <c r="I229" s="21">
        <v>41684</v>
      </c>
      <c r="J229" s="8">
        <v>900</v>
      </c>
      <c r="AX229" s="8">
        <v>4</v>
      </c>
      <c r="BF229" s="8">
        <v>2</v>
      </c>
      <c r="BL229" s="29"/>
      <c r="BM229" s="8" t="s">
        <v>711</v>
      </c>
    </row>
    <row r="230" spans="1:65" ht="25.5" x14ac:dyDescent="0.2">
      <c r="A230" s="8" t="s">
        <v>1523</v>
      </c>
      <c r="B230" s="8" t="s">
        <v>1511</v>
      </c>
      <c r="C230" s="8">
        <v>29.063766000000001</v>
      </c>
      <c r="D230" s="8">
        <v>-8092422</v>
      </c>
      <c r="E230" s="8">
        <v>29.066372999999999</v>
      </c>
      <c r="F230" s="8">
        <v>-80.921730999999994</v>
      </c>
      <c r="G230" s="8" t="s">
        <v>1521</v>
      </c>
      <c r="H230" s="8" t="s">
        <v>1522</v>
      </c>
      <c r="I230" s="21">
        <v>41684</v>
      </c>
      <c r="J230" s="8">
        <v>1008</v>
      </c>
      <c r="K230" s="8">
        <v>275</v>
      </c>
      <c r="S230" s="8">
        <v>14</v>
      </c>
      <c r="Y230" s="8">
        <v>7</v>
      </c>
      <c r="AE230" s="8">
        <v>19</v>
      </c>
      <c r="AF230" s="8">
        <v>6</v>
      </c>
      <c r="AL230" s="8">
        <v>6</v>
      </c>
      <c r="AM230" s="8">
        <v>27</v>
      </c>
      <c r="AP230" s="8">
        <v>14</v>
      </c>
      <c r="AW230" s="8">
        <v>1</v>
      </c>
      <c r="BF230" s="8">
        <v>5</v>
      </c>
      <c r="BL230" s="29"/>
      <c r="BM230" s="8" t="s">
        <v>711</v>
      </c>
    </row>
    <row r="231" spans="1:65" ht="25.5" x14ac:dyDescent="0.2">
      <c r="A231" s="8" t="s">
        <v>1524</v>
      </c>
      <c r="B231" s="8" t="s">
        <v>1511</v>
      </c>
      <c r="C231" s="8">
        <v>29.066448000000001</v>
      </c>
      <c r="D231" s="8">
        <v>-80.927954</v>
      </c>
      <c r="E231" s="8">
        <v>29.073405999999999</v>
      </c>
      <c r="F231" s="8">
        <v>-80.923984000000004</v>
      </c>
      <c r="G231" s="8" t="s">
        <v>1521</v>
      </c>
      <c r="H231" s="8" t="s">
        <v>1522</v>
      </c>
      <c r="I231" s="21">
        <v>41684</v>
      </c>
      <c r="J231" s="8">
        <v>1039</v>
      </c>
      <c r="K231" s="8">
        <v>525</v>
      </c>
      <c r="L231" s="8">
        <v>2</v>
      </c>
      <c r="O231" s="8">
        <v>4</v>
      </c>
      <c r="R231" s="8">
        <v>13</v>
      </c>
      <c r="S231" s="8">
        <v>121</v>
      </c>
      <c r="W231" s="8">
        <v>22</v>
      </c>
      <c r="Y231" s="8">
        <v>2</v>
      </c>
      <c r="AE231" s="8">
        <v>5</v>
      </c>
      <c r="AF231" s="8">
        <v>4</v>
      </c>
      <c r="AL231" s="8">
        <v>27</v>
      </c>
      <c r="AM231" s="8">
        <v>116</v>
      </c>
      <c r="AN231" s="8">
        <v>6</v>
      </c>
      <c r="AQ231" s="8">
        <v>18</v>
      </c>
      <c r="AU231" s="8">
        <v>5</v>
      </c>
      <c r="AV231" s="8">
        <v>2</v>
      </c>
      <c r="AW231" s="8">
        <v>1</v>
      </c>
      <c r="AX231" s="8">
        <v>62</v>
      </c>
      <c r="AY231" s="8">
        <v>112</v>
      </c>
      <c r="BA231" s="8">
        <v>1</v>
      </c>
      <c r="BD231" s="8">
        <v>35</v>
      </c>
      <c r="BF231" s="8">
        <v>6</v>
      </c>
      <c r="BG231" s="8">
        <v>4</v>
      </c>
      <c r="BL231" s="29"/>
      <c r="BM231" s="8" t="s">
        <v>711</v>
      </c>
    </row>
    <row r="232" spans="1:65" ht="25.5" x14ac:dyDescent="0.2">
      <c r="A232" s="8" t="s">
        <v>1525</v>
      </c>
      <c r="B232" s="8" t="s">
        <v>1511</v>
      </c>
      <c r="C232" s="8">
        <v>29.076332000000001</v>
      </c>
      <c r="D232" s="8">
        <v>-80.926409000000007</v>
      </c>
      <c r="E232" s="8">
        <v>29.078600999999999</v>
      </c>
      <c r="F232" s="8">
        <v>-80.929305999999997</v>
      </c>
      <c r="G232" s="8" t="s">
        <v>1521</v>
      </c>
      <c r="H232" s="8" t="s">
        <v>1522</v>
      </c>
      <c r="I232" s="21">
        <v>41684</v>
      </c>
      <c r="J232" s="8">
        <v>1200</v>
      </c>
      <c r="K232" s="8">
        <v>70</v>
      </c>
      <c r="N232" s="8">
        <v>7</v>
      </c>
      <c r="O232" s="8">
        <v>1</v>
      </c>
      <c r="R232" s="8">
        <v>4</v>
      </c>
      <c r="W232" s="8">
        <v>3</v>
      </c>
      <c r="Y232" s="8">
        <v>52</v>
      </c>
      <c r="AF232" s="8">
        <v>1</v>
      </c>
      <c r="AL232" s="8">
        <v>3</v>
      </c>
      <c r="AM232" s="8">
        <v>58</v>
      </c>
      <c r="AP232" s="8">
        <v>8</v>
      </c>
      <c r="AX232" s="8">
        <v>15</v>
      </c>
      <c r="AY232" s="8">
        <v>4</v>
      </c>
      <c r="BF232" s="8">
        <v>1</v>
      </c>
      <c r="BL232" s="29"/>
      <c r="BM232" s="8" t="s">
        <v>711</v>
      </c>
    </row>
    <row r="233" spans="1:65" ht="25.5" x14ac:dyDescent="0.2">
      <c r="A233" s="8" t="s">
        <v>1526</v>
      </c>
      <c r="B233" s="8" t="s">
        <v>1511</v>
      </c>
      <c r="C233" s="8">
        <v>29.2506089</v>
      </c>
      <c r="D233" s="8">
        <v>-81.055454999999995</v>
      </c>
      <c r="E233" s="8">
        <v>29.044214</v>
      </c>
      <c r="F233" s="8">
        <v>-80.550645000000003</v>
      </c>
      <c r="G233" s="8" t="s">
        <v>1527</v>
      </c>
      <c r="H233" s="8" t="s">
        <v>1528</v>
      </c>
      <c r="I233" s="21">
        <v>41684</v>
      </c>
      <c r="J233" s="8">
        <v>730</v>
      </c>
      <c r="K233" s="8">
        <v>187</v>
      </c>
      <c r="L233" s="8">
        <v>8</v>
      </c>
      <c r="N233" s="8">
        <v>498</v>
      </c>
      <c r="V233" s="8">
        <v>43</v>
      </c>
      <c r="W233" s="8">
        <v>1307</v>
      </c>
      <c r="Y233" s="8">
        <v>3120</v>
      </c>
      <c r="Z233" s="8">
        <v>3</v>
      </c>
      <c r="AA233" s="8">
        <v>1200</v>
      </c>
      <c r="AE233" s="8">
        <v>2200</v>
      </c>
      <c r="AF233" s="8">
        <v>280</v>
      </c>
      <c r="AG233" s="8">
        <v>5</v>
      </c>
      <c r="AV233" s="8">
        <v>294</v>
      </c>
      <c r="AW233" s="8">
        <v>150</v>
      </c>
      <c r="BF233" s="8">
        <v>75</v>
      </c>
      <c r="BL233" s="29"/>
      <c r="BM233" s="8" t="s">
        <v>711</v>
      </c>
    </row>
    <row r="234" spans="1:65" ht="25.5" x14ac:dyDescent="0.2">
      <c r="A234" s="8" t="s">
        <v>1529</v>
      </c>
      <c r="B234" s="8" t="s">
        <v>1511</v>
      </c>
      <c r="G234" s="8" t="s">
        <v>1527</v>
      </c>
      <c r="H234" s="8" t="s">
        <v>1528</v>
      </c>
      <c r="I234" s="21">
        <v>41684</v>
      </c>
      <c r="J234" s="8">
        <v>1700</v>
      </c>
      <c r="K234" s="8">
        <v>98</v>
      </c>
      <c r="N234" s="8">
        <v>290</v>
      </c>
      <c r="R234" s="8">
        <v>45</v>
      </c>
      <c r="Y234" s="8">
        <v>17</v>
      </c>
      <c r="AE234" s="8">
        <v>44</v>
      </c>
      <c r="AF234" s="8">
        <v>2</v>
      </c>
      <c r="AJ234" s="8">
        <v>2</v>
      </c>
      <c r="BL234" s="29"/>
      <c r="BM234" s="8" t="s">
        <v>711</v>
      </c>
    </row>
    <row r="235" spans="1:65" ht="25.5" x14ac:dyDescent="0.2">
      <c r="A235" s="8" t="s">
        <v>1530</v>
      </c>
      <c r="B235" s="8" t="s">
        <v>1531</v>
      </c>
      <c r="C235" s="8">
        <v>29.421661</v>
      </c>
      <c r="D235" s="8">
        <v>-81.103161</v>
      </c>
      <c r="E235" s="8">
        <v>29.41825</v>
      </c>
      <c r="F235" s="8">
        <v>-81.101873999999995</v>
      </c>
      <c r="G235" s="8" t="s">
        <v>1532</v>
      </c>
      <c r="H235" s="8" t="s">
        <v>1048</v>
      </c>
      <c r="I235" s="21">
        <v>41677</v>
      </c>
      <c r="J235" s="23">
        <v>0.40625</v>
      </c>
      <c r="K235" s="8"/>
      <c r="L235" s="8"/>
      <c r="M235" s="8"/>
      <c r="N235" s="8">
        <v>2</v>
      </c>
      <c r="O235" s="8"/>
      <c r="P235" s="8"/>
      <c r="Q235" s="8"/>
      <c r="R235" s="8"/>
      <c r="S235" s="8"/>
      <c r="T235" s="8"/>
      <c r="U235" s="8"/>
      <c r="V235" s="8"/>
      <c r="W235" s="8"/>
      <c r="X235" s="8"/>
      <c r="Y235" s="8"/>
      <c r="Z235" s="8"/>
      <c r="AA235" s="8"/>
      <c r="AB235" s="8"/>
      <c r="AC235" s="8"/>
      <c r="AD235" s="8"/>
      <c r="AE235" s="8">
        <v>1</v>
      </c>
      <c r="AF235" s="8"/>
      <c r="AG235" s="8"/>
      <c r="AH235" s="8"/>
      <c r="AI235" s="8"/>
      <c r="AJ235" s="8"/>
      <c r="AK235" s="8"/>
      <c r="AL235" s="8"/>
      <c r="AM235" s="8"/>
      <c r="AN235" s="8"/>
      <c r="AO235" s="8">
        <v>5</v>
      </c>
      <c r="AP235" s="8"/>
      <c r="AQ235" s="8"/>
      <c r="AR235" s="8"/>
      <c r="AS235" s="8"/>
      <c r="AT235" s="8"/>
      <c r="AU235" s="8"/>
      <c r="AV235" s="8"/>
      <c r="AW235" s="8"/>
      <c r="AX235" s="8"/>
      <c r="AY235" s="8"/>
      <c r="AZ235" s="8"/>
      <c r="BA235" s="8"/>
      <c r="BB235" s="8"/>
      <c r="BC235" s="8"/>
      <c r="BD235" s="8"/>
      <c r="BE235" s="8"/>
      <c r="BF235" s="8"/>
      <c r="BG235" s="8"/>
      <c r="BH235" s="8"/>
      <c r="BI235" s="8"/>
      <c r="BJ235" s="8"/>
      <c r="BK235" s="8"/>
      <c r="BL235" s="19">
        <f t="shared" ref="BL235:BL252" si="21">SUM(K235:BK235)</f>
        <v>8</v>
      </c>
      <c r="BM235" s="8" t="s">
        <v>1533</v>
      </c>
    </row>
    <row r="236" spans="1:65" ht="51" x14ac:dyDescent="0.2">
      <c r="A236" s="8" t="s">
        <v>1534</v>
      </c>
      <c r="B236" s="8" t="s">
        <v>1531</v>
      </c>
      <c r="C236" s="8">
        <v>29.405847999999999</v>
      </c>
      <c r="D236" s="8">
        <v>-81.096659000000002</v>
      </c>
      <c r="E236" s="8">
        <v>29.394176000000002</v>
      </c>
      <c r="F236" s="8">
        <v>-81.091952000000006</v>
      </c>
      <c r="G236" s="8" t="s">
        <v>1535</v>
      </c>
      <c r="H236" s="8" t="s">
        <v>1048</v>
      </c>
      <c r="I236" s="21">
        <v>41677</v>
      </c>
      <c r="J236" s="23">
        <v>0.4375</v>
      </c>
      <c r="K236" s="8"/>
      <c r="L236" s="8"/>
      <c r="M236" s="8"/>
      <c r="N236" s="8">
        <v>2</v>
      </c>
      <c r="O236" s="8"/>
      <c r="P236" s="8"/>
      <c r="Q236" s="8"/>
      <c r="R236" s="8">
        <v>6</v>
      </c>
      <c r="S236" s="8">
        <v>2</v>
      </c>
      <c r="T236" s="8"/>
      <c r="U236" s="8"/>
      <c r="V236" s="8"/>
      <c r="W236" s="8"/>
      <c r="X236" s="8"/>
      <c r="Y236" s="8"/>
      <c r="Z236" s="8"/>
      <c r="AA236" s="8"/>
      <c r="AB236" s="8"/>
      <c r="AC236" s="8"/>
      <c r="AD236" s="8"/>
      <c r="AE236" s="8">
        <v>1</v>
      </c>
      <c r="AF236" s="8">
        <v>2</v>
      </c>
      <c r="AG236" s="8"/>
      <c r="AH236" s="8"/>
      <c r="AI236" s="8"/>
      <c r="AJ236" s="8"/>
      <c r="AK236" s="8"/>
      <c r="AL236" s="8"/>
      <c r="AM236" s="8">
        <v>25</v>
      </c>
      <c r="AN236" s="8"/>
      <c r="AO236" s="8">
        <v>4</v>
      </c>
      <c r="AP236" s="8">
        <v>5</v>
      </c>
      <c r="AQ236" s="8"/>
      <c r="AR236" s="8"/>
      <c r="AS236" s="8"/>
      <c r="AT236" s="8"/>
      <c r="AU236" s="8"/>
      <c r="AV236" s="8"/>
      <c r="AW236" s="8"/>
      <c r="AX236" s="8"/>
      <c r="AY236" s="8">
        <v>3</v>
      </c>
      <c r="AZ236" s="8"/>
      <c r="BA236" s="8"/>
      <c r="BB236" s="8"/>
      <c r="BC236" s="8"/>
      <c r="BD236" s="8"/>
      <c r="BE236" s="8"/>
      <c r="BF236" s="8">
        <v>2</v>
      </c>
      <c r="BG236" s="8"/>
      <c r="BH236" s="8"/>
      <c r="BI236" s="8"/>
      <c r="BJ236" s="8"/>
      <c r="BK236" s="8"/>
      <c r="BL236" s="19">
        <f t="shared" si="21"/>
        <v>52</v>
      </c>
      <c r="BM236" s="8" t="s">
        <v>1536</v>
      </c>
    </row>
    <row r="237" spans="1:65" ht="25.5" x14ac:dyDescent="0.2">
      <c r="A237" s="8" t="s">
        <v>882</v>
      </c>
      <c r="B237" s="8" t="s">
        <v>1531</v>
      </c>
      <c r="C237" s="8" t="s">
        <v>1537</v>
      </c>
      <c r="D237" s="8" t="s">
        <v>1538</v>
      </c>
      <c r="E237" s="8" t="s">
        <v>1539</v>
      </c>
      <c r="F237" s="8" t="s">
        <v>1540</v>
      </c>
      <c r="G237" s="8" t="s">
        <v>883</v>
      </c>
      <c r="H237" s="8" t="s">
        <v>1541</v>
      </c>
      <c r="I237" s="21">
        <v>41684</v>
      </c>
      <c r="J237" s="23">
        <v>0.34375</v>
      </c>
      <c r="K237" s="8"/>
      <c r="L237" s="8"/>
      <c r="M237" s="8"/>
      <c r="N237" s="8">
        <v>29</v>
      </c>
      <c r="O237" s="8"/>
      <c r="P237" s="8"/>
      <c r="Q237" s="8"/>
      <c r="R237" s="8">
        <v>11</v>
      </c>
      <c r="S237" s="8">
        <v>474</v>
      </c>
      <c r="T237" s="8">
        <v>1</v>
      </c>
      <c r="U237" s="8"/>
      <c r="V237" s="8"/>
      <c r="W237" s="8">
        <v>3</v>
      </c>
      <c r="X237" s="8"/>
      <c r="Y237" s="8">
        <v>3</v>
      </c>
      <c r="Z237" s="8"/>
      <c r="AA237" s="8">
        <v>72</v>
      </c>
      <c r="AB237" s="8"/>
      <c r="AC237" s="8"/>
      <c r="AD237" s="8"/>
      <c r="AE237" s="8">
        <v>34</v>
      </c>
      <c r="AF237" s="8">
        <v>353</v>
      </c>
      <c r="AG237" s="8"/>
      <c r="AH237" s="8"/>
      <c r="AI237" s="8"/>
      <c r="AJ237" s="8"/>
      <c r="AK237" s="8"/>
      <c r="AL237" s="8">
        <v>13</v>
      </c>
      <c r="AM237" s="8"/>
      <c r="AN237" s="8"/>
      <c r="AO237" s="8"/>
      <c r="AP237" s="8"/>
      <c r="AQ237" s="8"/>
      <c r="AR237" s="8"/>
      <c r="AS237" s="8"/>
      <c r="AT237" s="8"/>
      <c r="AU237" s="8"/>
      <c r="AV237" s="8"/>
      <c r="AW237" s="8">
        <v>36</v>
      </c>
      <c r="AX237" s="8">
        <v>9</v>
      </c>
      <c r="AY237" s="8"/>
      <c r="AZ237" s="8"/>
      <c r="BA237" s="8"/>
      <c r="BB237" s="8"/>
      <c r="BC237" s="8"/>
      <c r="BD237" s="8"/>
      <c r="BE237" s="8"/>
      <c r="BF237" s="8">
        <v>87</v>
      </c>
      <c r="BG237" s="8">
        <v>53</v>
      </c>
      <c r="BH237" s="8"/>
      <c r="BI237" s="8"/>
      <c r="BJ237" s="8">
        <v>214</v>
      </c>
      <c r="BK237" s="8"/>
      <c r="BL237" s="19">
        <f t="shared" si="21"/>
        <v>1392</v>
      </c>
      <c r="BM237" s="8" t="s">
        <v>423</v>
      </c>
    </row>
    <row r="238" spans="1:65" ht="25.5" x14ac:dyDescent="0.2">
      <c r="A238" s="8" t="s">
        <v>1542</v>
      </c>
      <c r="B238" s="8" t="s">
        <v>1531</v>
      </c>
      <c r="C238" s="8">
        <v>28.948888</v>
      </c>
      <c r="D238" s="8">
        <v>-80.841666000000004</v>
      </c>
      <c r="E238" s="8">
        <v>28.916665999999999</v>
      </c>
      <c r="F238" s="8">
        <v>-80.830551999999997</v>
      </c>
      <c r="G238" s="8" t="s">
        <v>906</v>
      </c>
      <c r="H238" s="8" t="s">
        <v>1543</v>
      </c>
      <c r="I238" s="21">
        <v>41684</v>
      </c>
      <c r="J238" s="8">
        <v>800</v>
      </c>
      <c r="K238" s="8">
        <v>15</v>
      </c>
      <c r="N238" s="8">
        <v>10</v>
      </c>
      <c r="O238" s="8">
        <v>11</v>
      </c>
      <c r="P238" s="8">
        <v>1</v>
      </c>
      <c r="R238" s="8">
        <v>16</v>
      </c>
      <c r="S238" s="8">
        <v>1</v>
      </c>
      <c r="Y238" s="8">
        <v>1</v>
      </c>
      <c r="AE238" s="8">
        <v>4</v>
      </c>
      <c r="AF238" s="8">
        <v>1</v>
      </c>
      <c r="AJ238" s="8">
        <v>3</v>
      </c>
      <c r="AL238" s="8">
        <v>6</v>
      </c>
      <c r="AM238" s="8">
        <v>36</v>
      </c>
      <c r="AQ238" s="8">
        <v>2</v>
      </c>
      <c r="AT238" s="8">
        <v>2</v>
      </c>
      <c r="BL238" s="19">
        <f t="shared" si="21"/>
        <v>109</v>
      </c>
      <c r="BM238" s="8" t="s">
        <v>1544</v>
      </c>
    </row>
    <row r="239" spans="1:65" ht="25.5" x14ac:dyDescent="0.2">
      <c r="A239" s="8" t="s">
        <v>1545</v>
      </c>
      <c r="B239" s="8" t="s">
        <v>1531</v>
      </c>
      <c r="C239" s="8">
        <v>28.967296999999999</v>
      </c>
      <c r="D239" s="8">
        <v>-80.849903999999995</v>
      </c>
      <c r="E239" s="8">
        <v>29.009540999999999</v>
      </c>
      <c r="F239" s="8">
        <v>-80.878119999999996</v>
      </c>
      <c r="G239" s="8" t="s">
        <v>1546</v>
      </c>
      <c r="H239" s="8" t="s">
        <v>1547</v>
      </c>
      <c r="I239" s="21">
        <v>41684</v>
      </c>
      <c r="J239" s="8">
        <v>800</v>
      </c>
      <c r="L239" s="8">
        <v>5</v>
      </c>
      <c r="N239" s="8">
        <v>9</v>
      </c>
      <c r="S239" s="8">
        <v>31</v>
      </c>
      <c r="W239" s="8">
        <v>2</v>
      </c>
      <c r="Y239" s="8">
        <v>110</v>
      </c>
      <c r="AE239" s="8">
        <v>64</v>
      </c>
      <c r="AF239" s="8">
        <v>81</v>
      </c>
      <c r="AL239" s="8">
        <v>6</v>
      </c>
      <c r="AW239" s="8">
        <v>60</v>
      </c>
      <c r="AX239" s="8">
        <v>110</v>
      </c>
      <c r="AY239" s="8">
        <v>16</v>
      </c>
      <c r="BF239" s="8">
        <v>43</v>
      </c>
      <c r="BL239" s="19">
        <f t="shared" si="21"/>
        <v>537</v>
      </c>
      <c r="BM239" s="8" t="s">
        <v>1548</v>
      </c>
    </row>
    <row r="240" spans="1:65" ht="25.5" x14ac:dyDescent="0.2">
      <c r="A240" s="8" t="s">
        <v>907</v>
      </c>
      <c r="B240" s="8" t="s">
        <v>1531</v>
      </c>
      <c r="C240" s="8">
        <v>29.03913</v>
      </c>
      <c r="D240" s="8">
        <v>-80.544759999999997</v>
      </c>
      <c r="E240" s="8">
        <v>29.023209999999999</v>
      </c>
      <c r="F240" s="8">
        <v>-80.537099999999995</v>
      </c>
      <c r="G240" s="8" t="s">
        <v>908</v>
      </c>
      <c r="H240" s="8" t="s">
        <v>1549</v>
      </c>
      <c r="I240" s="21">
        <v>41684</v>
      </c>
      <c r="J240" s="8">
        <v>800</v>
      </c>
      <c r="K240" s="8">
        <v>200</v>
      </c>
      <c r="S240" s="8">
        <v>42</v>
      </c>
      <c r="V240" s="8">
        <v>1</v>
      </c>
      <c r="W240" s="8">
        <v>1</v>
      </c>
      <c r="Y240" s="8">
        <v>9</v>
      </c>
      <c r="AE240" s="8">
        <v>39</v>
      </c>
      <c r="AF240" s="8">
        <v>42</v>
      </c>
      <c r="AW240" s="8">
        <v>9</v>
      </c>
      <c r="AX240" s="8">
        <v>1</v>
      </c>
      <c r="BF240" s="8">
        <v>5</v>
      </c>
      <c r="BL240" s="19">
        <f t="shared" si="21"/>
        <v>349</v>
      </c>
      <c r="BM240" s="8" t="s">
        <v>1548</v>
      </c>
    </row>
    <row r="241" spans="1:65" ht="25.5" x14ac:dyDescent="0.2">
      <c r="A241" s="8" t="s">
        <v>910</v>
      </c>
      <c r="B241" s="8" t="s">
        <v>1531</v>
      </c>
      <c r="C241" s="8">
        <v>29.009270000000001</v>
      </c>
      <c r="D241" s="8">
        <v>-80.877340000000004</v>
      </c>
      <c r="E241" s="8">
        <v>29.02093</v>
      </c>
      <c r="F241" s="8">
        <v>-80.885130000000004</v>
      </c>
      <c r="G241" s="8" t="s">
        <v>911</v>
      </c>
      <c r="H241" s="8" t="s">
        <v>1550</v>
      </c>
      <c r="I241" s="21">
        <v>41684</v>
      </c>
      <c r="J241" s="8">
        <v>800</v>
      </c>
      <c r="K241" s="8">
        <v>2</v>
      </c>
      <c r="L241" s="8">
        <v>8</v>
      </c>
      <c r="N241" s="8">
        <v>1</v>
      </c>
      <c r="S241" s="8">
        <v>52</v>
      </c>
      <c r="Y241" s="8">
        <v>103</v>
      </c>
      <c r="AE241" s="8">
        <v>73</v>
      </c>
      <c r="AF241" s="8">
        <v>130</v>
      </c>
      <c r="AW241" s="8">
        <v>29</v>
      </c>
      <c r="AX241" s="8">
        <v>35</v>
      </c>
      <c r="BF241" s="8">
        <v>18</v>
      </c>
      <c r="BL241" s="19">
        <f t="shared" si="21"/>
        <v>451</v>
      </c>
      <c r="BM241" s="8" t="s">
        <v>1548</v>
      </c>
    </row>
    <row r="242" spans="1:65" ht="38.25" x14ac:dyDescent="0.2">
      <c r="A242" s="11" t="s">
        <v>919</v>
      </c>
      <c r="B242" s="8" t="s">
        <v>1531</v>
      </c>
      <c r="C242" s="8">
        <v>28.994039999999998</v>
      </c>
      <c r="D242" s="8">
        <v>-80.903899999999993</v>
      </c>
      <c r="E242" s="8">
        <v>28.935548000000001</v>
      </c>
      <c r="F242" s="8">
        <v>-80.865830000000003</v>
      </c>
      <c r="G242" s="8" t="s">
        <v>916</v>
      </c>
      <c r="H242" s="8" t="s">
        <v>1551</v>
      </c>
      <c r="I242" s="21">
        <v>41682</v>
      </c>
      <c r="J242" s="8">
        <v>800</v>
      </c>
      <c r="K242" s="8">
        <v>31</v>
      </c>
      <c r="N242" s="8">
        <v>45</v>
      </c>
      <c r="P242" s="8">
        <v>4</v>
      </c>
      <c r="R242" s="8">
        <v>191</v>
      </c>
      <c r="S242" s="8">
        <v>29</v>
      </c>
      <c r="Y242" s="8">
        <v>21</v>
      </c>
      <c r="AF242" s="8">
        <v>1</v>
      </c>
      <c r="AI242" s="8">
        <v>10</v>
      </c>
      <c r="AJ242" s="8">
        <v>2</v>
      </c>
      <c r="AL242" s="8">
        <v>6</v>
      </c>
      <c r="AM242" s="8">
        <v>20</v>
      </c>
      <c r="AV242" s="8">
        <v>10</v>
      </c>
      <c r="AY242" s="8">
        <v>8</v>
      </c>
      <c r="BL242" s="19">
        <f t="shared" si="21"/>
        <v>378</v>
      </c>
    </row>
    <row r="243" spans="1:65" ht="25.5" x14ac:dyDescent="0.2">
      <c r="A243" s="11" t="s">
        <v>395</v>
      </c>
      <c r="B243" s="11" t="s">
        <v>1552</v>
      </c>
      <c r="C243" s="11">
        <v>29.970410000000001</v>
      </c>
      <c r="D243" s="11">
        <v>-84.346080000000001</v>
      </c>
      <c r="E243" s="11">
        <v>29.978069999999999</v>
      </c>
      <c r="F243" s="11">
        <v>-84.341579999999993</v>
      </c>
      <c r="G243" s="11" t="s">
        <v>54</v>
      </c>
      <c r="H243" s="11" t="s">
        <v>1077</v>
      </c>
      <c r="I243" s="13">
        <v>41682</v>
      </c>
      <c r="J243" s="27">
        <v>0.30555555555555558</v>
      </c>
      <c r="K243" s="8">
        <v>67</v>
      </c>
      <c r="N243" s="8">
        <v>17</v>
      </c>
      <c r="O243" s="14"/>
      <c r="S243" s="8">
        <v>11</v>
      </c>
      <c r="W243" s="8">
        <v>3</v>
      </c>
      <c r="X243" s="14"/>
      <c r="Y243" s="8">
        <v>4</v>
      </c>
      <c r="AD243" s="14"/>
      <c r="AE243" s="8">
        <v>12</v>
      </c>
      <c r="AG243" s="14"/>
      <c r="AI243" s="14"/>
      <c r="AL243" s="8">
        <v>4</v>
      </c>
      <c r="AM243" s="8">
        <v>17</v>
      </c>
      <c r="AN243" s="14"/>
      <c r="AW243" s="14"/>
      <c r="AX243" s="8">
        <v>8</v>
      </c>
      <c r="AY243" s="8">
        <v>9</v>
      </c>
      <c r="BF243" s="8">
        <v>5</v>
      </c>
      <c r="BG243" s="8">
        <v>1</v>
      </c>
      <c r="BK243" s="14"/>
      <c r="BL243" s="19">
        <f t="shared" si="21"/>
        <v>158</v>
      </c>
      <c r="BM243" s="11" t="s">
        <v>1553</v>
      </c>
    </row>
    <row r="244" spans="1:65" ht="31.5" customHeight="1" x14ac:dyDescent="0.2">
      <c r="A244" s="11" t="s">
        <v>398</v>
      </c>
      <c r="B244" s="11" t="s">
        <v>1552</v>
      </c>
      <c r="C244" s="11">
        <v>30.057659999999998</v>
      </c>
      <c r="D244" s="11">
        <v>-84.296250000000001</v>
      </c>
      <c r="E244" s="28">
        <v>30.05921</v>
      </c>
      <c r="F244" s="11">
        <v>-84.285570000000007</v>
      </c>
      <c r="G244" s="11" t="s">
        <v>54</v>
      </c>
      <c r="H244" s="11" t="s">
        <v>1077</v>
      </c>
      <c r="I244" s="13">
        <v>41682</v>
      </c>
      <c r="J244" s="27">
        <v>0.38194444444444442</v>
      </c>
      <c r="N244" s="8">
        <v>6</v>
      </c>
      <c r="P244" s="8">
        <v>2</v>
      </c>
      <c r="W244" s="8">
        <v>2</v>
      </c>
      <c r="X244" s="11">
        <v>1</v>
      </c>
      <c r="Y244" s="8">
        <v>7</v>
      </c>
      <c r="AI244" s="11">
        <v>8</v>
      </c>
      <c r="AJ244" s="8">
        <v>3</v>
      </c>
      <c r="AL244" s="8">
        <v>2</v>
      </c>
      <c r="AM244" s="8">
        <v>3</v>
      </c>
      <c r="AN244" s="14"/>
      <c r="AO244" s="11">
        <v>2</v>
      </c>
      <c r="AP244" s="8">
        <v>4</v>
      </c>
      <c r="AV244" s="14"/>
      <c r="AW244" s="11">
        <v>1</v>
      </c>
      <c r="AY244" s="8">
        <v>13</v>
      </c>
      <c r="BA244" s="14"/>
      <c r="BC244" s="8">
        <v>1</v>
      </c>
      <c r="BF244" s="8">
        <v>5</v>
      </c>
      <c r="BL244" s="19">
        <f t="shared" si="21"/>
        <v>60</v>
      </c>
      <c r="BM244" s="8" t="s">
        <v>1554</v>
      </c>
    </row>
    <row r="245" spans="1:65" ht="14.25" x14ac:dyDescent="0.2">
      <c r="A245" s="8" t="s">
        <v>846</v>
      </c>
      <c r="B245" s="8" t="s">
        <v>1552</v>
      </c>
      <c r="C245" s="8">
        <v>30.073649</v>
      </c>
      <c r="D245" s="8">
        <v>-84.179725000000005</v>
      </c>
      <c r="E245" s="8">
        <v>30.072398</v>
      </c>
      <c r="F245" s="8">
        <v>-84.172765999999996</v>
      </c>
      <c r="G245" s="8" t="s">
        <v>847</v>
      </c>
      <c r="H245" s="8" t="s">
        <v>1555</v>
      </c>
      <c r="I245" s="21">
        <v>41683</v>
      </c>
      <c r="J245" s="23">
        <v>0.46875</v>
      </c>
      <c r="K245" s="8"/>
      <c r="L245" s="8"/>
      <c r="M245" s="8"/>
      <c r="N245" s="8">
        <v>2</v>
      </c>
      <c r="O245" s="8"/>
      <c r="P245" s="8"/>
      <c r="Q245" s="8"/>
      <c r="R245" s="8"/>
      <c r="S245" s="8"/>
      <c r="T245" s="8"/>
      <c r="U245" s="8"/>
      <c r="V245" s="8"/>
      <c r="W245" s="8"/>
      <c r="X245" s="8"/>
      <c r="Y245" s="8"/>
      <c r="Z245" s="8"/>
      <c r="AA245" s="8"/>
      <c r="AB245" s="8"/>
      <c r="AC245" s="8"/>
      <c r="AD245" s="8"/>
      <c r="AE245" s="8">
        <v>1</v>
      </c>
      <c r="AF245" s="8"/>
      <c r="AG245" s="8"/>
      <c r="AH245" s="8"/>
      <c r="AI245" s="8"/>
      <c r="AJ245" s="8"/>
      <c r="AK245" s="8"/>
      <c r="AL245" s="8"/>
      <c r="AM245" s="8"/>
      <c r="AN245" s="8"/>
      <c r="AO245" s="8"/>
      <c r="AP245" s="8"/>
      <c r="AQ245" s="8"/>
      <c r="AR245" s="8"/>
      <c r="AS245" s="8"/>
      <c r="AT245" s="8"/>
      <c r="AU245" s="8"/>
      <c r="AV245" s="8"/>
      <c r="AW245" s="8"/>
      <c r="AX245" s="8"/>
      <c r="AY245" s="8">
        <v>10</v>
      </c>
      <c r="AZ245" s="8"/>
      <c r="BA245" s="8"/>
      <c r="BB245" s="8"/>
      <c r="BC245" s="8"/>
      <c r="BD245" s="8"/>
      <c r="BE245" s="8"/>
      <c r="BF245" s="8"/>
      <c r="BG245" s="8"/>
      <c r="BH245" s="8"/>
      <c r="BI245" s="8"/>
      <c r="BJ245" s="8"/>
      <c r="BK245" s="8"/>
      <c r="BL245" s="19">
        <f t="shared" si="21"/>
        <v>13</v>
      </c>
      <c r="BM245" s="8" t="s">
        <v>1556</v>
      </c>
    </row>
    <row r="246" spans="1:65" ht="20.25" customHeight="1" x14ac:dyDescent="0.2">
      <c r="A246" s="11" t="s">
        <v>270</v>
      </c>
      <c r="B246" s="11" t="s">
        <v>1557</v>
      </c>
      <c r="C246" s="11">
        <v>30.29928</v>
      </c>
      <c r="D246" s="11">
        <v>-86.077259999999995</v>
      </c>
      <c r="E246" s="11">
        <v>30.30226</v>
      </c>
      <c r="F246" s="11">
        <v>-86.085070000000002</v>
      </c>
      <c r="G246" s="11" t="s">
        <v>202</v>
      </c>
      <c r="H246" s="11" t="s">
        <v>203</v>
      </c>
      <c r="I246" s="13">
        <v>41680</v>
      </c>
      <c r="J246" s="27">
        <v>0.60069444444444442</v>
      </c>
      <c r="K246" s="11"/>
      <c r="L246" s="11"/>
      <c r="M246" s="11"/>
      <c r="N246" s="11"/>
      <c r="O246" s="11"/>
      <c r="P246" s="11"/>
      <c r="Q246" s="11"/>
      <c r="R246" s="11"/>
      <c r="S246" s="11"/>
      <c r="T246" s="11"/>
      <c r="U246" s="11"/>
      <c r="V246" s="11"/>
      <c r="W246" s="11"/>
      <c r="X246" s="11"/>
      <c r="Y246" s="11"/>
      <c r="Z246" s="11"/>
      <c r="AA246" s="11"/>
      <c r="AB246" s="11"/>
      <c r="AC246" s="11"/>
      <c r="AD246" s="11"/>
      <c r="AE246" s="11">
        <v>15</v>
      </c>
      <c r="AF246" s="11"/>
      <c r="AG246" s="11"/>
      <c r="AH246" s="11"/>
      <c r="AI246" s="11"/>
      <c r="AJ246" s="11"/>
      <c r="AK246" s="11"/>
      <c r="AL246" s="11"/>
      <c r="AM246" s="11"/>
      <c r="AN246" s="11"/>
      <c r="AO246" s="11"/>
      <c r="AP246" s="11"/>
      <c r="AQ246" s="11"/>
      <c r="AR246" s="11"/>
      <c r="AS246" s="11"/>
      <c r="AT246" s="11"/>
      <c r="AU246" s="11"/>
      <c r="AV246" s="11"/>
      <c r="AW246" s="11"/>
      <c r="AX246" s="11">
        <v>9</v>
      </c>
      <c r="AY246" s="11"/>
      <c r="AZ246" s="11"/>
      <c r="BA246" s="11"/>
      <c r="BB246" s="11">
        <v>4</v>
      </c>
      <c r="BC246" s="11"/>
      <c r="BD246" s="11"/>
      <c r="BE246" s="11"/>
      <c r="BF246" s="11">
        <v>1</v>
      </c>
      <c r="BG246" s="11"/>
      <c r="BH246" s="11"/>
      <c r="BI246" s="11"/>
      <c r="BJ246" s="11"/>
      <c r="BK246" s="11"/>
      <c r="BL246" s="19">
        <f t="shared" si="21"/>
        <v>29</v>
      </c>
    </row>
    <row r="247" spans="1:65" ht="14.25" x14ac:dyDescent="0.2">
      <c r="A247" s="8" t="s">
        <v>274</v>
      </c>
      <c r="B247" s="8" t="s">
        <v>1557</v>
      </c>
      <c r="C247" s="11">
        <v>30.30226</v>
      </c>
      <c r="D247" s="11">
        <v>-86.085070000000002</v>
      </c>
      <c r="E247" s="8">
        <v>30.306159999999998</v>
      </c>
      <c r="F247" s="8">
        <v>-86.097049999999996</v>
      </c>
      <c r="G247" s="11" t="s">
        <v>202</v>
      </c>
      <c r="H247" s="11" t="s">
        <v>203</v>
      </c>
      <c r="I247" s="13">
        <v>41680</v>
      </c>
      <c r="J247" s="23">
        <v>0.67152777777777772</v>
      </c>
      <c r="K247" s="8"/>
      <c r="L247" s="8">
        <v>51</v>
      </c>
      <c r="M247" s="8"/>
      <c r="N247" s="8"/>
      <c r="O247" s="8"/>
      <c r="P247" s="8"/>
      <c r="Q247" s="8"/>
      <c r="R247" s="8"/>
      <c r="S247" s="8">
        <v>1</v>
      </c>
      <c r="T247" s="8"/>
      <c r="U247" s="8"/>
      <c r="V247" s="8"/>
      <c r="W247" s="8"/>
      <c r="X247" s="8"/>
      <c r="Y247" s="8">
        <v>3</v>
      </c>
      <c r="Z247" s="8"/>
      <c r="AA247" s="8"/>
      <c r="AB247" s="8"/>
      <c r="AC247" s="8"/>
      <c r="AD247" s="8"/>
      <c r="AE247" s="8">
        <v>3</v>
      </c>
      <c r="AF247" s="8"/>
      <c r="AG247" s="8"/>
      <c r="AH247" s="8"/>
      <c r="AI247" s="8"/>
      <c r="AJ247" s="8"/>
      <c r="AK247" s="8"/>
      <c r="AL247" s="8"/>
      <c r="AM247" s="8"/>
      <c r="AN247" s="8"/>
      <c r="AO247" s="8"/>
      <c r="AP247" s="8"/>
      <c r="AQ247" s="8"/>
      <c r="AR247" s="8"/>
      <c r="AS247" s="8"/>
      <c r="AT247" s="8"/>
      <c r="AU247" s="8"/>
      <c r="AV247" s="8"/>
      <c r="AW247" s="8"/>
      <c r="AX247" s="8">
        <v>24</v>
      </c>
      <c r="AY247" s="8"/>
      <c r="AZ247" s="8"/>
      <c r="BA247" s="8"/>
      <c r="BB247" s="8"/>
      <c r="BC247" s="8"/>
      <c r="BD247" s="8"/>
      <c r="BE247" s="8"/>
      <c r="BF247" s="8"/>
      <c r="BG247" s="8"/>
      <c r="BH247" s="8"/>
      <c r="BI247" s="8"/>
      <c r="BJ247" s="8"/>
      <c r="BK247" s="8"/>
      <c r="BL247" s="19">
        <f t="shared" si="21"/>
        <v>82</v>
      </c>
    </row>
    <row r="248" spans="1:65" ht="37.5" customHeight="1" x14ac:dyDescent="0.2">
      <c r="A248" s="11" t="s">
        <v>1558</v>
      </c>
      <c r="B248" s="8" t="s">
        <v>1557</v>
      </c>
      <c r="C248" s="11">
        <v>30.29928</v>
      </c>
      <c r="D248" s="11">
        <v>-86.077259999999995</v>
      </c>
      <c r="E248" s="8">
        <v>30.29345</v>
      </c>
      <c r="F248" s="8">
        <v>-86.060890000000001</v>
      </c>
      <c r="G248" s="11" t="s">
        <v>202</v>
      </c>
      <c r="H248" s="11" t="s">
        <v>203</v>
      </c>
      <c r="I248" s="13">
        <v>41680</v>
      </c>
      <c r="J248" s="27">
        <v>0.62986111111111109</v>
      </c>
      <c r="K248" s="8"/>
      <c r="L248" s="8">
        <v>120</v>
      </c>
      <c r="M248" s="8"/>
      <c r="N248" s="8">
        <v>1</v>
      </c>
      <c r="O248" s="8"/>
      <c r="P248" s="8"/>
      <c r="Q248" s="8"/>
      <c r="R248" s="8"/>
      <c r="S248" s="8">
        <v>18</v>
      </c>
      <c r="T248" s="8"/>
      <c r="U248" s="8"/>
      <c r="V248" s="8"/>
      <c r="W248" s="8">
        <v>2</v>
      </c>
      <c r="X248" s="8"/>
      <c r="Y248" s="8">
        <v>8</v>
      </c>
      <c r="Z248" s="8"/>
      <c r="AA248" s="8"/>
      <c r="AB248" s="11"/>
      <c r="AC248" s="8"/>
      <c r="AD248" s="8"/>
      <c r="AE248" s="11">
        <v>4</v>
      </c>
      <c r="AF248" s="8"/>
      <c r="AG248" s="11"/>
      <c r="AH248" s="8"/>
      <c r="AI248" s="11"/>
      <c r="AJ248" s="8"/>
      <c r="AK248" s="8"/>
      <c r="AL248" s="11"/>
      <c r="AM248" s="8"/>
      <c r="AN248" s="11"/>
      <c r="AO248" s="8"/>
      <c r="AP248" s="8"/>
      <c r="AQ248" s="8"/>
      <c r="AR248" s="8"/>
      <c r="AS248" s="8"/>
      <c r="AT248" s="8"/>
      <c r="AU248" s="8"/>
      <c r="AV248" s="11"/>
      <c r="AW248" s="11"/>
      <c r="AX248" s="8">
        <v>3</v>
      </c>
      <c r="AY248" s="8"/>
      <c r="AZ248" s="8"/>
      <c r="BA248" s="8"/>
      <c r="BB248" s="8">
        <v>3</v>
      </c>
      <c r="BC248" s="11"/>
      <c r="BD248" s="8"/>
      <c r="BE248" s="8"/>
      <c r="BF248" s="8"/>
      <c r="BG248" s="8"/>
      <c r="BH248" s="8"/>
      <c r="BI248" s="8"/>
      <c r="BJ248" s="8"/>
      <c r="BK248" s="8"/>
      <c r="BL248" s="19">
        <f t="shared" si="21"/>
        <v>159</v>
      </c>
    </row>
    <row r="249" spans="1:65" ht="15" customHeight="1" x14ac:dyDescent="0.2">
      <c r="A249" s="37" t="s">
        <v>283</v>
      </c>
      <c r="B249" s="37" t="s">
        <v>1557</v>
      </c>
      <c r="C249" s="37">
        <v>30.321359999999999</v>
      </c>
      <c r="D249" s="37">
        <v>-86.146439999999998</v>
      </c>
      <c r="E249" s="37">
        <v>30.333649999999999</v>
      </c>
      <c r="F249" s="37">
        <v>-86.186859999999996</v>
      </c>
      <c r="G249" s="37" t="s">
        <v>284</v>
      </c>
      <c r="H249" s="11" t="s">
        <v>263</v>
      </c>
      <c r="I249" s="13">
        <v>41680</v>
      </c>
      <c r="J249" s="27">
        <v>0.66111111111111109</v>
      </c>
      <c r="K249" s="11"/>
      <c r="L249" s="11">
        <v>6</v>
      </c>
      <c r="M249" s="11"/>
      <c r="N249" s="11">
        <v>3</v>
      </c>
      <c r="O249" s="11"/>
      <c r="P249" s="11"/>
      <c r="Q249" s="11"/>
      <c r="R249" s="11"/>
      <c r="S249" s="11"/>
      <c r="T249" s="11"/>
      <c r="U249" s="11"/>
      <c r="V249" s="11"/>
      <c r="W249" s="11">
        <v>1</v>
      </c>
      <c r="X249" s="11"/>
      <c r="Y249" s="11"/>
      <c r="Z249" s="11"/>
      <c r="AA249" s="11"/>
      <c r="AB249" s="11"/>
      <c r="AC249" s="11"/>
      <c r="AD249" s="11"/>
      <c r="AE249" s="11">
        <v>18</v>
      </c>
      <c r="AF249" s="11"/>
      <c r="AG249" s="11"/>
      <c r="AH249" s="11"/>
      <c r="AI249" s="11"/>
      <c r="AJ249" s="11"/>
      <c r="AK249" s="11"/>
      <c r="AL249" s="11"/>
      <c r="AM249" s="11"/>
      <c r="AN249" s="11"/>
      <c r="AO249" s="11"/>
      <c r="AP249" s="11"/>
      <c r="AQ249" s="11"/>
      <c r="AR249" s="11"/>
      <c r="AS249" s="11"/>
      <c r="AT249" s="11"/>
      <c r="AU249" s="11"/>
      <c r="AV249" s="11"/>
      <c r="AW249" s="11"/>
      <c r="AX249" s="11">
        <v>19</v>
      </c>
      <c r="AY249" s="11"/>
      <c r="AZ249" s="11"/>
      <c r="BA249" s="11"/>
      <c r="BB249" s="11">
        <v>7</v>
      </c>
      <c r="BC249" s="11">
        <v>1</v>
      </c>
      <c r="BD249" s="11"/>
      <c r="BE249" s="11"/>
      <c r="BF249" s="11"/>
      <c r="BG249" s="11"/>
      <c r="BH249" s="11"/>
      <c r="BI249" s="11"/>
      <c r="BJ249" s="11"/>
      <c r="BK249" s="11"/>
      <c r="BL249" s="19">
        <f t="shared" si="21"/>
        <v>55</v>
      </c>
    </row>
    <row r="250" spans="1:65" ht="28.5" customHeight="1" x14ac:dyDescent="0.2">
      <c r="A250" s="11" t="s">
        <v>287</v>
      </c>
      <c r="B250" s="11" t="s">
        <v>1557</v>
      </c>
      <c r="C250" s="11">
        <v>30.355409999999999</v>
      </c>
      <c r="D250" s="11">
        <v>-86.264539999999997</v>
      </c>
      <c r="E250" s="11">
        <v>30.366769999999999</v>
      </c>
      <c r="F250" s="11">
        <v>-86.317269999999994</v>
      </c>
      <c r="G250" s="37" t="s">
        <v>1559</v>
      </c>
      <c r="H250" s="11" t="s">
        <v>263</v>
      </c>
      <c r="I250" s="13">
        <v>41680</v>
      </c>
      <c r="J250" s="23">
        <v>0.52430555555555558</v>
      </c>
      <c r="K250" s="11"/>
      <c r="L250" s="11">
        <v>401</v>
      </c>
      <c r="M250" s="11"/>
      <c r="N250" s="11">
        <v>1</v>
      </c>
      <c r="O250" s="11"/>
      <c r="P250" s="11"/>
      <c r="Q250" s="11"/>
      <c r="R250" s="11"/>
      <c r="S250" s="11"/>
      <c r="T250" s="11"/>
      <c r="U250" s="11"/>
      <c r="V250" s="11"/>
      <c r="W250" s="11"/>
      <c r="X250" s="11"/>
      <c r="Y250" s="11">
        <v>2</v>
      </c>
      <c r="Z250" s="11"/>
      <c r="AA250" s="11"/>
      <c r="AB250" s="11"/>
      <c r="AC250" s="11"/>
      <c r="AD250" s="11"/>
      <c r="AE250" s="11">
        <v>8</v>
      </c>
      <c r="AF250" s="11"/>
      <c r="AG250" s="11"/>
      <c r="AH250" s="11"/>
      <c r="AI250" s="11"/>
      <c r="AJ250" s="11"/>
      <c r="AK250" s="11"/>
      <c r="AL250" s="11"/>
      <c r="AM250" s="11"/>
      <c r="AN250" s="11"/>
      <c r="AO250" s="11">
        <v>1</v>
      </c>
      <c r="AP250" s="11">
        <v>2</v>
      </c>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9">
        <f t="shared" si="21"/>
        <v>415</v>
      </c>
    </row>
    <row r="251" spans="1:65" ht="14.25" x14ac:dyDescent="0.2">
      <c r="A251" s="8" t="s">
        <v>1560</v>
      </c>
      <c r="BL251" s="19">
        <f t="shared" si="21"/>
        <v>0</v>
      </c>
    </row>
    <row r="252" spans="1:65" ht="38.25" x14ac:dyDescent="0.2">
      <c r="A252" s="8" t="s">
        <v>1561</v>
      </c>
      <c r="C252" s="8">
        <v>29.058228100000001</v>
      </c>
      <c r="D252" s="8">
        <v>-80.965446900000003</v>
      </c>
      <c r="E252" s="8">
        <v>29.101049100000001</v>
      </c>
      <c r="F252" s="8">
        <v>-80.970239000000007</v>
      </c>
      <c r="G252" s="8" t="s">
        <v>1562</v>
      </c>
      <c r="H252" s="8" t="s">
        <v>1563</v>
      </c>
      <c r="I252" s="21">
        <v>41684</v>
      </c>
      <c r="J252" s="8">
        <v>800</v>
      </c>
      <c r="N252" s="8">
        <v>12</v>
      </c>
      <c r="P252" s="8">
        <v>1</v>
      </c>
      <c r="R252" s="8">
        <v>51</v>
      </c>
      <c r="S252" s="8">
        <v>1</v>
      </c>
      <c r="Y252" s="8">
        <v>8</v>
      </c>
      <c r="AA252" s="8">
        <v>2</v>
      </c>
      <c r="AE252" s="8">
        <v>4</v>
      </c>
      <c r="AF252" s="8">
        <v>11</v>
      </c>
      <c r="AI252" s="8">
        <v>2</v>
      </c>
      <c r="BL252" s="19">
        <f t="shared" si="21"/>
        <v>92</v>
      </c>
    </row>
    <row r="253" spans="1:65" ht="14.25" x14ac:dyDescent="0.2">
      <c r="BL253" s="29"/>
    </row>
    <row r="254" spans="1:65" ht="14.25" x14ac:dyDescent="0.2">
      <c r="BL254" s="29"/>
    </row>
    <row r="255" spans="1:65" ht="14.25" x14ac:dyDescent="0.2">
      <c r="BL255" s="29"/>
    </row>
    <row r="256" spans="1:65" ht="14.25" x14ac:dyDescent="0.2">
      <c r="BL256" s="29"/>
    </row>
    <row r="257" spans="64:64" ht="14.25" x14ac:dyDescent="0.2">
      <c r="BL257" s="29"/>
    </row>
    <row r="258" spans="64:64" ht="14.25" x14ac:dyDescent="0.2">
      <c r="BL258" s="29"/>
    </row>
    <row r="259" spans="64:64" ht="14.25" x14ac:dyDescent="0.2">
      <c r="BL259" s="29"/>
    </row>
    <row r="260" spans="64:64" ht="14.25" x14ac:dyDescent="0.2">
      <c r="BL260" s="29"/>
    </row>
    <row r="261" spans="64:64" ht="14.25" x14ac:dyDescent="0.2">
      <c r="BL261" s="29"/>
    </row>
    <row r="262" spans="64:64" ht="14.25" x14ac:dyDescent="0.2">
      <c r="BL262" s="29"/>
    </row>
    <row r="263" spans="64:64" ht="14.25" x14ac:dyDescent="0.2">
      <c r="BL263" s="29"/>
    </row>
    <row r="264" spans="64:64" ht="14.25" x14ac:dyDescent="0.2">
      <c r="BL264" s="29"/>
    </row>
    <row r="265" spans="64:64" ht="14.25" x14ac:dyDescent="0.2">
      <c r="BL265" s="29"/>
    </row>
    <row r="266" spans="64:64" ht="14.25" x14ac:dyDescent="0.2">
      <c r="BL266" s="29"/>
    </row>
    <row r="267" spans="64:64" ht="14.25" x14ac:dyDescent="0.2">
      <c r="BL267" s="29"/>
    </row>
    <row r="268" spans="64:64" ht="14.25" x14ac:dyDescent="0.2">
      <c r="BL268" s="29"/>
    </row>
    <row r="269" spans="64:64" ht="14.25" x14ac:dyDescent="0.2">
      <c r="BL269" s="29"/>
    </row>
    <row r="270" spans="64:64" ht="14.25" x14ac:dyDescent="0.2">
      <c r="BL270" s="29"/>
    </row>
    <row r="271" spans="64:64" ht="14.25" x14ac:dyDescent="0.2">
      <c r="BL271"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452"/>
  <sheetViews>
    <sheetView workbookViewId="0">
      <pane ySplit="2" topLeftCell="A3" activePane="bottomLeft" state="frozen"/>
      <selection pane="bottomLeft" activeCell="B4" sqref="B4"/>
    </sheetView>
  </sheetViews>
  <sheetFormatPr defaultColWidth="14.42578125" defaultRowHeight="12.75" customHeight="1" x14ac:dyDescent="0.2"/>
  <cols>
    <col min="1" max="1" width="15" customWidth="1"/>
    <col min="2" max="2" width="17.28515625" customWidth="1"/>
    <col min="3" max="3" width="12.5703125" customWidth="1"/>
    <col min="4" max="4" width="9.140625" customWidth="1"/>
    <col min="5" max="5" width="19.28515625" customWidth="1"/>
    <col min="6" max="6" width="17.28515625" customWidth="1"/>
    <col min="7" max="7" width="45.5703125" customWidth="1"/>
    <col min="8" max="8" width="50.42578125" customWidth="1"/>
    <col min="9" max="10" width="17.28515625" customWidth="1"/>
  </cols>
  <sheetData>
    <row r="1" spans="1:10" ht="24.75" customHeight="1" x14ac:dyDescent="0.2">
      <c r="A1" s="43" t="s">
        <v>1</v>
      </c>
      <c r="B1" s="44"/>
      <c r="C1" s="44"/>
      <c r="D1" s="44"/>
      <c r="E1" s="44"/>
      <c r="F1" s="44"/>
    </row>
    <row r="2" spans="1:10" ht="43.5" customHeight="1" x14ac:dyDescent="0.2">
      <c r="A2" s="4" t="s">
        <v>3</v>
      </c>
      <c r="B2" s="4" t="s">
        <v>0</v>
      </c>
      <c r="C2" s="4" t="s">
        <v>9</v>
      </c>
      <c r="D2" s="4" t="s">
        <v>10</v>
      </c>
      <c r="E2" s="4" t="s">
        <v>11</v>
      </c>
      <c r="F2" s="4" t="s">
        <v>12</v>
      </c>
      <c r="G2" s="4" t="s">
        <v>13</v>
      </c>
      <c r="H2" s="6" t="s">
        <v>14</v>
      </c>
      <c r="I2" s="6" t="s">
        <v>15</v>
      </c>
      <c r="J2" s="8" t="s">
        <v>16</v>
      </c>
    </row>
    <row r="3" spans="1:10" ht="71.25" customHeight="1" x14ac:dyDescent="0.2">
      <c r="A3" s="10">
        <v>41681</v>
      </c>
      <c r="B3" s="11" t="s">
        <v>17</v>
      </c>
      <c r="C3" s="11" t="s">
        <v>18</v>
      </c>
      <c r="D3" s="11">
        <v>2</v>
      </c>
      <c r="E3" s="11">
        <v>26.741389000000002</v>
      </c>
      <c r="F3" s="8">
        <v>80.034999999999997</v>
      </c>
      <c r="G3" s="11" t="s">
        <v>19</v>
      </c>
    </row>
    <row r="4" spans="1:10" ht="71.25" customHeight="1" x14ac:dyDescent="0.2">
      <c r="A4" s="13">
        <v>41677</v>
      </c>
      <c r="B4" s="11" t="s">
        <v>52</v>
      </c>
      <c r="C4" s="11" t="s">
        <v>54</v>
      </c>
      <c r="D4" s="11">
        <v>1</v>
      </c>
      <c r="E4" s="11">
        <v>29.94772</v>
      </c>
      <c r="F4" s="8">
        <v>-84.339410000000001</v>
      </c>
      <c r="G4" s="11" t="s">
        <v>62</v>
      </c>
      <c r="H4" s="14"/>
    </row>
    <row r="5" spans="1:10" ht="71.25" customHeight="1" x14ac:dyDescent="0.2">
      <c r="A5" s="13">
        <v>41677</v>
      </c>
      <c r="B5" s="11" t="s">
        <v>52</v>
      </c>
      <c r="C5" s="11" t="s">
        <v>54</v>
      </c>
      <c r="D5" s="11">
        <v>2</v>
      </c>
      <c r="E5" s="11">
        <v>29.950510000000001</v>
      </c>
      <c r="F5" s="11">
        <v>-84.340230000000005</v>
      </c>
      <c r="G5" s="11" t="s">
        <v>82</v>
      </c>
      <c r="H5" s="14"/>
    </row>
    <row r="6" spans="1:10" ht="71.25" customHeight="1" x14ac:dyDescent="0.2">
      <c r="A6" s="13">
        <v>41677</v>
      </c>
      <c r="B6" s="11" t="s">
        <v>83</v>
      </c>
      <c r="C6" s="11" t="s">
        <v>54</v>
      </c>
      <c r="D6" s="11">
        <v>1</v>
      </c>
      <c r="E6" s="11">
        <v>29.904769999999999</v>
      </c>
      <c r="F6" s="11">
        <v>-84.424319999999994</v>
      </c>
      <c r="G6" s="11" t="s">
        <v>84</v>
      </c>
      <c r="H6" s="14"/>
    </row>
    <row r="7" spans="1:10" ht="71.25" customHeight="1" x14ac:dyDescent="0.2">
      <c r="A7" s="13">
        <v>41677</v>
      </c>
      <c r="B7" s="11" t="s">
        <v>83</v>
      </c>
      <c r="C7" s="11" t="s">
        <v>54</v>
      </c>
      <c r="D7" s="11">
        <v>2</v>
      </c>
      <c r="E7" s="11">
        <v>29.907509999999998</v>
      </c>
      <c r="F7" s="11">
        <v>-84.430949999999996</v>
      </c>
      <c r="G7" s="11" t="s">
        <v>85</v>
      </c>
      <c r="H7" s="11" t="s">
        <v>87</v>
      </c>
      <c r="I7" s="8" t="s">
        <v>89</v>
      </c>
    </row>
    <row r="8" spans="1:10" ht="71.25" customHeight="1" x14ac:dyDescent="0.2">
      <c r="A8" s="13">
        <v>41677</v>
      </c>
      <c r="B8" s="11" t="s">
        <v>83</v>
      </c>
      <c r="C8" s="11" t="s">
        <v>54</v>
      </c>
      <c r="D8" s="11">
        <v>3</v>
      </c>
      <c r="E8" s="11">
        <v>29.907509999999998</v>
      </c>
      <c r="F8" s="11">
        <v>-84.430949999999996</v>
      </c>
      <c r="G8" s="11" t="s">
        <v>91</v>
      </c>
      <c r="H8" s="14"/>
    </row>
    <row r="9" spans="1:10" ht="71.25" customHeight="1" x14ac:dyDescent="0.2">
      <c r="A9" s="13">
        <v>41677</v>
      </c>
      <c r="B9" s="11" t="s">
        <v>83</v>
      </c>
      <c r="C9" s="11" t="s">
        <v>54</v>
      </c>
      <c r="D9" s="11">
        <v>4</v>
      </c>
      <c r="E9" s="11">
        <v>29.907509999999998</v>
      </c>
      <c r="F9" s="11">
        <v>-84.430949999999996</v>
      </c>
      <c r="G9" s="11" t="s">
        <v>92</v>
      </c>
      <c r="H9" s="14"/>
    </row>
    <row r="10" spans="1:10" ht="71.25" customHeight="1" x14ac:dyDescent="0.2">
      <c r="A10" s="13">
        <v>41677</v>
      </c>
      <c r="B10" s="11" t="s">
        <v>83</v>
      </c>
      <c r="C10" s="11" t="s">
        <v>54</v>
      </c>
      <c r="D10" s="11">
        <v>5</v>
      </c>
      <c r="E10" s="11">
        <v>29.90981</v>
      </c>
      <c r="F10" s="11">
        <v>-84.435130000000001</v>
      </c>
      <c r="G10" s="11" t="s">
        <v>93</v>
      </c>
      <c r="H10" s="11" t="s">
        <v>94</v>
      </c>
      <c r="I10" s="8" t="s">
        <v>89</v>
      </c>
    </row>
    <row r="11" spans="1:10" ht="71.25" customHeight="1" x14ac:dyDescent="0.2">
      <c r="A11" s="13">
        <v>41677</v>
      </c>
      <c r="B11" s="11" t="s">
        <v>83</v>
      </c>
      <c r="C11" s="11" t="s">
        <v>54</v>
      </c>
      <c r="D11" s="11">
        <v>6</v>
      </c>
      <c r="E11" s="11">
        <v>29.90981</v>
      </c>
      <c r="F11" s="11">
        <v>-84.435130000000001</v>
      </c>
      <c r="G11" s="11" t="s">
        <v>96</v>
      </c>
      <c r="H11" s="14"/>
    </row>
    <row r="12" spans="1:10" ht="71.25" customHeight="1" x14ac:dyDescent="0.2">
      <c r="A12" s="13">
        <v>41677</v>
      </c>
      <c r="B12" s="11" t="s">
        <v>83</v>
      </c>
      <c r="C12" s="11" t="s">
        <v>54</v>
      </c>
      <c r="D12" s="11">
        <v>7</v>
      </c>
      <c r="E12" s="11">
        <v>29.912109999999998</v>
      </c>
      <c r="F12" s="11">
        <v>-84.438069999999996</v>
      </c>
      <c r="G12" s="11" t="s">
        <v>93</v>
      </c>
      <c r="H12" s="14"/>
    </row>
    <row r="13" spans="1:10" ht="71.25" customHeight="1" x14ac:dyDescent="0.2">
      <c r="A13" s="13">
        <v>41677</v>
      </c>
      <c r="B13" s="11" t="s">
        <v>83</v>
      </c>
      <c r="C13" s="11" t="s">
        <v>54</v>
      </c>
      <c r="D13" s="11">
        <v>8</v>
      </c>
      <c r="E13" s="11">
        <v>29.917259999999999</v>
      </c>
      <c r="F13" s="11">
        <v>-84.441090000000003</v>
      </c>
      <c r="G13" s="11" t="s">
        <v>93</v>
      </c>
      <c r="H13" s="11" t="s">
        <v>98</v>
      </c>
      <c r="I13" s="8" t="s">
        <v>99</v>
      </c>
    </row>
    <row r="14" spans="1:10" ht="71.25" customHeight="1" x14ac:dyDescent="0.2">
      <c r="A14" s="13">
        <v>41677</v>
      </c>
      <c r="B14" s="11" t="s">
        <v>83</v>
      </c>
      <c r="C14" s="11" t="s">
        <v>54</v>
      </c>
      <c r="D14" s="11">
        <v>9</v>
      </c>
      <c r="E14" s="11">
        <v>29.917259999999999</v>
      </c>
      <c r="F14" s="11">
        <v>-84.441090000000003</v>
      </c>
      <c r="G14" s="11" t="s">
        <v>100</v>
      </c>
      <c r="H14" s="14"/>
    </row>
    <row r="15" spans="1:10" ht="71.25" customHeight="1" x14ac:dyDescent="0.2">
      <c r="A15" s="13">
        <v>41677</v>
      </c>
      <c r="B15" s="11" t="s">
        <v>83</v>
      </c>
      <c r="C15" s="11" t="s">
        <v>54</v>
      </c>
      <c r="D15" s="11">
        <v>10</v>
      </c>
      <c r="E15" s="11">
        <v>29.917259999999999</v>
      </c>
      <c r="F15" s="11">
        <v>-84.441090000000003</v>
      </c>
      <c r="G15" s="11" t="s">
        <v>101</v>
      </c>
      <c r="H15" s="14"/>
    </row>
    <row r="16" spans="1:10" ht="71.25" customHeight="1" x14ac:dyDescent="0.2">
      <c r="A16" s="13">
        <v>41677</v>
      </c>
      <c r="B16" s="11" t="s">
        <v>83</v>
      </c>
      <c r="C16" s="11" t="s">
        <v>54</v>
      </c>
      <c r="D16" s="11">
        <v>11</v>
      </c>
      <c r="E16" s="11">
        <v>29.912430000000001</v>
      </c>
      <c r="F16" s="11">
        <v>-84.436589999999995</v>
      </c>
      <c r="G16" s="11" t="s">
        <v>101</v>
      </c>
      <c r="H16" s="14"/>
    </row>
    <row r="17" spans="1:9" ht="71.25" customHeight="1" x14ac:dyDescent="0.2">
      <c r="A17" s="13">
        <v>41677</v>
      </c>
      <c r="B17" s="11" t="s">
        <v>83</v>
      </c>
      <c r="C17" s="11" t="s">
        <v>54</v>
      </c>
      <c r="D17" s="11">
        <v>12</v>
      </c>
      <c r="E17" s="11">
        <v>29.909389999999998</v>
      </c>
      <c r="F17" s="11">
        <v>-84.433940000000007</v>
      </c>
      <c r="G17" s="11" t="s">
        <v>101</v>
      </c>
      <c r="H17" s="14"/>
    </row>
    <row r="18" spans="1:9" ht="71.25" customHeight="1" x14ac:dyDescent="0.2">
      <c r="A18" s="13">
        <v>41677</v>
      </c>
      <c r="B18" s="11" t="s">
        <v>102</v>
      </c>
      <c r="C18" s="11" t="s">
        <v>103</v>
      </c>
      <c r="D18" s="11">
        <v>1</v>
      </c>
      <c r="E18" s="11">
        <v>29.813030000000001</v>
      </c>
      <c r="F18" s="11">
        <v>-81.261539999999997</v>
      </c>
      <c r="G18" s="11" t="s">
        <v>104</v>
      </c>
      <c r="H18" s="14"/>
    </row>
    <row r="19" spans="1:9" ht="71.25" customHeight="1" x14ac:dyDescent="0.2">
      <c r="A19" s="13">
        <v>41677</v>
      </c>
      <c r="B19" s="11" t="s">
        <v>102</v>
      </c>
      <c r="C19" s="11" t="s">
        <v>103</v>
      </c>
      <c r="D19" s="11">
        <v>2</v>
      </c>
      <c r="E19" s="11">
        <v>29.8079</v>
      </c>
      <c r="F19" s="11">
        <v>-81.260769999999994</v>
      </c>
      <c r="G19" s="11" t="s">
        <v>104</v>
      </c>
      <c r="H19" s="14"/>
    </row>
    <row r="20" spans="1:9" ht="71.25" customHeight="1" x14ac:dyDescent="0.2">
      <c r="A20" s="13">
        <v>41677</v>
      </c>
      <c r="B20" s="11" t="s">
        <v>102</v>
      </c>
      <c r="C20" s="11" t="s">
        <v>103</v>
      </c>
      <c r="D20" s="11">
        <v>3</v>
      </c>
      <c r="E20" s="11">
        <v>29.805869999999999</v>
      </c>
      <c r="F20" s="11">
        <v>-81.260429999999999</v>
      </c>
      <c r="G20" s="11" t="s">
        <v>100</v>
      </c>
      <c r="H20" s="14"/>
    </row>
    <row r="21" spans="1:9" ht="71.25" customHeight="1" x14ac:dyDescent="0.2">
      <c r="A21" s="13">
        <v>41677</v>
      </c>
      <c r="B21" s="11" t="s">
        <v>105</v>
      </c>
      <c r="C21" s="11" t="s">
        <v>106</v>
      </c>
      <c r="D21" s="11">
        <v>1</v>
      </c>
      <c r="E21" s="11">
        <v>29.797519999999999</v>
      </c>
      <c r="F21" s="11">
        <v>-81.271630000000002</v>
      </c>
      <c r="G21" s="11" t="s">
        <v>107</v>
      </c>
      <c r="H21" s="14"/>
    </row>
    <row r="22" spans="1:9" ht="71.25" customHeight="1" x14ac:dyDescent="0.2">
      <c r="A22" s="13">
        <v>41677</v>
      </c>
      <c r="B22" s="11" t="s">
        <v>108</v>
      </c>
      <c r="C22" s="11" t="s">
        <v>109</v>
      </c>
      <c r="D22" s="11">
        <v>1</v>
      </c>
      <c r="E22" s="11">
        <v>27.976690000000001</v>
      </c>
      <c r="F22" s="11">
        <v>82.829890000000006</v>
      </c>
      <c r="G22" s="11" t="s">
        <v>110</v>
      </c>
      <c r="H22" s="14"/>
    </row>
    <row r="23" spans="1:9" ht="71.25" customHeight="1" x14ac:dyDescent="0.2">
      <c r="A23" s="13">
        <v>41677</v>
      </c>
      <c r="B23" s="11" t="s">
        <v>108</v>
      </c>
      <c r="C23" s="11" t="s">
        <v>109</v>
      </c>
      <c r="D23" s="14"/>
      <c r="E23" s="11">
        <v>27.996479999999998</v>
      </c>
      <c r="F23" s="11">
        <v>82.827799999999996</v>
      </c>
      <c r="G23" s="11" t="s">
        <v>101</v>
      </c>
      <c r="H23" s="14"/>
    </row>
    <row r="24" spans="1:9" ht="71.25" customHeight="1" x14ac:dyDescent="0.2">
      <c r="A24" s="13">
        <v>41679</v>
      </c>
      <c r="B24" s="11" t="s">
        <v>111</v>
      </c>
      <c r="C24" s="11" t="s">
        <v>112</v>
      </c>
      <c r="D24" s="11">
        <v>1</v>
      </c>
      <c r="E24" s="11">
        <v>28.105450000000001</v>
      </c>
      <c r="F24" s="11">
        <v>-82.829070000000002</v>
      </c>
      <c r="G24" s="11" t="s">
        <v>113</v>
      </c>
      <c r="H24" s="14"/>
    </row>
    <row r="25" spans="1:9" ht="71.25" customHeight="1" x14ac:dyDescent="0.2">
      <c r="A25" s="13">
        <v>41679</v>
      </c>
      <c r="B25" s="11" t="s">
        <v>111</v>
      </c>
      <c r="C25" s="11" t="s">
        <v>112</v>
      </c>
      <c r="D25" s="11">
        <v>2</v>
      </c>
      <c r="E25" s="11">
        <v>28.105789999999999</v>
      </c>
      <c r="F25" s="11">
        <v>-82.832880000000003</v>
      </c>
      <c r="G25" s="11" t="s">
        <v>114</v>
      </c>
      <c r="H25" s="11" t="s">
        <v>115</v>
      </c>
      <c r="I25" s="8" t="s">
        <v>99</v>
      </c>
    </row>
    <row r="26" spans="1:9" ht="71.25" customHeight="1" x14ac:dyDescent="0.2">
      <c r="A26" s="13">
        <v>41679</v>
      </c>
      <c r="B26" s="11" t="s">
        <v>111</v>
      </c>
      <c r="C26" s="11" t="s">
        <v>112</v>
      </c>
      <c r="D26" s="11">
        <v>6</v>
      </c>
      <c r="E26" s="11">
        <v>28.112639999999999</v>
      </c>
      <c r="F26" s="11">
        <v>-82.838489999999993</v>
      </c>
      <c r="G26" s="11" t="s">
        <v>116</v>
      </c>
      <c r="H26" s="11" t="s">
        <v>117</v>
      </c>
      <c r="I26" s="8" t="s">
        <v>99</v>
      </c>
    </row>
    <row r="27" spans="1:9" ht="71.25" customHeight="1" x14ac:dyDescent="0.2">
      <c r="A27" s="13">
        <v>41679</v>
      </c>
      <c r="B27" s="11" t="s">
        <v>111</v>
      </c>
      <c r="C27" s="11" t="s">
        <v>112</v>
      </c>
      <c r="D27" s="11">
        <v>7</v>
      </c>
      <c r="E27" s="11">
        <v>28.113519</v>
      </c>
      <c r="F27" s="11">
        <v>-82.838409999999996</v>
      </c>
      <c r="G27" s="11" t="s">
        <v>118</v>
      </c>
      <c r="H27" s="11" t="s">
        <v>119</v>
      </c>
      <c r="I27" s="8" t="s">
        <v>99</v>
      </c>
    </row>
    <row r="28" spans="1:9" ht="71.25" customHeight="1" x14ac:dyDescent="0.2">
      <c r="A28" s="13">
        <v>41679</v>
      </c>
      <c r="B28" s="11" t="s">
        <v>111</v>
      </c>
      <c r="C28" s="11" t="s">
        <v>112</v>
      </c>
      <c r="D28" s="11">
        <v>9</v>
      </c>
      <c r="E28" s="11">
        <v>28.11543</v>
      </c>
      <c r="F28" s="11">
        <v>-82.838610000000003</v>
      </c>
      <c r="G28" s="11" t="s">
        <v>120</v>
      </c>
      <c r="H28" s="11" t="s">
        <v>121</v>
      </c>
      <c r="I28" s="8" t="s">
        <v>99</v>
      </c>
    </row>
    <row r="29" spans="1:9" ht="71.25" customHeight="1" x14ac:dyDescent="0.2">
      <c r="A29" s="13">
        <v>41679</v>
      </c>
      <c r="B29" s="11" t="s">
        <v>111</v>
      </c>
      <c r="C29" s="11" t="s">
        <v>112</v>
      </c>
      <c r="D29" s="11">
        <v>3</v>
      </c>
      <c r="E29" s="11">
        <v>28.105730000000001</v>
      </c>
      <c r="F29" s="11">
        <v>-82.833690000000004</v>
      </c>
      <c r="G29" s="11" t="s">
        <v>122</v>
      </c>
      <c r="H29" s="11" t="s">
        <v>123</v>
      </c>
      <c r="I29" s="8" t="s">
        <v>99</v>
      </c>
    </row>
    <row r="30" spans="1:9" ht="71.25" customHeight="1" x14ac:dyDescent="0.2">
      <c r="A30" s="13">
        <v>41677</v>
      </c>
      <c r="B30" s="11" t="s">
        <v>124</v>
      </c>
      <c r="C30" s="11" t="s">
        <v>106</v>
      </c>
      <c r="D30" s="11">
        <v>1</v>
      </c>
      <c r="E30" s="11">
        <v>29.797519999999999</v>
      </c>
      <c r="F30" s="11">
        <v>-81.271630000000002</v>
      </c>
      <c r="G30" s="11" t="s">
        <v>125</v>
      </c>
      <c r="H30" s="14"/>
    </row>
    <row r="31" spans="1:9" ht="71.25" customHeight="1" x14ac:dyDescent="0.2">
      <c r="A31" s="13">
        <v>41677</v>
      </c>
      <c r="B31" s="11" t="s">
        <v>126</v>
      </c>
      <c r="C31" s="11" t="s">
        <v>127</v>
      </c>
      <c r="D31" s="11">
        <v>2</v>
      </c>
      <c r="E31" s="11">
        <v>29.79081</v>
      </c>
      <c r="F31" s="11">
        <v>-81.269139999999993</v>
      </c>
      <c r="G31" s="11" t="s">
        <v>128</v>
      </c>
      <c r="H31" s="14"/>
    </row>
    <row r="32" spans="1:9" ht="71.25" customHeight="1" x14ac:dyDescent="0.2">
      <c r="A32" s="13">
        <v>41677</v>
      </c>
      <c r="B32" s="11" t="s">
        <v>129</v>
      </c>
      <c r="C32" s="11" t="s">
        <v>130</v>
      </c>
      <c r="D32" s="11">
        <v>1</v>
      </c>
      <c r="E32" s="11">
        <v>29.704376</v>
      </c>
      <c r="F32" s="11">
        <v>-81.227159999999998</v>
      </c>
      <c r="G32" s="11" t="s">
        <v>131</v>
      </c>
      <c r="H32" s="11" t="s">
        <v>132</v>
      </c>
    </row>
    <row r="33" spans="1:9" ht="71.25" customHeight="1" x14ac:dyDescent="0.2">
      <c r="A33" s="13">
        <v>41677</v>
      </c>
      <c r="B33" s="11" t="s">
        <v>129</v>
      </c>
      <c r="C33" s="11" t="s">
        <v>130</v>
      </c>
      <c r="D33" s="11">
        <v>2</v>
      </c>
      <c r="E33" s="11">
        <v>29.7044</v>
      </c>
      <c r="F33" s="11">
        <v>-80.225999999999999</v>
      </c>
      <c r="G33" s="11" t="s">
        <v>133</v>
      </c>
      <c r="H33" s="14"/>
    </row>
    <row r="34" spans="1:9" ht="71.25" customHeight="1" x14ac:dyDescent="0.2">
      <c r="A34" s="13">
        <v>41680</v>
      </c>
      <c r="B34" s="11" t="s">
        <v>134</v>
      </c>
      <c r="C34" s="11" t="s">
        <v>135</v>
      </c>
      <c r="D34" s="11">
        <v>1</v>
      </c>
      <c r="E34" s="11">
        <v>27.901</v>
      </c>
      <c r="F34" s="11">
        <v>-82.849000000000004</v>
      </c>
      <c r="G34" s="20" t="s">
        <v>136</v>
      </c>
      <c r="H34" s="11" t="s">
        <v>137</v>
      </c>
    </row>
    <row r="35" spans="1:9" ht="71.25" customHeight="1" x14ac:dyDescent="0.2">
      <c r="A35" s="13">
        <v>41680</v>
      </c>
      <c r="B35" s="11" t="s">
        <v>134</v>
      </c>
      <c r="C35" s="11" t="s">
        <v>135</v>
      </c>
      <c r="D35" s="11">
        <v>2</v>
      </c>
      <c r="E35" s="11">
        <v>27.899000000000001</v>
      </c>
      <c r="F35" s="11">
        <v>-82.849000000000004</v>
      </c>
      <c r="G35" s="11" t="s">
        <v>138</v>
      </c>
      <c r="H35" s="11" t="s">
        <v>137</v>
      </c>
    </row>
    <row r="36" spans="1:9" ht="71.25" customHeight="1" x14ac:dyDescent="0.2">
      <c r="A36" s="13">
        <v>41680</v>
      </c>
      <c r="B36" s="11" t="s">
        <v>134</v>
      </c>
      <c r="C36" s="11" t="s">
        <v>135</v>
      </c>
      <c r="D36" s="11">
        <v>3</v>
      </c>
      <c r="E36" s="11">
        <v>27.875699999999998</v>
      </c>
      <c r="F36" s="11">
        <v>-82.851299999999995</v>
      </c>
      <c r="G36" s="11" t="s">
        <v>101</v>
      </c>
      <c r="H36" s="11" t="s">
        <v>137</v>
      </c>
    </row>
    <row r="37" spans="1:9" ht="71.25" customHeight="1" x14ac:dyDescent="0.2">
      <c r="A37" s="13">
        <v>41677</v>
      </c>
      <c r="B37" s="11" t="s">
        <v>139</v>
      </c>
      <c r="C37" s="11" t="s">
        <v>140</v>
      </c>
      <c r="D37" s="11">
        <v>2</v>
      </c>
      <c r="E37" s="11">
        <v>26.384</v>
      </c>
      <c r="F37" s="11">
        <v>-81.873339999999999</v>
      </c>
      <c r="G37" s="11" t="s">
        <v>101</v>
      </c>
      <c r="H37" s="11" t="s">
        <v>137</v>
      </c>
    </row>
    <row r="38" spans="1:9" ht="71.25" customHeight="1" x14ac:dyDescent="0.2">
      <c r="A38" s="13">
        <v>41679</v>
      </c>
      <c r="B38" s="11" t="s">
        <v>111</v>
      </c>
      <c r="C38" s="11" t="s">
        <v>112</v>
      </c>
      <c r="D38" s="11">
        <v>4</v>
      </c>
      <c r="E38" s="11">
        <v>28.10595</v>
      </c>
      <c r="F38" s="11">
        <v>-82.83475</v>
      </c>
      <c r="G38" s="11" t="s">
        <v>141</v>
      </c>
      <c r="H38" s="11" t="s">
        <v>137</v>
      </c>
    </row>
    <row r="39" spans="1:9" ht="71.25" customHeight="1" x14ac:dyDescent="0.2">
      <c r="A39" s="13">
        <v>41679</v>
      </c>
      <c r="B39" s="11" t="s">
        <v>111</v>
      </c>
      <c r="C39" s="11" t="s">
        <v>112</v>
      </c>
      <c r="D39" s="11">
        <v>5</v>
      </c>
      <c r="E39" s="11">
        <v>28.1065</v>
      </c>
      <c r="F39" s="11">
        <v>-82.83502</v>
      </c>
      <c r="G39" s="11" t="s">
        <v>142</v>
      </c>
      <c r="H39" s="11" t="s">
        <v>137</v>
      </c>
    </row>
    <row r="40" spans="1:9" ht="71.25" customHeight="1" x14ac:dyDescent="0.2">
      <c r="A40" s="13">
        <v>41679</v>
      </c>
      <c r="B40" s="11" t="s">
        <v>111</v>
      </c>
      <c r="C40" s="11" t="s">
        <v>112</v>
      </c>
      <c r="D40" s="11">
        <v>8</v>
      </c>
      <c r="E40" s="11">
        <v>28.114699999999999</v>
      </c>
      <c r="F40" s="11">
        <v>-82.838639999999998</v>
      </c>
      <c r="G40" s="11" t="s">
        <v>143</v>
      </c>
      <c r="H40" s="11" t="s">
        <v>144</v>
      </c>
    </row>
    <row r="41" spans="1:9" ht="71.25" customHeight="1" x14ac:dyDescent="0.2">
      <c r="A41" s="13">
        <v>41679</v>
      </c>
      <c r="B41" s="11" t="s">
        <v>111</v>
      </c>
      <c r="C41" s="11" t="s">
        <v>112</v>
      </c>
      <c r="D41" s="11">
        <v>10</v>
      </c>
      <c r="E41" s="11">
        <v>28.116546</v>
      </c>
      <c r="F41" s="11">
        <v>-82.838740000000001</v>
      </c>
      <c r="G41" s="11" t="s">
        <v>145</v>
      </c>
      <c r="H41" s="11" t="s">
        <v>144</v>
      </c>
    </row>
    <row r="42" spans="1:9" ht="71.25" customHeight="1" x14ac:dyDescent="0.2">
      <c r="A42" s="13">
        <v>41679</v>
      </c>
      <c r="B42" s="11" t="s">
        <v>146</v>
      </c>
      <c r="C42" s="11" t="s">
        <v>147</v>
      </c>
      <c r="D42" s="11">
        <v>1</v>
      </c>
      <c r="E42" s="11">
        <v>28.123380000000001</v>
      </c>
      <c r="F42" s="11">
        <v>-82.837860000000006</v>
      </c>
      <c r="G42" s="11" t="s">
        <v>85</v>
      </c>
      <c r="H42" s="11" t="s">
        <v>148</v>
      </c>
    </row>
    <row r="43" spans="1:9" ht="71.25" customHeight="1" x14ac:dyDescent="0.2">
      <c r="A43" s="13">
        <v>41679</v>
      </c>
      <c r="B43" s="11" t="s">
        <v>146</v>
      </c>
      <c r="C43" s="11" t="s">
        <v>147</v>
      </c>
      <c r="D43" s="11">
        <v>2</v>
      </c>
      <c r="E43" s="11">
        <v>28.125540000000001</v>
      </c>
      <c r="F43" s="11">
        <v>-82.836749999999995</v>
      </c>
      <c r="G43" s="11" t="s">
        <v>149</v>
      </c>
      <c r="H43" s="11" t="s">
        <v>150</v>
      </c>
      <c r="I43" s="8" t="s">
        <v>99</v>
      </c>
    </row>
    <row r="44" spans="1:9" ht="71.25" customHeight="1" x14ac:dyDescent="0.2">
      <c r="A44" s="13">
        <v>41679</v>
      </c>
      <c r="B44" s="11" t="s">
        <v>146</v>
      </c>
      <c r="C44" s="11" t="s">
        <v>147</v>
      </c>
      <c r="D44" s="11">
        <v>3</v>
      </c>
      <c r="E44" s="11">
        <v>28.12753</v>
      </c>
      <c r="F44" s="11">
        <v>-82.834720000000004</v>
      </c>
      <c r="G44" s="11" t="s">
        <v>151</v>
      </c>
      <c r="H44" s="11" t="s">
        <v>152</v>
      </c>
      <c r="I44" s="8" t="s">
        <v>99</v>
      </c>
    </row>
    <row r="45" spans="1:9" ht="71.25" customHeight="1" x14ac:dyDescent="0.2">
      <c r="A45" s="13">
        <v>41679</v>
      </c>
      <c r="B45" s="11" t="s">
        <v>146</v>
      </c>
      <c r="C45" s="11" t="s">
        <v>147</v>
      </c>
      <c r="D45" s="11">
        <v>4</v>
      </c>
      <c r="E45" s="11">
        <v>28.129359999999998</v>
      </c>
      <c r="F45" s="11">
        <v>-82.832790000000003</v>
      </c>
      <c r="G45" s="11" t="s">
        <v>153</v>
      </c>
      <c r="H45" s="11" t="s">
        <v>123</v>
      </c>
    </row>
    <row r="46" spans="1:9" ht="71.25" customHeight="1" x14ac:dyDescent="0.2">
      <c r="A46" s="13">
        <v>41679</v>
      </c>
      <c r="B46" s="11" t="s">
        <v>146</v>
      </c>
      <c r="C46" s="11" t="s">
        <v>147</v>
      </c>
      <c r="D46" s="11">
        <v>5</v>
      </c>
      <c r="E46" s="11">
        <v>28.130790000000001</v>
      </c>
      <c r="F46" s="11">
        <v>-82.829930000000004</v>
      </c>
      <c r="G46" s="11" t="s">
        <v>154</v>
      </c>
      <c r="H46" s="11" t="s">
        <v>123</v>
      </c>
    </row>
    <row r="47" spans="1:9" ht="71.25" customHeight="1" x14ac:dyDescent="0.2">
      <c r="A47" s="13">
        <v>41677</v>
      </c>
      <c r="B47" s="11" t="s">
        <v>155</v>
      </c>
      <c r="C47" s="11" t="s">
        <v>156</v>
      </c>
      <c r="D47" s="11">
        <v>1</v>
      </c>
      <c r="E47" s="11">
        <v>27.010480600000001</v>
      </c>
      <c r="F47" s="11">
        <v>-82.413019700000007</v>
      </c>
      <c r="G47" s="11" t="s">
        <v>157</v>
      </c>
      <c r="H47" s="14"/>
    </row>
    <row r="48" spans="1:9" ht="71.25" customHeight="1" x14ac:dyDescent="0.2">
      <c r="A48" s="13">
        <v>41677</v>
      </c>
      <c r="B48" s="11" t="s">
        <v>155</v>
      </c>
      <c r="C48" s="11" t="s">
        <v>156</v>
      </c>
      <c r="D48" s="11">
        <v>2</v>
      </c>
      <c r="E48" s="11">
        <v>27.010532300000001</v>
      </c>
      <c r="F48" s="11">
        <v>-82.413034199999998</v>
      </c>
      <c r="G48" s="11" t="s">
        <v>158</v>
      </c>
      <c r="H48" s="14"/>
    </row>
    <row r="49" spans="1:9" ht="71.25" customHeight="1" x14ac:dyDescent="0.2">
      <c r="A49" s="13">
        <v>41679</v>
      </c>
      <c r="B49" s="11" t="s">
        <v>159</v>
      </c>
      <c r="C49" s="11" t="s">
        <v>160</v>
      </c>
      <c r="D49" s="11">
        <v>2</v>
      </c>
      <c r="E49" s="11" t="s">
        <v>161</v>
      </c>
      <c r="F49" s="11" t="s">
        <v>162</v>
      </c>
      <c r="G49" s="11" t="s">
        <v>163</v>
      </c>
      <c r="H49" s="14"/>
    </row>
    <row r="50" spans="1:9" ht="71.25" customHeight="1" x14ac:dyDescent="0.2">
      <c r="A50" s="13">
        <v>41679</v>
      </c>
      <c r="B50" s="11" t="s">
        <v>159</v>
      </c>
      <c r="C50" s="11" t="s">
        <v>160</v>
      </c>
      <c r="D50" s="11">
        <v>2</v>
      </c>
      <c r="E50" s="11" t="s">
        <v>164</v>
      </c>
      <c r="F50" s="11" t="s">
        <v>165</v>
      </c>
      <c r="G50" s="11" t="s">
        <v>166</v>
      </c>
      <c r="H50" s="14"/>
    </row>
    <row r="51" spans="1:9" ht="71.25" customHeight="1" x14ac:dyDescent="0.2">
      <c r="A51" s="13">
        <v>41679</v>
      </c>
      <c r="B51" s="11" t="s">
        <v>159</v>
      </c>
      <c r="C51" s="11" t="s">
        <v>160</v>
      </c>
      <c r="D51" s="11">
        <v>2</v>
      </c>
      <c r="E51" s="11" t="s">
        <v>167</v>
      </c>
      <c r="F51" s="11" t="s">
        <v>168</v>
      </c>
      <c r="G51" s="11" t="s">
        <v>169</v>
      </c>
      <c r="H51" s="14"/>
    </row>
    <row r="52" spans="1:9" ht="71.25" customHeight="1" x14ac:dyDescent="0.2">
      <c r="A52" s="13">
        <v>41679</v>
      </c>
      <c r="B52" s="11" t="s">
        <v>159</v>
      </c>
      <c r="C52" s="11" t="s">
        <v>160</v>
      </c>
      <c r="D52" s="11">
        <v>2</v>
      </c>
      <c r="E52" s="11" t="s">
        <v>170</v>
      </c>
      <c r="F52" s="11" t="s">
        <v>171</v>
      </c>
      <c r="G52" s="11" t="s">
        <v>172</v>
      </c>
      <c r="H52" s="14"/>
    </row>
    <row r="53" spans="1:9" ht="71.25" customHeight="1" x14ac:dyDescent="0.2">
      <c r="A53" s="13">
        <v>41679</v>
      </c>
      <c r="B53" s="11" t="s">
        <v>173</v>
      </c>
      <c r="C53" s="11" t="s">
        <v>174</v>
      </c>
      <c r="D53" s="11">
        <v>1</v>
      </c>
      <c r="E53" s="11">
        <v>28.214700000000001</v>
      </c>
      <c r="F53" s="11">
        <v>-82.850499999999997</v>
      </c>
      <c r="G53" s="11" t="s">
        <v>175</v>
      </c>
      <c r="H53" s="11" t="s">
        <v>176</v>
      </c>
      <c r="I53" s="8" t="s">
        <v>177</v>
      </c>
    </row>
    <row r="54" spans="1:9" ht="71.25" customHeight="1" x14ac:dyDescent="0.2">
      <c r="A54" s="13">
        <v>41679</v>
      </c>
      <c r="B54" s="11" t="s">
        <v>173</v>
      </c>
      <c r="C54" s="11" t="s">
        <v>174</v>
      </c>
      <c r="D54" s="11">
        <v>2</v>
      </c>
      <c r="E54" s="11">
        <v>28.213699999999999</v>
      </c>
      <c r="F54" s="11">
        <v>-82.851200000000006</v>
      </c>
      <c r="G54" s="11" t="s">
        <v>178</v>
      </c>
      <c r="H54" s="11" t="s">
        <v>179</v>
      </c>
      <c r="I54" s="8" t="s">
        <v>177</v>
      </c>
    </row>
    <row r="55" spans="1:9" ht="71.25" customHeight="1" x14ac:dyDescent="0.2">
      <c r="A55" s="13">
        <v>41679</v>
      </c>
      <c r="B55" s="11" t="s">
        <v>173</v>
      </c>
      <c r="C55" s="11" t="s">
        <v>180</v>
      </c>
      <c r="D55" s="11">
        <v>3</v>
      </c>
      <c r="E55" s="11">
        <v>28.212730000000001</v>
      </c>
      <c r="F55" s="11">
        <v>-82.848590000000002</v>
      </c>
      <c r="G55" s="11" t="s">
        <v>181</v>
      </c>
      <c r="H55" s="14"/>
    </row>
    <row r="56" spans="1:9" ht="71.25" customHeight="1" x14ac:dyDescent="0.2">
      <c r="A56" s="13">
        <v>41679</v>
      </c>
      <c r="B56" s="11" t="s">
        <v>173</v>
      </c>
      <c r="C56" s="11" t="s">
        <v>174</v>
      </c>
      <c r="D56" s="11">
        <v>4</v>
      </c>
      <c r="E56" s="11">
        <v>28.212610000000002</v>
      </c>
      <c r="F56" s="11">
        <v>-82.851149000000007</v>
      </c>
      <c r="G56" s="11" t="s">
        <v>182</v>
      </c>
      <c r="H56" s="11" t="s">
        <v>144</v>
      </c>
    </row>
    <row r="57" spans="1:9" ht="71.25" customHeight="1" x14ac:dyDescent="0.2">
      <c r="A57" s="13">
        <v>41679</v>
      </c>
      <c r="B57" s="11" t="s">
        <v>173</v>
      </c>
      <c r="C57" s="11" t="s">
        <v>174</v>
      </c>
      <c r="D57" s="11">
        <v>5</v>
      </c>
      <c r="E57" s="11">
        <v>28.172440000000002</v>
      </c>
      <c r="F57" s="11">
        <v>-82.850160000000002</v>
      </c>
      <c r="G57" s="11" t="s">
        <v>183</v>
      </c>
      <c r="H57" s="11" t="s">
        <v>144</v>
      </c>
    </row>
    <row r="58" spans="1:9" ht="71.25" customHeight="1" x14ac:dyDescent="0.2">
      <c r="A58" s="13">
        <v>41679</v>
      </c>
      <c r="B58" s="11" t="s">
        <v>173</v>
      </c>
      <c r="C58" s="11" t="s">
        <v>174</v>
      </c>
      <c r="D58" s="11">
        <v>6</v>
      </c>
      <c r="E58" s="11">
        <v>28.168589999999998</v>
      </c>
      <c r="F58" s="11">
        <v>-82.848820000000003</v>
      </c>
      <c r="G58" s="11" t="s">
        <v>184</v>
      </c>
      <c r="H58" s="11" t="s">
        <v>144</v>
      </c>
    </row>
    <row r="59" spans="1:9" ht="71.25" customHeight="1" x14ac:dyDescent="0.2">
      <c r="A59" s="13">
        <v>41679</v>
      </c>
      <c r="B59" s="11" t="s">
        <v>173</v>
      </c>
      <c r="C59" s="11" t="s">
        <v>185</v>
      </c>
      <c r="D59" s="11">
        <v>7</v>
      </c>
      <c r="E59" s="11">
        <v>28.164750000000002</v>
      </c>
      <c r="F59" s="11">
        <v>-82.84796</v>
      </c>
      <c r="G59" s="11" t="s">
        <v>186</v>
      </c>
      <c r="H59" s="11" t="s">
        <v>144</v>
      </c>
    </row>
    <row r="60" spans="1:9" ht="71.25" customHeight="1" x14ac:dyDescent="0.2">
      <c r="A60" s="13">
        <v>41679</v>
      </c>
      <c r="B60" s="11" t="s">
        <v>173</v>
      </c>
      <c r="C60" s="11" t="s">
        <v>180</v>
      </c>
      <c r="D60" s="11">
        <v>8</v>
      </c>
      <c r="E60" s="11">
        <v>28.163080000000001</v>
      </c>
      <c r="F60" s="11">
        <v>-82.845190000000002</v>
      </c>
      <c r="G60" s="11" t="s">
        <v>189</v>
      </c>
      <c r="H60" s="11" t="s">
        <v>190</v>
      </c>
      <c r="I60" s="8" t="s">
        <v>191</v>
      </c>
    </row>
    <row r="61" spans="1:9" ht="71.25" customHeight="1" x14ac:dyDescent="0.2">
      <c r="A61" s="13">
        <v>41679</v>
      </c>
      <c r="B61" s="11" t="s">
        <v>173</v>
      </c>
      <c r="C61" s="11" t="s">
        <v>193</v>
      </c>
      <c r="D61" s="11">
        <v>9</v>
      </c>
      <c r="E61" s="11">
        <v>28.161719999999999</v>
      </c>
      <c r="F61" s="11">
        <v>-82.846819999999994</v>
      </c>
      <c r="G61" s="11" t="s">
        <v>195</v>
      </c>
      <c r="H61" s="11" t="s">
        <v>144</v>
      </c>
    </row>
    <row r="62" spans="1:9" ht="71.25" customHeight="1" x14ac:dyDescent="0.2">
      <c r="A62" s="13">
        <v>41679</v>
      </c>
      <c r="B62" s="11" t="s">
        <v>173</v>
      </c>
      <c r="C62" s="11" t="s">
        <v>193</v>
      </c>
      <c r="D62" s="11">
        <v>10</v>
      </c>
      <c r="E62" s="11">
        <v>28.157800000000002</v>
      </c>
      <c r="F62" s="11">
        <v>-82.844149999999999</v>
      </c>
      <c r="G62" s="11" t="s">
        <v>196</v>
      </c>
      <c r="H62" s="11" t="s">
        <v>197</v>
      </c>
      <c r="I62" s="8" t="s">
        <v>177</v>
      </c>
    </row>
    <row r="63" spans="1:9" ht="71.25" customHeight="1" x14ac:dyDescent="0.2">
      <c r="A63" s="22">
        <v>41677</v>
      </c>
      <c r="B63" s="11" t="s">
        <v>200</v>
      </c>
      <c r="C63" s="11" t="s">
        <v>201</v>
      </c>
      <c r="D63" s="11">
        <v>1</v>
      </c>
      <c r="E63" s="11">
        <v>26.365074</v>
      </c>
      <c r="F63" s="11">
        <v>-81.863230999999999</v>
      </c>
      <c r="G63" s="11" t="s">
        <v>204</v>
      </c>
      <c r="H63" s="14"/>
      <c r="I63" s="8" t="s">
        <v>177</v>
      </c>
    </row>
    <row r="64" spans="1:9" ht="71.25" customHeight="1" x14ac:dyDescent="0.2">
      <c r="A64" s="22">
        <v>41677</v>
      </c>
      <c r="B64" s="11" t="s">
        <v>200</v>
      </c>
      <c r="C64" s="11" t="s">
        <v>201</v>
      </c>
      <c r="D64" s="11">
        <v>2</v>
      </c>
      <c r="E64" s="11">
        <v>26.330372000000001</v>
      </c>
      <c r="F64" s="24">
        <v>-81.845616000000007</v>
      </c>
      <c r="G64" s="24" t="s">
        <v>205</v>
      </c>
      <c r="H64" s="14"/>
    </row>
    <row r="65" spans="1:10" ht="71.25" customHeight="1" x14ac:dyDescent="0.2">
      <c r="A65" s="13">
        <v>41679</v>
      </c>
      <c r="B65" s="11" t="s">
        <v>206</v>
      </c>
      <c r="C65" s="11" t="s">
        <v>207</v>
      </c>
      <c r="D65" s="14"/>
      <c r="E65" s="14"/>
      <c r="F65" s="25"/>
      <c r="G65" s="25"/>
      <c r="H65" s="14"/>
    </row>
    <row r="66" spans="1:10" ht="71.25" customHeight="1" x14ac:dyDescent="0.2">
      <c r="A66" s="13">
        <v>41679</v>
      </c>
      <c r="B66" s="11" t="s">
        <v>208</v>
      </c>
      <c r="C66" s="11" t="s">
        <v>209</v>
      </c>
      <c r="D66" s="14"/>
      <c r="E66" s="14"/>
      <c r="F66" s="25"/>
      <c r="G66" s="25"/>
      <c r="H66" s="14"/>
    </row>
    <row r="67" spans="1:10" ht="71.25" customHeight="1" x14ac:dyDescent="0.2">
      <c r="A67" s="13">
        <v>41679</v>
      </c>
      <c r="B67" s="11" t="s">
        <v>210</v>
      </c>
      <c r="C67" s="11" t="s">
        <v>211</v>
      </c>
      <c r="D67" s="11">
        <v>1</v>
      </c>
      <c r="E67" s="11">
        <v>27.744161099999999</v>
      </c>
      <c r="F67" s="11">
        <v>-82.760324999999995</v>
      </c>
      <c r="G67" s="11" t="s">
        <v>212</v>
      </c>
      <c r="H67" s="11" t="s">
        <v>213</v>
      </c>
      <c r="I67" s="8" t="s">
        <v>214</v>
      </c>
    </row>
    <row r="68" spans="1:10" ht="71.25" customHeight="1" x14ac:dyDescent="0.2">
      <c r="A68" s="13">
        <v>41679</v>
      </c>
      <c r="B68" s="26" t="s">
        <v>210</v>
      </c>
      <c r="C68" s="11" t="s">
        <v>211</v>
      </c>
      <c r="D68" s="11">
        <v>2</v>
      </c>
      <c r="E68" s="11">
        <v>27.74219167</v>
      </c>
      <c r="F68" s="11">
        <v>-82.758372219999998</v>
      </c>
      <c r="G68" s="11" t="s">
        <v>217</v>
      </c>
      <c r="H68" s="11" t="s">
        <v>213</v>
      </c>
      <c r="I68" s="11" t="s">
        <v>214</v>
      </c>
      <c r="J68" s="8" t="s">
        <v>214</v>
      </c>
    </row>
    <row r="69" spans="1:10" ht="71.25" customHeight="1" x14ac:dyDescent="0.2">
      <c r="A69" s="13">
        <v>41679</v>
      </c>
      <c r="B69" s="11" t="s">
        <v>210</v>
      </c>
      <c r="C69" s="11" t="s">
        <v>211</v>
      </c>
      <c r="D69" s="11">
        <v>3</v>
      </c>
      <c r="E69" s="11">
        <v>27.765577780000001</v>
      </c>
      <c r="F69" s="11">
        <v>-82.77069444</v>
      </c>
      <c r="G69" s="11" t="s">
        <v>218</v>
      </c>
      <c r="H69" s="11" t="s">
        <v>213</v>
      </c>
      <c r="I69" s="8" t="s">
        <v>214</v>
      </c>
    </row>
    <row r="70" spans="1:10" ht="71.25" customHeight="1" x14ac:dyDescent="0.2">
      <c r="A70" s="13">
        <v>41681</v>
      </c>
      <c r="B70" s="11" t="s">
        <v>219</v>
      </c>
      <c r="C70" s="11" t="s">
        <v>220</v>
      </c>
      <c r="D70" s="11">
        <v>1</v>
      </c>
      <c r="E70" s="11">
        <v>25.454983299999999</v>
      </c>
      <c r="F70" s="11">
        <v>80.1898166</v>
      </c>
      <c r="G70" s="11" t="s">
        <v>221</v>
      </c>
      <c r="H70" s="11" t="s">
        <v>213</v>
      </c>
      <c r="I70" s="8" t="s">
        <v>214</v>
      </c>
    </row>
    <row r="71" spans="1:10" ht="71.25" customHeight="1" x14ac:dyDescent="0.2">
      <c r="A71" s="13">
        <v>41680</v>
      </c>
      <c r="B71" s="11" t="s">
        <v>222</v>
      </c>
      <c r="C71" s="11" t="s">
        <v>223</v>
      </c>
      <c r="D71" s="11">
        <v>1</v>
      </c>
      <c r="E71" s="11">
        <v>30.351035</v>
      </c>
      <c r="F71" s="11">
        <v>-87.033580999999998</v>
      </c>
      <c r="G71" s="11" t="s">
        <v>224</v>
      </c>
      <c r="H71" s="11" t="s">
        <v>225</v>
      </c>
      <c r="I71" s="8" t="s">
        <v>89</v>
      </c>
    </row>
    <row r="72" spans="1:10" ht="71.25" customHeight="1" x14ac:dyDescent="0.2">
      <c r="A72" s="13">
        <v>41680</v>
      </c>
      <c r="B72" s="11" t="s">
        <v>226</v>
      </c>
      <c r="C72" s="11" t="s">
        <v>223</v>
      </c>
      <c r="D72" s="11">
        <v>1</v>
      </c>
      <c r="E72" s="11">
        <v>30.369264000000001</v>
      </c>
      <c r="F72" s="11">
        <v>-86.954777000000007</v>
      </c>
      <c r="G72" s="11" t="s">
        <v>227</v>
      </c>
      <c r="H72" s="11" t="s">
        <v>228</v>
      </c>
      <c r="I72" s="8" t="s">
        <v>99</v>
      </c>
    </row>
    <row r="73" spans="1:10" ht="71.25" customHeight="1" x14ac:dyDescent="0.2">
      <c r="A73" s="13">
        <v>41680</v>
      </c>
      <c r="B73" s="11" t="s">
        <v>226</v>
      </c>
      <c r="C73" s="11" t="s">
        <v>223</v>
      </c>
      <c r="D73" s="11">
        <v>2</v>
      </c>
      <c r="E73" s="11">
        <v>30.357769999999999</v>
      </c>
      <c r="F73" s="11">
        <v>-87.043310000000005</v>
      </c>
      <c r="G73" s="11" t="s">
        <v>229</v>
      </c>
      <c r="H73" s="11" t="s">
        <v>230</v>
      </c>
      <c r="I73" s="8" t="s">
        <v>89</v>
      </c>
    </row>
    <row r="74" spans="1:10" ht="71.25" customHeight="1" x14ac:dyDescent="0.2">
      <c r="A74" s="13">
        <v>41680</v>
      </c>
      <c r="B74" s="11" t="s">
        <v>231</v>
      </c>
      <c r="C74" s="11" t="s">
        <v>232</v>
      </c>
      <c r="D74" s="11">
        <v>1</v>
      </c>
      <c r="E74" s="11">
        <v>30.32037</v>
      </c>
      <c r="F74" s="11">
        <v>-87.248859999999993</v>
      </c>
      <c r="G74" s="11" t="s">
        <v>233</v>
      </c>
      <c r="H74" s="11" t="s">
        <v>123</v>
      </c>
      <c r="I74" s="8" t="s">
        <v>123</v>
      </c>
    </row>
    <row r="75" spans="1:10" ht="71.25" customHeight="1" x14ac:dyDescent="0.2">
      <c r="A75" s="13">
        <v>41680</v>
      </c>
      <c r="B75" s="11" t="s">
        <v>234</v>
      </c>
      <c r="C75" s="11" t="s">
        <v>232</v>
      </c>
      <c r="D75" s="11">
        <v>1</v>
      </c>
      <c r="E75" s="11">
        <v>30.318059999999999</v>
      </c>
      <c r="F75" s="11">
        <v>-87.240750000000006</v>
      </c>
      <c r="G75" s="11" t="s">
        <v>235</v>
      </c>
      <c r="H75" s="11" t="s">
        <v>123</v>
      </c>
      <c r="I75" s="8" t="s">
        <v>123</v>
      </c>
    </row>
    <row r="76" spans="1:10" ht="71.25" customHeight="1" x14ac:dyDescent="0.2">
      <c r="A76" s="13">
        <v>41680</v>
      </c>
      <c r="B76" s="11" t="s">
        <v>234</v>
      </c>
      <c r="C76" s="11" t="s">
        <v>232</v>
      </c>
      <c r="D76" s="11">
        <v>2</v>
      </c>
      <c r="E76" s="11">
        <v>30.32864</v>
      </c>
      <c r="F76" s="11">
        <v>-87.30059</v>
      </c>
      <c r="G76" s="11" t="s">
        <v>236</v>
      </c>
      <c r="H76" s="11" t="s">
        <v>237</v>
      </c>
      <c r="I76" s="8" t="s">
        <v>89</v>
      </c>
    </row>
    <row r="77" spans="1:10" ht="71.25" customHeight="1" x14ac:dyDescent="0.2">
      <c r="A77" s="13">
        <v>41680</v>
      </c>
      <c r="B77" s="11" t="s">
        <v>234</v>
      </c>
      <c r="C77" s="11" t="s">
        <v>232</v>
      </c>
      <c r="D77" s="11">
        <v>3</v>
      </c>
      <c r="E77" s="11">
        <v>30.33156</v>
      </c>
      <c r="F77" s="11">
        <v>-87.301289999999995</v>
      </c>
      <c r="G77" s="11" t="s">
        <v>240</v>
      </c>
      <c r="H77" s="11" t="s">
        <v>242</v>
      </c>
      <c r="I77" s="8" t="s">
        <v>243</v>
      </c>
    </row>
    <row r="78" spans="1:10" ht="71.25" customHeight="1" x14ac:dyDescent="0.2">
      <c r="A78" s="13">
        <v>41680</v>
      </c>
      <c r="B78" s="11" t="s">
        <v>244</v>
      </c>
      <c r="C78" s="11" t="s">
        <v>245</v>
      </c>
      <c r="D78" s="11">
        <v>1</v>
      </c>
      <c r="E78" s="11">
        <v>30.328313999999999</v>
      </c>
      <c r="F78" s="11">
        <v>-87.316310000000001</v>
      </c>
      <c r="G78" s="11" t="s">
        <v>246</v>
      </c>
      <c r="H78" s="11" t="s">
        <v>123</v>
      </c>
      <c r="I78" s="8" t="s">
        <v>123</v>
      </c>
    </row>
    <row r="79" spans="1:10" ht="71.25" customHeight="1" x14ac:dyDescent="0.2">
      <c r="A79" s="13">
        <v>41680</v>
      </c>
      <c r="B79" s="11" t="s">
        <v>247</v>
      </c>
      <c r="C79" s="11" t="s">
        <v>245</v>
      </c>
      <c r="D79" s="11">
        <v>1</v>
      </c>
      <c r="E79" s="11">
        <v>30.328268000000001</v>
      </c>
      <c r="F79" s="11">
        <v>-87.313874999999996</v>
      </c>
      <c r="G79" s="11" t="s">
        <v>248</v>
      </c>
      <c r="H79" s="11" t="s">
        <v>123</v>
      </c>
      <c r="I79" s="8" t="s">
        <v>123</v>
      </c>
    </row>
    <row r="80" spans="1:10" ht="71.25" customHeight="1" x14ac:dyDescent="0.2">
      <c r="A80" s="13">
        <v>41680</v>
      </c>
      <c r="B80" s="11" t="s">
        <v>247</v>
      </c>
      <c r="C80" s="11" t="s">
        <v>245</v>
      </c>
      <c r="D80" s="11">
        <v>2</v>
      </c>
      <c r="E80" s="11">
        <v>30.311923</v>
      </c>
      <c r="F80" s="11">
        <v>-87.355125999999998</v>
      </c>
      <c r="G80" s="11" t="s">
        <v>249</v>
      </c>
      <c r="H80" s="11" t="s">
        <v>123</v>
      </c>
      <c r="I80" s="8" t="s">
        <v>123</v>
      </c>
    </row>
    <row r="81" spans="1:9" ht="71.25" customHeight="1" x14ac:dyDescent="0.2">
      <c r="A81" s="13">
        <v>41677</v>
      </c>
      <c r="B81" s="11" t="s">
        <v>250</v>
      </c>
      <c r="C81" s="11" t="s">
        <v>251</v>
      </c>
      <c r="D81" s="11">
        <v>1</v>
      </c>
      <c r="E81" s="11">
        <v>29.916702999999998</v>
      </c>
      <c r="F81" s="11">
        <v>-81.289525999999995</v>
      </c>
      <c r="G81" s="11" t="s">
        <v>252</v>
      </c>
      <c r="H81" s="11" t="s">
        <v>123</v>
      </c>
      <c r="I81" s="8" t="s">
        <v>123</v>
      </c>
    </row>
    <row r="82" spans="1:9" ht="71.25" customHeight="1" x14ac:dyDescent="0.2">
      <c r="A82" s="13">
        <v>41680</v>
      </c>
      <c r="B82" s="11" t="s">
        <v>253</v>
      </c>
      <c r="C82" s="11" t="s">
        <v>254</v>
      </c>
      <c r="D82" s="11">
        <v>1</v>
      </c>
      <c r="E82" s="11">
        <v>29.942163000000001</v>
      </c>
      <c r="F82" s="11">
        <v>-81.300687999999994</v>
      </c>
      <c r="G82" s="11" t="s">
        <v>255</v>
      </c>
      <c r="H82" s="11" t="s">
        <v>123</v>
      </c>
      <c r="I82" s="8" t="s">
        <v>123</v>
      </c>
    </row>
    <row r="83" spans="1:9" ht="71.25" customHeight="1" x14ac:dyDescent="0.2">
      <c r="A83" s="13">
        <v>41679</v>
      </c>
      <c r="B83" s="11" t="s">
        <v>256</v>
      </c>
      <c r="C83" s="11" t="s">
        <v>257</v>
      </c>
      <c r="D83" s="11">
        <v>1</v>
      </c>
      <c r="E83" s="11">
        <v>27.523479999999999</v>
      </c>
      <c r="F83" s="11">
        <v>-82.735709999999997</v>
      </c>
      <c r="G83" s="11" t="s">
        <v>258</v>
      </c>
      <c r="H83" s="11" t="s">
        <v>123</v>
      </c>
    </row>
    <row r="84" spans="1:9" ht="71.25" customHeight="1" x14ac:dyDescent="0.2">
      <c r="A84" s="13">
        <v>41679</v>
      </c>
      <c r="B84" s="11" t="s">
        <v>256</v>
      </c>
      <c r="C84" s="11" t="s">
        <v>257</v>
      </c>
      <c r="D84" s="11">
        <v>2</v>
      </c>
      <c r="E84" s="11">
        <v>27.528549999999999</v>
      </c>
      <c r="F84" s="11">
        <v>-82.741619999999998</v>
      </c>
      <c r="G84" s="11" t="s">
        <v>96</v>
      </c>
      <c r="H84" s="11" t="s">
        <v>123</v>
      </c>
      <c r="I84" s="8" t="s">
        <v>123</v>
      </c>
    </row>
    <row r="85" spans="1:9" ht="71.25" customHeight="1" x14ac:dyDescent="0.2">
      <c r="A85" s="13">
        <v>41679</v>
      </c>
      <c r="B85" s="11" t="s">
        <v>256</v>
      </c>
      <c r="C85" s="11" t="s">
        <v>257</v>
      </c>
      <c r="D85" s="11">
        <v>3</v>
      </c>
      <c r="E85" s="11">
        <v>27.532050000000002</v>
      </c>
      <c r="F85" s="11">
        <v>-82.744129999999998</v>
      </c>
      <c r="G85" s="11" t="s">
        <v>259</v>
      </c>
      <c r="H85" s="11" t="s">
        <v>123</v>
      </c>
      <c r="I85" s="8" t="s">
        <v>123</v>
      </c>
    </row>
    <row r="86" spans="1:9" ht="71.25" customHeight="1" x14ac:dyDescent="0.2">
      <c r="A86" s="13">
        <v>41679</v>
      </c>
      <c r="B86" s="11" t="s">
        <v>256</v>
      </c>
      <c r="C86" s="11" t="s">
        <v>257</v>
      </c>
      <c r="D86" s="11">
        <v>4</v>
      </c>
      <c r="E86" s="11">
        <v>27.457689999999999</v>
      </c>
      <c r="F86" s="11">
        <v>-82.696430000000007</v>
      </c>
      <c r="G86" s="11" t="s">
        <v>261</v>
      </c>
      <c r="H86" s="11" t="s">
        <v>123</v>
      </c>
      <c r="I86" s="8" t="s">
        <v>123</v>
      </c>
    </row>
    <row r="87" spans="1:9" ht="71.25" customHeight="1" x14ac:dyDescent="0.2">
      <c r="A87" s="13">
        <v>41679</v>
      </c>
      <c r="B87" s="11" t="s">
        <v>256</v>
      </c>
      <c r="C87" s="11" t="s">
        <v>257</v>
      </c>
      <c r="D87" s="11">
        <v>5</v>
      </c>
      <c r="E87" s="11">
        <v>27.481110000000001</v>
      </c>
      <c r="F87" s="11">
        <v>-82.705150000000003</v>
      </c>
      <c r="G87" s="11" t="s">
        <v>264</v>
      </c>
      <c r="H87" s="11" t="s">
        <v>123</v>
      </c>
      <c r="I87" s="8" t="s">
        <v>123</v>
      </c>
    </row>
    <row r="88" spans="1:9" ht="71.25" customHeight="1" x14ac:dyDescent="0.2">
      <c r="A88" s="13">
        <v>41679</v>
      </c>
      <c r="B88" s="11" t="s">
        <v>256</v>
      </c>
      <c r="C88" s="11" t="s">
        <v>257</v>
      </c>
      <c r="D88" s="11">
        <v>6</v>
      </c>
      <c r="E88" s="11">
        <v>27.450710000000001</v>
      </c>
      <c r="F88" s="11">
        <v>-82.693190000000001</v>
      </c>
      <c r="G88" s="11" t="s">
        <v>265</v>
      </c>
      <c r="H88" s="11" t="s">
        <v>123</v>
      </c>
      <c r="I88" s="8" t="s">
        <v>123</v>
      </c>
    </row>
    <row r="89" spans="1:9" ht="71.25" customHeight="1" x14ac:dyDescent="0.2">
      <c r="A89" s="13">
        <v>41680</v>
      </c>
      <c r="B89" s="11" t="s">
        <v>198</v>
      </c>
      <c r="C89" s="11" t="s">
        <v>202</v>
      </c>
      <c r="D89" s="11">
        <v>1</v>
      </c>
      <c r="E89" s="11">
        <v>30.267119999999998</v>
      </c>
      <c r="F89" s="11">
        <v>-85.991489999999999</v>
      </c>
      <c r="G89" s="11" t="s">
        <v>266</v>
      </c>
      <c r="H89" s="11" t="s">
        <v>267</v>
      </c>
      <c r="I89" s="8" t="s">
        <v>268</v>
      </c>
    </row>
    <row r="90" spans="1:9" ht="71.25" customHeight="1" x14ac:dyDescent="0.2">
      <c r="A90" s="13">
        <v>41680</v>
      </c>
      <c r="B90" s="11" t="s">
        <v>198</v>
      </c>
      <c r="C90" s="11" t="s">
        <v>202</v>
      </c>
      <c r="D90" s="11">
        <v>2</v>
      </c>
      <c r="E90" s="11">
        <v>30.268339999999998</v>
      </c>
      <c r="F90" s="11">
        <v>-85.989630000000005</v>
      </c>
      <c r="G90" s="11" t="s">
        <v>269</v>
      </c>
      <c r="H90" s="11" t="s">
        <v>123</v>
      </c>
      <c r="I90" s="8" t="s">
        <v>123</v>
      </c>
    </row>
    <row r="91" spans="1:9" ht="71.25" customHeight="1" x14ac:dyDescent="0.2">
      <c r="A91" s="13">
        <v>41680</v>
      </c>
      <c r="B91" s="11" t="s">
        <v>270</v>
      </c>
      <c r="C91" s="11" t="s">
        <v>202</v>
      </c>
      <c r="D91" s="11">
        <v>1</v>
      </c>
      <c r="E91" s="11">
        <v>30.300699999999999</v>
      </c>
      <c r="F91" s="11">
        <v>-86.080979999999997</v>
      </c>
      <c r="G91" s="11" t="s">
        <v>271</v>
      </c>
      <c r="H91" s="11" t="s">
        <v>272</v>
      </c>
      <c r="I91" s="8" t="s">
        <v>99</v>
      </c>
    </row>
    <row r="92" spans="1:9" ht="71.25" customHeight="1" x14ac:dyDescent="0.2">
      <c r="A92" s="13">
        <v>41680</v>
      </c>
      <c r="B92" s="11" t="s">
        <v>270</v>
      </c>
      <c r="C92" s="11" t="s">
        <v>202</v>
      </c>
      <c r="D92" s="11">
        <v>2</v>
      </c>
      <c r="E92" s="11">
        <v>30.301010000000002</v>
      </c>
      <c r="F92" s="11">
        <v>-86.081919999999997</v>
      </c>
      <c r="G92" s="11" t="s">
        <v>271</v>
      </c>
      <c r="H92" s="11" t="s">
        <v>273</v>
      </c>
      <c r="I92" s="8" t="s">
        <v>99</v>
      </c>
    </row>
    <row r="93" spans="1:9" ht="71.25" customHeight="1" x14ac:dyDescent="0.2">
      <c r="A93" s="13">
        <v>41680</v>
      </c>
      <c r="B93" s="11" t="s">
        <v>274</v>
      </c>
      <c r="C93" s="11" t="s">
        <v>202</v>
      </c>
      <c r="D93" s="11">
        <v>1</v>
      </c>
      <c r="E93" s="11">
        <v>30.305820000000001</v>
      </c>
      <c r="F93" s="28">
        <v>-86.096310000000003</v>
      </c>
      <c r="G93" s="11" t="s">
        <v>277</v>
      </c>
      <c r="H93" s="11" t="s">
        <v>123</v>
      </c>
      <c r="I93" s="8" t="s">
        <v>123</v>
      </c>
    </row>
    <row r="94" spans="1:9" ht="71.25" customHeight="1" x14ac:dyDescent="0.2">
      <c r="A94" s="13">
        <v>41680</v>
      </c>
      <c r="B94" s="11" t="s">
        <v>215</v>
      </c>
      <c r="C94" s="11" t="s">
        <v>202</v>
      </c>
      <c r="D94" s="11">
        <v>1</v>
      </c>
      <c r="E94" s="11">
        <v>30.130099999999999</v>
      </c>
      <c r="F94" s="11">
        <v>-85.720849999999999</v>
      </c>
      <c r="G94" s="11" t="s">
        <v>271</v>
      </c>
      <c r="H94" s="11" t="s">
        <v>278</v>
      </c>
      <c r="I94" s="8" t="s">
        <v>99</v>
      </c>
    </row>
    <row r="95" spans="1:9" ht="71.25" customHeight="1" x14ac:dyDescent="0.2">
      <c r="A95" s="13">
        <v>41680</v>
      </c>
      <c r="B95" s="11" t="s">
        <v>215</v>
      </c>
      <c r="C95" s="11" t="s">
        <v>202</v>
      </c>
      <c r="D95" s="11">
        <v>2</v>
      </c>
      <c r="E95" s="11">
        <v>30.126090000000001</v>
      </c>
      <c r="F95" s="11">
        <v>-85.730930000000001</v>
      </c>
      <c r="G95" s="11" t="s">
        <v>279</v>
      </c>
      <c r="H95" s="11" t="s">
        <v>123</v>
      </c>
      <c r="I95" s="8" t="s">
        <v>123</v>
      </c>
    </row>
    <row r="96" spans="1:9" ht="71.25" customHeight="1" x14ac:dyDescent="0.2">
      <c r="A96" s="13">
        <v>41680</v>
      </c>
      <c r="B96" s="11" t="s">
        <v>280</v>
      </c>
      <c r="C96" s="11" t="s">
        <v>202</v>
      </c>
      <c r="D96" s="11">
        <v>1</v>
      </c>
      <c r="E96" s="11">
        <v>30.29541</v>
      </c>
      <c r="F96" s="11">
        <v>-86.066109999999995</v>
      </c>
      <c r="G96" s="11" t="s">
        <v>281</v>
      </c>
      <c r="H96" s="11" t="s">
        <v>282</v>
      </c>
      <c r="I96" s="8" t="s">
        <v>268</v>
      </c>
    </row>
    <row r="97" spans="1:9" ht="71.25" customHeight="1" x14ac:dyDescent="0.2">
      <c r="A97" s="13">
        <v>41680</v>
      </c>
      <c r="B97" s="11" t="s">
        <v>283</v>
      </c>
      <c r="C97" s="11" t="s">
        <v>284</v>
      </c>
      <c r="D97" s="11">
        <v>1</v>
      </c>
      <c r="E97" s="11">
        <v>30.326250000000002</v>
      </c>
      <c r="F97" s="11">
        <v>-86.162540000000007</v>
      </c>
      <c r="G97" s="11" t="s">
        <v>285</v>
      </c>
      <c r="H97" s="11" t="s">
        <v>286</v>
      </c>
      <c r="I97" s="8" t="s">
        <v>268</v>
      </c>
    </row>
    <row r="98" spans="1:9" ht="71.25" customHeight="1" x14ac:dyDescent="0.2">
      <c r="A98" s="13">
        <v>41680</v>
      </c>
      <c r="B98" s="11" t="s">
        <v>287</v>
      </c>
      <c r="C98" s="11" t="s">
        <v>284</v>
      </c>
      <c r="D98" s="11">
        <v>1</v>
      </c>
      <c r="E98" s="11">
        <v>30.35932</v>
      </c>
      <c r="F98" s="11">
        <v>-86.281350000000003</v>
      </c>
      <c r="G98" s="11" t="s">
        <v>289</v>
      </c>
      <c r="H98" s="11" t="s">
        <v>290</v>
      </c>
      <c r="I98" s="8" t="s">
        <v>290</v>
      </c>
    </row>
    <row r="99" spans="1:9" ht="71.25" customHeight="1" x14ac:dyDescent="0.2">
      <c r="A99" s="13">
        <v>41681</v>
      </c>
      <c r="B99" s="11" t="s">
        <v>291</v>
      </c>
      <c r="C99" s="11" t="s">
        <v>202</v>
      </c>
      <c r="D99" s="11">
        <v>1</v>
      </c>
      <c r="E99" s="11">
        <v>29.699780000000001</v>
      </c>
      <c r="F99" s="11">
        <v>-84.768619999999999</v>
      </c>
      <c r="G99" s="11" t="s">
        <v>101</v>
      </c>
      <c r="H99" s="11" t="s">
        <v>123</v>
      </c>
      <c r="I99" s="8" t="s">
        <v>123</v>
      </c>
    </row>
    <row r="100" spans="1:9" ht="71.25" customHeight="1" x14ac:dyDescent="0.2">
      <c r="A100" s="13">
        <v>41681</v>
      </c>
      <c r="B100" s="11" t="s">
        <v>291</v>
      </c>
      <c r="C100" s="11" t="s">
        <v>202</v>
      </c>
      <c r="D100" s="11">
        <v>2</v>
      </c>
      <c r="E100" s="11">
        <v>29.732949999999999</v>
      </c>
      <c r="F100" s="11">
        <v>-84.72663</v>
      </c>
      <c r="G100" s="11" t="s">
        <v>292</v>
      </c>
      <c r="H100" s="11" t="s">
        <v>293</v>
      </c>
      <c r="I100" s="8" t="s">
        <v>99</v>
      </c>
    </row>
    <row r="101" spans="1:9" ht="71.25" customHeight="1" x14ac:dyDescent="0.2">
      <c r="A101" s="13">
        <v>41681</v>
      </c>
      <c r="B101" s="11" t="s">
        <v>291</v>
      </c>
      <c r="C101" s="11" t="s">
        <v>202</v>
      </c>
      <c r="D101" s="11">
        <v>3</v>
      </c>
      <c r="E101" s="11">
        <v>29.739889999999999</v>
      </c>
      <c r="F101" s="11">
        <v>-84.718919999999997</v>
      </c>
      <c r="G101" s="11" t="s">
        <v>294</v>
      </c>
      <c r="H101" s="11" t="s">
        <v>295</v>
      </c>
      <c r="I101" s="8" t="s">
        <v>99</v>
      </c>
    </row>
    <row r="102" spans="1:9" ht="71.25" customHeight="1" x14ac:dyDescent="0.2">
      <c r="A102" s="13">
        <v>41681</v>
      </c>
      <c r="B102" s="11" t="s">
        <v>291</v>
      </c>
      <c r="C102" s="11" t="s">
        <v>202</v>
      </c>
      <c r="D102" s="11">
        <v>4</v>
      </c>
      <c r="E102" s="11">
        <v>29.750129999999999</v>
      </c>
      <c r="F102" s="11">
        <v>-84.708160000000007</v>
      </c>
      <c r="G102" s="11" t="s">
        <v>296</v>
      </c>
      <c r="H102" s="11" t="s">
        <v>297</v>
      </c>
      <c r="I102" s="8" t="s">
        <v>99</v>
      </c>
    </row>
    <row r="103" spans="1:9" ht="71.25" customHeight="1" x14ac:dyDescent="0.2">
      <c r="A103" s="13">
        <v>41681</v>
      </c>
      <c r="B103" s="11" t="s">
        <v>291</v>
      </c>
      <c r="C103" s="11" t="s">
        <v>202</v>
      </c>
      <c r="D103" s="11">
        <v>5</v>
      </c>
      <c r="E103" s="11">
        <v>29.753979999999999</v>
      </c>
      <c r="F103" s="11">
        <v>-84.703860000000006</v>
      </c>
      <c r="G103" s="11" t="s">
        <v>271</v>
      </c>
      <c r="H103" s="11" t="s">
        <v>298</v>
      </c>
      <c r="I103" s="8" t="s">
        <v>99</v>
      </c>
    </row>
    <row r="104" spans="1:9" ht="71.25" customHeight="1" x14ac:dyDescent="0.2">
      <c r="A104" s="13">
        <v>41681</v>
      </c>
      <c r="B104" s="11" t="s">
        <v>291</v>
      </c>
      <c r="C104" s="11" t="s">
        <v>202</v>
      </c>
      <c r="D104" s="11">
        <v>6</v>
      </c>
      <c r="E104" s="11">
        <v>29.756029999999999</v>
      </c>
      <c r="F104" s="11">
        <v>-84.701449999999994</v>
      </c>
      <c r="G104" s="11" t="s">
        <v>271</v>
      </c>
      <c r="H104" s="11" t="s">
        <v>290</v>
      </c>
      <c r="I104" s="8" t="s">
        <v>290</v>
      </c>
    </row>
    <row r="105" spans="1:9" ht="71.25" customHeight="1" x14ac:dyDescent="0.2">
      <c r="A105" s="13">
        <v>41681</v>
      </c>
      <c r="B105" s="11" t="s">
        <v>291</v>
      </c>
      <c r="C105" s="11" t="s">
        <v>202</v>
      </c>
      <c r="D105" s="11">
        <v>7</v>
      </c>
      <c r="E105" s="11">
        <v>29.76061</v>
      </c>
      <c r="F105" s="11">
        <v>-84.695899999999995</v>
      </c>
      <c r="G105" s="11" t="s">
        <v>300</v>
      </c>
      <c r="H105" s="11" t="s">
        <v>290</v>
      </c>
      <c r="I105" s="8" t="s">
        <v>290</v>
      </c>
    </row>
    <row r="106" spans="1:9" ht="71.25" customHeight="1" x14ac:dyDescent="0.2">
      <c r="A106" s="13">
        <v>41681</v>
      </c>
      <c r="B106" s="11" t="s">
        <v>291</v>
      </c>
      <c r="C106" s="11" t="s">
        <v>202</v>
      </c>
      <c r="D106" s="11">
        <v>8</v>
      </c>
      <c r="E106" s="11">
        <v>29.764479999999999</v>
      </c>
      <c r="F106" s="11">
        <v>-84.691820000000007</v>
      </c>
      <c r="G106" s="11" t="s">
        <v>302</v>
      </c>
      <c r="H106" s="11" t="s">
        <v>303</v>
      </c>
      <c r="I106" s="8" t="s">
        <v>99</v>
      </c>
    </row>
    <row r="107" spans="1:9" ht="71.25" customHeight="1" x14ac:dyDescent="0.2">
      <c r="A107" s="13">
        <v>41681</v>
      </c>
      <c r="B107" s="11" t="s">
        <v>291</v>
      </c>
      <c r="C107" s="11" t="s">
        <v>202</v>
      </c>
      <c r="D107" s="11">
        <v>9</v>
      </c>
      <c r="E107" s="11">
        <v>29.77225</v>
      </c>
      <c r="F107" s="11">
        <v>-84.694069999999996</v>
      </c>
      <c r="G107" s="11" t="s">
        <v>304</v>
      </c>
      <c r="H107" s="11" t="s">
        <v>305</v>
      </c>
      <c r="I107" s="8" t="s">
        <v>99</v>
      </c>
    </row>
    <row r="108" spans="1:9" ht="71.25" customHeight="1" x14ac:dyDescent="0.2">
      <c r="A108" s="13">
        <v>41679</v>
      </c>
      <c r="B108" s="11" t="s">
        <v>306</v>
      </c>
      <c r="C108" s="11" t="s">
        <v>308</v>
      </c>
      <c r="D108" s="11">
        <v>1</v>
      </c>
      <c r="E108" s="11">
        <v>30.0519</v>
      </c>
      <c r="F108" s="11">
        <v>-85.599400000000003</v>
      </c>
      <c r="G108" s="11" t="s">
        <v>271</v>
      </c>
      <c r="H108" s="11" t="s">
        <v>310</v>
      </c>
      <c r="I108" s="8" t="s">
        <v>268</v>
      </c>
    </row>
    <row r="109" spans="1:9" ht="71.25" customHeight="1" x14ac:dyDescent="0.2">
      <c r="A109" s="13">
        <v>41679</v>
      </c>
      <c r="B109" s="11" t="s">
        <v>306</v>
      </c>
      <c r="C109" s="11" t="s">
        <v>308</v>
      </c>
      <c r="D109" s="11">
        <v>2</v>
      </c>
      <c r="E109" s="11">
        <v>30.048729999999999</v>
      </c>
      <c r="F109" s="11">
        <v>-85.594430000000003</v>
      </c>
      <c r="G109" s="11" t="s">
        <v>300</v>
      </c>
      <c r="H109" s="11" t="s">
        <v>311</v>
      </c>
      <c r="I109" s="8" t="s">
        <v>268</v>
      </c>
    </row>
    <row r="110" spans="1:9" ht="71.25" customHeight="1" x14ac:dyDescent="0.2">
      <c r="A110" s="13">
        <v>41679</v>
      </c>
      <c r="B110" s="11" t="s">
        <v>306</v>
      </c>
      <c r="C110" s="11" t="s">
        <v>308</v>
      </c>
      <c r="D110" s="11">
        <v>3</v>
      </c>
      <c r="E110" s="11">
        <v>30.04476</v>
      </c>
      <c r="F110" s="11">
        <v>-85.589489999999998</v>
      </c>
      <c r="G110" s="11" t="s">
        <v>271</v>
      </c>
      <c r="H110" s="11" t="s">
        <v>312</v>
      </c>
      <c r="I110" s="8" t="s">
        <v>268</v>
      </c>
    </row>
    <row r="111" spans="1:9" ht="71.25" customHeight="1" x14ac:dyDescent="0.2">
      <c r="A111" s="13">
        <v>41679</v>
      </c>
      <c r="B111" s="11" t="s">
        <v>306</v>
      </c>
      <c r="C111" s="11" t="s">
        <v>308</v>
      </c>
      <c r="D111" s="11">
        <v>4</v>
      </c>
      <c r="E111" s="11">
        <v>30.038779999999999</v>
      </c>
      <c r="F111" s="11">
        <v>-85.583330000000004</v>
      </c>
      <c r="G111" s="11" t="s">
        <v>271</v>
      </c>
      <c r="H111" s="11" t="s">
        <v>313</v>
      </c>
      <c r="I111" s="8" t="s">
        <v>268</v>
      </c>
    </row>
    <row r="112" spans="1:9" ht="71.25" customHeight="1" x14ac:dyDescent="0.2">
      <c r="A112" s="13">
        <v>41679</v>
      </c>
      <c r="B112" s="11" t="s">
        <v>306</v>
      </c>
      <c r="C112" s="11" t="s">
        <v>308</v>
      </c>
      <c r="D112" s="11">
        <v>5</v>
      </c>
      <c r="E112" s="11">
        <v>30.036930000000002</v>
      </c>
      <c r="F112" s="11">
        <v>-85.580860000000001</v>
      </c>
      <c r="G112" s="11" t="s">
        <v>314</v>
      </c>
      <c r="H112" s="11" t="s">
        <v>315</v>
      </c>
      <c r="I112" s="8" t="s">
        <v>268</v>
      </c>
    </row>
    <row r="113" spans="1:9" ht="71.25" customHeight="1" x14ac:dyDescent="0.2">
      <c r="A113" s="13">
        <v>41679</v>
      </c>
      <c r="B113" s="11" t="s">
        <v>306</v>
      </c>
      <c r="C113" s="11" t="s">
        <v>308</v>
      </c>
      <c r="D113" s="11">
        <v>6</v>
      </c>
      <c r="E113" s="11">
        <v>30.025449999999999</v>
      </c>
      <c r="F113" s="11">
        <v>-85.568280000000001</v>
      </c>
      <c r="G113" s="11" t="s">
        <v>316</v>
      </c>
      <c r="H113" s="11" t="s">
        <v>317</v>
      </c>
      <c r="I113" s="8" t="s">
        <v>268</v>
      </c>
    </row>
    <row r="114" spans="1:9" ht="71.25" customHeight="1" x14ac:dyDescent="0.2">
      <c r="A114" s="13">
        <v>41679</v>
      </c>
      <c r="B114" s="11" t="s">
        <v>306</v>
      </c>
      <c r="C114" s="11" t="s">
        <v>308</v>
      </c>
      <c r="D114" s="11">
        <v>7</v>
      </c>
      <c r="E114" s="11">
        <v>30.017520000000001</v>
      </c>
      <c r="F114" s="11">
        <v>-85.559939999999997</v>
      </c>
      <c r="G114" s="11" t="s">
        <v>318</v>
      </c>
      <c r="H114" s="11" t="s">
        <v>319</v>
      </c>
      <c r="I114" s="8" t="s">
        <v>268</v>
      </c>
    </row>
    <row r="115" spans="1:9" ht="71.25" customHeight="1" x14ac:dyDescent="0.2">
      <c r="A115" s="13">
        <v>41679</v>
      </c>
      <c r="B115" s="11" t="s">
        <v>306</v>
      </c>
      <c r="C115" s="11" t="s">
        <v>308</v>
      </c>
      <c r="D115" s="11">
        <v>8</v>
      </c>
      <c r="E115" s="11">
        <v>30.008430000000001</v>
      </c>
      <c r="F115" s="11">
        <v>-85.549000000000007</v>
      </c>
      <c r="G115" s="11" t="s">
        <v>320</v>
      </c>
      <c r="H115" s="14"/>
      <c r="I115" s="8" t="s">
        <v>268</v>
      </c>
    </row>
    <row r="116" spans="1:9" ht="71.25" customHeight="1" x14ac:dyDescent="0.2">
      <c r="A116" s="13">
        <v>41679</v>
      </c>
      <c r="B116" s="11" t="s">
        <v>306</v>
      </c>
      <c r="C116" s="11" t="s">
        <v>308</v>
      </c>
      <c r="D116" s="11">
        <v>9</v>
      </c>
      <c r="E116" s="11">
        <v>30.005800000000001</v>
      </c>
      <c r="F116" s="11">
        <v>-85.545559999999995</v>
      </c>
      <c r="G116" s="11" t="s">
        <v>271</v>
      </c>
      <c r="H116" s="11" t="s">
        <v>321</v>
      </c>
      <c r="I116" s="8" t="s">
        <v>268</v>
      </c>
    </row>
    <row r="117" spans="1:9" ht="71.25" customHeight="1" x14ac:dyDescent="0.2">
      <c r="A117" s="13">
        <v>41679</v>
      </c>
      <c r="B117" s="11" t="s">
        <v>306</v>
      </c>
      <c r="C117" s="11" t="s">
        <v>308</v>
      </c>
      <c r="D117" s="11">
        <v>10</v>
      </c>
      <c r="E117" s="11">
        <v>30.005050000000001</v>
      </c>
      <c r="F117" s="11">
        <v>-85.544150000000002</v>
      </c>
      <c r="G117" s="11" t="s">
        <v>324</v>
      </c>
      <c r="H117" s="11" t="s">
        <v>325</v>
      </c>
      <c r="I117" s="8" t="s">
        <v>268</v>
      </c>
    </row>
    <row r="118" spans="1:9" ht="71.25" customHeight="1" x14ac:dyDescent="0.2">
      <c r="A118" s="13">
        <v>41679</v>
      </c>
      <c r="B118" s="11" t="s">
        <v>306</v>
      </c>
      <c r="C118" s="11" t="s">
        <v>308</v>
      </c>
      <c r="D118" s="11">
        <v>11</v>
      </c>
      <c r="E118" s="11">
        <v>30.004110000000001</v>
      </c>
      <c r="F118" s="11">
        <v>-85.540890000000005</v>
      </c>
      <c r="G118" s="11" t="s">
        <v>326</v>
      </c>
      <c r="H118" s="11" t="s">
        <v>327</v>
      </c>
      <c r="I118" s="8" t="s">
        <v>268</v>
      </c>
    </row>
    <row r="119" spans="1:9" ht="71.25" customHeight="1" x14ac:dyDescent="0.2">
      <c r="A119" s="13">
        <v>41679</v>
      </c>
      <c r="B119" s="11" t="s">
        <v>306</v>
      </c>
      <c r="C119" s="11" t="s">
        <v>308</v>
      </c>
      <c r="D119" s="11">
        <v>12</v>
      </c>
      <c r="E119" s="11">
        <v>30.003730000000001</v>
      </c>
      <c r="F119" s="11">
        <v>-85.538210000000007</v>
      </c>
      <c r="G119" s="11" t="s">
        <v>329</v>
      </c>
      <c r="H119" s="11" t="s">
        <v>123</v>
      </c>
      <c r="I119" s="8" t="s">
        <v>123</v>
      </c>
    </row>
    <row r="120" spans="1:9" ht="71.25" customHeight="1" x14ac:dyDescent="0.2">
      <c r="A120" s="13">
        <v>41679</v>
      </c>
      <c r="B120" s="11" t="s">
        <v>306</v>
      </c>
      <c r="C120" s="11" t="s">
        <v>308</v>
      </c>
      <c r="D120" s="11">
        <v>13</v>
      </c>
      <c r="E120" s="11">
        <v>30.00583</v>
      </c>
      <c r="F120" s="11">
        <v>-85.5351</v>
      </c>
      <c r="G120" s="11" t="s">
        <v>330</v>
      </c>
      <c r="H120" s="11" t="s">
        <v>331</v>
      </c>
      <c r="I120" s="8" t="s">
        <v>268</v>
      </c>
    </row>
    <row r="121" spans="1:9" ht="71.25" customHeight="1" x14ac:dyDescent="0.2">
      <c r="A121" s="13">
        <v>41679</v>
      </c>
      <c r="B121" s="11" t="s">
        <v>306</v>
      </c>
      <c r="C121" s="11" t="s">
        <v>308</v>
      </c>
      <c r="D121" s="11">
        <v>14</v>
      </c>
      <c r="E121" s="11">
        <v>30.019410000000001</v>
      </c>
      <c r="F121" s="11">
        <v>-85.559780000000003</v>
      </c>
      <c r="G121" s="11" t="s">
        <v>332</v>
      </c>
      <c r="H121" s="11" t="s">
        <v>123</v>
      </c>
      <c r="I121" s="8" t="s">
        <v>123</v>
      </c>
    </row>
    <row r="122" spans="1:9" ht="71.25" customHeight="1" x14ac:dyDescent="0.2">
      <c r="A122" s="13">
        <v>41680</v>
      </c>
      <c r="B122" s="11" t="s">
        <v>333</v>
      </c>
      <c r="C122" s="11" t="s">
        <v>334</v>
      </c>
      <c r="D122" s="11">
        <v>1</v>
      </c>
      <c r="E122" s="11">
        <v>29.5715</v>
      </c>
      <c r="F122" s="11">
        <v>-81.181600000000003</v>
      </c>
      <c r="G122" s="11" t="s">
        <v>335</v>
      </c>
      <c r="H122" s="11" t="s">
        <v>123</v>
      </c>
      <c r="I122" s="8" t="s">
        <v>123</v>
      </c>
    </row>
    <row r="123" spans="1:9" ht="71.25" customHeight="1" x14ac:dyDescent="0.2">
      <c r="A123" s="13">
        <v>41680</v>
      </c>
      <c r="B123" s="11" t="s">
        <v>333</v>
      </c>
      <c r="C123" s="11" t="s">
        <v>334</v>
      </c>
      <c r="D123" s="11">
        <v>2</v>
      </c>
      <c r="E123" s="11">
        <v>29.572500000000002</v>
      </c>
      <c r="F123" s="11">
        <v>-81.1828</v>
      </c>
      <c r="G123" s="11" t="s">
        <v>336</v>
      </c>
      <c r="H123" s="11" t="s">
        <v>123</v>
      </c>
      <c r="I123" s="8" t="s">
        <v>123</v>
      </c>
    </row>
    <row r="124" spans="1:9" ht="71.25" customHeight="1" x14ac:dyDescent="0.2">
      <c r="A124" s="13">
        <v>41680</v>
      </c>
      <c r="B124" s="11" t="s">
        <v>333</v>
      </c>
      <c r="C124" s="11" t="s">
        <v>334</v>
      </c>
      <c r="D124" s="11">
        <v>3</v>
      </c>
      <c r="E124" s="11">
        <v>29.581700000000001</v>
      </c>
      <c r="F124" s="11">
        <v>-81.183400000000006</v>
      </c>
      <c r="G124" s="11" t="s">
        <v>340</v>
      </c>
      <c r="H124" s="11" t="s">
        <v>123</v>
      </c>
      <c r="I124" s="8" t="s">
        <v>123</v>
      </c>
    </row>
    <row r="125" spans="1:9" ht="71.25" customHeight="1" x14ac:dyDescent="0.2">
      <c r="A125" s="13">
        <v>41680</v>
      </c>
      <c r="B125" s="11" t="s">
        <v>333</v>
      </c>
      <c r="C125" s="11" t="s">
        <v>334</v>
      </c>
      <c r="D125" s="11">
        <v>4</v>
      </c>
      <c r="E125" s="11">
        <v>29.581600000000002</v>
      </c>
      <c r="F125" s="11">
        <v>-81.183499999999995</v>
      </c>
      <c r="G125" s="11" t="s">
        <v>343</v>
      </c>
      <c r="H125" s="11" t="s">
        <v>123</v>
      </c>
      <c r="I125" s="8" t="s">
        <v>123</v>
      </c>
    </row>
    <row r="126" spans="1:9" ht="71.25" customHeight="1" x14ac:dyDescent="0.2">
      <c r="A126" s="13">
        <v>41681</v>
      </c>
      <c r="B126" s="11" t="s">
        <v>344</v>
      </c>
      <c r="C126" s="11" t="s">
        <v>334</v>
      </c>
      <c r="D126" s="11">
        <v>1</v>
      </c>
      <c r="E126" s="11">
        <v>30.313099999999999</v>
      </c>
      <c r="F126" s="11">
        <v>-81.2607</v>
      </c>
      <c r="G126" s="11" t="s">
        <v>345</v>
      </c>
      <c r="H126" s="14"/>
    </row>
    <row r="127" spans="1:9" ht="71.25" customHeight="1" x14ac:dyDescent="0.2">
      <c r="A127" s="13">
        <v>41681</v>
      </c>
      <c r="B127" s="11" t="s">
        <v>344</v>
      </c>
      <c r="C127" s="11" t="s">
        <v>334</v>
      </c>
      <c r="D127" s="11">
        <v>2</v>
      </c>
      <c r="E127" s="11">
        <v>30.305399999999999</v>
      </c>
      <c r="F127" s="11">
        <v>-81.261099999999999</v>
      </c>
      <c r="G127" s="11" t="s">
        <v>346</v>
      </c>
      <c r="H127" s="11" t="s">
        <v>123</v>
      </c>
      <c r="I127" s="8" t="s">
        <v>123</v>
      </c>
    </row>
    <row r="128" spans="1:9" ht="71.25" customHeight="1" x14ac:dyDescent="0.2">
      <c r="A128" s="13">
        <v>41681</v>
      </c>
      <c r="B128" s="11" t="s">
        <v>344</v>
      </c>
      <c r="C128" s="11" t="s">
        <v>334</v>
      </c>
      <c r="D128" s="11">
        <v>3</v>
      </c>
      <c r="E128" s="11">
        <v>30.305499999999999</v>
      </c>
      <c r="F128" s="11">
        <v>-81.260999999999996</v>
      </c>
      <c r="G128" s="11" t="s">
        <v>347</v>
      </c>
      <c r="H128" s="11" t="s">
        <v>123</v>
      </c>
      <c r="I128" s="8" t="s">
        <v>123</v>
      </c>
    </row>
    <row r="129" spans="1:10" ht="71.25" customHeight="1" x14ac:dyDescent="0.2">
      <c r="A129" s="13">
        <v>41681</v>
      </c>
      <c r="B129" s="11" t="s">
        <v>344</v>
      </c>
      <c r="C129" s="11" t="s">
        <v>334</v>
      </c>
      <c r="D129" s="11">
        <v>4</v>
      </c>
      <c r="E129" s="11">
        <v>30.305499999999999</v>
      </c>
      <c r="F129" s="11">
        <v>-81.261099999999999</v>
      </c>
      <c r="G129" s="11" t="s">
        <v>348</v>
      </c>
      <c r="H129" s="11" t="s">
        <v>123</v>
      </c>
      <c r="I129" s="8" t="s">
        <v>123</v>
      </c>
    </row>
    <row r="130" spans="1:10" ht="71.25" customHeight="1" x14ac:dyDescent="0.2">
      <c r="A130" s="13">
        <v>41681</v>
      </c>
      <c r="B130" s="11" t="s">
        <v>349</v>
      </c>
      <c r="C130" s="11" t="s">
        <v>334</v>
      </c>
      <c r="D130" s="11">
        <v>1</v>
      </c>
      <c r="E130" s="11">
        <v>30.273</v>
      </c>
      <c r="F130" s="11">
        <v>-81.243799999999993</v>
      </c>
      <c r="G130" s="11" t="s">
        <v>350</v>
      </c>
      <c r="H130" s="11" t="s">
        <v>123</v>
      </c>
      <c r="I130" s="8" t="s">
        <v>123</v>
      </c>
    </row>
    <row r="131" spans="1:10" ht="71.25" customHeight="1" x14ac:dyDescent="0.2">
      <c r="A131" s="13">
        <v>41681</v>
      </c>
      <c r="B131" s="11" t="s">
        <v>349</v>
      </c>
      <c r="C131" s="11" t="s">
        <v>334</v>
      </c>
      <c r="D131" s="11">
        <v>2</v>
      </c>
      <c r="E131" s="11">
        <v>30.291899999999998</v>
      </c>
      <c r="F131" s="11">
        <v>-81.245699999999999</v>
      </c>
      <c r="G131" s="11" t="s">
        <v>351</v>
      </c>
      <c r="H131" s="11" t="s">
        <v>123</v>
      </c>
      <c r="I131" s="8" t="s">
        <v>123</v>
      </c>
    </row>
    <row r="132" spans="1:10" ht="71.25" customHeight="1" x14ac:dyDescent="0.2">
      <c r="A132" s="13">
        <v>41681</v>
      </c>
      <c r="B132" s="11" t="s">
        <v>349</v>
      </c>
      <c r="C132" s="11" t="s">
        <v>334</v>
      </c>
      <c r="D132" s="11">
        <v>3</v>
      </c>
      <c r="E132" s="11">
        <v>30.291499999999999</v>
      </c>
      <c r="F132" s="11">
        <v>-81.252499999999998</v>
      </c>
      <c r="G132" s="11" t="s">
        <v>353</v>
      </c>
      <c r="H132" s="11" t="s">
        <v>123</v>
      </c>
      <c r="I132" s="8" t="s">
        <v>123</v>
      </c>
    </row>
    <row r="133" spans="1:10" ht="71.25" customHeight="1" x14ac:dyDescent="0.2">
      <c r="A133" s="13">
        <v>41681</v>
      </c>
      <c r="B133" s="11" t="s">
        <v>349</v>
      </c>
      <c r="C133" s="11" t="s">
        <v>334</v>
      </c>
      <c r="D133" s="11">
        <v>4</v>
      </c>
      <c r="E133" s="11">
        <v>30.2605</v>
      </c>
      <c r="F133" s="11">
        <v>-81.2423</v>
      </c>
      <c r="G133" s="11" t="s">
        <v>359</v>
      </c>
      <c r="H133" s="11" t="s">
        <v>123</v>
      </c>
      <c r="I133" s="8" t="s">
        <v>123</v>
      </c>
    </row>
    <row r="134" spans="1:10" ht="71.25" customHeight="1" x14ac:dyDescent="0.2">
      <c r="A134" s="13">
        <v>41681</v>
      </c>
      <c r="B134" s="11" t="s">
        <v>349</v>
      </c>
      <c r="C134" s="11" t="s">
        <v>334</v>
      </c>
      <c r="D134" s="11">
        <v>5</v>
      </c>
      <c r="E134" s="11">
        <v>30.291899999999998</v>
      </c>
      <c r="F134" s="11">
        <v>-81.245699999999999</v>
      </c>
      <c r="G134" s="11" t="s">
        <v>362</v>
      </c>
      <c r="H134" s="11" t="s">
        <v>123</v>
      </c>
      <c r="I134" s="8" t="s">
        <v>123</v>
      </c>
    </row>
    <row r="135" spans="1:10" ht="71.25" customHeight="1" x14ac:dyDescent="0.2">
      <c r="A135" s="13">
        <v>41681</v>
      </c>
      <c r="B135" s="11" t="s">
        <v>349</v>
      </c>
      <c r="C135" s="11" t="s">
        <v>334</v>
      </c>
      <c r="D135" s="11">
        <v>6</v>
      </c>
      <c r="E135" s="11">
        <v>30.291599999999999</v>
      </c>
      <c r="F135" s="11">
        <v>-81.251900000000006</v>
      </c>
      <c r="G135" s="11" t="s">
        <v>93</v>
      </c>
      <c r="H135" s="11" t="s">
        <v>123</v>
      </c>
      <c r="I135" s="8" t="s">
        <v>123</v>
      </c>
    </row>
    <row r="136" spans="1:10" ht="71.25" customHeight="1" x14ac:dyDescent="0.2">
      <c r="A136" s="13">
        <v>41681</v>
      </c>
      <c r="B136" s="11" t="s">
        <v>349</v>
      </c>
      <c r="C136" s="11" t="s">
        <v>334</v>
      </c>
      <c r="D136" s="11">
        <v>7</v>
      </c>
      <c r="E136" s="11">
        <v>30.285</v>
      </c>
      <c r="F136" s="11">
        <v>-81.245000000000005</v>
      </c>
      <c r="G136" s="11" t="s">
        <v>363</v>
      </c>
      <c r="H136" s="11" t="s">
        <v>364</v>
      </c>
      <c r="I136" s="8" t="s">
        <v>365</v>
      </c>
    </row>
    <row r="137" spans="1:10" ht="71.25" customHeight="1" x14ac:dyDescent="0.2">
      <c r="A137" s="13">
        <v>41682</v>
      </c>
      <c r="B137" s="11" t="s">
        <v>366</v>
      </c>
      <c r="C137" s="11" t="s">
        <v>367</v>
      </c>
      <c r="D137" s="11">
        <v>1</v>
      </c>
      <c r="E137" s="11">
        <v>25.666799999999999</v>
      </c>
      <c r="F137" s="11">
        <v>-80.155600000000007</v>
      </c>
      <c r="G137" s="11" t="s">
        <v>368</v>
      </c>
      <c r="H137" s="11" t="s">
        <v>369</v>
      </c>
      <c r="I137" s="8" t="s">
        <v>370</v>
      </c>
    </row>
    <row r="138" spans="1:10" ht="71.25" customHeight="1" x14ac:dyDescent="0.2">
      <c r="A138" s="13">
        <v>41682</v>
      </c>
      <c r="B138" s="11" t="s">
        <v>366</v>
      </c>
      <c r="C138" s="11" t="s">
        <v>367</v>
      </c>
      <c r="D138" s="11">
        <v>2</v>
      </c>
      <c r="E138" s="11">
        <v>25.6676</v>
      </c>
      <c r="F138" s="11">
        <v>-80.155100000000004</v>
      </c>
      <c r="G138" s="11" t="s">
        <v>372</v>
      </c>
      <c r="H138" s="11" t="s">
        <v>369</v>
      </c>
      <c r="I138" s="8" t="s">
        <v>370</v>
      </c>
    </row>
    <row r="139" spans="1:10" ht="71.25" customHeight="1" x14ac:dyDescent="0.2">
      <c r="A139" s="13">
        <v>41682</v>
      </c>
      <c r="B139" s="11" t="s">
        <v>375</v>
      </c>
      <c r="C139" s="11" t="s">
        <v>367</v>
      </c>
      <c r="D139" s="11">
        <v>1</v>
      </c>
      <c r="E139" s="11">
        <v>25.694800000000001</v>
      </c>
      <c r="F139" s="11">
        <v>-80.156499999999994</v>
      </c>
      <c r="G139" s="11" t="s">
        <v>376</v>
      </c>
      <c r="H139" s="11" t="s">
        <v>369</v>
      </c>
      <c r="I139" s="8" t="s">
        <v>370</v>
      </c>
    </row>
    <row r="140" spans="1:10" ht="71.25" customHeight="1" x14ac:dyDescent="0.2">
      <c r="A140" s="13">
        <v>41682</v>
      </c>
      <c r="B140" s="11" t="s">
        <v>375</v>
      </c>
      <c r="C140" s="11" t="s">
        <v>367</v>
      </c>
      <c r="D140" s="11">
        <v>2</v>
      </c>
      <c r="E140" s="11">
        <v>25.694800000000001</v>
      </c>
      <c r="F140" s="11">
        <v>-80.1571</v>
      </c>
      <c r="G140" s="11" t="s">
        <v>377</v>
      </c>
      <c r="H140" s="11" t="s">
        <v>369</v>
      </c>
      <c r="I140" s="8" t="s">
        <v>370</v>
      </c>
      <c r="J140" s="8" t="s">
        <v>378</v>
      </c>
    </row>
    <row r="141" spans="1:10" ht="71.25" customHeight="1" x14ac:dyDescent="0.2">
      <c r="A141" s="13">
        <v>41682</v>
      </c>
      <c r="B141" s="11" t="s">
        <v>375</v>
      </c>
      <c r="C141" s="11" t="s">
        <v>367</v>
      </c>
      <c r="D141" s="11">
        <v>3</v>
      </c>
      <c r="E141" s="11">
        <v>25.698799999999999</v>
      </c>
      <c r="F141" s="11">
        <v>-80.155699999999996</v>
      </c>
      <c r="G141" s="11" t="s">
        <v>379</v>
      </c>
      <c r="H141" s="11" t="s">
        <v>369</v>
      </c>
      <c r="I141" s="8" t="s">
        <v>370</v>
      </c>
    </row>
    <row r="142" spans="1:10" ht="71.25" customHeight="1" x14ac:dyDescent="0.2">
      <c r="A142" s="13">
        <v>41681</v>
      </c>
      <c r="B142" s="11" t="s">
        <v>338</v>
      </c>
      <c r="C142" s="11" t="s">
        <v>341</v>
      </c>
      <c r="D142" s="11">
        <v>1</v>
      </c>
      <c r="E142" s="11">
        <v>28.413599999999999</v>
      </c>
      <c r="F142" s="11">
        <v>-80.583579999999998</v>
      </c>
      <c r="G142" s="11" t="s">
        <v>380</v>
      </c>
      <c r="H142" s="11" t="s">
        <v>123</v>
      </c>
      <c r="I142" s="8" t="s">
        <v>123</v>
      </c>
    </row>
    <row r="143" spans="1:10" ht="71.25" customHeight="1" x14ac:dyDescent="0.2">
      <c r="A143" s="13">
        <v>41681</v>
      </c>
      <c r="B143" s="11" t="s">
        <v>338</v>
      </c>
      <c r="C143" s="11" t="s">
        <v>341</v>
      </c>
      <c r="D143" s="11">
        <v>2</v>
      </c>
      <c r="E143" s="11">
        <v>28.424469999999999</v>
      </c>
      <c r="F143" s="11">
        <v>-80.575599999999994</v>
      </c>
      <c r="G143" s="11" t="s">
        <v>381</v>
      </c>
      <c r="H143" s="11" t="s">
        <v>123</v>
      </c>
      <c r="I143" s="8" t="s">
        <v>123</v>
      </c>
    </row>
    <row r="144" spans="1:10" ht="71.25" customHeight="1" x14ac:dyDescent="0.2">
      <c r="A144" s="13">
        <v>41681</v>
      </c>
      <c r="B144" s="11" t="s">
        <v>338</v>
      </c>
      <c r="C144" s="11" t="s">
        <v>341</v>
      </c>
      <c r="D144" s="11">
        <v>3</v>
      </c>
      <c r="E144" s="11">
        <v>28.436250000000001</v>
      </c>
      <c r="F144" s="11">
        <v>-80.562119999999993</v>
      </c>
      <c r="G144" s="11" t="s">
        <v>384</v>
      </c>
      <c r="H144" s="11" t="s">
        <v>123</v>
      </c>
      <c r="I144" s="8" t="s">
        <v>123</v>
      </c>
    </row>
    <row r="145" spans="1:10" ht="71.25" customHeight="1" x14ac:dyDescent="0.2">
      <c r="A145" s="13">
        <v>41681</v>
      </c>
      <c r="B145" s="11" t="s">
        <v>338</v>
      </c>
      <c r="C145" s="11" t="s">
        <v>341</v>
      </c>
      <c r="D145" s="11">
        <v>4</v>
      </c>
      <c r="E145" s="11">
        <v>28.44172</v>
      </c>
      <c r="F145" s="11">
        <v>-80.550510000000003</v>
      </c>
      <c r="G145" s="11" t="s">
        <v>386</v>
      </c>
      <c r="H145" s="11" t="s">
        <v>123</v>
      </c>
      <c r="I145" s="8" t="s">
        <v>123</v>
      </c>
    </row>
    <row r="146" spans="1:10" ht="71.25" customHeight="1" x14ac:dyDescent="0.2">
      <c r="A146" s="13">
        <v>41681</v>
      </c>
      <c r="B146" s="11" t="s">
        <v>338</v>
      </c>
      <c r="C146" s="11" t="s">
        <v>341</v>
      </c>
      <c r="D146" s="11">
        <v>5</v>
      </c>
      <c r="E146" s="11">
        <v>28.445900000000002</v>
      </c>
      <c r="F146" s="11">
        <v>-80.538870000000003</v>
      </c>
      <c r="G146" s="11" t="s">
        <v>387</v>
      </c>
      <c r="H146" s="11" t="s">
        <v>123</v>
      </c>
      <c r="I146" s="8" t="s">
        <v>123</v>
      </c>
    </row>
    <row r="147" spans="1:10" ht="71.25" customHeight="1" x14ac:dyDescent="0.2">
      <c r="A147" s="13">
        <v>41681</v>
      </c>
      <c r="B147" s="11" t="s">
        <v>338</v>
      </c>
      <c r="C147" s="11" t="s">
        <v>341</v>
      </c>
      <c r="D147" s="11">
        <v>6</v>
      </c>
      <c r="E147" s="11">
        <v>28.455269999999999</v>
      </c>
      <c r="F147" s="11">
        <v>-80.525289999999998</v>
      </c>
      <c r="G147" s="11" t="s">
        <v>390</v>
      </c>
      <c r="H147" s="11" t="s">
        <v>123</v>
      </c>
      <c r="I147" s="8" t="s">
        <v>123</v>
      </c>
    </row>
    <row r="148" spans="1:10" ht="71.25" customHeight="1" x14ac:dyDescent="0.2">
      <c r="A148" s="13">
        <v>41681</v>
      </c>
      <c r="B148" s="11" t="s">
        <v>338</v>
      </c>
      <c r="C148" s="11" t="s">
        <v>341</v>
      </c>
      <c r="D148" s="11">
        <v>7</v>
      </c>
      <c r="E148" s="11">
        <v>28.467749999999999</v>
      </c>
      <c r="F148" s="11">
        <v>-80.530150000000006</v>
      </c>
      <c r="G148" s="11" t="s">
        <v>393</v>
      </c>
      <c r="H148" s="11" t="s">
        <v>123</v>
      </c>
      <c r="I148" s="8" t="s">
        <v>123</v>
      </c>
    </row>
    <row r="149" spans="1:10" ht="71.25" customHeight="1" x14ac:dyDescent="0.2">
      <c r="A149" s="13">
        <v>41681</v>
      </c>
      <c r="B149" s="11" t="s">
        <v>338</v>
      </c>
      <c r="C149" s="11" t="s">
        <v>341</v>
      </c>
      <c r="D149" s="11">
        <v>8</v>
      </c>
      <c r="E149" s="11">
        <v>28.561669999999999</v>
      </c>
      <c r="F149" s="11">
        <v>-80.567880000000002</v>
      </c>
      <c r="G149" s="11" t="s">
        <v>394</v>
      </c>
      <c r="H149" s="11" t="s">
        <v>123</v>
      </c>
      <c r="I149" s="8" t="s">
        <v>123</v>
      </c>
    </row>
    <row r="150" spans="1:10" ht="71.25" customHeight="1" x14ac:dyDescent="0.2">
      <c r="A150" s="13">
        <v>41682</v>
      </c>
      <c r="B150" s="11" t="s">
        <v>395</v>
      </c>
      <c r="C150" s="11" t="s">
        <v>54</v>
      </c>
      <c r="D150" s="11">
        <v>1</v>
      </c>
      <c r="E150" s="11">
        <v>29.970510000000001</v>
      </c>
      <c r="F150" s="11">
        <v>-84.34187</v>
      </c>
      <c r="G150" s="11" t="s">
        <v>396</v>
      </c>
      <c r="H150" s="11" t="s">
        <v>123</v>
      </c>
      <c r="I150" s="8" t="s">
        <v>123</v>
      </c>
    </row>
    <row r="151" spans="1:10" ht="71.25" customHeight="1" x14ac:dyDescent="0.2">
      <c r="A151" s="13">
        <v>41682</v>
      </c>
      <c r="B151" s="11" t="s">
        <v>395</v>
      </c>
      <c r="C151" s="11" t="s">
        <v>54</v>
      </c>
      <c r="D151" s="11">
        <v>2</v>
      </c>
      <c r="E151" s="11">
        <v>29.977589999999999</v>
      </c>
      <c r="F151" s="11">
        <v>-84.341340000000002</v>
      </c>
      <c r="G151" s="11" t="s">
        <v>347</v>
      </c>
      <c r="H151" s="11" t="s">
        <v>123</v>
      </c>
      <c r="I151" s="8" t="s">
        <v>123</v>
      </c>
    </row>
    <row r="152" spans="1:10" ht="71.25" customHeight="1" x14ac:dyDescent="0.2">
      <c r="A152" s="13">
        <v>41682</v>
      </c>
      <c r="B152" s="11" t="s">
        <v>398</v>
      </c>
      <c r="C152" s="11" t="s">
        <v>54</v>
      </c>
      <c r="D152" s="11">
        <v>1</v>
      </c>
      <c r="E152" s="11">
        <v>30.057659999999998</v>
      </c>
      <c r="F152" s="11">
        <v>-84.296250000000001</v>
      </c>
      <c r="G152" s="11" t="s">
        <v>212</v>
      </c>
      <c r="H152" s="11" t="s">
        <v>123</v>
      </c>
      <c r="I152" s="8" t="s">
        <v>123</v>
      </c>
    </row>
    <row r="153" spans="1:10" ht="71.25" customHeight="1" x14ac:dyDescent="0.2">
      <c r="A153" s="13">
        <v>41681</v>
      </c>
      <c r="B153" s="11" t="s">
        <v>402</v>
      </c>
      <c r="C153" s="11" t="s">
        <v>403</v>
      </c>
      <c r="D153" s="11">
        <v>1</v>
      </c>
      <c r="E153" s="11">
        <v>25.991119999999999</v>
      </c>
      <c r="F153" s="11">
        <v>-81.751869999999997</v>
      </c>
      <c r="G153" s="11" t="s">
        <v>404</v>
      </c>
      <c r="H153" s="11" t="s">
        <v>123</v>
      </c>
    </row>
    <row r="154" spans="1:10" ht="71.25" customHeight="1" x14ac:dyDescent="0.2">
      <c r="A154" s="13">
        <v>41681</v>
      </c>
      <c r="B154" s="11" t="s">
        <v>402</v>
      </c>
      <c r="C154" s="11" t="s">
        <v>403</v>
      </c>
      <c r="D154" s="11">
        <v>2</v>
      </c>
      <c r="E154" s="11">
        <v>26.038862000000002</v>
      </c>
      <c r="F154" s="11">
        <v>-81.776346000000004</v>
      </c>
      <c r="G154" s="11" t="s">
        <v>407</v>
      </c>
      <c r="H154" s="11" t="s">
        <v>123</v>
      </c>
      <c r="I154" s="8" t="s">
        <v>123</v>
      </c>
    </row>
    <row r="155" spans="1:10" ht="71.25" customHeight="1" x14ac:dyDescent="0.2">
      <c r="A155" s="13">
        <v>41681</v>
      </c>
      <c r="B155" s="11" t="s">
        <v>402</v>
      </c>
      <c r="C155" s="11" t="s">
        <v>403</v>
      </c>
      <c r="D155" s="11">
        <v>3</v>
      </c>
      <c r="E155" s="11">
        <v>26.087230000000002</v>
      </c>
      <c r="F155" s="11">
        <v>-81.800319999999999</v>
      </c>
      <c r="G155" s="11" t="s">
        <v>408</v>
      </c>
      <c r="H155" s="11" t="s">
        <v>409</v>
      </c>
    </row>
    <row r="156" spans="1:10" ht="71.25" customHeight="1" x14ac:dyDescent="0.2">
      <c r="A156" s="13">
        <v>41681</v>
      </c>
      <c r="B156" s="11" t="s">
        <v>402</v>
      </c>
      <c r="C156" s="11" t="s">
        <v>403</v>
      </c>
      <c r="D156" s="11">
        <v>4</v>
      </c>
      <c r="E156" s="11">
        <v>26.090304</v>
      </c>
      <c r="F156" s="11">
        <v>-81.801130000000001</v>
      </c>
      <c r="G156" s="11" t="s">
        <v>410</v>
      </c>
      <c r="H156" s="11" t="s">
        <v>123</v>
      </c>
      <c r="I156" s="8" t="s">
        <v>123</v>
      </c>
    </row>
    <row r="157" spans="1:10" ht="71.25" customHeight="1" x14ac:dyDescent="0.2">
      <c r="A157" s="13">
        <v>41679</v>
      </c>
      <c r="B157" s="11" t="s">
        <v>411</v>
      </c>
      <c r="C157" s="11" t="s">
        <v>412</v>
      </c>
      <c r="D157" s="11">
        <v>1</v>
      </c>
      <c r="E157" s="11" t="s">
        <v>413</v>
      </c>
      <c r="F157" s="11" t="s">
        <v>414</v>
      </c>
      <c r="G157" s="11" t="s">
        <v>415</v>
      </c>
      <c r="H157" s="11" t="s">
        <v>123</v>
      </c>
      <c r="I157" s="8" t="s">
        <v>123</v>
      </c>
    </row>
    <row r="158" spans="1:10" ht="71.25" customHeight="1" x14ac:dyDescent="0.2">
      <c r="A158" s="13">
        <v>41679</v>
      </c>
      <c r="B158" s="11" t="s">
        <v>411</v>
      </c>
      <c r="C158" s="11" t="s">
        <v>412</v>
      </c>
      <c r="D158" s="11">
        <v>2</v>
      </c>
      <c r="E158" s="11" t="s">
        <v>416</v>
      </c>
      <c r="F158" s="11" t="s">
        <v>417</v>
      </c>
      <c r="G158" s="11" t="s">
        <v>418</v>
      </c>
      <c r="H158" s="11" t="s">
        <v>419</v>
      </c>
      <c r="I158" s="8" t="s">
        <v>420</v>
      </c>
      <c r="J158" s="8" t="s">
        <v>421</v>
      </c>
    </row>
    <row r="159" spans="1:10" ht="71.25" customHeight="1" x14ac:dyDescent="0.2">
      <c r="A159" s="13">
        <v>41679</v>
      </c>
      <c r="B159" s="11" t="s">
        <v>422</v>
      </c>
      <c r="C159" s="11" t="s">
        <v>424</v>
      </c>
      <c r="D159" s="11">
        <v>1</v>
      </c>
      <c r="E159" s="11" t="s">
        <v>426</v>
      </c>
      <c r="F159" s="11" t="s">
        <v>428</v>
      </c>
      <c r="G159" s="11" t="s">
        <v>430</v>
      </c>
      <c r="H159" s="14"/>
    </row>
    <row r="160" spans="1:10" ht="71.25" customHeight="1" x14ac:dyDescent="0.2">
      <c r="A160" s="13">
        <v>41679</v>
      </c>
      <c r="B160" s="11" t="s">
        <v>435</v>
      </c>
      <c r="C160" s="11" t="s">
        <v>424</v>
      </c>
      <c r="D160" s="11">
        <v>2</v>
      </c>
      <c r="E160" s="11" t="s">
        <v>437</v>
      </c>
      <c r="F160" s="11" t="s">
        <v>438</v>
      </c>
      <c r="G160" s="11" t="s">
        <v>439</v>
      </c>
      <c r="H160" s="14"/>
    </row>
    <row r="161" spans="1:10" ht="71.25" customHeight="1" x14ac:dyDescent="0.2">
      <c r="A161" s="13">
        <v>41679</v>
      </c>
      <c r="B161" s="11" t="s">
        <v>435</v>
      </c>
      <c r="C161" s="11" t="s">
        <v>424</v>
      </c>
      <c r="D161" s="11">
        <v>3</v>
      </c>
      <c r="E161" s="11" t="s">
        <v>440</v>
      </c>
      <c r="F161" s="11" t="s">
        <v>441</v>
      </c>
      <c r="G161" s="11" t="s">
        <v>442</v>
      </c>
      <c r="H161" s="11" t="s">
        <v>443</v>
      </c>
    </row>
    <row r="162" spans="1:10" ht="71.25" customHeight="1" x14ac:dyDescent="0.2">
      <c r="A162" s="13">
        <v>41679</v>
      </c>
      <c r="B162" s="11" t="s">
        <v>435</v>
      </c>
      <c r="C162" s="11" t="s">
        <v>424</v>
      </c>
      <c r="D162" s="11">
        <v>4</v>
      </c>
      <c r="E162" s="11" t="s">
        <v>444</v>
      </c>
      <c r="F162" s="11" t="s">
        <v>445</v>
      </c>
      <c r="G162" s="11" t="s">
        <v>446</v>
      </c>
      <c r="H162" s="14"/>
    </row>
    <row r="163" spans="1:10" ht="71.25" customHeight="1" x14ac:dyDescent="0.2">
      <c r="A163" s="13">
        <v>41680</v>
      </c>
      <c r="B163" s="11" t="s">
        <v>447</v>
      </c>
      <c r="C163" s="11" t="s">
        <v>403</v>
      </c>
      <c r="D163" s="11">
        <v>1</v>
      </c>
      <c r="E163" s="11">
        <v>25.898334999999999</v>
      </c>
      <c r="F163" s="11">
        <v>-81.715369999999993</v>
      </c>
      <c r="G163" s="11" t="s">
        <v>448</v>
      </c>
      <c r="H163" s="11" t="s">
        <v>449</v>
      </c>
      <c r="I163" s="8" t="s">
        <v>99</v>
      </c>
    </row>
    <row r="164" spans="1:10" ht="71.25" customHeight="1" x14ac:dyDescent="0.2">
      <c r="A164" s="13">
        <v>41680</v>
      </c>
      <c r="B164" s="11" t="s">
        <v>447</v>
      </c>
      <c r="C164" s="11" t="s">
        <v>403</v>
      </c>
      <c r="D164" s="11">
        <v>2</v>
      </c>
      <c r="E164" s="11">
        <v>25.893443999999999</v>
      </c>
      <c r="F164" s="11">
        <v>-81.710239000000001</v>
      </c>
      <c r="G164" s="11" t="s">
        <v>450</v>
      </c>
      <c r="H164" s="11" t="s">
        <v>123</v>
      </c>
      <c r="I164" s="8" t="s">
        <v>123</v>
      </c>
    </row>
    <row r="165" spans="1:10" ht="71.25" customHeight="1" x14ac:dyDescent="0.2">
      <c r="A165" s="13">
        <v>41679</v>
      </c>
      <c r="B165" s="11" t="s">
        <v>411</v>
      </c>
      <c r="C165" s="11" t="s">
        <v>412</v>
      </c>
      <c r="D165" s="11">
        <v>3</v>
      </c>
      <c r="E165" s="11" t="s">
        <v>451</v>
      </c>
      <c r="F165" s="11" t="s">
        <v>452</v>
      </c>
      <c r="G165" s="11" t="s">
        <v>453</v>
      </c>
      <c r="H165" s="11" t="s">
        <v>123</v>
      </c>
      <c r="I165" s="8" t="s">
        <v>123</v>
      </c>
    </row>
    <row r="166" spans="1:10" ht="71.25" customHeight="1" x14ac:dyDescent="0.2">
      <c r="A166" s="13">
        <v>41679</v>
      </c>
      <c r="B166" s="11" t="s">
        <v>411</v>
      </c>
      <c r="C166" s="11" t="s">
        <v>412</v>
      </c>
      <c r="D166" s="11">
        <v>4</v>
      </c>
      <c r="E166" s="11" t="s">
        <v>454</v>
      </c>
      <c r="F166" s="11" t="s">
        <v>455</v>
      </c>
      <c r="G166" s="11" t="s">
        <v>456</v>
      </c>
      <c r="H166" s="11" t="s">
        <v>123</v>
      </c>
      <c r="I166" s="8" t="s">
        <v>123</v>
      </c>
    </row>
    <row r="167" spans="1:10" ht="71.25" customHeight="1" x14ac:dyDescent="0.2">
      <c r="A167" s="13">
        <v>41679</v>
      </c>
      <c r="B167" s="11" t="s">
        <v>411</v>
      </c>
      <c r="C167" s="11" t="s">
        <v>412</v>
      </c>
      <c r="D167" s="11">
        <v>5</v>
      </c>
      <c r="E167" s="11" t="s">
        <v>457</v>
      </c>
      <c r="F167" s="11" t="s">
        <v>458</v>
      </c>
      <c r="G167" s="11" t="s">
        <v>459</v>
      </c>
      <c r="H167" s="11" t="s">
        <v>460</v>
      </c>
      <c r="I167" s="8" t="s">
        <v>461</v>
      </c>
      <c r="J167" s="8" t="s">
        <v>463</v>
      </c>
    </row>
    <row r="168" spans="1:10" ht="71.25" customHeight="1" x14ac:dyDescent="0.2">
      <c r="A168" s="13">
        <v>41679</v>
      </c>
      <c r="B168" s="11" t="s">
        <v>411</v>
      </c>
      <c r="C168" s="11" t="s">
        <v>412</v>
      </c>
      <c r="D168" s="11">
        <v>6</v>
      </c>
      <c r="E168" s="11" t="s">
        <v>466</v>
      </c>
      <c r="F168" s="11" t="s">
        <v>467</v>
      </c>
      <c r="G168" s="11" t="s">
        <v>469</v>
      </c>
      <c r="H168" s="11" t="s">
        <v>123</v>
      </c>
      <c r="I168" s="8" t="s">
        <v>123</v>
      </c>
    </row>
    <row r="169" spans="1:10" ht="71.25" customHeight="1" x14ac:dyDescent="0.2">
      <c r="A169" s="13">
        <v>41679</v>
      </c>
      <c r="B169" s="11" t="s">
        <v>411</v>
      </c>
      <c r="C169" s="11" t="s">
        <v>412</v>
      </c>
      <c r="D169" s="11">
        <v>7</v>
      </c>
      <c r="E169" s="11" t="s">
        <v>471</v>
      </c>
      <c r="F169" s="11" t="s">
        <v>472</v>
      </c>
      <c r="G169" s="11" t="s">
        <v>473</v>
      </c>
      <c r="H169" s="11" t="s">
        <v>123</v>
      </c>
      <c r="I169" s="8" t="s">
        <v>123</v>
      </c>
    </row>
    <row r="170" spans="1:10" ht="42.75" customHeight="1" x14ac:dyDescent="0.2">
      <c r="A170" s="13">
        <v>41679</v>
      </c>
      <c r="B170" s="11" t="s">
        <v>411</v>
      </c>
      <c r="C170" s="11" t="s">
        <v>412</v>
      </c>
      <c r="D170" s="11">
        <v>8</v>
      </c>
      <c r="E170" s="11" t="s">
        <v>474</v>
      </c>
      <c r="F170" s="11" t="s">
        <v>475</v>
      </c>
      <c r="G170" s="11" t="s">
        <v>476</v>
      </c>
      <c r="H170" s="11" t="s">
        <v>123</v>
      </c>
      <c r="I170" s="8" t="s">
        <v>123</v>
      </c>
      <c r="J170" s="8" t="s">
        <v>477</v>
      </c>
    </row>
    <row r="171" spans="1:10" ht="71.25" customHeight="1" x14ac:dyDescent="0.2">
      <c r="A171" s="13">
        <v>41679</v>
      </c>
      <c r="B171" s="11" t="s">
        <v>411</v>
      </c>
      <c r="C171" s="11" t="s">
        <v>412</v>
      </c>
      <c r="D171" s="11">
        <v>9</v>
      </c>
      <c r="E171" s="11" t="s">
        <v>474</v>
      </c>
      <c r="F171" s="11" t="s">
        <v>478</v>
      </c>
      <c r="G171" s="11" t="s">
        <v>479</v>
      </c>
      <c r="H171" s="11" t="s">
        <v>123</v>
      </c>
      <c r="I171" s="8" t="s">
        <v>123</v>
      </c>
      <c r="J171" s="8" t="s">
        <v>480</v>
      </c>
    </row>
    <row r="172" spans="1:10" ht="71.25" customHeight="1" x14ac:dyDescent="0.2">
      <c r="A172" s="13">
        <v>41683</v>
      </c>
      <c r="B172" s="11" t="s">
        <v>481</v>
      </c>
      <c r="C172" s="11" t="s">
        <v>482</v>
      </c>
      <c r="D172" s="14"/>
      <c r="E172" s="11" t="s">
        <v>483</v>
      </c>
      <c r="F172" s="11" t="s">
        <v>484</v>
      </c>
      <c r="G172" s="11" t="s">
        <v>485</v>
      </c>
      <c r="H172" s="11" t="s">
        <v>486</v>
      </c>
    </row>
    <row r="173" spans="1:10" ht="71.25" customHeight="1" x14ac:dyDescent="0.2">
      <c r="A173" s="13">
        <v>41682</v>
      </c>
      <c r="B173" s="11" t="s">
        <v>487</v>
      </c>
      <c r="C173" s="11" t="s">
        <v>488</v>
      </c>
      <c r="D173" s="11">
        <v>1</v>
      </c>
      <c r="E173" s="11" t="s">
        <v>489</v>
      </c>
      <c r="F173" s="11" t="s">
        <v>490</v>
      </c>
      <c r="G173" s="11" t="s">
        <v>491</v>
      </c>
      <c r="H173" s="14"/>
    </row>
    <row r="174" spans="1:10" ht="71.25" customHeight="1" x14ac:dyDescent="0.2">
      <c r="A174" s="13">
        <v>41680</v>
      </c>
      <c r="B174" s="11" t="s">
        <v>492</v>
      </c>
      <c r="C174" s="11" t="s">
        <v>403</v>
      </c>
      <c r="D174" s="11">
        <v>1</v>
      </c>
      <c r="E174" s="11">
        <v>25.856088</v>
      </c>
      <c r="F174" s="11">
        <v>-81.684160000000006</v>
      </c>
      <c r="G174" s="11" t="s">
        <v>495</v>
      </c>
      <c r="H174" s="14"/>
    </row>
    <row r="175" spans="1:10" ht="71.25" customHeight="1" x14ac:dyDescent="0.2">
      <c r="A175" s="13">
        <v>41682</v>
      </c>
      <c r="B175" s="11" t="s">
        <v>487</v>
      </c>
      <c r="C175" s="11" t="s">
        <v>488</v>
      </c>
      <c r="D175" s="11">
        <v>2</v>
      </c>
      <c r="E175" s="11">
        <v>27.170383000000001</v>
      </c>
      <c r="F175" s="11">
        <v>-80.168760000000006</v>
      </c>
      <c r="G175" s="11" t="s">
        <v>498</v>
      </c>
      <c r="H175" s="14"/>
    </row>
    <row r="176" spans="1:10" ht="71.25" customHeight="1" x14ac:dyDescent="0.2">
      <c r="A176" s="13">
        <v>41680</v>
      </c>
      <c r="B176" s="11" t="s">
        <v>492</v>
      </c>
      <c r="C176" s="11" t="s">
        <v>403</v>
      </c>
      <c r="D176" s="11">
        <v>2</v>
      </c>
      <c r="E176" s="11">
        <v>25.852031</v>
      </c>
      <c r="F176" s="11">
        <v>-81.685377000000003</v>
      </c>
      <c r="G176" s="11" t="s">
        <v>499</v>
      </c>
      <c r="H176" s="11" t="s">
        <v>123</v>
      </c>
      <c r="I176" s="8" t="s">
        <v>123</v>
      </c>
    </row>
    <row r="177" spans="1:10" ht="71.25" customHeight="1" x14ac:dyDescent="0.2">
      <c r="A177" s="13">
        <v>41680</v>
      </c>
      <c r="B177" s="11" t="s">
        <v>500</v>
      </c>
      <c r="C177" s="11" t="s">
        <v>501</v>
      </c>
      <c r="D177" s="11">
        <v>1</v>
      </c>
      <c r="E177" s="11">
        <v>25.846703999999999</v>
      </c>
      <c r="F177" s="11">
        <v>-81.663646999999997</v>
      </c>
      <c r="G177" s="11" t="s">
        <v>502</v>
      </c>
      <c r="H177" s="11" t="s">
        <v>123</v>
      </c>
      <c r="I177" s="8" t="s">
        <v>123</v>
      </c>
    </row>
    <row r="178" spans="1:10" ht="71.25" customHeight="1" x14ac:dyDescent="0.2">
      <c r="A178" s="13">
        <v>41682</v>
      </c>
      <c r="B178" s="11" t="s">
        <v>487</v>
      </c>
      <c r="C178" s="11" t="s">
        <v>488</v>
      </c>
      <c r="D178" s="11">
        <v>3</v>
      </c>
      <c r="E178" s="11">
        <v>27.166982999999998</v>
      </c>
      <c r="F178" s="11">
        <v>-80.187529999999995</v>
      </c>
      <c r="G178" s="11" t="s">
        <v>505</v>
      </c>
      <c r="H178" s="14"/>
    </row>
    <row r="179" spans="1:10" ht="71.25" customHeight="1" x14ac:dyDescent="0.2">
      <c r="A179" s="13">
        <v>41683</v>
      </c>
      <c r="B179" s="11" t="s">
        <v>507</v>
      </c>
      <c r="C179" s="11" t="s">
        <v>509</v>
      </c>
      <c r="D179" s="11">
        <v>1</v>
      </c>
      <c r="E179" s="11">
        <v>29.772469999999998</v>
      </c>
      <c r="F179" s="11">
        <v>-85.404619999999994</v>
      </c>
      <c r="G179" s="11" t="s">
        <v>510</v>
      </c>
      <c r="H179" s="11" t="s">
        <v>123</v>
      </c>
      <c r="I179" s="8" t="s">
        <v>123</v>
      </c>
    </row>
    <row r="180" spans="1:10" ht="71.25" customHeight="1" x14ac:dyDescent="0.2">
      <c r="A180" s="13">
        <v>41683</v>
      </c>
      <c r="B180" s="11" t="s">
        <v>507</v>
      </c>
      <c r="C180" s="11" t="s">
        <v>509</v>
      </c>
      <c r="D180" s="11">
        <v>2</v>
      </c>
      <c r="E180" s="11">
        <v>29.84506</v>
      </c>
      <c r="F180" s="11">
        <v>-85.40343</v>
      </c>
      <c r="G180" s="11" t="s">
        <v>511</v>
      </c>
      <c r="H180" s="11" t="s">
        <v>512</v>
      </c>
      <c r="I180" s="8" t="s">
        <v>268</v>
      </c>
    </row>
    <row r="181" spans="1:10" ht="71.25" customHeight="1" x14ac:dyDescent="0.2">
      <c r="A181" s="13">
        <v>41683</v>
      </c>
      <c r="B181" s="11" t="s">
        <v>507</v>
      </c>
      <c r="C181" s="11" t="s">
        <v>509</v>
      </c>
      <c r="D181" s="11">
        <v>3</v>
      </c>
      <c r="E181" s="11">
        <v>29.863939999999999</v>
      </c>
      <c r="F181" s="11">
        <v>-85.397469999999998</v>
      </c>
      <c r="G181" s="11" t="s">
        <v>515</v>
      </c>
      <c r="H181" s="11" t="s">
        <v>123</v>
      </c>
      <c r="I181" s="8" t="s">
        <v>123</v>
      </c>
    </row>
    <row r="182" spans="1:10" ht="71.25" customHeight="1" x14ac:dyDescent="0.2">
      <c r="A182" s="13">
        <v>41683</v>
      </c>
      <c r="B182" s="11" t="s">
        <v>507</v>
      </c>
      <c r="C182" s="11" t="s">
        <v>509</v>
      </c>
      <c r="D182" s="11">
        <v>4</v>
      </c>
      <c r="E182" s="11">
        <v>29.87519</v>
      </c>
      <c r="F182" s="11">
        <v>-85.395650000000003</v>
      </c>
      <c r="G182" s="11" t="s">
        <v>518</v>
      </c>
      <c r="H182" s="11" t="s">
        <v>519</v>
      </c>
      <c r="I182" s="8" t="s">
        <v>268</v>
      </c>
    </row>
    <row r="183" spans="1:10" ht="71.25" customHeight="1" x14ac:dyDescent="0.2">
      <c r="A183" s="13">
        <v>41683</v>
      </c>
      <c r="B183" s="11" t="s">
        <v>507</v>
      </c>
      <c r="C183" s="11" t="s">
        <v>509</v>
      </c>
      <c r="D183" s="11">
        <v>5</v>
      </c>
      <c r="E183" s="11">
        <v>29.875080000000001</v>
      </c>
      <c r="F183" s="11">
        <v>-85.396640000000005</v>
      </c>
      <c r="G183" s="11" t="s">
        <v>520</v>
      </c>
      <c r="H183" s="11" t="s">
        <v>521</v>
      </c>
      <c r="I183" s="8" t="s">
        <v>268</v>
      </c>
    </row>
    <row r="184" spans="1:10" ht="71.25" customHeight="1" x14ac:dyDescent="0.2">
      <c r="A184" s="13">
        <v>41683</v>
      </c>
      <c r="B184" s="11" t="s">
        <v>507</v>
      </c>
      <c r="C184" s="11" t="s">
        <v>509</v>
      </c>
      <c r="D184" s="11">
        <v>6</v>
      </c>
      <c r="E184" s="11">
        <v>29.851849999999999</v>
      </c>
      <c r="F184" s="11">
        <v>-85.414550000000006</v>
      </c>
      <c r="G184" s="11" t="s">
        <v>324</v>
      </c>
      <c r="H184" s="11" t="s">
        <v>522</v>
      </c>
      <c r="I184" s="8" t="s">
        <v>268</v>
      </c>
    </row>
    <row r="185" spans="1:10" ht="71.25" customHeight="1" x14ac:dyDescent="0.2">
      <c r="A185" s="13">
        <v>41683</v>
      </c>
      <c r="B185" s="11" t="s">
        <v>507</v>
      </c>
      <c r="C185" s="11" t="s">
        <v>509</v>
      </c>
      <c r="D185" s="11">
        <v>7</v>
      </c>
      <c r="E185" s="11">
        <v>29.83952</v>
      </c>
      <c r="F185" s="11">
        <v>-85.416309999999996</v>
      </c>
      <c r="G185" s="11" t="s">
        <v>523</v>
      </c>
      <c r="H185" s="11" t="s">
        <v>524</v>
      </c>
      <c r="I185" s="8" t="s">
        <v>268</v>
      </c>
    </row>
    <row r="186" spans="1:10" ht="71.25" customHeight="1" x14ac:dyDescent="0.2">
      <c r="A186" s="13">
        <v>41683</v>
      </c>
      <c r="B186" s="11" t="s">
        <v>507</v>
      </c>
      <c r="C186" s="11" t="s">
        <v>509</v>
      </c>
      <c r="D186" s="11">
        <v>8</v>
      </c>
      <c r="E186" s="11">
        <v>29.829260000000001</v>
      </c>
      <c r="F186" s="11">
        <v>-85.411420000000007</v>
      </c>
      <c r="G186" s="11" t="s">
        <v>525</v>
      </c>
      <c r="H186" s="11" t="s">
        <v>526</v>
      </c>
      <c r="I186" s="8" t="s">
        <v>268</v>
      </c>
    </row>
    <row r="187" spans="1:10" ht="71.25" customHeight="1" x14ac:dyDescent="0.2">
      <c r="A187" s="13">
        <v>41683</v>
      </c>
      <c r="B187" s="11" t="s">
        <v>507</v>
      </c>
      <c r="C187" s="11" t="s">
        <v>509</v>
      </c>
      <c r="D187" s="11">
        <v>9</v>
      </c>
      <c r="E187" s="11">
        <v>29.790179999999999</v>
      </c>
      <c r="F187" s="11">
        <v>-85.411420000000007</v>
      </c>
      <c r="G187" s="11" t="s">
        <v>527</v>
      </c>
      <c r="H187" s="11" t="s">
        <v>528</v>
      </c>
      <c r="I187" s="8" t="s">
        <v>268</v>
      </c>
    </row>
    <row r="188" spans="1:10" ht="71.25" customHeight="1" x14ac:dyDescent="0.2">
      <c r="A188" s="13">
        <v>41681</v>
      </c>
      <c r="B188" s="11" t="s">
        <v>529</v>
      </c>
      <c r="C188" s="11" t="s">
        <v>530</v>
      </c>
      <c r="D188" s="11">
        <v>1</v>
      </c>
      <c r="E188" s="11">
        <v>29.695620000000002</v>
      </c>
      <c r="F188" s="11">
        <v>-84.789320000000004</v>
      </c>
      <c r="G188" s="11" t="s">
        <v>531</v>
      </c>
      <c r="H188" s="11" t="s">
        <v>123</v>
      </c>
      <c r="I188" s="8" t="s">
        <v>123</v>
      </c>
    </row>
    <row r="189" spans="1:10" ht="71.25" customHeight="1" x14ac:dyDescent="0.2">
      <c r="A189" s="13">
        <v>41681</v>
      </c>
      <c r="B189" s="11" t="s">
        <v>529</v>
      </c>
      <c r="C189" s="11" t="s">
        <v>530</v>
      </c>
      <c r="D189" s="11">
        <v>2</v>
      </c>
      <c r="E189" s="11">
        <v>29.70177</v>
      </c>
      <c r="F189" s="11">
        <v>-84.796589999999995</v>
      </c>
      <c r="G189" s="11" t="s">
        <v>101</v>
      </c>
      <c r="H189" s="11" t="s">
        <v>532</v>
      </c>
      <c r="I189" s="8" t="s">
        <v>99</v>
      </c>
    </row>
    <row r="190" spans="1:10" ht="71.25" customHeight="1" x14ac:dyDescent="0.2">
      <c r="A190" s="13">
        <v>41681</v>
      </c>
      <c r="B190" s="11" t="s">
        <v>529</v>
      </c>
      <c r="C190" s="11" t="s">
        <v>530</v>
      </c>
      <c r="D190" s="11">
        <v>3</v>
      </c>
      <c r="E190" s="11">
        <v>29.701840000000001</v>
      </c>
      <c r="F190" s="11">
        <v>-84.799040000000005</v>
      </c>
      <c r="G190" s="11" t="s">
        <v>534</v>
      </c>
      <c r="H190" s="11" t="s">
        <v>536</v>
      </c>
      <c r="I190" s="8" t="s">
        <v>99</v>
      </c>
    </row>
    <row r="191" spans="1:10" ht="71.25" customHeight="1" x14ac:dyDescent="0.2">
      <c r="A191" s="13">
        <v>41681</v>
      </c>
      <c r="B191" s="11" t="s">
        <v>529</v>
      </c>
      <c r="C191" s="11" t="s">
        <v>530</v>
      </c>
      <c r="D191" s="11">
        <v>4</v>
      </c>
      <c r="E191" s="11">
        <v>29.694929999999999</v>
      </c>
      <c r="F191" s="11">
        <v>-84.797129999999996</v>
      </c>
      <c r="G191" s="11" t="s">
        <v>101</v>
      </c>
      <c r="H191" s="11" t="s">
        <v>542</v>
      </c>
      <c r="I191" s="8" t="s">
        <v>99</v>
      </c>
    </row>
    <row r="192" spans="1:10" ht="71.25" customHeight="1" x14ac:dyDescent="0.2">
      <c r="A192" s="30">
        <v>41681</v>
      </c>
      <c r="B192" s="31" t="s">
        <v>17</v>
      </c>
      <c r="C192" s="31" t="s">
        <v>18</v>
      </c>
      <c r="D192" s="31">
        <v>1</v>
      </c>
      <c r="E192" s="31">
        <v>26.704443999999999</v>
      </c>
      <c r="F192" s="31">
        <v>-80.018056000000001</v>
      </c>
      <c r="G192" s="31" t="s">
        <v>548</v>
      </c>
      <c r="H192" s="32"/>
      <c r="I192" s="33"/>
      <c r="J192" s="33"/>
    </row>
    <row r="193" spans="1:9" ht="71.25" customHeight="1" x14ac:dyDescent="0.2">
      <c r="A193" s="13">
        <v>41679</v>
      </c>
      <c r="B193" s="11" t="s">
        <v>553</v>
      </c>
      <c r="C193" s="11" t="s">
        <v>554</v>
      </c>
      <c r="D193" s="11">
        <v>1</v>
      </c>
      <c r="E193" s="11">
        <v>28.072106999999999</v>
      </c>
      <c r="F193" s="11">
        <v>-82.835509000000002</v>
      </c>
      <c r="G193" s="11" t="s">
        <v>101</v>
      </c>
      <c r="H193" s="11" t="s">
        <v>214</v>
      </c>
      <c r="I193" s="8" t="s">
        <v>214</v>
      </c>
    </row>
    <row r="194" spans="1:9" ht="71.25" customHeight="1" x14ac:dyDescent="0.2">
      <c r="A194" s="13">
        <v>41679</v>
      </c>
      <c r="B194" s="11" t="s">
        <v>553</v>
      </c>
      <c r="C194" s="11" t="s">
        <v>554</v>
      </c>
      <c r="D194" s="11">
        <v>2</v>
      </c>
      <c r="E194" s="11">
        <v>28.075945999999998</v>
      </c>
      <c r="F194" s="11">
        <v>-82.836421000000001</v>
      </c>
      <c r="G194" s="11" t="s">
        <v>101</v>
      </c>
      <c r="H194" s="11" t="s">
        <v>214</v>
      </c>
      <c r="I194" s="8" t="s">
        <v>214</v>
      </c>
    </row>
    <row r="195" spans="1:9" ht="45" customHeight="1" x14ac:dyDescent="0.2">
      <c r="A195" s="13">
        <v>41679</v>
      </c>
      <c r="B195" s="11" t="s">
        <v>553</v>
      </c>
      <c r="C195" s="11" t="s">
        <v>554</v>
      </c>
      <c r="D195" s="11">
        <v>3</v>
      </c>
      <c r="E195" s="11">
        <v>28.087537999999999</v>
      </c>
      <c r="F195" s="11">
        <v>-82.836680000000001</v>
      </c>
      <c r="G195" s="11" t="s">
        <v>555</v>
      </c>
      <c r="H195" s="11" t="s">
        <v>556</v>
      </c>
      <c r="I195" s="8" t="s">
        <v>557</v>
      </c>
    </row>
    <row r="196" spans="1:9" ht="71.25" customHeight="1" x14ac:dyDescent="0.2">
      <c r="A196" s="13">
        <v>41679</v>
      </c>
      <c r="B196" s="11" t="s">
        <v>553</v>
      </c>
      <c r="C196" s="11" t="s">
        <v>554</v>
      </c>
      <c r="D196" s="11">
        <v>4</v>
      </c>
      <c r="E196" s="11">
        <v>28.088262</v>
      </c>
      <c r="F196" s="11">
        <v>-82.836686</v>
      </c>
      <c r="G196" s="11" t="s">
        <v>558</v>
      </c>
      <c r="H196" s="11" t="s">
        <v>214</v>
      </c>
      <c r="I196" s="8" t="s">
        <v>214</v>
      </c>
    </row>
    <row r="197" spans="1:9" ht="71.25" customHeight="1" x14ac:dyDescent="0.2">
      <c r="A197" s="13">
        <v>41679</v>
      </c>
      <c r="B197" s="11" t="s">
        <v>553</v>
      </c>
      <c r="C197" s="11" t="s">
        <v>554</v>
      </c>
      <c r="D197" s="11">
        <v>5</v>
      </c>
      <c r="E197" s="11">
        <v>28.094179</v>
      </c>
      <c r="F197" s="11">
        <v>-82.836188000000007</v>
      </c>
      <c r="G197" s="11" t="s">
        <v>271</v>
      </c>
      <c r="H197" s="11" t="s">
        <v>214</v>
      </c>
      <c r="I197" s="8" t="s">
        <v>214</v>
      </c>
    </row>
    <row r="198" spans="1:9" ht="71.25" customHeight="1" x14ac:dyDescent="0.2">
      <c r="A198" s="13">
        <v>41679</v>
      </c>
      <c r="B198" s="11" t="s">
        <v>553</v>
      </c>
      <c r="C198" s="11" t="s">
        <v>554</v>
      </c>
      <c r="D198" s="11">
        <v>6</v>
      </c>
      <c r="E198" s="11">
        <v>28.097261</v>
      </c>
      <c r="F198" s="11">
        <v>-82.835752999999997</v>
      </c>
      <c r="G198" s="11" t="s">
        <v>85</v>
      </c>
      <c r="H198" s="11" t="s">
        <v>214</v>
      </c>
      <c r="I198" s="8" t="s">
        <v>214</v>
      </c>
    </row>
    <row r="199" spans="1:9" ht="71.25" customHeight="1" x14ac:dyDescent="0.2">
      <c r="A199" s="13">
        <v>41679</v>
      </c>
      <c r="B199" s="11" t="s">
        <v>553</v>
      </c>
      <c r="C199" s="11" t="s">
        <v>554</v>
      </c>
      <c r="D199" s="11">
        <v>7</v>
      </c>
      <c r="E199" s="11">
        <v>28.098064000000001</v>
      </c>
      <c r="F199" s="11">
        <v>-82.835560000000001</v>
      </c>
      <c r="G199" s="11" t="s">
        <v>559</v>
      </c>
      <c r="H199" s="11" t="s">
        <v>214</v>
      </c>
      <c r="I199" s="8" t="s">
        <v>214</v>
      </c>
    </row>
    <row r="200" spans="1:9" ht="71.25" customHeight="1" x14ac:dyDescent="0.2">
      <c r="A200" s="13">
        <v>41679</v>
      </c>
      <c r="B200" s="11" t="s">
        <v>553</v>
      </c>
      <c r="C200" s="11" t="s">
        <v>554</v>
      </c>
      <c r="D200" s="11">
        <v>8</v>
      </c>
      <c r="E200" s="11">
        <v>28.093978</v>
      </c>
      <c r="F200" s="11">
        <v>-82.833719000000002</v>
      </c>
      <c r="G200" s="11" t="s">
        <v>560</v>
      </c>
      <c r="H200" s="11" t="s">
        <v>214</v>
      </c>
      <c r="I200" s="8" t="s">
        <v>214</v>
      </c>
    </row>
    <row r="201" spans="1:9" ht="71.25" customHeight="1" x14ac:dyDescent="0.2">
      <c r="A201" s="13">
        <v>41679</v>
      </c>
      <c r="B201" s="11" t="s">
        <v>553</v>
      </c>
      <c r="C201" s="11" t="s">
        <v>554</v>
      </c>
      <c r="D201" s="11">
        <v>9</v>
      </c>
      <c r="E201" s="11">
        <v>28.094104000000002</v>
      </c>
      <c r="F201" s="11">
        <v>-82.834976999999995</v>
      </c>
      <c r="G201" s="11" t="s">
        <v>561</v>
      </c>
      <c r="H201" s="11" t="s">
        <v>214</v>
      </c>
      <c r="I201" s="8" t="s">
        <v>214</v>
      </c>
    </row>
    <row r="202" spans="1:9" ht="71.25" customHeight="1" x14ac:dyDescent="0.2">
      <c r="A202" s="13">
        <v>41681</v>
      </c>
      <c r="B202" s="11" t="s">
        <v>562</v>
      </c>
      <c r="C202" s="11" t="s">
        <v>563</v>
      </c>
      <c r="D202" s="11">
        <v>1</v>
      </c>
      <c r="E202" s="11">
        <v>24.806550000000001</v>
      </c>
      <c r="F202" s="11">
        <v>-80.839133000000004</v>
      </c>
      <c r="G202" s="11" t="s">
        <v>564</v>
      </c>
      <c r="H202" s="11" t="s">
        <v>214</v>
      </c>
      <c r="I202" s="8" t="s">
        <v>214</v>
      </c>
    </row>
    <row r="203" spans="1:9" ht="71.25" customHeight="1" x14ac:dyDescent="0.2">
      <c r="A203" s="13">
        <v>41682</v>
      </c>
      <c r="B203" s="11" t="s">
        <v>566</v>
      </c>
      <c r="C203" s="11" t="s">
        <v>568</v>
      </c>
      <c r="D203" s="11">
        <v>1</v>
      </c>
      <c r="E203" s="11">
        <v>24.661149999999999</v>
      </c>
      <c r="F203" s="11">
        <v>-81.268416000000002</v>
      </c>
      <c r="G203" s="11" t="s">
        <v>569</v>
      </c>
      <c r="H203" s="11" t="s">
        <v>214</v>
      </c>
      <c r="I203" s="8" t="s">
        <v>214</v>
      </c>
    </row>
    <row r="204" spans="1:9" ht="71.25" customHeight="1" x14ac:dyDescent="0.2">
      <c r="A204" s="13">
        <v>41682</v>
      </c>
      <c r="B204" s="11" t="s">
        <v>566</v>
      </c>
      <c r="C204" s="11" t="s">
        <v>568</v>
      </c>
      <c r="D204" s="11">
        <v>2</v>
      </c>
      <c r="E204" s="11">
        <v>24.661466000000001</v>
      </c>
      <c r="F204" s="11">
        <v>-81.269350000000003</v>
      </c>
      <c r="G204" s="11" t="s">
        <v>570</v>
      </c>
      <c r="H204" s="11" t="s">
        <v>214</v>
      </c>
      <c r="I204" s="8" t="s">
        <v>214</v>
      </c>
    </row>
    <row r="205" spans="1:9" ht="71.25" customHeight="1" x14ac:dyDescent="0.2">
      <c r="A205" s="13">
        <v>41684</v>
      </c>
      <c r="B205" s="11" t="s">
        <v>571</v>
      </c>
      <c r="C205" s="11" t="s">
        <v>572</v>
      </c>
      <c r="D205" s="11">
        <v>1</v>
      </c>
      <c r="E205" s="11" t="s">
        <v>573</v>
      </c>
      <c r="F205" s="11" t="s">
        <v>574</v>
      </c>
      <c r="G205" s="11" t="s">
        <v>575</v>
      </c>
      <c r="H205" s="11" t="s">
        <v>214</v>
      </c>
      <c r="I205" s="8" t="s">
        <v>214</v>
      </c>
    </row>
    <row r="206" spans="1:9" ht="71.25" customHeight="1" x14ac:dyDescent="0.2">
      <c r="A206" s="13">
        <v>41682</v>
      </c>
      <c r="B206" s="11" t="s">
        <v>549</v>
      </c>
      <c r="C206" s="11" t="s">
        <v>551</v>
      </c>
      <c r="D206" s="11">
        <v>1</v>
      </c>
      <c r="E206" s="11">
        <v>26.898451999999999</v>
      </c>
      <c r="F206" s="11">
        <v>-82.340939000000006</v>
      </c>
      <c r="G206" s="11" t="s">
        <v>576</v>
      </c>
      <c r="H206" s="11" t="s">
        <v>214</v>
      </c>
      <c r="I206" s="8" t="s">
        <v>214</v>
      </c>
    </row>
    <row r="207" spans="1:9" ht="71.25" customHeight="1" x14ac:dyDescent="0.2">
      <c r="A207" s="13">
        <v>41682</v>
      </c>
      <c r="B207" s="11" t="s">
        <v>549</v>
      </c>
      <c r="C207" s="11" t="s">
        <v>551</v>
      </c>
      <c r="D207" s="11">
        <v>2</v>
      </c>
      <c r="E207" s="11">
        <v>26.898342</v>
      </c>
      <c r="F207" s="11">
        <v>-82.341514000000004</v>
      </c>
      <c r="G207" s="11" t="s">
        <v>318</v>
      </c>
      <c r="H207" s="11" t="s">
        <v>214</v>
      </c>
      <c r="I207" s="8" t="s">
        <v>214</v>
      </c>
    </row>
    <row r="208" spans="1:9" ht="71.25" customHeight="1" x14ac:dyDescent="0.2">
      <c r="A208" s="13">
        <v>41680</v>
      </c>
      <c r="B208" s="11" t="s">
        <v>577</v>
      </c>
      <c r="C208" s="11" t="s">
        <v>554</v>
      </c>
      <c r="D208" s="11">
        <v>1</v>
      </c>
      <c r="E208" s="11">
        <v>26.719089</v>
      </c>
      <c r="F208" s="11">
        <v>-82.264262000000002</v>
      </c>
      <c r="G208" s="11" t="s">
        <v>578</v>
      </c>
      <c r="H208" s="11" t="s">
        <v>214</v>
      </c>
      <c r="I208" s="8" t="s">
        <v>214</v>
      </c>
    </row>
    <row r="209" spans="1:9" ht="71.25" customHeight="1" x14ac:dyDescent="0.2">
      <c r="A209" s="13">
        <v>41680</v>
      </c>
      <c r="B209" s="11" t="s">
        <v>577</v>
      </c>
      <c r="C209" s="11" t="s">
        <v>554</v>
      </c>
      <c r="D209" s="11">
        <v>2</v>
      </c>
      <c r="E209" s="11">
        <v>26.715979999999998</v>
      </c>
      <c r="F209" s="11">
        <v>-82.261970000000005</v>
      </c>
      <c r="G209" s="11" t="s">
        <v>579</v>
      </c>
      <c r="H209" s="11" t="s">
        <v>214</v>
      </c>
      <c r="I209" s="8" t="s">
        <v>214</v>
      </c>
    </row>
    <row r="210" spans="1:9" ht="71.25" customHeight="1" x14ac:dyDescent="0.2">
      <c r="A210" s="13">
        <v>41684</v>
      </c>
      <c r="B210" s="11" t="s">
        <v>580</v>
      </c>
      <c r="C210" s="11" t="s">
        <v>334</v>
      </c>
      <c r="D210" s="11">
        <v>1</v>
      </c>
      <c r="E210" s="11">
        <v>30.224499999999999</v>
      </c>
      <c r="F210" s="11" t="s">
        <v>581</v>
      </c>
      <c r="G210" s="11" t="s">
        <v>582</v>
      </c>
      <c r="H210" s="11" t="s">
        <v>214</v>
      </c>
      <c r="I210" s="8" t="s">
        <v>214</v>
      </c>
    </row>
    <row r="211" spans="1:9" ht="71.25" customHeight="1" x14ac:dyDescent="0.2">
      <c r="A211" s="13">
        <v>41684</v>
      </c>
      <c r="B211" s="11" t="s">
        <v>583</v>
      </c>
      <c r="C211" s="11" t="s">
        <v>584</v>
      </c>
      <c r="D211" s="11">
        <v>1</v>
      </c>
      <c r="E211" s="11">
        <v>27.155608999999998</v>
      </c>
      <c r="F211" s="11" t="s">
        <v>585</v>
      </c>
      <c r="G211" s="11" t="s">
        <v>586</v>
      </c>
      <c r="H211" s="11" t="s">
        <v>123</v>
      </c>
      <c r="I211" s="8" t="s">
        <v>123</v>
      </c>
    </row>
    <row r="212" spans="1:9" ht="71.25" customHeight="1" x14ac:dyDescent="0.2">
      <c r="A212" s="26" t="s">
        <v>587</v>
      </c>
      <c r="B212" s="11" t="s">
        <v>588</v>
      </c>
      <c r="C212" s="14"/>
      <c r="D212" s="14"/>
      <c r="E212" s="14"/>
      <c r="F212" s="14"/>
      <c r="G212" s="14"/>
      <c r="H212" s="14"/>
    </row>
    <row r="213" spans="1:9" ht="71.25" customHeight="1" x14ac:dyDescent="0.2">
      <c r="A213" s="13">
        <v>41680</v>
      </c>
      <c r="B213" s="11" t="s">
        <v>589</v>
      </c>
      <c r="C213" s="11" t="s">
        <v>590</v>
      </c>
      <c r="D213" s="11">
        <v>1</v>
      </c>
      <c r="E213" s="11">
        <v>29.261099999999999</v>
      </c>
      <c r="F213" s="11">
        <v>-82.034300000000002</v>
      </c>
      <c r="G213" s="11" t="s">
        <v>591</v>
      </c>
      <c r="H213" s="11" t="s">
        <v>123</v>
      </c>
      <c r="I213" s="8" t="s">
        <v>123</v>
      </c>
    </row>
    <row r="214" spans="1:9" ht="71.25" customHeight="1" x14ac:dyDescent="0.2">
      <c r="A214" s="13">
        <v>41679</v>
      </c>
      <c r="B214" s="11" t="s">
        <v>592</v>
      </c>
      <c r="C214" s="11" t="s">
        <v>593</v>
      </c>
      <c r="D214" s="11">
        <v>1</v>
      </c>
      <c r="E214" s="11">
        <v>26.021799999999999</v>
      </c>
      <c r="F214" s="11">
        <v>-80.115441000000004</v>
      </c>
      <c r="G214" s="11" t="s">
        <v>595</v>
      </c>
      <c r="H214" s="11" t="s">
        <v>123</v>
      </c>
      <c r="I214" s="8" t="s">
        <v>123</v>
      </c>
    </row>
    <row r="215" spans="1:9" ht="71.25" customHeight="1" x14ac:dyDescent="0.2">
      <c r="A215" s="13">
        <v>41677</v>
      </c>
      <c r="B215" s="11" t="s">
        <v>597</v>
      </c>
      <c r="C215" s="11" t="s">
        <v>434</v>
      </c>
      <c r="D215" s="11">
        <v>2</v>
      </c>
      <c r="E215" s="11" t="s">
        <v>598</v>
      </c>
      <c r="F215" s="11" t="s">
        <v>599</v>
      </c>
      <c r="G215" s="11" t="s">
        <v>600</v>
      </c>
      <c r="H215" s="11" t="s">
        <v>601</v>
      </c>
      <c r="I215" s="8" t="s">
        <v>214</v>
      </c>
    </row>
    <row r="216" spans="1:9" ht="71.25" customHeight="1" x14ac:dyDescent="0.2">
      <c r="A216" s="13">
        <v>41677</v>
      </c>
      <c r="B216" s="11" t="s">
        <v>597</v>
      </c>
      <c r="C216" s="11" t="s">
        <v>434</v>
      </c>
      <c r="D216" s="11" t="s">
        <v>605</v>
      </c>
      <c r="E216" s="11" t="s">
        <v>606</v>
      </c>
      <c r="F216" s="11" t="s">
        <v>607</v>
      </c>
      <c r="G216" s="11" t="s">
        <v>608</v>
      </c>
      <c r="H216" s="11" t="s">
        <v>601</v>
      </c>
      <c r="I216" s="8" t="s">
        <v>214</v>
      </c>
    </row>
    <row r="217" spans="1:9" ht="71.25" customHeight="1" x14ac:dyDescent="0.2">
      <c r="A217" s="13">
        <v>41686</v>
      </c>
      <c r="B217" s="11" t="s">
        <v>609</v>
      </c>
      <c r="C217" s="11" t="s">
        <v>610</v>
      </c>
      <c r="D217" s="11">
        <v>2</v>
      </c>
      <c r="E217" s="11">
        <v>27.10987793</v>
      </c>
      <c r="F217" s="11">
        <v>-80.138134859999994</v>
      </c>
      <c r="G217" s="11" t="s">
        <v>611</v>
      </c>
      <c r="H217" s="11" t="s">
        <v>601</v>
      </c>
      <c r="I217" s="8" t="s">
        <v>214</v>
      </c>
    </row>
    <row r="218" spans="1:9" ht="71.25" customHeight="1" x14ac:dyDescent="0.2">
      <c r="A218" s="13">
        <v>41686</v>
      </c>
      <c r="B218" s="11" t="s">
        <v>609</v>
      </c>
      <c r="C218" s="11" t="s">
        <v>610</v>
      </c>
      <c r="D218" s="11">
        <v>3</v>
      </c>
      <c r="E218" s="11">
        <v>27.11173754</v>
      </c>
      <c r="F218" s="11">
        <v>-80.138611789999999</v>
      </c>
      <c r="G218" s="11" t="s">
        <v>612</v>
      </c>
      <c r="H218" s="11" t="s">
        <v>601</v>
      </c>
      <c r="I218" s="8" t="s">
        <v>214</v>
      </c>
    </row>
    <row r="219" spans="1:9" ht="71.25" customHeight="1" x14ac:dyDescent="0.2">
      <c r="A219" s="13">
        <v>36938</v>
      </c>
      <c r="B219" s="11" t="s">
        <v>609</v>
      </c>
      <c r="C219" s="11" t="s">
        <v>610</v>
      </c>
      <c r="D219" s="11">
        <v>4</v>
      </c>
      <c r="E219" s="11">
        <v>27.11846813</v>
      </c>
      <c r="F219" s="11">
        <v>-80.141410429999993</v>
      </c>
      <c r="G219" s="11" t="s">
        <v>67</v>
      </c>
      <c r="H219" s="11" t="s">
        <v>601</v>
      </c>
      <c r="I219" s="8" t="s">
        <v>214</v>
      </c>
    </row>
    <row r="220" spans="1:9" ht="71.25" customHeight="1" x14ac:dyDescent="0.2">
      <c r="A220" s="13">
        <v>41678</v>
      </c>
      <c r="B220" s="11" t="s">
        <v>613</v>
      </c>
      <c r="C220" s="11" t="s">
        <v>602</v>
      </c>
      <c r="D220" s="11">
        <v>1</v>
      </c>
      <c r="E220" s="11">
        <v>26.80574</v>
      </c>
      <c r="F220" s="11">
        <v>-82.284503999999998</v>
      </c>
      <c r="G220" s="11" t="s">
        <v>614</v>
      </c>
      <c r="H220" s="11" t="s">
        <v>601</v>
      </c>
      <c r="I220" s="8" t="s">
        <v>615</v>
      </c>
    </row>
    <row r="221" spans="1:9" ht="71.25" customHeight="1" x14ac:dyDescent="0.2">
      <c r="A221" s="13">
        <v>41678</v>
      </c>
      <c r="B221" s="11" t="s">
        <v>613</v>
      </c>
      <c r="C221" s="11" t="s">
        <v>602</v>
      </c>
      <c r="D221" s="11">
        <v>2</v>
      </c>
      <c r="E221" s="11">
        <v>26.809376</v>
      </c>
      <c r="F221" s="11">
        <v>-82.283895999999999</v>
      </c>
      <c r="G221" s="11" t="s">
        <v>618</v>
      </c>
      <c r="H221" s="11" t="s">
        <v>601</v>
      </c>
      <c r="I221" s="8" t="s">
        <v>615</v>
      </c>
    </row>
    <row r="222" spans="1:9" ht="71.25" customHeight="1" x14ac:dyDescent="0.2">
      <c r="A222" s="13">
        <v>41680</v>
      </c>
      <c r="B222" s="11" t="s">
        <v>621</v>
      </c>
      <c r="C222" s="11" t="s">
        <v>622</v>
      </c>
      <c r="D222" s="11">
        <v>1</v>
      </c>
      <c r="E222" s="11">
        <v>26.613450100000001</v>
      </c>
      <c r="F222" s="11">
        <v>-80.036537600000003</v>
      </c>
      <c r="G222" s="11" t="s">
        <v>623</v>
      </c>
      <c r="H222" s="11" t="s">
        <v>624</v>
      </c>
      <c r="I222" s="8" t="s">
        <v>625</v>
      </c>
    </row>
    <row r="223" spans="1:9" ht="71.25" customHeight="1" x14ac:dyDescent="0.2">
      <c r="A223" s="13">
        <v>41682</v>
      </c>
      <c r="B223" s="11" t="s">
        <v>626</v>
      </c>
      <c r="C223" s="11" t="s">
        <v>627</v>
      </c>
      <c r="D223" s="11" t="s">
        <v>628</v>
      </c>
      <c r="E223" s="11">
        <v>26.442620000000002</v>
      </c>
      <c r="F223" s="11">
        <v>-82.029290000000003</v>
      </c>
      <c r="G223" s="11" t="s">
        <v>629</v>
      </c>
      <c r="H223" s="14"/>
    </row>
    <row r="224" spans="1:9" ht="71.25" customHeight="1" x14ac:dyDescent="0.2">
      <c r="A224" s="13">
        <v>41682</v>
      </c>
      <c r="B224" s="11" t="s">
        <v>630</v>
      </c>
      <c r="C224" s="11" t="s">
        <v>627</v>
      </c>
      <c r="D224" s="11" t="s">
        <v>631</v>
      </c>
      <c r="E224" s="11">
        <v>26.44248</v>
      </c>
      <c r="F224" s="11">
        <v>-82.029529999999994</v>
      </c>
      <c r="G224" s="11" t="s">
        <v>632</v>
      </c>
      <c r="H224" s="14"/>
    </row>
    <row r="225" spans="1:9" ht="71.25" customHeight="1" x14ac:dyDescent="0.2">
      <c r="A225" s="13">
        <v>41682</v>
      </c>
      <c r="B225" s="11" t="s">
        <v>630</v>
      </c>
      <c r="C225" s="11" t="s">
        <v>627</v>
      </c>
      <c r="D225" s="11" t="s">
        <v>633</v>
      </c>
      <c r="E225" s="11">
        <v>26.438700000000001</v>
      </c>
      <c r="F225" s="11">
        <v>-82.036659999999998</v>
      </c>
      <c r="G225" s="11" t="s">
        <v>635</v>
      </c>
      <c r="H225" s="14"/>
    </row>
    <row r="226" spans="1:9" ht="71.25" customHeight="1" x14ac:dyDescent="0.2">
      <c r="A226" s="13">
        <v>41682</v>
      </c>
      <c r="B226" s="11" t="s">
        <v>637</v>
      </c>
      <c r="C226" s="11" t="s">
        <v>638</v>
      </c>
      <c r="D226" s="11" t="s">
        <v>628</v>
      </c>
      <c r="E226" s="11">
        <v>26.432593000000001</v>
      </c>
      <c r="F226" s="11">
        <v>-82.048129000000003</v>
      </c>
      <c r="G226" s="11" t="s">
        <v>639</v>
      </c>
      <c r="H226" s="11" t="s">
        <v>640</v>
      </c>
    </row>
    <row r="227" spans="1:9" ht="71.25" customHeight="1" x14ac:dyDescent="0.2">
      <c r="A227" s="13">
        <v>41682</v>
      </c>
      <c r="B227" s="11" t="s">
        <v>641</v>
      </c>
      <c r="C227" s="11" t="s">
        <v>638</v>
      </c>
      <c r="D227" s="11" t="s">
        <v>628</v>
      </c>
      <c r="E227" s="11">
        <v>26.426121999999999</v>
      </c>
      <c r="F227" s="11">
        <v>-82.061599000000001</v>
      </c>
      <c r="G227" s="11" t="s">
        <v>644</v>
      </c>
      <c r="H227" s="11" t="s">
        <v>645</v>
      </c>
    </row>
    <row r="228" spans="1:9" ht="71.25" customHeight="1" x14ac:dyDescent="0.2">
      <c r="A228" s="13">
        <v>41682</v>
      </c>
      <c r="B228" s="11" t="s">
        <v>641</v>
      </c>
      <c r="C228" s="11" t="s">
        <v>638</v>
      </c>
      <c r="D228" s="11" t="s">
        <v>631</v>
      </c>
      <c r="E228" s="11">
        <v>26.425725</v>
      </c>
      <c r="F228" s="11">
        <v>-82.062706000000006</v>
      </c>
      <c r="G228" s="11" t="s">
        <v>639</v>
      </c>
      <c r="H228" s="14"/>
    </row>
    <row r="229" spans="1:9" ht="71.25" customHeight="1" x14ac:dyDescent="0.2">
      <c r="A229" s="13">
        <v>41682</v>
      </c>
      <c r="B229" s="11" t="s">
        <v>641</v>
      </c>
      <c r="C229" s="11" t="s">
        <v>638</v>
      </c>
      <c r="D229" s="11" t="s">
        <v>633</v>
      </c>
      <c r="E229" s="11">
        <v>26.425445</v>
      </c>
      <c r="F229" s="11">
        <v>-82.063222999999994</v>
      </c>
      <c r="G229" s="11" t="s">
        <v>646</v>
      </c>
      <c r="H229" s="14"/>
    </row>
    <row r="230" spans="1:9" ht="71.25" customHeight="1" x14ac:dyDescent="0.2">
      <c r="A230" s="13">
        <v>41682</v>
      </c>
      <c r="B230" s="11" t="s">
        <v>641</v>
      </c>
      <c r="C230" s="11" t="s">
        <v>638</v>
      </c>
      <c r="D230" s="11" t="s">
        <v>647</v>
      </c>
      <c r="E230" s="11">
        <v>26.423207000000001</v>
      </c>
      <c r="F230" s="11">
        <v>-82.071246000000002</v>
      </c>
      <c r="G230" s="11" t="s">
        <v>648</v>
      </c>
      <c r="H230" s="14"/>
    </row>
    <row r="231" spans="1:9" ht="71.25" customHeight="1" x14ac:dyDescent="0.2">
      <c r="A231" s="13">
        <v>41682</v>
      </c>
      <c r="B231" s="11" t="s">
        <v>649</v>
      </c>
      <c r="C231" s="11" t="s">
        <v>650</v>
      </c>
      <c r="D231" s="11" t="s">
        <v>628</v>
      </c>
      <c r="E231" s="11">
        <v>26.434349999999998</v>
      </c>
      <c r="F231" s="11">
        <v>-82.122628000000006</v>
      </c>
      <c r="G231" s="11" t="s">
        <v>651</v>
      </c>
      <c r="H231" s="14"/>
    </row>
    <row r="232" spans="1:9" ht="71.25" customHeight="1" x14ac:dyDescent="0.2">
      <c r="A232" s="13">
        <v>41682</v>
      </c>
      <c r="B232" s="11" t="s">
        <v>649</v>
      </c>
      <c r="C232" s="11" t="s">
        <v>650</v>
      </c>
      <c r="D232" s="11" t="s">
        <v>631</v>
      </c>
      <c r="E232" s="11">
        <v>26.444236</v>
      </c>
      <c r="F232" s="11">
        <v>-82.136443999999997</v>
      </c>
      <c r="G232" s="11" t="s">
        <v>652</v>
      </c>
      <c r="H232" s="14"/>
    </row>
    <row r="233" spans="1:9" ht="71.25" customHeight="1" x14ac:dyDescent="0.2">
      <c r="A233" s="13">
        <v>41682</v>
      </c>
      <c r="B233" s="11" t="s">
        <v>653</v>
      </c>
      <c r="C233" s="11" t="s">
        <v>654</v>
      </c>
      <c r="D233" s="11" t="s">
        <v>628</v>
      </c>
      <c r="E233" s="11">
        <v>26.453422</v>
      </c>
      <c r="F233" s="11">
        <v>-82.148971200000005</v>
      </c>
      <c r="G233" s="11" t="s">
        <v>655</v>
      </c>
      <c r="H233" s="14"/>
    </row>
    <row r="234" spans="1:9" ht="71.25" customHeight="1" x14ac:dyDescent="0.2">
      <c r="A234" s="13">
        <v>41682</v>
      </c>
      <c r="B234" s="11" t="s">
        <v>653</v>
      </c>
      <c r="C234" s="11" t="s">
        <v>654</v>
      </c>
      <c r="D234" s="11" t="s">
        <v>631</v>
      </c>
      <c r="E234" s="11">
        <v>26.451495999999999</v>
      </c>
      <c r="F234" s="11">
        <v>-82.146223800000001</v>
      </c>
      <c r="G234" s="11" t="s">
        <v>656</v>
      </c>
      <c r="H234" s="11" t="s">
        <v>213</v>
      </c>
    </row>
    <row r="235" spans="1:9" ht="71.25" customHeight="1" x14ac:dyDescent="0.2">
      <c r="A235" s="13">
        <v>41682</v>
      </c>
      <c r="B235" s="11" t="s">
        <v>657</v>
      </c>
      <c r="C235" s="11" t="s">
        <v>654</v>
      </c>
      <c r="D235" s="11" t="s">
        <v>628</v>
      </c>
      <c r="E235" s="11">
        <v>26.477757</v>
      </c>
      <c r="F235" s="11">
        <v>-82.179678999999993</v>
      </c>
      <c r="G235" s="11" t="s">
        <v>658</v>
      </c>
      <c r="H235" s="14"/>
    </row>
    <row r="236" spans="1:9" ht="71.25" customHeight="1" x14ac:dyDescent="0.2">
      <c r="A236" s="13">
        <v>41682</v>
      </c>
      <c r="B236" s="11" t="s">
        <v>657</v>
      </c>
      <c r="C236" s="11" t="s">
        <v>654</v>
      </c>
      <c r="D236" s="11" t="s">
        <v>631</v>
      </c>
      <c r="E236" s="11">
        <v>26.468826</v>
      </c>
      <c r="F236" s="11">
        <v>-82.172315999999995</v>
      </c>
      <c r="G236" s="11" t="s">
        <v>659</v>
      </c>
      <c r="H236" s="11" t="s">
        <v>213</v>
      </c>
    </row>
    <row r="237" spans="1:9" ht="71.25" customHeight="1" x14ac:dyDescent="0.2">
      <c r="A237" s="13">
        <v>41684</v>
      </c>
      <c r="B237" s="11" t="s">
        <v>660</v>
      </c>
      <c r="C237" s="11" t="s">
        <v>654</v>
      </c>
      <c r="D237" s="11" t="s">
        <v>628</v>
      </c>
      <c r="E237" s="11">
        <v>26.500312999999998</v>
      </c>
      <c r="F237" s="11">
        <v>-82.187048000000004</v>
      </c>
      <c r="G237" s="11" t="s">
        <v>662</v>
      </c>
      <c r="H237" s="11" t="s">
        <v>213</v>
      </c>
    </row>
    <row r="238" spans="1:9" ht="71.25" customHeight="1" x14ac:dyDescent="0.2">
      <c r="A238" s="13">
        <v>41684</v>
      </c>
      <c r="B238" s="11" t="s">
        <v>660</v>
      </c>
      <c r="C238" s="11" t="s">
        <v>654</v>
      </c>
      <c r="D238" s="11" t="s">
        <v>631</v>
      </c>
      <c r="E238" s="11">
        <v>26.491979000000001</v>
      </c>
      <c r="F238" s="11">
        <v>-82.187048000000004</v>
      </c>
      <c r="G238" s="11" t="s">
        <v>664</v>
      </c>
      <c r="H238" s="11" t="s">
        <v>213</v>
      </c>
    </row>
    <row r="239" spans="1:9" ht="71.25" customHeight="1" x14ac:dyDescent="0.2">
      <c r="A239" s="13">
        <v>41684</v>
      </c>
      <c r="B239" s="11" t="s">
        <v>666</v>
      </c>
      <c r="C239" s="11" t="s">
        <v>654</v>
      </c>
      <c r="D239" s="11" t="s">
        <v>628</v>
      </c>
      <c r="E239" s="11">
        <v>26.542421999999998</v>
      </c>
      <c r="F239" s="11">
        <v>-82.197434299999998</v>
      </c>
      <c r="G239" s="11" t="s">
        <v>667</v>
      </c>
      <c r="H239" s="14"/>
    </row>
    <row r="240" spans="1:9" ht="71.25" customHeight="1" x14ac:dyDescent="0.2">
      <c r="A240" s="13">
        <v>41684</v>
      </c>
      <c r="B240" s="11" t="s">
        <v>668</v>
      </c>
      <c r="C240" s="11" t="s">
        <v>669</v>
      </c>
      <c r="D240" s="11">
        <v>1</v>
      </c>
      <c r="E240" s="11">
        <v>27.264900000000001</v>
      </c>
      <c r="F240" s="11">
        <v>-80.200630000000004</v>
      </c>
      <c r="G240" s="11" t="s">
        <v>670</v>
      </c>
      <c r="H240" s="11" t="s">
        <v>671</v>
      </c>
      <c r="I240" s="8" t="s">
        <v>123</v>
      </c>
    </row>
    <row r="241" spans="1:9" ht="71.25" customHeight="1" x14ac:dyDescent="0.2">
      <c r="A241" s="13">
        <v>41684</v>
      </c>
      <c r="B241" s="11" t="s">
        <v>668</v>
      </c>
      <c r="C241" s="11" t="s">
        <v>669</v>
      </c>
      <c r="D241" s="11">
        <v>2</v>
      </c>
      <c r="E241" s="11">
        <v>27.21509</v>
      </c>
      <c r="F241" s="11">
        <v>-80.174199999999999</v>
      </c>
      <c r="G241" s="11" t="s">
        <v>672</v>
      </c>
      <c r="H241" s="11" t="s">
        <v>671</v>
      </c>
      <c r="I241" s="8" t="s">
        <v>123</v>
      </c>
    </row>
    <row r="242" spans="1:9" ht="71.25" customHeight="1" x14ac:dyDescent="0.2">
      <c r="A242" s="13">
        <v>41684</v>
      </c>
      <c r="B242" s="11" t="s">
        <v>668</v>
      </c>
      <c r="C242" s="11" t="s">
        <v>669</v>
      </c>
      <c r="D242" s="11">
        <v>3</v>
      </c>
      <c r="E242" s="11">
        <v>27.187799999999999</v>
      </c>
      <c r="F242" s="11">
        <v>-80.160129999999995</v>
      </c>
      <c r="G242" s="11" t="s">
        <v>673</v>
      </c>
      <c r="H242" s="11" t="s">
        <v>671</v>
      </c>
      <c r="I242" s="8" t="s">
        <v>123</v>
      </c>
    </row>
    <row r="243" spans="1:9" ht="71.25" customHeight="1" x14ac:dyDescent="0.2">
      <c r="A243" s="13">
        <v>41684</v>
      </c>
      <c r="B243" s="11" t="s">
        <v>668</v>
      </c>
      <c r="C243" s="11" t="s">
        <v>669</v>
      </c>
      <c r="D243" s="11">
        <v>4</v>
      </c>
      <c r="E243" s="11">
        <v>27.18665</v>
      </c>
      <c r="F243" s="11">
        <v>-80.160399999999996</v>
      </c>
      <c r="G243" s="11" t="s">
        <v>674</v>
      </c>
      <c r="H243" s="11" t="s">
        <v>671</v>
      </c>
      <c r="I243" s="8" t="s">
        <v>123</v>
      </c>
    </row>
    <row r="244" spans="1:9" ht="71.25" customHeight="1" x14ac:dyDescent="0.2">
      <c r="A244" s="13">
        <v>41685</v>
      </c>
      <c r="B244" s="11" t="s">
        <v>675</v>
      </c>
      <c r="C244" s="11" t="s">
        <v>676</v>
      </c>
      <c r="D244" s="11">
        <v>1</v>
      </c>
      <c r="E244" s="11">
        <v>27.876885000000001</v>
      </c>
      <c r="F244" s="11">
        <v>-82.590805000000003</v>
      </c>
      <c r="G244" s="11" t="s">
        <v>677</v>
      </c>
      <c r="H244" s="11" t="s">
        <v>671</v>
      </c>
    </row>
    <row r="245" spans="1:9" ht="71.25" customHeight="1" x14ac:dyDescent="0.2">
      <c r="A245" s="13">
        <v>41685</v>
      </c>
      <c r="B245" s="11" t="s">
        <v>675</v>
      </c>
      <c r="C245" s="11" t="s">
        <v>676</v>
      </c>
      <c r="D245" s="11">
        <v>2</v>
      </c>
      <c r="E245" s="11">
        <v>27.876391999999999</v>
      </c>
      <c r="F245" s="11">
        <v>-82.592061999999999</v>
      </c>
      <c r="G245" s="11" t="s">
        <v>101</v>
      </c>
      <c r="H245" s="11" t="s">
        <v>671</v>
      </c>
    </row>
    <row r="246" spans="1:9" ht="71.25" customHeight="1" x14ac:dyDescent="0.2">
      <c r="A246" s="13">
        <v>41685</v>
      </c>
      <c r="B246" s="11" t="s">
        <v>678</v>
      </c>
      <c r="C246" s="11" t="s">
        <v>679</v>
      </c>
      <c r="D246" s="11">
        <v>1</v>
      </c>
      <c r="E246" s="11">
        <v>27.961099999999998</v>
      </c>
      <c r="F246" s="11">
        <v>-82.696029999999993</v>
      </c>
      <c r="G246" s="11" t="s">
        <v>101</v>
      </c>
      <c r="H246" s="11" t="s">
        <v>671</v>
      </c>
    </row>
    <row r="247" spans="1:9" ht="71.25" customHeight="1" x14ac:dyDescent="0.2">
      <c r="A247" s="13">
        <v>41685</v>
      </c>
      <c r="B247" s="11" t="s">
        <v>678</v>
      </c>
      <c r="C247" s="11" t="s">
        <v>679</v>
      </c>
      <c r="D247" s="11">
        <v>2</v>
      </c>
      <c r="E247" s="11">
        <v>27.968554999999999</v>
      </c>
      <c r="F247" s="11">
        <v>-82.573983999999996</v>
      </c>
      <c r="G247" s="11" t="s">
        <v>680</v>
      </c>
      <c r="H247" s="14"/>
    </row>
    <row r="248" spans="1:9" ht="71.25" customHeight="1" x14ac:dyDescent="0.2">
      <c r="A248" s="13">
        <v>41685</v>
      </c>
      <c r="B248" s="11" t="s">
        <v>678</v>
      </c>
      <c r="C248" s="11" t="s">
        <v>679</v>
      </c>
      <c r="D248" s="11">
        <v>3</v>
      </c>
      <c r="E248" s="11">
        <v>27.967424000000001</v>
      </c>
      <c r="F248" s="11">
        <v>-82.572771000000003</v>
      </c>
      <c r="G248" s="11" t="s">
        <v>682</v>
      </c>
      <c r="H248" s="11" t="s">
        <v>671</v>
      </c>
    </row>
    <row r="249" spans="1:9" ht="71.25" customHeight="1" x14ac:dyDescent="0.2">
      <c r="A249" s="13">
        <v>41685</v>
      </c>
      <c r="B249" s="11" t="s">
        <v>678</v>
      </c>
      <c r="C249" s="11" t="s">
        <v>679</v>
      </c>
      <c r="D249" s="11">
        <v>4</v>
      </c>
      <c r="E249" s="11">
        <v>27.969315999999999</v>
      </c>
      <c r="F249" s="11">
        <v>-82.629760000000005</v>
      </c>
      <c r="G249" s="11" t="s">
        <v>684</v>
      </c>
      <c r="H249" s="14"/>
    </row>
    <row r="250" spans="1:9" ht="71.25" customHeight="1" x14ac:dyDescent="0.2">
      <c r="A250" s="13">
        <v>41679</v>
      </c>
      <c r="B250" s="11" t="s">
        <v>685</v>
      </c>
      <c r="C250" s="11" t="s">
        <v>301</v>
      </c>
      <c r="D250" s="11">
        <v>1</v>
      </c>
      <c r="E250" s="11">
        <v>29.676100000000002</v>
      </c>
      <c r="F250" s="11">
        <v>-85.240170000000006</v>
      </c>
      <c r="G250" s="11" t="s">
        <v>686</v>
      </c>
      <c r="H250" s="11" t="s">
        <v>687</v>
      </c>
    </row>
    <row r="251" spans="1:9" ht="71.25" customHeight="1" x14ac:dyDescent="0.2">
      <c r="A251" s="13">
        <v>41679</v>
      </c>
      <c r="B251" s="11" t="s">
        <v>685</v>
      </c>
      <c r="C251" s="11" t="s">
        <v>301</v>
      </c>
      <c r="D251" s="11">
        <v>2</v>
      </c>
      <c r="E251" s="11">
        <v>29.68092</v>
      </c>
      <c r="F251" s="11">
        <v>-85.317939999999993</v>
      </c>
      <c r="G251" s="11" t="s">
        <v>688</v>
      </c>
      <c r="H251" s="11" t="s">
        <v>689</v>
      </c>
    </row>
    <row r="252" spans="1:9" ht="71.25" customHeight="1" x14ac:dyDescent="0.2">
      <c r="A252" s="13">
        <v>41679</v>
      </c>
      <c r="B252" s="11" t="s">
        <v>690</v>
      </c>
      <c r="C252" s="11" t="s">
        <v>301</v>
      </c>
      <c r="D252" s="11">
        <v>3</v>
      </c>
      <c r="E252" s="11">
        <v>29.684100000000001</v>
      </c>
      <c r="F252" s="11">
        <v>-85.286600000000007</v>
      </c>
      <c r="G252" s="11" t="s">
        <v>691</v>
      </c>
      <c r="H252" s="11" t="s">
        <v>692</v>
      </c>
    </row>
    <row r="253" spans="1:9" ht="71.25" customHeight="1" x14ac:dyDescent="0.2">
      <c r="A253" s="13">
        <v>41679</v>
      </c>
      <c r="B253" s="11" t="s">
        <v>693</v>
      </c>
      <c r="C253" s="11" t="s">
        <v>301</v>
      </c>
      <c r="D253" s="11">
        <v>1</v>
      </c>
      <c r="E253" s="11">
        <v>29.665299999999998</v>
      </c>
      <c r="F253" s="11">
        <v>-85.34675</v>
      </c>
      <c r="G253" s="11" t="s">
        <v>694</v>
      </c>
      <c r="H253" s="11" t="s">
        <v>695</v>
      </c>
    </row>
    <row r="254" spans="1:9" ht="71.25" customHeight="1" x14ac:dyDescent="0.2">
      <c r="A254" s="13">
        <v>41679</v>
      </c>
      <c r="B254" s="11" t="s">
        <v>696</v>
      </c>
      <c r="C254" s="11" t="s">
        <v>301</v>
      </c>
      <c r="D254" s="11">
        <v>2</v>
      </c>
      <c r="E254" s="11">
        <v>29.665299999999998</v>
      </c>
      <c r="F254" s="11">
        <v>-85.34675</v>
      </c>
      <c r="G254" s="11" t="s">
        <v>697</v>
      </c>
      <c r="H254" s="14"/>
    </row>
    <row r="255" spans="1:9" ht="71.25" customHeight="1" x14ac:dyDescent="0.2">
      <c r="A255" s="13">
        <v>41679</v>
      </c>
      <c r="B255" s="11" t="s">
        <v>696</v>
      </c>
      <c r="C255" s="11" t="s">
        <v>301</v>
      </c>
      <c r="D255" s="11">
        <v>3</v>
      </c>
      <c r="E255" s="11">
        <v>29.665299999999998</v>
      </c>
      <c r="F255" s="11">
        <v>-85.34675</v>
      </c>
      <c r="G255" s="11" t="s">
        <v>698</v>
      </c>
      <c r="H255" s="14"/>
    </row>
    <row r="256" spans="1:9" ht="71.25" customHeight="1" x14ac:dyDescent="0.2">
      <c r="A256" s="13">
        <v>41681</v>
      </c>
      <c r="B256" s="11" t="s">
        <v>699</v>
      </c>
      <c r="C256" s="11" t="s">
        <v>301</v>
      </c>
      <c r="D256" s="11">
        <v>1</v>
      </c>
      <c r="E256" s="11">
        <v>29.88428</v>
      </c>
      <c r="F256" s="11">
        <v>-85.355220000000003</v>
      </c>
      <c r="G256" s="11" t="s">
        <v>702</v>
      </c>
      <c r="H256" s="14"/>
    </row>
    <row r="257" spans="1:8" ht="71.25" customHeight="1" x14ac:dyDescent="0.2">
      <c r="A257" s="13">
        <v>41681</v>
      </c>
      <c r="B257" s="11" t="s">
        <v>699</v>
      </c>
      <c r="C257" s="11" t="s">
        <v>301</v>
      </c>
      <c r="D257" s="11">
        <v>2</v>
      </c>
      <c r="E257" s="11">
        <v>29.88428</v>
      </c>
      <c r="F257" s="11">
        <v>-85.355220000000003</v>
      </c>
      <c r="G257" s="11" t="s">
        <v>705</v>
      </c>
      <c r="H257" s="28" t="s">
        <v>706</v>
      </c>
    </row>
    <row r="258" spans="1:8" ht="71.25" customHeight="1" x14ac:dyDescent="0.2">
      <c r="A258" s="13">
        <v>41681</v>
      </c>
      <c r="B258" s="11" t="s">
        <v>699</v>
      </c>
      <c r="C258" s="11" t="s">
        <v>301</v>
      </c>
      <c r="D258" s="11">
        <v>3</v>
      </c>
      <c r="E258" s="11">
        <v>29.88428</v>
      </c>
      <c r="F258" s="11">
        <v>-85.355220000000003</v>
      </c>
      <c r="G258" s="11" t="s">
        <v>707</v>
      </c>
      <c r="H258" s="14"/>
    </row>
    <row r="259" spans="1:8" ht="71.25" customHeight="1" x14ac:dyDescent="0.2">
      <c r="A259" s="13">
        <v>41681</v>
      </c>
      <c r="B259" s="11" t="s">
        <v>708</v>
      </c>
      <c r="C259" s="11" t="s">
        <v>301</v>
      </c>
      <c r="D259" s="11">
        <v>1</v>
      </c>
      <c r="E259" s="11">
        <v>29.88261</v>
      </c>
      <c r="F259" s="11">
        <v>-85.313999999999993</v>
      </c>
      <c r="G259" s="11" t="s">
        <v>709</v>
      </c>
      <c r="H259" s="11" t="s">
        <v>710</v>
      </c>
    </row>
    <row r="260" spans="1:8" ht="71.25" customHeight="1" x14ac:dyDescent="0.2">
      <c r="A260" s="13">
        <v>41683</v>
      </c>
      <c r="B260" s="11" t="s">
        <v>299</v>
      </c>
      <c r="C260" s="11" t="s">
        <v>301</v>
      </c>
      <c r="D260" s="11">
        <v>1</v>
      </c>
      <c r="E260" s="11">
        <v>29.9544</v>
      </c>
      <c r="F260" s="11">
        <v>-85.446830000000006</v>
      </c>
      <c r="G260" s="11" t="s">
        <v>713</v>
      </c>
      <c r="H260" s="11" t="s">
        <v>714</v>
      </c>
    </row>
    <row r="261" spans="1:8" ht="71.25" customHeight="1" x14ac:dyDescent="0.2">
      <c r="A261" s="13">
        <v>41683</v>
      </c>
      <c r="B261" s="11" t="s">
        <v>299</v>
      </c>
      <c r="C261" s="11" t="s">
        <v>301</v>
      </c>
      <c r="D261" s="11">
        <v>2</v>
      </c>
      <c r="E261" s="11">
        <v>29.950310000000002</v>
      </c>
      <c r="F261" s="11">
        <v>-85.43253</v>
      </c>
      <c r="G261" s="11" t="s">
        <v>716</v>
      </c>
      <c r="H261" s="11" t="s">
        <v>717</v>
      </c>
    </row>
    <row r="262" spans="1:8" ht="71.25" customHeight="1" x14ac:dyDescent="0.2">
      <c r="A262" s="13">
        <v>41683</v>
      </c>
      <c r="B262" s="11" t="s">
        <v>718</v>
      </c>
      <c r="C262" s="11" t="s">
        <v>301</v>
      </c>
      <c r="D262" s="11">
        <v>3</v>
      </c>
      <c r="E262" s="11">
        <v>29.9544</v>
      </c>
      <c r="F262" s="11">
        <v>-85.446830000000006</v>
      </c>
      <c r="G262" s="11" t="s">
        <v>719</v>
      </c>
      <c r="H262" s="14"/>
    </row>
    <row r="263" spans="1:8" ht="71.25" customHeight="1" x14ac:dyDescent="0.2">
      <c r="A263" s="13">
        <v>41683</v>
      </c>
      <c r="B263" s="35" t="s">
        <v>299</v>
      </c>
      <c r="C263" s="11" t="s">
        <v>301</v>
      </c>
      <c r="D263" s="11">
        <v>4</v>
      </c>
      <c r="E263" s="11">
        <v>29.95486</v>
      </c>
      <c r="F263" s="11">
        <v>-85.44847</v>
      </c>
      <c r="G263" s="11" t="s">
        <v>716</v>
      </c>
      <c r="H263" s="11" t="s">
        <v>721</v>
      </c>
    </row>
    <row r="264" spans="1:8" ht="71.25" customHeight="1" x14ac:dyDescent="0.2">
      <c r="A264" s="13">
        <v>41683</v>
      </c>
      <c r="B264" s="11" t="s">
        <v>323</v>
      </c>
      <c r="C264" s="11" t="s">
        <v>301</v>
      </c>
      <c r="D264" s="11">
        <v>1</v>
      </c>
      <c r="E264" s="14"/>
      <c r="F264" s="14"/>
      <c r="G264" s="11" t="s">
        <v>722</v>
      </c>
      <c r="H264" s="14"/>
    </row>
    <row r="265" spans="1:8" ht="71.25" customHeight="1" x14ac:dyDescent="0.2">
      <c r="A265" s="13">
        <v>41679</v>
      </c>
      <c r="B265" s="11" t="s">
        <v>723</v>
      </c>
      <c r="C265" s="11" t="s">
        <v>301</v>
      </c>
      <c r="D265" s="11">
        <v>1</v>
      </c>
      <c r="E265" s="11">
        <v>29.754100000000001</v>
      </c>
      <c r="F265" s="11">
        <v>-85.304000000000002</v>
      </c>
      <c r="G265" s="11" t="s">
        <v>724</v>
      </c>
      <c r="H265" s="11" t="s">
        <v>725</v>
      </c>
    </row>
    <row r="266" spans="1:8" ht="71.25" customHeight="1" x14ac:dyDescent="0.2">
      <c r="A266" s="13">
        <v>41679</v>
      </c>
      <c r="B266" s="11" t="s">
        <v>726</v>
      </c>
      <c r="C266" s="11" t="s">
        <v>301</v>
      </c>
      <c r="D266" s="11">
        <v>2</v>
      </c>
      <c r="E266" s="11">
        <v>29.754100000000001</v>
      </c>
      <c r="F266" s="11">
        <v>-85.304000000000002</v>
      </c>
      <c r="G266" s="11" t="s">
        <v>727</v>
      </c>
      <c r="H266" s="11" t="s">
        <v>728</v>
      </c>
    </row>
    <row r="267" spans="1:8" ht="71.25" customHeight="1" x14ac:dyDescent="0.2">
      <c r="A267" s="13">
        <v>41679</v>
      </c>
      <c r="B267" s="11" t="s">
        <v>729</v>
      </c>
      <c r="C267" s="11" t="s">
        <v>301</v>
      </c>
      <c r="D267" s="11">
        <v>3</v>
      </c>
      <c r="E267" s="11">
        <v>29.805499999999999</v>
      </c>
      <c r="F267" s="11">
        <v>-85.301900000000003</v>
      </c>
      <c r="G267" s="11" t="s">
        <v>731</v>
      </c>
      <c r="H267" s="11" t="s">
        <v>732</v>
      </c>
    </row>
    <row r="268" spans="1:8" ht="71.25" customHeight="1" x14ac:dyDescent="0.2">
      <c r="A268" s="13">
        <v>41680</v>
      </c>
      <c r="B268" s="11" t="s">
        <v>733</v>
      </c>
      <c r="C268" s="11" t="s">
        <v>735</v>
      </c>
      <c r="D268" s="11">
        <v>1</v>
      </c>
      <c r="E268" s="11">
        <v>27.626650000000001</v>
      </c>
      <c r="F268" s="11">
        <v>-80.372110000000006</v>
      </c>
      <c r="G268" s="11" t="s">
        <v>101</v>
      </c>
      <c r="H268" s="11" t="s">
        <v>736</v>
      </c>
    </row>
    <row r="269" spans="1:8" ht="71.25" customHeight="1" x14ac:dyDescent="0.2">
      <c r="A269" s="13">
        <v>41683</v>
      </c>
      <c r="B269" s="11" t="s">
        <v>737</v>
      </c>
      <c r="C269" s="11" t="s">
        <v>738</v>
      </c>
      <c r="D269" s="11">
        <v>1</v>
      </c>
      <c r="E269" s="11">
        <v>30.403199999999998</v>
      </c>
      <c r="F269" s="11">
        <v>-81.499499999999998</v>
      </c>
      <c r="G269" s="11" t="s">
        <v>739</v>
      </c>
      <c r="H269" s="11" t="s">
        <v>736</v>
      </c>
    </row>
    <row r="270" spans="1:8" ht="71.25" customHeight="1" x14ac:dyDescent="0.2">
      <c r="A270" s="13">
        <v>41683</v>
      </c>
      <c r="B270" s="11" t="s">
        <v>740</v>
      </c>
      <c r="C270" s="11" t="s">
        <v>738</v>
      </c>
      <c r="D270" s="11">
        <v>1</v>
      </c>
      <c r="E270" s="11">
        <v>30.402200000000001</v>
      </c>
      <c r="F270" s="11">
        <v>-81.502499999999998</v>
      </c>
      <c r="G270" s="11" t="s">
        <v>741</v>
      </c>
      <c r="H270" s="11" t="s">
        <v>736</v>
      </c>
    </row>
    <row r="271" spans="1:8" ht="71.25" customHeight="1" x14ac:dyDescent="0.2">
      <c r="A271" s="13">
        <v>41677</v>
      </c>
      <c r="B271" s="11" t="s">
        <v>742</v>
      </c>
      <c r="C271" s="11" t="s">
        <v>360</v>
      </c>
      <c r="D271" s="11">
        <v>1</v>
      </c>
      <c r="E271" s="11" t="s">
        <v>743</v>
      </c>
      <c r="F271" s="11" t="s">
        <v>744</v>
      </c>
      <c r="G271" s="11" t="s">
        <v>745</v>
      </c>
      <c r="H271" s="11" t="s">
        <v>736</v>
      </c>
    </row>
    <row r="272" spans="1:8" ht="71.25" customHeight="1" x14ac:dyDescent="0.2">
      <c r="A272" s="13">
        <v>41677</v>
      </c>
      <c r="B272" s="11" t="s">
        <v>742</v>
      </c>
      <c r="C272" s="11" t="s">
        <v>360</v>
      </c>
      <c r="D272" s="14"/>
      <c r="E272" s="11" t="s">
        <v>746</v>
      </c>
      <c r="F272" s="11" t="s">
        <v>747</v>
      </c>
      <c r="G272" s="11" t="s">
        <v>748</v>
      </c>
      <c r="H272" s="11" t="s">
        <v>736</v>
      </c>
    </row>
    <row r="273" spans="1:9" ht="71.25" customHeight="1" x14ac:dyDescent="0.2">
      <c r="A273" s="13">
        <v>41677</v>
      </c>
      <c r="B273" s="11" t="s">
        <v>617</v>
      </c>
      <c r="C273" s="11" t="s">
        <v>749</v>
      </c>
      <c r="D273" s="11">
        <v>1</v>
      </c>
      <c r="E273" s="11">
        <v>26.890350999999999</v>
      </c>
      <c r="F273" s="11">
        <v>-82.339466000000002</v>
      </c>
      <c r="G273" s="11" t="s">
        <v>751</v>
      </c>
      <c r="H273" s="11" t="s">
        <v>736</v>
      </c>
    </row>
    <row r="274" spans="1:9" ht="71.25" customHeight="1" x14ac:dyDescent="0.2">
      <c r="A274" s="13">
        <v>41677</v>
      </c>
      <c r="B274" s="11" t="s">
        <v>617</v>
      </c>
      <c r="C274" s="11" t="s">
        <v>749</v>
      </c>
      <c r="D274" s="11">
        <v>2</v>
      </c>
      <c r="E274" s="11">
        <v>26.886599</v>
      </c>
      <c r="F274" s="11">
        <v>-82.336584000000002</v>
      </c>
      <c r="G274" s="11" t="s">
        <v>752</v>
      </c>
      <c r="H274" s="11" t="s">
        <v>736</v>
      </c>
    </row>
    <row r="275" spans="1:9" ht="71.25" customHeight="1" x14ac:dyDescent="0.2">
      <c r="A275" s="13">
        <v>41677</v>
      </c>
      <c r="B275" s="11" t="s">
        <v>617</v>
      </c>
      <c r="C275" s="11" t="s">
        <v>749</v>
      </c>
      <c r="D275" s="11">
        <v>3</v>
      </c>
      <c r="E275" s="11">
        <v>26.880379999999999</v>
      </c>
      <c r="F275" s="11">
        <v>-82.330045999999996</v>
      </c>
      <c r="G275" s="11" t="s">
        <v>753</v>
      </c>
      <c r="H275" s="11" t="s">
        <v>754</v>
      </c>
    </row>
    <row r="276" spans="1:9" ht="71.25" customHeight="1" x14ac:dyDescent="0.2">
      <c r="A276" s="13">
        <v>41684</v>
      </c>
      <c r="B276" s="11" t="s">
        <v>755</v>
      </c>
      <c r="C276" s="11" t="s">
        <v>756</v>
      </c>
      <c r="D276" s="11">
        <v>1</v>
      </c>
      <c r="E276" s="11">
        <v>26.901160000000001</v>
      </c>
      <c r="F276" s="11">
        <v>-80.058859999999996</v>
      </c>
      <c r="G276" s="11" t="s">
        <v>757</v>
      </c>
      <c r="H276" s="11" t="s">
        <v>758</v>
      </c>
    </row>
    <row r="277" spans="1:9" ht="71.25" customHeight="1" x14ac:dyDescent="0.2">
      <c r="A277" s="13">
        <v>41684</v>
      </c>
      <c r="B277" s="11" t="s">
        <v>755</v>
      </c>
      <c r="C277" s="11" t="s">
        <v>756</v>
      </c>
      <c r="D277" s="11">
        <v>2</v>
      </c>
      <c r="E277" s="11">
        <v>26.94201</v>
      </c>
      <c r="F277" s="11">
        <v>-80.071659999999994</v>
      </c>
      <c r="G277" s="11" t="s">
        <v>759</v>
      </c>
      <c r="H277" s="11" t="s">
        <v>760</v>
      </c>
    </row>
    <row r="278" spans="1:9" ht="71.25" customHeight="1" x14ac:dyDescent="0.2">
      <c r="A278" s="13">
        <v>41680</v>
      </c>
      <c r="B278" s="11" t="s">
        <v>761</v>
      </c>
      <c r="C278" s="11" t="s">
        <v>762</v>
      </c>
      <c r="D278" s="11">
        <v>1</v>
      </c>
      <c r="E278" s="11">
        <v>25.953633</v>
      </c>
      <c r="F278" s="11">
        <v>-81.751266000000001</v>
      </c>
      <c r="G278" s="11" t="s">
        <v>559</v>
      </c>
      <c r="H278" s="14"/>
    </row>
    <row r="279" spans="1:9" ht="71.25" customHeight="1" x14ac:dyDescent="0.2">
      <c r="A279" s="13">
        <v>41680</v>
      </c>
      <c r="B279" s="11" t="s">
        <v>761</v>
      </c>
      <c r="C279" s="11" t="s">
        <v>762</v>
      </c>
      <c r="D279" s="11">
        <v>2</v>
      </c>
      <c r="E279" s="11">
        <v>25.955183000000002</v>
      </c>
      <c r="F279" s="11">
        <v>-81.751982999999996</v>
      </c>
      <c r="G279" s="11" t="s">
        <v>85</v>
      </c>
      <c r="H279" s="14"/>
    </row>
    <row r="280" spans="1:9" ht="71.25" customHeight="1" x14ac:dyDescent="0.2">
      <c r="A280" s="13">
        <v>41680</v>
      </c>
      <c r="B280" s="11" t="s">
        <v>761</v>
      </c>
      <c r="C280" s="11" t="s">
        <v>762</v>
      </c>
      <c r="D280" s="11">
        <v>3</v>
      </c>
      <c r="E280" s="11">
        <v>25.9573</v>
      </c>
      <c r="F280" s="11">
        <v>-81.752616000000003</v>
      </c>
      <c r="G280" s="11" t="s">
        <v>300</v>
      </c>
      <c r="H280" s="14"/>
    </row>
    <row r="281" spans="1:9" ht="71.25" customHeight="1" x14ac:dyDescent="0.2">
      <c r="A281" s="13">
        <v>41680</v>
      </c>
      <c r="B281" s="11" t="s">
        <v>761</v>
      </c>
      <c r="C281" s="11" t="s">
        <v>762</v>
      </c>
      <c r="D281" s="11">
        <v>4</v>
      </c>
      <c r="E281" s="11">
        <v>25.957782999999999</v>
      </c>
      <c r="F281" s="11">
        <v>-81.752650000000003</v>
      </c>
      <c r="G281" s="11" t="s">
        <v>347</v>
      </c>
      <c r="H281" s="14"/>
    </row>
    <row r="282" spans="1:9" ht="71.25" customHeight="1" x14ac:dyDescent="0.2">
      <c r="A282" s="13">
        <v>41680</v>
      </c>
      <c r="B282" s="11" t="s">
        <v>761</v>
      </c>
      <c r="C282" s="11" t="s">
        <v>762</v>
      </c>
      <c r="D282" s="11">
        <v>5</v>
      </c>
      <c r="E282" s="11">
        <v>25.959430000000001</v>
      </c>
      <c r="F282" s="11">
        <v>-81.752516</v>
      </c>
      <c r="G282" s="11" t="s">
        <v>347</v>
      </c>
      <c r="H282" s="14"/>
    </row>
    <row r="283" spans="1:9" ht="71.25" customHeight="1" x14ac:dyDescent="0.2">
      <c r="A283" s="13">
        <v>41680</v>
      </c>
      <c r="B283" s="11" t="s">
        <v>761</v>
      </c>
      <c r="C283" s="11" t="s">
        <v>762</v>
      </c>
      <c r="D283" s="11">
        <v>6</v>
      </c>
      <c r="E283" s="11">
        <v>25.959516000000001</v>
      </c>
      <c r="F283" s="11">
        <v>-81.752529999999993</v>
      </c>
      <c r="G283" s="11" t="s">
        <v>769</v>
      </c>
      <c r="H283" s="11" t="s">
        <v>770</v>
      </c>
      <c r="I283" s="8" t="s">
        <v>89</v>
      </c>
    </row>
    <row r="284" spans="1:9" ht="71.25" customHeight="1" x14ac:dyDescent="0.2">
      <c r="A284" s="13">
        <v>41680</v>
      </c>
      <c r="B284" s="11" t="s">
        <v>761</v>
      </c>
      <c r="C284" s="11" t="s">
        <v>762</v>
      </c>
      <c r="D284" s="11">
        <v>7</v>
      </c>
      <c r="E284" s="11">
        <v>25.959959999999999</v>
      </c>
      <c r="F284" s="11">
        <v>-81.751783000000003</v>
      </c>
      <c r="G284" s="11" t="s">
        <v>771</v>
      </c>
      <c r="H284" s="14"/>
    </row>
    <row r="285" spans="1:9" ht="71.25" customHeight="1" x14ac:dyDescent="0.2">
      <c r="A285" s="13">
        <v>41680</v>
      </c>
      <c r="B285" s="11" t="s">
        <v>761</v>
      </c>
      <c r="C285" s="11" t="s">
        <v>762</v>
      </c>
      <c r="D285" s="11">
        <v>8</v>
      </c>
      <c r="E285" s="11">
        <v>25.960215999999999</v>
      </c>
      <c r="F285" s="11">
        <v>-81.752283000000006</v>
      </c>
      <c r="G285" s="11" t="s">
        <v>772</v>
      </c>
      <c r="H285" s="14"/>
    </row>
    <row r="286" spans="1:9" ht="71.25" customHeight="1" x14ac:dyDescent="0.2">
      <c r="A286" s="13">
        <v>41680</v>
      </c>
      <c r="B286" s="11" t="s">
        <v>761</v>
      </c>
      <c r="C286" s="11" t="s">
        <v>762</v>
      </c>
      <c r="D286" s="11">
        <v>9</v>
      </c>
      <c r="E286" s="11">
        <v>25.960483</v>
      </c>
      <c r="F286" s="11">
        <v>-81.752415999999997</v>
      </c>
      <c r="G286" s="11" t="s">
        <v>85</v>
      </c>
      <c r="H286" s="14"/>
    </row>
    <row r="287" spans="1:9" ht="71.25" customHeight="1" x14ac:dyDescent="0.2">
      <c r="A287" s="13">
        <v>41680</v>
      </c>
      <c r="B287" s="11" t="s">
        <v>761</v>
      </c>
      <c r="C287" s="11" t="s">
        <v>762</v>
      </c>
      <c r="D287" s="11">
        <v>10</v>
      </c>
      <c r="E287" s="11">
        <v>25.961030000000001</v>
      </c>
      <c r="F287" s="11">
        <v>-81.752200000000002</v>
      </c>
      <c r="G287" s="11" t="s">
        <v>773</v>
      </c>
      <c r="H287" s="11" t="s">
        <v>775</v>
      </c>
      <c r="I287" s="8" t="s">
        <v>89</v>
      </c>
    </row>
    <row r="288" spans="1:9" ht="71.25" customHeight="1" x14ac:dyDescent="0.2">
      <c r="A288" s="13">
        <v>41680</v>
      </c>
      <c r="B288" s="11" t="s">
        <v>761</v>
      </c>
      <c r="C288" s="11" t="s">
        <v>762</v>
      </c>
      <c r="D288" s="11">
        <v>11</v>
      </c>
      <c r="E288" s="11">
        <v>25.961300000000001</v>
      </c>
      <c r="F288" s="11">
        <v>-81.751982999999996</v>
      </c>
      <c r="G288" s="11" t="s">
        <v>85</v>
      </c>
      <c r="H288" s="14"/>
    </row>
    <row r="289" spans="1:9" ht="71.25" customHeight="1" x14ac:dyDescent="0.2">
      <c r="A289" s="13">
        <v>41680</v>
      </c>
      <c r="B289" s="11" t="s">
        <v>761</v>
      </c>
      <c r="C289" s="11" t="s">
        <v>762</v>
      </c>
      <c r="D289" s="11">
        <v>12</v>
      </c>
      <c r="E289" s="11">
        <v>25.961416</v>
      </c>
      <c r="F289" s="11">
        <v>-81.7518666</v>
      </c>
      <c r="G289" s="11" t="s">
        <v>777</v>
      </c>
      <c r="H289" s="14"/>
    </row>
    <row r="290" spans="1:9" ht="71.25" customHeight="1" x14ac:dyDescent="0.2">
      <c r="A290" s="13">
        <v>41680</v>
      </c>
      <c r="B290" s="11" t="s">
        <v>761</v>
      </c>
      <c r="C290" s="11" t="s">
        <v>762</v>
      </c>
      <c r="D290" s="11">
        <v>13</v>
      </c>
      <c r="E290" s="11">
        <v>25.961883</v>
      </c>
      <c r="F290" s="11">
        <v>-81.751683</v>
      </c>
      <c r="G290" s="11" t="s">
        <v>778</v>
      </c>
      <c r="H290" s="14"/>
    </row>
    <row r="291" spans="1:9" ht="71.25" customHeight="1" x14ac:dyDescent="0.2">
      <c r="A291" s="13">
        <v>41680</v>
      </c>
      <c r="B291" s="11" t="s">
        <v>761</v>
      </c>
      <c r="C291" s="11" t="s">
        <v>762</v>
      </c>
      <c r="D291" s="11">
        <v>14</v>
      </c>
      <c r="E291" s="11">
        <v>25.962299999999999</v>
      </c>
      <c r="F291" s="11">
        <v>-81.751649999999998</v>
      </c>
      <c r="G291" s="11" t="s">
        <v>85</v>
      </c>
      <c r="H291" s="14"/>
    </row>
    <row r="292" spans="1:9" ht="71.25" customHeight="1" x14ac:dyDescent="0.2">
      <c r="A292" s="13">
        <v>41680</v>
      </c>
      <c r="B292" s="11" t="s">
        <v>761</v>
      </c>
      <c r="C292" s="11" t="s">
        <v>762</v>
      </c>
      <c r="D292" s="11">
        <v>15</v>
      </c>
      <c r="E292" s="11">
        <v>25.967960000000001</v>
      </c>
      <c r="F292" s="11">
        <v>-81.749660000000006</v>
      </c>
      <c r="G292" s="11" t="s">
        <v>779</v>
      </c>
      <c r="H292" s="14"/>
    </row>
    <row r="293" spans="1:9" ht="71.25" customHeight="1" x14ac:dyDescent="0.2">
      <c r="A293" s="13">
        <v>41680</v>
      </c>
      <c r="B293" s="11" t="s">
        <v>780</v>
      </c>
      <c r="C293" s="11" t="s">
        <v>488</v>
      </c>
      <c r="D293" s="11">
        <v>1</v>
      </c>
      <c r="E293" s="11">
        <v>25.789266000000001</v>
      </c>
      <c r="F293" s="11">
        <v>-81.401330000000002</v>
      </c>
      <c r="G293" s="11" t="s">
        <v>781</v>
      </c>
      <c r="H293" s="14"/>
    </row>
    <row r="294" spans="1:9" ht="71.25" customHeight="1" x14ac:dyDescent="0.2">
      <c r="A294" s="13">
        <v>41680</v>
      </c>
      <c r="B294" s="11" t="s">
        <v>780</v>
      </c>
      <c r="C294" s="11" t="s">
        <v>488</v>
      </c>
      <c r="D294" s="11">
        <v>2</v>
      </c>
      <c r="E294" s="11">
        <v>25.783860000000001</v>
      </c>
      <c r="F294" s="11">
        <v>-81.407566599999996</v>
      </c>
      <c r="G294" s="11" t="s">
        <v>782</v>
      </c>
      <c r="H294" s="14"/>
    </row>
    <row r="295" spans="1:9" ht="71.25" customHeight="1" x14ac:dyDescent="0.2">
      <c r="A295" s="13">
        <v>41680</v>
      </c>
      <c r="B295" s="11" t="s">
        <v>780</v>
      </c>
      <c r="C295" s="11" t="s">
        <v>488</v>
      </c>
      <c r="D295" s="11">
        <v>3</v>
      </c>
      <c r="E295" s="11">
        <v>25.790959999999998</v>
      </c>
      <c r="F295" s="11">
        <v>-81.426649999999995</v>
      </c>
      <c r="G295" s="11" t="s">
        <v>783</v>
      </c>
      <c r="H295" s="14"/>
    </row>
    <row r="296" spans="1:9" ht="71.25" customHeight="1" x14ac:dyDescent="0.2">
      <c r="A296" s="13">
        <v>41680</v>
      </c>
      <c r="B296" s="11" t="s">
        <v>780</v>
      </c>
      <c r="C296" s="11" t="s">
        <v>488</v>
      </c>
      <c r="D296" s="11">
        <v>4</v>
      </c>
      <c r="E296" s="11">
        <v>25.811299999999999</v>
      </c>
      <c r="F296" s="11">
        <v>-81.462900000000005</v>
      </c>
      <c r="G296" s="11" t="s">
        <v>786</v>
      </c>
      <c r="H296" s="14"/>
    </row>
    <row r="297" spans="1:9" ht="71.25" customHeight="1" x14ac:dyDescent="0.2">
      <c r="A297" s="13">
        <v>41680</v>
      </c>
      <c r="B297" s="11" t="s">
        <v>780</v>
      </c>
      <c r="C297" s="11" t="s">
        <v>488</v>
      </c>
      <c r="D297" s="11">
        <v>5</v>
      </c>
      <c r="E297" s="11">
        <v>25.843382999999999</v>
      </c>
      <c r="F297" s="11">
        <v>-81.529233000000005</v>
      </c>
      <c r="G297" s="11" t="s">
        <v>787</v>
      </c>
      <c r="H297" s="14"/>
    </row>
    <row r="298" spans="1:9" ht="71.25" customHeight="1" x14ac:dyDescent="0.2">
      <c r="A298" s="13">
        <v>41680</v>
      </c>
      <c r="B298" s="11" t="s">
        <v>780</v>
      </c>
      <c r="C298" s="11" t="s">
        <v>488</v>
      </c>
      <c r="D298" s="11">
        <v>6</v>
      </c>
      <c r="E298" s="11">
        <v>25.873650000000001</v>
      </c>
      <c r="F298" s="11">
        <v>-81.577399999999997</v>
      </c>
      <c r="G298" s="11" t="s">
        <v>788</v>
      </c>
      <c r="H298" s="14"/>
    </row>
    <row r="299" spans="1:9" ht="71.25" customHeight="1" x14ac:dyDescent="0.2">
      <c r="A299" s="13">
        <v>41681</v>
      </c>
      <c r="B299" s="11" t="s">
        <v>789</v>
      </c>
      <c r="C299" s="11" t="s">
        <v>790</v>
      </c>
      <c r="D299" s="11">
        <v>1</v>
      </c>
      <c r="E299" s="11">
        <v>26.6173</v>
      </c>
      <c r="F299" s="11">
        <v>-80.045133000000007</v>
      </c>
      <c r="G299" s="11" t="s">
        <v>101</v>
      </c>
      <c r="H299" s="14"/>
    </row>
    <row r="300" spans="1:9" ht="71.25" customHeight="1" x14ac:dyDescent="0.2">
      <c r="A300" s="13">
        <v>41681</v>
      </c>
      <c r="B300" s="11" t="s">
        <v>789</v>
      </c>
      <c r="C300" s="11" t="s">
        <v>790</v>
      </c>
      <c r="D300" s="11">
        <v>2</v>
      </c>
      <c r="E300" s="11">
        <v>26.6191</v>
      </c>
      <c r="F300" s="11">
        <v>-80.045416599999996</v>
      </c>
      <c r="G300" s="11" t="s">
        <v>791</v>
      </c>
      <c r="H300" s="14"/>
    </row>
    <row r="301" spans="1:9" ht="71.25" customHeight="1" x14ac:dyDescent="0.2">
      <c r="A301" s="13">
        <v>41681</v>
      </c>
      <c r="B301" s="11" t="s">
        <v>789</v>
      </c>
      <c r="C301" s="11" t="s">
        <v>790</v>
      </c>
      <c r="D301" s="11">
        <v>3</v>
      </c>
      <c r="E301" s="11">
        <v>26.649550000000001</v>
      </c>
      <c r="F301" s="11">
        <v>-80.042416000000003</v>
      </c>
      <c r="G301" s="11" t="s">
        <v>217</v>
      </c>
      <c r="H301" s="14"/>
    </row>
    <row r="302" spans="1:9" ht="71.25" customHeight="1" x14ac:dyDescent="0.2">
      <c r="A302" s="13">
        <v>41677</v>
      </c>
      <c r="B302" s="11" t="s">
        <v>795</v>
      </c>
      <c r="C302" s="11" t="s">
        <v>391</v>
      </c>
      <c r="D302" s="11">
        <v>1</v>
      </c>
      <c r="E302" s="11" t="s">
        <v>796</v>
      </c>
      <c r="F302" s="11" t="s">
        <v>797</v>
      </c>
      <c r="G302" s="11" t="s">
        <v>798</v>
      </c>
      <c r="H302" s="11" t="s">
        <v>671</v>
      </c>
      <c r="I302" s="8" t="s">
        <v>214</v>
      </c>
    </row>
    <row r="303" spans="1:9" ht="71.25" customHeight="1" x14ac:dyDescent="0.2">
      <c r="A303" s="13">
        <v>41677</v>
      </c>
      <c r="B303" s="11" t="s">
        <v>795</v>
      </c>
      <c r="C303" s="11" t="s">
        <v>391</v>
      </c>
      <c r="D303" s="11">
        <v>2</v>
      </c>
      <c r="E303" s="11" t="s">
        <v>799</v>
      </c>
      <c r="F303" s="11" t="s">
        <v>800</v>
      </c>
      <c r="G303" s="11" t="s">
        <v>801</v>
      </c>
      <c r="H303" s="11" t="s">
        <v>671</v>
      </c>
      <c r="I303" s="8" t="s">
        <v>214</v>
      </c>
    </row>
    <row r="304" spans="1:9" ht="71.25" customHeight="1" x14ac:dyDescent="0.2">
      <c r="A304" s="13">
        <v>41689</v>
      </c>
      <c r="B304" s="11" t="s">
        <v>802</v>
      </c>
      <c r="C304" s="8" t="s">
        <v>803</v>
      </c>
      <c r="D304" s="11" t="s">
        <v>628</v>
      </c>
      <c r="E304" s="11">
        <v>26.569565000000001</v>
      </c>
      <c r="F304" s="11">
        <v>-82.203812999999997</v>
      </c>
      <c r="G304" s="11" t="s">
        <v>804</v>
      </c>
      <c r="H304" s="11" t="s">
        <v>601</v>
      </c>
    </row>
    <row r="305" spans="1:9" ht="71.25" customHeight="1" x14ac:dyDescent="0.2">
      <c r="A305" s="13">
        <v>41677</v>
      </c>
      <c r="B305" s="11" t="s">
        <v>805</v>
      </c>
      <c r="C305" s="11" t="s">
        <v>806</v>
      </c>
      <c r="D305" s="11" t="s">
        <v>807</v>
      </c>
      <c r="E305" s="11">
        <v>29.42435</v>
      </c>
      <c r="F305" s="11">
        <v>-81.138109999999998</v>
      </c>
      <c r="G305" s="11" t="s">
        <v>808</v>
      </c>
      <c r="H305" s="11" t="s">
        <v>601</v>
      </c>
    </row>
    <row r="306" spans="1:9" ht="71.25" customHeight="1" x14ac:dyDescent="0.2">
      <c r="A306" s="13">
        <v>41677</v>
      </c>
      <c r="B306" s="11" t="s">
        <v>805</v>
      </c>
      <c r="C306" s="11" t="s">
        <v>806</v>
      </c>
      <c r="D306" s="11" t="s">
        <v>809</v>
      </c>
      <c r="E306" s="11">
        <v>29.424720000000001</v>
      </c>
      <c r="F306" s="11">
        <v>-81.136170000000007</v>
      </c>
      <c r="G306" s="11" t="s">
        <v>810</v>
      </c>
      <c r="H306" s="11" t="s">
        <v>601</v>
      </c>
    </row>
    <row r="307" spans="1:9" ht="71.25" customHeight="1" x14ac:dyDescent="0.2">
      <c r="A307" s="13">
        <v>41684</v>
      </c>
      <c r="B307" s="11" t="s">
        <v>811</v>
      </c>
      <c r="C307" s="11" t="s">
        <v>812</v>
      </c>
      <c r="D307" s="11">
        <v>1</v>
      </c>
      <c r="E307" s="11">
        <v>25.838166000000001</v>
      </c>
      <c r="F307" s="11">
        <v>-80.169229999999999</v>
      </c>
      <c r="G307" s="11" t="s">
        <v>813</v>
      </c>
      <c r="H307" s="14"/>
    </row>
    <row r="308" spans="1:9" ht="71.25" customHeight="1" x14ac:dyDescent="0.2">
      <c r="A308" s="13">
        <v>41684</v>
      </c>
      <c r="B308" s="11" t="s">
        <v>811</v>
      </c>
      <c r="C308" s="11" t="s">
        <v>812</v>
      </c>
      <c r="D308" s="11">
        <v>2</v>
      </c>
      <c r="E308" s="11">
        <v>25.790150000000001</v>
      </c>
      <c r="F308" s="11">
        <v>-80.181299999999993</v>
      </c>
      <c r="G308" s="11" t="s">
        <v>814</v>
      </c>
      <c r="H308" s="14"/>
    </row>
    <row r="309" spans="1:9" ht="71.25" customHeight="1" x14ac:dyDescent="0.2">
      <c r="A309" s="13">
        <v>41684</v>
      </c>
      <c r="B309" s="11" t="s">
        <v>811</v>
      </c>
      <c r="C309" s="11" t="s">
        <v>812</v>
      </c>
      <c r="D309" s="11">
        <v>3</v>
      </c>
      <c r="E309" s="11">
        <v>25.780515999999999</v>
      </c>
      <c r="F309" s="11">
        <v>-80.184382999999997</v>
      </c>
      <c r="G309" s="11" t="s">
        <v>815</v>
      </c>
      <c r="H309" s="14"/>
    </row>
    <row r="310" spans="1:9" ht="71.25" customHeight="1" x14ac:dyDescent="0.2">
      <c r="A310" s="13">
        <v>41677</v>
      </c>
      <c r="B310" s="11" t="s">
        <v>816</v>
      </c>
      <c r="C310" s="11" t="s">
        <v>817</v>
      </c>
      <c r="D310" s="11">
        <v>1</v>
      </c>
      <c r="E310" s="11">
        <v>29.410520000000002</v>
      </c>
      <c r="F310" s="11">
        <v>-81.094989999999996</v>
      </c>
      <c r="G310" s="11" t="s">
        <v>818</v>
      </c>
      <c r="H310" s="11" t="s">
        <v>601</v>
      </c>
      <c r="I310" s="8" t="s">
        <v>214</v>
      </c>
    </row>
    <row r="311" spans="1:9" ht="71.25" customHeight="1" x14ac:dyDescent="0.2">
      <c r="A311" s="13">
        <v>41686</v>
      </c>
      <c r="B311" s="11" t="s">
        <v>819</v>
      </c>
      <c r="C311" s="11" t="s">
        <v>820</v>
      </c>
      <c r="D311" s="14"/>
      <c r="E311" s="11">
        <v>27.620480000000001</v>
      </c>
      <c r="F311" s="11">
        <v>82.736660000000001</v>
      </c>
      <c r="G311" s="11" t="s">
        <v>822</v>
      </c>
      <c r="H311" s="14"/>
    </row>
    <row r="312" spans="1:9" ht="71.25" customHeight="1" x14ac:dyDescent="0.2">
      <c r="A312" s="13">
        <v>41686</v>
      </c>
      <c r="B312" s="11" t="s">
        <v>824</v>
      </c>
      <c r="C312" s="11" t="s">
        <v>820</v>
      </c>
      <c r="D312" s="14"/>
      <c r="E312" s="11" t="s">
        <v>825</v>
      </c>
      <c r="F312" s="14"/>
      <c r="G312" s="11" t="s">
        <v>166</v>
      </c>
      <c r="H312" s="14"/>
    </row>
    <row r="313" spans="1:9" ht="71.25" customHeight="1" x14ac:dyDescent="0.2">
      <c r="A313" s="13">
        <v>41684</v>
      </c>
      <c r="B313" s="11" t="s">
        <v>826</v>
      </c>
      <c r="C313" s="11" t="s">
        <v>827</v>
      </c>
      <c r="D313" s="14"/>
      <c r="E313" s="11">
        <v>27.820150000000002</v>
      </c>
      <c r="F313" s="11">
        <v>-82.827150000000003</v>
      </c>
      <c r="G313" s="11" t="s">
        <v>828</v>
      </c>
      <c r="H313" s="14"/>
    </row>
    <row r="314" spans="1:9" ht="71.25" customHeight="1" x14ac:dyDescent="0.2">
      <c r="A314" s="13">
        <v>41684</v>
      </c>
      <c r="B314" s="11" t="s">
        <v>826</v>
      </c>
      <c r="C314" s="11" t="s">
        <v>827</v>
      </c>
      <c r="D314" s="14"/>
      <c r="E314" s="11">
        <v>27.8355833</v>
      </c>
      <c r="F314" s="11">
        <v>-82.837433300000001</v>
      </c>
      <c r="G314" s="11" t="s">
        <v>829</v>
      </c>
      <c r="H314" s="14"/>
    </row>
    <row r="315" spans="1:9" ht="71.25" customHeight="1" x14ac:dyDescent="0.2">
      <c r="A315" s="13">
        <v>41684</v>
      </c>
      <c r="B315" s="11" t="s">
        <v>830</v>
      </c>
      <c r="C315" s="11" t="s">
        <v>831</v>
      </c>
      <c r="D315" s="11">
        <v>3</v>
      </c>
      <c r="E315" s="11">
        <v>26.814646</v>
      </c>
      <c r="F315" s="11">
        <v>-82.272060999999994</v>
      </c>
      <c r="G315" s="11" t="s">
        <v>832</v>
      </c>
      <c r="H315" s="11" t="s">
        <v>601</v>
      </c>
      <c r="I315" s="8" t="s">
        <v>214</v>
      </c>
    </row>
    <row r="316" spans="1:9" ht="71.25" customHeight="1" x14ac:dyDescent="0.2">
      <c r="A316" s="13">
        <v>41677</v>
      </c>
      <c r="B316" s="8" t="s">
        <v>833</v>
      </c>
      <c r="C316" s="11" t="s">
        <v>834</v>
      </c>
      <c r="D316" s="14"/>
      <c r="E316" s="11">
        <v>29.636935000000001</v>
      </c>
      <c r="F316" s="11">
        <v>-81.199038999999999</v>
      </c>
      <c r="G316" s="11" t="s">
        <v>835</v>
      </c>
      <c r="H316" s="11" t="s">
        <v>601</v>
      </c>
      <c r="I316" s="8" t="s">
        <v>214</v>
      </c>
    </row>
    <row r="317" spans="1:9" ht="71.25" customHeight="1" x14ac:dyDescent="0.2">
      <c r="A317" s="13">
        <v>41677</v>
      </c>
      <c r="B317" s="11" t="s">
        <v>833</v>
      </c>
      <c r="C317" s="11" t="s">
        <v>834</v>
      </c>
      <c r="D317" s="14"/>
      <c r="E317" s="11">
        <v>29.667221999999999</v>
      </c>
      <c r="F317" s="11">
        <v>-81.213888999999995</v>
      </c>
      <c r="G317" s="11" t="s">
        <v>837</v>
      </c>
      <c r="H317" s="11" t="s">
        <v>601</v>
      </c>
      <c r="I317" s="8" t="s">
        <v>214</v>
      </c>
    </row>
    <row r="318" spans="1:9" ht="71.25" customHeight="1" x14ac:dyDescent="0.2">
      <c r="A318" s="13">
        <v>41677</v>
      </c>
      <c r="B318" s="11" t="s">
        <v>839</v>
      </c>
      <c r="C318" s="11" t="s">
        <v>840</v>
      </c>
      <c r="D318" s="14"/>
      <c r="E318" s="11">
        <v>29.484805000000001</v>
      </c>
      <c r="F318" s="11">
        <v>-81.128867</v>
      </c>
      <c r="G318" s="11" t="s">
        <v>841</v>
      </c>
      <c r="H318" s="11" t="s">
        <v>601</v>
      </c>
      <c r="I318" s="8" t="s">
        <v>214</v>
      </c>
    </row>
    <row r="319" spans="1:9" ht="71.25" customHeight="1" x14ac:dyDescent="0.2">
      <c r="A319" s="13">
        <v>41677</v>
      </c>
      <c r="B319" s="11" t="s">
        <v>839</v>
      </c>
      <c r="C319" s="11" t="s">
        <v>840</v>
      </c>
      <c r="D319" s="14"/>
      <c r="E319" s="11">
        <v>29.518889000000001</v>
      </c>
      <c r="F319" s="11">
        <v>-81.145555999999999</v>
      </c>
      <c r="G319" s="11" t="s">
        <v>842</v>
      </c>
      <c r="H319" s="11" t="s">
        <v>601</v>
      </c>
      <c r="I319" s="8" t="s">
        <v>214</v>
      </c>
    </row>
    <row r="320" spans="1:9" ht="71.25" customHeight="1" x14ac:dyDescent="0.2">
      <c r="A320" s="13">
        <v>41677</v>
      </c>
      <c r="B320" s="11" t="s">
        <v>843</v>
      </c>
      <c r="C320" s="11" t="s">
        <v>844</v>
      </c>
      <c r="D320" s="14"/>
      <c r="E320" s="11">
        <v>29.478553000000002</v>
      </c>
      <c r="F320" s="11">
        <v>-81.126251999999994</v>
      </c>
      <c r="G320" s="11" t="s">
        <v>845</v>
      </c>
      <c r="H320" s="11" t="s">
        <v>601</v>
      </c>
      <c r="I320" s="8" t="s">
        <v>214</v>
      </c>
    </row>
    <row r="321" spans="1:9" ht="71.25" customHeight="1" x14ac:dyDescent="0.2">
      <c r="A321" s="13">
        <v>41683</v>
      </c>
      <c r="B321" s="11" t="s">
        <v>846</v>
      </c>
      <c r="C321" s="11" t="s">
        <v>847</v>
      </c>
      <c r="D321" s="14"/>
      <c r="E321" s="11">
        <v>30.072398</v>
      </c>
      <c r="F321" s="11">
        <v>-84.172765999999996</v>
      </c>
      <c r="G321" s="11" t="s">
        <v>848</v>
      </c>
      <c r="H321" s="11" t="s">
        <v>601</v>
      </c>
      <c r="I321" s="8" t="s">
        <v>214</v>
      </c>
    </row>
    <row r="322" spans="1:9" ht="71.25" customHeight="1" x14ac:dyDescent="0.2">
      <c r="A322" s="13">
        <v>41677</v>
      </c>
      <c r="B322" s="11" t="s">
        <v>849</v>
      </c>
      <c r="C322" s="11" t="s">
        <v>850</v>
      </c>
      <c r="D322" s="11">
        <v>1</v>
      </c>
      <c r="E322" s="11">
        <v>30.408950000000001</v>
      </c>
      <c r="F322" s="11">
        <v>-81.407436000000004</v>
      </c>
      <c r="H322" s="11" t="s">
        <v>851</v>
      </c>
      <c r="I322" s="8" t="s">
        <v>214</v>
      </c>
    </row>
    <row r="323" spans="1:9" ht="71.25" customHeight="1" x14ac:dyDescent="0.2">
      <c r="A323" s="13">
        <v>41677</v>
      </c>
      <c r="B323" s="11" t="s">
        <v>849</v>
      </c>
      <c r="C323" s="11" t="s">
        <v>850</v>
      </c>
      <c r="D323" s="8">
        <v>2</v>
      </c>
      <c r="E323" s="8">
        <v>30.411096000000001</v>
      </c>
      <c r="F323" s="8">
        <v>-81.410762000000005</v>
      </c>
      <c r="G323" s="11" t="s">
        <v>854</v>
      </c>
      <c r="H323" s="11" t="s">
        <v>851</v>
      </c>
      <c r="I323" s="8" t="s">
        <v>214</v>
      </c>
    </row>
    <row r="324" spans="1:9" ht="71.25" customHeight="1" x14ac:dyDescent="0.2">
      <c r="A324" s="13">
        <v>41677</v>
      </c>
      <c r="B324" s="11" t="s">
        <v>849</v>
      </c>
      <c r="C324" s="11" t="s">
        <v>850</v>
      </c>
      <c r="D324" s="11">
        <v>3</v>
      </c>
      <c r="E324" s="11">
        <v>30.415575</v>
      </c>
      <c r="F324" s="11">
        <v>-81.410364999999999</v>
      </c>
      <c r="G324" s="11" t="s">
        <v>318</v>
      </c>
      <c r="H324" s="11" t="s">
        <v>851</v>
      </c>
      <c r="I324" s="8" t="s">
        <v>214</v>
      </c>
    </row>
    <row r="325" spans="1:9" ht="71.25" customHeight="1" x14ac:dyDescent="0.2">
      <c r="A325" s="13">
        <v>41677</v>
      </c>
      <c r="B325" s="11" t="s">
        <v>849</v>
      </c>
      <c r="C325" s="11" t="s">
        <v>850</v>
      </c>
      <c r="D325" s="8">
        <v>4</v>
      </c>
      <c r="E325" s="8">
        <v>30.416176</v>
      </c>
      <c r="F325" s="8">
        <v>-81.412468000000004</v>
      </c>
      <c r="G325" s="8" t="s">
        <v>855</v>
      </c>
      <c r="H325" s="8" t="s">
        <v>851</v>
      </c>
      <c r="I325" s="8" t="s">
        <v>214</v>
      </c>
    </row>
    <row r="326" spans="1:9" ht="71.25" customHeight="1" x14ac:dyDescent="0.2">
      <c r="A326" s="13">
        <v>41677</v>
      </c>
      <c r="B326" s="11" t="s">
        <v>849</v>
      </c>
      <c r="C326" s="11" t="s">
        <v>850</v>
      </c>
      <c r="D326" s="11">
        <v>5</v>
      </c>
      <c r="E326" s="11">
        <v>30.415538000000002</v>
      </c>
      <c r="F326" s="11">
        <v>-81.411331000000004</v>
      </c>
      <c r="G326" s="11" t="s">
        <v>857</v>
      </c>
      <c r="H326" s="11" t="s">
        <v>851</v>
      </c>
      <c r="I326" s="8" t="s">
        <v>214</v>
      </c>
    </row>
    <row r="327" spans="1:9" ht="71.25" customHeight="1" x14ac:dyDescent="0.2">
      <c r="A327" s="13">
        <v>41677</v>
      </c>
      <c r="B327" s="11" t="s">
        <v>849</v>
      </c>
      <c r="C327" s="11" t="s">
        <v>850</v>
      </c>
      <c r="D327" s="8">
        <v>6</v>
      </c>
      <c r="E327" s="8">
        <v>30.422356000000001</v>
      </c>
      <c r="F327" s="8">
        <v>-81.408724000000007</v>
      </c>
      <c r="G327" s="8" t="s">
        <v>858</v>
      </c>
      <c r="H327" s="8" t="s">
        <v>851</v>
      </c>
      <c r="I327" s="8" t="s">
        <v>214</v>
      </c>
    </row>
    <row r="328" spans="1:9" ht="71.25" customHeight="1" x14ac:dyDescent="0.2">
      <c r="A328" s="13">
        <v>41677</v>
      </c>
      <c r="B328" s="11" t="s">
        <v>849</v>
      </c>
      <c r="C328" s="11" t="s">
        <v>850</v>
      </c>
      <c r="D328" s="11">
        <v>7</v>
      </c>
      <c r="E328" s="11">
        <v>30.403452999999999</v>
      </c>
      <c r="F328" s="11">
        <v>-81.400397999999996</v>
      </c>
      <c r="G328" s="11" t="s">
        <v>859</v>
      </c>
      <c r="H328" s="11" t="s">
        <v>851</v>
      </c>
      <c r="I328" s="8" t="s">
        <v>214</v>
      </c>
    </row>
    <row r="329" spans="1:9" ht="71.25" customHeight="1" x14ac:dyDescent="0.2">
      <c r="A329" s="13">
        <v>41684</v>
      </c>
      <c r="B329" s="11" t="s">
        <v>860</v>
      </c>
      <c r="C329" s="11" t="s">
        <v>405</v>
      </c>
      <c r="D329" s="11">
        <v>1</v>
      </c>
      <c r="E329" s="11" t="s">
        <v>861</v>
      </c>
      <c r="F329" s="11" t="s">
        <v>862</v>
      </c>
      <c r="G329" s="11" t="s">
        <v>863</v>
      </c>
      <c r="H329" s="11" t="s">
        <v>851</v>
      </c>
      <c r="I329" s="8" t="s">
        <v>214</v>
      </c>
    </row>
    <row r="330" spans="1:9" ht="71.25" customHeight="1" x14ac:dyDescent="0.2">
      <c r="A330" s="13">
        <v>41684</v>
      </c>
      <c r="B330" s="11" t="s">
        <v>401</v>
      </c>
      <c r="C330" s="11" t="s">
        <v>405</v>
      </c>
      <c r="D330" s="11">
        <v>2</v>
      </c>
      <c r="E330" s="11" t="s">
        <v>865</v>
      </c>
      <c r="F330" s="11" t="s">
        <v>866</v>
      </c>
      <c r="G330" s="11" t="s">
        <v>867</v>
      </c>
      <c r="H330" s="11" t="s">
        <v>851</v>
      </c>
      <c r="I330" s="8" t="s">
        <v>214</v>
      </c>
    </row>
    <row r="331" spans="1:9" ht="71.25" customHeight="1" x14ac:dyDescent="0.2">
      <c r="A331" s="13">
        <v>41684</v>
      </c>
      <c r="B331" s="11" t="s">
        <v>401</v>
      </c>
      <c r="C331" s="11" t="s">
        <v>405</v>
      </c>
      <c r="D331" s="11">
        <v>3</v>
      </c>
      <c r="E331" s="11" t="s">
        <v>868</v>
      </c>
      <c r="F331" s="11" t="s">
        <v>869</v>
      </c>
      <c r="G331" s="11" t="s">
        <v>870</v>
      </c>
      <c r="H331" s="11" t="s">
        <v>851</v>
      </c>
      <c r="I331" s="8" t="s">
        <v>214</v>
      </c>
    </row>
    <row r="332" spans="1:9" ht="71.25" customHeight="1" x14ac:dyDescent="0.2">
      <c r="A332" s="13">
        <v>41684</v>
      </c>
      <c r="B332" s="11" t="s">
        <v>401</v>
      </c>
      <c r="C332" s="11" t="s">
        <v>405</v>
      </c>
      <c r="D332" s="11">
        <v>4</v>
      </c>
      <c r="E332" s="11" t="s">
        <v>871</v>
      </c>
      <c r="F332" s="11" t="s">
        <v>872</v>
      </c>
      <c r="G332" s="11" t="s">
        <v>873</v>
      </c>
      <c r="H332" s="11" t="s">
        <v>851</v>
      </c>
      <c r="I332" s="8" t="s">
        <v>214</v>
      </c>
    </row>
    <row r="333" spans="1:9" ht="71.25" customHeight="1" x14ac:dyDescent="0.2">
      <c r="A333" s="13">
        <v>41684</v>
      </c>
      <c r="B333" s="11" t="s">
        <v>401</v>
      </c>
      <c r="C333" s="11" t="s">
        <v>405</v>
      </c>
      <c r="D333" s="11">
        <v>5</v>
      </c>
      <c r="E333" s="11" t="s">
        <v>876</v>
      </c>
      <c r="F333" s="11" t="s">
        <v>877</v>
      </c>
      <c r="G333" s="11" t="s">
        <v>878</v>
      </c>
      <c r="H333" s="11" t="s">
        <v>851</v>
      </c>
      <c r="I333" s="8" t="s">
        <v>214</v>
      </c>
    </row>
    <row r="334" spans="1:9" ht="71.25" customHeight="1" x14ac:dyDescent="0.2">
      <c r="A334" s="13">
        <v>41684</v>
      </c>
      <c r="B334" s="11" t="s">
        <v>401</v>
      </c>
      <c r="C334" s="11" t="s">
        <v>405</v>
      </c>
      <c r="D334" s="11">
        <v>6</v>
      </c>
      <c r="E334" s="11" t="s">
        <v>879</v>
      </c>
      <c r="F334" s="11" t="s">
        <v>880</v>
      </c>
      <c r="G334" s="11" t="s">
        <v>881</v>
      </c>
      <c r="H334" s="11" t="s">
        <v>851</v>
      </c>
      <c r="I334" s="8" t="s">
        <v>214</v>
      </c>
    </row>
    <row r="335" spans="1:9" ht="71.25" customHeight="1" x14ac:dyDescent="0.2">
      <c r="A335" s="13">
        <v>41684</v>
      </c>
      <c r="B335" s="11" t="s">
        <v>882</v>
      </c>
      <c r="C335" s="8" t="s">
        <v>883</v>
      </c>
      <c r="D335" s="11">
        <v>1</v>
      </c>
      <c r="E335" s="11" t="s">
        <v>884</v>
      </c>
      <c r="F335" s="11" t="s">
        <v>885</v>
      </c>
      <c r="G335" s="11" t="s">
        <v>886</v>
      </c>
      <c r="H335" s="11" t="s">
        <v>851</v>
      </c>
      <c r="I335" s="8" t="s">
        <v>214</v>
      </c>
    </row>
    <row r="336" spans="1:9" ht="71.25" customHeight="1" x14ac:dyDescent="0.2">
      <c r="A336" s="13">
        <v>41684</v>
      </c>
      <c r="B336" s="11" t="s">
        <v>882</v>
      </c>
      <c r="C336" s="8" t="s">
        <v>883</v>
      </c>
      <c r="D336" s="11">
        <v>2</v>
      </c>
      <c r="E336" s="11" t="s">
        <v>888</v>
      </c>
      <c r="F336" s="11" t="s">
        <v>889</v>
      </c>
      <c r="G336" s="11" t="s">
        <v>890</v>
      </c>
      <c r="H336" s="11" t="s">
        <v>851</v>
      </c>
      <c r="I336" s="8" t="s">
        <v>214</v>
      </c>
    </row>
    <row r="337" spans="1:9" ht="71.25" customHeight="1" x14ac:dyDescent="0.2">
      <c r="A337" s="13">
        <v>41684</v>
      </c>
      <c r="B337" s="11" t="s">
        <v>882</v>
      </c>
      <c r="C337" s="8" t="s">
        <v>883</v>
      </c>
      <c r="D337" s="11">
        <v>3</v>
      </c>
      <c r="E337" s="11" t="s">
        <v>891</v>
      </c>
      <c r="F337" s="11" t="s">
        <v>892</v>
      </c>
      <c r="G337" s="11" t="s">
        <v>893</v>
      </c>
      <c r="H337" s="11" t="s">
        <v>851</v>
      </c>
      <c r="I337" s="8" t="s">
        <v>214</v>
      </c>
    </row>
    <row r="338" spans="1:9" ht="71.25" customHeight="1" x14ac:dyDescent="0.2">
      <c r="A338" s="13">
        <v>41684</v>
      </c>
      <c r="B338" s="11" t="s">
        <v>882</v>
      </c>
      <c r="C338" s="8" t="s">
        <v>883</v>
      </c>
      <c r="D338" s="11">
        <v>4</v>
      </c>
      <c r="E338" s="11" t="s">
        <v>894</v>
      </c>
      <c r="F338" s="11" t="s">
        <v>895</v>
      </c>
      <c r="G338" s="11" t="s">
        <v>896</v>
      </c>
      <c r="H338" s="11" t="s">
        <v>851</v>
      </c>
      <c r="I338" s="8" t="s">
        <v>214</v>
      </c>
    </row>
    <row r="339" spans="1:9" ht="71.25" customHeight="1" x14ac:dyDescent="0.2">
      <c r="A339" s="13">
        <v>41682</v>
      </c>
      <c r="B339" s="11" t="s">
        <v>898</v>
      </c>
      <c r="C339" s="11" t="s">
        <v>899</v>
      </c>
      <c r="D339" s="11">
        <v>1</v>
      </c>
      <c r="E339" s="11">
        <v>27.070987219999999</v>
      </c>
      <c r="F339" s="11">
        <v>-80.937886300000002</v>
      </c>
      <c r="G339" s="11" t="s">
        <v>900</v>
      </c>
      <c r="H339" s="11" t="s">
        <v>213</v>
      </c>
      <c r="I339" s="8" t="s">
        <v>370</v>
      </c>
    </row>
    <row r="340" spans="1:9" ht="71.25" customHeight="1" x14ac:dyDescent="0.2">
      <c r="A340" s="36"/>
      <c r="B340" s="11" t="s">
        <v>903</v>
      </c>
      <c r="C340" s="11" t="s">
        <v>899</v>
      </c>
      <c r="D340" s="11">
        <v>2</v>
      </c>
      <c r="E340" s="11">
        <v>27.15111023</v>
      </c>
      <c r="F340" s="11">
        <v>-80.861507149999994</v>
      </c>
      <c r="G340" s="11" t="s">
        <v>904</v>
      </c>
      <c r="H340" s="11" t="s">
        <v>213</v>
      </c>
      <c r="I340" s="8" t="s">
        <v>370</v>
      </c>
    </row>
    <row r="341" spans="1:9" ht="71.25" customHeight="1" x14ac:dyDescent="0.2">
      <c r="A341" s="13">
        <v>41684</v>
      </c>
      <c r="B341" s="11" t="s">
        <v>905</v>
      </c>
      <c r="C341" s="11" t="s">
        <v>906</v>
      </c>
      <c r="D341" s="11">
        <v>1</v>
      </c>
      <c r="E341" s="11">
        <v>28.938866000000001</v>
      </c>
      <c r="F341" s="11">
        <v>-80.866416000000001</v>
      </c>
      <c r="G341" s="11" t="s">
        <v>101</v>
      </c>
      <c r="H341" s="11" t="s">
        <v>213</v>
      </c>
    </row>
    <row r="342" spans="1:9" ht="71.25" customHeight="1" x14ac:dyDescent="0.2">
      <c r="A342" s="13">
        <v>41684</v>
      </c>
      <c r="B342" s="11" t="s">
        <v>905</v>
      </c>
      <c r="C342" s="11" t="s">
        <v>906</v>
      </c>
      <c r="D342" s="11">
        <v>2</v>
      </c>
      <c r="E342" s="11">
        <v>28.942499999999999</v>
      </c>
      <c r="F342" s="11">
        <v>-80.844999999999999</v>
      </c>
      <c r="G342" s="11" t="s">
        <v>217</v>
      </c>
      <c r="H342" s="11" t="s">
        <v>213</v>
      </c>
    </row>
    <row r="343" spans="1:9" ht="71.25" customHeight="1" x14ac:dyDescent="0.2">
      <c r="A343" s="13">
        <v>41684</v>
      </c>
      <c r="B343" s="11" t="s">
        <v>907</v>
      </c>
      <c r="C343" s="11" t="s">
        <v>908</v>
      </c>
      <c r="D343" s="11">
        <v>1</v>
      </c>
      <c r="E343" s="11">
        <v>29.035779999999999</v>
      </c>
      <c r="F343" s="11">
        <v>-80.543289999999999</v>
      </c>
      <c r="G343" s="11" t="s">
        <v>909</v>
      </c>
      <c r="H343" s="14"/>
    </row>
    <row r="344" spans="1:9" ht="71.25" customHeight="1" x14ac:dyDescent="0.2">
      <c r="A344" s="13">
        <v>41684</v>
      </c>
      <c r="B344" s="11" t="s">
        <v>910</v>
      </c>
      <c r="C344" s="11" t="s">
        <v>911</v>
      </c>
      <c r="D344" s="11">
        <v>1</v>
      </c>
      <c r="E344" s="11">
        <v>29.02093</v>
      </c>
      <c r="F344" s="11">
        <v>-80.885130000000004</v>
      </c>
      <c r="G344" s="11" t="s">
        <v>913</v>
      </c>
      <c r="H344" s="14"/>
    </row>
    <row r="345" spans="1:9" ht="71.25" customHeight="1" x14ac:dyDescent="0.2">
      <c r="A345" s="13">
        <v>41684</v>
      </c>
      <c r="B345" s="11" t="s">
        <v>915</v>
      </c>
      <c r="C345" s="11" t="s">
        <v>916</v>
      </c>
      <c r="D345" s="11">
        <v>1</v>
      </c>
      <c r="E345" s="11">
        <v>28.957100000000001</v>
      </c>
      <c r="F345" s="11">
        <v>-80.872665999999995</v>
      </c>
      <c r="G345" s="11" t="s">
        <v>101</v>
      </c>
      <c r="H345" s="14"/>
    </row>
    <row r="346" spans="1:9" ht="71.25" customHeight="1" x14ac:dyDescent="0.2">
      <c r="A346" s="13">
        <v>41684</v>
      </c>
      <c r="B346" s="11" t="s">
        <v>919</v>
      </c>
      <c r="C346" s="11" t="s">
        <v>916</v>
      </c>
      <c r="D346" s="11">
        <v>2</v>
      </c>
      <c r="E346" s="11">
        <v>28.9892</v>
      </c>
      <c r="F346" s="11">
        <v>-80.898216000000005</v>
      </c>
      <c r="G346" s="11" t="s">
        <v>920</v>
      </c>
      <c r="H346" s="14"/>
    </row>
    <row r="347" spans="1:9" ht="71.25" customHeight="1" x14ac:dyDescent="0.2">
      <c r="A347" s="13">
        <v>41684</v>
      </c>
      <c r="B347" s="8" t="s">
        <v>921</v>
      </c>
      <c r="C347" s="11" t="s">
        <v>922</v>
      </c>
      <c r="D347" s="11">
        <v>1</v>
      </c>
      <c r="E347" s="11">
        <v>28.929210999999999</v>
      </c>
      <c r="F347" s="11">
        <v>-80.823763999999997</v>
      </c>
      <c r="G347" s="11" t="s">
        <v>923</v>
      </c>
      <c r="H347" s="14"/>
    </row>
    <row r="348" spans="1:9" ht="71.25" customHeight="1" x14ac:dyDescent="0.2">
      <c r="A348" s="36"/>
      <c r="B348" s="8" t="s">
        <v>921</v>
      </c>
      <c r="C348" s="11" t="s">
        <v>922</v>
      </c>
      <c r="D348" s="11">
        <v>2</v>
      </c>
      <c r="E348" s="11">
        <v>28.94932</v>
      </c>
      <c r="F348" s="11">
        <v>-80.837530000000001</v>
      </c>
      <c r="G348" s="11" t="s">
        <v>91</v>
      </c>
      <c r="H348" s="14"/>
    </row>
    <row r="349" spans="1:9" ht="71.25" customHeight="1" x14ac:dyDescent="0.2">
      <c r="A349" s="36"/>
      <c r="B349" s="8" t="s">
        <v>921</v>
      </c>
      <c r="C349" s="11" t="s">
        <v>922</v>
      </c>
      <c r="D349" s="11">
        <v>3</v>
      </c>
      <c r="E349" s="11">
        <v>28.967296999999999</v>
      </c>
      <c r="F349" s="11">
        <v>-80.849903999999995</v>
      </c>
      <c r="G349" s="11" t="s">
        <v>923</v>
      </c>
      <c r="H349" s="14"/>
    </row>
    <row r="350" spans="1:9" ht="71.25" customHeight="1" x14ac:dyDescent="0.2">
      <c r="A350" s="13">
        <v>41685</v>
      </c>
      <c r="B350" s="11" t="s">
        <v>927</v>
      </c>
      <c r="C350" s="11" t="s">
        <v>928</v>
      </c>
      <c r="D350" s="11">
        <v>1</v>
      </c>
      <c r="E350" s="11">
        <v>26.493296000000001</v>
      </c>
      <c r="F350" s="11">
        <v>-80.400244000000001</v>
      </c>
      <c r="G350" s="11" t="s">
        <v>929</v>
      </c>
      <c r="H350" s="14"/>
    </row>
    <row r="351" spans="1:9" ht="71.25" customHeight="1" x14ac:dyDescent="0.2">
      <c r="A351" s="13">
        <v>41686</v>
      </c>
      <c r="B351" s="11" t="s">
        <v>930</v>
      </c>
      <c r="C351" s="11" t="s">
        <v>931</v>
      </c>
      <c r="D351" s="11">
        <v>1</v>
      </c>
      <c r="E351" s="11">
        <v>27.123470000000001</v>
      </c>
      <c r="F351" s="11">
        <v>82.471199999999996</v>
      </c>
      <c r="G351" s="11" t="s">
        <v>932</v>
      </c>
      <c r="H351" s="11" t="s">
        <v>933</v>
      </c>
      <c r="I351" s="8" t="s">
        <v>89</v>
      </c>
    </row>
    <row r="352" spans="1:9" ht="71.25" customHeight="1" x14ac:dyDescent="0.2">
      <c r="A352" s="13">
        <v>41686</v>
      </c>
      <c r="B352" s="11" t="s">
        <v>930</v>
      </c>
      <c r="C352" s="11" t="s">
        <v>931</v>
      </c>
      <c r="D352" s="11">
        <v>2</v>
      </c>
      <c r="E352" s="11">
        <v>27.1463</v>
      </c>
      <c r="F352" s="11">
        <v>82.479150000000004</v>
      </c>
      <c r="G352" s="11" t="s">
        <v>934</v>
      </c>
      <c r="H352" s="14"/>
    </row>
    <row r="353" spans="1:9" ht="71.25" customHeight="1" x14ac:dyDescent="0.2">
      <c r="A353" s="13">
        <v>41685</v>
      </c>
      <c r="B353" s="11" t="s">
        <v>935</v>
      </c>
      <c r="C353" s="11" t="s">
        <v>936</v>
      </c>
      <c r="D353" s="11">
        <v>1</v>
      </c>
      <c r="E353" s="11">
        <v>30.288405999999998</v>
      </c>
      <c r="F353" s="11">
        <v>-87.476130999999995</v>
      </c>
      <c r="G353" s="11" t="s">
        <v>937</v>
      </c>
      <c r="H353" s="11" t="s">
        <v>938</v>
      </c>
      <c r="I353" s="8" t="s">
        <v>557</v>
      </c>
    </row>
    <row r="354" spans="1:9" ht="71.25" customHeight="1" x14ac:dyDescent="0.2">
      <c r="A354" s="13">
        <v>41677</v>
      </c>
      <c r="B354" s="11" t="s">
        <v>939</v>
      </c>
      <c r="C354" s="11" t="s">
        <v>940</v>
      </c>
      <c r="D354" s="11">
        <v>1</v>
      </c>
      <c r="E354" s="11">
        <v>29.78858</v>
      </c>
      <c r="F354" s="11">
        <v>-84.626729999999995</v>
      </c>
      <c r="G354" s="11" t="s">
        <v>941</v>
      </c>
      <c r="H354" s="11" t="s">
        <v>942</v>
      </c>
    </row>
    <row r="355" spans="1:9" ht="71.25" customHeight="1" x14ac:dyDescent="0.2">
      <c r="A355" s="13">
        <v>41677</v>
      </c>
      <c r="B355" s="11" t="s">
        <v>939</v>
      </c>
      <c r="C355" s="11" t="s">
        <v>940</v>
      </c>
      <c r="D355" s="11">
        <v>2</v>
      </c>
      <c r="E355" s="11">
        <v>29.787019999999998</v>
      </c>
      <c r="F355" s="11">
        <v>-84.633539999999996</v>
      </c>
      <c r="G355" s="11" t="s">
        <v>943</v>
      </c>
      <c r="H355" s="11" t="s">
        <v>942</v>
      </c>
    </row>
    <row r="356" spans="1:9" ht="71.25" customHeight="1" x14ac:dyDescent="0.2">
      <c r="A356" s="13">
        <v>41677</v>
      </c>
      <c r="B356" s="11" t="s">
        <v>939</v>
      </c>
      <c r="C356" s="11" t="s">
        <v>940</v>
      </c>
      <c r="D356" s="11">
        <v>3</v>
      </c>
      <c r="E356" s="11">
        <v>29.78171</v>
      </c>
      <c r="F356" s="11" t="s">
        <v>944</v>
      </c>
      <c r="G356" s="11" t="s">
        <v>527</v>
      </c>
      <c r="H356" s="11" t="s">
        <v>942</v>
      </c>
    </row>
    <row r="357" spans="1:9" ht="71.25" customHeight="1" x14ac:dyDescent="0.2">
      <c r="A357" s="13">
        <v>41677</v>
      </c>
      <c r="B357" s="11" t="s">
        <v>939</v>
      </c>
      <c r="C357" s="11" t="s">
        <v>940</v>
      </c>
      <c r="D357" s="11">
        <v>4</v>
      </c>
      <c r="E357" s="11">
        <v>29.781479999999998</v>
      </c>
      <c r="F357" s="11">
        <v>-84.65325</v>
      </c>
      <c r="G357" s="11" t="s">
        <v>946</v>
      </c>
      <c r="H357" s="11" t="s">
        <v>947</v>
      </c>
      <c r="I357" s="8" t="s">
        <v>948</v>
      </c>
    </row>
    <row r="358" spans="1:9" ht="71.25" customHeight="1" x14ac:dyDescent="0.2">
      <c r="A358" s="13">
        <v>41677</v>
      </c>
      <c r="B358" s="11" t="s">
        <v>939</v>
      </c>
      <c r="C358" s="11" t="s">
        <v>949</v>
      </c>
      <c r="D358" s="11">
        <v>5</v>
      </c>
      <c r="E358" s="11">
        <v>29.819569999999999</v>
      </c>
      <c r="F358" s="11">
        <v>-84.585740000000001</v>
      </c>
      <c r="G358" s="11" t="s">
        <v>950</v>
      </c>
      <c r="H358" s="11" t="s">
        <v>951</v>
      </c>
    </row>
    <row r="359" spans="1:9" ht="71.25" customHeight="1" x14ac:dyDescent="0.2">
      <c r="A359" s="13">
        <v>41677</v>
      </c>
      <c r="B359" s="11" t="s">
        <v>939</v>
      </c>
      <c r="C359" s="11" t="s">
        <v>949</v>
      </c>
      <c r="D359" s="11">
        <v>6</v>
      </c>
      <c r="E359" s="11">
        <v>29.825579999999999</v>
      </c>
      <c r="F359" s="11">
        <v>-84.579580000000007</v>
      </c>
      <c r="G359" s="11" t="s">
        <v>952</v>
      </c>
      <c r="H359" s="11" t="s">
        <v>951</v>
      </c>
    </row>
    <row r="360" spans="1:9" ht="71.25" customHeight="1" x14ac:dyDescent="0.2">
      <c r="A360" s="13">
        <v>41677</v>
      </c>
      <c r="B360" s="11" t="s">
        <v>939</v>
      </c>
      <c r="C360" s="11" t="s">
        <v>949</v>
      </c>
      <c r="D360" s="11">
        <v>7</v>
      </c>
      <c r="E360" s="11">
        <v>29.779530000000001</v>
      </c>
      <c r="F360" s="11">
        <v>-84.673689999999993</v>
      </c>
      <c r="G360" s="11" t="s">
        <v>953</v>
      </c>
      <c r="H360" s="11" t="s">
        <v>951</v>
      </c>
    </row>
    <row r="361" spans="1:9" ht="71.25" customHeight="1" x14ac:dyDescent="0.2">
      <c r="A361" s="13">
        <v>41677</v>
      </c>
      <c r="B361" s="11" t="s">
        <v>939</v>
      </c>
      <c r="C361" s="11" t="s">
        <v>954</v>
      </c>
      <c r="D361" s="11">
        <v>8</v>
      </c>
      <c r="E361" s="11">
        <v>29.782859999999999</v>
      </c>
      <c r="F361" s="11">
        <v>-84.625209999999996</v>
      </c>
      <c r="G361" s="11" t="s">
        <v>101</v>
      </c>
      <c r="H361" s="11" t="s">
        <v>942</v>
      </c>
    </row>
    <row r="362" spans="1:9" ht="71.25" customHeight="1" x14ac:dyDescent="0.2">
      <c r="A362" s="13">
        <v>41677</v>
      </c>
      <c r="B362" s="11" t="s">
        <v>939</v>
      </c>
      <c r="C362" s="11" t="s">
        <v>954</v>
      </c>
      <c r="D362" s="11">
        <v>9</v>
      </c>
      <c r="E362" s="11">
        <v>29.788139999999999</v>
      </c>
      <c r="F362" s="11">
        <v>-84.631770000000003</v>
      </c>
      <c r="G362" s="11" t="s">
        <v>85</v>
      </c>
      <c r="H362" s="11" t="s">
        <v>942</v>
      </c>
    </row>
    <row r="363" spans="1:9" ht="71.25" customHeight="1" x14ac:dyDescent="0.2">
      <c r="A363" s="13">
        <v>41677</v>
      </c>
      <c r="B363" s="11" t="s">
        <v>939</v>
      </c>
      <c r="C363" s="11" t="s">
        <v>954</v>
      </c>
      <c r="D363" s="11">
        <v>10</v>
      </c>
      <c r="E363" s="11">
        <v>29.789100000000001</v>
      </c>
      <c r="F363" s="11" t="s">
        <v>955</v>
      </c>
      <c r="G363" s="11" t="s">
        <v>956</v>
      </c>
      <c r="H363" s="11" t="s">
        <v>942</v>
      </c>
    </row>
    <row r="364" spans="1:9" ht="71.25" customHeight="1" x14ac:dyDescent="0.2">
      <c r="A364" s="13">
        <v>41677</v>
      </c>
      <c r="B364" s="11" t="s">
        <v>939</v>
      </c>
      <c r="C364" s="11" t="s">
        <v>954</v>
      </c>
      <c r="D364" s="11">
        <v>11</v>
      </c>
      <c r="E364" s="11">
        <v>29.789290000000001</v>
      </c>
      <c r="F364" s="11">
        <v>-84.640900000000002</v>
      </c>
      <c r="G364" s="11" t="s">
        <v>957</v>
      </c>
      <c r="H364" s="11" t="s">
        <v>942</v>
      </c>
    </row>
    <row r="365" spans="1:9" ht="71.25" customHeight="1" x14ac:dyDescent="0.2">
      <c r="A365" s="13">
        <v>41677</v>
      </c>
      <c r="B365" s="11" t="s">
        <v>939</v>
      </c>
      <c r="C365" s="11" t="s">
        <v>954</v>
      </c>
      <c r="D365" s="11">
        <v>12</v>
      </c>
      <c r="E365" s="11">
        <v>29.781590000000001</v>
      </c>
      <c r="F365" s="11">
        <v>-84.657359999999997</v>
      </c>
      <c r="G365" s="11" t="s">
        <v>346</v>
      </c>
      <c r="H365" s="11" t="s">
        <v>942</v>
      </c>
    </row>
    <row r="366" spans="1:9" ht="71.25" customHeight="1" x14ac:dyDescent="0.2">
      <c r="A366" s="13">
        <v>41677</v>
      </c>
      <c r="B366" s="11" t="s">
        <v>939</v>
      </c>
      <c r="C366" s="11" t="s">
        <v>954</v>
      </c>
      <c r="D366" s="11">
        <v>13</v>
      </c>
      <c r="E366" s="11">
        <v>29.78154</v>
      </c>
      <c r="F366" s="11">
        <v>-84.657610000000005</v>
      </c>
      <c r="G366" s="11" t="s">
        <v>101</v>
      </c>
      <c r="H366" s="11" t="s">
        <v>942</v>
      </c>
    </row>
    <row r="367" spans="1:9" ht="71.25" customHeight="1" x14ac:dyDescent="0.2">
      <c r="A367" s="13">
        <v>41675</v>
      </c>
      <c r="B367" s="11" t="s">
        <v>959</v>
      </c>
      <c r="C367" s="11" t="s">
        <v>960</v>
      </c>
      <c r="D367" s="11">
        <v>1</v>
      </c>
      <c r="E367" s="11">
        <v>24.6633</v>
      </c>
      <c r="F367" s="11">
        <v>-81.259500000000003</v>
      </c>
      <c r="G367" s="11" t="s">
        <v>961</v>
      </c>
      <c r="H367" s="11" t="s">
        <v>601</v>
      </c>
      <c r="I367" s="8" t="s">
        <v>123</v>
      </c>
    </row>
    <row r="368" spans="1:9" ht="71.25" customHeight="1" x14ac:dyDescent="0.2">
      <c r="A368" s="13">
        <v>41675</v>
      </c>
      <c r="B368" s="11" t="s">
        <v>959</v>
      </c>
      <c r="C368" s="11" t="s">
        <v>962</v>
      </c>
      <c r="D368" s="11">
        <v>2</v>
      </c>
      <c r="E368" s="11">
        <v>24.6632</v>
      </c>
      <c r="F368" s="11">
        <v>-81.259699999999995</v>
      </c>
      <c r="G368" s="11" t="s">
        <v>964</v>
      </c>
      <c r="H368" s="11" t="s">
        <v>601</v>
      </c>
      <c r="I368" s="8" t="s">
        <v>123</v>
      </c>
    </row>
    <row r="369" spans="1:9" ht="71.25" customHeight="1" x14ac:dyDescent="0.2">
      <c r="A369" s="13">
        <v>41681</v>
      </c>
      <c r="B369" s="11" t="s">
        <v>965</v>
      </c>
      <c r="C369" s="11" t="s">
        <v>966</v>
      </c>
      <c r="D369" s="11">
        <v>1</v>
      </c>
      <c r="E369" s="11">
        <v>27.578339</v>
      </c>
      <c r="F369" s="11">
        <v>-82.757717</v>
      </c>
      <c r="G369" s="11" t="s">
        <v>967</v>
      </c>
      <c r="H369" s="11" t="s">
        <v>601</v>
      </c>
      <c r="I369" s="8" t="s">
        <v>123</v>
      </c>
    </row>
    <row r="370" spans="1:9" ht="71.25" customHeight="1" x14ac:dyDescent="0.2">
      <c r="A370" s="13">
        <v>41681</v>
      </c>
      <c r="B370" s="11" t="s">
        <v>965</v>
      </c>
      <c r="C370" s="11" t="s">
        <v>966</v>
      </c>
      <c r="D370" s="11">
        <v>2</v>
      </c>
      <c r="E370" s="11">
        <v>27.577186000000001</v>
      </c>
      <c r="F370" s="11">
        <v>-82.756594000000007</v>
      </c>
      <c r="G370" s="11" t="s">
        <v>101</v>
      </c>
      <c r="H370" s="11" t="s">
        <v>601</v>
      </c>
      <c r="I370" s="8" t="s">
        <v>123</v>
      </c>
    </row>
    <row r="371" spans="1:9" ht="71.25" customHeight="1" x14ac:dyDescent="0.2">
      <c r="A371" s="13">
        <v>41681</v>
      </c>
      <c r="B371" s="11" t="s">
        <v>965</v>
      </c>
      <c r="C371" s="11" t="s">
        <v>966</v>
      </c>
      <c r="D371" s="11">
        <v>3</v>
      </c>
      <c r="E371" s="11">
        <v>27.576260999999999</v>
      </c>
      <c r="F371" s="11">
        <v>-82.758308</v>
      </c>
      <c r="G371" s="11" t="s">
        <v>212</v>
      </c>
      <c r="H371" s="11" t="s">
        <v>601</v>
      </c>
      <c r="I371" s="8" t="s">
        <v>123</v>
      </c>
    </row>
    <row r="372" spans="1:9" ht="71.25" customHeight="1" x14ac:dyDescent="0.2">
      <c r="A372" s="13">
        <v>41681</v>
      </c>
      <c r="B372" s="11" t="s">
        <v>965</v>
      </c>
      <c r="C372" s="11" t="s">
        <v>966</v>
      </c>
      <c r="D372" s="11">
        <v>4</v>
      </c>
      <c r="E372" s="11">
        <v>27.591925</v>
      </c>
      <c r="F372" s="11">
        <v>-82.764047000000005</v>
      </c>
      <c r="G372" s="11" t="s">
        <v>968</v>
      </c>
      <c r="H372" s="11" t="s">
        <v>601</v>
      </c>
      <c r="I372" s="8" t="s">
        <v>123</v>
      </c>
    </row>
    <row r="373" spans="1:9" ht="71.25" customHeight="1" x14ac:dyDescent="0.2">
      <c r="A373" s="13">
        <v>41681</v>
      </c>
      <c r="B373" s="11" t="s">
        <v>965</v>
      </c>
      <c r="C373" s="11" t="s">
        <v>966</v>
      </c>
      <c r="D373" s="11">
        <v>5</v>
      </c>
      <c r="E373" s="11">
        <v>27.594971999999999</v>
      </c>
      <c r="F373" s="11">
        <v>-82.763757999999996</v>
      </c>
      <c r="G373" s="11" t="s">
        <v>971</v>
      </c>
      <c r="H373" s="11" t="s">
        <v>601</v>
      </c>
      <c r="I373" s="8" t="s">
        <v>123</v>
      </c>
    </row>
    <row r="374" spans="1:9" ht="71.25" customHeight="1" x14ac:dyDescent="0.2">
      <c r="A374" s="13">
        <v>41681</v>
      </c>
      <c r="B374" s="11" t="s">
        <v>965</v>
      </c>
      <c r="C374" s="11" t="s">
        <v>966</v>
      </c>
      <c r="D374" s="11">
        <v>6</v>
      </c>
      <c r="E374" s="11">
        <v>27.601621999999999</v>
      </c>
      <c r="F374" s="11">
        <v>-82.763446999999999</v>
      </c>
      <c r="G374" s="11" t="s">
        <v>101</v>
      </c>
      <c r="H374" s="11" t="s">
        <v>601</v>
      </c>
      <c r="I374" s="8" t="s">
        <v>123</v>
      </c>
    </row>
    <row r="375" spans="1:9" ht="71.25" customHeight="1" x14ac:dyDescent="0.2">
      <c r="A375" s="13">
        <v>41681</v>
      </c>
      <c r="B375" s="11" t="s">
        <v>965</v>
      </c>
      <c r="C375" s="11" t="s">
        <v>966</v>
      </c>
      <c r="D375" s="11">
        <v>7</v>
      </c>
      <c r="E375" s="11">
        <v>27.593792000000001</v>
      </c>
      <c r="F375" s="11">
        <v>-82.759316999999996</v>
      </c>
      <c r="G375" s="11" t="s">
        <v>974</v>
      </c>
      <c r="H375" s="11" t="s">
        <v>601</v>
      </c>
      <c r="I375" s="8" t="s">
        <v>123</v>
      </c>
    </row>
    <row r="376" spans="1:9" ht="71.25" customHeight="1" x14ac:dyDescent="0.2">
      <c r="A376" s="13">
        <v>41681</v>
      </c>
      <c r="B376" s="11" t="s">
        <v>965</v>
      </c>
      <c r="C376" s="11" t="s">
        <v>966</v>
      </c>
      <c r="D376" s="11">
        <v>8</v>
      </c>
      <c r="E376" s="11">
        <v>27.602650000000001</v>
      </c>
      <c r="F376" s="11">
        <v>-82.762660999999994</v>
      </c>
      <c r="G376" s="11" t="s">
        <v>975</v>
      </c>
      <c r="H376" s="11" t="s">
        <v>601</v>
      </c>
      <c r="I376" s="8" t="s">
        <v>123</v>
      </c>
    </row>
    <row r="377" spans="1:9" ht="71.25" customHeight="1" x14ac:dyDescent="0.2">
      <c r="A377" s="13">
        <v>41681</v>
      </c>
      <c r="B377" s="11" t="s">
        <v>965</v>
      </c>
      <c r="C377" s="11" t="s">
        <v>966</v>
      </c>
      <c r="D377" s="11">
        <v>9</v>
      </c>
      <c r="E377" s="11">
        <v>27.587222000000001</v>
      </c>
      <c r="F377" s="11">
        <v>-82.763872000000006</v>
      </c>
      <c r="G377" s="11" t="s">
        <v>101</v>
      </c>
      <c r="H377" s="11" t="s">
        <v>601</v>
      </c>
      <c r="I377" s="8" t="s">
        <v>123</v>
      </c>
    </row>
    <row r="378" spans="1:9" ht="71.25" customHeight="1" x14ac:dyDescent="0.2">
      <c r="A378" s="13">
        <v>41681</v>
      </c>
      <c r="B378" s="11" t="s">
        <v>965</v>
      </c>
      <c r="C378" s="11" t="s">
        <v>966</v>
      </c>
      <c r="D378" s="11">
        <v>10</v>
      </c>
      <c r="E378" s="11">
        <v>27.588152999999998</v>
      </c>
      <c r="F378" s="11">
        <v>-82.763966999999994</v>
      </c>
      <c r="G378" s="11" t="s">
        <v>217</v>
      </c>
      <c r="H378" s="11" t="s">
        <v>601</v>
      </c>
      <c r="I378" s="8" t="s">
        <v>123</v>
      </c>
    </row>
    <row r="379" spans="1:9" ht="71.25" customHeight="1" x14ac:dyDescent="0.2">
      <c r="A379" s="13">
        <v>41680</v>
      </c>
      <c r="B379" s="11" t="s">
        <v>976</v>
      </c>
      <c r="C379" s="11" t="s">
        <v>977</v>
      </c>
      <c r="D379" s="11">
        <v>1</v>
      </c>
      <c r="E379" s="11">
        <v>26.408321999999998</v>
      </c>
      <c r="F379" s="11">
        <v>-81.899235000000004</v>
      </c>
      <c r="G379" s="11" t="s">
        <v>979</v>
      </c>
      <c r="H379" s="11" t="s">
        <v>601</v>
      </c>
      <c r="I379" s="8" t="s">
        <v>214</v>
      </c>
    </row>
    <row r="380" spans="1:9" ht="71.25" customHeight="1" x14ac:dyDescent="0.2">
      <c r="A380" s="13">
        <v>41680</v>
      </c>
      <c r="B380" s="11" t="s">
        <v>976</v>
      </c>
      <c r="C380" s="11" t="s">
        <v>977</v>
      </c>
      <c r="D380" s="11">
        <v>2</v>
      </c>
      <c r="E380" s="11">
        <v>26.402729000000001</v>
      </c>
      <c r="F380" s="11">
        <v>-81.885587999999998</v>
      </c>
      <c r="G380" s="11" t="s">
        <v>980</v>
      </c>
      <c r="H380" s="11" t="s">
        <v>601</v>
      </c>
      <c r="I380" s="8" t="s">
        <v>214</v>
      </c>
    </row>
    <row r="381" spans="1:9" ht="71.25" customHeight="1" x14ac:dyDescent="0.2">
      <c r="A381" s="13">
        <v>41681</v>
      </c>
      <c r="B381" s="11" t="s">
        <v>981</v>
      </c>
      <c r="C381" s="11" t="s">
        <v>982</v>
      </c>
      <c r="D381" s="11">
        <v>1</v>
      </c>
      <c r="E381" s="11">
        <v>26.422000000000001</v>
      </c>
      <c r="F381" s="11">
        <v>-81.908000000000001</v>
      </c>
      <c r="G381" s="11" t="s">
        <v>983</v>
      </c>
      <c r="H381" s="11" t="s">
        <v>601</v>
      </c>
      <c r="I381" s="8" t="s">
        <v>214</v>
      </c>
    </row>
    <row r="382" spans="1:9" ht="71.25" customHeight="1" x14ac:dyDescent="0.2">
      <c r="A382" s="13">
        <v>41681</v>
      </c>
      <c r="B382" s="11" t="s">
        <v>981</v>
      </c>
      <c r="C382" s="11" t="s">
        <v>982</v>
      </c>
      <c r="D382" s="11">
        <v>2</v>
      </c>
      <c r="E382" s="11">
        <v>26.428999999999998</v>
      </c>
      <c r="F382" s="11">
        <v>-81.914000000000001</v>
      </c>
      <c r="G382" s="11" t="s">
        <v>984</v>
      </c>
      <c r="H382" s="11" t="s">
        <v>601</v>
      </c>
      <c r="I382" s="8" t="s">
        <v>214</v>
      </c>
    </row>
    <row r="383" spans="1:9" ht="71.25" customHeight="1" x14ac:dyDescent="0.2">
      <c r="A383" s="13">
        <v>41681</v>
      </c>
      <c r="B383" s="11" t="s">
        <v>981</v>
      </c>
      <c r="C383" s="11" t="s">
        <v>982</v>
      </c>
      <c r="D383" s="11">
        <v>3</v>
      </c>
      <c r="E383" s="11">
        <v>26.44</v>
      </c>
      <c r="F383" s="11">
        <v>-81.927999999999997</v>
      </c>
      <c r="G383" s="11" t="s">
        <v>985</v>
      </c>
      <c r="H383" s="11" t="s">
        <v>601</v>
      </c>
      <c r="I383" s="8" t="s">
        <v>214</v>
      </c>
    </row>
    <row r="384" spans="1:9" ht="71.25" customHeight="1" x14ac:dyDescent="0.2">
      <c r="A384" s="13">
        <v>41678</v>
      </c>
      <c r="B384" s="11" t="s">
        <v>986</v>
      </c>
      <c r="C384" s="11" t="s">
        <v>987</v>
      </c>
      <c r="D384" s="11">
        <v>1</v>
      </c>
      <c r="E384" s="11">
        <v>26.67257</v>
      </c>
      <c r="F384" s="11">
        <v>-82.258244000000005</v>
      </c>
      <c r="G384" s="11" t="s">
        <v>988</v>
      </c>
      <c r="H384" s="11" t="s">
        <v>989</v>
      </c>
      <c r="I384" s="8" t="s">
        <v>420</v>
      </c>
    </row>
    <row r="385" spans="1:9" ht="71.25" customHeight="1" x14ac:dyDescent="0.2">
      <c r="A385" s="13">
        <v>41678</v>
      </c>
      <c r="B385" s="11" t="s">
        <v>990</v>
      </c>
      <c r="C385" s="11" t="s">
        <v>982</v>
      </c>
      <c r="D385" s="11">
        <v>1</v>
      </c>
      <c r="E385" s="11">
        <v>26.667999999999999</v>
      </c>
      <c r="F385" s="11">
        <v>-82.254999999999995</v>
      </c>
      <c r="G385" s="11" t="s">
        <v>991</v>
      </c>
      <c r="H385" s="11" t="s">
        <v>992</v>
      </c>
      <c r="I385" s="8" t="s">
        <v>420</v>
      </c>
    </row>
    <row r="386" spans="1:9" ht="71.25" customHeight="1" x14ac:dyDescent="0.2">
      <c r="A386" s="13">
        <v>41678</v>
      </c>
      <c r="B386" s="11" t="s">
        <v>990</v>
      </c>
      <c r="C386" s="11" t="s">
        <v>982</v>
      </c>
      <c r="D386" s="11">
        <v>2</v>
      </c>
      <c r="E386" s="11">
        <v>26.664000000000001</v>
      </c>
      <c r="F386" s="11">
        <v>-82.251000000000005</v>
      </c>
      <c r="G386" s="11" t="s">
        <v>993</v>
      </c>
      <c r="H386" s="11" t="s">
        <v>601</v>
      </c>
      <c r="I386" s="8" t="s">
        <v>214</v>
      </c>
    </row>
    <row r="387" spans="1:9" ht="71.25" customHeight="1" x14ac:dyDescent="0.2">
      <c r="A387" s="13">
        <v>41678</v>
      </c>
      <c r="B387" s="11" t="s">
        <v>990</v>
      </c>
      <c r="C387" s="11" t="s">
        <v>982</v>
      </c>
      <c r="D387" s="11">
        <v>3</v>
      </c>
      <c r="E387" s="11">
        <v>26.638999999999999</v>
      </c>
      <c r="F387" s="11">
        <v>-82.236999999999995</v>
      </c>
      <c r="G387" s="11" t="s">
        <v>994</v>
      </c>
      <c r="H387" s="11" t="s">
        <v>601</v>
      </c>
      <c r="I387" s="8" t="s">
        <v>214</v>
      </c>
    </row>
    <row r="388" spans="1:9" ht="71.25" customHeight="1" x14ac:dyDescent="0.2">
      <c r="A388" s="13">
        <v>41678</v>
      </c>
      <c r="B388" s="11" t="s">
        <v>990</v>
      </c>
      <c r="C388" s="11" t="s">
        <v>982</v>
      </c>
      <c r="D388" s="11">
        <v>4</v>
      </c>
      <c r="E388" s="11">
        <v>26.637</v>
      </c>
      <c r="F388" s="11">
        <v>-82.236000000000004</v>
      </c>
      <c r="G388" s="11" t="s">
        <v>271</v>
      </c>
      <c r="H388" s="11" t="s">
        <v>601</v>
      </c>
      <c r="I388" s="8" t="s">
        <v>214</v>
      </c>
    </row>
    <row r="389" spans="1:9" ht="71.25" customHeight="1" x14ac:dyDescent="0.2">
      <c r="A389" s="13">
        <v>41678</v>
      </c>
      <c r="B389" s="11" t="s">
        <v>998</v>
      </c>
      <c r="C389" s="11" t="s">
        <v>982</v>
      </c>
      <c r="D389" s="11">
        <v>1</v>
      </c>
      <c r="E389" s="11">
        <v>26.553999999999998</v>
      </c>
      <c r="F389" s="11">
        <v>-82.180999999999997</v>
      </c>
      <c r="G389" s="11" t="s">
        <v>999</v>
      </c>
      <c r="H389" s="11" t="s">
        <v>601</v>
      </c>
      <c r="I389" s="8" t="s">
        <v>214</v>
      </c>
    </row>
    <row r="390" spans="1:9" ht="71.25" customHeight="1" x14ac:dyDescent="0.2">
      <c r="A390" s="13">
        <v>41679</v>
      </c>
      <c r="B390" s="11" t="s">
        <v>1000</v>
      </c>
      <c r="C390" s="11" t="s">
        <v>1001</v>
      </c>
      <c r="D390" s="11">
        <v>1</v>
      </c>
      <c r="E390" s="11">
        <v>26.488956999999999</v>
      </c>
      <c r="F390" s="11">
        <v>-81.972789000000006</v>
      </c>
      <c r="G390" s="11" t="s">
        <v>1002</v>
      </c>
      <c r="H390" s="11" t="s">
        <v>601</v>
      </c>
      <c r="I390" s="8" t="s">
        <v>214</v>
      </c>
    </row>
    <row r="391" spans="1:9" ht="71.25" customHeight="1" x14ac:dyDescent="0.2">
      <c r="A391" s="13">
        <v>41685</v>
      </c>
      <c r="B391" s="11" t="s">
        <v>1003</v>
      </c>
      <c r="C391" s="11" t="s">
        <v>1001</v>
      </c>
      <c r="D391" s="11">
        <v>1</v>
      </c>
      <c r="E391" s="11">
        <v>26.476828999999999</v>
      </c>
      <c r="F391" s="11">
        <v>-81.970720999999998</v>
      </c>
      <c r="G391" s="11" t="s">
        <v>1004</v>
      </c>
      <c r="H391" s="11" t="s">
        <v>1005</v>
      </c>
      <c r="I391" s="8" t="s">
        <v>557</v>
      </c>
    </row>
    <row r="392" spans="1:9" ht="71.25" customHeight="1" x14ac:dyDescent="0.2">
      <c r="A392" s="13">
        <v>41682</v>
      </c>
      <c r="B392" s="11" t="s">
        <v>636</v>
      </c>
      <c r="C392" s="11" t="s">
        <v>683</v>
      </c>
      <c r="D392" s="11">
        <v>1</v>
      </c>
      <c r="E392" s="11">
        <v>26.824351</v>
      </c>
      <c r="F392" s="11">
        <v>-82.287942000000001</v>
      </c>
      <c r="G392" s="11" t="s">
        <v>1006</v>
      </c>
      <c r="H392" s="11" t="s">
        <v>601</v>
      </c>
      <c r="I392" s="8" t="s">
        <v>214</v>
      </c>
    </row>
    <row r="393" spans="1:9" ht="71.25" customHeight="1" x14ac:dyDescent="0.2">
      <c r="A393" s="13">
        <v>41682</v>
      </c>
      <c r="B393" s="11" t="s">
        <v>636</v>
      </c>
      <c r="C393" s="11" t="s">
        <v>683</v>
      </c>
      <c r="D393" s="11">
        <v>2</v>
      </c>
      <c r="E393" s="11">
        <v>26.8157</v>
      </c>
      <c r="F393" s="11">
        <v>-82.281827000000007</v>
      </c>
      <c r="G393" s="11" t="s">
        <v>1007</v>
      </c>
      <c r="H393" s="11" t="s">
        <v>601</v>
      </c>
      <c r="I393" s="8" t="s">
        <v>214</v>
      </c>
    </row>
    <row r="394" spans="1:9" ht="71.25" customHeight="1" x14ac:dyDescent="0.2">
      <c r="A394" s="13">
        <v>41682</v>
      </c>
      <c r="B394" s="11" t="s">
        <v>636</v>
      </c>
      <c r="C394" s="11" t="s">
        <v>683</v>
      </c>
      <c r="D394" s="11">
        <v>3</v>
      </c>
      <c r="E394" s="11">
        <v>26.817043999999999</v>
      </c>
      <c r="F394" s="11">
        <v>-82.283056000000002</v>
      </c>
      <c r="G394" s="11" t="s">
        <v>1008</v>
      </c>
      <c r="H394" s="11" t="s">
        <v>601</v>
      </c>
      <c r="I394" s="8" t="s">
        <v>214</v>
      </c>
    </row>
    <row r="395" spans="1:9" ht="71.25" customHeight="1" x14ac:dyDescent="0.2">
      <c r="A395" s="13">
        <v>41682</v>
      </c>
      <c r="B395" s="11" t="s">
        <v>636</v>
      </c>
      <c r="C395" s="11" t="s">
        <v>683</v>
      </c>
      <c r="D395" s="11">
        <v>4</v>
      </c>
      <c r="E395" s="11">
        <v>26.822348000000002</v>
      </c>
      <c r="F395" s="11">
        <v>-82.287261999999998</v>
      </c>
      <c r="G395" s="11" t="s">
        <v>271</v>
      </c>
      <c r="H395" s="11" t="s">
        <v>601</v>
      </c>
      <c r="I395" s="8" t="s">
        <v>214</v>
      </c>
    </row>
    <row r="396" spans="1:9" ht="71.25" customHeight="1" x14ac:dyDescent="0.2">
      <c r="A396" s="13">
        <v>41680</v>
      </c>
      <c r="B396" s="8" t="s">
        <v>1009</v>
      </c>
      <c r="C396" s="11" t="s">
        <v>1010</v>
      </c>
      <c r="D396" s="11">
        <v>1</v>
      </c>
      <c r="E396" s="11">
        <v>27.328679999999999</v>
      </c>
      <c r="F396" s="11">
        <v>-82.5899</v>
      </c>
      <c r="G396" s="11" t="s">
        <v>1012</v>
      </c>
      <c r="H396" s="11" t="s">
        <v>1013</v>
      </c>
      <c r="I396" s="8" t="s">
        <v>89</v>
      </c>
    </row>
    <row r="397" spans="1:9" ht="71.25" customHeight="1" x14ac:dyDescent="0.2">
      <c r="A397" s="13">
        <v>41682</v>
      </c>
      <c r="B397" s="11" t="s">
        <v>1014</v>
      </c>
      <c r="C397" s="11" t="s">
        <v>1015</v>
      </c>
      <c r="D397" s="11">
        <v>1</v>
      </c>
      <c r="E397" s="11">
        <v>25.699259000000001</v>
      </c>
      <c r="F397" s="11">
        <v>-80.155556000000004</v>
      </c>
      <c r="G397" s="11" t="s">
        <v>1016</v>
      </c>
      <c r="H397" s="14"/>
    </row>
    <row r="398" spans="1:9" ht="71.25" customHeight="1" x14ac:dyDescent="0.2">
      <c r="A398" s="13">
        <v>41682</v>
      </c>
      <c r="B398" s="11" t="s">
        <v>1014</v>
      </c>
      <c r="C398" s="11" t="s">
        <v>1015</v>
      </c>
      <c r="D398" s="11">
        <v>2</v>
      </c>
      <c r="E398" s="11">
        <v>25.702278</v>
      </c>
      <c r="F398" s="11">
        <v>-80.154218</v>
      </c>
      <c r="G398" s="11" t="s">
        <v>1017</v>
      </c>
      <c r="H398" s="14"/>
    </row>
    <row r="399" spans="1:9" ht="71.25" customHeight="1" x14ac:dyDescent="0.2">
      <c r="A399" s="13">
        <v>41682</v>
      </c>
      <c r="B399" s="11" t="s">
        <v>1014</v>
      </c>
      <c r="C399" s="11" t="s">
        <v>1015</v>
      </c>
      <c r="D399" s="11">
        <v>3</v>
      </c>
      <c r="E399" s="11">
        <v>25.703227999999999</v>
      </c>
      <c r="F399" s="11">
        <v>-80.153599</v>
      </c>
      <c r="G399" s="11" t="s">
        <v>1018</v>
      </c>
      <c r="H399" s="11" t="s">
        <v>1019</v>
      </c>
      <c r="I399" s="8" t="s">
        <v>89</v>
      </c>
    </row>
    <row r="400" spans="1:9" ht="71.25" customHeight="1" x14ac:dyDescent="0.2">
      <c r="A400" s="13">
        <v>41682</v>
      </c>
      <c r="B400" s="11" t="s">
        <v>1014</v>
      </c>
      <c r="C400" s="11" t="s">
        <v>1015</v>
      </c>
      <c r="D400" s="11">
        <v>4</v>
      </c>
      <c r="E400" s="11">
        <v>25.703735000000002</v>
      </c>
      <c r="F400" s="11">
        <v>-80.153138999999996</v>
      </c>
      <c r="G400" s="11" t="s">
        <v>1020</v>
      </c>
      <c r="H400" s="14"/>
    </row>
    <row r="401" spans="1:10" ht="71.25" customHeight="1" x14ac:dyDescent="0.2">
      <c r="A401" s="13">
        <v>41682</v>
      </c>
      <c r="B401" s="11" t="s">
        <v>1014</v>
      </c>
      <c r="C401" s="11" t="s">
        <v>1015</v>
      </c>
      <c r="D401" s="11">
        <v>5</v>
      </c>
      <c r="E401" s="11">
        <v>25.704117</v>
      </c>
      <c r="F401" s="11">
        <v>-80.153014999999996</v>
      </c>
      <c r="G401" s="11" t="s">
        <v>1021</v>
      </c>
      <c r="H401" s="14"/>
    </row>
    <row r="402" spans="1:10" ht="71.25" customHeight="1" x14ac:dyDescent="0.2">
      <c r="A402" s="13">
        <v>41682</v>
      </c>
      <c r="B402" s="11" t="s">
        <v>1014</v>
      </c>
      <c r="C402" s="11" t="s">
        <v>1015</v>
      </c>
      <c r="D402" s="11">
        <v>6</v>
      </c>
      <c r="E402" s="11">
        <v>25.703997000000001</v>
      </c>
      <c r="F402" s="11">
        <v>-80.152000000000001</v>
      </c>
      <c r="G402" s="11" t="s">
        <v>1022</v>
      </c>
      <c r="H402" s="11" t="s">
        <v>1023</v>
      </c>
    </row>
    <row r="403" spans="1:10" ht="71.25" customHeight="1" x14ac:dyDescent="0.2">
      <c r="A403" s="13">
        <v>41682</v>
      </c>
      <c r="B403" s="11" t="s">
        <v>1014</v>
      </c>
      <c r="C403" s="11" t="s">
        <v>1015</v>
      </c>
      <c r="D403" s="11">
        <v>7</v>
      </c>
      <c r="E403" s="11">
        <v>25.705366999999999</v>
      </c>
      <c r="F403" s="11">
        <v>-80.152371000000002</v>
      </c>
      <c r="G403" s="11" t="s">
        <v>1024</v>
      </c>
      <c r="H403" s="11" t="s">
        <v>1025</v>
      </c>
      <c r="I403" s="8" t="s">
        <v>89</v>
      </c>
      <c r="J403" s="8" t="s">
        <v>1026</v>
      </c>
    </row>
    <row r="404" spans="1:10" ht="71.25" customHeight="1" x14ac:dyDescent="0.2">
      <c r="A404" s="13">
        <v>41677</v>
      </c>
      <c r="B404" s="8" t="s">
        <v>1027</v>
      </c>
      <c r="C404" s="11" t="s">
        <v>192</v>
      </c>
      <c r="D404" s="11">
        <v>1</v>
      </c>
      <c r="E404" s="8">
        <v>27.28266</v>
      </c>
      <c r="F404" s="8">
        <v>-80.172449999999998</v>
      </c>
      <c r="G404" s="11" t="s">
        <v>1028</v>
      </c>
      <c r="H404" s="11" t="s">
        <v>1029</v>
      </c>
      <c r="I404" s="8" t="s">
        <v>370</v>
      </c>
      <c r="J404" s="8" t="s">
        <v>1030</v>
      </c>
    </row>
    <row r="405" spans="1:10" ht="71.25" customHeight="1" x14ac:dyDescent="0.2">
      <c r="A405" s="13">
        <v>41677</v>
      </c>
      <c r="B405" s="8" t="s">
        <v>1027</v>
      </c>
      <c r="C405" s="11" t="s">
        <v>192</v>
      </c>
      <c r="D405" s="11">
        <v>2</v>
      </c>
      <c r="E405" s="8">
        <v>27.282990000000002</v>
      </c>
      <c r="F405" s="8">
        <v>-80.17268</v>
      </c>
      <c r="G405" s="11" t="s">
        <v>1031</v>
      </c>
      <c r="H405" s="11" t="s">
        <v>1029</v>
      </c>
      <c r="I405" s="8" t="s">
        <v>370</v>
      </c>
      <c r="J405" s="8" t="s">
        <v>1030</v>
      </c>
    </row>
    <row r="406" spans="1:10" ht="71.25" customHeight="1" x14ac:dyDescent="0.2">
      <c r="A406" s="13">
        <v>41681</v>
      </c>
      <c r="B406" s="11" t="s">
        <v>1033</v>
      </c>
      <c r="C406" s="11" t="s">
        <v>1034</v>
      </c>
      <c r="D406" s="11">
        <v>1</v>
      </c>
      <c r="E406" s="11">
        <v>24.821667000000001</v>
      </c>
      <c r="F406" s="11">
        <v>80.037778000000003</v>
      </c>
      <c r="G406" s="11" t="s">
        <v>1036</v>
      </c>
      <c r="H406" s="11" t="s">
        <v>1029</v>
      </c>
      <c r="I406" s="8" t="s">
        <v>370</v>
      </c>
    </row>
    <row r="407" spans="1:10" ht="71.25" customHeight="1" x14ac:dyDescent="0.2">
      <c r="A407" s="13">
        <v>41677</v>
      </c>
      <c r="B407" s="11" t="s">
        <v>1037</v>
      </c>
      <c r="C407" s="11" t="s">
        <v>917</v>
      </c>
      <c r="D407" s="11">
        <v>1</v>
      </c>
      <c r="E407" s="11">
        <v>30.3966666</v>
      </c>
      <c r="F407" s="11">
        <v>-81.392777699999996</v>
      </c>
      <c r="G407" s="11" t="s">
        <v>1038</v>
      </c>
      <c r="H407" s="11" t="s">
        <v>1029</v>
      </c>
      <c r="I407" s="8" t="s">
        <v>370</v>
      </c>
      <c r="J407" s="8" t="s">
        <v>1039</v>
      </c>
    </row>
    <row r="408" spans="1:10" ht="71.25" customHeight="1" x14ac:dyDescent="0.2">
      <c r="A408" s="13">
        <v>41677</v>
      </c>
      <c r="B408" s="11" t="s">
        <v>1037</v>
      </c>
      <c r="C408" s="11" t="s">
        <v>917</v>
      </c>
      <c r="D408" s="11">
        <v>2</v>
      </c>
      <c r="E408" s="11">
        <v>30.381111099999998</v>
      </c>
      <c r="F408" s="11">
        <v>-81.396666600000003</v>
      </c>
      <c r="G408" s="11" t="s">
        <v>1040</v>
      </c>
      <c r="H408" s="11" t="s">
        <v>1029</v>
      </c>
      <c r="I408" s="8" t="s">
        <v>370</v>
      </c>
      <c r="J408" s="8" t="s">
        <v>1039</v>
      </c>
    </row>
    <row r="409" spans="1:10" ht="71.25" customHeight="1" x14ac:dyDescent="0.2">
      <c r="A409" s="13">
        <v>41677</v>
      </c>
      <c r="B409" s="11" t="s">
        <v>1037</v>
      </c>
      <c r="C409" s="11" t="s">
        <v>917</v>
      </c>
      <c r="D409" s="11">
        <v>3</v>
      </c>
      <c r="E409" s="11">
        <v>30.3613888</v>
      </c>
      <c r="F409" s="11">
        <v>-81.397221999999999</v>
      </c>
      <c r="G409" s="11" t="s">
        <v>1050</v>
      </c>
      <c r="H409" s="14"/>
    </row>
    <row r="410" spans="1:10" ht="71.25" customHeight="1" x14ac:dyDescent="0.2">
      <c r="A410" s="13">
        <v>41677</v>
      </c>
      <c r="B410" s="11" t="s">
        <v>1052</v>
      </c>
      <c r="C410" s="11" t="s">
        <v>917</v>
      </c>
      <c r="D410" s="11">
        <v>4</v>
      </c>
      <c r="E410" s="11">
        <v>30.324166600000002</v>
      </c>
      <c r="F410" s="11">
        <v>-81.393888000000004</v>
      </c>
      <c r="G410" s="11" t="s">
        <v>1054</v>
      </c>
      <c r="H410" s="11" t="s">
        <v>1055</v>
      </c>
      <c r="I410" s="8" t="s">
        <v>370</v>
      </c>
      <c r="J410" s="8" t="s">
        <v>1039</v>
      </c>
    </row>
    <row r="411" spans="1:10" ht="71.25" customHeight="1" x14ac:dyDescent="0.2">
      <c r="A411" s="13">
        <v>41677</v>
      </c>
      <c r="B411" s="11" t="s">
        <v>1052</v>
      </c>
      <c r="C411" s="11" t="s">
        <v>1056</v>
      </c>
      <c r="D411" s="11">
        <v>5</v>
      </c>
      <c r="E411" s="11">
        <v>30.308055499999998</v>
      </c>
      <c r="F411" s="11">
        <v>-81.391388800000001</v>
      </c>
      <c r="G411" s="11" t="s">
        <v>1057</v>
      </c>
      <c r="H411" s="14"/>
    </row>
    <row r="412" spans="1:10" ht="71.25" customHeight="1" x14ac:dyDescent="0.2">
      <c r="A412" s="36"/>
      <c r="B412" s="14"/>
      <c r="C412" s="14"/>
      <c r="D412" s="14"/>
      <c r="E412" s="14"/>
      <c r="F412" s="14"/>
      <c r="G412" s="14"/>
      <c r="H412" s="14"/>
    </row>
    <row r="413" spans="1:10" ht="71.25" customHeight="1" x14ac:dyDescent="0.2">
      <c r="A413" s="36"/>
      <c r="B413" s="14"/>
      <c r="C413" s="14"/>
      <c r="D413" s="14"/>
      <c r="E413" s="14"/>
      <c r="F413" s="14"/>
      <c r="G413" s="14"/>
      <c r="H413" s="14"/>
    </row>
    <row r="414" spans="1:10" ht="71.25" customHeight="1" x14ac:dyDescent="0.2">
      <c r="A414" s="36"/>
      <c r="B414" s="14"/>
      <c r="C414" s="14"/>
      <c r="D414" s="14"/>
      <c r="E414" s="14"/>
      <c r="F414" s="14"/>
      <c r="G414" s="14"/>
      <c r="H414" s="14"/>
    </row>
    <row r="415" spans="1:10" ht="71.25" customHeight="1" x14ac:dyDescent="0.2">
      <c r="A415" s="36"/>
      <c r="B415" s="14"/>
      <c r="C415" s="14"/>
      <c r="D415" s="14"/>
      <c r="E415" s="14"/>
      <c r="F415" s="14"/>
      <c r="G415" s="14"/>
      <c r="H415" s="14"/>
    </row>
    <row r="416" spans="1:10" ht="71.25" customHeight="1" x14ac:dyDescent="0.2">
      <c r="A416" s="36"/>
      <c r="B416" s="14"/>
      <c r="C416" s="14"/>
      <c r="D416" s="14"/>
      <c r="E416" s="14"/>
      <c r="F416" s="14"/>
      <c r="G416" s="14"/>
      <c r="H416" s="14"/>
    </row>
    <row r="417" spans="1:8" ht="71.25" customHeight="1" x14ac:dyDescent="0.2">
      <c r="A417" s="36"/>
      <c r="B417" s="14"/>
      <c r="C417" s="14"/>
      <c r="D417" s="14"/>
      <c r="E417" s="14"/>
      <c r="F417" s="14"/>
      <c r="G417" s="14"/>
      <c r="H417" s="14"/>
    </row>
    <row r="418" spans="1:8" ht="71.25" customHeight="1" x14ac:dyDescent="0.2">
      <c r="A418" s="36"/>
      <c r="B418" s="14"/>
      <c r="C418" s="14"/>
      <c r="D418" s="14"/>
      <c r="E418" s="14"/>
      <c r="F418" s="14"/>
      <c r="G418" s="14"/>
      <c r="H418" s="14"/>
    </row>
    <row r="419" spans="1:8" ht="71.25" customHeight="1" x14ac:dyDescent="0.2">
      <c r="A419" s="36"/>
      <c r="B419" s="14"/>
      <c r="C419" s="14"/>
      <c r="D419" s="14"/>
      <c r="E419" s="14"/>
      <c r="F419" s="14"/>
      <c r="G419" s="14"/>
      <c r="H419" s="14"/>
    </row>
    <row r="420" spans="1:8" ht="71.25" customHeight="1" x14ac:dyDescent="0.2">
      <c r="A420" s="36"/>
      <c r="B420" s="14"/>
      <c r="C420" s="14"/>
      <c r="D420" s="14"/>
      <c r="E420" s="14"/>
      <c r="F420" s="14"/>
      <c r="G420" s="14"/>
      <c r="H420" s="14"/>
    </row>
    <row r="421" spans="1:8" ht="71.25" customHeight="1" x14ac:dyDescent="0.2">
      <c r="A421" s="36"/>
      <c r="B421" s="14"/>
      <c r="C421" s="14"/>
      <c r="D421" s="14"/>
      <c r="E421" s="14"/>
      <c r="F421" s="14"/>
      <c r="G421" s="14"/>
      <c r="H421" s="14"/>
    </row>
    <row r="422" spans="1:8" ht="71.25" customHeight="1" x14ac:dyDescent="0.2">
      <c r="A422" s="36"/>
      <c r="B422" s="14"/>
      <c r="C422" s="14"/>
      <c r="D422" s="14"/>
      <c r="E422" s="14"/>
      <c r="F422" s="14"/>
      <c r="G422" s="14"/>
      <c r="H422" s="14"/>
    </row>
    <row r="423" spans="1:8" ht="71.25" customHeight="1" x14ac:dyDescent="0.2">
      <c r="A423" s="36"/>
      <c r="B423" s="14"/>
      <c r="C423" s="14"/>
      <c r="D423" s="14"/>
      <c r="E423" s="14"/>
      <c r="F423" s="14"/>
      <c r="G423" s="14"/>
      <c r="H423" s="14"/>
    </row>
    <row r="424" spans="1:8" ht="71.25" customHeight="1" x14ac:dyDescent="0.2">
      <c r="A424" s="36"/>
      <c r="B424" s="14"/>
      <c r="C424" s="14"/>
      <c r="D424" s="14"/>
      <c r="E424" s="14"/>
      <c r="F424" s="14"/>
      <c r="G424" s="14"/>
      <c r="H424" s="14"/>
    </row>
    <row r="425" spans="1:8" ht="71.25" customHeight="1" x14ac:dyDescent="0.2">
      <c r="A425" s="36"/>
      <c r="B425" s="14"/>
      <c r="C425" s="14"/>
      <c r="D425" s="14"/>
      <c r="E425" s="14"/>
      <c r="F425" s="14"/>
      <c r="G425" s="14"/>
      <c r="H425" s="14"/>
    </row>
    <row r="426" spans="1:8" ht="71.25" customHeight="1" x14ac:dyDescent="0.2">
      <c r="A426" s="36"/>
      <c r="B426" s="14"/>
      <c r="C426" s="14"/>
      <c r="D426" s="14"/>
      <c r="E426" s="14"/>
      <c r="F426" s="14"/>
      <c r="G426" s="14"/>
      <c r="H426" s="14"/>
    </row>
    <row r="427" spans="1:8" ht="71.25" customHeight="1" x14ac:dyDescent="0.2">
      <c r="A427" s="36"/>
      <c r="B427" s="14"/>
      <c r="C427" s="14"/>
      <c r="D427" s="14"/>
      <c r="E427" s="14"/>
      <c r="F427" s="14"/>
      <c r="G427" s="14"/>
      <c r="H427" s="14"/>
    </row>
    <row r="428" spans="1:8" ht="71.25" customHeight="1" x14ac:dyDescent="0.2">
      <c r="A428" s="36"/>
      <c r="B428" s="14"/>
      <c r="C428" s="14"/>
      <c r="D428" s="14"/>
      <c r="E428" s="14"/>
      <c r="F428" s="14"/>
      <c r="G428" s="14"/>
      <c r="H428" s="14"/>
    </row>
    <row r="429" spans="1:8" ht="71.25" customHeight="1" x14ac:dyDescent="0.2">
      <c r="A429" s="36"/>
      <c r="B429" s="14"/>
      <c r="C429" s="14"/>
      <c r="D429" s="14"/>
      <c r="E429" s="14"/>
      <c r="F429" s="14"/>
      <c r="G429" s="14"/>
      <c r="H429" s="14"/>
    </row>
    <row r="430" spans="1:8" ht="71.25" customHeight="1" x14ac:dyDescent="0.2">
      <c r="A430" s="36"/>
      <c r="B430" s="14"/>
      <c r="C430" s="14"/>
      <c r="D430" s="14"/>
      <c r="E430" s="14"/>
      <c r="F430" s="14"/>
      <c r="G430" s="14"/>
      <c r="H430" s="14"/>
    </row>
    <row r="431" spans="1:8" ht="71.25" customHeight="1" x14ac:dyDescent="0.2">
      <c r="A431" s="36"/>
      <c r="B431" s="14"/>
      <c r="C431" s="14"/>
      <c r="D431" s="14"/>
      <c r="E431" s="14"/>
      <c r="F431" s="14"/>
      <c r="G431" s="14"/>
      <c r="H431" s="14"/>
    </row>
    <row r="432" spans="1:8" ht="71.25" customHeight="1" x14ac:dyDescent="0.2">
      <c r="A432" s="36"/>
      <c r="B432" s="14"/>
      <c r="C432" s="14"/>
      <c r="D432" s="14"/>
      <c r="E432" s="14"/>
      <c r="F432" s="14"/>
      <c r="G432" s="14"/>
      <c r="H432" s="14"/>
    </row>
    <row r="433" spans="1:8" ht="71.25" customHeight="1" x14ac:dyDescent="0.2">
      <c r="A433" s="36"/>
      <c r="B433" s="14"/>
      <c r="C433" s="14"/>
      <c r="D433" s="14"/>
      <c r="E433" s="14"/>
      <c r="F433" s="14"/>
      <c r="G433" s="14"/>
      <c r="H433" s="14"/>
    </row>
    <row r="434" spans="1:8" ht="71.25" customHeight="1" x14ac:dyDescent="0.2">
      <c r="A434" s="36"/>
      <c r="B434" s="14"/>
      <c r="C434" s="14"/>
      <c r="D434" s="14"/>
      <c r="E434" s="14"/>
      <c r="F434" s="14"/>
      <c r="G434" s="14"/>
      <c r="H434" s="14"/>
    </row>
    <row r="435" spans="1:8" ht="71.25" customHeight="1" x14ac:dyDescent="0.2">
      <c r="A435" s="36"/>
      <c r="B435" s="14"/>
      <c r="C435" s="14"/>
      <c r="D435" s="14"/>
      <c r="E435" s="14"/>
      <c r="F435" s="14"/>
      <c r="G435" s="14"/>
      <c r="H435" s="14"/>
    </row>
    <row r="436" spans="1:8" ht="71.25" customHeight="1" x14ac:dyDescent="0.2">
      <c r="A436" s="36"/>
      <c r="B436" s="14"/>
      <c r="C436" s="14"/>
      <c r="D436" s="14"/>
      <c r="E436" s="14"/>
      <c r="F436" s="14"/>
      <c r="G436" s="14"/>
      <c r="H436" s="14"/>
    </row>
    <row r="437" spans="1:8" ht="71.25" customHeight="1" x14ac:dyDescent="0.2">
      <c r="A437" s="36"/>
      <c r="B437" s="14"/>
      <c r="C437" s="14"/>
      <c r="D437" s="14"/>
      <c r="E437" s="14"/>
      <c r="F437" s="14"/>
      <c r="G437" s="14"/>
      <c r="H437" s="14"/>
    </row>
    <row r="438" spans="1:8" ht="71.25" customHeight="1" x14ac:dyDescent="0.2">
      <c r="A438" s="36"/>
      <c r="B438" s="14"/>
      <c r="C438" s="14"/>
      <c r="D438" s="14"/>
      <c r="E438" s="14"/>
      <c r="F438" s="14"/>
      <c r="G438" s="14"/>
      <c r="H438" s="14"/>
    </row>
    <row r="439" spans="1:8" ht="71.25" customHeight="1" x14ac:dyDescent="0.2">
      <c r="A439" s="36"/>
      <c r="B439" s="14"/>
      <c r="C439" s="14"/>
      <c r="D439" s="14"/>
      <c r="E439" s="14"/>
      <c r="F439" s="14"/>
      <c r="G439" s="14"/>
      <c r="H439" s="14"/>
    </row>
    <row r="440" spans="1:8" ht="71.25" customHeight="1" x14ac:dyDescent="0.2">
      <c r="A440" s="36"/>
      <c r="B440" s="14"/>
      <c r="C440" s="14"/>
      <c r="D440" s="14"/>
      <c r="E440" s="14"/>
      <c r="F440" s="14"/>
      <c r="G440" s="14"/>
      <c r="H440" s="14"/>
    </row>
    <row r="441" spans="1:8" ht="71.25" customHeight="1" x14ac:dyDescent="0.2">
      <c r="A441" s="36"/>
      <c r="B441" s="14"/>
      <c r="C441" s="14"/>
      <c r="D441" s="14"/>
      <c r="E441" s="14"/>
      <c r="F441" s="14"/>
      <c r="G441" s="14"/>
      <c r="H441" s="14"/>
    </row>
    <row r="442" spans="1:8" ht="71.25" customHeight="1" x14ac:dyDescent="0.2">
      <c r="A442" s="36"/>
      <c r="B442" s="14"/>
      <c r="C442" s="14"/>
      <c r="D442" s="14"/>
      <c r="E442" s="14"/>
      <c r="F442" s="14"/>
      <c r="G442" s="14"/>
      <c r="H442" s="14"/>
    </row>
    <row r="443" spans="1:8" ht="71.25" customHeight="1" x14ac:dyDescent="0.2">
      <c r="A443" s="36"/>
      <c r="B443" s="14"/>
      <c r="C443" s="14"/>
      <c r="D443" s="14"/>
      <c r="E443" s="14"/>
      <c r="F443" s="14"/>
      <c r="G443" s="14"/>
      <c r="H443" s="14"/>
    </row>
    <row r="444" spans="1:8" ht="71.25" customHeight="1" x14ac:dyDescent="0.2">
      <c r="A444" s="36"/>
      <c r="B444" s="14"/>
      <c r="C444" s="14"/>
      <c r="D444" s="14"/>
      <c r="E444" s="14"/>
      <c r="F444" s="14"/>
      <c r="G444" s="14"/>
      <c r="H444" s="14"/>
    </row>
    <row r="445" spans="1:8" ht="71.25" customHeight="1" x14ac:dyDescent="0.2">
      <c r="A445" s="36"/>
      <c r="B445" s="14"/>
      <c r="C445" s="14"/>
      <c r="D445" s="14"/>
      <c r="E445" s="14"/>
      <c r="F445" s="14"/>
      <c r="G445" s="14"/>
      <c r="H445" s="14"/>
    </row>
    <row r="446" spans="1:8" ht="71.25" customHeight="1" x14ac:dyDescent="0.2">
      <c r="A446" s="36"/>
      <c r="B446" s="14"/>
      <c r="C446" s="14"/>
      <c r="D446" s="14"/>
      <c r="E446" s="14"/>
      <c r="F446" s="14"/>
      <c r="G446" s="14"/>
      <c r="H446" s="14"/>
    </row>
    <row r="447" spans="1:8" ht="71.25" customHeight="1" x14ac:dyDescent="0.2">
      <c r="A447" s="36"/>
      <c r="B447" s="14"/>
      <c r="C447" s="14"/>
      <c r="D447" s="14"/>
      <c r="E447" s="14"/>
      <c r="F447" s="14"/>
      <c r="G447" s="14"/>
      <c r="H447" s="14"/>
    </row>
    <row r="448" spans="1:8" ht="71.25" customHeight="1" x14ac:dyDescent="0.2">
      <c r="A448" s="36"/>
      <c r="B448" s="14"/>
      <c r="C448" s="14"/>
      <c r="D448" s="14"/>
      <c r="E448" s="14"/>
      <c r="F448" s="14"/>
      <c r="G448" s="14"/>
      <c r="H448" s="14"/>
    </row>
    <row r="449" spans="1:8" ht="71.25" customHeight="1" x14ac:dyDescent="0.2">
      <c r="A449" s="36"/>
      <c r="B449" s="14"/>
      <c r="C449" s="14"/>
      <c r="D449" s="14"/>
      <c r="E449" s="14"/>
      <c r="F449" s="14"/>
      <c r="G449" s="14"/>
      <c r="H449" s="14"/>
    </row>
    <row r="450" spans="1:8" ht="71.25" customHeight="1" x14ac:dyDescent="0.2">
      <c r="A450" s="36"/>
      <c r="B450" s="14"/>
      <c r="C450" s="14"/>
      <c r="D450" s="14"/>
      <c r="E450" s="14"/>
      <c r="F450" s="14"/>
      <c r="G450" s="14"/>
      <c r="H450" s="14"/>
    </row>
    <row r="451" spans="1:8" ht="71.25" customHeight="1" x14ac:dyDescent="0.2">
      <c r="A451" s="36"/>
      <c r="B451" s="14"/>
      <c r="C451" s="14"/>
      <c r="D451" s="14"/>
      <c r="E451" s="14"/>
      <c r="F451" s="14"/>
      <c r="G451" s="14"/>
      <c r="H451" s="14"/>
    </row>
    <row r="452" spans="1:8" ht="71.25" customHeight="1" x14ac:dyDescent="0.2">
      <c r="A452" s="36"/>
      <c r="B452" s="14"/>
      <c r="C452" s="14"/>
      <c r="D452" s="14"/>
      <c r="E452" s="14"/>
      <c r="F452" s="14"/>
      <c r="G452" s="14"/>
      <c r="H452" s="14"/>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Total Survey Counts</vt:lpstr>
      <vt:lpstr>Indiv Flock GPS &amp; bands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Brush, Janell</cp:lastModifiedBy>
  <dcterms:modified xsi:type="dcterms:W3CDTF">2022-05-31T16:42:32Z</dcterms:modified>
</cp:coreProperties>
</file>