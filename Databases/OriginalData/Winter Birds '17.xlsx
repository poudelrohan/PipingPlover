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FIRST" sheetId="1" r:id="rId3"/>
    <sheet state="visible" name="DATA SHEET 1" sheetId="2" r:id="rId4"/>
    <sheet state="visible" name="DATA SHEET 2" sheetId="3" r:id="rId5"/>
    <sheet state="visible" name="DATA SHEET 3" sheetId="4" r:id="rId6"/>
  </sheets>
  <definedNames/>
  <calcPr/>
</workbook>
</file>

<file path=xl/sharedStrings.xml><?xml version="1.0" encoding="utf-8"?>
<sst xmlns="http://schemas.openxmlformats.org/spreadsheetml/2006/main" count="11623" uniqueCount="2916">
  <si>
    <r>
      <t xml:space="preserve">INSTRUCTIONS: On this tab, please report a GPS location for each group of 50 or more birds, banded birds, and focal species (Snowy Plover SNPL, Piping Plover PIPL, Wilson's Plover WIPL, Red Knot REKN, and American Oystercatcher AMOY). Please read column headings carefully. 
Put your totals for the entire survey route on the "DATA SHEET 2" tab and details about banded birds on "DATA SHEET 3."  </t>
    </r>
    <r>
      <rPr>
        <b/>
      </rPr>
      <t>PLEASE PUT DATA AT THE END OF THE SHEET - DO NOT INSERT ROWS</t>
    </r>
  </si>
  <si>
    <t>Date</t>
  </si>
  <si>
    <t>Observer(s)</t>
  </si>
  <si>
    <t>Lead Observer's phone &amp; email</t>
  </si>
  <si>
    <t>Route Name/ Description</t>
  </si>
  <si>
    <t>County</t>
  </si>
  <si>
    <t>Route Start (Latitude)</t>
  </si>
  <si>
    <t>Route Start (Longitude)</t>
  </si>
  <si>
    <t>Route End (Latitude)</t>
  </si>
  <si>
    <t>Route End (Longitude)</t>
  </si>
  <si>
    <t>Route Start &amp; End Times</t>
  </si>
  <si>
    <t>1. Before you begin entering data, you must read the protocol  at:</t>
  </si>
  <si>
    <t>Weather Condition</t>
  </si>
  <si>
    <t>Group or Point #</t>
  </si>
  <si>
    <t>Group/Point Latitude</t>
  </si>
  <si>
    <t>Group/Point Longitude</t>
  </si>
  <si>
    <t>Species and number of individuals</t>
  </si>
  <si>
    <t>Comments</t>
  </si>
  <si>
    <t>John Hood</t>
  </si>
  <si>
    <t>http://flshorebirdalliance.org/media/53677/2017_Winter_Shorebird_Survey.pdf</t>
  </si>
  <si>
    <t>"</t>
  </si>
  <si>
    <t>LAGU 6 RIGU 9, SAND 10, ROTE 32, FOTE 94, SATE 2</t>
  </si>
  <si>
    <t>Barbara Eells</t>
  </si>
  <si>
    <t>(850)-647-8238  pelican@fairpoint.net</t>
  </si>
  <si>
    <t>Bonfire Beach</t>
  </si>
  <si>
    <t>Bay</t>
  </si>
  <si>
    <t>9:15AM-10:30AMEST</t>
  </si>
  <si>
    <t>Clear,sunny,low tide</t>
  </si>
  <si>
    <t>American Oystercatcher</t>
  </si>
  <si>
    <t>SNPL -1</t>
  </si>
  <si>
    <t>American Avocet</t>
  </si>
  <si>
    <t>banded f</t>
  </si>
  <si>
    <t>Black-bellied Plover</t>
  </si>
  <si>
    <t>Dunlin</t>
  </si>
  <si>
    <t>Greater Yellowlegs</t>
  </si>
  <si>
    <t>Killdeer</t>
  </si>
  <si>
    <t>Least Sandpiper</t>
  </si>
  <si>
    <t>Lesser Yellowlegs</t>
  </si>
  <si>
    <t>(850)-647-8238 pelican@fairpoint.net</t>
  </si>
  <si>
    <t>Long-billed Curlew</t>
  </si>
  <si>
    <t>Long-billed Dowitcher</t>
  </si>
  <si>
    <t>Marbled Godwit</t>
  </si>
  <si>
    <t>Piping Plover</t>
  </si>
  <si>
    <t>Red Knot</t>
  </si>
  <si>
    <t>Ruddy Turnstone</t>
  </si>
  <si>
    <t>9:15AM-10:30AMES</t>
  </si>
  <si>
    <t>Sanderling</t>
  </si>
  <si>
    <t>Semi-palmated Plover</t>
  </si>
  <si>
    <t>clear, sunny, low tide</t>
  </si>
  <si>
    <t>Semi-palmated Sandpiper</t>
  </si>
  <si>
    <t>Short-billed Dowitcher</t>
  </si>
  <si>
    <t>Snowy Plover</t>
  </si>
  <si>
    <t>Spotted Sandpiper</t>
  </si>
  <si>
    <t>SNPL-1</t>
  </si>
  <si>
    <t>banded m</t>
  </si>
  <si>
    <t>Western Sandpiper</t>
  </si>
  <si>
    <t>2. Click on the ʺtabsʺ shown on the bottom of the screen:</t>
  </si>
  <si>
    <t>Whimbrel</t>
  </si>
  <si>
    <t>Willet</t>
  </si>
  <si>
    <t>Wilson's Plover</t>
  </si>
  <si>
    <t>Wilson's Snipe</t>
  </si>
  <si>
    <t>Black Skimmer</t>
  </si>
  <si>
    <t>Bonaparte's Gull</t>
  </si>
  <si>
    <t>Brown Booby</t>
  </si>
  <si>
    <t>Brown Pelican</t>
  </si>
  <si>
    <t>Caspian Tern</t>
  </si>
  <si>
    <t>850-647-8238 pelican@fairpoint.net</t>
  </si>
  <si>
    <t>Common Tern</t>
  </si>
  <si>
    <t>Mexico Beach</t>
  </si>
  <si>
    <t>Double-crested Cormorant</t>
  </si>
  <si>
    <t>Forster's Tern</t>
  </si>
  <si>
    <t>Franklin's Gull</t>
  </si>
  <si>
    <t>Glaucous Gull</t>
  </si>
  <si>
    <t>Great Black-backed Gull</t>
  </si>
  <si>
    <t>8:15AM-9:10AMEST</t>
  </si>
  <si>
    <t>Herring Gull</t>
  </si>
  <si>
    <t>Laughing Gull</t>
  </si>
  <si>
    <t>clear sunny low tide</t>
  </si>
  <si>
    <t>Lesser Black-backed Gull</t>
  </si>
  <si>
    <t>Ring-billed Gull</t>
  </si>
  <si>
    <t>RBGU-12,LAGU-45,HEGU-2,FRGU-4,SAND-2</t>
  </si>
  <si>
    <t>    - Click on the "DATA SHEET 1" tab to report GPS locations for your route start and stop and GPS locations for flocks, focal species, and banded birds.</t>
  </si>
  <si>
    <t>no bds observed</t>
  </si>
  <si>
    <t>clearsunnylow tide</t>
  </si>
  <si>
    <t>FOTE-22,RBGU-7,LAGU-23,HEGU-2,ROYT-3</t>
  </si>
  <si>
    <t>Marvin Friel, Bonnie Samuelsen, Chris Lipps</t>
  </si>
  <si>
    <t>9419517704 bsamuelsen@audubon.org</t>
  </si>
  <si>
    <t>Crooked Island West</t>
  </si>
  <si>
    <t>11:37AM-4:31PM</t>
  </si>
  <si>
    <t>SNPL-1, WILL-1</t>
  </si>
  <si>
    <t>SNPL banded</t>
  </si>
  <si>
    <t>Royal Tern</t>
  </si>
  <si>
    <t>Sandwich Tern</t>
  </si>
  <si>
    <t>Vega Gull</t>
  </si>
  <si>
    <t>White Pelican</t>
  </si>
  <si>
    <t>Dowitcher sp (unknown)</t>
  </si>
  <si>
    <t>Sandpiper sp (unknown)</t>
  </si>
  <si>
    <t>Yellowlegs sp. (unknown)</t>
  </si>
  <si>
    <t>Gull sp. (unknown)</t>
  </si>
  <si>
    <t>GRAND TOTAL</t>
  </si>
  <si>
    <t>SNPL-2</t>
  </si>
  <si>
    <t>Comments on survey (tide, etc.). (FYI: We are not collecting data on other species.  Feel free to enter your data into eBird)</t>
  </si>
  <si>
    <t>2 SNPLs banded</t>
  </si>
  <si>
    <t>    - Click on the "DATA SHEET 2" tab to enter species totals.</t>
  </si>
  <si>
    <t>PIPL-2</t>
  </si>
  <si>
    <t>2 banded PIPLs</t>
  </si>
  <si>
    <t>    - Click on the "DATA SHEET 3" tab to report information on banded birds.</t>
  </si>
  <si>
    <t>SNPL-2, RBGU-2, SAND-2</t>
  </si>
  <si>
    <t>2 banded SNPLs</t>
  </si>
  <si>
    <t>:</t>
  </si>
  <si>
    <t>Marvin Friel</t>
  </si>
  <si>
    <t>* If more than one person is entering data at the same time, move down a few rows and enter your data. You can tell if someone else is entering data if other viewers are listed on the top right of the screen.</t>
  </si>
  <si>
    <t>352-214-3263, mfriel@audubon.org</t>
  </si>
  <si>
    <t>St. Andrews State Park-main</t>
  </si>
  <si>
    <t>4. That's it! Google will automatically save what you type.</t>
  </si>
  <si>
    <t>SNPL-4</t>
  </si>
  <si>
    <t>4 banded SNPLs</t>
  </si>
  <si>
    <t>SNPL-2, SAND-4</t>
  </si>
  <si>
    <t>1011 to 1051</t>
  </si>
  <si>
    <t>Sunny, 10%cc, 55 deg,8-12, mod surf, no precip, tide high rising</t>
  </si>
  <si>
    <t>RBGU-42, BBPL-4, DUNL-4, WIPL-1, SNPL-2, FOTE-2, SAND-21</t>
  </si>
  <si>
    <t>QUESTIONS OR PROBLEMS? Please email billy_brooks@fws.gov.</t>
  </si>
  <si>
    <t>Banded WIPL and 2 banded SNPLs</t>
  </si>
  <si>
    <t>HOGR-37, BOGU-14, BUFF-2, ,RRBME-2</t>
  </si>
  <si>
    <t>BRPE-1, BBPL-2, RBGU-1, DUNL-9, SAND-7, HOGR-26, BOGU-15, BUFF-2</t>
  </si>
  <si>
    <t>1 banded SNPL</t>
  </si>
  <si>
    <t>Not banded</t>
  </si>
  <si>
    <t>(850) 647-8238 pelican@fairpoint.net</t>
  </si>
  <si>
    <t>SNPL-3, RBGU-2, SAND-1</t>
  </si>
  <si>
    <t>3 banded SNPLs</t>
  </si>
  <si>
    <t>not banded</t>
  </si>
  <si>
    <t>9:15AM-10:30AM</t>
  </si>
  <si>
    <t>clear, sunny low 64</t>
  </si>
  <si>
    <t>SNPL-3, SAND-1</t>
  </si>
  <si>
    <t>SNPL-3, SAND-6</t>
  </si>
  <si>
    <t>SNPL-4, DCCO-2, BRPE-4, HERG-2, FOTE-2, RBGU-2, DUNL-4, BUFF-1, BOGU-37, RBME-11, SAND-30, BBPL-1, WILL-1</t>
  </si>
  <si>
    <t>8:15AM-9:15AMEST</t>
  </si>
  <si>
    <t>clear sunny low 64</t>
  </si>
  <si>
    <t>Banded</t>
  </si>
  <si>
    <t>Paula Muellner Jennifer Manis</t>
  </si>
  <si>
    <t>541-410-4493 pmuellner@audubon.org</t>
  </si>
  <si>
    <t>Shell Island</t>
  </si>
  <si>
    <t>8:57 AM to 11:36AM</t>
  </si>
  <si>
    <t>Clouds 5%, Surf Calm, No precipitation, Temp 58. Wind 4 to 7</t>
  </si>
  <si>
    <t>SNPL -2</t>
  </si>
  <si>
    <t>All Banded</t>
  </si>
  <si>
    <t>SNPL - 3</t>
  </si>
  <si>
    <t>5414104493 pmuellner@audubon.org</t>
  </si>
  <si>
    <t>SNPL - 2</t>
  </si>
  <si>
    <t>8:57 AM to 11:56AM</t>
  </si>
  <si>
    <t xml:space="preserve">Clouds 5%, Surf Calm, No precipitation, Temp 65. Wind 4 to 7. High tide rising. </t>
  </si>
  <si>
    <t>SNPL- 3</t>
  </si>
  <si>
    <t>SNPL - 1</t>
  </si>
  <si>
    <t xml:space="preserve">People 8, Coyote tracks 2, Armadillo tracks 1, racoon tracks 1, Dog tracks 2, Boats 3, Raptors observed in the area. </t>
  </si>
  <si>
    <t>Unbanded female</t>
  </si>
  <si>
    <t>SNPL -3</t>
  </si>
  <si>
    <t>2 Banded, one unbanded female</t>
  </si>
  <si>
    <t>INSTRUCTIONS: On this tab, please report Band Resight information. Group/Point # should correspond with number on "DATA SHEET 1."</t>
  </si>
  <si>
    <t>Tyndall Shell</t>
  </si>
  <si>
    <t>11:36AM to 3:13M</t>
  </si>
  <si>
    <t>Clouds 5%, Surf Calm, No precipitation, Temp 65. Wind 4 to 7, High tide rising</t>
  </si>
  <si>
    <t xml:space="preserve">One banded, one unbanded male. </t>
  </si>
  <si>
    <t>People - 9, Coyote track -2, Armadillo track 2, Boat 1, Raptors observed in the area.</t>
  </si>
  <si>
    <t>Clouds 5%, Surf Calm, No precipitation, Temp 65. Wind 4 to 7</t>
  </si>
  <si>
    <t xml:space="preserve">One banded, one unbanded male with an old injury on foot. </t>
  </si>
  <si>
    <t>Kimberly Middlebrooks</t>
  </si>
  <si>
    <t>850-819-8854 Kimberly.Middlebrooks@MyFWC.com</t>
  </si>
  <si>
    <t>Wild Goose Lagoon</t>
  </si>
  <si>
    <t>All banded</t>
  </si>
  <si>
    <t>0854 to 1020</t>
  </si>
  <si>
    <t>tide mid, rising; 20% clouds 5-10 mph; calm</t>
  </si>
  <si>
    <t>PIPL, 1, WIPL - 2, SEPL - 1, SAND - 4, BBPL - 3, WILL - 1</t>
  </si>
  <si>
    <t xml:space="preserve">PIPL banded, WIPL's undbanded male and female. </t>
  </si>
  <si>
    <t>SNPL - 1, BBPL -1, SAND - 1, LAGU -2, RBGU - 2</t>
  </si>
  <si>
    <t>Redfish Pt.</t>
  </si>
  <si>
    <t>SNPL unbanded</t>
  </si>
  <si>
    <t>1455 to 1550</t>
  </si>
  <si>
    <t>tide high, rising; 75% clouds 5-10 mph; moderate</t>
  </si>
  <si>
    <t>PIPL - 1, WILL - 2, SAND - 1</t>
  </si>
  <si>
    <t xml:space="preserve">PIPL banded </t>
  </si>
  <si>
    <t>Species</t>
  </si>
  <si>
    <t>Band/Flag Code</t>
  </si>
  <si>
    <t>Band/Flag Color</t>
  </si>
  <si>
    <t>Code Orientation</t>
  </si>
  <si>
    <t>Upper Left</t>
  </si>
  <si>
    <t>Lower Left</t>
  </si>
  <si>
    <t>Upper Right</t>
  </si>
  <si>
    <t>Lower Right</t>
  </si>
  <si>
    <t>Confirmed</t>
  </si>
  <si>
    <t>SNPL - 2, WIPL - 3, SAND -1, DUNL -27</t>
  </si>
  <si>
    <t>SNPL and WIPL banded</t>
  </si>
  <si>
    <t>SNPL - 1, PIPL -1</t>
  </si>
  <si>
    <t>SNPL banded, PIPL banded</t>
  </si>
  <si>
    <t>Dan Larremore, Rodney Vuurens</t>
  </si>
  <si>
    <t>Kevin Christman, Michael Maples</t>
  </si>
  <si>
    <t>727-657-9739 Kevin.Christman@MyFWC.com</t>
  </si>
  <si>
    <t>Crooked Island East</t>
  </si>
  <si>
    <t>727 469-4205 daniel.larremore@dep.state.fl.us</t>
  </si>
  <si>
    <t>Anclote Key north route</t>
  </si>
  <si>
    <t>Pasco</t>
  </si>
  <si>
    <t>PIPL</t>
  </si>
  <si>
    <t>10:12-15:00</t>
  </si>
  <si>
    <t>L9U</t>
  </si>
  <si>
    <t>5% cloud cover, surf calm, wind 8-12mph, mid tide rising (at 0.4ft H0.7ft L0.0ft)</t>
  </si>
  <si>
    <t>green flag</t>
  </si>
  <si>
    <t>x</t>
  </si>
  <si>
    <t>orange band</t>
  </si>
  <si>
    <t>SNPL - 1, SAND - 1</t>
  </si>
  <si>
    <t xml:space="preserve">SNPL banded </t>
  </si>
  <si>
    <t>yes</t>
  </si>
  <si>
    <t>photo available from daniel.larremore@dep.state.fl.us</t>
  </si>
  <si>
    <t>orange flag</t>
  </si>
  <si>
    <t>split band- white over orange/yellow</t>
  </si>
  <si>
    <t>metal band</t>
  </si>
  <si>
    <t xml:space="preserve">yellow </t>
  </si>
  <si>
    <t>DUNL - 39, BBPL - 5, SAND - 4</t>
  </si>
  <si>
    <t>People 49, boats 4, educated 4, predators: dog tracks 1, coyote 1</t>
  </si>
  <si>
    <t>SNPL</t>
  </si>
  <si>
    <t>Camp Helen State Park</t>
  </si>
  <si>
    <t>-</t>
  </si>
  <si>
    <t>KL</t>
  </si>
  <si>
    <t>S</t>
  </si>
  <si>
    <t>R</t>
  </si>
  <si>
    <t>SNPL - 4, PIPL 1, WHIM - 1, SAND - 3, BBPL - 1, WILL - 1</t>
  </si>
  <si>
    <t>Y</t>
  </si>
  <si>
    <t>female feeding</t>
  </si>
  <si>
    <t xml:space="preserve">SNPL - all banded, PIPL unbanded. </t>
  </si>
  <si>
    <t>1223 to 1257</t>
  </si>
  <si>
    <t>Sunny, 10%cc, 55 deg,4-7, calm surf, no precip, tide high rising</t>
  </si>
  <si>
    <t>StJoseph Pen RestProject</t>
  </si>
  <si>
    <t>Gulf</t>
  </si>
  <si>
    <t xml:space="preserve">RBGU - 46, ROYT - 4, FOTE - 10, HERG - 1, </t>
  </si>
  <si>
    <t xml:space="preserve">Resting on GS. </t>
  </si>
  <si>
    <t>OG</t>
  </si>
  <si>
    <t>male resting</t>
  </si>
  <si>
    <t>St Joseph Pen RestProject</t>
  </si>
  <si>
    <t>B</t>
  </si>
  <si>
    <t>SNPL 4, SAND 1, WILL 1</t>
  </si>
  <si>
    <t>OW</t>
  </si>
  <si>
    <t>10:26, gulf shore, mid tide, sparse wrack, feeding, 3 SNPL banded</t>
  </si>
  <si>
    <t>female resting</t>
  </si>
  <si>
    <t>Beth Forys</t>
  </si>
  <si>
    <t>727-864-7880, forysea@eckerd.edu</t>
  </si>
  <si>
    <t>Gandy</t>
  </si>
  <si>
    <t>Pinellas</t>
  </si>
  <si>
    <t>BLSK</t>
  </si>
  <si>
    <t>A39</t>
  </si>
  <si>
    <t>y</t>
  </si>
  <si>
    <t>SNPL 1</t>
  </si>
  <si>
    <t>10:42, gulf shore, mid tide, sparse wrack, 1 SNPL banded</t>
  </si>
  <si>
    <t>541-410-4493 PMuellner@audubon.org</t>
  </si>
  <si>
    <t xml:space="preserve">Shell Island </t>
  </si>
  <si>
    <t>GG</t>
  </si>
  <si>
    <t>SNPL 7, SAND 9, FOTE 18, ROYT 7, RBGU 16, HERG 1</t>
  </si>
  <si>
    <t>male resting with female</t>
  </si>
  <si>
    <t>10:53, ephemeral pool, mid, sparse, resting, 7 SNPL banded</t>
  </si>
  <si>
    <t>K</t>
  </si>
  <si>
    <t>Kevin Christman, Jennifer Manis</t>
  </si>
  <si>
    <t>OK</t>
  </si>
  <si>
    <t>West Bay - Marifarms</t>
  </si>
  <si>
    <t>Female resting with male</t>
  </si>
  <si>
    <t>SNPL 2</t>
  </si>
  <si>
    <t>11:25, gulf shore, mid, sparse, feeding, 2 SNPL banded</t>
  </si>
  <si>
    <t>08:45-13:44</t>
  </si>
  <si>
    <t>5% CC, wind 8-12mph, surf calm, Tide Low rising (at 0.2ft L-0.2ft H0.9ft), no precipitation</t>
  </si>
  <si>
    <t>Caity Reiland-Smith, Ezra Thompson</t>
  </si>
  <si>
    <t>605-553-1804</t>
  </si>
  <si>
    <t>L-Bar</t>
  </si>
  <si>
    <t>Franklin</t>
  </si>
  <si>
    <t>AMOY</t>
  </si>
  <si>
    <t>Red</t>
  </si>
  <si>
    <t>Vertical</t>
  </si>
  <si>
    <t>People: 10, boats 4, predators: PEFA 2, BAEA 2, COHA 1, NOHA 2, RTHA 1, raccoon 1; route starts and stops at same location, end point put in is southern end of survey route. No focal species seen on this day.</t>
  </si>
  <si>
    <t>SNPL 1, SAND 1</t>
  </si>
  <si>
    <t>11:37, gulf shore, mid, sparse, feeding, 1 SNPL banded</t>
  </si>
  <si>
    <t>S(G)</t>
  </si>
  <si>
    <t>W</t>
  </si>
  <si>
    <t>SNPL 2, SAND 2, WILL 1</t>
  </si>
  <si>
    <t>11:46, gulf shore, mid, sparse, feeding, 2 SNPL banded</t>
  </si>
  <si>
    <t>BY</t>
  </si>
  <si>
    <t>Buck Beach</t>
  </si>
  <si>
    <t xml:space="preserve">Bay
</t>
  </si>
  <si>
    <t xml:space="preserve">SNPL 2, SAND 2 </t>
  </si>
  <si>
    <t>1056 to 1415</t>
  </si>
  <si>
    <t>11:59, gulf shore, mid, sparse, resting, 2 SNPL banded</t>
  </si>
  <si>
    <t>tide mid, rising; 30% clouds 5-10 mph; calm</t>
  </si>
  <si>
    <t>WIPL 2, SNPL 2, SAND 2</t>
  </si>
  <si>
    <t>12:40, gulf shore, mid, sparse, resting, 2 WIPL banded, 1 SNPL banded</t>
  </si>
  <si>
    <t xml:space="preserve">Paula Muellner </t>
  </si>
  <si>
    <t>Grayton Beach State Park</t>
  </si>
  <si>
    <t>Walton</t>
  </si>
  <si>
    <t>KW</t>
  </si>
  <si>
    <t>S(K/W)</t>
  </si>
  <si>
    <t>SNPL 2, HERG 1, BOGU 1, SAND 7, DUNL 13, BBPL 2</t>
  </si>
  <si>
    <t>12:45, bay shore, mid, sparse, feeding/resting, 1 SNPL banded</t>
  </si>
  <si>
    <t xml:space="preserve">S  </t>
  </si>
  <si>
    <t>GB</t>
  </si>
  <si>
    <t>SNPL 3, BBPL 3, SAND 4, DUNL 2, FOTE 2</t>
  </si>
  <si>
    <t>12:58. bay shore, mid, sparse, feeding/resting, 1 SNPL banded</t>
  </si>
  <si>
    <t>RK</t>
  </si>
  <si>
    <t>Doug S., Dayma W., Sandee D., Steve D.,</t>
  </si>
  <si>
    <t>302-249-4053 djaygator12@yahoo.com</t>
  </si>
  <si>
    <t>ACNWRRT3b</t>
  </si>
  <si>
    <t>Brevard</t>
  </si>
  <si>
    <t>N27.54.095</t>
  </si>
  <si>
    <t>Brail Stephens</t>
  </si>
  <si>
    <t>W080.28.201</t>
  </si>
  <si>
    <t>N27.51.744</t>
  </si>
  <si>
    <t>W080.26.849</t>
  </si>
  <si>
    <t>850-520-0063 brail.stephens.1.ctr@us.af.mil</t>
  </si>
  <si>
    <t>0813-1028</t>
  </si>
  <si>
    <t>Eglin Public</t>
  </si>
  <si>
    <t>Okaloosa</t>
  </si>
  <si>
    <t>65 degrees, sunny and clam to light NE wind</t>
  </si>
  <si>
    <t>13:45, gulf shore, mid, sparse, resting, 1 SNPL banded</t>
  </si>
  <si>
    <t>G</t>
  </si>
  <si>
    <t>Caity Reiland-Smith</t>
  </si>
  <si>
    <t>605-553-1804, creilandsmith@audubon.org</t>
  </si>
  <si>
    <t>St. Joseph Peninsula State Park</t>
  </si>
  <si>
    <t>Male</t>
  </si>
  <si>
    <t>SNPL 2, WIPL 2, SAND 1</t>
  </si>
  <si>
    <t>13:52, gulf shore, mid, sparse, resting, 1 WIPL banded, 2 SNPL banded</t>
  </si>
  <si>
    <t>BB</t>
  </si>
  <si>
    <t>No banded birds seen.</t>
  </si>
  <si>
    <t>Female</t>
  </si>
  <si>
    <t>SNPL 2, DUNL 1, SAND 1, WILL 2, BOGU 13, RBGU 9, HERG 12, DCCO 7, BRPE 6, RUTU 2, BBPL 2</t>
  </si>
  <si>
    <t>14:07, inlet spit, mid, sparse, resting/feeding, 2 SNPL banded</t>
  </si>
  <si>
    <t>YR</t>
  </si>
  <si>
    <t>mfriel@audubon.org, marvin.friel@dep.state.fl.us</t>
  </si>
  <si>
    <t>St. Andrews State Park-Main</t>
  </si>
  <si>
    <t>YG</t>
  </si>
  <si>
    <t>Sunny, 10%cc, 55 deg,8-12, mod surf, no precip</t>
  </si>
  <si>
    <t>Richard Brust</t>
  </si>
  <si>
    <t>772-913-2900 richard.brust.ctr@us.af.mil</t>
  </si>
  <si>
    <t>BOGU 115</t>
  </si>
  <si>
    <t>Patrick AFB</t>
  </si>
  <si>
    <t>0845-0935</t>
  </si>
  <si>
    <t>64F, clear, winds N6</t>
  </si>
  <si>
    <t>GR</t>
  </si>
  <si>
    <t>DCCO 18, ROYT 26, RBME 2, LAGU 12, FOTE 16, BOGU 1</t>
  </si>
  <si>
    <t>Paula Muellner</t>
  </si>
  <si>
    <t>541-410-4493 PMuellner@Audubon.org</t>
  </si>
  <si>
    <t>Deer Lake State Park</t>
  </si>
  <si>
    <t>Sunny, 10%cc, 55 deg,4-7, calm surf, no precip</t>
  </si>
  <si>
    <t>RBGU 1, SNPL 2, SAND 1</t>
  </si>
  <si>
    <t>low tide 0936</t>
  </si>
  <si>
    <t>2 banded</t>
  </si>
  <si>
    <t>Angy Chambers, Martha Carson, Rachel Mandel</t>
  </si>
  <si>
    <t>KR</t>
  </si>
  <si>
    <t>321-853-6822 angy.chambers@us.af.mil</t>
  </si>
  <si>
    <t>Cape Canaveral AFS</t>
  </si>
  <si>
    <t>Red band is faded</t>
  </si>
  <si>
    <t>0810-0945</t>
  </si>
  <si>
    <t>Sunny, 10%cc, 55 deg,4-7, calm surf, no precip</t>
  </si>
  <si>
    <t>63F, clear, winds N7</t>
  </si>
  <si>
    <t>Stu Wilson     Cathy Paris</t>
  </si>
  <si>
    <t>941-554-8805     stuwilson@comcast.net</t>
  </si>
  <si>
    <t>Longboat Key- North</t>
  </si>
  <si>
    <t>SNPL 2, SAND 1</t>
  </si>
  <si>
    <t>Manatee</t>
  </si>
  <si>
    <t>-/B</t>
  </si>
  <si>
    <t>W/R</t>
  </si>
  <si>
    <t xml:space="preserve">Caity Reiland-Smith </t>
  </si>
  <si>
    <t>605-553-1804 creilandsmith@audubon.org</t>
  </si>
  <si>
    <t>St. George State Park</t>
  </si>
  <si>
    <t>AL</t>
  </si>
  <si>
    <t>Horizontal</t>
  </si>
  <si>
    <t>DUNL 30, SEPL 7, LESA 12, BBPL 5, SBDO 2, WILL 2</t>
  </si>
  <si>
    <t>9:47, bay flat, Low, no wrack, feeding</t>
  </si>
  <si>
    <t>low tide 0937</t>
  </si>
  <si>
    <t>Kat Harris, Lorraine Margeson, Holley Short, Peter Plage, Eric Plage</t>
  </si>
  <si>
    <t>813-417-4235 katheryn.harris@myfwc.com</t>
  </si>
  <si>
    <t>Outback Key</t>
  </si>
  <si>
    <t>A/K</t>
  </si>
  <si>
    <t>Ruthellen Peipert, Catherine Vecchio</t>
  </si>
  <si>
    <t>G/K</t>
  </si>
  <si>
    <t>941-780-2372 repeipert@gmail.com</t>
  </si>
  <si>
    <t>Photo available, only left leg showing but did observe both legs</t>
  </si>
  <si>
    <t>Patrick Shores/Satellite/ Indian Harbour Beaches</t>
  </si>
  <si>
    <t>DUNL 242, GRYE 4, BBPL 5, SBDO 4, WILL 2, LESA 17, TRHE 10, SNEG 1, PEFA 2</t>
  </si>
  <si>
    <t>0700-0930</t>
  </si>
  <si>
    <t>9:56, bay flat, low, feeding, no wrack</t>
  </si>
  <si>
    <t>Clear, 60F,Wind 3mph NNW, low tide 9:40am</t>
  </si>
  <si>
    <t>O (with a red dot)</t>
  </si>
  <si>
    <t>YO (split band)</t>
  </si>
  <si>
    <t>Photo available</t>
  </si>
  <si>
    <t>Rob Holbrook</t>
  </si>
  <si>
    <t>DUNL 51, BBPL 1, RBGU 1, HOME 11</t>
  </si>
  <si>
    <t>10:43, bay flat, low, no wrack, resting</t>
  </si>
  <si>
    <t>251-441-5830 rob_holbrook@fws.gov</t>
  </si>
  <si>
    <t>Navarre Beach Soundside</t>
  </si>
  <si>
    <t>Santa Rosa</t>
  </si>
  <si>
    <t>Yellow</t>
  </si>
  <si>
    <t>Flag</t>
  </si>
  <si>
    <t>RBGU 1, BBPL 20, LESA 59, GRYE 4, DUNL 38, WILL 1, WESA 2</t>
  </si>
  <si>
    <t>11:18, bay flat, mid tide, no wrack, feeding</t>
  </si>
  <si>
    <t>Arend Thibodeau, Vanessa McDonough, Michael Hoffman</t>
  </si>
  <si>
    <t>arend_thibodeau@partner.nps.gov, 786-335-3649</t>
  </si>
  <si>
    <t>Biscayne National Park/ Convoy Point to Elliott Key Harbor, Boca Chita Key, and Elliott Key Oceanside beaches</t>
  </si>
  <si>
    <t>Miami-Dade</t>
  </si>
  <si>
    <t>ROTE</t>
  </si>
  <si>
    <t>Silver</t>
  </si>
  <si>
    <t>N</t>
  </si>
  <si>
    <t>BBPL 22, GRYE 3, DUNL 418, SBDO 4, LESA 48, SEPL 16, WESA 13</t>
  </si>
  <si>
    <t>Neil Folsom Mary Chris Anderson</t>
  </si>
  <si>
    <t>11:37, bay flat, mid, no wrack, feeding</t>
  </si>
  <si>
    <t>386-423-8259 neil.folsom@gmail.com</t>
  </si>
  <si>
    <t>CANA Apollo Playalinda</t>
  </si>
  <si>
    <t>0800 to 1130</t>
  </si>
  <si>
    <t xml:space="preserve">Clear skies, light breeze </t>
  </si>
  <si>
    <t>0845 to 1020</t>
  </si>
  <si>
    <t>BUFF 16; RBME 3</t>
  </si>
  <si>
    <t>850-819-8854 Kimberly Middlebrooks@MyFWC.com</t>
  </si>
  <si>
    <t>Nichole Perna</t>
  </si>
  <si>
    <t>321-723-3556 nichole.perna@brevardfl.gov</t>
  </si>
  <si>
    <t>Archie Carr 1</t>
  </si>
  <si>
    <t xml:space="preserve">Brevard </t>
  </si>
  <si>
    <t xml:space="preserve">BRPE 10; DCCO 3; RBGU 1
</t>
  </si>
  <si>
    <t>28 02'17.81 N</t>
  </si>
  <si>
    <t>80 32'33.58 W</t>
  </si>
  <si>
    <t xml:space="preserve">27 58'59.92 N </t>
  </si>
  <si>
    <t>80 30'57.02</t>
  </si>
  <si>
    <t xml:space="preserve">9 am - 11 am </t>
  </si>
  <si>
    <t>Sunny 80 deg F</t>
  </si>
  <si>
    <t>BRPE</t>
  </si>
  <si>
    <t>Dune renourishment going on, many large trucks on beach birds did not appear to mind</t>
  </si>
  <si>
    <t>GRYE 2; BBPL 1; DUNL 44; SBDO 4; Will 2</t>
  </si>
  <si>
    <t>Carrie Gindl, Lorraine Ketzler</t>
  </si>
  <si>
    <t xml:space="preserve">Mike Lee </t>
  </si>
  <si>
    <t>321-890-2180 mlee48928@gmail.com</t>
  </si>
  <si>
    <t>Archie Carr 2</t>
  </si>
  <si>
    <t>27 56'09.07 N</t>
  </si>
  <si>
    <t>80 29'24.28W</t>
  </si>
  <si>
    <t>9 am -11 am</t>
  </si>
  <si>
    <r>
      <rPr>
        <color rgb="FF1155CC"/>
      </rPr>
      <t>carolyn.gindl.ctr@us.af.mil</t>
    </r>
    <r>
      <t>; (850) 698-3443</t>
    </r>
  </si>
  <si>
    <t>PIPL 5; LESA 8; DUNL 2; BBPL 1</t>
  </si>
  <si>
    <t>Eglin AFB - South Restricted</t>
  </si>
  <si>
    <t xml:space="preserve">PIPL 2 banded
</t>
  </si>
  <si>
    <t>Santa Rosa/Okaloosa</t>
  </si>
  <si>
    <t>O</t>
  </si>
  <si>
    <t>Y/Y</t>
  </si>
  <si>
    <t>carolyn.gindl.ctr@us.af.mil; (850) 698-3443</t>
  </si>
  <si>
    <t>DUNL 28; SNEG 10; GREG 1; WILL 8; BBPL 4</t>
  </si>
  <si>
    <t>Y/O</t>
  </si>
  <si>
    <t>Doug S., Dayma W., Sandee D., Steve D.</t>
  </si>
  <si>
    <t>ACNWR RT 3b</t>
  </si>
  <si>
    <t xml:space="preserve">N27.54.095 </t>
  </si>
  <si>
    <t>R/B</t>
  </si>
  <si>
    <t>65 degrees, sunny and calm to light NE wind</t>
  </si>
  <si>
    <t>ACNWRRT3b3</t>
  </si>
  <si>
    <t>N27.51.803</t>
  </si>
  <si>
    <t>Theresa Alderman Jody Shiff</t>
  </si>
  <si>
    <t>W080.26.890</t>
  </si>
  <si>
    <t>Black skimmer - 70, Royal tern - 50. Ring-billed gull - 1</t>
  </si>
  <si>
    <t>954-805-0321 theresasmail@comcast.net</t>
  </si>
  <si>
    <t>Hillsboro Lighthouse to Deerfield Beach Pier</t>
  </si>
  <si>
    <t>Broward</t>
  </si>
  <si>
    <t>10;15- 12:15</t>
  </si>
  <si>
    <t xml:space="preserve">40% CC, 75-80 F, W 13, Flat sea, Tide receding. </t>
  </si>
  <si>
    <t>W/K</t>
  </si>
  <si>
    <t>ACNWRRT3b2</t>
  </si>
  <si>
    <t>N27.51.840</t>
  </si>
  <si>
    <t>W080.26.908</t>
  </si>
  <si>
    <t>Royal Tern - 70, Black Skimmer - 1, Ring-billed gull - 3, Herring gull - 2, Sandwich tern - 1</t>
  </si>
  <si>
    <t>This group and group 3b3 very close to Sebastian Inlet. Birds flushed by beachgoers.</t>
  </si>
  <si>
    <t>O/G</t>
  </si>
  <si>
    <t>ACNWRRT3b1</t>
  </si>
  <si>
    <t>N27.53.941</t>
  </si>
  <si>
    <t>W080.27.580</t>
  </si>
  <si>
    <t>B/R</t>
  </si>
  <si>
    <t>Sanderling - 50</t>
  </si>
  <si>
    <t>Female. Could not see S band.</t>
  </si>
  <si>
    <t>Rebekah Augustinowicz, Roger Debruler</t>
  </si>
  <si>
    <t>941.830.3822 Rebekah.augustinowicz@charlottecountyfl.gov</t>
  </si>
  <si>
    <t>Gasparilla Island North</t>
  </si>
  <si>
    <t>Charlotte</t>
  </si>
  <si>
    <t xml:space="preserve"> 26°48'38.63"N</t>
  </si>
  <si>
    <t xml:space="preserve"> 82°16'55.88"W</t>
  </si>
  <si>
    <t xml:space="preserve"> 26°47'15.88"N</t>
  </si>
  <si>
    <t xml:space="preserve"> 82°16'16.87"W</t>
  </si>
  <si>
    <t>9:00AM-11:15AM</t>
  </si>
  <si>
    <t>clear, sunny 65F</t>
  </si>
  <si>
    <t>Y/R</t>
  </si>
  <si>
    <t>BRPE-19, ROYT-15, HEGU-7, RBGU-10, LAGU-230, BOGU-5</t>
  </si>
  <si>
    <t>none banded</t>
  </si>
  <si>
    <t>G/R</t>
  </si>
  <si>
    <t>SAND-52, BBPL-7, SEPL-5</t>
  </si>
  <si>
    <t xml:space="preserve">
sighted 3 snowy plovers on beach. No courting/pre-nesting behavior observed. Lots of dogs on beach. Slight red tide presence</t>
  </si>
  <si>
    <t>YB</t>
  </si>
  <si>
    <t>Kevin Edwards</t>
  </si>
  <si>
    <r>
      <t xml:space="preserve">941-416-5322 </t>
    </r>
    <r>
      <rPr>
        <color rgb="FF1155CC"/>
      </rPr>
      <t>kevinthomasedwards@gmail.com</t>
    </r>
  </si>
  <si>
    <t>Knight Is. North</t>
  </si>
  <si>
    <t>16:00-18:00</t>
  </si>
  <si>
    <t>clear</t>
  </si>
  <si>
    <t>BRPE-23, ROYT-12, FOTE-2, RBGU-28, HEGU-2, LAGU-12</t>
  </si>
  <si>
    <t>Topsail Hill State Park</t>
  </si>
  <si>
    <t>Karen Rogers</t>
  </si>
  <si>
    <t>941-882-7191   karen.m.rogers@dep.state.fl.us</t>
  </si>
  <si>
    <t>BRPE-75, ROYT-53, RBGU-82, HEGU-5, LAGU-12, BBPL-7, SAND-11, WILL-2</t>
  </si>
  <si>
    <t>Don Pedro Island State Park</t>
  </si>
  <si>
    <t>KY</t>
  </si>
  <si>
    <t>0900-0930</t>
  </si>
  <si>
    <t>Clear, sunny, 75F, calm seas, Wind S 6 mph, low tide</t>
  </si>
  <si>
    <t>OB</t>
  </si>
  <si>
    <t>WIPL-1</t>
  </si>
  <si>
    <t>John Murphy</t>
  </si>
  <si>
    <t>850-566-3856 john_murphy@fws.gov</t>
  </si>
  <si>
    <t>St Vincent NWR</t>
  </si>
  <si>
    <t>REKN</t>
  </si>
  <si>
    <t>C63</t>
  </si>
  <si>
    <t>light green</t>
  </si>
  <si>
    <t>horizontal</t>
  </si>
  <si>
    <t>GF</t>
  </si>
  <si>
    <t>BRPE-20, HEGU-10, RBGU-30, ROYT-40, LAGU-5</t>
  </si>
  <si>
    <t>352-214-3263 mfriel@audubon.org</t>
  </si>
  <si>
    <t>Horseshoe Island</t>
  </si>
  <si>
    <t>WIPL</t>
  </si>
  <si>
    <t>BG</t>
  </si>
  <si>
    <t>pic taken</t>
  </si>
  <si>
    <t>SAND 20 &amp; RBGU 24</t>
  </si>
  <si>
    <t>Bonnie Samuelsen Pat O'Connell</t>
  </si>
  <si>
    <t>no focal species, banded, or large groups</t>
  </si>
  <si>
    <t>941-951-7704 bsamuelsen@audubon.org</t>
  </si>
  <si>
    <t>St George Island Plantation</t>
  </si>
  <si>
    <t>Brenda Bossman</t>
  </si>
  <si>
    <t>941-270-2961 brendab.consultant@gmail.com</t>
  </si>
  <si>
    <t>Knight Island</t>
  </si>
  <si>
    <t>REKN 1</t>
  </si>
  <si>
    <t>1700 - 1830</t>
  </si>
  <si>
    <t>Sunny, Strong NW Breeze - 66 degrees</t>
  </si>
  <si>
    <t>X</t>
  </si>
  <si>
    <t>no</t>
  </si>
  <si>
    <t>Allison Conboy, Joan Becker, Richard Becker</t>
  </si>
  <si>
    <t>904-251-2811, allison.conboy@dep.state.fl.us</t>
  </si>
  <si>
    <t>Little Talbot Island State Park, North End Sand Spit (aka remnant Big Bird Island)</t>
  </si>
  <si>
    <t>Duval</t>
  </si>
  <si>
    <t>Y/O/Y</t>
  </si>
  <si>
    <t>Bonnie Jenks &amp; Wendy Meehan</t>
  </si>
  <si>
    <t>727-595-9284     sbjenks@hotmail.com</t>
  </si>
  <si>
    <t>Indian Shores</t>
  </si>
  <si>
    <t>only bird observed was an osprey gathering nesting material</t>
  </si>
  <si>
    <t>GeoTracker attached with narrow yellow band</t>
  </si>
  <si>
    <t>Y - photo</t>
  </si>
  <si>
    <t>Could not see other leg</t>
  </si>
  <si>
    <t>WIPLN2</t>
  </si>
  <si>
    <t>GeoTracker attached with orange band</t>
  </si>
  <si>
    <t>AN6</t>
  </si>
  <si>
    <t>Lt Green</t>
  </si>
  <si>
    <t>Royal Tern 80</t>
  </si>
  <si>
    <t>GeoTracker attached with yellow band</t>
  </si>
  <si>
    <t>FLg</t>
  </si>
  <si>
    <t>Mike Lee</t>
  </si>
  <si>
    <t xml:space="preserve">28 02'17.81N </t>
  </si>
  <si>
    <t>??</t>
  </si>
  <si>
    <t>Gwen Ketner, Cherie LaFlamme</t>
  </si>
  <si>
    <t>941-697-8598  cherlaflame@yahoo.com</t>
  </si>
  <si>
    <t>80 29'24.28 W</t>
  </si>
  <si>
    <t>9 am-11 am</t>
  </si>
  <si>
    <t>Sunny 80 degrees F, 50 SSW</t>
  </si>
  <si>
    <t>86 SAND, BBPL-1, RBGU-2</t>
  </si>
  <si>
    <t>7:20am - 8:30am</t>
  </si>
  <si>
    <t>foggy, 70 degrees, wind 1-5mph</t>
  </si>
  <si>
    <t>14 RBGU, 1 HEGU, 1 WILL, 38 ROTU, 12 SAND</t>
  </si>
  <si>
    <t>no bands</t>
  </si>
  <si>
    <t>K13</t>
  </si>
  <si>
    <t>10:15- 12:15</t>
  </si>
  <si>
    <t>40% CC, 75-80 F, Wind 13, Flat sea, Tide High /Receding.</t>
  </si>
  <si>
    <t>ROYT 5, BBPL 46, HERG 6, RBGU 54, LAGU 1, SAND 14</t>
  </si>
  <si>
    <t xml:space="preserve">resting, HERG feeding, Wrackline plentiful in this spot.  Gets raked farther south in front of HIllsboro Beach Club. </t>
  </si>
  <si>
    <t>Christie Barrett</t>
  </si>
  <si>
    <t>305-661-3655 ext 291 cbarrett@coastalsystemsint.com</t>
  </si>
  <si>
    <t>Hillsboro Inlet Bypass Area</t>
  </si>
  <si>
    <t xml:space="preserve">Broward </t>
  </si>
  <si>
    <t>26.15.372</t>
  </si>
  <si>
    <t>80.05.007</t>
  </si>
  <si>
    <t>WB</t>
  </si>
  <si>
    <t>26.15.486</t>
  </si>
  <si>
    <t>80.04.915</t>
  </si>
  <si>
    <t>9:50 - 10:50 am</t>
  </si>
  <si>
    <t>male S//R:WB</t>
  </si>
  <si>
    <t>Sunny, 72 degrees</t>
  </si>
  <si>
    <t>Ring-billed Gulls</t>
  </si>
  <si>
    <t>Rebekah Augustinowicz</t>
  </si>
  <si>
    <t>941.833.3822 rebekah.augustinowicz@charlottecountyfl.gov</t>
  </si>
  <si>
    <t>Stump Pass Beach State Park</t>
  </si>
  <si>
    <t>YY</t>
  </si>
  <si>
    <t xml:space="preserve"> 26°54'39.51"N</t>
  </si>
  <si>
    <t xml:space="preserve"> 82°21'11.94"W</t>
  </si>
  <si>
    <t>S(K/W)//:YY</t>
  </si>
  <si>
    <t xml:space="preserve"> 26°53'57.78"N</t>
  </si>
  <si>
    <t xml:space="preserve"> 82°20'29.58"W</t>
  </si>
  <si>
    <t>8:00AM-9:00AM</t>
  </si>
  <si>
    <t>foggy</t>
  </si>
  <si>
    <t>Royal Terns</t>
  </si>
  <si>
    <t>SR</t>
  </si>
  <si>
    <t>female, KL:SR</t>
  </si>
  <si>
    <t>Ezra Thompson, Matthew Togger</t>
  </si>
  <si>
    <t>320-241-9159 ethompson@audubon.org</t>
  </si>
  <si>
    <t>Eglin - Cape San Blas</t>
  </si>
  <si>
    <t>RW</t>
  </si>
  <si>
    <t>26°48'43.92"N</t>
  </si>
  <si>
    <t xml:space="preserve"> 82°16'55.26"W</t>
  </si>
  <si>
    <t>12 LETE; feeding in pass</t>
  </si>
  <si>
    <t>Very foggy morning. Saw a pair of wilsons feeding at lagoon at pass; a couple with two unleashed dogs were walking on opposite end of lagoon.. </t>
  </si>
  <si>
    <t>none banded; lots of dogs on beach, attempted education</t>
  </si>
  <si>
    <t>Audrey Albrecht, Alfredo Gonzalez</t>
  </si>
  <si>
    <t>239-472-3984x201, aalbrecht@sccf.org</t>
  </si>
  <si>
    <t>Sanibel 3 (The pool at the Sundial resort to Tarpon Bay Rd.)</t>
  </si>
  <si>
    <t>Lee</t>
  </si>
  <si>
    <t>B/B</t>
  </si>
  <si>
    <t xml:space="preserve">Kelly Martin </t>
  </si>
  <si>
    <t xml:space="preserve"> 26°48'9.70"N</t>
  </si>
  <si>
    <t>561-402-9496, kmartin@pbcgov.org</t>
  </si>
  <si>
    <t xml:space="preserve"> 82°16'55.27"W</t>
  </si>
  <si>
    <t>Breakers Resort to Palm Beach Inlet</t>
  </si>
  <si>
    <t>Palm Beach</t>
  </si>
  <si>
    <t>3 SNPL; resting together mid beach</t>
  </si>
  <si>
    <t>ROYT</t>
  </si>
  <si>
    <t>Federal band only</t>
  </si>
  <si>
    <t>941-416-5322 kevinthomasedwards@gmail.com</t>
  </si>
  <si>
    <t>941.833.3822</t>
  </si>
  <si>
    <t>Bird Island</t>
  </si>
  <si>
    <t>Charlotte County</t>
  </si>
  <si>
    <t xml:space="preserve"> 26°47'25.61"N</t>
  </si>
  <si>
    <t xml:space="preserve"> 82°14'48.21"W</t>
  </si>
  <si>
    <t xml:space="preserve"> 26°47'25.76"N</t>
  </si>
  <si>
    <t xml:space="preserve"> 82°14'48.04"W</t>
  </si>
  <si>
    <t>10:45Am-11:00Am</t>
  </si>
  <si>
    <t>Partly Cloudy</t>
  </si>
  <si>
    <t>WIPL 1</t>
  </si>
  <si>
    <t>no focal species or &gt;50 observed</t>
  </si>
  <si>
    <t>Gwen Ketner, Cherie Laflamme</t>
  </si>
  <si>
    <t>941-697-8598 cherlaflame@yahoo.com</t>
  </si>
  <si>
    <t>7:20 am- 8:30 am</t>
  </si>
  <si>
    <t>foggy,70 degrees F, winds 1-5mph</t>
  </si>
  <si>
    <t>4 RUTU, 2 BRPE, 4 LAGU, 1 DCCO, 4 ROTE</t>
  </si>
  <si>
    <t>K. Rohrer, J. Knoy, M. Lundeberg,D. Rohrer</t>
  </si>
  <si>
    <t>941-964-1837 katrohrer@centurylink.net</t>
  </si>
  <si>
    <t>Gasparilla Pass</t>
  </si>
  <si>
    <t>11:45 am - 12:15 p,m</t>
  </si>
  <si>
    <t>Sun, 72F, calm, tide approaching full flood</t>
  </si>
  <si>
    <t>45 BLSK, 4 BRPE, 16 AWPE, 10 ROYT, 2 HEGU</t>
  </si>
  <si>
    <t>No focal species.  No banded birds.  Two large groups ~50 observed by scope..</t>
  </si>
  <si>
    <t>26°53'54.23"N</t>
  </si>
  <si>
    <t xml:space="preserve">82°20'30.35"W </t>
  </si>
  <si>
    <t>WIPL 2</t>
  </si>
  <si>
    <t>pair of WIPL feeding at lagoon. they were staying close and actively calling to each other</t>
  </si>
  <si>
    <t xml:space="preserve"> 26°47'25.49"N</t>
  </si>
  <si>
    <t xml:space="preserve"> 82°14'42.68"W</t>
  </si>
  <si>
    <t>120 White Pelican, 24 Double Crested Cormorant, 3 laughing gull, 2 ring-billed gull, 3 ruddy turnstone, 7 sanderling, 1 brown pelican, 7 royal Tern</t>
  </si>
  <si>
    <t>more white pelicans flew in after we finished the survey. Also observed 14 Great Blue herons with at least 6 nests present; and 1 pair of Reddish egrets acting territorial to a 3rd reddish egret.</t>
  </si>
  <si>
    <t>Karen Rogers and Ryan Kelley</t>
  </si>
  <si>
    <t>Kevin Christman</t>
  </si>
  <si>
    <t>941-882-7191  karen.m.rogers@dep.state.fl.us</t>
  </si>
  <si>
    <t>Bald Point State Park</t>
  </si>
  <si>
    <t>Delnor-Wiggins Pass State Park</t>
  </si>
  <si>
    <t>Collier</t>
  </si>
  <si>
    <t>Yes</t>
  </si>
  <si>
    <t>S//G:YR male?</t>
  </si>
  <si>
    <t xml:space="preserve">1300-1345
</t>
  </si>
  <si>
    <t>Allison Smith</t>
  </si>
  <si>
    <t>Sunny 79F, calm seas, outgoing low tide, NE 1 mph</t>
  </si>
  <si>
    <t>856-296-1403  allison.smith@dep.state.fl.us</t>
  </si>
  <si>
    <t>Clam Pass Park</t>
  </si>
  <si>
    <t>No focal species or groups &gt;50</t>
  </si>
  <si>
    <t>844-76045</t>
  </si>
  <si>
    <t>just a BBL band on the right leg</t>
  </si>
  <si>
    <t>856-296-1403  allison.smith@dep.state.fl.us</t>
  </si>
  <si>
    <t>A33</t>
  </si>
  <si>
    <t>Blue</t>
  </si>
  <si>
    <t>Blue Engraved</t>
  </si>
  <si>
    <t>contacted bander; bird is from Belmar, NJ</t>
  </si>
  <si>
    <t>Beverly Anderson</t>
  </si>
  <si>
    <t>1118-35675</t>
  </si>
  <si>
    <t>Charlie Ewell</t>
  </si>
  <si>
    <t>(239) 774-1194; bjanderson2008@live.com</t>
  </si>
  <si>
    <t>239-691-8562; anhinga42@comcast.net</t>
  </si>
  <si>
    <t>Bunche Beach</t>
  </si>
  <si>
    <t>Light Blue</t>
  </si>
  <si>
    <t>FLb</t>
  </si>
  <si>
    <t>K/Y</t>
  </si>
  <si>
    <t>survey done by boat. Circled island. 120 white pelicans seen and at least 6 Great Blue Heron Nests</t>
  </si>
  <si>
    <t>Y/A</t>
  </si>
  <si>
    <t>Kice Island</t>
  </si>
  <si>
    <t>Green</t>
  </si>
  <si>
    <t>K/O</t>
  </si>
  <si>
    <t>FG</t>
  </si>
  <si>
    <t>W/Y</t>
  </si>
  <si>
    <t>Britta Muiznieks, Maryanne Biggar, John Kipp</t>
  </si>
  <si>
    <t xml:space="preserve">305-304-9587
Britta_Muiznieks@nps.gov
</t>
  </si>
  <si>
    <t>08:46 - 09:50</t>
  </si>
  <si>
    <t>Highland Beach</t>
  </si>
  <si>
    <t>foggy; temp low 70's; light NE wind; tide high/rising.</t>
  </si>
  <si>
    <t>Monroe County</t>
  </si>
  <si>
    <t>YX6</t>
  </si>
  <si>
    <t>WILL 269, DUNL 405, BBPL 42, SBDO 293, MAGO 23, RUTU 9 SAND 100, ROYT 36, WESA 106, RBGU 1</t>
  </si>
  <si>
    <t>Gulf beach; resting</t>
  </si>
  <si>
    <t>Had to see both sides of flag to get full band combination-flag partially covered in (mud?). S. Maddock has photos.</t>
  </si>
  <si>
    <t>239-774-1194 bjanderson2008@live.com</t>
  </si>
  <si>
    <t>Morgan Bay/Cape Romano</t>
  </si>
  <si>
    <t>Britta Muiznieks, Judd Patterson</t>
  </si>
  <si>
    <t>Pavilion Key</t>
  </si>
  <si>
    <t>Orange</t>
  </si>
  <si>
    <t>FO</t>
  </si>
  <si>
    <t>Missing lower left foot.  Have pictures.</t>
  </si>
  <si>
    <t>09:58 - 11:50</t>
  </si>
  <si>
    <t>10% CC, temp low 70's; light NE wind; tide high/slack</t>
  </si>
  <si>
    <t>SEPL 114, WIPL 32, RUTU 6, SAND 2, WESA 159, DUNL 1, LESA 155</t>
  </si>
  <si>
    <t>resting, Gulf shore</t>
  </si>
  <si>
    <t>R/Y</t>
  </si>
  <si>
    <t>(No band-possibly lost its green flag)</t>
  </si>
  <si>
    <t>May be missing flag from upper right leg. Other bands match the PIPL Sid saw here 2 years ago. Have pictures.</t>
  </si>
  <si>
    <t>BRPE 8, ROYT 175, DCCO 1, LAGU 1</t>
  </si>
  <si>
    <t>resting, sand bar</t>
  </si>
  <si>
    <t>Laura Eldredge and Keisten Cumming</t>
  </si>
  <si>
    <t>305-795-3485</t>
  </si>
  <si>
    <t>Borth Biscayne Bay Islands</t>
  </si>
  <si>
    <t>Miami Dade</t>
  </si>
  <si>
    <t>Photo avaliable on request</t>
  </si>
  <si>
    <t>Sidney Crawford</t>
  </si>
  <si>
    <t>727-348-7819   blumax100@gmail.com</t>
  </si>
  <si>
    <t>Fred Howard Park</t>
  </si>
  <si>
    <t>A04</t>
  </si>
  <si>
    <t>Photos available</t>
  </si>
  <si>
    <t>AMWP 15, SEPL 10, WILL 72, BBPL 23, DUNL 67, SBDO 35, REKN 2, SAND 1</t>
  </si>
  <si>
    <t>resting, tidal lagoon</t>
  </si>
  <si>
    <t>Bob Lane, Denise Lane, Jane Mann, Steve Mann</t>
  </si>
  <si>
    <t>727 252-8320 stephenmann@tampabay.rr.com</t>
  </si>
  <si>
    <t>Three Rooker South Island</t>
  </si>
  <si>
    <t>A28</t>
  </si>
  <si>
    <t>yellow flag</t>
  </si>
  <si>
    <t>light blue/black</t>
  </si>
  <si>
    <t>black/white</t>
  </si>
  <si>
    <t>ROYT 190, DCCO 43, RUTU 32</t>
  </si>
  <si>
    <t>resting, artificial structure</t>
  </si>
  <si>
    <t>?L7</t>
  </si>
  <si>
    <t>green/blue</t>
  </si>
  <si>
    <t>white/black</t>
  </si>
  <si>
    <t>hard to read flag, faded. photo available from daniel.larremore@dep.state.fl.us</t>
  </si>
  <si>
    <t>ROYT 40,  DCCO 57</t>
  </si>
  <si>
    <t>tide high/rising; Gulf shore; resting</t>
  </si>
  <si>
    <t>yellow</t>
  </si>
  <si>
    <t>resting, sandbar</t>
  </si>
  <si>
    <t>orange/orange</t>
  </si>
  <si>
    <t>nothing on lower right, no metal band! photo available from daniel.larremore@dep.state.fl.us</t>
  </si>
  <si>
    <t>Second Chance CWA</t>
  </si>
  <si>
    <t>239-774-1194; bjanderson2008@live.com</t>
  </si>
  <si>
    <t>Holley Short, Nina Serritella</t>
  </si>
  <si>
    <t>11:56 - 13:19</t>
  </si>
  <si>
    <t>352 455-8993 hshort@audubon.org</t>
  </si>
  <si>
    <t>10% CC, temp mid 70's; NE wind 5-10mph; tide high/slack</t>
  </si>
  <si>
    <t>Caladesi Island State Park</t>
  </si>
  <si>
    <t>RUTU 2, SAND, 100, DUNL 680, WESA 150</t>
  </si>
  <si>
    <t>resting, sandbar (Second Chance CWA)</t>
  </si>
  <si>
    <t>09:58 - 011:50</t>
  </si>
  <si>
    <t>could not see metal</t>
  </si>
  <si>
    <t>850-647-8238 pelican@fairpont.net</t>
  </si>
  <si>
    <t xml:space="preserve">Bonfire Beach </t>
  </si>
  <si>
    <t>DCCO 76, BRPE 8, RBGU 13, ROYT 35, BBPL 1, SAND 125, WESA 150, SBDO 20, RUTU 6</t>
  </si>
  <si>
    <t>Ricardo Zambrano, Natasha Warraich</t>
  </si>
  <si>
    <t>561-882-5719 Ricardo.Zambrano@MyFWC.com</t>
  </si>
  <si>
    <t>male feeding</t>
  </si>
  <si>
    <t>Big Marco Pass</t>
  </si>
  <si>
    <t>1030-1251</t>
  </si>
  <si>
    <t>Sunny, breezy, 80 degrees</t>
  </si>
  <si>
    <t>High tide, resting</t>
  </si>
  <si>
    <t>WIPL 22</t>
  </si>
  <si>
    <t>OY</t>
  </si>
  <si>
    <t>female resting with male</t>
  </si>
  <si>
    <t>BBPL 117, DUNL 300, SBDO 171</t>
  </si>
  <si>
    <t>07:45-08:30</t>
  </si>
  <si>
    <t>10% CC, wind 4-7mph, surf calm, tide mid-rising</t>
  </si>
  <si>
    <t>BLSK 427, ROYT 31, FOTE 1, LAGU 61, RBGU 22, HERG 1, BRPE 18, BBPL 31, SAND 13</t>
  </si>
  <si>
    <t>2 BLSK and 1 BRPE banded</t>
  </si>
  <si>
    <t xml:space="preserve">male resting </t>
  </si>
  <si>
    <t>Keewaydin Island</t>
  </si>
  <si>
    <t>09:45-11:40</t>
  </si>
  <si>
    <t>sunny, 10%CC, SE wind 10-15mph, no precip, moderate surf, tide mid/rising</t>
  </si>
  <si>
    <t>RB</t>
  </si>
  <si>
    <t>BBPL 14, RUTU 28, SAND 86, WIPL 7</t>
  </si>
  <si>
    <t>Female Resting</t>
  </si>
  <si>
    <t>Hayley DiGiano, Rhonda Jones</t>
  </si>
  <si>
    <t>904-270-3192 Hayley.DiGiano.ctr@navy.mil</t>
  </si>
  <si>
    <t>NAVSTA Mayport/ Beach</t>
  </si>
  <si>
    <t xml:space="preserve"> 30.397142°</t>
  </si>
  <si>
    <t>-81.391127°</t>
  </si>
  <si>
    <t>BR</t>
  </si>
  <si>
    <t xml:space="preserve"> 30.381850°</t>
  </si>
  <si>
    <t>-81.396513°</t>
  </si>
  <si>
    <t>0830 - 0930</t>
  </si>
  <si>
    <t>66° WSW 8mph Sunny</t>
  </si>
  <si>
    <t xml:space="preserve"> 30.387596°</t>
  </si>
  <si>
    <t>-81.395312°</t>
  </si>
  <si>
    <t>Black Skimmer - 91</t>
  </si>
  <si>
    <t>RO</t>
  </si>
  <si>
    <t>KB</t>
  </si>
  <si>
    <t>AS</t>
  </si>
  <si>
    <t>Bonaparte's Gull - 5</t>
  </si>
  <si>
    <t>Forester's Tern - 11</t>
  </si>
  <si>
    <t>resting, tide mid/rising</t>
  </si>
  <si>
    <t>Herring Gull - 2</t>
  </si>
  <si>
    <t>Y05</t>
  </si>
  <si>
    <t>Triangle</t>
  </si>
  <si>
    <t>Laughing Gull - 657</t>
  </si>
  <si>
    <t>KG</t>
  </si>
  <si>
    <t>Ring-Billed Gull - 25</t>
  </si>
  <si>
    <t>Royal Tern - 20</t>
  </si>
  <si>
    <t>B/Y</t>
  </si>
  <si>
    <t>Sandwich Tern - 4</t>
  </si>
  <si>
    <t>Observed green flag (97) once. Tucked leg up, could not get clear photo but did clearly read band the first time.</t>
  </si>
  <si>
    <t>0838 to 0953</t>
  </si>
  <si>
    <t>Sunny, p. cloudy, 70F</t>
  </si>
  <si>
    <t>P95</t>
  </si>
  <si>
    <t>PIPL 2</t>
  </si>
  <si>
    <t>1 banded</t>
  </si>
  <si>
    <t>Flag only observed once. No photo. New flag, so code was very clear to read.</t>
  </si>
  <si>
    <t>LMV</t>
  </si>
  <si>
    <t>Light Green/Lime</t>
  </si>
  <si>
    <t>REKN 21</t>
  </si>
  <si>
    <t>Photo available. Flag is very faded but could still make out code.</t>
  </si>
  <si>
    <t>AE</t>
  </si>
  <si>
    <t>PIPL 1, WILL 1, GRYE 2, DUNL 7, WHPE 5, SAND 4, BBPL 2, SNEG 5, TCHE 4, HOME 5, HOGR 9</t>
  </si>
  <si>
    <t>PIPL unbanded, Mixed Flock of 45 (&lt;50)</t>
  </si>
  <si>
    <t>Photo available. This bird is a common resident/visitor to Outback Key.</t>
  </si>
  <si>
    <t>Leila Mohsenian, Rob Holbrook</t>
  </si>
  <si>
    <t>Big Sabine Point</t>
  </si>
  <si>
    <t>Escambia</t>
  </si>
  <si>
    <t>DUNL 68, SBDO 27, BBPL 1, WESA 2, REKN 7, DUNL 57, SEPL 8, SAND 1, WILL 1</t>
  </si>
  <si>
    <t>no banded, Mixed Flock of 172</t>
  </si>
  <si>
    <t>W/B</t>
  </si>
  <si>
    <t>REKN 8, DUNL 69, WILL 1, SAND 12, DUNL 48</t>
  </si>
  <si>
    <t>1 REKN banded (resight), Mixed Flock of 129</t>
  </si>
  <si>
    <t>Little Talbot Island State Park</t>
  </si>
  <si>
    <t>0953 to 1149</t>
  </si>
  <si>
    <t>No banded</t>
  </si>
  <si>
    <t>REKN 7</t>
  </si>
  <si>
    <t>Resighted [MPN] FG banded</t>
  </si>
  <si>
    <t>Survey done near low tide, rising. warm, sunny, quiet.</t>
  </si>
  <si>
    <t>PIPL 5, REKN 8</t>
  </si>
  <si>
    <t>PIPL - 4 banded, 1 unbanded. REKN - none banded</t>
  </si>
  <si>
    <t>REKN 2</t>
  </si>
  <si>
    <t>REKN 11</t>
  </si>
  <si>
    <t>PIPL 17, SAND 41</t>
  </si>
  <si>
    <t>Roosting, Above MHW, Mixed Flock of 68</t>
  </si>
  <si>
    <t>DUNL 52</t>
  </si>
  <si>
    <t>Foraging at shoreline mixed flock</t>
  </si>
  <si>
    <t>Emily Dunn, Elizabeth Guthrie</t>
  </si>
  <si>
    <t>215-498-4032, edunn@northfloridalandtrust.org</t>
  </si>
  <si>
    <t>Big Talbot Island State Park - North</t>
  </si>
  <si>
    <t>0810 to 0935</t>
  </si>
  <si>
    <t>PIPL 1</t>
  </si>
  <si>
    <t>Sunny, slight breeze</t>
  </si>
  <si>
    <t>DUNL 55, WIPL 14, SEPL 233, WESA 10, SAND 4</t>
  </si>
  <si>
    <t>Mixed flock of 306 roosting near dune vegetation line</t>
  </si>
  <si>
    <t>DUNL 150 Est., RBGU 2, BBPL 1</t>
  </si>
  <si>
    <t>Mixed flock of 153 Est foraging at shoreline</t>
  </si>
  <si>
    <t>Big Talbot Island State Park - South</t>
  </si>
  <si>
    <t>0950 to 1040</t>
  </si>
  <si>
    <t>WIPL 4</t>
  </si>
  <si>
    <t>roosting</t>
  </si>
  <si>
    <t xml:space="preserve">S </t>
  </si>
  <si>
    <t>LAGU 16, RBGU 40, SAND 6, WILL 1</t>
  </si>
  <si>
    <t>Mixed flock of 63</t>
  </si>
  <si>
    <t>Survey quiet</t>
  </si>
  <si>
    <t>WK</t>
  </si>
  <si>
    <t>Allison Conboy, Rachel Kyle</t>
  </si>
  <si>
    <t>Only 4 WHPE seen during survey</t>
  </si>
  <si>
    <t>Big Talbot Island State Park - Spoonbill</t>
  </si>
  <si>
    <t>1100 to 1135</t>
  </si>
  <si>
    <t>Sunny, breezy, warm</t>
  </si>
  <si>
    <t>Big Talbot Island State Park - Spoonbill Pond</t>
  </si>
  <si>
    <t>OR</t>
  </si>
  <si>
    <t>Small mixed flocks, less than 50. BAEA roosting in pine may account for lack of flocks and warm temps may contribute</t>
  </si>
  <si>
    <t>John Martin, Jesse Brown, Shari Kennedy</t>
  </si>
  <si>
    <t>352-359-5717, john.martin@ch2m.com</t>
  </si>
  <si>
    <t xml:space="preserve">Lake Tomroy-Pond AA, Pond C Transect - Marine Corps Support Facility Blount Island </t>
  </si>
  <si>
    <t>Marvin Friel, Emily McKiddy</t>
  </si>
  <si>
    <t>Gulf Islands National Seashore-Ft. Pickens</t>
  </si>
  <si>
    <t>1315-1425</t>
  </si>
  <si>
    <t>Partly cloudy, 75 deg F</t>
  </si>
  <si>
    <t>Quiet on Spoonbille, 1 BAEA roosting in pine watching foraging areas, also saw 1 LBHE and 1 SNEG foraging in shallows</t>
  </si>
  <si>
    <t>GO</t>
  </si>
  <si>
    <t xml:space="preserve">Pond A Transect - Marine Corps Support Facility Blount Island </t>
  </si>
  <si>
    <t>1230-1245</t>
  </si>
  <si>
    <t>bO</t>
  </si>
  <si>
    <t>GY</t>
  </si>
  <si>
    <t>Lake Tomroy-Pond AA, Pond C Transect - Marine Corps Support Facility Blount Island</t>
  </si>
  <si>
    <t>Dayson Basin Marsh Transect - Marine Corps Support Facility Blount Island</t>
  </si>
  <si>
    <t>0855-1000</t>
  </si>
  <si>
    <t>K,W</t>
  </si>
  <si>
    <t>R/G</t>
  </si>
  <si>
    <t>MPN</t>
  </si>
  <si>
    <t>dark green</t>
  </si>
  <si>
    <t>FG MPN</t>
  </si>
  <si>
    <t>GeoTracker - Silver &amp; White</t>
  </si>
  <si>
    <t>Dayson Basin Dredge Disposal Area Transect - Marine Corps Support Facility Blount Island</t>
  </si>
  <si>
    <t>Geotracker on Upper Right Leg of REKN, White leg fixtures above and below grayish tracker, 1/2" x 1/4"? approx.</t>
  </si>
  <si>
    <t>0855-1135</t>
  </si>
  <si>
    <t>LESA 74</t>
  </si>
  <si>
    <t>YU6</t>
  </si>
  <si>
    <t>foraging on dry basin mudflat</t>
  </si>
  <si>
    <t>Dayson Basin Dredge Disposal Area Transect - Marine Corps Support Facility Blount Island</t>
  </si>
  <si>
    <t>3CL</t>
  </si>
  <si>
    <t>Pond A Transect - Marine Corps Support Facility Blount Island</t>
  </si>
  <si>
    <t>AWPE 202</t>
  </si>
  <si>
    <t>J??</t>
  </si>
  <si>
    <t>Lettering was too light to read completely</t>
  </si>
  <si>
    <t>South Shore Transect - Marine Corps Support Facility Blount Island</t>
  </si>
  <si>
    <t>9JN</t>
  </si>
  <si>
    <t>1440-1515</t>
  </si>
  <si>
    <t>Pond B Transect - Marine Corps Support Facility Blount Island</t>
  </si>
  <si>
    <t>1MV</t>
  </si>
  <si>
    <t>1548-1555</t>
  </si>
  <si>
    <t>Could not see other leg.</t>
  </si>
  <si>
    <t>East Point Shoreline Transect - Marine Corps Support Facility Blount Island</t>
  </si>
  <si>
    <t>1527-1541</t>
  </si>
  <si>
    <t>Plain band with no lettering.  Could not see other leg.</t>
  </si>
  <si>
    <t>Dayson Basin Marsh Transect - Marine Corps Support Facility Blount Island</t>
  </si>
  <si>
    <t>Lesley Royce</t>
  </si>
  <si>
    <t>904-945-1939</t>
  </si>
  <si>
    <t>Mayport south to Duval / St. Johns county line</t>
  </si>
  <si>
    <t>?2U</t>
  </si>
  <si>
    <t>LAGU 710, RBGU 35, BRPE 85</t>
  </si>
  <si>
    <t>Most on jetties and some in water near jetties</t>
  </si>
  <si>
    <t>WW</t>
  </si>
  <si>
    <t>female, S//:WW</t>
  </si>
  <si>
    <t>LAGU 24, RBGU 5, BLSK 70, ROYT 7, FOTE 9</t>
  </si>
  <si>
    <t>Hanna Park</t>
  </si>
  <si>
    <t>Ezra Thompson, Matthew Togger, Mike Miller, Chris Lipps</t>
  </si>
  <si>
    <t>Little St. George Island</t>
  </si>
  <si>
    <t>FOTE 20, LAGU 15, BLSK 2, RBGU 21, ROYT 1</t>
  </si>
  <si>
    <t>Atlantic Beach</t>
  </si>
  <si>
    <t>David Hartgrove, Joan Tague</t>
  </si>
  <si>
    <t>386-235-1249, birdman9@earthlink.net</t>
  </si>
  <si>
    <t>Volusia County Atlantic Coast, Flagler County Line to north side of Ponce Inlet</t>
  </si>
  <si>
    <t>Volusia</t>
  </si>
  <si>
    <t>H</t>
  </si>
  <si>
    <t>Data logger</t>
  </si>
  <si>
    <t>FOTE 15, RBGU 31, LAGU 150, SAND 19, ROYT 7</t>
  </si>
  <si>
    <t>Atlantic Beach by One Ocean Hotel</t>
  </si>
  <si>
    <t>Too faded to read</t>
  </si>
  <si>
    <t>RBGU 22, SAND 1, LAGU 75</t>
  </si>
  <si>
    <t>Neptune Beach</t>
  </si>
  <si>
    <t>Pond B Transect - Marine Corps Support Facility Blount Island</t>
  </si>
  <si>
    <t>DCCO 15, LAGU 50, RBGU 23, ROYT 4, BTGR 2</t>
  </si>
  <si>
    <t>On, under Jax Beach Pier</t>
  </si>
  <si>
    <t>Big Lagoon State Park</t>
  </si>
  <si>
    <t>8:37AM to 9:13AM</t>
  </si>
  <si>
    <t>Clouds 10%, No precip, surf calm, mid-tide rising, wind 0 to 3</t>
  </si>
  <si>
    <t>FOTE - 127, BRPE - 6, LAGU - 30, RBGU - 9, KILL - 1, BBPL - 1, SAND - 25, RUTU - 1, WILL - 1</t>
  </si>
  <si>
    <t>Resting and foraging on sandbar</t>
  </si>
  <si>
    <t>Code was 2E7 but program printed as 2.00E+07 ??</t>
  </si>
  <si>
    <t>0920 to 1418</t>
  </si>
  <si>
    <t>tide low rising, 95%cc, fog, calm surf, 0-3</t>
  </si>
  <si>
    <t>RBGU 24, BRPE 7, COLO 1, HERG 5, LAGU 53, BOGU 1, FOTE 18, RUTU 2, WILL 8</t>
  </si>
  <si>
    <t>EYK</t>
  </si>
  <si>
    <t>RBGU 49, LAGU 53, ROYT 7, HERG 13, FOTE 12, SAND 4, WILL 2, SNPL 4</t>
  </si>
  <si>
    <t>2 banded SNPL</t>
  </si>
  <si>
    <t>904-945-1939 lesley_royce@me.com</t>
  </si>
  <si>
    <t>Mayport south to Duval / St. Johns County line</t>
  </si>
  <si>
    <t>Green band</t>
  </si>
  <si>
    <t>Leg flag missing upper left.</t>
  </si>
  <si>
    <t>10:03 am - 1:48 pm</t>
  </si>
  <si>
    <t>clear, winds WNW 16 mph</t>
  </si>
  <si>
    <t>Readable but unable to get before flight</t>
  </si>
  <si>
    <t>Too faded to read.</t>
  </si>
  <si>
    <t>SNPL 6</t>
  </si>
  <si>
    <t>6 banded SNPL</t>
  </si>
  <si>
    <t>ALT</t>
  </si>
  <si>
    <t>Joseph Scarola, Samantha Pessolano</t>
  </si>
  <si>
    <t>772-334-3729, Joe@ecological-associates.com</t>
  </si>
  <si>
    <t>S. Hutchinson Island, (N End of St. Lucie Inlet, Sailfish Point to St. Lucie/Martin County Line)</t>
  </si>
  <si>
    <t>Martin</t>
  </si>
  <si>
    <t>BRPE 15, DCCO 2, RBGU 31, LAGU 57, HERG 4, SAND 5</t>
  </si>
  <si>
    <t>ROTY</t>
  </si>
  <si>
    <t>Survey conducted by 4-wheel-drive vehicle, JSO.  I got out and scoped when needed.</t>
  </si>
  <si>
    <t>Sanibel 4 (Tarpon Bay Rd. to Sanibel beach access #1)</t>
  </si>
  <si>
    <t>SNPL 2, RUTU 1, GBHE 1, SAND 8, RBGU 2, WILL 2, LAGU 2</t>
  </si>
  <si>
    <t>SAND</t>
  </si>
  <si>
    <t>White</t>
  </si>
  <si>
    <t>FW/LB</t>
  </si>
  <si>
    <t>Captiva 1 (Blind Pass to Captiva Dr. SW)</t>
  </si>
  <si>
    <t>RBME 56, HERG 1, BOGU 100</t>
  </si>
  <si>
    <t>estimation on BOGU</t>
  </si>
  <si>
    <t>1 E 7</t>
  </si>
  <si>
    <t>Lime Green</t>
  </si>
  <si>
    <t>F</t>
  </si>
  <si>
    <t>Paula Muellner, Kevin Christman, Janell Brush, Shea Armstrong, Joe Marchianno</t>
  </si>
  <si>
    <t>Lanark Reef</t>
  </si>
  <si>
    <t>JA</t>
  </si>
  <si>
    <t xml:space="preserve">SAND 57, WILL 7, RBGU 16, COLO 1, BRPE 6, LAGU 2, BOGU 1, </t>
  </si>
  <si>
    <t>People - 2, Dog on leash -1. Dog track - 2, Racoon track - 1</t>
  </si>
  <si>
    <t>Service</t>
  </si>
  <si>
    <t>X:R(JA)//S. Picture taken.</t>
  </si>
  <si>
    <t>Gulf Islands National Seashore - Perdido Key</t>
  </si>
  <si>
    <t>Kelly Martin, Camille Carroll</t>
  </si>
  <si>
    <t>11:13 to 15:29</t>
  </si>
  <si>
    <t>Atlantic Dunes Park to Palm Beach (Monceau Court)</t>
  </si>
  <si>
    <t>Cloud 100%, Heavy fog rolled in, 60 degrees, wind 8 to 12</t>
  </si>
  <si>
    <t xml:space="preserve">One unbanded male, One unbanded female. </t>
  </si>
  <si>
    <t>SNPL -3, RUTU - 1, SAND -1, RBGU - 1</t>
  </si>
  <si>
    <t>Two unbanded male SNPLs and one unbanded female SNPL</t>
  </si>
  <si>
    <t>Kevin Christman, Mike Miller</t>
  </si>
  <si>
    <t>Alligator Point</t>
  </si>
  <si>
    <t>YW</t>
  </si>
  <si>
    <t>S//K:YW</t>
  </si>
  <si>
    <t>One banded, one unbanded female</t>
  </si>
  <si>
    <t>Lillian Kenney, Brooke Freeberg</t>
  </si>
  <si>
    <t>727 212-8054 brooke.freeberg@dep.state.fl.us</t>
  </si>
  <si>
    <t>Anclote Key south route</t>
  </si>
  <si>
    <t>yellow/white</t>
  </si>
  <si>
    <t xml:space="preserve">All banded. </t>
  </si>
  <si>
    <t>541-410-4493</t>
  </si>
  <si>
    <t>WO</t>
  </si>
  <si>
    <t>b</t>
  </si>
  <si>
    <t>One unbanded male, two unbanded female SNPLs</t>
  </si>
  <si>
    <t>H67</t>
  </si>
  <si>
    <t>YELLOW</t>
  </si>
  <si>
    <t>HORIZONTAL</t>
  </si>
  <si>
    <t>FY(H67)</t>
  </si>
  <si>
    <t xml:space="preserve">People  47, Boats 2, Coyote tracks 2, dog tracks 1.  Fog was heavy and low making far observations a challenge. </t>
  </si>
  <si>
    <t>Robertson's Island (Sugar Island)</t>
  </si>
  <si>
    <t>1350 to 1430</t>
  </si>
  <si>
    <t>Gf</t>
  </si>
  <si>
    <t>Clouds 100%, light fog, wind 0 to 3, Temp 65, Surf calm</t>
  </si>
  <si>
    <t>SNPL - 9, RUTU - 1, BBPL - 4, SAND -9, PIPL - 1</t>
  </si>
  <si>
    <t>Three banded SNPL's, Two unbanded male SNPLs, Two unbanded Female SNPLs, One unbanded (sex unknown) SNPL, One banded PIPL</t>
  </si>
  <si>
    <t>LightP</t>
  </si>
  <si>
    <t>Light Pink</t>
  </si>
  <si>
    <t>BLSK - 5, FOTE - 147, ROYT - 7, WILL - 5, LAGU - 42, BBPL - 4, HERG - 6, BRPE - 20, SNEG -1, RBGU - 4, SNPL  - 2</t>
  </si>
  <si>
    <t xml:space="preserve">One banded SNPL, one unbanded male, All BLSK unbanded. </t>
  </si>
  <si>
    <t xml:space="preserve">People - 4, Boat 3, Coyote track 2, Dog track 3 </t>
  </si>
  <si>
    <t>No focal species or large groups</t>
  </si>
  <si>
    <t xml:space="preserve">Start and stop GPS point is the same because the island is one large loop. </t>
  </si>
  <si>
    <t>YK</t>
  </si>
  <si>
    <t>Kevin Christman, Emily Hunter</t>
  </si>
  <si>
    <t>Gulf Islands National Seashore - Santa Rosa</t>
  </si>
  <si>
    <t>Robert and Denise Lane, Jane and Stephen Mann</t>
  </si>
  <si>
    <t>10:06-14:39</t>
  </si>
  <si>
    <t>330-531-3127 ohiomagpie@hotmail.com</t>
  </si>
  <si>
    <t>Courtney Campbell Causeway</t>
  </si>
  <si>
    <t>Foggy, 100% CC, wind (from SSW) 8-12mph, 60F, surf moderate, Tide mid rising at 0.0ft (low -1.0ft at 2:47am, H1.2ft at 16:47)</t>
  </si>
  <si>
    <t xml:space="preserve">Pinellas and Hillsborough
</t>
  </si>
  <si>
    <t>9HP</t>
  </si>
  <si>
    <t>FOTE 2, HERG 4. RBGU 5, LAGU 31, BOGU 380, ROYT 1, BRPE 2</t>
  </si>
  <si>
    <t>10:11, gulf shore, mid, resting, no wrack</t>
  </si>
  <si>
    <t>Fg</t>
  </si>
  <si>
    <t>none</t>
  </si>
  <si>
    <t>Device/white double band</t>
  </si>
  <si>
    <t>BOGU 410, RBME 2, LAGU 2, ROYT 1, HERG 1</t>
  </si>
  <si>
    <t>10:19, mid, none, feeding, no wrack</t>
  </si>
  <si>
    <t>E18</t>
  </si>
  <si>
    <t xml:space="preserve">People 45, predators: dog tracks 14, dog unleashed 2, armadillo 4, raccoon 4, opossum 2, coyote 1, NOHA 1, BAEA 1. Includes both south shore and north shore surveys (gulf and bay sides). </t>
  </si>
  <si>
    <t>BOGU 302, LAGU 78, RBGU 2, FOTE 10</t>
  </si>
  <si>
    <t>10:31, gulf shore, resting, mid, no wrack</t>
  </si>
  <si>
    <t>K/W</t>
  </si>
  <si>
    <t>BOGU 32, HERG 13, FOTE 26, LAGU 38, RBGU 16, SAND 2</t>
  </si>
  <si>
    <t>10:40, gulf shore, resting, mid, no wrack</t>
  </si>
  <si>
    <t>0843-1021</t>
  </si>
  <si>
    <t>Overcast, 68F, Wind SE 5mph</t>
  </si>
  <si>
    <t>Female.</t>
  </si>
  <si>
    <t>SNPL 16</t>
  </si>
  <si>
    <t>10:45, gulf shore (upper beach), resting, no wrack, 8 SNPL banded</t>
  </si>
  <si>
    <t xml:space="preserve">W </t>
  </si>
  <si>
    <t>BOGU 28, FOTE 9, LAGU 51, HERG 1, RBGU 5</t>
  </si>
  <si>
    <t>11:18, gulf shore, mid, none, resting</t>
  </si>
  <si>
    <t>11:23, gulf shore, mid, sparse wrack, resting, 1 SNPL banded</t>
  </si>
  <si>
    <t>Paula Muellner Jennifer Mannis</t>
  </si>
  <si>
    <t>Perdido Key Public Access - East</t>
  </si>
  <si>
    <t xml:space="preserve">Escambia </t>
  </si>
  <si>
    <t>9:40AM to 11:13</t>
  </si>
  <si>
    <t xml:space="preserve">K </t>
  </si>
  <si>
    <t xml:space="preserve">Clouds 10%, No precip, wind 0 to 3, Temp 60 degrees, Surf calm. </t>
  </si>
  <si>
    <t>BOGU 266, HERG 1, RBGU 10, LAGU 14, FOTE 10</t>
  </si>
  <si>
    <t>12:12, gulf shore, none, resting, mid</t>
  </si>
  <si>
    <t>BOGU 52, BRPE 3, RBGU 7, LAGU 2</t>
  </si>
  <si>
    <t>Alligator Harbor North &amp; South</t>
  </si>
  <si>
    <t>12:21, gulf shroe, resting, mid, none</t>
  </si>
  <si>
    <t>with pics</t>
  </si>
  <si>
    <t xml:space="preserve">People - 47, Dog off leash, Dog tracks - 3+, Bottle rockets and spent fireworks on the beach which appeared fresh from the night before. </t>
  </si>
  <si>
    <t>LAGU 54, HERG 1, RBGU 26, SAND 1, BOGU 16</t>
  </si>
  <si>
    <t>12:30, gulf shore, none, resdting, mid</t>
  </si>
  <si>
    <t>bG</t>
  </si>
  <si>
    <t>Perdido Key State Park</t>
  </si>
  <si>
    <t>9:17 AM to 9:40 AM</t>
  </si>
  <si>
    <t>12:37, gulf shore, mid, resting, none, 1 SNPL banded, other X:X male</t>
  </si>
  <si>
    <t>KC</t>
  </si>
  <si>
    <t>DUNL 35, SAND 76, BBPL 3, SEPL 19</t>
  </si>
  <si>
    <t>13:30, lake outfall/ephemeral pool, high tide, sparse wrack, feeding and resting</t>
  </si>
  <si>
    <t>Y/R/Y</t>
  </si>
  <si>
    <t xml:space="preserve">People - 8, Dog excrement on beach, Dog tracks - 3, Coyote tracks - 2. Dead COLO and Dead BRPE. </t>
  </si>
  <si>
    <t>Green dot</t>
  </si>
  <si>
    <t>Green Dot Twin</t>
  </si>
  <si>
    <t>SAND 177</t>
  </si>
  <si>
    <t>Laura G. Ostapko, Cassy Moran, John Demkar</t>
  </si>
  <si>
    <t>Large flock of sanderling loafing on sand spit with numerous gulls, terns, plover, pelicans</t>
  </si>
  <si>
    <t>386-445-8653  lauragostap@yahoo.com</t>
  </si>
  <si>
    <t>Gamble Rogers MSRA south to Flagler County line</t>
  </si>
  <si>
    <t>Flagler</t>
  </si>
  <si>
    <t>8:20 - 9:32 a.m.</t>
  </si>
  <si>
    <t>mostly cloudy, temp 65 deg F, wind NNE 10-15 with gusts to 20 mph</t>
  </si>
  <si>
    <t>Blue dot</t>
  </si>
  <si>
    <t>Blue Dot Twin</t>
  </si>
  <si>
    <t>1 Banded PIPL</t>
  </si>
  <si>
    <t>E7A</t>
  </si>
  <si>
    <t>Laura G. Ostapko, Cassy Moran</t>
  </si>
  <si>
    <t>Betty Steflik Preserve ICW and marsh</t>
  </si>
  <si>
    <t>6:50 - 7:40 a.m.</t>
  </si>
  <si>
    <t>cloudy, temp 61 deg F, wind N'ly 10-15 with gusts to 20 mph</t>
  </si>
  <si>
    <t>9H0</t>
  </si>
  <si>
    <t>None banded</t>
  </si>
  <si>
    <t>5E4</t>
  </si>
  <si>
    <t xml:space="preserve">No resting sea/shore birds.  </t>
  </si>
  <si>
    <t>Gamble Rogers MSRA ICW and marsh areas</t>
  </si>
  <si>
    <t>10:00 - 11:25 a.m.</t>
  </si>
  <si>
    <t>mostly cloudy; temp 65 deg F; wind NNE 10-15 mph gusting to 20 mph</t>
  </si>
  <si>
    <t>K76</t>
  </si>
  <si>
    <t>Frank Quinn, David Smith</t>
  </si>
  <si>
    <t>Holley Short</t>
  </si>
  <si>
    <t>352-455-8993 hshort@audubon.org</t>
  </si>
  <si>
    <t>386-586-5258 fjquinn@aol.com</t>
  </si>
  <si>
    <t>Shell Key Preserve</t>
  </si>
  <si>
    <t>Flagler Pier south to High Tides Rest.</t>
  </si>
  <si>
    <t>8:00 - 9:30</t>
  </si>
  <si>
    <t>Windy and overcast</t>
  </si>
  <si>
    <t>no photo</t>
  </si>
  <si>
    <t>G,G</t>
  </si>
  <si>
    <t>photo</t>
  </si>
  <si>
    <t>NK7</t>
  </si>
  <si>
    <t>Light Green</t>
  </si>
  <si>
    <t>male, KB:S//W</t>
  </si>
  <si>
    <t>SNPL 11</t>
  </si>
  <si>
    <t>female, B:S//WK</t>
  </si>
  <si>
    <t>KO</t>
  </si>
  <si>
    <t>male, KO:S//W</t>
  </si>
  <si>
    <t xml:space="preserve">Dog off leash running along shoreline. Birds flushing. Bottle rockets and fireworks on the beach that look like they were from the night before </t>
  </si>
  <si>
    <t>Joe Dzaik, Judie Dzialk, Karen Brown, Barb Salter</t>
  </si>
  <si>
    <t>904-540-2433 jjdziak@att.net</t>
  </si>
  <si>
    <t>Varn Park North to Washington Oaks SP</t>
  </si>
  <si>
    <t>8:00 -9:00</t>
  </si>
  <si>
    <t>Yb</t>
  </si>
  <si>
    <t>female, Yb//:YY//</t>
  </si>
  <si>
    <t>29.44165N</t>
  </si>
  <si>
    <t>-81.10875W</t>
  </si>
  <si>
    <t>29.427198N</t>
  </si>
  <si>
    <t>-81.102115W</t>
  </si>
  <si>
    <t>8:20 to 9:32 am</t>
  </si>
  <si>
    <t>mostly cloudy; 65 deg F, wind NNE 10-15 with gusts to 20 mph</t>
  </si>
  <si>
    <t>29.437900N</t>
  </si>
  <si>
    <t>2 SAND, 231 LAGU, 21 RBGU, 7 HERG, 1 ROYT, 2 FOTE</t>
  </si>
  <si>
    <t>male, KG:S//Y</t>
  </si>
  <si>
    <t>femlae, B:S//YY</t>
  </si>
  <si>
    <t>South boundry WOGSP north to county line</t>
  </si>
  <si>
    <t>9:15 - 10:30</t>
  </si>
  <si>
    <t>male, BG:S//K</t>
  </si>
  <si>
    <t>Gulf Island National Seashore - Perdido Key</t>
  </si>
  <si>
    <t>bO//:OG//</t>
  </si>
  <si>
    <t>8:00 - 09:30</t>
  </si>
  <si>
    <t>windy and overcast</t>
  </si>
  <si>
    <t>HERG 40, LAGU, 315, RBGU 229</t>
  </si>
  <si>
    <t>Michael Brothers, Jennifer Winters, Meret Wilson</t>
  </si>
  <si>
    <t>All resting on the beach just south of the pier.</t>
  </si>
  <si>
    <t>386-238-4668, jwinters@volusia.org</t>
  </si>
  <si>
    <t>Dunlawton bridge to Ponce Inlet</t>
  </si>
  <si>
    <t>DP</t>
  </si>
  <si>
    <t>Jason Giraulo, John Ahern</t>
  </si>
  <si>
    <t>386-868-5892</t>
  </si>
  <si>
    <t>Flagler pier north to Varn park</t>
  </si>
  <si>
    <t>8:15:00 - 10:30</t>
  </si>
  <si>
    <t>Overcast, windy</t>
  </si>
  <si>
    <t>LAGU 60</t>
  </si>
  <si>
    <t>386-868-5893</t>
  </si>
  <si>
    <t>8:15:00 - 10:31</t>
  </si>
  <si>
    <t>RBGU 50</t>
  </si>
  <si>
    <t>386-868-5894</t>
  </si>
  <si>
    <t>8:15:00 - 10:32</t>
  </si>
  <si>
    <t>386-868-5895</t>
  </si>
  <si>
    <t>8:15:00 - 10:33</t>
  </si>
  <si>
    <t>RBGU 50, SAND 60</t>
  </si>
  <si>
    <t>386-864-5892 jjgiraulo@yahoo.com</t>
  </si>
  <si>
    <t>Flagler Pier north to Varn park</t>
  </si>
  <si>
    <t>386-868-5896</t>
  </si>
  <si>
    <t>8:15 - 10:30</t>
  </si>
  <si>
    <t>Overcast and windy</t>
  </si>
  <si>
    <t>8:15:00 - 10:34</t>
  </si>
  <si>
    <t>BRPE 70</t>
  </si>
  <si>
    <t>3large groups</t>
  </si>
  <si>
    <t>8:02AM - 9:15AM</t>
  </si>
  <si>
    <t>clear, sunny, tide low rising</t>
  </si>
  <si>
    <t>SAND-1, DUNL-68, BBPL-4, SEPL-17, RBGU-2, LESA-6, WESA-11, BOGU-1</t>
  </si>
  <si>
    <t>dark blue with white letters</t>
  </si>
  <si>
    <t>08:02 - 09:15</t>
  </si>
  <si>
    <t>the D was underlined on both bands (both also had same combo).  We have photo's and this bird sighting was also reported to the AMOY working group.  Most likely came from S. Carolina</t>
  </si>
  <si>
    <t>BK</t>
  </si>
  <si>
    <t>S//W:BK female</t>
  </si>
  <si>
    <t>15B</t>
  </si>
  <si>
    <t>11:40 - 11:59</t>
  </si>
  <si>
    <t>tide mid falling, clouds 5%, no precip, calm, wind 8-12</t>
  </si>
  <si>
    <t>AMOY-2</t>
  </si>
  <si>
    <t>One banded</t>
  </si>
  <si>
    <t>Eastpoint Bars</t>
  </si>
  <si>
    <t>09:52 - 11:22</t>
  </si>
  <si>
    <t>Tide mid rising, cloud 5%, no precip, calm, wind 4-7</t>
  </si>
  <si>
    <t>Judi Floyd, Andrea Chong, Patch Davis, Ken Davis</t>
  </si>
  <si>
    <t>AMOY - 3</t>
  </si>
  <si>
    <t xml:space="preserve">240-460-6696       judibfloyd@gmail.com
</t>
  </si>
  <si>
    <t>Siesta Beach: Point of Rocks to Siesta Public Beach</t>
  </si>
  <si>
    <t>Sarasota</t>
  </si>
  <si>
    <t xml:space="preserve">Blue
</t>
  </si>
  <si>
    <t>Red/blue</t>
  </si>
  <si>
    <t>photo available from judibfloyd@gmail.com</t>
  </si>
  <si>
    <t>BOGU-4, RUTU-26, CATE-1, BBPL-18, RBGU - 2, SAND - 1</t>
  </si>
  <si>
    <t>AMOY - 2, BBPL - 2</t>
  </si>
  <si>
    <t>AMOY-2, RUTU-4, ROYT-2, BBPL-2, RBGU-2, LAGU-3</t>
  </si>
  <si>
    <t>AMOY-2, SEPL-8</t>
  </si>
  <si>
    <t>WR</t>
  </si>
  <si>
    <t>AMOY-3, RUTU-1</t>
  </si>
  <si>
    <t>GW</t>
  </si>
  <si>
    <t>AY</t>
  </si>
  <si>
    <t>AMOY-2, SEPL-9, RUTU-2</t>
  </si>
  <si>
    <t>A</t>
  </si>
  <si>
    <t>Ezra Thompson, Caity Reiland-Smith</t>
  </si>
  <si>
    <t>St. George Island Causeway</t>
  </si>
  <si>
    <t>12:26-14:27</t>
  </si>
  <si>
    <t>mid rising, clouds 5%, wind 8-12, moderate surf</t>
  </si>
  <si>
    <t>BW</t>
  </si>
  <si>
    <t>Marvin Friel           Beth Wright</t>
  </si>
  <si>
    <t xml:space="preserve">352-214-3263 mfriel@audubon.org
</t>
  </si>
  <si>
    <t>Indian Lagoon West</t>
  </si>
  <si>
    <t>RY</t>
  </si>
  <si>
    <t>0940-1103</t>
  </si>
  <si>
    <t>60 F partly cloudy</t>
  </si>
  <si>
    <t>SNEG-21 RBGU-13 ROYT-2 BLSK-56 BEKI-1</t>
  </si>
  <si>
    <t>bK</t>
  </si>
  <si>
    <t>Indian Lagoon East</t>
  </si>
  <si>
    <t>YF</t>
  </si>
  <si>
    <t>AMOY-7 WILL-1 RUTU-2 WILL-3 GRYE-1 FOTE-8</t>
  </si>
  <si>
    <t>1315-1429</t>
  </si>
  <si>
    <t>72 F partly cloudy</t>
  </si>
  <si>
    <t xml:space="preserve">Wild Goose Lagoon
</t>
  </si>
  <si>
    <t>9C8</t>
  </si>
  <si>
    <t>LBO</t>
  </si>
  <si>
    <t>AMOY-2 LAGU-1 FOTE-5 RBME-1</t>
  </si>
  <si>
    <t>O(Ydot) // Y(84)</t>
  </si>
  <si>
    <t xml:space="preserve">Orange//Yellow
</t>
  </si>
  <si>
    <t>AMOY-1 WILL-1 FOTE-2 RBME-1</t>
  </si>
  <si>
    <t xml:space="preserve">Beth Wright
</t>
  </si>
  <si>
    <t>850-567-7576 paintedbunting@earthlink.net</t>
  </si>
  <si>
    <t>Turkey Point</t>
  </si>
  <si>
    <t>1524-1535</t>
  </si>
  <si>
    <t xml:space="preserve">100% cloud cover, 70 F, wind 13-18 S, light chop
</t>
  </si>
  <si>
    <t>bb</t>
  </si>
  <si>
    <t>male, bb//:GG//</t>
  </si>
  <si>
    <t>AMOY-1 FOTE-3 BEKI-1 RBME-2</t>
  </si>
  <si>
    <t>on oyster bar</t>
  </si>
  <si>
    <t>female, S//W:YG</t>
  </si>
  <si>
    <t xml:space="preserve">AMOY-1 SBDO-36 SEPL-2 RBGU-1 WILL-5 DUNL-61 LEYE-3 BTGR-1 BAEA-1 juv. </t>
  </si>
  <si>
    <t>1210 to 1330</t>
  </si>
  <si>
    <t>tide high falling, 60%cc, 8-12, calm surf</t>
  </si>
  <si>
    <t>GK</t>
  </si>
  <si>
    <t>AMOY-4</t>
  </si>
  <si>
    <t>GK//:bK//</t>
  </si>
  <si>
    <t>bY</t>
  </si>
  <si>
    <t>AMOY-3</t>
  </si>
  <si>
    <t>East of Yent Bayou</t>
  </si>
  <si>
    <t>bY//:bY//</t>
  </si>
  <si>
    <t>1715 to 1740</t>
  </si>
  <si>
    <t>tide high rising, 90%cc, calm surf, 4-7</t>
  </si>
  <si>
    <t>AMOY-4 BLSK-176 FOTE-55 RBGU-4</t>
  </si>
  <si>
    <t>A97</t>
  </si>
  <si>
    <t>BF</t>
  </si>
  <si>
    <t xml:space="preserve">
</t>
  </si>
  <si>
    <t>no focal species or groups &gt; 50</t>
  </si>
  <si>
    <t>BX</t>
  </si>
  <si>
    <t>RG</t>
  </si>
  <si>
    <t>Carrabelle Beach (aka McKissack Beach)</t>
  </si>
  <si>
    <t>1248-1320</t>
  </si>
  <si>
    <t>mostly cloudy, 70 F, wind 8-12 SE, no precip, calm seas</t>
  </si>
  <si>
    <t xml:space="preserve">no shorebirds/seabirds present; sand flats submerged and human/dog disturbance on beach
</t>
  </si>
  <si>
    <t>DD</t>
  </si>
  <si>
    <t>Kimberly Middlebrooks and Janna Rinehart</t>
  </si>
  <si>
    <t>Indian Pass Shoreline</t>
  </si>
  <si>
    <t>Yent Bayou</t>
  </si>
  <si>
    <t>0909 to 1040</t>
  </si>
  <si>
    <t>tide low, rising; 85% clouds 5-10 mph; calm</t>
  </si>
  <si>
    <t>1645-1704</t>
  </si>
  <si>
    <t>mostly cloudy, 68 F, wind 13-18 S, calm seas</t>
  </si>
  <si>
    <t xml:space="preserve">no shorebirds/seabirds present; sand flats submerged 
</t>
  </si>
  <si>
    <t>black /orange (split)/yellow</t>
  </si>
  <si>
    <t>metal</t>
  </si>
  <si>
    <t>light blue</t>
  </si>
  <si>
    <t>photo's-nicknamed Jack seen here in previous years</t>
  </si>
  <si>
    <t xml:space="preserve">AMOY 3, BBPL 1
</t>
  </si>
  <si>
    <t>n/a</t>
  </si>
  <si>
    <t>Former LETE breeding site is posted with "Important nesting area" signs, but area needs veg removal to restore habitat</t>
  </si>
  <si>
    <t>WY</t>
  </si>
  <si>
    <t>no code, blue bands slightly faded</t>
  </si>
  <si>
    <t>AMOY 2, WILL 12, BBPL 14, GRYE 4, RUTU 6</t>
  </si>
  <si>
    <t>0943 to 1113</t>
  </si>
  <si>
    <t>unbanded AMOY</t>
  </si>
  <si>
    <t>tide mid rising, 50%cc, precip none, calm surf, 8-12 wind</t>
  </si>
  <si>
    <t>Lime</t>
  </si>
  <si>
    <t>Lf</t>
  </si>
  <si>
    <t>No</t>
  </si>
  <si>
    <t>Lf//:S - lime flag, could not read code.</t>
  </si>
  <si>
    <t>AMOY 3</t>
  </si>
  <si>
    <t>unbanded</t>
  </si>
  <si>
    <t>82A</t>
  </si>
  <si>
    <t>Yello</t>
  </si>
  <si>
    <t>horizonal</t>
  </si>
  <si>
    <t>Yf</t>
  </si>
  <si>
    <t>AMOY 2, BUFF 1, RBME 1</t>
  </si>
  <si>
    <t>one AMOY banded and one not</t>
  </si>
  <si>
    <t>AMOY 4, GBHE 2, LESA 4, BBPL 1, WILL 1, RUTU 7</t>
  </si>
  <si>
    <t>3 unbanded and 1 AMOY banded</t>
  </si>
  <si>
    <t>WG</t>
  </si>
  <si>
    <t>AMOY 2</t>
  </si>
  <si>
    <t>2 banded AMOY</t>
  </si>
  <si>
    <t>10:06-14:05</t>
  </si>
  <si>
    <t>50% CC, wind (from south) 4-7mph, surf calm, tide mid rising at 1.0ft (L-0.6ft H2.1ft)</t>
  </si>
  <si>
    <t>FOTE 46; ROYT 4; LAGU 4; SAND 3; RBGU 7; WILL 2</t>
  </si>
  <si>
    <t>*Mike Miller (Audubon FL) surveyed solo from 13:00-14:05(ish), combining his observations with main section of survey (group 5 within survey; a group 6 included but is offshore). People:4, Predators: dog tracks 4, opossum 1, raccoon 1, fox (gray?) 1, Also saw: CLRA 1, BEKI 1, other birds recorded elsewhere. 10:06-13:00 is offcial survey with both of us on Alligator Point/Phipps Preserve TNC property that is a CWA.</t>
  </si>
  <si>
    <t>AMOY 5, BRPE 10, RBGU 11, SNEG 1, HERG 4</t>
  </si>
  <si>
    <t>SAND 41, BOGU 22, HERG 7, RBGU 26, FOTE 24, DUNL 1, ROYT 2</t>
  </si>
  <si>
    <t>13:48-15:45</t>
  </si>
  <si>
    <t>40% CC, wind 8-12mph (from SSW), surf calm, tide high falling at 2.0ft (L0.9ft H2.3ft)</t>
  </si>
  <si>
    <t>RUTU 17; WILL 1; SAND 3; RBGU 1; BRPE 1</t>
  </si>
  <si>
    <t xml:space="preserve">People: 10, kayak 1, Predators: dog tracks 4, opossum 1, gray fox 1, educated 1, dog leashed 1 (on pier). </t>
  </si>
  <si>
    <t>Goose Island</t>
  </si>
  <si>
    <t xml:space="preserve">RUTU 2; RBGU 3; SAND 21; WILL 1 </t>
  </si>
  <si>
    <t>RUTU 7; WILL 8; FOTE 1; SAND 12; RBGU 1</t>
  </si>
  <si>
    <t>LESC 34</t>
  </si>
  <si>
    <t>YO</t>
  </si>
  <si>
    <t>8:20-10:40</t>
  </si>
  <si>
    <t>Tide low rising, wind 8-12, clouds 100% , Fog</t>
  </si>
  <si>
    <t>SEPL 19, RBGU 1, AMOY 2, DUNL 8, WIPL 1, SNEG 1, RUTU 9</t>
  </si>
  <si>
    <t>BRPE 77, HERG 11, DCCO 4, SEPL 7, LAGU 18, FOTE 17, RBGU 6, ROYT 1, BLSK 24, CATE 4, BOGU 5, GRYE 1, DUNL 104, BBPL 21, SAND 8, RUTU 48, WESA 8, WIPL 1, WILL 1</t>
  </si>
  <si>
    <t>13:50, inlet spit/sand bar, high tide, abundant wrack, mostly resting. 1 WIPL banded. Group flushed by kayaker walking through sand bar. Some of the shorebirds added in on way back through</t>
  </si>
  <si>
    <t xml:space="preserve">15:30, oysterbar, mid tide, sparse wrack, feeding, all unbanded - one is juvenile. </t>
  </si>
  <si>
    <t>SNPL 3</t>
  </si>
  <si>
    <t>10:19, gulf shore, resting, mid, sparse wrack, 0 SNPL banded</t>
  </si>
  <si>
    <t>SNPL 2, SAND 27, AMOY 2</t>
  </si>
  <si>
    <t>10:25, gulf shore, (AMOY on bay shore), mid, sparse wrack, sanderling feeding, others resting, 1 SNPL banded</t>
  </si>
  <si>
    <t>10:52, inlet spit, mid, sparse, resting, 1 SNPL banded</t>
  </si>
  <si>
    <t>11:05-15:15</t>
  </si>
  <si>
    <t>BLSK 405, AMOY 4, WILL 171, MAGO 46, GRYE 16, DCCO 3, RBGU 44, BBPL 43, ROYT 10, REKN 30, FOTE 18, BRPE 2, CATE 2, HERG 21, PIPL 8, SEPL 32, DUNL 75, SAND 127, RUTU 11, RBME 1, COLO 1, BUFF 2, BOGU 2, SNEG 1, SBDO 5, GBHE 1, LEYE 2</t>
  </si>
  <si>
    <t>Tide mid rising, wind 8-12, clouds 100%, fog, High surf</t>
  </si>
  <si>
    <t>11:04, bay shore/lake out fall, mid tide, abundant wrack, most resting. 1 PIPL banded, 1 REKN banded, only 18 REKN confirmed as X:X rest are unknown, AMOY all X:X</t>
  </si>
  <si>
    <t>OO</t>
  </si>
  <si>
    <t>HERG 3, BRPE 1, LAGU 13, FOTE 108, FICR 1, ROYT 20, DCCO 37</t>
  </si>
  <si>
    <t>13:26, artificial atructure, high tide, no wrack, resting</t>
  </si>
  <si>
    <t>AMOY-2, RUTU-42, BBPL-3</t>
  </si>
  <si>
    <t>AMOY-1, RUTU-8</t>
  </si>
  <si>
    <t>AMOY is juvenile</t>
  </si>
  <si>
    <t>0830 to 1300</t>
  </si>
  <si>
    <t>tide low, rising; 100% cloud cover, 5-10 mph; moderate chop</t>
  </si>
  <si>
    <t>AMOY-2, HERG-1, WILL-1, LAGU-2</t>
  </si>
  <si>
    <t>Geotracker on Upper Right Leg, Resight</t>
  </si>
  <si>
    <t>AMOY-2, RUTU-2</t>
  </si>
  <si>
    <t>male, Y:S//YK</t>
  </si>
  <si>
    <t>bsamuelsen@audubon.org</t>
  </si>
  <si>
    <t>0944 to 1402</t>
  </si>
  <si>
    <t>tide mid falling, calm, overcast</t>
  </si>
  <si>
    <t>AMOY-2, WILL-3</t>
  </si>
  <si>
    <t>1 AMOY banded</t>
  </si>
  <si>
    <t>//b://YB</t>
  </si>
  <si>
    <t>AMOY-2, DUNL-15, SAND-10, SEPL-3, WILL-1, RUTU-3, RBGU-1, BBPL-1</t>
  </si>
  <si>
    <t>KO//:GY// female?</t>
  </si>
  <si>
    <t>Flag Island</t>
  </si>
  <si>
    <t>08:21-09:42</t>
  </si>
  <si>
    <t>low rising, clouds 98%, wind 8-12, moderate surf</t>
  </si>
  <si>
    <t>OY//:KY// male</t>
  </si>
  <si>
    <t>AMOY-2, FOTE-2, WILL-1, RBGU-1</t>
  </si>
  <si>
    <t>G//b:G// male</t>
  </si>
  <si>
    <t>GK//:OG//</t>
  </si>
  <si>
    <t>AMOY-2, RBGU-1, BBPL-1, SEPL-1</t>
  </si>
  <si>
    <t>10:20-17:09</t>
  </si>
  <si>
    <t>bG//:bG// male</t>
  </si>
  <si>
    <t>mid rising, clouds 90%, wind 8-12, moderate surf</t>
  </si>
  <si>
    <t>AMOY-2, FOTE-2, WILL-3</t>
  </si>
  <si>
    <t>GO//:GK// male</t>
  </si>
  <si>
    <t>bb//:bG// female - first time seeing this bird</t>
  </si>
  <si>
    <t>AMOY-2, BOGU-12, RBGU-21, BRPE-26, HERG-8, LAGU-3, SAND-25, DUNL-32, BBPL-4, RUTU-9, SEPL-23, PIPL-1, WILL-2, SNPL-5</t>
  </si>
  <si>
    <t>1 AMOY banded, all SNPL banded</t>
  </si>
  <si>
    <t>OO//:bO// female</t>
  </si>
  <si>
    <t>02/08/2017`</t>
  </si>
  <si>
    <t>Paula Muellner Kevin Christman Janell Brush, Shea Armstrong, Joe Marcianno</t>
  </si>
  <si>
    <t>SNPL-5, FOTE-9, ROYT-10, BRPE-5, DUNL-18, SAND-12, SEPL-3, BBPL-1, WILL-1, RUTU-4, HERG-4, RBGU-2</t>
  </si>
  <si>
    <t>All SNPL banded</t>
  </si>
  <si>
    <t>SAND-19, BBPL-3, DUNL-33</t>
  </si>
  <si>
    <t>80+</t>
  </si>
  <si>
    <t xml:space="preserve">Survey ended a little earlier than expected because of a small craft advisory and incoming dense fog.  </t>
  </si>
  <si>
    <t>PIPL-1, DUNL-15, BBPL-6, SEPL-1, FOTE-2, SAND-6, WILL-2</t>
  </si>
  <si>
    <t>PIPL banded</t>
  </si>
  <si>
    <t>PIPL-1, SAND-13, SEPL-9, BBPL-2, DUNL-47</t>
  </si>
  <si>
    <t>PIPL-3, SNPL-7, SEPL-12</t>
  </si>
  <si>
    <t>2 PIPL banded, 4 SNPL banded</t>
  </si>
  <si>
    <t>StJosephPen Restoration</t>
  </si>
  <si>
    <t>7:35AM-9:30AM</t>
  </si>
  <si>
    <t>clear sunny light cloud low</t>
  </si>
  <si>
    <t>SNPL-3, SAND-5, WILL-1</t>
  </si>
  <si>
    <t>PIPL-2, SNPL-1, SEPL-3, SAND-3</t>
  </si>
  <si>
    <t>1 PIPL banded</t>
  </si>
  <si>
    <t>PIPL-2, SEPL-2, SAND-4</t>
  </si>
  <si>
    <t>SNPL-8, BBPL-2, RBGU-1, SAND-3, SEPL-3, RUTU-10</t>
  </si>
  <si>
    <t>7 SNPL banded</t>
  </si>
  <si>
    <t>Windmark Beach</t>
  </si>
  <si>
    <t>male, OO:S//Y</t>
  </si>
  <si>
    <t>10:15AM - 12:30PM</t>
  </si>
  <si>
    <t>clar, ligt cloud, low tide</t>
  </si>
  <si>
    <t>REKN 186; SAND 2; WILL 3; FOTE 21; RBGU 21; LAGU 97; HEGU 7; BOGU 6; ROYT 21; BLSK 14; BRPE 8</t>
  </si>
  <si>
    <t>SNPL 5</t>
  </si>
  <si>
    <t>Gb</t>
  </si>
  <si>
    <t>female, GO//:Gb//</t>
  </si>
  <si>
    <t>Golden plover</t>
  </si>
  <si>
    <t>SNPL 4; SAND 4</t>
  </si>
  <si>
    <t>St Joe Beach</t>
  </si>
  <si>
    <t>12:230PM-1:15PM</t>
  </si>
  <si>
    <t>clear lig cloud low tide</t>
  </si>
  <si>
    <t>male</t>
  </si>
  <si>
    <t>46 was largest group....lots of small groups</t>
  </si>
  <si>
    <t>female</t>
  </si>
  <si>
    <t>SNPL 1; PIPL 3; REKN 15; SAND 17; DUNL 12; BBPL 2; RUTU 1; WILL 2; GRYE 1; FOTE 5; COTE 178; ROYT 1; BOGU 3; DCCO 9; BRPE 1</t>
  </si>
  <si>
    <t>photos of Common terns</t>
  </si>
  <si>
    <t>10:05-16:15</t>
  </si>
  <si>
    <t>tide mid rising, clouds 20%, no precip, calm, wind 4-7</t>
  </si>
  <si>
    <t>LBCU-1, BBPL-1, RUTU-2, DUNL-2, SBDO-1, SAND-2, SEPL-4</t>
  </si>
  <si>
    <t>Salinas Park</t>
  </si>
  <si>
    <t>AMOY-2, SEPL-1, BBPL-2, WILL-2, PIPL-3, DUNL-3, SAND-2, RUTU-2, RBGU-1</t>
  </si>
  <si>
    <t>09:41-10:54</t>
  </si>
  <si>
    <t>mid rising, clouds 40%, wind 4-7, surf calm</t>
  </si>
  <si>
    <t>IA</t>
  </si>
  <si>
    <t>RBGU-7, ROYT-2, FOTE-3, SAND-5, HERG-48, LAGU-3, BRPE-2</t>
  </si>
  <si>
    <t>HERG-51, ROYT-21, RBGU-3, COTE-71, FOTE-3, SAND-1, BOGU-2</t>
  </si>
  <si>
    <t>SNPL-1, SAND-2, WILL-1</t>
  </si>
  <si>
    <t>SNPL-8, SAND-8, DUNL-1, RUTU-2</t>
  </si>
  <si>
    <t>1 SNPL banded</t>
  </si>
  <si>
    <t>10:55-14:10</t>
  </si>
  <si>
    <t>mid rising, clouds 25%, wind 4-7, surf calm</t>
  </si>
  <si>
    <t>AMOY-2, RUTU-9, SAND-2, BBPL-1</t>
  </si>
  <si>
    <t>G(1A)</t>
  </si>
  <si>
    <t xml:space="preserve">SNPL-2 </t>
  </si>
  <si>
    <t>St. Joseph Bay - SE</t>
  </si>
  <si>
    <t>10:37-14:42</t>
  </si>
  <si>
    <t>70% CC, wind 0-3mph, surg calm, tide mid rising at 0.0ft (L-0.5ft H1.1ft)</t>
  </si>
  <si>
    <t>RUTU-19, SAND- 10, SNPL-2, DUNL-4, FOTE-6, SEPL-5</t>
  </si>
  <si>
    <t xml:space="preserve">People: 6, kayak 1, boats 2, educated 2, predators: dog tracks 2, raccoon 2, BAEA 1, tide at end of survey about 0.9ft. </t>
  </si>
  <si>
    <t>SNPL-5, REKN-1, SAND-13, DUNL-11, RUTU-1, WILL-3, RBGU-1</t>
  </si>
  <si>
    <t>Karen Rogers, Chris Becker, and Robert Longo</t>
  </si>
  <si>
    <t>941-882-7191</t>
  </si>
  <si>
    <t>Cayo Costa State Park</t>
  </si>
  <si>
    <t>G/Y</t>
  </si>
  <si>
    <t>R/O</t>
  </si>
  <si>
    <t>DCCO-62, RBGU-3, BOGU-1, BBPL-1, SAND-10</t>
  </si>
  <si>
    <t xml:space="preserve">No flags present, no bands on lower legs. </t>
  </si>
  <si>
    <t>Highland View</t>
  </si>
  <si>
    <t>7:45AM-9:00AM</t>
  </si>
  <si>
    <t>clear low tide lt cloud</t>
  </si>
  <si>
    <t>YCY</t>
  </si>
  <si>
    <t>SNPL-2, SAND-3</t>
  </si>
  <si>
    <t>C00</t>
  </si>
  <si>
    <t>SNPL-1, WILL-1, BBPL-2, RUTU-4, SAND-2</t>
  </si>
  <si>
    <t>Brian Garrett</t>
  </si>
  <si>
    <t>561-682-6653 bgarret@sfwmd.gov</t>
  </si>
  <si>
    <t>Stormwater Treatment Area-5/6</t>
  </si>
  <si>
    <t>Hendry</t>
  </si>
  <si>
    <t>26 21' 3"</t>
  </si>
  <si>
    <t>Female?</t>
  </si>
  <si>
    <t>80 54' 47"</t>
  </si>
  <si>
    <t>26 24' 41"</t>
  </si>
  <si>
    <t>80 53' 31"</t>
  </si>
  <si>
    <t>RUTU-13, RBGU-13, SAND-3, DUNL-20, HERG-5, BOGU-1</t>
  </si>
  <si>
    <t>FOTE-43, RBGU-14, HERG-600, BOGU-7, LAGU-149, ROYT-70, SAND-3, WILL-3, RUTU-4</t>
  </si>
  <si>
    <t>SNPL-3, SEPL-5, KILL-1</t>
  </si>
  <si>
    <t>2 SNPL banded</t>
  </si>
  <si>
    <t>0734-1120</t>
  </si>
  <si>
    <t>Mostly Cloudy</t>
  </si>
  <si>
    <t>female, RO:S(K/W)//</t>
  </si>
  <si>
    <t>BRPE-3, DCCO-48, ROYT-6, FOTE-1, WILL-1</t>
  </si>
  <si>
    <t>Bev Hansen, Al Hansen</t>
  </si>
  <si>
    <t>352-686-0460 bevalhansen@gmail.com</t>
  </si>
  <si>
    <t>9:15 to 11:37</t>
  </si>
  <si>
    <t>Bayport Park</t>
  </si>
  <si>
    <t>male, B:S//GY</t>
  </si>
  <si>
    <t>100 % cloud with fog rolling in at the end of the survey. Wind 4 to 7. Surf Calm</t>
  </si>
  <si>
    <t>Hernando</t>
  </si>
  <si>
    <t>BUFF - 107, RBGU 5, COLO 1, DCCO 6, GBHE 1, BRPE 5</t>
  </si>
  <si>
    <t>9:45 - 10.25 AM</t>
  </si>
  <si>
    <t>sunny, clear</t>
  </si>
  <si>
    <t xml:space="preserve">Group was split between the open water and artificial structure. No wrack present, Low tide rising. </t>
  </si>
  <si>
    <t>bY//:bK// female</t>
  </si>
  <si>
    <t>REKN 1, DUNL 35, BBPL 4, RUTU 5, SAND 8, MAGO 12, FOTE 2, WILL 23, AMOY 7</t>
  </si>
  <si>
    <t>Bay shore, foraging, wrack present and abundant. One AMOY banded</t>
  </si>
  <si>
    <t>Pine Island Park</t>
  </si>
  <si>
    <t>8:05 - 9:25 am and 10:40 - 11:20</t>
  </si>
  <si>
    <t xml:space="preserve">O </t>
  </si>
  <si>
    <t>AMOY 2, BBPL 4, RUTU 3, MAGO 1, WILL 5, HERG 2, FOTE 1, GRYE 1, DUNL 13</t>
  </si>
  <si>
    <t xml:space="preserve">Group resting and foraging on bay flat. Low tide rising. No birds banded. No wrack. </t>
  </si>
  <si>
    <t>Of</t>
  </si>
  <si>
    <t xml:space="preserve">Y </t>
  </si>
  <si>
    <t>AMOY 2, SEPL 4, MAGO 8, WILL 4, LESA 1, RUTU 5, BBPL 4, FOTE 1, SAND 4, GRYE 1</t>
  </si>
  <si>
    <t xml:space="preserve">Group on sand bar, mid tide rising, wrack present and sparse. Foraging and resting. </t>
  </si>
  <si>
    <t>AMOY 2, BBPL 2, RUTU 4, WILL 2, HERG 1</t>
  </si>
  <si>
    <t>352-686-0460, bevalhansen@gmail.com</t>
  </si>
  <si>
    <t>Brookridge Sewage Treatment Facility</t>
  </si>
  <si>
    <t>0800 to 0900</t>
  </si>
  <si>
    <t>clear, sunny, 50°</t>
  </si>
  <si>
    <t>MAGO 47, WILL 4</t>
  </si>
  <si>
    <t xml:space="preserve">Group flushed by PEFA which flew over a couple of times. Sand bar, mid tide rising, wrack sparse. </t>
  </si>
  <si>
    <t>WHIB 3, LBHE 1, AMOY 2</t>
  </si>
  <si>
    <t>Bay flat, resting and foraging, mid tide rising. No banded AMOY</t>
  </si>
  <si>
    <t>Debbie Grimes, Jane Mann, Stephen Mann</t>
  </si>
  <si>
    <t>727-252-8320 stephenmann@tampabay.rr.com</t>
  </si>
  <si>
    <t>Hernando Beach</t>
  </si>
  <si>
    <t>AMOY 4, PIPL 2, WILL 2, SEPL 27, RUTU 15, BBPL 4, HERG 1, MAGO 2, SBDO 12, REKN 27, WESA 2, SAND 57, DUNL 248, CATE 1</t>
  </si>
  <si>
    <t xml:space="preserve">Group flushed by PEFA which flew over a couple of times. bay flate, mid tide rising, wrack sparse. </t>
  </si>
  <si>
    <t>0730 to 1350</t>
  </si>
  <si>
    <t>MAGO 112, WILL 37, SBDO 53, AMOY 4, PEEPS unidentified (50+)</t>
  </si>
  <si>
    <t>Flushed for unknown reason, No banded AMOY</t>
  </si>
  <si>
    <t>850647-8238 pelican@fairpoint.net</t>
  </si>
  <si>
    <t>St Joseph Pen Rest Project</t>
  </si>
  <si>
    <t>clear light cloud low</t>
  </si>
  <si>
    <t>Low tide, exposed grassy sandbars and plain sandbar habitat.</t>
  </si>
  <si>
    <t>both m+f bds</t>
  </si>
  <si>
    <t>850-647-8238</t>
  </si>
  <si>
    <t>StJoseph Pen Restoration</t>
  </si>
  <si>
    <t>clear low tide light cloud</t>
  </si>
  <si>
    <t>BRPE-55,RBGU-15</t>
  </si>
  <si>
    <t>feeding, resting on shore and water close to shore</t>
  </si>
  <si>
    <t>10:15AM-12:30PM</t>
  </si>
  <si>
    <t xml:space="preserve">Female </t>
  </si>
  <si>
    <t>clear sun low lgt cloud</t>
  </si>
  <si>
    <t>WILL-10, RBGU-2, GOPL-1, FOTE-13, HEGU-5, BOGU-11, SAND-17,BUFF-9</t>
  </si>
  <si>
    <t>no bands observed tidal flat with sand bar</t>
  </si>
  <si>
    <t>Sandy Reed</t>
  </si>
  <si>
    <t>813-956-6096 seareed99@gmail.com</t>
  </si>
  <si>
    <t>Cypress Point Park</t>
  </si>
  <si>
    <t>Hillsborough</t>
  </si>
  <si>
    <t>1309-1502</t>
  </si>
  <si>
    <t>sunny, westerly breeze, 73 degrees</t>
  </si>
  <si>
    <t>NC</t>
  </si>
  <si>
    <t>S//G:GR</t>
  </si>
  <si>
    <t>male, GR:S//B faded red</t>
  </si>
  <si>
    <t>Mark Rachal, Saskia Janes</t>
  </si>
  <si>
    <t>male, WW:S//W</t>
  </si>
  <si>
    <t>813-623-6826, mrachal@audubon.org</t>
  </si>
  <si>
    <t>Hillsborough Bay Boat Survey</t>
  </si>
  <si>
    <t>12:30PM-1:15PM</t>
  </si>
  <si>
    <t>0944-1630</t>
  </si>
  <si>
    <t>clear, low, sunny lt cloud</t>
  </si>
  <si>
    <t>BO</t>
  </si>
  <si>
    <t>Mostly sunny; 63F; Wind NE 5-10mph; tide low and rising</t>
  </si>
  <si>
    <t>largest group 46 many small groups</t>
  </si>
  <si>
    <t>BO//:GO//</t>
  </si>
  <si>
    <t>E60</t>
  </si>
  <si>
    <t>SNPL-5</t>
  </si>
  <si>
    <t xml:space="preserve">S//RY:Yf(E60)//YK.  Red band is very faded. Picture taken </t>
  </si>
  <si>
    <t xml:space="preserve">R </t>
  </si>
  <si>
    <t>Started at low tide rising to mid-tide; survey conducted entirely by boat</t>
  </si>
  <si>
    <t>SNPL-2, SAND-18, WILL-1</t>
  </si>
  <si>
    <t>SNPL all banded</t>
  </si>
  <si>
    <t>X18</t>
  </si>
  <si>
    <t>Al Palonis Park</t>
  </si>
  <si>
    <t>1313-1413</t>
  </si>
  <si>
    <t>SNPL-2, WILL-3</t>
  </si>
  <si>
    <t>sunny, clear, 77 degrees, calm</t>
  </si>
  <si>
    <t>T</t>
  </si>
  <si>
    <t>male, Y:S//OG</t>
  </si>
  <si>
    <t>Yb//:GG//</t>
  </si>
  <si>
    <t>S//K:RG</t>
  </si>
  <si>
    <t>813-956-6096</t>
  </si>
  <si>
    <t>Gandy Park</t>
  </si>
  <si>
    <t>1437-1515</t>
  </si>
  <si>
    <t>KK</t>
  </si>
  <si>
    <t>SNPL-2, WILL-9</t>
  </si>
  <si>
    <t>sunny, clear 77 degrees, calm</t>
  </si>
  <si>
    <t>bG//:KK//</t>
  </si>
  <si>
    <t>YY//:bG//</t>
  </si>
  <si>
    <t>light blue/green</t>
  </si>
  <si>
    <t>green</t>
  </si>
  <si>
    <t>SNPL-9, SAND-14, WILL-3, BBPL-2</t>
  </si>
  <si>
    <t>photo's-nicknamed Hurricane seen here in previous years</t>
  </si>
  <si>
    <t>Mary Keith</t>
  </si>
  <si>
    <t>813-767-5863, keithma1@juno.com</t>
  </si>
  <si>
    <t>Picnic Island</t>
  </si>
  <si>
    <t>1415-1600</t>
  </si>
  <si>
    <t>Clear, windy</t>
  </si>
  <si>
    <t>SNPL-3</t>
  </si>
  <si>
    <t>SNPL-11, WILL-6, BRPE-12, DCCO-3, RBGU-3, FOTE-51, LAGU-8, BOGU-9, HERG-14, ROYT-7, BBPL-2, SAND-22</t>
  </si>
  <si>
    <t>A41</t>
  </si>
  <si>
    <t>PR</t>
  </si>
  <si>
    <t>PIPL-2, GRYE-1, SEPL-10, SAND-7, BBPL-3, WILL-3, DUNL-1, BOGU-4</t>
  </si>
  <si>
    <t>PG</t>
  </si>
  <si>
    <t>Faded red and pinks</t>
  </si>
  <si>
    <t>SNPL-2, SAND-1</t>
  </si>
  <si>
    <r>
      <t xml:space="preserve">Park </t>
    </r>
    <r>
      <rPr/>
      <t>full of dogs, kids, people, surfboards with sails, kayakers, etc.</t>
    </r>
  </si>
  <si>
    <t>SNPL-1, SAND-1</t>
  </si>
  <si>
    <t>male, X:S//YR ("Bones")</t>
  </si>
  <si>
    <t>GY//:KY//</t>
  </si>
  <si>
    <t>orange</t>
  </si>
  <si>
    <t>photo's- nicknamed Sunny, here in previous years orange band jut below knee (on upper part of lower leg)</t>
  </si>
  <si>
    <t>ROYT-285, FOTE-217, SAND-15, RBGU-39, DCCO-16, HERG-17, BRPE-6, BOGU-4, LAGU-205, BLSK-2, WILL-1, RUTU-17, BBPL-1</t>
  </si>
  <si>
    <t>Mary Barnwell and Jim Walther</t>
  </si>
  <si>
    <t>352-279-2984                 </t>
  </si>
  <si>
    <t>Cockroach Bay FIeld Office</t>
  </si>
  <si>
    <t>15:30 to 18:10</t>
  </si>
  <si>
    <t>30% cloud cover, wind 9-11, receding tide</t>
  </si>
  <si>
    <t>PIPL-1, WIPL-3</t>
  </si>
  <si>
    <t>PIPL banded, 2 WIPL banded</t>
  </si>
  <si>
    <t>DUNL 47, AWPE 46, HERG 4, REEG 2, TRHE 2</t>
  </si>
  <si>
    <t xml:space="preserve">11:31, bay flat, mid, no wrack, feeding/resting. </t>
  </si>
  <si>
    <t>No people or dogs.  Bobcats, coyotes in area, several large gators (3+).  Revegetation growth continues to expand on formerly open restoration site.</t>
  </si>
  <si>
    <t>352-279-2984</t>
  </si>
  <si>
    <t>Rock Ponds - Lavender Road</t>
  </si>
  <si>
    <t>DUNL 212, SBDO 19, WHIM 1, WILL 4, BBPL 2, RBGU 1, FOTE 1, WHIB 52, TRHE 1</t>
  </si>
  <si>
    <t>12:24, bay shore, mid, no wrack, feeding</t>
  </si>
  <si>
    <t>08:00 to 10:15</t>
  </si>
  <si>
    <t>100% cloud cover, wind 10-12 gusts to 15 mph, rising tide</t>
  </si>
  <si>
    <t>850-647-8238 pelican+@fairpoint.net</t>
  </si>
  <si>
    <t>clear, low light clouds</t>
  </si>
  <si>
    <t>BBPL-1,SEPL-1,KILL-8,BOGU-48,RBGU-32,LAGU-4,ROYT-1,FOTE-22</t>
  </si>
  <si>
    <t>FOTE-22</t>
  </si>
  <si>
    <t xml:space="preserve">Several gators.  No people observed.  Site fenced and gated.  </t>
  </si>
  <si>
    <t>Bev Hansen</t>
  </si>
  <si>
    <t>9:45 - 10:25 am</t>
  </si>
  <si>
    <t>8:05 - 9:25 am and 10:40 - 11:20 am</t>
  </si>
  <si>
    <t xml:space="preserve">B </t>
  </si>
  <si>
    <t>Doug S., Dick T., Lorna T.</t>
  </si>
  <si>
    <t xml:space="preserve">ACNWR Golden Sands-Ambersands </t>
  </si>
  <si>
    <t>Indian River</t>
  </si>
  <si>
    <t>27.46.796</t>
  </si>
  <si>
    <t>-80.24.300</t>
  </si>
  <si>
    <t>27.49.349</t>
  </si>
  <si>
    <t>-80.25.661</t>
  </si>
  <si>
    <t>0742 to 0921</t>
  </si>
  <si>
    <t>Low tide, clear and calm to light wind. Tide slack, small surf.</t>
  </si>
  <si>
    <t>Beach replenishment underway - bulldozer and excavator on beach. Had 270 BRPE - all in flight overhead, heading south</t>
  </si>
  <si>
    <t>John B., Steve S., Sandee S.</t>
  </si>
  <si>
    <t>jboucher@cfl.rr.com</t>
  </si>
  <si>
    <t>ACNWR SISP-Ambersands</t>
  </si>
  <si>
    <t>27.51.584</t>
  </si>
  <si>
    <t>-80.26.834</t>
  </si>
  <si>
    <t>0755 to 0940</t>
  </si>
  <si>
    <t>Beach replenishment just completed about one week prior to survey. Still dozer tracks on dune face.</t>
  </si>
  <si>
    <t>RS</t>
  </si>
  <si>
    <t>DUNL-30, KILL-7, MAGO-1, SBDO-11, WILL-57,LAGU-40, RBGU-25</t>
  </si>
  <si>
    <t xml:space="preserve">Grassy sandbar exposed at low tide. No banded birds.
</t>
  </si>
  <si>
    <t>Not banded.</t>
  </si>
  <si>
    <t>Joseph Scarola</t>
  </si>
  <si>
    <t>Disney Area Vero Beach, (John's Island to Wabasso Beach)</t>
  </si>
  <si>
    <t>09:07 - 09:49</t>
  </si>
  <si>
    <t>Sunny, 70 degrees F, Winds 5-7 mph N</t>
  </si>
  <si>
    <t>WIPL 3</t>
  </si>
  <si>
    <t>sunny, westerly breeze , 73 degrees</t>
  </si>
  <si>
    <t>SEPL 64</t>
  </si>
  <si>
    <t>HERG 1, FOTE 115, AWPE 55, RBGU 1, ROYT 18, AMOY 4, LBCU 1, WILL 10, SATE 1, CATE 6, LAGU 275, BBPL 3, LBBG 1</t>
  </si>
  <si>
    <t>AMOY 3, HERG 2, ROYT 7, WILL 3, BBPL 4, LAGU 33, FOTE 7, RBGU 7</t>
  </si>
  <si>
    <t>BRPE 42, DCCO 17, RBGU 2, AMOY 3, RUTU 5</t>
  </si>
  <si>
    <t>Kirk Fusco</t>
  </si>
  <si>
    <t>None banded; AMOY copulation</t>
  </si>
  <si>
    <t>407-562-7180 kirk.fusco@dep.state.fl.us</t>
  </si>
  <si>
    <t>IR1-IR28</t>
  </si>
  <si>
    <t xml:space="preserve">Indian River and St Lucie </t>
  </si>
  <si>
    <t>1030-1430</t>
  </si>
  <si>
    <t>Sunny</t>
  </si>
  <si>
    <t>female, Y:S//YK</t>
  </si>
  <si>
    <t>?</t>
  </si>
  <si>
    <t>bird flushed before could get a full ID but confident it had a green band</t>
  </si>
  <si>
    <t>OK//:KO// female</t>
  </si>
  <si>
    <t>AMOY 12, WILL 7, LAGU 100, RBGU 5</t>
  </si>
  <si>
    <t>IR29-IR41</t>
  </si>
  <si>
    <t>1230-1600</t>
  </si>
  <si>
    <t>LAGU 199, RBGU 1, FOTE 1, ROYT 34, RUTU 7</t>
  </si>
  <si>
    <t>Karen Rogers and Robert Hughes</t>
  </si>
  <si>
    <t>Lovers Key State Park</t>
  </si>
  <si>
    <t>LAGU 77, RUTU 4, ROYT 7, BRPE 10, RBGU 1</t>
  </si>
  <si>
    <t>0845-0948</t>
  </si>
  <si>
    <t>Sunny, 69F, calm seas, incoming low tide</t>
  </si>
  <si>
    <t>JK</t>
  </si>
  <si>
    <t>male, YR:S//GR</t>
  </si>
  <si>
    <t>AMOY 1</t>
  </si>
  <si>
    <t>male, Y:S//KR</t>
  </si>
  <si>
    <t>Meg Rousher</t>
  </si>
  <si>
    <t>239-936-3350 megrousher@gmail.com</t>
  </si>
  <si>
    <t>Bunche Beach-Salt Flats</t>
  </si>
  <si>
    <t>female, O//W:S//</t>
  </si>
  <si>
    <t>7:00am-9:10am</t>
  </si>
  <si>
    <t>Sunny 1-66</t>
  </si>
  <si>
    <t>Bb</t>
  </si>
  <si>
    <t>DCCO 75, BRPE 2, ROYT 1, AMOY 2, RUTU 5</t>
  </si>
  <si>
    <t>male, GR:S//Y</t>
  </si>
  <si>
    <t>AMOY 5</t>
  </si>
  <si>
    <t>female, WB:S//Y</t>
  </si>
  <si>
    <t>1400 - 1730</t>
  </si>
  <si>
    <t>Clear, calm winds, 75 degrees, low tide incoming</t>
  </si>
  <si>
    <t>LAGU 425, RBGU 12, BRPE 7, ROYT 3, FOTE 1, DCCO 4</t>
  </si>
  <si>
    <t>Little Estero Critical Wildlife Area</t>
  </si>
  <si>
    <t>RBGU 62, AMOY 6, RUTU 3, BRPE 1, DCCO 12, LAGU 25, ROYT 3</t>
  </si>
  <si>
    <t>RR</t>
  </si>
  <si>
    <t>6:50am-7:45am</t>
  </si>
  <si>
    <t>RBGU 15, LAGU 100</t>
  </si>
  <si>
    <t>Foggy 57, high tide at 9:50am</t>
  </si>
  <si>
    <t>O94</t>
  </si>
  <si>
    <t>black</t>
  </si>
  <si>
    <t>black/orange/black (triple split)</t>
  </si>
  <si>
    <t>orange w/green dot</t>
  </si>
  <si>
    <t>black w/O($ in white letters</t>
  </si>
  <si>
    <t>Photo's-previously seen here</t>
  </si>
  <si>
    <t>FOTE 92, ROYT 3, LAGU 11, BRPE 1, WILL 6, SAND 6, RUTU 3</t>
  </si>
  <si>
    <t>1 ROYT banded (see datasheet #3)</t>
  </si>
  <si>
    <t xml:space="preserve"> sunny, clear, calm, 77 degrees</t>
  </si>
  <si>
    <t>sunny, clear, calm 77 degrees</t>
  </si>
  <si>
    <t>REKN 5</t>
  </si>
  <si>
    <t>RIGU 110, LAGU 65</t>
  </si>
  <si>
    <t>7:45am-8:45am</t>
  </si>
  <si>
    <t>Foggy 58, high tide at 9:50am</t>
  </si>
  <si>
    <t>No Focal Species, Banded Birds or Large Groups</t>
  </si>
  <si>
    <t>IR1-IR28 Spoil Islands</t>
  </si>
  <si>
    <t>Indian River and St Lucie</t>
  </si>
  <si>
    <t>0845-0945</t>
  </si>
  <si>
    <t>DUNL 18, WILL 38</t>
  </si>
  <si>
    <t>0845-0946</t>
  </si>
  <si>
    <t>0845-0947</t>
  </si>
  <si>
    <t>SAND -58</t>
  </si>
  <si>
    <t>Unable to read USFWS band number from photos</t>
  </si>
  <si>
    <t>Tom and Lindsay Bell</t>
  </si>
  <si>
    <t>727-871-1082  tandl1621@gmail.com</t>
  </si>
  <si>
    <t>Ft Desoto Park</t>
  </si>
  <si>
    <t>BRPE- 12, DCCO-12, HEGU-6, LAGU-20, SATE-30, ROYT-30, RBGU-10</t>
  </si>
  <si>
    <t>Estero Lagoon</t>
  </si>
  <si>
    <t xml:space="preserve">birds were hanging out on the sandbar just offshore within park boundaries
</t>
  </si>
  <si>
    <t>No banded birds observed</t>
  </si>
  <si>
    <t>8:45am-9:05am</t>
  </si>
  <si>
    <t>Foggy 59, high tide at 9:50am</t>
  </si>
  <si>
    <t>Sunny 61-66 light breeze</t>
  </si>
  <si>
    <t>WIPL-3</t>
  </si>
  <si>
    <t>no nesting activity observed</t>
  </si>
  <si>
    <t>2 &amp; 5</t>
  </si>
  <si>
    <t>Rebecca Ruthberg-Campagna</t>
  </si>
  <si>
    <t>Clear skies, calm wind, 75 degrees; tide very low and rising.</t>
  </si>
  <si>
    <t>727-698-4403, rruthberg@gmail.com</t>
  </si>
  <si>
    <t>Indian Rocks Beach, 22nd ave-whitehurst ave</t>
  </si>
  <si>
    <t>Gasparilla Island State Park</t>
  </si>
  <si>
    <t>PIPL 15</t>
  </si>
  <si>
    <t>3 are banded (see data sheet 3)</t>
  </si>
  <si>
    <t>0815-0900</t>
  </si>
  <si>
    <t>Sunny, 66F, Wind ENE 6 mph, incoming high tide</t>
  </si>
  <si>
    <t>RKNT</t>
  </si>
  <si>
    <t xml:space="preserve">unreadable
</t>
  </si>
  <si>
    <t>in a group of 23 knots only one was banded with a mint green flag on the upper right leg.</t>
  </si>
  <si>
    <t>Claire Herzog, Nancy Edmondson</t>
  </si>
  <si>
    <t>Most birds were observed on the piear pilings at the north end of the park.  Multiple off leash dogs were spotted in the main beach portion of the state park.</t>
  </si>
  <si>
    <t>941-780-0545                     ceherzog@gmail.com</t>
  </si>
  <si>
    <t>Black/white</t>
  </si>
  <si>
    <t>Orange/Red</t>
  </si>
  <si>
    <t>LAGU 100, BLSK 200, CATE 1, ROTE 15, SATE 10, FOTE 1, REKN 10, WILL 100, WHIM 1, MAGO 25</t>
  </si>
  <si>
    <t>not sure, just posted to fl banded birds facebook site</t>
  </si>
  <si>
    <t>photo available ceherzog@gmail.com</t>
  </si>
  <si>
    <t>SAND 200, RUTU 10, WESA 100, LESA 50, DUNL 150, SEPL 100, SBDO 100, LEYE 4, LAGU 200, RBGU 12, HERG 1</t>
  </si>
  <si>
    <t>John Leon</t>
  </si>
  <si>
    <t>330843-6643 jozn57@gmail.com</t>
  </si>
  <si>
    <t>Manasota Key Coastal Wild life Z-4</t>
  </si>
  <si>
    <t>-82.25.3099</t>
  </si>
  <si>
    <t>1030-1346</t>
  </si>
  <si>
    <t>Clear, sunny, 75F, calm seas, Wind E - ENE 5-7 mph, low tide</t>
  </si>
  <si>
    <t>Some red tide in saw no birds</t>
  </si>
  <si>
    <t>Foggy 59, high tide 9:50am</t>
  </si>
  <si>
    <t>feeding along the shore</t>
  </si>
  <si>
    <t>Carlos Pointe</t>
  </si>
  <si>
    <t>Sanibel 1 (Lighthouse to Sanibel Inn)</t>
  </si>
  <si>
    <t>SNPL-10, WIPL-2, PIPL-3</t>
  </si>
  <si>
    <t>resting</t>
  </si>
  <si>
    <t>WIPL - 2</t>
  </si>
  <si>
    <t>9:59 - 10:50</t>
  </si>
  <si>
    <t>Sunny, 76 degrees F, 7 mph East</t>
  </si>
  <si>
    <t>BRPE - 10, DCCO - 10, HEGU-2, RBGU- 13, ROYT-35, LAGU-43, RUTU-1</t>
  </si>
  <si>
    <t>SNPL - 5</t>
  </si>
  <si>
    <t>-82.25.3098</t>
  </si>
  <si>
    <t>1030-1345</t>
  </si>
  <si>
    <t xml:space="preserve">RUTU-27, WILL-1, BBPL-12, SEPL-1, REKT- 3 </t>
  </si>
  <si>
    <t xml:space="preserve">no bands observed.  GPS point is correct.  The beach has widened at this point along the coast due to the offshore shoal, which has also created a sand spit that extends out from the shoreline into the gulf.  </t>
  </si>
  <si>
    <t>Sanibel 2 (Sanibel Inn to the pool at Sundial Resort)</t>
  </si>
  <si>
    <t>RUTU-32, ROYT - 46, LAGU - 11, BBPL- 5, REKT - 3, DUNL- 52, SAND-59, HEGU - 19, BRPE- 2, DCCO-2</t>
  </si>
  <si>
    <t xml:space="preserve">Birds hanging out on the newly formed sand spit jutting out from the beach at this GPS location
</t>
  </si>
  <si>
    <t>SNPL - 6</t>
  </si>
  <si>
    <t>10:51 - 11:15</t>
  </si>
  <si>
    <t>DUNL-50, SAND-50, BBPL-32, RUTU-14</t>
  </si>
  <si>
    <t>SEPL-4, SNPL-1, WIPL-2</t>
  </si>
  <si>
    <t>WIPL-4, SEPL-2</t>
  </si>
  <si>
    <t>PIPL-2, WIPL-1</t>
  </si>
  <si>
    <t xml:space="preserve">one banded piping plover.
</t>
  </si>
  <si>
    <t>WIPL-2, SEPL-12</t>
  </si>
  <si>
    <t>13:35 - 14:26</t>
  </si>
  <si>
    <t>ROYT-163, CATE-1, BRPE-2, RBGU-10, LAGU-8, BBPL-4, RUTU-2, SEPL-1, SAND-1</t>
  </si>
  <si>
    <t>on mud flat in the lagoon</t>
  </si>
  <si>
    <t>SNPL-9</t>
  </si>
  <si>
    <t>William Jones</t>
  </si>
  <si>
    <t xml:space="preserve">239 495-3882 trogon@aol.com </t>
  </si>
  <si>
    <t>Bonita Beach</t>
  </si>
  <si>
    <t xml:space="preserve">26.366126N
</t>
  </si>
  <si>
    <t>SAND-56, DUNL-32</t>
  </si>
  <si>
    <t>-81.863917W</t>
  </si>
  <si>
    <t>26.330352N</t>
  </si>
  <si>
    <t>Includes RBGU, LAGU, ROYT, RUTU, SAND, LBBG</t>
  </si>
  <si>
    <t>0715-1015</t>
  </si>
  <si>
    <t>clear, light wind, 60-70 F</t>
  </si>
  <si>
    <t>Includes RBGU, LAGU, ROYT, SATE, WILL</t>
  </si>
  <si>
    <t>This is very low species and number count for this beach. This is probably due in most part (there were very few shell zombies this early) to the low tide. When the adjacent Estero Bay tide is low the shorebirds, waders and seabirds tend to congregate on the bay. Every time I do a count on the bay from my kayak during low tide, I count 1000+ shorebirds and hundreds of waders and seabirds. So...I did a survey and the day after I did Bonita Beach and found the usual: 10 shorebird species totaling about 12000 plus the usual waders, gulls and terns. The question is, do you want this survey included in your survey?</t>
  </si>
  <si>
    <t>Penny Jarrett, Mark Slater</t>
  </si>
  <si>
    <t>239-634-7602     pjarrett32@yahoo.com</t>
  </si>
  <si>
    <t>Fort Myers Beach</t>
  </si>
  <si>
    <t>8:45 - 10:50</t>
  </si>
  <si>
    <t>Mid 70's, pleasant</t>
  </si>
  <si>
    <t>6 SNPL</t>
  </si>
  <si>
    <t>239-634-7602      pjarrett32@yahoo.com</t>
  </si>
  <si>
    <t>Survey done by bicycle.  Majority (over 90%) of shorebirds had left the beach on the bicycle ride back to starting point.</t>
  </si>
  <si>
    <t xml:space="preserve">8:45 - 10:50 </t>
  </si>
  <si>
    <t>mid 70's,  pleasant</t>
  </si>
  <si>
    <t>RUTU 1, WILL 84, SAND 33</t>
  </si>
  <si>
    <t>3:30 - 5:30</t>
  </si>
  <si>
    <t>70's, pleasant, afternoon clouds</t>
  </si>
  <si>
    <t>mid 70's, pleasant</t>
  </si>
  <si>
    <t>RUTU 3, WILL 30, RBGU 1, SAND 38</t>
  </si>
  <si>
    <t>239-634-7602    pjarrett32@yahoo.com</t>
  </si>
  <si>
    <t>LAGU 2, RBGU 1, RUTU 3, SAND 67, WILL 45</t>
  </si>
  <si>
    <t>239-634-7602      pjarrett32@yahoo.com</t>
  </si>
  <si>
    <t>LAGU 3, RBGU 1, RUTU 1, SAND 85, WILL 1</t>
  </si>
  <si>
    <t>239-634-7602            pjarrett32@yahoo.com</t>
  </si>
  <si>
    <t>mid 70's, afternoon clouds</t>
  </si>
  <si>
    <t>BBPL 1, SAND 36, LAGU 17, RBGU 2, RUTU 9, WILL 52, LESA 26, DUNL 7, SBDO 3</t>
  </si>
  <si>
    <t>239-634-7602</t>
  </si>
  <si>
    <t>LAGU 65, RBGU 2, ROTE 1</t>
  </si>
  <si>
    <t>-82.0801</t>
  </si>
  <si>
    <t>26.43011</t>
  </si>
  <si>
    <t>-82.11200</t>
  </si>
  <si>
    <t>10:34 - 12:07</t>
  </si>
  <si>
    <t>Sunny, 76 degrees F, 8 mph SSE</t>
  </si>
  <si>
    <t>26.43009</t>
  </si>
  <si>
    <t>-82.11198</t>
  </si>
  <si>
    <t>10:34 - 12:05</t>
  </si>
  <si>
    <t>72 ROYT, 53 RUTU, 10 WILL, 95 SAND, 2 RBGU, 8 LAGU, 22 SATE, 4 REKN, 10 BBPL, 3 DUNL</t>
  </si>
  <si>
    <t>4 REKN</t>
  </si>
  <si>
    <t>80 SAND</t>
  </si>
  <si>
    <t>180 ROYT, 25 RUTU, 8 RBGU, 80 SAND, 66 LAGU, 34 SATE, 1 DUNL, 2 LBBG</t>
  </si>
  <si>
    <t>Sanibel 5 (Sanibel beach access #1 to Tradewinds Motel)</t>
  </si>
  <si>
    <t>26.44961</t>
  </si>
  <si>
    <t>-82.14276</t>
  </si>
  <si>
    <t>13:50 - 14:55</t>
  </si>
  <si>
    <t>70 ROYT, 16 LAGU, 17 REKN, 4 SAND, 2 RUTU, 1 SATE</t>
  </si>
  <si>
    <t>17 REKN</t>
  </si>
  <si>
    <t>Sanibel 6 (Tradewinds Motel to SCCF pylon)</t>
  </si>
  <si>
    <t>26.46507</t>
  </si>
  <si>
    <t xml:space="preserve"> -82.16710</t>
  </si>
  <si>
    <t>14:56 - 16:07</t>
  </si>
  <si>
    <t>10 RUTU, 40 BBPL, 48 REKN, 4 WILL, 41 SBDO, 101 SAND, 76 DUNL, 130 ROYT, 14 SATE, 16 LAGU, 1 RBGU, 1 LBBG</t>
  </si>
  <si>
    <t>48 REKN</t>
  </si>
  <si>
    <t>49 SAND, 8 DUNL, 12 REKN, 17 BBPL, 1 RBGU, 68 SBDO, 6 RUTU</t>
  </si>
  <si>
    <t>12 REKN</t>
  </si>
  <si>
    <t>2 REKN, 1 SNPL</t>
  </si>
  <si>
    <t>3 REKN, 1 SNPL</t>
  </si>
  <si>
    <t>3 SNPL</t>
  </si>
  <si>
    <t>2 SNPL</t>
  </si>
  <si>
    <t>Sanibel 7 (SCCF pylon to Blind Pass)</t>
  </si>
  <si>
    <t>26.48267</t>
  </si>
  <si>
    <t>-82.18226</t>
  </si>
  <si>
    <t>12:38 - 13:32</t>
  </si>
  <si>
    <t>Sunny, 77 degrees F, 7 mph SSW</t>
  </si>
  <si>
    <t>77 ROYT, 1 LBBG, 1 RBGU, 24 SATE, 2 SAND, 6 LAGU, 3 WIPL, 1 BBPL</t>
  </si>
  <si>
    <t>3 WIPL</t>
  </si>
  <si>
    <t>26.48248</t>
  </si>
  <si>
    <t>-82.18379</t>
  </si>
  <si>
    <t>26.51776</t>
  </si>
  <si>
    <t>-82.19275</t>
  </si>
  <si>
    <t>10:36 - 12:08</t>
  </si>
  <si>
    <t>Foggy, 75 degree F, 5 mph SSW</t>
  </si>
  <si>
    <t>2 REKN</t>
  </si>
  <si>
    <t>23 BBPL, 46 SAND, 51 RUTU, 8 REKN, 32 DUNL, 2 SEPL, 1 WILL, 1 SBDO</t>
  </si>
  <si>
    <t>8 REKN, 1 REKN banded</t>
  </si>
  <si>
    <t>4 SEPL, 32 SAND, 6 WILL, 9 BBPL, 11 RUTU, 1 RBGU</t>
  </si>
  <si>
    <t>60 WILL, 4 SAND</t>
  </si>
  <si>
    <t>36 LAGU, 25 ROYT, 16 SATE, 1 RBGU, 1 LBBG, 1 SAND, 3 WILL</t>
  </si>
  <si>
    <t>Captiva 2 (Captiva Dr. SW to North tip of Captiva)</t>
  </si>
  <si>
    <t>26.55160</t>
  </si>
  <si>
    <t xml:space="preserve"> -82.20132</t>
  </si>
  <si>
    <t>09:10 - 10:35</t>
  </si>
  <si>
    <t>69 ROYT, 3 RBGU, 1 HERG, 4 LAGU, 4 SATE, 2 SAND, 2 RUTU</t>
  </si>
  <si>
    <t>2 unkown terns</t>
  </si>
  <si>
    <t>36 BLSK, 140 ROYT, 13 SATE, 21 LAGU, 6 RBGU, 3 RUTU, 4 SAND</t>
  </si>
  <si>
    <t>5 unkown terns</t>
  </si>
  <si>
    <t>9 BBPL, 120 SAND, 2 RBGU, 3 RUTU, 2 WILL, 1 LBBG</t>
  </si>
  <si>
    <t>Gasparilla Island South</t>
  </si>
  <si>
    <t>7:25 am - 9:00 am</t>
  </si>
  <si>
    <t xml:space="preserve">fog, 71F, calm becoming partially clear </t>
  </si>
  <si>
    <t>No focal species.  No banded birds.  No large groups.</t>
  </si>
  <si>
    <t>Suzi Fox</t>
  </si>
  <si>
    <t>941-788-5638, suzilfox@gmail.com</t>
  </si>
  <si>
    <t>Anna Maria Island</t>
  </si>
  <si>
    <t>9:00-10:30</t>
  </si>
  <si>
    <t>Clear, sunny, calm,  incoming tide</t>
  </si>
  <si>
    <t>LAGU-287</t>
  </si>
  <si>
    <t>LAGU-150</t>
  </si>
  <si>
    <t>LAGU-425</t>
  </si>
  <si>
    <t>LAGU-272</t>
  </si>
  <si>
    <t>0705 - 1005</t>
  </si>
  <si>
    <t>58-60F, foggy/overcast</t>
  </si>
  <si>
    <t>LAGU-231</t>
  </si>
  <si>
    <t>LAGU-58</t>
  </si>
  <si>
    <t>SATE-61</t>
  </si>
  <si>
    <t>D</t>
  </si>
  <si>
    <t>Ashley Scarpa</t>
  </si>
  <si>
    <t>863-255-4415            ashleyscarpa@me.com</t>
  </si>
  <si>
    <t>LAGU-40, RBGU-8, HERG-1, LBBG-1, FOTE-6, ROYT-6, SAND-2</t>
  </si>
  <si>
    <t>Passage Key</t>
  </si>
  <si>
    <t>1 banded (see Data Sheet 3)</t>
  </si>
  <si>
    <t>10:15-11:40</t>
  </si>
  <si>
    <t>clear, slight chop</t>
  </si>
  <si>
    <t>E</t>
  </si>
  <si>
    <t>BRPE-5, LAGU-20, RBGU-5, HERG-1, LBBG-1, FOTE-18, ROYT-18, SATE-1</t>
  </si>
  <si>
    <t>230-250</t>
  </si>
  <si>
    <t>GBHE-1, LAGU-275, RBGU-70, HERG-18, LBBG-1, FOTE-20, ROYT-4, SATE-6, BLSK-6</t>
  </si>
  <si>
    <t>300+</t>
  </si>
  <si>
    <t>863-255-4415 ashleyscarpa@me.com</t>
  </si>
  <si>
    <t xml:space="preserve">Survey was done on an imcoming high tide.  Lower portions of the island were still exposed. </t>
  </si>
  <si>
    <t xml:space="preserve">Clear, slight chop </t>
  </si>
  <si>
    <t xml:space="preserve">REKN 57 none banded </t>
  </si>
  <si>
    <t>DCCO 300+</t>
  </si>
  <si>
    <t>Close to 100 were present at time of arrival. Around 11:10 another 200 flew in from the north/northeast</t>
  </si>
  <si>
    <t>Kate Fraser, Diana Gu</t>
  </si>
  <si>
    <t>772-546-6141 katelyn_fraser@fws.gov</t>
  </si>
  <si>
    <t>Hobe Sound NWR</t>
  </si>
  <si>
    <t>Kelly Martin, Chris Johnson</t>
  </si>
  <si>
    <t>561-402-9496, Kelly@floridaleatherbacks.com</t>
  </si>
  <si>
    <t>Martin County southern limit to Hobe Sound National Wildlife Refuge</t>
  </si>
  <si>
    <t>12:54pm-2:00pm</t>
  </si>
  <si>
    <t>Sunny, partly cloudy, windy, 80F</t>
  </si>
  <si>
    <t>10:47 to 12:20</t>
  </si>
  <si>
    <t>RBGU-170, SAND-1, ROYT-12, LBBG- 10, WILL-2</t>
  </si>
  <si>
    <t>Sunny, flat seas, E wind 5 mph</t>
  </si>
  <si>
    <t>14:11 - 15:47</t>
  </si>
  <si>
    <t>Sunny, 76 degrees F, Winds 15-20 mph ESE</t>
  </si>
  <si>
    <t>Total Number of Birds 55; Includes SAND, LAGU, RBGU, and RUTU</t>
  </si>
  <si>
    <t>1 ROTY - Banded</t>
  </si>
  <si>
    <t>Samantha Pessolano, Ryan Dulfer</t>
  </si>
  <si>
    <t>772-334-3729, Sam@ecological-associates.com</t>
  </si>
  <si>
    <t>St. Lucie Inlet State Park (End of Hobe Sound National Wildlife Refuge to the S End of St. Lucie Intlet)</t>
  </si>
  <si>
    <t>13:56 - 14:30</t>
  </si>
  <si>
    <t>Sunny, 85 degrees F, Winds 8 mpg SW</t>
  </si>
  <si>
    <t>No Focal Spedies, Banded Birds or Large Groups</t>
  </si>
  <si>
    <t>Ricardo Zambrano Christine Raininger</t>
  </si>
  <si>
    <t>561-882-5719 ricardo.zambrano@myfwc.com</t>
  </si>
  <si>
    <t>MC2 Bird Island</t>
  </si>
  <si>
    <t xml:space="preserve">Martin </t>
  </si>
  <si>
    <t>13:35 to 16:05</t>
  </si>
  <si>
    <t>sunny, mostly clear, 87 F, winds 16-23 gusts mph</t>
  </si>
  <si>
    <t>BRPE - 66, DCCO -17</t>
  </si>
  <si>
    <t>no banded birds</t>
  </si>
  <si>
    <t>ricardo.zambrano@myfwc.com (561)882-5719</t>
  </si>
  <si>
    <t xml:space="preserve">Martin County IRl Sandbar </t>
  </si>
  <si>
    <t>WILL - 4, SAND - 59, BBPL - 9, RUTU-2, DUNL - 3, SEPL -2, SBDO - 1</t>
  </si>
  <si>
    <t>Lakeside Ranch STA</t>
  </si>
  <si>
    <t>27 09' 24.6"</t>
  </si>
  <si>
    <t>80 40' 37.6"</t>
  </si>
  <si>
    <t>1223-1417</t>
  </si>
  <si>
    <t>9:51-14:05</t>
  </si>
  <si>
    <t>partly cloudy with 10-15 knot winds</t>
  </si>
  <si>
    <t>SNPL (1, banded), Ruddy Turnstone (3, one banded), PIPL (28), Royal Terns (22)</t>
  </si>
  <si>
    <t>Carol Rizkalla, Dan O'Malley</t>
  </si>
  <si>
    <t>561-882-5710, carol.rizkalla@myfwc.com</t>
  </si>
  <si>
    <t>Virginia Key</t>
  </si>
  <si>
    <t>10:10-12:30</t>
  </si>
  <si>
    <t>Partly cloudy, warm</t>
  </si>
  <si>
    <t>BRPE - 41, DCCO - 31, LAGU - 1, HEGU - 1, ROYT - 1</t>
  </si>
  <si>
    <t>BBPL - 45, BRPE - 8, RUTU - 1</t>
  </si>
  <si>
    <t>BLSK - 135, ROYT - 80, RBGU -10, HEGU - 45, LAGU - 65, DCCO - 11, BRPE - 5, LBBG - 8, GBBG - 1</t>
  </si>
  <si>
    <t>0818 to 1400</t>
  </si>
  <si>
    <t>Partly cloudy, winds 10-15 kts</t>
  </si>
  <si>
    <t>6 Brown Pelican, 14 Double-crested cormorants, 18 black-bellied plovers, 22 royal terns, 13 semi-palmated plovers, 11 laughing gulls, 1 ring-billed gull</t>
  </si>
  <si>
    <t>1 banded pelican, 4 banded royal terns</t>
  </si>
  <si>
    <t>116 Royal terns, 1 double-crested cormorant, 9 ring-billed gulls, 29 laughing gulls, 42 double-crested cormorants</t>
  </si>
  <si>
    <t>11 banded royal terns</t>
  </si>
  <si>
    <t>42 Double-crested cormorants, 11 brown pelicans, 2 ring-billed gulls</t>
  </si>
  <si>
    <t>Group was too far away to detect bands</t>
  </si>
  <si>
    <t xml:space="preserve">48 double-crested cormorants, 1 herring gull, 1 laughing gull, </t>
  </si>
  <si>
    <t>28 double-crested cormorants, 42 royal terns, 23 laughing gulls, 18 brown pelicans, 4 ring-billed gulls, 1 herring gull, 2 ruddy turnstone, 1 caspian tern</t>
  </si>
  <si>
    <t>1 banded brown pelican</t>
  </si>
  <si>
    <t>Elizabeth Golden</t>
  </si>
  <si>
    <t>305-361-8779 Elizabeth.Golden@dep.state.fl.us</t>
  </si>
  <si>
    <t>Village of Key Biscayne</t>
  </si>
  <si>
    <t>8:40 - 9:15</t>
  </si>
  <si>
    <t>partly sunny, 72 degrees, wind NW 3 mph</t>
  </si>
  <si>
    <t>LAGU 53, RBGU 5, HERG 2, LBBG 2</t>
  </si>
  <si>
    <t>Kate Watts, Patrice Betz</t>
  </si>
  <si>
    <t>305-872-2239 ext 227</t>
  </si>
  <si>
    <t>Great White Heron NWR</t>
  </si>
  <si>
    <t>Monroe</t>
  </si>
  <si>
    <t>09:00 - 13:00</t>
  </si>
  <si>
    <t>sunny &amp; clear, winds 5-10 at start, 10-15 at end</t>
  </si>
  <si>
    <t>WILL 36</t>
  </si>
  <si>
    <t>National Key Deer Refuge</t>
  </si>
  <si>
    <t>14:00 - 16:00</t>
  </si>
  <si>
    <t>sunny &amp; clear, winds 10-15</t>
  </si>
  <si>
    <t>WILL 6, SBDO 255, BBPL 58, SEPL 63, LESA 27, KILL 1, SAND 6</t>
  </si>
  <si>
    <t>SEPL 105</t>
  </si>
  <si>
    <t>Key West NWR</t>
  </si>
  <si>
    <t>Grand total includes 1 GBHE &amp; 1 LBHE</t>
  </si>
  <si>
    <t>09:30 - 14:30</t>
  </si>
  <si>
    <t>sunny &amp; clear, winds 5-10</t>
  </si>
  <si>
    <t>WHIM 1, BBPL 110, SAND 30, RUTU 4, SBDO 85</t>
  </si>
  <si>
    <t>BBPL 75, SBDO 68, SAND 4, LESA 2</t>
  </si>
  <si>
    <t>Sidney Maddock</t>
  </si>
  <si>
    <t>FIX</t>
  </si>
  <si>
    <t>09:00 - 12:00</t>
  </si>
  <si>
    <t>PIPL 4 No Bands</t>
  </si>
  <si>
    <t>PIPL 5 No Bands</t>
  </si>
  <si>
    <t xml:space="preserve">Britta Muiznieks,
Sid Maddock, John Kipp
</t>
  </si>
  <si>
    <t>East Florida Bay</t>
  </si>
  <si>
    <t xml:space="preserve">9:20:00 &amp; 16:17 </t>
  </si>
  <si>
    <t>Sunny, calm</t>
  </si>
  <si>
    <t>BRPE 61</t>
  </si>
  <si>
    <t>Jenson Beach (Ft. Pierce)</t>
  </si>
  <si>
    <t xml:space="preserve">ROTE 3, SEPL 50+, Sandpiper sp. 75+, DUNL 20, Dowitcher sp. 6, </t>
  </si>
  <si>
    <t>7:00 - 8:30 am</t>
  </si>
  <si>
    <t xml:space="preserve">clear and calm
</t>
  </si>
  <si>
    <t>REKN 35, SEPL 75, Sandpiper sp. 200, RBGU 3</t>
  </si>
  <si>
    <t xml:space="preserve">WIPL 1, CATE 1, LESA 26, SESA 11, Sandpiper sp. 11, </t>
  </si>
  <si>
    <t>REKN 10, DUNL 20, CATE 2, RBGU 2, DCCO 7, Dowitcher sp. 10, BBPL 5</t>
  </si>
  <si>
    <t>Britta Muiznieks, Sid Maddock, Maryanne Biggar, John Kipp</t>
  </si>
  <si>
    <t>Cape Sable Area</t>
  </si>
  <si>
    <t>-80. 8616</t>
  </si>
  <si>
    <t>-80.81.1362</t>
  </si>
  <si>
    <t>8:31 &amp; 16:29</t>
  </si>
  <si>
    <t>BLSK 500+, BRPE 50, CATE 20</t>
  </si>
  <si>
    <t xml:space="preserve">Ricardo Zambrano Christine Raininger </t>
  </si>
  <si>
    <r>
      <rPr>
        <color rgb="FF1155CC"/>
      </rPr>
      <t>ricardo.zambrano@myfwc.com</t>
    </r>
    <r>
      <t xml:space="preserve"> (561)882-5719</t>
    </r>
  </si>
  <si>
    <t>Martin County IRL </t>
  </si>
  <si>
    <t>Sunny, mostly clear, Low tide and rising, Temp 87, wind 16 with gusts to 23</t>
  </si>
  <si>
    <t>AWPE 50+</t>
  </si>
  <si>
    <t>Waypoint estimated-observed in distance from pt. #1.</t>
  </si>
  <si>
    <t>ROTE 100, BRPE 3, RUTU 2, BBPL 2, CATE 1, DCCO 4, FOTE 1</t>
  </si>
  <si>
    <t xml:space="preserve">One pelican was alive but tangled in a fishing line at MC2. Bird was successfully released unharmed. </t>
  </si>
  <si>
    <t>WHIM 5, BRPE 3, AWPE 3, LBCU 1, ROTE 172, CATE 4, DCCO 200, SAND 1, Sandpiper sp. 1000+, DUNL 30</t>
  </si>
  <si>
    <t>Sandpipers were all over the mud flats and appeared to be a mixture of least and western.  Count includes all of Lake Ingraham.</t>
  </si>
  <si>
    <t>BBPL 31, AWPE 347, RUTU 53, Dowitcher sp. 34, BRPE 97, Sandpiper sp. 1, LAGU 20, DCCO 1, RBGU 8, GBBG 1, WILL 4, DUNL 1, SEPL 19, SAND 87</t>
  </si>
  <si>
    <t>11:02-12:40</t>
  </si>
  <si>
    <t>8 PIPL</t>
  </si>
  <si>
    <t>One PIPL was banded. S. Maddock helped with band code.  Also checked Plover Key and North Plover Key but no PIPLs observed.</t>
  </si>
  <si>
    <t>Sid Maddock</t>
  </si>
  <si>
    <t>11:21-12:29</t>
  </si>
  <si>
    <t>2 PIPL</t>
  </si>
  <si>
    <t>Neither was banded.</t>
  </si>
  <si>
    <t>Everglades City to Pavilion Key</t>
  </si>
  <si>
    <t>12:00-16:28</t>
  </si>
  <si>
    <t>4 AMOY</t>
  </si>
  <si>
    <t>None banded.</t>
  </si>
  <si>
    <t>11 AMOY</t>
  </si>
  <si>
    <t>None banded. One young of year with darker bill.</t>
  </si>
  <si>
    <t>120 WHPE, 10 DCCO, ROTE 70, RBGU 1</t>
  </si>
  <si>
    <t>4 PIPL</t>
  </si>
  <si>
    <t>Two banded.</t>
  </si>
  <si>
    <t>5 AMOY, 30 ROTE, 1 LAGU, 4 DCCO, 20 SAND</t>
  </si>
  <si>
    <t>305-361-8779</t>
  </si>
  <si>
    <t>30 SAND, 23 DCCO, 5 BRPE, 11 ROTE</t>
  </si>
  <si>
    <t>30 ROTE, 3 BBPL, 39 DUNL, 45 RUTU, 2 BRPE, 10 DCCO, 30 SPPL</t>
  </si>
  <si>
    <t>Amelia Island State Park</t>
  </si>
  <si>
    <t>Partly sunny, 72 degrees, wind NW 3 mph</t>
  </si>
  <si>
    <t>Nassau</t>
  </si>
  <si>
    <t>0114 to 0152</t>
  </si>
  <si>
    <t>Sunny, p. cloudy, 78F</t>
  </si>
  <si>
    <t>WIPL 31</t>
  </si>
  <si>
    <t>Flock roosting in wrack line near dune vegetation</t>
  </si>
  <si>
    <t>Amelia Island State Park</t>
  </si>
  <si>
    <t>REKN 4</t>
  </si>
  <si>
    <t>none banded, roosting on submerged rocks at northern boundary of park</t>
  </si>
  <si>
    <t xml:space="preserve">Pat Leary </t>
  </si>
  <si>
    <t>904-775-8831  PRLeary@Bellsouth.net</t>
  </si>
  <si>
    <t xml:space="preserve">Nassau Co. ICW to Nassau Sound </t>
  </si>
  <si>
    <t>Nassau - Duval</t>
  </si>
  <si>
    <t>Bill Baggs Cape Florida State Park</t>
  </si>
  <si>
    <t>0945 - 1415 Hr.</t>
  </si>
  <si>
    <t xml:space="preserve">clear, 60-70s mid to last of flood - neap tide levels </t>
  </si>
  <si>
    <t>8:10 - 8:40</t>
  </si>
  <si>
    <t>Am. Oystercatcher (12)</t>
  </si>
  <si>
    <t>Mostly cloudy with some fog, 71 degrees, wind W 3 mph</t>
  </si>
  <si>
    <t xml:space="preserve">no bands recorded due to flock density and obstructing dock structure (curb concealing lower legs)  Majority of winter flock missing and not located - adjoining docks fitted with abatement devices (mono-line projecting above dock deck) </t>
  </si>
  <si>
    <t>Am. Oystercatcher (17)</t>
  </si>
  <si>
    <t>Two bands recorded</t>
  </si>
  <si>
    <t xml:space="preserve">Piping Plover (11) </t>
  </si>
  <si>
    <t>four bands recorded</t>
  </si>
  <si>
    <t xml:space="preserve">Wilson's Plover (1) </t>
  </si>
  <si>
    <t>8:30AM to 9:57AM</t>
  </si>
  <si>
    <t>Clouds 50%, No Precip, Temp 70, wind 10 to 15</t>
  </si>
  <si>
    <t>SNPL - 3, SAND - 1</t>
  </si>
  <si>
    <t>SNPL - 1 banded</t>
  </si>
  <si>
    <t>SNPL - 2 banded</t>
  </si>
  <si>
    <t>SNPL - 4 banded</t>
  </si>
  <si>
    <t>SNPL - 4</t>
  </si>
  <si>
    <t>Caroline Stahala Liz Trueblood</t>
  </si>
  <si>
    <t>919-673-9393 cstahala@audubon.org</t>
  </si>
  <si>
    <t>Henderson SP</t>
  </si>
  <si>
    <t>0825 - 0920</t>
  </si>
  <si>
    <t>60F overcast</t>
  </si>
  <si>
    <t>no groups only individual birds</t>
  </si>
  <si>
    <t>Ricardo Zambrano, Christina Kontos</t>
  </si>
  <si>
    <t>Peanut Island</t>
  </si>
  <si>
    <t>1230-1440</t>
  </si>
  <si>
    <t>Adrienne McCracken, Rick Newman</t>
  </si>
  <si>
    <t>561-627-8280 ext 110. Amccracken@marinelife.org.</t>
  </si>
  <si>
    <t>Jupiter &amp; Juno Beach: Jupiter Inlet to northern boundary of John D. MacArthur Beach State Park</t>
  </si>
  <si>
    <t>10:02-11:01</t>
  </si>
  <si>
    <t>sunny, ~70F, wind ~5mph NE</t>
  </si>
  <si>
    <t>SAND - 92</t>
  </si>
  <si>
    <t>Palm Beach Shores: south boundary of John D. MacArthur Beach State Park to Palm Beach Inlet</t>
  </si>
  <si>
    <t>11:10-11:33</t>
  </si>
  <si>
    <t>BLSK - 120</t>
  </si>
  <si>
    <t>Tequesta Beach: Martin County Line to Jupiter Inlet</t>
  </si>
  <si>
    <t>13:20-13:34</t>
  </si>
  <si>
    <t>no large groups or focal species observed</t>
  </si>
  <si>
    <t>9:30 to 12:22</t>
  </si>
  <si>
    <t>Sunny, 2' waves, NE winds 5-10 mph</t>
  </si>
  <si>
    <t>BBPL 46, SAND 4</t>
  </si>
  <si>
    <t>No bands.</t>
  </si>
  <si>
    <t>LAGU 46, ROYT 9, RBGU 5</t>
  </si>
  <si>
    <t>2 ROYT had metal federal band only</t>
  </si>
  <si>
    <t>Sidney was looking specifically for PIPL during this survey</t>
  </si>
  <si>
    <t>LAGU 69, RBGU 8, LBBG 1, ROYT 1, SAND 1</t>
  </si>
  <si>
    <t>ROYT 20, SATE 23, LAGU 70, RBGU 17, LBBG 3</t>
  </si>
  <si>
    <t>1 ROTY had metal federal band only</t>
  </si>
  <si>
    <t>LAGU 50, ROYT 3, RUTU 1, RBGU 1</t>
  </si>
  <si>
    <t>A1 FEB</t>
  </si>
  <si>
    <t>26 20' 9"</t>
  </si>
  <si>
    <t>80 33' 21"</t>
  </si>
  <si>
    <t>1042-1430</t>
  </si>
  <si>
    <t>26 27 52</t>
  </si>
  <si>
    <t>80 38 25</t>
  </si>
  <si>
    <t>AWPE 250, BLSK 100</t>
  </si>
  <si>
    <t xml:space="preserve">Survey done by boat. </t>
  </si>
  <si>
    <t>26 27 50</t>
  </si>
  <si>
    <t>80 41 15</t>
  </si>
  <si>
    <t>AWPE 65</t>
  </si>
  <si>
    <t>26 26 25</t>
  </si>
  <si>
    <t>80 41 07</t>
  </si>
  <si>
    <t>LBDO 400</t>
  </si>
  <si>
    <t>26 27 18</t>
  </si>
  <si>
    <t>80 41 03</t>
  </si>
  <si>
    <t>LBDO 500</t>
  </si>
  <si>
    <t>26 25 48</t>
  </si>
  <si>
    <t>80 41 16</t>
  </si>
  <si>
    <t>LBDO 70</t>
  </si>
  <si>
    <t>Survey done by boat.  Over 1000 sandpipers observed on Lake Ingraham.</t>
  </si>
  <si>
    <t>Britta Muiznieks,  Sid Maddock, Maryanne Biggar, John Kipp</t>
  </si>
  <si>
    <t>26 25 41</t>
  </si>
  <si>
    <t>LBDO 100</t>
  </si>
  <si>
    <t>Kirt Rusenko, David Anderson</t>
  </si>
  <si>
    <t>561-544-8613 krusenko@myboca.us</t>
  </si>
  <si>
    <t>Boca Raton - North &amp; Central</t>
  </si>
  <si>
    <t>07:55-8:45</t>
  </si>
  <si>
    <t>mostly cloudy, patchy fog, 70°F</t>
  </si>
  <si>
    <t>No focal species, banded birds, or large groups.</t>
  </si>
  <si>
    <t>Gail Tomei, Marcia Yeip, Elaine Siegel</t>
  </si>
  <si>
    <t>blackgrouper@comcast.net</t>
  </si>
  <si>
    <t>Southern Causeway</t>
  </si>
  <si>
    <t>Survey done by foot.</t>
  </si>
  <si>
    <t>Stormwater Treatment Area-1W</t>
  </si>
  <si>
    <t>26 40' 36.6"</t>
  </si>
  <si>
    <t>80 22' 50.8"</t>
  </si>
  <si>
    <t>0819-1013</t>
  </si>
  <si>
    <t>26 39 40</t>
  </si>
  <si>
    <t>80 24 36</t>
  </si>
  <si>
    <t>BLSK 100</t>
  </si>
  <si>
    <t>David Anderson</t>
  </si>
  <si>
    <t>561-544-8614 manderson@myboca.us</t>
  </si>
  <si>
    <t>Boca Raton - South</t>
  </si>
  <si>
    <t>10:15-11:05</t>
  </si>
  <si>
    <t>partly cloudy, 77°F</t>
  </si>
  <si>
    <t>9:16 to 11:05</t>
  </si>
  <si>
    <t>Partly sunny, flat seas, S wind 5 mph</t>
  </si>
  <si>
    <t>ROYT 42, SAND 8, RBGU 24, LBBG 37, LAGU 13</t>
  </si>
  <si>
    <t>13 ROYT had metal federal band only. Photos available.</t>
  </si>
  <si>
    <t>low tide, incoming, clear 65f light NNE@5mph</t>
  </si>
  <si>
    <t>AMOY 1, HERG 2, RBGU 4</t>
  </si>
  <si>
    <t>no bands observed</t>
  </si>
  <si>
    <t>North Anclote Bar</t>
  </si>
  <si>
    <t>9:25-10:00am</t>
  </si>
  <si>
    <t>outgoing low tide 60f clear</t>
  </si>
  <si>
    <t>AMOY 3, SAND 5, RUTU 1, PIPL 6, SNPL 3</t>
  </si>
  <si>
    <t>BRPE 82, SNPL 4, SAND 12, HEGU 12, ROYT 75, FOTE 45, BLSK 8, LAGU 190, RBGU 5, DCCO 400</t>
  </si>
  <si>
    <t>PIPL 6, SNPL 3, SPPL 2, BBPL 2, SAND 12, LAGU 4, RBGU 1</t>
  </si>
  <si>
    <t>2 banded PIPL</t>
  </si>
  <si>
    <t>REKN 7, RUTU 9, SAND 9</t>
  </si>
  <si>
    <t>Survey done near high tide, rising. unseasonably warm, sunny, many visitors on beach</t>
  </si>
  <si>
    <t>ROYT 38, FOTE 45, LAGU 25, SAND 2</t>
  </si>
  <si>
    <t>RUTU 1, SAND 1, BBPL 2, SNPL 1</t>
  </si>
  <si>
    <t>no bands observed. 1 unleashed dog</t>
  </si>
  <si>
    <t>Ken Tracey</t>
  </si>
  <si>
    <t>727-372-9640 Ken Tracey</t>
  </si>
  <si>
    <t>Pasco Coast</t>
  </si>
  <si>
    <t>0700-0715</t>
  </si>
  <si>
    <t>clear, 76F</t>
  </si>
  <si>
    <t>DCCO 81</t>
  </si>
  <si>
    <t>Brandon Volbrecht, Donna Bear</t>
  </si>
  <si>
    <t>904-277-7226 brandon.volbrecht@dep.state.fl.us</t>
  </si>
  <si>
    <t>Fort Clinch State Park</t>
  </si>
  <si>
    <t>0900 -1130</t>
  </si>
  <si>
    <t>Sunny, light wind W, 70F</t>
  </si>
  <si>
    <t>0800-0815</t>
  </si>
  <si>
    <t>DCCO 60</t>
  </si>
  <si>
    <t>727-372-9640 kftracey@verizon.net</t>
  </si>
  <si>
    <t>0945-1000</t>
  </si>
  <si>
    <t>Clear, 70F</t>
  </si>
  <si>
    <t>DCCO 64</t>
  </si>
  <si>
    <t>1030-1045</t>
  </si>
  <si>
    <t>DCCO 553</t>
  </si>
  <si>
    <t>1200-1215</t>
  </si>
  <si>
    <t>clear 75F</t>
  </si>
  <si>
    <t>LAGU 110</t>
  </si>
  <si>
    <t xml:space="preserve">904-775-8831 PRLeary@Bellsouth.net </t>
  </si>
  <si>
    <t xml:space="preserve">Lt. Tiger Island to Nassau Sound </t>
  </si>
  <si>
    <t>Nassau - Duval Counties</t>
  </si>
  <si>
    <t>0945-1415 Hr.</t>
  </si>
  <si>
    <t xml:space="preserve">clear, W-W-NW 5-15, 60-70s tide mid to last of flood. Neap tide levels </t>
  </si>
  <si>
    <t>100s across entire route</t>
  </si>
  <si>
    <t>3000+ across entire route</t>
  </si>
  <si>
    <t xml:space="preserve">100s </t>
  </si>
  <si>
    <t>100s</t>
  </si>
  <si>
    <t>1245-1250</t>
  </si>
  <si>
    <t>LAGU 90</t>
  </si>
  <si>
    <t>0105-0115</t>
  </si>
  <si>
    <t>BRPE 53</t>
  </si>
  <si>
    <t xml:space="preserve">In most locations, shorebirds were in densely-massed, mixed-species, concentrations preventing accurate species counts. large flocks in Nassau Sound were continuously flushing and shifting locations across the entire sound preventing accurate tallies. Birds did not concentrate at traditional sites due to neap tide conditions with flocks occupying lower-elevation substrates in marsh habitats. </t>
  </si>
  <si>
    <t>LAGU 66</t>
  </si>
  <si>
    <t>727-372-9640 Ken Tracey kftracey@verizon.net</t>
  </si>
  <si>
    <t>0900-0915</t>
  </si>
  <si>
    <t>clear, 65F</t>
  </si>
  <si>
    <t>LAGU 70</t>
  </si>
  <si>
    <t>1000-1030</t>
  </si>
  <si>
    <t>clear, 70F</t>
  </si>
  <si>
    <t>DUNL 59</t>
  </si>
  <si>
    <t>Clouds 50%, No Precip, Temp 70, winds 10-15</t>
  </si>
  <si>
    <t>RBGU 65</t>
  </si>
  <si>
    <t>0245-0300</t>
  </si>
  <si>
    <t>DCCO 190</t>
  </si>
  <si>
    <t>0400-0415</t>
  </si>
  <si>
    <t>DCCO 255</t>
  </si>
  <si>
    <t>0445-0500</t>
  </si>
  <si>
    <t>DCCO 380</t>
  </si>
  <si>
    <t>-82.82.798</t>
  </si>
  <si>
    <t>9:55a- 1:00p</t>
  </si>
  <si>
    <t>clear dry light wind low tide</t>
  </si>
  <si>
    <t>(DUNL, SBDO, SAND) 100, PIPL 4, REKN 2</t>
  </si>
  <si>
    <t>(HEGU, ROYT, SATE, FOTE, LAGU, BRPE, DCCO) 70</t>
  </si>
  <si>
    <t>(WESP, DUNL, SEPL, BBPL, SBDO, CATE, NOHA, GRIE) 160, REKN 1, PIPL 9</t>
  </si>
  <si>
    <t>9:00-11:50am</t>
  </si>
  <si>
    <t>sunny clear</t>
  </si>
  <si>
    <t>Dana Kerstein, Barbara Bleakley, Jeanne Trotter</t>
  </si>
  <si>
    <t>727 439-0141 dana.kerstein@gmail.com</t>
  </si>
  <si>
    <t>Three Rooker North Island</t>
  </si>
  <si>
    <t>10:20-12:20</t>
  </si>
  <si>
    <t>clear 68f 2-3mph NNE</t>
  </si>
  <si>
    <t>Taylor Creek STA</t>
  </si>
  <si>
    <t>Okeechobee</t>
  </si>
  <si>
    <t>9:00- 10:45am</t>
  </si>
  <si>
    <t>62f breezy 0% cloud cover</t>
  </si>
  <si>
    <t>27 18' 17.6"</t>
  </si>
  <si>
    <t>80 49' 35.8"</t>
  </si>
  <si>
    <t>1345-1415</t>
  </si>
  <si>
    <t>Nubbin Slough STA</t>
  </si>
  <si>
    <t>27 12' 20.8"</t>
  </si>
  <si>
    <t>80 44' 19.2"</t>
  </si>
  <si>
    <t>1450-1630</t>
  </si>
  <si>
    <t>AMOY 6</t>
  </si>
  <si>
    <t>4 adult, 2 juves.</t>
  </si>
  <si>
    <t>Dunedin Causeway</t>
  </si>
  <si>
    <t>7:09 - 7:35am</t>
  </si>
  <si>
    <t>slight breeze sunny 57f</t>
  </si>
  <si>
    <t>BLSK 61, LAGU 27, RBGU 5, RUTU 2, WILL 1</t>
  </si>
  <si>
    <t>Peter Plage</t>
  </si>
  <si>
    <t>904-731-3085 peter_plage@fws.gov</t>
  </si>
  <si>
    <t>Treasure Island</t>
  </si>
  <si>
    <t>9:15-10:15</t>
  </si>
  <si>
    <t>60 derees cloudy to 70 degrees clear,light NE</t>
  </si>
  <si>
    <t>BOGU 1, LAGU 20, RBGU 10, HERG 1, LBBG 1, FOTE 1, ROYT 40</t>
  </si>
  <si>
    <t>DCCO 175, HEGU 3, RBGU 11, LAGU 1, BRPE 8</t>
  </si>
  <si>
    <t>DCCO 84, BLSK 200, gull sp. 80</t>
  </si>
  <si>
    <t>green flag upper left EFG</t>
  </si>
  <si>
    <t>Rick Schofield</t>
  </si>
  <si>
    <t>ase@rschofield.net</t>
  </si>
  <si>
    <t>Stormwater Treatment Area-1E</t>
  </si>
  <si>
    <t>0800-1100</t>
  </si>
  <si>
    <t>Kat Harris, Diana Daniels</t>
  </si>
  <si>
    <t>352 442-0454 diana.daniels@dep.state.fl.us</t>
  </si>
  <si>
    <t>Honeymoon Island State Park</t>
  </si>
  <si>
    <t>7:30-11:30am</t>
  </si>
  <si>
    <t>sunny 58f low tide</t>
  </si>
  <si>
    <t xml:space="preserve">PIPL 1 </t>
  </si>
  <si>
    <t>561-627-8280 ext 110 amccracken@marinelife.org</t>
  </si>
  <si>
    <t>PIPL 16, SNPL 8</t>
  </si>
  <si>
    <t xml:space="preserve"> 1 banded PIPL, photos taken</t>
  </si>
  <si>
    <t>PIPL 2, WIPL 2</t>
  </si>
  <si>
    <t>1 banded PIPL, photos taken</t>
  </si>
  <si>
    <t>RBGU 1, LAGU 30, ROYT 80, FOTE, 65, SAND 1</t>
  </si>
  <si>
    <t>REKN 11, WIPL 4, PIPL 8, AMOY 2</t>
  </si>
  <si>
    <t>3 banded PIPL, photos taken</t>
  </si>
  <si>
    <t>ROYT 5, FOTE 13, LAGU 44, HEGU 3, RBGU 1, SAND 2</t>
  </si>
  <si>
    <t>60 degrees to 70 degrees, cloudy to clear, light NE.</t>
  </si>
  <si>
    <t>SAND 1, BOGU 1, LAGU 96, RBGU 30, HEGU 4, FOTE 9, ROYT 19</t>
  </si>
  <si>
    <t xml:space="preserve">SAND 13, DCCO 134, BRPE 9, RBGU 19, HERG 1, </t>
  </si>
  <si>
    <t>SAND 13, SBDO 44, BBPL 6, WIPL 7, DUNL 50, PIPL 1, RUTU 3, SESA 13, WESA 5, LEYL 1, SEPL 1, AMOY 1, HEGU 1, FOTE 11, LAGU 3, ROYT 11</t>
  </si>
  <si>
    <t>SAND 55</t>
  </si>
  <si>
    <t>SBDO 91, REKN 31, ROYT 1, SNPL 2, PIPL 2, BBPL 20, AMOY 2, SAND 8, SEPL 13, WIPL 1, WESP 20</t>
  </si>
  <si>
    <t>mudflat on north end</t>
  </si>
  <si>
    <t>SEPL 39, AMOY 2, BBPL 2, LAGU 1, DUNL 5, SBDO 2, RUTU 1, SESA 17, WESP 1</t>
  </si>
  <si>
    <t>727-461-4762 jhood2@tampabay.rr.com</t>
  </si>
  <si>
    <t>South Clearwater Beach</t>
  </si>
  <si>
    <t>0730-1130</t>
  </si>
  <si>
    <t>Stormwater Treatment Area-2</t>
  </si>
  <si>
    <t>clear,sunny,low tide</t>
  </si>
  <si>
    <t>0857-1058</t>
  </si>
  <si>
    <t>727-348-7819    blumax100@gmail.com</t>
  </si>
  <si>
    <t>Stormwater Treatment Area-3/4</t>
  </si>
  <si>
    <t>26 20' 8"</t>
  </si>
  <si>
    <t>80 33' 23"</t>
  </si>
  <si>
    <t>MAGO 31, WHIM 2, SEPL 5, SBDO 6, DUNL 1, GRYE 1, WILL 52, RUTU 5, SAND 5, RBGU 14, LAGU 35, ROYT 50, SATE 1, FOTE 1, BLSK 40</t>
  </si>
  <si>
    <t>BLSK 1 banded</t>
  </si>
  <si>
    <t>1430-1611</t>
  </si>
  <si>
    <t>22nd ave-whitehurst ave Indian Rocks Becah</t>
  </si>
  <si>
    <t>A1-FEB</t>
  </si>
  <si>
    <t>7:30am-9am</t>
  </si>
  <si>
    <t>rising tide, foggy 54 degrees F with mist</t>
  </si>
  <si>
    <t>REKN 23</t>
  </si>
  <si>
    <t>1 individual had mint green flag on upper right leg</t>
  </si>
  <si>
    <t>Ft Desoto Park  East beach turnaround to Bay Pier</t>
  </si>
  <si>
    <t>8:40AM-10:10AM</t>
  </si>
  <si>
    <t>58/ light fog/ cloudy/low tide</t>
  </si>
  <si>
    <t>Wilson's Plover- 1</t>
  </si>
  <si>
    <t>One hour after high tide.</t>
  </si>
  <si>
    <t>Kelly Martin, Natasha Biarrieta</t>
  </si>
  <si>
    <t>Palm Beach (Monceau Court) to Breakers Resort</t>
  </si>
  <si>
    <t>10:14 to 12:18</t>
  </si>
  <si>
    <t>Sunny, hot, flat seas, S wind 5 mph</t>
  </si>
  <si>
    <t>Saskia Janes</t>
  </si>
  <si>
    <t>727-231-5520 icegull@netzero.com</t>
  </si>
  <si>
    <t>Sunset Beach-Treasure Island</t>
  </si>
  <si>
    <t>0900/1130</t>
  </si>
  <si>
    <t>overcast wind: 7mph N, 60-64F</t>
  </si>
  <si>
    <t xml:space="preserve">Paul Ingham, David Hopkins           </t>
  </si>
  <si>
    <t>727-510-4592 paulingham.psai55@gma.l.com</t>
  </si>
  <si>
    <t>Sand Key Clearwater to Indian Rocks Beach</t>
  </si>
  <si>
    <t>9:50am-12:00pm</t>
  </si>
  <si>
    <t>high tide, clear, 65F,3mph E winds.</t>
  </si>
  <si>
    <t>561-876-1690 blackgrouper@comcast.net</t>
  </si>
  <si>
    <t>REKN 50</t>
  </si>
  <si>
    <t>Sunny, light breeze</t>
  </si>
  <si>
    <t>REKN 79</t>
  </si>
  <si>
    <t>ROTE 74 LAGU 89</t>
  </si>
  <si>
    <t>Sand Key Park Beach, no Bands Observed</t>
  </si>
  <si>
    <t>Dylan Kahn</t>
  </si>
  <si>
    <t>(815) 355-8451 dskahn@eckerd.edu</t>
  </si>
  <si>
    <t>Gulfport Beach</t>
  </si>
  <si>
    <t>10:00 AM - 11:00 AM</t>
  </si>
  <si>
    <t>Clear weather, sunny, low wind</t>
  </si>
  <si>
    <t>LAGU - 78 Willet-64</t>
  </si>
  <si>
    <t>727-595-9284           sbjenks@hotmail.com</t>
  </si>
  <si>
    <t>North Redington Beach &amp; Redington Shores</t>
  </si>
  <si>
    <t>9:10-11:25</t>
  </si>
  <si>
    <t>Clear skies, light breeze, calm water, in-between tide</t>
  </si>
  <si>
    <t>LAGU 27, ROTE 17, FOTE 20, RBGU 3, SATE 2</t>
  </si>
  <si>
    <t>Mid-tide, falling.</t>
  </si>
  <si>
    <t>LAGU 53, RBGU 4</t>
  </si>
  <si>
    <t>BBPL 2, RUTU 2, REKN 8, DUNL 60, FOTE 29, SATE 2, ROTE 34, RBGU 10, LAGU 4</t>
  </si>
  <si>
    <t>No banded REKN.</t>
  </si>
  <si>
    <t>BLSK 75, FOTE 13, ROTE 37, LAGU 3, RBGU 6</t>
  </si>
  <si>
    <t>No banded BLSK.</t>
  </si>
  <si>
    <t>SAND 130</t>
  </si>
  <si>
    <t>Phil Schaeffer, Margaret Schaeffer</t>
  </si>
  <si>
    <t>727-346-8375, kenwoodphil@gmail.com</t>
  </si>
  <si>
    <t>North Shore Park, St Petersburg</t>
  </si>
  <si>
    <t>10:30 - 11:00</t>
  </si>
  <si>
    <t>Sunny, 73 degrees, wind 4-7 mph</t>
  </si>
  <si>
    <t>140 BLSK, 1 BBPL, 15 MAGO, 1 REKN, 1 WILL, 1 BRPE, 6 FOTE, 1 HERG, 12 LAGU, 15 RBGU, 12 ROYT</t>
  </si>
  <si>
    <t>1 REKN, no bands</t>
  </si>
  <si>
    <t>11:00-12:30</t>
  </si>
  <si>
    <t>Sunny, 75F, low wind</t>
  </si>
  <si>
    <t>Ricardo Zambrano, Andrea Pereyra</t>
  </si>
  <si>
    <t>Bingham Islands (Fishermans to Hunters)</t>
  </si>
  <si>
    <t>0840-0915</t>
  </si>
  <si>
    <t>BLSK-210</t>
  </si>
  <si>
    <t>Lorraine Margeson</t>
  </si>
  <si>
    <t>727 415 4804 donlocomm@aol.com</t>
  </si>
  <si>
    <t>Fort De Soto Park North Beach</t>
  </si>
  <si>
    <t>27 380046</t>
  </si>
  <si>
    <t>82 442426</t>
  </si>
  <si>
    <t>27 385594</t>
  </si>
  <si>
    <t>82 443740</t>
  </si>
  <si>
    <t>0830-0930</t>
  </si>
  <si>
    <t>66F sunny</t>
  </si>
  <si>
    <t>27 381469</t>
  </si>
  <si>
    <t>82 442649</t>
  </si>
  <si>
    <t>LAGU-71 RBGU-78 BLSK-98</t>
  </si>
  <si>
    <t>Kat Harrism Lorraine Margeson, Holley Short, Peter Plage, Eric Plage</t>
  </si>
  <si>
    <t>0930-1230</t>
  </si>
  <si>
    <t>Sunny 73F, wind 3-10 SSE. Tide mid falling </t>
  </si>
  <si>
    <t>SEPL 5, BBPL 3, SAND 58, DUNL 7, RUTU 2, WIPL 13, PIPL 10</t>
  </si>
  <si>
    <t>2 banded PIPL, roosting in shell hash with SAND</t>
  </si>
  <si>
    <t>Sunny 73F, wind 3-10 SSE, Tide mid falling</t>
  </si>
  <si>
    <t>SAND 119, RUTU 7, BBPL 220, BRPE 24, ROYT 160, DUNL 245, COTE 1, FOTE 70, SATE 57, LAGU 23, HEGU 5, LBBG 1, RBGU 2, SBDO 107, AMOY 2, REKN 30, PIPL 7</t>
  </si>
  <si>
    <t>1 banded AMOY feeding along shoreline, 2 flagged REKN roosting, 1 banded PIPL and 1 flagged PIPL roosting</t>
  </si>
  <si>
    <t xml:space="preserve">No bands. Roosting </t>
  </si>
  <si>
    <t>Shell Key Preserve</t>
  </si>
  <si>
    <t>0930 - 1107</t>
  </si>
  <si>
    <t>windy, high 60s, no cloud cover</t>
  </si>
  <si>
    <r>
      <t xml:space="preserve">BRPE 3, AWPE 24, WESA 60, SAND 58, DUNL 370, SEPL 15, BBPL 28, CATE 2, LAGU 19, RBGU 4, ROYT 13, FOTE 2, </t>
    </r>
    <r>
      <rPr>
        <b/>
      </rPr>
      <t>PIPL 6</t>
    </r>
  </si>
  <si>
    <t>located on "Sand Key" (sandbar off of Shell Key), none banded</t>
  </si>
  <si>
    <t>one guy and his unleashed dog camping on island</t>
  </si>
  <si>
    <r>
      <t xml:space="preserve">AWPE 153, SEPL 422, LESA 72, WESA 118, SAND 125, RUTU 15, WILL 300, SBDO 60, DUNL 684, RBGU 108, CATE 4, LAGU 11, HERG 4, LBBG 1, BOGU 1, BBPL 35, </t>
    </r>
    <r>
      <rPr>
        <b/>
      </rPr>
      <t>WIPL 8, PIPL 27, REKN 50</t>
    </r>
  </si>
  <si>
    <t>2 banded PIPL, 2 banded REKN</t>
  </si>
  <si>
    <t>Nancy Ogden</t>
  </si>
  <si>
    <t>727-894-5940 verdnan23@gmail.com</t>
  </si>
  <si>
    <t>Middle Beach Fort De Soto</t>
  </si>
  <si>
    <t>08:26-10:20</t>
  </si>
  <si>
    <t>overcast, 68 F; very low tide</t>
  </si>
  <si>
    <t>40 double-crested cormorants on offshore tower</t>
  </si>
  <si>
    <t>No shorebirds at all</t>
  </si>
  <si>
    <t>St. Pete Beach South Route</t>
  </si>
  <si>
    <t>11am - 12pm</t>
  </si>
  <si>
    <t>overcast, low wind, rising tide</t>
  </si>
  <si>
    <t>No focal species, banded birds, or large groups</t>
  </si>
  <si>
    <t>St. Pete Beach North Route</t>
  </si>
  <si>
    <t>1230pm - 130pm</t>
  </si>
  <si>
    <t>727-595-9284        sbjenks@hotmail.com</t>
  </si>
  <si>
    <t>9:10-11:05</t>
  </si>
  <si>
    <t>Sunny, breezy from the south, incoming tide, 79F by 11 am.</t>
  </si>
  <si>
    <t>REKN 126, RUTU 8, ROTE 8, BBPL 6, WILL 4, SATE 1, FOTE 2, DUNL 11, LBBG 1, RBGU 1</t>
  </si>
  <si>
    <t>6 banded REKN. ( see datasheet #3)</t>
  </si>
  <si>
    <t>9:10-11:06</t>
  </si>
  <si>
    <t>BBPL 12, REKN 70, DUNL 13, RUTU 1, SAND 20, LAGU 5</t>
  </si>
  <si>
    <t>7 banded REKN. ( see datasheet #3)</t>
  </si>
  <si>
    <t>9:10-11:07</t>
  </si>
  <si>
    <t>ROTE 20, RBGU 5, FOTE 4, LAGU 14, WILL 5, BBPL 3, REKN 37, SBDO 1, BOGU 1, SAND 2</t>
  </si>
  <si>
    <t>4 banded REKN &amp; 1 banded ROTE. (see datasheet #3)</t>
  </si>
  <si>
    <t>Dave Kandz</t>
  </si>
  <si>
    <t>727-642-8567 dave@rbdigital.biz</t>
  </si>
  <si>
    <t>Madeira Beach</t>
  </si>
  <si>
    <t>7:00am - 6:00pm</t>
  </si>
  <si>
    <t>clear, 75F</t>
  </si>
  <si>
    <t>11:25am - 2:00pm</t>
  </si>
  <si>
    <t>Clear</t>
  </si>
  <si>
    <t>BLSK 150</t>
  </si>
  <si>
    <t>Robert Hardy</t>
  </si>
  <si>
    <t>727-490-9384, rfhardy@gmail.com</t>
  </si>
  <si>
    <t>Pass-a-Grille, St. Pete Beach</t>
  </si>
  <si>
    <t>14:00 - 15:00</t>
  </si>
  <si>
    <t>Clear, wind 10-15 NW, low tide</t>
  </si>
  <si>
    <t>LAGU-52, RBGU-44, HERG-13, ROYT-5, SATE-3, DCCO-1, WILL-1</t>
  </si>
  <si>
    <t>Clearwater Beach - North</t>
  </si>
  <si>
    <t>0758 - 0840</t>
  </si>
  <si>
    <t>wind 9mph, 90% cloud cover, 70F</t>
  </si>
  <si>
    <t xml:space="preserve">0700-1630
</t>
  </si>
  <si>
    <t>fair, south wind 5-10</t>
  </si>
  <si>
    <t>SPSA-2, BLSK-78, BOGU-34, LAGU-32, RBGU-8, ROTE-2, FOTE-5</t>
  </si>
  <si>
    <t>CCC beach, Clearwater. None banded.</t>
  </si>
  <si>
    <t>LAGU-200, RBGU-50, DUNL-1, AMOY-2, MAGO-2, ROTE-6, FOTE-2,BLSK-86,LBBG-1,HEGU-1</t>
  </si>
  <si>
    <t>Ben T. Davis beach, Tampa. None banded.</t>
  </si>
  <si>
    <t>SEPL-100, WIPL-5, RUTU-50, DUNL-400, SBDO-150, BBPL-75, REKN-150, WESA-20, SAND-25</t>
  </si>
  <si>
    <t xml:space="preserve">CCC Trail near poles C129-C133. Very large congregation of shorebirds, frequently displaced by passing hikers, bikers, and persons of limited intelligence and wildlife empathy. 3 Banded REKN here.
</t>
  </si>
  <si>
    <t>RUTU-8, WILL-80, LESA-9, SPSA-2, AMOY-22</t>
  </si>
  <si>
    <t xml:space="preserve">North access road west of hump. None banded. High tide, AMOYs and WILLs resting on rocks.
</t>
  </si>
  <si>
    <t>Caroline Stahala Emily McKiddy</t>
  </si>
  <si>
    <t>Pensacola Beach</t>
  </si>
  <si>
    <t>1055 - 1250</t>
  </si>
  <si>
    <t xml:space="preserve">65F overcast </t>
  </si>
  <si>
    <t>SAND-55 ROPI-28 LAGU-6 ROYT-4 RBGU-12 BLSK-2</t>
  </si>
  <si>
    <t>Navarre Beach Sound Side</t>
  </si>
  <si>
    <t>1154-1236</t>
  </si>
  <si>
    <t>Partly cloudy, 75F, Wind SSE 7 mph</t>
  </si>
  <si>
    <t>1 banded PIPL foraging on shore of tidal pond</t>
  </si>
  <si>
    <t>Navarre Beach Gulf Side</t>
  </si>
  <si>
    <t>1246-1315</t>
  </si>
  <si>
    <t>Cloudy, thunder, 71F, Wind S 12mph</t>
  </si>
  <si>
    <t>Kathy Gault</t>
  </si>
  <si>
    <t>8508831145 gault@eglin.af.mil</t>
  </si>
  <si>
    <t>Eglin restricted North</t>
  </si>
  <si>
    <t>Santa Rosa, Okaloosa</t>
  </si>
  <si>
    <t>10:42am to 12:42AM</t>
  </si>
  <si>
    <t>Clouds 50%, No precip, temp 75 wind 10 to 15</t>
  </si>
  <si>
    <t>No large groups or focal species</t>
  </si>
  <si>
    <r>
      <rPr>
        <color rgb="FF1155CC"/>
      </rPr>
      <t>carolyn.gindl.ctr@us.af.mil</t>
    </r>
    <r>
      <t>; (850) 698-3443</t>
    </r>
  </si>
  <si>
    <t>0825 to 1019</t>
  </si>
  <si>
    <t>Overcast; Precip: 0%; Temp: +/-70; Winds: 10-20</t>
  </si>
  <si>
    <t>11 Snowy Plovers, 8 Sanderlings</t>
  </si>
  <si>
    <t>3 snowy plovers unbanded, 8 banded.  No banded sanderlings.</t>
  </si>
  <si>
    <t>Approximately 440 Bonaparte's gulls, 2 Sanderlings, 6 Brown Pelicans</t>
  </si>
  <si>
    <t>None banded that we could see.</t>
  </si>
  <si>
    <t>2 Snowy Plovers</t>
  </si>
  <si>
    <t>1 banded, 1 unbanded.</t>
  </si>
  <si>
    <t>Venice Beach</t>
  </si>
  <si>
    <t>1300- 1500</t>
  </si>
  <si>
    <t>sunny, NW breeze, 69 degrees</t>
  </si>
  <si>
    <t>BLSK - 29, ROYT - 110, LAGU - 24, RBGU - 62, SATE - 2, SAND - 16, HERG - 8</t>
  </si>
  <si>
    <t>Stu Wilson</t>
  </si>
  <si>
    <t>Longboat Key- South</t>
  </si>
  <si>
    <t>0700 - 0950</t>
  </si>
  <si>
    <t>60-65F, clear, calm</t>
  </si>
  <si>
    <t>LAGU-37, HERG-1, LBBG-1, FOTE-41, ROYT-11, SATE-9</t>
  </si>
  <si>
    <t>DCCO-13, BRPE-5, LAGU-10, RBGU-1, LBBG-1, FOTE-15, ROYT-9, SATE-2</t>
  </si>
  <si>
    <t>C</t>
  </si>
  <si>
    <t>LAGU-12, RBGU-2, FOTE-28, ROYT-27, SATE-1</t>
  </si>
  <si>
    <t xml:space="preserve">Judi Floyd, Andrea Chong, Patch Davis, Ken Davis
</t>
  </si>
  <si>
    <t>240-460-6696     judibfloyd@gmail.com</t>
  </si>
  <si>
    <t>Siesta Beach- North of Public beach to Sunset Point Beach</t>
  </si>
  <si>
    <t>08:07am -10:10am</t>
  </si>
  <si>
    <t>sunny, windy</t>
  </si>
  <si>
    <t>240-460-6696                judibfloyd@gmail.com</t>
  </si>
  <si>
    <t xml:space="preserve">240-460-6696                            judibfloyd@gmail.com
</t>
  </si>
  <si>
    <t>904-731-3085 peter_plage@fwsw.gov</t>
  </si>
  <si>
    <t>60 degrees cloudy to 70 degrees clear, light NE</t>
  </si>
  <si>
    <t xml:space="preserve">Mid outgoing tide.  Moderate pressure from beach walkers.  Mosy birds observed in two multiispecies roosting flocks. </t>
  </si>
  <si>
    <t>240-460-6696                     judibfloyd@gmail.com</t>
  </si>
  <si>
    <t>240-460-6696                           judibfloyd@gmail.com</t>
  </si>
  <si>
    <t>240-460-6696      judibfloyd@gmail.com</t>
  </si>
  <si>
    <t>240-460-6696                         judibfloyd@gmail.com</t>
  </si>
  <si>
    <t>1 banded (see Datasheet #3)</t>
  </si>
  <si>
    <t>240-460-6696              judibfloyd@gmail.com</t>
  </si>
  <si>
    <t>SNPL 4</t>
  </si>
  <si>
    <t xml:space="preserve">Claire Herzog, Nancy Edmondson                          </t>
  </si>
  <si>
    <t>941-780-0545                                           ceherzog@gmail.com</t>
  </si>
  <si>
    <t>Siesta Beach: Point of Rocks through Siesta Public Beach</t>
  </si>
  <si>
    <t>7:30-10am</t>
  </si>
  <si>
    <t>sunny and calm</t>
  </si>
  <si>
    <t>HEGU-4,RBGU-40,LAGU-88,FOTE-12,ROYT-10,SATE-9,      BLSK-26</t>
  </si>
  <si>
    <t>RESTING ON BEACH</t>
  </si>
  <si>
    <t>ROYT-1,SATE-2,FOTE-3,LAGU-91,HEGU-1,RBGU-3</t>
  </si>
  <si>
    <t>FOTE-1,ROYT-31,SATE-10,LAGU-31,RBGU-7,HEGU-11</t>
  </si>
  <si>
    <t>HEGU-91,BLSK-35,RBGU-13,FOTE-5, SAND-1,LAGU-11,ROYT-9, SATE-3</t>
  </si>
  <si>
    <t xml:space="preserve">LAGU-56,HEGU-180,RBGU-24,COTE-1,ROYT-18,SATE-24,      FOTE-14
</t>
  </si>
  <si>
    <t>LAGU-128,RBGU-11,HEGU-1,ROYT-4,FOTE-11,SATE-9</t>
  </si>
  <si>
    <t>FEEDING ON BEACH, BANDED</t>
  </si>
  <si>
    <t>Norma Jean Zvosec, Wilma Katz, JoEllen Blake-Wingate</t>
  </si>
  <si>
    <t>440-897-3436  njturtlefl@gmail.com</t>
  </si>
  <si>
    <t>Manasota Key, Coastal Wildlife Club, routes 11,12,13,14</t>
  </si>
  <si>
    <t>2:30pm-4:00pm</t>
  </si>
  <si>
    <t xml:space="preserve">Sunny,           windy SW 15-19,         High Tide        </t>
  </si>
  <si>
    <t>Curt Lundeen</t>
  </si>
  <si>
    <t>941-625-1096; flalundeens@gmail.com</t>
  </si>
  <si>
    <t>Manasota Key Coastal Wildlife Club Zone 5</t>
  </si>
  <si>
    <t>9:47 - 10:01 AM</t>
  </si>
  <si>
    <t>Partly cloudy, warm ~70F, S wind ~10mph</t>
  </si>
  <si>
    <t>Manasota Key Coastal Wildlife Club Zone 6</t>
  </si>
  <si>
    <t>9:31 - 9:47 AM</t>
  </si>
  <si>
    <t>Partly cloudy, warm ~70F, S wind ~3mph</t>
  </si>
  <si>
    <t>no focal species banded, or large groups</t>
  </si>
  <si>
    <t>Amber Tracy &amp; Judy Peck</t>
  </si>
  <si>
    <t>941-475-5803 jdemersman@hotmail.com</t>
  </si>
  <si>
    <t>Manasota beach zone 7 &amp; 8</t>
  </si>
  <si>
    <t>5:00pm - 6:00pm</t>
  </si>
  <si>
    <t>Red tide,sunny, 68degrees,windy</t>
  </si>
  <si>
    <t>Peg Magee        Eileen Teel</t>
  </si>
  <si>
    <t>941-416-7681                 z4539pr@msn.com</t>
  </si>
  <si>
    <t>Casperson South, CWC Turtle Zones 1, 2</t>
  </si>
  <si>
    <t>Clear, sunny</t>
  </si>
  <si>
    <t>No banded birds</t>
  </si>
  <si>
    <t>Lido Key</t>
  </si>
  <si>
    <t>8:15 - 10:15</t>
  </si>
  <si>
    <t>wind 8mph, sunny, no cloud cover, high 60s</t>
  </si>
  <si>
    <t>SAND 3, HERG 7, RBGU 14, LAGU 12, ROYT 15, RUTU 1</t>
  </si>
  <si>
    <t>LAGU 18, ROYT 12, RBGU 2, HERG 1, SATE 7, FOTE 4, BBPL 1, LBBG 1</t>
  </si>
  <si>
    <t>1300 - 1500</t>
  </si>
  <si>
    <t>RBGU - 23, ROYT - 51, LAGU - 7, RUTU - 2, SAND - 2</t>
  </si>
  <si>
    <t>2//7/2017</t>
  </si>
  <si>
    <t>JOHN LEON</t>
  </si>
  <si>
    <t>330-843-6643 jozn57@gmail.com</t>
  </si>
  <si>
    <t>Manasota Key Coastal Wildlife z-4</t>
  </si>
  <si>
    <t>904-731-3085</t>
  </si>
  <si>
    <t>8:00-10:00 am</t>
  </si>
  <si>
    <t>Pinellas Point</t>
  </si>
  <si>
    <t>clear sunny incoming tide hint of red tide</t>
  </si>
  <si>
    <t>spent 2 hours on beach and did not see a bird</t>
  </si>
  <si>
    <t>14:00-14:30</t>
  </si>
  <si>
    <t>Clear, calm.</t>
  </si>
  <si>
    <t>Mike &amp; Andrea
Shlasko</t>
  </si>
  <si>
    <t>941-493-3504 mike@shlasko.com</t>
  </si>
  <si>
    <t>Manasota Key
Coastal Wildlife Club
Zones 9-10</t>
  </si>
  <si>
    <t>Sarastoa</t>
  </si>
  <si>
    <t>8:30am-9:45am</t>
  </si>
  <si>
    <t>Mid high tide.  Flats covered.  Roosting location (oyster bars) had fewer than expected birds.</t>
  </si>
  <si>
    <t>Sunny, 68F, S @5mph, Low tide</t>
  </si>
  <si>
    <t>Peggy Cook, Lydia Schindler</t>
  </si>
  <si>
    <t>S Clearwater Beach</t>
  </si>
  <si>
    <t>904-471-6639 irateparrot@aol.com</t>
  </si>
  <si>
    <t>Fort Matanzas National Monument</t>
  </si>
  <si>
    <t>St Johns</t>
  </si>
  <si>
    <t>9:00 am-10:30 am</t>
  </si>
  <si>
    <t>Sunny , low tide</t>
  </si>
  <si>
    <t>No Band</t>
  </si>
  <si>
    <t>Lydia Schindler</t>
  </si>
  <si>
    <t xml:space="preserve">Weff rd. - Palmetto Rd. </t>
  </si>
  <si>
    <t xml:space="preserve">10:05-12:50 </t>
  </si>
  <si>
    <t>AMOY 3  , WIPL  1</t>
  </si>
  <si>
    <t>Susan Killeen</t>
  </si>
  <si>
    <t>610-888-6950  mypuffins@gmail.com</t>
  </si>
  <si>
    <t>Porpoise Point</t>
  </si>
  <si>
    <t>9:30am-10:36am</t>
  </si>
  <si>
    <t>57F/ light fog/ overcast/NW winds @ 5mph/low tide</t>
  </si>
  <si>
    <t>BRPE-6, BLSK-3, RBGU-17, LAGU-81, SAND-3, ROTE-4, FOTE-3</t>
  </si>
  <si>
    <t>no banded birds noted</t>
  </si>
  <si>
    <t>LAGU-87, RBGU-21, ROTE-3</t>
  </si>
  <si>
    <t>1530-1630</t>
  </si>
  <si>
    <t>*</t>
  </si>
  <si>
    <t>Susan Killeen &amp; Jason DePue</t>
  </si>
  <si>
    <t>610-888-6950 mypuffins@gmail.com</t>
  </si>
  <si>
    <t>Anastasia State Park Beach</t>
  </si>
  <si>
    <t>9:15am-10:35am</t>
  </si>
  <si>
    <t>Sunny, 66F, NE winds @ 5mph.  Low tide</t>
  </si>
  <si>
    <t>BRPE-2, LAGU-403, RBGU-33, FOTE-24, ROTE-25, HERG-7, RUTU-3, SAND-2</t>
  </si>
  <si>
    <t xml:space="preserve">No banded birds obsereved
</t>
  </si>
  <si>
    <t>*  Not seen during survey, but frequently seen at this location</t>
  </si>
  <si>
    <t>58/ light fog/cloudy/ low tide</t>
  </si>
  <si>
    <t>Diane Reed</t>
  </si>
  <si>
    <t>904-829-9854   dreedster14@gmail.com</t>
  </si>
  <si>
    <t>GTMNERR coastal beach survey 7.75 miles</t>
  </si>
  <si>
    <t>09:45am - 11:30 am</t>
  </si>
  <si>
    <t>low tide, clear skies, 65 degrees F, wind 3mph NNE</t>
  </si>
  <si>
    <t>BRPEL 5, HERG 14, RBGU 6, BLSK 2, Forster 17, LAGU 220</t>
  </si>
  <si>
    <t>Feb 5, 7:30am-9am</t>
  </si>
  <si>
    <t>Rising tide, foggy 57 degrees F</t>
  </si>
  <si>
    <t>HERG 8, RBGU, 12, LAGU 200, Forsters 26, Sanderling 1, BLSK 7</t>
  </si>
  <si>
    <t>Foggy, overcast with light chop. Many shorebirds were foraging for coquinas and there were several small shoals attracting pelicans and forster's terns along the route.</t>
  </si>
  <si>
    <t>overcast wind:7mph N, 60-64F</t>
  </si>
  <si>
    <t>HERG-25, LAGU-56, LBBG-2, ROTE-2, FOTE-3, BRPE-2</t>
  </si>
  <si>
    <t>RBGU 10, LAGU 185, Caspian 1, Willet 1 ROTE 6, Forster 60, Sanderling 5</t>
  </si>
  <si>
    <t>Tide: high 9:30am, low 12:00pm</t>
  </si>
  <si>
    <t>ROTE 2, Willet 1, Bonaparte 1, RBGU 11, HERG 7, LAGU 350, Forster 65, SLSK 8, Sanderling 30</t>
  </si>
  <si>
    <t>Anastasia State Park Back Bay</t>
  </si>
  <si>
    <t>10:36 am-11:11am</t>
  </si>
  <si>
    <t>Gulfport</t>
  </si>
  <si>
    <t>10:00 am -11:00 am</t>
  </si>
  <si>
    <t>Tara Dodson,     Jean Rolke</t>
  </si>
  <si>
    <t>904-814-2172, tdodson@sjcfl.us</t>
  </si>
  <si>
    <t>Vilano north to the GTMNERR</t>
  </si>
  <si>
    <t>St Johns County</t>
  </si>
  <si>
    <t>9:45 &amp; 12:07</t>
  </si>
  <si>
    <t>Clear, Sunny, Breezy, Tide going out</t>
  </si>
  <si>
    <t>HERG- 6   LAGU-179    ROYT- 8  RBGU- 21   SAND- 3 FOTE- 19</t>
  </si>
  <si>
    <t>HERG- 66     LAGU- 231  ROYT- 8   RBGU-16   SAND-1   FOTE- 9 BLSK- 37 SAND-1</t>
  </si>
  <si>
    <t>WILL-1 LAGU- 227 RBGU-4 FOTE-21 BLSK-3 ROYT-2 HERG-1</t>
  </si>
  <si>
    <t xml:space="preserve">Large group of FICR also present on beach, talked to people who were feeding FICR/LAGU. 1 of the ROYT was a juvenile/yearling. No bands </t>
  </si>
  <si>
    <t>BLSK-10  WILL-1  HERG-10   LAGU-240  FOTE-10  ROYT-4  RBGU-6  SAND-2</t>
  </si>
  <si>
    <t>727-595-9284      sbjenks@hotmail.com</t>
  </si>
  <si>
    <t>BRPE-7  HERG-15  RBGU-8  FOTE-40  ROYT-12  SAND-2  LAGU-330</t>
  </si>
  <si>
    <t>HERG-19  LAGU-230  RBGU-12  FOTE-54  ROYT-10  SAND-1</t>
  </si>
  <si>
    <t>FOTE-36  SAND-4  LAGU-27  ROYT-2  RBGU-6</t>
  </si>
  <si>
    <t>IR42, IR43, SL1-6 Spoil Islands</t>
  </si>
  <si>
    <t>St Lucie</t>
  </si>
  <si>
    <t>Peggy Cook, Lydia Schlindler</t>
  </si>
  <si>
    <t>904-471-6639</t>
  </si>
  <si>
    <t>St. Johns</t>
  </si>
  <si>
    <t>9: am - 10:30 am</t>
  </si>
  <si>
    <t>Sunny, low tide</t>
  </si>
  <si>
    <t xml:space="preserve">BLSK-233  </t>
  </si>
  <si>
    <t>Peggy Cook , Lydia Schlinler</t>
  </si>
  <si>
    <t>9:00 am - 10:30 AM</t>
  </si>
  <si>
    <t>BLSK- 434   LAGU-173  ROTE-75</t>
  </si>
  <si>
    <t>Samantha Pessolano</t>
  </si>
  <si>
    <t>S. Hutchinson Island, (St. Lucie/Martin County Line to Normandy Beach)</t>
  </si>
  <si>
    <t>St. Lucie</t>
  </si>
  <si>
    <t>14:24 - 15:11</t>
  </si>
  <si>
    <t>Sunny, 76 degrees F, Winds 10-15 mph ESE</t>
  </si>
  <si>
    <t>0730/1800</t>
  </si>
  <si>
    <t>sunny, west winds 15/18knots, 60/74 degrees light rain last 45 mins.</t>
  </si>
  <si>
    <t>Start Point, Location of Flagler/Volusia County Line</t>
  </si>
  <si>
    <t>LAGU, 66</t>
  </si>
  <si>
    <t>727-415-4804 donlocomm@aol.com</t>
  </si>
  <si>
    <t>66F Sunny</t>
  </si>
  <si>
    <t>REKN, 160</t>
  </si>
  <si>
    <t>See Page 3 for details of leg flags, etc.</t>
  </si>
  <si>
    <t>REKN, 15</t>
  </si>
  <si>
    <t>No Bands</t>
  </si>
  <si>
    <t>LAGU, 110</t>
  </si>
  <si>
    <t>REKN, 3</t>
  </si>
  <si>
    <t>LAGU, 67</t>
  </si>
  <si>
    <t>LAGU, 85</t>
  </si>
  <si>
    <t>Sunny 73F, windy 3-10 SSE, Tide mid falling</t>
  </si>
  <si>
    <t>LAGU, 98; ROTE, 50</t>
  </si>
  <si>
    <t>LAGU, 87</t>
  </si>
  <si>
    <t xml:space="preserve">Tide was falling, most birds were observed roosting. PIPL and WIPL were displaying intraspecies territoriality. Only 2 beach-goers present on shoal at opposite end. </t>
  </si>
  <si>
    <t>LAGU, 165</t>
  </si>
  <si>
    <t>LAGU, 73</t>
  </si>
  <si>
    <t>Mid-tide rising, flats still exposed at high tide</t>
  </si>
  <si>
    <t>727-894-5940</t>
  </si>
  <si>
    <t>Middle Beach, Fort De Soto</t>
  </si>
  <si>
    <t>ROTE, 84</t>
  </si>
  <si>
    <t>1 dead</t>
  </si>
  <si>
    <t>REKN, 10</t>
  </si>
  <si>
    <t>low tide and falling; 2 osprey pairs with nest sites; 24 fish crows</t>
  </si>
  <si>
    <t>Gulf Pier to Bay Pier, Fort De Soto</t>
  </si>
  <si>
    <t>LAGU, 93; ROTE, 104</t>
  </si>
  <si>
    <t>10:40-11:40</t>
  </si>
  <si>
    <t>overcast to sunny &amp; windy</t>
  </si>
  <si>
    <t>LAGU, 63</t>
  </si>
  <si>
    <t>LAGU, 120; HEGU, 151</t>
  </si>
  <si>
    <t>low tide; 2 osprey pairs with nest sites; 1 cormorant on the Bay Pier had fishing line and 1 on the beach under the pier looked sick</t>
  </si>
  <si>
    <t>LAGU, 88; HEGU, 59</t>
  </si>
  <si>
    <t>ROTE, 75</t>
  </si>
  <si>
    <t>LAGU, 221</t>
  </si>
  <si>
    <t>LAGU, 81; HEGU, 194; ROTE, 195</t>
  </si>
  <si>
    <t>ROTE, 52</t>
  </si>
  <si>
    <t>ROTE, 111</t>
  </si>
  <si>
    <t>ROTE, 77</t>
  </si>
  <si>
    <t>ROTE, 117</t>
  </si>
  <si>
    <t>PUSA, 3</t>
  </si>
  <si>
    <t>Dunlaton Bridge to Ponce Inlet</t>
  </si>
  <si>
    <t xml:space="preserve">29.1474613N </t>
  </si>
  <si>
    <t>80.97647691 W</t>
  </si>
  <si>
    <t xml:space="preserve"> 29° 3'43.70"N</t>
  </si>
  <si>
    <t xml:space="preserve"> 80°55'6.88"W</t>
  </si>
  <si>
    <t>9:12 a.m., 2:25 p.m</t>
  </si>
  <si>
    <t>sunny &amp; clear, winds 1-5 at start, 5-10 at end</t>
  </si>
  <si>
    <t>23 REKN and over 50 birds including 200 LAGU</t>
  </si>
  <si>
    <t>29° 8'46.63"N</t>
  </si>
  <si>
    <t>80°58'30.73"W</t>
  </si>
  <si>
    <t>4 AMOY, 1 banded</t>
  </si>
  <si>
    <t>55 SEPL 1 banded PIPL</t>
  </si>
  <si>
    <t>2 AMOY, no bands</t>
  </si>
  <si>
    <t>Sunny, breezy from the south, incoming tide, 79F at 11 am.</t>
  </si>
  <si>
    <t>2 AMOY no bands, resighted 23 REKN</t>
  </si>
  <si>
    <t>PIPL No bands</t>
  </si>
  <si>
    <t>50 plus birds including White Pelicans, 1 PIPL no bands</t>
  </si>
  <si>
    <t>9 PIPL</t>
  </si>
  <si>
    <t>Saw additional 8 BOGU just offshore behind surf.</t>
  </si>
  <si>
    <t>   3 banded PIPL</t>
  </si>
  <si>
    <t>1 banded REKN-no pics, no details, only saw green band</t>
  </si>
  <si>
    <t>50 plus birds including REKN</t>
  </si>
  <si>
    <t>Lassing Park, St Petersburg</t>
  </si>
  <si>
    <t>2 WIPL</t>
  </si>
  <si>
    <t>10:00 - 10:30</t>
  </si>
  <si>
    <t>3 PIPL 1 recount w/band 2 no bands</t>
  </si>
  <si>
    <t> 1 PIPL no bands</t>
  </si>
  <si>
    <t>Frank Quinn, Laura Ostapko</t>
  </si>
  <si>
    <t>North Peninsular SP - Oceanside</t>
  </si>
  <si>
    <t>10:30:00 AM - 11:45</t>
  </si>
  <si>
    <t>Partly Cloudy; 71 - 77F Wind south 5 - 10 mph</t>
  </si>
  <si>
    <t>LAGU 78, RBGU 4, HERG 2, ROYT 55</t>
  </si>
  <si>
    <t>all resting on the beach just south of th north boundry</t>
  </si>
  <si>
    <t>Don Picard</t>
  </si>
  <si>
    <t>386-957-1886, president@sevolusiaaudubon.org</t>
  </si>
  <si>
    <t>New Smyrna Beach 27th Avenue Park to CANA</t>
  </si>
  <si>
    <t>0900-1530</t>
  </si>
  <si>
    <t>mostly sunny, calm wind</t>
  </si>
  <si>
    <t>LAGU 185, RBGU 65, GBGU 1</t>
  </si>
  <si>
    <t>386-957-1886</t>
  </si>
  <si>
    <t>LAGU 90, RBGU 10, FOTE 3</t>
  </si>
  <si>
    <t>LAGU 150, ROTE 58, RBGU 10, WILL 1</t>
  </si>
  <si>
    <t>80.838.07</t>
  </si>
  <si>
    <t>No flags</t>
  </si>
  <si>
    <t>ROTE 46, LAGU 25, SATE 1</t>
  </si>
  <si>
    <t>Nancy White, Gail Domroski</t>
  </si>
  <si>
    <t>386-424-6953</t>
  </si>
  <si>
    <t>IRL East Sde, CANA to S. Causeway</t>
  </si>
  <si>
    <t>0900-1100</t>
  </si>
  <si>
    <t>Ken Park, Jackie Meyers</t>
  </si>
  <si>
    <t>386-409-7573 park.kenneth72@gmail.com</t>
  </si>
  <si>
    <t>New Smyrna Beach, N. Causeway to Menard May Park by boat</t>
  </si>
  <si>
    <t>0900-1130</t>
  </si>
  <si>
    <t>John Pierce, Richard Fasse</t>
  </si>
  <si>
    <t>cybermail4jmp@mail.com</t>
  </si>
  <si>
    <t>New Smyrna Beach, 27th Avenue Park N. to Dunes Park</t>
  </si>
  <si>
    <t>0900-1400</t>
  </si>
  <si>
    <t>mowtly sunny, calm wind</t>
  </si>
  <si>
    <t>LAGU 133</t>
  </si>
  <si>
    <t>LAGU76</t>
  </si>
  <si>
    <t>LAGU 50</t>
  </si>
  <si>
    <t>LAGU 39, ROTE 37. SATE 2, LBGU 2, Will 1, SAND 1</t>
  </si>
  <si>
    <t>ROTE 57</t>
  </si>
  <si>
    <t>no tag or band</t>
  </si>
  <si>
    <t>Mike Daley Leo Wilcox</t>
  </si>
  <si>
    <t>(407)417-7818 mikes129e@gmail.com</t>
  </si>
  <si>
    <t xml:space="preserve">CANA Apollo beach </t>
  </si>
  <si>
    <t>WIPL 15</t>
  </si>
  <si>
    <t>Dunl 95</t>
  </si>
  <si>
    <t>Mashes Sands Cty Park</t>
  </si>
  <si>
    <t>Wakulla</t>
  </si>
  <si>
    <t>1412 to 1621</t>
  </si>
  <si>
    <t>High falling, 60%cc, precip none, calm surf, 4-7</t>
  </si>
  <si>
    <t>BLSK 2, RBGU 6, BOGU 3, WILL 22, FOTE 5, LAGU 4, MAGO 1</t>
  </si>
  <si>
    <t>were 24 BLSK observed here but talked to Kevin C on Bald Point State and 22 had flushed 20 minutes earlier, decided to omit 22 and leave the 2</t>
  </si>
  <si>
    <t>HOGR 200, BOGU 12, LESC 12</t>
  </si>
  <si>
    <t>BRPE 30, WILL 29, BBPL 8, AWPE 3, MAGO 4, LAGU 24, FOTE 57, ROYT 2, DUNL 43, DCCO 5, BOGU 1, HERG 24, BLSK 4</t>
  </si>
  <si>
    <t>Caity Reiland-Smith, John Murphy, Joe Reinman</t>
  </si>
  <si>
    <t>St. Marks NWR (East)</t>
  </si>
  <si>
    <t>7:30-10:08</t>
  </si>
  <si>
    <t>Tide low rising, wind 4-7, clouds 5%, surf calm</t>
  </si>
  <si>
    <t>WHIB-120, LAGU-1, GREG-1, FOTE-2, HOME-6, BUFF-4, RBGU-4, WILL-10</t>
  </si>
  <si>
    <t>WILL-180, DUNL-350, GRYE-3, WESA-40, SBDO-10, GBHE-2, WHIB-2</t>
  </si>
  <si>
    <t>Don Morrow</t>
  </si>
  <si>
    <t>850.591.7645 donaldcmorrow@gmail.com</t>
  </si>
  <si>
    <t>SMNWR Interior Pools</t>
  </si>
  <si>
    <t>0730-1200</t>
  </si>
  <si>
    <t>light cloud cover, winds 3 mph</t>
  </si>
  <si>
    <t>BRPE 5, CATE 2, FOTE 28, LAGU 3, RBGU 46, GRYE 22, BBPL 53, DUNL 2,050, SEPL 173, SBDO 55, WESA 280, DCCO 4, WILL 75, AWPE 26, RUTU 1, SPSA 1, HERG 1, LESA 120</t>
  </si>
  <si>
    <t>Essentially one large flock on Stony Bayou I with no clear break from one end of the pool to the other</t>
  </si>
  <si>
    <t>John Murphy, Don Morrow, Jonathan Chandler</t>
  </si>
  <si>
    <t>St Marks NWR - West</t>
  </si>
  <si>
    <t>0715 to 1300</t>
  </si>
  <si>
    <t>tide low, rising; 20% cloud cover; 5-10 mph; light chop</t>
  </si>
  <si>
    <t>GRYE 1, BBPL 4, WILL 1, DUNL 130, SBDO 10</t>
  </si>
  <si>
    <t>AMOY 5, WILL 1</t>
  </si>
  <si>
    <t>DUNL 60, BBPL 3, WILL 55, SBDO 80</t>
  </si>
  <si>
    <t>AMOY 4, WILL 7, BBPL 1</t>
  </si>
  <si>
    <t>AMOY 12, WILL 6</t>
  </si>
  <si>
    <t>AMOY 5, WILL 7, RUTU 18, BBPL 1</t>
  </si>
  <si>
    <t>AMOY 4, WILL 1</t>
  </si>
  <si>
    <t>AMOY 9, WILL 14, DUNL 15, RUTU 12</t>
  </si>
  <si>
    <t>AMOY 13, MAGO 35, WILL 65, DUNL 10, RUTU 2, BBPL 2</t>
  </si>
  <si>
    <t>AMOY 99, MAGO 41, WILL 60, DUNL 150, SBDO 11, BBPL 5</t>
  </si>
  <si>
    <t>-84..180106</t>
  </si>
  <si>
    <t>DUNL 70, BBPL 10, WILL 27, GRYE 13, WESA 30, LESA 15, HERG 1, LAGU 2, RBGU 1, DCCO 1, LEYE 3, KILL 2, WISN 1</t>
  </si>
  <si>
    <t>Low marshy end of Mounds Pool III</t>
  </si>
  <si>
    <t xml:space="preserve">Paula Muellner  </t>
  </si>
  <si>
    <t>Redfish Lake Outfall</t>
  </si>
  <si>
    <t>9:40AM to 10:02 AM</t>
  </si>
  <si>
    <t xml:space="preserve">Clouds 10%, No precip, surf calm, mid-tide rising, wind 8, </t>
  </si>
  <si>
    <t>Santa Rosa and Okaloosa</t>
  </si>
  <si>
    <t>9:15AM to 12:09PM</t>
  </si>
  <si>
    <t>10:42AM to 12:42PM</t>
  </si>
  <si>
    <t>Clouds 50%, no precip, winds 10-15, temp 75</t>
  </si>
  <si>
    <t>SNPL - 3, FOTE - 13, BOGU - 3, SAND - 6, RBGU - 2</t>
  </si>
  <si>
    <t>All SNPL's banded</t>
  </si>
  <si>
    <t>Eastern Lake Outfall</t>
  </si>
  <si>
    <t>10:10AM to 11:00AM</t>
  </si>
  <si>
    <t xml:space="preserve">Clouds 10%, No precip, surf calm, mid-tide rising, wind 4 to 7. </t>
  </si>
  <si>
    <t>RBGU - 4, LAGU - 29, BOGU - 133</t>
  </si>
  <si>
    <t>Watersound</t>
  </si>
  <si>
    <t>11:26AM to 1:16PM</t>
  </si>
  <si>
    <t>1400 to 1500</t>
  </si>
  <si>
    <t>Sunny, 50%cc, 55 deg, 4-7, no precip</t>
  </si>
  <si>
    <t>SNPL 3, SAND 3</t>
  </si>
  <si>
    <t>3 banded</t>
  </si>
  <si>
    <t xml:space="preserve">Walton </t>
  </si>
  <si>
    <t>10:55AM to 11:26AM</t>
  </si>
  <si>
    <t>DUNL120, BBPL42, WILL 60</t>
  </si>
  <si>
    <t>DUNL 110</t>
  </si>
  <si>
    <t>BLSK76, ROYT 51, GULL SP. 76</t>
  </si>
  <si>
    <t>overcast to sunny; windy 72 F</t>
  </si>
  <si>
    <t>182 &amp; 302</t>
  </si>
  <si>
    <t>128 Laughing Gull, 26 Forster's Tern, 23 Sandwich Tern, 2 Royal Tern, 2 Ringbilled Gulls, 1 Hering Gull (beach south of Gulf Pier); next beach over:  122 Laughing Gull, 91 Sandwich Tern, 84 Forster Tern, 2 Royal Tern, 2 Ring-billed Gull</t>
  </si>
  <si>
    <t>10 RBGU, 30 LAGU, 2 AWPE</t>
  </si>
  <si>
    <t>8:07am-10:10am</t>
  </si>
  <si>
    <t>Sunny, windy</t>
  </si>
  <si>
    <t>Low tide, 1 banded SNPL.</t>
  </si>
  <si>
    <t>ClaireHerzog, Nancy Edmondson</t>
  </si>
  <si>
    <t>941-780-0545 ceherzog@gmail.com</t>
  </si>
  <si>
    <t>one dog on beach, 2 ATV's raking condo beaches, 1 banded SNPL</t>
  </si>
  <si>
    <t>330-843-6643</t>
  </si>
  <si>
    <t>0800-1000</t>
  </si>
  <si>
    <t xml:space="preserve">clear and calm and sunny hint of red tide
</t>
  </si>
  <si>
    <t>Stayed on beach 2 hours did not see a bird.There was some red tide wouuld guess that was reason.I did not even see a flying bird</t>
  </si>
  <si>
    <t>Partly cloudy, warm ~70F, S wind ~3 mph</t>
  </si>
  <si>
    <t>Amber Tracy, Judy Peck DeMersman</t>
  </si>
  <si>
    <t>Judy Peck DeMersman jdemersman@hotmail.com</t>
  </si>
  <si>
    <t>Manasota Beach Zone 7 &amp; 8</t>
  </si>
  <si>
    <t>5:00pm -6:00pm</t>
  </si>
  <si>
    <t>Sunny, windy, 68 degrees, red tide</t>
  </si>
  <si>
    <t xml:space="preserve"> </t>
  </si>
  <si>
    <t>0815 - 1015</t>
  </si>
  <si>
    <t>wind 8mph, sunny, 0 cloud cover, high 60s</t>
  </si>
  <si>
    <t>Venice Beach from Jetties to South Brohard Beach</t>
  </si>
  <si>
    <t>sunny NW Breeze - 69 degrees F</t>
  </si>
  <si>
    <t>Casperson Beach</t>
  </si>
  <si>
    <t>15:15 - 1600</t>
  </si>
  <si>
    <t>Sunny, NW Breeze - 68 degrees</t>
  </si>
  <si>
    <t>Peggy Cook, Lydia Schinler</t>
  </si>
  <si>
    <t>904 471-6639 irateparrot@aol.com</t>
  </si>
  <si>
    <t>9:00 am - 10:30 am</t>
  </si>
  <si>
    <t>Low Tide</t>
  </si>
  <si>
    <t>Lydia Schlindler</t>
  </si>
  <si>
    <t>Weff Rd / Palmetto Rd</t>
  </si>
  <si>
    <t>12:05-12:50</t>
  </si>
  <si>
    <t>sunny</t>
  </si>
  <si>
    <t>Birds resting on Docks, intracoastal waterway.</t>
  </si>
  <si>
    <t>Low tide, no banded birds observed</t>
  </si>
  <si>
    <t>Tara Dodson,    Jean Rolke</t>
  </si>
  <si>
    <t>tdodson@sjcfl.us 904-814-2172</t>
  </si>
  <si>
    <t>9:45-12:07</t>
  </si>
  <si>
    <t>Clear, sunny, breezy, tide falling, 60F</t>
  </si>
  <si>
    <t>No banded birds observed.</t>
  </si>
  <si>
    <t>IR42, IR43, SL 1-6</t>
  </si>
  <si>
    <t>1154-1430</t>
  </si>
  <si>
    <t>Villano Beach</t>
  </si>
  <si>
    <t>Low Tide: Unleased dogs seen on the beach</t>
  </si>
  <si>
    <t>North of Villano</t>
  </si>
  <si>
    <t>9:45-11:30am</t>
  </si>
  <si>
    <t>Sunny, clear skies, low tide, 65F, NNE 3</t>
  </si>
  <si>
    <t>Low tide, many shrimp boats off shore, no banded birds.</t>
  </si>
  <si>
    <t>sunny, west winds 15/18knots, 60/74 degrees light rain last 45 mins</t>
  </si>
  <si>
    <t>3 Purple Sandpipers on the jetty at Ponce Inlet. After completing the beach we went back to Frank Rendon Park for the huge flock of loafing gulls.</t>
  </si>
  <si>
    <t xml:space="preserve">conducted during a low tide survey window.  Much of survey conducted from boat, no other human activity observed on islands during the survey.  </t>
  </si>
  <si>
    <t>Frank Quinn,Laura Ostapko</t>
  </si>
  <si>
    <t>North Peninsula SP - Oceanside</t>
  </si>
  <si>
    <t>10:30 - 11:45</t>
  </si>
  <si>
    <t>Partly Cloudy. 71 -77F, Wind South 5 - 10 mph</t>
  </si>
  <si>
    <t>Nancy White</t>
  </si>
  <si>
    <t>Laura G. Ostapko</t>
  </si>
  <si>
    <t>North Peninsula State Park Marsh Restorations north of Highbridge Rd</t>
  </si>
  <si>
    <t>9:05 a.m. - 12:00 p.m.;  2:05 - 3:00 p.m.</t>
  </si>
  <si>
    <t>Partly cloudy bcmg mostly cloudy; 64 def F incrg to 80 deg F; wind WSW 8 - 12 gusting to 18 mph</t>
  </si>
  <si>
    <t>North Peninsula State Park Marsh Restorations on John Anderson Rd</t>
  </si>
  <si>
    <t>12:10 - 1:50 p.m.</t>
  </si>
  <si>
    <t>mostly cloudy; temp 75 - 78 deg F; wind WSW 10-12 with gusts to 15 mph</t>
  </si>
  <si>
    <t>low and falling tide on Stony Bayou II combined with a rising coastal tide to push shorebirds in to SMNWR intrior pools.</t>
  </si>
  <si>
    <t>People - 12, Dog tracks 4, Coyote track 1</t>
  </si>
  <si>
    <t>People - 4, Dog track 1</t>
  </si>
  <si>
    <t xml:space="preserve">People - 67, Dogs off leash - 2, Dogs on leash 5, Dog tracks 16+, County LE driving. 2 dogs that were observed off leash flushed a group of foraging birds at Eastern Lake Outfall.  </t>
  </si>
  <si>
    <t>People - 8, Dog track 4, Racoon track 1</t>
  </si>
  <si>
    <t>Sunny, 50%cc, 55 deg, 4-7, no precip, calm surf, tide high rising</t>
  </si>
  <si>
    <t>Draper Lake</t>
  </si>
  <si>
    <t>1507 to 1525</t>
  </si>
  <si>
    <t>People - 8 , Raccoon track - 1, Coyote track 1, Dog track - 2, LE truck parked at outfall, 2nd LE truck drove down the beach and back up</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</si>
</sst>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0000"/>
    <numFmt numFmtId="165" formatCode="M/d/yyyy"/>
    <numFmt numFmtId="166" formatCode="#,##0;(#,##0)"/>
    <numFmt numFmtId="167" formatCode="mm/dd/yyyy"/>
    <numFmt numFmtId="168" formatCode="m/d/yyyy"/>
    <numFmt numFmtId="169" formatCode="mm/dd/yy"/>
    <numFmt numFmtId="170" formatCode="mm-dd-yyyy"/>
    <numFmt numFmtId="171" formatCode="m/d/yy"/>
    <numFmt numFmtId="172" formatCode="m/d"/>
    <numFmt numFmtId="173" formatCode="0.00000"/>
  </numFmts>
  <fonts count="28">
    <font>
      <sz val="10.0"/>
      <color rgb="FF000000"/>
      <name val="Arial"/>
    </font>
    <font>
      <b/>
      <sz val="12.0"/>
      <color rgb="FF000000"/>
    </font>
    <font/>
    <font>
      <sz val="12.0"/>
      <color rgb="FF000000"/>
    </font>
    <font>
      <b/>
      <sz val="11.0"/>
      <color rgb="FF000000"/>
    </font>
    <font>
      <b/>
      <sz val="11.0"/>
    </font>
    <font>
      <b/>
      <sz val="10.0"/>
    </font>
    <font>
      <sz val="10.0"/>
      <color rgb="FF000000"/>
    </font>
    <font>
      <b/>
      <u/>
      <color rgb="FF7F500D"/>
    </font>
    <font>
      <sz val="12.0"/>
    </font>
    <font>
      <i/>
      <sz val="12.0"/>
      <color rgb="FFFF0000"/>
    </font>
    <font>
      <name val="Arial"/>
    </font>
    <font>
      <color rgb="FF000000"/>
      <name val="Arial"/>
    </font>
    <font>
      <sz val="11.0"/>
      <name val="Arial"/>
    </font>
    <font>
      <sz val="10.0"/>
      <color rgb="FF7F500D"/>
    </font>
    <font>
      <color rgb="FF7F500D"/>
    </font>
    <font>
      <color rgb="FF7F500D"/>
      <name val="Arial"/>
    </font>
    <font>
      <u/>
    </font>
    <font>
      <sz val="10.0"/>
      <name val="Arial"/>
    </font>
    <font>
      <sz val="11.0"/>
      <color rgb="FF000000"/>
      <name val="Inconsolata"/>
    </font>
    <font>
      <sz val="11.0"/>
      <color rgb="FF000000"/>
      <name val="Calibri"/>
    </font>
    <font>
      <color rgb="FF000000"/>
    </font>
    <font>
      <b/>
    </font>
    <font>
      <sz val="9.0"/>
      <name val="Arial"/>
    </font>
    <font>
      <color rgb="FF777777"/>
      <name val="Roboto"/>
    </font>
    <font>
      <b/>
      <name val="Arial"/>
    </font>
    <font>
      <u/>
      <name val="Arial"/>
    </font>
    <font>
      <sz val="11.0"/>
      <color rgb="FF1F497D"/>
      <name val="Calibri"/>
    </font>
  </fonts>
  <fills count="10">
    <fill>
      <patternFill patternType="none"/>
    </fill>
    <fill>
      <patternFill patternType="lightGray"/>
    </fill>
    <fill>
      <patternFill patternType="solid">
        <fgColor rgb="FFFFFF00"/>
        <bgColor rgb="FFFFFF00"/>
      </patternFill>
    </fill>
    <fill>
      <patternFill patternType="solid">
        <fgColor rgb="FFFFFF99"/>
        <bgColor rgb="FFFFFF99"/>
      </patternFill>
    </fill>
    <fill>
      <patternFill patternType="solid">
        <fgColor rgb="FFC9DAF8"/>
        <bgColor rgb="FFC9DAF8"/>
      </patternFill>
    </fill>
    <fill>
      <patternFill patternType="solid">
        <fgColor rgb="FFD9D9D9"/>
        <bgColor rgb="FFD9D9D9"/>
      </patternFill>
    </fill>
    <fill>
      <patternFill patternType="solid">
        <fgColor rgb="FFFFFFFF"/>
        <bgColor rgb="FFFFFFFF"/>
      </patternFill>
    </fill>
    <fill>
      <patternFill patternType="solid">
        <fgColor rgb="FFF3F3F3"/>
        <bgColor rgb="FFF3F3F3"/>
      </patternFill>
    </fill>
    <fill>
      <patternFill patternType="solid">
        <fgColor rgb="FFCCCCCC"/>
        <bgColor rgb="FFCCCCCC"/>
      </patternFill>
    </fill>
    <fill>
      <patternFill patternType="solid">
        <fgColor rgb="FFFFD966"/>
        <bgColor rgb="FFFFD966"/>
      </patternFill>
    </fill>
  </fills>
  <borders count="1">
    <border/>
  </borders>
  <cellStyleXfs count="1">
    <xf borderId="0" fillId="0" fontId="0" numFmtId="0" applyAlignment="1" applyFont="1"/>
  </cellStyleXfs>
  <cellXfs count="125">
    <xf borderId="0" fillId="0" fontId="0" numFmtId="0" xfId="0" applyAlignment="1" applyFont="1">
      <alignment readingOrder="0" shrinkToFit="0" vertical="bottom" wrapText="1"/>
    </xf>
    <xf borderId="0" fillId="2" fontId="1" numFmtId="0" xfId="0" applyAlignment="1" applyFill="1" applyFont="1">
      <alignment readingOrder="0" shrinkToFit="0" wrapText="1"/>
    </xf>
    <xf borderId="0" fillId="3" fontId="2" numFmtId="0" xfId="0" applyAlignment="1" applyFill="1" applyFont="1">
      <alignment readingOrder="0" shrinkToFit="0" wrapText="1"/>
    </xf>
    <xf borderId="0" fillId="4" fontId="3" numFmtId="0" xfId="0" applyAlignment="1" applyFill="1" applyFont="1">
      <alignment shrinkToFit="0" wrapText="1"/>
    </xf>
    <xf borderId="0" fillId="3" fontId="2" numFmtId="0" xfId="0" applyAlignment="1" applyFont="1">
      <alignment shrinkToFit="0" wrapText="1"/>
    </xf>
    <xf borderId="0" fillId="3" fontId="2" numFmtId="164" xfId="0" applyAlignment="1" applyFont="1" applyNumberFormat="1">
      <alignment shrinkToFit="0" wrapText="1"/>
    </xf>
    <xf borderId="0" fillId="5" fontId="4" numFmtId="0" xfId="0" applyAlignment="1" applyFill="1" applyFont="1">
      <alignment readingOrder="0" shrinkToFit="0" wrapText="1"/>
    </xf>
    <xf borderId="0" fillId="5" fontId="4" numFmtId="164" xfId="0" applyAlignment="1" applyFont="1" applyNumberFormat="1">
      <alignment readingOrder="0" shrinkToFit="0" wrapText="1"/>
    </xf>
    <xf borderId="0" fillId="5" fontId="5" numFmtId="164" xfId="0" applyAlignment="1" applyFont="1" applyNumberFormat="1">
      <alignment readingOrder="0" shrinkToFit="0" wrapText="1"/>
    </xf>
    <xf borderId="0" fillId="5" fontId="6" numFmtId="0" xfId="0" applyAlignment="1" applyFont="1">
      <alignment readingOrder="0" shrinkToFit="0" wrapText="1"/>
    </xf>
    <xf borderId="0" fillId="5" fontId="6" numFmtId="164" xfId="0" applyAlignment="1" applyFont="1" applyNumberFormat="1">
      <alignment readingOrder="0" shrinkToFit="0" wrapText="1"/>
    </xf>
    <xf borderId="0" fillId="0" fontId="2" numFmtId="14" xfId="0" applyAlignment="1" applyFont="1" applyNumberFormat="1">
      <alignment readingOrder="0" shrinkToFit="0" wrapText="1"/>
    </xf>
    <xf borderId="0" fillId="6" fontId="3" numFmtId="0" xfId="0" applyAlignment="1" applyFill="1" applyFont="1">
      <alignment readingOrder="0" shrinkToFit="0" wrapText="1"/>
    </xf>
    <xf borderId="0" fillId="0" fontId="2" numFmtId="0" xfId="0" applyAlignment="1" applyFont="1">
      <alignment readingOrder="0" shrinkToFit="0" wrapText="1"/>
    </xf>
    <xf borderId="0" fillId="0" fontId="2" numFmtId="164" xfId="0" applyAlignment="1" applyFont="1" applyNumberFormat="1">
      <alignment readingOrder="0" shrinkToFit="0" wrapText="1"/>
    </xf>
    <xf borderId="0" fillId="0" fontId="7" numFmtId="165" xfId="0" applyAlignment="1" applyFont="1" applyNumberFormat="1">
      <alignment readingOrder="0" shrinkToFit="0" wrapText="1"/>
    </xf>
    <xf borderId="0" fillId="0" fontId="7" numFmtId="0" xfId="0" applyAlignment="1" applyFont="1">
      <alignment readingOrder="0" shrinkToFit="0" wrapText="1"/>
    </xf>
    <xf borderId="0" fillId="0" fontId="7" numFmtId="164" xfId="0" applyAlignment="1" applyFont="1" applyNumberFormat="1">
      <alignment readingOrder="0" shrinkToFit="0" wrapText="1"/>
    </xf>
    <xf borderId="0" fillId="0" fontId="8" numFmtId="0" xfId="0" applyAlignment="1" applyFont="1">
      <alignment readingOrder="0" shrinkToFit="0" wrapText="1"/>
    </xf>
    <xf borderId="0" fillId="0" fontId="9" numFmtId="0" xfId="0" applyAlignment="1" applyFont="1">
      <alignment readingOrder="0" shrinkToFit="0" wrapText="1"/>
    </xf>
    <xf borderId="0" fillId="6" fontId="1" numFmtId="0" xfId="0" applyAlignment="1" applyFont="1">
      <alignment readingOrder="0" shrinkToFit="0" wrapText="1"/>
    </xf>
    <xf borderId="0" fillId="5" fontId="6" numFmtId="0" xfId="0" applyAlignment="1" applyFont="1">
      <alignment readingOrder="0" shrinkToFit="0" wrapText="1"/>
    </xf>
    <xf borderId="0" fillId="7" fontId="3" numFmtId="166" xfId="0" applyAlignment="1" applyFill="1" applyFont="1" applyNumberFormat="1">
      <alignment horizontal="left" readingOrder="0" shrinkToFit="0" wrapText="1"/>
    </xf>
    <xf borderId="0" fillId="0" fontId="3" numFmtId="0" xfId="0" applyAlignment="1" applyFont="1">
      <alignment horizontal="left" readingOrder="0" shrinkToFit="0" wrapText="1"/>
    </xf>
    <xf borderId="0" fillId="0" fontId="9" numFmtId="0" xfId="0" applyAlignment="1" applyFont="1">
      <alignment shrinkToFit="0" wrapText="1"/>
    </xf>
    <xf borderId="0" fillId="0" fontId="10" numFmtId="0" xfId="0" applyAlignment="1" applyFont="1">
      <alignment readingOrder="0" shrinkToFit="0" wrapText="1"/>
    </xf>
    <xf borderId="0" fillId="0" fontId="11" numFmtId="0" xfId="0" applyAlignment="1" applyFont="1">
      <alignment shrinkToFit="0" vertical="bottom" wrapText="1"/>
    </xf>
    <xf borderId="0" fillId="0" fontId="1" numFmtId="0" xfId="0" applyAlignment="1" applyFont="1">
      <alignment readingOrder="0" shrinkToFit="0" wrapText="1"/>
    </xf>
    <xf borderId="0" fillId="0" fontId="12" numFmtId="0" xfId="0" applyAlignment="1" applyFont="1">
      <alignment shrinkToFit="0" vertical="bottom" wrapText="1"/>
    </xf>
    <xf borderId="0" fillId="0" fontId="11" numFmtId="0" xfId="0" applyAlignment="1" applyFont="1">
      <alignment shrinkToFit="0" vertical="bottom" wrapText="1"/>
    </xf>
    <xf borderId="0" fillId="0" fontId="12" numFmtId="0" xfId="0" applyAlignment="1" applyFont="1">
      <alignment readingOrder="0" shrinkToFit="0" vertical="bottom" wrapText="1"/>
    </xf>
    <xf borderId="0" fillId="0" fontId="11" numFmtId="0" xfId="0" applyAlignment="1" applyFont="1">
      <alignment readingOrder="0" shrinkToFit="0" vertical="bottom" wrapText="1"/>
    </xf>
    <xf borderId="0" fillId="0" fontId="11" numFmtId="14" xfId="0" applyAlignment="1" applyFont="1" applyNumberFormat="1">
      <alignment horizontal="right" shrinkToFit="0" vertical="bottom" wrapText="1"/>
    </xf>
    <xf borderId="0" fillId="0" fontId="11" numFmtId="164" xfId="0" applyAlignment="1" applyFont="1" applyNumberFormat="1">
      <alignment readingOrder="0" shrinkToFit="0" vertical="bottom" wrapText="1"/>
    </xf>
    <xf borderId="0" fillId="0" fontId="12" numFmtId="0" xfId="0" applyAlignment="1" applyFont="1">
      <alignment shrinkToFit="0" vertical="bottom" wrapText="1"/>
    </xf>
    <xf borderId="0" fillId="0" fontId="12" numFmtId="164" xfId="0" applyAlignment="1" applyFont="1" applyNumberFormat="1">
      <alignment shrinkToFit="0" vertical="bottom" wrapText="1"/>
    </xf>
    <xf borderId="0" fillId="3" fontId="13" numFmtId="0" xfId="0" applyAlignment="1" applyFont="1">
      <alignment shrinkToFit="0" vertical="bottom" wrapText="1"/>
    </xf>
    <xf borderId="0" fillId="3" fontId="11" numFmtId="0" xfId="0" applyAlignment="1" applyFont="1">
      <alignment shrinkToFit="0" vertical="bottom" wrapText="1"/>
    </xf>
    <xf borderId="0" fillId="0" fontId="11" numFmtId="0" xfId="0" applyAlignment="1" applyFont="1">
      <alignment shrinkToFit="0" vertical="bottom" wrapText="1"/>
    </xf>
    <xf borderId="0" fillId="0" fontId="6" numFmtId="0" xfId="0" applyAlignment="1" applyFont="1">
      <alignment shrinkToFit="0" wrapText="1"/>
    </xf>
    <xf borderId="0" fillId="8" fontId="6" numFmtId="0" xfId="0" applyAlignment="1" applyFill="1" applyFont="1">
      <alignment readingOrder="0" shrinkToFit="0" wrapText="1"/>
    </xf>
    <xf borderId="0" fillId="0" fontId="7" numFmtId="14" xfId="0" applyAlignment="1" applyFont="1" applyNumberFormat="1">
      <alignment readingOrder="0" shrinkToFit="0" wrapText="1"/>
    </xf>
    <xf borderId="0" fillId="0" fontId="7" numFmtId="167" xfId="0" applyAlignment="1" applyFont="1" applyNumberFormat="1">
      <alignment readingOrder="0" shrinkToFit="0" wrapText="1"/>
    </xf>
    <xf borderId="0" fillId="0" fontId="7" numFmtId="168" xfId="0" applyAlignment="1" applyFont="1" applyNumberFormat="1">
      <alignment readingOrder="0" shrinkToFit="0" wrapText="1"/>
    </xf>
    <xf borderId="0" fillId="0" fontId="7" numFmtId="169" xfId="0" applyAlignment="1" applyFont="1" applyNumberFormat="1">
      <alignment readingOrder="0" shrinkToFit="0" wrapText="1"/>
    </xf>
    <xf borderId="0" fillId="0" fontId="2" numFmtId="168" xfId="0" applyAlignment="1" applyFont="1" applyNumberFormat="1">
      <alignment readingOrder="0" shrinkToFit="0" wrapText="1"/>
    </xf>
    <xf borderId="0" fillId="0" fontId="2" numFmtId="49" xfId="0" applyAlignment="1" applyFont="1" applyNumberFormat="1">
      <alignment horizontal="right" readingOrder="0" shrinkToFit="0" wrapText="1"/>
    </xf>
    <xf borderId="0" fillId="0" fontId="2" numFmtId="164" xfId="0" applyAlignment="1" applyFont="1" applyNumberFormat="1">
      <alignment shrinkToFit="0" wrapText="1"/>
    </xf>
    <xf borderId="0" fillId="0" fontId="2" numFmtId="0" xfId="0" applyAlignment="1" applyFont="1">
      <alignment horizontal="left" readingOrder="0" shrinkToFit="0" wrapText="1"/>
    </xf>
    <xf borderId="0" fillId="0" fontId="7" numFmtId="170" xfId="0" applyAlignment="1" applyFont="1" applyNumberFormat="1">
      <alignment readingOrder="0" shrinkToFit="0" wrapText="1"/>
    </xf>
    <xf borderId="0" fillId="0" fontId="7" numFmtId="171" xfId="0" applyAlignment="1" applyFont="1" applyNumberFormat="1">
      <alignment readingOrder="0" shrinkToFit="0" wrapText="1"/>
    </xf>
    <xf borderId="0" fillId="0" fontId="14" numFmtId="14" xfId="0" applyAlignment="1" applyFont="1" applyNumberFormat="1">
      <alignment readingOrder="0" shrinkToFit="0" wrapText="1"/>
    </xf>
    <xf borderId="0" fillId="0" fontId="15" numFmtId="0" xfId="0" applyAlignment="1" applyFont="1">
      <alignment readingOrder="0" shrinkToFit="0" wrapText="1"/>
    </xf>
    <xf borderId="0" fillId="0" fontId="14" numFmtId="0" xfId="0" applyAlignment="1" applyFont="1">
      <alignment readingOrder="0" shrinkToFit="0" wrapText="1"/>
    </xf>
    <xf borderId="0" fillId="0" fontId="12" numFmtId="0" xfId="0" applyAlignment="1" applyFont="1">
      <alignment horizontal="right" readingOrder="0" shrinkToFit="0" vertical="bottom" wrapText="1"/>
    </xf>
    <xf borderId="0" fillId="0" fontId="2" numFmtId="0" xfId="0" applyAlignment="1" applyFont="1">
      <alignment readingOrder="0" shrinkToFit="0" wrapText="1"/>
    </xf>
    <xf borderId="0" fillId="0" fontId="12" numFmtId="0" xfId="0" applyAlignment="1" applyFont="1">
      <alignment readingOrder="0" shrinkToFit="0" vertical="bottom" wrapText="1"/>
    </xf>
    <xf borderId="0" fillId="0" fontId="12" numFmtId="164" xfId="0" applyAlignment="1" applyFont="1" applyNumberFormat="1">
      <alignment horizontal="right" readingOrder="0" shrinkToFit="0" vertical="bottom" wrapText="1"/>
    </xf>
    <xf borderId="0" fillId="0" fontId="2" numFmtId="0" xfId="0" applyAlignment="1" applyFont="1">
      <alignment readingOrder="0" shrinkToFit="0" vertical="bottom" wrapText="1"/>
    </xf>
    <xf borderId="0" fillId="0" fontId="16" numFmtId="0" xfId="0" applyAlignment="1" applyFont="1">
      <alignment shrinkToFit="0" vertical="bottom" wrapText="1"/>
    </xf>
    <xf borderId="0" fillId="6" fontId="12" numFmtId="0" xfId="0" applyAlignment="1" applyFont="1">
      <alignment horizontal="left" readingOrder="0" shrinkToFit="0" wrapText="1"/>
    </xf>
    <xf borderId="0" fillId="0" fontId="2" numFmtId="11" xfId="0" applyAlignment="1" applyFont="1" applyNumberFormat="1">
      <alignment readingOrder="0" shrinkToFit="0" wrapText="1"/>
    </xf>
    <xf borderId="0" fillId="0" fontId="2" numFmtId="171" xfId="0" applyAlignment="1" applyFont="1" applyNumberFormat="1">
      <alignment readingOrder="0" shrinkToFit="0" wrapText="1"/>
    </xf>
    <xf quotePrefix="1" borderId="0" fillId="0" fontId="2" numFmtId="0" xfId="0" applyAlignment="1" applyFont="1">
      <alignment readingOrder="0" shrinkToFit="0" wrapText="1"/>
    </xf>
    <xf borderId="0" fillId="0" fontId="7" numFmtId="165" xfId="0" applyAlignment="1" applyFont="1" applyNumberFormat="1">
      <alignment readingOrder="0" shrinkToFit="0" wrapText="1"/>
    </xf>
    <xf borderId="0" fillId="0" fontId="2" numFmtId="172" xfId="0" applyAlignment="1" applyFont="1" applyNumberFormat="1">
      <alignment readingOrder="0" shrinkToFit="0" wrapText="1"/>
    </xf>
    <xf borderId="0" fillId="0" fontId="17" numFmtId="0" xfId="0" applyAlignment="1" applyFont="1">
      <alignment readingOrder="0" shrinkToFit="0" wrapText="1"/>
    </xf>
    <xf borderId="0" fillId="0" fontId="2" numFmtId="0" xfId="0" applyAlignment="1" applyFont="1">
      <alignment readingOrder="0" shrinkToFit="0" wrapText="1"/>
    </xf>
    <xf borderId="0" fillId="0" fontId="12" numFmtId="14" xfId="0" applyAlignment="1" applyFont="1" applyNumberFormat="1">
      <alignment horizontal="right" shrinkToFit="0" vertical="bottom" wrapText="1"/>
    </xf>
    <xf borderId="0" fillId="0" fontId="11" numFmtId="0" xfId="0" applyAlignment="1" applyFont="1">
      <alignment horizontal="right" shrinkToFit="0" vertical="bottom" wrapText="1"/>
    </xf>
    <xf borderId="0" fillId="0" fontId="11" numFmtId="164" xfId="0" applyAlignment="1" applyFont="1" applyNumberFormat="1">
      <alignment shrinkToFit="0" vertical="bottom" wrapText="1"/>
    </xf>
    <xf borderId="0" fillId="0" fontId="18" numFmtId="0" xfId="0" applyAlignment="1" applyFont="1">
      <alignment readingOrder="0" shrinkToFit="0" wrapText="1"/>
    </xf>
    <xf borderId="0" fillId="6" fontId="19" numFmtId="0" xfId="0" applyAlignment="1" applyFont="1">
      <alignment shrinkToFit="0" wrapText="1"/>
    </xf>
    <xf borderId="0" fillId="6" fontId="19" numFmtId="0" xfId="0" applyAlignment="1" applyFont="1">
      <alignment shrinkToFit="0" wrapText="1"/>
    </xf>
    <xf borderId="0" fillId="0" fontId="12" numFmtId="0" xfId="0" applyAlignment="1" applyFont="1">
      <alignment horizontal="right" shrinkToFit="0" vertical="bottom" wrapText="1"/>
    </xf>
    <xf borderId="0" fillId="0" fontId="11" numFmtId="0" xfId="0" applyAlignment="1" applyFont="1">
      <alignment horizontal="right" shrinkToFit="0" vertical="bottom" wrapText="1"/>
    </xf>
    <xf borderId="0" fillId="0" fontId="11" numFmtId="164" xfId="0" applyAlignment="1" applyFont="1" applyNumberFormat="1">
      <alignment horizontal="right" shrinkToFit="0" vertical="bottom" wrapText="1"/>
    </xf>
    <xf borderId="0" fillId="0" fontId="11" numFmtId="168" xfId="0" applyAlignment="1" applyFont="1" applyNumberFormat="1">
      <alignment horizontal="right" shrinkToFit="0" vertical="bottom" wrapText="1"/>
    </xf>
    <xf borderId="0" fillId="6" fontId="12" numFmtId="164" xfId="0" applyAlignment="1" applyFont="1" applyNumberFormat="1">
      <alignment horizontal="left" readingOrder="0" shrinkToFit="0" wrapText="1"/>
    </xf>
    <xf borderId="0" fillId="0" fontId="11" numFmtId="168" xfId="0" applyAlignment="1" applyFont="1" applyNumberFormat="1">
      <alignment horizontal="right" shrinkToFit="0" vertical="bottom" wrapText="1"/>
    </xf>
    <xf borderId="0" fillId="0" fontId="7" numFmtId="0" xfId="0" applyAlignment="1" applyFont="1">
      <alignment shrinkToFit="0" wrapText="1"/>
    </xf>
    <xf borderId="0" fillId="0" fontId="20" numFmtId="49" xfId="0" applyAlignment="1" applyFont="1" applyNumberFormat="1">
      <alignment horizontal="right" shrinkToFit="0" wrapText="1"/>
    </xf>
    <xf borderId="0" fillId="0" fontId="20" numFmtId="49" xfId="0" applyAlignment="1" applyFont="1" applyNumberFormat="1">
      <alignment horizontal="right" shrinkToFit="0" wrapText="0"/>
    </xf>
    <xf borderId="0" fillId="0" fontId="20" numFmtId="49" xfId="0" applyAlignment="1" applyFont="1" applyNumberFormat="1">
      <alignment horizontal="right" shrinkToFit="0" vertical="bottom" wrapText="0"/>
    </xf>
    <xf borderId="0" fillId="0" fontId="15" numFmtId="14" xfId="0" applyAlignment="1" applyFont="1" applyNumberFormat="1">
      <alignment readingOrder="0" shrinkToFit="0" wrapText="1"/>
    </xf>
    <xf borderId="0" fillId="0" fontId="15" numFmtId="3" xfId="0" applyAlignment="1" applyFont="1" applyNumberFormat="1">
      <alignment readingOrder="0" shrinkToFit="0" wrapText="1"/>
    </xf>
    <xf borderId="0" fillId="0" fontId="15" numFmtId="164" xfId="0" applyAlignment="1" applyFont="1" applyNumberFormat="1">
      <alignment readingOrder="0" shrinkToFit="0" wrapText="1"/>
    </xf>
    <xf borderId="0" fillId="0" fontId="2" numFmtId="173" xfId="0" applyAlignment="1" applyFont="1" applyNumberFormat="1">
      <alignment readingOrder="0" shrinkToFit="0" wrapText="1"/>
    </xf>
    <xf borderId="0" fillId="0" fontId="20" numFmtId="49" xfId="0" applyAlignment="1" applyFont="1" applyNumberFormat="1">
      <alignment horizontal="right" readingOrder="0" shrinkToFit="0" vertical="bottom" wrapText="0"/>
    </xf>
    <xf borderId="0" fillId="0" fontId="0" numFmtId="0" xfId="0" applyAlignment="1" applyFont="1">
      <alignment readingOrder="0" shrinkToFit="0" vertical="bottom" wrapText="0"/>
    </xf>
    <xf borderId="0" fillId="0" fontId="0" numFmtId="0" xfId="0" applyAlignment="1" applyFont="1">
      <alignment readingOrder="0" shrinkToFit="0" wrapText="1"/>
    </xf>
    <xf borderId="0" fillId="9" fontId="11" numFmtId="14" xfId="0" applyAlignment="1" applyFill="1" applyFont="1" applyNumberFormat="1">
      <alignment shrinkToFit="0" vertical="bottom" wrapText="1"/>
    </xf>
    <xf borderId="0" fillId="9" fontId="11" numFmtId="0" xfId="0" applyAlignment="1" applyFont="1">
      <alignment shrinkToFit="0" vertical="bottom" wrapText="1"/>
    </xf>
    <xf borderId="0" fillId="9" fontId="11" numFmtId="0" xfId="0" applyAlignment="1" applyFont="1">
      <alignment shrinkToFit="0" vertical="bottom" wrapText="1"/>
    </xf>
    <xf borderId="0" fillId="0" fontId="21" numFmtId="0" xfId="0" applyAlignment="1" applyFont="1">
      <alignment readingOrder="0" shrinkToFit="0" wrapText="1"/>
    </xf>
    <xf borderId="0" fillId="0" fontId="21" numFmtId="0" xfId="0" applyAlignment="1" applyFont="1">
      <alignment readingOrder="0" shrinkToFit="0" wrapText="1"/>
    </xf>
    <xf borderId="0" fillId="0" fontId="21" numFmtId="0" xfId="0" applyAlignment="1" applyFont="1">
      <alignment shrinkToFit="0" wrapText="1"/>
    </xf>
    <xf borderId="0" fillId="0" fontId="12" numFmtId="164" xfId="0" applyAlignment="1" applyFont="1" applyNumberFormat="1">
      <alignment horizontal="right" shrinkToFit="0" vertical="bottom" wrapText="1"/>
    </xf>
    <xf borderId="0" fillId="6" fontId="12" numFmtId="0" xfId="0" applyAlignment="1" applyFont="1">
      <alignment horizontal="left" shrinkToFit="0" vertical="bottom" wrapText="1"/>
    </xf>
    <xf borderId="0" fillId="6" fontId="12" numFmtId="164" xfId="0" applyAlignment="1" applyFont="1" applyNumberFormat="1">
      <alignment readingOrder="0" shrinkToFit="0" wrapText="1"/>
    </xf>
    <xf borderId="0" fillId="0" fontId="22" numFmtId="0" xfId="0" applyAlignment="1" applyFont="1">
      <alignment readingOrder="0" shrinkToFit="0" wrapText="1"/>
    </xf>
    <xf borderId="0" fillId="6" fontId="23" numFmtId="0" xfId="0" applyAlignment="1" applyFont="1">
      <alignment readingOrder="0" shrinkToFit="0" wrapText="1"/>
    </xf>
    <xf borderId="0" fillId="0" fontId="12" numFmtId="165" xfId="0" applyAlignment="1" applyFont="1" applyNumberFormat="1">
      <alignment horizontal="right" shrinkToFit="0" vertical="bottom" wrapText="1"/>
    </xf>
    <xf borderId="0" fillId="6" fontId="24" numFmtId="0" xfId="0" applyAlignment="1" applyFont="1">
      <alignment horizontal="left" readingOrder="0" shrinkToFit="0" wrapText="1"/>
    </xf>
    <xf borderId="0" fillId="6" fontId="24" numFmtId="0" xfId="0" applyAlignment="1" applyFont="1">
      <alignment horizontal="left" readingOrder="0" shrinkToFit="0" wrapText="1"/>
    </xf>
    <xf borderId="0" fillId="0" fontId="11" numFmtId="0" xfId="0" applyAlignment="1" applyFont="1">
      <alignment horizontal="right" readingOrder="0" shrinkToFit="0" vertical="bottom" wrapText="1"/>
    </xf>
    <xf borderId="0" fillId="6" fontId="12" numFmtId="14" xfId="0" applyAlignment="1" applyFont="1" applyNumberFormat="1">
      <alignment horizontal="left" shrinkToFit="0" vertical="bottom" wrapText="1"/>
    </xf>
    <xf borderId="0" fillId="6" fontId="12" numFmtId="164" xfId="0" applyAlignment="1" applyFont="1" applyNumberFormat="1">
      <alignment horizontal="left" shrinkToFit="0" vertical="bottom" wrapText="1"/>
    </xf>
    <xf borderId="0" fillId="0" fontId="11" numFmtId="3" xfId="0" applyAlignment="1" applyFont="1" applyNumberFormat="1">
      <alignment horizontal="right" shrinkToFit="0" vertical="bottom" wrapText="1"/>
    </xf>
    <xf borderId="0" fillId="0" fontId="11" numFmtId="0" xfId="0" applyAlignment="1" applyFont="1">
      <alignment horizontal="right" shrinkToFit="0" vertical="bottom" wrapText="1"/>
    </xf>
    <xf borderId="0" fillId="0" fontId="11" numFmtId="0" xfId="0" applyAlignment="1" applyFont="1">
      <alignment horizontal="right" shrinkToFit="0" vertical="bottom" wrapText="1"/>
    </xf>
    <xf borderId="0" fillId="0" fontId="7" numFmtId="0" xfId="0" applyAlignment="1" applyFont="1">
      <alignment horizontal="right" readingOrder="0" shrinkToFit="0" wrapText="1"/>
    </xf>
    <xf borderId="0" fillId="0" fontId="2" numFmtId="167" xfId="0" applyAlignment="1" applyFont="1" applyNumberFormat="1">
      <alignment readingOrder="0" shrinkToFit="0" wrapText="1"/>
    </xf>
    <xf borderId="0" fillId="0" fontId="11" numFmtId="171" xfId="0" applyAlignment="1" applyFont="1" applyNumberFormat="1">
      <alignment horizontal="right" shrinkToFit="0" vertical="bottom" wrapText="1"/>
    </xf>
    <xf borderId="0" fillId="6" fontId="12" numFmtId="164" xfId="0" applyAlignment="1" applyFont="1" applyNumberFormat="1">
      <alignment horizontal="right" shrinkToFit="0" vertical="bottom" wrapText="1"/>
    </xf>
    <xf borderId="0" fillId="0" fontId="12" numFmtId="164" xfId="0" applyAlignment="1" applyFont="1" applyNumberFormat="1">
      <alignment horizontal="right" shrinkToFit="0" vertical="bottom" wrapText="1"/>
    </xf>
    <xf borderId="0" fillId="6" fontId="11" numFmtId="164" xfId="0" applyAlignment="1" applyFont="1" applyNumberFormat="1">
      <alignment shrinkToFit="0" vertical="bottom" wrapText="1"/>
    </xf>
    <xf borderId="0" fillId="0" fontId="12" numFmtId="171" xfId="0" applyAlignment="1" applyFont="1" applyNumberFormat="1">
      <alignment horizontal="right" shrinkToFit="0" vertical="bottom" wrapText="1"/>
    </xf>
    <xf borderId="0" fillId="5" fontId="25" numFmtId="0" xfId="0" applyAlignment="1" applyFont="1">
      <alignment shrinkToFit="0" vertical="bottom" wrapText="1"/>
    </xf>
    <xf borderId="0" fillId="0" fontId="2" numFmtId="3" xfId="0" applyAlignment="1" applyFont="1" applyNumberFormat="1">
      <alignment readingOrder="0" shrinkToFit="0" wrapText="1"/>
    </xf>
    <xf borderId="0" fillId="0" fontId="26" numFmtId="0" xfId="0" applyAlignment="1" applyFont="1">
      <alignment readingOrder="0" shrinkToFit="0" wrapText="1"/>
    </xf>
    <xf borderId="0" fillId="0" fontId="13" numFmtId="0" xfId="0" applyAlignment="1" applyFont="1">
      <alignment readingOrder="0" shrinkToFit="0" wrapText="1"/>
    </xf>
    <xf borderId="0" fillId="0" fontId="12" numFmtId="14" xfId="0" applyAlignment="1" applyFont="1" applyNumberFormat="1">
      <alignment horizontal="right" readingOrder="0" shrinkToFit="0" vertical="bottom" wrapText="1"/>
    </xf>
    <xf borderId="0" fillId="6" fontId="27" numFmtId="0" xfId="0" applyAlignment="1" applyFont="1">
      <alignment readingOrder="0" shrinkToFit="0" wrapText="1"/>
    </xf>
    <xf borderId="0" fillId="9" fontId="11" numFmtId="0" xfId="0" applyAlignment="1" applyFont="1">
      <alignment readingOrder="0" shrinkToFit="0" vertical="bottom"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flshorebirdalliance.org/media/53677/2017_Winter_Shorebird_Survey.p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2.0" topLeftCell="A3" activePane="bottomLeft" state="frozen"/>
      <selection activeCell="B4" sqref="B4" pane="bottomLeft"/>
    </sheetView>
  </sheetViews>
  <sheetFormatPr customHeight="1" defaultColWidth="14.43" defaultRowHeight="12.75"/>
  <cols>
    <col customWidth="1" min="1" max="1" width="177.71"/>
    <col customWidth="1" min="2" max="2" width="17.71"/>
    <col customWidth="1" min="3" max="3" width="17.0"/>
    <col customWidth="1" min="4" max="20" width="17.29"/>
  </cols>
  <sheetData>
    <row r="1">
      <c r="A1" s="1"/>
    </row>
    <row r="2">
      <c r="A2" s="3"/>
    </row>
    <row r="3" ht="18.0" customHeight="1">
      <c r="A3" s="12" t="s">
        <v>11</v>
      </c>
    </row>
    <row r="4">
      <c r="A4" s="18" t="s">
        <v>19</v>
      </c>
    </row>
    <row r="5">
      <c r="A5" s="19"/>
    </row>
    <row r="6">
      <c r="A6" s="20" t="s">
        <v>56</v>
      </c>
    </row>
    <row r="7">
      <c r="A7" s="22" t="s">
        <v>81</v>
      </c>
    </row>
    <row r="8">
      <c r="A8" s="23" t="s">
        <v>103</v>
      </c>
    </row>
    <row r="9">
      <c r="A9" s="23" t="s">
        <v>106</v>
      </c>
    </row>
    <row r="10">
      <c r="A10" s="24"/>
    </row>
    <row r="11">
      <c r="A11" s="19" t="s">
        <v>109</v>
      </c>
    </row>
    <row r="12">
      <c r="A12" s="25" t="s">
        <v>111</v>
      </c>
    </row>
    <row r="13">
      <c r="A13" s="24"/>
    </row>
    <row r="14">
      <c r="A14" s="27" t="s">
        <v>114</v>
      </c>
    </row>
    <row r="15">
      <c r="A15" s="24"/>
    </row>
    <row r="16">
      <c r="A16" s="19" t="s">
        <v>121</v>
      </c>
    </row>
    <row r="17">
      <c r="A17" s="19"/>
    </row>
  </sheetData>
  <hyperlinks>
    <hyperlink r:id="rId1" ref="A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2.0" topLeftCell="A3" activePane="bottomLeft" state="frozen"/>
      <selection activeCell="B4" sqref="B4" pane="bottomLeft"/>
    </sheetView>
  </sheetViews>
  <sheetFormatPr customHeight="1" defaultColWidth="14.43" defaultRowHeight="12.75"/>
  <cols>
    <col customWidth="1" min="1" max="1" width="15.0"/>
    <col customWidth="1" min="2" max="2" width="17.29"/>
    <col customWidth="1" min="3" max="3" width="32.86"/>
    <col customWidth="1" min="4" max="4" width="19.43"/>
    <col customWidth="1" min="5" max="5" width="11.71"/>
    <col customWidth="1" min="6" max="6" width="12.0"/>
    <col customWidth="1" min="7" max="7" width="14.43"/>
    <col customWidth="1" min="8" max="8" width="12.14"/>
    <col customWidth="1" min="9" max="9" width="12.71"/>
    <col customWidth="1" min="10" max="14" width="17.29"/>
    <col customWidth="1" min="15" max="15" width="52.0"/>
    <col customWidth="1" min="16" max="16" width="34.29"/>
    <col customWidth="1" min="17" max="67" width="17.29"/>
  </cols>
  <sheetData>
    <row r="1" ht="41.25" customHeight="1">
      <c r="A1" s="2" t="s">
        <v>0</v>
      </c>
      <c r="L1" s="4"/>
      <c r="M1" s="5"/>
      <c r="N1" s="5"/>
      <c r="O1" s="4"/>
      <c r="P1" s="4"/>
    </row>
    <row r="2" ht="24.75" customHeight="1">
      <c r="A2" s="6" t="s">
        <v>1</v>
      </c>
      <c r="B2" s="6" t="s">
        <v>2</v>
      </c>
      <c r="C2" s="6" t="s">
        <v>3</v>
      </c>
      <c r="D2" s="6" t="s">
        <v>4</v>
      </c>
      <c r="E2" s="6" t="s">
        <v>5</v>
      </c>
      <c r="F2" s="7" t="s">
        <v>6</v>
      </c>
      <c r="G2" s="7" t="s">
        <v>7</v>
      </c>
      <c r="H2" s="8" t="s">
        <v>8</v>
      </c>
      <c r="I2" s="8" t="s">
        <v>9</v>
      </c>
      <c r="J2" s="9" t="s">
        <v>10</v>
      </c>
      <c r="K2" s="9" t="s">
        <v>12</v>
      </c>
      <c r="L2" s="9" t="s">
        <v>13</v>
      </c>
      <c r="M2" s="10" t="s">
        <v>14</v>
      </c>
      <c r="N2" s="10" t="s">
        <v>15</v>
      </c>
      <c r="O2" s="9" t="s">
        <v>16</v>
      </c>
      <c r="P2" s="9" t="s">
        <v>17</v>
      </c>
    </row>
    <row r="3" ht="33.75" customHeight="1">
      <c r="A3" s="11">
        <v>42769.0</v>
      </c>
      <c r="B3" s="13" t="s">
        <v>18</v>
      </c>
      <c r="C3" s="13" t="s">
        <v>20</v>
      </c>
      <c r="D3" s="13" t="s">
        <v>20</v>
      </c>
      <c r="E3" s="13" t="s">
        <v>20</v>
      </c>
      <c r="F3" s="13"/>
      <c r="G3" s="13"/>
      <c r="H3" s="13"/>
      <c r="I3" s="13"/>
      <c r="J3" s="13"/>
      <c r="K3" s="13"/>
      <c r="L3" s="13">
        <v>2.0</v>
      </c>
      <c r="M3" s="13">
        <v>27.9857</v>
      </c>
      <c r="N3" s="13">
        <v>82.82881</v>
      </c>
      <c r="O3" s="13" t="s">
        <v>21</v>
      </c>
      <c r="P3" s="14"/>
    </row>
    <row r="4" ht="33.75" customHeight="1">
      <c r="A4" s="15">
        <v>42769.0</v>
      </c>
      <c r="B4" s="16" t="s">
        <v>22</v>
      </c>
      <c r="C4" s="16" t="s">
        <v>23</v>
      </c>
      <c r="D4" s="16" t="s">
        <v>24</v>
      </c>
      <c r="E4" s="16" t="s">
        <v>25</v>
      </c>
      <c r="F4" s="17">
        <v>29.95</v>
      </c>
      <c r="G4" s="17">
        <v>-85.4309</v>
      </c>
      <c r="H4" s="17">
        <v>29.9584</v>
      </c>
      <c r="I4" s="14">
        <v>-85.4491</v>
      </c>
      <c r="J4" s="13" t="s">
        <v>26</v>
      </c>
      <c r="K4" s="13" t="s">
        <v>27</v>
      </c>
      <c r="L4" s="13">
        <v>1.0</v>
      </c>
      <c r="M4" s="14">
        <v>29.9539</v>
      </c>
      <c r="N4" s="14">
        <v>-85.4461</v>
      </c>
      <c r="O4" s="13" t="s">
        <v>29</v>
      </c>
      <c r="P4" s="13" t="s">
        <v>31</v>
      </c>
    </row>
    <row r="5" ht="33.75" customHeight="1">
      <c r="A5" s="15">
        <v>42769.0</v>
      </c>
      <c r="B5" s="16" t="s">
        <v>22</v>
      </c>
      <c r="C5" s="16" t="s">
        <v>38</v>
      </c>
      <c r="D5" s="16" t="s">
        <v>24</v>
      </c>
      <c r="E5" s="16" t="s">
        <v>25</v>
      </c>
      <c r="F5" s="17">
        <v>29.95</v>
      </c>
      <c r="G5" s="17">
        <v>-85.4309</v>
      </c>
      <c r="H5" s="17">
        <v>29.9584</v>
      </c>
      <c r="I5" s="14">
        <v>-85.4491</v>
      </c>
      <c r="J5" s="13" t="s">
        <v>45</v>
      </c>
      <c r="K5" s="13" t="s">
        <v>48</v>
      </c>
      <c r="L5" s="13">
        <v>2.0</v>
      </c>
      <c r="M5" s="14">
        <v>29.9535</v>
      </c>
      <c r="N5" s="14">
        <v>-85.4448</v>
      </c>
      <c r="O5" s="13" t="s">
        <v>53</v>
      </c>
      <c r="P5" s="13" t="s">
        <v>54</v>
      </c>
    </row>
    <row r="6" ht="33.75" customHeight="1">
      <c r="A6" s="15">
        <v>42769.0</v>
      </c>
      <c r="B6" s="13" t="s">
        <v>22</v>
      </c>
      <c r="C6" s="16" t="s">
        <v>66</v>
      </c>
      <c r="D6" s="16" t="s">
        <v>68</v>
      </c>
      <c r="E6" s="16" t="s">
        <v>25</v>
      </c>
      <c r="F6" s="17">
        <v>29.925</v>
      </c>
      <c r="G6" s="17">
        <v>-85.3894</v>
      </c>
      <c r="H6" s="17">
        <v>29.9505</v>
      </c>
      <c r="I6" s="14">
        <v>-85.4304</v>
      </c>
      <c r="J6" s="13" t="s">
        <v>74</v>
      </c>
      <c r="K6" s="13" t="s">
        <v>77</v>
      </c>
      <c r="L6" s="13">
        <v>1.0</v>
      </c>
      <c r="M6" s="14">
        <v>29.9413</v>
      </c>
      <c r="N6" s="14">
        <v>-85.4093</v>
      </c>
      <c r="O6" s="13" t="s">
        <v>80</v>
      </c>
      <c r="P6" s="13" t="s">
        <v>82</v>
      </c>
    </row>
    <row r="7" ht="33.75" customHeight="1">
      <c r="A7" s="15">
        <v>42769.0</v>
      </c>
      <c r="B7" s="13" t="s">
        <v>22</v>
      </c>
      <c r="C7" s="16" t="s">
        <v>66</v>
      </c>
      <c r="D7" s="16" t="s">
        <v>68</v>
      </c>
      <c r="E7" s="13" t="s">
        <v>25</v>
      </c>
      <c r="F7" s="14">
        <v>29.925</v>
      </c>
      <c r="G7" s="17">
        <v>-85.3894</v>
      </c>
      <c r="H7" s="17">
        <v>29.9505</v>
      </c>
      <c r="I7" s="14">
        <v>-85.4304</v>
      </c>
      <c r="J7" s="13" t="s">
        <v>74</v>
      </c>
      <c r="K7" s="13" t="s">
        <v>83</v>
      </c>
      <c r="L7" s="13">
        <v>2.0</v>
      </c>
      <c r="M7" s="14">
        <v>29.9493</v>
      </c>
      <c r="N7" s="14">
        <v>-85.4265</v>
      </c>
      <c r="O7" s="13" t="s">
        <v>84</v>
      </c>
      <c r="P7" s="13" t="s">
        <v>82</v>
      </c>
    </row>
    <row r="8" ht="33.75" customHeight="1">
      <c r="A8" s="11">
        <v>42769.0</v>
      </c>
      <c r="B8" s="13" t="s">
        <v>85</v>
      </c>
      <c r="C8" s="13" t="s">
        <v>86</v>
      </c>
      <c r="D8" s="13" t="s">
        <v>87</v>
      </c>
      <c r="E8" s="13" t="s">
        <v>25</v>
      </c>
      <c r="F8" s="13">
        <v>30.05303</v>
      </c>
      <c r="G8" s="13">
        <v>-85.6004</v>
      </c>
      <c r="H8" s="13">
        <v>30.00397</v>
      </c>
      <c r="I8" s="14">
        <v>-85.53571</v>
      </c>
      <c r="J8" s="13" t="s">
        <v>88</v>
      </c>
      <c r="K8" s="13" t="s">
        <v>48</v>
      </c>
      <c r="L8" s="13">
        <v>1.0</v>
      </c>
      <c r="M8" s="14">
        <v>30.05127</v>
      </c>
      <c r="N8" s="14">
        <v>-85.59882</v>
      </c>
      <c r="O8" s="13" t="s">
        <v>89</v>
      </c>
      <c r="P8" s="13" t="s">
        <v>90</v>
      </c>
    </row>
    <row r="9" ht="33.75" customHeight="1">
      <c r="A9" s="15">
        <v>42769.0</v>
      </c>
      <c r="B9" s="16" t="s">
        <v>85</v>
      </c>
      <c r="C9" s="16" t="s">
        <v>86</v>
      </c>
      <c r="D9" s="16" t="s">
        <v>87</v>
      </c>
      <c r="E9" s="16" t="s">
        <v>25</v>
      </c>
      <c r="F9" s="17">
        <v>30.05303</v>
      </c>
      <c r="G9" s="13">
        <v>-85.6004</v>
      </c>
      <c r="H9" s="13">
        <v>30.00397</v>
      </c>
      <c r="I9" s="14">
        <v>-85.53571</v>
      </c>
      <c r="J9" s="13" t="s">
        <v>88</v>
      </c>
      <c r="K9" s="13" t="s">
        <v>48</v>
      </c>
      <c r="L9" s="13">
        <v>2.0</v>
      </c>
      <c r="M9" s="14">
        <v>30.04895</v>
      </c>
      <c r="N9" s="14">
        <v>-85.59548</v>
      </c>
      <c r="O9" s="13" t="s">
        <v>100</v>
      </c>
      <c r="P9" s="13" t="s">
        <v>102</v>
      </c>
    </row>
    <row r="10" ht="33.75" customHeight="1">
      <c r="A10" s="15">
        <v>42769.0</v>
      </c>
      <c r="B10" s="16" t="s">
        <v>85</v>
      </c>
      <c r="C10" s="16" t="s">
        <v>86</v>
      </c>
      <c r="D10" s="16" t="s">
        <v>87</v>
      </c>
      <c r="E10" s="16" t="s">
        <v>25</v>
      </c>
      <c r="F10" s="17">
        <v>30.05303</v>
      </c>
      <c r="G10" s="13">
        <v>-85.6004</v>
      </c>
      <c r="H10" s="13">
        <v>30.00397</v>
      </c>
      <c r="I10" s="14">
        <v>-85.53571</v>
      </c>
      <c r="J10" s="13" t="s">
        <v>88</v>
      </c>
      <c r="K10" s="13" t="s">
        <v>48</v>
      </c>
      <c r="L10" s="13">
        <v>3.0</v>
      </c>
      <c r="M10" s="13">
        <v>30.04708</v>
      </c>
      <c r="N10" s="13">
        <v>-85.5927</v>
      </c>
      <c r="O10" s="13" t="s">
        <v>104</v>
      </c>
      <c r="P10" s="13" t="s">
        <v>105</v>
      </c>
    </row>
    <row r="11" ht="33.75" customHeight="1">
      <c r="A11" s="15">
        <v>42769.0</v>
      </c>
      <c r="B11" s="16" t="s">
        <v>85</v>
      </c>
      <c r="C11" s="16" t="s">
        <v>86</v>
      </c>
      <c r="D11" s="16" t="s">
        <v>87</v>
      </c>
      <c r="E11" s="16" t="s">
        <v>25</v>
      </c>
      <c r="F11" s="17">
        <v>30.05303</v>
      </c>
      <c r="G11" s="13">
        <v>-85.6004</v>
      </c>
      <c r="H11" s="13">
        <v>30.00397</v>
      </c>
      <c r="I11" s="14">
        <v>-85.53571</v>
      </c>
      <c r="J11" s="13" t="s">
        <v>88</v>
      </c>
      <c r="K11" s="13" t="s">
        <v>48</v>
      </c>
      <c r="L11" s="13">
        <v>4.0</v>
      </c>
      <c r="M11" s="14">
        <v>30.04209</v>
      </c>
      <c r="N11" s="14">
        <v>-85.58666</v>
      </c>
      <c r="O11" s="13" t="s">
        <v>107</v>
      </c>
      <c r="P11" s="13" t="s">
        <v>108</v>
      </c>
    </row>
    <row r="12" ht="33.75" customHeight="1">
      <c r="A12" s="15">
        <v>42769.0</v>
      </c>
      <c r="B12" s="16" t="s">
        <v>85</v>
      </c>
      <c r="C12" s="16" t="s">
        <v>86</v>
      </c>
      <c r="D12" s="16" t="s">
        <v>87</v>
      </c>
      <c r="E12" s="16" t="s">
        <v>25</v>
      </c>
      <c r="F12" s="17">
        <v>30.05303</v>
      </c>
      <c r="G12" s="13">
        <v>-85.6004</v>
      </c>
      <c r="H12" s="13">
        <v>30.00397</v>
      </c>
      <c r="I12" s="14">
        <v>-85.53571</v>
      </c>
      <c r="J12" s="13" t="s">
        <v>88</v>
      </c>
      <c r="K12" s="13" t="s">
        <v>48</v>
      </c>
      <c r="L12" s="13">
        <v>5.0</v>
      </c>
      <c r="M12" s="14">
        <v>30.04001</v>
      </c>
      <c r="N12" s="14">
        <v>-85.58443</v>
      </c>
      <c r="O12" s="13" t="s">
        <v>115</v>
      </c>
      <c r="P12" s="13" t="s">
        <v>116</v>
      </c>
    </row>
    <row r="13" ht="33.75" customHeight="1">
      <c r="A13" s="15">
        <v>42769.0</v>
      </c>
      <c r="B13" s="16" t="s">
        <v>85</v>
      </c>
      <c r="C13" s="16" t="s">
        <v>86</v>
      </c>
      <c r="D13" s="16" t="s">
        <v>87</v>
      </c>
      <c r="E13" s="16" t="s">
        <v>25</v>
      </c>
      <c r="F13" s="17">
        <v>30.05303</v>
      </c>
      <c r="G13" s="13">
        <v>-85.6004</v>
      </c>
      <c r="H13" s="13">
        <v>30.00397</v>
      </c>
      <c r="I13" s="14">
        <v>-85.53571</v>
      </c>
      <c r="J13" s="13" t="s">
        <v>88</v>
      </c>
      <c r="K13" s="13" t="s">
        <v>48</v>
      </c>
      <c r="L13" s="13">
        <v>6.0</v>
      </c>
      <c r="M13" s="14">
        <v>30.02674</v>
      </c>
      <c r="N13" s="14">
        <v>-85.56944</v>
      </c>
      <c r="O13" s="13" t="s">
        <v>117</v>
      </c>
      <c r="P13" s="13" t="s">
        <v>108</v>
      </c>
    </row>
    <row r="14" ht="33.75" customHeight="1">
      <c r="A14" s="15">
        <v>42769.0</v>
      </c>
      <c r="B14" s="16" t="s">
        <v>85</v>
      </c>
      <c r="C14" s="16" t="s">
        <v>86</v>
      </c>
      <c r="D14" s="16" t="s">
        <v>87</v>
      </c>
      <c r="E14" s="16" t="s">
        <v>25</v>
      </c>
      <c r="F14" s="17">
        <v>30.05303</v>
      </c>
      <c r="G14" s="13">
        <v>-85.6004</v>
      </c>
      <c r="H14" s="13">
        <v>30.00397</v>
      </c>
      <c r="I14" s="14">
        <v>-85.53571</v>
      </c>
      <c r="J14" s="13" t="s">
        <v>88</v>
      </c>
      <c r="K14" s="13" t="s">
        <v>48</v>
      </c>
      <c r="L14" s="13">
        <v>7.0</v>
      </c>
      <c r="M14" s="14">
        <v>30.02224</v>
      </c>
      <c r="N14" s="14">
        <v>-85.56458</v>
      </c>
      <c r="O14" s="13" t="s">
        <v>120</v>
      </c>
      <c r="P14" s="13" t="s">
        <v>122</v>
      </c>
    </row>
    <row r="15" ht="33.75" customHeight="1">
      <c r="A15" s="15">
        <v>42769.0</v>
      </c>
      <c r="B15" s="16" t="s">
        <v>85</v>
      </c>
      <c r="C15" s="16" t="s">
        <v>86</v>
      </c>
      <c r="D15" s="16" t="s">
        <v>87</v>
      </c>
      <c r="E15" s="16" t="s">
        <v>25</v>
      </c>
      <c r="F15" s="17">
        <v>30.05303</v>
      </c>
      <c r="G15" s="13">
        <v>-85.6004</v>
      </c>
      <c r="H15" s="13">
        <v>30.00397</v>
      </c>
      <c r="I15" s="14">
        <v>-85.53571</v>
      </c>
      <c r="J15" s="13" t="s">
        <v>88</v>
      </c>
      <c r="K15" s="13" t="s">
        <v>48</v>
      </c>
      <c r="L15" s="13">
        <v>8.0</v>
      </c>
      <c r="M15" s="14">
        <v>30.02058</v>
      </c>
      <c r="N15" s="14">
        <v>-85.56293</v>
      </c>
      <c r="O15" s="13" t="s">
        <v>100</v>
      </c>
      <c r="P15" s="13" t="s">
        <v>108</v>
      </c>
    </row>
    <row r="16" ht="33.75" customHeight="1">
      <c r="A16" s="15">
        <v>42769.0</v>
      </c>
      <c r="B16" s="16" t="s">
        <v>85</v>
      </c>
      <c r="C16" s="16" t="s">
        <v>86</v>
      </c>
      <c r="D16" s="16" t="s">
        <v>87</v>
      </c>
      <c r="E16" s="16" t="s">
        <v>25</v>
      </c>
      <c r="F16" s="17">
        <v>30.05303</v>
      </c>
      <c r="G16" s="13">
        <v>-85.6004</v>
      </c>
      <c r="H16" s="13">
        <v>30.00397</v>
      </c>
      <c r="I16" s="14">
        <v>-85.53571</v>
      </c>
      <c r="J16" s="13" t="s">
        <v>88</v>
      </c>
      <c r="K16" s="13" t="s">
        <v>48</v>
      </c>
      <c r="L16" s="13">
        <v>9.0</v>
      </c>
      <c r="M16" s="14">
        <v>30.02726</v>
      </c>
      <c r="N16" s="14">
        <v>-85.56821</v>
      </c>
      <c r="O16" s="13" t="s">
        <v>123</v>
      </c>
      <c r="P16" s="13"/>
    </row>
    <row r="17" ht="33.75" customHeight="1">
      <c r="A17" s="15">
        <v>42769.0</v>
      </c>
      <c r="B17" s="16" t="s">
        <v>85</v>
      </c>
      <c r="C17" s="16" t="s">
        <v>86</v>
      </c>
      <c r="D17" s="16" t="s">
        <v>87</v>
      </c>
      <c r="E17" s="16" t="s">
        <v>25</v>
      </c>
      <c r="F17" s="17">
        <v>30.05303</v>
      </c>
      <c r="G17" s="13">
        <v>-85.6004</v>
      </c>
      <c r="H17" s="13">
        <v>30.00397</v>
      </c>
      <c r="I17" s="14">
        <v>-85.53571</v>
      </c>
      <c r="J17" s="13" t="s">
        <v>88</v>
      </c>
      <c r="K17" s="13" t="s">
        <v>48</v>
      </c>
      <c r="L17" s="13">
        <v>10.0</v>
      </c>
      <c r="M17" s="14">
        <v>30.0255</v>
      </c>
      <c r="N17" s="14">
        <v>-85.56552</v>
      </c>
      <c r="O17" s="13" t="s">
        <v>124</v>
      </c>
      <c r="P17" s="13"/>
    </row>
    <row r="18" ht="33.75" customHeight="1">
      <c r="A18" s="15">
        <v>42769.0</v>
      </c>
      <c r="B18" s="16" t="s">
        <v>85</v>
      </c>
      <c r="C18" s="16" t="s">
        <v>86</v>
      </c>
      <c r="D18" s="16" t="s">
        <v>87</v>
      </c>
      <c r="E18" s="16" t="s">
        <v>25</v>
      </c>
      <c r="F18" s="17">
        <v>30.05303</v>
      </c>
      <c r="G18" s="13">
        <v>-85.6004</v>
      </c>
      <c r="H18" s="13">
        <v>30.00397</v>
      </c>
      <c r="I18" s="14">
        <v>-85.53571</v>
      </c>
      <c r="J18" s="13" t="s">
        <v>88</v>
      </c>
      <c r="K18" s="13" t="s">
        <v>48</v>
      </c>
      <c r="L18" s="13">
        <v>11.0</v>
      </c>
      <c r="M18" s="14">
        <v>30.00714</v>
      </c>
      <c r="N18" s="14">
        <v>-85.54691</v>
      </c>
      <c r="O18" s="13" t="s">
        <v>100</v>
      </c>
      <c r="P18" s="13" t="s">
        <v>125</v>
      </c>
    </row>
    <row r="19" ht="33.75" customHeight="1">
      <c r="A19" s="15">
        <v>42769.0</v>
      </c>
      <c r="B19" s="16" t="s">
        <v>85</v>
      </c>
      <c r="C19" s="16" t="s">
        <v>86</v>
      </c>
      <c r="D19" s="16" t="s">
        <v>87</v>
      </c>
      <c r="E19" s="16" t="s">
        <v>25</v>
      </c>
      <c r="F19" s="17">
        <v>30.05303</v>
      </c>
      <c r="G19" s="13">
        <v>-85.6004</v>
      </c>
      <c r="H19" s="13">
        <v>30.00397</v>
      </c>
      <c r="I19" s="14">
        <v>-85.53571</v>
      </c>
      <c r="J19" s="13" t="s">
        <v>88</v>
      </c>
      <c r="K19" s="13" t="s">
        <v>48</v>
      </c>
      <c r="L19" s="13">
        <v>12.0</v>
      </c>
      <c r="M19" s="14">
        <v>30.006</v>
      </c>
      <c r="N19" s="14">
        <v>-85.54559</v>
      </c>
      <c r="O19" s="13" t="s">
        <v>100</v>
      </c>
      <c r="P19" s="13" t="s">
        <v>126</v>
      </c>
    </row>
    <row r="20" ht="33.75" customHeight="1">
      <c r="A20" s="15">
        <v>42769.0</v>
      </c>
      <c r="B20" s="16" t="s">
        <v>85</v>
      </c>
      <c r="C20" s="16" t="s">
        <v>86</v>
      </c>
      <c r="D20" s="16" t="s">
        <v>87</v>
      </c>
      <c r="E20" s="16" t="s">
        <v>25</v>
      </c>
      <c r="F20" s="17">
        <v>30.05303</v>
      </c>
      <c r="G20" s="13">
        <v>-85.6004</v>
      </c>
      <c r="H20" s="13">
        <v>30.00397</v>
      </c>
      <c r="I20" s="14">
        <v>-85.53571</v>
      </c>
      <c r="J20" s="13" t="s">
        <v>88</v>
      </c>
      <c r="K20" s="13" t="s">
        <v>48</v>
      </c>
      <c r="L20" s="13">
        <v>13.0</v>
      </c>
      <c r="M20" s="14">
        <v>30.00505</v>
      </c>
      <c r="N20" s="14">
        <v>-85.54419</v>
      </c>
      <c r="O20" s="13" t="s">
        <v>100</v>
      </c>
      <c r="P20" s="13" t="s">
        <v>108</v>
      </c>
    </row>
    <row r="21" ht="33.75" customHeight="1">
      <c r="A21" s="15">
        <v>42769.0</v>
      </c>
      <c r="B21" s="16" t="s">
        <v>85</v>
      </c>
      <c r="C21" s="16" t="s">
        <v>86</v>
      </c>
      <c r="D21" s="16" t="s">
        <v>87</v>
      </c>
      <c r="E21" s="16" t="s">
        <v>25</v>
      </c>
      <c r="F21" s="17">
        <v>30.05303</v>
      </c>
      <c r="G21" s="13">
        <v>-85.6004</v>
      </c>
      <c r="H21" s="13">
        <v>30.00397</v>
      </c>
      <c r="I21" s="14">
        <v>-85.53571</v>
      </c>
      <c r="J21" s="13" t="s">
        <v>88</v>
      </c>
      <c r="K21" s="13" t="s">
        <v>48</v>
      </c>
      <c r="L21" s="13">
        <v>14.0</v>
      </c>
      <c r="M21" s="14">
        <v>30.00462</v>
      </c>
      <c r="N21" s="14">
        <v>-85.54239</v>
      </c>
      <c r="O21" s="13" t="s">
        <v>128</v>
      </c>
      <c r="P21" s="13" t="s">
        <v>129</v>
      </c>
    </row>
    <row r="22" ht="33.75" customHeight="1">
      <c r="A22" s="15">
        <v>42769.0</v>
      </c>
      <c r="B22" s="16" t="s">
        <v>85</v>
      </c>
      <c r="C22" s="16" t="s">
        <v>86</v>
      </c>
      <c r="D22" s="16" t="s">
        <v>87</v>
      </c>
      <c r="E22" s="16" t="s">
        <v>25</v>
      </c>
      <c r="F22" s="17">
        <v>30.05303</v>
      </c>
      <c r="G22" s="13">
        <v>-85.6004</v>
      </c>
      <c r="H22" s="13">
        <v>30.00397</v>
      </c>
      <c r="I22" s="14">
        <v>-85.53571</v>
      </c>
      <c r="J22" s="13" t="s">
        <v>88</v>
      </c>
      <c r="K22" s="13" t="s">
        <v>48</v>
      </c>
      <c r="L22" s="13">
        <v>15.0</v>
      </c>
      <c r="M22" s="14">
        <v>30.00415</v>
      </c>
      <c r="N22" s="14">
        <v>-85.5405</v>
      </c>
      <c r="O22" s="13" t="s">
        <v>53</v>
      </c>
      <c r="P22" s="13" t="s">
        <v>130</v>
      </c>
    </row>
    <row r="23" ht="33.75" customHeight="1">
      <c r="A23" s="15">
        <v>42769.0</v>
      </c>
      <c r="B23" s="16" t="s">
        <v>85</v>
      </c>
      <c r="C23" s="16" t="s">
        <v>86</v>
      </c>
      <c r="D23" s="16" t="s">
        <v>87</v>
      </c>
      <c r="E23" s="16" t="s">
        <v>25</v>
      </c>
      <c r="F23" s="17">
        <v>30.05303</v>
      </c>
      <c r="G23" s="13">
        <v>-85.6004</v>
      </c>
      <c r="H23" s="13">
        <v>30.00397</v>
      </c>
      <c r="I23" s="14">
        <v>-85.53571</v>
      </c>
      <c r="J23" s="13" t="s">
        <v>88</v>
      </c>
      <c r="K23" s="13" t="s">
        <v>48</v>
      </c>
      <c r="L23" s="13">
        <v>16.0</v>
      </c>
      <c r="M23" s="14">
        <v>30.00343</v>
      </c>
      <c r="N23" s="14">
        <v>-85.53784</v>
      </c>
      <c r="O23" s="13" t="s">
        <v>133</v>
      </c>
      <c r="P23" s="13" t="s">
        <v>108</v>
      </c>
    </row>
    <row r="24" ht="33.75" customHeight="1">
      <c r="A24" s="15">
        <v>42769.0</v>
      </c>
      <c r="B24" s="16" t="s">
        <v>85</v>
      </c>
      <c r="C24" s="16" t="s">
        <v>86</v>
      </c>
      <c r="D24" s="16" t="s">
        <v>87</v>
      </c>
      <c r="E24" s="16" t="s">
        <v>25</v>
      </c>
      <c r="F24" s="17">
        <v>30.05303</v>
      </c>
      <c r="G24" s="13">
        <v>-85.6004</v>
      </c>
      <c r="H24" s="13">
        <v>30.00397</v>
      </c>
      <c r="I24" s="14">
        <v>-85.53571</v>
      </c>
      <c r="J24" s="13" t="s">
        <v>88</v>
      </c>
      <c r="K24" s="13" t="s">
        <v>48</v>
      </c>
      <c r="L24" s="13">
        <v>17.0</v>
      </c>
      <c r="M24" s="14">
        <v>30.00321</v>
      </c>
      <c r="N24" s="14">
        <v>-85.53731</v>
      </c>
      <c r="O24" s="13" t="s">
        <v>134</v>
      </c>
      <c r="P24" s="13" t="s">
        <v>108</v>
      </c>
    </row>
    <row r="25" ht="33.75" customHeight="1">
      <c r="A25" s="15">
        <v>42769.0</v>
      </c>
      <c r="B25" s="16" t="s">
        <v>85</v>
      </c>
      <c r="C25" s="16" t="s">
        <v>86</v>
      </c>
      <c r="D25" s="16" t="s">
        <v>87</v>
      </c>
      <c r="E25" s="16" t="s">
        <v>25</v>
      </c>
      <c r="F25" s="17">
        <v>30.05303</v>
      </c>
      <c r="G25" s="13">
        <v>-85.6004</v>
      </c>
      <c r="H25" s="13">
        <v>30.00397</v>
      </c>
      <c r="I25" s="14">
        <v>-85.53571</v>
      </c>
      <c r="J25" s="13" t="s">
        <v>88</v>
      </c>
      <c r="K25" s="13" t="s">
        <v>48</v>
      </c>
      <c r="L25" s="13">
        <v>18.0</v>
      </c>
      <c r="M25" s="14">
        <v>30.00501</v>
      </c>
      <c r="N25" s="14">
        <v>-85.53587</v>
      </c>
      <c r="O25" s="13" t="s">
        <v>135</v>
      </c>
      <c r="P25" s="13" t="s">
        <v>116</v>
      </c>
    </row>
    <row r="26" ht="33.75" customHeight="1">
      <c r="A26" s="15">
        <v>42769.0</v>
      </c>
      <c r="B26" s="16" t="s">
        <v>85</v>
      </c>
      <c r="C26" s="16" t="s">
        <v>86</v>
      </c>
      <c r="D26" s="16" t="s">
        <v>87</v>
      </c>
      <c r="E26" s="16" t="s">
        <v>25</v>
      </c>
      <c r="F26" s="17">
        <v>30.05303</v>
      </c>
      <c r="G26" s="13">
        <v>-85.6004</v>
      </c>
      <c r="H26" s="13">
        <v>30.00397</v>
      </c>
      <c r="I26" s="14">
        <v>-85.53571</v>
      </c>
      <c r="J26" s="13" t="s">
        <v>88</v>
      </c>
      <c r="K26" s="13" t="s">
        <v>48</v>
      </c>
      <c r="L26" s="13">
        <v>19.0</v>
      </c>
      <c r="M26" s="14">
        <v>30.02567</v>
      </c>
      <c r="N26" s="14">
        <v>-85.56835</v>
      </c>
      <c r="O26" s="13" t="s">
        <v>100</v>
      </c>
      <c r="P26" s="13" t="s">
        <v>108</v>
      </c>
    </row>
    <row r="27" ht="33.75" customHeight="1">
      <c r="A27" s="15">
        <v>42769.0</v>
      </c>
      <c r="B27" s="16" t="s">
        <v>85</v>
      </c>
      <c r="C27" s="16" t="s">
        <v>86</v>
      </c>
      <c r="D27" s="16" t="s">
        <v>87</v>
      </c>
      <c r="E27" s="16" t="s">
        <v>25</v>
      </c>
      <c r="F27" s="17">
        <v>30.05303</v>
      </c>
      <c r="G27" s="13">
        <v>-85.6004</v>
      </c>
      <c r="H27" s="13">
        <v>30.00397</v>
      </c>
      <c r="I27" s="14">
        <v>-85.53571</v>
      </c>
      <c r="J27" s="13" t="s">
        <v>88</v>
      </c>
      <c r="K27" s="13" t="s">
        <v>48</v>
      </c>
      <c r="L27" s="13">
        <v>20.0</v>
      </c>
      <c r="M27" s="14">
        <v>30.02767</v>
      </c>
      <c r="N27" s="14">
        <v>-85.57059</v>
      </c>
      <c r="O27" s="13" t="s">
        <v>53</v>
      </c>
      <c r="P27" s="13" t="s">
        <v>138</v>
      </c>
    </row>
    <row r="28" ht="33.75" customHeight="1">
      <c r="A28" s="15">
        <v>42769.0</v>
      </c>
      <c r="B28" s="16" t="s">
        <v>85</v>
      </c>
      <c r="C28" s="16" t="s">
        <v>86</v>
      </c>
      <c r="D28" s="16" t="s">
        <v>87</v>
      </c>
      <c r="E28" s="16" t="s">
        <v>25</v>
      </c>
      <c r="F28" s="17">
        <v>30.05303</v>
      </c>
      <c r="G28" s="13">
        <v>-85.6004</v>
      </c>
      <c r="H28" s="13">
        <v>30.00397</v>
      </c>
      <c r="I28" s="14">
        <v>-85.53571</v>
      </c>
      <c r="J28" s="13" t="s">
        <v>88</v>
      </c>
      <c r="K28" s="13" t="s">
        <v>48</v>
      </c>
      <c r="L28" s="13">
        <v>21.0</v>
      </c>
      <c r="M28" s="14">
        <v>30.03988</v>
      </c>
      <c r="N28" s="14">
        <v>-85.58434</v>
      </c>
      <c r="O28" s="13" t="s">
        <v>53</v>
      </c>
      <c r="P28" s="13" t="s">
        <v>138</v>
      </c>
    </row>
    <row r="29" ht="33.75" customHeight="1">
      <c r="A29" s="11">
        <v>42769.0</v>
      </c>
      <c r="B29" s="16" t="s">
        <v>139</v>
      </c>
      <c r="C29" s="30" t="s">
        <v>140</v>
      </c>
      <c r="D29" s="13" t="s">
        <v>141</v>
      </c>
      <c r="E29" s="13" t="s">
        <v>25</v>
      </c>
      <c r="F29" s="13"/>
      <c r="G29" s="13"/>
      <c r="H29" s="13"/>
      <c r="I29" s="14"/>
      <c r="J29" s="31" t="s">
        <v>142</v>
      </c>
      <c r="K29" s="13" t="s">
        <v>143</v>
      </c>
      <c r="L29" s="13">
        <v>1.0</v>
      </c>
      <c r="M29" s="14">
        <v>30.10283</v>
      </c>
      <c r="N29" s="14">
        <v>-85.70602</v>
      </c>
      <c r="O29" s="13" t="s">
        <v>144</v>
      </c>
      <c r="P29" s="13" t="s">
        <v>145</v>
      </c>
    </row>
    <row r="30" ht="33.75" customHeight="1">
      <c r="A30" s="11">
        <v>42769.0</v>
      </c>
      <c r="B30" s="16" t="s">
        <v>139</v>
      </c>
      <c r="C30" s="30" t="s">
        <v>140</v>
      </c>
      <c r="D30" s="13" t="s">
        <v>141</v>
      </c>
      <c r="E30" s="13" t="s">
        <v>25</v>
      </c>
      <c r="F30" s="31">
        <v>30.08906</v>
      </c>
      <c r="G30" s="31">
        <v>-85.67865</v>
      </c>
      <c r="H30" s="31">
        <v>30.12122</v>
      </c>
      <c r="I30" s="33">
        <v>-85.72196</v>
      </c>
      <c r="J30" s="31" t="s">
        <v>142</v>
      </c>
      <c r="K30" s="13" t="s">
        <v>143</v>
      </c>
      <c r="L30" s="13">
        <v>2.0</v>
      </c>
      <c r="M30" s="14">
        <v>30.10405</v>
      </c>
      <c r="N30" s="14">
        <v>-85.70805</v>
      </c>
      <c r="O30" s="13" t="s">
        <v>146</v>
      </c>
      <c r="P30" s="13" t="s">
        <v>145</v>
      </c>
    </row>
    <row r="31" ht="33.75" customHeight="1">
      <c r="A31" s="11">
        <v>42769.0</v>
      </c>
      <c r="B31" s="16" t="s">
        <v>139</v>
      </c>
      <c r="C31" s="30" t="s">
        <v>140</v>
      </c>
      <c r="D31" s="13" t="s">
        <v>141</v>
      </c>
      <c r="E31" s="13" t="s">
        <v>25</v>
      </c>
      <c r="F31" s="31">
        <v>30.08906</v>
      </c>
      <c r="G31" s="31">
        <v>-85.67865</v>
      </c>
      <c r="H31" s="31">
        <v>30.12122</v>
      </c>
      <c r="I31" s="33">
        <v>-85.72196</v>
      </c>
      <c r="J31" s="31" t="s">
        <v>142</v>
      </c>
      <c r="K31" s="13" t="s">
        <v>143</v>
      </c>
      <c r="L31" s="13">
        <v>3.0</v>
      </c>
      <c r="M31" s="14">
        <v>30.11589</v>
      </c>
      <c r="N31" s="14">
        <v>-85.72631</v>
      </c>
      <c r="O31" s="13" t="s">
        <v>148</v>
      </c>
      <c r="P31" s="13" t="s">
        <v>145</v>
      </c>
    </row>
    <row r="32" ht="33.75" customHeight="1">
      <c r="A32" s="11">
        <v>42769.0</v>
      </c>
      <c r="B32" s="16" t="s">
        <v>139</v>
      </c>
      <c r="C32" s="30" t="s">
        <v>140</v>
      </c>
      <c r="D32" s="13" t="s">
        <v>141</v>
      </c>
      <c r="E32" s="13" t="s">
        <v>25</v>
      </c>
      <c r="F32" s="31">
        <v>30.08906</v>
      </c>
      <c r="G32" s="31">
        <v>-85.67865</v>
      </c>
      <c r="H32" s="31">
        <v>30.12122</v>
      </c>
      <c r="I32" s="33">
        <v>-85.72196</v>
      </c>
      <c r="J32" s="31" t="s">
        <v>142</v>
      </c>
      <c r="K32" s="13" t="s">
        <v>143</v>
      </c>
      <c r="L32" s="13">
        <v>4.0</v>
      </c>
      <c r="M32" s="13">
        <v>30.10684</v>
      </c>
      <c r="N32" s="13">
        <v>-85.71254</v>
      </c>
      <c r="O32" s="13" t="s">
        <v>151</v>
      </c>
      <c r="P32" s="13" t="s">
        <v>145</v>
      </c>
    </row>
    <row r="33" ht="33.75" customHeight="1">
      <c r="A33" s="11">
        <v>42769.0</v>
      </c>
      <c r="B33" s="16" t="s">
        <v>139</v>
      </c>
      <c r="C33" s="30" t="s">
        <v>140</v>
      </c>
      <c r="D33" s="13" t="s">
        <v>141</v>
      </c>
      <c r="E33" s="13" t="s">
        <v>25</v>
      </c>
      <c r="F33" s="31">
        <v>30.08906</v>
      </c>
      <c r="G33" s="31">
        <v>-85.67865</v>
      </c>
      <c r="H33" s="31">
        <v>30.12122</v>
      </c>
      <c r="I33" s="33">
        <v>-85.72196</v>
      </c>
      <c r="J33" s="31" t="s">
        <v>142</v>
      </c>
      <c r="K33" s="13" t="s">
        <v>143</v>
      </c>
      <c r="L33" s="13">
        <v>5.0</v>
      </c>
      <c r="M33" s="13">
        <v>30.10395</v>
      </c>
      <c r="N33" s="13">
        <v>-85.70726</v>
      </c>
      <c r="O33" s="13" t="s">
        <v>152</v>
      </c>
      <c r="P33" s="14" t="s">
        <v>154</v>
      </c>
    </row>
    <row r="34" ht="33.75" customHeight="1">
      <c r="A34" s="32">
        <v>42769.0</v>
      </c>
      <c r="B34" s="34" t="s">
        <v>139</v>
      </c>
      <c r="C34" s="30" t="s">
        <v>140</v>
      </c>
      <c r="D34" s="26" t="s">
        <v>141</v>
      </c>
      <c r="E34" s="26" t="s">
        <v>25</v>
      </c>
      <c r="F34" s="31">
        <v>30.08906</v>
      </c>
      <c r="G34" s="31">
        <v>-85.67865</v>
      </c>
      <c r="H34" s="31">
        <v>30.12122</v>
      </c>
      <c r="I34" s="33">
        <v>-85.72196</v>
      </c>
      <c r="J34" s="31" t="s">
        <v>142</v>
      </c>
      <c r="K34" s="31" t="s">
        <v>143</v>
      </c>
      <c r="L34" s="13">
        <v>6.0</v>
      </c>
      <c r="M34" s="13">
        <v>30.09512</v>
      </c>
      <c r="N34" s="13">
        <v>-85.69193</v>
      </c>
      <c r="O34" s="13" t="s">
        <v>155</v>
      </c>
      <c r="P34" s="14" t="s">
        <v>156</v>
      </c>
    </row>
    <row r="35" ht="33.75" customHeight="1">
      <c r="A35" s="32">
        <v>42769.0</v>
      </c>
      <c r="B35" s="34" t="s">
        <v>139</v>
      </c>
      <c r="C35" s="30" t="s">
        <v>140</v>
      </c>
      <c r="D35" s="26" t="s">
        <v>141</v>
      </c>
      <c r="E35" s="26" t="s">
        <v>25</v>
      </c>
      <c r="F35" s="31">
        <v>30.08906</v>
      </c>
      <c r="G35" s="31">
        <v>-85.67865</v>
      </c>
      <c r="H35" s="31">
        <v>30.12122</v>
      </c>
      <c r="I35" s="33">
        <v>-85.72196</v>
      </c>
      <c r="J35" s="31" t="s">
        <v>142</v>
      </c>
      <c r="K35" s="31" t="s">
        <v>143</v>
      </c>
      <c r="L35" s="13">
        <v>7.0</v>
      </c>
      <c r="M35" s="13">
        <v>30.09151</v>
      </c>
      <c r="N35" s="13">
        <v>-85.68448</v>
      </c>
      <c r="O35" s="13" t="s">
        <v>146</v>
      </c>
      <c r="P35" s="14" t="s">
        <v>145</v>
      </c>
    </row>
    <row r="36" ht="33.75" customHeight="1">
      <c r="A36" s="32">
        <v>42769.0</v>
      </c>
      <c r="B36" s="34" t="s">
        <v>139</v>
      </c>
      <c r="C36" s="30" t="s">
        <v>140</v>
      </c>
      <c r="D36" s="26" t="s">
        <v>141</v>
      </c>
      <c r="E36" s="26" t="s">
        <v>25</v>
      </c>
      <c r="F36" s="31">
        <v>30.08906</v>
      </c>
      <c r="G36" s="31">
        <v>-85.67865</v>
      </c>
      <c r="H36" s="31">
        <v>30.12122</v>
      </c>
      <c r="I36" s="33">
        <v>-85.72196</v>
      </c>
      <c r="J36" s="31" t="s">
        <v>142</v>
      </c>
      <c r="K36" s="31" t="s">
        <v>143</v>
      </c>
      <c r="L36" s="13">
        <v>8.0</v>
      </c>
      <c r="M36" s="13">
        <v>30.08936</v>
      </c>
      <c r="N36" s="13">
        <v>-85.67837</v>
      </c>
      <c r="O36" s="13" t="s">
        <v>148</v>
      </c>
      <c r="P36" s="14" t="s">
        <v>161</v>
      </c>
    </row>
    <row r="37" ht="33.75" customHeight="1">
      <c r="A37" s="32">
        <v>42769.0</v>
      </c>
      <c r="B37" s="34" t="s">
        <v>139</v>
      </c>
      <c r="C37" s="30" t="s">
        <v>140</v>
      </c>
      <c r="D37" s="31" t="s">
        <v>158</v>
      </c>
      <c r="E37" s="26" t="s">
        <v>25</v>
      </c>
      <c r="F37" s="31">
        <v>30.08906</v>
      </c>
      <c r="G37" s="31">
        <v>-85.67865</v>
      </c>
      <c r="H37" s="31">
        <v>30.529</v>
      </c>
      <c r="I37" s="33">
        <v>-85.60049</v>
      </c>
      <c r="J37" s="31" t="s">
        <v>159</v>
      </c>
      <c r="K37" s="26" t="s">
        <v>163</v>
      </c>
      <c r="L37" s="13">
        <v>1.0</v>
      </c>
      <c r="M37" s="13">
        <v>30.08874</v>
      </c>
      <c r="N37" s="13">
        <v>-85.67789</v>
      </c>
      <c r="O37" s="13" t="s">
        <v>148</v>
      </c>
      <c r="P37" s="14" t="s">
        <v>164</v>
      </c>
    </row>
    <row r="38" ht="33.75" customHeight="1">
      <c r="A38" s="32">
        <v>42769.0</v>
      </c>
      <c r="B38" s="34" t="s">
        <v>139</v>
      </c>
      <c r="C38" s="30" t="s">
        <v>140</v>
      </c>
      <c r="D38" s="31" t="s">
        <v>158</v>
      </c>
      <c r="E38" s="26" t="s">
        <v>25</v>
      </c>
      <c r="F38" s="31">
        <v>30.08906</v>
      </c>
      <c r="G38" s="31">
        <v>-85.67865</v>
      </c>
      <c r="H38" s="31">
        <v>30.529</v>
      </c>
      <c r="I38" s="33">
        <v>-85.60049</v>
      </c>
      <c r="J38" s="31" t="s">
        <v>159</v>
      </c>
      <c r="K38" s="31" t="s">
        <v>160</v>
      </c>
      <c r="L38" s="13">
        <v>2.0</v>
      </c>
      <c r="M38" s="13">
        <v>30.0835</v>
      </c>
      <c r="N38" s="13">
        <v>-85.66552</v>
      </c>
      <c r="O38" s="13" t="s">
        <v>148</v>
      </c>
      <c r="P38" s="14" t="s">
        <v>168</v>
      </c>
    </row>
    <row r="39" ht="33.75" customHeight="1">
      <c r="A39" s="32">
        <v>42769.0</v>
      </c>
      <c r="B39" s="34" t="s">
        <v>139</v>
      </c>
      <c r="C39" s="30" t="s">
        <v>140</v>
      </c>
      <c r="D39" s="31" t="s">
        <v>158</v>
      </c>
      <c r="E39" s="26" t="s">
        <v>25</v>
      </c>
      <c r="F39" s="31">
        <v>30.08906</v>
      </c>
      <c r="G39" s="31">
        <v>-85.67865</v>
      </c>
      <c r="H39" s="31">
        <v>30.529</v>
      </c>
      <c r="I39" s="33">
        <v>-85.60049</v>
      </c>
      <c r="J39" s="31" t="s">
        <v>159</v>
      </c>
      <c r="K39" s="31" t="s">
        <v>160</v>
      </c>
      <c r="L39" s="13">
        <v>3.0</v>
      </c>
      <c r="M39" s="13">
        <v>30.08328</v>
      </c>
      <c r="N39" s="13">
        <v>-85.66492</v>
      </c>
      <c r="O39" s="13" t="s">
        <v>171</v>
      </c>
      <c r="P39" s="14" t="s">
        <v>172</v>
      </c>
    </row>
    <row r="40" ht="33.75" customHeight="1">
      <c r="A40" s="32">
        <v>42769.0</v>
      </c>
      <c r="B40" s="34" t="s">
        <v>139</v>
      </c>
      <c r="C40" s="30" t="s">
        <v>140</v>
      </c>
      <c r="D40" s="31" t="s">
        <v>158</v>
      </c>
      <c r="E40" s="26" t="s">
        <v>25</v>
      </c>
      <c r="F40" s="31">
        <v>30.08906</v>
      </c>
      <c r="G40" s="31">
        <v>-85.67865</v>
      </c>
      <c r="H40" s="31">
        <v>30.529</v>
      </c>
      <c r="I40" s="33">
        <v>-85.60049</v>
      </c>
      <c r="J40" s="31" t="s">
        <v>159</v>
      </c>
      <c r="K40" s="31" t="s">
        <v>160</v>
      </c>
      <c r="L40" s="13">
        <v>4.0</v>
      </c>
      <c r="M40" s="13">
        <v>30.7719</v>
      </c>
      <c r="N40" s="13">
        <v>-85.65042</v>
      </c>
      <c r="O40" s="13" t="s">
        <v>173</v>
      </c>
      <c r="P40" s="14" t="s">
        <v>175</v>
      </c>
    </row>
    <row r="41" ht="33.75" customHeight="1">
      <c r="A41" s="32">
        <v>42769.0</v>
      </c>
      <c r="B41" s="34" t="s">
        <v>139</v>
      </c>
      <c r="C41" s="30" t="s">
        <v>140</v>
      </c>
      <c r="D41" s="31" t="s">
        <v>158</v>
      </c>
      <c r="E41" s="26" t="s">
        <v>25</v>
      </c>
      <c r="F41" s="31">
        <v>30.08906</v>
      </c>
      <c r="G41" s="31">
        <v>-85.67865</v>
      </c>
      <c r="H41" s="31">
        <v>30.529</v>
      </c>
      <c r="I41" s="33">
        <v>-85.60049</v>
      </c>
      <c r="J41" s="31" t="s">
        <v>159</v>
      </c>
      <c r="K41" s="31" t="s">
        <v>160</v>
      </c>
      <c r="L41" s="13">
        <v>5.0</v>
      </c>
      <c r="M41" s="13">
        <v>30.07547</v>
      </c>
      <c r="N41" s="13">
        <v>-85.64656</v>
      </c>
      <c r="O41" s="13" t="s">
        <v>178</v>
      </c>
      <c r="P41" s="14" t="s">
        <v>179</v>
      </c>
    </row>
    <row r="42" ht="33.75" customHeight="1">
      <c r="A42" s="32">
        <v>42769.0</v>
      </c>
      <c r="B42" s="34" t="s">
        <v>139</v>
      </c>
      <c r="C42" s="30" t="s">
        <v>140</v>
      </c>
      <c r="D42" s="31" t="s">
        <v>158</v>
      </c>
      <c r="E42" s="26" t="s">
        <v>25</v>
      </c>
      <c r="F42" s="31">
        <v>30.08906</v>
      </c>
      <c r="G42" s="31">
        <v>-85.67865</v>
      </c>
      <c r="H42" s="31">
        <v>30.529</v>
      </c>
      <c r="I42" s="33">
        <v>-85.60049</v>
      </c>
      <c r="J42" s="31" t="s">
        <v>159</v>
      </c>
      <c r="K42" s="31" t="s">
        <v>160</v>
      </c>
      <c r="L42" s="13">
        <v>6.0</v>
      </c>
      <c r="M42" s="13">
        <v>30.0739</v>
      </c>
      <c r="N42" s="13">
        <v>-85.64302</v>
      </c>
      <c r="O42" s="13" t="s">
        <v>152</v>
      </c>
      <c r="P42" s="14" t="s">
        <v>138</v>
      </c>
    </row>
    <row r="43" ht="33.75" customHeight="1">
      <c r="A43" s="32">
        <v>42769.0</v>
      </c>
      <c r="B43" s="34" t="s">
        <v>139</v>
      </c>
      <c r="C43" s="30" t="s">
        <v>140</v>
      </c>
      <c r="D43" s="31" t="s">
        <v>158</v>
      </c>
      <c r="E43" s="26" t="s">
        <v>25</v>
      </c>
      <c r="F43" s="31">
        <v>30.08906</v>
      </c>
      <c r="G43" s="31">
        <v>-85.67865</v>
      </c>
      <c r="H43" s="31">
        <v>30.529</v>
      </c>
      <c r="I43" s="33">
        <v>-85.60049</v>
      </c>
      <c r="J43" s="31" t="s">
        <v>159</v>
      </c>
      <c r="K43" s="31" t="s">
        <v>160</v>
      </c>
      <c r="L43" s="13">
        <v>7.0</v>
      </c>
      <c r="M43" s="13">
        <v>30.07267</v>
      </c>
      <c r="N43" s="13">
        <v>-85.64062</v>
      </c>
      <c r="O43" s="13" t="s">
        <v>189</v>
      </c>
      <c r="P43" s="14" t="s">
        <v>190</v>
      </c>
    </row>
    <row r="44" ht="33.75" customHeight="1">
      <c r="A44" s="32">
        <v>42769.0</v>
      </c>
      <c r="B44" s="34" t="s">
        <v>139</v>
      </c>
      <c r="C44" s="30" t="s">
        <v>140</v>
      </c>
      <c r="D44" s="31" t="s">
        <v>158</v>
      </c>
      <c r="E44" s="26" t="s">
        <v>25</v>
      </c>
      <c r="F44" s="31">
        <v>30.08906</v>
      </c>
      <c r="G44" s="31">
        <v>-85.67865</v>
      </c>
      <c r="H44" s="31">
        <v>30.529</v>
      </c>
      <c r="I44" s="33">
        <v>-85.60049</v>
      </c>
      <c r="J44" s="31" t="s">
        <v>159</v>
      </c>
      <c r="K44" s="31" t="s">
        <v>160</v>
      </c>
      <c r="L44" s="13">
        <v>8.0</v>
      </c>
      <c r="M44" s="13">
        <v>30.07065</v>
      </c>
      <c r="N44" s="13">
        <v>-85.63594</v>
      </c>
      <c r="O44" s="13" t="s">
        <v>191</v>
      </c>
      <c r="P44" s="14" t="s">
        <v>192</v>
      </c>
    </row>
    <row r="45" ht="33.75" customHeight="1">
      <c r="A45" s="32">
        <v>42769.0</v>
      </c>
      <c r="B45" s="34" t="s">
        <v>139</v>
      </c>
      <c r="C45" s="30" t="s">
        <v>140</v>
      </c>
      <c r="D45" s="31" t="s">
        <v>158</v>
      </c>
      <c r="E45" s="26" t="s">
        <v>25</v>
      </c>
      <c r="F45" s="31">
        <v>30.08906</v>
      </c>
      <c r="G45" s="31">
        <v>-85.67865</v>
      </c>
      <c r="H45" s="31">
        <v>30.529</v>
      </c>
      <c r="I45" s="33">
        <v>-85.60049</v>
      </c>
      <c r="J45" s="31" t="s">
        <v>159</v>
      </c>
      <c r="K45" s="31" t="s">
        <v>160</v>
      </c>
      <c r="L45" s="13">
        <v>9.0</v>
      </c>
      <c r="M45" s="13">
        <v>30.06735</v>
      </c>
      <c r="N45" s="13">
        <v>-85.62906</v>
      </c>
      <c r="O45" s="13" t="s">
        <v>207</v>
      </c>
      <c r="P45" s="14" t="s">
        <v>208</v>
      </c>
    </row>
    <row r="46" ht="33.75" customHeight="1">
      <c r="A46" s="32">
        <v>42769.0</v>
      </c>
      <c r="B46" s="34" t="s">
        <v>139</v>
      </c>
      <c r="C46" s="30" t="s">
        <v>140</v>
      </c>
      <c r="D46" s="31" t="s">
        <v>158</v>
      </c>
      <c r="E46" s="26" t="s">
        <v>25</v>
      </c>
      <c r="F46" s="31">
        <v>30.08906</v>
      </c>
      <c r="G46" s="31">
        <v>-85.67865</v>
      </c>
      <c r="H46" s="31">
        <v>30.529</v>
      </c>
      <c r="I46" s="33">
        <v>-85.60049</v>
      </c>
      <c r="J46" s="31" t="s">
        <v>159</v>
      </c>
      <c r="K46" s="31" t="s">
        <v>160</v>
      </c>
      <c r="L46" s="13">
        <v>10.0</v>
      </c>
      <c r="M46" s="13">
        <v>30.06559</v>
      </c>
      <c r="N46" s="13">
        <v>-85.6251</v>
      </c>
      <c r="O46" s="13" t="s">
        <v>215</v>
      </c>
      <c r="P46" s="14"/>
    </row>
    <row r="47" ht="33.75" customHeight="1">
      <c r="A47" s="32">
        <v>42769.0</v>
      </c>
      <c r="B47" s="34" t="s">
        <v>139</v>
      </c>
      <c r="C47" s="30" t="s">
        <v>140</v>
      </c>
      <c r="D47" s="31" t="s">
        <v>158</v>
      </c>
      <c r="E47" s="26" t="s">
        <v>25</v>
      </c>
      <c r="F47" s="31">
        <v>30.08906</v>
      </c>
      <c r="G47" s="31">
        <v>-85.67865</v>
      </c>
      <c r="H47" s="31">
        <v>30.529</v>
      </c>
      <c r="I47" s="33">
        <v>-85.60049</v>
      </c>
      <c r="J47" s="31" t="s">
        <v>159</v>
      </c>
      <c r="K47" s="31" t="s">
        <v>160</v>
      </c>
      <c r="L47" s="13">
        <v>11.0</v>
      </c>
      <c r="M47" s="13">
        <v>30.05929</v>
      </c>
      <c r="N47" s="13">
        <v>-85.613</v>
      </c>
      <c r="O47" s="13" t="s">
        <v>223</v>
      </c>
      <c r="P47" s="14" t="s">
        <v>226</v>
      </c>
    </row>
    <row r="48" ht="33.75" customHeight="1">
      <c r="A48" s="32">
        <v>42769.0</v>
      </c>
      <c r="B48" s="34" t="s">
        <v>139</v>
      </c>
      <c r="C48" s="30" t="s">
        <v>140</v>
      </c>
      <c r="D48" s="31" t="s">
        <v>158</v>
      </c>
      <c r="E48" s="26" t="s">
        <v>25</v>
      </c>
      <c r="F48" s="31">
        <v>30.08906</v>
      </c>
      <c r="G48" s="31">
        <v>-85.67865</v>
      </c>
      <c r="H48" s="31">
        <v>30.529</v>
      </c>
      <c r="I48" s="33">
        <v>-85.60049</v>
      </c>
      <c r="J48" s="31" t="s">
        <v>159</v>
      </c>
      <c r="K48" s="31" t="s">
        <v>160</v>
      </c>
      <c r="L48" s="13">
        <v>12.0</v>
      </c>
      <c r="M48" s="13">
        <v>30.05374</v>
      </c>
      <c r="N48" s="13">
        <v>-85.60304</v>
      </c>
      <c r="O48" s="13" t="s">
        <v>231</v>
      </c>
      <c r="P48" s="14" t="s">
        <v>232</v>
      </c>
    </row>
    <row r="49" ht="33.75" customHeight="1">
      <c r="A49" s="41">
        <v>42769.0</v>
      </c>
      <c r="B49" s="16" t="s">
        <v>194</v>
      </c>
      <c r="C49" s="16" t="s">
        <v>195</v>
      </c>
      <c r="D49" s="16" t="s">
        <v>196</v>
      </c>
      <c r="E49" s="16" t="s">
        <v>25</v>
      </c>
      <c r="F49" s="16">
        <v>29.95482</v>
      </c>
      <c r="G49" s="16">
        <v>-85.4491</v>
      </c>
      <c r="H49" s="13">
        <v>30.00088</v>
      </c>
      <c r="I49" s="13">
        <v>-85.5287</v>
      </c>
      <c r="J49" s="13" t="s">
        <v>201</v>
      </c>
      <c r="K49" s="13" t="s">
        <v>203</v>
      </c>
      <c r="L49" s="13">
        <v>1.0</v>
      </c>
      <c r="M49" s="13">
        <v>29.95486</v>
      </c>
      <c r="N49" s="13">
        <v>-85.4492</v>
      </c>
      <c r="O49" s="13" t="s">
        <v>237</v>
      </c>
      <c r="P49" s="14" t="s">
        <v>239</v>
      </c>
    </row>
    <row r="50" ht="33.75" customHeight="1">
      <c r="A50" s="41">
        <v>42769.0</v>
      </c>
      <c r="B50" s="16" t="s">
        <v>194</v>
      </c>
      <c r="C50" s="16" t="s">
        <v>195</v>
      </c>
      <c r="D50" s="16" t="s">
        <v>196</v>
      </c>
      <c r="E50" s="16" t="s">
        <v>25</v>
      </c>
      <c r="F50" s="16">
        <v>29.95482</v>
      </c>
      <c r="G50" s="16">
        <v>-85.4491</v>
      </c>
      <c r="H50" s="13">
        <v>30.00088</v>
      </c>
      <c r="I50" s="13">
        <v>-85.5287</v>
      </c>
      <c r="J50" s="13" t="s">
        <v>201</v>
      </c>
      <c r="K50" s="13" t="s">
        <v>203</v>
      </c>
      <c r="L50" s="13">
        <v>2.0</v>
      </c>
      <c r="M50" s="13">
        <v>29.95566</v>
      </c>
      <c r="N50" s="13">
        <v>-85.46235</v>
      </c>
      <c r="O50" s="13" t="s">
        <v>248</v>
      </c>
      <c r="P50" s="14" t="s">
        <v>249</v>
      </c>
    </row>
    <row r="51" ht="33.75" customHeight="1">
      <c r="A51" s="41">
        <v>42769.0</v>
      </c>
      <c r="B51" s="16" t="s">
        <v>194</v>
      </c>
      <c r="C51" s="16" t="s">
        <v>195</v>
      </c>
      <c r="D51" s="16" t="s">
        <v>196</v>
      </c>
      <c r="E51" s="16" t="s">
        <v>25</v>
      </c>
      <c r="F51" s="16">
        <v>29.95482</v>
      </c>
      <c r="G51" s="16">
        <v>-85.4491</v>
      </c>
      <c r="H51" s="13">
        <v>30.00088</v>
      </c>
      <c r="I51" s="13">
        <v>-85.5287</v>
      </c>
      <c r="J51" s="13" t="s">
        <v>201</v>
      </c>
      <c r="K51" s="13" t="s">
        <v>203</v>
      </c>
      <c r="L51" s="13">
        <v>3.0</v>
      </c>
      <c r="M51" s="13">
        <v>29.95643</v>
      </c>
      <c r="N51" s="13">
        <v>-85.4669</v>
      </c>
      <c r="O51" s="13" t="s">
        <v>253</v>
      </c>
      <c r="P51" s="14" t="s">
        <v>255</v>
      </c>
    </row>
    <row r="52" ht="33.75" customHeight="1">
      <c r="A52" s="41">
        <v>42769.0</v>
      </c>
      <c r="B52" s="16" t="s">
        <v>194</v>
      </c>
      <c r="C52" s="16" t="s">
        <v>195</v>
      </c>
      <c r="D52" s="16" t="s">
        <v>196</v>
      </c>
      <c r="E52" s="16" t="s">
        <v>25</v>
      </c>
      <c r="F52" s="16">
        <v>29.95482</v>
      </c>
      <c r="G52" s="16">
        <v>-85.4491</v>
      </c>
      <c r="H52" s="13">
        <v>30.00088</v>
      </c>
      <c r="I52" s="13">
        <v>-85.5287</v>
      </c>
      <c r="J52" s="13" t="s">
        <v>201</v>
      </c>
      <c r="K52" s="13" t="s">
        <v>203</v>
      </c>
      <c r="L52" s="13">
        <v>4.0</v>
      </c>
      <c r="M52" s="13">
        <v>29.9565</v>
      </c>
      <c r="N52" s="13">
        <v>-85.47263</v>
      </c>
      <c r="O52" s="13" t="s">
        <v>261</v>
      </c>
      <c r="P52" s="14" t="s">
        <v>262</v>
      </c>
    </row>
    <row r="53" ht="33.75" customHeight="1">
      <c r="A53" s="41">
        <v>42769.0</v>
      </c>
      <c r="B53" s="16" t="s">
        <v>194</v>
      </c>
      <c r="C53" s="16" t="s">
        <v>195</v>
      </c>
      <c r="D53" s="16" t="s">
        <v>196</v>
      </c>
      <c r="E53" s="16" t="s">
        <v>25</v>
      </c>
      <c r="F53" s="16">
        <v>29.95482</v>
      </c>
      <c r="G53" s="16">
        <v>-85.4491</v>
      </c>
      <c r="H53" s="13">
        <v>30.00088</v>
      </c>
      <c r="I53" s="13">
        <v>-85.5287</v>
      </c>
      <c r="J53" s="13" t="s">
        <v>201</v>
      </c>
      <c r="K53" s="13" t="s">
        <v>203</v>
      </c>
      <c r="L53" s="13">
        <v>5.0</v>
      </c>
      <c r="M53" s="13">
        <v>29.95681</v>
      </c>
      <c r="N53" s="13">
        <v>-85.47679</v>
      </c>
      <c r="O53" s="13" t="s">
        <v>273</v>
      </c>
      <c r="P53" s="14" t="s">
        <v>274</v>
      </c>
    </row>
    <row r="54" ht="33.75" customHeight="1">
      <c r="A54" s="41">
        <v>42769.0</v>
      </c>
      <c r="B54" s="16" t="s">
        <v>194</v>
      </c>
      <c r="C54" s="16" t="s">
        <v>195</v>
      </c>
      <c r="D54" s="16" t="s">
        <v>196</v>
      </c>
      <c r="E54" s="16" t="s">
        <v>25</v>
      </c>
      <c r="F54" s="16">
        <v>29.95482</v>
      </c>
      <c r="G54" s="16">
        <v>-85.4491</v>
      </c>
      <c r="H54" s="13">
        <v>30.00088</v>
      </c>
      <c r="I54" s="13">
        <v>-85.5287</v>
      </c>
      <c r="J54" s="13" t="s">
        <v>201</v>
      </c>
      <c r="K54" s="13" t="s">
        <v>203</v>
      </c>
      <c r="L54" s="13">
        <v>6.0</v>
      </c>
      <c r="M54" s="13">
        <v>29.9579</v>
      </c>
      <c r="N54" s="13">
        <v>-85.48205</v>
      </c>
      <c r="O54" s="13" t="s">
        <v>277</v>
      </c>
      <c r="P54" s="14" t="s">
        <v>278</v>
      </c>
    </row>
    <row r="55" ht="33.75" customHeight="1">
      <c r="A55" s="41">
        <v>42769.0</v>
      </c>
      <c r="B55" s="16" t="s">
        <v>194</v>
      </c>
      <c r="C55" s="16" t="s">
        <v>195</v>
      </c>
      <c r="D55" s="16" t="s">
        <v>196</v>
      </c>
      <c r="E55" s="16" t="s">
        <v>25</v>
      </c>
      <c r="F55" s="16">
        <v>29.95482</v>
      </c>
      <c r="G55" s="16">
        <v>-85.4491</v>
      </c>
      <c r="H55" s="13">
        <v>30.00088</v>
      </c>
      <c r="I55" s="13">
        <v>-85.5287</v>
      </c>
      <c r="J55" s="13" t="s">
        <v>201</v>
      </c>
      <c r="K55" s="13" t="s">
        <v>203</v>
      </c>
      <c r="L55" s="13">
        <v>7.0</v>
      </c>
      <c r="M55" s="13">
        <v>29.96395</v>
      </c>
      <c r="N55" s="13">
        <v>-85.49544</v>
      </c>
      <c r="O55" s="13" t="s">
        <v>282</v>
      </c>
      <c r="P55" s="14" t="s">
        <v>284</v>
      </c>
    </row>
    <row r="56" ht="33.75" customHeight="1">
      <c r="A56" s="41">
        <v>42769.0</v>
      </c>
      <c r="B56" s="16" t="s">
        <v>194</v>
      </c>
      <c r="C56" s="16" t="s">
        <v>195</v>
      </c>
      <c r="D56" s="16" t="s">
        <v>196</v>
      </c>
      <c r="E56" s="16" t="s">
        <v>25</v>
      </c>
      <c r="F56" s="16">
        <v>29.95482</v>
      </c>
      <c r="G56" s="16">
        <v>-85.4491</v>
      </c>
      <c r="H56" s="13">
        <v>30.00088</v>
      </c>
      <c r="I56" s="13">
        <v>-85.5287</v>
      </c>
      <c r="J56" s="13" t="s">
        <v>201</v>
      </c>
      <c r="K56" s="13" t="s">
        <v>203</v>
      </c>
      <c r="L56" s="13">
        <v>8.0</v>
      </c>
      <c r="M56" s="13">
        <v>29.99007</v>
      </c>
      <c r="N56" s="13">
        <v>-85.52589</v>
      </c>
      <c r="O56" s="13" t="s">
        <v>286</v>
      </c>
      <c r="P56" s="14" t="s">
        <v>287</v>
      </c>
    </row>
    <row r="57" ht="33.75" customHeight="1">
      <c r="A57" s="41">
        <v>42769.0</v>
      </c>
      <c r="B57" s="16" t="s">
        <v>194</v>
      </c>
      <c r="C57" s="16" t="s">
        <v>195</v>
      </c>
      <c r="D57" s="16" t="s">
        <v>196</v>
      </c>
      <c r="E57" s="16" t="s">
        <v>25</v>
      </c>
      <c r="F57" s="16">
        <v>29.95482</v>
      </c>
      <c r="G57" s="16">
        <v>-85.4491</v>
      </c>
      <c r="H57" s="13">
        <v>30.00088</v>
      </c>
      <c r="I57" s="13">
        <v>-85.5287</v>
      </c>
      <c r="J57" s="13" t="s">
        <v>201</v>
      </c>
      <c r="K57" s="13" t="s">
        <v>203</v>
      </c>
      <c r="L57" s="13">
        <v>9.0</v>
      </c>
      <c r="M57" s="13">
        <v>29.99049</v>
      </c>
      <c r="N57" s="13">
        <v>-85.52533</v>
      </c>
      <c r="O57" s="13" t="s">
        <v>293</v>
      </c>
      <c r="P57" s="14" t="s">
        <v>294</v>
      </c>
    </row>
    <row r="58" ht="33.75" customHeight="1">
      <c r="A58" s="41">
        <v>42769.0</v>
      </c>
      <c r="B58" s="16" t="s">
        <v>194</v>
      </c>
      <c r="C58" s="16" t="s">
        <v>195</v>
      </c>
      <c r="D58" s="16" t="s">
        <v>196</v>
      </c>
      <c r="E58" s="16" t="s">
        <v>25</v>
      </c>
      <c r="F58" s="16">
        <v>29.95482</v>
      </c>
      <c r="G58" s="16">
        <v>-85.4491</v>
      </c>
      <c r="H58" s="13">
        <v>30.00088</v>
      </c>
      <c r="I58" s="13">
        <v>-85.5287</v>
      </c>
      <c r="J58" s="13" t="s">
        <v>201</v>
      </c>
      <c r="K58" s="13" t="s">
        <v>203</v>
      </c>
      <c r="L58" s="13">
        <v>10.0</v>
      </c>
      <c r="M58" s="13">
        <v>29.99387</v>
      </c>
      <c r="N58" s="13">
        <v>-85.52747</v>
      </c>
      <c r="O58" s="13" t="s">
        <v>297</v>
      </c>
      <c r="P58" s="14" t="s">
        <v>298</v>
      </c>
    </row>
    <row r="59" ht="33.75" customHeight="1">
      <c r="A59" s="41">
        <v>42769.0</v>
      </c>
      <c r="B59" s="16" t="s">
        <v>194</v>
      </c>
      <c r="C59" s="16" t="s">
        <v>195</v>
      </c>
      <c r="D59" s="16" t="s">
        <v>196</v>
      </c>
      <c r="E59" s="16" t="s">
        <v>25</v>
      </c>
      <c r="F59" s="16">
        <v>29.95482</v>
      </c>
      <c r="G59" s="16">
        <v>-85.4491</v>
      </c>
      <c r="H59" s="13">
        <v>30.00088</v>
      </c>
      <c r="I59" s="13">
        <v>-85.5287</v>
      </c>
      <c r="J59" s="13" t="s">
        <v>201</v>
      </c>
      <c r="K59" s="13" t="s">
        <v>203</v>
      </c>
      <c r="L59" s="13">
        <v>11.0</v>
      </c>
      <c r="M59" s="13">
        <v>29.99758</v>
      </c>
      <c r="N59" s="13">
        <v>-85.53118</v>
      </c>
      <c r="O59" s="13" t="s">
        <v>261</v>
      </c>
      <c r="P59" s="14" t="s">
        <v>314</v>
      </c>
    </row>
    <row r="60" ht="33.75" customHeight="1">
      <c r="A60" s="41">
        <v>42769.0</v>
      </c>
      <c r="B60" s="16" t="s">
        <v>194</v>
      </c>
      <c r="C60" s="16" t="s">
        <v>195</v>
      </c>
      <c r="D60" s="16" t="s">
        <v>196</v>
      </c>
      <c r="E60" s="16" t="s">
        <v>25</v>
      </c>
      <c r="F60" s="16">
        <v>29.95482</v>
      </c>
      <c r="G60" s="16">
        <v>-85.4491</v>
      </c>
      <c r="H60" s="13">
        <v>30.00088</v>
      </c>
      <c r="I60" s="13">
        <v>-85.5287</v>
      </c>
      <c r="J60" s="13" t="s">
        <v>201</v>
      </c>
      <c r="K60" s="13" t="s">
        <v>203</v>
      </c>
      <c r="L60" s="13">
        <v>12.0</v>
      </c>
      <c r="M60" s="13">
        <v>29.99972</v>
      </c>
      <c r="N60" s="13">
        <v>-85.53078</v>
      </c>
      <c r="O60" s="13" t="s">
        <v>320</v>
      </c>
      <c r="P60" s="14" t="s">
        <v>321</v>
      </c>
    </row>
    <row r="61" ht="33.75" customHeight="1">
      <c r="A61" s="41">
        <v>42769.0</v>
      </c>
      <c r="B61" s="16" t="s">
        <v>194</v>
      </c>
      <c r="C61" s="16" t="s">
        <v>195</v>
      </c>
      <c r="D61" s="16" t="s">
        <v>196</v>
      </c>
      <c r="E61" s="16" t="s">
        <v>25</v>
      </c>
      <c r="F61" s="16">
        <v>29.95482</v>
      </c>
      <c r="G61" s="16">
        <v>-85.4491</v>
      </c>
      <c r="H61" s="13">
        <v>30.00088</v>
      </c>
      <c r="I61" s="13">
        <v>-85.5287</v>
      </c>
      <c r="J61" s="13" t="s">
        <v>201</v>
      </c>
      <c r="K61" s="13" t="s">
        <v>203</v>
      </c>
      <c r="L61" s="13">
        <v>13.0</v>
      </c>
      <c r="M61" s="13">
        <v>30.00065</v>
      </c>
      <c r="N61" s="13">
        <v>-85.52974</v>
      </c>
      <c r="O61" s="13" t="s">
        <v>325</v>
      </c>
      <c r="P61" s="14" t="s">
        <v>326</v>
      </c>
    </row>
    <row r="62" ht="33.75" customHeight="1">
      <c r="A62" s="41">
        <v>42770.0</v>
      </c>
      <c r="B62" s="16" t="s">
        <v>110</v>
      </c>
      <c r="C62" s="16" t="s">
        <v>328</v>
      </c>
      <c r="D62" s="16" t="s">
        <v>329</v>
      </c>
      <c r="E62" s="16" t="s">
        <v>25</v>
      </c>
      <c r="F62" s="16">
        <v>30.1327</v>
      </c>
      <c r="G62" s="16">
        <v>-85.74536</v>
      </c>
      <c r="H62" s="13">
        <v>30.1327</v>
      </c>
      <c r="I62" s="13">
        <v>-85.74536</v>
      </c>
      <c r="J62" s="13" t="s">
        <v>118</v>
      </c>
      <c r="K62" s="13" t="s">
        <v>331</v>
      </c>
      <c r="L62" s="13">
        <v>1.0</v>
      </c>
      <c r="M62" s="13">
        <v>30.12819</v>
      </c>
      <c r="N62" s="13">
        <v>-85.7243</v>
      </c>
      <c r="O62" s="13" t="s">
        <v>334</v>
      </c>
      <c r="P62" s="14"/>
    </row>
    <row r="63" ht="33.75" customHeight="1">
      <c r="A63" s="41">
        <v>42770.0</v>
      </c>
      <c r="B63" s="16" t="s">
        <v>110</v>
      </c>
      <c r="C63" s="16" t="s">
        <v>328</v>
      </c>
      <c r="D63" s="16" t="s">
        <v>329</v>
      </c>
      <c r="E63" s="16" t="s">
        <v>25</v>
      </c>
      <c r="F63" s="16"/>
      <c r="G63" s="16">
        <v>-85.74536</v>
      </c>
      <c r="H63" s="13">
        <v>30.1327</v>
      </c>
      <c r="I63" s="13">
        <v>-85.74536</v>
      </c>
      <c r="J63" s="13" t="s">
        <v>118</v>
      </c>
      <c r="K63" s="13" t="s">
        <v>331</v>
      </c>
      <c r="L63" s="13">
        <v>2.0</v>
      </c>
      <c r="M63" s="13">
        <v>30.12476</v>
      </c>
      <c r="N63" s="13">
        <v>-85.73193</v>
      </c>
      <c r="O63" s="13" t="s">
        <v>339</v>
      </c>
      <c r="P63" s="14"/>
    </row>
    <row r="64" ht="33.75" customHeight="1">
      <c r="A64" s="41">
        <v>42770.0</v>
      </c>
      <c r="B64" s="16" t="s">
        <v>110</v>
      </c>
      <c r="C64" s="16" t="s">
        <v>328</v>
      </c>
      <c r="D64" s="16" t="s">
        <v>218</v>
      </c>
      <c r="E64" s="16" t="s">
        <v>25</v>
      </c>
      <c r="F64" s="16">
        <v>30.26652</v>
      </c>
      <c r="G64" s="16">
        <v>-85.98927</v>
      </c>
      <c r="H64" s="13">
        <v>30.26943</v>
      </c>
      <c r="I64" s="13">
        <v>-85.99601</v>
      </c>
      <c r="J64" s="13" t="s">
        <v>227</v>
      </c>
      <c r="K64" s="13" t="s">
        <v>343</v>
      </c>
      <c r="L64" s="13">
        <v>1.0</v>
      </c>
      <c r="M64" s="13">
        <v>30.2677</v>
      </c>
      <c r="N64" s="13">
        <v>-85.99265</v>
      </c>
      <c r="O64" s="13" t="s">
        <v>344</v>
      </c>
      <c r="P64" s="14" t="s">
        <v>346</v>
      </c>
    </row>
    <row r="65" ht="33.75" customHeight="1">
      <c r="A65" s="41">
        <v>42770.0</v>
      </c>
      <c r="B65" s="16" t="s">
        <v>110</v>
      </c>
      <c r="C65" s="16" t="s">
        <v>328</v>
      </c>
      <c r="D65" s="16" t="s">
        <v>218</v>
      </c>
      <c r="E65" s="16" t="s">
        <v>25</v>
      </c>
      <c r="F65" s="16">
        <v>30.26652</v>
      </c>
      <c r="G65" s="16">
        <v>-85.98927</v>
      </c>
      <c r="H65" s="13">
        <v>30.26943</v>
      </c>
      <c r="I65" s="13">
        <v>-85.99601</v>
      </c>
      <c r="J65" s="13" t="s">
        <v>227</v>
      </c>
      <c r="K65" s="13" t="s">
        <v>353</v>
      </c>
      <c r="L65" s="13">
        <v>2.0</v>
      </c>
      <c r="M65" s="13">
        <v>30.26864</v>
      </c>
      <c r="N65" s="13">
        <v>-85.99423</v>
      </c>
      <c r="O65" s="13" t="s">
        <v>358</v>
      </c>
      <c r="P65" s="14" t="s">
        <v>346</v>
      </c>
    </row>
    <row r="66" ht="33.75" customHeight="1">
      <c r="A66" s="43">
        <v>42770.0</v>
      </c>
      <c r="B66" s="16" t="s">
        <v>257</v>
      </c>
      <c r="C66" s="16" t="s">
        <v>195</v>
      </c>
      <c r="D66" s="16" t="s">
        <v>259</v>
      </c>
      <c r="E66" s="16" t="s">
        <v>25</v>
      </c>
      <c r="F66" s="16">
        <v>30.31651</v>
      </c>
      <c r="G66" s="16">
        <v>-85.76203</v>
      </c>
      <c r="H66" s="13">
        <v>30.25841</v>
      </c>
      <c r="I66" s="13">
        <v>-85.73208</v>
      </c>
      <c r="J66" s="13" t="s">
        <v>263</v>
      </c>
      <c r="K66" s="13" t="s">
        <v>264</v>
      </c>
      <c r="L66" s="13">
        <v>1.0</v>
      </c>
      <c r="M66" s="13">
        <v>30.28354</v>
      </c>
      <c r="N66" s="13">
        <v>-85.74919</v>
      </c>
      <c r="O66" s="13" t="s">
        <v>367</v>
      </c>
      <c r="P66" s="14" t="s">
        <v>368</v>
      </c>
    </row>
    <row r="67" ht="33.75" customHeight="1">
      <c r="A67" s="43">
        <v>42770.0</v>
      </c>
      <c r="B67" s="16" t="s">
        <v>257</v>
      </c>
      <c r="C67" s="16" t="s">
        <v>195</v>
      </c>
      <c r="D67" s="16" t="s">
        <v>259</v>
      </c>
      <c r="E67" s="16" t="s">
        <v>25</v>
      </c>
      <c r="F67" s="16">
        <v>30.31651</v>
      </c>
      <c r="G67" s="16">
        <v>-85.76203</v>
      </c>
      <c r="H67" s="13">
        <v>30.25841</v>
      </c>
      <c r="I67" s="13">
        <v>-85.73208</v>
      </c>
      <c r="J67" s="13" t="s">
        <v>263</v>
      </c>
      <c r="K67" s="13" t="s">
        <v>264</v>
      </c>
      <c r="L67" s="13">
        <v>2.0</v>
      </c>
      <c r="M67" s="13">
        <v>30.28247</v>
      </c>
      <c r="N67" s="13">
        <v>-85.74833</v>
      </c>
      <c r="O67" s="13" t="s">
        <v>379</v>
      </c>
      <c r="P67" s="14" t="s">
        <v>381</v>
      </c>
    </row>
    <row r="68" ht="33.75" customHeight="1">
      <c r="A68" s="43">
        <v>42770.0</v>
      </c>
      <c r="B68" s="16" t="s">
        <v>257</v>
      </c>
      <c r="C68" s="16" t="s">
        <v>195</v>
      </c>
      <c r="D68" s="16" t="s">
        <v>259</v>
      </c>
      <c r="E68" s="16" t="s">
        <v>25</v>
      </c>
      <c r="F68" s="16">
        <v>30.31651</v>
      </c>
      <c r="G68" s="16">
        <v>-85.76203</v>
      </c>
      <c r="H68" s="13">
        <v>30.25841</v>
      </c>
      <c r="I68" s="13">
        <v>-85.73208</v>
      </c>
      <c r="J68" s="13" t="s">
        <v>263</v>
      </c>
      <c r="K68" s="13" t="s">
        <v>264</v>
      </c>
      <c r="L68" s="13">
        <v>3.0</v>
      </c>
      <c r="M68" s="13">
        <v>30.27341</v>
      </c>
      <c r="N68" s="13">
        <v>-85.73769</v>
      </c>
      <c r="O68" s="13" t="s">
        <v>387</v>
      </c>
      <c r="P68" s="14" t="s">
        <v>388</v>
      </c>
    </row>
    <row r="69" ht="33.75" customHeight="1">
      <c r="A69" s="43">
        <v>42770.0</v>
      </c>
      <c r="B69" s="16" t="s">
        <v>257</v>
      </c>
      <c r="C69" s="16" t="s">
        <v>195</v>
      </c>
      <c r="D69" s="16" t="s">
        <v>259</v>
      </c>
      <c r="E69" s="16" t="s">
        <v>25</v>
      </c>
      <c r="F69" s="16">
        <v>30.31651</v>
      </c>
      <c r="G69" s="16">
        <v>-85.76203</v>
      </c>
      <c r="H69" s="13">
        <v>30.25841</v>
      </c>
      <c r="I69" s="13">
        <v>-85.73208</v>
      </c>
      <c r="J69" s="13" t="s">
        <v>263</v>
      </c>
      <c r="K69" s="13" t="s">
        <v>264</v>
      </c>
      <c r="L69" s="13">
        <v>4.0</v>
      </c>
      <c r="M69" s="13">
        <v>30.26529</v>
      </c>
      <c r="N69" s="13">
        <v>-85.73542</v>
      </c>
      <c r="O69" s="13" t="s">
        <v>394</v>
      </c>
      <c r="P69" s="14" t="s">
        <v>395</v>
      </c>
    </row>
    <row r="70" ht="33.75" customHeight="1">
      <c r="A70" s="43">
        <v>42770.0</v>
      </c>
      <c r="B70" s="16" t="s">
        <v>257</v>
      </c>
      <c r="C70" s="16" t="s">
        <v>195</v>
      </c>
      <c r="D70" s="16" t="s">
        <v>259</v>
      </c>
      <c r="E70" s="16" t="s">
        <v>25</v>
      </c>
      <c r="F70" s="16">
        <v>30.31651</v>
      </c>
      <c r="G70" s="16">
        <v>-85.76203</v>
      </c>
      <c r="H70" s="13">
        <v>30.25841</v>
      </c>
      <c r="I70" s="13">
        <v>-85.73208</v>
      </c>
      <c r="J70" s="13" t="s">
        <v>263</v>
      </c>
      <c r="K70" s="13" t="s">
        <v>264</v>
      </c>
      <c r="L70" s="13">
        <v>5.0</v>
      </c>
      <c r="M70" s="13">
        <v>30.26058</v>
      </c>
      <c r="N70" s="13">
        <v>-85.73443</v>
      </c>
      <c r="O70" s="13" t="s">
        <v>403</v>
      </c>
      <c r="P70" s="14" t="s">
        <v>405</v>
      </c>
    </row>
    <row r="71" ht="33.75" customHeight="1">
      <c r="A71" s="41">
        <v>42769.0</v>
      </c>
      <c r="B71" s="16" t="s">
        <v>165</v>
      </c>
      <c r="C71" s="16" t="s">
        <v>166</v>
      </c>
      <c r="D71" s="16" t="s">
        <v>167</v>
      </c>
      <c r="E71" s="16" t="s">
        <v>281</v>
      </c>
      <c r="F71" s="16">
        <v>29.98487</v>
      </c>
      <c r="G71" s="16">
        <v>-85.49261</v>
      </c>
      <c r="H71" s="13">
        <v>29.98222</v>
      </c>
      <c r="I71" s="13">
        <v>-85.48926</v>
      </c>
      <c r="J71" s="13" t="s">
        <v>410</v>
      </c>
      <c r="K71" s="13" t="s">
        <v>170</v>
      </c>
      <c r="L71" s="13">
        <v>1.0</v>
      </c>
      <c r="M71" s="13">
        <v>29.98431</v>
      </c>
      <c r="N71" s="13">
        <v>-85.49268</v>
      </c>
      <c r="O71" s="13" t="s">
        <v>411</v>
      </c>
      <c r="P71" s="14"/>
    </row>
    <row r="72" ht="33.75" customHeight="1">
      <c r="A72" s="45">
        <v>42769.0</v>
      </c>
      <c r="B72" s="16" t="s">
        <v>165</v>
      </c>
      <c r="C72" s="16" t="s">
        <v>412</v>
      </c>
      <c r="D72" s="16" t="s">
        <v>167</v>
      </c>
      <c r="E72" s="16" t="s">
        <v>281</v>
      </c>
      <c r="F72" s="16">
        <v>29.98487</v>
      </c>
      <c r="G72" s="16">
        <v>-85.49261</v>
      </c>
      <c r="H72" s="13">
        <v>29.98222</v>
      </c>
      <c r="I72" s="13">
        <v>-85.48926</v>
      </c>
      <c r="J72" s="13" t="s">
        <v>410</v>
      </c>
      <c r="K72" s="13" t="s">
        <v>170</v>
      </c>
      <c r="L72" s="13">
        <v>2.0</v>
      </c>
      <c r="M72" s="13">
        <v>29.98251</v>
      </c>
      <c r="N72" s="13">
        <v>-85.49048</v>
      </c>
      <c r="O72" s="13" t="s">
        <v>417</v>
      </c>
      <c r="P72" s="14"/>
    </row>
    <row r="73" ht="33.75" customHeight="1">
      <c r="A73" s="43">
        <v>42769.0</v>
      </c>
      <c r="B73" s="16" t="s">
        <v>165</v>
      </c>
      <c r="C73" s="16" t="s">
        <v>412</v>
      </c>
      <c r="D73" s="16" t="s">
        <v>167</v>
      </c>
      <c r="E73" s="16" t="s">
        <v>281</v>
      </c>
      <c r="F73" s="16">
        <v>29.98487</v>
      </c>
      <c r="G73" s="16">
        <v>-85.49261</v>
      </c>
      <c r="H73" s="13">
        <v>29.98222</v>
      </c>
      <c r="I73" s="13">
        <v>-85.48926</v>
      </c>
      <c r="J73" s="13" t="s">
        <v>410</v>
      </c>
      <c r="K73" s="13" t="s">
        <v>170</v>
      </c>
      <c r="L73" s="13">
        <v>3.0</v>
      </c>
      <c r="M73" s="13">
        <v>29.97881</v>
      </c>
      <c r="N73" s="13">
        <v>-85.48653</v>
      </c>
      <c r="O73" s="13" t="s">
        <v>426</v>
      </c>
      <c r="P73" s="14"/>
    </row>
    <row r="74" ht="33.75" customHeight="1">
      <c r="A74" s="43">
        <v>42769.0</v>
      </c>
      <c r="B74" s="16" t="s">
        <v>165</v>
      </c>
      <c r="C74" s="16" t="s">
        <v>412</v>
      </c>
      <c r="D74" s="16" t="s">
        <v>167</v>
      </c>
      <c r="E74" s="16" t="s">
        <v>281</v>
      </c>
      <c r="F74" s="16">
        <v>29.98487</v>
      </c>
      <c r="G74" s="16">
        <v>-85.49261</v>
      </c>
      <c r="H74" s="13">
        <v>29.98222</v>
      </c>
      <c r="I74" s="13">
        <v>-85.48926</v>
      </c>
      <c r="J74" s="13" t="s">
        <v>410</v>
      </c>
      <c r="K74" s="13" t="s">
        <v>170</v>
      </c>
      <c r="L74" s="13">
        <v>4.0</v>
      </c>
      <c r="M74" s="13">
        <v>29.97987</v>
      </c>
      <c r="N74" s="13">
        <v>-85.48682</v>
      </c>
      <c r="O74" s="13" t="s">
        <v>435</v>
      </c>
      <c r="P74" s="14" t="s">
        <v>437</v>
      </c>
    </row>
    <row r="75" ht="33.75" customHeight="1">
      <c r="A75" s="43">
        <v>42769.0</v>
      </c>
      <c r="B75" s="16" t="s">
        <v>165</v>
      </c>
      <c r="C75" s="16" t="s">
        <v>412</v>
      </c>
      <c r="D75" s="16" t="s">
        <v>174</v>
      </c>
      <c r="E75" s="16" t="s">
        <v>281</v>
      </c>
      <c r="F75" s="16">
        <v>30.13865</v>
      </c>
      <c r="G75" s="16">
        <v>-85.6691</v>
      </c>
      <c r="H75" s="13">
        <v>30.13321</v>
      </c>
      <c r="I75" s="13">
        <v>-85.67809</v>
      </c>
      <c r="J75" s="13" t="s">
        <v>176</v>
      </c>
      <c r="K75" s="13" t="s">
        <v>177</v>
      </c>
      <c r="L75" s="13">
        <v>1.0</v>
      </c>
      <c r="M75" s="13">
        <v>30.13845</v>
      </c>
      <c r="N75" s="13">
        <v>-85.67384</v>
      </c>
      <c r="O75" s="13" t="s">
        <v>442</v>
      </c>
      <c r="P75" s="14"/>
    </row>
    <row r="76" ht="33.75" customHeight="1">
      <c r="A76" s="11">
        <v>42769.0</v>
      </c>
      <c r="B76" s="13" t="s">
        <v>444</v>
      </c>
      <c r="C76" s="13" t="s">
        <v>301</v>
      </c>
      <c r="D76" s="13" t="s">
        <v>445</v>
      </c>
      <c r="E76" s="13" t="s">
        <v>303</v>
      </c>
      <c r="F76" s="13" t="s">
        <v>446</v>
      </c>
      <c r="G76" s="13" t="s">
        <v>306</v>
      </c>
      <c r="H76" s="13" t="s">
        <v>307</v>
      </c>
      <c r="I76" s="14" t="s">
        <v>308</v>
      </c>
      <c r="J76" s="13" t="s">
        <v>310</v>
      </c>
      <c r="K76" s="13" t="s">
        <v>448</v>
      </c>
      <c r="L76" s="13" t="s">
        <v>449</v>
      </c>
      <c r="M76" s="14" t="s">
        <v>450</v>
      </c>
      <c r="N76" s="14" t="s">
        <v>452</v>
      </c>
      <c r="O76" s="13" t="s">
        <v>453</v>
      </c>
      <c r="P76" s="13"/>
    </row>
    <row r="77" ht="33.75" customHeight="1">
      <c r="A77" s="11">
        <v>42769.0</v>
      </c>
      <c r="B77" s="13" t="s">
        <v>444</v>
      </c>
      <c r="C77" s="13" t="s">
        <v>301</v>
      </c>
      <c r="D77" s="13" t="s">
        <v>445</v>
      </c>
      <c r="E77" s="13" t="s">
        <v>303</v>
      </c>
      <c r="F77" s="13" t="s">
        <v>446</v>
      </c>
      <c r="G77" s="13" t="s">
        <v>306</v>
      </c>
      <c r="H77" s="13" t="s">
        <v>307</v>
      </c>
      <c r="I77" s="14" t="s">
        <v>308</v>
      </c>
      <c r="J77" s="13" t="s">
        <v>310</v>
      </c>
      <c r="K77" s="13" t="s">
        <v>448</v>
      </c>
      <c r="L77" s="13" t="s">
        <v>460</v>
      </c>
      <c r="M77" s="14" t="s">
        <v>461</v>
      </c>
      <c r="N77" s="14" t="s">
        <v>462</v>
      </c>
      <c r="O77" s="13" t="s">
        <v>463</v>
      </c>
      <c r="P77" s="13" t="s">
        <v>464</v>
      </c>
    </row>
    <row r="78" ht="33.75" customHeight="1">
      <c r="A78" s="11">
        <v>42769.0</v>
      </c>
      <c r="B78" s="13" t="s">
        <v>444</v>
      </c>
      <c r="C78" s="13" t="s">
        <v>301</v>
      </c>
      <c r="D78" s="13" t="s">
        <v>445</v>
      </c>
      <c r="E78" s="13" t="s">
        <v>303</v>
      </c>
      <c r="F78" s="13" t="s">
        <v>446</v>
      </c>
      <c r="G78" s="13" t="s">
        <v>306</v>
      </c>
      <c r="H78" s="13" t="s">
        <v>307</v>
      </c>
      <c r="I78" s="14" t="s">
        <v>308</v>
      </c>
      <c r="J78" s="13" t="s">
        <v>310</v>
      </c>
      <c r="K78" s="13" t="s">
        <v>448</v>
      </c>
      <c r="L78" s="13" t="s">
        <v>466</v>
      </c>
      <c r="M78" s="14" t="s">
        <v>467</v>
      </c>
      <c r="N78" s="14" t="s">
        <v>468</v>
      </c>
      <c r="O78" s="13" t="s">
        <v>470</v>
      </c>
      <c r="P78" s="13"/>
    </row>
    <row r="79" ht="33.75" customHeight="1">
      <c r="A79" s="41">
        <v>42772.0</v>
      </c>
      <c r="B79" s="16" t="s">
        <v>347</v>
      </c>
      <c r="C79" s="16" t="s">
        <v>349</v>
      </c>
      <c r="D79" s="16" t="s">
        <v>350</v>
      </c>
      <c r="E79" s="16" t="s">
        <v>303</v>
      </c>
      <c r="F79" s="16">
        <v>28.411243</v>
      </c>
      <c r="G79" s="16">
        <v>-80.583621</v>
      </c>
      <c r="H79" s="13">
        <v>28.568711</v>
      </c>
      <c r="I79" s="13">
        <v>-80.569302</v>
      </c>
      <c r="J79" s="13" t="s">
        <v>352</v>
      </c>
      <c r="K79" s="13" t="s">
        <v>354</v>
      </c>
      <c r="L79" s="13">
        <v>1.0</v>
      </c>
      <c r="M79" s="13">
        <v>28.41234</v>
      </c>
      <c r="N79" s="13">
        <v>-80.58363</v>
      </c>
      <c r="O79" s="13" t="s">
        <v>483</v>
      </c>
      <c r="P79" s="14" t="s">
        <v>484</v>
      </c>
    </row>
    <row r="80" ht="33.75" customHeight="1">
      <c r="A80" s="41">
        <v>42772.0</v>
      </c>
      <c r="B80" s="16" t="s">
        <v>347</v>
      </c>
      <c r="C80" s="16" t="s">
        <v>349</v>
      </c>
      <c r="D80" s="16" t="s">
        <v>350</v>
      </c>
      <c r="E80" s="16" t="s">
        <v>303</v>
      </c>
      <c r="F80" s="16">
        <v>28.411243</v>
      </c>
      <c r="G80" s="16">
        <v>-80.583621</v>
      </c>
      <c r="H80" s="13">
        <v>28.568711</v>
      </c>
      <c r="I80" s="13">
        <v>-80.569302</v>
      </c>
      <c r="J80" s="13" t="s">
        <v>352</v>
      </c>
      <c r="K80" s="13" t="s">
        <v>354</v>
      </c>
      <c r="L80" s="13">
        <v>2.0</v>
      </c>
      <c r="M80" s="13">
        <v>28.41731</v>
      </c>
      <c r="N80" s="13">
        <v>-80.58167</v>
      </c>
      <c r="O80" s="13" t="s">
        <v>486</v>
      </c>
      <c r="P80" s="14" t="s">
        <v>484</v>
      </c>
    </row>
    <row r="81" ht="33.75" customHeight="1">
      <c r="A81" s="41">
        <v>42772.0</v>
      </c>
      <c r="B81" s="16" t="s">
        <v>347</v>
      </c>
      <c r="C81" s="16" t="s">
        <v>349</v>
      </c>
      <c r="D81" s="16" t="s">
        <v>350</v>
      </c>
      <c r="E81" s="16" t="s">
        <v>303</v>
      </c>
      <c r="F81" s="16">
        <v>28.411243</v>
      </c>
      <c r="G81" s="16">
        <v>-80.583621</v>
      </c>
      <c r="H81" s="13">
        <v>28.568711</v>
      </c>
      <c r="I81" s="13">
        <v>-80.569302</v>
      </c>
      <c r="J81" s="13" t="s">
        <v>352</v>
      </c>
      <c r="K81" s="13" t="s">
        <v>354</v>
      </c>
      <c r="L81" s="13">
        <v>3.0</v>
      </c>
      <c r="M81" s="13">
        <v>28.43442</v>
      </c>
      <c r="N81" s="13">
        <v>-80.56481</v>
      </c>
      <c r="O81" s="13" t="s">
        <v>494</v>
      </c>
      <c r="P81" s="14" t="s">
        <v>484</v>
      </c>
    </row>
    <row r="82" ht="33.75" customHeight="1">
      <c r="A82" s="41">
        <v>42772.0</v>
      </c>
      <c r="B82" s="16" t="s">
        <v>347</v>
      </c>
      <c r="C82" s="16" t="s">
        <v>349</v>
      </c>
      <c r="D82" s="16" t="s">
        <v>350</v>
      </c>
      <c r="E82" s="16" t="s">
        <v>303</v>
      </c>
      <c r="F82" s="16">
        <v>28.411243</v>
      </c>
      <c r="G82" s="16">
        <v>-80.583621</v>
      </c>
      <c r="H82" s="13">
        <v>28.568711</v>
      </c>
      <c r="I82" s="13">
        <v>-80.569302</v>
      </c>
      <c r="J82" s="13" t="s">
        <v>352</v>
      </c>
      <c r="K82" s="13" t="s">
        <v>354</v>
      </c>
      <c r="L82" s="13">
        <v>4.0</v>
      </c>
      <c r="M82" s="13">
        <v>28.44616</v>
      </c>
      <c r="N82" s="13">
        <v>-80.5396</v>
      </c>
      <c r="O82" s="13" t="s">
        <v>498</v>
      </c>
      <c r="P82" s="14" t="s">
        <v>484</v>
      </c>
    </row>
    <row r="83" ht="33.75" customHeight="1">
      <c r="A83" s="41">
        <v>42772.0</v>
      </c>
      <c r="B83" s="16" t="s">
        <v>347</v>
      </c>
      <c r="C83" s="16" t="s">
        <v>349</v>
      </c>
      <c r="D83" s="16" t="s">
        <v>350</v>
      </c>
      <c r="E83" s="16" t="s">
        <v>303</v>
      </c>
      <c r="F83" s="16">
        <v>28.411243</v>
      </c>
      <c r="G83" s="16">
        <v>-80.583621</v>
      </c>
      <c r="H83" s="13">
        <v>28.568711</v>
      </c>
      <c r="I83" s="13">
        <v>-80.569302</v>
      </c>
      <c r="J83" s="13" t="s">
        <v>352</v>
      </c>
      <c r="K83" s="13" t="s">
        <v>354</v>
      </c>
      <c r="L83" s="13">
        <v>5.0</v>
      </c>
      <c r="M83" s="13">
        <v>28.49184</v>
      </c>
      <c r="N83" s="13">
        <v>-80.54244</v>
      </c>
      <c r="O83" s="13" t="s">
        <v>504</v>
      </c>
      <c r="P83" s="14" t="s">
        <v>130</v>
      </c>
    </row>
    <row r="84" ht="33.75" customHeight="1">
      <c r="A84" s="41">
        <v>42772.0</v>
      </c>
      <c r="B84" s="16" t="s">
        <v>347</v>
      </c>
      <c r="C84" s="16" t="s">
        <v>349</v>
      </c>
      <c r="D84" s="16" t="s">
        <v>350</v>
      </c>
      <c r="E84" s="16" t="s">
        <v>303</v>
      </c>
      <c r="F84" s="16">
        <v>28.411243</v>
      </c>
      <c r="G84" s="16">
        <v>-80.583621</v>
      </c>
      <c r="H84" s="13">
        <v>28.568711</v>
      </c>
      <c r="I84" s="13">
        <v>-80.569302</v>
      </c>
      <c r="J84" s="13" t="s">
        <v>352</v>
      </c>
      <c r="K84" s="13" t="s">
        <v>354</v>
      </c>
      <c r="L84" s="13">
        <v>6.0</v>
      </c>
      <c r="M84" s="13">
        <v>28.54875</v>
      </c>
      <c r="N84" s="13">
        <v>-80.56564</v>
      </c>
      <c r="O84" s="13" t="s">
        <v>513</v>
      </c>
      <c r="P84" s="14" t="s">
        <v>484</v>
      </c>
    </row>
    <row r="85" ht="33.75" customHeight="1">
      <c r="A85" s="41">
        <v>42772.0</v>
      </c>
      <c r="B85" s="16" t="s">
        <v>374</v>
      </c>
      <c r="C85" s="16" t="s">
        <v>376</v>
      </c>
      <c r="D85" s="16" t="s">
        <v>378</v>
      </c>
      <c r="E85" s="16" t="s">
        <v>303</v>
      </c>
      <c r="F85" s="16">
        <v>28.138662</v>
      </c>
      <c r="G85" s="16">
        <v>-80.580264</v>
      </c>
      <c r="H85" s="13">
        <v>28.214641</v>
      </c>
      <c r="I85" s="13">
        <v>-80.597146</v>
      </c>
      <c r="J85" s="13" t="s">
        <v>380</v>
      </c>
      <c r="K85" s="13" t="s">
        <v>382</v>
      </c>
      <c r="L85" s="13">
        <v>1.0</v>
      </c>
      <c r="M85" s="13">
        <v>28.166849</v>
      </c>
      <c r="N85" s="13">
        <v>-80.587093</v>
      </c>
      <c r="O85" s="13" t="s">
        <v>519</v>
      </c>
      <c r="P85" s="14" t="s">
        <v>521</v>
      </c>
    </row>
    <row r="86" ht="33.75" customHeight="1">
      <c r="A86" s="41">
        <v>42773.0</v>
      </c>
      <c r="B86" s="16" t="s">
        <v>404</v>
      </c>
      <c r="C86" s="16" t="s">
        <v>406</v>
      </c>
      <c r="D86" s="16" t="s">
        <v>407</v>
      </c>
      <c r="E86" s="16" t="s">
        <v>303</v>
      </c>
      <c r="F86" s="13">
        <v>28.794133</v>
      </c>
      <c r="G86" s="13">
        <v>-80.73493</v>
      </c>
      <c r="H86" s="13">
        <v>28.643681</v>
      </c>
      <c r="I86" s="13">
        <v>-80.623842</v>
      </c>
      <c r="J86" s="13" t="s">
        <v>408</v>
      </c>
      <c r="K86" s="13" t="s">
        <v>409</v>
      </c>
      <c r="L86" s="13">
        <v>1.0</v>
      </c>
      <c r="M86" s="13">
        <v>28.753725</v>
      </c>
      <c r="N86" s="13">
        <v>80.70781</v>
      </c>
      <c r="O86" s="13" t="s">
        <v>527</v>
      </c>
      <c r="P86" s="47"/>
    </row>
    <row r="87" ht="33.75" customHeight="1">
      <c r="A87" s="41">
        <v>42773.0</v>
      </c>
      <c r="B87" s="16" t="s">
        <v>404</v>
      </c>
      <c r="C87" s="16" t="s">
        <v>406</v>
      </c>
      <c r="D87" s="16" t="s">
        <v>407</v>
      </c>
      <c r="E87" s="16" t="s">
        <v>303</v>
      </c>
      <c r="F87" s="13">
        <v>28.794133</v>
      </c>
      <c r="G87" s="13">
        <v>-80.73493</v>
      </c>
      <c r="H87" s="13">
        <v>28.643681</v>
      </c>
      <c r="I87" s="13">
        <v>-80.623842</v>
      </c>
      <c r="J87" s="13" t="s">
        <v>408</v>
      </c>
      <c r="K87" s="13" t="s">
        <v>409</v>
      </c>
      <c r="L87" s="13">
        <v>2.0</v>
      </c>
      <c r="M87" s="13">
        <v>28.735528</v>
      </c>
      <c r="N87" s="13">
        <v>80.694017</v>
      </c>
      <c r="O87" s="13" t="s">
        <v>544</v>
      </c>
      <c r="P87" s="47"/>
    </row>
    <row r="88" ht="33.75" customHeight="1">
      <c r="A88" s="41">
        <v>42773.0</v>
      </c>
      <c r="B88" s="16" t="s">
        <v>404</v>
      </c>
      <c r="C88" s="16" t="s">
        <v>406</v>
      </c>
      <c r="D88" s="16" t="s">
        <v>407</v>
      </c>
      <c r="E88" s="16" t="s">
        <v>303</v>
      </c>
      <c r="F88" s="13">
        <v>28.794133</v>
      </c>
      <c r="G88" s="13">
        <v>-80.73493</v>
      </c>
      <c r="H88" s="13">
        <v>28.643681</v>
      </c>
      <c r="I88" s="13">
        <v>-80.623842</v>
      </c>
      <c r="J88" s="13" t="s">
        <v>408</v>
      </c>
      <c r="K88" s="13" t="s">
        <v>409</v>
      </c>
      <c r="L88" s="13">
        <v>3.0</v>
      </c>
      <c r="M88" s="13">
        <v>28.693464</v>
      </c>
      <c r="N88" s="13">
        <v>80.660317</v>
      </c>
      <c r="O88" s="13" t="s">
        <v>548</v>
      </c>
      <c r="P88" s="47"/>
    </row>
    <row r="89" ht="33.75" customHeight="1">
      <c r="A89" s="43">
        <v>42769.0</v>
      </c>
      <c r="B89" s="16" t="s">
        <v>551</v>
      </c>
      <c r="C89" s="16" t="s">
        <v>429</v>
      </c>
      <c r="D89" s="16" t="s">
        <v>430</v>
      </c>
      <c r="E89" s="16" t="s">
        <v>416</v>
      </c>
      <c r="F89" s="16" t="s">
        <v>552</v>
      </c>
      <c r="G89" s="16" t="s">
        <v>419</v>
      </c>
      <c r="H89" s="13" t="s">
        <v>431</v>
      </c>
      <c r="I89" s="13" t="s">
        <v>556</v>
      </c>
      <c r="J89" s="13" t="s">
        <v>557</v>
      </c>
      <c r="K89" s="13" t="s">
        <v>558</v>
      </c>
      <c r="L89" s="13">
        <v>1.0</v>
      </c>
      <c r="M89" s="16" t="s">
        <v>552</v>
      </c>
      <c r="N89" s="16" t="s">
        <v>419</v>
      </c>
      <c r="O89" s="13" t="s">
        <v>559</v>
      </c>
      <c r="P89" s="47"/>
    </row>
    <row r="90" ht="33.75" customHeight="1">
      <c r="A90" s="43">
        <v>42769.0</v>
      </c>
      <c r="B90" s="16" t="s">
        <v>551</v>
      </c>
      <c r="C90" s="16" t="s">
        <v>429</v>
      </c>
      <c r="D90" s="16" t="s">
        <v>430</v>
      </c>
      <c r="E90" s="16" t="s">
        <v>416</v>
      </c>
      <c r="F90" s="16" t="s">
        <v>552</v>
      </c>
      <c r="G90" s="16" t="s">
        <v>419</v>
      </c>
      <c r="H90" s="13" t="s">
        <v>431</v>
      </c>
      <c r="I90" s="13" t="s">
        <v>556</v>
      </c>
      <c r="J90" s="13" t="s">
        <v>557</v>
      </c>
      <c r="K90" s="13" t="s">
        <v>558</v>
      </c>
      <c r="L90" s="13">
        <v>2.0</v>
      </c>
      <c r="M90" s="13" t="s">
        <v>431</v>
      </c>
      <c r="N90" s="13" t="s">
        <v>556</v>
      </c>
      <c r="O90" s="13" t="s">
        <v>562</v>
      </c>
      <c r="P90" s="47"/>
    </row>
    <row r="91" ht="33.75" customHeight="1">
      <c r="A91" s="43">
        <v>42775.0</v>
      </c>
      <c r="B91" s="16" t="s">
        <v>451</v>
      </c>
      <c r="C91" s="16" t="s">
        <v>454</v>
      </c>
      <c r="D91" s="16" t="s">
        <v>455</v>
      </c>
      <c r="E91" s="16" t="s">
        <v>456</v>
      </c>
      <c r="F91" s="16">
        <v>26.2596</v>
      </c>
      <c r="G91" s="16">
        <v>-80.0857</v>
      </c>
      <c r="H91" s="13">
        <v>26.31645</v>
      </c>
      <c r="I91" s="13">
        <v>-80.07496</v>
      </c>
      <c r="J91" s="13" t="s">
        <v>565</v>
      </c>
      <c r="K91" s="13" t="s">
        <v>566</v>
      </c>
      <c r="L91" s="13">
        <v>1.0</v>
      </c>
      <c r="M91" s="13">
        <v>26.30049</v>
      </c>
      <c r="N91" s="13">
        <v>-80.076</v>
      </c>
      <c r="O91" s="13" t="s">
        <v>567</v>
      </c>
      <c r="P91" s="14" t="s">
        <v>568</v>
      </c>
    </row>
    <row r="92" ht="33.75" customHeight="1">
      <c r="A92" s="11">
        <v>42769.0</v>
      </c>
      <c r="B92" s="13" t="s">
        <v>569</v>
      </c>
      <c r="C92" s="13" t="s">
        <v>570</v>
      </c>
      <c r="D92" s="13" t="s">
        <v>571</v>
      </c>
      <c r="E92" s="13" t="s">
        <v>572</v>
      </c>
      <c r="F92" s="13" t="s">
        <v>573</v>
      </c>
      <c r="G92" s="13" t="s">
        <v>574</v>
      </c>
      <c r="H92" s="13" t="s">
        <v>576</v>
      </c>
      <c r="I92" s="14" t="s">
        <v>577</v>
      </c>
      <c r="J92" s="13" t="s">
        <v>578</v>
      </c>
      <c r="K92" s="13" t="s">
        <v>580</v>
      </c>
      <c r="L92" s="13">
        <v>1.0</v>
      </c>
      <c r="M92" s="14"/>
      <c r="N92" s="14"/>
      <c r="O92" s="13" t="s">
        <v>581</v>
      </c>
      <c r="P92" s="13" t="s">
        <v>126</v>
      </c>
    </row>
    <row r="93" ht="33.75" customHeight="1">
      <c r="A93" s="11">
        <v>42769.0</v>
      </c>
      <c r="B93" s="13" t="s">
        <v>569</v>
      </c>
      <c r="C93" s="13" t="s">
        <v>570</v>
      </c>
      <c r="D93" s="13" t="s">
        <v>571</v>
      </c>
      <c r="E93" s="13" t="s">
        <v>572</v>
      </c>
      <c r="F93" s="13" t="s">
        <v>573</v>
      </c>
      <c r="G93" s="13" t="s">
        <v>574</v>
      </c>
      <c r="H93" s="13" t="s">
        <v>576</v>
      </c>
      <c r="I93" s="14" t="s">
        <v>577</v>
      </c>
      <c r="J93" s="13" t="s">
        <v>578</v>
      </c>
      <c r="K93" s="13" t="s">
        <v>580</v>
      </c>
      <c r="L93" s="13">
        <v>2.0</v>
      </c>
      <c r="M93" s="14"/>
      <c r="N93" s="14"/>
      <c r="O93" s="13" t="s">
        <v>593</v>
      </c>
      <c r="P93" s="13" t="s">
        <v>126</v>
      </c>
    </row>
    <row r="94" ht="33.75" customHeight="1">
      <c r="A94" s="41">
        <v>42772.0</v>
      </c>
      <c r="B94" s="16" t="s">
        <v>472</v>
      </c>
      <c r="C94" s="16" t="s">
        <v>473</v>
      </c>
      <c r="D94" s="16" t="s">
        <v>474</v>
      </c>
      <c r="E94" s="16" t="s">
        <v>475</v>
      </c>
      <c r="F94" s="16" t="s">
        <v>476</v>
      </c>
      <c r="G94" s="16" t="s">
        <v>477</v>
      </c>
      <c r="H94" s="13" t="s">
        <v>478</v>
      </c>
      <c r="I94" s="13" t="s">
        <v>479</v>
      </c>
      <c r="J94" s="13" t="s">
        <v>480</v>
      </c>
      <c r="K94" s="13" t="s">
        <v>481</v>
      </c>
      <c r="L94" s="13">
        <v>1.0</v>
      </c>
      <c r="M94" s="13" t="s">
        <v>600</v>
      </c>
      <c r="N94" s="13" t="s">
        <v>601</v>
      </c>
      <c r="O94" s="13" t="s">
        <v>602</v>
      </c>
      <c r="P94" s="14" t="s">
        <v>604</v>
      </c>
    </row>
    <row r="95" ht="33.75" customHeight="1">
      <c r="A95" s="41">
        <v>42772.0</v>
      </c>
      <c r="B95" s="16" t="s">
        <v>472</v>
      </c>
      <c r="C95" s="16" t="s">
        <v>473</v>
      </c>
      <c r="D95" s="16" t="s">
        <v>474</v>
      </c>
      <c r="E95" s="16" t="s">
        <v>475</v>
      </c>
      <c r="F95" s="16" t="s">
        <v>476</v>
      </c>
      <c r="G95" s="16" t="s">
        <v>477</v>
      </c>
      <c r="H95" s="13" t="s">
        <v>478</v>
      </c>
      <c r="I95" s="13" t="s">
        <v>479</v>
      </c>
      <c r="J95" s="13" t="s">
        <v>480</v>
      </c>
      <c r="K95" s="13" t="s">
        <v>481</v>
      </c>
      <c r="L95" s="13">
        <v>2.0</v>
      </c>
      <c r="M95" s="13" t="s">
        <v>611</v>
      </c>
      <c r="N95" s="13" t="s">
        <v>613</v>
      </c>
      <c r="O95" s="13" t="s">
        <v>616</v>
      </c>
      <c r="P95" s="14" t="s">
        <v>604</v>
      </c>
    </row>
    <row r="96" ht="33.75" customHeight="1">
      <c r="A96" s="41">
        <v>42772.0</v>
      </c>
      <c r="B96" s="16" t="s">
        <v>489</v>
      </c>
      <c r="C96" s="16" t="s">
        <v>619</v>
      </c>
      <c r="D96" s="16" t="s">
        <v>491</v>
      </c>
      <c r="E96" s="16" t="s">
        <v>475</v>
      </c>
      <c r="F96" s="16">
        <v>26.898102</v>
      </c>
      <c r="G96" s="16">
        <v>-82.338627</v>
      </c>
      <c r="H96" s="13">
        <v>26.885576</v>
      </c>
      <c r="I96" s="13">
        <v>-82.334993</v>
      </c>
      <c r="J96" s="13" t="s">
        <v>492</v>
      </c>
      <c r="K96" s="13" t="s">
        <v>493</v>
      </c>
      <c r="L96" s="13">
        <v>1.0</v>
      </c>
      <c r="M96" s="13">
        <v>26.890293</v>
      </c>
      <c r="N96" s="13">
        <v>-82.338387</v>
      </c>
      <c r="O96" s="13" t="s">
        <v>629</v>
      </c>
      <c r="P96" s="14"/>
    </row>
    <row r="97" ht="33.75" customHeight="1">
      <c r="A97" s="41">
        <v>42773.0</v>
      </c>
      <c r="B97" s="16" t="s">
        <v>496</v>
      </c>
      <c r="C97" s="16" t="s">
        <v>497</v>
      </c>
      <c r="D97" s="16" t="s">
        <v>499</v>
      </c>
      <c r="E97" s="16" t="s">
        <v>475</v>
      </c>
      <c r="F97" s="16">
        <v>26.841715</v>
      </c>
      <c r="G97" s="16">
        <v>-82.300287</v>
      </c>
      <c r="H97" s="13">
        <v>26.85452</v>
      </c>
      <c r="I97" s="13">
        <v>-82.309924</v>
      </c>
      <c r="J97" s="13" t="s">
        <v>501</v>
      </c>
      <c r="K97" s="13" t="s">
        <v>502</v>
      </c>
      <c r="L97" s="13">
        <v>0.0</v>
      </c>
      <c r="M97" s="13"/>
      <c r="N97" s="13"/>
      <c r="O97" s="13"/>
      <c r="P97" s="14" t="s">
        <v>630</v>
      </c>
    </row>
    <row r="98" ht="33.75" customHeight="1">
      <c r="A98" s="41">
        <v>42775.0</v>
      </c>
      <c r="B98" s="16" t="s">
        <v>631</v>
      </c>
      <c r="C98" s="16" t="s">
        <v>632</v>
      </c>
      <c r="D98" s="16" t="s">
        <v>474</v>
      </c>
      <c r="E98" s="16" t="s">
        <v>475</v>
      </c>
      <c r="F98" s="16">
        <v>26.78961</v>
      </c>
      <c r="G98" s="16">
        <v>-82.27232</v>
      </c>
      <c r="H98" s="13">
        <v>26.81059</v>
      </c>
      <c r="I98" s="13">
        <v>-82.28252</v>
      </c>
      <c r="J98" s="13" t="s">
        <v>633</v>
      </c>
      <c r="K98" s="13" t="s">
        <v>634</v>
      </c>
      <c r="L98" s="13"/>
      <c r="M98" s="13"/>
      <c r="N98" s="13"/>
      <c r="O98" s="13" t="s">
        <v>635</v>
      </c>
      <c r="P98" s="14" t="s">
        <v>563</v>
      </c>
    </row>
    <row r="99" ht="33.75" customHeight="1">
      <c r="A99" s="50">
        <v>42775.0</v>
      </c>
      <c r="B99" s="16" t="s">
        <v>636</v>
      </c>
      <c r="C99" s="16" t="s">
        <v>637</v>
      </c>
      <c r="D99" s="16" t="s">
        <v>638</v>
      </c>
      <c r="E99" s="16" t="s">
        <v>475</v>
      </c>
      <c r="F99" s="16">
        <v>26.81316</v>
      </c>
      <c r="G99" s="16">
        <v>-82.27431</v>
      </c>
      <c r="H99" s="13">
        <v>26.81352</v>
      </c>
      <c r="I99" s="13">
        <v>-82.27456</v>
      </c>
      <c r="J99" s="13" t="s">
        <v>639</v>
      </c>
      <c r="K99" s="13" t="s">
        <v>640</v>
      </c>
      <c r="L99" s="13">
        <v>1.0</v>
      </c>
      <c r="M99" s="13">
        <v>26.81316</v>
      </c>
      <c r="N99" s="13">
        <v>-82.27431</v>
      </c>
      <c r="O99" s="13" t="s">
        <v>641</v>
      </c>
      <c r="P99" s="14" t="s">
        <v>642</v>
      </c>
    </row>
    <row r="100" ht="33.75" customHeight="1">
      <c r="A100" s="49">
        <v>42775.0</v>
      </c>
      <c r="B100" s="16" t="s">
        <v>582</v>
      </c>
      <c r="C100" s="16" t="s">
        <v>583</v>
      </c>
      <c r="D100" s="16" t="s">
        <v>584</v>
      </c>
      <c r="E100" s="16" t="s">
        <v>475</v>
      </c>
      <c r="F100" s="16" t="s">
        <v>586</v>
      </c>
      <c r="G100" s="16" t="s">
        <v>587</v>
      </c>
      <c r="H100" s="13" t="s">
        <v>589</v>
      </c>
      <c r="I100" s="13" t="s">
        <v>590</v>
      </c>
      <c r="J100" s="13" t="s">
        <v>591</v>
      </c>
      <c r="K100" s="13" t="s">
        <v>592</v>
      </c>
      <c r="L100" s="13">
        <v>1.0</v>
      </c>
      <c r="M100" s="13" t="s">
        <v>643</v>
      </c>
      <c r="N100" s="13" t="s">
        <v>644</v>
      </c>
      <c r="O100" s="13" t="s">
        <v>645</v>
      </c>
      <c r="P100" s="14" t="s">
        <v>646</v>
      </c>
    </row>
    <row r="101" ht="33.75" customHeight="1">
      <c r="A101" s="43">
        <v>42775.0</v>
      </c>
      <c r="B101" s="16" t="s">
        <v>472</v>
      </c>
      <c r="C101" s="16" t="s">
        <v>620</v>
      </c>
      <c r="D101" s="16" t="s">
        <v>621</v>
      </c>
      <c r="E101" s="16" t="s">
        <v>622</v>
      </c>
      <c r="F101" s="16" t="s">
        <v>623</v>
      </c>
      <c r="G101" s="16" t="s">
        <v>624</v>
      </c>
      <c r="H101" s="13" t="s">
        <v>625</v>
      </c>
      <c r="I101" s="13" t="s">
        <v>626</v>
      </c>
      <c r="J101" s="13" t="s">
        <v>627</v>
      </c>
      <c r="K101" s="13" t="s">
        <v>628</v>
      </c>
      <c r="L101" s="13">
        <v>1.0</v>
      </c>
      <c r="M101" s="13" t="s">
        <v>647</v>
      </c>
      <c r="N101" s="13" t="s">
        <v>648</v>
      </c>
      <c r="O101" s="13" t="s">
        <v>649</v>
      </c>
      <c r="P101" s="14" t="s">
        <v>650</v>
      </c>
    </row>
    <row r="102" ht="33.75" customHeight="1">
      <c r="A102" s="41">
        <v>42769.0</v>
      </c>
      <c r="B102" s="16" t="s">
        <v>651</v>
      </c>
      <c r="C102" s="16" t="s">
        <v>653</v>
      </c>
      <c r="D102" s="16" t="s">
        <v>655</v>
      </c>
      <c r="E102" s="16" t="s">
        <v>656</v>
      </c>
      <c r="F102" s="16">
        <v>26.27226</v>
      </c>
      <c r="G102" s="16">
        <v>-81.82778</v>
      </c>
      <c r="H102" s="13">
        <v>26.288741</v>
      </c>
      <c r="I102" s="13">
        <v>-81.829161</v>
      </c>
      <c r="J102" s="13" t="s">
        <v>659</v>
      </c>
      <c r="K102" s="13" t="s">
        <v>661</v>
      </c>
      <c r="L102" s="13">
        <v>0.0</v>
      </c>
      <c r="M102" s="13"/>
      <c r="N102" s="13"/>
      <c r="O102" s="13" t="s">
        <v>664</v>
      </c>
      <c r="P102" s="47"/>
    </row>
    <row r="103" ht="33.75" customHeight="1">
      <c r="A103" s="51">
        <v>42772.0</v>
      </c>
      <c r="B103" s="52" t="s">
        <v>672</v>
      </c>
      <c r="C103" s="53" t="s">
        <v>675</v>
      </c>
      <c r="D103" s="53" t="s">
        <v>683</v>
      </c>
      <c r="E103" s="52" t="s">
        <v>656</v>
      </c>
      <c r="F103" s="54">
        <v>25.9013</v>
      </c>
      <c r="G103" s="54">
        <v>-81.7157</v>
      </c>
      <c r="H103" s="54">
        <v>25.871</v>
      </c>
      <c r="I103" s="54">
        <v>-81.6969</v>
      </c>
      <c r="J103" s="52" t="s">
        <v>690</v>
      </c>
      <c r="K103" s="52" t="s">
        <v>692</v>
      </c>
      <c r="L103" s="13">
        <v>1.0</v>
      </c>
      <c r="M103" s="13">
        <v>25.897457</v>
      </c>
      <c r="N103" s="13">
        <v>-81.71471</v>
      </c>
      <c r="O103" s="13" t="s">
        <v>695</v>
      </c>
      <c r="P103" s="14" t="s">
        <v>696</v>
      </c>
    </row>
    <row r="104" ht="33.75" customHeight="1">
      <c r="A104" s="43">
        <v>42772.0</v>
      </c>
      <c r="B104" s="16" t="s">
        <v>672</v>
      </c>
      <c r="C104" s="16" t="s">
        <v>698</v>
      </c>
      <c r="D104" s="56" t="s">
        <v>699</v>
      </c>
      <c r="E104" s="56" t="s">
        <v>656</v>
      </c>
      <c r="F104" s="54">
        <v>25.8701</v>
      </c>
      <c r="G104" s="54">
        <v>-81.6968</v>
      </c>
      <c r="H104" s="54">
        <v>25.8445</v>
      </c>
      <c r="I104" s="54">
        <v>-81.679</v>
      </c>
      <c r="J104" s="13" t="s">
        <v>705</v>
      </c>
      <c r="K104" s="52" t="s">
        <v>706</v>
      </c>
      <c r="L104" s="13">
        <v>1.0</v>
      </c>
      <c r="M104" s="13">
        <v>25.865232</v>
      </c>
      <c r="N104" s="13">
        <v>-81.693679</v>
      </c>
      <c r="O104" s="13" t="s">
        <v>707</v>
      </c>
      <c r="P104" s="14" t="s">
        <v>708</v>
      </c>
    </row>
    <row r="105" ht="33.75" customHeight="1">
      <c r="A105" s="43">
        <v>42772.0</v>
      </c>
      <c r="B105" s="16" t="s">
        <v>672</v>
      </c>
      <c r="C105" s="16" t="s">
        <v>698</v>
      </c>
      <c r="D105" s="56" t="s">
        <v>699</v>
      </c>
      <c r="E105" s="56" t="s">
        <v>656</v>
      </c>
      <c r="F105" s="54">
        <v>25.8701</v>
      </c>
      <c r="G105" s="54">
        <v>-81.6968</v>
      </c>
      <c r="H105" s="54">
        <v>25.8445</v>
      </c>
      <c r="I105" s="54">
        <v>-81.679</v>
      </c>
      <c r="J105" s="13" t="s">
        <v>705</v>
      </c>
      <c r="K105" s="52" t="s">
        <v>706</v>
      </c>
      <c r="L105" s="13">
        <v>2.0</v>
      </c>
      <c r="M105" s="13">
        <v>25.853912</v>
      </c>
      <c r="N105" s="13">
        <v>-81.687968</v>
      </c>
      <c r="O105" s="13" t="s">
        <v>712</v>
      </c>
      <c r="P105" s="14" t="s">
        <v>713</v>
      </c>
    </row>
    <row r="106" ht="33.75" customHeight="1">
      <c r="A106" s="43">
        <v>42772.0</v>
      </c>
      <c r="B106" s="16" t="s">
        <v>672</v>
      </c>
      <c r="C106" s="16" t="s">
        <v>698</v>
      </c>
      <c r="D106" s="56" t="s">
        <v>699</v>
      </c>
      <c r="E106" s="56" t="s">
        <v>656</v>
      </c>
      <c r="F106" s="54">
        <v>25.8701</v>
      </c>
      <c r="G106" s="54">
        <v>-81.6968</v>
      </c>
      <c r="H106" s="54">
        <v>25.8445</v>
      </c>
      <c r="I106" s="54">
        <v>-81.679</v>
      </c>
      <c r="J106" s="13" t="s">
        <v>705</v>
      </c>
      <c r="K106" s="52" t="s">
        <v>706</v>
      </c>
      <c r="L106" s="13">
        <v>3.0</v>
      </c>
      <c r="M106" s="13">
        <v>25.855875</v>
      </c>
      <c r="N106" s="13">
        <v>-81.683789</v>
      </c>
      <c r="O106" s="13" t="s">
        <v>724</v>
      </c>
      <c r="P106" s="14" t="s">
        <v>725</v>
      </c>
    </row>
    <row r="107" ht="33.75" customHeight="1">
      <c r="A107" s="43">
        <v>42772.0</v>
      </c>
      <c r="B107" s="16" t="s">
        <v>672</v>
      </c>
      <c r="C107" s="16" t="s">
        <v>698</v>
      </c>
      <c r="D107" s="56" t="s">
        <v>699</v>
      </c>
      <c r="E107" s="56" t="s">
        <v>656</v>
      </c>
      <c r="F107" s="54">
        <v>25.8701</v>
      </c>
      <c r="G107" s="54">
        <v>-81.6968</v>
      </c>
      <c r="H107" s="54">
        <v>25.8445</v>
      </c>
      <c r="I107" s="54">
        <v>-81.679</v>
      </c>
      <c r="J107" s="13" t="s">
        <v>705</v>
      </c>
      <c r="K107" s="52" t="s">
        <v>706</v>
      </c>
      <c r="L107" s="13">
        <v>4.0</v>
      </c>
      <c r="M107" s="13">
        <v>25.845351</v>
      </c>
      <c r="N107" s="13">
        <v>-81.681055</v>
      </c>
      <c r="O107" s="13" t="s">
        <v>733</v>
      </c>
      <c r="P107" s="14" t="s">
        <v>734</v>
      </c>
    </row>
    <row r="108" ht="33.75" customHeight="1">
      <c r="A108" s="43">
        <v>42772.0</v>
      </c>
      <c r="B108" s="16" t="s">
        <v>672</v>
      </c>
      <c r="C108" s="16" t="s">
        <v>698</v>
      </c>
      <c r="D108" s="56" t="s">
        <v>699</v>
      </c>
      <c r="E108" s="56" t="s">
        <v>656</v>
      </c>
      <c r="F108" s="54">
        <v>25.8701</v>
      </c>
      <c r="G108" s="54">
        <v>-81.6968</v>
      </c>
      <c r="H108" s="54">
        <v>25.8445</v>
      </c>
      <c r="I108" s="54">
        <v>-81.679</v>
      </c>
      <c r="J108" s="13" t="s">
        <v>705</v>
      </c>
      <c r="K108" s="52" t="s">
        <v>706</v>
      </c>
      <c r="L108" s="13">
        <v>5.0</v>
      </c>
      <c r="M108" s="13">
        <v>25.846962</v>
      </c>
      <c r="N108" s="13">
        <v>-81.676033</v>
      </c>
      <c r="O108" s="13" t="s">
        <v>739</v>
      </c>
      <c r="P108" s="14" t="s">
        <v>742</v>
      </c>
    </row>
    <row r="109" ht="33.75" customHeight="1">
      <c r="A109" s="43">
        <v>42772.0</v>
      </c>
      <c r="B109" s="16" t="s">
        <v>672</v>
      </c>
      <c r="C109" s="16" t="s">
        <v>698</v>
      </c>
      <c r="D109" s="16" t="s">
        <v>745</v>
      </c>
      <c r="E109" s="16" t="s">
        <v>656</v>
      </c>
      <c r="F109" s="54">
        <v>25.843642</v>
      </c>
      <c r="G109" s="54">
        <v>-81.666403</v>
      </c>
      <c r="H109" s="54">
        <v>25.840697</v>
      </c>
      <c r="I109" s="54">
        <v>-81.665599</v>
      </c>
      <c r="J109" s="13" t="s">
        <v>748</v>
      </c>
      <c r="K109" s="52" t="s">
        <v>750</v>
      </c>
      <c r="L109" s="13">
        <v>1.0</v>
      </c>
      <c r="M109" s="13">
        <v>25.841374</v>
      </c>
      <c r="N109" s="13">
        <v>-81.667323</v>
      </c>
      <c r="O109" s="13" t="s">
        <v>752</v>
      </c>
      <c r="P109" s="14" t="s">
        <v>753</v>
      </c>
    </row>
    <row r="110" ht="33.75" customHeight="1">
      <c r="A110" s="43">
        <v>42772.0</v>
      </c>
      <c r="B110" s="16" t="s">
        <v>672</v>
      </c>
      <c r="C110" s="16" t="s">
        <v>698</v>
      </c>
      <c r="D110" s="16" t="s">
        <v>745</v>
      </c>
      <c r="E110" s="16" t="s">
        <v>656</v>
      </c>
      <c r="F110" s="54">
        <v>25.843642</v>
      </c>
      <c r="G110" s="54">
        <v>-81.666403</v>
      </c>
      <c r="H110" s="54">
        <v>25.840697</v>
      </c>
      <c r="I110" s="54">
        <v>-81.665599</v>
      </c>
      <c r="J110" s="13" t="s">
        <v>748</v>
      </c>
      <c r="K110" s="52" t="s">
        <v>750</v>
      </c>
      <c r="L110" s="13">
        <v>2.0</v>
      </c>
      <c r="M110" s="13">
        <v>25.844614</v>
      </c>
      <c r="N110" s="13">
        <v>-81.665891</v>
      </c>
      <c r="O110" s="13" t="s">
        <v>758</v>
      </c>
      <c r="P110" s="14" t="s">
        <v>753</v>
      </c>
    </row>
    <row r="111" ht="33.75" customHeight="1">
      <c r="A111" s="50">
        <v>42772.0</v>
      </c>
      <c r="B111" s="16" t="s">
        <v>759</v>
      </c>
      <c r="C111" s="13" t="s">
        <v>760</v>
      </c>
      <c r="D111" s="16" t="s">
        <v>762</v>
      </c>
      <c r="E111" s="16" t="s">
        <v>656</v>
      </c>
      <c r="F111" s="16">
        <v>25.94723</v>
      </c>
      <c r="G111" s="16">
        <v>-81.743183</v>
      </c>
      <c r="H111" s="13">
        <v>25.96886</v>
      </c>
      <c r="I111" s="13">
        <v>-81.74356</v>
      </c>
      <c r="J111" s="13" t="s">
        <v>763</v>
      </c>
      <c r="K111" s="13" t="s">
        <v>764</v>
      </c>
      <c r="L111" s="13">
        <v>1.0</v>
      </c>
      <c r="M111" s="13">
        <v>25.96073</v>
      </c>
      <c r="N111" s="13">
        <v>-81.751983</v>
      </c>
      <c r="O111" s="13" t="s">
        <v>766</v>
      </c>
      <c r="P111" s="47"/>
    </row>
    <row r="112" ht="33.75" customHeight="1">
      <c r="A112" s="50">
        <v>42772.0</v>
      </c>
      <c r="B112" s="16" t="s">
        <v>759</v>
      </c>
      <c r="C112" s="13" t="s">
        <v>760</v>
      </c>
      <c r="D112" s="16" t="s">
        <v>762</v>
      </c>
      <c r="E112" s="16" t="s">
        <v>656</v>
      </c>
      <c r="F112" s="16">
        <v>25.94723</v>
      </c>
      <c r="G112" s="16">
        <v>-81.743183</v>
      </c>
      <c r="H112" s="13">
        <v>25.96886</v>
      </c>
      <c r="I112" s="13">
        <v>-81.74356</v>
      </c>
      <c r="J112" s="13" t="s">
        <v>763</v>
      </c>
      <c r="K112" s="13" t="s">
        <v>764</v>
      </c>
      <c r="L112" s="13">
        <v>2.0</v>
      </c>
      <c r="M112" s="13">
        <v>25.967083</v>
      </c>
      <c r="N112" s="13">
        <v>-81.7452</v>
      </c>
      <c r="O112" s="13" t="s">
        <v>769</v>
      </c>
      <c r="P112" s="47"/>
    </row>
    <row r="113" ht="33.75" customHeight="1">
      <c r="A113" s="43">
        <v>42773.0</v>
      </c>
      <c r="B113" s="16" t="s">
        <v>660</v>
      </c>
      <c r="C113" s="16" t="s">
        <v>662</v>
      </c>
      <c r="D113" s="16" t="s">
        <v>663</v>
      </c>
      <c r="E113" s="16" t="s">
        <v>656</v>
      </c>
      <c r="F113" s="16">
        <v>26.214286</v>
      </c>
      <c r="G113" s="13">
        <v>-81.817353</v>
      </c>
      <c r="H113" s="13">
        <v>26.220889</v>
      </c>
      <c r="I113" s="13">
        <v>-81.818662</v>
      </c>
      <c r="J113" s="13" t="s">
        <v>770</v>
      </c>
      <c r="K113" s="13" t="s">
        <v>771</v>
      </c>
      <c r="L113" s="13">
        <v>1.0</v>
      </c>
      <c r="M113" s="13">
        <v>26.219613</v>
      </c>
      <c r="N113" s="13">
        <v>-81.818313</v>
      </c>
      <c r="O113" s="13" t="s">
        <v>772</v>
      </c>
      <c r="P113" s="14" t="s">
        <v>773</v>
      </c>
    </row>
    <row r="114" ht="33.75" customHeight="1">
      <c r="A114" s="43">
        <v>42773.0</v>
      </c>
      <c r="B114" s="16" t="s">
        <v>672</v>
      </c>
      <c r="C114" s="16" t="s">
        <v>698</v>
      </c>
      <c r="D114" s="56" t="s">
        <v>775</v>
      </c>
      <c r="E114" s="56" t="s">
        <v>656</v>
      </c>
      <c r="F114" s="54">
        <v>25.989172</v>
      </c>
      <c r="G114" s="54">
        <v>-81.749735</v>
      </c>
      <c r="H114" s="54">
        <v>25.091804</v>
      </c>
      <c r="I114" s="54">
        <v>-81.801744</v>
      </c>
      <c r="J114" s="13" t="s">
        <v>776</v>
      </c>
      <c r="K114" s="13" t="s">
        <v>777</v>
      </c>
      <c r="L114" s="13">
        <v>1.0</v>
      </c>
      <c r="M114" s="13">
        <v>25.989713</v>
      </c>
      <c r="N114" s="13">
        <v>-81.751188</v>
      </c>
      <c r="O114" s="13" t="s">
        <v>779</v>
      </c>
      <c r="P114" s="47"/>
    </row>
    <row r="115" ht="33.75" customHeight="1">
      <c r="A115" s="11">
        <v>42769.0</v>
      </c>
      <c r="B115" s="13" t="s">
        <v>781</v>
      </c>
      <c r="C115" s="13" t="s">
        <v>782</v>
      </c>
      <c r="D115" s="13" t="s">
        <v>783</v>
      </c>
      <c r="E115" s="13" t="s">
        <v>535</v>
      </c>
      <c r="F115" s="13" t="s">
        <v>784</v>
      </c>
      <c r="G115" s="13" t="s">
        <v>785</v>
      </c>
      <c r="H115" s="13" t="s">
        <v>787</v>
      </c>
      <c r="I115" s="14" t="s">
        <v>788</v>
      </c>
      <c r="J115" s="13" t="s">
        <v>789</v>
      </c>
      <c r="K115" s="13" t="s">
        <v>790</v>
      </c>
      <c r="L115" s="13">
        <v>1.0</v>
      </c>
      <c r="M115" s="14" t="s">
        <v>791</v>
      </c>
      <c r="N115" s="14" t="s">
        <v>792</v>
      </c>
      <c r="O115" s="60" t="s">
        <v>793</v>
      </c>
      <c r="P115" s="13"/>
    </row>
    <row r="116" ht="33.75" customHeight="1">
      <c r="A116" s="11">
        <v>42769.0</v>
      </c>
      <c r="B116" s="13" t="s">
        <v>781</v>
      </c>
      <c r="C116" s="13" t="s">
        <v>782</v>
      </c>
      <c r="D116" s="13" t="s">
        <v>783</v>
      </c>
      <c r="E116" s="13" t="s">
        <v>535</v>
      </c>
      <c r="F116" s="13" t="s">
        <v>784</v>
      </c>
      <c r="G116" s="13" t="s">
        <v>785</v>
      </c>
      <c r="H116" s="13" t="s">
        <v>787</v>
      </c>
      <c r="I116" s="14" t="s">
        <v>788</v>
      </c>
      <c r="J116" s="13" t="s">
        <v>789</v>
      </c>
      <c r="K116" s="13" t="s">
        <v>790</v>
      </c>
      <c r="L116" s="13">
        <v>1.0</v>
      </c>
      <c r="M116" s="14" t="s">
        <v>791</v>
      </c>
      <c r="N116" s="14" t="s">
        <v>792</v>
      </c>
      <c r="O116" s="13" t="s">
        <v>797</v>
      </c>
      <c r="P116" s="13"/>
    </row>
    <row r="117" ht="33.75" customHeight="1">
      <c r="A117" s="11">
        <v>42769.0</v>
      </c>
      <c r="B117" s="13" t="s">
        <v>781</v>
      </c>
      <c r="C117" s="13" t="s">
        <v>782</v>
      </c>
      <c r="D117" s="13" t="s">
        <v>783</v>
      </c>
      <c r="E117" s="13" t="s">
        <v>535</v>
      </c>
      <c r="F117" s="13" t="s">
        <v>784</v>
      </c>
      <c r="G117" s="13" t="s">
        <v>785</v>
      </c>
      <c r="H117" s="13" t="s">
        <v>787</v>
      </c>
      <c r="I117" s="14" t="s">
        <v>788</v>
      </c>
      <c r="J117" s="13" t="s">
        <v>789</v>
      </c>
      <c r="K117" s="13" t="s">
        <v>790</v>
      </c>
      <c r="L117" s="13">
        <v>1.0</v>
      </c>
      <c r="M117" s="14" t="s">
        <v>791</v>
      </c>
      <c r="N117" s="14" t="s">
        <v>792</v>
      </c>
      <c r="O117" s="13" t="s">
        <v>798</v>
      </c>
      <c r="P117" s="13"/>
    </row>
    <row r="118" ht="33.75" customHeight="1">
      <c r="A118" s="11">
        <v>42769.0</v>
      </c>
      <c r="B118" s="13" t="s">
        <v>781</v>
      </c>
      <c r="C118" s="13" t="s">
        <v>782</v>
      </c>
      <c r="D118" s="13" t="s">
        <v>783</v>
      </c>
      <c r="E118" s="13" t="s">
        <v>535</v>
      </c>
      <c r="F118" s="13" t="s">
        <v>784</v>
      </c>
      <c r="G118" s="13" t="s">
        <v>785</v>
      </c>
      <c r="H118" s="13" t="s">
        <v>787</v>
      </c>
      <c r="I118" s="14" t="s">
        <v>788</v>
      </c>
      <c r="J118" s="13" t="s">
        <v>789</v>
      </c>
      <c r="K118" s="13" t="s">
        <v>790</v>
      </c>
      <c r="L118" s="13">
        <v>1.0</v>
      </c>
      <c r="M118" s="14" t="s">
        <v>791</v>
      </c>
      <c r="N118" s="14" t="s">
        <v>792</v>
      </c>
      <c r="O118" s="13" t="s">
        <v>800</v>
      </c>
      <c r="P118" s="13"/>
    </row>
    <row r="119" ht="33.75" customHeight="1">
      <c r="A119" s="11">
        <v>42769.0</v>
      </c>
      <c r="B119" s="13" t="s">
        <v>781</v>
      </c>
      <c r="C119" s="13" t="s">
        <v>782</v>
      </c>
      <c r="D119" s="13" t="s">
        <v>783</v>
      </c>
      <c r="E119" s="13" t="s">
        <v>535</v>
      </c>
      <c r="F119" s="13" t="s">
        <v>784</v>
      </c>
      <c r="G119" s="13" t="s">
        <v>785</v>
      </c>
      <c r="H119" s="13" t="s">
        <v>787</v>
      </c>
      <c r="I119" s="14" t="s">
        <v>788</v>
      </c>
      <c r="J119" s="13" t="s">
        <v>789</v>
      </c>
      <c r="K119" s="13" t="s">
        <v>790</v>
      </c>
      <c r="L119" s="13">
        <v>1.0</v>
      </c>
      <c r="M119" s="14" t="s">
        <v>791</v>
      </c>
      <c r="N119" s="14" t="s">
        <v>792</v>
      </c>
      <c r="O119" s="13" t="s">
        <v>803</v>
      </c>
      <c r="P119" s="13"/>
    </row>
    <row r="120" ht="33.75" customHeight="1">
      <c r="A120" s="11">
        <v>42769.0</v>
      </c>
      <c r="B120" s="13" t="s">
        <v>781</v>
      </c>
      <c r="C120" s="13" t="s">
        <v>782</v>
      </c>
      <c r="D120" s="13" t="s">
        <v>783</v>
      </c>
      <c r="E120" s="13" t="s">
        <v>535</v>
      </c>
      <c r="F120" s="13" t="s">
        <v>784</v>
      </c>
      <c r="G120" s="13" t="s">
        <v>785</v>
      </c>
      <c r="H120" s="13" t="s">
        <v>787</v>
      </c>
      <c r="I120" s="14" t="s">
        <v>788</v>
      </c>
      <c r="J120" s="13" t="s">
        <v>789</v>
      </c>
      <c r="K120" s="13" t="s">
        <v>790</v>
      </c>
      <c r="L120" s="13">
        <v>1.0</v>
      </c>
      <c r="M120" s="14" t="s">
        <v>791</v>
      </c>
      <c r="N120" s="14" t="s">
        <v>792</v>
      </c>
      <c r="O120" s="13" t="s">
        <v>805</v>
      </c>
      <c r="P120" s="13"/>
    </row>
    <row r="121" ht="33.75" customHeight="1">
      <c r="A121" s="11">
        <v>42769.0</v>
      </c>
      <c r="B121" s="13" t="s">
        <v>781</v>
      </c>
      <c r="C121" s="13" t="s">
        <v>782</v>
      </c>
      <c r="D121" s="13" t="s">
        <v>783</v>
      </c>
      <c r="E121" s="13" t="s">
        <v>535</v>
      </c>
      <c r="F121" s="13" t="s">
        <v>784</v>
      </c>
      <c r="G121" s="13" t="s">
        <v>785</v>
      </c>
      <c r="H121" s="13" t="s">
        <v>787</v>
      </c>
      <c r="I121" s="14" t="s">
        <v>788</v>
      </c>
      <c r="J121" s="13" t="s">
        <v>789</v>
      </c>
      <c r="K121" s="13" t="s">
        <v>790</v>
      </c>
      <c r="L121" s="13">
        <v>1.0</v>
      </c>
      <c r="M121" s="14" t="s">
        <v>791</v>
      </c>
      <c r="N121" s="14" t="s">
        <v>792</v>
      </c>
      <c r="O121" s="13" t="s">
        <v>806</v>
      </c>
      <c r="P121" s="13"/>
    </row>
    <row r="122" ht="33.75" customHeight="1">
      <c r="A122" s="11">
        <v>42769.0</v>
      </c>
      <c r="B122" s="13" t="s">
        <v>781</v>
      </c>
      <c r="C122" s="13" t="s">
        <v>782</v>
      </c>
      <c r="D122" s="13" t="s">
        <v>783</v>
      </c>
      <c r="E122" s="13" t="s">
        <v>535</v>
      </c>
      <c r="F122" s="13" t="s">
        <v>784</v>
      </c>
      <c r="G122" s="13" t="s">
        <v>785</v>
      </c>
      <c r="H122" s="13" t="s">
        <v>787</v>
      </c>
      <c r="I122" s="14" t="s">
        <v>788</v>
      </c>
      <c r="J122" s="13" t="s">
        <v>789</v>
      </c>
      <c r="K122" s="13" t="s">
        <v>790</v>
      </c>
      <c r="L122" s="13">
        <v>1.0</v>
      </c>
      <c r="M122" s="14" t="s">
        <v>791</v>
      </c>
      <c r="N122" s="14" t="s">
        <v>792</v>
      </c>
      <c r="O122" s="13" t="s">
        <v>808</v>
      </c>
      <c r="P122" s="13"/>
    </row>
    <row r="123" ht="33.75" customHeight="1">
      <c r="A123" s="41">
        <v>42769.0</v>
      </c>
      <c r="B123" s="16" t="s">
        <v>532</v>
      </c>
      <c r="C123" s="16" t="s">
        <v>533</v>
      </c>
      <c r="D123" s="16" t="s">
        <v>534</v>
      </c>
      <c r="E123" s="16" t="s">
        <v>535</v>
      </c>
      <c r="F123" s="16">
        <v>30.48762</v>
      </c>
      <c r="G123" s="16">
        <v>-81.41838</v>
      </c>
      <c r="H123" s="13">
        <v>30.48664</v>
      </c>
      <c r="I123" s="13">
        <v>-81.4255</v>
      </c>
      <c r="J123" s="13" t="s">
        <v>810</v>
      </c>
      <c r="K123" s="13" t="s">
        <v>811</v>
      </c>
      <c r="L123" s="13">
        <v>1.0</v>
      </c>
      <c r="M123" s="13">
        <v>30.48762</v>
      </c>
      <c r="N123" s="13">
        <v>-81.41838</v>
      </c>
      <c r="O123" s="13" t="s">
        <v>813</v>
      </c>
      <c r="P123" s="14" t="s">
        <v>814</v>
      </c>
    </row>
    <row r="124" ht="33.75" customHeight="1">
      <c r="A124" s="41">
        <v>42769.0</v>
      </c>
      <c r="B124" s="16" t="s">
        <v>532</v>
      </c>
      <c r="C124" s="16" t="s">
        <v>533</v>
      </c>
      <c r="D124" s="16" t="s">
        <v>534</v>
      </c>
      <c r="E124" s="16" t="s">
        <v>535</v>
      </c>
      <c r="F124" s="16">
        <v>30.48762</v>
      </c>
      <c r="G124" s="16">
        <v>-81.41838</v>
      </c>
      <c r="H124" s="13">
        <v>30.48664</v>
      </c>
      <c r="I124" s="13">
        <v>-81.4255</v>
      </c>
      <c r="J124" s="13" t="s">
        <v>810</v>
      </c>
      <c r="K124" s="13" t="s">
        <v>811</v>
      </c>
      <c r="L124" s="13">
        <v>2.0</v>
      </c>
      <c r="M124" s="13">
        <v>30.48815</v>
      </c>
      <c r="N124" s="13">
        <v>-81.41875</v>
      </c>
      <c r="O124" s="13" t="s">
        <v>818</v>
      </c>
      <c r="P124" s="14" t="s">
        <v>814</v>
      </c>
    </row>
    <row r="125" ht="33.75" customHeight="1">
      <c r="A125" s="41">
        <v>42769.0</v>
      </c>
      <c r="B125" s="16" t="s">
        <v>532</v>
      </c>
      <c r="C125" s="16" t="s">
        <v>533</v>
      </c>
      <c r="D125" s="16" t="s">
        <v>534</v>
      </c>
      <c r="E125" s="16" t="s">
        <v>535</v>
      </c>
      <c r="F125" s="16">
        <v>30.48762</v>
      </c>
      <c r="G125" s="16">
        <v>-81.41838</v>
      </c>
      <c r="H125" s="13">
        <v>30.48664</v>
      </c>
      <c r="I125" s="13">
        <v>-81.4255</v>
      </c>
      <c r="J125" s="13" t="s">
        <v>810</v>
      </c>
      <c r="K125" s="13" t="s">
        <v>811</v>
      </c>
      <c r="L125" s="13">
        <v>3.0</v>
      </c>
      <c r="M125" s="13">
        <v>30.48654</v>
      </c>
      <c r="N125" s="13">
        <v>-81.42046</v>
      </c>
      <c r="O125" s="13" t="s">
        <v>821</v>
      </c>
      <c r="P125" s="14" t="s">
        <v>822</v>
      </c>
    </row>
    <row r="126" ht="33.75" customHeight="1">
      <c r="A126" s="41">
        <v>42769.0</v>
      </c>
      <c r="B126" s="16" t="s">
        <v>532</v>
      </c>
      <c r="C126" s="16" t="s">
        <v>533</v>
      </c>
      <c r="D126" s="16" t="s">
        <v>534</v>
      </c>
      <c r="E126" s="16" t="s">
        <v>535</v>
      </c>
      <c r="F126" s="16">
        <v>30.48762</v>
      </c>
      <c r="G126" s="16">
        <v>-81.41838</v>
      </c>
      <c r="H126" s="13">
        <v>30.48664</v>
      </c>
      <c r="I126" s="13">
        <v>-81.4255</v>
      </c>
      <c r="J126" s="13" t="s">
        <v>810</v>
      </c>
      <c r="K126" s="13" t="s">
        <v>811</v>
      </c>
      <c r="L126" s="13">
        <v>4.0</v>
      </c>
      <c r="M126" s="13">
        <v>30.4866</v>
      </c>
      <c r="N126" s="13">
        <v>-81.4192</v>
      </c>
      <c r="O126" s="13" t="s">
        <v>827</v>
      </c>
      <c r="P126" s="14" t="s">
        <v>828</v>
      </c>
    </row>
    <row r="127" ht="33.75" customHeight="1">
      <c r="A127" s="41">
        <v>42769.0</v>
      </c>
      <c r="B127" s="16" t="s">
        <v>532</v>
      </c>
      <c r="C127" s="16" t="s">
        <v>533</v>
      </c>
      <c r="D127" s="16" t="s">
        <v>534</v>
      </c>
      <c r="E127" s="16" t="s">
        <v>535</v>
      </c>
      <c r="F127" s="16">
        <v>30.48762</v>
      </c>
      <c r="G127" s="16">
        <v>-81.41838</v>
      </c>
      <c r="H127" s="13">
        <v>30.48664</v>
      </c>
      <c r="I127" s="13">
        <v>-81.4255</v>
      </c>
      <c r="J127" s="13" t="s">
        <v>810</v>
      </c>
      <c r="K127" s="13" t="s">
        <v>811</v>
      </c>
      <c r="L127" s="13">
        <v>5.0</v>
      </c>
      <c r="M127" s="13">
        <v>30.48675</v>
      </c>
      <c r="N127" s="13">
        <v>-81.41898</v>
      </c>
      <c r="O127" s="13" t="s">
        <v>830</v>
      </c>
      <c r="P127" s="14" t="s">
        <v>831</v>
      </c>
    </row>
    <row r="128" ht="33.75" customHeight="1">
      <c r="A128" s="41">
        <v>42769.0</v>
      </c>
      <c r="B128" s="16" t="s">
        <v>532</v>
      </c>
      <c r="C128" s="16" t="s">
        <v>533</v>
      </c>
      <c r="D128" s="16" t="s">
        <v>832</v>
      </c>
      <c r="E128" s="16" t="s">
        <v>535</v>
      </c>
      <c r="F128" s="16">
        <v>30.48762</v>
      </c>
      <c r="G128" s="16">
        <v>-81.41838</v>
      </c>
      <c r="H128" s="13">
        <v>30.4296</v>
      </c>
      <c r="I128" s="13">
        <v>-81.41011</v>
      </c>
      <c r="J128" s="13" t="s">
        <v>833</v>
      </c>
      <c r="K128" s="13" t="s">
        <v>811</v>
      </c>
      <c r="L128" s="13">
        <v>1.0</v>
      </c>
      <c r="M128" s="13">
        <v>30.48612</v>
      </c>
      <c r="N128" s="13">
        <v>-81.41635</v>
      </c>
      <c r="O128" s="13" t="s">
        <v>818</v>
      </c>
      <c r="P128" s="14" t="s">
        <v>834</v>
      </c>
    </row>
    <row r="129" ht="33.75" customHeight="1">
      <c r="A129" s="41">
        <v>42769.0</v>
      </c>
      <c r="B129" s="16" t="s">
        <v>532</v>
      </c>
      <c r="C129" s="16" t="s">
        <v>533</v>
      </c>
      <c r="D129" s="16" t="s">
        <v>832</v>
      </c>
      <c r="E129" s="16" t="s">
        <v>535</v>
      </c>
      <c r="F129" s="16">
        <v>30.48762</v>
      </c>
      <c r="G129" s="16">
        <v>-81.41838</v>
      </c>
      <c r="H129" s="13">
        <v>30.4296</v>
      </c>
      <c r="I129" s="13">
        <v>-81.41011</v>
      </c>
      <c r="J129" s="13" t="s">
        <v>833</v>
      </c>
      <c r="K129" s="13" t="s">
        <v>811</v>
      </c>
      <c r="L129" s="13">
        <v>2.0</v>
      </c>
      <c r="M129" s="13">
        <v>30.48484</v>
      </c>
      <c r="N129" s="13">
        <v>-81.4151</v>
      </c>
      <c r="O129" s="13" t="s">
        <v>835</v>
      </c>
      <c r="P129" s="14" t="s">
        <v>836</v>
      </c>
    </row>
    <row r="130" ht="33.75" customHeight="1">
      <c r="A130" s="41">
        <v>42769.0</v>
      </c>
      <c r="B130" s="16" t="s">
        <v>532</v>
      </c>
      <c r="C130" s="16" t="s">
        <v>533</v>
      </c>
      <c r="D130" s="16" t="s">
        <v>832</v>
      </c>
      <c r="E130" s="16" t="s">
        <v>535</v>
      </c>
      <c r="F130" s="16">
        <v>30.48762</v>
      </c>
      <c r="G130" s="16">
        <v>-81.41838</v>
      </c>
      <c r="H130" s="13">
        <v>30.4296</v>
      </c>
      <c r="I130" s="13">
        <v>-81.41011</v>
      </c>
      <c r="J130" s="13" t="s">
        <v>833</v>
      </c>
      <c r="K130" s="13" t="s">
        <v>811</v>
      </c>
      <c r="L130" s="13">
        <v>3.0</v>
      </c>
      <c r="M130" s="13">
        <v>30.47965</v>
      </c>
      <c r="N130" s="13">
        <v>-81.41405</v>
      </c>
      <c r="O130" s="13" t="s">
        <v>838</v>
      </c>
      <c r="P130" s="14" t="s">
        <v>839</v>
      </c>
    </row>
    <row r="131" ht="33.75" customHeight="1">
      <c r="A131" s="41">
        <v>42769.0</v>
      </c>
      <c r="B131" s="16" t="s">
        <v>532</v>
      </c>
      <c r="C131" s="16" t="s">
        <v>533</v>
      </c>
      <c r="D131" s="16" t="s">
        <v>832</v>
      </c>
      <c r="E131" s="16" t="s">
        <v>535</v>
      </c>
      <c r="F131" s="16">
        <v>30.48762</v>
      </c>
      <c r="G131" s="16">
        <v>-81.41838</v>
      </c>
      <c r="H131" s="13">
        <v>30.4296</v>
      </c>
      <c r="I131" s="13">
        <v>-81.41011</v>
      </c>
      <c r="J131" s="13" t="s">
        <v>833</v>
      </c>
      <c r="K131" s="13" t="s">
        <v>811</v>
      </c>
      <c r="L131" s="13">
        <v>4.0</v>
      </c>
      <c r="M131" s="13">
        <v>30.4686</v>
      </c>
      <c r="N131" s="13">
        <v>-81.41208</v>
      </c>
      <c r="O131" s="13" t="s">
        <v>840</v>
      </c>
      <c r="P131" s="14" t="s">
        <v>834</v>
      </c>
    </row>
    <row r="132" ht="33.75" customHeight="1">
      <c r="A132" s="41">
        <v>42769.0</v>
      </c>
      <c r="B132" s="16" t="s">
        <v>532</v>
      </c>
      <c r="C132" s="16" t="s">
        <v>533</v>
      </c>
      <c r="D132" s="16" t="s">
        <v>832</v>
      </c>
      <c r="E132" s="16" t="s">
        <v>535</v>
      </c>
      <c r="F132" s="16">
        <v>30.48762</v>
      </c>
      <c r="G132" s="16">
        <v>-81.41838</v>
      </c>
      <c r="H132" s="13">
        <v>30.4296</v>
      </c>
      <c r="I132" s="13">
        <v>-81.41011</v>
      </c>
      <c r="J132" s="13" t="s">
        <v>833</v>
      </c>
      <c r="K132" s="13" t="s">
        <v>811</v>
      </c>
      <c r="L132" s="13">
        <v>5.0</v>
      </c>
      <c r="M132" s="13">
        <v>30.44361</v>
      </c>
      <c r="N132" s="13">
        <v>-81.40864</v>
      </c>
      <c r="O132" s="13" t="s">
        <v>841</v>
      </c>
      <c r="P132" s="14" t="s">
        <v>836</v>
      </c>
    </row>
    <row r="133" ht="33.75" customHeight="1">
      <c r="A133" s="41">
        <v>42769.0</v>
      </c>
      <c r="B133" s="16" t="s">
        <v>532</v>
      </c>
      <c r="C133" s="16" t="s">
        <v>533</v>
      </c>
      <c r="D133" s="16" t="s">
        <v>832</v>
      </c>
      <c r="E133" s="16" t="s">
        <v>535</v>
      </c>
      <c r="F133" s="16">
        <v>30.48762</v>
      </c>
      <c r="G133" s="16">
        <v>-81.41838</v>
      </c>
      <c r="H133" s="13">
        <v>30.4296</v>
      </c>
      <c r="I133" s="13">
        <v>-81.41011</v>
      </c>
      <c r="J133" s="13" t="s">
        <v>833</v>
      </c>
      <c r="K133" s="13" t="s">
        <v>811</v>
      </c>
      <c r="L133" s="13">
        <v>6.0</v>
      </c>
      <c r="M133" s="13">
        <v>30.44361</v>
      </c>
      <c r="N133" s="13">
        <v>-81.40864</v>
      </c>
      <c r="O133" s="13" t="s">
        <v>842</v>
      </c>
      <c r="P133" s="14" t="s">
        <v>843</v>
      </c>
    </row>
    <row r="134" ht="33.75" customHeight="1">
      <c r="A134" s="41">
        <v>42769.0</v>
      </c>
      <c r="B134" s="16" t="s">
        <v>532</v>
      </c>
      <c r="C134" s="16" t="s">
        <v>533</v>
      </c>
      <c r="D134" s="16" t="s">
        <v>832</v>
      </c>
      <c r="E134" s="16" t="s">
        <v>535</v>
      </c>
      <c r="F134" s="16">
        <v>30.48762</v>
      </c>
      <c r="G134" s="16">
        <v>-81.41838</v>
      </c>
      <c r="H134" s="13">
        <v>30.4296</v>
      </c>
      <c r="I134" s="13">
        <v>-81.41011</v>
      </c>
      <c r="J134" s="13" t="s">
        <v>833</v>
      </c>
      <c r="K134" s="13" t="s">
        <v>811</v>
      </c>
      <c r="L134" s="13">
        <v>7.0</v>
      </c>
      <c r="M134" s="13">
        <v>30.44268</v>
      </c>
      <c r="N134" s="13">
        <v>-81.40849</v>
      </c>
      <c r="O134" s="13" t="s">
        <v>844</v>
      </c>
      <c r="P134" s="14" t="s">
        <v>845</v>
      </c>
    </row>
    <row r="135" ht="33.75" customHeight="1">
      <c r="A135" s="41">
        <v>42769.0</v>
      </c>
      <c r="B135" s="16" t="s">
        <v>532</v>
      </c>
      <c r="C135" s="16" t="s">
        <v>533</v>
      </c>
      <c r="D135" s="16" t="s">
        <v>832</v>
      </c>
      <c r="E135" s="16" t="s">
        <v>535</v>
      </c>
      <c r="F135" s="16">
        <v>30.48762</v>
      </c>
      <c r="G135" s="16">
        <v>-81.41838</v>
      </c>
      <c r="H135" s="13">
        <v>30.4296</v>
      </c>
      <c r="I135" s="13">
        <v>-81.41011</v>
      </c>
      <c r="J135" s="13" t="s">
        <v>833</v>
      </c>
      <c r="K135" s="13" t="s">
        <v>811</v>
      </c>
      <c r="L135" s="13">
        <v>8.0</v>
      </c>
      <c r="M135" s="13">
        <v>30.44045</v>
      </c>
      <c r="N135" s="13">
        <v>-81.40806</v>
      </c>
      <c r="O135" s="13" t="s">
        <v>850</v>
      </c>
      <c r="P135" s="14" t="s">
        <v>834</v>
      </c>
    </row>
    <row r="136" ht="33.75" customHeight="1">
      <c r="A136" s="41">
        <v>42769.0</v>
      </c>
      <c r="B136" s="16" t="s">
        <v>532</v>
      </c>
      <c r="C136" s="16" t="s">
        <v>533</v>
      </c>
      <c r="D136" s="16" t="s">
        <v>832</v>
      </c>
      <c r="E136" s="16" t="s">
        <v>535</v>
      </c>
      <c r="F136" s="16">
        <v>30.48762</v>
      </c>
      <c r="G136" s="16">
        <v>-81.41838</v>
      </c>
      <c r="H136" s="13">
        <v>30.4296</v>
      </c>
      <c r="I136" s="13">
        <v>-81.41011</v>
      </c>
      <c r="J136" s="13" t="s">
        <v>833</v>
      </c>
      <c r="K136" s="13" t="s">
        <v>811</v>
      </c>
      <c r="L136" s="13">
        <v>9.0</v>
      </c>
      <c r="M136" s="13">
        <v>30.43427</v>
      </c>
      <c r="N136" s="13">
        <v>-81.40656</v>
      </c>
      <c r="O136" s="13" t="s">
        <v>852</v>
      </c>
      <c r="P136" s="14" t="s">
        <v>853</v>
      </c>
    </row>
    <row r="137" ht="33.75" customHeight="1">
      <c r="A137" s="41">
        <v>42769.0</v>
      </c>
      <c r="B137" s="16" t="s">
        <v>532</v>
      </c>
      <c r="C137" s="16" t="s">
        <v>533</v>
      </c>
      <c r="D137" s="16" t="s">
        <v>832</v>
      </c>
      <c r="E137" s="16" t="s">
        <v>535</v>
      </c>
      <c r="F137" s="16">
        <v>30.48762</v>
      </c>
      <c r="G137" s="16">
        <v>-81.41838</v>
      </c>
      <c r="H137" s="13">
        <v>30.4296</v>
      </c>
      <c r="I137" s="13">
        <v>-81.41011</v>
      </c>
      <c r="J137" s="13" t="s">
        <v>833</v>
      </c>
      <c r="K137" s="13" t="s">
        <v>811</v>
      </c>
      <c r="L137" s="13">
        <v>10.0</v>
      </c>
      <c r="M137" s="13">
        <v>30.43427</v>
      </c>
      <c r="N137" s="13">
        <v>-81.40656</v>
      </c>
      <c r="O137" s="13" t="s">
        <v>854</v>
      </c>
      <c r="P137" s="14" t="s">
        <v>855</v>
      </c>
    </row>
    <row r="138" ht="33.75" customHeight="1">
      <c r="A138" s="41">
        <v>42769.0</v>
      </c>
      <c r="B138" s="16" t="s">
        <v>532</v>
      </c>
      <c r="C138" s="16" t="s">
        <v>533</v>
      </c>
      <c r="D138" s="16" t="s">
        <v>832</v>
      </c>
      <c r="E138" s="16" t="s">
        <v>535</v>
      </c>
      <c r="F138" s="16">
        <v>30.48762</v>
      </c>
      <c r="G138" s="16">
        <v>-81.41838</v>
      </c>
      <c r="H138" s="13">
        <v>30.4296</v>
      </c>
      <c r="I138" s="13">
        <v>-81.41011</v>
      </c>
      <c r="J138" s="13" t="s">
        <v>833</v>
      </c>
      <c r="K138" s="13" t="s">
        <v>811</v>
      </c>
      <c r="L138" s="13">
        <v>11.0</v>
      </c>
      <c r="M138" s="13">
        <v>30.43229</v>
      </c>
      <c r="N138" s="13">
        <v>-81.40676</v>
      </c>
      <c r="O138" s="13" t="s">
        <v>858</v>
      </c>
      <c r="P138" s="14" t="s">
        <v>859</v>
      </c>
    </row>
    <row r="139" ht="33.75" customHeight="1">
      <c r="A139" s="41">
        <v>42769.0</v>
      </c>
      <c r="B139" s="16" t="s">
        <v>846</v>
      </c>
      <c r="C139" s="16" t="s">
        <v>847</v>
      </c>
      <c r="D139" s="16" t="s">
        <v>848</v>
      </c>
      <c r="E139" s="16" t="s">
        <v>535</v>
      </c>
      <c r="F139" s="16">
        <v>30.512914</v>
      </c>
      <c r="G139" s="16">
        <v>-81.4588</v>
      </c>
      <c r="H139" s="13">
        <v>30.502887</v>
      </c>
      <c r="I139" s="13">
        <v>-81.449429</v>
      </c>
      <c r="J139" s="13" t="s">
        <v>849</v>
      </c>
      <c r="K139" s="13" t="s">
        <v>851</v>
      </c>
      <c r="L139" s="13">
        <v>1.0</v>
      </c>
      <c r="M139" s="13">
        <v>30.5097</v>
      </c>
      <c r="N139" s="13">
        <v>-81.4549</v>
      </c>
      <c r="O139" s="13" t="s">
        <v>861</v>
      </c>
      <c r="P139" s="14" t="s">
        <v>862</v>
      </c>
    </row>
    <row r="140" ht="33.75" customHeight="1">
      <c r="A140" s="41">
        <v>42769.0</v>
      </c>
      <c r="B140" s="16" t="s">
        <v>846</v>
      </c>
      <c r="C140" s="16" t="s">
        <v>847</v>
      </c>
      <c r="D140" s="16" t="s">
        <v>856</v>
      </c>
      <c r="E140" s="16" t="s">
        <v>535</v>
      </c>
      <c r="F140" s="16">
        <v>30.494025</v>
      </c>
      <c r="G140" s="16">
        <v>-81.438439</v>
      </c>
      <c r="H140" s="13">
        <v>30.485106</v>
      </c>
      <c r="I140" s="13">
        <v>-81.430301</v>
      </c>
      <c r="J140" s="13" t="s">
        <v>857</v>
      </c>
      <c r="K140" s="13" t="s">
        <v>851</v>
      </c>
      <c r="L140" s="13"/>
      <c r="M140" s="13"/>
      <c r="N140" s="13"/>
      <c r="O140" s="13"/>
      <c r="P140" s="14" t="s">
        <v>866</v>
      </c>
    </row>
    <row r="141" ht="33.75" customHeight="1">
      <c r="A141" s="41">
        <v>42773.0</v>
      </c>
      <c r="B141" s="16" t="s">
        <v>865</v>
      </c>
      <c r="C141" s="16" t="s">
        <v>533</v>
      </c>
      <c r="D141" s="16" t="s">
        <v>870</v>
      </c>
      <c r="E141" s="16" t="s">
        <v>535</v>
      </c>
      <c r="F141" s="16">
        <v>30.511172</v>
      </c>
      <c r="G141" s="16">
        <v>-81.45738</v>
      </c>
      <c r="H141" s="13">
        <v>30.50488</v>
      </c>
      <c r="I141" s="13">
        <v>-81.45498</v>
      </c>
      <c r="J141" s="13" t="s">
        <v>868</v>
      </c>
      <c r="K141" s="13" t="s">
        <v>869</v>
      </c>
      <c r="L141" s="13"/>
      <c r="M141" s="13"/>
      <c r="N141" s="13"/>
      <c r="O141" s="13"/>
      <c r="P141" s="14" t="s">
        <v>872</v>
      </c>
    </row>
    <row r="142" ht="33.75" customHeight="1">
      <c r="A142" s="41">
        <v>42774.0</v>
      </c>
      <c r="B142" s="16" t="s">
        <v>873</v>
      </c>
      <c r="C142" s="16" t="s">
        <v>874</v>
      </c>
      <c r="D142" s="16" t="s">
        <v>875</v>
      </c>
      <c r="E142" s="16" t="s">
        <v>535</v>
      </c>
      <c r="F142" s="16">
        <v>30.4071</v>
      </c>
      <c r="G142" s="16">
        <v>-81.527</v>
      </c>
      <c r="H142" s="13">
        <v>30.4137</v>
      </c>
      <c r="I142" s="13">
        <v>-81.532</v>
      </c>
      <c r="J142" s="13" t="s">
        <v>878</v>
      </c>
      <c r="K142" s="13" t="s">
        <v>879</v>
      </c>
      <c r="L142" s="13">
        <v>0.0</v>
      </c>
      <c r="M142" s="13"/>
      <c r="N142" s="13"/>
      <c r="O142" s="13"/>
      <c r="P142" s="47"/>
    </row>
    <row r="143" ht="33.75" customHeight="1">
      <c r="A143" s="41">
        <v>42774.0</v>
      </c>
      <c r="B143" s="16" t="s">
        <v>873</v>
      </c>
      <c r="C143" s="16" t="s">
        <v>874</v>
      </c>
      <c r="D143" s="16" t="s">
        <v>882</v>
      </c>
      <c r="E143" s="16" t="s">
        <v>535</v>
      </c>
      <c r="F143" s="16">
        <v>30.4098</v>
      </c>
      <c r="G143" s="16">
        <v>-81.5323</v>
      </c>
      <c r="H143" s="13">
        <v>30.4082</v>
      </c>
      <c r="I143" s="13">
        <v>-81.5277</v>
      </c>
      <c r="J143" s="13" t="s">
        <v>883</v>
      </c>
      <c r="K143" s="13" t="s">
        <v>879</v>
      </c>
      <c r="L143" s="13">
        <v>0.0</v>
      </c>
      <c r="M143" s="13"/>
      <c r="N143" s="13"/>
      <c r="O143" s="13"/>
      <c r="P143" s="47"/>
    </row>
    <row r="144" ht="33.75" customHeight="1">
      <c r="A144" s="41">
        <v>42774.0</v>
      </c>
      <c r="B144" s="16" t="s">
        <v>873</v>
      </c>
      <c r="C144" s="16" t="s">
        <v>874</v>
      </c>
      <c r="D144" s="16" t="s">
        <v>887</v>
      </c>
      <c r="E144" s="16" t="s">
        <v>535</v>
      </c>
      <c r="F144" s="16">
        <v>30.4054</v>
      </c>
      <c r="G144" s="16">
        <v>-81.5057</v>
      </c>
      <c r="H144" s="13">
        <v>30.3992</v>
      </c>
      <c r="I144" s="13">
        <v>-81.4936</v>
      </c>
      <c r="J144" s="13" t="s">
        <v>888</v>
      </c>
      <c r="K144" s="13" t="s">
        <v>879</v>
      </c>
      <c r="L144" s="13">
        <v>0.0</v>
      </c>
      <c r="M144" s="13"/>
      <c r="N144" s="13"/>
      <c r="O144" s="13"/>
      <c r="P144" s="47"/>
    </row>
    <row r="145" ht="33.75" customHeight="1">
      <c r="A145" s="41">
        <v>42774.0</v>
      </c>
      <c r="B145" s="16" t="s">
        <v>873</v>
      </c>
      <c r="C145" s="16" t="s">
        <v>874</v>
      </c>
      <c r="D145" s="16" t="s">
        <v>895</v>
      </c>
      <c r="E145" s="16" t="s">
        <v>535</v>
      </c>
      <c r="F145" s="16">
        <v>30.4054</v>
      </c>
      <c r="G145" s="16">
        <v>-81.5057</v>
      </c>
      <c r="H145" s="13">
        <v>30.4047</v>
      </c>
      <c r="I145" s="13">
        <v>-81.5056</v>
      </c>
      <c r="J145" s="13" t="s">
        <v>897</v>
      </c>
      <c r="K145" s="13" t="s">
        <v>879</v>
      </c>
      <c r="L145" s="13">
        <v>1.0</v>
      </c>
      <c r="M145" s="13">
        <v>30.4037</v>
      </c>
      <c r="N145" s="13">
        <v>-81.504644</v>
      </c>
      <c r="O145" s="13" t="s">
        <v>898</v>
      </c>
      <c r="P145" s="14" t="s">
        <v>900</v>
      </c>
    </row>
    <row r="146" ht="33.75" customHeight="1">
      <c r="A146" s="41">
        <v>42774.0</v>
      </c>
      <c r="B146" s="16" t="s">
        <v>873</v>
      </c>
      <c r="C146" s="16" t="s">
        <v>874</v>
      </c>
      <c r="D146" s="16" t="s">
        <v>901</v>
      </c>
      <c r="E146" s="16" t="s">
        <v>535</v>
      </c>
      <c r="F146" s="16">
        <v>30.4054</v>
      </c>
      <c r="G146" s="16">
        <v>-81.5057</v>
      </c>
      <c r="H146" s="13">
        <v>30.4047</v>
      </c>
      <c r="I146" s="13">
        <v>-81.5056</v>
      </c>
      <c r="J146" s="13" t="s">
        <v>897</v>
      </c>
      <c r="K146" s="13" t="s">
        <v>879</v>
      </c>
      <c r="L146" s="13">
        <v>2.0</v>
      </c>
      <c r="M146" s="13">
        <v>30.40108</v>
      </c>
      <c r="N146" s="13">
        <v>-81.496081</v>
      </c>
      <c r="O146" s="13" t="s">
        <v>904</v>
      </c>
      <c r="P146" s="47"/>
    </row>
    <row r="147" ht="33.75" customHeight="1">
      <c r="A147" s="41">
        <v>42774.0</v>
      </c>
      <c r="B147" s="16" t="s">
        <v>873</v>
      </c>
      <c r="C147" s="16" t="s">
        <v>874</v>
      </c>
      <c r="D147" s="16" t="s">
        <v>907</v>
      </c>
      <c r="E147" s="16" t="s">
        <v>535</v>
      </c>
      <c r="F147" s="16">
        <v>30.3918</v>
      </c>
      <c r="G147" s="16">
        <v>-81.5249</v>
      </c>
      <c r="H147" s="13">
        <v>30.3929</v>
      </c>
      <c r="I147" s="13">
        <v>-81.5177</v>
      </c>
      <c r="J147" s="13" t="s">
        <v>909</v>
      </c>
      <c r="K147" s="13" t="s">
        <v>879</v>
      </c>
      <c r="L147" s="13">
        <v>0.0</v>
      </c>
      <c r="P147" s="47"/>
    </row>
    <row r="148" ht="33.75" customHeight="1">
      <c r="A148" s="41">
        <v>42774.0</v>
      </c>
      <c r="B148" s="16" t="s">
        <v>873</v>
      </c>
      <c r="C148" s="16" t="s">
        <v>874</v>
      </c>
      <c r="D148" s="16" t="s">
        <v>910</v>
      </c>
      <c r="E148" s="16" t="s">
        <v>535</v>
      </c>
      <c r="F148" s="16">
        <v>30.399</v>
      </c>
      <c r="G148" s="16">
        <v>-81.5167</v>
      </c>
      <c r="H148" s="13">
        <v>30.4014</v>
      </c>
      <c r="I148" s="13">
        <v>-81.5159</v>
      </c>
      <c r="J148" s="13" t="s">
        <v>912</v>
      </c>
      <c r="K148" s="13" t="s">
        <v>879</v>
      </c>
      <c r="L148" s="13">
        <v>0.0</v>
      </c>
      <c r="P148" s="47"/>
    </row>
    <row r="149" ht="33.75" customHeight="1">
      <c r="A149" s="41">
        <v>42774.0</v>
      </c>
      <c r="B149" s="16" t="s">
        <v>873</v>
      </c>
      <c r="C149" s="16" t="s">
        <v>874</v>
      </c>
      <c r="D149" s="16" t="s">
        <v>914</v>
      </c>
      <c r="E149" s="16" t="s">
        <v>535</v>
      </c>
      <c r="F149" s="16">
        <v>30.3977</v>
      </c>
      <c r="G149" s="16">
        <v>-81.5171</v>
      </c>
      <c r="H149" s="13">
        <v>30.4076</v>
      </c>
      <c r="I149" s="13">
        <v>-81.5217</v>
      </c>
      <c r="J149" s="13" t="s">
        <v>915</v>
      </c>
      <c r="K149" s="13" t="s">
        <v>879</v>
      </c>
      <c r="L149" s="13">
        <v>0.0</v>
      </c>
      <c r="P149" s="47"/>
    </row>
    <row r="150" ht="33.75" customHeight="1">
      <c r="A150" s="50">
        <v>42775.0</v>
      </c>
      <c r="B150" s="16" t="s">
        <v>918</v>
      </c>
      <c r="C150" s="16" t="s">
        <v>919</v>
      </c>
      <c r="D150" s="16" t="s">
        <v>920</v>
      </c>
      <c r="E150" s="16" t="s">
        <v>535</v>
      </c>
      <c r="F150" s="16">
        <v>30.3971</v>
      </c>
      <c r="G150" s="16">
        <v>30.3971</v>
      </c>
      <c r="H150" s="16">
        <v>30.3971</v>
      </c>
      <c r="I150" s="16">
        <v>30.3971</v>
      </c>
      <c r="J150" s="16">
        <v>30.3971</v>
      </c>
      <c r="K150" s="16">
        <v>30.3971</v>
      </c>
      <c r="L150" s="13">
        <v>1.0</v>
      </c>
      <c r="M150" s="13">
        <v>30.3971</v>
      </c>
      <c r="N150" s="13">
        <v>-81.3911</v>
      </c>
      <c r="O150" s="13" t="s">
        <v>922</v>
      </c>
      <c r="P150" s="14" t="s">
        <v>923</v>
      </c>
    </row>
    <row r="151" ht="33.75" customHeight="1">
      <c r="A151" s="50">
        <v>42775.0</v>
      </c>
      <c r="B151" s="16" t="s">
        <v>918</v>
      </c>
      <c r="C151" s="16" t="s">
        <v>919</v>
      </c>
      <c r="D151" s="16" t="s">
        <v>920</v>
      </c>
      <c r="E151" s="16" t="s">
        <v>535</v>
      </c>
      <c r="F151" s="16">
        <v>30.3971</v>
      </c>
      <c r="G151" s="16">
        <v>30.3971</v>
      </c>
      <c r="H151" s="16">
        <v>30.3971</v>
      </c>
      <c r="I151" s="16">
        <v>30.3971</v>
      </c>
      <c r="J151" s="16">
        <v>30.3971</v>
      </c>
      <c r="K151" s="16">
        <v>30.3971</v>
      </c>
      <c r="L151" s="13">
        <v>2.0</v>
      </c>
      <c r="M151" s="13">
        <v>30.3817</v>
      </c>
      <c r="N151" s="13">
        <v>-81.3968</v>
      </c>
      <c r="O151" s="13" t="s">
        <v>926</v>
      </c>
      <c r="P151" s="14" t="s">
        <v>927</v>
      </c>
    </row>
    <row r="152" ht="33.75" customHeight="1">
      <c r="A152" s="50">
        <v>42775.0</v>
      </c>
      <c r="B152" s="16" t="s">
        <v>918</v>
      </c>
      <c r="C152" s="16" t="s">
        <v>919</v>
      </c>
      <c r="D152" s="16" t="s">
        <v>920</v>
      </c>
      <c r="E152" s="16" t="s">
        <v>535</v>
      </c>
      <c r="F152" s="16">
        <v>30.3971</v>
      </c>
      <c r="G152" s="16">
        <v>30.3971</v>
      </c>
      <c r="H152" s="16">
        <v>30.3971</v>
      </c>
      <c r="I152" s="16">
        <v>30.3971</v>
      </c>
      <c r="J152" s="16">
        <v>30.3971</v>
      </c>
      <c r="K152" s="16">
        <v>30.3971</v>
      </c>
      <c r="L152" s="13">
        <v>3.0</v>
      </c>
      <c r="M152" s="13">
        <v>30.3594</v>
      </c>
      <c r="N152" s="13">
        <v>-81.3967</v>
      </c>
      <c r="O152" s="13" t="s">
        <v>930</v>
      </c>
      <c r="P152" s="14" t="s">
        <v>931</v>
      </c>
    </row>
    <row r="153" ht="33.75" customHeight="1">
      <c r="A153" s="50">
        <v>42775.0</v>
      </c>
      <c r="B153" s="16" t="s">
        <v>918</v>
      </c>
      <c r="C153" s="16" t="s">
        <v>919</v>
      </c>
      <c r="D153" s="16" t="s">
        <v>920</v>
      </c>
      <c r="E153" s="16" t="s">
        <v>535</v>
      </c>
      <c r="F153" s="16">
        <v>30.3971</v>
      </c>
      <c r="G153" s="16">
        <v>30.3971</v>
      </c>
      <c r="H153" s="16">
        <v>30.3971</v>
      </c>
      <c r="I153" s="16">
        <v>30.3971</v>
      </c>
      <c r="J153" s="16">
        <v>30.3971</v>
      </c>
      <c r="K153" s="16">
        <v>30.3971</v>
      </c>
      <c r="L153" s="13">
        <v>4.0</v>
      </c>
      <c r="M153" s="13">
        <v>30.3252</v>
      </c>
      <c r="N153" s="13">
        <v>-81.3944</v>
      </c>
      <c r="O153" s="13" t="s">
        <v>938</v>
      </c>
      <c r="P153" s="14" t="s">
        <v>939</v>
      </c>
    </row>
    <row r="154" ht="33.75" customHeight="1">
      <c r="A154" s="50">
        <v>42775.0</v>
      </c>
      <c r="B154" s="16" t="s">
        <v>918</v>
      </c>
      <c r="C154" s="16" t="s">
        <v>919</v>
      </c>
      <c r="D154" s="16" t="s">
        <v>920</v>
      </c>
      <c r="E154" s="16" t="s">
        <v>535</v>
      </c>
      <c r="F154" s="16">
        <v>30.3971</v>
      </c>
      <c r="G154" s="16">
        <v>30.3971</v>
      </c>
      <c r="H154" s="16">
        <v>30.3971</v>
      </c>
      <c r="I154" s="16">
        <v>30.3971</v>
      </c>
      <c r="J154" s="16">
        <v>30.3971</v>
      </c>
      <c r="K154" s="16">
        <v>30.3971</v>
      </c>
      <c r="L154" s="13">
        <v>5.0</v>
      </c>
      <c r="M154" s="13">
        <v>30.3244</v>
      </c>
      <c r="N154" s="13">
        <v>-81.3944</v>
      </c>
      <c r="O154" s="13" t="s">
        <v>941</v>
      </c>
      <c r="P154" s="14" t="s">
        <v>942</v>
      </c>
    </row>
    <row r="155" ht="33.75" customHeight="1">
      <c r="A155" s="50">
        <v>42775.0</v>
      </c>
      <c r="B155" s="16" t="s">
        <v>918</v>
      </c>
      <c r="C155" s="16" t="s">
        <v>919</v>
      </c>
      <c r="D155" s="16" t="s">
        <v>920</v>
      </c>
      <c r="E155" s="16" t="s">
        <v>535</v>
      </c>
      <c r="F155" s="16">
        <v>30.3971</v>
      </c>
      <c r="G155" s="16">
        <v>30.3971</v>
      </c>
      <c r="H155" s="16">
        <v>30.3971</v>
      </c>
      <c r="I155" s="16">
        <v>30.3971</v>
      </c>
      <c r="J155" s="16">
        <v>30.3971</v>
      </c>
      <c r="K155" s="16">
        <v>30.3971</v>
      </c>
      <c r="L155" s="13">
        <v>6.0</v>
      </c>
      <c r="M155" s="13">
        <v>30.3809</v>
      </c>
      <c r="N155" s="13">
        <v>-81.5106</v>
      </c>
      <c r="O155" s="13" t="s">
        <v>944</v>
      </c>
      <c r="P155" s="14" t="s">
        <v>945</v>
      </c>
    </row>
    <row r="156" ht="33.75" customHeight="1">
      <c r="A156" s="41">
        <v>42772.0</v>
      </c>
      <c r="B156" s="16" t="s">
        <v>139</v>
      </c>
      <c r="C156" s="16" t="s">
        <v>250</v>
      </c>
      <c r="D156" s="16" t="s">
        <v>946</v>
      </c>
      <c r="E156" s="16" t="s">
        <v>826</v>
      </c>
      <c r="F156" s="16">
        <v>30.31508</v>
      </c>
      <c r="G156" s="16">
        <v>-87.40173</v>
      </c>
      <c r="H156" s="13">
        <v>30.31064</v>
      </c>
      <c r="I156" s="13">
        <v>-87.405</v>
      </c>
      <c r="J156" s="13" t="s">
        <v>947</v>
      </c>
      <c r="K156" s="13" t="s">
        <v>948</v>
      </c>
      <c r="L156" s="13">
        <v>1.0</v>
      </c>
      <c r="M156" s="13">
        <v>30.30946</v>
      </c>
      <c r="N156" s="13">
        <v>-87.402521</v>
      </c>
      <c r="O156" s="13" t="s">
        <v>949</v>
      </c>
      <c r="P156" s="14" t="s">
        <v>950</v>
      </c>
    </row>
    <row r="157" ht="33.75" customHeight="1">
      <c r="A157" s="41">
        <v>42772.0</v>
      </c>
      <c r="B157" s="16" t="s">
        <v>876</v>
      </c>
      <c r="C157" s="16" t="s">
        <v>514</v>
      </c>
      <c r="D157" s="13" t="s">
        <v>877</v>
      </c>
      <c r="E157" s="16" t="s">
        <v>826</v>
      </c>
      <c r="F157" s="16">
        <v>30.33168</v>
      </c>
      <c r="G157" s="16">
        <v>-87.30089</v>
      </c>
      <c r="H157" s="13">
        <v>30.327083</v>
      </c>
      <c r="I157" s="13">
        <v>-87.1812</v>
      </c>
      <c r="J157" s="13" t="s">
        <v>952</v>
      </c>
      <c r="K157" s="13" t="s">
        <v>953</v>
      </c>
      <c r="L157" s="13">
        <v>1.0</v>
      </c>
      <c r="M157" s="13">
        <v>30.31717</v>
      </c>
      <c r="N157" s="13">
        <v>-87.25518</v>
      </c>
      <c r="O157" s="13" t="s">
        <v>954</v>
      </c>
      <c r="P157" s="14"/>
    </row>
    <row r="158" ht="33.75" customHeight="1">
      <c r="A158" s="41">
        <v>42772.0</v>
      </c>
      <c r="B158" s="16" t="s">
        <v>876</v>
      </c>
      <c r="C158" s="16" t="s">
        <v>514</v>
      </c>
      <c r="D158" s="13" t="s">
        <v>877</v>
      </c>
      <c r="E158" s="16" t="s">
        <v>826</v>
      </c>
      <c r="F158" s="16">
        <v>30.33168</v>
      </c>
      <c r="G158" s="16">
        <v>-87.30089</v>
      </c>
      <c r="H158" s="13">
        <v>30.327083</v>
      </c>
      <c r="I158" s="13">
        <v>-87.1812</v>
      </c>
      <c r="J158" s="13" t="s">
        <v>952</v>
      </c>
      <c r="K158" s="13" t="s">
        <v>953</v>
      </c>
      <c r="L158" s="13">
        <v>2.0</v>
      </c>
      <c r="M158" s="13">
        <v>30.31799</v>
      </c>
      <c r="N158" s="13">
        <v>-87.24228</v>
      </c>
      <c r="O158" s="13" t="s">
        <v>956</v>
      </c>
      <c r="P158" s="14" t="s">
        <v>957</v>
      </c>
    </row>
    <row r="159" ht="33.75" customHeight="1">
      <c r="A159" s="41">
        <v>42772.0</v>
      </c>
      <c r="B159" s="16" t="s">
        <v>876</v>
      </c>
      <c r="C159" s="16" t="s">
        <v>514</v>
      </c>
      <c r="D159" s="13" t="s">
        <v>877</v>
      </c>
      <c r="E159" s="16" t="s">
        <v>826</v>
      </c>
      <c r="F159" s="16">
        <v>30.33168</v>
      </c>
      <c r="G159" s="16">
        <v>-87.30089</v>
      </c>
      <c r="H159" s="13">
        <v>30.327083</v>
      </c>
      <c r="I159" s="13">
        <v>-87.1812</v>
      </c>
      <c r="J159" s="13" t="s">
        <v>952</v>
      </c>
      <c r="K159" s="13" t="s">
        <v>953</v>
      </c>
      <c r="L159" s="13">
        <v>3.0</v>
      </c>
      <c r="M159" s="13">
        <v>30.32076</v>
      </c>
      <c r="N159" s="13">
        <v>-87.21565</v>
      </c>
      <c r="O159" s="13" t="s">
        <v>261</v>
      </c>
      <c r="P159" s="14" t="s">
        <v>125</v>
      </c>
    </row>
    <row r="160" ht="33.75" customHeight="1">
      <c r="A160" s="41">
        <v>42772.0</v>
      </c>
      <c r="B160" s="16" t="s">
        <v>876</v>
      </c>
      <c r="C160" s="16" t="s">
        <v>514</v>
      </c>
      <c r="D160" s="13" t="s">
        <v>877</v>
      </c>
      <c r="E160" s="16" t="s">
        <v>826</v>
      </c>
      <c r="F160" s="16">
        <v>30.33168</v>
      </c>
      <c r="G160" s="16">
        <v>-87.30089</v>
      </c>
      <c r="H160" s="13">
        <v>30.327083</v>
      </c>
      <c r="I160" s="13">
        <v>-87.1812</v>
      </c>
      <c r="J160" s="13" t="s">
        <v>952</v>
      </c>
      <c r="K160" s="13" t="s">
        <v>953</v>
      </c>
      <c r="L160" s="13">
        <v>4.0</v>
      </c>
      <c r="M160" s="13">
        <v>30.32074</v>
      </c>
      <c r="N160" s="13">
        <v>-87.21531</v>
      </c>
      <c r="O160" s="13" t="s">
        <v>261</v>
      </c>
      <c r="P160" s="14" t="s">
        <v>125</v>
      </c>
    </row>
    <row r="161" ht="33.75" customHeight="1">
      <c r="A161" s="41">
        <v>42772.0</v>
      </c>
      <c r="B161" s="16" t="s">
        <v>876</v>
      </c>
      <c r="C161" s="16" t="s">
        <v>514</v>
      </c>
      <c r="D161" s="13" t="s">
        <v>877</v>
      </c>
      <c r="E161" s="16" t="s">
        <v>826</v>
      </c>
      <c r="F161" s="16">
        <v>30.33168</v>
      </c>
      <c r="G161" s="16">
        <v>-87.30089</v>
      </c>
      <c r="H161" s="13">
        <v>30.327083</v>
      </c>
      <c r="I161" s="13">
        <v>-87.1812</v>
      </c>
      <c r="J161" s="13" t="s">
        <v>952</v>
      </c>
      <c r="K161" s="13" t="s">
        <v>953</v>
      </c>
      <c r="L161" s="13">
        <v>5.0</v>
      </c>
      <c r="M161" s="13">
        <v>30.3226</v>
      </c>
      <c r="N161" s="13">
        <v>-87.20504</v>
      </c>
      <c r="O161" s="13" t="s">
        <v>966</v>
      </c>
      <c r="P161" s="14" t="s">
        <v>967</v>
      </c>
    </row>
    <row r="162" ht="33.75" customHeight="1">
      <c r="A162" s="41">
        <v>42772.0</v>
      </c>
      <c r="B162" s="16" t="s">
        <v>876</v>
      </c>
      <c r="C162" s="16" t="s">
        <v>514</v>
      </c>
      <c r="D162" s="13" t="s">
        <v>877</v>
      </c>
      <c r="E162" s="16" t="s">
        <v>826</v>
      </c>
      <c r="F162" s="16">
        <v>30.33168</v>
      </c>
      <c r="G162" s="16">
        <v>-87.30089</v>
      </c>
      <c r="H162" s="13">
        <v>30.327083</v>
      </c>
      <c r="I162" s="13">
        <v>-87.1812</v>
      </c>
      <c r="J162" s="13" t="s">
        <v>952</v>
      </c>
      <c r="K162" s="13" t="s">
        <v>953</v>
      </c>
      <c r="L162" s="13">
        <v>6.0</v>
      </c>
      <c r="M162" s="13">
        <v>30.32702</v>
      </c>
      <c r="N162" s="13">
        <v>-87.181</v>
      </c>
      <c r="O162" s="13" t="s">
        <v>973</v>
      </c>
      <c r="P162" s="47"/>
    </row>
    <row r="163" ht="33.75" customHeight="1">
      <c r="A163" s="41">
        <v>42772.0</v>
      </c>
      <c r="B163" s="16" t="s">
        <v>876</v>
      </c>
      <c r="C163" s="16" t="s">
        <v>514</v>
      </c>
      <c r="D163" s="13" t="s">
        <v>877</v>
      </c>
      <c r="E163" s="16" t="s">
        <v>826</v>
      </c>
      <c r="F163" s="16">
        <v>30.33168</v>
      </c>
      <c r="G163" s="16">
        <v>-87.30089</v>
      </c>
      <c r="H163" s="13">
        <v>30.327083</v>
      </c>
      <c r="I163" s="13">
        <v>-87.1812</v>
      </c>
      <c r="J163" s="13" t="s">
        <v>952</v>
      </c>
      <c r="K163" s="13" t="s">
        <v>953</v>
      </c>
      <c r="L163" s="13">
        <v>7.0</v>
      </c>
      <c r="M163" s="13">
        <v>30.32609</v>
      </c>
      <c r="N163" s="13">
        <v>-87.29637</v>
      </c>
      <c r="O163" s="13" t="s">
        <v>977</v>
      </c>
      <c r="P163" s="14" t="s">
        <v>125</v>
      </c>
    </row>
    <row r="164" ht="33.75" customHeight="1">
      <c r="A164" s="41">
        <v>42772.0</v>
      </c>
      <c r="B164" s="16" t="s">
        <v>876</v>
      </c>
      <c r="C164" s="16" t="s">
        <v>514</v>
      </c>
      <c r="D164" s="13" t="s">
        <v>877</v>
      </c>
      <c r="E164" s="16" t="s">
        <v>826</v>
      </c>
      <c r="F164" s="16">
        <v>30.33168</v>
      </c>
      <c r="G164" s="16">
        <v>-87.30089</v>
      </c>
      <c r="H164" s="13">
        <v>30.327083</v>
      </c>
      <c r="I164" s="13">
        <v>-87.1812</v>
      </c>
      <c r="J164" s="13" t="s">
        <v>952</v>
      </c>
      <c r="K164" s="13" t="s">
        <v>953</v>
      </c>
      <c r="L164" s="13">
        <v>8.0</v>
      </c>
      <c r="M164" s="13">
        <v>30.33077</v>
      </c>
      <c r="N164" s="13">
        <v>-87.30319</v>
      </c>
      <c r="O164" s="13" t="s">
        <v>982</v>
      </c>
      <c r="P164" s="14" t="s">
        <v>983</v>
      </c>
    </row>
    <row r="165" ht="33.75" customHeight="1">
      <c r="A165" s="41">
        <v>42772.0</v>
      </c>
      <c r="B165" s="16" t="s">
        <v>876</v>
      </c>
      <c r="C165" s="16" t="s">
        <v>514</v>
      </c>
      <c r="D165" s="13" t="s">
        <v>877</v>
      </c>
      <c r="E165" s="16" t="s">
        <v>826</v>
      </c>
      <c r="F165" s="16">
        <v>30.33168</v>
      </c>
      <c r="G165" s="16">
        <v>-87.30089</v>
      </c>
      <c r="H165" s="13">
        <v>30.327083</v>
      </c>
      <c r="I165" s="13">
        <v>-87.1812</v>
      </c>
      <c r="J165" s="13" t="s">
        <v>952</v>
      </c>
      <c r="K165" s="13" t="s">
        <v>953</v>
      </c>
      <c r="L165" s="13">
        <v>9.0</v>
      </c>
      <c r="M165" s="13">
        <v>30.3312</v>
      </c>
      <c r="N165" s="13">
        <v>-87.30283</v>
      </c>
      <c r="O165" s="13" t="s">
        <v>990</v>
      </c>
      <c r="P165" s="47"/>
    </row>
    <row r="166" ht="33.75" customHeight="1">
      <c r="A166" s="11">
        <v>42772.0</v>
      </c>
      <c r="B166" s="13" t="s">
        <v>139</v>
      </c>
      <c r="C166" s="13" t="s">
        <v>341</v>
      </c>
      <c r="D166" s="13" t="s">
        <v>994</v>
      </c>
      <c r="E166" s="13" t="s">
        <v>826</v>
      </c>
      <c r="F166" s="13">
        <v>30.29769</v>
      </c>
      <c r="G166" s="13">
        <v>-87.41948</v>
      </c>
      <c r="H166" s="13">
        <v>30.32812</v>
      </c>
      <c r="I166" s="14">
        <v>-87.31618</v>
      </c>
      <c r="J166" s="13" t="s">
        <v>996</v>
      </c>
      <c r="K166" s="13" t="s">
        <v>998</v>
      </c>
      <c r="L166" s="13">
        <v>1.0</v>
      </c>
      <c r="M166" s="13">
        <v>30.29955</v>
      </c>
      <c r="N166" s="13">
        <v>-87.40988</v>
      </c>
      <c r="O166" s="13" t="s">
        <v>148</v>
      </c>
      <c r="P166" s="14" t="s">
        <v>999</v>
      </c>
    </row>
    <row r="167" ht="33.75" customHeight="1">
      <c r="A167" s="11">
        <v>42772.0</v>
      </c>
      <c r="B167" s="13" t="s">
        <v>139</v>
      </c>
      <c r="C167" s="16" t="s">
        <v>341</v>
      </c>
      <c r="D167" s="13" t="s">
        <v>994</v>
      </c>
      <c r="E167" s="13" t="s">
        <v>826</v>
      </c>
      <c r="F167" s="13">
        <v>30.29769</v>
      </c>
      <c r="G167" s="13">
        <v>-87.41948</v>
      </c>
      <c r="H167" s="13">
        <v>30.32812</v>
      </c>
      <c r="I167" s="14">
        <v>-87.31618</v>
      </c>
      <c r="J167" s="13" t="s">
        <v>996</v>
      </c>
      <c r="K167" s="13" t="s">
        <v>998</v>
      </c>
      <c r="L167" s="13">
        <v>2.0</v>
      </c>
      <c r="M167" s="13">
        <v>30.30262</v>
      </c>
      <c r="N167" s="13">
        <v>-87.39699</v>
      </c>
      <c r="O167" s="13" t="s">
        <v>1000</v>
      </c>
      <c r="P167" s="14" t="s">
        <v>1001</v>
      </c>
    </row>
    <row r="168" ht="33.75" customHeight="1">
      <c r="A168" s="11">
        <v>42772.0</v>
      </c>
      <c r="B168" s="13" t="s">
        <v>139</v>
      </c>
      <c r="C168" s="13" t="s">
        <v>341</v>
      </c>
      <c r="D168" s="13" t="s">
        <v>994</v>
      </c>
      <c r="E168" s="13" t="s">
        <v>826</v>
      </c>
      <c r="F168" s="13">
        <v>30.29769</v>
      </c>
      <c r="G168" s="13">
        <v>-87.41948</v>
      </c>
      <c r="H168" s="13">
        <v>30.32812</v>
      </c>
      <c r="I168" s="14">
        <v>-87.31618</v>
      </c>
      <c r="J168" s="13" t="s">
        <v>996</v>
      </c>
      <c r="K168" s="13" t="s">
        <v>998</v>
      </c>
      <c r="L168" s="13">
        <v>3.0</v>
      </c>
      <c r="M168" s="13">
        <v>30.30206</v>
      </c>
      <c r="N168" s="13">
        <v>-87.39891</v>
      </c>
      <c r="O168" s="13" t="s">
        <v>148</v>
      </c>
      <c r="P168" s="14" t="s">
        <v>1006</v>
      </c>
    </row>
    <row r="169" ht="33.75" customHeight="1">
      <c r="A169" s="11">
        <v>42772.0</v>
      </c>
      <c r="B169" s="13" t="s">
        <v>139</v>
      </c>
      <c r="C169" s="16" t="s">
        <v>341</v>
      </c>
      <c r="D169" s="13" t="s">
        <v>994</v>
      </c>
      <c r="E169" s="13" t="s">
        <v>826</v>
      </c>
      <c r="F169" s="13">
        <v>30.29769</v>
      </c>
      <c r="G169" s="13">
        <v>-87.41948</v>
      </c>
      <c r="H169" s="13">
        <v>30.32812</v>
      </c>
      <c r="I169" s="14">
        <v>-87.31618</v>
      </c>
      <c r="J169" s="13" t="s">
        <v>996</v>
      </c>
      <c r="K169" s="13" t="s">
        <v>998</v>
      </c>
      <c r="L169" s="13">
        <v>4.0</v>
      </c>
      <c r="M169" s="13">
        <v>30.30466</v>
      </c>
      <c r="N169" s="13">
        <v>-87.38961</v>
      </c>
      <c r="O169" s="13" t="s">
        <v>148</v>
      </c>
      <c r="P169" s="14" t="s">
        <v>1011</v>
      </c>
    </row>
    <row r="170" ht="33.75" customHeight="1">
      <c r="A170" s="11">
        <v>42772.0</v>
      </c>
      <c r="B170" s="13" t="s">
        <v>139</v>
      </c>
      <c r="C170" s="13" t="s">
        <v>341</v>
      </c>
      <c r="D170" s="13" t="s">
        <v>994</v>
      </c>
      <c r="E170" s="13" t="s">
        <v>826</v>
      </c>
      <c r="F170" s="13">
        <v>30.29769</v>
      </c>
      <c r="G170" s="13">
        <v>-87.41948</v>
      </c>
      <c r="H170" s="13">
        <v>30.32812</v>
      </c>
      <c r="I170" s="14">
        <v>-87.31618</v>
      </c>
      <c r="J170" s="13" t="s">
        <v>996</v>
      </c>
      <c r="K170" s="13" t="s">
        <v>998</v>
      </c>
      <c r="L170" s="13">
        <v>5.0</v>
      </c>
      <c r="M170" s="13">
        <v>30.30332</v>
      </c>
      <c r="N170" s="13">
        <v>-87.39432</v>
      </c>
      <c r="O170" s="13" t="s">
        <v>148</v>
      </c>
      <c r="P170" s="14" t="s">
        <v>1006</v>
      </c>
    </row>
    <row r="171" ht="33.75" customHeight="1">
      <c r="A171" s="11">
        <v>42772.0</v>
      </c>
      <c r="B171" s="13" t="s">
        <v>139</v>
      </c>
      <c r="C171" s="16" t="s">
        <v>341</v>
      </c>
      <c r="D171" s="13" t="s">
        <v>994</v>
      </c>
      <c r="E171" s="13" t="s">
        <v>826</v>
      </c>
      <c r="F171" s="13">
        <v>30.29769</v>
      </c>
      <c r="G171" s="13">
        <v>-87.41948</v>
      </c>
      <c r="H171" s="13">
        <v>30.32812</v>
      </c>
      <c r="I171" s="14">
        <v>-87.31618</v>
      </c>
      <c r="J171" s="13" t="s">
        <v>996</v>
      </c>
      <c r="K171" s="13" t="s">
        <v>998</v>
      </c>
      <c r="L171" s="13">
        <v>6.0</v>
      </c>
      <c r="M171" s="13">
        <v>30.30843</v>
      </c>
      <c r="N171" s="13">
        <v>-87.37249</v>
      </c>
      <c r="O171" s="13" t="s">
        <v>146</v>
      </c>
      <c r="P171" s="14" t="s">
        <v>1015</v>
      </c>
    </row>
    <row r="172" ht="33.75" customHeight="1">
      <c r="A172" s="11">
        <v>42772.0</v>
      </c>
      <c r="B172" s="13" t="s">
        <v>139</v>
      </c>
      <c r="C172" s="13" t="s">
        <v>341</v>
      </c>
      <c r="D172" s="13" t="s">
        <v>994</v>
      </c>
      <c r="E172" s="13" t="s">
        <v>826</v>
      </c>
      <c r="F172" s="13">
        <v>30.29769</v>
      </c>
      <c r="G172" s="13">
        <v>-87.41948</v>
      </c>
      <c r="H172" s="13">
        <v>30.32812</v>
      </c>
      <c r="I172" s="14">
        <v>-87.31618</v>
      </c>
      <c r="J172" s="13" t="s">
        <v>996</v>
      </c>
      <c r="K172" s="13" t="s">
        <v>998</v>
      </c>
      <c r="L172" s="13">
        <v>7.0</v>
      </c>
      <c r="M172" s="13">
        <v>30.31385</v>
      </c>
      <c r="N172" s="13">
        <v>-87.34583</v>
      </c>
      <c r="O172" s="13" t="s">
        <v>148</v>
      </c>
      <c r="P172" s="14" t="s">
        <v>999</v>
      </c>
    </row>
    <row r="173" ht="33.75" customHeight="1">
      <c r="A173" s="11">
        <v>42772.0</v>
      </c>
      <c r="B173" s="13" t="s">
        <v>139</v>
      </c>
      <c r="C173" s="16" t="s">
        <v>341</v>
      </c>
      <c r="D173" s="13" t="s">
        <v>994</v>
      </c>
      <c r="E173" s="13" t="s">
        <v>826</v>
      </c>
      <c r="F173" s="13">
        <v>30.29769</v>
      </c>
      <c r="G173" s="13">
        <v>-87.41948</v>
      </c>
      <c r="H173" s="13">
        <v>30.32812</v>
      </c>
      <c r="I173" s="14">
        <v>-87.31618</v>
      </c>
      <c r="J173" s="13" t="s">
        <v>996</v>
      </c>
      <c r="K173" s="13" t="s">
        <v>998</v>
      </c>
      <c r="L173" s="13">
        <v>8.0</v>
      </c>
      <c r="M173" s="13">
        <v>30.32068</v>
      </c>
      <c r="N173" s="13">
        <v>-87.3157</v>
      </c>
      <c r="O173" s="13" t="s">
        <v>148</v>
      </c>
      <c r="P173" s="14" t="s">
        <v>1006</v>
      </c>
    </row>
    <row r="174" ht="33.75" customHeight="1">
      <c r="A174" s="11">
        <v>42772.0</v>
      </c>
      <c r="B174" s="13" t="s">
        <v>139</v>
      </c>
      <c r="C174" s="13" t="s">
        <v>341</v>
      </c>
      <c r="D174" s="13" t="s">
        <v>994</v>
      </c>
      <c r="E174" s="13" t="s">
        <v>826</v>
      </c>
      <c r="F174" s="13">
        <v>30.29769</v>
      </c>
      <c r="G174" s="13">
        <v>-87.41948</v>
      </c>
      <c r="H174" s="13">
        <v>30.32812</v>
      </c>
      <c r="I174" s="14">
        <v>-87.31618</v>
      </c>
      <c r="J174" s="13" t="s">
        <v>996</v>
      </c>
      <c r="K174" s="13" t="s">
        <v>998</v>
      </c>
      <c r="L174" s="13">
        <v>9.0</v>
      </c>
      <c r="M174" s="13">
        <v>30.32706</v>
      </c>
      <c r="N174" s="13">
        <v>-87.31326</v>
      </c>
      <c r="O174" s="13" t="s">
        <v>1025</v>
      </c>
      <c r="P174" s="14" t="s">
        <v>1026</v>
      </c>
    </row>
    <row r="175" ht="33.75" customHeight="1">
      <c r="A175" s="11">
        <v>42772.0</v>
      </c>
      <c r="B175" s="13" t="s">
        <v>139</v>
      </c>
      <c r="C175" s="16" t="s">
        <v>341</v>
      </c>
      <c r="D175" s="13" t="s">
        <v>994</v>
      </c>
      <c r="E175" s="13" t="s">
        <v>826</v>
      </c>
      <c r="F175" s="13">
        <v>30.29769</v>
      </c>
      <c r="G175" s="13">
        <v>-87.41948</v>
      </c>
      <c r="H175" s="13">
        <v>30.32812</v>
      </c>
      <c r="I175" s="14">
        <v>-87.31618</v>
      </c>
      <c r="J175" s="13" t="s">
        <v>996</v>
      </c>
      <c r="K175" s="13" t="s">
        <v>998</v>
      </c>
      <c r="L175" s="13">
        <v>10.0</v>
      </c>
      <c r="M175" s="13">
        <v>30.3087</v>
      </c>
      <c r="N175" s="13">
        <v>-87.31554</v>
      </c>
      <c r="O175" s="13" t="s">
        <v>1029</v>
      </c>
      <c r="P175" s="14" t="s">
        <v>1030</v>
      </c>
    </row>
    <row r="176" ht="33.75" customHeight="1">
      <c r="A176" s="41">
        <v>42772.0</v>
      </c>
      <c r="B176" s="16" t="s">
        <v>340</v>
      </c>
      <c r="C176" s="13" t="s">
        <v>341</v>
      </c>
      <c r="D176" s="16" t="s">
        <v>1021</v>
      </c>
      <c r="E176" s="16" t="s">
        <v>826</v>
      </c>
      <c r="F176" s="16">
        <v>30.32888</v>
      </c>
      <c r="G176" s="16">
        <v>-87.31746</v>
      </c>
      <c r="H176" s="16">
        <v>30.32888</v>
      </c>
      <c r="I176" s="16">
        <v>-87.31746</v>
      </c>
      <c r="J176" s="13" t="s">
        <v>1022</v>
      </c>
      <c r="K176" s="13" t="s">
        <v>1024</v>
      </c>
      <c r="L176" s="13">
        <v>0.0</v>
      </c>
      <c r="M176" s="13"/>
      <c r="N176" s="13"/>
      <c r="O176" s="13" t="s">
        <v>1032</v>
      </c>
      <c r="P176" s="14" t="s">
        <v>1033</v>
      </c>
    </row>
    <row r="177" ht="33.75" customHeight="1">
      <c r="A177" s="43">
        <v>42772.0</v>
      </c>
      <c r="B177" s="16" t="s">
        <v>1035</v>
      </c>
      <c r="C177" s="16" t="s">
        <v>195</v>
      </c>
      <c r="D177" s="16" t="s">
        <v>1036</v>
      </c>
      <c r="E177" s="16" t="s">
        <v>826</v>
      </c>
      <c r="F177" s="16">
        <v>30.34981</v>
      </c>
      <c r="G177" s="16">
        <v>-87.04164</v>
      </c>
      <c r="H177" s="13">
        <v>30.37103</v>
      </c>
      <c r="I177" s="13">
        <v>-86.9185</v>
      </c>
      <c r="J177" s="13" t="s">
        <v>1038</v>
      </c>
      <c r="K177" s="13" t="s">
        <v>1041</v>
      </c>
      <c r="L177" s="13">
        <v>1.0</v>
      </c>
      <c r="M177" s="13">
        <v>30.36218</v>
      </c>
      <c r="N177" s="13">
        <v>-86.97031</v>
      </c>
      <c r="O177" s="13" t="s">
        <v>1044</v>
      </c>
      <c r="P177" s="14" t="s">
        <v>1045</v>
      </c>
    </row>
    <row r="178" ht="33.75" customHeight="1">
      <c r="A178" s="43">
        <v>42772.0</v>
      </c>
      <c r="B178" s="16" t="s">
        <v>1035</v>
      </c>
      <c r="C178" s="16" t="s">
        <v>195</v>
      </c>
      <c r="D178" s="16" t="s">
        <v>1036</v>
      </c>
      <c r="E178" s="16" t="s">
        <v>826</v>
      </c>
      <c r="F178" s="16">
        <v>30.34981</v>
      </c>
      <c r="G178" s="16">
        <v>-87.04164</v>
      </c>
      <c r="H178" s="13">
        <v>30.37103</v>
      </c>
      <c r="I178" s="13">
        <v>-86.9185</v>
      </c>
      <c r="J178" s="13" t="s">
        <v>1038</v>
      </c>
      <c r="K178" s="13" t="s">
        <v>1041</v>
      </c>
      <c r="L178" s="13">
        <v>2.0</v>
      </c>
      <c r="M178" s="13">
        <v>30.36054</v>
      </c>
      <c r="N178" s="13">
        <v>-86.9787</v>
      </c>
      <c r="O178" s="13" t="s">
        <v>1049</v>
      </c>
      <c r="P178" s="14" t="s">
        <v>1050</v>
      </c>
    </row>
    <row r="179" ht="33.75" customHeight="1">
      <c r="A179" s="43">
        <v>42772.0</v>
      </c>
      <c r="B179" s="16" t="s">
        <v>1035</v>
      </c>
      <c r="C179" s="16" t="s">
        <v>195</v>
      </c>
      <c r="D179" s="16" t="s">
        <v>1036</v>
      </c>
      <c r="E179" s="16" t="s">
        <v>826</v>
      </c>
      <c r="F179" s="16">
        <v>30.34981</v>
      </c>
      <c r="G179" s="16">
        <v>-87.04164</v>
      </c>
      <c r="H179" s="13">
        <v>30.37103</v>
      </c>
      <c r="I179" s="13">
        <v>-86.9185</v>
      </c>
      <c r="J179" s="13" t="s">
        <v>1038</v>
      </c>
      <c r="K179" s="13" t="s">
        <v>1041</v>
      </c>
      <c r="L179" s="13">
        <v>3.0</v>
      </c>
      <c r="M179" s="13">
        <v>30.35847</v>
      </c>
      <c r="N179" s="13">
        <v>-86.99078</v>
      </c>
      <c r="O179" s="13" t="s">
        <v>1053</v>
      </c>
      <c r="P179" s="14" t="s">
        <v>1054</v>
      </c>
    </row>
    <row r="180" ht="33.75" customHeight="1">
      <c r="A180" s="43">
        <v>42772.0</v>
      </c>
      <c r="B180" s="16" t="s">
        <v>1035</v>
      </c>
      <c r="C180" s="16" t="s">
        <v>195</v>
      </c>
      <c r="D180" s="16" t="s">
        <v>1036</v>
      </c>
      <c r="E180" s="16" t="s">
        <v>826</v>
      </c>
      <c r="F180" s="16">
        <v>30.34981</v>
      </c>
      <c r="G180" s="16">
        <v>-87.04164</v>
      </c>
      <c r="H180" s="13">
        <v>30.37103</v>
      </c>
      <c r="I180" s="13">
        <v>-86.9185</v>
      </c>
      <c r="J180" s="13" t="s">
        <v>1038</v>
      </c>
      <c r="K180" s="13" t="s">
        <v>1041</v>
      </c>
      <c r="L180" s="13">
        <v>4.0</v>
      </c>
      <c r="M180" s="13">
        <v>30.35628</v>
      </c>
      <c r="N180" s="13">
        <v>-87.00462</v>
      </c>
      <c r="O180" s="13" t="s">
        <v>1056</v>
      </c>
      <c r="P180" s="14" t="s">
        <v>1057</v>
      </c>
    </row>
    <row r="181" ht="33.75" customHeight="1">
      <c r="A181" s="43">
        <v>42772.0</v>
      </c>
      <c r="B181" s="16" t="s">
        <v>1035</v>
      </c>
      <c r="C181" s="16" t="s">
        <v>195</v>
      </c>
      <c r="D181" s="16" t="s">
        <v>1036</v>
      </c>
      <c r="E181" s="16" t="s">
        <v>826</v>
      </c>
      <c r="F181" s="16">
        <v>30.34981</v>
      </c>
      <c r="G181" s="16">
        <v>-87.04164</v>
      </c>
      <c r="H181" s="13">
        <v>30.37103</v>
      </c>
      <c r="I181" s="13">
        <v>-86.9185</v>
      </c>
      <c r="J181" s="13" t="s">
        <v>1038</v>
      </c>
      <c r="K181" s="13" t="s">
        <v>1041</v>
      </c>
      <c r="L181" s="13">
        <v>5.0</v>
      </c>
      <c r="M181" s="13">
        <v>30.35681</v>
      </c>
      <c r="N181" s="13">
        <v>-87.00527</v>
      </c>
      <c r="O181" s="13" t="s">
        <v>1061</v>
      </c>
      <c r="P181" s="14" t="s">
        <v>1062</v>
      </c>
    </row>
    <row r="182" ht="33.75" customHeight="1">
      <c r="A182" s="43">
        <v>42772.0</v>
      </c>
      <c r="B182" s="16" t="s">
        <v>1035</v>
      </c>
      <c r="C182" s="16" t="s">
        <v>195</v>
      </c>
      <c r="D182" s="16" t="s">
        <v>1036</v>
      </c>
      <c r="E182" s="16" t="s">
        <v>826</v>
      </c>
      <c r="F182" s="16">
        <v>30.34981</v>
      </c>
      <c r="G182" s="16">
        <v>-87.04164</v>
      </c>
      <c r="H182" s="13">
        <v>30.37103</v>
      </c>
      <c r="I182" s="13">
        <v>-86.9185</v>
      </c>
      <c r="J182" s="13" t="s">
        <v>1038</v>
      </c>
      <c r="K182" s="13" t="s">
        <v>1041</v>
      </c>
      <c r="L182" s="13">
        <v>6.0</v>
      </c>
      <c r="M182" s="13">
        <v>30.35121</v>
      </c>
      <c r="N182" s="13">
        <v>-87.03352</v>
      </c>
      <c r="O182" s="13" t="s">
        <v>1064</v>
      </c>
      <c r="P182" s="14" t="s">
        <v>1065</v>
      </c>
    </row>
    <row r="183" ht="33.75" customHeight="1">
      <c r="A183" s="43">
        <v>42772.0</v>
      </c>
      <c r="B183" s="16" t="s">
        <v>1035</v>
      </c>
      <c r="C183" s="16" t="s">
        <v>195</v>
      </c>
      <c r="D183" s="16" t="s">
        <v>1036</v>
      </c>
      <c r="E183" s="16" t="s">
        <v>826</v>
      </c>
      <c r="F183" s="16">
        <v>30.34981</v>
      </c>
      <c r="G183" s="16">
        <v>-87.04164</v>
      </c>
      <c r="H183" s="13">
        <v>30.37103</v>
      </c>
      <c r="I183" s="13">
        <v>-86.9185</v>
      </c>
      <c r="J183" s="13" t="s">
        <v>1038</v>
      </c>
      <c r="K183" s="13" t="s">
        <v>1041</v>
      </c>
      <c r="L183" s="13">
        <v>7.0</v>
      </c>
      <c r="M183" s="13">
        <v>30.35017</v>
      </c>
      <c r="N183" s="13">
        <v>-87.03803</v>
      </c>
      <c r="O183" s="13" t="s">
        <v>248</v>
      </c>
      <c r="P183" s="14" t="s">
        <v>1066</v>
      </c>
    </row>
    <row r="184" ht="33.75" customHeight="1">
      <c r="A184" s="43">
        <v>42772.0</v>
      </c>
      <c r="B184" s="16" t="s">
        <v>1035</v>
      </c>
      <c r="C184" s="16" t="s">
        <v>195</v>
      </c>
      <c r="D184" s="16" t="s">
        <v>1036</v>
      </c>
      <c r="E184" s="16" t="s">
        <v>826</v>
      </c>
      <c r="F184" s="16">
        <v>30.34981</v>
      </c>
      <c r="G184" s="16">
        <v>-87.04164</v>
      </c>
      <c r="H184" s="13">
        <v>30.37103</v>
      </c>
      <c r="I184" s="13">
        <v>-86.9185</v>
      </c>
      <c r="J184" s="13" t="s">
        <v>1038</v>
      </c>
      <c r="K184" s="13" t="s">
        <v>1041</v>
      </c>
      <c r="L184" s="13">
        <v>8.0</v>
      </c>
      <c r="M184" s="13">
        <v>30.36298</v>
      </c>
      <c r="N184" s="13">
        <v>-86.96557</v>
      </c>
      <c r="O184" s="13" t="s">
        <v>1073</v>
      </c>
      <c r="P184" s="14" t="s">
        <v>1074</v>
      </c>
    </row>
    <row r="185" ht="33.75" customHeight="1">
      <c r="A185" s="43">
        <v>42772.0</v>
      </c>
      <c r="B185" s="16" t="s">
        <v>1035</v>
      </c>
      <c r="C185" s="16" t="s">
        <v>195</v>
      </c>
      <c r="D185" s="16" t="s">
        <v>1036</v>
      </c>
      <c r="E185" s="16" t="s">
        <v>826</v>
      </c>
      <c r="F185" s="16">
        <v>30.34981</v>
      </c>
      <c r="G185" s="16">
        <v>-87.04164</v>
      </c>
      <c r="H185" s="13">
        <v>30.37103</v>
      </c>
      <c r="I185" s="13">
        <v>-86.9185</v>
      </c>
      <c r="J185" s="13" t="s">
        <v>1038</v>
      </c>
      <c r="K185" s="13" t="s">
        <v>1041</v>
      </c>
      <c r="L185" s="13">
        <v>9.0</v>
      </c>
      <c r="M185" s="13">
        <v>30.36476</v>
      </c>
      <c r="N185" s="13">
        <v>-86.95599</v>
      </c>
      <c r="O185" s="13" t="s">
        <v>1075</v>
      </c>
      <c r="P185" s="14" t="s">
        <v>1077</v>
      </c>
    </row>
    <row r="186" ht="33.75" customHeight="1">
      <c r="A186" s="43">
        <v>42772.0</v>
      </c>
      <c r="B186" s="16" t="s">
        <v>1035</v>
      </c>
      <c r="C186" s="16" t="s">
        <v>195</v>
      </c>
      <c r="D186" s="16" t="s">
        <v>1036</v>
      </c>
      <c r="E186" s="16" t="s">
        <v>826</v>
      </c>
      <c r="F186" s="16">
        <v>30.34981</v>
      </c>
      <c r="G186" s="16">
        <v>-87.04164</v>
      </c>
      <c r="H186" s="13">
        <v>30.37103</v>
      </c>
      <c r="I186" s="13">
        <v>-86.9185</v>
      </c>
      <c r="J186" s="13" t="s">
        <v>1038</v>
      </c>
      <c r="K186" s="13" t="s">
        <v>1041</v>
      </c>
      <c r="L186" s="13">
        <v>10.0</v>
      </c>
      <c r="M186" s="13">
        <v>30.36754</v>
      </c>
      <c r="N186" s="13">
        <v>-86.93886</v>
      </c>
      <c r="O186" s="13" t="s">
        <v>1080</v>
      </c>
      <c r="P186" s="14" t="s">
        <v>1081</v>
      </c>
    </row>
    <row r="187" ht="33.75" customHeight="1">
      <c r="A187" s="43">
        <v>42772.0</v>
      </c>
      <c r="B187" s="16" t="s">
        <v>1035</v>
      </c>
      <c r="C187" s="16" t="s">
        <v>195</v>
      </c>
      <c r="D187" s="16" t="s">
        <v>1036</v>
      </c>
      <c r="E187" s="16" t="s">
        <v>826</v>
      </c>
      <c r="F187" s="16">
        <v>30.34981</v>
      </c>
      <c r="G187" s="16">
        <v>-87.04164</v>
      </c>
      <c r="H187" s="13">
        <v>30.37103</v>
      </c>
      <c r="I187" s="13">
        <v>-86.9185</v>
      </c>
      <c r="J187" s="13" t="s">
        <v>1038</v>
      </c>
      <c r="K187" s="13" t="s">
        <v>1041</v>
      </c>
      <c r="L187" s="13">
        <v>11.0</v>
      </c>
      <c r="M187" s="13">
        <v>30.36819</v>
      </c>
      <c r="N187" s="13">
        <v>-86.93678</v>
      </c>
      <c r="O187" s="13" t="s">
        <v>261</v>
      </c>
      <c r="P187" s="14" t="s">
        <v>1085</v>
      </c>
    </row>
    <row r="188" ht="33.75" customHeight="1">
      <c r="A188" s="43">
        <v>42772.0</v>
      </c>
      <c r="B188" s="16" t="s">
        <v>1035</v>
      </c>
      <c r="C188" s="16" t="s">
        <v>195</v>
      </c>
      <c r="D188" s="16" t="s">
        <v>1036</v>
      </c>
      <c r="E188" s="16" t="s">
        <v>826</v>
      </c>
      <c r="F188" s="16">
        <v>30.34981</v>
      </c>
      <c r="G188" s="16">
        <v>-87.04164</v>
      </c>
      <c r="H188" s="13">
        <v>30.37103</v>
      </c>
      <c r="I188" s="13">
        <v>-86.9185</v>
      </c>
      <c r="J188" s="13" t="s">
        <v>1038</v>
      </c>
      <c r="K188" s="13" t="s">
        <v>1041</v>
      </c>
      <c r="L188" s="13">
        <v>12.0</v>
      </c>
      <c r="M188" s="13">
        <v>30.36932</v>
      </c>
      <c r="N188" s="13">
        <v>-86.9542</v>
      </c>
      <c r="O188" s="13" t="s">
        <v>1087</v>
      </c>
      <c r="P188" s="14" t="s">
        <v>1088</v>
      </c>
    </row>
    <row r="189" ht="33.75" customHeight="1">
      <c r="A189" s="41">
        <v>42773.0</v>
      </c>
      <c r="B189" s="16" t="s">
        <v>386</v>
      </c>
      <c r="C189" s="16" t="s">
        <v>389</v>
      </c>
      <c r="D189" s="16" t="s">
        <v>825</v>
      </c>
      <c r="E189" s="16" t="s">
        <v>826</v>
      </c>
      <c r="F189" s="16">
        <v>30.3557</v>
      </c>
      <c r="G189" s="16">
        <v>-87.0495</v>
      </c>
      <c r="H189" s="13">
        <v>30.355539</v>
      </c>
      <c r="I189" s="13">
        <v>-87.042538</v>
      </c>
      <c r="J189" s="13" t="s">
        <v>1058</v>
      </c>
      <c r="K189" s="13" t="s">
        <v>1059</v>
      </c>
      <c r="L189" s="13">
        <v>1.0</v>
      </c>
      <c r="M189" s="13">
        <v>30.357518</v>
      </c>
      <c r="N189" s="13">
        <v>-87.043391</v>
      </c>
      <c r="O189" s="13" t="s">
        <v>1093</v>
      </c>
      <c r="P189" s="14" t="s">
        <v>1095</v>
      </c>
    </row>
    <row r="190" ht="33.75" customHeight="1">
      <c r="A190" s="41">
        <v>42773.0</v>
      </c>
      <c r="B190" s="16" t="s">
        <v>386</v>
      </c>
      <c r="C190" s="16" t="s">
        <v>389</v>
      </c>
      <c r="D190" s="16" t="s">
        <v>825</v>
      </c>
      <c r="E190" s="16" t="s">
        <v>826</v>
      </c>
      <c r="F190" s="16">
        <v>30.3557</v>
      </c>
      <c r="G190" s="16">
        <v>-87.0495</v>
      </c>
      <c r="H190" s="13">
        <v>30.355539</v>
      </c>
      <c r="I190" s="13">
        <v>-87.042538</v>
      </c>
      <c r="J190" s="13" t="s">
        <v>1058</v>
      </c>
      <c r="K190" s="13" t="s">
        <v>1059</v>
      </c>
      <c r="L190" s="13">
        <v>2.0</v>
      </c>
      <c r="M190" s="13">
        <v>30.357518</v>
      </c>
      <c r="N190" s="13">
        <v>-87.043391</v>
      </c>
      <c r="O190" s="13" t="s">
        <v>813</v>
      </c>
      <c r="P190" s="14" t="s">
        <v>1103</v>
      </c>
    </row>
    <row r="191" ht="33.75" customHeight="1">
      <c r="A191" s="41">
        <v>42773.0</v>
      </c>
      <c r="B191" s="16" t="s">
        <v>386</v>
      </c>
      <c r="C191" s="16" t="s">
        <v>389</v>
      </c>
      <c r="D191" s="16" t="s">
        <v>825</v>
      </c>
      <c r="E191" s="16" t="s">
        <v>826</v>
      </c>
      <c r="F191" s="16">
        <v>30.3557</v>
      </c>
      <c r="G191" s="16">
        <v>-87.0495</v>
      </c>
      <c r="H191" s="13">
        <v>30.355539</v>
      </c>
      <c r="I191" s="13">
        <v>-87.042538</v>
      </c>
      <c r="J191" s="13" t="s">
        <v>1058</v>
      </c>
      <c r="K191" s="13" t="s">
        <v>1059</v>
      </c>
      <c r="L191" s="13">
        <v>3.0</v>
      </c>
      <c r="M191" s="13">
        <v>30.357518</v>
      </c>
      <c r="N191" s="13">
        <v>-87.043391</v>
      </c>
      <c r="O191" s="13" t="s">
        <v>813</v>
      </c>
      <c r="P191" s="14" t="s">
        <v>1110</v>
      </c>
    </row>
    <row r="192" ht="33.75" customHeight="1">
      <c r="A192" s="41">
        <v>42773.0</v>
      </c>
      <c r="B192" s="16" t="s">
        <v>386</v>
      </c>
      <c r="C192" s="16" t="s">
        <v>389</v>
      </c>
      <c r="D192" s="16" t="s">
        <v>825</v>
      </c>
      <c r="E192" s="16" t="s">
        <v>826</v>
      </c>
      <c r="F192" s="16">
        <v>30.3557</v>
      </c>
      <c r="G192" s="16">
        <v>-87.0495</v>
      </c>
      <c r="H192" s="13">
        <v>30.355539</v>
      </c>
      <c r="I192" s="13">
        <v>-87.042538</v>
      </c>
      <c r="J192" s="13" t="s">
        <v>1058</v>
      </c>
      <c r="K192" s="13" t="s">
        <v>1059</v>
      </c>
      <c r="L192" s="13">
        <v>4.0</v>
      </c>
      <c r="M192" s="13">
        <v>30.357658</v>
      </c>
      <c r="N192" s="13">
        <v>-87.044764</v>
      </c>
      <c r="O192" s="13" t="s">
        <v>850</v>
      </c>
      <c r="P192" s="14" t="s">
        <v>126</v>
      </c>
    </row>
    <row r="193" ht="33.75" customHeight="1">
      <c r="A193" s="41">
        <v>42773.0</v>
      </c>
      <c r="B193" s="16" t="s">
        <v>386</v>
      </c>
      <c r="C193" s="16" t="s">
        <v>389</v>
      </c>
      <c r="D193" s="16" t="s">
        <v>825</v>
      </c>
      <c r="E193" s="16" t="s">
        <v>826</v>
      </c>
      <c r="F193" s="16">
        <v>30.3557</v>
      </c>
      <c r="G193" s="16">
        <v>-87.0495</v>
      </c>
      <c r="H193" s="13">
        <v>30.355539</v>
      </c>
      <c r="I193" s="13">
        <v>-87.042538</v>
      </c>
      <c r="J193" s="13" t="s">
        <v>1058</v>
      </c>
      <c r="K193" s="13" t="s">
        <v>1059</v>
      </c>
      <c r="L193" s="13">
        <v>5.0</v>
      </c>
      <c r="M193" s="13">
        <v>30.357274</v>
      </c>
      <c r="N193" s="13">
        <v>-87.044384</v>
      </c>
      <c r="O193" s="13" t="s">
        <v>850</v>
      </c>
      <c r="P193" s="14" t="s">
        <v>126</v>
      </c>
    </row>
    <row r="194" ht="33.75" customHeight="1">
      <c r="A194" s="41">
        <v>42773.0</v>
      </c>
      <c r="B194" s="16" t="s">
        <v>386</v>
      </c>
      <c r="C194" s="16" t="s">
        <v>389</v>
      </c>
      <c r="D194" s="16" t="s">
        <v>825</v>
      </c>
      <c r="E194" s="16" t="s">
        <v>826</v>
      </c>
      <c r="F194" s="16">
        <v>30.3557</v>
      </c>
      <c r="G194" s="16">
        <v>-87.0495</v>
      </c>
      <c r="H194" s="13">
        <v>30.355539</v>
      </c>
      <c r="I194" s="13">
        <v>-87.042538</v>
      </c>
      <c r="J194" s="13" t="s">
        <v>1058</v>
      </c>
      <c r="K194" s="13" t="s">
        <v>1059</v>
      </c>
      <c r="L194" s="13">
        <v>6.0</v>
      </c>
      <c r="M194" s="13">
        <v>30.356336</v>
      </c>
      <c r="N194" s="13">
        <v>-87.043471</v>
      </c>
      <c r="O194" s="13" t="s">
        <v>850</v>
      </c>
      <c r="P194" s="14" t="s">
        <v>126</v>
      </c>
    </row>
    <row r="195" ht="33.75" customHeight="1">
      <c r="A195" s="41">
        <v>42773.0</v>
      </c>
      <c r="B195" s="13" t="s">
        <v>386</v>
      </c>
      <c r="C195" s="16" t="s">
        <v>389</v>
      </c>
      <c r="D195" s="16" t="s">
        <v>825</v>
      </c>
      <c r="E195" s="16" t="s">
        <v>826</v>
      </c>
      <c r="F195" s="16">
        <v>30.3557</v>
      </c>
      <c r="G195" s="16">
        <v>-87.0495</v>
      </c>
      <c r="H195" s="13">
        <v>30.355539</v>
      </c>
      <c r="I195" s="13">
        <v>-87.042538</v>
      </c>
      <c r="J195" s="13" t="s">
        <v>1058</v>
      </c>
      <c r="K195" s="13" t="s">
        <v>1059</v>
      </c>
      <c r="L195" s="13">
        <v>7.0</v>
      </c>
      <c r="M195" s="13">
        <v>30.356336</v>
      </c>
      <c r="N195" s="13">
        <v>-87.043471</v>
      </c>
      <c r="O195" s="13" t="s">
        <v>966</v>
      </c>
      <c r="P195" s="14" t="s">
        <v>1110</v>
      </c>
    </row>
    <row r="196" ht="33.75" customHeight="1">
      <c r="A196" s="41">
        <v>42773.0</v>
      </c>
      <c r="B196" s="16" t="s">
        <v>386</v>
      </c>
      <c r="C196" s="16" t="s">
        <v>389</v>
      </c>
      <c r="D196" s="16" t="s">
        <v>825</v>
      </c>
      <c r="E196" s="16" t="s">
        <v>826</v>
      </c>
      <c r="F196" s="16">
        <v>30.3557</v>
      </c>
      <c r="G196" s="16">
        <v>-87.0495</v>
      </c>
      <c r="H196" s="13">
        <v>30.355539</v>
      </c>
      <c r="I196" s="13">
        <v>-87.042538</v>
      </c>
      <c r="J196" s="13" t="s">
        <v>1058</v>
      </c>
      <c r="K196" s="13" t="s">
        <v>1059</v>
      </c>
      <c r="L196" s="13">
        <v>8.0</v>
      </c>
      <c r="M196" s="13">
        <v>30.358271</v>
      </c>
      <c r="N196" s="13">
        <v>-87.044568</v>
      </c>
      <c r="O196" s="13" t="s">
        <v>1131</v>
      </c>
      <c r="P196" s="14" t="s">
        <v>1110</v>
      </c>
    </row>
    <row r="197" ht="33.75" customHeight="1">
      <c r="A197" s="11">
        <v>42772.0</v>
      </c>
      <c r="B197" s="13" t="s">
        <v>1067</v>
      </c>
      <c r="C197" s="13" t="s">
        <v>341</v>
      </c>
      <c r="D197" s="13" t="s">
        <v>1068</v>
      </c>
      <c r="E197" s="13" t="s">
        <v>1069</v>
      </c>
      <c r="F197" s="13">
        <v>30.29769</v>
      </c>
      <c r="G197" s="13">
        <v>-87.41748</v>
      </c>
      <c r="H197" s="13">
        <v>30.29259</v>
      </c>
      <c r="I197" s="14">
        <v>-87.45307</v>
      </c>
      <c r="J197" s="13" t="s">
        <v>1070</v>
      </c>
      <c r="K197" s="13" t="s">
        <v>1072</v>
      </c>
      <c r="L197" s="13">
        <v>0.0</v>
      </c>
      <c r="M197" s="13"/>
      <c r="N197" s="13"/>
      <c r="O197" s="13" t="s">
        <v>1032</v>
      </c>
      <c r="P197" s="14" t="s">
        <v>1135</v>
      </c>
    </row>
    <row r="198" ht="33.75" customHeight="1">
      <c r="A198" s="11">
        <v>42772.0</v>
      </c>
      <c r="B198" s="13" t="s">
        <v>1067</v>
      </c>
      <c r="C198" s="16" t="s">
        <v>341</v>
      </c>
      <c r="D198" s="16" t="s">
        <v>1083</v>
      </c>
      <c r="E198" s="16" t="s">
        <v>1069</v>
      </c>
      <c r="F198" s="13">
        <v>30.29259</v>
      </c>
      <c r="G198" s="13">
        <v>-87.45307</v>
      </c>
      <c r="H198" s="13">
        <v>30.28634</v>
      </c>
      <c r="I198" s="14">
        <v>-87.48465</v>
      </c>
      <c r="J198" s="13" t="s">
        <v>1084</v>
      </c>
      <c r="K198" s="13" t="s">
        <v>1072</v>
      </c>
      <c r="L198" s="13">
        <v>1.0</v>
      </c>
      <c r="M198" s="13">
        <v>30.28878</v>
      </c>
      <c r="N198" s="13">
        <v>-87.47257</v>
      </c>
      <c r="O198" s="13" t="s">
        <v>146</v>
      </c>
      <c r="P198" s="14" t="s">
        <v>1011</v>
      </c>
    </row>
    <row r="199" ht="33.75" customHeight="1">
      <c r="A199" s="41">
        <v>42770.0</v>
      </c>
      <c r="B199" s="16" t="s">
        <v>1094</v>
      </c>
      <c r="C199" s="16" t="s">
        <v>1096</v>
      </c>
      <c r="D199" s="16" t="s">
        <v>1097</v>
      </c>
      <c r="E199" s="16" t="s">
        <v>1098</v>
      </c>
      <c r="F199" s="16" t="s">
        <v>1142</v>
      </c>
      <c r="G199" s="16" t="s">
        <v>1143</v>
      </c>
      <c r="H199" s="13" t="s">
        <v>1144</v>
      </c>
      <c r="I199" s="13" t="s">
        <v>1145</v>
      </c>
      <c r="J199" s="13" t="s">
        <v>1146</v>
      </c>
      <c r="K199" s="13" t="s">
        <v>1147</v>
      </c>
      <c r="L199" s="13">
        <v>1.0</v>
      </c>
      <c r="M199" s="13" t="s">
        <v>1148</v>
      </c>
      <c r="N199" s="13">
        <v>-81.10709</v>
      </c>
      <c r="O199" s="13" t="s">
        <v>1149</v>
      </c>
      <c r="P199" s="14" t="s">
        <v>563</v>
      </c>
    </row>
    <row r="200" ht="33.75" customHeight="1">
      <c r="A200" s="64">
        <v>42770.0</v>
      </c>
      <c r="B200" s="16" t="s">
        <v>1117</v>
      </c>
      <c r="C200" s="16" t="s">
        <v>1120</v>
      </c>
      <c r="D200" s="16" t="s">
        <v>1122</v>
      </c>
      <c r="E200" s="16" t="s">
        <v>1098</v>
      </c>
      <c r="F200" s="16">
        <v>29.4798</v>
      </c>
      <c r="G200" s="16">
        <v>-81.12628</v>
      </c>
      <c r="H200" s="13">
        <v>29.44157</v>
      </c>
      <c r="I200" s="13">
        <v>-81.1089</v>
      </c>
      <c r="J200" s="13" t="s">
        <v>1157</v>
      </c>
      <c r="K200" s="13" t="s">
        <v>1158</v>
      </c>
      <c r="L200" s="13">
        <v>1.0</v>
      </c>
      <c r="M200" s="13">
        <v>29.2724</v>
      </c>
      <c r="N200" s="13">
        <v>-81.065676</v>
      </c>
      <c r="O200" s="13" t="s">
        <v>1159</v>
      </c>
      <c r="P200" s="14" t="s">
        <v>1161</v>
      </c>
    </row>
    <row r="201" ht="33.75" customHeight="1">
      <c r="A201" s="43">
        <v>42770.0</v>
      </c>
      <c r="B201" s="16" t="s">
        <v>1165</v>
      </c>
      <c r="C201" s="16" t="s">
        <v>1166</v>
      </c>
      <c r="D201" s="16" t="s">
        <v>1167</v>
      </c>
      <c r="E201" s="16" t="s">
        <v>1098</v>
      </c>
      <c r="F201" s="16">
        <v>29.480003</v>
      </c>
      <c r="G201" s="16">
        <v>81.12631</v>
      </c>
      <c r="H201" s="13">
        <v>29.54933</v>
      </c>
      <c r="I201" s="13">
        <v>-81.16059</v>
      </c>
      <c r="J201" s="13" t="s">
        <v>1168</v>
      </c>
      <c r="K201" s="13" t="s">
        <v>1169</v>
      </c>
      <c r="L201" s="13">
        <v>1.0</v>
      </c>
      <c r="M201" s="13">
        <v>29.4809</v>
      </c>
      <c r="N201" s="13">
        <v>-81.1274</v>
      </c>
      <c r="O201" s="13" t="s">
        <v>1170</v>
      </c>
      <c r="P201" s="47"/>
    </row>
    <row r="202" ht="33.75" customHeight="1">
      <c r="A202" s="43">
        <v>42771.0</v>
      </c>
      <c r="B202" s="16" t="s">
        <v>1165</v>
      </c>
      <c r="C202" s="16" t="s">
        <v>1171</v>
      </c>
      <c r="D202" s="16" t="s">
        <v>1167</v>
      </c>
      <c r="E202" s="16" t="s">
        <v>1098</v>
      </c>
      <c r="F202" s="16">
        <v>29.480003</v>
      </c>
      <c r="G202" s="16">
        <v>81.12631</v>
      </c>
      <c r="H202" s="13">
        <v>29.54933</v>
      </c>
      <c r="I202" s="13">
        <v>-81.16059</v>
      </c>
      <c r="J202" s="13" t="s">
        <v>1172</v>
      </c>
      <c r="K202" s="13" t="s">
        <v>1169</v>
      </c>
      <c r="L202" s="13">
        <v>2.0</v>
      </c>
      <c r="M202" s="13">
        <v>29.4943</v>
      </c>
      <c r="N202" s="13">
        <v>-81.134</v>
      </c>
      <c r="O202" s="13" t="s">
        <v>1173</v>
      </c>
      <c r="P202" s="47"/>
    </row>
    <row r="203" ht="33.75" customHeight="1">
      <c r="A203" s="43">
        <v>42772.0</v>
      </c>
      <c r="B203" s="16" t="s">
        <v>1165</v>
      </c>
      <c r="C203" s="16" t="s">
        <v>1174</v>
      </c>
      <c r="D203" s="16" t="s">
        <v>1167</v>
      </c>
      <c r="E203" s="16" t="s">
        <v>1098</v>
      </c>
      <c r="F203" s="16">
        <v>29.480003</v>
      </c>
      <c r="G203" s="16">
        <v>81.12631</v>
      </c>
      <c r="H203" s="13">
        <v>29.54933</v>
      </c>
      <c r="I203" s="13">
        <v>-81.16059</v>
      </c>
      <c r="J203" s="13" t="s">
        <v>1175</v>
      </c>
      <c r="K203" s="13" t="s">
        <v>1169</v>
      </c>
      <c r="L203" s="13">
        <v>3.0</v>
      </c>
      <c r="M203" s="13">
        <v>29.5056</v>
      </c>
      <c r="N203" s="13">
        <v>-81.1396</v>
      </c>
      <c r="O203" s="13" t="s">
        <v>1173</v>
      </c>
      <c r="P203" s="47"/>
    </row>
    <row r="204" ht="33.75" customHeight="1">
      <c r="A204" s="43">
        <v>42773.0</v>
      </c>
      <c r="B204" s="16" t="s">
        <v>1165</v>
      </c>
      <c r="C204" s="16" t="s">
        <v>1176</v>
      </c>
      <c r="D204" s="16" t="s">
        <v>1167</v>
      </c>
      <c r="E204" s="16" t="s">
        <v>1098</v>
      </c>
      <c r="F204" s="16">
        <v>29.480003</v>
      </c>
      <c r="G204" s="16">
        <v>81.12631</v>
      </c>
      <c r="H204" s="13">
        <v>29.54933</v>
      </c>
      <c r="I204" s="13">
        <v>-81.16059</v>
      </c>
      <c r="J204" s="13" t="s">
        <v>1177</v>
      </c>
      <c r="K204" s="13" t="s">
        <v>1169</v>
      </c>
      <c r="L204" s="13">
        <v>4.0</v>
      </c>
      <c r="M204" s="13">
        <v>29.5094</v>
      </c>
      <c r="N204" s="13">
        <v>-81.1412</v>
      </c>
      <c r="O204" s="13" t="s">
        <v>1178</v>
      </c>
      <c r="P204" s="47"/>
    </row>
    <row r="205" ht="33.75" customHeight="1">
      <c r="A205" s="43">
        <v>42774.0</v>
      </c>
      <c r="B205" s="16" t="s">
        <v>1165</v>
      </c>
      <c r="C205" s="16" t="s">
        <v>1181</v>
      </c>
      <c r="D205" s="16" t="s">
        <v>1167</v>
      </c>
      <c r="E205" s="16" t="s">
        <v>1098</v>
      </c>
      <c r="F205" s="16">
        <v>29.480003</v>
      </c>
      <c r="G205" s="16">
        <v>81.12631</v>
      </c>
      <c r="H205" s="13">
        <v>29.54933</v>
      </c>
      <c r="I205" s="13">
        <v>-81.16059</v>
      </c>
      <c r="J205" s="13" t="s">
        <v>1184</v>
      </c>
      <c r="K205" s="13" t="s">
        <v>1169</v>
      </c>
      <c r="L205" s="13">
        <v>5.0</v>
      </c>
      <c r="M205" s="13">
        <v>29.551</v>
      </c>
      <c r="N205" s="13">
        <v>-81.1624</v>
      </c>
      <c r="O205" s="13" t="s">
        <v>1185</v>
      </c>
      <c r="P205" s="14" t="s">
        <v>1186</v>
      </c>
    </row>
    <row r="206" ht="33.75" customHeight="1">
      <c r="A206" s="15">
        <v>42770.0</v>
      </c>
      <c r="B206" s="16" t="s">
        <v>265</v>
      </c>
      <c r="C206" s="16" t="s">
        <v>363</v>
      </c>
      <c r="D206" s="16" t="s">
        <v>621</v>
      </c>
      <c r="E206" s="16" t="s">
        <v>268</v>
      </c>
      <c r="F206" s="17">
        <v>29.71729</v>
      </c>
      <c r="G206" s="17">
        <v>-84.97683</v>
      </c>
      <c r="H206" s="17">
        <v>29.71123</v>
      </c>
      <c r="I206" s="14">
        <v>-84.97502</v>
      </c>
      <c r="J206" s="13" t="s">
        <v>1187</v>
      </c>
      <c r="K206" s="13" t="s">
        <v>1188</v>
      </c>
      <c r="L206" s="13">
        <v>1.0</v>
      </c>
      <c r="M206" s="14">
        <v>29.71595</v>
      </c>
      <c r="N206" s="14">
        <v>-84.97319</v>
      </c>
      <c r="O206" s="13" t="s">
        <v>1189</v>
      </c>
      <c r="P206" s="67"/>
    </row>
    <row r="207" ht="33.75" customHeight="1">
      <c r="A207" s="41">
        <v>42770.0</v>
      </c>
      <c r="B207" s="13" t="s">
        <v>265</v>
      </c>
      <c r="C207" s="16" t="s">
        <v>363</v>
      </c>
      <c r="D207" s="16" t="s">
        <v>267</v>
      </c>
      <c r="E207" s="16" t="s">
        <v>268</v>
      </c>
      <c r="F207" s="16">
        <v>29.67161</v>
      </c>
      <c r="G207" s="16">
        <v>-84.86168</v>
      </c>
      <c r="H207" s="13">
        <v>29.67138</v>
      </c>
      <c r="I207" s="13">
        <v>-84.85575</v>
      </c>
      <c r="J207" s="13" t="s">
        <v>1196</v>
      </c>
      <c r="K207" s="13" t="s">
        <v>1197</v>
      </c>
      <c r="L207" s="13">
        <v>1.0</v>
      </c>
      <c r="M207" s="13">
        <v>29.67214</v>
      </c>
      <c r="N207" s="13">
        <v>-84.85898</v>
      </c>
      <c r="O207" s="13" t="s">
        <v>1198</v>
      </c>
      <c r="P207" s="14" t="s">
        <v>1199</v>
      </c>
    </row>
    <row r="208" ht="33.75" customHeight="1">
      <c r="A208" s="11">
        <v>42770.0</v>
      </c>
      <c r="B208" s="13" t="s">
        <v>265</v>
      </c>
      <c r="C208" s="16" t="s">
        <v>363</v>
      </c>
      <c r="D208" s="13" t="s">
        <v>1200</v>
      </c>
      <c r="E208" s="13" t="s">
        <v>268</v>
      </c>
      <c r="F208" s="13">
        <v>29.73319</v>
      </c>
      <c r="G208" s="13">
        <v>-84.88037</v>
      </c>
      <c r="H208" s="13">
        <v>29.74164</v>
      </c>
      <c r="I208" s="13">
        <v>-84.86646</v>
      </c>
      <c r="J208" s="13" t="s">
        <v>1201</v>
      </c>
      <c r="K208" s="13" t="s">
        <v>1202</v>
      </c>
      <c r="L208" s="13">
        <v>1.0</v>
      </c>
      <c r="M208" s="13">
        <v>29.73341</v>
      </c>
      <c r="N208" s="13">
        <v>-84.88103</v>
      </c>
      <c r="O208" s="13" t="s">
        <v>1204</v>
      </c>
    </row>
    <row r="209" ht="33.75" customHeight="1">
      <c r="A209" s="11">
        <v>42770.0</v>
      </c>
      <c r="B209" s="13" t="s">
        <v>265</v>
      </c>
      <c r="C209" s="16" t="s">
        <v>363</v>
      </c>
      <c r="D209" s="13" t="s">
        <v>1200</v>
      </c>
      <c r="E209" s="13" t="s">
        <v>268</v>
      </c>
      <c r="F209" s="13">
        <v>29.73319</v>
      </c>
      <c r="G209" s="13">
        <v>-84.88037</v>
      </c>
      <c r="H209" s="13">
        <v>29.74164</v>
      </c>
      <c r="I209" s="13">
        <v>-84.86646</v>
      </c>
      <c r="J209" s="13" t="s">
        <v>1201</v>
      </c>
      <c r="K209" s="13" t="s">
        <v>1202</v>
      </c>
      <c r="L209" s="13">
        <v>2.0</v>
      </c>
      <c r="M209" s="13">
        <v>29.73519</v>
      </c>
      <c r="N209" s="13">
        <v>-84.87728</v>
      </c>
      <c r="O209" s="13" t="s">
        <v>1211</v>
      </c>
    </row>
    <row r="210" ht="33.75" customHeight="1">
      <c r="A210" s="11">
        <v>42770.0</v>
      </c>
      <c r="B210" s="13" t="s">
        <v>265</v>
      </c>
      <c r="C210" s="16" t="s">
        <v>363</v>
      </c>
      <c r="D210" s="13" t="s">
        <v>1200</v>
      </c>
      <c r="E210" s="13" t="s">
        <v>268</v>
      </c>
      <c r="F210" s="13">
        <v>29.73319</v>
      </c>
      <c r="G210" s="13">
        <v>-84.88037</v>
      </c>
      <c r="H210" s="13">
        <v>29.74164</v>
      </c>
      <c r="I210" s="13">
        <v>-84.86646</v>
      </c>
      <c r="J210" s="13" t="s">
        <v>1201</v>
      </c>
      <c r="K210" s="13" t="s">
        <v>1202</v>
      </c>
      <c r="L210" s="13">
        <v>3.0</v>
      </c>
      <c r="M210" s="13">
        <v>29.73758</v>
      </c>
      <c r="N210" s="13">
        <v>-84.87234</v>
      </c>
      <c r="O210" s="13" t="s">
        <v>1212</v>
      </c>
      <c r="P210" s="47"/>
    </row>
    <row r="211" ht="33.75" customHeight="1">
      <c r="A211" s="11">
        <v>42770.0</v>
      </c>
      <c r="B211" s="13" t="s">
        <v>265</v>
      </c>
      <c r="C211" s="16" t="s">
        <v>363</v>
      </c>
      <c r="D211" s="13" t="s">
        <v>1200</v>
      </c>
      <c r="E211" s="13" t="s">
        <v>268</v>
      </c>
      <c r="F211" s="13">
        <v>29.73319</v>
      </c>
      <c r="G211" s="13">
        <v>-84.88037</v>
      </c>
      <c r="H211" s="13">
        <v>29.74164</v>
      </c>
      <c r="I211" s="13">
        <v>-84.86646</v>
      </c>
      <c r="J211" s="13" t="s">
        <v>1201</v>
      </c>
      <c r="K211" s="13" t="s">
        <v>1202</v>
      </c>
      <c r="L211" s="13">
        <v>4.0</v>
      </c>
      <c r="M211" s="13">
        <v>29.73835</v>
      </c>
      <c r="N211" s="13">
        <v>-84.8721</v>
      </c>
      <c r="O211" s="13" t="s">
        <v>1213</v>
      </c>
      <c r="P211" s="47"/>
    </row>
    <row r="212" ht="33.75" customHeight="1">
      <c r="A212" s="11">
        <v>42770.0</v>
      </c>
      <c r="B212" s="13" t="s">
        <v>265</v>
      </c>
      <c r="C212" s="16" t="s">
        <v>363</v>
      </c>
      <c r="D212" s="13" t="s">
        <v>1200</v>
      </c>
      <c r="E212" s="13" t="s">
        <v>268</v>
      </c>
      <c r="F212" s="13">
        <v>29.73319</v>
      </c>
      <c r="G212" s="13">
        <v>-84.88037</v>
      </c>
      <c r="H212" s="13">
        <v>29.74164</v>
      </c>
      <c r="I212" s="13">
        <v>-84.86646</v>
      </c>
      <c r="J212" s="13" t="s">
        <v>1201</v>
      </c>
      <c r="K212" s="13" t="s">
        <v>1202</v>
      </c>
      <c r="L212" s="13">
        <v>5.0</v>
      </c>
      <c r="M212" s="13">
        <v>29.73972</v>
      </c>
      <c r="N212" s="13">
        <v>-84.86971</v>
      </c>
      <c r="O212" s="13" t="s">
        <v>1214</v>
      </c>
      <c r="P212" s="47"/>
    </row>
    <row r="213" ht="33.75" customHeight="1">
      <c r="A213" s="11">
        <v>42770.0</v>
      </c>
      <c r="B213" s="13" t="s">
        <v>265</v>
      </c>
      <c r="C213" s="16" t="s">
        <v>363</v>
      </c>
      <c r="D213" s="13" t="s">
        <v>1200</v>
      </c>
      <c r="E213" s="13" t="s">
        <v>268</v>
      </c>
      <c r="F213" s="13">
        <v>29.73319</v>
      </c>
      <c r="G213" s="13">
        <v>-84.88037</v>
      </c>
      <c r="H213" s="13">
        <v>29.74164</v>
      </c>
      <c r="I213" s="13">
        <v>-84.86646</v>
      </c>
      <c r="J213" s="13" t="s">
        <v>1201</v>
      </c>
      <c r="K213" s="13" t="s">
        <v>1202</v>
      </c>
      <c r="L213" s="13">
        <v>6.0</v>
      </c>
      <c r="M213" s="13">
        <v>29.74148</v>
      </c>
      <c r="N213" s="13">
        <v>-84.86677</v>
      </c>
      <c r="O213" s="13" t="s">
        <v>1216</v>
      </c>
      <c r="P213" s="47"/>
    </row>
    <row r="214" ht="33.75" customHeight="1">
      <c r="A214" s="11">
        <v>42770.0</v>
      </c>
      <c r="B214" s="13" t="s">
        <v>265</v>
      </c>
      <c r="C214" s="16" t="s">
        <v>363</v>
      </c>
      <c r="D214" s="16" t="s">
        <v>267</v>
      </c>
      <c r="E214" s="16" t="s">
        <v>268</v>
      </c>
      <c r="F214" s="16">
        <v>29.67161</v>
      </c>
      <c r="G214" s="16">
        <v>-84.86168</v>
      </c>
      <c r="H214" s="13">
        <v>29.67138</v>
      </c>
      <c r="I214" s="13">
        <v>-84.85575</v>
      </c>
      <c r="J214" s="13" t="s">
        <v>1196</v>
      </c>
      <c r="K214" s="13" t="s">
        <v>1197</v>
      </c>
      <c r="L214" s="13">
        <v>2.0</v>
      </c>
      <c r="M214" s="13">
        <v>29.67166</v>
      </c>
      <c r="N214" s="13">
        <v>-84.85786</v>
      </c>
      <c r="O214" s="13" t="s">
        <v>1219</v>
      </c>
      <c r="P214" s="47"/>
    </row>
    <row r="215" ht="33.75" customHeight="1">
      <c r="A215" s="41">
        <v>42770.0</v>
      </c>
      <c r="B215" s="13" t="s">
        <v>1221</v>
      </c>
      <c r="C215" s="16" t="s">
        <v>597</v>
      </c>
      <c r="D215" s="16" t="s">
        <v>1222</v>
      </c>
      <c r="E215" s="16" t="s">
        <v>268</v>
      </c>
      <c r="F215" s="16">
        <v>29.68751</v>
      </c>
      <c r="G215" s="16">
        <v>-84.87695</v>
      </c>
      <c r="H215" s="13">
        <v>29.70329</v>
      </c>
      <c r="I215" s="13">
        <v>-84.88691</v>
      </c>
      <c r="J215" s="13" t="s">
        <v>1223</v>
      </c>
      <c r="K215" s="13" t="s">
        <v>1224</v>
      </c>
      <c r="L215" s="13">
        <v>1.0</v>
      </c>
      <c r="M215" s="13">
        <v>29.68846</v>
      </c>
      <c r="N215" s="13">
        <v>-84.87742</v>
      </c>
      <c r="O215" s="13" t="s">
        <v>1198</v>
      </c>
      <c r="P215" s="14"/>
    </row>
    <row r="216" ht="33.75" customHeight="1">
      <c r="A216" s="41">
        <v>42770.0</v>
      </c>
      <c r="B216" s="13" t="s">
        <v>1221</v>
      </c>
      <c r="C216" s="16" t="s">
        <v>597</v>
      </c>
      <c r="D216" s="16" t="s">
        <v>1222</v>
      </c>
      <c r="E216" s="16" t="s">
        <v>268</v>
      </c>
      <c r="F216" s="16">
        <v>29.68751</v>
      </c>
      <c r="G216" s="16">
        <v>-84.87695</v>
      </c>
      <c r="H216" s="13">
        <v>29.70329</v>
      </c>
      <c r="I216" s="13">
        <v>-84.88691</v>
      </c>
      <c r="J216" s="13" t="s">
        <v>1223</v>
      </c>
      <c r="K216" s="13" t="s">
        <v>1224</v>
      </c>
      <c r="L216" s="13">
        <v>2.0</v>
      </c>
      <c r="M216" s="13">
        <v>29.69079</v>
      </c>
      <c r="N216" s="13">
        <v>-84.87905</v>
      </c>
      <c r="O216" s="13" t="s">
        <v>1198</v>
      </c>
      <c r="P216" s="14"/>
    </row>
    <row r="217" ht="33.75" customHeight="1">
      <c r="A217" s="41">
        <v>42770.0</v>
      </c>
      <c r="B217" s="13" t="s">
        <v>1221</v>
      </c>
      <c r="C217" s="16" t="s">
        <v>597</v>
      </c>
      <c r="D217" s="16" t="s">
        <v>1222</v>
      </c>
      <c r="E217" s="16" t="s">
        <v>268</v>
      </c>
      <c r="F217" s="16">
        <v>29.68751</v>
      </c>
      <c r="G217" s="16">
        <v>-84.87695</v>
      </c>
      <c r="H217" s="13">
        <v>29.70329</v>
      </c>
      <c r="I217" s="13">
        <v>-84.88691</v>
      </c>
      <c r="J217" s="13" t="s">
        <v>1223</v>
      </c>
      <c r="K217" s="13" t="s">
        <v>1224</v>
      </c>
      <c r="L217" s="13">
        <v>3.0</v>
      </c>
      <c r="M217" s="13">
        <v>29.70185</v>
      </c>
      <c r="N217" s="13">
        <v>-84.88689</v>
      </c>
      <c r="O217" s="13" t="s">
        <v>1198</v>
      </c>
      <c r="P217" s="14"/>
    </row>
    <row r="218" ht="33.75" customHeight="1">
      <c r="A218" s="41">
        <v>42770.0</v>
      </c>
      <c r="B218" s="13" t="s">
        <v>1221</v>
      </c>
      <c r="C218" s="16" t="s">
        <v>597</v>
      </c>
      <c r="D218" s="16" t="s">
        <v>1222</v>
      </c>
      <c r="E218" s="16" t="s">
        <v>268</v>
      </c>
      <c r="F218" s="16">
        <v>29.68751</v>
      </c>
      <c r="G218" s="16">
        <v>-84.87695</v>
      </c>
      <c r="H218" s="13">
        <v>29.70329</v>
      </c>
      <c r="I218" s="13">
        <v>-84.88691</v>
      </c>
      <c r="J218" s="13" t="s">
        <v>1223</v>
      </c>
      <c r="K218" s="13" t="s">
        <v>1224</v>
      </c>
      <c r="L218" s="13">
        <v>4.0</v>
      </c>
      <c r="M218" s="13">
        <v>29.7003</v>
      </c>
      <c r="N218" s="13">
        <v>-84.88689</v>
      </c>
      <c r="O218" s="13" t="s">
        <v>1198</v>
      </c>
      <c r="P218" s="14"/>
    </row>
    <row r="219" ht="33.75" customHeight="1">
      <c r="A219" s="41">
        <v>42771.0</v>
      </c>
      <c r="B219" s="16" t="s">
        <v>1226</v>
      </c>
      <c r="C219" s="16" t="s">
        <v>1227</v>
      </c>
      <c r="D219" s="16" t="s">
        <v>1228</v>
      </c>
      <c r="E219" s="16" t="s">
        <v>268</v>
      </c>
      <c r="F219" s="16">
        <v>29.69013</v>
      </c>
      <c r="G219" s="16">
        <v>-85.22767</v>
      </c>
      <c r="H219" s="13">
        <v>29.69732</v>
      </c>
      <c r="I219" s="13">
        <v>-85.20184</v>
      </c>
      <c r="J219" s="13" t="s">
        <v>1230</v>
      </c>
      <c r="K219" s="13" t="s">
        <v>1231</v>
      </c>
      <c r="L219" s="13">
        <v>1.0</v>
      </c>
      <c r="M219" s="13">
        <v>29.68864</v>
      </c>
      <c r="N219" s="13">
        <v>-85.22264</v>
      </c>
      <c r="O219" s="13" t="s">
        <v>1232</v>
      </c>
      <c r="P219" s="14"/>
    </row>
    <row r="220" ht="33.75" customHeight="1">
      <c r="A220" s="41">
        <v>42771.0</v>
      </c>
      <c r="B220" s="16" t="s">
        <v>1226</v>
      </c>
      <c r="C220" s="16" t="s">
        <v>1227</v>
      </c>
      <c r="D220" s="16" t="s">
        <v>1228</v>
      </c>
      <c r="E220" s="16" t="s">
        <v>268</v>
      </c>
      <c r="F220" s="16">
        <v>29.69013</v>
      </c>
      <c r="G220" s="16">
        <v>-85.22767</v>
      </c>
      <c r="H220" s="13">
        <v>29.69732</v>
      </c>
      <c r="I220" s="13">
        <v>-85.20184</v>
      </c>
      <c r="J220" s="13" t="s">
        <v>1230</v>
      </c>
      <c r="K220" s="13" t="s">
        <v>1231</v>
      </c>
      <c r="L220" s="13">
        <v>2.0</v>
      </c>
      <c r="M220" s="13">
        <v>29.68987</v>
      </c>
      <c r="N220" s="13">
        <v>-85.22306</v>
      </c>
      <c r="O220" s="13" t="s">
        <v>1198</v>
      </c>
      <c r="P220" s="14"/>
    </row>
    <row r="221" ht="33.75" customHeight="1">
      <c r="A221" s="41">
        <v>42771.0</v>
      </c>
      <c r="B221" s="16" t="s">
        <v>1226</v>
      </c>
      <c r="C221" s="16" t="s">
        <v>1227</v>
      </c>
      <c r="D221" s="16" t="s">
        <v>1228</v>
      </c>
      <c r="E221" s="16" t="s">
        <v>268</v>
      </c>
      <c r="F221" s="16">
        <v>29.69013</v>
      </c>
      <c r="G221" s="16">
        <v>-85.22767</v>
      </c>
      <c r="H221" s="13">
        <v>29.69732</v>
      </c>
      <c r="I221" s="13">
        <v>-85.20184</v>
      </c>
      <c r="J221" s="13" t="s">
        <v>1230</v>
      </c>
      <c r="K221" s="13" t="s">
        <v>1231</v>
      </c>
      <c r="L221" s="13">
        <v>3.0</v>
      </c>
      <c r="M221" s="13">
        <v>29.69113</v>
      </c>
      <c r="N221" s="13">
        <v>-85.22047</v>
      </c>
      <c r="O221" s="13" t="s">
        <v>1236</v>
      </c>
      <c r="P221" s="14"/>
    </row>
    <row r="222" ht="33.75" customHeight="1">
      <c r="A222" s="41">
        <v>42771.0</v>
      </c>
      <c r="B222" s="16" t="s">
        <v>1226</v>
      </c>
      <c r="C222" s="16" t="s">
        <v>1227</v>
      </c>
      <c r="D222" s="16" t="s">
        <v>1228</v>
      </c>
      <c r="E222" s="16" t="s">
        <v>268</v>
      </c>
      <c r="F222" s="16">
        <v>29.69013</v>
      </c>
      <c r="G222" s="16">
        <v>-85.22767</v>
      </c>
      <c r="H222" s="13">
        <v>29.69732</v>
      </c>
      <c r="I222" s="13">
        <v>-85.20184</v>
      </c>
      <c r="J222" s="13" t="s">
        <v>1230</v>
      </c>
      <c r="K222" s="13" t="s">
        <v>1231</v>
      </c>
      <c r="L222" s="13">
        <v>4.0</v>
      </c>
      <c r="M222" s="13">
        <v>29.69084</v>
      </c>
      <c r="N222" s="13">
        <v>-85.22228</v>
      </c>
      <c r="O222" s="13" t="s">
        <v>1242</v>
      </c>
      <c r="P222" s="14"/>
    </row>
    <row r="223" ht="33.75" customHeight="1">
      <c r="A223" s="41">
        <v>42771.0</v>
      </c>
      <c r="B223" s="16" t="s">
        <v>1226</v>
      </c>
      <c r="C223" s="16" t="s">
        <v>1227</v>
      </c>
      <c r="D223" s="16" t="s">
        <v>1228</v>
      </c>
      <c r="E223" s="16" t="s">
        <v>268</v>
      </c>
      <c r="F223" s="16">
        <v>29.69013</v>
      </c>
      <c r="G223" s="16">
        <v>-85.22767</v>
      </c>
      <c r="H223" s="13">
        <v>29.69732</v>
      </c>
      <c r="I223" s="13">
        <v>-85.20184</v>
      </c>
      <c r="J223" s="13" t="s">
        <v>1230</v>
      </c>
      <c r="K223" s="13" t="s">
        <v>1231</v>
      </c>
      <c r="L223" s="13">
        <v>5.0</v>
      </c>
      <c r="M223" s="13">
        <v>29.69048</v>
      </c>
      <c r="N223" s="13">
        <v>-85.22335</v>
      </c>
      <c r="O223" s="13" t="s">
        <v>1245</v>
      </c>
      <c r="P223" s="14"/>
    </row>
    <row r="224" ht="33.75" customHeight="1">
      <c r="A224" s="41">
        <v>42771.0</v>
      </c>
      <c r="B224" s="16" t="s">
        <v>1226</v>
      </c>
      <c r="C224" s="16" t="s">
        <v>1227</v>
      </c>
      <c r="D224" s="16" t="s">
        <v>1228</v>
      </c>
      <c r="E224" s="16" t="s">
        <v>268</v>
      </c>
      <c r="F224" s="16">
        <v>29.69013</v>
      </c>
      <c r="G224" s="16">
        <v>-85.22767</v>
      </c>
      <c r="H224" s="13">
        <v>29.69732</v>
      </c>
      <c r="I224" s="13">
        <v>-85.20184</v>
      </c>
      <c r="J224" s="13" t="s">
        <v>1230</v>
      </c>
      <c r="K224" s="13" t="s">
        <v>1231</v>
      </c>
      <c r="L224" s="13">
        <v>6.0</v>
      </c>
      <c r="M224" s="13">
        <v>29.69013</v>
      </c>
      <c r="N224" s="13">
        <v>-85.22767</v>
      </c>
      <c r="O224" s="13" t="s">
        <v>1253</v>
      </c>
      <c r="P224" s="14"/>
    </row>
    <row r="225" ht="33.75" customHeight="1">
      <c r="A225" s="41">
        <v>42771.0</v>
      </c>
      <c r="B225" s="16" t="s">
        <v>1226</v>
      </c>
      <c r="C225" s="16" t="s">
        <v>1227</v>
      </c>
      <c r="D225" s="16" t="s">
        <v>1228</v>
      </c>
      <c r="E225" s="16" t="s">
        <v>268</v>
      </c>
      <c r="F225" s="16">
        <v>29.69013</v>
      </c>
      <c r="G225" s="16">
        <v>-85.22767</v>
      </c>
      <c r="H225" s="13">
        <v>29.69732</v>
      </c>
      <c r="I225" s="13">
        <v>-85.20184</v>
      </c>
      <c r="J225" s="13" t="s">
        <v>1230</v>
      </c>
      <c r="K225" s="13" t="s">
        <v>1231</v>
      </c>
      <c r="L225" s="13">
        <v>7.0</v>
      </c>
      <c r="M225" s="13">
        <v>29.68724</v>
      </c>
      <c r="N225" s="13">
        <v>-85.22533</v>
      </c>
      <c r="O225" s="13" t="s">
        <v>1256</v>
      </c>
      <c r="P225" s="14"/>
    </row>
    <row r="226" ht="33.75" customHeight="1">
      <c r="A226" s="41">
        <v>42771.0</v>
      </c>
      <c r="B226" s="16" t="s">
        <v>1226</v>
      </c>
      <c r="C226" s="16" t="s">
        <v>1227</v>
      </c>
      <c r="D226" s="16" t="s">
        <v>1228</v>
      </c>
      <c r="E226" s="16" t="s">
        <v>268</v>
      </c>
      <c r="F226" s="16">
        <v>29.69013</v>
      </c>
      <c r="G226" s="16">
        <v>-85.22767</v>
      </c>
      <c r="H226" s="13">
        <v>29.69732</v>
      </c>
      <c r="I226" s="13">
        <v>-85.20184</v>
      </c>
      <c r="J226" s="13" t="s">
        <v>1230</v>
      </c>
      <c r="K226" s="13" t="s">
        <v>1231</v>
      </c>
      <c r="L226" s="13">
        <v>8.0</v>
      </c>
      <c r="M226" s="13">
        <v>29.68892</v>
      </c>
      <c r="N226" s="13">
        <v>-85.22103</v>
      </c>
      <c r="O226" s="13" t="s">
        <v>1260</v>
      </c>
      <c r="P226" s="14"/>
    </row>
    <row r="227" ht="33.75" customHeight="1">
      <c r="A227" s="41">
        <v>42771.0</v>
      </c>
      <c r="B227" s="16" t="s">
        <v>1226</v>
      </c>
      <c r="C227" s="16" t="s">
        <v>1227</v>
      </c>
      <c r="D227" s="16" t="s">
        <v>1228</v>
      </c>
      <c r="E227" s="16" t="s">
        <v>268</v>
      </c>
      <c r="F227" s="16">
        <v>29.69013</v>
      </c>
      <c r="G227" s="16">
        <v>-85.22767</v>
      </c>
      <c r="H227" s="13">
        <v>29.69732</v>
      </c>
      <c r="I227" s="13">
        <v>-85.20184</v>
      </c>
      <c r="J227" s="13" t="s">
        <v>1230</v>
      </c>
      <c r="K227" s="13" t="s">
        <v>1231</v>
      </c>
      <c r="L227" s="13">
        <v>9.0</v>
      </c>
      <c r="M227" s="13">
        <v>29.69178</v>
      </c>
      <c r="N227" s="13">
        <v>-85.21281</v>
      </c>
      <c r="O227" s="13" t="s">
        <v>1263</v>
      </c>
      <c r="P227" s="14"/>
    </row>
    <row r="228" ht="33.75" customHeight="1">
      <c r="A228" s="41">
        <v>42771.0</v>
      </c>
      <c r="B228" s="16" t="s">
        <v>1226</v>
      </c>
      <c r="C228" s="16" t="s">
        <v>1227</v>
      </c>
      <c r="D228" s="16" t="s">
        <v>1228</v>
      </c>
      <c r="E228" s="16" t="s">
        <v>268</v>
      </c>
      <c r="F228" s="16">
        <v>29.69013</v>
      </c>
      <c r="G228" s="16">
        <v>-85.22767</v>
      </c>
      <c r="H228" s="13">
        <v>29.69732</v>
      </c>
      <c r="I228" s="13">
        <v>-85.20184</v>
      </c>
      <c r="J228" s="13" t="s">
        <v>1230</v>
      </c>
      <c r="K228" s="13" t="s">
        <v>1231</v>
      </c>
      <c r="L228" s="13">
        <v>10.0</v>
      </c>
      <c r="M228" s="13">
        <v>29.6917</v>
      </c>
      <c r="N228" s="13">
        <v>-85.20908</v>
      </c>
      <c r="O228" s="13" t="s">
        <v>1268</v>
      </c>
      <c r="P228" s="14"/>
    </row>
    <row r="229" ht="33.75" customHeight="1">
      <c r="A229" s="41">
        <v>42771.0</v>
      </c>
      <c r="B229" s="16" t="s">
        <v>1226</v>
      </c>
      <c r="C229" s="16" t="s">
        <v>1227</v>
      </c>
      <c r="D229" s="16" t="s">
        <v>1234</v>
      </c>
      <c r="E229" s="16" t="s">
        <v>268</v>
      </c>
      <c r="F229" s="16">
        <v>29.69643</v>
      </c>
      <c r="G229" s="16">
        <v>-85.19943</v>
      </c>
      <c r="H229" s="13">
        <v>29.69351</v>
      </c>
      <c r="I229" s="13">
        <v>-85.17718</v>
      </c>
      <c r="J229" s="13" t="s">
        <v>1237</v>
      </c>
      <c r="K229" s="13" t="s">
        <v>1238</v>
      </c>
      <c r="L229" s="13">
        <v>0.0</v>
      </c>
      <c r="M229" s="13" t="s">
        <v>1271</v>
      </c>
      <c r="N229" s="13"/>
      <c r="O229" s="13" t="s">
        <v>1272</v>
      </c>
      <c r="P229" s="14"/>
    </row>
    <row r="230" ht="33.75" customHeight="1">
      <c r="A230" s="41">
        <v>42773.0</v>
      </c>
      <c r="B230" s="16" t="s">
        <v>1246</v>
      </c>
      <c r="C230" s="13" t="s">
        <v>1247</v>
      </c>
      <c r="D230" s="16" t="s">
        <v>1275</v>
      </c>
      <c r="E230" s="16" t="s">
        <v>268</v>
      </c>
      <c r="F230" s="16">
        <v>29.83082</v>
      </c>
      <c r="G230" s="16">
        <v>-84.68427</v>
      </c>
      <c r="H230" s="13">
        <v>29.83151</v>
      </c>
      <c r="I230" s="13">
        <v>-84.67459</v>
      </c>
      <c r="J230" s="13" t="s">
        <v>1276</v>
      </c>
      <c r="K230" s="13" t="s">
        <v>1277</v>
      </c>
      <c r="L230" s="13">
        <v>0.0</v>
      </c>
      <c r="M230" s="13"/>
      <c r="N230" s="13"/>
      <c r="O230" s="13"/>
      <c r="P230" s="14" t="s">
        <v>1278</v>
      </c>
    </row>
    <row r="231" ht="33.75" customHeight="1">
      <c r="A231" s="41">
        <v>42773.0</v>
      </c>
      <c r="B231" s="16" t="s">
        <v>1246</v>
      </c>
      <c r="C231" s="13" t="s">
        <v>1247</v>
      </c>
      <c r="D231" s="16" t="s">
        <v>1282</v>
      </c>
      <c r="E231" s="16" t="s">
        <v>268</v>
      </c>
      <c r="F231" s="16">
        <v>29.78577</v>
      </c>
      <c r="G231" s="16">
        <v>-84.76764</v>
      </c>
      <c r="H231" s="13">
        <v>29.78787</v>
      </c>
      <c r="I231" s="13">
        <v>-84.76312</v>
      </c>
      <c r="J231" s="13" t="s">
        <v>1285</v>
      </c>
      <c r="K231" s="13" t="s">
        <v>1286</v>
      </c>
      <c r="L231" s="13">
        <v>0.0</v>
      </c>
      <c r="M231" s="13"/>
      <c r="N231" s="13"/>
      <c r="O231" s="13"/>
      <c r="P231" s="14" t="s">
        <v>1287</v>
      </c>
    </row>
    <row r="232" ht="33.75" customHeight="1">
      <c r="A232" s="41">
        <v>42773.0</v>
      </c>
      <c r="B232" s="16" t="s">
        <v>1246</v>
      </c>
      <c r="C232" s="13" t="s">
        <v>1247</v>
      </c>
      <c r="D232" s="13" t="s">
        <v>1248</v>
      </c>
      <c r="E232" s="16" t="s">
        <v>268</v>
      </c>
      <c r="F232" s="13">
        <v>29.91548</v>
      </c>
      <c r="G232" s="13">
        <v>-84.5156</v>
      </c>
      <c r="H232" s="13">
        <v>29.91498</v>
      </c>
      <c r="I232" s="14">
        <v>-84.51257</v>
      </c>
      <c r="J232" s="13" t="s">
        <v>1249</v>
      </c>
      <c r="K232" s="13" t="s">
        <v>1250</v>
      </c>
      <c r="L232" s="13">
        <v>1.0</v>
      </c>
      <c r="M232" s="13">
        <v>29.91501</v>
      </c>
      <c r="N232" s="14">
        <v>-84.51823</v>
      </c>
      <c r="O232" s="13" t="s">
        <v>1292</v>
      </c>
      <c r="P232" s="14" t="s">
        <v>1294</v>
      </c>
    </row>
    <row r="233" ht="33.75" customHeight="1">
      <c r="A233" s="41">
        <v>42773.0</v>
      </c>
      <c r="B233" s="16" t="s">
        <v>110</v>
      </c>
      <c r="C233" s="16" t="s">
        <v>514</v>
      </c>
      <c r="D233" s="16" t="s">
        <v>1076</v>
      </c>
      <c r="E233" s="16" t="s">
        <v>268</v>
      </c>
      <c r="F233" s="16">
        <v>29.90608</v>
      </c>
      <c r="G233" s="16">
        <v>-84.3647</v>
      </c>
      <c r="H233" s="13">
        <v>29.91066</v>
      </c>
      <c r="I233" s="13">
        <v>-84.38499</v>
      </c>
      <c r="J233" s="13" t="s">
        <v>1257</v>
      </c>
      <c r="K233" s="13" t="s">
        <v>1258</v>
      </c>
      <c r="L233" s="13">
        <v>1.0</v>
      </c>
      <c r="M233" s="13">
        <v>29.90291</v>
      </c>
      <c r="N233" s="13">
        <v>-84.36942</v>
      </c>
      <c r="O233" s="13" t="s">
        <v>1297</v>
      </c>
      <c r="P233" s="14" t="s">
        <v>1299</v>
      </c>
    </row>
    <row r="234" ht="33.75" customHeight="1">
      <c r="A234" s="41">
        <v>42773.0</v>
      </c>
      <c r="B234" s="16" t="s">
        <v>110</v>
      </c>
      <c r="C234" s="16" t="s">
        <v>514</v>
      </c>
      <c r="D234" s="16" t="s">
        <v>1076</v>
      </c>
      <c r="E234" s="16" t="s">
        <v>268</v>
      </c>
      <c r="F234" s="16">
        <v>29.90608</v>
      </c>
      <c r="G234" s="16">
        <v>-84.3647</v>
      </c>
      <c r="H234" s="13">
        <v>29.91066</v>
      </c>
      <c r="I234" s="13">
        <v>-84.38499</v>
      </c>
      <c r="J234" s="13" t="s">
        <v>1257</v>
      </c>
      <c r="K234" s="13" t="s">
        <v>1258</v>
      </c>
      <c r="L234" s="13">
        <v>2.0</v>
      </c>
      <c r="M234" s="13">
        <v>29.90144</v>
      </c>
      <c r="N234" s="13">
        <v>-84.3704</v>
      </c>
      <c r="O234" s="13" t="s">
        <v>1305</v>
      </c>
      <c r="P234" s="14" t="s">
        <v>1306</v>
      </c>
    </row>
    <row r="235" ht="33.75" customHeight="1">
      <c r="A235" s="41">
        <v>42773.0</v>
      </c>
      <c r="B235" s="16" t="s">
        <v>110</v>
      </c>
      <c r="C235" s="16" t="s">
        <v>514</v>
      </c>
      <c r="D235" s="16" t="s">
        <v>1076</v>
      </c>
      <c r="E235" s="16" t="s">
        <v>268</v>
      </c>
      <c r="F235" s="16">
        <v>29.90608</v>
      </c>
      <c r="G235" s="16">
        <v>-84.3647</v>
      </c>
      <c r="H235" s="13">
        <v>29.91066</v>
      </c>
      <c r="I235" s="13">
        <v>-84.38499</v>
      </c>
      <c r="J235" s="13" t="s">
        <v>1257</v>
      </c>
      <c r="K235" s="13" t="s">
        <v>1258</v>
      </c>
      <c r="L235" s="13">
        <v>3.0</v>
      </c>
      <c r="M235" s="13">
        <v>29.90016</v>
      </c>
      <c r="N235" s="13">
        <v>-84.37054</v>
      </c>
      <c r="O235" s="13" t="s">
        <v>1311</v>
      </c>
      <c r="P235" s="14" t="s">
        <v>1312</v>
      </c>
    </row>
    <row r="236" ht="33.75" customHeight="1">
      <c r="A236" s="41">
        <v>42773.0</v>
      </c>
      <c r="B236" s="16" t="s">
        <v>110</v>
      </c>
      <c r="C236" s="16" t="s">
        <v>514</v>
      </c>
      <c r="D236" s="16" t="s">
        <v>1076</v>
      </c>
      <c r="E236" s="16" t="s">
        <v>268</v>
      </c>
      <c r="F236" s="16">
        <v>29.90608</v>
      </c>
      <c r="G236" s="16">
        <v>-84.3647</v>
      </c>
      <c r="H236" s="13">
        <v>29.91066</v>
      </c>
      <c r="I236" s="13">
        <v>-84.38499</v>
      </c>
      <c r="J236" s="13" t="s">
        <v>1257</v>
      </c>
      <c r="K236" s="13" t="s">
        <v>1258</v>
      </c>
      <c r="L236" s="13">
        <v>4.0</v>
      </c>
      <c r="M236" s="13">
        <v>29.90991</v>
      </c>
      <c r="N236" s="13">
        <v>-84.38548</v>
      </c>
      <c r="O236" s="13" t="s">
        <v>1313</v>
      </c>
      <c r="P236" s="14" t="s">
        <v>1314</v>
      </c>
    </row>
    <row r="237" ht="33.75" customHeight="1">
      <c r="A237" s="41">
        <v>42773.0</v>
      </c>
      <c r="B237" s="16" t="s">
        <v>110</v>
      </c>
      <c r="C237" s="16" t="s">
        <v>514</v>
      </c>
      <c r="D237" s="16" t="s">
        <v>1076</v>
      </c>
      <c r="E237" s="16" t="s">
        <v>268</v>
      </c>
      <c r="F237" s="16">
        <v>29.90608</v>
      </c>
      <c r="G237" s="16">
        <v>-84.3647</v>
      </c>
      <c r="H237" s="13">
        <v>29.91066</v>
      </c>
      <c r="I237" s="13">
        <v>-84.38499</v>
      </c>
      <c r="J237" s="13" t="s">
        <v>1257</v>
      </c>
      <c r="K237" s="13" t="s">
        <v>1258</v>
      </c>
      <c r="L237" s="13">
        <v>5.0</v>
      </c>
      <c r="M237" s="13">
        <v>29.91414</v>
      </c>
      <c r="N237" s="13">
        <v>-84.38168</v>
      </c>
      <c r="O237" s="13" t="s">
        <v>1316</v>
      </c>
      <c r="P237" s="14" t="s">
        <v>1317</v>
      </c>
    </row>
    <row r="238" ht="33.75" customHeight="1">
      <c r="A238" s="41">
        <v>42773.0</v>
      </c>
      <c r="B238" s="16" t="s">
        <v>1280</v>
      </c>
      <c r="C238" s="16" t="s">
        <v>412</v>
      </c>
      <c r="D238" s="16" t="s">
        <v>1281</v>
      </c>
      <c r="E238" s="16" t="s">
        <v>268</v>
      </c>
      <c r="F238" s="16">
        <v>29.68304</v>
      </c>
      <c r="G238" s="16">
        <v>-85.2223</v>
      </c>
      <c r="H238" s="13">
        <v>29.676</v>
      </c>
      <c r="I238" s="13">
        <v>-85.3336</v>
      </c>
      <c r="J238" s="13" t="s">
        <v>1283</v>
      </c>
      <c r="K238" s="13" t="s">
        <v>1284</v>
      </c>
      <c r="L238" s="13">
        <v>1.0</v>
      </c>
      <c r="M238" s="13">
        <v>29.68405</v>
      </c>
      <c r="N238" s="13">
        <v>-85.28609</v>
      </c>
      <c r="O238" s="13" t="s">
        <v>1320</v>
      </c>
      <c r="P238" s="47"/>
    </row>
    <row r="239" ht="33.75" customHeight="1">
      <c r="A239" s="41">
        <v>42773.0</v>
      </c>
      <c r="B239" s="16" t="s">
        <v>110</v>
      </c>
      <c r="C239" s="16" t="s">
        <v>514</v>
      </c>
      <c r="D239" s="16" t="s">
        <v>1264</v>
      </c>
      <c r="E239" s="16" t="s">
        <v>268</v>
      </c>
      <c r="F239" s="16">
        <v>29.80443</v>
      </c>
      <c r="G239" s="16">
        <v>-84.73568</v>
      </c>
      <c r="H239" s="13">
        <v>29.80652</v>
      </c>
      <c r="I239" s="13">
        <v>-84.72747</v>
      </c>
      <c r="J239" s="13" t="s">
        <v>1266</v>
      </c>
      <c r="K239" s="13" t="s">
        <v>1267</v>
      </c>
      <c r="L239" s="13">
        <v>1.0</v>
      </c>
      <c r="M239" s="13">
        <v>29.80443</v>
      </c>
      <c r="N239" s="13">
        <v>-84.7356</v>
      </c>
      <c r="O239" s="13" t="s">
        <v>1322</v>
      </c>
      <c r="P239" s="14"/>
    </row>
    <row r="240" ht="33.75" customHeight="1">
      <c r="A240" s="41">
        <v>42773.0</v>
      </c>
      <c r="B240" s="16" t="s">
        <v>110</v>
      </c>
      <c r="C240" s="16" t="s">
        <v>514</v>
      </c>
      <c r="D240" s="16" t="s">
        <v>1264</v>
      </c>
      <c r="E240" s="16" t="s">
        <v>268</v>
      </c>
      <c r="F240" s="16">
        <v>29.80443</v>
      </c>
      <c r="G240" s="16">
        <v>-84.73568</v>
      </c>
      <c r="H240" s="13">
        <v>29.80652</v>
      </c>
      <c r="I240" s="13">
        <v>-84.72747</v>
      </c>
      <c r="J240" s="13" t="s">
        <v>1266</v>
      </c>
      <c r="K240" s="13" t="s">
        <v>1267</v>
      </c>
      <c r="L240" s="13">
        <v>2.0</v>
      </c>
      <c r="M240" s="13">
        <v>29.80652</v>
      </c>
      <c r="N240" s="13">
        <v>-84.72747</v>
      </c>
      <c r="O240" s="13" t="s">
        <v>1323</v>
      </c>
      <c r="P240" s="47"/>
    </row>
    <row r="241" ht="33.75" customHeight="1">
      <c r="A241" s="41">
        <v>42773.0</v>
      </c>
      <c r="B241" s="16" t="s">
        <v>1280</v>
      </c>
      <c r="C241" s="16" t="s">
        <v>412</v>
      </c>
      <c r="D241" s="16" t="s">
        <v>1281</v>
      </c>
      <c r="E241" s="16" t="s">
        <v>268</v>
      </c>
      <c r="F241" s="16">
        <v>29.68304</v>
      </c>
      <c r="G241" s="16">
        <v>-85.2223</v>
      </c>
      <c r="H241" s="13">
        <v>29.676</v>
      </c>
      <c r="I241" s="13">
        <v>-85.3336</v>
      </c>
      <c r="J241" s="13" t="s">
        <v>1283</v>
      </c>
      <c r="K241" s="13" t="s">
        <v>1284</v>
      </c>
      <c r="L241" s="13">
        <v>2.0</v>
      </c>
      <c r="M241" s="13">
        <v>29.68262</v>
      </c>
      <c r="N241" s="13">
        <v>-85.30961</v>
      </c>
      <c r="O241" s="13" t="s">
        <v>1326</v>
      </c>
      <c r="P241" s="14"/>
    </row>
    <row r="242" ht="33.75" customHeight="1">
      <c r="A242" s="41">
        <v>42773.0</v>
      </c>
      <c r="B242" s="16" t="s">
        <v>1280</v>
      </c>
      <c r="C242" s="16" t="s">
        <v>412</v>
      </c>
      <c r="D242" s="16" t="s">
        <v>1281</v>
      </c>
      <c r="E242" s="16" t="s">
        <v>268</v>
      </c>
      <c r="F242" s="16">
        <v>29.68304</v>
      </c>
      <c r="G242" s="16">
        <v>-85.2223</v>
      </c>
      <c r="H242" s="13">
        <v>29.676</v>
      </c>
      <c r="I242" s="13">
        <v>-85.3336</v>
      </c>
      <c r="J242" s="13" t="s">
        <v>1283</v>
      </c>
      <c r="K242" s="13" t="s">
        <v>1284</v>
      </c>
      <c r="L242" s="13">
        <v>3.0</v>
      </c>
      <c r="M242" s="13">
        <v>29.68228</v>
      </c>
      <c r="N242" s="13">
        <v>-85.31124</v>
      </c>
      <c r="O242" s="13" t="s">
        <v>1329</v>
      </c>
      <c r="P242" s="47"/>
    </row>
    <row r="243" ht="33.75" customHeight="1">
      <c r="A243" s="41">
        <v>42773.0</v>
      </c>
      <c r="B243" s="16" t="s">
        <v>1280</v>
      </c>
      <c r="C243" s="16" t="s">
        <v>412</v>
      </c>
      <c r="D243" s="16" t="s">
        <v>1281</v>
      </c>
      <c r="E243" s="16" t="s">
        <v>268</v>
      </c>
      <c r="F243" s="16">
        <v>29.68304</v>
      </c>
      <c r="G243" s="16">
        <v>-85.2223</v>
      </c>
      <c r="H243" s="13">
        <v>29.676</v>
      </c>
      <c r="I243" s="13">
        <v>-85.3336</v>
      </c>
      <c r="J243" s="13" t="s">
        <v>1283</v>
      </c>
      <c r="K243" s="13" t="s">
        <v>1284</v>
      </c>
      <c r="L243" s="13">
        <v>4.0</v>
      </c>
      <c r="M243" s="13">
        <v>29.68116</v>
      </c>
      <c r="N243" s="13">
        <v>-85.31706</v>
      </c>
      <c r="O243" s="13" t="s">
        <v>1330</v>
      </c>
      <c r="P243" s="14"/>
    </row>
    <row r="244" ht="33.75" customHeight="1">
      <c r="A244" s="41">
        <v>42773.0</v>
      </c>
      <c r="B244" s="16" t="s">
        <v>1280</v>
      </c>
      <c r="C244" s="16" t="s">
        <v>412</v>
      </c>
      <c r="D244" s="16" t="s">
        <v>1281</v>
      </c>
      <c r="E244" s="16" t="s">
        <v>268</v>
      </c>
      <c r="F244" s="16">
        <v>29.68304</v>
      </c>
      <c r="G244" s="16">
        <v>-85.2223</v>
      </c>
      <c r="H244" s="13">
        <v>29.676</v>
      </c>
      <c r="I244" s="13">
        <v>-85.3336</v>
      </c>
      <c r="J244" s="13" t="s">
        <v>1283</v>
      </c>
      <c r="K244" s="13" t="s">
        <v>1284</v>
      </c>
      <c r="L244" s="13">
        <v>5.0</v>
      </c>
      <c r="M244" s="13">
        <v>29.67597</v>
      </c>
      <c r="N244" s="13">
        <v>-85.33337</v>
      </c>
      <c r="O244" s="13" t="s">
        <v>1331</v>
      </c>
      <c r="P244" s="14"/>
    </row>
    <row r="245" ht="33.75" customHeight="1">
      <c r="A245" s="41">
        <v>42773.0</v>
      </c>
      <c r="B245" s="16" t="s">
        <v>110</v>
      </c>
      <c r="C245" s="16" t="s">
        <v>514</v>
      </c>
      <c r="D245" s="16" t="s">
        <v>515</v>
      </c>
      <c r="E245" s="16" t="s">
        <v>268</v>
      </c>
      <c r="F245" s="16">
        <v>29.84594</v>
      </c>
      <c r="G245" s="16">
        <v>-84.66611</v>
      </c>
      <c r="H245" s="13">
        <v>29.83919</v>
      </c>
      <c r="I245" s="13">
        <v>-84.65692</v>
      </c>
      <c r="J245" s="13" t="s">
        <v>1298</v>
      </c>
      <c r="K245" s="13" t="s">
        <v>1300</v>
      </c>
      <c r="L245" s="13">
        <v>1.0</v>
      </c>
      <c r="M245" s="13">
        <v>29.83934</v>
      </c>
      <c r="N245" s="13">
        <v>-84.6687</v>
      </c>
      <c r="O245" s="13" t="s">
        <v>1335</v>
      </c>
      <c r="P245" s="14"/>
    </row>
    <row r="246" ht="33.75" customHeight="1">
      <c r="A246" s="43">
        <v>42773.0</v>
      </c>
      <c r="B246" s="16" t="s">
        <v>652</v>
      </c>
      <c r="C246" s="16" t="s">
        <v>195</v>
      </c>
      <c r="D246" s="16" t="s">
        <v>654</v>
      </c>
      <c r="E246" s="16" t="s">
        <v>268</v>
      </c>
      <c r="F246" s="16">
        <v>29.94735</v>
      </c>
      <c r="G246" s="16">
        <v>-84.34243</v>
      </c>
      <c r="H246" s="13">
        <v>29.93786</v>
      </c>
      <c r="I246" s="13">
        <v>-84.33559</v>
      </c>
      <c r="J246" s="13" t="s">
        <v>1324</v>
      </c>
      <c r="K246" s="13" t="s">
        <v>1325</v>
      </c>
      <c r="L246" s="13">
        <v>1.0</v>
      </c>
      <c r="M246" s="13">
        <v>29.94811</v>
      </c>
      <c r="N246" s="13">
        <v>-84.33997</v>
      </c>
      <c r="O246" s="13" t="s">
        <v>1336</v>
      </c>
      <c r="P246" s="14" t="s">
        <v>1337</v>
      </c>
    </row>
    <row r="247" ht="33.75" customHeight="1">
      <c r="A247" s="43">
        <v>42773.0</v>
      </c>
      <c r="B247" s="16" t="s">
        <v>652</v>
      </c>
      <c r="C247" s="16" t="s">
        <v>195</v>
      </c>
      <c r="D247" s="16" t="s">
        <v>654</v>
      </c>
      <c r="E247" s="16" t="s">
        <v>268</v>
      </c>
      <c r="F247" s="16">
        <v>29.94735</v>
      </c>
      <c r="G247" s="16">
        <v>-84.34243</v>
      </c>
      <c r="H247" s="13">
        <v>29.93786</v>
      </c>
      <c r="I247" s="13">
        <v>-84.33559</v>
      </c>
      <c r="J247" s="13" t="s">
        <v>1324</v>
      </c>
      <c r="K247" s="13" t="s">
        <v>1325</v>
      </c>
      <c r="L247" s="13">
        <v>2.0</v>
      </c>
      <c r="M247" s="13">
        <v>29.9511</v>
      </c>
      <c r="N247" s="13">
        <v>-84.34207</v>
      </c>
      <c r="O247" s="13" t="s">
        <v>1305</v>
      </c>
      <c r="P247" s="14" t="s">
        <v>1338</v>
      </c>
    </row>
    <row r="248" ht="33.75" customHeight="1">
      <c r="A248" s="43">
        <v>42773.0</v>
      </c>
      <c r="B248" s="16" t="s">
        <v>1002</v>
      </c>
      <c r="C248" s="16" t="s">
        <v>195</v>
      </c>
      <c r="D248" s="16" t="s">
        <v>1003</v>
      </c>
      <c r="E248" s="16" t="s">
        <v>268</v>
      </c>
      <c r="F248" s="16">
        <v>29.91879</v>
      </c>
      <c r="G248" s="13">
        <v>-84.44126</v>
      </c>
      <c r="H248" s="13">
        <v>29.8985</v>
      </c>
      <c r="I248" s="13">
        <v>-84.34654</v>
      </c>
      <c r="J248" s="13" t="s">
        <v>1318</v>
      </c>
      <c r="K248" s="13" t="s">
        <v>1319</v>
      </c>
      <c r="L248" s="13">
        <v>1.0</v>
      </c>
      <c r="M248" s="13">
        <v>29.90673</v>
      </c>
      <c r="N248" s="13">
        <v>-84.42929</v>
      </c>
      <c r="O248" s="13" t="s">
        <v>1339</v>
      </c>
      <c r="P248" s="14" t="s">
        <v>1340</v>
      </c>
    </row>
    <row r="249" ht="33.75" customHeight="1">
      <c r="A249" s="43">
        <v>42773.0</v>
      </c>
      <c r="B249" s="16" t="s">
        <v>1002</v>
      </c>
      <c r="C249" s="16" t="s">
        <v>195</v>
      </c>
      <c r="D249" s="16" t="s">
        <v>1003</v>
      </c>
      <c r="E249" s="16" t="s">
        <v>268</v>
      </c>
      <c r="F249" s="16">
        <v>29.91879</v>
      </c>
      <c r="G249" s="13">
        <v>-84.44126</v>
      </c>
      <c r="H249" s="13">
        <v>29.8985</v>
      </c>
      <c r="I249" s="13">
        <v>-84.34654</v>
      </c>
      <c r="J249" s="13" t="s">
        <v>1318</v>
      </c>
      <c r="K249" s="13" t="s">
        <v>1319</v>
      </c>
      <c r="L249" s="13">
        <v>2.0</v>
      </c>
      <c r="M249" s="13">
        <v>29.90739</v>
      </c>
      <c r="N249" s="13">
        <v>-84.43047</v>
      </c>
      <c r="O249" s="13" t="s">
        <v>1341</v>
      </c>
      <c r="P249" s="14" t="s">
        <v>1342</v>
      </c>
    </row>
    <row r="250" ht="33.75" customHeight="1">
      <c r="A250" s="43">
        <v>42773.0</v>
      </c>
      <c r="B250" s="16" t="s">
        <v>1002</v>
      </c>
      <c r="C250" s="16" t="s">
        <v>195</v>
      </c>
      <c r="D250" s="16" t="s">
        <v>1003</v>
      </c>
      <c r="E250" s="16" t="s">
        <v>268</v>
      </c>
      <c r="F250" s="16">
        <v>29.91879</v>
      </c>
      <c r="G250" s="13">
        <v>-84.44126</v>
      </c>
      <c r="H250" s="13">
        <v>29.8985</v>
      </c>
      <c r="I250" s="13">
        <v>-84.34654</v>
      </c>
      <c r="J250" s="13" t="s">
        <v>1318</v>
      </c>
      <c r="K250" s="13" t="s">
        <v>1319</v>
      </c>
      <c r="L250" s="13">
        <v>3.0</v>
      </c>
      <c r="M250" s="13">
        <v>29.91386</v>
      </c>
      <c r="N250" s="13">
        <v>-84.44085</v>
      </c>
      <c r="O250" s="13" t="s">
        <v>261</v>
      </c>
      <c r="P250" s="14" t="s">
        <v>1343</v>
      </c>
    </row>
    <row r="251" ht="33.75" customHeight="1">
      <c r="A251" s="43">
        <v>42773.0</v>
      </c>
      <c r="B251" s="16" t="s">
        <v>1002</v>
      </c>
      <c r="C251" s="16" t="s">
        <v>195</v>
      </c>
      <c r="D251" s="16" t="s">
        <v>1003</v>
      </c>
      <c r="E251" s="16" t="s">
        <v>268</v>
      </c>
      <c r="F251" s="16">
        <v>29.91879</v>
      </c>
      <c r="G251" s="13">
        <v>-84.44126</v>
      </c>
      <c r="H251" s="13">
        <v>29.8985</v>
      </c>
      <c r="I251" s="13">
        <v>-84.34654</v>
      </c>
      <c r="J251" s="13" t="s">
        <v>1318</v>
      </c>
      <c r="K251" s="13" t="s">
        <v>1319</v>
      </c>
      <c r="L251" s="13">
        <v>4.0</v>
      </c>
      <c r="M251" s="13">
        <v>29.91633</v>
      </c>
      <c r="N251" s="13">
        <v>-84.44149</v>
      </c>
      <c r="O251" s="13" t="s">
        <v>1345</v>
      </c>
      <c r="P251" s="14" t="s">
        <v>1347</v>
      </c>
    </row>
    <row r="252" ht="33.75" customHeight="1">
      <c r="A252" s="43">
        <v>42773.0</v>
      </c>
      <c r="B252" s="16" t="s">
        <v>1002</v>
      </c>
      <c r="C252" s="16" t="s">
        <v>195</v>
      </c>
      <c r="D252" s="16" t="s">
        <v>1003</v>
      </c>
      <c r="E252" s="16" t="s">
        <v>268</v>
      </c>
      <c r="F252" s="16">
        <v>29.91879</v>
      </c>
      <c r="G252" s="13">
        <v>-84.44126</v>
      </c>
      <c r="H252" s="13">
        <v>29.8985</v>
      </c>
      <c r="I252" s="13">
        <v>-84.34654</v>
      </c>
      <c r="J252" s="13" t="s">
        <v>1318</v>
      </c>
      <c r="K252" s="13" t="s">
        <v>1319</v>
      </c>
      <c r="L252" s="13">
        <v>5.0</v>
      </c>
      <c r="M252" s="13">
        <v>29.90303</v>
      </c>
      <c r="N252" s="13">
        <v>-84.40781</v>
      </c>
      <c r="O252" s="13" t="s">
        <v>1349</v>
      </c>
      <c r="P252" s="14" t="s">
        <v>1350</v>
      </c>
    </row>
    <row r="253" ht="33.75" customHeight="1">
      <c r="A253" s="41">
        <v>42774.0</v>
      </c>
      <c r="B253" s="16" t="s">
        <v>362</v>
      </c>
      <c r="C253" s="16" t="s">
        <v>363</v>
      </c>
      <c r="D253" s="16" t="s">
        <v>1328</v>
      </c>
      <c r="E253" s="16" t="s">
        <v>268</v>
      </c>
      <c r="F253" s="16">
        <v>29.69412</v>
      </c>
      <c r="G253" s="16">
        <v>-84.78846</v>
      </c>
      <c r="H253" s="13">
        <v>29.70301</v>
      </c>
      <c r="I253" s="13">
        <v>-84.80091</v>
      </c>
      <c r="J253" s="13" t="s">
        <v>1333</v>
      </c>
      <c r="K253" s="13" t="s">
        <v>1334</v>
      </c>
      <c r="L253" s="13">
        <v>1.0</v>
      </c>
      <c r="M253" s="13">
        <v>29.69598</v>
      </c>
      <c r="N253" s="13">
        <v>-84.78822</v>
      </c>
      <c r="O253" s="13" t="s">
        <v>1351</v>
      </c>
      <c r="P253" s="14"/>
    </row>
    <row r="254" ht="33.75" customHeight="1">
      <c r="A254" s="41">
        <v>42774.0</v>
      </c>
      <c r="B254" s="16" t="s">
        <v>362</v>
      </c>
      <c r="C254" s="16" t="s">
        <v>363</v>
      </c>
      <c r="D254" s="16" t="s">
        <v>1328</v>
      </c>
      <c r="E254" s="16" t="s">
        <v>268</v>
      </c>
      <c r="F254" s="16">
        <v>29.69412</v>
      </c>
      <c r="G254" s="16">
        <v>-84.78846</v>
      </c>
      <c r="H254" s="13">
        <v>29.70301</v>
      </c>
      <c r="I254" s="13">
        <v>-84.80091</v>
      </c>
      <c r="J254" s="13" t="s">
        <v>1333</v>
      </c>
      <c r="K254" s="13" t="s">
        <v>1334</v>
      </c>
      <c r="L254" s="13">
        <v>2.0</v>
      </c>
      <c r="M254" s="13">
        <v>29.6978</v>
      </c>
      <c r="N254" s="13">
        <v>-84.78905</v>
      </c>
      <c r="O254" s="13" t="s">
        <v>1352</v>
      </c>
      <c r="P254" s="14" t="s">
        <v>1353</v>
      </c>
    </row>
    <row r="255" ht="33.75" customHeight="1">
      <c r="A255" s="41">
        <v>42774.0</v>
      </c>
      <c r="B255" s="16" t="s">
        <v>362</v>
      </c>
      <c r="C255" s="16" t="s">
        <v>363</v>
      </c>
      <c r="D255" s="16" t="s">
        <v>1328</v>
      </c>
      <c r="E255" s="16" t="s">
        <v>268</v>
      </c>
      <c r="F255" s="16">
        <v>29.69412</v>
      </c>
      <c r="G255" s="16">
        <v>-84.78846</v>
      </c>
      <c r="H255" s="13">
        <v>29.70301</v>
      </c>
      <c r="I255" s="13">
        <v>-84.80091</v>
      </c>
      <c r="J255" s="13" t="s">
        <v>1333</v>
      </c>
      <c r="K255" s="13" t="s">
        <v>1334</v>
      </c>
      <c r="L255" s="13">
        <v>3.0</v>
      </c>
      <c r="M255" s="16">
        <v>29.69839</v>
      </c>
      <c r="N255" s="16">
        <v>-84.7905</v>
      </c>
      <c r="O255" s="13" t="s">
        <v>1356</v>
      </c>
      <c r="P255" s="47"/>
    </row>
    <row r="256" ht="33.75" customHeight="1">
      <c r="A256" s="41">
        <v>42774.0</v>
      </c>
      <c r="B256" s="16" t="s">
        <v>362</v>
      </c>
      <c r="C256" s="16" t="s">
        <v>363</v>
      </c>
      <c r="D256" s="16" t="s">
        <v>1328</v>
      </c>
      <c r="E256" s="16" t="s">
        <v>268</v>
      </c>
      <c r="F256" s="16">
        <v>29.69412</v>
      </c>
      <c r="G256" s="16">
        <v>-84.78846</v>
      </c>
      <c r="H256" s="13">
        <v>29.70301</v>
      </c>
      <c r="I256" s="13">
        <v>-84.80091</v>
      </c>
      <c r="J256" s="13" t="s">
        <v>1333</v>
      </c>
      <c r="K256" s="13" t="s">
        <v>1334</v>
      </c>
      <c r="L256" s="13">
        <v>4.0</v>
      </c>
      <c r="M256" s="13">
        <v>29.6994</v>
      </c>
      <c r="N256" s="13">
        <v>-84.79085</v>
      </c>
      <c r="O256" s="13" t="s">
        <v>1358</v>
      </c>
      <c r="P256" s="14"/>
    </row>
    <row r="257" ht="33.75" customHeight="1">
      <c r="A257" s="41">
        <v>42774.0</v>
      </c>
      <c r="B257" s="16" t="s">
        <v>362</v>
      </c>
      <c r="C257" s="16" t="s">
        <v>363</v>
      </c>
      <c r="D257" s="16" t="s">
        <v>1328</v>
      </c>
      <c r="E257" s="16" t="s">
        <v>268</v>
      </c>
      <c r="F257" s="16">
        <v>29.69412</v>
      </c>
      <c r="G257" s="16">
        <v>-84.78846</v>
      </c>
      <c r="H257" s="13">
        <v>29.70301</v>
      </c>
      <c r="I257" s="13">
        <v>-84.80091</v>
      </c>
      <c r="J257" s="13" t="s">
        <v>1333</v>
      </c>
      <c r="K257" s="13" t="s">
        <v>1334</v>
      </c>
      <c r="L257" s="13">
        <v>5.0</v>
      </c>
      <c r="M257" s="13">
        <v>29.70181</v>
      </c>
      <c r="N257" s="13">
        <v>-84.79415</v>
      </c>
      <c r="O257" s="13" t="s">
        <v>1363</v>
      </c>
      <c r="P257" s="14" t="s">
        <v>1364</v>
      </c>
    </row>
    <row r="258" ht="33.75" customHeight="1">
      <c r="A258" s="41">
        <v>42774.0</v>
      </c>
      <c r="B258" s="16" t="s">
        <v>362</v>
      </c>
      <c r="C258" s="16" t="s">
        <v>363</v>
      </c>
      <c r="D258" s="16" t="s">
        <v>1328</v>
      </c>
      <c r="E258" s="16" t="s">
        <v>268</v>
      </c>
      <c r="F258" s="16">
        <v>29.69412</v>
      </c>
      <c r="G258" s="16">
        <v>-84.78846</v>
      </c>
      <c r="H258" s="13">
        <v>29.70301</v>
      </c>
      <c r="I258" s="13">
        <v>-84.80091</v>
      </c>
      <c r="J258" s="13" t="s">
        <v>1333</v>
      </c>
      <c r="K258" s="13" t="s">
        <v>1334</v>
      </c>
      <c r="L258" s="13">
        <v>6.0</v>
      </c>
      <c r="M258" s="13">
        <v>29.70248</v>
      </c>
      <c r="N258" s="13">
        <v>-84.80038</v>
      </c>
      <c r="O258" s="13" t="s">
        <v>1366</v>
      </c>
      <c r="P258" s="14"/>
    </row>
    <row r="259" ht="33.75" customHeight="1">
      <c r="A259" s="41">
        <v>42774.0</v>
      </c>
      <c r="B259" s="16" t="s">
        <v>362</v>
      </c>
      <c r="C259" s="16" t="s">
        <v>363</v>
      </c>
      <c r="D259" s="16" t="s">
        <v>1328</v>
      </c>
      <c r="E259" s="16" t="s">
        <v>268</v>
      </c>
      <c r="F259" s="16">
        <v>29.69412</v>
      </c>
      <c r="G259" s="16">
        <v>-84.78846</v>
      </c>
      <c r="H259" s="13">
        <v>29.70301</v>
      </c>
      <c r="I259" s="13">
        <v>-84.80091</v>
      </c>
      <c r="J259" s="13" t="s">
        <v>1333</v>
      </c>
      <c r="K259" s="13" t="s">
        <v>1334</v>
      </c>
      <c r="L259" s="13">
        <v>7.0</v>
      </c>
      <c r="M259" s="13">
        <v>29.69831</v>
      </c>
      <c r="N259" s="13">
        <v>-84.79776</v>
      </c>
      <c r="O259" s="13" t="s">
        <v>1372</v>
      </c>
      <c r="P259" s="14" t="s">
        <v>1364</v>
      </c>
    </row>
    <row r="260" ht="33.75" customHeight="1">
      <c r="A260" s="41">
        <v>42774.0</v>
      </c>
      <c r="B260" s="16" t="s">
        <v>362</v>
      </c>
      <c r="C260" s="16" t="s">
        <v>363</v>
      </c>
      <c r="D260" s="16" t="s">
        <v>1328</v>
      </c>
      <c r="E260" s="16" t="s">
        <v>268</v>
      </c>
      <c r="F260" s="16">
        <v>29.69412</v>
      </c>
      <c r="G260" s="16">
        <v>-84.78846</v>
      </c>
      <c r="H260" s="13">
        <v>29.70301</v>
      </c>
      <c r="I260" s="13">
        <v>-84.80091</v>
      </c>
      <c r="J260" s="13" t="s">
        <v>1333</v>
      </c>
      <c r="K260" s="13" t="s">
        <v>1334</v>
      </c>
      <c r="L260" s="13">
        <v>8.0</v>
      </c>
      <c r="M260" s="13">
        <v>29.69534</v>
      </c>
      <c r="N260" s="13">
        <v>-84.7979</v>
      </c>
      <c r="O260" s="13" t="s">
        <v>1375</v>
      </c>
      <c r="P260" s="14" t="s">
        <v>1364</v>
      </c>
    </row>
    <row r="261" ht="33.75" customHeight="1">
      <c r="A261" s="41">
        <v>42774.0</v>
      </c>
      <c r="B261" s="16" t="s">
        <v>362</v>
      </c>
      <c r="C261" s="16" t="s">
        <v>363</v>
      </c>
      <c r="D261" s="16" t="s">
        <v>364</v>
      </c>
      <c r="E261" s="16" t="s">
        <v>268</v>
      </c>
      <c r="F261" s="13">
        <v>29.68282</v>
      </c>
      <c r="G261" s="13">
        <v>-84.79662</v>
      </c>
      <c r="H261" s="13">
        <v>29.77231</v>
      </c>
      <c r="I261" s="14">
        <v>-84.69436</v>
      </c>
      <c r="J261" s="13" t="s">
        <v>1344</v>
      </c>
      <c r="K261" s="13" t="s">
        <v>1346</v>
      </c>
      <c r="L261" s="13">
        <v>1.0</v>
      </c>
      <c r="M261" s="13">
        <v>29.69938</v>
      </c>
      <c r="N261" s="13">
        <v>-84.76862</v>
      </c>
      <c r="O261" s="13" t="s">
        <v>1379</v>
      </c>
      <c r="P261" s="14" t="s">
        <v>1364</v>
      </c>
    </row>
    <row r="262" ht="33.75" customHeight="1">
      <c r="A262" s="41">
        <v>42774.0</v>
      </c>
      <c r="B262" s="16" t="s">
        <v>362</v>
      </c>
      <c r="C262" s="16" t="s">
        <v>363</v>
      </c>
      <c r="D262" s="16" t="s">
        <v>364</v>
      </c>
      <c r="E262" s="16" t="s">
        <v>268</v>
      </c>
      <c r="F262" s="13">
        <v>29.68282</v>
      </c>
      <c r="G262" s="13">
        <v>-84.79662</v>
      </c>
      <c r="H262" s="13">
        <v>29.77231</v>
      </c>
      <c r="I262" s="14">
        <v>-84.69436</v>
      </c>
      <c r="J262" s="13" t="s">
        <v>1344</v>
      </c>
      <c r="K262" s="13" t="s">
        <v>1346</v>
      </c>
      <c r="L262" s="13">
        <v>2.0</v>
      </c>
      <c r="M262" s="13">
        <v>29.77002</v>
      </c>
      <c r="N262" s="13">
        <v>-84.69274</v>
      </c>
      <c r="O262" s="13" t="s">
        <v>1382</v>
      </c>
      <c r="P262" s="14" t="s">
        <v>1383</v>
      </c>
    </row>
    <row r="263" ht="33.75" customHeight="1">
      <c r="A263" s="41">
        <v>42774.0</v>
      </c>
      <c r="B263" s="16" t="s">
        <v>362</v>
      </c>
      <c r="C263" s="16" t="s">
        <v>363</v>
      </c>
      <c r="D263" s="16" t="s">
        <v>364</v>
      </c>
      <c r="E263" s="16" t="s">
        <v>268</v>
      </c>
      <c r="F263" s="13">
        <v>29.68282</v>
      </c>
      <c r="G263" s="13">
        <v>-84.79662</v>
      </c>
      <c r="H263" s="13">
        <v>29.77231</v>
      </c>
      <c r="I263" s="14">
        <v>-84.69436</v>
      </c>
      <c r="J263" s="13" t="s">
        <v>1344</v>
      </c>
      <c r="K263" s="13" t="s">
        <v>1346</v>
      </c>
      <c r="L263" s="13">
        <v>3.0</v>
      </c>
      <c r="M263" s="13">
        <v>29.76756</v>
      </c>
      <c r="N263" s="13">
        <v>-84.69131</v>
      </c>
      <c r="O263" s="13" t="s">
        <v>1387</v>
      </c>
      <c r="P263" s="14" t="s">
        <v>1388</v>
      </c>
    </row>
    <row r="264" ht="33.75" customHeight="1">
      <c r="A264" s="41">
        <v>42774.0</v>
      </c>
      <c r="B264" s="16" t="s">
        <v>362</v>
      </c>
      <c r="C264" s="16" t="s">
        <v>363</v>
      </c>
      <c r="D264" s="16" t="s">
        <v>364</v>
      </c>
      <c r="E264" s="16" t="s">
        <v>268</v>
      </c>
      <c r="F264" s="13">
        <v>29.68282</v>
      </c>
      <c r="G264" s="13">
        <v>-84.79662</v>
      </c>
      <c r="H264" s="13">
        <v>29.77231</v>
      </c>
      <c r="I264" s="14">
        <v>-84.69436</v>
      </c>
      <c r="J264" s="13" t="s">
        <v>1344</v>
      </c>
      <c r="K264" s="13" t="s">
        <v>1346</v>
      </c>
      <c r="L264" s="13">
        <v>4.0</v>
      </c>
      <c r="M264" s="13">
        <v>29.76098</v>
      </c>
      <c r="N264" s="13">
        <v>-84.69559</v>
      </c>
      <c r="O264" s="13" t="s">
        <v>1389</v>
      </c>
      <c r="P264" s="14"/>
    </row>
    <row r="265" ht="33.75" customHeight="1">
      <c r="A265" s="41">
        <v>42774.0</v>
      </c>
      <c r="B265" s="16" t="s">
        <v>362</v>
      </c>
      <c r="C265" s="16" t="s">
        <v>363</v>
      </c>
      <c r="D265" s="16" t="s">
        <v>364</v>
      </c>
      <c r="E265" s="16" t="s">
        <v>268</v>
      </c>
      <c r="F265" s="13">
        <v>29.68282</v>
      </c>
      <c r="G265" s="13">
        <v>-84.79662</v>
      </c>
      <c r="H265" s="13">
        <v>29.77231</v>
      </c>
      <c r="I265" s="14">
        <v>-84.69436</v>
      </c>
      <c r="J265" s="13" t="s">
        <v>1344</v>
      </c>
      <c r="K265" s="13" t="s">
        <v>1346</v>
      </c>
      <c r="L265" s="13">
        <v>5.0</v>
      </c>
      <c r="M265" s="13">
        <v>29.75062</v>
      </c>
      <c r="N265" s="13">
        <v>-84.70779</v>
      </c>
      <c r="O265" s="13" t="s">
        <v>1392</v>
      </c>
      <c r="P265" s="14" t="s">
        <v>1393</v>
      </c>
    </row>
    <row r="266" ht="33.75" customHeight="1">
      <c r="A266" s="41">
        <v>42774.0</v>
      </c>
      <c r="B266" s="16" t="s">
        <v>362</v>
      </c>
      <c r="C266" s="16" t="s">
        <v>363</v>
      </c>
      <c r="D266" s="16" t="s">
        <v>364</v>
      </c>
      <c r="E266" s="16" t="s">
        <v>268</v>
      </c>
      <c r="F266" s="13">
        <v>29.68282</v>
      </c>
      <c r="G266" s="13">
        <v>-84.79662</v>
      </c>
      <c r="H266" s="13">
        <v>29.77231</v>
      </c>
      <c r="I266" s="14">
        <v>-84.69436</v>
      </c>
      <c r="J266" s="13" t="s">
        <v>1344</v>
      </c>
      <c r="K266" s="13" t="s">
        <v>1346</v>
      </c>
      <c r="L266" s="13">
        <v>6.0</v>
      </c>
      <c r="M266" s="13">
        <v>29.747</v>
      </c>
      <c r="N266" s="13">
        <v>-84.71152</v>
      </c>
      <c r="O266" s="13" t="s">
        <v>1394</v>
      </c>
      <c r="P266" s="14"/>
    </row>
    <row r="267" ht="33.75" customHeight="1">
      <c r="A267" s="41">
        <v>42774.0</v>
      </c>
      <c r="B267" s="16" t="s">
        <v>362</v>
      </c>
      <c r="C267" s="16" t="s">
        <v>363</v>
      </c>
      <c r="D267" s="16" t="s">
        <v>364</v>
      </c>
      <c r="E267" s="16" t="s">
        <v>268</v>
      </c>
      <c r="F267" s="13">
        <v>29.68282</v>
      </c>
      <c r="G267" s="13">
        <v>-84.79662</v>
      </c>
      <c r="H267" s="13">
        <v>29.77231</v>
      </c>
      <c r="I267" s="14">
        <v>-84.69436</v>
      </c>
      <c r="J267" s="13" t="s">
        <v>1344</v>
      </c>
      <c r="K267" s="13" t="s">
        <v>1346</v>
      </c>
      <c r="L267" s="13">
        <v>7.0</v>
      </c>
      <c r="M267" s="13">
        <v>29.7433</v>
      </c>
      <c r="N267" s="13">
        <v>-84.71555</v>
      </c>
      <c r="O267" s="13" t="s">
        <v>1395</v>
      </c>
      <c r="P267" s="14" t="s">
        <v>1396</v>
      </c>
    </row>
    <row r="268" ht="33.75" customHeight="1">
      <c r="A268" s="41">
        <v>42774.0</v>
      </c>
      <c r="B268" s="16" t="s">
        <v>362</v>
      </c>
      <c r="C268" s="16" t="s">
        <v>363</v>
      </c>
      <c r="D268" s="16" t="s">
        <v>364</v>
      </c>
      <c r="E268" s="16" t="s">
        <v>268</v>
      </c>
      <c r="F268" s="13">
        <v>29.68282</v>
      </c>
      <c r="G268" s="13">
        <v>-84.79662</v>
      </c>
      <c r="H268" s="13">
        <v>29.77231</v>
      </c>
      <c r="I268" s="14">
        <v>-84.69436</v>
      </c>
      <c r="J268" s="13" t="s">
        <v>1344</v>
      </c>
      <c r="K268" s="13" t="s">
        <v>1346</v>
      </c>
      <c r="L268" s="13">
        <v>8.0</v>
      </c>
      <c r="M268" s="13">
        <v>29.72727</v>
      </c>
      <c r="N268" s="13">
        <v>-84.73329</v>
      </c>
      <c r="O268" s="13" t="s">
        <v>1400</v>
      </c>
      <c r="P268" s="14" t="s">
        <v>1388</v>
      </c>
    </row>
    <row r="269" ht="33.75" customHeight="1">
      <c r="A269" s="41">
        <v>42774.0</v>
      </c>
      <c r="B269" s="16" t="s">
        <v>362</v>
      </c>
      <c r="C269" s="16" t="s">
        <v>363</v>
      </c>
      <c r="D269" s="16" t="s">
        <v>364</v>
      </c>
      <c r="E269" s="16" t="s">
        <v>268</v>
      </c>
      <c r="F269" s="13">
        <v>29.68282</v>
      </c>
      <c r="G269" s="13">
        <v>-84.79662</v>
      </c>
      <c r="H269" s="13">
        <v>29.77231</v>
      </c>
      <c r="I269" s="14">
        <v>-84.69436</v>
      </c>
      <c r="J269" s="13" t="s">
        <v>1344</v>
      </c>
      <c r="K269" s="13" t="s">
        <v>1346</v>
      </c>
      <c r="L269" s="13">
        <v>9.0</v>
      </c>
      <c r="M269" s="13">
        <v>29.7195</v>
      </c>
      <c r="N269" s="13">
        <v>-84.74259</v>
      </c>
      <c r="O269" s="13" t="s">
        <v>1401</v>
      </c>
      <c r="P269" s="14" t="s">
        <v>1402</v>
      </c>
    </row>
    <row r="270" ht="33.75" customHeight="1">
      <c r="A270" s="41">
        <v>42774.0</v>
      </c>
      <c r="B270" s="16" t="s">
        <v>362</v>
      </c>
      <c r="C270" s="16" t="s">
        <v>363</v>
      </c>
      <c r="D270" s="16" t="s">
        <v>364</v>
      </c>
      <c r="E270" s="16" t="s">
        <v>268</v>
      </c>
      <c r="F270" s="13">
        <v>29.68282</v>
      </c>
      <c r="G270" s="13">
        <v>-84.79662</v>
      </c>
      <c r="H270" s="13">
        <v>29.77231</v>
      </c>
      <c r="I270" s="14">
        <v>-84.69436</v>
      </c>
      <c r="J270" s="13" t="s">
        <v>1344</v>
      </c>
      <c r="K270" s="13" t="s">
        <v>1346</v>
      </c>
      <c r="L270" s="13">
        <v>10.0</v>
      </c>
      <c r="M270" s="13">
        <v>29.71603</v>
      </c>
      <c r="N270" s="13">
        <v>-84.74689</v>
      </c>
      <c r="O270" s="13" t="s">
        <v>1403</v>
      </c>
      <c r="P270" s="14" t="s">
        <v>1402</v>
      </c>
    </row>
    <row r="271" ht="33.75" customHeight="1">
      <c r="A271" s="41">
        <v>42774.0</v>
      </c>
      <c r="B271" s="16" t="s">
        <v>362</v>
      </c>
      <c r="C271" s="16" t="s">
        <v>363</v>
      </c>
      <c r="D271" s="16" t="s">
        <v>364</v>
      </c>
      <c r="E271" s="16" t="s">
        <v>268</v>
      </c>
      <c r="F271" s="13">
        <v>29.68282</v>
      </c>
      <c r="G271" s="13">
        <v>-84.79662</v>
      </c>
      <c r="H271" s="13">
        <v>29.77231</v>
      </c>
      <c r="I271" s="14">
        <v>-84.69436</v>
      </c>
      <c r="J271" s="13" t="s">
        <v>1344</v>
      </c>
      <c r="K271" s="13" t="s">
        <v>1346</v>
      </c>
      <c r="L271" s="13">
        <v>11.0</v>
      </c>
      <c r="M271" s="13">
        <v>29.69273</v>
      </c>
      <c r="N271" s="13">
        <v>-84.77661</v>
      </c>
      <c r="O271" s="13" t="s">
        <v>1404</v>
      </c>
      <c r="P271" s="14" t="s">
        <v>1405</v>
      </c>
    </row>
    <row r="272" ht="33.75" customHeight="1">
      <c r="A272" s="41">
        <v>42774.0</v>
      </c>
      <c r="B272" s="16" t="s">
        <v>505</v>
      </c>
      <c r="C272" s="16" t="s">
        <v>506</v>
      </c>
      <c r="D272" s="16" t="s">
        <v>507</v>
      </c>
      <c r="E272" s="16" t="s">
        <v>268</v>
      </c>
      <c r="F272" s="16">
        <v>29.68018</v>
      </c>
      <c r="G272" s="16">
        <v>-85.21397</v>
      </c>
      <c r="H272" s="13">
        <v>29.67556</v>
      </c>
      <c r="I272" s="13">
        <v>-85.08079</v>
      </c>
      <c r="J272" s="13" t="s">
        <v>1354</v>
      </c>
      <c r="K272" s="13" t="s">
        <v>1355</v>
      </c>
      <c r="L272" s="13">
        <v>1.0</v>
      </c>
      <c r="M272" s="13">
        <v>29.67711</v>
      </c>
      <c r="N272" s="13">
        <v>-85.22073</v>
      </c>
      <c r="O272" s="13" t="s">
        <v>1410</v>
      </c>
      <c r="P272" s="14"/>
    </row>
    <row r="273" ht="33.75" customHeight="1">
      <c r="A273" s="41">
        <v>42774.0</v>
      </c>
      <c r="B273" s="16" t="s">
        <v>505</v>
      </c>
      <c r="C273" s="16" t="s">
        <v>506</v>
      </c>
      <c r="D273" s="16" t="s">
        <v>507</v>
      </c>
      <c r="E273" s="16" t="s">
        <v>268</v>
      </c>
      <c r="F273" s="16">
        <v>29.68018</v>
      </c>
      <c r="G273" s="16">
        <v>-85.21397</v>
      </c>
      <c r="H273" s="13">
        <v>29.67556</v>
      </c>
      <c r="I273" s="13">
        <v>-85.08079</v>
      </c>
      <c r="J273" s="13" t="s">
        <v>1354</v>
      </c>
      <c r="K273" s="13" t="s">
        <v>1355</v>
      </c>
      <c r="L273" s="13">
        <v>2.0</v>
      </c>
      <c r="M273" s="13">
        <v>29.67619</v>
      </c>
      <c r="N273" s="13">
        <v>-85.21899</v>
      </c>
      <c r="O273" s="13" t="s">
        <v>1411</v>
      </c>
      <c r="P273" s="47"/>
    </row>
    <row r="274" ht="33.75" customHeight="1">
      <c r="A274" s="41">
        <v>42774.0</v>
      </c>
      <c r="B274" s="16" t="s">
        <v>505</v>
      </c>
      <c r="C274" s="16" t="s">
        <v>506</v>
      </c>
      <c r="D274" s="16" t="s">
        <v>507</v>
      </c>
      <c r="E274" s="16" t="s">
        <v>268</v>
      </c>
      <c r="F274" s="16">
        <v>29.68018</v>
      </c>
      <c r="G274" s="16">
        <v>-85.21397</v>
      </c>
      <c r="H274" s="13">
        <v>29.67556</v>
      </c>
      <c r="I274" s="13">
        <v>-85.08079</v>
      </c>
      <c r="J274" s="13" t="s">
        <v>1354</v>
      </c>
      <c r="K274" s="13" t="s">
        <v>1355</v>
      </c>
      <c r="L274" s="13">
        <v>3.0</v>
      </c>
      <c r="M274" s="13">
        <v>29.64353</v>
      </c>
      <c r="N274" s="13">
        <v>-85.15284</v>
      </c>
      <c r="O274" s="48" t="s">
        <v>1415</v>
      </c>
      <c r="P274" s="14"/>
    </row>
    <row r="275" ht="33.75" customHeight="1">
      <c r="A275" s="41">
        <v>42774.0</v>
      </c>
      <c r="B275" s="16" t="s">
        <v>505</v>
      </c>
      <c r="C275" s="16" t="s">
        <v>506</v>
      </c>
      <c r="D275" s="16" t="s">
        <v>507</v>
      </c>
      <c r="E275" s="16" t="s">
        <v>268</v>
      </c>
      <c r="F275" s="16">
        <v>29.68018</v>
      </c>
      <c r="G275" s="16">
        <v>-85.21397</v>
      </c>
      <c r="H275" s="13">
        <v>29.67556</v>
      </c>
      <c r="I275" s="13">
        <v>-85.08079</v>
      </c>
      <c r="J275" s="13" t="s">
        <v>1354</v>
      </c>
      <c r="K275" s="13" t="s">
        <v>1355</v>
      </c>
      <c r="L275" s="13">
        <v>4.0</v>
      </c>
      <c r="M275" s="13">
        <v>29.63494</v>
      </c>
      <c r="N275" s="13">
        <v>-85.14808</v>
      </c>
      <c r="O275" s="13" t="s">
        <v>1422</v>
      </c>
      <c r="P275" s="14" t="s">
        <v>1423</v>
      </c>
    </row>
    <row r="276" ht="33.75" customHeight="1">
      <c r="A276" s="41">
        <v>42774.0</v>
      </c>
      <c r="B276" s="16" t="s">
        <v>520</v>
      </c>
      <c r="C276" s="16" t="s">
        <v>522</v>
      </c>
      <c r="D276" s="16" t="s">
        <v>523</v>
      </c>
      <c r="E276" s="16" t="s">
        <v>268</v>
      </c>
      <c r="F276" s="16">
        <v>29.615021</v>
      </c>
      <c r="G276" s="16">
        <v>-84.95831</v>
      </c>
      <c r="H276" s="13">
        <v>29.647627</v>
      </c>
      <c r="I276" s="13">
        <v>-84.893189</v>
      </c>
      <c r="J276" s="13" t="s">
        <v>1361</v>
      </c>
      <c r="K276" s="13" t="s">
        <v>1362</v>
      </c>
      <c r="L276" s="13">
        <v>1.0</v>
      </c>
      <c r="M276" s="13">
        <v>29.61352</v>
      </c>
      <c r="N276" s="13">
        <v>-84.95763</v>
      </c>
      <c r="O276" s="13" t="s">
        <v>1411</v>
      </c>
      <c r="P276" s="14" t="s">
        <v>814</v>
      </c>
    </row>
    <row r="277" ht="33.75" customHeight="1">
      <c r="A277" s="41">
        <v>42774.0</v>
      </c>
      <c r="B277" s="16" t="s">
        <v>928</v>
      </c>
      <c r="C277" s="16" t="s">
        <v>597</v>
      </c>
      <c r="D277" s="16" t="s">
        <v>1368</v>
      </c>
      <c r="E277" s="16" t="s">
        <v>268</v>
      </c>
      <c r="F277" s="16">
        <v>29.62462</v>
      </c>
      <c r="G277" s="16">
        <v>-85.1489</v>
      </c>
      <c r="H277" s="13">
        <v>29.64239</v>
      </c>
      <c r="I277" s="13">
        <v>-85.15471</v>
      </c>
      <c r="J277" s="13" t="s">
        <v>1369</v>
      </c>
      <c r="K277" s="13" t="s">
        <v>1370</v>
      </c>
      <c r="L277" s="13">
        <v>1.0</v>
      </c>
      <c r="M277" s="13">
        <v>29.62462</v>
      </c>
      <c r="N277" s="13">
        <v>-85.1489</v>
      </c>
      <c r="O277" s="13" t="s">
        <v>1426</v>
      </c>
      <c r="P277" s="47"/>
    </row>
    <row r="278" ht="33.75" customHeight="1">
      <c r="A278" s="41">
        <v>42774.0</v>
      </c>
      <c r="B278" s="16" t="s">
        <v>928</v>
      </c>
      <c r="C278" s="16" t="s">
        <v>597</v>
      </c>
      <c r="D278" s="16" t="s">
        <v>1368</v>
      </c>
      <c r="E278" s="16" t="s">
        <v>268</v>
      </c>
      <c r="F278" s="16">
        <v>29.62462</v>
      </c>
      <c r="G278" s="16">
        <v>-85.1489</v>
      </c>
      <c r="H278" s="13">
        <v>29.64239</v>
      </c>
      <c r="I278" s="13">
        <v>-85.15471</v>
      </c>
      <c r="J278" s="13" t="s">
        <v>1369</v>
      </c>
      <c r="K278" s="13" t="s">
        <v>1370</v>
      </c>
      <c r="L278" s="13">
        <v>2.0</v>
      </c>
      <c r="M278" s="13">
        <v>29.62395</v>
      </c>
      <c r="N278" s="13">
        <v>-85.15107</v>
      </c>
      <c r="O278" s="13" t="s">
        <v>1428</v>
      </c>
      <c r="P278" s="47"/>
    </row>
    <row r="279" ht="33.75" customHeight="1">
      <c r="A279" s="41">
        <v>42774.0</v>
      </c>
      <c r="B279" s="16" t="s">
        <v>928</v>
      </c>
      <c r="C279" s="16" t="s">
        <v>597</v>
      </c>
      <c r="D279" s="16" t="s">
        <v>1368</v>
      </c>
      <c r="E279" s="16" t="s">
        <v>268</v>
      </c>
      <c r="F279" s="16">
        <v>29.62462</v>
      </c>
      <c r="G279" s="16">
        <v>-85.1489</v>
      </c>
      <c r="H279" s="13">
        <v>29.64239</v>
      </c>
      <c r="I279" s="13">
        <v>-85.15471</v>
      </c>
      <c r="J279" s="13" t="s">
        <v>1369</v>
      </c>
      <c r="K279" s="13" t="s">
        <v>1370</v>
      </c>
      <c r="L279" s="13">
        <v>3.0</v>
      </c>
      <c r="M279" s="13">
        <v>29.62575</v>
      </c>
      <c r="N279" s="13">
        <v>-85.15179</v>
      </c>
      <c r="O279" s="13" t="s">
        <v>1432</v>
      </c>
      <c r="P279" s="47"/>
    </row>
    <row r="280" ht="33.75" customHeight="1">
      <c r="A280" s="41">
        <v>42774.0</v>
      </c>
      <c r="B280" s="16" t="s">
        <v>928</v>
      </c>
      <c r="C280" s="16" t="s">
        <v>597</v>
      </c>
      <c r="D280" s="16" t="s">
        <v>1368</v>
      </c>
      <c r="E280" s="16" t="s">
        <v>268</v>
      </c>
      <c r="F280" s="16">
        <v>29.62462</v>
      </c>
      <c r="G280" s="16">
        <v>-85.1489</v>
      </c>
      <c r="H280" s="13">
        <v>29.64239</v>
      </c>
      <c r="I280" s="13">
        <v>-85.15471</v>
      </c>
      <c r="J280" s="13" t="s">
        <v>1369</v>
      </c>
      <c r="K280" s="13" t="s">
        <v>1370</v>
      </c>
      <c r="L280" s="13">
        <v>4.0</v>
      </c>
      <c r="M280" s="13">
        <v>29.63894</v>
      </c>
      <c r="N280" s="13">
        <v>-85.15614</v>
      </c>
      <c r="O280" s="13" t="s">
        <v>1433</v>
      </c>
      <c r="P280" s="47"/>
    </row>
    <row r="281" ht="33.75" customHeight="1">
      <c r="A281" s="41">
        <v>42774.0</v>
      </c>
      <c r="B281" s="16" t="s">
        <v>928</v>
      </c>
      <c r="C281" s="16" t="s">
        <v>597</v>
      </c>
      <c r="D281" s="16" t="s">
        <v>929</v>
      </c>
      <c r="E281" s="16" t="s">
        <v>268</v>
      </c>
      <c r="F281" s="16">
        <v>29.62627</v>
      </c>
      <c r="G281" s="16">
        <v>-85.09661</v>
      </c>
      <c r="H281" s="13">
        <v>29.61344</v>
      </c>
      <c r="I281" s="13">
        <v>-84.95964</v>
      </c>
      <c r="J281" s="13" t="s">
        <v>1376</v>
      </c>
      <c r="K281" s="13" t="s">
        <v>1378</v>
      </c>
      <c r="L281" s="13">
        <v>1.0</v>
      </c>
      <c r="M281" s="13">
        <v>29.60639</v>
      </c>
      <c r="N281" s="13">
        <v>-85.07111</v>
      </c>
      <c r="O281" s="13" t="s">
        <v>1434</v>
      </c>
      <c r="P281" s="47"/>
    </row>
    <row r="282" ht="33.75" customHeight="1">
      <c r="A282" s="41">
        <v>42774.0</v>
      </c>
      <c r="B282" s="16" t="s">
        <v>928</v>
      </c>
      <c r="C282" s="16" t="s">
        <v>597</v>
      </c>
      <c r="D282" s="16" t="s">
        <v>929</v>
      </c>
      <c r="E282" s="16" t="s">
        <v>268</v>
      </c>
      <c r="F282" s="16">
        <v>29.62627</v>
      </c>
      <c r="G282" s="16">
        <v>-85.09661</v>
      </c>
      <c r="H282" s="13">
        <v>29.61344</v>
      </c>
      <c r="I282" s="13">
        <v>-84.95964</v>
      </c>
      <c r="J282" s="13" t="s">
        <v>1376</v>
      </c>
      <c r="K282" s="13" t="s">
        <v>1378</v>
      </c>
      <c r="L282" s="13">
        <v>2.0</v>
      </c>
      <c r="M282" s="13">
        <v>29.6108</v>
      </c>
      <c r="N282" s="13">
        <v>-85.07739</v>
      </c>
      <c r="O282" s="13" t="s">
        <v>1435</v>
      </c>
      <c r="P282" s="14" t="s">
        <v>1436</v>
      </c>
    </row>
    <row r="283" ht="33.75" customHeight="1">
      <c r="A283" s="41">
        <v>42774.0</v>
      </c>
      <c r="B283" s="16" t="s">
        <v>928</v>
      </c>
      <c r="C283" s="16" t="s">
        <v>597</v>
      </c>
      <c r="D283" s="16" t="s">
        <v>929</v>
      </c>
      <c r="E283" s="16" t="s">
        <v>268</v>
      </c>
      <c r="F283" s="16">
        <v>29.62627</v>
      </c>
      <c r="G283" s="16">
        <v>-85.09661</v>
      </c>
      <c r="H283" s="13">
        <v>29.61344</v>
      </c>
      <c r="I283" s="13">
        <v>-84.95964</v>
      </c>
      <c r="J283" s="13" t="s">
        <v>1376</v>
      </c>
      <c r="K283" s="13" t="s">
        <v>1378</v>
      </c>
      <c r="L283" s="13">
        <v>3.0</v>
      </c>
      <c r="M283" s="13">
        <v>29.61264</v>
      </c>
      <c r="N283" s="13">
        <v>-85.08028</v>
      </c>
      <c r="O283" s="13" t="s">
        <v>1439</v>
      </c>
      <c r="P283" s="14"/>
    </row>
    <row r="284" ht="33.75" customHeight="1">
      <c r="A284" s="41">
        <v>42774.0</v>
      </c>
      <c r="B284" s="16" t="s">
        <v>928</v>
      </c>
      <c r="C284" s="16" t="s">
        <v>597</v>
      </c>
      <c r="D284" s="16" t="s">
        <v>929</v>
      </c>
      <c r="E284" s="16" t="s">
        <v>268</v>
      </c>
      <c r="F284" s="16">
        <v>29.62627</v>
      </c>
      <c r="G284" s="16">
        <v>-85.09661</v>
      </c>
      <c r="H284" s="13">
        <v>29.61344</v>
      </c>
      <c r="I284" s="13">
        <v>-84.95964</v>
      </c>
      <c r="J284" s="13" t="s">
        <v>1376</v>
      </c>
      <c r="K284" s="13" t="s">
        <v>1378</v>
      </c>
      <c r="L284" s="13">
        <v>4.0</v>
      </c>
      <c r="M284" s="13">
        <v>29.61415</v>
      </c>
      <c r="N284" s="13">
        <v>-85.08282</v>
      </c>
      <c r="O284" s="13" t="s">
        <v>1441</v>
      </c>
      <c r="P284" s="14"/>
    </row>
    <row r="285" ht="33.75" customHeight="1">
      <c r="A285" s="41">
        <v>42774.0</v>
      </c>
      <c r="B285" s="16" t="s">
        <v>928</v>
      </c>
      <c r="C285" s="16" t="s">
        <v>597</v>
      </c>
      <c r="D285" s="16" t="s">
        <v>929</v>
      </c>
      <c r="E285" s="16" t="s">
        <v>268</v>
      </c>
      <c r="F285" s="16">
        <v>29.62627</v>
      </c>
      <c r="G285" s="16">
        <v>-85.09661</v>
      </c>
      <c r="H285" s="13">
        <v>29.61344</v>
      </c>
      <c r="I285" s="13">
        <v>-84.95964</v>
      </c>
      <c r="J285" s="13" t="s">
        <v>1376</v>
      </c>
      <c r="K285" s="13" t="s">
        <v>1378</v>
      </c>
      <c r="L285" s="13">
        <v>5.0</v>
      </c>
      <c r="M285" s="13">
        <v>29.61854</v>
      </c>
      <c r="N285" s="13">
        <v>-85.09122</v>
      </c>
      <c r="O285" s="13" t="s">
        <v>1445</v>
      </c>
      <c r="P285" s="47"/>
    </row>
    <row r="286" ht="33.75" customHeight="1">
      <c r="A286" s="41">
        <v>42774.0</v>
      </c>
      <c r="B286" s="16" t="s">
        <v>928</v>
      </c>
      <c r="C286" s="16" t="s">
        <v>597</v>
      </c>
      <c r="D286" s="16" t="s">
        <v>929</v>
      </c>
      <c r="E286" s="16" t="s">
        <v>268</v>
      </c>
      <c r="F286" s="16">
        <v>29.62627</v>
      </c>
      <c r="G286" s="16">
        <v>-85.09661</v>
      </c>
      <c r="H286" s="13">
        <v>29.61344</v>
      </c>
      <c r="I286" s="13">
        <v>-84.95964</v>
      </c>
      <c r="J286" s="13" t="s">
        <v>1376</v>
      </c>
      <c r="K286" s="13" t="s">
        <v>1378</v>
      </c>
      <c r="L286" s="13">
        <v>6.0</v>
      </c>
      <c r="M286" s="13">
        <v>29.61931</v>
      </c>
      <c r="N286" s="13">
        <v>-85.09271</v>
      </c>
      <c r="O286" s="13" t="s">
        <v>1447</v>
      </c>
      <c r="P286" s="47"/>
    </row>
    <row r="287" ht="33.75" customHeight="1">
      <c r="A287" s="41">
        <v>42774.0</v>
      </c>
      <c r="B287" s="16" t="s">
        <v>928</v>
      </c>
      <c r="C287" s="16" t="s">
        <v>597</v>
      </c>
      <c r="D287" s="16" t="s">
        <v>929</v>
      </c>
      <c r="E287" s="16" t="s">
        <v>268</v>
      </c>
      <c r="F287" s="16">
        <v>29.62627</v>
      </c>
      <c r="G287" s="16">
        <v>-85.09661</v>
      </c>
      <c r="H287" s="13">
        <v>29.61344</v>
      </c>
      <c r="I287" s="13">
        <v>-84.95964</v>
      </c>
      <c r="J287" s="13" t="s">
        <v>1376</v>
      </c>
      <c r="K287" s="13" t="s">
        <v>1378</v>
      </c>
      <c r="L287" s="13">
        <v>7.0</v>
      </c>
      <c r="M287" s="13">
        <v>29.62576</v>
      </c>
      <c r="N287" s="13">
        <v>-85.09705</v>
      </c>
      <c r="O287" s="13" t="s">
        <v>1453</v>
      </c>
      <c r="P287" s="14"/>
    </row>
    <row r="288" ht="33.75" customHeight="1">
      <c r="A288" s="41">
        <v>42774.0</v>
      </c>
      <c r="B288" s="16" t="s">
        <v>928</v>
      </c>
      <c r="C288" s="16" t="s">
        <v>597</v>
      </c>
      <c r="D288" s="16" t="s">
        <v>929</v>
      </c>
      <c r="E288" s="16" t="s">
        <v>268</v>
      </c>
      <c r="F288" s="16">
        <v>29.62627</v>
      </c>
      <c r="G288" s="16">
        <v>-85.09661</v>
      </c>
      <c r="H288" s="13">
        <v>29.61344</v>
      </c>
      <c r="I288" s="13">
        <v>-84.95964</v>
      </c>
      <c r="J288" s="13" t="s">
        <v>1376</v>
      </c>
      <c r="K288" s="13" t="s">
        <v>1378</v>
      </c>
      <c r="L288" s="13">
        <v>8.0</v>
      </c>
      <c r="M288" s="13">
        <v>29.58815</v>
      </c>
      <c r="N288" s="13">
        <v>-85.04073</v>
      </c>
      <c r="O288" s="13" t="s">
        <v>1459</v>
      </c>
      <c r="P288" s="14"/>
    </row>
    <row r="289" ht="33.75" customHeight="1">
      <c r="A289" s="41">
        <v>42774.0</v>
      </c>
      <c r="B289" s="16" t="s">
        <v>928</v>
      </c>
      <c r="C289" s="16" t="s">
        <v>597</v>
      </c>
      <c r="D289" s="16" t="s">
        <v>929</v>
      </c>
      <c r="E289" s="16" t="s">
        <v>268</v>
      </c>
      <c r="F289" s="16">
        <v>29.62627</v>
      </c>
      <c r="G289" s="16">
        <v>-85.09661</v>
      </c>
      <c r="H289" s="13">
        <v>29.61344</v>
      </c>
      <c r="I289" s="13">
        <v>-84.95964</v>
      </c>
      <c r="J289" s="13" t="s">
        <v>1376</v>
      </c>
      <c r="K289" s="13" t="s">
        <v>1378</v>
      </c>
      <c r="L289" s="13">
        <v>9.0</v>
      </c>
      <c r="M289" s="13">
        <v>29.58868</v>
      </c>
      <c r="N289" s="13">
        <v>-85.03863</v>
      </c>
      <c r="O289" s="13" t="s">
        <v>1461</v>
      </c>
      <c r="P289" s="47"/>
    </row>
    <row r="290" ht="33.75" customHeight="1">
      <c r="A290" s="41">
        <v>42774.0</v>
      </c>
      <c r="B290" s="16" t="s">
        <v>928</v>
      </c>
      <c r="C290" s="16" t="s">
        <v>597</v>
      </c>
      <c r="D290" s="16" t="s">
        <v>929</v>
      </c>
      <c r="E290" s="16" t="s">
        <v>268</v>
      </c>
      <c r="F290" s="16">
        <v>29.62627</v>
      </c>
      <c r="G290" s="16">
        <v>-85.09661</v>
      </c>
      <c r="H290" s="13">
        <v>29.61344</v>
      </c>
      <c r="I290" s="13">
        <v>-84.95964</v>
      </c>
      <c r="J290" s="13" t="s">
        <v>1376</v>
      </c>
      <c r="K290" s="13" t="s">
        <v>1378</v>
      </c>
      <c r="L290" s="13">
        <v>10.0</v>
      </c>
      <c r="M290" s="13">
        <v>29.59398</v>
      </c>
      <c r="N290" s="13">
        <v>-85.02046</v>
      </c>
      <c r="O290" s="13" t="s">
        <v>1471</v>
      </c>
      <c r="P290" s="47"/>
    </row>
    <row r="291" ht="33.75" customHeight="1">
      <c r="A291" s="41">
        <v>42774.0</v>
      </c>
      <c r="B291" s="16" t="s">
        <v>928</v>
      </c>
      <c r="C291" s="16" t="s">
        <v>597</v>
      </c>
      <c r="D291" s="16" t="s">
        <v>929</v>
      </c>
      <c r="E291" s="16" t="s">
        <v>268</v>
      </c>
      <c r="F291" s="16">
        <v>29.62627</v>
      </c>
      <c r="G291" s="16">
        <v>-85.09661</v>
      </c>
      <c r="H291" s="13">
        <v>29.61344</v>
      </c>
      <c r="I291" s="13">
        <v>-84.95964</v>
      </c>
      <c r="J291" s="13" t="s">
        <v>1376</v>
      </c>
      <c r="K291" s="13" t="s">
        <v>1378</v>
      </c>
      <c r="L291" s="13">
        <v>11.0</v>
      </c>
      <c r="M291" s="13">
        <v>29.61285</v>
      </c>
      <c r="N291" s="13">
        <v>-84.96185</v>
      </c>
      <c r="O291" s="13" t="s">
        <v>1472</v>
      </c>
      <c r="P291" s="47"/>
    </row>
    <row r="292" ht="33.75" customHeight="1">
      <c r="A292" s="41">
        <v>42774.0</v>
      </c>
      <c r="B292" s="16" t="s">
        <v>928</v>
      </c>
      <c r="C292" s="16" t="s">
        <v>597</v>
      </c>
      <c r="D292" s="16" t="s">
        <v>929</v>
      </c>
      <c r="E292" s="16" t="s">
        <v>268</v>
      </c>
      <c r="F292" s="16">
        <v>29.62627</v>
      </c>
      <c r="G292" s="16">
        <v>-85.09661</v>
      </c>
      <c r="H292" s="13">
        <v>29.61344</v>
      </c>
      <c r="I292" s="13">
        <v>-84.95964</v>
      </c>
      <c r="J292" s="13" t="s">
        <v>1376</v>
      </c>
      <c r="K292" s="13" t="s">
        <v>1378</v>
      </c>
      <c r="L292" s="13">
        <v>12.0</v>
      </c>
      <c r="M292" s="13">
        <v>29.61371</v>
      </c>
      <c r="N292" s="13">
        <v>-84.95983</v>
      </c>
      <c r="O292" s="13" t="s">
        <v>1473</v>
      </c>
      <c r="P292" s="14" t="s">
        <v>1474</v>
      </c>
    </row>
    <row r="293" ht="33.75" customHeight="1">
      <c r="A293" s="41">
        <v>42774.0</v>
      </c>
      <c r="B293" s="16" t="s">
        <v>928</v>
      </c>
      <c r="C293" s="16" t="s">
        <v>597</v>
      </c>
      <c r="D293" s="16" t="s">
        <v>929</v>
      </c>
      <c r="E293" s="16" t="s">
        <v>268</v>
      </c>
      <c r="F293" s="16">
        <v>29.62627</v>
      </c>
      <c r="G293" s="16">
        <v>-85.09661</v>
      </c>
      <c r="H293" s="13">
        <v>29.61344</v>
      </c>
      <c r="I293" s="13">
        <v>-84.95964</v>
      </c>
      <c r="J293" s="13" t="s">
        <v>1376</v>
      </c>
      <c r="K293" s="13" t="s">
        <v>1378</v>
      </c>
      <c r="L293" s="13">
        <v>13.0</v>
      </c>
      <c r="M293" s="13">
        <v>29.60089</v>
      </c>
      <c r="N293" s="13">
        <v>-85.04422</v>
      </c>
      <c r="O293" s="13" t="s">
        <v>1478</v>
      </c>
      <c r="P293" s="14"/>
    </row>
    <row r="294" ht="33.75" customHeight="1">
      <c r="A294" s="16" t="s">
        <v>1385</v>
      </c>
      <c r="B294" s="16" t="s">
        <v>1386</v>
      </c>
      <c r="C294" s="16" t="s">
        <v>341</v>
      </c>
      <c r="D294" s="16" t="s">
        <v>988</v>
      </c>
      <c r="E294" s="16" t="s">
        <v>268</v>
      </c>
      <c r="F294" s="16">
        <v>29.88025</v>
      </c>
      <c r="G294" s="16">
        <v>-84.59576</v>
      </c>
      <c r="H294" s="13">
        <v>29.87387</v>
      </c>
      <c r="I294" s="13">
        <v>-84.58474</v>
      </c>
      <c r="J294" s="13" t="s">
        <v>1481</v>
      </c>
      <c r="K294" s="13" t="s">
        <v>1484</v>
      </c>
      <c r="L294" s="13">
        <v>1.0</v>
      </c>
      <c r="M294" s="13">
        <v>29.88025</v>
      </c>
      <c r="N294" s="13">
        <v>-84.59573</v>
      </c>
      <c r="O294" s="13" t="s">
        <v>1486</v>
      </c>
      <c r="P294" s="14" t="s">
        <v>1489</v>
      </c>
    </row>
    <row r="295" ht="33.75" customHeight="1">
      <c r="A295" s="16" t="s">
        <v>1385</v>
      </c>
      <c r="B295" s="16" t="s">
        <v>1386</v>
      </c>
      <c r="C295" s="16" t="s">
        <v>341</v>
      </c>
      <c r="D295" s="16" t="s">
        <v>988</v>
      </c>
      <c r="E295" s="16" t="s">
        <v>268</v>
      </c>
      <c r="F295" s="16">
        <v>29.88025</v>
      </c>
      <c r="G295" s="16">
        <v>-84.59576</v>
      </c>
      <c r="H295" s="13">
        <v>29.87387</v>
      </c>
      <c r="I295" s="13">
        <v>-84.58474</v>
      </c>
      <c r="J295" s="13" t="s">
        <v>1481</v>
      </c>
      <c r="K295" s="13" t="s">
        <v>1484</v>
      </c>
      <c r="L295" s="13">
        <v>2.0</v>
      </c>
      <c r="M295" s="13">
        <v>29.86904</v>
      </c>
      <c r="N295" s="13">
        <v>-84.59721</v>
      </c>
      <c r="O295" s="13" t="s">
        <v>1491</v>
      </c>
      <c r="P295" s="14" t="s">
        <v>1492</v>
      </c>
    </row>
    <row r="296" ht="33.75" customHeight="1">
      <c r="A296" s="16" t="s">
        <v>1385</v>
      </c>
      <c r="B296" s="16" t="s">
        <v>1386</v>
      </c>
      <c r="C296" s="16" t="s">
        <v>341</v>
      </c>
      <c r="D296" s="16" t="s">
        <v>988</v>
      </c>
      <c r="E296" s="16" t="s">
        <v>268</v>
      </c>
      <c r="F296" s="16">
        <v>29.88025</v>
      </c>
      <c r="G296" s="16">
        <v>-84.59576</v>
      </c>
      <c r="H296" s="13">
        <v>29.87387</v>
      </c>
      <c r="I296" s="13">
        <v>-84.58474</v>
      </c>
      <c r="J296" s="13" t="s">
        <v>1481</v>
      </c>
      <c r="K296" s="13" t="s">
        <v>1484</v>
      </c>
      <c r="L296" s="13">
        <v>3.0</v>
      </c>
      <c r="M296" s="13">
        <v>29.86933</v>
      </c>
      <c r="N296" s="13">
        <v>-84.59586</v>
      </c>
      <c r="O296" s="13" t="s">
        <v>1496</v>
      </c>
      <c r="P296" s="14" t="s">
        <v>1497</v>
      </c>
    </row>
    <row r="297" ht="33.75" customHeight="1">
      <c r="A297" s="16" t="s">
        <v>1385</v>
      </c>
      <c r="B297" s="16" t="s">
        <v>1386</v>
      </c>
      <c r="C297" s="16" t="s">
        <v>341</v>
      </c>
      <c r="D297" s="16" t="s">
        <v>988</v>
      </c>
      <c r="E297" s="16" t="s">
        <v>268</v>
      </c>
      <c r="F297" s="16">
        <v>29.88025</v>
      </c>
      <c r="G297" s="16">
        <v>-84.59576</v>
      </c>
      <c r="H297" s="13">
        <v>29.87387</v>
      </c>
      <c r="I297" s="13">
        <v>-84.58474</v>
      </c>
      <c r="J297" s="13" t="s">
        <v>1481</v>
      </c>
      <c r="K297" s="13" t="s">
        <v>1484</v>
      </c>
      <c r="L297" s="13">
        <v>4.0</v>
      </c>
      <c r="M297" s="13">
        <v>29.86972</v>
      </c>
      <c r="N297" s="13">
        <v>-84.5944</v>
      </c>
      <c r="O297" s="13" t="s">
        <v>1500</v>
      </c>
      <c r="P297" s="14" t="s">
        <v>1501</v>
      </c>
    </row>
    <row r="298" ht="33.75" customHeight="1">
      <c r="A298" s="16" t="s">
        <v>1385</v>
      </c>
      <c r="B298" s="16" t="s">
        <v>1386</v>
      </c>
      <c r="C298" s="16" t="s">
        <v>341</v>
      </c>
      <c r="D298" s="16" t="s">
        <v>988</v>
      </c>
      <c r="E298" s="16" t="s">
        <v>268</v>
      </c>
      <c r="F298" s="16">
        <v>29.88025</v>
      </c>
      <c r="G298" s="16">
        <v>-84.59576</v>
      </c>
      <c r="H298" s="13">
        <v>29.87387</v>
      </c>
      <c r="I298" s="13">
        <v>-84.58474</v>
      </c>
      <c r="J298" s="13" t="s">
        <v>1481</v>
      </c>
      <c r="K298" s="13" t="s">
        <v>1484</v>
      </c>
      <c r="L298" s="13">
        <v>5.0</v>
      </c>
      <c r="M298" s="13">
        <v>29.87024</v>
      </c>
      <c r="N298" s="13">
        <v>-84.59324</v>
      </c>
      <c r="O298" s="13" t="s">
        <v>1502</v>
      </c>
      <c r="P298" s="14"/>
    </row>
    <row r="299" ht="33.75" customHeight="1">
      <c r="A299" s="16" t="s">
        <v>1385</v>
      </c>
      <c r="B299" s="16" t="s">
        <v>1386</v>
      </c>
      <c r="C299" s="16" t="s">
        <v>341</v>
      </c>
      <c r="D299" s="16" t="s">
        <v>988</v>
      </c>
      <c r="E299" s="16" t="s">
        <v>268</v>
      </c>
      <c r="F299" s="16">
        <v>29.88025</v>
      </c>
      <c r="G299" s="16">
        <v>-84.59576</v>
      </c>
      <c r="H299" s="13">
        <v>29.87387</v>
      </c>
      <c r="I299" s="13">
        <v>-84.58474</v>
      </c>
      <c r="J299" s="13" t="s">
        <v>1481</v>
      </c>
      <c r="K299" s="13" t="s">
        <v>1484</v>
      </c>
      <c r="L299" s="13">
        <v>6.0</v>
      </c>
      <c r="M299" s="13">
        <v>29.87064</v>
      </c>
      <c r="N299" s="13">
        <v>-84.59145</v>
      </c>
      <c r="O299" s="13" t="s">
        <v>1507</v>
      </c>
      <c r="P299" s="14" t="s">
        <v>1508</v>
      </c>
    </row>
    <row r="300" ht="33.75" customHeight="1">
      <c r="A300" s="16" t="s">
        <v>1385</v>
      </c>
      <c r="B300" s="16" t="s">
        <v>1386</v>
      </c>
      <c r="C300" s="16" t="s">
        <v>341</v>
      </c>
      <c r="D300" s="16" t="s">
        <v>988</v>
      </c>
      <c r="E300" s="16" t="s">
        <v>268</v>
      </c>
      <c r="F300" s="16">
        <v>29.88025</v>
      </c>
      <c r="G300" s="16">
        <v>-84.59576</v>
      </c>
      <c r="H300" s="13">
        <v>29.87387</v>
      </c>
      <c r="I300" s="13">
        <v>-84.58474</v>
      </c>
      <c r="J300" s="13" t="s">
        <v>1481</v>
      </c>
      <c r="K300" s="13" t="s">
        <v>1484</v>
      </c>
      <c r="L300" s="31">
        <v>7.0</v>
      </c>
      <c r="M300" s="13">
        <v>29.8711</v>
      </c>
      <c r="N300" s="13">
        <v>-84.58982</v>
      </c>
      <c r="O300" s="13" t="s">
        <v>1509</v>
      </c>
      <c r="P300" s="33" t="s">
        <v>1510</v>
      </c>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c r="BC300" s="38"/>
      <c r="BD300" s="38"/>
      <c r="BE300" s="38"/>
      <c r="BF300" s="38"/>
      <c r="BG300" s="38"/>
      <c r="BH300" s="38"/>
      <c r="BI300" s="38"/>
      <c r="BJ300" s="38"/>
      <c r="BK300" s="38"/>
      <c r="BL300" s="38"/>
      <c r="BM300" s="38"/>
      <c r="BN300" s="38"/>
      <c r="BO300" s="38"/>
    </row>
    <row r="301" ht="33.75" customHeight="1">
      <c r="A301" s="16" t="s">
        <v>1385</v>
      </c>
      <c r="B301" s="16" t="s">
        <v>1386</v>
      </c>
      <c r="C301" s="16" t="s">
        <v>341</v>
      </c>
      <c r="D301" s="16" t="s">
        <v>988</v>
      </c>
      <c r="E301" s="16" t="s">
        <v>268</v>
      </c>
      <c r="F301" s="16">
        <v>29.88025</v>
      </c>
      <c r="G301" s="16">
        <v>-84.59576</v>
      </c>
      <c r="H301" s="13">
        <v>29.87387</v>
      </c>
      <c r="I301" s="13">
        <v>-84.58474</v>
      </c>
      <c r="J301" s="13" t="s">
        <v>1481</v>
      </c>
      <c r="K301" s="13" t="s">
        <v>1484</v>
      </c>
      <c r="L301" s="13">
        <v>8.0</v>
      </c>
      <c r="M301" s="31">
        <v>29.87211</v>
      </c>
      <c r="N301" s="31">
        <v>-84.58765</v>
      </c>
      <c r="O301" s="31" t="s">
        <v>1514</v>
      </c>
      <c r="P301" s="14" t="s">
        <v>1515</v>
      </c>
    </row>
    <row r="302" ht="33.75" customHeight="1">
      <c r="A302" s="16" t="s">
        <v>1385</v>
      </c>
      <c r="B302" s="16" t="s">
        <v>1386</v>
      </c>
      <c r="C302" s="16" t="s">
        <v>341</v>
      </c>
      <c r="D302" s="16" t="s">
        <v>988</v>
      </c>
      <c r="E302" s="16" t="s">
        <v>268</v>
      </c>
      <c r="F302" s="16">
        <v>29.88025</v>
      </c>
      <c r="G302" s="16">
        <v>-84.59576</v>
      </c>
      <c r="H302" s="13">
        <v>29.87387</v>
      </c>
      <c r="I302" s="13">
        <v>-84.58474</v>
      </c>
      <c r="J302" s="13" t="s">
        <v>1481</v>
      </c>
      <c r="K302" s="13" t="s">
        <v>1484</v>
      </c>
      <c r="L302" s="13">
        <v>9.0</v>
      </c>
      <c r="M302" s="13">
        <v>29.87387</v>
      </c>
      <c r="N302" s="13">
        <v>-84.58474</v>
      </c>
      <c r="O302" s="13" t="s">
        <v>1517</v>
      </c>
      <c r="P302" s="14" t="s">
        <v>1518</v>
      </c>
    </row>
    <row r="303" ht="33.75" customHeight="1">
      <c r="A303" s="15">
        <v>42771.0</v>
      </c>
      <c r="B303" s="13" t="s">
        <v>22</v>
      </c>
      <c r="C303" s="16" t="s">
        <v>1519</v>
      </c>
      <c r="D303" s="16" t="s">
        <v>1520</v>
      </c>
      <c r="E303" s="16" t="s">
        <v>230</v>
      </c>
      <c r="F303" s="17">
        <v>29.7593</v>
      </c>
      <c r="G303" s="17">
        <v>-85.4035</v>
      </c>
      <c r="H303" s="17">
        <v>29.6814</v>
      </c>
      <c r="I303" s="14">
        <v>-85.3655</v>
      </c>
      <c r="J303" s="13" t="s">
        <v>1398</v>
      </c>
      <c r="K303" s="13" t="s">
        <v>1521</v>
      </c>
      <c r="L303" s="13">
        <v>1.0</v>
      </c>
      <c r="M303" s="14">
        <v>29.7288</v>
      </c>
      <c r="N303" s="14">
        <v>-85.3925</v>
      </c>
      <c r="O303" s="13" t="s">
        <v>1441</v>
      </c>
      <c r="P303" s="13" t="s">
        <v>1523</v>
      </c>
    </row>
    <row r="304" ht="33.75" customHeight="1">
      <c r="A304" s="11">
        <v>42771.0</v>
      </c>
      <c r="B304" s="13" t="s">
        <v>22</v>
      </c>
      <c r="C304" s="13" t="s">
        <v>1524</v>
      </c>
      <c r="D304" s="13" t="s">
        <v>1525</v>
      </c>
      <c r="E304" s="13" t="s">
        <v>230</v>
      </c>
      <c r="F304" s="13">
        <v>29.7593</v>
      </c>
      <c r="G304" s="13">
        <v>-85.4035</v>
      </c>
      <c r="H304" s="13">
        <v>29.6814</v>
      </c>
      <c r="I304" s="14">
        <v>-85.3655</v>
      </c>
      <c r="J304" s="13" t="s">
        <v>1398</v>
      </c>
      <c r="K304" s="13" t="s">
        <v>1526</v>
      </c>
      <c r="L304" s="13">
        <v>2.0</v>
      </c>
      <c r="M304" s="14">
        <v>29.7297</v>
      </c>
      <c r="N304" s="14">
        <v>-85.3929</v>
      </c>
      <c r="O304" s="13" t="s">
        <v>1527</v>
      </c>
      <c r="P304" s="13" t="s">
        <v>1528</v>
      </c>
    </row>
    <row r="305" ht="33.75" customHeight="1">
      <c r="A305" s="15">
        <v>42771.0</v>
      </c>
      <c r="B305" s="16" t="s">
        <v>22</v>
      </c>
      <c r="C305" s="16" t="s">
        <v>66</v>
      </c>
      <c r="D305" s="16" t="s">
        <v>1406</v>
      </c>
      <c r="E305" s="16" t="s">
        <v>230</v>
      </c>
      <c r="F305" s="17">
        <v>29.8933</v>
      </c>
      <c r="G305" s="17">
        <v>-85.3602</v>
      </c>
      <c r="H305" s="17">
        <v>29.8506</v>
      </c>
      <c r="I305" s="14">
        <v>-85.337</v>
      </c>
      <c r="J305" s="13" t="s">
        <v>1529</v>
      </c>
      <c r="K305" s="13" t="s">
        <v>1531</v>
      </c>
      <c r="L305" s="13">
        <v>1.0</v>
      </c>
      <c r="M305" s="14">
        <v>29.8806</v>
      </c>
      <c r="N305" s="14">
        <v>-85.353</v>
      </c>
      <c r="O305" s="13" t="s">
        <v>1532</v>
      </c>
      <c r="P305" s="13" t="s">
        <v>1533</v>
      </c>
    </row>
    <row r="306" ht="33.75" customHeight="1">
      <c r="A306" s="15">
        <v>42771.0</v>
      </c>
      <c r="B306" s="16" t="s">
        <v>22</v>
      </c>
      <c r="C306" s="16" t="s">
        <v>66</v>
      </c>
      <c r="D306" s="16" t="s">
        <v>1416</v>
      </c>
      <c r="E306" s="16" t="s">
        <v>230</v>
      </c>
      <c r="F306" s="17">
        <v>29.8933</v>
      </c>
      <c r="G306" s="17">
        <v>-85.3602</v>
      </c>
      <c r="H306" s="17">
        <v>29.925</v>
      </c>
      <c r="I306" s="14">
        <v>-85.3894</v>
      </c>
      <c r="J306" s="13" t="s">
        <v>1547</v>
      </c>
      <c r="K306" s="13" t="s">
        <v>1549</v>
      </c>
      <c r="L306" s="13">
        <v>0.0</v>
      </c>
      <c r="M306" s="14"/>
      <c r="N306" s="14"/>
      <c r="O306" s="13"/>
      <c r="P306" s="13" t="s">
        <v>1552</v>
      </c>
    </row>
    <row r="307" ht="33.75" customHeight="1">
      <c r="A307" s="41">
        <v>42771.0</v>
      </c>
      <c r="B307" s="16" t="s">
        <v>316</v>
      </c>
      <c r="C307" s="16" t="s">
        <v>363</v>
      </c>
      <c r="D307" s="16" t="s">
        <v>318</v>
      </c>
      <c r="E307" s="16" t="s">
        <v>230</v>
      </c>
      <c r="F307" s="16">
        <v>29.75929</v>
      </c>
      <c r="G307" s="16">
        <v>-85.40339</v>
      </c>
      <c r="H307" s="13">
        <v>29.87575</v>
      </c>
      <c r="I307" s="13">
        <v>-85.38584</v>
      </c>
      <c r="J307" s="13" t="s">
        <v>1424</v>
      </c>
      <c r="K307" s="13" t="s">
        <v>1425</v>
      </c>
      <c r="L307" s="13">
        <v>1.0</v>
      </c>
      <c r="M307" s="13">
        <v>29.78652</v>
      </c>
      <c r="N307" s="13">
        <v>-85.41045</v>
      </c>
      <c r="O307" s="13" t="s">
        <v>1555</v>
      </c>
      <c r="P307" s="14" t="s">
        <v>168</v>
      </c>
    </row>
    <row r="308" ht="33.75" customHeight="1">
      <c r="A308" s="41">
        <v>42771.0</v>
      </c>
      <c r="B308" s="16" t="s">
        <v>316</v>
      </c>
      <c r="C308" s="16" t="s">
        <v>363</v>
      </c>
      <c r="D308" s="16" t="s">
        <v>318</v>
      </c>
      <c r="E308" s="16" t="s">
        <v>230</v>
      </c>
      <c r="F308" s="16">
        <v>29.75929</v>
      </c>
      <c r="G308" s="16">
        <v>-85.40339</v>
      </c>
      <c r="H308" s="13">
        <v>29.87575</v>
      </c>
      <c r="I308" s="13">
        <v>-85.38584</v>
      </c>
      <c r="J308" s="13" t="s">
        <v>1424</v>
      </c>
      <c r="K308" s="13" t="s">
        <v>1425</v>
      </c>
      <c r="L308" s="13">
        <v>2.0</v>
      </c>
      <c r="M308" s="13">
        <v>29.81713</v>
      </c>
      <c r="N308" s="13">
        <v>-85.41615</v>
      </c>
      <c r="O308" s="13" t="s">
        <v>100</v>
      </c>
      <c r="P308" s="14" t="s">
        <v>168</v>
      </c>
    </row>
    <row r="309" ht="33.75" customHeight="1">
      <c r="A309" s="41">
        <v>42771.0</v>
      </c>
      <c r="B309" s="16" t="s">
        <v>316</v>
      </c>
      <c r="C309" s="16" t="s">
        <v>363</v>
      </c>
      <c r="D309" s="16" t="s">
        <v>318</v>
      </c>
      <c r="E309" s="16" t="s">
        <v>230</v>
      </c>
      <c r="F309" s="16">
        <v>29.75929</v>
      </c>
      <c r="G309" s="16">
        <v>-85.40339</v>
      </c>
      <c r="H309" s="13">
        <v>29.87575</v>
      </c>
      <c r="I309" s="13">
        <v>-85.38584</v>
      </c>
      <c r="J309" s="13" t="s">
        <v>1424</v>
      </c>
      <c r="K309" s="13" t="s">
        <v>1425</v>
      </c>
      <c r="L309" s="13">
        <v>3.0</v>
      </c>
      <c r="M309" s="13">
        <v>29.82684</v>
      </c>
      <c r="N309" s="13">
        <v>-85.41682</v>
      </c>
      <c r="O309" s="13" t="s">
        <v>1559</v>
      </c>
      <c r="P309" s="14" t="s">
        <v>1560</v>
      </c>
    </row>
    <row r="310" ht="33.75" customHeight="1">
      <c r="A310" s="41">
        <v>42771.0</v>
      </c>
      <c r="B310" s="16" t="s">
        <v>316</v>
      </c>
      <c r="C310" s="16" t="s">
        <v>363</v>
      </c>
      <c r="D310" s="16" t="s">
        <v>318</v>
      </c>
      <c r="E310" s="16" t="s">
        <v>230</v>
      </c>
      <c r="F310" s="16">
        <v>29.75929</v>
      </c>
      <c r="G310" s="16">
        <v>-85.40339</v>
      </c>
      <c r="H310" s="13">
        <v>29.87575</v>
      </c>
      <c r="I310" s="13">
        <v>-85.38584</v>
      </c>
      <c r="J310" s="13" t="s">
        <v>1424</v>
      </c>
      <c r="K310" s="13" t="s">
        <v>1425</v>
      </c>
      <c r="L310" s="13">
        <v>4.0</v>
      </c>
      <c r="M310" s="13">
        <v>29.83955</v>
      </c>
      <c r="N310" s="13">
        <v>-85.4164</v>
      </c>
      <c r="O310" s="13" t="s">
        <v>100</v>
      </c>
      <c r="P310" s="14" t="s">
        <v>168</v>
      </c>
    </row>
    <row r="311" ht="33.75" customHeight="1">
      <c r="A311" s="41">
        <v>42771.0</v>
      </c>
      <c r="B311" s="16" t="s">
        <v>316</v>
      </c>
      <c r="C311" s="16" t="s">
        <v>363</v>
      </c>
      <c r="D311" s="16" t="s">
        <v>318</v>
      </c>
      <c r="E311" s="16" t="s">
        <v>230</v>
      </c>
      <c r="F311" s="16">
        <v>29.75929</v>
      </c>
      <c r="G311" s="16">
        <v>-85.40339</v>
      </c>
      <c r="H311" s="13">
        <v>29.87575</v>
      </c>
      <c r="I311" s="13">
        <v>-85.38584</v>
      </c>
      <c r="J311" s="13" t="s">
        <v>1424</v>
      </c>
      <c r="K311" s="13" t="s">
        <v>1425</v>
      </c>
      <c r="L311" s="13">
        <v>5.0</v>
      </c>
      <c r="M311" s="16">
        <v>29.84101</v>
      </c>
      <c r="N311" s="16">
        <v>-85.41618</v>
      </c>
      <c r="O311" s="13" t="s">
        <v>100</v>
      </c>
      <c r="P311" s="14" t="s">
        <v>168</v>
      </c>
    </row>
    <row r="312" ht="33.75" customHeight="1">
      <c r="A312" s="41">
        <v>42771.0</v>
      </c>
      <c r="B312" s="16" t="s">
        <v>316</v>
      </c>
      <c r="C312" s="16" t="s">
        <v>363</v>
      </c>
      <c r="D312" s="16" t="s">
        <v>318</v>
      </c>
      <c r="E312" s="16" t="s">
        <v>230</v>
      </c>
      <c r="F312" s="16">
        <v>29.75929</v>
      </c>
      <c r="G312" s="16">
        <v>-85.40339</v>
      </c>
      <c r="H312" s="13">
        <v>29.87575</v>
      </c>
      <c r="I312" s="13">
        <v>-85.38584</v>
      </c>
      <c r="J312" s="13" t="s">
        <v>1424</v>
      </c>
      <c r="K312" s="13" t="s">
        <v>1425</v>
      </c>
      <c r="L312" s="13">
        <v>6.0</v>
      </c>
      <c r="M312" s="13">
        <v>29.84677</v>
      </c>
      <c r="N312" s="13">
        <v>-85.41508</v>
      </c>
      <c r="O312" s="13" t="s">
        <v>1564</v>
      </c>
      <c r="P312" s="14" t="s">
        <v>1560</v>
      </c>
    </row>
    <row r="313" ht="33.75" customHeight="1">
      <c r="A313" s="41">
        <v>42771.0</v>
      </c>
      <c r="B313" s="16" t="s">
        <v>316</v>
      </c>
      <c r="C313" s="16" t="s">
        <v>363</v>
      </c>
      <c r="D313" s="16" t="s">
        <v>318</v>
      </c>
      <c r="E313" s="16" t="s">
        <v>230</v>
      </c>
      <c r="F313" s="16">
        <v>29.75929</v>
      </c>
      <c r="G313" s="16">
        <v>-85.40339</v>
      </c>
      <c r="H313" s="13">
        <v>29.87575</v>
      </c>
      <c r="I313" s="13">
        <v>-85.38584</v>
      </c>
      <c r="J313" s="13" t="s">
        <v>1424</v>
      </c>
      <c r="K313" s="13" t="s">
        <v>1425</v>
      </c>
      <c r="L313" s="13">
        <v>7.0</v>
      </c>
      <c r="M313" s="13">
        <v>29.84827</v>
      </c>
      <c r="N313" s="13">
        <v>-85.41494</v>
      </c>
      <c r="O313" s="13" t="s">
        <v>100</v>
      </c>
      <c r="P313" s="14" t="s">
        <v>168</v>
      </c>
    </row>
    <row r="314" ht="33.75" customHeight="1">
      <c r="A314" s="41">
        <v>42771.0</v>
      </c>
      <c r="B314" s="16" t="s">
        <v>316</v>
      </c>
      <c r="C314" s="16" t="s">
        <v>363</v>
      </c>
      <c r="D314" s="16" t="s">
        <v>318</v>
      </c>
      <c r="E314" s="16" t="s">
        <v>230</v>
      </c>
      <c r="F314" s="16">
        <v>29.75929</v>
      </c>
      <c r="G314" s="16">
        <v>-85.40339</v>
      </c>
      <c r="H314" s="13">
        <v>29.87575</v>
      </c>
      <c r="I314" s="13">
        <v>-85.38584</v>
      </c>
      <c r="J314" s="13" t="s">
        <v>1424</v>
      </c>
      <c r="K314" s="13" t="s">
        <v>1425</v>
      </c>
      <c r="L314" s="13">
        <v>8.0</v>
      </c>
      <c r="M314" s="13">
        <v>29.85029</v>
      </c>
      <c r="N314" s="13">
        <v>-85.41462</v>
      </c>
      <c r="O314" s="13" t="s">
        <v>115</v>
      </c>
      <c r="P314" s="14" t="s">
        <v>168</v>
      </c>
    </row>
    <row r="315" ht="33.75" customHeight="1">
      <c r="A315" s="41">
        <v>42771.0</v>
      </c>
      <c r="B315" s="16" t="s">
        <v>316</v>
      </c>
      <c r="C315" s="16" t="s">
        <v>363</v>
      </c>
      <c r="D315" s="16" t="s">
        <v>318</v>
      </c>
      <c r="E315" s="16" t="s">
        <v>230</v>
      </c>
      <c r="F315" s="16">
        <v>29.75929</v>
      </c>
      <c r="G315" s="16">
        <v>-85.40339</v>
      </c>
      <c r="H315" s="13">
        <v>29.87575</v>
      </c>
      <c r="I315" s="13">
        <v>-85.38584</v>
      </c>
      <c r="J315" s="13" t="s">
        <v>1424</v>
      </c>
      <c r="K315" s="13" t="s">
        <v>1425</v>
      </c>
      <c r="L315" s="13">
        <v>9.0</v>
      </c>
      <c r="M315" s="13">
        <v>29.86632</v>
      </c>
      <c r="N315" s="13">
        <v>-85.40781</v>
      </c>
      <c r="O315" s="13" t="s">
        <v>1574</v>
      </c>
      <c r="P315" s="14" t="s">
        <v>1560</v>
      </c>
    </row>
    <row r="316" ht="33.75" customHeight="1">
      <c r="A316" s="41">
        <v>42771.0</v>
      </c>
      <c r="B316" s="16" t="s">
        <v>316</v>
      </c>
      <c r="C316" s="16" t="s">
        <v>363</v>
      </c>
      <c r="D316" s="16" t="s">
        <v>318</v>
      </c>
      <c r="E316" s="16" t="s">
        <v>230</v>
      </c>
      <c r="F316" s="16">
        <v>29.75929</v>
      </c>
      <c r="G316" s="16">
        <v>-85.40339</v>
      </c>
      <c r="H316" s="13">
        <v>29.87575</v>
      </c>
      <c r="I316" s="13">
        <v>-85.38584</v>
      </c>
      <c r="J316" s="13" t="s">
        <v>1424</v>
      </c>
      <c r="K316" s="13" t="s">
        <v>1425</v>
      </c>
      <c r="L316" s="13">
        <v>10.0</v>
      </c>
      <c r="M316" s="13">
        <v>29.87284</v>
      </c>
      <c r="N316" s="13">
        <v>-85.40177</v>
      </c>
      <c r="O316" s="13" t="s">
        <v>100</v>
      </c>
      <c r="P316" s="14" t="s">
        <v>168</v>
      </c>
    </row>
    <row r="317" ht="33.75" customHeight="1">
      <c r="A317" s="41">
        <v>42771.0</v>
      </c>
      <c r="B317" s="16" t="s">
        <v>316</v>
      </c>
      <c r="C317" s="16" t="s">
        <v>363</v>
      </c>
      <c r="D317" s="16" t="s">
        <v>318</v>
      </c>
      <c r="E317" s="16" t="s">
        <v>230</v>
      </c>
      <c r="F317" s="16">
        <v>29.75929</v>
      </c>
      <c r="G317" s="16">
        <v>-85.40339</v>
      </c>
      <c r="H317" s="13">
        <v>29.87575</v>
      </c>
      <c r="I317" s="13">
        <v>-85.38584</v>
      </c>
      <c r="J317" s="13" t="s">
        <v>1424</v>
      </c>
      <c r="K317" s="13" t="s">
        <v>1425</v>
      </c>
      <c r="L317" s="13">
        <v>11.0</v>
      </c>
      <c r="M317" s="13">
        <v>29.87378</v>
      </c>
      <c r="N317" s="13">
        <v>-85.40032</v>
      </c>
      <c r="O317" s="13" t="s">
        <v>1580</v>
      </c>
      <c r="P317" s="14" t="s">
        <v>1405</v>
      </c>
    </row>
    <row r="318" ht="33.75" customHeight="1">
      <c r="A318" s="41">
        <v>42771.0</v>
      </c>
      <c r="B318" s="16" t="s">
        <v>316</v>
      </c>
      <c r="C318" s="16" t="s">
        <v>363</v>
      </c>
      <c r="D318" s="16" t="s">
        <v>318</v>
      </c>
      <c r="E318" s="16" t="s">
        <v>230</v>
      </c>
      <c r="F318" s="16">
        <v>29.75929</v>
      </c>
      <c r="G318" s="16">
        <v>-85.40339</v>
      </c>
      <c r="H318" s="13">
        <v>29.87575</v>
      </c>
      <c r="I318" s="13">
        <v>-85.38584</v>
      </c>
      <c r="J318" s="13" t="s">
        <v>1424</v>
      </c>
      <c r="K318" s="13" t="s">
        <v>1425</v>
      </c>
      <c r="L318" s="13">
        <v>12.0</v>
      </c>
      <c r="M318" s="13">
        <v>29.8755</v>
      </c>
      <c r="N318" s="13">
        <v>-85.39695</v>
      </c>
      <c r="O318" s="13" t="s">
        <v>1587</v>
      </c>
      <c r="P318" s="14" t="s">
        <v>168</v>
      </c>
    </row>
    <row r="319" ht="33.75" customHeight="1">
      <c r="A319" s="41">
        <v>42771.0</v>
      </c>
      <c r="B319" s="16" t="s">
        <v>316</v>
      </c>
      <c r="C319" s="16" t="s">
        <v>363</v>
      </c>
      <c r="D319" s="16" t="s">
        <v>318</v>
      </c>
      <c r="E319" s="16" t="s">
        <v>230</v>
      </c>
      <c r="F319" s="16">
        <v>29.75929</v>
      </c>
      <c r="G319" s="16">
        <v>-85.40339</v>
      </c>
      <c r="H319" s="13">
        <v>29.87575</v>
      </c>
      <c r="I319" s="13">
        <v>-85.38584</v>
      </c>
      <c r="J319" s="13" t="s">
        <v>1424</v>
      </c>
      <c r="K319" s="13" t="s">
        <v>1425</v>
      </c>
      <c r="L319" s="13">
        <v>13.0</v>
      </c>
      <c r="M319" s="13">
        <v>29.87627</v>
      </c>
      <c r="N319" s="13">
        <v>-85.39291</v>
      </c>
      <c r="O319" s="13" t="s">
        <v>1588</v>
      </c>
      <c r="P319" s="14" t="s">
        <v>1405</v>
      </c>
    </row>
    <row r="320" ht="33.75" customHeight="1">
      <c r="A320" s="41">
        <v>42771.0</v>
      </c>
      <c r="B320" s="16" t="s">
        <v>316</v>
      </c>
      <c r="C320" s="16" t="s">
        <v>363</v>
      </c>
      <c r="D320" s="16" t="s">
        <v>318</v>
      </c>
      <c r="E320" s="16" t="s">
        <v>230</v>
      </c>
      <c r="F320" s="16">
        <v>29.75929</v>
      </c>
      <c r="G320" s="16">
        <v>-85.40339</v>
      </c>
      <c r="H320" s="13">
        <v>29.87575</v>
      </c>
      <c r="I320" s="13">
        <v>-85.38584</v>
      </c>
      <c r="J320" s="13" t="s">
        <v>1424</v>
      </c>
      <c r="K320" s="13" t="s">
        <v>1425</v>
      </c>
      <c r="L320" s="13">
        <v>14.0</v>
      </c>
      <c r="M320" s="13">
        <v>29.87459</v>
      </c>
      <c r="N320" s="13">
        <v>-85.39564</v>
      </c>
      <c r="O320" s="13" t="s">
        <v>1591</v>
      </c>
      <c r="P320" s="14"/>
    </row>
    <row r="321" ht="33.75" customHeight="1">
      <c r="A321" s="41">
        <v>42771.0</v>
      </c>
      <c r="B321" s="16" t="s">
        <v>316</v>
      </c>
      <c r="C321" s="16" t="s">
        <v>363</v>
      </c>
      <c r="D321" s="16" t="s">
        <v>318</v>
      </c>
      <c r="E321" s="16" t="s">
        <v>230</v>
      </c>
      <c r="F321" s="16">
        <v>29.75929</v>
      </c>
      <c r="G321" s="16">
        <v>-85.40339</v>
      </c>
      <c r="H321" s="13">
        <v>29.87575</v>
      </c>
      <c r="I321" s="13">
        <v>-85.38584</v>
      </c>
      <c r="J321" s="13" t="s">
        <v>1424</v>
      </c>
      <c r="K321" s="13" t="s">
        <v>1425</v>
      </c>
      <c r="L321" s="13">
        <v>15.0</v>
      </c>
      <c r="M321" s="13">
        <v>29.87723</v>
      </c>
      <c r="N321" s="13">
        <v>-85.38992</v>
      </c>
      <c r="O321" s="13" t="s">
        <v>100</v>
      </c>
      <c r="P321" s="14" t="s">
        <v>168</v>
      </c>
    </row>
    <row r="322" ht="33.75" customHeight="1">
      <c r="A322" s="41">
        <v>42771.0</v>
      </c>
      <c r="B322" s="16" t="s">
        <v>596</v>
      </c>
      <c r="C322" s="16" t="s">
        <v>597</v>
      </c>
      <c r="D322" s="16" t="s">
        <v>598</v>
      </c>
      <c r="E322" s="16" t="s">
        <v>230</v>
      </c>
      <c r="F322" s="13">
        <v>29.67594</v>
      </c>
      <c r="G322" s="13">
        <v>-85.33372</v>
      </c>
      <c r="H322" s="13">
        <v>29.66995</v>
      </c>
      <c r="I322" s="13">
        <v>-85.35591</v>
      </c>
      <c r="J322" s="13" t="s">
        <v>1437</v>
      </c>
      <c r="K322" s="13" t="s">
        <v>1438</v>
      </c>
      <c r="L322" s="13">
        <v>1.0</v>
      </c>
      <c r="M322" s="13"/>
      <c r="N322" s="13"/>
      <c r="O322" s="13" t="s">
        <v>1594</v>
      </c>
      <c r="P322" s="14" t="s">
        <v>1436</v>
      </c>
    </row>
    <row r="323" ht="33.75" customHeight="1">
      <c r="A323" s="41">
        <v>42771.0</v>
      </c>
      <c r="B323" s="16" t="s">
        <v>596</v>
      </c>
      <c r="C323" s="16" t="s">
        <v>597</v>
      </c>
      <c r="D323" s="16" t="s">
        <v>598</v>
      </c>
      <c r="E323" s="16" t="s">
        <v>230</v>
      </c>
      <c r="F323" s="13">
        <v>29.67594</v>
      </c>
      <c r="G323" s="13">
        <v>-85.33372</v>
      </c>
      <c r="H323" s="13">
        <v>29.66995</v>
      </c>
      <c r="I323" s="13">
        <v>-85.35591</v>
      </c>
      <c r="J323" s="13" t="s">
        <v>1437</v>
      </c>
      <c r="K323" s="13" t="s">
        <v>1438</v>
      </c>
      <c r="L323" s="13">
        <v>2.0</v>
      </c>
      <c r="M323" s="13">
        <v>29.66861</v>
      </c>
      <c r="N323" s="13">
        <v>-85.34532</v>
      </c>
      <c r="O323" s="13" t="s">
        <v>1596</v>
      </c>
      <c r="P323" s="47"/>
    </row>
    <row r="324" ht="33.75" customHeight="1">
      <c r="A324" s="41">
        <v>42771.0</v>
      </c>
      <c r="B324" s="16" t="s">
        <v>596</v>
      </c>
      <c r="C324" s="16" t="s">
        <v>597</v>
      </c>
      <c r="D324" s="16" t="s">
        <v>598</v>
      </c>
      <c r="E324" s="16" t="s">
        <v>230</v>
      </c>
      <c r="F324" s="13">
        <v>29.67594</v>
      </c>
      <c r="G324" s="13">
        <v>-85.33372</v>
      </c>
      <c r="H324" s="13">
        <v>29.66995</v>
      </c>
      <c r="I324" s="13">
        <v>-85.35591</v>
      </c>
      <c r="J324" s="13" t="s">
        <v>1437</v>
      </c>
      <c r="K324" s="13" t="s">
        <v>1438</v>
      </c>
      <c r="L324" s="13">
        <v>3.0</v>
      </c>
      <c r="M324" s="13">
        <v>29.66566</v>
      </c>
      <c r="N324" s="13">
        <v>-85.34786</v>
      </c>
      <c r="O324" s="13" t="s">
        <v>1601</v>
      </c>
      <c r="P324" s="47"/>
    </row>
    <row r="325" ht="33.75" customHeight="1">
      <c r="A325" s="41">
        <v>42771.0</v>
      </c>
      <c r="B325" s="16" t="s">
        <v>596</v>
      </c>
      <c r="C325" s="16" t="s">
        <v>597</v>
      </c>
      <c r="D325" s="16" t="s">
        <v>598</v>
      </c>
      <c r="E325" s="16" t="s">
        <v>230</v>
      </c>
      <c r="F325" s="13">
        <v>29.67594</v>
      </c>
      <c r="G325" s="13">
        <v>-85.33372</v>
      </c>
      <c r="H325" s="13">
        <v>29.66995</v>
      </c>
      <c r="I325" s="13">
        <v>-85.35591</v>
      </c>
      <c r="J325" s="13" t="s">
        <v>1437</v>
      </c>
      <c r="K325" s="13" t="s">
        <v>1438</v>
      </c>
      <c r="L325" s="13">
        <v>4.0</v>
      </c>
      <c r="M325" s="13">
        <v>29.66571</v>
      </c>
      <c r="N325" s="13">
        <v>-85.34921</v>
      </c>
      <c r="O325" s="13" t="s">
        <v>1607</v>
      </c>
      <c r="P325" s="14" t="s">
        <v>1608</v>
      </c>
    </row>
    <row r="326" ht="33.75" customHeight="1">
      <c r="A326" s="43">
        <v>42771.0</v>
      </c>
      <c r="B326" s="16" t="s">
        <v>652</v>
      </c>
      <c r="C326" s="16" t="s">
        <v>195</v>
      </c>
      <c r="D326" s="16" t="s">
        <v>1442</v>
      </c>
      <c r="E326" s="16" t="s">
        <v>230</v>
      </c>
      <c r="F326" s="16">
        <v>29.71874</v>
      </c>
      <c r="G326" s="16">
        <v>-85.3051</v>
      </c>
      <c r="H326" s="13">
        <v>29.68633</v>
      </c>
      <c r="I326" s="13">
        <v>-85.31922</v>
      </c>
      <c r="J326" s="13" t="s">
        <v>1443</v>
      </c>
      <c r="K326" s="13" t="s">
        <v>1444</v>
      </c>
      <c r="L326" s="13">
        <v>1.0</v>
      </c>
      <c r="M326" s="13">
        <v>29.71541</v>
      </c>
      <c r="N326" s="13">
        <v>-85.31075</v>
      </c>
      <c r="O326" s="13" t="s">
        <v>1609</v>
      </c>
      <c r="P326" s="14" t="s">
        <v>1610</v>
      </c>
    </row>
    <row r="327" ht="33.75" customHeight="1">
      <c r="A327" s="43">
        <v>42771.0</v>
      </c>
      <c r="B327" s="16" t="s">
        <v>652</v>
      </c>
      <c r="C327" s="16" t="s">
        <v>195</v>
      </c>
      <c r="D327" s="16" t="s">
        <v>1442</v>
      </c>
      <c r="E327" s="16" t="s">
        <v>230</v>
      </c>
      <c r="F327" s="16">
        <v>29.71874</v>
      </c>
      <c r="G327" s="16">
        <v>-85.3051</v>
      </c>
      <c r="H327" s="13">
        <v>29.68633</v>
      </c>
      <c r="I327" s="13">
        <v>-85.31922</v>
      </c>
      <c r="J327" s="13" t="s">
        <v>1443</v>
      </c>
      <c r="K327" s="13" t="s">
        <v>1444</v>
      </c>
      <c r="L327" s="13">
        <v>2.0</v>
      </c>
      <c r="M327" s="13">
        <v>29.70064</v>
      </c>
      <c r="N327" s="13">
        <v>-85.31226</v>
      </c>
      <c r="O327" s="13" t="s">
        <v>1614</v>
      </c>
      <c r="P327" s="14" t="s">
        <v>1615</v>
      </c>
    </row>
    <row r="328" ht="33.75" customHeight="1">
      <c r="A328" s="15">
        <v>42772.0</v>
      </c>
      <c r="B328" s="16" t="s">
        <v>22</v>
      </c>
      <c r="C328" s="16" t="s">
        <v>1618</v>
      </c>
      <c r="D328" s="16" t="s">
        <v>1455</v>
      </c>
      <c r="E328" s="16" t="s">
        <v>230</v>
      </c>
      <c r="F328" s="13">
        <v>29.841</v>
      </c>
      <c r="G328" s="13">
        <v>-85.32</v>
      </c>
      <c r="H328" s="13">
        <v>29.8456</v>
      </c>
      <c r="I328" s="13">
        <v>-85.4442</v>
      </c>
      <c r="J328" s="13" t="s">
        <v>1456</v>
      </c>
      <c r="K328" s="13" t="s">
        <v>1619</v>
      </c>
      <c r="L328" s="13">
        <v>1.0</v>
      </c>
      <c r="M328" s="14">
        <v>29.8455</v>
      </c>
      <c r="N328" s="14">
        <v>-85.3276</v>
      </c>
      <c r="O328" s="13" t="s">
        <v>1620</v>
      </c>
      <c r="P328" s="13" t="s">
        <v>1621</v>
      </c>
    </row>
    <row r="329" ht="33.75" customHeight="1">
      <c r="A329" s="11">
        <v>42769.0</v>
      </c>
      <c r="B329" s="13" t="s">
        <v>1623</v>
      </c>
      <c r="C329" s="13" t="s">
        <v>1503</v>
      </c>
      <c r="D329" s="13" t="s">
        <v>1482</v>
      </c>
      <c r="E329" s="13" t="s">
        <v>1485</v>
      </c>
      <c r="F329" s="13">
        <v>28.5359</v>
      </c>
      <c r="G329" s="13">
        <v>-82.652142</v>
      </c>
      <c r="H329" s="13">
        <v>28.534069</v>
      </c>
      <c r="I329" s="14">
        <v>-82.649906</v>
      </c>
      <c r="J329" s="13" t="s">
        <v>1624</v>
      </c>
      <c r="K329" s="13" t="s">
        <v>1488</v>
      </c>
      <c r="L329" s="13">
        <v>0.0</v>
      </c>
      <c r="M329" s="14"/>
      <c r="N329" s="14"/>
      <c r="O329" s="13"/>
      <c r="P329" s="13"/>
    </row>
    <row r="330" ht="33.75" customHeight="1">
      <c r="A330" s="11">
        <v>42769.0</v>
      </c>
      <c r="B330" s="13" t="s">
        <v>1623</v>
      </c>
      <c r="C330" s="13" t="s">
        <v>1480</v>
      </c>
      <c r="D330" s="13" t="s">
        <v>1493</v>
      </c>
      <c r="E330" s="13" t="s">
        <v>1485</v>
      </c>
      <c r="F330" s="13">
        <v>28.569058</v>
      </c>
      <c r="G330" s="13">
        <v>-82.656416</v>
      </c>
      <c r="H330" s="13">
        <v>28.568316</v>
      </c>
      <c r="I330" s="14">
        <v>-82.655115</v>
      </c>
      <c r="J330" s="13" t="s">
        <v>1625</v>
      </c>
      <c r="K330" s="13" t="s">
        <v>1488</v>
      </c>
      <c r="L330" s="13">
        <v>0.0</v>
      </c>
      <c r="M330" s="14"/>
      <c r="N330" s="14"/>
      <c r="O330" s="13"/>
      <c r="P330" s="13"/>
    </row>
    <row r="331" ht="33.75" customHeight="1">
      <c r="A331" s="41">
        <v>42775.0</v>
      </c>
      <c r="B331" s="16" t="s">
        <v>1479</v>
      </c>
      <c r="C331" s="16" t="s">
        <v>1503</v>
      </c>
      <c r="D331" s="16" t="s">
        <v>1504</v>
      </c>
      <c r="E331" s="16" t="s">
        <v>1485</v>
      </c>
      <c r="F331" s="16">
        <v>28.551611</v>
      </c>
      <c r="G331" s="16">
        <v>-82.483788</v>
      </c>
      <c r="H331" s="13">
        <v>28.553314</v>
      </c>
      <c r="I331" s="13">
        <v>-82.483731</v>
      </c>
      <c r="J331" s="13" t="s">
        <v>1505</v>
      </c>
      <c r="K331" s="13" t="s">
        <v>1506</v>
      </c>
      <c r="L331" s="13">
        <v>0.0</v>
      </c>
      <c r="M331" s="13"/>
      <c r="N331" s="13"/>
      <c r="O331" s="13"/>
      <c r="P331" s="47"/>
    </row>
    <row r="332" ht="33.75" customHeight="1">
      <c r="A332" s="41">
        <v>42775.0</v>
      </c>
      <c r="B332" s="16" t="s">
        <v>1511</v>
      </c>
      <c r="C332" s="16" t="s">
        <v>1512</v>
      </c>
      <c r="D332" s="16" t="s">
        <v>1513</v>
      </c>
      <c r="E332" s="16" t="s">
        <v>1485</v>
      </c>
      <c r="F332" s="16">
        <v>28.4996</v>
      </c>
      <c r="G332" s="16">
        <v>-82.65012</v>
      </c>
      <c r="H332" s="13">
        <v>28.50009</v>
      </c>
      <c r="I332" s="13">
        <v>-82.6771</v>
      </c>
      <c r="J332" s="13" t="s">
        <v>1516</v>
      </c>
      <c r="K332" s="13" t="s">
        <v>1506</v>
      </c>
      <c r="L332" s="13">
        <v>1.0</v>
      </c>
      <c r="M332" s="13">
        <v>28.49669</v>
      </c>
      <c r="N332" s="13">
        <v>-82.66951</v>
      </c>
      <c r="O332" s="13" t="s">
        <v>1645</v>
      </c>
      <c r="P332" s="14" t="s">
        <v>1646</v>
      </c>
    </row>
    <row r="333" ht="33.75" customHeight="1">
      <c r="A333" s="41">
        <v>42775.0</v>
      </c>
      <c r="B333" s="16" t="s">
        <v>1511</v>
      </c>
      <c r="C333" s="16" t="s">
        <v>1512</v>
      </c>
      <c r="D333" s="16" t="s">
        <v>1513</v>
      </c>
      <c r="E333" s="16" t="s">
        <v>1485</v>
      </c>
      <c r="F333" s="16">
        <v>28.4996</v>
      </c>
      <c r="G333" s="16">
        <v>-82.65012</v>
      </c>
      <c r="H333" s="13">
        <v>28.50009</v>
      </c>
      <c r="I333" s="13">
        <v>-82.6771</v>
      </c>
      <c r="J333" s="13" t="s">
        <v>1516</v>
      </c>
      <c r="K333" s="13" t="s">
        <v>1506</v>
      </c>
      <c r="L333" s="13">
        <v>2.0</v>
      </c>
      <c r="M333" s="13">
        <v>28.49475</v>
      </c>
      <c r="N333" s="13">
        <v>-82.66782</v>
      </c>
      <c r="O333" s="13" t="s">
        <v>1198</v>
      </c>
      <c r="P333" s="14" t="s">
        <v>1647</v>
      </c>
    </row>
    <row r="334" ht="33.75" customHeight="1">
      <c r="A334" s="41">
        <v>42769.0</v>
      </c>
      <c r="B334" s="16" t="s">
        <v>1534</v>
      </c>
      <c r="C334" s="16" t="s">
        <v>1535</v>
      </c>
      <c r="D334" s="16" t="s">
        <v>1536</v>
      </c>
      <c r="E334" s="16" t="s">
        <v>1537</v>
      </c>
      <c r="F334" s="16">
        <v>27.95</v>
      </c>
      <c r="G334" s="16">
        <v>82.5453</v>
      </c>
      <c r="H334" s="13">
        <v>27.9488</v>
      </c>
      <c r="I334" s="13">
        <v>82.5414</v>
      </c>
      <c r="J334" s="13" t="s">
        <v>1538</v>
      </c>
      <c r="K334" s="13" t="s">
        <v>1539</v>
      </c>
      <c r="L334" s="13">
        <v>1.0</v>
      </c>
      <c r="M334" s="13">
        <v>29.9484</v>
      </c>
      <c r="N334" s="13">
        <v>82.5429</v>
      </c>
      <c r="O334" s="13" t="s">
        <v>1652</v>
      </c>
      <c r="P334" s="14" t="s">
        <v>130</v>
      </c>
    </row>
    <row r="335" ht="33.75" customHeight="1">
      <c r="A335" s="41">
        <v>42769.0</v>
      </c>
      <c r="B335" s="16" t="s">
        <v>1534</v>
      </c>
      <c r="C335" s="16" t="s">
        <v>1535</v>
      </c>
      <c r="D335" s="16" t="s">
        <v>1536</v>
      </c>
      <c r="E335" s="16" t="s">
        <v>1537</v>
      </c>
      <c r="F335" s="16">
        <v>27.95</v>
      </c>
      <c r="G335" s="16">
        <v>82.5453</v>
      </c>
      <c r="H335" s="13">
        <v>27.9488</v>
      </c>
      <c r="I335" s="13">
        <v>82.5414</v>
      </c>
      <c r="J335" s="13" t="s">
        <v>1538</v>
      </c>
      <c r="K335" s="13" t="s">
        <v>1653</v>
      </c>
      <c r="L335" s="13">
        <v>2.0</v>
      </c>
      <c r="M335" s="13">
        <v>27.9476</v>
      </c>
      <c r="N335" s="13">
        <v>82.5414</v>
      </c>
      <c r="O335" s="13" t="s">
        <v>1654</v>
      </c>
      <c r="P335" s="14" t="s">
        <v>130</v>
      </c>
    </row>
    <row r="336" ht="33.75" customHeight="1">
      <c r="A336" s="41">
        <v>42772.0</v>
      </c>
      <c r="B336" s="16" t="s">
        <v>1543</v>
      </c>
      <c r="C336" s="16" t="s">
        <v>1545</v>
      </c>
      <c r="D336" s="16" t="s">
        <v>1546</v>
      </c>
      <c r="E336" s="16" t="s">
        <v>1537</v>
      </c>
      <c r="F336" s="16">
        <v>27.860283</v>
      </c>
      <c r="G336" s="16">
        <v>-82.384513</v>
      </c>
      <c r="H336" s="16">
        <v>27.860283</v>
      </c>
      <c r="I336" s="16">
        <v>-82.384513</v>
      </c>
      <c r="J336" s="13" t="s">
        <v>1548</v>
      </c>
      <c r="K336" s="13" t="s">
        <v>1551</v>
      </c>
      <c r="L336" s="13">
        <v>1.0</v>
      </c>
      <c r="M336" s="13">
        <v>27.849901</v>
      </c>
      <c r="N336" s="13">
        <v>-82.402236</v>
      </c>
      <c r="O336" s="13" t="s">
        <v>1655</v>
      </c>
      <c r="P336" s="14" t="s">
        <v>1110</v>
      </c>
    </row>
    <row r="337" ht="33.75" customHeight="1">
      <c r="A337" s="41">
        <v>42772.0</v>
      </c>
      <c r="B337" s="16" t="s">
        <v>1543</v>
      </c>
      <c r="C337" s="16" t="s">
        <v>1545</v>
      </c>
      <c r="D337" s="16" t="s">
        <v>1546</v>
      </c>
      <c r="E337" s="16" t="s">
        <v>1537</v>
      </c>
      <c r="F337" s="16">
        <v>27.860283</v>
      </c>
      <c r="G337" s="16">
        <v>-82.384513</v>
      </c>
      <c r="H337" s="16">
        <v>27.860283</v>
      </c>
      <c r="I337" s="16">
        <v>-82.384513</v>
      </c>
      <c r="J337" s="13" t="s">
        <v>1548</v>
      </c>
      <c r="K337" s="13" t="s">
        <v>1551</v>
      </c>
      <c r="L337" s="13">
        <v>2.0</v>
      </c>
      <c r="M337" s="13">
        <v>27.848068</v>
      </c>
      <c r="N337" s="13">
        <v>-82.410668</v>
      </c>
      <c r="O337" s="13" t="s">
        <v>1656</v>
      </c>
      <c r="P337" s="14" t="s">
        <v>1110</v>
      </c>
    </row>
    <row r="338" ht="33.75" customHeight="1">
      <c r="A338" s="41">
        <v>42772.0</v>
      </c>
      <c r="B338" s="16" t="s">
        <v>1543</v>
      </c>
      <c r="C338" s="16" t="s">
        <v>1545</v>
      </c>
      <c r="D338" s="16" t="s">
        <v>1546</v>
      </c>
      <c r="E338" s="16" t="s">
        <v>1537</v>
      </c>
      <c r="F338" s="16">
        <v>27.860283</v>
      </c>
      <c r="G338" s="16">
        <v>-82.384513</v>
      </c>
      <c r="H338" s="16">
        <v>27.860283</v>
      </c>
      <c r="I338" s="16">
        <v>-82.384513</v>
      </c>
      <c r="J338" s="13" t="s">
        <v>1548</v>
      </c>
      <c r="K338" s="13" t="s">
        <v>1551</v>
      </c>
      <c r="L338" s="13">
        <v>3.0</v>
      </c>
      <c r="M338" s="13">
        <v>27.847489</v>
      </c>
      <c r="N338" s="13">
        <v>-82.418302</v>
      </c>
      <c r="O338" s="13" t="s">
        <v>1657</v>
      </c>
      <c r="P338" s="14" t="s">
        <v>1659</v>
      </c>
    </row>
    <row r="339" ht="33.75" customHeight="1">
      <c r="A339" s="41">
        <v>42772.0</v>
      </c>
      <c r="B339" s="16" t="s">
        <v>1543</v>
      </c>
      <c r="C339" s="16" t="s">
        <v>1545</v>
      </c>
      <c r="D339" s="16" t="s">
        <v>1546</v>
      </c>
      <c r="E339" s="16" t="s">
        <v>1537</v>
      </c>
      <c r="F339" s="16">
        <v>27.860283</v>
      </c>
      <c r="G339" s="16">
        <v>-82.384513</v>
      </c>
      <c r="H339" s="16">
        <v>27.860283</v>
      </c>
      <c r="I339" s="16">
        <v>-82.384513</v>
      </c>
      <c r="J339" s="13" t="s">
        <v>1548</v>
      </c>
      <c r="K339" s="13" t="s">
        <v>1551</v>
      </c>
      <c r="L339" s="13">
        <v>4.0</v>
      </c>
      <c r="M339" s="13">
        <v>27.846851</v>
      </c>
      <c r="N339" s="13">
        <v>-82.419542</v>
      </c>
      <c r="O339" s="13" t="s">
        <v>1316</v>
      </c>
      <c r="P339" s="14" t="s">
        <v>1110</v>
      </c>
    </row>
    <row r="340" ht="33.75" customHeight="1">
      <c r="A340" s="41">
        <v>42772.0</v>
      </c>
      <c r="B340" s="16" t="s">
        <v>1543</v>
      </c>
      <c r="C340" s="16" t="s">
        <v>1545</v>
      </c>
      <c r="D340" s="16" t="s">
        <v>1546</v>
      </c>
      <c r="E340" s="16" t="s">
        <v>1537</v>
      </c>
      <c r="F340" s="16">
        <v>27.860283</v>
      </c>
      <c r="G340" s="16">
        <v>-82.384513</v>
      </c>
      <c r="H340" s="16">
        <v>27.860283</v>
      </c>
      <c r="I340" s="16">
        <v>-82.384513</v>
      </c>
      <c r="J340" s="13" t="s">
        <v>1548</v>
      </c>
      <c r="K340" s="13" t="s">
        <v>1551</v>
      </c>
      <c r="L340" s="13">
        <v>5.0</v>
      </c>
      <c r="M340" s="13">
        <v>27.845247</v>
      </c>
      <c r="N340" s="13">
        <v>-82.420631</v>
      </c>
      <c r="O340" s="13" t="s">
        <v>1316</v>
      </c>
      <c r="P340" s="14" t="s">
        <v>1110</v>
      </c>
    </row>
    <row r="341" ht="33.75" customHeight="1">
      <c r="A341" s="41">
        <v>42772.0</v>
      </c>
      <c r="B341" s="16" t="s">
        <v>1543</v>
      </c>
      <c r="C341" s="16" t="s">
        <v>1545</v>
      </c>
      <c r="D341" s="16" t="s">
        <v>1546</v>
      </c>
      <c r="E341" s="16" t="s">
        <v>1537</v>
      </c>
      <c r="F341" s="16">
        <v>27.860283</v>
      </c>
      <c r="G341" s="16">
        <v>-82.384513</v>
      </c>
      <c r="H341" s="16">
        <v>27.860283</v>
      </c>
      <c r="I341" s="16">
        <v>-82.384513</v>
      </c>
      <c r="J341" s="13" t="s">
        <v>1548</v>
      </c>
      <c r="K341" s="13" t="s">
        <v>1551</v>
      </c>
      <c r="L341" s="13">
        <v>6.0</v>
      </c>
      <c r="M341" s="13">
        <v>27.819282</v>
      </c>
      <c r="N341" s="13">
        <v>-82.395893</v>
      </c>
      <c r="O341" s="13" t="s">
        <v>1669</v>
      </c>
      <c r="P341" s="14" t="s">
        <v>1110</v>
      </c>
    </row>
    <row r="342" ht="33.75" customHeight="1">
      <c r="A342" s="41">
        <v>42772.0</v>
      </c>
      <c r="B342" s="16" t="s">
        <v>1543</v>
      </c>
      <c r="C342" s="16" t="s">
        <v>1545</v>
      </c>
      <c r="D342" s="16" t="s">
        <v>1546</v>
      </c>
      <c r="E342" s="16" t="s">
        <v>1537</v>
      </c>
      <c r="F342" s="16">
        <v>27.860283</v>
      </c>
      <c r="G342" s="16">
        <v>-82.384513</v>
      </c>
      <c r="H342" s="16">
        <v>27.860283</v>
      </c>
      <c r="I342" s="16">
        <v>-82.384513</v>
      </c>
      <c r="J342" s="13" t="s">
        <v>1548</v>
      </c>
      <c r="K342" s="13" t="s">
        <v>1551</v>
      </c>
      <c r="L342" s="13">
        <v>7.0</v>
      </c>
      <c r="M342" s="13">
        <v>27.817483</v>
      </c>
      <c r="N342" s="13">
        <v>-82.398629</v>
      </c>
      <c r="O342" s="13" t="s">
        <v>1316</v>
      </c>
      <c r="P342" s="14" t="s">
        <v>1110</v>
      </c>
    </row>
    <row r="343" ht="33.75" customHeight="1">
      <c r="A343" s="41">
        <v>42772.0</v>
      </c>
      <c r="B343" s="16" t="s">
        <v>1543</v>
      </c>
      <c r="C343" s="16" t="s">
        <v>1545</v>
      </c>
      <c r="D343" s="16" t="s">
        <v>1546</v>
      </c>
      <c r="E343" s="16" t="s">
        <v>1537</v>
      </c>
      <c r="F343" s="16">
        <v>27.860283</v>
      </c>
      <c r="G343" s="16">
        <v>-82.384513</v>
      </c>
      <c r="H343" s="16">
        <v>27.860283</v>
      </c>
      <c r="I343" s="16">
        <v>-82.384513</v>
      </c>
      <c r="J343" s="13" t="s">
        <v>1548</v>
      </c>
      <c r="K343" s="13" t="s">
        <v>1551</v>
      </c>
      <c r="L343" s="13">
        <v>8.0</v>
      </c>
      <c r="M343" s="13">
        <v>27.784782</v>
      </c>
      <c r="N343" s="13">
        <v>-82.427781</v>
      </c>
      <c r="O343" s="13" t="s">
        <v>1672</v>
      </c>
      <c r="P343" s="14" t="s">
        <v>1110</v>
      </c>
    </row>
    <row r="344" ht="33.75" customHeight="1">
      <c r="A344" s="41">
        <v>42772.0</v>
      </c>
      <c r="B344" s="16" t="s">
        <v>1543</v>
      </c>
      <c r="C344" s="16" t="s">
        <v>1545</v>
      </c>
      <c r="D344" s="16" t="s">
        <v>1546</v>
      </c>
      <c r="E344" s="16" t="s">
        <v>1537</v>
      </c>
      <c r="F344" s="16">
        <v>27.860283</v>
      </c>
      <c r="G344" s="16">
        <v>-82.384513</v>
      </c>
      <c r="H344" s="16">
        <v>27.860283</v>
      </c>
      <c r="I344" s="16">
        <v>-82.384513</v>
      </c>
      <c r="J344" s="13" t="s">
        <v>1548</v>
      </c>
      <c r="K344" s="13" t="s">
        <v>1551</v>
      </c>
      <c r="L344" s="13">
        <v>9.0</v>
      </c>
      <c r="M344" s="13">
        <v>27.787919</v>
      </c>
      <c r="N344" s="13">
        <v>-82.424206</v>
      </c>
      <c r="O344" s="13" t="s">
        <v>1675</v>
      </c>
      <c r="P344" s="14" t="s">
        <v>1110</v>
      </c>
    </row>
    <row r="345" ht="33.75" customHeight="1">
      <c r="A345" s="41">
        <v>42772.0</v>
      </c>
      <c r="B345" s="16" t="s">
        <v>1543</v>
      </c>
      <c r="C345" s="16" t="s">
        <v>1545</v>
      </c>
      <c r="D345" s="16" t="s">
        <v>1546</v>
      </c>
      <c r="E345" s="16" t="s">
        <v>1537</v>
      </c>
      <c r="F345" s="16">
        <v>27.860283</v>
      </c>
      <c r="G345" s="16">
        <v>-82.384513</v>
      </c>
      <c r="H345" s="16">
        <v>27.860283</v>
      </c>
      <c r="I345" s="16">
        <v>-82.384513</v>
      </c>
      <c r="J345" s="13" t="s">
        <v>1548</v>
      </c>
      <c r="K345" s="13" t="s">
        <v>1551</v>
      </c>
      <c r="L345" s="13">
        <v>10.0</v>
      </c>
      <c r="M345" s="13">
        <v>27.805323</v>
      </c>
      <c r="N345" s="13">
        <v>-82.412116</v>
      </c>
      <c r="O345" s="13" t="s">
        <v>1316</v>
      </c>
      <c r="P345" s="14" t="s">
        <v>1110</v>
      </c>
    </row>
    <row r="346" ht="33.75" customHeight="1">
      <c r="A346" s="41">
        <v>42772.0</v>
      </c>
      <c r="B346" s="16" t="s">
        <v>1543</v>
      </c>
      <c r="C346" s="16" t="s">
        <v>1545</v>
      </c>
      <c r="D346" s="16" t="s">
        <v>1546</v>
      </c>
      <c r="E346" s="16" t="s">
        <v>1537</v>
      </c>
      <c r="F346" s="16">
        <v>27.860283</v>
      </c>
      <c r="G346" s="16">
        <v>-82.384513</v>
      </c>
      <c r="H346" s="16">
        <v>27.860283</v>
      </c>
      <c r="I346" s="16">
        <v>-82.384513</v>
      </c>
      <c r="J346" s="13" t="s">
        <v>1548</v>
      </c>
      <c r="K346" s="13" t="s">
        <v>1551</v>
      </c>
      <c r="L346" s="13">
        <v>11.0</v>
      </c>
      <c r="M346" s="13">
        <v>27.808192</v>
      </c>
      <c r="N346" s="13">
        <v>-82.412005</v>
      </c>
      <c r="O346" s="13" t="s">
        <v>1680</v>
      </c>
      <c r="P346" s="14" t="s">
        <v>126</v>
      </c>
    </row>
    <row r="347" ht="33.75" customHeight="1">
      <c r="A347" s="41">
        <v>42772.0</v>
      </c>
      <c r="B347" s="16" t="s">
        <v>1543</v>
      </c>
      <c r="C347" s="16" t="s">
        <v>1545</v>
      </c>
      <c r="D347" s="16" t="s">
        <v>1546</v>
      </c>
      <c r="E347" s="16" t="s">
        <v>1537</v>
      </c>
      <c r="F347" s="16">
        <v>27.860283</v>
      </c>
      <c r="G347" s="16">
        <v>-82.384513</v>
      </c>
      <c r="H347" s="16">
        <v>27.860283</v>
      </c>
      <c r="I347" s="16">
        <v>-82.384513</v>
      </c>
      <c r="J347" s="13" t="s">
        <v>1548</v>
      </c>
      <c r="K347" s="13" t="s">
        <v>1551</v>
      </c>
      <c r="L347" s="13">
        <v>12.0</v>
      </c>
      <c r="M347" s="13">
        <v>27.864852</v>
      </c>
      <c r="N347" s="13">
        <v>-82.429386</v>
      </c>
      <c r="O347" s="13" t="s">
        <v>1316</v>
      </c>
      <c r="P347" s="14" t="s">
        <v>1110</v>
      </c>
    </row>
    <row r="348" ht="33.75" customHeight="1">
      <c r="A348" s="41">
        <v>42772.0</v>
      </c>
      <c r="B348" s="16" t="s">
        <v>1543</v>
      </c>
      <c r="C348" s="16" t="s">
        <v>1545</v>
      </c>
      <c r="D348" s="16" t="s">
        <v>1546</v>
      </c>
      <c r="E348" s="16" t="s">
        <v>1537</v>
      </c>
      <c r="F348" s="16">
        <v>27.860283</v>
      </c>
      <c r="G348" s="16">
        <v>-82.384513</v>
      </c>
      <c r="H348" s="16">
        <v>27.860283</v>
      </c>
      <c r="I348" s="16">
        <v>-82.384513</v>
      </c>
      <c r="J348" s="13" t="s">
        <v>1548</v>
      </c>
      <c r="K348" s="13" t="s">
        <v>1551</v>
      </c>
      <c r="L348" s="13">
        <v>13.0</v>
      </c>
      <c r="M348" s="13">
        <v>27.863834</v>
      </c>
      <c r="N348" s="13">
        <v>-82.429644</v>
      </c>
      <c r="O348" s="13" t="s">
        <v>1316</v>
      </c>
      <c r="P348" s="14" t="s">
        <v>1110</v>
      </c>
    </row>
    <row r="349" ht="33.75" customHeight="1">
      <c r="A349" s="41">
        <v>42772.0</v>
      </c>
      <c r="B349" s="16" t="s">
        <v>1543</v>
      </c>
      <c r="C349" s="16" t="s">
        <v>1545</v>
      </c>
      <c r="D349" s="16" t="s">
        <v>1546</v>
      </c>
      <c r="E349" s="16" t="s">
        <v>1537</v>
      </c>
      <c r="F349" s="16">
        <v>27.860283</v>
      </c>
      <c r="G349" s="16">
        <v>-82.384513</v>
      </c>
      <c r="H349" s="16">
        <v>27.860283</v>
      </c>
      <c r="I349" s="16">
        <v>-82.384513</v>
      </c>
      <c r="J349" s="13" t="s">
        <v>1548</v>
      </c>
      <c r="K349" s="13" t="s">
        <v>1551</v>
      </c>
      <c r="L349" s="13">
        <v>14.0</v>
      </c>
      <c r="M349" s="13">
        <v>27.863938</v>
      </c>
      <c r="N349" s="13">
        <v>-82.433176</v>
      </c>
      <c r="O349" s="13" t="s">
        <v>1316</v>
      </c>
      <c r="P349" s="14" t="s">
        <v>1110</v>
      </c>
    </row>
    <row r="350" ht="33.75" customHeight="1">
      <c r="A350" s="41">
        <v>42772.0</v>
      </c>
      <c r="B350" s="16" t="s">
        <v>1543</v>
      </c>
      <c r="C350" s="16" t="s">
        <v>1545</v>
      </c>
      <c r="D350" s="16" t="s">
        <v>1546</v>
      </c>
      <c r="E350" s="16" t="s">
        <v>1537</v>
      </c>
      <c r="F350" s="16">
        <v>27.860283</v>
      </c>
      <c r="G350" s="16">
        <v>-82.384513</v>
      </c>
      <c r="H350" s="16">
        <v>27.860283</v>
      </c>
      <c r="I350" s="16">
        <v>-82.384513</v>
      </c>
      <c r="J350" s="13" t="s">
        <v>1548</v>
      </c>
      <c r="K350" s="13" t="s">
        <v>1551</v>
      </c>
      <c r="L350" s="13">
        <v>15.0</v>
      </c>
      <c r="M350" s="13">
        <v>27.872752</v>
      </c>
      <c r="N350" s="13">
        <v>-82.436957</v>
      </c>
      <c r="O350" s="13" t="s">
        <v>1316</v>
      </c>
      <c r="P350" s="14" t="s">
        <v>1110</v>
      </c>
    </row>
    <row r="351" ht="33.75" customHeight="1">
      <c r="A351" s="41">
        <v>42772.0</v>
      </c>
      <c r="B351" s="16" t="s">
        <v>1543</v>
      </c>
      <c r="C351" s="16" t="s">
        <v>1545</v>
      </c>
      <c r="D351" s="16" t="s">
        <v>1546</v>
      </c>
      <c r="E351" s="16" t="s">
        <v>1537</v>
      </c>
      <c r="F351" s="16">
        <v>27.860283</v>
      </c>
      <c r="G351" s="16">
        <v>-82.384513</v>
      </c>
      <c r="H351" s="16">
        <v>27.860283</v>
      </c>
      <c r="I351" s="16">
        <v>-82.384513</v>
      </c>
      <c r="J351" s="13" t="s">
        <v>1548</v>
      </c>
      <c r="K351" s="13" t="s">
        <v>1551</v>
      </c>
      <c r="L351" s="13">
        <v>16.0</v>
      </c>
      <c r="M351" s="13">
        <v>27.877751</v>
      </c>
      <c r="N351" s="13">
        <v>-82.436505</v>
      </c>
      <c r="O351" s="13" t="s">
        <v>1680</v>
      </c>
      <c r="P351" s="14" t="s">
        <v>126</v>
      </c>
    </row>
    <row r="352" ht="33.75" customHeight="1">
      <c r="A352" s="41">
        <v>42772.0</v>
      </c>
      <c r="B352" s="16" t="s">
        <v>1543</v>
      </c>
      <c r="C352" s="16" t="s">
        <v>1545</v>
      </c>
      <c r="D352" s="16" t="s">
        <v>1546</v>
      </c>
      <c r="E352" s="16" t="s">
        <v>1537</v>
      </c>
      <c r="F352" s="16">
        <v>27.860283</v>
      </c>
      <c r="G352" s="16">
        <v>-82.384513</v>
      </c>
      <c r="H352" s="16">
        <v>27.860283</v>
      </c>
      <c r="I352" s="16">
        <v>-82.384513</v>
      </c>
      <c r="J352" s="13" t="s">
        <v>1548</v>
      </c>
      <c r="K352" s="13" t="s">
        <v>1551</v>
      </c>
      <c r="L352" s="13">
        <v>17.0</v>
      </c>
      <c r="M352" s="13">
        <v>27.879445</v>
      </c>
      <c r="N352" s="13">
        <v>-82.436115</v>
      </c>
      <c r="O352" s="13" t="s">
        <v>1316</v>
      </c>
      <c r="P352" s="14" t="s">
        <v>1110</v>
      </c>
    </row>
    <row r="353" ht="33.75" customHeight="1">
      <c r="A353" s="41">
        <v>42772.0</v>
      </c>
      <c r="B353" s="16" t="s">
        <v>1543</v>
      </c>
      <c r="C353" s="16" t="s">
        <v>1545</v>
      </c>
      <c r="D353" s="16" t="s">
        <v>1546</v>
      </c>
      <c r="E353" s="16" t="s">
        <v>1537</v>
      </c>
      <c r="F353" s="16">
        <v>27.860283</v>
      </c>
      <c r="G353" s="16">
        <v>-82.384513</v>
      </c>
      <c r="H353" s="16">
        <v>27.860283</v>
      </c>
      <c r="I353" s="16">
        <v>-82.384513</v>
      </c>
      <c r="J353" s="13" t="s">
        <v>1548</v>
      </c>
      <c r="K353" s="13" t="s">
        <v>1551</v>
      </c>
      <c r="L353" s="13">
        <v>18.0</v>
      </c>
      <c r="M353" s="13">
        <v>27.882529</v>
      </c>
      <c r="N353" s="13">
        <v>-82.435902</v>
      </c>
      <c r="O353" s="13" t="s">
        <v>1316</v>
      </c>
      <c r="P353" s="14" t="s">
        <v>1110</v>
      </c>
    </row>
    <row r="354" ht="33.75" customHeight="1">
      <c r="A354" s="41">
        <v>42772.0</v>
      </c>
      <c r="B354" s="16" t="s">
        <v>1543</v>
      </c>
      <c r="C354" s="16" t="s">
        <v>1545</v>
      </c>
      <c r="D354" s="16" t="s">
        <v>1546</v>
      </c>
      <c r="E354" s="16" t="s">
        <v>1537</v>
      </c>
      <c r="F354" s="16">
        <v>27.860283</v>
      </c>
      <c r="G354" s="16">
        <v>-82.384513</v>
      </c>
      <c r="H354" s="16">
        <v>27.860283</v>
      </c>
      <c r="I354" s="16">
        <v>-82.384513</v>
      </c>
      <c r="J354" s="13" t="s">
        <v>1548</v>
      </c>
      <c r="K354" s="13" t="s">
        <v>1551</v>
      </c>
      <c r="L354" s="13">
        <v>19.0</v>
      </c>
      <c r="M354" s="13">
        <v>27.880541</v>
      </c>
      <c r="N354" s="13">
        <v>-82.424607</v>
      </c>
      <c r="O354" s="13" t="s">
        <v>1316</v>
      </c>
      <c r="P354" s="14" t="s">
        <v>1110</v>
      </c>
    </row>
    <row r="355" ht="33.75" customHeight="1">
      <c r="A355" s="41">
        <v>42772.0</v>
      </c>
      <c r="B355" s="16" t="s">
        <v>1543</v>
      </c>
      <c r="C355" s="16" t="s">
        <v>1545</v>
      </c>
      <c r="D355" s="16" t="s">
        <v>1546</v>
      </c>
      <c r="E355" s="16" t="s">
        <v>1537</v>
      </c>
      <c r="F355" s="16">
        <v>27.860283</v>
      </c>
      <c r="G355" s="16">
        <v>-82.384513</v>
      </c>
      <c r="H355" s="16">
        <v>27.860283</v>
      </c>
      <c r="I355" s="16">
        <v>-82.384513</v>
      </c>
      <c r="J355" s="13" t="s">
        <v>1548</v>
      </c>
      <c r="K355" s="13" t="s">
        <v>1551</v>
      </c>
      <c r="L355" s="13">
        <v>20.0</v>
      </c>
      <c r="M355" s="13">
        <v>27.888129</v>
      </c>
      <c r="N355" s="13">
        <v>-82.430202</v>
      </c>
      <c r="O355" s="13" t="s">
        <v>1689</v>
      </c>
      <c r="P355" s="14" t="s">
        <v>1110</v>
      </c>
    </row>
    <row r="356" ht="33.75" customHeight="1">
      <c r="A356" s="41">
        <v>42772.0</v>
      </c>
      <c r="B356" s="16" t="s">
        <v>1543</v>
      </c>
      <c r="C356" s="16" t="s">
        <v>1545</v>
      </c>
      <c r="D356" s="16" t="s">
        <v>1546</v>
      </c>
      <c r="E356" s="16" t="s">
        <v>1537</v>
      </c>
      <c r="F356" s="16">
        <v>27.860283</v>
      </c>
      <c r="G356" s="16">
        <v>-82.384513</v>
      </c>
      <c r="H356" s="16">
        <v>27.860283</v>
      </c>
      <c r="I356" s="16">
        <v>-82.384513</v>
      </c>
      <c r="J356" s="13" t="s">
        <v>1548</v>
      </c>
      <c r="K356" s="13" t="s">
        <v>1551</v>
      </c>
      <c r="L356" s="13">
        <v>21.0</v>
      </c>
      <c r="M356" s="13">
        <v>27.903192</v>
      </c>
      <c r="N356" s="13">
        <v>-82.432358</v>
      </c>
      <c r="O356" s="13" t="s">
        <v>1691</v>
      </c>
      <c r="P356" s="14" t="s">
        <v>1110</v>
      </c>
    </row>
    <row r="357" ht="33.75" customHeight="1">
      <c r="A357" s="41">
        <v>42772.0</v>
      </c>
      <c r="B357" s="16" t="s">
        <v>1543</v>
      </c>
      <c r="C357" s="16" t="s">
        <v>1545</v>
      </c>
      <c r="D357" s="16" t="s">
        <v>1546</v>
      </c>
      <c r="E357" s="16" t="s">
        <v>1537</v>
      </c>
      <c r="F357" s="16">
        <v>27.860283</v>
      </c>
      <c r="G357" s="16">
        <v>-82.384513</v>
      </c>
      <c r="H357" s="16">
        <v>27.860283</v>
      </c>
      <c r="I357" s="16">
        <v>-82.384513</v>
      </c>
      <c r="J357" s="13" t="s">
        <v>1548</v>
      </c>
      <c r="K357" s="13" t="s">
        <v>1551</v>
      </c>
      <c r="L357" s="13">
        <v>22.0</v>
      </c>
      <c r="M357" s="13">
        <v>27.922649</v>
      </c>
      <c r="N357" s="13">
        <v>-82.420909</v>
      </c>
      <c r="O357" s="13" t="s">
        <v>1695</v>
      </c>
      <c r="P357" s="14" t="s">
        <v>1110</v>
      </c>
    </row>
    <row r="358" ht="33.75" customHeight="1">
      <c r="A358" s="41">
        <v>42772.0</v>
      </c>
      <c r="B358" s="16" t="s">
        <v>1543</v>
      </c>
      <c r="C358" s="16" t="s">
        <v>1545</v>
      </c>
      <c r="D358" s="16" t="s">
        <v>1546</v>
      </c>
      <c r="E358" s="16" t="s">
        <v>1537</v>
      </c>
      <c r="F358" s="16">
        <v>27.860283</v>
      </c>
      <c r="G358" s="16">
        <v>-82.384513</v>
      </c>
      <c r="H358" s="16">
        <v>27.860283</v>
      </c>
      <c r="I358" s="16">
        <v>-82.384513</v>
      </c>
      <c r="J358" s="13" t="s">
        <v>1548</v>
      </c>
      <c r="K358" s="13" t="s">
        <v>1551</v>
      </c>
      <c r="L358" s="13">
        <v>23.0</v>
      </c>
      <c r="M358" s="13">
        <v>27.918556</v>
      </c>
      <c r="N358" s="13">
        <v>-82.428815</v>
      </c>
      <c r="O358" s="13" t="s">
        <v>1316</v>
      </c>
      <c r="P358" s="14" t="s">
        <v>1110</v>
      </c>
    </row>
    <row r="359" ht="33.75" customHeight="1">
      <c r="A359" s="41">
        <v>42772.0</v>
      </c>
      <c r="B359" s="16" t="s">
        <v>1543</v>
      </c>
      <c r="C359" s="16" t="s">
        <v>1545</v>
      </c>
      <c r="D359" s="16" t="s">
        <v>1546</v>
      </c>
      <c r="E359" s="16" t="s">
        <v>1537</v>
      </c>
      <c r="F359" s="16">
        <v>27.860283</v>
      </c>
      <c r="G359" s="16">
        <v>-82.384513</v>
      </c>
      <c r="H359" s="16">
        <v>27.860283</v>
      </c>
      <c r="I359" s="16">
        <v>-82.384513</v>
      </c>
      <c r="J359" s="13" t="s">
        <v>1548</v>
      </c>
      <c r="K359" s="13" t="s">
        <v>1551</v>
      </c>
      <c r="L359" s="13">
        <v>24.0</v>
      </c>
      <c r="M359" s="13">
        <v>27.912323</v>
      </c>
      <c r="N359" s="13">
        <v>-82.441109</v>
      </c>
      <c r="O359" s="13" t="s">
        <v>1697</v>
      </c>
      <c r="P359" s="14" t="s">
        <v>1110</v>
      </c>
    </row>
    <row r="360" ht="33.75" customHeight="1">
      <c r="A360" s="41">
        <v>42772.0</v>
      </c>
      <c r="B360" s="16" t="s">
        <v>1543</v>
      </c>
      <c r="C360" s="16" t="s">
        <v>1545</v>
      </c>
      <c r="D360" s="16" t="s">
        <v>1546</v>
      </c>
      <c r="E360" s="16" t="s">
        <v>1537</v>
      </c>
      <c r="F360" s="16">
        <v>27.860283</v>
      </c>
      <c r="G360" s="16">
        <v>-82.384513</v>
      </c>
      <c r="H360" s="16">
        <v>27.860283</v>
      </c>
      <c r="I360" s="16">
        <v>-82.384513</v>
      </c>
      <c r="J360" s="13" t="s">
        <v>1548</v>
      </c>
      <c r="K360" s="13" t="s">
        <v>1551</v>
      </c>
      <c r="L360" s="13">
        <v>25.0</v>
      </c>
      <c r="M360" s="13">
        <v>27.91724</v>
      </c>
      <c r="N360" s="13">
        <v>-82.44388</v>
      </c>
      <c r="O360" s="13" t="s">
        <v>1700</v>
      </c>
      <c r="P360" s="14" t="s">
        <v>1110</v>
      </c>
    </row>
    <row r="361" ht="33.75" customHeight="1">
      <c r="A361" s="41">
        <v>42772.0</v>
      </c>
      <c r="B361" s="16" t="s">
        <v>1543</v>
      </c>
      <c r="C361" s="16" t="s">
        <v>1545</v>
      </c>
      <c r="D361" s="16" t="s">
        <v>1546</v>
      </c>
      <c r="E361" s="16" t="s">
        <v>1537</v>
      </c>
      <c r="F361" s="16">
        <v>27.860283</v>
      </c>
      <c r="G361" s="16">
        <v>-82.384513</v>
      </c>
      <c r="H361" s="16">
        <v>27.860283</v>
      </c>
      <c r="I361" s="16">
        <v>-82.384513</v>
      </c>
      <c r="J361" s="13" t="s">
        <v>1548</v>
      </c>
      <c r="K361" s="13" t="s">
        <v>1551</v>
      </c>
      <c r="L361" s="13">
        <v>26.0</v>
      </c>
      <c r="M361" s="13">
        <v>27.925557</v>
      </c>
      <c r="N361" s="13">
        <v>-82.446588</v>
      </c>
      <c r="O361" s="13" t="s">
        <v>1680</v>
      </c>
      <c r="P361" s="14" t="s">
        <v>126</v>
      </c>
    </row>
    <row r="362" ht="33.75" customHeight="1">
      <c r="A362" s="41">
        <v>42772.0</v>
      </c>
      <c r="B362" s="16" t="s">
        <v>1543</v>
      </c>
      <c r="C362" s="16" t="s">
        <v>1545</v>
      </c>
      <c r="D362" s="16" t="s">
        <v>1546</v>
      </c>
      <c r="E362" s="16" t="s">
        <v>1537</v>
      </c>
      <c r="F362" s="16">
        <v>27.860283</v>
      </c>
      <c r="G362" s="16">
        <v>-82.384513</v>
      </c>
      <c r="H362" s="16">
        <v>27.860283</v>
      </c>
      <c r="I362" s="16">
        <v>-82.384513</v>
      </c>
      <c r="J362" s="13" t="s">
        <v>1548</v>
      </c>
      <c r="K362" s="13" t="s">
        <v>1551</v>
      </c>
      <c r="L362" s="13">
        <v>27.0</v>
      </c>
      <c r="M362" s="13">
        <v>27.920717</v>
      </c>
      <c r="N362" s="13">
        <v>-82.448054</v>
      </c>
      <c r="O362" s="13" t="s">
        <v>1316</v>
      </c>
      <c r="P362" s="14" t="s">
        <v>1110</v>
      </c>
    </row>
    <row r="363" ht="33.75" customHeight="1">
      <c r="A363" s="41">
        <v>42772.0</v>
      </c>
      <c r="B363" s="16" t="s">
        <v>1543</v>
      </c>
      <c r="C363" s="16" t="s">
        <v>1545</v>
      </c>
      <c r="D363" s="16" t="s">
        <v>1546</v>
      </c>
      <c r="E363" s="16" t="s">
        <v>1537</v>
      </c>
      <c r="F363" s="16">
        <v>27.860283</v>
      </c>
      <c r="G363" s="16">
        <v>-82.384513</v>
      </c>
      <c r="H363" s="16">
        <v>27.860283</v>
      </c>
      <c r="I363" s="16">
        <v>-82.384513</v>
      </c>
      <c r="J363" s="13" t="s">
        <v>1548</v>
      </c>
      <c r="K363" s="13" t="s">
        <v>1551</v>
      </c>
      <c r="L363" s="13">
        <v>28.0</v>
      </c>
      <c r="M363" s="13">
        <v>27.910936</v>
      </c>
      <c r="N363" s="13">
        <v>-82.445386</v>
      </c>
      <c r="O363" s="13" t="s">
        <v>1708</v>
      </c>
      <c r="P363" s="14" t="s">
        <v>1709</v>
      </c>
    </row>
    <row r="364" ht="33.75" customHeight="1">
      <c r="A364" s="41">
        <v>42772.0</v>
      </c>
      <c r="B364" s="16" t="s">
        <v>1543</v>
      </c>
      <c r="C364" s="16" t="s">
        <v>1545</v>
      </c>
      <c r="D364" s="16" t="s">
        <v>1546</v>
      </c>
      <c r="E364" s="16" t="s">
        <v>1537</v>
      </c>
      <c r="F364" s="16">
        <v>27.860283</v>
      </c>
      <c r="G364" s="16">
        <v>-82.384513</v>
      </c>
      <c r="H364" s="16">
        <v>27.860283</v>
      </c>
      <c r="I364" s="16">
        <v>-82.384513</v>
      </c>
      <c r="J364" s="13" t="s">
        <v>1548</v>
      </c>
      <c r="K364" s="13" t="s">
        <v>1551</v>
      </c>
      <c r="L364" s="13">
        <v>29.0</v>
      </c>
      <c r="M364" s="13">
        <v>27.796403</v>
      </c>
      <c r="N364" s="13">
        <v>-82.414265</v>
      </c>
      <c r="O364" s="13" t="s">
        <v>1316</v>
      </c>
      <c r="P364" s="14" t="s">
        <v>1110</v>
      </c>
    </row>
    <row r="365" ht="33.75" customHeight="1">
      <c r="A365" s="41">
        <v>42772.0</v>
      </c>
      <c r="B365" s="16" t="s">
        <v>1534</v>
      </c>
      <c r="C365" s="16" t="s">
        <v>1535</v>
      </c>
      <c r="D365" s="16" t="s">
        <v>1562</v>
      </c>
      <c r="E365" s="16" t="s">
        <v>1537</v>
      </c>
      <c r="F365" s="16">
        <v>27.8936</v>
      </c>
      <c r="G365" s="16">
        <v>82.5401</v>
      </c>
      <c r="H365" s="13">
        <v>27.8941</v>
      </c>
      <c r="I365" s="13">
        <v>82.5374</v>
      </c>
      <c r="J365" s="13" t="s">
        <v>1563</v>
      </c>
      <c r="K365" s="13" t="s">
        <v>1710</v>
      </c>
      <c r="L365" s="13">
        <v>1.0</v>
      </c>
      <c r="M365" s="13">
        <v>27.8941</v>
      </c>
      <c r="N365" s="13">
        <v>82.5397</v>
      </c>
      <c r="O365" s="13" t="s">
        <v>1316</v>
      </c>
      <c r="P365" s="14" t="s">
        <v>130</v>
      </c>
    </row>
    <row r="366" ht="33.75" customHeight="1">
      <c r="A366" s="41">
        <v>42772.0</v>
      </c>
      <c r="B366" s="16" t="s">
        <v>1534</v>
      </c>
      <c r="C366" s="16" t="s">
        <v>1535</v>
      </c>
      <c r="D366" s="16" t="s">
        <v>1562</v>
      </c>
      <c r="E366" s="16" t="s">
        <v>1537</v>
      </c>
      <c r="F366" s="16">
        <v>27.8936</v>
      </c>
      <c r="G366" s="16">
        <v>825401.0</v>
      </c>
      <c r="H366" s="13">
        <v>27.8941</v>
      </c>
      <c r="I366" s="13">
        <v>82.5374</v>
      </c>
      <c r="J366" s="13" t="s">
        <v>1563</v>
      </c>
      <c r="K366" s="13" t="s">
        <v>1711</v>
      </c>
      <c r="L366" s="13">
        <v>2.0</v>
      </c>
      <c r="M366" s="13">
        <v>27.8944</v>
      </c>
      <c r="N366" s="13">
        <v>82.5379</v>
      </c>
      <c r="O366" s="13" t="s">
        <v>1712</v>
      </c>
      <c r="P366" s="14" t="s">
        <v>130</v>
      </c>
    </row>
    <row r="367" ht="33.75" customHeight="1">
      <c r="A367" s="41">
        <v>42772.0</v>
      </c>
      <c r="B367" s="16" t="s">
        <v>1534</v>
      </c>
      <c r="C367" s="16" t="s">
        <v>1535</v>
      </c>
      <c r="D367" s="16" t="s">
        <v>1571</v>
      </c>
      <c r="E367" s="16" t="s">
        <v>1537</v>
      </c>
      <c r="F367" s="16">
        <v>27.8904</v>
      </c>
      <c r="G367" s="16">
        <v>82.5396</v>
      </c>
      <c r="H367" s="13">
        <v>27.8903</v>
      </c>
      <c r="I367" s="13">
        <v>82.5419</v>
      </c>
      <c r="J367" s="13" t="s">
        <v>1572</v>
      </c>
      <c r="K367" s="13" t="s">
        <v>1711</v>
      </c>
      <c r="L367" s="13">
        <v>1.0</v>
      </c>
      <c r="M367" s="13">
        <v>27.8095</v>
      </c>
      <c r="N367" s="13">
        <v>82.5389</v>
      </c>
      <c r="O367" s="13" t="s">
        <v>1713</v>
      </c>
      <c r="P367" s="14" t="s">
        <v>130</v>
      </c>
    </row>
    <row r="368" ht="33.75" customHeight="1">
      <c r="A368" s="41">
        <v>42772.0</v>
      </c>
      <c r="B368" s="16" t="s">
        <v>1648</v>
      </c>
      <c r="C368" s="16" t="s">
        <v>970</v>
      </c>
      <c r="D368" s="16" t="s">
        <v>1649</v>
      </c>
      <c r="E368" s="16" t="s">
        <v>1629</v>
      </c>
      <c r="F368" s="16">
        <v>27.71151802</v>
      </c>
      <c r="G368" s="16">
        <v>-80.37423486</v>
      </c>
      <c r="H368" s="13">
        <v>27.76790463</v>
      </c>
      <c r="I368" s="13">
        <v>-80.39888401</v>
      </c>
      <c r="J368" s="13" t="s">
        <v>1650</v>
      </c>
      <c r="K368" s="13" t="s">
        <v>1651</v>
      </c>
      <c r="L368" s="13"/>
      <c r="M368" s="13"/>
      <c r="N368" s="13"/>
      <c r="P368" s="13" t="s">
        <v>1716</v>
      </c>
    </row>
    <row r="369" ht="33.75" customHeight="1">
      <c r="A369" s="43">
        <v>42772.0</v>
      </c>
      <c r="B369" s="16" t="s">
        <v>1658</v>
      </c>
      <c r="C369" s="16" t="s">
        <v>1660</v>
      </c>
      <c r="D369" s="16" t="s">
        <v>1717</v>
      </c>
      <c r="E369" s="16" t="s">
        <v>1718</v>
      </c>
      <c r="F369" s="16">
        <v>27.843233</v>
      </c>
      <c r="G369" s="16">
        <v>-80.475255</v>
      </c>
      <c r="H369" s="13">
        <v>27.695928</v>
      </c>
      <c r="I369" s="13">
        <v>-80.390899</v>
      </c>
      <c r="J369" s="13">
        <v>1030.0</v>
      </c>
      <c r="K369" s="13">
        <v>1430.0</v>
      </c>
      <c r="L369" s="13">
        <v>1.0</v>
      </c>
      <c r="M369" s="13">
        <v>27.800341</v>
      </c>
      <c r="N369" s="13">
        <v>-80.453427</v>
      </c>
      <c r="O369" s="13" t="s">
        <v>1316</v>
      </c>
      <c r="P369" s="14" t="s">
        <v>1110</v>
      </c>
    </row>
    <row r="370" ht="33.75" customHeight="1">
      <c r="A370" s="43">
        <v>42772.0</v>
      </c>
      <c r="B370" s="16" t="s">
        <v>1658</v>
      </c>
      <c r="C370" s="16" t="s">
        <v>1660</v>
      </c>
      <c r="D370" s="16" t="s">
        <v>1717</v>
      </c>
      <c r="E370" s="16" t="s">
        <v>1718</v>
      </c>
      <c r="F370" s="16">
        <v>27.843233</v>
      </c>
      <c r="G370" s="16">
        <v>-80.475255</v>
      </c>
      <c r="H370" s="13">
        <v>27.695928</v>
      </c>
      <c r="I370" s="13">
        <v>-80.390899</v>
      </c>
      <c r="J370" s="13">
        <v>1030.0</v>
      </c>
      <c r="K370" s="13">
        <v>1430.0</v>
      </c>
      <c r="L370" s="13">
        <v>2.0</v>
      </c>
      <c r="M370" s="13">
        <v>27.776825</v>
      </c>
      <c r="N370" s="13">
        <v>-80.437249</v>
      </c>
      <c r="O370" s="13" t="s">
        <v>1680</v>
      </c>
      <c r="P370" s="14" t="s">
        <v>1110</v>
      </c>
    </row>
    <row r="371" ht="33.75" customHeight="1">
      <c r="A371" s="41">
        <v>42769.0</v>
      </c>
      <c r="B371" s="16" t="s">
        <v>1673</v>
      </c>
      <c r="C371" s="16" t="s">
        <v>653</v>
      </c>
      <c r="D371" s="16" t="s">
        <v>1674</v>
      </c>
      <c r="E371" s="16" t="s">
        <v>608</v>
      </c>
      <c r="F371" s="16">
        <v>26.640366</v>
      </c>
      <c r="G371" s="16">
        <v>-81.87846</v>
      </c>
      <c r="H371" s="13">
        <v>26.37934</v>
      </c>
      <c r="I371" s="13">
        <v>-81.8687</v>
      </c>
      <c r="J371" s="13" t="s">
        <v>1719</v>
      </c>
      <c r="K371" s="13" t="s">
        <v>1677</v>
      </c>
      <c r="L371" s="13">
        <v>1.0</v>
      </c>
      <c r="M371" s="13">
        <v>26.39061</v>
      </c>
      <c r="N371" s="13">
        <v>-81.88026</v>
      </c>
      <c r="O371" s="13" t="s">
        <v>1720</v>
      </c>
      <c r="P371" s="47"/>
    </row>
    <row r="372" ht="33.75" customHeight="1">
      <c r="A372" s="41">
        <v>42769.0</v>
      </c>
      <c r="B372" s="16" t="s">
        <v>1673</v>
      </c>
      <c r="C372" s="16" t="s">
        <v>653</v>
      </c>
      <c r="D372" s="16" t="s">
        <v>1674</v>
      </c>
      <c r="E372" s="16" t="s">
        <v>608</v>
      </c>
      <c r="F372" s="16">
        <v>26.640366</v>
      </c>
      <c r="G372" s="16">
        <v>-81.87846</v>
      </c>
      <c r="H372" s="13">
        <v>26.37934</v>
      </c>
      <c r="I372" s="13">
        <v>-81.8687</v>
      </c>
      <c r="J372" s="13" t="s">
        <v>1721</v>
      </c>
      <c r="K372" s="13" t="s">
        <v>1677</v>
      </c>
      <c r="L372" s="13">
        <v>2.0</v>
      </c>
      <c r="M372" s="13">
        <v>26.3872</v>
      </c>
      <c r="N372" s="13">
        <v>-81.87674</v>
      </c>
      <c r="O372" s="13" t="s">
        <v>645</v>
      </c>
      <c r="P372" s="47"/>
    </row>
    <row r="373" ht="33.75" customHeight="1">
      <c r="A373" s="41">
        <v>42769.0</v>
      </c>
      <c r="B373" s="16" t="s">
        <v>1673</v>
      </c>
      <c r="C373" s="16" t="s">
        <v>653</v>
      </c>
      <c r="D373" s="16" t="s">
        <v>1674</v>
      </c>
      <c r="E373" s="16" t="s">
        <v>608</v>
      </c>
      <c r="F373" s="16">
        <v>26.640366</v>
      </c>
      <c r="G373" s="16">
        <v>-81.87846</v>
      </c>
      <c r="H373" s="13">
        <v>26.37934</v>
      </c>
      <c r="I373" s="13">
        <v>-81.8687</v>
      </c>
      <c r="J373" s="13" t="s">
        <v>1722</v>
      </c>
      <c r="K373" s="13" t="s">
        <v>1677</v>
      </c>
      <c r="L373" s="13">
        <v>3.0</v>
      </c>
      <c r="M373" s="13">
        <v>26.37971</v>
      </c>
      <c r="N373" s="13">
        <v>-81.8701</v>
      </c>
      <c r="O373" s="13" t="s">
        <v>1723</v>
      </c>
      <c r="P373" s="47"/>
    </row>
    <row r="374" ht="33.75" customHeight="1">
      <c r="A374" s="41">
        <v>42769.0</v>
      </c>
      <c r="B374" s="16" t="s">
        <v>1673</v>
      </c>
      <c r="C374" s="16" t="s">
        <v>653</v>
      </c>
      <c r="D374" s="16" t="s">
        <v>1674</v>
      </c>
      <c r="E374" s="16" t="s">
        <v>608</v>
      </c>
      <c r="F374" s="16">
        <v>26.640366</v>
      </c>
      <c r="G374" s="16">
        <v>-81.87846</v>
      </c>
      <c r="H374" s="13">
        <v>26.37934</v>
      </c>
      <c r="I374" s="13">
        <v>-81.8687</v>
      </c>
      <c r="J374" s="13" t="s">
        <v>1676</v>
      </c>
      <c r="K374" s="13" t="s">
        <v>1677</v>
      </c>
      <c r="L374" s="13">
        <v>4.0</v>
      </c>
      <c r="M374" s="13">
        <v>26.378466</v>
      </c>
      <c r="N374" s="13">
        <v>-81.870467</v>
      </c>
      <c r="O374" s="13" t="s">
        <v>1728</v>
      </c>
      <c r="P374" s="14" t="s">
        <v>1730</v>
      </c>
    </row>
    <row r="375" ht="33.75" customHeight="1">
      <c r="A375" s="32">
        <v>42770.0</v>
      </c>
      <c r="B375" s="26" t="s">
        <v>1682</v>
      </c>
      <c r="C375" s="26" t="s">
        <v>1683</v>
      </c>
      <c r="D375" s="26" t="s">
        <v>1684</v>
      </c>
      <c r="E375" s="26" t="s">
        <v>608</v>
      </c>
      <c r="F375" s="76">
        <v>26.492455</v>
      </c>
      <c r="G375" s="76">
        <v>-81.979295</v>
      </c>
      <c r="H375" s="76">
        <v>26.487865</v>
      </c>
      <c r="I375" s="76">
        <v>-81.96801</v>
      </c>
      <c r="J375" s="26" t="s">
        <v>1686</v>
      </c>
      <c r="K375" s="26" t="s">
        <v>1734</v>
      </c>
      <c r="L375" s="69">
        <v>1.0</v>
      </c>
      <c r="M375" s="76">
        <v>26.4903</v>
      </c>
      <c r="N375" s="76">
        <v>-81.976487</v>
      </c>
      <c r="O375" s="26" t="s">
        <v>1735</v>
      </c>
      <c r="P375" s="38" t="s">
        <v>1736</v>
      </c>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c r="BC375" s="38"/>
      <c r="BD375" s="38"/>
      <c r="BE375" s="38"/>
      <c r="BF375" s="38"/>
      <c r="BG375" s="38"/>
      <c r="BH375" s="38"/>
      <c r="BI375" s="38"/>
      <c r="BJ375" s="38"/>
      <c r="BK375" s="38"/>
      <c r="BL375" s="38"/>
      <c r="BM375" s="38"/>
      <c r="BN375" s="38"/>
      <c r="BO375" s="38"/>
    </row>
    <row r="376" ht="33.75" customHeight="1">
      <c r="A376" s="43">
        <v>42770.0</v>
      </c>
      <c r="B376" s="16" t="s">
        <v>674</v>
      </c>
      <c r="C376" s="16" t="s">
        <v>676</v>
      </c>
      <c r="D376" s="16" t="s">
        <v>677</v>
      </c>
      <c r="E376" s="16" t="s">
        <v>608</v>
      </c>
      <c r="F376" s="16">
        <v>26.470753</v>
      </c>
      <c r="G376" s="16">
        <v>-81.960223</v>
      </c>
      <c r="H376" s="13">
        <v>26.481461</v>
      </c>
      <c r="I376" s="13">
        <v>-81.983076</v>
      </c>
      <c r="J376" s="13" t="s">
        <v>1693</v>
      </c>
      <c r="K376" s="13" t="s">
        <v>1739</v>
      </c>
      <c r="L376" s="13">
        <v>2.0</v>
      </c>
      <c r="M376" s="13">
        <v>26.47687</v>
      </c>
      <c r="N376" s="13">
        <v>-81.970426</v>
      </c>
      <c r="O376" s="13" t="s">
        <v>1743</v>
      </c>
      <c r="P376" s="78" t="s">
        <v>1744</v>
      </c>
    </row>
    <row r="377" ht="33.75" customHeight="1">
      <c r="A377" s="43">
        <v>42770.0</v>
      </c>
      <c r="B377" s="16" t="s">
        <v>674</v>
      </c>
      <c r="C377" s="16" t="s">
        <v>676</v>
      </c>
      <c r="D377" s="16" t="s">
        <v>677</v>
      </c>
      <c r="E377" s="16" t="s">
        <v>608</v>
      </c>
      <c r="F377" s="16">
        <v>26.470753</v>
      </c>
      <c r="G377" s="16">
        <v>-81.960223</v>
      </c>
      <c r="H377" s="13">
        <v>26.481461</v>
      </c>
      <c r="I377" s="13">
        <v>-81.983076</v>
      </c>
      <c r="J377" s="13" t="s">
        <v>1693</v>
      </c>
      <c r="K377" s="13" t="s">
        <v>1739</v>
      </c>
      <c r="L377" s="13">
        <v>1.0</v>
      </c>
      <c r="M377" s="13">
        <v>26.470551</v>
      </c>
      <c r="N377" s="13">
        <v>-81.960588</v>
      </c>
      <c r="O377" s="13" t="s">
        <v>1755</v>
      </c>
      <c r="P377" s="14" t="s">
        <v>1110</v>
      </c>
    </row>
    <row r="378" ht="33.75" customHeight="1">
      <c r="A378" s="43">
        <v>42770.0</v>
      </c>
      <c r="B378" s="16" t="s">
        <v>674</v>
      </c>
      <c r="C378" s="16" t="s">
        <v>676</v>
      </c>
      <c r="D378" s="16" t="s">
        <v>677</v>
      </c>
      <c r="E378" s="16" t="s">
        <v>608</v>
      </c>
      <c r="F378" s="16">
        <v>26.470753</v>
      </c>
      <c r="G378" s="16">
        <v>-81.960223</v>
      </c>
      <c r="H378" s="13">
        <v>26.481461</v>
      </c>
      <c r="I378" s="13">
        <v>-81.983076</v>
      </c>
      <c r="J378" s="13" t="s">
        <v>1693</v>
      </c>
      <c r="K378" s="13" t="s">
        <v>1739</v>
      </c>
      <c r="L378" s="13">
        <v>3.0</v>
      </c>
      <c r="M378" s="13">
        <v>26.478167</v>
      </c>
      <c r="N378" s="13">
        <v>-81.975029</v>
      </c>
      <c r="O378" s="13" t="s">
        <v>1758</v>
      </c>
      <c r="P378" s="14" t="s">
        <v>1110</v>
      </c>
    </row>
    <row r="379" ht="33.75" customHeight="1">
      <c r="A379" s="79">
        <v>42771.0</v>
      </c>
      <c r="B379" s="26" t="s">
        <v>1682</v>
      </c>
      <c r="C379" s="26" t="s">
        <v>1683</v>
      </c>
      <c r="D379" s="26" t="s">
        <v>1729</v>
      </c>
      <c r="E379" s="26" t="s">
        <v>608</v>
      </c>
      <c r="F379" s="76">
        <v>26.410485</v>
      </c>
      <c r="G379" s="76">
        <v>-81.901577</v>
      </c>
      <c r="H379" s="76">
        <v>26.416498</v>
      </c>
      <c r="I379" s="76">
        <v>-81.904644</v>
      </c>
      <c r="J379" s="26" t="s">
        <v>1732</v>
      </c>
      <c r="K379" s="26" t="s">
        <v>1766</v>
      </c>
      <c r="L379" s="69">
        <v>1.0</v>
      </c>
      <c r="M379" s="76">
        <v>26.412969</v>
      </c>
      <c r="N379" s="76">
        <v>-81.903332</v>
      </c>
      <c r="O379" s="26" t="s">
        <v>1263</v>
      </c>
      <c r="P379" s="38" t="s">
        <v>1767</v>
      </c>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c r="BC379" s="38"/>
      <c r="BD379" s="38"/>
      <c r="BE379" s="38"/>
      <c r="BF379" s="38"/>
      <c r="BG379" s="38"/>
      <c r="BH379" s="38"/>
      <c r="BI379" s="38"/>
      <c r="BJ379" s="38"/>
      <c r="BK379" s="38"/>
      <c r="BL379" s="38"/>
      <c r="BM379" s="38"/>
      <c r="BN379" s="38"/>
      <c r="BO379" s="38"/>
    </row>
    <row r="380" ht="33.75" customHeight="1">
      <c r="A380" s="32">
        <v>42771.0</v>
      </c>
      <c r="B380" s="26" t="s">
        <v>1682</v>
      </c>
      <c r="C380" s="26" t="s">
        <v>1683</v>
      </c>
      <c r="D380" s="26" t="s">
        <v>1768</v>
      </c>
      <c r="E380" s="26" t="s">
        <v>608</v>
      </c>
      <c r="F380" s="76">
        <v>26.403929</v>
      </c>
      <c r="G380" s="76">
        <v>-81.883171</v>
      </c>
      <c r="H380" s="76">
        <v>26.402137</v>
      </c>
      <c r="I380" s="76">
        <v>-81.888594</v>
      </c>
      <c r="J380" s="26" t="s">
        <v>1699</v>
      </c>
      <c r="K380" s="26" t="s">
        <v>1701</v>
      </c>
      <c r="L380" s="69">
        <v>1.0</v>
      </c>
      <c r="M380" s="76">
        <v>26.402155</v>
      </c>
      <c r="N380" s="76">
        <v>-81.886056</v>
      </c>
      <c r="O380" s="26" t="s">
        <v>1770</v>
      </c>
      <c r="P380" s="38" t="s">
        <v>1771</v>
      </c>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c r="BC380" s="38"/>
      <c r="BD380" s="38"/>
      <c r="BE380" s="38"/>
      <c r="BF380" s="38"/>
      <c r="BG380" s="38"/>
      <c r="BH380" s="38"/>
      <c r="BI380" s="38"/>
      <c r="BJ380" s="38"/>
      <c r="BK380" s="38"/>
      <c r="BL380" s="38"/>
      <c r="BM380" s="38"/>
      <c r="BN380" s="38"/>
      <c r="BO380" s="38"/>
    </row>
    <row r="381" ht="33.75" customHeight="1">
      <c r="A381" s="32">
        <v>42771.0</v>
      </c>
      <c r="B381" s="26" t="s">
        <v>1682</v>
      </c>
      <c r="C381" s="26" t="s">
        <v>1683</v>
      </c>
      <c r="D381" s="26" t="s">
        <v>1696</v>
      </c>
      <c r="E381" s="26" t="s">
        <v>608</v>
      </c>
      <c r="F381" s="76">
        <v>26.402137</v>
      </c>
      <c r="G381" s="76">
        <v>-81.888594</v>
      </c>
      <c r="H381" s="76">
        <v>26.410485</v>
      </c>
      <c r="I381" s="76">
        <v>-81.901577</v>
      </c>
      <c r="J381" s="26" t="s">
        <v>1714</v>
      </c>
      <c r="K381" s="26" t="s">
        <v>1715</v>
      </c>
      <c r="L381" s="69">
        <v>1.0</v>
      </c>
      <c r="M381" s="76">
        <v>26.409249</v>
      </c>
      <c r="N381" s="76">
        <v>-81.900726</v>
      </c>
      <c r="O381" s="26" t="s">
        <v>1772</v>
      </c>
      <c r="P381" s="70" t="s">
        <v>1767</v>
      </c>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c r="BC381" s="38"/>
      <c r="BD381" s="38"/>
      <c r="BE381" s="38"/>
      <c r="BF381" s="38"/>
      <c r="BG381" s="38"/>
      <c r="BH381" s="38"/>
      <c r="BI381" s="38"/>
      <c r="BJ381" s="38"/>
      <c r="BK381" s="38"/>
      <c r="BL381" s="38"/>
      <c r="BM381" s="38"/>
      <c r="BN381" s="38"/>
      <c r="BO381" s="38"/>
    </row>
    <row r="382" ht="33.75" customHeight="1">
      <c r="A382" s="41">
        <v>42772.0</v>
      </c>
      <c r="B382" s="16" t="s">
        <v>1448</v>
      </c>
      <c r="C382" s="16" t="s">
        <v>653</v>
      </c>
      <c r="D382" s="16" t="s">
        <v>1742</v>
      </c>
      <c r="E382" s="16" t="s">
        <v>608</v>
      </c>
      <c r="F382" s="16">
        <v>26.71943</v>
      </c>
      <c r="G382" s="16">
        <v>-82.25872</v>
      </c>
      <c r="H382" s="13">
        <v>26.72733</v>
      </c>
      <c r="I382" s="13">
        <v>-82.26417</v>
      </c>
      <c r="J382" s="13" t="s">
        <v>1745</v>
      </c>
      <c r="K382" s="13" t="s">
        <v>1746</v>
      </c>
      <c r="L382" s="13">
        <v>1.0</v>
      </c>
      <c r="M382" s="13">
        <v>26.719347</v>
      </c>
      <c r="N382" s="13">
        <v>-82.2636743</v>
      </c>
      <c r="O382" s="13" t="s">
        <v>1775</v>
      </c>
      <c r="P382" s="14"/>
    </row>
    <row r="383" ht="33.75" customHeight="1">
      <c r="A383" s="41">
        <v>42772.0</v>
      </c>
      <c r="B383" s="16" t="s">
        <v>1448</v>
      </c>
      <c r="C383" s="16" t="s">
        <v>653</v>
      </c>
      <c r="D383" s="16" t="s">
        <v>1742</v>
      </c>
      <c r="E383" s="16" t="s">
        <v>608</v>
      </c>
      <c r="F383" s="16">
        <v>26.71943</v>
      </c>
      <c r="G383" s="16">
        <v>-82.25872</v>
      </c>
      <c r="H383" s="13">
        <v>26.72733</v>
      </c>
      <c r="I383" s="13">
        <v>-82.26417</v>
      </c>
      <c r="J383" s="13" t="s">
        <v>1745</v>
      </c>
      <c r="K383" s="13" t="s">
        <v>1746</v>
      </c>
      <c r="L383" s="13">
        <v>2.0</v>
      </c>
      <c r="M383" s="13">
        <v>2.6372604E7</v>
      </c>
      <c r="N383" s="13">
        <v>-82.26415</v>
      </c>
      <c r="O383" s="13" t="s">
        <v>1776</v>
      </c>
      <c r="P383" s="14" t="s">
        <v>1271</v>
      </c>
    </row>
    <row r="384" ht="33.75" customHeight="1">
      <c r="A384" s="41">
        <v>42772.0</v>
      </c>
      <c r="B384" s="16" t="s">
        <v>1448</v>
      </c>
      <c r="C384" s="16" t="s">
        <v>497</v>
      </c>
      <c r="D384" s="16" t="s">
        <v>1450</v>
      </c>
      <c r="E384" s="16" t="s">
        <v>608</v>
      </c>
      <c r="F384" s="16">
        <v>26.70593</v>
      </c>
      <c r="G384" s="16" t="s">
        <v>1777</v>
      </c>
      <c r="H384" s="13">
        <v>26.55561</v>
      </c>
      <c r="I384" s="13">
        <v>-82.200374</v>
      </c>
      <c r="J384" s="13" t="s">
        <v>1778</v>
      </c>
      <c r="K384" s="13" t="s">
        <v>1764</v>
      </c>
      <c r="L384" s="13">
        <v>1.0</v>
      </c>
      <c r="M384" s="13">
        <v>26.6771</v>
      </c>
      <c r="N384" s="13">
        <v>-82.26318</v>
      </c>
      <c r="O384" s="13" t="s">
        <v>1779</v>
      </c>
      <c r="P384" s="14" t="s">
        <v>1780</v>
      </c>
    </row>
    <row r="385" ht="33.75" customHeight="1">
      <c r="A385" s="41">
        <v>42772.0</v>
      </c>
      <c r="B385" s="16" t="s">
        <v>1448</v>
      </c>
      <c r="C385" s="16" t="s">
        <v>497</v>
      </c>
      <c r="D385" s="16" t="s">
        <v>1450</v>
      </c>
      <c r="E385" s="16" t="s">
        <v>608</v>
      </c>
      <c r="F385" s="16">
        <v>26.70593</v>
      </c>
      <c r="G385" s="16" t="s">
        <v>1777</v>
      </c>
      <c r="H385" s="13">
        <v>26.55561</v>
      </c>
      <c r="I385" s="13">
        <v>-82.200374</v>
      </c>
      <c r="J385" s="13" t="s">
        <v>1778</v>
      </c>
      <c r="K385" s="13" t="s">
        <v>1764</v>
      </c>
      <c r="L385" s="13">
        <v>2.0</v>
      </c>
      <c r="M385" s="13">
        <v>26.6771</v>
      </c>
      <c r="N385" s="13">
        <v>-82.26318</v>
      </c>
      <c r="O385" s="13" t="s">
        <v>1782</v>
      </c>
      <c r="P385" s="14" t="s">
        <v>1783</v>
      </c>
    </row>
    <row r="386" ht="33.75" customHeight="1">
      <c r="A386" s="41">
        <v>42772.0</v>
      </c>
      <c r="B386" s="16" t="s">
        <v>1448</v>
      </c>
      <c r="C386" s="16" t="s">
        <v>497</v>
      </c>
      <c r="D386" s="16" t="s">
        <v>1450</v>
      </c>
      <c r="E386" s="16" t="s">
        <v>608</v>
      </c>
      <c r="F386" s="16">
        <v>26.70593</v>
      </c>
      <c r="G386" s="16" t="s">
        <v>1777</v>
      </c>
      <c r="H386" s="13">
        <v>26.55561</v>
      </c>
      <c r="I386" s="13">
        <v>-82.200374</v>
      </c>
      <c r="J386" s="13" t="s">
        <v>1778</v>
      </c>
      <c r="K386" s="13" t="s">
        <v>1764</v>
      </c>
      <c r="L386" s="13">
        <v>3.0</v>
      </c>
      <c r="M386" s="13">
        <v>26.67695</v>
      </c>
      <c r="N386" s="13">
        <v>-82.2623</v>
      </c>
      <c r="O386" s="13" t="s">
        <v>1784</v>
      </c>
      <c r="P386" s="14"/>
    </row>
    <row r="387" ht="33.75" customHeight="1">
      <c r="A387" s="41">
        <v>42772.0</v>
      </c>
      <c r="B387" s="16" t="s">
        <v>1448</v>
      </c>
      <c r="C387" s="16" t="s">
        <v>497</v>
      </c>
      <c r="D387" s="16" t="s">
        <v>1450</v>
      </c>
      <c r="E387" s="16" t="s">
        <v>608</v>
      </c>
      <c r="F387" s="16">
        <v>26.70593</v>
      </c>
      <c r="G387" s="16" t="s">
        <v>1777</v>
      </c>
      <c r="H387" s="13">
        <v>26.55561</v>
      </c>
      <c r="I387" s="13">
        <v>-82.200374</v>
      </c>
      <c r="J387" s="13" t="s">
        <v>1778</v>
      </c>
      <c r="K387" s="13" t="s">
        <v>1764</v>
      </c>
      <c r="L387" s="13">
        <v>4.0</v>
      </c>
      <c r="M387" s="13">
        <v>26.67603</v>
      </c>
      <c r="N387" s="13">
        <v>-82.26138</v>
      </c>
      <c r="O387" s="13" t="s">
        <v>1786</v>
      </c>
      <c r="P387" s="14"/>
    </row>
    <row r="388" ht="33.75" customHeight="1">
      <c r="A388" s="41">
        <v>42772.0</v>
      </c>
      <c r="B388" s="16" t="s">
        <v>1448</v>
      </c>
      <c r="C388" s="16" t="s">
        <v>497</v>
      </c>
      <c r="D388" s="16" t="s">
        <v>1450</v>
      </c>
      <c r="E388" s="16" t="s">
        <v>608</v>
      </c>
      <c r="F388" s="16">
        <v>26.70593</v>
      </c>
      <c r="G388" s="16" t="s">
        <v>1777</v>
      </c>
      <c r="H388" s="13">
        <v>26.55561</v>
      </c>
      <c r="I388" s="13">
        <v>-82.200374</v>
      </c>
      <c r="J388" s="13" t="s">
        <v>1778</v>
      </c>
      <c r="K388" s="13" t="s">
        <v>1764</v>
      </c>
      <c r="L388" s="13">
        <v>5.0</v>
      </c>
      <c r="M388" s="13">
        <v>26.67546</v>
      </c>
      <c r="N388" s="13">
        <v>-82.26088</v>
      </c>
      <c r="O388" s="13" t="s">
        <v>1787</v>
      </c>
      <c r="P388" s="14"/>
    </row>
    <row r="389" ht="33.75" customHeight="1">
      <c r="A389" s="41">
        <v>42772.0</v>
      </c>
      <c r="B389" s="16" t="s">
        <v>1448</v>
      </c>
      <c r="C389" s="16" t="s">
        <v>497</v>
      </c>
      <c r="D389" s="16" t="s">
        <v>1450</v>
      </c>
      <c r="E389" s="16" t="s">
        <v>608</v>
      </c>
      <c r="F389" s="16">
        <v>26.70593</v>
      </c>
      <c r="G389" s="16" t="s">
        <v>1777</v>
      </c>
      <c r="H389" s="13">
        <v>26.55561</v>
      </c>
      <c r="I389" s="13">
        <v>-82.200374</v>
      </c>
      <c r="J389" s="13" t="s">
        <v>1778</v>
      </c>
      <c r="K389" s="13" t="s">
        <v>1764</v>
      </c>
      <c r="L389" s="13">
        <v>6.0</v>
      </c>
      <c r="M389" s="13">
        <v>26.67295</v>
      </c>
      <c r="N389" s="13">
        <v>-82.25889</v>
      </c>
      <c r="O389" s="13" t="s">
        <v>1788</v>
      </c>
      <c r="P389" s="14"/>
    </row>
    <row r="390" ht="33.75" customHeight="1">
      <c r="A390" s="41">
        <v>42772.0</v>
      </c>
      <c r="B390" s="16" t="s">
        <v>1448</v>
      </c>
      <c r="C390" s="16" t="s">
        <v>497</v>
      </c>
      <c r="D390" s="16" t="s">
        <v>1450</v>
      </c>
      <c r="E390" s="16" t="s">
        <v>608</v>
      </c>
      <c r="F390" s="16">
        <v>26.70593</v>
      </c>
      <c r="G390" s="16" t="s">
        <v>1777</v>
      </c>
      <c r="H390" s="13">
        <v>26.55561</v>
      </c>
      <c r="I390" s="13">
        <v>-82.200374</v>
      </c>
      <c r="J390" s="13" t="s">
        <v>1778</v>
      </c>
      <c r="K390" s="13" t="s">
        <v>1764</v>
      </c>
      <c r="L390" s="13">
        <v>7.0</v>
      </c>
      <c r="M390" s="13">
        <v>26.67274</v>
      </c>
      <c r="N390" s="13">
        <v>-82.25867</v>
      </c>
      <c r="O390" s="13" t="s">
        <v>1789</v>
      </c>
      <c r="P390" s="14" t="s">
        <v>1790</v>
      </c>
    </row>
    <row r="391" ht="33.75" customHeight="1">
      <c r="A391" s="41">
        <v>42772.0</v>
      </c>
      <c r="B391" s="16" t="s">
        <v>1448</v>
      </c>
      <c r="C391" s="16" t="s">
        <v>497</v>
      </c>
      <c r="D391" s="16" t="s">
        <v>1450</v>
      </c>
      <c r="E391" s="16" t="s">
        <v>608</v>
      </c>
      <c r="F391" s="16">
        <v>26.70593</v>
      </c>
      <c r="G391" s="16" t="s">
        <v>1777</v>
      </c>
      <c r="H391" s="13">
        <v>26.55561</v>
      </c>
      <c r="I391" s="13">
        <v>-82.200374</v>
      </c>
      <c r="J391" s="13" t="s">
        <v>1778</v>
      </c>
      <c r="K391" s="13" t="s">
        <v>1764</v>
      </c>
      <c r="L391" s="13">
        <v>8.0</v>
      </c>
      <c r="M391" s="13">
        <v>26.67177</v>
      </c>
      <c r="N391" s="13">
        <v>-82.25785</v>
      </c>
      <c r="O391" s="13" t="s">
        <v>1791</v>
      </c>
      <c r="P391" s="14"/>
    </row>
    <row r="392" ht="33.75" customHeight="1">
      <c r="A392" s="41">
        <v>42772.0</v>
      </c>
      <c r="B392" s="16" t="s">
        <v>1448</v>
      </c>
      <c r="C392" s="16" t="s">
        <v>497</v>
      </c>
      <c r="D392" s="16" t="s">
        <v>1450</v>
      </c>
      <c r="E392" s="16" t="s">
        <v>608</v>
      </c>
      <c r="F392" s="16">
        <v>26.70593</v>
      </c>
      <c r="G392" s="16" t="s">
        <v>1777</v>
      </c>
      <c r="H392" s="13">
        <v>26.55561</v>
      </c>
      <c r="I392" s="13">
        <v>-82.200374</v>
      </c>
      <c r="J392" s="13" t="s">
        <v>1778</v>
      </c>
      <c r="K392" s="13" t="s">
        <v>1764</v>
      </c>
      <c r="L392" s="13">
        <v>9.0</v>
      </c>
      <c r="M392" s="13">
        <v>26.67214</v>
      </c>
      <c r="N392" s="13">
        <v>-82.25779</v>
      </c>
      <c r="O392" s="13" t="s">
        <v>1793</v>
      </c>
      <c r="P392" s="14" t="s">
        <v>1794</v>
      </c>
    </row>
    <row r="393" ht="33.75" customHeight="1">
      <c r="A393" s="41">
        <v>42772.0</v>
      </c>
      <c r="B393" s="16" t="s">
        <v>1448</v>
      </c>
      <c r="C393" s="16" t="s">
        <v>497</v>
      </c>
      <c r="D393" s="16" t="s">
        <v>1450</v>
      </c>
      <c r="E393" s="16" t="s">
        <v>608</v>
      </c>
      <c r="F393" s="16">
        <v>26.70593</v>
      </c>
      <c r="G393" s="16" t="s">
        <v>1777</v>
      </c>
      <c r="H393" s="13">
        <v>26.55561</v>
      </c>
      <c r="I393" s="13">
        <v>-82.200374</v>
      </c>
      <c r="J393" s="13" t="s">
        <v>1778</v>
      </c>
      <c r="K393" s="13" t="s">
        <v>1764</v>
      </c>
      <c r="L393" s="13">
        <v>10.0</v>
      </c>
      <c r="M393" s="13">
        <v>26.67117</v>
      </c>
      <c r="N393" s="13">
        <v>-82.2569</v>
      </c>
      <c r="O393" s="13" t="s">
        <v>1795</v>
      </c>
      <c r="P393" s="14"/>
    </row>
    <row r="394" ht="33.75" customHeight="1">
      <c r="A394" s="41">
        <v>42772.0</v>
      </c>
      <c r="B394" s="16" t="s">
        <v>1448</v>
      </c>
      <c r="C394" s="16" t="s">
        <v>497</v>
      </c>
      <c r="D394" s="16" t="s">
        <v>1450</v>
      </c>
      <c r="E394" s="16" t="s">
        <v>608</v>
      </c>
      <c r="F394" s="16">
        <v>26.70593</v>
      </c>
      <c r="G394" s="16" t="s">
        <v>1777</v>
      </c>
      <c r="H394" s="13">
        <v>26.55561</v>
      </c>
      <c r="I394" s="13">
        <v>-82.200374</v>
      </c>
      <c r="J394" s="13" t="s">
        <v>1778</v>
      </c>
      <c r="K394" s="13" t="s">
        <v>1764</v>
      </c>
      <c r="L394" s="13">
        <v>11.0</v>
      </c>
      <c r="M394" s="13">
        <v>26.66226</v>
      </c>
      <c r="N394" s="13">
        <v>-82.24924</v>
      </c>
      <c r="O394" s="13" t="s">
        <v>100</v>
      </c>
      <c r="P394" s="14"/>
    </row>
    <row r="395" ht="33.75" customHeight="1">
      <c r="A395" s="41">
        <v>42772.0</v>
      </c>
      <c r="B395" s="16" t="s">
        <v>1448</v>
      </c>
      <c r="C395" s="16" t="s">
        <v>497</v>
      </c>
      <c r="D395" s="16" t="s">
        <v>1450</v>
      </c>
      <c r="E395" s="16" t="s">
        <v>608</v>
      </c>
      <c r="F395" s="16">
        <v>26.70593</v>
      </c>
      <c r="G395" s="16" t="s">
        <v>1777</v>
      </c>
      <c r="H395" s="13">
        <v>26.55561</v>
      </c>
      <c r="I395" s="13">
        <v>-82.200374</v>
      </c>
      <c r="J395" s="13" t="s">
        <v>1778</v>
      </c>
      <c r="K395" s="13" t="s">
        <v>1764</v>
      </c>
      <c r="L395" s="13">
        <v>12.0</v>
      </c>
      <c r="M395" s="13">
        <v>26.63622</v>
      </c>
      <c r="N395" s="13">
        <v>-82.23476</v>
      </c>
      <c r="O395" s="13" t="s">
        <v>100</v>
      </c>
      <c r="P395" s="14"/>
    </row>
    <row r="396" ht="33.75" customHeight="1">
      <c r="A396" s="41">
        <v>42772.0</v>
      </c>
      <c r="B396" s="16" t="s">
        <v>1448</v>
      </c>
      <c r="C396" s="16" t="s">
        <v>497</v>
      </c>
      <c r="D396" s="16" t="s">
        <v>1450</v>
      </c>
      <c r="E396" s="16" t="s">
        <v>608</v>
      </c>
      <c r="F396" s="16">
        <v>26.70593</v>
      </c>
      <c r="G396" s="16" t="s">
        <v>1777</v>
      </c>
      <c r="H396" s="13">
        <v>26.55561</v>
      </c>
      <c r="I396" s="13">
        <v>-82.200374</v>
      </c>
      <c r="J396" s="13" t="s">
        <v>1778</v>
      </c>
      <c r="K396" s="13" t="s">
        <v>1764</v>
      </c>
      <c r="L396" s="13">
        <v>13.0</v>
      </c>
      <c r="M396" s="13">
        <v>26.63549</v>
      </c>
      <c r="N396" s="13">
        <v>-82.23378</v>
      </c>
      <c r="O396" s="13" t="s">
        <v>100</v>
      </c>
      <c r="P396" s="14"/>
    </row>
    <row r="397" ht="33.75" customHeight="1">
      <c r="A397" s="41">
        <v>42772.0</v>
      </c>
      <c r="B397" s="16" t="s">
        <v>1448</v>
      </c>
      <c r="C397" s="16" t="s">
        <v>497</v>
      </c>
      <c r="D397" s="16" t="s">
        <v>1450</v>
      </c>
      <c r="E397" s="16" t="s">
        <v>608</v>
      </c>
      <c r="F397" s="16">
        <v>26.70593</v>
      </c>
      <c r="G397" s="16" t="s">
        <v>1762</v>
      </c>
      <c r="H397" s="13">
        <v>26.55561</v>
      </c>
      <c r="I397" s="13">
        <v>-82.200374</v>
      </c>
      <c r="J397" s="13" t="s">
        <v>1763</v>
      </c>
      <c r="K397" s="13" t="s">
        <v>1764</v>
      </c>
      <c r="L397" s="13">
        <v>14.0</v>
      </c>
      <c r="M397" s="13">
        <v>26.62951</v>
      </c>
      <c r="N397" s="13">
        <v>-82.22877</v>
      </c>
      <c r="O397" s="13" t="s">
        <v>1800</v>
      </c>
      <c r="P397" s="14"/>
    </row>
    <row r="398" ht="33.75" customHeight="1">
      <c r="A398" s="41">
        <v>42772.0</v>
      </c>
      <c r="B398" s="16" t="s">
        <v>605</v>
      </c>
      <c r="C398" s="16" t="s">
        <v>606</v>
      </c>
      <c r="D398" s="16" t="s">
        <v>1769</v>
      </c>
      <c r="E398" s="16" t="s">
        <v>608</v>
      </c>
      <c r="F398" s="82">
        <v>26.45362</v>
      </c>
      <c r="G398" s="82">
        <v>-82.01411</v>
      </c>
      <c r="H398" s="82">
        <v>26.43842</v>
      </c>
      <c r="I398" s="82">
        <v>-82.03759</v>
      </c>
      <c r="J398" s="13" t="s">
        <v>1773</v>
      </c>
      <c r="K398" s="13" t="s">
        <v>1774</v>
      </c>
      <c r="L398" s="13">
        <v>1.0</v>
      </c>
      <c r="M398" s="13">
        <v>26.44047</v>
      </c>
      <c r="N398" s="13">
        <v>-82.0333</v>
      </c>
      <c r="O398" s="13" t="s">
        <v>1803</v>
      </c>
      <c r="P398" s="14"/>
    </row>
    <row r="399" ht="33.75" customHeight="1">
      <c r="A399" s="41">
        <v>42772.0</v>
      </c>
      <c r="B399" s="16" t="s">
        <v>605</v>
      </c>
      <c r="C399" s="16" t="s">
        <v>606</v>
      </c>
      <c r="D399" s="16" t="s">
        <v>1781</v>
      </c>
      <c r="E399" s="16" t="s">
        <v>608</v>
      </c>
      <c r="F399" s="82">
        <v>26.43842</v>
      </c>
      <c r="G399" s="82">
        <v>-82.03759</v>
      </c>
      <c r="H399" s="83">
        <v>26.43101</v>
      </c>
      <c r="I399" s="83">
        <v>-82.05121</v>
      </c>
      <c r="J399" s="13" t="s">
        <v>1785</v>
      </c>
      <c r="K399" s="13" t="s">
        <v>1774</v>
      </c>
      <c r="L399" s="13">
        <v>1.0</v>
      </c>
      <c r="M399" s="13">
        <v>26.43167</v>
      </c>
      <c r="N399" s="13">
        <v>-82.04965</v>
      </c>
      <c r="O399" s="13" t="s">
        <v>1806</v>
      </c>
      <c r="P399" s="14"/>
    </row>
    <row r="400" ht="33.75" customHeight="1">
      <c r="A400" s="41">
        <v>42772.0</v>
      </c>
      <c r="B400" s="16" t="s">
        <v>605</v>
      </c>
      <c r="C400" s="16" t="s">
        <v>606</v>
      </c>
      <c r="D400" s="16" t="s">
        <v>607</v>
      </c>
      <c r="E400" s="16" t="s">
        <v>608</v>
      </c>
      <c r="F400" s="83">
        <v>26.43101</v>
      </c>
      <c r="G400" s="83">
        <v>-82.05121</v>
      </c>
      <c r="H400" s="83">
        <v>26.42196</v>
      </c>
      <c r="I400" s="83">
        <v>-82.0801</v>
      </c>
      <c r="J400" s="13" t="s">
        <v>1792</v>
      </c>
      <c r="K400" s="13" t="s">
        <v>1774</v>
      </c>
      <c r="L400" s="13">
        <v>1.0</v>
      </c>
      <c r="M400" s="87">
        <v>26.42605</v>
      </c>
      <c r="N400" s="13">
        <v>-82.06094</v>
      </c>
      <c r="O400" s="13" t="s">
        <v>1813</v>
      </c>
      <c r="P400" s="14" t="s">
        <v>1436</v>
      </c>
    </row>
    <row r="401" ht="33.75" customHeight="1">
      <c r="A401" s="50">
        <v>42772.0</v>
      </c>
      <c r="B401" s="16" t="s">
        <v>1808</v>
      </c>
      <c r="C401" s="16" t="s">
        <v>1814</v>
      </c>
      <c r="D401" s="16" t="s">
        <v>1810</v>
      </c>
      <c r="E401" s="16" t="s">
        <v>608</v>
      </c>
      <c r="F401" s="16">
        <v>26.43962</v>
      </c>
      <c r="G401" s="16">
        <v>-81.925924</v>
      </c>
      <c r="H401" s="13">
        <v>26.463998</v>
      </c>
      <c r="I401" s="13">
        <v>-81.968356</v>
      </c>
      <c r="J401" s="13" t="s">
        <v>1816</v>
      </c>
      <c r="K401" s="13" t="s">
        <v>1817</v>
      </c>
      <c r="L401" s="13">
        <v>1.0</v>
      </c>
      <c r="M401" s="13">
        <v>26.441257</v>
      </c>
      <c r="N401" s="13">
        <v>-81.930315</v>
      </c>
      <c r="O401" s="13" t="s">
        <v>1818</v>
      </c>
      <c r="P401" s="47"/>
    </row>
    <row r="402" ht="33.75" customHeight="1">
      <c r="A402" s="50">
        <v>42772.0</v>
      </c>
      <c r="B402" s="16" t="s">
        <v>1808</v>
      </c>
      <c r="C402" s="16" t="s">
        <v>1814</v>
      </c>
      <c r="D402" s="16" t="s">
        <v>1810</v>
      </c>
      <c r="E402" s="16" t="s">
        <v>608</v>
      </c>
      <c r="F402" s="16">
        <v>26.43962</v>
      </c>
      <c r="G402" s="16">
        <v>-81.925924</v>
      </c>
      <c r="H402" s="13">
        <v>26.463998</v>
      </c>
      <c r="I402" s="13">
        <v>-81.968356</v>
      </c>
      <c r="J402" s="13" t="s">
        <v>1811</v>
      </c>
      <c r="K402" s="13" t="s">
        <v>1821</v>
      </c>
      <c r="L402" s="13">
        <v>2.0</v>
      </c>
      <c r="M402" s="13">
        <v>26.443059</v>
      </c>
      <c r="N402" s="13">
        <v>-81.933913</v>
      </c>
      <c r="O402" s="13" t="s">
        <v>1822</v>
      </c>
      <c r="P402" s="47"/>
    </row>
    <row r="403" ht="33.75" customHeight="1">
      <c r="A403" s="50">
        <v>42772.0</v>
      </c>
      <c r="B403" s="16" t="s">
        <v>1808</v>
      </c>
      <c r="C403" s="16" t="s">
        <v>1823</v>
      </c>
      <c r="D403" s="16" t="s">
        <v>1810</v>
      </c>
      <c r="E403" s="16" t="s">
        <v>608</v>
      </c>
      <c r="F403" s="16">
        <v>26.43962</v>
      </c>
      <c r="G403" s="16">
        <v>-81.925924</v>
      </c>
      <c r="H403" s="13">
        <v>26.463998</v>
      </c>
      <c r="I403" s="13">
        <v>-81.968356</v>
      </c>
      <c r="J403" s="13" t="s">
        <v>1811</v>
      </c>
      <c r="K403" s="13" t="s">
        <v>1821</v>
      </c>
      <c r="L403" s="13">
        <v>3.0</v>
      </c>
      <c r="M403" s="13">
        <v>26.443555</v>
      </c>
      <c r="N403" s="13">
        <v>-81.93493</v>
      </c>
      <c r="O403" s="13" t="s">
        <v>1824</v>
      </c>
      <c r="P403" s="47"/>
    </row>
    <row r="404" ht="33.75" customHeight="1">
      <c r="A404" s="50">
        <v>42772.0</v>
      </c>
      <c r="B404" s="16" t="s">
        <v>1808</v>
      </c>
      <c r="C404" s="16" t="s">
        <v>1825</v>
      </c>
      <c r="D404" s="16" t="s">
        <v>1810</v>
      </c>
      <c r="E404" s="16" t="s">
        <v>608</v>
      </c>
      <c r="F404" s="16">
        <v>26.43962</v>
      </c>
      <c r="G404" s="16">
        <v>-81.925924</v>
      </c>
      <c r="H404" s="13">
        <v>26.463998</v>
      </c>
      <c r="I404" s="13">
        <v>-81.968356</v>
      </c>
      <c r="J404" s="13" t="s">
        <v>1811</v>
      </c>
      <c r="K404" s="13" t="s">
        <v>1821</v>
      </c>
      <c r="L404" s="13">
        <v>4.0</v>
      </c>
      <c r="M404" s="13">
        <v>26.444654</v>
      </c>
      <c r="N404" s="13">
        <v>-81.93761</v>
      </c>
      <c r="O404" s="13" t="s">
        <v>1826</v>
      </c>
      <c r="P404" s="47"/>
    </row>
    <row r="405" ht="33.75" customHeight="1">
      <c r="A405" s="50">
        <v>42772.0</v>
      </c>
      <c r="B405" s="16" t="s">
        <v>1808</v>
      </c>
      <c r="C405" s="16" t="s">
        <v>1827</v>
      </c>
      <c r="D405" s="16" t="s">
        <v>1810</v>
      </c>
      <c r="E405" s="16" t="s">
        <v>608</v>
      </c>
      <c r="F405" s="16">
        <v>26.43962</v>
      </c>
      <c r="G405" s="16">
        <v>-81.925924</v>
      </c>
      <c r="H405" s="13">
        <v>26.417351</v>
      </c>
      <c r="I405" s="13">
        <v>-81.905434</v>
      </c>
      <c r="J405" s="13" t="s">
        <v>1819</v>
      </c>
      <c r="K405" s="13" t="s">
        <v>1828</v>
      </c>
      <c r="L405" s="13">
        <v>5.0</v>
      </c>
      <c r="M405" s="13">
        <v>26.436016</v>
      </c>
      <c r="N405" s="13">
        <v>-81.921925</v>
      </c>
      <c r="O405" s="13" t="s">
        <v>1829</v>
      </c>
      <c r="P405" s="47"/>
    </row>
    <row r="406" ht="33.75" customHeight="1">
      <c r="A406" s="50">
        <v>42772.0</v>
      </c>
      <c r="B406" s="16" t="s">
        <v>1808</v>
      </c>
      <c r="C406" s="16" t="s">
        <v>1830</v>
      </c>
      <c r="D406" s="16" t="s">
        <v>1810</v>
      </c>
      <c r="E406" s="16" t="s">
        <v>608</v>
      </c>
      <c r="F406" s="16">
        <v>26.43962</v>
      </c>
      <c r="G406" s="16">
        <v>-81.925924</v>
      </c>
      <c r="H406" s="13">
        <v>26.417351</v>
      </c>
      <c r="I406" s="13">
        <v>-81.905434</v>
      </c>
      <c r="J406" s="13" t="s">
        <v>1819</v>
      </c>
      <c r="K406" s="13" t="s">
        <v>1828</v>
      </c>
      <c r="L406" s="13">
        <v>6.0</v>
      </c>
      <c r="M406" s="13">
        <v>26.416006</v>
      </c>
      <c r="N406" s="13">
        <v>-81.905434</v>
      </c>
      <c r="O406" s="13" t="s">
        <v>1831</v>
      </c>
      <c r="P406" s="47"/>
    </row>
    <row r="407" ht="33.75" customHeight="1">
      <c r="A407" s="41">
        <v>42773.0</v>
      </c>
      <c r="B407" s="16" t="s">
        <v>605</v>
      </c>
      <c r="C407" s="16" t="s">
        <v>606</v>
      </c>
      <c r="D407" s="16" t="s">
        <v>976</v>
      </c>
      <c r="E407" s="16" t="s">
        <v>608</v>
      </c>
      <c r="F407" s="83">
        <v>26.42196</v>
      </c>
      <c r="G407" s="88" t="s">
        <v>1832</v>
      </c>
      <c r="H407" s="83" t="s">
        <v>1837</v>
      </c>
      <c r="I407" s="83" t="s">
        <v>1838</v>
      </c>
      <c r="J407" s="13" t="s">
        <v>1839</v>
      </c>
      <c r="K407" s="13" t="s">
        <v>1836</v>
      </c>
      <c r="L407" s="13">
        <v>1.0</v>
      </c>
      <c r="M407" s="13">
        <v>26.42257</v>
      </c>
      <c r="N407" s="13">
        <v>-82.08917</v>
      </c>
      <c r="O407" s="13" t="s">
        <v>1840</v>
      </c>
      <c r="P407" s="14" t="s">
        <v>1841</v>
      </c>
    </row>
    <row r="408" ht="33.75" customHeight="1">
      <c r="A408" s="41">
        <v>42773.0</v>
      </c>
      <c r="B408" s="16" t="s">
        <v>605</v>
      </c>
      <c r="C408" s="16" t="s">
        <v>606</v>
      </c>
      <c r="D408" s="16" t="s">
        <v>976</v>
      </c>
      <c r="E408" s="16" t="s">
        <v>608</v>
      </c>
      <c r="F408" s="83">
        <v>26.42196</v>
      </c>
      <c r="G408" s="88" t="s">
        <v>1832</v>
      </c>
      <c r="H408" s="88" t="s">
        <v>1837</v>
      </c>
      <c r="I408" s="88" t="s">
        <v>1838</v>
      </c>
      <c r="J408" s="13" t="s">
        <v>1839</v>
      </c>
      <c r="K408" s="13" t="s">
        <v>1836</v>
      </c>
      <c r="L408" s="13">
        <v>2.0</v>
      </c>
      <c r="M408" s="13">
        <v>26.42326</v>
      </c>
      <c r="N408" s="13">
        <v>-82.09259</v>
      </c>
      <c r="O408" s="13" t="s">
        <v>1842</v>
      </c>
      <c r="P408" s="47"/>
    </row>
    <row r="409" ht="33.75" customHeight="1">
      <c r="A409" s="41">
        <v>42773.0</v>
      </c>
      <c r="B409" s="16" t="s">
        <v>605</v>
      </c>
      <c r="C409" s="16" t="s">
        <v>606</v>
      </c>
      <c r="D409" s="16" t="s">
        <v>976</v>
      </c>
      <c r="E409" s="16" t="s">
        <v>608</v>
      </c>
      <c r="F409" s="83">
        <v>26.42196</v>
      </c>
      <c r="G409" s="88" t="s">
        <v>1832</v>
      </c>
      <c r="H409" s="88" t="s">
        <v>1837</v>
      </c>
      <c r="I409" s="88" t="s">
        <v>1838</v>
      </c>
      <c r="J409" s="13" t="s">
        <v>1839</v>
      </c>
      <c r="K409" s="13" t="s">
        <v>1836</v>
      </c>
      <c r="L409" s="13">
        <v>3.0</v>
      </c>
      <c r="M409" s="13">
        <v>26.42547</v>
      </c>
      <c r="N409" s="13">
        <v>-82.09888</v>
      </c>
      <c r="O409" s="13" t="s">
        <v>1843</v>
      </c>
      <c r="P409" s="47"/>
    </row>
    <row r="410" ht="33.75" customHeight="1">
      <c r="A410" s="41">
        <v>42773.0</v>
      </c>
      <c r="B410" s="16" t="s">
        <v>605</v>
      </c>
      <c r="C410" s="16" t="s">
        <v>606</v>
      </c>
      <c r="D410" s="16" t="s">
        <v>1844</v>
      </c>
      <c r="E410" s="16" t="s">
        <v>608</v>
      </c>
      <c r="F410" s="83" t="s">
        <v>1837</v>
      </c>
      <c r="G410" s="83" t="s">
        <v>1838</v>
      </c>
      <c r="H410" s="83" t="s">
        <v>1845</v>
      </c>
      <c r="I410" s="83" t="s">
        <v>1846</v>
      </c>
      <c r="J410" s="13" t="s">
        <v>1847</v>
      </c>
      <c r="K410" s="13" t="s">
        <v>1836</v>
      </c>
      <c r="L410" s="13">
        <v>1.0</v>
      </c>
      <c r="M410" s="13">
        <v>26.43418</v>
      </c>
      <c r="N410" s="13">
        <v>-82.12255</v>
      </c>
      <c r="O410" s="13" t="s">
        <v>1848</v>
      </c>
      <c r="P410" s="14" t="s">
        <v>1849</v>
      </c>
    </row>
    <row r="411" ht="33.75" customHeight="1">
      <c r="A411" s="41">
        <v>42773.0</v>
      </c>
      <c r="B411" s="16" t="s">
        <v>605</v>
      </c>
      <c r="C411" s="16" t="s">
        <v>606</v>
      </c>
      <c r="D411" s="16" t="s">
        <v>1850</v>
      </c>
      <c r="E411" s="16" t="s">
        <v>608</v>
      </c>
      <c r="F411" s="83" t="s">
        <v>1845</v>
      </c>
      <c r="G411" s="83" t="s">
        <v>1846</v>
      </c>
      <c r="H411" s="83" t="s">
        <v>1851</v>
      </c>
      <c r="I411" s="83" t="s">
        <v>1852</v>
      </c>
      <c r="J411" s="13" t="s">
        <v>1853</v>
      </c>
      <c r="K411" s="13" t="s">
        <v>1836</v>
      </c>
      <c r="L411" s="13">
        <v>1.0</v>
      </c>
      <c r="M411" s="13">
        <v>26.44953</v>
      </c>
      <c r="N411" s="13">
        <v>-82.14366</v>
      </c>
      <c r="O411" s="13" t="s">
        <v>1854</v>
      </c>
      <c r="P411" s="14" t="s">
        <v>1855</v>
      </c>
    </row>
    <row r="412" ht="33.75" customHeight="1">
      <c r="A412" s="41">
        <v>42773.0</v>
      </c>
      <c r="B412" s="16" t="s">
        <v>605</v>
      </c>
      <c r="C412" s="16" t="s">
        <v>606</v>
      </c>
      <c r="D412" s="16" t="s">
        <v>1850</v>
      </c>
      <c r="E412" s="16" t="s">
        <v>608</v>
      </c>
      <c r="F412" s="83" t="s">
        <v>1845</v>
      </c>
      <c r="G412" s="83" t="s">
        <v>1846</v>
      </c>
      <c r="H412" s="83" t="s">
        <v>1851</v>
      </c>
      <c r="I412" s="83" t="s">
        <v>1852</v>
      </c>
      <c r="J412" s="13" t="s">
        <v>1853</v>
      </c>
      <c r="K412" s="13" t="s">
        <v>1836</v>
      </c>
      <c r="L412" s="13">
        <v>2.0</v>
      </c>
      <c r="M412" s="13">
        <v>26.45104</v>
      </c>
      <c r="N412" s="13">
        <v>-82.14592</v>
      </c>
      <c r="O412" s="13" t="s">
        <v>1856</v>
      </c>
      <c r="P412" s="14" t="s">
        <v>1857</v>
      </c>
    </row>
    <row r="413" ht="33.75" customHeight="1">
      <c r="A413" s="41">
        <v>42773.0</v>
      </c>
      <c r="B413" s="16" t="s">
        <v>605</v>
      </c>
      <c r="C413" s="16" t="s">
        <v>606</v>
      </c>
      <c r="D413" s="16" t="s">
        <v>1850</v>
      </c>
      <c r="E413" s="16" t="s">
        <v>608</v>
      </c>
      <c r="F413" s="83" t="s">
        <v>1845</v>
      </c>
      <c r="G413" s="83" t="s">
        <v>1846</v>
      </c>
      <c r="H413" s="83" t="s">
        <v>1851</v>
      </c>
      <c r="I413" s="83" t="s">
        <v>1852</v>
      </c>
      <c r="J413" s="13" t="s">
        <v>1853</v>
      </c>
      <c r="K413" s="13" t="s">
        <v>1836</v>
      </c>
      <c r="L413" s="13">
        <v>3.0</v>
      </c>
      <c r="M413" s="13">
        <v>26.4529</v>
      </c>
      <c r="N413" s="13">
        <v>-82.1484</v>
      </c>
      <c r="O413" s="13" t="s">
        <v>1858</v>
      </c>
      <c r="P413" s="13" t="s">
        <v>1859</v>
      </c>
    </row>
    <row r="414" ht="33.75" customHeight="1">
      <c r="A414" s="41">
        <v>42773.0</v>
      </c>
      <c r="B414" s="16" t="s">
        <v>605</v>
      </c>
      <c r="C414" s="16" t="s">
        <v>606</v>
      </c>
      <c r="D414" s="16" t="s">
        <v>1850</v>
      </c>
      <c r="E414" s="16" t="s">
        <v>608</v>
      </c>
      <c r="F414" s="83" t="s">
        <v>1845</v>
      </c>
      <c r="G414" s="83" t="s">
        <v>1846</v>
      </c>
      <c r="H414" s="83" t="s">
        <v>1851</v>
      </c>
      <c r="I414" s="83" t="s">
        <v>1852</v>
      </c>
      <c r="J414" s="13" t="s">
        <v>1853</v>
      </c>
      <c r="K414" s="13" t="s">
        <v>1836</v>
      </c>
      <c r="L414" s="13">
        <v>4.0</v>
      </c>
      <c r="M414" s="13">
        <v>26.46269</v>
      </c>
      <c r="N414" s="13">
        <v>-82.16441</v>
      </c>
      <c r="O414" s="13" t="s">
        <v>1860</v>
      </c>
      <c r="P414" s="47"/>
    </row>
    <row r="415" ht="33.75" customHeight="1">
      <c r="A415" s="41">
        <v>42773.0</v>
      </c>
      <c r="B415" s="16" t="s">
        <v>605</v>
      </c>
      <c r="C415" s="16" t="s">
        <v>606</v>
      </c>
      <c r="D415" s="16" t="s">
        <v>1850</v>
      </c>
      <c r="E415" s="16" t="s">
        <v>608</v>
      </c>
      <c r="F415" s="83" t="s">
        <v>1845</v>
      </c>
      <c r="G415" s="83" t="s">
        <v>1846</v>
      </c>
      <c r="H415" s="83" t="s">
        <v>1851</v>
      </c>
      <c r="I415" s="83" t="s">
        <v>1852</v>
      </c>
      <c r="J415" s="13" t="s">
        <v>1853</v>
      </c>
      <c r="K415" s="13" t="s">
        <v>1836</v>
      </c>
      <c r="L415" s="13">
        <v>5.0</v>
      </c>
      <c r="M415" s="13">
        <v>26.46362</v>
      </c>
      <c r="N415" s="13">
        <v>-82.16589</v>
      </c>
      <c r="O415" s="13" t="s">
        <v>1861</v>
      </c>
      <c r="P415" s="47"/>
    </row>
    <row r="416" ht="33.75" customHeight="1">
      <c r="A416" s="41">
        <v>42774.0</v>
      </c>
      <c r="B416" s="16" t="s">
        <v>605</v>
      </c>
      <c r="C416" s="16" t="s">
        <v>606</v>
      </c>
      <c r="D416" s="16" t="s">
        <v>1862</v>
      </c>
      <c r="E416" s="16" t="s">
        <v>608</v>
      </c>
      <c r="F416" s="83" t="s">
        <v>1851</v>
      </c>
      <c r="G416" s="83" t="s">
        <v>1852</v>
      </c>
      <c r="H416" s="83" t="s">
        <v>1863</v>
      </c>
      <c r="I416" s="83" t="s">
        <v>1864</v>
      </c>
      <c r="J416" s="13" t="s">
        <v>1865</v>
      </c>
      <c r="K416" s="13" t="s">
        <v>1866</v>
      </c>
      <c r="L416" s="13">
        <v>1.0</v>
      </c>
      <c r="M416" s="13">
        <v>26.46466</v>
      </c>
      <c r="N416" s="13">
        <v>-82.16741</v>
      </c>
      <c r="O416" s="13" t="s">
        <v>1867</v>
      </c>
      <c r="P416" s="14" t="s">
        <v>1868</v>
      </c>
    </row>
    <row r="417" ht="33.75" customHeight="1">
      <c r="A417" s="41">
        <v>42774.0</v>
      </c>
      <c r="B417" s="16" t="s">
        <v>605</v>
      </c>
      <c r="C417" s="16" t="s">
        <v>606</v>
      </c>
      <c r="D417" s="16" t="s">
        <v>981</v>
      </c>
      <c r="E417" s="16" t="s">
        <v>608</v>
      </c>
      <c r="F417" s="83" t="s">
        <v>1869</v>
      </c>
      <c r="G417" s="83" t="s">
        <v>1870</v>
      </c>
      <c r="H417" s="83" t="s">
        <v>1871</v>
      </c>
      <c r="I417" s="83" t="s">
        <v>1872</v>
      </c>
      <c r="J417" s="13" t="s">
        <v>1873</v>
      </c>
      <c r="K417" s="13" t="s">
        <v>1874</v>
      </c>
      <c r="L417" s="13">
        <v>1.0</v>
      </c>
      <c r="M417" s="13">
        <v>26.50685</v>
      </c>
      <c r="N417" s="13">
        <v>-82.19046</v>
      </c>
      <c r="O417" s="13" t="s">
        <v>1875</v>
      </c>
      <c r="P417" s="47"/>
    </row>
    <row r="418" ht="33.75" customHeight="1">
      <c r="A418" s="41">
        <v>42774.0</v>
      </c>
      <c r="B418" s="16" t="s">
        <v>605</v>
      </c>
      <c r="C418" s="16" t="s">
        <v>606</v>
      </c>
      <c r="D418" s="16" t="s">
        <v>981</v>
      </c>
      <c r="E418" s="16" t="s">
        <v>608</v>
      </c>
      <c r="F418" s="83" t="s">
        <v>1869</v>
      </c>
      <c r="G418" s="83" t="s">
        <v>1870</v>
      </c>
      <c r="H418" s="83" t="s">
        <v>1871</v>
      </c>
      <c r="I418" s="83" t="s">
        <v>1872</v>
      </c>
      <c r="J418" s="13" t="s">
        <v>1873</v>
      </c>
      <c r="K418" s="13" t="s">
        <v>1874</v>
      </c>
      <c r="L418" s="13">
        <v>2.0</v>
      </c>
      <c r="M418" s="13">
        <v>26.50018</v>
      </c>
      <c r="N418" s="13">
        <v>-82.18916</v>
      </c>
      <c r="O418" s="13" t="s">
        <v>1876</v>
      </c>
      <c r="P418" s="14" t="s">
        <v>1877</v>
      </c>
    </row>
    <row r="419" ht="33.75" customHeight="1">
      <c r="A419" s="41">
        <v>42774.0</v>
      </c>
      <c r="B419" s="16" t="s">
        <v>605</v>
      </c>
      <c r="C419" s="16" t="s">
        <v>606</v>
      </c>
      <c r="D419" s="16" t="s">
        <v>981</v>
      </c>
      <c r="E419" s="16" t="s">
        <v>608</v>
      </c>
      <c r="F419" s="83" t="s">
        <v>1869</v>
      </c>
      <c r="G419" s="83" t="s">
        <v>1870</v>
      </c>
      <c r="H419" s="83" t="s">
        <v>1871</v>
      </c>
      <c r="I419" s="83" t="s">
        <v>1872</v>
      </c>
      <c r="J419" s="13" t="s">
        <v>1873</v>
      </c>
      <c r="K419" s="13" t="s">
        <v>1874</v>
      </c>
      <c r="L419" s="13">
        <v>3.0</v>
      </c>
      <c r="M419" s="13">
        <v>26.49638</v>
      </c>
      <c r="N419" s="13">
        <v>-82.18824</v>
      </c>
      <c r="O419" s="13" t="s">
        <v>1878</v>
      </c>
      <c r="P419" s="47"/>
    </row>
    <row r="420" ht="33.75" customHeight="1">
      <c r="A420" s="41">
        <v>42774.0</v>
      </c>
      <c r="B420" s="16" t="s">
        <v>605</v>
      </c>
      <c r="C420" s="16" t="s">
        <v>606</v>
      </c>
      <c r="D420" s="16" t="s">
        <v>981</v>
      </c>
      <c r="E420" s="16" t="s">
        <v>608</v>
      </c>
      <c r="F420" s="83" t="s">
        <v>1869</v>
      </c>
      <c r="G420" s="83" t="s">
        <v>1870</v>
      </c>
      <c r="H420" s="83" t="s">
        <v>1871</v>
      </c>
      <c r="I420" s="83" t="s">
        <v>1872</v>
      </c>
      <c r="J420" s="13" t="s">
        <v>1873</v>
      </c>
      <c r="K420" s="13" t="s">
        <v>1874</v>
      </c>
      <c r="L420" s="13">
        <v>4.0</v>
      </c>
      <c r="M420" s="13">
        <v>26.4859</v>
      </c>
      <c r="N420" s="13">
        <v>-82.1851</v>
      </c>
      <c r="O420" s="13" t="s">
        <v>1879</v>
      </c>
      <c r="P420" s="47"/>
    </row>
    <row r="421" ht="33.75" customHeight="1">
      <c r="A421" s="41">
        <v>42774.0</v>
      </c>
      <c r="B421" s="16" t="s">
        <v>605</v>
      </c>
      <c r="C421" s="16" t="s">
        <v>606</v>
      </c>
      <c r="D421" s="16" t="s">
        <v>981</v>
      </c>
      <c r="E421" s="16" t="s">
        <v>608</v>
      </c>
      <c r="F421" s="83" t="s">
        <v>1869</v>
      </c>
      <c r="G421" s="83" t="s">
        <v>1870</v>
      </c>
      <c r="H421" s="83" t="s">
        <v>1871</v>
      </c>
      <c r="I421" s="83" t="s">
        <v>1872</v>
      </c>
      <c r="J421" s="13" t="s">
        <v>1873</v>
      </c>
      <c r="K421" s="13" t="s">
        <v>1874</v>
      </c>
      <c r="L421" s="13">
        <v>5.0</v>
      </c>
      <c r="M421" s="13">
        <v>26.4839</v>
      </c>
      <c r="N421" s="13">
        <v>-82.18435</v>
      </c>
      <c r="O421" s="13" t="s">
        <v>1880</v>
      </c>
      <c r="P421" s="47"/>
    </row>
    <row r="422" ht="33.75" customHeight="1">
      <c r="A422" s="41">
        <v>42774.0</v>
      </c>
      <c r="B422" s="16" t="s">
        <v>605</v>
      </c>
      <c r="C422" s="16" t="s">
        <v>606</v>
      </c>
      <c r="D422" s="16" t="s">
        <v>1881</v>
      </c>
      <c r="E422" s="16" t="s">
        <v>608</v>
      </c>
      <c r="F422" s="83" t="s">
        <v>1871</v>
      </c>
      <c r="G422" s="83" t="s">
        <v>1872</v>
      </c>
      <c r="H422" s="83" t="s">
        <v>1882</v>
      </c>
      <c r="I422" s="83" t="s">
        <v>1883</v>
      </c>
      <c r="J422" s="13" t="s">
        <v>1884</v>
      </c>
      <c r="K422" s="13" t="s">
        <v>1874</v>
      </c>
      <c r="L422" s="13">
        <v>1.0</v>
      </c>
      <c r="M422" s="13">
        <v>26.54992</v>
      </c>
      <c r="N422" s="13">
        <v>-82.20084</v>
      </c>
      <c r="O422" s="13" t="s">
        <v>1885</v>
      </c>
      <c r="P422" s="14" t="s">
        <v>1886</v>
      </c>
    </row>
    <row r="423" ht="33.75" customHeight="1">
      <c r="A423" s="41">
        <v>42774.0</v>
      </c>
      <c r="B423" s="16" t="s">
        <v>605</v>
      </c>
      <c r="C423" s="16" t="s">
        <v>606</v>
      </c>
      <c r="D423" s="16" t="s">
        <v>1881</v>
      </c>
      <c r="E423" s="16" t="s">
        <v>608</v>
      </c>
      <c r="F423" s="83" t="s">
        <v>1871</v>
      </c>
      <c r="G423" s="83" t="s">
        <v>1872</v>
      </c>
      <c r="H423" s="83" t="s">
        <v>1882</v>
      </c>
      <c r="I423" s="83" t="s">
        <v>1883</v>
      </c>
      <c r="J423" s="13" t="s">
        <v>1884</v>
      </c>
      <c r="K423" s="13" t="s">
        <v>1874</v>
      </c>
      <c r="L423" s="13">
        <v>2.0</v>
      </c>
      <c r="M423" s="13">
        <v>26.54851</v>
      </c>
      <c r="N423" s="13">
        <v>-82.19994</v>
      </c>
      <c r="O423" s="13" t="s">
        <v>1887</v>
      </c>
      <c r="P423" s="14" t="s">
        <v>1888</v>
      </c>
    </row>
    <row r="424" ht="33.75" customHeight="1">
      <c r="A424" s="41">
        <v>42774.0</v>
      </c>
      <c r="B424" s="16" t="s">
        <v>605</v>
      </c>
      <c r="C424" s="16" t="s">
        <v>606</v>
      </c>
      <c r="D424" s="16" t="s">
        <v>1881</v>
      </c>
      <c r="E424" s="16" t="s">
        <v>608</v>
      </c>
      <c r="F424" s="83" t="s">
        <v>1871</v>
      </c>
      <c r="G424" s="83" t="s">
        <v>1872</v>
      </c>
      <c r="H424" s="83" t="s">
        <v>1882</v>
      </c>
      <c r="I424" s="83" t="s">
        <v>1883</v>
      </c>
      <c r="J424" s="13" t="s">
        <v>1884</v>
      </c>
      <c r="K424" s="13" t="s">
        <v>1874</v>
      </c>
      <c r="L424" s="13">
        <v>3.0</v>
      </c>
      <c r="M424" s="13">
        <v>26.54269</v>
      </c>
      <c r="N424" s="13">
        <v>-82.19752</v>
      </c>
      <c r="O424" s="13" t="s">
        <v>1889</v>
      </c>
      <c r="P424" s="47"/>
    </row>
    <row r="425" ht="33.75" customHeight="1">
      <c r="A425" s="41">
        <v>42775.0</v>
      </c>
      <c r="B425" s="16" t="s">
        <v>636</v>
      </c>
      <c r="C425" s="16" t="s">
        <v>637</v>
      </c>
      <c r="D425" s="16" t="s">
        <v>1890</v>
      </c>
      <c r="E425" s="16" t="s">
        <v>608</v>
      </c>
      <c r="F425" s="16">
        <v>26.789481</v>
      </c>
      <c r="G425" s="16">
        <v>-82.272273</v>
      </c>
      <c r="H425" s="13">
        <v>26.71962</v>
      </c>
      <c r="I425" s="13">
        <v>-82.26338</v>
      </c>
      <c r="J425" s="13" t="s">
        <v>1891</v>
      </c>
      <c r="K425" s="13" t="s">
        <v>1892</v>
      </c>
      <c r="L425" s="13"/>
      <c r="M425" s="13"/>
      <c r="N425" s="13"/>
      <c r="O425" s="13"/>
      <c r="P425" s="14" t="s">
        <v>1893</v>
      </c>
    </row>
    <row r="426" ht="33.75" customHeight="1">
      <c r="A426" s="41">
        <v>42769.0</v>
      </c>
      <c r="B426" s="16" t="s">
        <v>1894</v>
      </c>
      <c r="C426" s="16" t="s">
        <v>1895</v>
      </c>
      <c r="D426" s="16" t="s">
        <v>1896</v>
      </c>
      <c r="E426" s="16" t="s">
        <v>359</v>
      </c>
      <c r="F426" s="89">
        <v>27.450933</v>
      </c>
      <c r="G426" s="90">
        <v>-82.69327</v>
      </c>
      <c r="H426" s="89">
        <v>27.527995</v>
      </c>
      <c r="I426" s="90">
        <v>-82.740145</v>
      </c>
      <c r="J426" s="13" t="s">
        <v>1897</v>
      </c>
      <c r="K426" s="13" t="s">
        <v>1898</v>
      </c>
      <c r="L426" s="13">
        <v>1.0</v>
      </c>
      <c r="M426" s="13">
        <v>27.46455</v>
      </c>
      <c r="N426" s="13">
        <v>-82.699024</v>
      </c>
      <c r="O426" s="13" t="s">
        <v>1899</v>
      </c>
      <c r="P426" s="14"/>
    </row>
    <row r="427" ht="33.75" customHeight="1">
      <c r="A427" s="41">
        <v>42769.0</v>
      </c>
      <c r="B427" s="16" t="s">
        <v>1894</v>
      </c>
      <c r="C427" s="16" t="s">
        <v>1895</v>
      </c>
      <c r="D427" s="16" t="s">
        <v>1896</v>
      </c>
      <c r="E427" s="16" t="s">
        <v>359</v>
      </c>
      <c r="F427" s="89">
        <v>27.450933</v>
      </c>
      <c r="G427" s="90">
        <v>-82.69327</v>
      </c>
      <c r="H427" s="89">
        <v>27.527995</v>
      </c>
      <c r="I427" s="90">
        <v>-82.740145</v>
      </c>
      <c r="J427" s="13" t="s">
        <v>1897</v>
      </c>
      <c r="K427" s="13" t="s">
        <v>1898</v>
      </c>
      <c r="L427" s="13">
        <v>2.0</v>
      </c>
      <c r="M427" s="89">
        <v>27.450933</v>
      </c>
      <c r="N427" s="90">
        <v>-82.69327</v>
      </c>
      <c r="O427" s="13" t="s">
        <v>1900</v>
      </c>
      <c r="P427" s="14"/>
    </row>
    <row r="428" ht="33.75" customHeight="1">
      <c r="A428" s="41">
        <v>42769.0</v>
      </c>
      <c r="B428" s="16" t="s">
        <v>1894</v>
      </c>
      <c r="C428" s="16" t="s">
        <v>1895</v>
      </c>
      <c r="D428" s="16" t="s">
        <v>1896</v>
      </c>
      <c r="E428" s="16" t="s">
        <v>359</v>
      </c>
      <c r="F428" s="89">
        <v>27.450933</v>
      </c>
      <c r="G428" s="90">
        <v>-82.69327</v>
      </c>
      <c r="H428" s="89">
        <v>27.527995</v>
      </c>
      <c r="I428" s="90">
        <v>-82.740145</v>
      </c>
      <c r="J428" s="13" t="s">
        <v>1897</v>
      </c>
      <c r="K428" s="13" t="s">
        <v>1898</v>
      </c>
      <c r="L428" s="13">
        <v>3.0</v>
      </c>
      <c r="M428" s="89">
        <v>27.523884</v>
      </c>
      <c r="N428" s="13">
        <v>-82.735576</v>
      </c>
      <c r="O428" s="13" t="s">
        <v>1901</v>
      </c>
      <c r="P428" s="14"/>
      <c r="Q428" s="13"/>
    </row>
    <row r="429" ht="33.75" customHeight="1">
      <c r="A429" s="41">
        <v>42769.0</v>
      </c>
      <c r="B429" s="16" t="s">
        <v>1894</v>
      </c>
      <c r="C429" s="16" t="s">
        <v>1895</v>
      </c>
      <c r="D429" s="16" t="s">
        <v>1896</v>
      </c>
      <c r="E429" s="16" t="s">
        <v>359</v>
      </c>
      <c r="F429" s="89">
        <v>27.450933</v>
      </c>
      <c r="G429" s="90">
        <v>-82.69327</v>
      </c>
      <c r="H429" s="89">
        <v>27.527995</v>
      </c>
      <c r="I429" s="90">
        <v>-82.740145</v>
      </c>
      <c r="J429" s="13" t="s">
        <v>1897</v>
      </c>
      <c r="K429" s="13" t="s">
        <v>1898</v>
      </c>
      <c r="L429" s="13">
        <v>4.0</v>
      </c>
      <c r="M429" s="13">
        <v>27.524834</v>
      </c>
      <c r="N429" s="13">
        <v>-82.736813</v>
      </c>
      <c r="O429" s="13" t="s">
        <v>1902</v>
      </c>
      <c r="P429" s="14"/>
    </row>
    <row r="430" ht="33.75" customHeight="1">
      <c r="A430" s="41">
        <v>42769.0</v>
      </c>
      <c r="B430" s="16" t="s">
        <v>1894</v>
      </c>
      <c r="C430" s="16" t="s">
        <v>1895</v>
      </c>
      <c r="D430" s="16" t="s">
        <v>1896</v>
      </c>
      <c r="E430" s="16" t="s">
        <v>359</v>
      </c>
      <c r="F430" s="89">
        <v>27.450933</v>
      </c>
      <c r="G430" s="90">
        <v>-82.69327</v>
      </c>
      <c r="H430" s="89">
        <v>27.527995</v>
      </c>
      <c r="I430" s="90">
        <v>-82.740145</v>
      </c>
      <c r="J430" s="13" t="s">
        <v>1897</v>
      </c>
      <c r="K430" s="13" t="s">
        <v>1898</v>
      </c>
      <c r="L430" s="13">
        <v>5.0</v>
      </c>
      <c r="M430" s="89">
        <v>27.525733</v>
      </c>
      <c r="N430" s="13">
        <v>-82.737718</v>
      </c>
      <c r="O430" s="13" t="s">
        <v>1905</v>
      </c>
      <c r="P430" s="14"/>
    </row>
    <row r="431" ht="33.75" customHeight="1">
      <c r="A431" s="41">
        <v>42769.0</v>
      </c>
      <c r="B431" s="16" t="s">
        <v>1894</v>
      </c>
      <c r="C431" s="16" t="s">
        <v>1895</v>
      </c>
      <c r="D431" s="16" t="s">
        <v>1896</v>
      </c>
      <c r="E431" s="16" t="s">
        <v>359</v>
      </c>
      <c r="F431" s="89">
        <v>27.450933</v>
      </c>
      <c r="G431" s="90">
        <v>-82.69327</v>
      </c>
      <c r="H431" s="89">
        <v>27.527995</v>
      </c>
      <c r="I431" s="90">
        <v>-82.740145</v>
      </c>
      <c r="J431" s="13" t="s">
        <v>1897</v>
      </c>
      <c r="K431" s="13" t="s">
        <v>1898</v>
      </c>
      <c r="L431" s="13">
        <v>6.0</v>
      </c>
      <c r="M431" s="13">
        <v>27.473597</v>
      </c>
      <c r="N431" s="13">
        <v>-82.702294</v>
      </c>
      <c r="O431" s="13" t="s">
        <v>1906</v>
      </c>
      <c r="P431" s="14"/>
    </row>
    <row r="432" ht="33.75" customHeight="1">
      <c r="A432" s="41">
        <v>42769.0</v>
      </c>
      <c r="B432" s="16" t="s">
        <v>1894</v>
      </c>
      <c r="C432" s="16" t="s">
        <v>1895</v>
      </c>
      <c r="D432" s="16" t="s">
        <v>1896</v>
      </c>
      <c r="E432" s="16" t="s">
        <v>359</v>
      </c>
      <c r="F432" s="89">
        <v>27.450933</v>
      </c>
      <c r="G432" s="90">
        <v>-82.69327</v>
      </c>
      <c r="H432" s="89">
        <v>27.527995</v>
      </c>
      <c r="I432" s="90">
        <v>-82.740145</v>
      </c>
      <c r="J432" s="13" t="s">
        <v>1897</v>
      </c>
      <c r="K432" s="13" t="s">
        <v>1898</v>
      </c>
      <c r="L432" s="13">
        <v>7.0</v>
      </c>
      <c r="M432" s="13">
        <v>27.523884</v>
      </c>
      <c r="N432" s="13">
        <v>-82.735576</v>
      </c>
      <c r="O432" s="13" t="s">
        <v>1907</v>
      </c>
      <c r="P432" s="14"/>
    </row>
    <row r="433" ht="33.75" customHeight="1">
      <c r="A433" s="41">
        <v>42771.0</v>
      </c>
      <c r="B433" s="16" t="s">
        <v>355</v>
      </c>
      <c r="C433" s="16" t="s">
        <v>356</v>
      </c>
      <c r="D433" s="16" t="s">
        <v>357</v>
      </c>
      <c r="E433" s="16" t="s">
        <v>359</v>
      </c>
      <c r="F433" s="16">
        <v>27.38938</v>
      </c>
      <c r="G433" s="16">
        <v>-82.64257</v>
      </c>
      <c r="H433" s="13">
        <v>27.44065</v>
      </c>
      <c r="I433" s="13">
        <v>-82.68645</v>
      </c>
      <c r="J433" s="13" t="s">
        <v>1903</v>
      </c>
      <c r="K433" s="13" t="s">
        <v>1904</v>
      </c>
      <c r="L433" s="13" t="s">
        <v>1908</v>
      </c>
      <c r="M433" s="13">
        <v>27.42161</v>
      </c>
      <c r="N433" s="13">
        <v>-82.67113</v>
      </c>
      <c r="O433" s="13" t="s">
        <v>1911</v>
      </c>
      <c r="P433" s="14" t="s">
        <v>484</v>
      </c>
    </row>
    <row r="434" ht="33.75" customHeight="1">
      <c r="A434" s="41">
        <v>42771.0</v>
      </c>
      <c r="B434" s="16" t="s">
        <v>355</v>
      </c>
      <c r="C434" s="16" t="s">
        <v>356</v>
      </c>
      <c r="D434" s="16" t="s">
        <v>357</v>
      </c>
      <c r="E434" s="16" t="s">
        <v>359</v>
      </c>
      <c r="F434" s="16">
        <v>27.38938</v>
      </c>
      <c r="G434" s="16">
        <v>-82.64257</v>
      </c>
      <c r="H434" s="13">
        <v>27.44065</v>
      </c>
      <c r="I434" s="13">
        <v>-82.68645</v>
      </c>
      <c r="J434" s="13" t="s">
        <v>1903</v>
      </c>
      <c r="K434" s="13" t="s">
        <v>1904</v>
      </c>
      <c r="L434" s="13">
        <v>1.0</v>
      </c>
      <c r="M434" s="13">
        <v>27.4306</v>
      </c>
      <c r="N434" s="13">
        <v>-82.6838</v>
      </c>
      <c r="O434" s="13" t="s">
        <v>1587</v>
      </c>
      <c r="P434" s="14" t="s">
        <v>1913</v>
      </c>
    </row>
    <row r="435" ht="33.75" customHeight="1">
      <c r="A435" s="41">
        <v>42771.0</v>
      </c>
      <c r="B435" s="16" t="s">
        <v>355</v>
      </c>
      <c r="C435" s="16" t="s">
        <v>356</v>
      </c>
      <c r="D435" s="16" t="s">
        <v>357</v>
      </c>
      <c r="E435" s="16" t="s">
        <v>359</v>
      </c>
      <c r="F435" s="16">
        <v>27.38938</v>
      </c>
      <c r="G435" s="16">
        <v>-82.64257</v>
      </c>
      <c r="H435" s="13">
        <v>27.44065</v>
      </c>
      <c r="I435" s="13">
        <v>-82.68645</v>
      </c>
      <c r="J435" s="13" t="s">
        <v>1903</v>
      </c>
      <c r="K435" s="13" t="s">
        <v>1904</v>
      </c>
      <c r="L435" s="13" t="s">
        <v>1916</v>
      </c>
      <c r="M435" s="13">
        <v>27.43064</v>
      </c>
      <c r="N435" s="13">
        <v>-82.68386</v>
      </c>
      <c r="O435" s="13" t="s">
        <v>1917</v>
      </c>
      <c r="P435" s="14" t="s">
        <v>484</v>
      </c>
    </row>
    <row r="436" ht="33.75" customHeight="1">
      <c r="A436" s="41">
        <v>42771.0</v>
      </c>
      <c r="B436" s="16" t="s">
        <v>355</v>
      </c>
      <c r="C436" s="16" t="s">
        <v>356</v>
      </c>
      <c r="D436" s="16" t="s">
        <v>357</v>
      </c>
      <c r="E436" s="16" t="s">
        <v>359</v>
      </c>
      <c r="F436" s="16">
        <v>27.38938</v>
      </c>
      <c r="G436" s="16">
        <v>-82.64257</v>
      </c>
      <c r="H436" s="13">
        <v>27.44065</v>
      </c>
      <c r="I436" s="13">
        <v>-82.68645</v>
      </c>
      <c r="J436" s="13" t="s">
        <v>1903</v>
      </c>
      <c r="K436" s="13" t="s">
        <v>1904</v>
      </c>
      <c r="L436" s="13" t="s">
        <v>986</v>
      </c>
      <c r="M436" s="13">
        <v>27.43443</v>
      </c>
      <c r="N436" s="13">
        <v>-82.68817</v>
      </c>
      <c r="O436" s="13" t="s">
        <v>1919</v>
      </c>
      <c r="P436" s="14" t="s">
        <v>484</v>
      </c>
    </row>
    <row r="437" ht="33.75" customHeight="1">
      <c r="A437" s="11">
        <v>42774.0</v>
      </c>
      <c r="B437" s="13" t="s">
        <v>1909</v>
      </c>
      <c r="C437" s="16" t="s">
        <v>1921</v>
      </c>
      <c r="D437" s="16" t="s">
        <v>1912</v>
      </c>
      <c r="E437" s="16" t="s">
        <v>359</v>
      </c>
      <c r="F437" s="13">
        <v>27.5554671</v>
      </c>
      <c r="G437" s="13">
        <v>-82.7440647</v>
      </c>
      <c r="H437" s="13">
        <v>27.5554671</v>
      </c>
      <c r="I437" s="14">
        <v>-82.7440647</v>
      </c>
      <c r="J437" s="13" t="s">
        <v>1914</v>
      </c>
      <c r="K437" s="13" t="s">
        <v>1923</v>
      </c>
      <c r="L437" s="13">
        <v>1.0</v>
      </c>
      <c r="M437" s="13">
        <v>27.5555813</v>
      </c>
      <c r="N437" s="13">
        <v>-82.7453092</v>
      </c>
      <c r="O437" s="13" t="s">
        <v>1924</v>
      </c>
      <c r="P437" s="47"/>
    </row>
    <row r="438" ht="33.75" customHeight="1">
      <c r="A438" s="11">
        <v>42774.0</v>
      </c>
      <c r="B438" s="13" t="s">
        <v>1909</v>
      </c>
      <c r="C438" s="16" t="s">
        <v>1921</v>
      </c>
      <c r="D438" s="16" t="s">
        <v>1912</v>
      </c>
      <c r="E438" s="16" t="s">
        <v>359</v>
      </c>
      <c r="F438" s="13">
        <v>27.5554671</v>
      </c>
      <c r="G438" s="13">
        <v>-82.7440647</v>
      </c>
      <c r="H438" s="13">
        <v>27.5554671</v>
      </c>
      <c r="I438" s="14">
        <v>-82.7440647</v>
      </c>
      <c r="J438" s="13" t="s">
        <v>1914</v>
      </c>
      <c r="K438" s="13" t="s">
        <v>1923</v>
      </c>
      <c r="L438" s="13">
        <v>3.0</v>
      </c>
      <c r="M438" s="13">
        <v>25.5546681</v>
      </c>
      <c r="N438" s="13">
        <v>-82.7440217</v>
      </c>
      <c r="O438" s="13" t="s">
        <v>1925</v>
      </c>
      <c r="P438" s="14" t="s">
        <v>1926</v>
      </c>
    </row>
    <row r="439" ht="33.75" customHeight="1">
      <c r="A439" s="41">
        <v>42773.0</v>
      </c>
      <c r="B439" s="16" t="s">
        <v>1927</v>
      </c>
      <c r="C439" s="16" t="s">
        <v>1928</v>
      </c>
      <c r="D439" s="16" t="s">
        <v>1929</v>
      </c>
      <c r="E439" s="16" t="s">
        <v>972</v>
      </c>
      <c r="F439" s="16">
        <v>27.086367</v>
      </c>
      <c r="G439" s="16">
        <v>-80.124733</v>
      </c>
      <c r="H439" s="13">
        <v>27.131117</v>
      </c>
      <c r="I439" s="13">
        <v>-80.145283</v>
      </c>
      <c r="J439" s="13" t="s">
        <v>1933</v>
      </c>
      <c r="K439" s="13" t="s">
        <v>1934</v>
      </c>
      <c r="L439" s="13">
        <v>1.0</v>
      </c>
      <c r="M439" s="13">
        <v>27.1109</v>
      </c>
      <c r="N439" s="13">
        <v>-80.13835</v>
      </c>
      <c r="O439" s="13" t="s">
        <v>1936</v>
      </c>
      <c r="P439" s="14" t="s">
        <v>484</v>
      </c>
    </row>
    <row r="440" ht="33.75" customHeight="1">
      <c r="A440" s="41">
        <v>42773.0</v>
      </c>
      <c r="B440" s="16" t="s">
        <v>969</v>
      </c>
      <c r="C440" s="16" t="s">
        <v>970</v>
      </c>
      <c r="D440" s="16" t="s">
        <v>971</v>
      </c>
      <c r="E440" s="16" t="s">
        <v>972</v>
      </c>
      <c r="F440" s="16">
        <v>27.16902633</v>
      </c>
      <c r="G440" s="16">
        <v>-80.15704639</v>
      </c>
      <c r="H440" s="13">
        <v>27.26299818</v>
      </c>
      <c r="I440" s="13">
        <v>-80.19966799</v>
      </c>
      <c r="J440" s="13" t="s">
        <v>1938</v>
      </c>
      <c r="K440" s="13" t="s">
        <v>1939</v>
      </c>
      <c r="L440" s="13">
        <v>1.0</v>
      </c>
      <c r="M440" s="87">
        <v>27.25594184</v>
      </c>
      <c r="N440" s="13">
        <v>-80.19655527</v>
      </c>
      <c r="O440" s="13" t="s">
        <v>1940</v>
      </c>
      <c r="P440" s="14"/>
    </row>
    <row r="441" ht="33.75" customHeight="1">
      <c r="A441" s="41">
        <v>42773.0</v>
      </c>
      <c r="B441" s="16" t="s">
        <v>969</v>
      </c>
      <c r="C441" s="16" t="s">
        <v>970</v>
      </c>
      <c r="D441" s="16" t="s">
        <v>971</v>
      </c>
      <c r="E441" s="16" t="s">
        <v>972</v>
      </c>
      <c r="F441" s="16">
        <v>27.16902633</v>
      </c>
      <c r="G441" s="16">
        <v>-80.15704639</v>
      </c>
      <c r="H441" s="13">
        <v>27.26299818</v>
      </c>
      <c r="I441" s="13">
        <v>-80.19966799</v>
      </c>
      <c r="J441" s="13" t="s">
        <v>1938</v>
      </c>
      <c r="K441" s="13" t="s">
        <v>1939</v>
      </c>
      <c r="L441" s="13">
        <v>2.0</v>
      </c>
      <c r="M441" s="87">
        <v>27.23937178</v>
      </c>
      <c r="N441" s="13">
        <v>-80.18753293</v>
      </c>
      <c r="O441" s="13" t="s">
        <v>1941</v>
      </c>
      <c r="P441" s="14"/>
    </row>
    <row r="442" ht="33.75" customHeight="1">
      <c r="A442" s="41">
        <v>42774.0</v>
      </c>
      <c r="B442" s="16" t="s">
        <v>1942</v>
      </c>
      <c r="C442" s="16" t="s">
        <v>1943</v>
      </c>
      <c r="D442" s="16" t="s">
        <v>1944</v>
      </c>
      <c r="E442" s="16" t="s">
        <v>972</v>
      </c>
      <c r="F442" s="16">
        <v>27.13080743</v>
      </c>
      <c r="G442" s="16">
        <v>-80.14504041</v>
      </c>
      <c r="H442" s="13">
        <v>27.16318685</v>
      </c>
      <c r="I442" s="13">
        <v>-80.16742617</v>
      </c>
      <c r="J442" s="13" t="s">
        <v>1945</v>
      </c>
      <c r="K442" s="13" t="s">
        <v>1946</v>
      </c>
      <c r="L442" s="13"/>
      <c r="M442" s="87"/>
      <c r="N442" s="13"/>
      <c r="O442" s="13"/>
      <c r="P442" s="14" t="s">
        <v>1947</v>
      </c>
    </row>
    <row r="443" ht="33.75" customHeight="1">
      <c r="A443" s="41">
        <v>42774.0</v>
      </c>
      <c r="B443" s="16" t="s">
        <v>1948</v>
      </c>
      <c r="C443" s="16" t="s">
        <v>1949</v>
      </c>
      <c r="D443" s="16" t="s">
        <v>1950</v>
      </c>
      <c r="E443" s="16" t="s">
        <v>1951</v>
      </c>
      <c r="F443" s="16">
        <v>27.16635</v>
      </c>
      <c r="G443" s="16">
        <v>-80.1857</v>
      </c>
      <c r="H443" s="13">
        <v>27.19093</v>
      </c>
      <c r="I443" s="13">
        <v>-80.18867</v>
      </c>
      <c r="J443" s="13" t="s">
        <v>1952</v>
      </c>
      <c r="K443" s="13" t="s">
        <v>1953</v>
      </c>
      <c r="L443" s="13">
        <v>1.0</v>
      </c>
      <c r="M443" s="13">
        <v>27.19093</v>
      </c>
      <c r="N443" s="13">
        <v>-80.18867</v>
      </c>
      <c r="O443" s="13" t="s">
        <v>1954</v>
      </c>
      <c r="P443" s="14" t="s">
        <v>1955</v>
      </c>
    </row>
    <row r="444" ht="33.75" customHeight="1">
      <c r="A444" s="41">
        <v>42774.0</v>
      </c>
      <c r="B444" s="16" t="s">
        <v>1948</v>
      </c>
      <c r="C444" s="13" t="s">
        <v>1956</v>
      </c>
      <c r="D444" s="16" t="s">
        <v>1957</v>
      </c>
      <c r="E444" s="16" t="s">
        <v>1951</v>
      </c>
      <c r="F444" s="13">
        <v>27.17648</v>
      </c>
      <c r="G444" s="13">
        <v>-80.178</v>
      </c>
      <c r="H444" s="13"/>
      <c r="I444" s="13"/>
      <c r="J444" s="13"/>
      <c r="K444" s="13"/>
      <c r="L444" s="13"/>
      <c r="M444" s="13">
        <v>27.17648</v>
      </c>
      <c r="N444" s="13">
        <v>-80.178</v>
      </c>
      <c r="O444" s="13" t="s">
        <v>1958</v>
      </c>
      <c r="P444" s="14" t="s">
        <v>1955</v>
      </c>
    </row>
    <row r="445" ht="33.75" customHeight="1">
      <c r="A445" s="50">
        <v>42772.0</v>
      </c>
      <c r="B445" s="16" t="s">
        <v>714</v>
      </c>
      <c r="C445" s="16" t="s">
        <v>715</v>
      </c>
      <c r="D445" s="16" t="s">
        <v>716</v>
      </c>
      <c r="E445" s="16" t="s">
        <v>717</v>
      </c>
      <c r="F445" s="16">
        <v>25.849124</v>
      </c>
      <c r="G445" s="16">
        <v>-80.16512</v>
      </c>
      <c r="H445" s="16">
        <v>25.849124</v>
      </c>
      <c r="I445" s="16">
        <v>-80.16512</v>
      </c>
      <c r="J445" s="13" t="s">
        <v>1963</v>
      </c>
      <c r="K445" s="13" t="s">
        <v>1964</v>
      </c>
      <c r="L445" s="13">
        <v>1.0</v>
      </c>
      <c r="M445" s="13">
        <v>28.0852517</v>
      </c>
      <c r="N445" s="13">
        <v>-82.8372357</v>
      </c>
      <c r="O445" s="13" t="s">
        <v>1965</v>
      </c>
      <c r="P445" s="47"/>
    </row>
    <row r="446" ht="33.75" customHeight="1">
      <c r="A446" s="41">
        <v>42773.0</v>
      </c>
      <c r="B446" s="16" t="s">
        <v>1966</v>
      </c>
      <c r="C446" s="16" t="s">
        <v>1967</v>
      </c>
      <c r="D446" s="16" t="s">
        <v>1968</v>
      </c>
      <c r="E446" s="16" t="s">
        <v>399</v>
      </c>
      <c r="F446" s="16">
        <v>25.730741</v>
      </c>
      <c r="G446" s="16">
        <v>-80.161019</v>
      </c>
      <c r="H446" s="13">
        <v>25.746273</v>
      </c>
      <c r="I446" s="13">
        <v>-80.200829</v>
      </c>
      <c r="J446" s="13" t="s">
        <v>1969</v>
      </c>
      <c r="K446" s="13" t="s">
        <v>1970</v>
      </c>
      <c r="L446" s="13">
        <v>1.0</v>
      </c>
      <c r="M446" s="13">
        <v>25.724208</v>
      </c>
      <c r="N446" s="13">
        <v>-80.159866</v>
      </c>
      <c r="O446" s="13" t="s">
        <v>1971</v>
      </c>
      <c r="P446" s="14"/>
    </row>
    <row r="447" ht="33.75" customHeight="1">
      <c r="A447" s="41">
        <v>42773.0</v>
      </c>
      <c r="B447" s="16" t="s">
        <v>1966</v>
      </c>
      <c r="C447" s="16" t="s">
        <v>1967</v>
      </c>
      <c r="D447" s="16" t="s">
        <v>1968</v>
      </c>
      <c r="E447" s="16" t="s">
        <v>399</v>
      </c>
      <c r="F447" s="16">
        <v>25.730741</v>
      </c>
      <c r="G447" s="16">
        <v>-80.161019</v>
      </c>
      <c r="H447" s="13">
        <v>25.746273</v>
      </c>
      <c r="I447" s="13">
        <v>-80.200829</v>
      </c>
      <c r="J447" s="13" t="s">
        <v>1969</v>
      </c>
      <c r="K447" s="13" t="s">
        <v>1970</v>
      </c>
      <c r="L447" s="13">
        <v>2.0</v>
      </c>
      <c r="M447" s="13">
        <v>25.760188</v>
      </c>
      <c r="N447" s="13">
        <v>-80.128418</v>
      </c>
      <c r="O447" s="13" t="s">
        <v>1972</v>
      </c>
      <c r="P447" s="14"/>
    </row>
    <row r="448" ht="33.75" customHeight="1">
      <c r="A448" s="41">
        <v>42773.0</v>
      </c>
      <c r="B448" s="16" t="s">
        <v>1966</v>
      </c>
      <c r="C448" s="16" t="s">
        <v>1967</v>
      </c>
      <c r="D448" s="16" t="s">
        <v>1968</v>
      </c>
      <c r="E448" s="16" t="s">
        <v>399</v>
      </c>
      <c r="F448" s="16">
        <v>25.730741</v>
      </c>
      <c r="G448" s="16">
        <v>-80.161019</v>
      </c>
      <c r="H448" s="13">
        <v>25.746273</v>
      </c>
      <c r="I448" s="13">
        <v>-80.200829</v>
      </c>
      <c r="J448" s="13" t="s">
        <v>1969</v>
      </c>
      <c r="K448" s="13" t="s">
        <v>1970</v>
      </c>
      <c r="L448" s="13">
        <v>3.0</v>
      </c>
      <c r="M448" s="13">
        <v>25.76327</v>
      </c>
      <c r="N448" s="13">
        <v>-80.151403</v>
      </c>
      <c r="O448" s="13" t="s">
        <v>1973</v>
      </c>
      <c r="P448" s="47"/>
    </row>
    <row r="449" ht="33.75" customHeight="1">
      <c r="A449" s="41">
        <v>42773.0</v>
      </c>
      <c r="B449" s="16" t="s">
        <v>396</v>
      </c>
      <c r="C449" s="16" t="s">
        <v>397</v>
      </c>
      <c r="D449" s="16" t="s">
        <v>398</v>
      </c>
      <c r="E449" s="16" t="s">
        <v>399</v>
      </c>
      <c r="F449" s="16">
        <v>25.46381</v>
      </c>
      <c r="G449" s="16">
        <v>-80.33408</v>
      </c>
      <c r="H449" s="13">
        <v>25.38414</v>
      </c>
      <c r="I449" s="13">
        <v>-80.21384</v>
      </c>
      <c r="J449" s="13" t="s">
        <v>1974</v>
      </c>
      <c r="K449" s="13" t="s">
        <v>1975</v>
      </c>
      <c r="L449" s="13">
        <v>1.0</v>
      </c>
      <c r="M449" s="13">
        <v>25.45363</v>
      </c>
      <c r="N449" s="13">
        <v>-80.19639</v>
      </c>
      <c r="O449" s="13" t="s">
        <v>1976</v>
      </c>
      <c r="P449" s="14" t="s">
        <v>1977</v>
      </c>
    </row>
    <row r="450" ht="33.75" customHeight="1">
      <c r="A450" s="41">
        <v>42773.0</v>
      </c>
      <c r="B450" s="16" t="s">
        <v>396</v>
      </c>
      <c r="C450" s="16" t="s">
        <v>397</v>
      </c>
      <c r="D450" s="16" t="s">
        <v>398</v>
      </c>
      <c r="E450" s="16" t="s">
        <v>399</v>
      </c>
      <c r="F450" s="16">
        <v>25.46381</v>
      </c>
      <c r="G450" s="16">
        <v>-80.33408</v>
      </c>
      <c r="H450" s="13">
        <v>25.38414</v>
      </c>
      <c r="I450" s="13">
        <v>-80.21384</v>
      </c>
      <c r="J450" s="13" t="s">
        <v>1974</v>
      </c>
      <c r="K450" s="13" t="s">
        <v>1975</v>
      </c>
      <c r="L450" s="13">
        <v>2.0</v>
      </c>
      <c r="M450" s="13">
        <v>25.52469</v>
      </c>
      <c r="N450" s="13">
        <v>-80.17556</v>
      </c>
      <c r="O450" s="13" t="s">
        <v>1978</v>
      </c>
      <c r="P450" s="14" t="s">
        <v>1979</v>
      </c>
    </row>
    <row r="451" ht="33.75" customHeight="1">
      <c r="A451" s="41">
        <v>42773.0</v>
      </c>
      <c r="B451" s="16" t="s">
        <v>396</v>
      </c>
      <c r="C451" s="16" t="s">
        <v>397</v>
      </c>
      <c r="D451" s="16" t="s">
        <v>398</v>
      </c>
      <c r="E451" s="16" t="s">
        <v>399</v>
      </c>
      <c r="F451" s="16">
        <v>25.46381</v>
      </c>
      <c r="G451" s="16">
        <v>-80.33408</v>
      </c>
      <c r="H451" s="13">
        <v>25.38414</v>
      </c>
      <c r="I451" s="13">
        <v>-80.21384</v>
      </c>
      <c r="J451" s="13" t="s">
        <v>1974</v>
      </c>
      <c r="K451" s="13" t="s">
        <v>1975</v>
      </c>
      <c r="L451" s="13">
        <v>3.0</v>
      </c>
      <c r="M451" s="13">
        <v>25.52572</v>
      </c>
      <c r="N451" s="13">
        <v>-80.17334</v>
      </c>
      <c r="O451" s="13" t="s">
        <v>1980</v>
      </c>
      <c r="P451" s="14" t="s">
        <v>1981</v>
      </c>
    </row>
    <row r="452" ht="33.75" customHeight="1">
      <c r="A452" s="41">
        <v>42773.0</v>
      </c>
      <c r="B452" s="16" t="s">
        <v>396</v>
      </c>
      <c r="C452" s="16" t="s">
        <v>397</v>
      </c>
      <c r="D452" s="16" t="s">
        <v>398</v>
      </c>
      <c r="E452" s="16" t="s">
        <v>399</v>
      </c>
      <c r="F452" s="16">
        <v>25.46381</v>
      </c>
      <c r="G452" s="16">
        <v>-80.33408</v>
      </c>
      <c r="H452" s="13">
        <v>25.38414</v>
      </c>
      <c r="I452" s="13">
        <v>-80.21384</v>
      </c>
      <c r="J452" s="13" t="s">
        <v>1974</v>
      </c>
      <c r="K452" s="13" t="s">
        <v>1975</v>
      </c>
      <c r="L452" s="13">
        <v>4.0</v>
      </c>
      <c r="M452" s="13">
        <v>25.46485</v>
      </c>
      <c r="N452" s="13">
        <v>-80.18615</v>
      </c>
      <c r="O452" s="13" t="s">
        <v>1982</v>
      </c>
      <c r="P452" s="14" t="s">
        <v>1981</v>
      </c>
    </row>
    <row r="453" ht="33.75" customHeight="1">
      <c r="A453" s="41">
        <v>42773.0</v>
      </c>
      <c r="B453" s="16" t="s">
        <v>396</v>
      </c>
      <c r="C453" s="16" t="s">
        <v>397</v>
      </c>
      <c r="D453" s="16" t="s">
        <v>398</v>
      </c>
      <c r="E453" s="16" t="s">
        <v>399</v>
      </c>
      <c r="F453" s="16">
        <v>25.46381</v>
      </c>
      <c r="G453" s="16">
        <v>-80.33408</v>
      </c>
      <c r="H453" s="13">
        <v>25.38414</v>
      </c>
      <c r="I453" s="13">
        <v>-80.21384</v>
      </c>
      <c r="J453" s="13" t="s">
        <v>1974</v>
      </c>
      <c r="K453" s="13" t="s">
        <v>1975</v>
      </c>
      <c r="L453" s="13">
        <v>5.0</v>
      </c>
      <c r="M453" s="13">
        <v>25.46319</v>
      </c>
      <c r="N453" s="13">
        <v>-80.32652</v>
      </c>
      <c r="O453" s="13" t="s">
        <v>1983</v>
      </c>
      <c r="P453" s="14" t="s">
        <v>1984</v>
      </c>
    </row>
    <row r="454" ht="33.75" customHeight="1">
      <c r="A454" s="41">
        <v>42775.0</v>
      </c>
      <c r="B454" s="16" t="s">
        <v>1985</v>
      </c>
      <c r="C454" s="16" t="s">
        <v>1986</v>
      </c>
      <c r="D454" s="16" t="s">
        <v>1987</v>
      </c>
      <c r="E454" s="16" t="s">
        <v>399</v>
      </c>
      <c r="F454" s="16">
        <v>25.683</v>
      </c>
      <c r="G454" s="16">
        <v>-80.1553</v>
      </c>
      <c r="H454" s="13">
        <v>25.7002</v>
      </c>
      <c r="I454" s="13">
        <v>-80.1553</v>
      </c>
      <c r="J454" s="13" t="s">
        <v>1988</v>
      </c>
      <c r="K454" s="13" t="s">
        <v>1989</v>
      </c>
      <c r="L454" s="13">
        <v>1.0</v>
      </c>
      <c r="M454" s="13">
        <v>25.69683</v>
      </c>
      <c r="N454" s="13">
        <v>-80.15621</v>
      </c>
      <c r="O454" s="13" t="s">
        <v>1990</v>
      </c>
      <c r="P454" s="14" t="s">
        <v>484</v>
      </c>
    </row>
    <row r="455" ht="33.75" customHeight="1">
      <c r="A455" s="43">
        <v>42773.0</v>
      </c>
      <c r="B455" s="13" t="s">
        <v>1991</v>
      </c>
      <c r="C455" s="16" t="s">
        <v>1992</v>
      </c>
      <c r="D455" s="16" t="s">
        <v>1993</v>
      </c>
      <c r="E455" s="13" t="s">
        <v>1994</v>
      </c>
      <c r="F455" s="16">
        <v>24.794184</v>
      </c>
      <c r="G455" s="16">
        <v>-81.492866</v>
      </c>
      <c r="H455" s="13">
        <v>24.699196</v>
      </c>
      <c r="I455" s="13">
        <v>-81.67293</v>
      </c>
      <c r="J455" s="13" t="s">
        <v>1995</v>
      </c>
      <c r="K455" s="13" t="s">
        <v>1996</v>
      </c>
      <c r="L455" s="13">
        <v>1.0</v>
      </c>
      <c r="M455" s="13">
        <v>24.740422</v>
      </c>
      <c r="N455" s="13">
        <v>-81.437604</v>
      </c>
      <c r="O455" s="13" t="s">
        <v>1997</v>
      </c>
      <c r="P455" s="47"/>
    </row>
    <row r="456" ht="33.75" customHeight="1">
      <c r="A456" s="43">
        <v>42773.0</v>
      </c>
      <c r="B456" s="13" t="s">
        <v>1991</v>
      </c>
      <c r="C456" s="16" t="s">
        <v>1992</v>
      </c>
      <c r="D456" s="16" t="s">
        <v>1998</v>
      </c>
      <c r="E456" s="13" t="s">
        <v>1994</v>
      </c>
      <c r="F456" s="16">
        <v>24.673465</v>
      </c>
      <c r="G456" s="16">
        <v>-81.243655</v>
      </c>
      <c r="H456" s="13">
        <v>24.641344</v>
      </c>
      <c r="I456" s="13">
        <v>-81.331922</v>
      </c>
      <c r="J456" s="13" t="s">
        <v>1999</v>
      </c>
      <c r="K456" s="13" t="s">
        <v>2000</v>
      </c>
      <c r="L456" s="13">
        <v>1.0</v>
      </c>
      <c r="M456" s="13">
        <v>24.67201</v>
      </c>
      <c r="N456" s="13">
        <v>-81.24424</v>
      </c>
      <c r="O456" s="13" t="s">
        <v>2001</v>
      </c>
      <c r="P456" s="47"/>
    </row>
    <row r="457" ht="33.75" customHeight="1">
      <c r="A457" s="41">
        <v>42773.0</v>
      </c>
      <c r="B457" s="13" t="s">
        <v>1991</v>
      </c>
      <c r="C457" s="16" t="s">
        <v>1992</v>
      </c>
      <c r="D457" s="16" t="s">
        <v>1998</v>
      </c>
      <c r="E457" s="13" t="s">
        <v>1994</v>
      </c>
      <c r="F457" s="16">
        <v>24.673465</v>
      </c>
      <c r="G457" s="16">
        <v>-81.243655</v>
      </c>
      <c r="H457" s="13">
        <v>24.641344</v>
      </c>
      <c r="I457" s="13">
        <v>-81.331922</v>
      </c>
      <c r="J457" s="13" t="s">
        <v>1999</v>
      </c>
      <c r="K457" s="13" t="s">
        <v>2000</v>
      </c>
      <c r="L457" s="13">
        <v>2.0</v>
      </c>
      <c r="M457" s="13">
        <v>24.656315</v>
      </c>
      <c r="N457" s="13">
        <v>-81.303724</v>
      </c>
      <c r="O457" s="13" t="s">
        <v>2002</v>
      </c>
      <c r="P457" s="47"/>
    </row>
    <row r="458" ht="33.75" customHeight="1">
      <c r="A458" s="41">
        <v>42774.0</v>
      </c>
      <c r="B458" s="13" t="s">
        <v>1991</v>
      </c>
      <c r="C458" s="16" t="s">
        <v>1992</v>
      </c>
      <c r="D458" s="16" t="s">
        <v>2003</v>
      </c>
      <c r="E458" s="13" t="s">
        <v>1994</v>
      </c>
      <c r="F458" s="16">
        <v>24.534498</v>
      </c>
      <c r="G458" s="16">
        <v>-82.009531</v>
      </c>
      <c r="H458" s="13">
        <v>24.524032</v>
      </c>
      <c r="I458" s="13">
        <v>-81.967275</v>
      </c>
      <c r="J458" s="13" t="s">
        <v>2005</v>
      </c>
      <c r="K458" s="13" t="s">
        <v>2006</v>
      </c>
      <c r="L458" s="13">
        <v>1.0</v>
      </c>
      <c r="M458" s="13">
        <v>24.528316</v>
      </c>
      <c r="N458" s="13">
        <v>-81.9917</v>
      </c>
      <c r="O458" s="13" t="s">
        <v>2007</v>
      </c>
      <c r="P458" s="47"/>
    </row>
    <row r="459" ht="33.75" customHeight="1">
      <c r="A459" s="41">
        <v>42774.0</v>
      </c>
      <c r="B459" s="13" t="s">
        <v>1991</v>
      </c>
      <c r="C459" s="16" t="s">
        <v>1992</v>
      </c>
      <c r="D459" s="16" t="s">
        <v>2003</v>
      </c>
      <c r="E459" s="13" t="s">
        <v>1994</v>
      </c>
      <c r="F459" s="16">
        <v>24.534498</v>
      </c>
      <c r="G459" s="16">
        <v>-82.009531</v>
      </c>
      <c r="H459" s="13">
        <v>24.524032</v>
      </c>
      <c r="I459" s="13">
        <v>-81.967275</v>
      </c>
      <c r="J459" s="13" t="s">
        <v>2005</v>
      </c>
      <c r="K459" s="13" t="s">
        <v>2006</v>
      </c>
      <c r="L459" s="13">
        <v>2.0</v>
      </c>
      <c r="M459" s="13">
        <v>24.527824</v>
      </c>
      <c r="N459" s="13">
        <v>-81.984163</v>
      </c>
      <c r="O459" s="13" t="s">
        <v>2008</v>
      </c>
      <c r="P459" s="14"/>
    </row>
    <row r="460" ht="33.75" customHeight="1">
      <c r="A460" s="41">
        <v>42775.0</v>
      </c>
      <c r="B460" s="13" t="s">
        <v>2009</v>
      </c>
      <c r="C460" s="16" t="s">
        <v>1992</v>
      </c>
      <c r="D460" s="16" t="s">
        <v>2003</v>
      </c>
      <c r="E460" s="13" t="s">
        <v>1994</v>
      </c>
      <c r="F460" s="16">
        <v>24.534498</v>
      </c>
      <c r="G460" s="16">
        <v>-82.009531</v>
      </c>
      <c r="H460" s="13">
        <v>24.524032</v>
      </c>
      <c r="I460" s="13">
        <v>-81.967275</v>
      </c>
      <c r="J460" s="13" t="s">
        <v>2011</v>
      </c>
      <c r="K460" s="13" t="s">
        <v>2006</v>
      </c>
      <c r="L460" s="13">
        <v>1.0</v>
      </c>
      <c r="M460" s="13">
        <v>24.53163</v>
      </c>
      <c r="N460" s="13">
        <v>-82.00772</v>
      </c>
      <c r="O460" s="13" t="s">
        <v>2012</v>
      </c>
      <c r="P460" s="47"/>
    </row>
    <row r="461" ht="33.75" customHeight="1">
      <c r="A461" s="41">
        <v>42775.0</v>
      </c>
      <c r="B461" s="13" t="s">
        <v>2009</v>
      </c>
      <c r="C461" s="16" t="s">
        <v>1992</v>
      </c>
      <c r="D461" s="16" t="s">
        <v>2003</v>
      </c>
      <c r="E461" s="13" t="s">
        <v>1994</v>
      </c>
      <c r="F461" s="16">
        <v>24.534498</v>
      </c>
      <c r="G461" s="16">
        <v>-82.009531</v>
      </c>
      <c r="H461" s="13">
        <v>24.524032</v>
      </c>
      <c r="I461" s="13">
        <v>-81.967275</v>
      </c>
      <c r="J461" s="13" t="s">
        <v>2011</v>
      </c>
      <c r="K461" s="13" t="s">
        <v>2006</v>
      </c>
      <c r="L461" s="13">
        <v>2.0</v>
      </c>
      <c r="M461" s="13">
        <v>24.52804</v>
      </c>
      <c r="N461" s="13">
        <v>-82.98655</v>
      </c>
      <c r="O461" s="13" t="s">
        <v>2013</v>
      </c>
      <c r="P461" s="47"/>
    </row>
    <row r="462" ht="33.75" customHeight="1">
      <c r="A462" s="50">
        <v>42770.0</v>
      </c>
      <c r="B462" s="16" t="s">
        <v>2014</v>
      </c>
      <c r="C462" s="16" t="s">
        <v>689</v>
      </c>
      <c r="D462" s="16" t="s">
        <v>2015</v>
      </c>
      <c r="E462" s="16" t="s">
        <v>693</v>
      </c>
      <c r="F462" s="16">
        <v>24.99765</v>
      </c>
      <c r="G462" s="16">
        <v>-80.60797</v>
      </c>
      <c r="H462" s="13">
        <v>25.0291</v>
      </c>
      <c r="I462" s="13">
        <v>-80.6618</v>
      </c>
      <c r="J462" s="13" t="s">
        <v>2016</v>
      </c>
      <c r="K462" s="13" t="s">
        <v>2017</v>
      </c>
      <c r="L462" s="13">
        <v>1.0</v>
      </c>
      <c r="M462" s="13">
        <v>24.99765</v>
      </c>
      <c r="N462" s="13">
        <v>-80.60797</v>
      </c>
      <c r="O462" s="13" t="s">
        <v>2018</v>
      </c>
      <c r="P462" s="47"/>
    </row>
    <row r="463" ht="33.75" customHeight="1">
      <c r="A463" s="50">
        <v>42770.0</v>
      </c>
      <c r="B463" s="16" t="s">
        <v>2014</v>
      </c>
      <c r="C463" s="16" t="s">
        <v>689</v>
      </c>
      <c r="D463" s="16" t="s">
        <v>2015</v>
      </c>
      <c r="E463" s="16" t="s">
        <v>693</v>
      </c>
      <c r="F463" s="16">
        <v>24.99765</v>
      </c>
      <c r="G463" s="16">
        <v>-80.60797</v>
      </c>
      <c r="H463" s="13">
        <v>25.0291</v>
      </c>
      <c r="I463" s="13">
        <v>-80.6618</v>
      </c>
      <c r="J463" s="13" t="s">
        <v>2016</v>
      </c>
      <c r="K463" s="13" t="s">
        <v>2017</v>
      </c>
      <c r="L463" s="13">
        <v>2.0</v>
      </c>
      <c r="M463" s="13">
        <v>25.0151</v>
      </c>
      <c r="N463" s="13">
        <v>-80.6037</v>
      </c>
      <c r="O463" s="13" t="s">
        <v>2020</v>
      </c>
      <c r="P463" s="47"/>
    </row>
    <row r="464" ht="33.75" customHeight="1">
      <c r="A464" s="50">
        <v>42770.0</v>
      </c>
      <c r="B464" s="16" t="s">
        <v>2014</v>
      </c>
      <c r="C464" s="16" t="s">
        <v>689</v>
      </c>
      <c r="D464" s="16" t="s">
        <v>2015</v>
      </c>
      <c r="E464" s="16" t="s">
        <v>693</v>
      </c>
      <c r="F464" s="16">
        <v>24.99765</v>
      </c>
      <c r="G464" s="16">
        <v>-80.60797</v>
      </c>
      <c r="H464" s="13">
        <v>25.0291</v>
      </c>
      <c r="I464" s="13">
        <v>-80.6618</v>
      </c>
      <c r="J464" s="13" t="s">
        <v>2016</v>
      </c>
      <c r="K464" s="13" t="s">
        <v>2017</v>
      </c>
      <c r="L464" s="13">
        <v>3.0</v>
      </c>
      <c r="M464" s="13">
        <v>25.0182</v>
      </c>
      <c r="N464" s="13">
        <v>-80.6068</v>
      </c>
      <c r="O464" s="13" t="s">
        <v>2023</v>
      </c>
      <c r="P464" s="47"/>
    </row>
    <row r="465" ht="33.75" customHeight="1">
      <c r="A465" s="50">
        <v>42770.0</v>
      </c>
      <c r="B465" s="16" t="s">
        <v>2014</v>
      </c>
      <c r="C465" s="16" t="s">
        <v>689</v>
      </c>
      <c r="D465" s="16" t="s">
        <v>2015</v>
      </c>
      <c r="E465" s="16" t="s">
        <v>693</v>
      </c>
      <c r="F465" s="16">
        <v>24.99765</v>
      </c>
      <c r="G465" s="16">
        <v>-80.60797</v>
      </c>
      <c r="H465" s="13">
        <v>25.0291</v>
      </c>
      <c r="I465" s="13">
        <v>-80.6618</v>
      </c>
      <c r="J465" s="13" t="s">
        <v>2016</v>
      </c>
      <c r="K465" s="13" t="s">
        <v>2017</v>
      </c>
      <c r="L465" s="13">
        <v>4.0</v>
      </c>
      <c r="M465" s="13">
        <v>24.041</v>
      </c>
      <c r="N465" s="13">
        <v>-80.6913</v>
      </c>
      <c r="O465" s="13" t="s">
        <v>2024</v>
      </c>
      <c r="P465" s="47"/>
    </row>
    <row r="466" ht="33.75" customHeight="1">
      <c r="A466" s="50">
        <v>42770.0</v>
      </c>
      <c r="B466" s="16" t="s">
        <v>2014</v>
      </c>
      <c r="C466" s="16" t="s">
        <v>689</v>
      </c>
      <c r="D466" s="16" t="s">
        <v>2015</v>
      </c>
      <c r="E466" s="16" t="s">
        <v>693</v>
      </c>
      <c r="F466" s="16">
        <v>24.99765</v>
      </c>
      <c r="G466" s="16">
        <v>-80.60797</v>
      </c>
      <c r="H466" s="13">
        <v>25.0291</v>
      </c>
      <c r="I466" s="13">
        <v>-80.6618</v>
      </c>
      <c r="J466" s="13" t="s">
        <v>2016</v>
      </c>
      <c r="K466" s="13" t="s">
        <v>2017</v>
      </c>
      <c r="L466" s="13">
        <v>5.0</v>
      </c>
      <c r="M466" s="13">
        <v>25.0291</v>
      </c>
      <c r="N466" s="13">
        <v>-80.6618</v>
      </c>
      <c r="O466" s="13" t="s">
        <v>2025</v>
      </c>
      <c r="P466" s="47"/>
    </row>
    <row r="467" ht="33.75" customHeight="1">
      <c r="A467" s="50">
        <v>42771.0</v>
      </c>
      <c r="B467" s="16" t="s">
        <v>2026</v>
      </c>
      <c r="C467" s="16" t="s">
        <v>689</v>
      </c>
      <c r="D467" s="16" t="s">
        <v>2027</v>
      </c>
      <c r="E467" s="16" t="s">
        <v>693</v>
      </c>
      <c r="F467" s="16">
        <v>25.1267</v>
      </c>
      <c r="G467" s="16" t="s">
        <v>2028</v>
      </c>
      <c r="H467" s="13">
        <v>25.1808</v>
      </c>
      <c r="I467" s="13" t="s">
        <v>2029</v>
      </c>
      <c r="J467" s="13" t="s">
        <v>2030</v>
      </c>
      <c r="K467" s="13" t="s">
        <v>2017</v>
      </c>
      <c r="L467" s="13">
        <v>1.0</v>
      </c>
      <c r="M467" s="13">
        <v>25.1267</v>
      </c>
      <c r="N467" s="13">
        <v>-80.8616</v>
      </c>
      <c r="O467" s="13" t="s">
        <v>2031</v>
      </c>
      <c r="P467" s="47"/>
    </row>
    <row r="468" ht="33.75" customHeight="1">
      <c r="A468" s="50">
        <v>42771.0</v>
      </c>
      <c r="B468" s="16" t="s">
        <v>2026</v>
      </c>
      <c r="C468" s="16" t="s">
        <v>689</v>
      </c>
      <c r="D468" s="16" t="s">
        <v>2027</v>
      </c>
      <c r="E468" s="16" t="s">
        <v>693</v>
      </c>
      <c r="F468" s="16">
        <v>25.1267</v>
      </c>
      <c r="G468" s="16" t="s">
        <v>2028</v>
      </c>
      <c r="H468" s="13">
        <v>25.1808</v>
      </c>
      <c r="I468" s="13" t="s">
        <v>2029</v>
      </c>
      <c r="J468" s="13" t="s">
        <v>2030</v>
      </c>
      <c r="K468" s="13" t="s">
        <v>2017</v>
      </c>
      <c r="L468" s="13">
        <v>2.0</v>
      </c>
      <c r="M468" s="13">
        <v>25.1157</v>
      </c>
      <c r="N468" s="13">
        <v>-80.8749</v>
      </c>
      <c r="O468" s="13" t="s">
        <v>2036</v>
      </c>
      <c r="P468" s="14" t="s">
        <v>2037</v>
      </c>
    </row>
    <row r="469" ht="33.75" customHeight="1">
      <c r="A469" s="50">
        <v>42771.0</v>
      </c>
      <c r="B469" s="16" t="s">
        <v>2026</v>
      </c>
      <c r="C469" s="16" t="s">
        <v>689</v>
      </c>
      <c r="D469" s="16" t="s">
        <v>2027</v>
      </c>
      <c r="E469" s="16" t="s">
        <v>693</v>
      </c>
      <c r="F469" s="16">
        <v>25.1267</v>
      </c>
      <c r="G469" s="16" t="s">
        <v>2028</v>
      </c>
      <c r="H469" s="13">
        <v>25.1808</v>
      </c>
      <c r="I469" s="13" t="s">
        <v>2029</v>
      </c>
      <c r="J469" s="13" t="s">
        <v>2030</v>
      </c>
      <c r="K469" s="13" t="s">
        <v>2017</v>
      </c>
      <c r="L469" s="13">
        <v>3.0</v>
      </c>
      <c r="M469" s="13">
        <v>25.1256</v>
      </c>
      <c r="N469" s="13">
        <v>-80.8885</v>
      </c>
      <c r="O469" s="13" t="s">
        <v>2038</v>
      </c>
      <c r="P469" s="47"/>
    </row>
    <row r="470" ht="33.75" customHeight="1">
      <c r="A470" s="50">
        <v>42771.0</v>
      </c>
      <c r="B470" s="16" t="s">
        <v>688</v>
      </c>
      <c r="C470" s="16" t="s">
        <v>689</v>
      </c>
      <c r="D470" s="16" t="s">
        <v>2027</v>
      </c>
      <c r="E470" s="16" t="s">
        <v>693</v>
      </c>
      <c r="F470" s="16">
        <v>25.1267</v>
      </c>
      <c r="G470" s="16" t="s">
        <v>2028</v>
      </c>
      <c r="H470" s="13">
        <v>25.1808</v>
      </c>
      <c r="I470" s="13" t="s">
        <v>2029</v>
      </c>
      <c r="J470" s="13" t="s">
        <v>2030</v>
      </c>
      <c r="K470" s="13" t="s">
        <v>2017</v>
      </c>
      <c r="L470" s="13">
        <v>4.0</v>
      </c>
      <c r="M470" s="13">
        <v>25.145021</v>
      </c>
      <c r="N470" s="13">
        <v>-81.084324</v>
      </c>
      <c r="O470" s="13" t="s">
        <v>2040</v>
      </c>
      <c r="P470" s="14" t="s">
        <v>2041</v>
      </c>
    </row>
    <row r="471" ht="33.75" customHeight="1">
      <c r="A471" s="50">
        <v>42771.0</v>
      </c>
      <c r="B471" s="16" t="s">
        <v>2026</v>
      </c>
      <c r="C471" s="16" t="s">
        <v>689</v>
      </c>
      <c r="D471" s="16" t="s">
        <v>2027</v>
      </c>
      <c r="E471" s="16" t="s">
        <v>693</v>
      </c>
      <c r="F471" s="16">
        <v>25.1267</v>
      </c>
      <c r="G471" s="16" t="s">
        <v>2028</v>
      </c>
      <c r="H471" s="13">
        <v>25.1808</v>
      </c>
      <c r="I471" s="13" t="s">
        <v>2029</v>
      </c>
      <c r="J471" s="13" t="s">
        <v>2030</v>
      </c>
      <c r="K471" s="13" t="s">
        <v>2017</v>
      </c>
      <c r="L471" s="13">
        <v>5.0</v>
      </c>
      <c r="M471" s="13">
        <v>25.03757</v>
      </c>
      <c r="N471" s="13">
        <v>-81.015971</v>
      </c>
      <c r="O471" s="13" t="s">
        <v>2042</v>
      </c>
      <c r="P471" s="47"/>
    </row>
    <row r="472" ht="33.75" customHeight="1">
      <c r="A472" s="50">
        <v>42773.0</v>
      </c>
      <c r="B472" s="16" t="s">
        <v>688</v>
      </c>
      <c r="C472" s="16" t="s">
        <v>689</v>
      </c>
      <c r="D472" s="16" t="s">
        <v>691</v>
      </c>
      <c r="E472" s="16" t="s">
        <v>693</v>
      </c>
      <c r="F472" s="13">
        <v>25.475702</v>
      </c>
      <c r="G472" s="13">
        <v>-81.177782</v>
      </c>
      <c r="H472" s="13">
        <v>25.490047</v>
      </c>
      <c r="I472" s="13">
        <v>-81.196538</v>
      </c>
      <c r="J472" s="13" t="s">
        <v>2043</v>
      </c>
      <c r="K472" s="13" t="s">
        <v>1664</v>
      </c>
      <c r="L472" s="13">
        <v>1.0</v>
      </c>
      <c r="M472" s="16">
        <v>25.486468</v>
      </c>
      <c r="N472" s="16">
        <v>-81.193501</v>
      </c>
      <c r="O472" s="13" t="s">
        <v>2044</v>
      </c>
      <c r="P472" s="14" t="s">
        <v>2045</v>
      </c>
    </row>
    <row r="473" ht="33.75" customHeight="1">
      <c r="A473" s="50">
        <v>42773.0</v>
      </c>
      <c r="B473" s="16" t="s">
        <v>2046</v>
      </c>
      <c r="C473" s="16" t="s">
        <v>689</v>
      </c>
      <c r="D473" s="16" t="s">
        <v>691</v>
      </c>
      <c r="E473" s="16" t="s">
        <v>693</v>
      </c>
      <c r="F473" s="16">
        <v>25.49712</v>
      </c>
      <c r="G473" s="16">
        <v>-81.20818</v>
      </c>
      <c r="H473" s="13">
        <v>25.52354</v>
      </c>
      <c r="I473" s="13">
        <v>-81.20677</v>
      </c>
      <c r="J473" s="13" t="s">
        <v>2047</v>
      </c>
      <c r="K473" s="13" t="s">
        <v>1664</v>
      </c>
      <c r="L473" s="13">
        <v>2.0</v>
      </c>
      <c r="M473" s="13">
        <v>25.51188</v>
      </c>
      <c r="N473" s="13">
        <v>81.20972</v>
      </c>
      <c r="O473" s="13" t="s">
        <v>2048</v>
      </c>
      <c r="P473" s="14" t="s">
        <v>2049</v>
      </c>
    </row>
    <row r="474" ht="33.75" customHeight="1">
      <c r="A474" s="50">
        <v>42774.0</v>
      </c>
      <c r="B474" s="16" t="s">
        <v>700</v>
      </c>
      <c r="C474" s="16" t="s">
        <v>689</v>
      </c>
      <c r="D474" s="16" t="s">
        <v>2050</v>
      </c>
      <c r="E474" s="16" t="s">
        <v>693</v>
      </c>
      <c r="F474" s="16">
        <v>25.85022</v>
      </c>
      <c r="G474" s="16">
        <v>-81.396052</v>
      </c>
      <c r="H474" s="13">
        <v>25.694949</v>
      </c>
      <c r="I474" s="13">
        <v>-81.348572</v>
      </c>
      <c r="J474" s="13" t="s">
        <v>2051</v>
      </c>
      <c r="K474" s="13" t="s">
        <v>1664</v>
      </c>
      <c r="L474" s="13">
        <v>1.0</v>
      </c>
      <c r="M474" s="13">
        <v>25.85022</v>
      </c>
      <c r="N474" s="13">
        <v>-81.396052</v>
      </c>
      <c r="O474" s="13" t="s">
        <v>2052</v>
      </c>
      <c r="P474" s="14" t="s">
        <v>2053</v>
      </c>
    </row>
    <row r="475" ht="33.75" customHeight="1">
      <c r="A475" s="50">
        <v>42774.0</v>
      </c>
      <c r="B475" s="16" t="s">
        <v>700</v>
      </c>
      <c r="C475" s="16" t="s">
        <v>689</v>
      </c>
      <c r="D475" s="16" t="s">
        <v>2050</v>
      </c>
      <c r="E475" s="16" t="s">
        <v>693</v>
      </c>
      <c r="F475" s="16">
        <v>25.85022</v>
      </c>
      <c r="G475" s="16">
        <v>-81.396052</v>
      </c>
      <c r="H475" s="13">
        <v>25.694949</v>
      </c>
      <c r="I475" s="13">
        <v>-81.348572</v>
      </c>
      <c r="J475" s="13" t="s">
        <v>2051</v>
      </c>
      <c r="K475" s="13" t="s">
        <v>1664</v>
      </c>
      <c r="L475" s="13">
        <v>2.0</v>
      </c>
      <c r="M475" s="13">
        <v>25.840303</v>
      </c>
      <c r="N475" s="13">
        <v>-81.408289</v>
      </c>
      <c r="O475" s="13" t="s">
        <v>2054</v>
      </c>
      <c r="P475" s="14" t="s">
        <v>2055</v>
      </c>
    </row>
    <row r="476" ht="33.75" customHeight="1">
      <c r="A476" s="50">
        <v>42774.0</v>
      </c>
      <c r="B476" s="16" t="s">
        <v>700</v>
      </c>
      <c r="C476" s="16" t="s">
        <v>689</v>
      </c>
      <c r="D476" s="16" t="s">
        <v>2050</v>
      </c>
      <c r="E476" s="16" t="s">
        <v>693</v>
      </c>
      <c r="F476" s="16">
        <v>25.85022</v>
      </c>
      <c r="G476" s="16">
        <v>-81.396052</v>
      </c>
      <c r="H476" s="13">
        <v>25.694949</v>
      </c>
      <c r="I476" s="13">
        <v>-81.348572</v>
      </c>
      <c r="J476" s="13" t="s">
        <v>2051</v>
      </c>
      <c r="K476" s="13" t="s">
        <v>1664</v>
      </c>
      <c r="L476" s="13">
        <v>3.0</v>
      </c>
      <c r="M476" s="13">
        <v>25.811148</v>
      </c>
      <c r="N476" s="13">
        <v>-81.463026</v>
      </c>
      <c r="O476" s="13" t="s">
        <v>2056</v>
      </c>
      <c r="P476" s="47"/>
    </row>
    <row r="477" ht="33.75" customHeight="1">
      <c r="A477" s="50">
        <v>42774.0</v>
      </c>
      <c r="B477" s="16" t="s">
        <v>700</v>
      </c>
      <c r="C477" s="16" t="s">
        <v>689</v>
      </c>
      <c r="D477" s="16" t="s">
        <v>2050</v>
      </c>
      <c r="E477" s="16" t="s">
        <v>693</v>
      </c>
      <c r="F477" s="16">
        <v>25.85022</v>
      </c>
      <c r="G477" s="16">
        <v>-81.396052</v>
      </c>
      <c r="H477" s="13">
        <v>25.694949</v>
      </c>
      <c r="I477" s="13">
        <v>-81.348572</v>
      </c>
      <c r="J477" s="13" t="s">
        <v>2051</v>
      </c>
      <c r="K477" s="13" t="s">
        <v>1664</v>
      </c>
      <c r="L477" s="13">
        <v>4.0</v>
      </c>
      <c r="M477" s="13">
        <v>25.694949</v>
      </c>
      <c r="N477" s="13">
        <v>-81.348572</v>
      </c>
      <c r="O477" s="13" t="s">
        <v>2057</v>
      </c>
      <c r="P477" s="14" t="s">
        <v>2058</v>
      </c>
    </row>
    <row r="478" ht="33.75" customHeight="1">
      <c r="A478" s="50">
        <v>42774.0</v>
      </c>
      <c r="B478" s="16" t="s">
        <v>700</v>
      </c>
      <c r="C478" s="16" t="s">
        <v>689</v>
      </c>
      <c r="D478" s="16" t="s">
        <v>2050</v>
      </c>
      <c r="E478" s="16" t="s">
        <v>693</v>
      </c>
      <c r="F478" s="16">
        <v>25.85022</v>
      </c>
      <c r="G478" s="16">
        <v>-81.396052</v>
      </c>
      <c r="H478" s="13">
        <v>25.694949</v>
      </c>
      <c r="I478" s="13">
        <v>-81.348572</v>
      </c>
      <c r="J478" s="13" t="s">
        <v>2051</v>
      </c>
      <c r="K478" s="13" t="s">
        <v>1664</v>
      </c>
      <c r="L478" s="13">
        <v>5.0</v>
      </c>
      <c r="M478" s="13">
        <v>25.698098</v>
      </c>
      <c r="N478" s="13">
        <v>-81.356368</v>
      </c>
      <c r="O478" s="13" t="s">
        <v>2059</v>
      </c>
      <c r="P478" s="47"/>
    </row>
    <row r="479" ht="33.75" customHeight="1">
      <c r="A479" s="50">
        <v>42774.0</v>
      </c>
      <c r="B479" s="16" t="s">
        <v>700</v>
      </c>
      <c r="C479" s="16" t="s">
        <v>689</v>
      </c>
      <c r="D479" s="16" t="s">
        <v>2050</v>
      </c>
      <c r="E479" s="16" t="s">
        <v>693</v>
      </c>
      <c r="F479" s="16">
        <v>25.85022</v>
      </c>
      <c r="G479" s="16">
        <v>-81.396052</v>
      </c>
      <c r="H479" s="13">
        <v>25.694949</v>
      </c>
      <c r="I479" s="13">
        <v>-81.348572</v>
      </c>
      <c r="J479" s="13" t="s">
        <v>2051</v>
      </c>
      <c r="K479" s="13" t="s">
        <v>1664</v>
      </c>
      <c r="L479" s="13">
        <v>6.0</v>
      </c>
      <c r="M479" s="13">
        <v>25.751546</v>
      </c>
      <c r="N479" s="13">
        <v>-81.377492</v>
      </c>
      <c r="O479" s="13" t="s">
        <v>2061</v>
      </c>
      <c r="P479" s="47"/>
    </row>
    <row r="480" ht="33.75" customHeight="1">
      <c r="A480" s="50">
        <v>42774.0</v>
      </c>
      <c r="B480" s="16" t="s">
        <v>700</v>
      </c>
      <c r="C480" s="16" t="s">
        <v>689</v>
      </c>
      <c r="D480" s="16" t="s">
        <v>2050</v>
      </c>
      <c r="E480" s="16" t="s">
        <v>693</v>
      </c>
      <c r="F480" s="16">
        <v>25.85022</v>
      </c>
      <c r="G480" s="16">
        <v>-81.396052</v>
      </c>
      <c r="H480" s="13">
        <v>25.694949</v>
      </c>
      <c r="I480" s="13">
        <v>-81.348572</v>
      </c>
      <c r="J480" s="13" t="s">
        <v>2051</v>
      </c>
      <c r="K480" s="13" t="s">
        <v>1664</v>
      </c>
      <c r="L480" s="13">
        <v>7.0</v>
      </c>
      <c r="M480" s="13">
        <v>25.783427</v>
      </c>
      <c r="N480" s="13">
        <v>-81.406966</v>
      </c>
      <c r="O480" s="13" t="s">
        <v>2062</v>
      </c>
      <c r="P480" s="47"/>
    </row>
    <row r="481" ht="33.75" customHeight="1">
      <c r="A481" s="41">
        <v>42769.0</v>
      </c>
      <c r="B481" s="16" t="s">
        <v>532</v>
      </c>
      <c r="C481" s="16" t="s">
        <v>533</v>
      </c>
      <c r="D481" s="16" t="s">
        <v>2063</v>
      </c>
      <c r="E481" s="16" t="s">
        <v>2065</v>
      </c>
      <c r="F481" s="16">
        <v>30.52154</v>
      </c>
      <c r="G481" s="16">
        <v>-81.44524</v>
      </c>
      <c r="H481" s="13">
        <v>30.52976</v>
      </c>
      <c r="I481" s="13">
        <v>-81.43668</v>
      </c>
      <c r="J481" s="13" t="s">
        <v>2066</v>
      </c>
      <c r="K481" s="13" t="s">
        <v>2067</v>
      </c>
      <c r="L481" s="13">
        <v>1.0</v>
      </c>
      <c r="M481" s="13">
        <v>30.51776</v>
      </c>
      <c r="N481" s="13">
        <v>-81.43517</v>
      </c>
      <c r="O481" s="13" t="s">
        <v>2068</v>
      </c>
      <c r="P481" s="14" t="s">
        <v>2069</v>
      </c>
    </row>
    <row r="482" ht="33.75" customHeight="1">
      <c r="A482" s="41">
        <v>42769.0</v>
      </c>
      <c r="B482" s="16" t="s">
        <v>532</v>
      </c>
      <c r="C482" s="16" t="s">
        <v>533</v>
      </c>
      <c r="D482" s="16" t="s">
        <v>2070</v>
      </c>
      <c r="E482" s="16" t="s">
        <v>2065</v>
      </c>
      <c r="F482" s="16">
        <v>30.52154</v>
      </c>
      <c r="G482" s="16">
        <v>-81.44524</v>
      </c>
      <c r="H482" s="13">
        <v>30.52976</v>
      </c>
      <c r="I482" s="13">
        <v>-81.43668</v>
      </c>
      <c r="J482" s="13" t="s">
        <v>2066</v>
      </c>
      <c r="K482" s="13" t="s">
        <v>2067</v>
      </c>
      <c r="L482" s="13">
        <v>2.0</v>
      </c>
      <c r="M482" s="13">
        <v>30.52679</v>
      </c>
      <c r="N482" s="13">
        <v>-81.43571</v>
      </c>
      <c r="O482" s="13" t="s">
        <v>2071</v>
      </c>
      <c r="P482" s="14" t="s">
        <v>2072</v>
      </c>
    </row>
    <row r="483" ht="33.75" customHeight="1">
      <c r="A483" s="15">
        <v>42769.0</v>
      </c>
      <c r="B483" s="16" t="s">
        <v>2073</v>
      </c>
      <c r="C483" s="16" t="s">
        <v>2074</v>
      </c>
      <c r="D483" s="16" t="s">
        <v>2075</v>
      </c>
      <c r="E483" s="16" t="s">
        <v>2076</v>
      </c>
      <c r="F483" s="17">
        <v>30.70323</v>
      </c>
      <c r="G483" s="17">
        <v>-81.480899</v>
      </c>
      <c r="H483" s="17">
        <v>30.487164</v>
      </c>
      <c r="I483" s="14">
        <v>-81.416999</v>
      </c>
      <c r="J483" s="13" t="s">
        <v>2078</v>
      </c>
      <c r="K483" s="13" t="s">
        <v>2079</v>
      </c>
      <c r="L483" s="13">
        <v>6.0</v>
      </c>
      <c r="M483" s="14">
        <v>30.578702</v>
      </c>
      <c r="N483" s="14">
        <v>-81.461061</v>
      </c>
      <c r="O483" s="13" t="s">
        <v>2081</v>
      </c>
      <c r="P483" s="13" t="s">
        <v>2083</v>
      </c>
    </row>
    <row r="484" ht="33.75" customHeight="1">
      <c r="A484" s="15">
        <v>42769.0</v>
      </c>
      <c r="B484" s="16" t="s">
        <v>2073</v>
      </c>
      <c r="C484" s="16" t="s">
        <v>2074</v>
      </c>
      <c r="D484" s="16" t="s">
        <v>2075</v>
      </c>
      <c r="E484" s="16" t="s">
        <v>2076</v>
      </c>
      <c r="F484" s="17">
        <v>30.70323</v>
      </c>
      <c r="G484" s="17">
        <v>-81.480899</v>
      </c>
      <c r="H484" s="17">
        <v>30.487164</v>
      </c>
      <c r="I484" s="14">
        <v>-81.416999</v>
      </c>
      <c r="J484" s="13" t="s">
        <v>2078</v>
      </c>
      <c r="K484" s="13" t="s">
        <v>2079</v>
      </c>
      <c r="L484" s="13">
        <v>4.0</v>
      </c>
      <c r="M484" s="14">
        <v>30.615917</v>
      </c>
      <c r="N484" s="14">
        <v>-81.489866</v>
      </c>
      <c r="O484" s="13" t="s">
        <v>2084</v>
      </c>
      <c r="P484" s="13" t="s">
        <v>2085</v>
      </c>
    </row>
    <row r="485" ht="33.75" customHeight="1">
      <c r="A485" s="15">
        <v>42769.0</v>
      </c>
      <c r="B485" s="16" t="s">
        <v>2073</v>
      </c>
      <c r="C485" s="16" t="s">
        <v>2074</v>
      </c>
      <c r="D485" s="16" t="s">
        <v>2075</v>
      </c>
      <c r="E485" s="16" t="s">
        <v>2076</v>
      </c>
      <c r="F485" s="17">
        <v>30.70323</v>
      </c>
      <c r="G485" s="17">
        <v>-81.480899</v>
      </c>
      <c r="H485" s="17">
        <v>30.487164</v>
      </c>
      <c r="I485" s="14">
        <v>-81.416999</v>
      </c>
      <c r="J485" s="13" t="s">
        <v>2078</v>
      </c>
      <c r="K485" s="13" t="s">
        <v>2079</v>
      </c>
      <c r="L485" s="13">
        <v>1.0</v>
      </c>
      <c r="M485" s="14">
        <v>30.70323</v>
      </c>
      <c r="N485" s="14">
        <v>-81.480899</v>
      </c>
      <c r="O485" s="13" t="s">
        <v>2086</v>
      </c>
      <c r="P485" s="13" t="s">
        <v>2087</v>
      </c>
    </row>
    <row r="486" ht="33.75" customHeight="1">
      <c r="A486" s="15">
        <v>42769.0</v>
      </c>
      <c r="B486" s="16" t="s">
        <v>2073</v>
      </c>
      <c r="C486" s="16" t="s">
        <v>2074</v>
      </c>
      <c r="D486" s="16" t="s">
        <v>2075</v>
      </c>
      <c r="E486" s="16" t="s">
        <v>2076</v>
      </c>
      <c r="F486" s="17">
        <v>30.70323</v>
      </c>
      <c r="G486" s="17">
        <v>-81.480899</v>
      </c>
      <c r="H486" s="17">
        <v>30.487164</v>
      </c>
      <c r="I486" s="14">
        <v>-81.416999</v>
      </c>
      <c r="J486" s="13" t="s">
        <v>2078</v>
      </c>
      <c r="K486" s="13" t="s">
        <v>2079</v>
      </c>
      <c r="L486" s="13">
        <v>10.0</v>
      </c>
      <c r="M486" s="14">
        <v>30.48677</v>
      </c>
      <c r="N486" s="14">
        <v>-81.425332</v>
      </c>
      <c r="O486" s="13" t="s">
        <v>2088</v>
      </c>
      <c r="P486" s="67"/>
    </row>
    <row r="487" ht="33.75" customHeight="1">
      <c r="A487" s="41">
        <v>42773.0</v>
      </c>
      <c r="B487" s="16" t="s">
        <v>305</v>
      </c>
      <c r="C487" s="16" t="s">
        <v>309</v>
      </c>
      <c r="D487" s="16" t="s">
        <v>311</v>
      </c>
      <c r="E487" s="16" t="s">
        <v>312</v>
      </c>
      <c r="F487" s="16">
        <v>30.39282</v>
      </c>
      <c r="G487" s="16">
        <v>-86.58286</v>
      </c>
      <c r="H487" s="13">
        <v>30.39114</v>
      </c>
      <c r="I487" s="13">
        <v>-86.51746</v>
      </c>
      <c r="J487" s="13" t="s">
        <v>2089</v>
      </c>
      <c r="K487" s="13" t="s">
        <v>2090</v>
      </c>
      <c r="L487" s="13">
        <v>1.0</v>
      </c>
      <c r="M487" s="13">
        <v>30.39232</v>
      </c>
      <c r="N487" s="13">
        <v>-86.576</v>
      </c>
      <c r="O487" s="13" t="s">
        <v>2091</v>
      </c>
      <c r="P487" s="14" t="s">
        <v>2092</v>
      </c>
    </row>
    <row r="488" ht="33.75" customHeight="1">
      <c r="A488" s="41">
        <v>42773.0</v>
      </c>
      <c r="B488" s="16" t="s">
        <v>305</v>
      </c>
      <c r="C488" s="16" t="s">
        <v>309</v>
      </c>
      <c r="D488" s="16" t="s">
        <v>311</v>
      </c>
      <c r="E488" s="16" t="s">
        <v>312</v>
      </c>
      <c r="F488" s="16">
        <v>30.39282</v>
      </c>
      <c r="G488" s="16">
        <v>-86.58286</v>
      </c>
      <c r="H488" s="13">
        <v>30.39114</v>
      </c>
      <c r="I488" s="13">
        <v>-86.51746</v>
      </c>
      <c r="J488" s="13" t="s">
        <v>2089</v>
      </c>
      <c r="K488" s="13" t="s">
        <v>2090</v>
      </c>
      <c r="L488" s="13">
        <v>2.0</v>
      </c>
      <c r="M488" s="13">
        <v>30.39213</v>
      </c>
      <c r="N488" s="13">
        <v>-86.57317</v>
      </c>
      <c r="O488" s="13" t="s">
        <v>148</v>
      </c>
      <c r="P488" s="14" t="s">
        <v>2092</v>
      </c>
    </row>
    <row r="489" ht="33.75" customHeight="1">
      <c r="A489" s="41">
        <v>42773.0</v>
      </c>
      <c r="B489" s="16" t="s">
        <v>305</v>
      </c>
      <c r="C489" s="16" t="s">
        <v>309</v>
      </c>
      <c r="D489" s="16" t="s">
        <v>311</v>
      </c>
      <c r="E489" s="16" t="s">
        <v>312</v>
      </c>
      <c r="F489" s="16">
        <v>30.39282</v>
      </c>
      <c r="G489" s="16">
        <v>-86.58286</v>
      </c>
      <c r="H489" s="13">
        <v>30.39114</v>
      </c>
      <c r="I489" s="13">
        <v>-86.51746</v>
      </c>
      <c r="J489" s="13" t="s">
        <v>2089</v>
      </c>
      <c r="K489" s="13" t="s">
        <v>2090</v>
      </c>
      <c r="L489" s="13">
        <v>3.0</v>
      </c>
      <c r="M489" s="13">
        <v>30.38945</v>
      </c>
      <c r="N489" s="13">
        <v>-86.54823</v>
      </c>
      <c r="O489" s="13" t="s">
        <v>148</v>
      </c>
      <c r="P489" s="14" t="s">
        <v>2093</v>
      </c>
    </row>
    <row r="490" ht="33.75" customHeight="1">
      <c r="A490" s="41">
        <v>42773.0</v>
      </c>
      <c r="B490" s="16" t="s">
        <v>305</v>
      </c>
      <c r="C490" s="16" t="s">
        <v>309</v>
      </c>
      <c r="D490" s="16" t="s">
        <v>311</v>
      </c>
      <c r="E490" s="16" t="s">
        <v>312</v>
      </c>
      <c r="F490" s="16">
        <v>30.39282</v>
      </c>
      <c r="G490" s="16">
        <v>-86.58286</v>
      </c>
      <c r="H490" s="13">
        <v>30.39114</v>
      </c>
      <c r="I490" s="13">
        <v>-86.51746</v>
      </c>
      <c r="J490" s="13" t="s">
        <v>2089</v>
      </c>
      <c r="K490" s="13" t="s">
        <v>2090</v>
      </c>
      <c r="L490" s="13">
        <v>4.0</v>
      </c>
      <c r="M490" s="13">
        <v>30.38809</v>
      </c>
      <c r="N490" s="13">
        <v>-86.52598</v>
      </c>
      <c r="O490" s="13" t="s">
        <v>1776</v>
      </c>
      <c r="P490" s="14" t="s">
        <v>2094</v>
      </c>
    </row>
    <row r="491" ht="33.75" customHeight="1">
      <c r="A491" s="41">
        <v>42773.0</v>
      </c>
      <c r="B491" s="16" t="s">
        <v>305</v>
      </c>
      <c r="C491" s="16" t="s">
        <v>309</v>
      </c>
      <c r="D491" s="16" t="s">
        <v>311</v>
      </c>
      <c r="E491" s="16" t="s">
        <v>312</v>
      </c>
      <c r="F491" s="16">
        <v>30.39282</v>
      </c>
      <c r="G491" s="16">
        <v>-86.58286</v>
      </c>
      <c r="H491" s="13">
        <v>30.39114</v>
      </c>
      <c r="I491" s="13">
        <v>-86.51746</v>
      </c>
      <c r="J491" s="13" t="s">
        <v>2089</v>
      </c>
      <c r="K491" s="13" t="s">
        <v>2090</v>
      </c>
      <c r="L491" s="13">
        <v>5.0</v>
      </c>
      <c r="M491" s="13">
        <v>30.38772</v>
      </c>
      <c r="N491" s="13">
        <v>-86.52518</v>
      </c>
      <c r="O491" s="13" t="s">
        <v>2095</v>
      </c>
      <c r="P491" s="14" t="s">
        <v>2093</v>
      </c>
    </row>
    <row r="492" ht="33.75" customHeight="1">
      <c r="A492" s="41">
        <v>42773.0</v>
      </c>
      <c r="B492" s="16" t="s">
        <v>2096</v>
      </c>
      <c r="C492" s="16" t="s">
        <v>2097</v>
      </c>
      <c r="D492" s="16" t="s">
        <v>2098</v>
      </c>
      <c r="E492" s="16" t="s">
        <v>312</v>
      </c>
      <c r="F492" s="16">
        <v>30.40713</v>
      </c>
      <c r="G492" s="16">
        <v>-85.68645</v>
      </c>
      <c r="H492" s="13">
        <v>30.38213</v>
      </c>
      <c r="I492" s="13">
        <v>-86.43256</v>
      </c>
      <c r="J492" s="13" t="s">
        <v>2099</v>
      </c>
      <c r="K492" s="13" t="s">
        <v>2100</v>
      </c>
      <c r="L492" s="13"/>
      <c r="M492" s="13"/>
      <c r="N492" s="13"/>
      <c r="O492" s="13"/>
      <c r="P492" s="14" t="s">
        <v>2101</v>
      </c>
    </row>
    <row r="493" ht="33.75" customHeight="1">
      <c r="A493" s="50">
        <v>42769.0</v>
      </c>
      <c r="B493" s="16" t="s">
        <v>2102</v>
      </c>
      <c r="C493" s="13" t="s">
        <v>760</v>
      </c>
      <c r="D493" s="16" t="s">
        <v>2103</v>
      </c>
      <c r="E493" s="16" t="s">
        <v>615</v>
      </c>
      <c r="F493" s="16">
        <v>26.775632</v>
      </c>
      <c r="G493" s="16">
        <v>-80.042638</v>
      </c>
      <c r="H493" s="13">
        <v>26.775632</v>
      </c>
      <c r="I493" s="13">
        <v>-80.042638</v>
      </c>
      <c r="J493" s="13" t="s">
        <v>2104</v>
      </c>
      <c r="K493" s="13" t="s">
        <v>2017</v>
      </c>
      <c r="P493" s="47"/>
    </row>
    <row r="494" ht="33.75" customHeight="1">
      <c r="A494" s="15">
        <v>42771.0</v>
      </c>
      <c r="B494" s="16" t="s">
        <v>2105</v>
      </c>
      <c r="C494" s="16" t="s">
        <v>2106</v>
      </c>
      <c r="D494" s="16" t="s">
        <v>2107</v>
      </c>
      <c r="E494" s="16" t="s">
        <v>615</v>
      </c>
      <c r="F494" s="17">
        <v>26.94343</v>
      </c>
      <c r="G494" s="17">
        <v>-80.07133</v>
      </c>
      <c r="H494" s="17">
        <v>26.8365</v>
      </c>
      <c r="I494" s="14">
        <v>-80.0412</v>
      </c>
      <c r="J494" s="13" t="s">
        <v>2108</v>
      </c>
      <c r="K494" s="13" t="s">
        <v>2109</v>
      </c>
      <c r="L494" s="13">
        <v>1.0</v>
      </c>
      <c r="M494" s="14">
        <v>26.92978</v>
      </c>
      <c r="N494" s="14">
        <v>-80.06821</v>
      </c>
      <c r="O494" s="13" t="s">
        <v>2110</v>
      </c>
      <c r="P494" s="13"/>
    </row>
    <row r="495" ht="33.75" customHeight="1">
      <c r="A495" s="15">
        <v>42771.0</v>
      </c>
      <c r="B495" s="16" t="s">
        <v>2105</v>
      </c>
      <c r="C495" s="16" t="s">
        <v>2106</v>
      </c>
      <c r="D495" s="16" t="s">
        <v>2111</v>
      </c>
      <c r="E495" s="16" t="s">
        <v>615</v>
      </c>
      <c r="F495" s="17">
        <v>26.814271</v>
      </c>
      <c r="G495" s="17">
        <v>-80.035523</v>
      </c>
      <c r="H495" s="17">
        <v>26.773552</v>
      </c>
      <c r="I495" s="14">
        <v>-80.031796</v>
      </c>
      <c r="J495" s="13" t="s">
        <v>2112</v>
      </c>
      <c r="K495" s="13" t="s">
        <v>2109</v>
      </c>
      <c r="L495" s="13">
        <v>1.0</v>
      </c>
      <c r="M495" s="14">
        <v>26.7834</v>
      </c>
      <c r="N495" s="14">
        <v>-80.03201</v>
      </c>
      <c r="O495" s="13" t="s">
        <v>2113</v>
      </c>
      <c r="P495" s="13"/>
    </row>
    <row r="496" ht="33.75" customHeight="1">
      <c r="A496" s="15">
        <v>42771.0</v>
      </c>
      <c r="B496" s="16" t="s">
        <v>2105</v>
      </c>
      <c r="C496" s="16" t="s">
        <v>2106</v>
      </c>
      <c r="D496" s="16" t="s">
        <v>2114</v>
      </c>
      <c r="E496" s="16" t="s">
        <v>615</v>
      </c>
      <c r="F496" s="17">
        <v>26.944692</v>
      </c>
      <c r="G496" s="17">
        <v>-80.071097</v>
      </c>
      <c r="H496" s="17">
        <v>26.970536</v>
      </c>
      <c r="I496" s="14">
        <v>-80.08053</v>
      </c>
      <c r="J496" s="13" t="s">
        <v>2115</v>
      </c>
      <c r="K496" s="13" t="s">
        <v>2109</v>
      </c>
      <c r="L496" s="13"/>
      <c r="M496" s="14"/>
      <c r="N496" s="14"/>
      <c r="O496" s="13"/>
      <c r="P496" s="70" t="s">
        <v>2116</v>
      </c>
    </row>
    <row r="497" ht="33.75" customHeight="1">
      <c r="A497" s="41">
        <v>42772.0</v>
      </c>
      <c r="B497" s="16" t="s">
        <v>995</v>
      </c>
      <c r="C497" s="16" t="s">
        <v>612</v>
      </c>
      <c r="D497" s="16" t="s">
        <v>997</v>
      </c>
      <c r="E497" s="16" t="s">
        <v>615</v>
      </c>
      <c r="F497" s="16">
        <v>26.44164</v>
      </c>
      <c r="G497" s="16">
        <v>-80.06002</v>
      </c>
      <c r="H497" s="13">
        <v>26.6572</v>
      </c>
      <c r="I497" s="13">
        <v>-80.03656</v>
      </c>
      <c r="J497" s="13" t="s">
        <v>2117</v>
      </c>
      <c r="K497" s="13" t="s">
        <v>2118</v>
      </c>
      <c r="L497" s="13">
        <v>1.0</v>
      </c>
      <c r="M497" s="13">
        <v>26.44754</v>
      </c>
      <c r="N497" s="13">
        <v>-80.05869</v>
      </c>
      <c r="O497" s="13" t="s">
        <v>2119</v>
      </c>
      <c r="P497" s="14" t="s">
        <v>2120</v>
      </c>
    </row>
    <row r="498" ht="33.75" customHeight="1">
      <c r="A498" s="41">
        <v>42772.0</v>
      </c>
      <c r="B498" s="16" t="s">
        <v>995</v>
      </c>
      <c r="C498" s="16" t="s">
        <v>612</v>
      </c>
      <c r="D498" s="16" t="s">
        <v>997</v>
      </c>
      <c r="E498" s="16" t="s">
        <v>615</v>
      </c>
      <c r="F498" s="16">
        <v>26.44164</v>
      </c>
      <c r="G498" s="16">
        <v>-80.06002</v>
      </c>
      <c r="H498" s="13">
        <v>26.6572</v>
      </c>
      <c r="I498" s="13">
        <v>-80.03656</v>
      </c>
      <c r="J498" s="13" t="s">
        <v>2117</v>
      </c>
      <c r="K498" s="13" t="s">
        <v>2118</v>
      </c>
      <c r="L498" s="13">
        <v>2.0</v>
      </c>
      <c r="M498" s="13">
        <v>26.4581</v>
      </c>
      <c r="N498" s="13">
        <v>-80.05766</v>
      </c>
      <c r="O498" s="13" t="s">
        <v>2121</v>
      </c>
      <c r="P498" s="14" t="s">
        <v>2122</v>
      </c>
    </row>
    <row r="499" ht="33.75" customHeight="1">
      <c r="A499" s="41">
        <v>42772.0</v>
      </c>
      <c r="B499" s="16" t="s">
        <v>995</v>
      </c>
      <c r="C499" s="16" t="s">
        <v>612</v>
      </c>
      <c r="D499" s="16" t="s">
        <v>997</v>
      </c>
      <c r="E499" s="16" t="s">
        <v>615</v>
      </c>
      <c r="F499" s="16">
        <v>26.44164</v>
      </c>
      <c r="G499" s="16">
        <v>-80.06002</v>
      </c>
      <c r="H499" s="13">
        <v>26.6572</v>
      </c>
      <c r="I499" s="13">
        <v>-80.03656</v>
      </c>
      <c r="J499" s="13" t="s">
        <v>2117</v>
      </c>
      <c r="K499" s="13" t="s">
        <v>2118</v>
      </c>
      <c r="L499" s="13">
        <v>3.0</v>
      </c>
      <c r="M499" s="13">
        <v>26.46338</v>
      </c>
      <c r="N499" s="13">
        <v>-80.05666</v>
      </c>
      <c r="O499" s="13" t="s">
        <v>2124</v>
      </c>
      <c r="P499" s="14" t="s">
        <v>2120</v>
      </c>
    </row>
    <row r="500" ht="33.75" customHeight="1">
      <c r="A500" s="41">
        <v>42772.0</v>
      </c>
      <c r="B500" s="16" t="s">
        <v>995</v>
      </c>
      <c r="C500" s="16" t="s">
        <v>612</v>
      </c>
      <c r="D500" s="16" t="s">
        <v>997</v>
      </c>
      <c r="E500" s="16" t="s">
        <v>615</v>
      </c>
      <c r="F500" s="16">
        <v>26.44164</v>
      </c>
      <c r="G500" s="16">
        <v>-80.06002</v>
      </c>
      <c r="H500" s="13">
        <v>26.6572</v>
      </c>
      <c r="I500" s="13">
        <v>-80.03656</v>
      </c>
      <c r="J500" s="13" t="s">
        <v>2117</v>
      </c>
      <c r="K500" s="13" t="s">
        <v>2118</v>
      </c>
      <c r="L500" s="13">
        <v>4.0</v>
      </c>
      <c r="M500" s="13">
        <v>26.52926</v>
      </c>
      <c r="N500" s="13">
        <v>-80.04661</v>
      </c>
      <c r="O500" s="13" t="s">
        <v>2125</v>
      </c>
      <c r="P500" s="14" t="s">
        <v>2126</v>
      </c>
    </row>
    <row r="501" ht="33.75" customHeight="1">
      <c r="A501" s="41">
        <v>42772.0</v>
      </c>
      <c r="B501" s="16" t="s">
        <v>995</v>
      </c>
      <c r="C501" s="16" t="s">
        <v>612</v>
      </c>
      <c r="D501" s="16" t="s">
        <v>997</v>
      </c>
      <c r="E501" s="16" t="s">
        <v>615</v>
      </c>
      <c r="F501" s="16">
        <v>26.44164</v>
      </c>
      <c r="G501" s="16">
        <v>-80.06002</v>
      </c>
      <c r="H501" s="13">
        <v>26.6572</v>
      </c>
      <c r="I501" s="13">
        <v>-80.03656</v>
      </c>
      <c r="J501" s="13" t="s">
        <v>2117</v>
      </c>
      <c r="K501" s="13" t="s">
        <v>2118</v>
      </c>
      <c r="L501" s="13">
        <v>5.0</v>
      </c>
      <c r="M501" s="13">
        <v>26.61762</v>
      </c>
      <c r="N501" s="13">
        <v>-80.03648</v>
      </c>
      <c r="O501" s="13" t="s">
        <v>2127</v>
      </c>
      <c r="P501" s="14" t="s">
        <v>2120</v>
      </c>
    </row>
    <row r="502" ht="33.75" customHeight="1">
      <c r="A502" s="43">
        <v>42773.0</v>
      </c>
      <c r="B502" s="16" t="s">
        <v>1462</v>
      </c>
      <c r="C502" s="13" t="s">
        <v>1463</v>
      </c>
      <c r="D502" s="16" t="s">
        <v>2128</v>
      </c>
      <c r="E502" s="16" t="s">
        <v>615</v>
      </c>
      <c r="F502" s="13" t="s">
        <v>2129</v>
      </c>
      <c r="G502" s="13" t="s">
        <v>2130</v>
      </c>
      <c r="H502" s="13" t="s">
        <v>2129</v>
      </c>
      <c r="I502" s="13" t="s">
        <v>2130</v>
      </c>
      <c r="J502" s="13" t="s">
        <v>2131</v>
      </c>
      <c r="K502" s="13" t="s">
        <v>628</v>
      </c>
      <c r="L502" s="13">
        <v>1.0</v>
      </c>
      <c r="M502" s="13" t="s">
        <v>2132</v>
      </c>
      <c r="N502" s="13" t="s">
        <v>2133</v>
      </c>
      <c r="O502" s="13" t="s">
        <v>2134</v>
      </c>
      <c r="P502" s="14" t="s">
        <v>1110</v>
      </c>
    </row>
    <row r="503" ht="33.75" customHeight="1">
      <c r="A503" s="43">
        <v>42773.0</v>
      </c>
      <c r="B503" s="16" t="s">
        <v>1462</v>
      </c>
      <c r="C503" s="13" t="s">
        <v>1463</v>
      </c>
      <c r="D503" s="16" t="s">
        <v>2128</v>
      </c>
      <c r="E503" s="16" t="s">
        <v>615</v>
      </c>
      <c r="F503" s="13" t="s">
        <v>2129</v>
      </c>
      <c r="G503" s="13" t="s">
        <v>2130</v>
      </c>
      <c r="H503" s="13" t="s">
        <v>2129</v>
      </c>
      <c r="I503" s="13" t="s">
        <v>2130</v>
      </c>
      <c r="J503" s="13" t="s">
        <v>2131</v>
      </c>
      <c r="K503" s="13" t="s">
        <v>628</v>
      </c>
      <c r="L503" s="13">
        <v>2.0</v>
      </c>
      <c r="M503" s="13" t="s">
        <v>2136</v>
      </c>
      <c r="N503" s="13" t="s">
        <v>2137</v>
      </c>
      <c r="O503" s="13" t="s">
        <v>2138</v>
      </c>
      <c r="P503" s="14" t="s">
        <v>1110</v>
      </c>
    </row>
    <row r="504" ht="33.75" customHeight="1">
      <c r="A504" s="43">
        <v>42773.0</v>
      </c>
      <c r="B504" s="16" t="s">
        <v>1462</v>
      </c>
      <c r="C504" s="13" t="s">
        <v>1463</v>
      </c>
      <c r="D504" s="16" t="s">
        <v>2128</v>
      </c>
      <c r="E504" s="16" t="s">
        <v>615</v>
      </c>
      <c r="F504" s="13" t="s">
        <v>2129</v>
      </c>
      <c r="G504" s="13" t="s">
        <v>2130</v>
      </c>
      <c r="H504" s="13" t="s">
        <v>2129</v>
      </c>
      <c r="I504" s="13" t="s">
        <v>2130</v>
      </c>
      <c r="J504" s="13" t="s">
        <v>2131</v>
      </c>
      <c r="K504" s="13" t="s">
        <v>628</v>
      </c>
      <c r="L504" s="13">
        <v>3.0</v>
      </c>
      <c r="M504" s="13" t="s">
        <v>2139</v>
      </c>
      <c r="N504" s="13" t="s">
        <v>2140</v>
      </c>
      <c r="O504" s="13" t="s">
        <v>2141</v>
      </c>
      <c r="P504" s="14" t="s">
        <v>1110</v>
      </c>
    </row>
    <row r="505" ht="33.75" customHeight="1">
      <c r="A505" s="43">
        <v>42773.0</v>
      </c>
      <c r="B505" s="16" t="s">
        <v>1462</v>
      </c>
      <c r="C505" s="13" t="s">
        <v>1463</v>
      </c>
      <c r="D505" s="16" t="s">
        <v>2128</v>
      </c>
      <c r="E505" s="16" t="s">
        <v>615</v>
      </c>
      <c r="F505" s="13" t="s">
        <v>2129</v>
      </c>
      <c r="G505" s="13" t="s">
        <v>2130</v>
      </c>
      <c r="H505" s="13" t="s">
        <v>2129</v>
      </c>
      <c r="I505" s="13" t="s">
        <v>2130</v>
      </c>
      <c r="J505" s="13" t="s">
        <v>2131</v>
      </c>
      <c r="K505" s="13" t="s">
        <v>628</v>
      </c>
      <c r="L505" s="13">
        <v>4.0</v>
      </c>
      <c r="M505" s="13" t="s">
        <v>2142</v>
      </c>
      <c r="N505" s="13" t="s">
        <v>2143</v>
      </c>
      <c r="O505" s="13" t="s">
        <v>2144</v>
      </c>
      <c r="P505" s="14" t="s">
        <v>1110</v>
      </c>
    </row>
    <row r="506" ht="33.75" customHeight="1">
      <c r="A506" s="43">
        <v>42773.0</v>
      </c>
      <c r="B506" s="16" t="s">
        <v>1462</v>
      </c>
      <c r="C506" s="13" t="s">
        <v>1463</v>
      </c>
      <c r="D506" s="16" t="s">
        <v>2128</v>
      </c>
      <c r="E506" s="16" t="s">
        <v>615</v>
      </c>
      <c r="F506" s="13" t="s">
        <v>2129</v>
      </c>
      <c r="G506" s="13" t="s">
        <v>2130</v>
      </c>
      <c r="H506" s="13" t="s">
        <v>2129</v>
      </c>
      <c r="I506" s="13" t="s">
        <v>2130</v>
      </c>
      <c r="J506" s="13" t="s">
        <v>2131</v>
      </c>
      <c r="K506" s="13" t="s">
        <v>628</v>
      </c>
      <c r="L506" s="13">
        <v>5.0</v>
      </c>
      <c r="M506" s="13" t="s">
        <v>2145</v>
      </c>
      <c r="N506" s="13" t="s">
        <v>2146</v>
      </c>
      <c r="O506" s="13" t="s">
        <v>2147</v>
      </c>
      <c r="P506" s="14" t="s">
        <v>1110</v>
      </c>
    </row>
    <row r="507" ht="33.75" customHeight="1">
      <c r="A507" s="43">
        <v>42773.0</v>
      </c>
      <c r="B507" s="16" t="s">
        <v>1462</v>
      </c>
      <c r="C507" s="13" t="s">
        <v>1463</v>
      </c>
      <c r="D507" s="16" t="s">
        <v>2128</v>
      </c>
      <c r="E507" s="16" t="s">
        <v>615</v>
      </c>
      <c r="F507" s="13" t="s">
        <v>2129</v>
      </c>
      <c r="G507" s="13" t="s">
        <v>2130</v>
      </c>
      <c r="H507" s="13" t="s">
        <v>2129</v>
      </c>
      <c r="I507" s="13" t="s">
        <v>2130</v>
      </c>
      <c r="J507" s="13" t="s">
        <v>2131</v>
      </c>
      <c r="K507" s="13" t="s">
        <v>628</v>
      </c>
      <c r="L507" s="13">
        <v>6.0</v>
      </c>
      <c r="M507" s="13" t="s">
        <v>2150</v>
      </c>
      <c r="N507" s="13" t="s">
        <v>2146</v>
      </c>
      <c r="O507" s="13" t="s">
        <v>2151</v>
      </c>
      <c r="P507" s="14" t="s">
        <v>1110</v>
      </c>
    </row>
    <row r="508" ht="33.75" customHeight="1">
      <c r="A508" s="41">
        <v>42774.0</v>
      </c>
      <c r="B508" s="16" t="s">
        <v>2152</v>
      </c>
      <c r="C508" s="16" t="s">
        <v>2153</v>
      </c>
      <c r="D508" s="16" t="s">
        <v>2154</v>
      </c>
      <c r="E508" s="16" t="s">
        <v>615</v>
      </c>
      <c r="F508" s="16">
        <v>26.39085</v>
      </c>
      <c r="G508" s="16">
        <v>-80.06619</v>
      </c>
      <c r="H508" s="13">
        <v>26.33615</v>
      </c>
      <c r="I508" s="13">
        <v>-80.07062</v>
      </c>
      <c r="J508" s="13" t="s">
        <v>2155</v>
      </c>
      <c r="K508" s="13" t="s">
        <v>2156</v>
      </c>
      <c r="L508" s="13">
        <v>0.0</v>
      </c>
      <c r="M508" s="13"/>
      <c r="N508" s="13"/>
      <c r="O508" s="13"/>
      <c r="P508" s="14" t="s">
        <v>2157</v>
      </c>
    </row>
    <row r="509" ht="33.75" customHeight="1">
      <c r="A509" s="43">
        <v>42774.0</v>
      </c>
      <c r="B509" s="16" t="s">
        <v>2158</v>
      </c>
      <c r="C509" s="16" t="s">
        <v>2159</v>
      </c>
      <c r="D509" s="16" t="s">
        <v>2160</v>
      </c>
      <c r="E509" s="16" t="s">
        <v>615</v>
      </c>
      <c r="F509" s="16">
        <v>26.675299</v>
      </c>
      <c r="G509" s="16">
        <v>80.045256</v>
      </c>
      <c r="H509" s="13">
        <v>26.675634</v>
      </c>
      <c r="I509" s="13">
        <v>80.041207</v>
      </c>
      <c r="P509" s="47"/>
    </row>
    <row r="510" ht="33.75" customHeight="1">
      <c r="A510" s="43">
        <v>42774.0</v>
      </c>
      <c r="B510" s="16" t="s">
        <v>1462</v>
      </c>
      <c r="C510" s="13" t="s">
        <v>1463</v>
      </c>
      <c r="D510" s="13" t="s">
        <v>2162</v>
      </c>
      <c r="E510" s="31" t="s">
        <v>615</v>
      </c>
      <c r="F510" s="38" t="s">
        <v>2163</v>
      </c>
      <c r="G510" s="38" t="s">
        <v>2164</v>
      </c>
      <c r="H510" s="38" t="s">
        <v>2163</v>
      </c>
      <c r="I510" s="70" t="s">
        <v>2164</v>
      </c>
      <c r="J510" s="13" t="s">
        <v>2165</v>
      </c>
      <c r="K510" s="13" t="s">
        <v>1476</v>
      </c>
      <c r="L510" s="13">
        <v>1.0</v>
      </c>
      <c r="M510" s="13" t="s">
        <v>2166</v>
      </c>
      <c r="N510" s="13" t="s">
        <v>2167</v>
      </c>
      <c r="O510" s="13" t="s">
        <v>2168</v>
      </c>
      <c r="P510" s="14" t="s">
        <v>1110</v>
      </c>
    </row>
    <row r="511" ht="33.75" customHeight="1">
      <c r="A511" s="41">
        <v>42775.0</v>
      </c>
      <c r="B511" s="16" t="s">
        <v>2169</v>
      </c>
      <c r="C511" s="16" t="s">
        <v>2170</v>
      </c>
      <c r="D511" s="16" t="s">
        <v>2171</v>
      </c>
      <c r="E511" s="16" t="s">
        <v>615</v>
      </c>
      <c r="F511" s="16">
        <v>26.33551</v>
      </c>
      <c r="G511" s="16">
        <v>-80.07129</v>
      </c>
      <c r="H511" s="13">
        <v>26.32096</v>
      </c>
      <c r="I511" s="13">
        <v>-80.07543</v>
      </c>
      <c r="J511" s="13" t="s">
        <v>2172</v>
      </c>
      <c r="K511" s="13" t="s">
        <v>2173</v>
      </c>
      <c r="L511" s="13">
        <v>0.0</v>
      </c>
      <c r="P511" s="14" t="s">
        <v>2157</v>
      </c>
    </row>
    <row r="512" ht="33.75" customHeight="1">
      <c r="A512" s="43">
        <v>42775.0</v>
      </c>
      <c r="B512" s="16" t="s">
        <v>610</v>
      </c>
      <c r="C512" s="16" t="s">
        <v>612</v>
      </c>
      <c r="D512" s="16" t="s">
        <v>614</v>
      </c>
      <c r="E512" s="16" t="s">
        <v>615</v>
      </c>
      <c r="F512" s="16">
        <v>26.77131</v>
      </c>
      <c r="G512" s="16">
        <v>-80.03461</v>
      </c>
      <c r="H512" s="13">
        <v>26.71163</v>
      </c>
      <c r="I512" s="13">
        <v>-80.3351</v>
      </c>
      <c r="J512" s="13" t="s">
        <v>2174</v>
      </c>
      <c r="K512" s="13" t="s">
        <v>2175</v>
      </c>
      <c r="L512" s="13">
        <v>1.0</v>
      </c>
      <c r="M512" s="13">
        <v>26.74196</v>
      </c>
      <c r="N512" s="13">
        <v>-80.03513</v>
      </c>
      <c r="O512" s="13" t="s">
        <v>2176</v>
      </c>
      <c r="P512" s="14" t="s">
        <v>2177</v>
      </c>
    </row>
    <row r="513" ht="33.75" customHeight="1">
      <c r="A513" s="41">
        <v>42769.0</v>
      </c>
      <c r="B513" s="16" t="s">
        <v>193</v>
      </c>
      <c r="C513" s="16" t="s">
        <v>197</v>
      </c>
      <c r="D513" s="16" t="s">
        <v>198</v>
      </c>
      <c r="E513" s="16" t="s">
        <v>199</v>
      </c>
      <c r="F513" s="17">
        <v>28.21392</v>
      </c>
      <c r="G513" s="17">
        <v>-82.8466</v>
      </c>
      <c r="H513" s="13">
        <v>28.1761</v>
      </c>
      <c r="I513" s="14">
        <v>-82.8503</v>
      </c>
      <c r="J513" s="13" t="s">
        <v>565</v>
      </c>
      <c r="K513" s="13" t="s">
        <v>2178</v>
      </c>
      <c r="L513" s="13">
        <v>4.0</v>
      </c>
      <c r="M513" s="14">
        <v>28.18664</v>
      </c>
      <c r="N513" s="14">
        <v>-82.85104</v>
      </c>
      <c r="O513" s="13" t="s">
        <v>2179</v>
      </c>
      <c r="P513" s="13" t="s">
        <v>2180</v>
      </c>
    </row>
    <row r="514" ht="33.75" customHeight="1">
      <c r="A514" s="15">
        <v>42769.0</v>
      </c>
      <c r="B514" s="16" t="s">
        <v>193</v>
      </c>
      <c r="C514" s="16" t="s">
        <v>197</v>
      </c>
      <c r="D514" s="16" t="s">
        <v>2181</v>
      </c>
      <c r="E514" s="16" t="s">
        <v>199</v>
      </c>
      <c r="F514" s="17">
        <v>28.23475</v>
      </c>
      <c r="G514" s="17">
        <v>-82.83674</v>
      </c>
      <c r="H514" s="17">
        <v>28.23475</v>
      </c>
      <c r="I514" s="17">
        <v>-82.83674</v>
      </c>
      <c r="J514" s="13" t="s">
        <v>2182</v>
      </c>
      <c r="K514" s="13" t="s">
        <v>2183</v>
      </c>
      <c r="L514" s="13">
        <v>1.0</v>
      </c>
      <c r="M514" s="14">
        <v>28.235981</v>
      </c>
      <c r="N514" s="14">
        <v>-82.835417</v>
      </c>
      <c r="O514" s="13" t="s">
        <v>2184</v>
      </c>
      <c r="P514" s="13" t="s">
        <v>2180</v>
      </c>
    </row>
    <row r="515" ht="33.75" customHeight="1">
      <c r="A515" s="15">
        <v>42769.0</v>
      </c>
      <c r="B515" s="16" t="s">
        <v>193</v>
      </c>
      <c r="C515" s="16" t="s">
        <v>197</v>
      </c>
      <c r="D515" s="16" t="s">
        <v>2181</v>
      </c>
      <c r="E515" s="16" t="s">
        <v>199</v>
      </c>
      <c r="F515" s="17">
        <v>28.23475</v>
      </c>
      <c r="G515" s="17">
        <v>-82.83674</v>
      </c>
      <c r="H515" s="17">
        <v>28.23475</v>
      </c>
      <c r="I515" s="17">
        <v>-82.83674</v>
      </c>
      <c r="J515" s="13" t="s">
        <v>2182</v>
      </c>
      <c r="K515" s="13" t="s">
        <v>2183</v>
      </c>
      <c r="L515" s="13">
        <v>2.0</v>
      </c>
      <c r="M515" s="14">
        <v>28.23502</v>
      </c>
      <c r="N515" s="14">
        <v>-82.83727</v>
      </c>
      <c r="O515" s="13" t="s">
        <v>2185</v>
      </c>
      <c r="P515" s="13" t="s">
        <v>2180</v>
      </c>
    </row>
    <row r="516" ht="33.75" customHeight="1">
      <c r="A516" s="41">
        <v>42769.0</v>
      </c>
      <c r="B516" s="16" t="s">
        <v>193</v>
      </c>
      <c r="C516" s="16" t="s">
        <v>197</v>
      </c>
      <c r="D516" s="16" t="s">
        <v>198</v>
      </c>
      <c r="E516" s="16" t="s">
        <v>199</v>
      </c>
      <c r="F516" s="17">
        <v>28.21392</v>
      </c>
      <c r="G516" s="17">
        <v>-82.8466</v>
      </c>
      <c r="H516" s="13">
        <v>28.1761</v>
      </c>
      <c r="I516" s="14">
        <v>-82.8503</v>
      </c>
      <c r="J516" s="13" t="s">
        <v>565</v>
      </c>
      <c r="K516" s="13" t="s">
        <v>2178</v>
      </c>
      <c r="L516" s="13">
        <v>1.0</v>
      </c>
      <c r="M516" s="14">
        <v>28.21187</v>
      </c>
      <c r="N516" s="14">
        <v>-82.84104</v>
      </c>
      <c r="O516" s="13" t="s">
        <v>2186</v>
      </c>
      <c r="P516" s="13" t="s">
        <v>2187</v>
      </c>
    </row>
    <row r="517" ht="33.75" customHeight="1">
      <c r="A517" s="41">
        <v>42769.0</v>
      </c>
      <c r="B517" s="16" t="s">
        <v>193</v>
      </c>
      <c r="C517" s="16" t="s">
        <v>197</v>
      </c>
      <c r="D517" s="16" t="s">
        <v>198</v>
      </c>
      <c r="E517" s="16" t="s">
        <v>199</v>
      </c>
      <c r="F517" s="17">
        <v>28.21392</v>
      </c>
      <c r="G517" s="17">
        <v>-82.8466</v>
      </c>
      <c r="H517" s="13">
        <v>28.1761</v>
      </c>
      <c r="I517" s="14">
        <v>-82.8503</v>
      </c>
      <c r="J517" s="13" t="s">
        <v>565</v>
      </c>
      <c r="K517" s="13" t="s">
        <v>2178</v>
      </c>
      <c r="L517" s="13">
        <v>3.0</v>
      </c>
      <c r="M517" s="14">
        <v>28.19543</v>
      </c>
      <c r="N517" s="14">
        <v>-82.85157</v>
      </c>
      <c r="O517" s="13" t="s">
        <v>2188</v>
      </c>
      <c r="P517" s="13" t="s">
        <v>2180</v>
      </c>
    </row>
    <row r="518" ht="33.75" customHeight="1">
      <c r="A518" s="41">
        <v>42769.0</v>
      </c>
      <c r="B518" s="16" t="s">
        <v>193</v>
      </c>
      <c r="C518" s="16" t="s">
        <v>197</v>
      </c>
      <c r="D518" s="16" t="s">
        <v>198</v>
      </c>
      <c r="E518" s="16" t="s">
        <v>199</v>
      </c>
      <c r="F518" s="17">
        <v>28.21392</v>
      </c>
      <c r="G518" s="17">
        <v>-82.8466</v>
      </c>
      <c r="H518" s="13">
        <v>28.1761</v>
      </c>
      <c r="I518" s="14">
        <v>-82.8503</v>
      </c>
      <c r="J518" s="13" t="s">
        <v>565</v>
      </c>
      <c r="K518" s="13" t="s">
        <v>2178</v>
      </c>
      <c r="L518" s="13">
        <v>2.0</v>
      </c>
      <c r="M518" s="14">
        <v>28.21403</v>
      </c>
      <c r="N518" s="14">
        <v>-82.85105</v>
      </c>
      <c r="O518" s="13" t="s">
        <v>2190</v>
      </c>
      <c r="P518" s="67"/>
    </row>
    <row r="519" ht="33.75" customHeight="1">
      <c r="A519" s="15">
        <v>42769.0</v>
      </c>
      <c r="B519" s="16" t="s">
        <v>193</v>
      </c>
      <c r="C519" s="16" t="s">
        <v>197</v>
      </c>
      <c r="D519" s="16" t="s">
        <v>2181</v>
      </c>
      <c r="E519" s="16" t="s">
        <v>199</v>
      </c>
      <c r="F519" s="17">
        <v>28.23475</v>
      </c>
      <c r="G519" s="17">
        <v>-82.83674</v>
      </c>
      <c r="H519" s="17">
        <v>28.23475</v>
      </c>
      <c r="I519" s="17">
        <v>-82.83674</v>
      </c>
      <c r="J519" s="13" t="s">
        <v>2182</v>
      </c>
      <c r="K519" s="13" t="s">
        <v>2183</v>
      </c>
      <c r="L519" s="13">
        <v>3.0</v>
      </c>
      <c r="M519" s="14">
        <v>28.23373</v>
      </c>
      <c r="N519" s="14">
        <v>-82.83739</v>
      </c>
      <c r="O519" s="13" t="s">
        <v>2191</v>
      </c>
      <c r="P519" s="13" t="s">
        <v>2192</v>
      </c>
    </row>
    <row r="520" ht="33.75" customHeight="1">
      <c r="A520" s="41">
        <v>42771.0</v>
      </c>
      <c r="B520" s="16" t="s">
        <v>2193</v>
      </c>
      <c r="C520" s="16" t="s">
        <v>2194</v>
      </c>
      <c r="D520" s="16" t="s">
        <v>2195</v>
      </c>
      <c r="E520" s="13" t="s">
        <v>199</v>
      </c>
      <c r="F520" s="13">
        <v>28.254079</v>
      </c>
      <c r="G520" s="13">
        <v>-82.755547</v>
      </c>
      <c r="H520" s="13">
        <v>28.254079</v>
      </c>
      <c r="I520" s="13">
        <v>-82.755547</v>
      </c>
      <c r="J520" s="13" t="s">
        <v>2196</v>
      </c>
      <c r="K520" s="13" t="s">
        <v>2197</v>
      </c>
      <c r="L520" s="13">
        <v>1.0</v>
      </c>
      <c r="M520" s="13">
        <v>28.254079</v>
      </c>
      <c r="N520" s="13">
        <v>-82.755547</v>
      </c>
      <c r="O520" s="13" t="s">
        <v>2198</v>
      </c>
      <c r="P520" s="14"/>
    </row>
    <row r="521" ht="33.75" customHeight="1">
      <c r="A521" s="41">
        <v>42771.0</v>
      </c>
      <c r="B521" s="16" t="s">
        <v>2193</v>
      </c>
      <c r="C521" s="16" t="s">
        <v>2194</v>
      </c>
      <c r="D521" s="16" t="s">
        <v>2195</v>
      </c>
      <c r="E521" s="13" t="s">
        <v>199</v>
      </c>
      <c r="F521" s="16">
        <v>28.284844</v>
      </c>
      <c r="G521" s="16">
        <v>-82.733059</v>
      </c>
      <c r="H521" s="16">
        <v>28.284844</v>
      </c>
      <c r="I521" s="16">
        <v>-82.733059</v>
      </c>
      <c r="J521" s="13" t="s">
        <v>2204</v>
      </c>
      <c r="K521" s="13" t="s">
        <v>2197</v>
      </c>
      <c r="L521" s="13">
        <v>1.0</v>
      </c>
      <c r="M521" s="16">
        <v>28.284844</v>
      </c>
      <c r="N521" s="16">
        <v>-82.733059</v>
      </c>
      <c r="O521" s="13" t="s">
        <v>2205</v>
      </c>
      <c r="P521" s="14"/>
    </row>
    <row r="522" ht="33.75" customHeight="1">
      <c r="A522" s="41">
        <v>42771.0</v>
      </c>
      <c r="B522" s="16" t="s">
        <v>2193</v>
      </c>
      <c r="C522" s="13" t="s">
        <v>2206</v>
      </c>
      <c r="D522" s="16" t="s">
        <v>2195</v>
      </c>
      <c r="E522" s="13" t="s">
        <v>199</v>
      </c>
      <c r="F522" s="16">
        <v>28.21468</v>
      </c>
      <c r="G522" s="16">
        <v>-82.673492</v>
      </c>
      <c r="H522" s="16">
        <v>28.21468</v>
      </c>
      <c r="I522" s="16">
        <v>-82.673492</v>
      </c>
      <c r="J522" s="13" t="s">
        <v>2207</v>
      </c>
      <c r="K522" s="13" t="s">
        <v>2208</v>
      </c>
      <c r="L522" s="13">
        <v>1.0</v>
      </c>
      <c r="M522" s="16">
        <v>28.21468</v>
      </c>
      <c r="N522" s="16">
        <v>-82.673492</v>
      </c>
      <c r="O522" s="13" t="s">
        <v>2209</v>
      </c>
      <c r="P522" s="14"/>
    </row>
    <row r="523" ht="33.75" customHeight="1">
      <c r="A523" s="41">
        <v>42771.0</v>
      </c>
      <c r="B523" s="16" t="s">
        <v>2193</v>
      </c>
      <c r="C523" s="13" t="s">
        <v>2206</v>
      </c>
      <c r="D523" s="16" t="s">
        <v>2195</v>
      </c>
      <c r="E523" s="13" t="s">
        <v>199</v>
      </c>
      <c r="F523" s="16">
        <v>28.208478</v>
      </c>
      <c r="G523" s="16">
        <v>-82.677097</v>
      </c>
      <c r="H523" s="16">
        <v>28.208478</v>
      </c>
      <c r="I523" s="16">
        <v>-82.677097</v>
      </c>
      <c r="J523" s="13" t="s">
        <v>2210</v>
      </c>
      <c r="K523" s="13" t="s">
        <v>2208</v>
      </c>
      <c r="L523" s="13">
        <v>1.0</v>
      </c>
      <c r="M523" s="16">
        <v>28.208478</v>
      </c>
      <c r="N523" s="16">
        <v>-82.677097</v>
      </c>
      <c r="O523" s="13" t="s">
        <v>2211</v>
      </c>
      <c r="P523" s="14"/>
    </row>
    <row r="524" ht="33.75" customHeight="1">
      <c r="A524" s="41">
        <v>42771.0</v>
      </c>
      <c r="B524" s="16" t="s">
        <v>2193</v>
      </c>
      <c r="C524" s="13" t="s">
        <v>2206</v>
      </c>
      <c r="D524" s="16" t="s">
        <v>2195</v>
      </c>
      <c r="E524" s="13" t="s">
        <v>199</v>
      </c>
      <c r="F524" s="16">
        <v>28.189342</v>
      </c>
      <c r="G524" s="16">
        <v>-82.622337</v>
      </c>
      <c r="H524" s="16">
        <v>28.189342</v>
      </c>
      <c r="I524" s="16">
        <v>-82.622337</v>
      </c>
      <c r="J524" s="13" t="s">
        <v>2212</v>
      </c>
      <c r="K524" s="13" t="s">
        <v>2213</v>
      </c>
      <c r="L524" s="13">
        <v>1.0</v>
      </c>
      <c r="M524" s="16">
        <v>28.189342</v>
      </c>
      <c r="N524" s="16">
        <v>-82.622337</v>
      </c>
      <c r="O524" s="13" t="s">
        <v>2214</v>
      </c>
      <c r="P524" s="14"/>
    </row>
    <row r="525" ht="33.75" customHeight="1">
      <c r="A525" s="41">
        <v>42771.0</v>
      </c>
      <c r="B525" s="16" t="s">
        <v>2193</v>
      </c>
      <c r="C525" s="13" t="s">
        <v>2206</v>
      </c>
      <c r="D525" s="16" t="s">
        <v>2195</v>
      </c>
      <c r="E525" s="13" t="s">
        <v>199</v>
      </c>
      <c r="F525" s="16">
        <v>28.189342</v>
      </c>
      <c r="G525" s="16">
        <v>-82.622337</v>
      </c>
      <c r="H525" s="16">
        <v>28.189342</v>
      </c>
      <c r="I525" s="16">
        <v>-82.622337</v>
      </c>
      <c r="J525" s="13" t="s">
        <v>2212</v>
      </c>
      <c r="K525" s="13" t="s">
        <v>2213</v>
      </c>
      <c r="L525" s="13">
        <v>1.0</v>
      </c>
      <c r="M525" s="16">
        <v>28.189342</v>
      </c>
      <c r="N525" s="16">
        <v>-82.622337</v>
      </c>
      <c r="O525" s="13"/>
      <c r="P525" s="47"/>
    </row>
    <row r="526" ht="33.75" customHeight="1">
      <c r="A526" s="41">
        <v>42771.0</v>
      </c>
      <c r="B526" s="16" t="s">
        <v>2193</v>
      </c>
      <c r="C526" s="13" t="s">
        <v>2206</v>
      </c>
      <c r="D526" s="16" t="s">
        <v>2195</v>
      </c>
      <c r="E526" s="13" t="s">
        <v>199</v>
      </c>
      <c r="F526" s="16">
        <v>28.254079</v>
      </c>
      <c r="G526" s="16">
        <v>-82.755547</v>
      </c>
      <c r="H526" s="16">
        <v>28.254079</v>
      </c>
      <c r="I526" s="16">
        <v>-82.755547</v>
      </c>
      <c r="J526" s="13" t="s">
        <v>2224</v>
      </c>
      <c r="K526" s="13" t="s">
        <v>2213</v>
      </c>
      <c r="L526" s="13">
        <v>1.0</v>
      </c>
      <c r="M526" s="16">
        <v>28.254079</v>
      </c>
      <c r="N526" s="16">
        <v>-82.755547</v>
      </c>
      <c r="O526" s="13" t="s">
        <v>2225</v>
      </c>
      <c r="P526" s="14"/>
    </row>
    <row r="527" ht="33.75" customHeight="1">
      <c r="A527" s="41">
        <v>42771.0</v>
      </c>
      <c r="B527" s="16" t="s">
        <v>2193</v>
      </c>
      <c r="C527" s="13" t="s">
        <v>2206</v>
      </c>
      <c r="D527" s="16" t="s">
        <v>2195</v>
      </c>
      <c r="E527" s="13" t="s">
        <v>199</v>
      </c>
      <c r="F527" s="16">
        <v>28.270634</v>
      </c>
      <c r="G527" s="16">
        <v>-82.726536</v>
      </c>
      <c r="H527" s="16">
        <v>28.270634</v>
      </c>
      <c r="I527" s="16">
        <v>-82.726536</v>
      </c>
      <c r="J527" s="13" t="s">
        <v>2226</v>
      </c>
      <c r="K527" s="13" t="s">
        <v>2213</v>
      </c>
      <c r="L527" s="13">
        <v>1.0</v>
      </c>
      <c r="M527" s="16">
        <v>28.270634</v>
      </c>
      <c r="N527" s="16">
        <v>-82.726536</v>
      </c>
      <c r="O527" s="13" t="s">
        <v>2227</v>
      </c>
      <c r="P527" s="14"/>
    </row>
    <row r="528" ht="33.75" customHeight="1">
      <c r="A528" s="41">
        <v>42771.0</v>
      </c>
      <c r="B528" s="16" t="s">
        <v>2193</v>
      </c>
      <c r="C528" s="13" t="s">
        <v>2206</v>
      </c>
      <c r="D528" s="16" t="s">
        <v>2195</v>
      </c>
      <c r="E528" s="13" t="s">
        <v>199</v>
      </c>
      <c r="F528" s="16">
        <v>28.270634</v>
      </c>
      <c r="G528" s="13">
        <v>-82.726536</v>
      </c>
      <c r="H528" s="16">
        <v>28.270634</v>
      </c>
      <c r="I528" s="16">
        <v>-82.726536</v>
      </c>
      <c r="J528" s="13" t="s">
        <v>2226</v>
      </c>
      <c r="K528" s="13" t="s">
        <v>2213</v>
      </c>
      <c r="L528" s="13">
        <v>1.0</v>
      </c>
      <c r="M528" s="16">
        <v>28.270634</v>
      </c>
      <c r="N528" s="16">
        <v>-82.726536</v>
      </c>
      <c r="O528" s="13" t="s">
        <v>2229</v>
      </c>
      <c r="P528" s="14"/>
    </row>
    <row r="529" ht="33.75" customHeight="1">
      <c r="A529" s="41">
        <v>42772.0</v>
      </c>
      <c r="B529" s="16" t="s">
        <v>2193</v>
      </c>
      <c r="C529" s="16" t="s">
        <v>2230</v>
      </c>
      <c r="D529" s="16" t="s">
        <v>2195</v>
      </c>
      <c r="E529" s="16" t="s">
        <v>199</v>
      </c>
      <c r="F529" s="16">
        <v>28.238978</v>
      </c>
      <c r="G529" s="16">
        <v>-82.763615</v>
      </c>
      <c r="H529" s="16">
        <v>28.238978</v>
      </c>
      <c r="I529" s="16">
        <v>-82.763615</v>
      </c>
      <c r="J529" s="13" t="s">
        <v>2231</v>
      </c>
      <c r="K529" s="13" t="s">
        <v>2232</v>
      </c>
      <c r="L529" s="13">
        <v>1.0</v>
      </c>
      <c r="M529" s="16">
        <v>28.238978</v>
      </c>
      <c r="N529" s="16">
        <v>-82.763615</v>
      </c>
      <c r="O529" s="13" t="s">
        <v>2233</v>
      </c>
      <c r="P529" s="14"/>
    </row>
    <row r="530" ht="33.75" customHeight="1">
      <c r="A530" s="41">
        <v>42772.0</v>
      </c>
      <c r="B530" s="16" t="s">
        <v>2193</v>
      </c>
      <c r="C530" s="16" t="s">
        <v>2230</v>
      </c>
      <c r="D530" s="16" t="s">
        <v>2195</v>
      </c>
      <c r="E530" s="16" t="s">
        <v>199</v>
      </c>
      <c r="F530" s="16">
        <v>28.40502</v>
      </c>
      <c r="G530" s="16">
        <v>-82.671947</v>
      </c>
      <c r="H530" s="16">
        <v>28.40502</v>
      </c>
      <c r="I530" s="16">
        <v>-82.671947</v>
      </c>
      <c r="J530" s="13" t="s">
        <v>2234</v>
      </c>
      <c r="K530" s="13" t="s">
        <v>2235</v>
      </c>
      <c r="L530" s="13">
        <v>1.0</v>
      </c>
      <c r="M530" s="16">
        <v>28.40502</v>
      </c>
      <c r="N530" s="16">
        <v>-82.671947</v>
      </c>
      <c r="O530" s="13" t="s">
        <v>2236</v>
      </c>
      <c r="P530" s="14"/>
    </row>
    <row r="531" ht="33.75" customHeight="1">
      <c r="A531" s="41">
        <v>42772.0</v>
      </c>
      <c r="B531" s="16" t="s">
        <v>2193</v>
      </c>
      <c r="C531" s="16" t="s">
        <v>2230</v>
      </c>
      <c r="D531" s="16" t="s">
        <v>2195</v>
      </c>
      <c r="E531" s="16" t="s">
        <v>199</v>
      </c>
      <c r="F531" s="16">
        <v>28.40502</v>
      </c>
      <c r="G531" s="16">
        <v>-82.671947</v>
      </c>
      <c r="H531" s="16">
        <v>28.40502</v>
      </c>
      <c r="I531" s="16">
        <v>-82.671947</v>
      </c>
      <c r="J531" s="13" t="s">
        <v>2234</v>
      </c>
      <c r="K531" s="13" t="s">
        <v>2235</v>
      </c>
      <c r="L531" s="13">
        <v>1.0</v>
      </c>
      <c r="M531" s="16">
        <v>28.40502</v>
      </c>
      <c r="N531" s="16">
        <v>-82.671947</v>
      </c>
      <c r="O531" s="13" t="s">
        <v>2238</v>
      </c>
      <c r="P531" s="14"/>
    </row>
    <row r="532" ht="33.75" customHeight="1">
      <c r="A532" s="41">
        <v>42772.0</v>
      </c>
      <c r="B532" s="16" t="s">
        <v>2193</v>
      </c>
      <c r="C532" s="16" t="s">
        <v>2230</v>
      </c>
      <c r="D532" s="16" t="s">
        <v>2195</v>
      </c>
      <c r="E532" s="16" t="s">
        <v>199</v>
      </c>
      <c r="F532" s="16">
        <v>28.40502</v>
      </c>
      <c r="G532" s="16">
        <v>-82.671947</v>
      </c>
      <c r="H532" s="16">
        <v>28.40502</v>
      </c>
      <c r="I532" s="16">
        <v>-82.671947</v>
      </c>
      <c r="J532" s="13" t="s">
        <v>2234</v>
      </c>
      <c r="K532" s="13" t="s">
        <v>2235</v>
      </c>
      <c r="L532" s="13">
        <v>1.0</v>
      </c>
      <c r="M532" s="16">
        <v>28.40502</v>
      </c>
      <c r="N532" s="16">
        <v>-82.671947</v>
      </c>
      <c r="O532" s="13" t="s">
        <v>1170</v>
      </c>
      <c r="P532" s="47"/>
    </row>
    <row r="533" ht="33.75" customHeight="1">
      <c r="A533" s="41">
        <v>42772.0</v>
      </c>
      <c r="B533" s="16" t="s">
        <v>2193</v>
      </c>
      <c r="C533" s="16" t="s">
        <v>2230</v>
      </c>
      <c r="D533" s="16" t="s">
        <v>2195</v>
      </c>
      <c r="E533" s="16" t="s">
        <v>199</v>
      </c>
      <c r="F533" s="16">
        <v>28.190778</v>
      </c>
      <c r="G533" s="16">
        <v>-82.786102</v>
      </c>
      <c r="H533" s="16">
        <v>28.190778</v>
      </c>
      <c r="I533" s="16">
        <v>-82.786102</v>
      </c>
      <c r="J533" s="13" t="s">
        <v>2239</v>
      </c>
      <c r="K533" s="13" t="s">
        <v>2213</v>
      </c>
      <c r="L533" s="13">
        <v>1.0</v>
      </c>
      <c r="M533" s="16">
        <v>28.190778</v>
      </c>
      <c r="N533" s="16">
        <v>-82.786102</v>
      </c>
      <c r="O533" s="13" t="s">
        <v>2240</v>
      </c>
      <c r="P533" s="47"/>
    </row>
    <row r="534" ht="33.75" customHeight="1">
      <c r="A534" s="41">
        <v>42772.0</v>
      </c>
      <c r="B534" s="16" t="s">
        <v>2193</v>
      </c>
      <c r="C534" s="16" t="s">
        <v>2230</v>
      </c>
      <c r="D534" s="16" t="s">
        <v>2195</v>
      </c>
      <c r="E534" s="16" t="s">
        <v>199</v>
      </c>
      <c r="F534" s="16">
        <v>28.209386</v>
      </c>
      <c r="G534" s="16">
        <v>-82.660275</v>
      </c>
      <c r="H534" s="16">
        <v>28.209386</v>
      </c>
      <c r="I534" s="16">
        <v>-82.660275</v>
      </c>
      <c r="J534" s="13" t="s">
        <v>2241</v>
      </c>
      <c r="K534" s="13" t="s">
        <v>2213</v>
      </c>
      <c r="L534" s="13">
        <v>1.0</v>
      </c>
      <c r="M534" s="16">
        <v>28.209386</v>
      </c>
      <c r="N534" s="16">
        <v>-82.660275</v>
      </c>
      <c r="O534" s="13" t="s">
        <v>2242</v>
      </c>
      <c r="P534" s="47"/>
    </row>
    <row r="535" ht="33.75" customHeight="1">
      <c r="A535" s="41">
        <v>42772.0</v>
      </c>
      <c r="B535" s="16" t="s">
        <v>2193</v>
      </c>
      <c r="C535" s="16" t="s">
        <v>2230</v>
      </c>
      <c r="D535" s="16" t="s">
        <v>2195</v>
      </c>
      <c r="E535" s="16" t="s">
        <v>199</v>
      </c>
      <c r="F535" s="16">
        <v>28.36514</v>
      </c>
      <c r="G535" s="16">
        <v>-82.707996</v>
      </c>
      <c r="H535" s="16">
        <v>28.36514</v>
      </c>
      <c r="I535" s="16">
        <v>-82.707996</v>
      </c>
      <c r="J535" s="13" t="s">
        <v>2243</v>
      </c>
      <c r="K535" s="13" t="s">
        <v>2213</v>
      </c>
      <c r="L535" s="13">
        <v>1.0</v>
      </c>
      <c r="M535" s="16">
        <v>28.36514</v>
      </c>
      <c r="N535" s="16">
        <v>-82.707996</v>
      </c>
      <c r="O535" s="13" t="s">
        <v>2244</v>
      </c>
      <c r="P535" s="47"/>
    </row>
    <row r="536" ht="33.75" customHeight="1">
      <c r="A536" s="11">
        <v>42769.0</v>
      </c>
      <c r="B536" s="13" t="s">
        <v>726</v>
      </c>
      <c r="C536" s="13" t="s">
        <v>727</v>
      </c>
      <c r="D536" s="13" t="s">
        <v>728</v>
      </c>
      <c r="E536" s="13" t="s">
        <v>244</v>
      </c>
      <c r="F536" s="13">
        <v>28.1054</v>
      </c>
      <c r="G536" s="13" t="s">
        <v>2245</v>
      </c>
      <c r="H536" s="13">
        <v>28.11806</v>
      </c>
      <c r="I536" s="14">
        <v>-82.83756</v>
      </c>
      <c r="J536" s="13" t="s">
        <v>2246</v>
      </c>
      <c r="K536" s="13" t="s">
        <v>2247</v>
      </c>
      <c r="L536" s="13">
        <v>1.0</v>
      </c>
      <c r="M536" s="13">
        <v>28.112</v>
      </c>
      <c r="N536" s="13">
        <v>-82.83761</v>
      </c>
      <c r="O536" s="13" t="s">
        <v>2248</v>
      </c>
      <c r="P536" s="13" t="s">
        <v>2180</v>
      </c>
    </row>
    <row r="537" ht="33.75" customHeight="1">
      <c r="A537" s="11">
        <v>42769.0</v>
      </c>
      <c r="B537" s="13" t="s">
        <v>726</v>
      </c>
      <c r="C537" s="13" t="s">
        <v>727</v>
      </c>
      <c r="D537" s="13" t="s">
        <v>728</v>
      </c>
      <c r="E537" s="13" t="s">
        <v>244</v>
      </c>
      <c r="F537" s="13">
        <v>28.1054</v>
      </c>
      <c r="G537" s="13" t="s">
        <v>2245</v>
      </c>
      <c r="H537" s="13">
        <v>28.11806</v>
      </c>
      <c r="I537" s="14">
        <v>-82.83756</v>
      </c>
      <c r="J537" s="13" t="s">
        <v>2246</v>
      </c>
      <c r="K537" s="13" t="s">
        <v>2247</v>
      </c>
      <c r="L537" s="13">
        <v>3.0</v>
      </c>
      <c r="M537" s="13">
        <v>28.11806</v>
      </c>
      <c r="N537" s="13">
        <v>-82.83756</v>
      </c>
      <c r="O537" s="13" t="s">
        <v>2249</v>
      </c>
      <c r="P537" s="13"/>
    </row>
    <row r="538" ht="33.75" customHeight="1">
      <c r="A538" s="11">
        <v>42769.0</v>
      </c>
      <c r="B538" s="13" t="s">
        <v>726</v>
      </c>
      <c r="C538" s="13" t="s">
        <v>727</v>
      </c>
      <c r="D538" s="13" t="s">
        <v>728</v>
      </c>
      <c r="E538" s="13" t="s">
        <v>244</v>
      </c>
      <c r="F538" s="13">
        <v>28.1054</v>
      </c>
      <c r="G538" s="13" t="s">
        <v>2245</v>
      </c>
      <c r="H538" s="13">
        <v>28.11806</v>
      </c>
      <c r="I538" s="14">
        <v>-82.83756</v>
      </c>
      <c r="J538" s="13" t="s">
        <v>2246</v>
      </c>
      <c r="K538" s="13" t="s">
        <v>2247</v>
      </c>
      <c r="L538" s="13">
        <v>4.0</v>
      </c>
      <c r="M538" s="14">
        <v>28.11088</v>
      </c>
      <c r="N538" s="14">
        <v>-82.83669</v>
      </c>
      <c r="O538" s="13" t="s">
        <v>2250</v>
      </c>
      <c r="P538" s="13" t="s">
        <v>2180</v>
      </c>
    </row>
    <row r="539" ht="33.75" customHeight="1">
      <c r="A539" s="11">
        <v>42769.0</v>
      </c>
      <c r="B539" s="13" t="s">
        <v>1007</v>
      </c>
      <c r="C539" s="13" t="s">
        <v>1008</v>
      </c>
      <c r="D539" s="13" t="s">
        <v>1009</v>
      </c>
      <c r="E539" s="13" t="s">
        <v>244</v>
      </c>
      <c r="F539" s="13">
        <v>28.157</v>
      </c>
      <c r="G539" s="13">
        <v>-82.83643</v>
      </c>
      <c r="H539" s="13">
        <v>28.1761</v>
      </c>
      <c r="I539" s="14">
        <v>-82.8503</v>
      </c>
      <c r="J539" s="13" t="s">
        <v>2251</v>
      </c>
      <c r="K539" s="13" t="s">
        <v>2252</v>
      </c>
      <c r="L539" s="13">
        <v>5.0</v>
      </c>
      <c r="M539" s="14">
        <v>28.15771</v>
      </c>
      <c r="N539" s="14">
        <v>-82.84243</v>
      </c>
      <c r="O539" s="13" t="s">
        <v>1680</v>
      </c>
      <c r="P539" s="13" t="s">
        <v>2180</v>
      </c>
    </row>
    <row r="540" ht="33.75" customHeight="1">
      <c r="A540" s="11">
        <v>42769.0</v>
      </c>
      <c r="B540" s="13" t="s">
        <v>2253</v>
      </c>
      <c r="C540" s="13" t="s">
        <v>2254</v>
      </c>
      <c r="D540" s="13" t="s">
        <v>2255</v>
      </c>
      <c r="E540" s="13" t="s">
        <v>244</v>
      </c>
      <c r="F540" s="13">
        <v>28.13186</v>
      </c>
      <c r="G540" s="13">
        <v>-82.82735</v>
      </c>
      <c r="H540" s="13">
        <v>28.13186</v>
      </c>
      <c r="I540" s="13">
        <v>-82.82735</v>
      </c>
      <c r="J540" s="13" t="s">
        <v>2256</v>
      </c>
      <c r="K540" s="13" t="s">
        <v>2257</v>
      </c>
      <c r="L540" s="13">
        <v>2.0</v>
      </c>
      <c r="M540" s="13">
        <v>28.12767</v>
      </c>
      <c r="N540" s="13">
        <v>-82.83432</v>
      </c>
      <c r="O540" s="13" t="s">
        <v>1680</v>
      </c>
      <c r="P540" s="13" t="s">
        <v>2180</v>
      </c>
    </row>
    <row r="541" ht="33.75" customHeight="1">
      <c r="A541" s="15">
        <v>42769.0</v>
      </c>
      <c r="B541" s="16" t="s">
        <v>747</v>
      </c>
      <c r="C541" s="16" t="s">
        <v>749</v>
      </c>
      <c r="D541" s="16" t="s">
        <v>751</v>
      </c>
      <c r="E541" s="16" t="s">
        <v>244</v>
      </c>
      <c r="F541" s="17">
        <v>28.04864</v>
      </c>
      <c r="G541" s="17">
        <v>-82.81673</v>
      </c>
      <c r="H541" s="17">
        <v>28.01926</v>
      </c>
      <c r="I541" s="14">
        <v>-82.8268</v>
      </c>
      <c r="J541" s="13" t="s">
        <v>2260</v>
      </c>
      <c r="K541" s="13" t="s">
        <v>2261</v>
      </c>
      <c r="L541" s="13">
        <v>4.0</v>
      </c>
      <c r="M541" s="17">
        <v>28.04321</v>
      </c>
      <c r="N541" s="17">
        <v>-82.82058</v>
      </c>
      <c r="O541" s="13" t="s">
        <v>1316</v>
      </c>
      <c r="P541" s="67"/>
    </row>
    <row r="542" ht="33.75" customHeight="1">
      <c r="A542" s="11">
        <v>42769.0</v>
      </c>
      <c r="B542" s="13" t="s">
        <v>2253</v>
      </c>
      <c r="C542" s="13" t="s">
        <v>2254</v>
      </c>
      <c r="D542" s="13" t="s">
        <v>2255</v>
      </c>
      <c r="E542" s="13" t="s">
        <v>244</v>
      </c>
      <c r="F542" s="13">
        <v>28.13186</v>
      </c>
      <c r="G542" s="13">
        <v>-82.82735</v>
      </c>
      <c r="H542" s="13">
        <v>28.13186</v>
      </c>
      <c r="I542" s="13">
        <v>-82.82735</v>
      </c>
      <c r="J542" s="13" t="s">
        <v>2256</v>
      </c>
      <c r="K542" s="13" t="s">
        <v>2257</v>
      </c>
      <c r="L542" s="13">
        <v>3.0</v>
      </c>
      <c r="M542" s="13">
        <v>28.1262</v>
      </c>
      <c r="N542" s="13">
        <v>-82.83498</v>
      </c>
      <c r="O542" s="13" t="s">
        <v>1316</v>
      </c>
      <c r="P542" s="13" t="s">
        <v>2180</v>
      </c>
    </row>
    <row r="543" ht="33.75" customHeight="1">
      <c r="A543" s="15">
        <v>42769.0</v>
      </c>
      <c r="B543" s="16" t="s">
        <v>747</v>
      </c>
      <c r="C543" s="16" t="s">
        <v>749</v>
      </c>
      <c r="D543" s="16" t="s">
        <v>751</v>
      </c>
      <c r="E543" s="16" t="s">
        <v>244</v>
      </c>
      <c r="F543" s="17">
        <v>28.04864</v>
      </c>
      <c r="G543" s="17">
        <v>-82.81673</v>
      </c>
      <c r="H543" s="17">
        <v>28.01926</v>
      </c>
      <c r="I543" s="14">
        <v>-82.8268</v>
      </c>
      <c r="J543" s="13" t="s">
        <v>2260</v>
      </c>
      <c r="K543" s="13" t="s">
        <v>2261</v>
      </c>
      <c r="L543" s="13">
        <v>5.0</v>
      </c>
      <c r="M543" s="17">
        <v>28.02937</v>
      </c>
      <c r="N543" s="17">
        <v>-82.82375</v>
      </c>
      <c r="O543" s="13" t="s">
        <v>2269</v>
      </c>
      <c r="P543" s="13" t="s">
        <v>2270</v>
      </c>
    </row>
    <row r="544" ht="33.75" customHeight="1">
      <c r="A544" s="15">
        <v>42769.0</v>
      </c>
      <c r="B544" s="16" t="s">
        <v>1118</v>
      </c>
      <c r="C544" s="16" t="s">
        <v>749</v>
      </c>
      <c r="D544" s="16" t="s">
        <v>2271</v>
      </c>
      <c r="E544" s="16" t="s">
        <v>244</v>
      </c>
      <c r="F544" s="17">
        <v>28.03216</v>
      </c>
      <c r="G544" s="17">
        <v>-82.82265</v>
      </c>
      <c r="H544" s="17">
        <v>28.05841</v>
      </c>
      <c r="I544" s="14">
        <v>-82.80975</v>
      </c>
      <c r="J544" s="13" t="s">
        <v>2272</v>
      </c>
      <c r="K544" s="13" t="s">
        <v>2273</v>
      </c>
      <c r="L544" s="13">
        <v>1.0</v>
      </c>
      <c r="M544" s="14">
        <v>28.05539</v>
      </c>
      <c r="N544" s="14">
        <v>-82.80624</v>
      </c>
      <c r="O544" s="13" t="s">
        <v>2274</v>
      </c>
      <c r="P544" s="13" t="s">
        <v>2180</v>
      </c>
    </row>
    <row r="545" ht="33.75" customHeight="1">
      <c r="A545" s="41">
        <v>42769.0</v>
      </c>
      <c r="B545" s="16" t="s">
        <v>2275</v>
      </c>
      <c r="C545" s="16" t="s">
        <v>2276</v>
      </c>
      <c r="D545" s="16" t="s">
        <v>2277</v>
      </c>
      <c r="E545" s="16" t="s">
        <v>244</v>
      </c>
      <c r="F545" s="17">
        <v>27.7807</v>
      </c>
      <c r="G545" s="17">
        <v>-82.7836</v>
      </c>
      <c r="H545" s="17">
        <v>27.7555</v>
      </c>
      <c r="I545" s="14">
        <v>82.7652</v>
      </c>
      <c r="J545" s="13" t="s">
        <v>2278</v>
      </c>
      <c r="K545" s="13" t="s">
        <v>2279</v>
      </c>
      <c r="L545" s="13">
        <v>1.0</v>
      </c>
      <c r="M545" s="14">
        <v>27.7744</v>
      </c>
      <c r="N545" s="14">
        <v>-82.7803</v>
      </c>
      <c r="O545" s="13" t="s">
        <v>2280</v>
      </c>
      <c r="P545" s="13" t="s">
        <v>563</v>
      </c>
    </row>
    <row r="546" ht="33.75" customHeight="1">
      <c r="A546" s="11">
        <v>42769.0</v>
      </c>
      <c r="B546" s="13" t="s">
        <v>2253</v>
      </c>
      <c r="C546" s="13" t="s">
        <v>2254</v>
      </c>
      <c r="D546" s="13" t="s">
        <v>2255</v>
      </c>
      <c r="E546" s="13" t="s">
        <v>244</v>
      </c>
      <c r="F546" s="13">
        <v>28.13186</v>
      </c>
      <c r="G546" s="13">
        <v>-82.82735</v>
      </c>
      <c r="H546" s="13">
        <v>28.13186</v>
      </c>
      <c r="I546" s="13">
        <v>-82.82735</v>
      </c>
      <c r="J546" s="13" t="s">
        <v>2256</v>
      </c>
      <c r="K546" s="13" t="s">
        <v>2257</v>
      </c>
      <c r="L546" s="13">
        <v>1.0</v>
      </c>
      <c r="M546" s="13">
        <v>28.13186</v>
      </c>
      <c r="N546" s="13">
        <v>-82.82734</v>
      </c>
      <c r="O546" s="13" t="s">
        <v>2281</v>
      </c>
      <c r="P546" s="13"/>
    </row>
    <row r="547" ht="33.75" customHeight="1">
      <c r="A547" s="11">
        <v>42769.0</v>
      </c>
      <c r="B547" s="13" t="s">
        <v>1007</v>
      </c>
      <c r="C547" s="13" t="s">
        <v>1008</v>
      </c>
      <c r="D547" s="13" t="s">
        <v>1009</v>
      </c>
      <c r="E547" s="13" t="s">
        <v>244</v>
      </c>
      <c r="F547" s="13">
        <v>28.157</v>
      </c>
      <c r="G547" s="13">
        <v>-82.83643</v>
      </c>
      <c r="H547" s="13">
        <v>28.1761</v>
      </c>
      <c r="I547" s="14">
        <v>-82.8503</v>
      </c>
      <c r="J547" s="13" t="s">
        <v>2251</v>
      </c>
      <c r="K547" s="13" t="s">
        <v>2252</v>
      </c>
      <c r="L547" s="13">
        <v>2.0</v>
      </c>
      <c r="M547" s="14">
        <v>28.164777</v>
      </c>
      <c r="N547" s="14">
        <v>-82.8429</v>
      </c>
      <c r="O547" s="13" t="s">
        <v>2282</v>
      </c>
      <c r="P547" s="13"/>
    </row>
    <row r="548" ht="33.75" customHeight="1">
      <c r="A548" s="15">
        <v>42769.0</v>
      </c>
      <c r="B548" s="16" t="s">
        <v>747</v>
      </c>
      <c r="C548" s="16" t="s">
        <v>749</v>
      </c>
      <c r="D548" s="16" t="s">
        <v>751</v>
      </c>
      <c r="E548" s="16" t="s">
        <v>244</v>
      </c>
      <c r="F548" s="17">
        <v>28.04864</v>
      </c>
      <c r="G548" s="17">
        <v>-82.81673</v>
      </c>
      <c r="H548" s="17">
        <v>28.01926</v>
      </c>
      <c r="I548" s="14">
        <v>-82.8268</v>
      </c>
      <c r="J548" s="13" t="s">
        <v>2260</v>
      </c>
      <c r="K548" s="13" t="s">
        <v>2261</v>
      </c>
      <c r="L548" s="16">
        <v>2.0</v>
      </c>
      <c r="M548" s="17">
        <v>28.04899</v>
      </c>
      <c r="N548" s="17">
        <v>-82.8168</v>
      </c>
      <c r="O548" s="16" t="s">
        <v>850</v>
      </c>
      <c r="P548" s="16" t="s">
        <v>2283</v>
      </c>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80"/>
      <c r="AQ548" s="80"/>
      <c r="AR548" s="80"/>
      <c r="AS548" s="80"/>
      <c r="AT548" s="80"/>
      <c r="AU548" s="80"/>
      <c r="AV548" s="80"/>
      <c r="AW548" s="80"/>
      <c r="AX548" s="80"/>
      <c r="AY548" s="80"/>
      <c r="AZ548" s="80"/>
      <c r="BA548" s="80"/>
      <c r="BB548" s="80"/>
      <c r="BC548" s="80"/>
      <c r="BD548" s="80"/>
      <c r="BE548" s="80"/>
      <c r="BF548" s="80"/>
      <c r="BG548" s="80"/>
      <c r="BH548" s="80"/>
      <c r="BI548" s="80"/>
      <c r="BJ548" s="80"/>
      <c r="BK548" s="80"/>
      <c r="BL548" s="80"/>
      <c r="BM548" s="80"/>
      <c r="BN548" s="80"/>
      <c r="BO548" s="80"/>
    </row>
    <row r="549" ht="33.75" customHeight="1">
      <c r="A549" s="41">
        <v>42769.0</v>
      </c>
      <c r="B549" s="16" t="s">
        <v>2288</v>
      </c>
      <c r="C549" s="16" t="s">
        <v>2289</v>
      </c>
      <c r="D549" s="16" t="s">
        <v>2290</v>
      </c>
      <c r="E549" s="16" t="s">
        <v>244</v>
      </c>
      <c r="F549" s="17">
        <v>28.05586</v>
      </c>
      <c r="G549" s="17">
        <v>-8281619.0</v>
      </c>
      <c r="H549" s="17">
        <v>28.08028</v>
      </c>
      <c r="I549" s="14">
        <v>-82.78882</v>
      </c>
      <c r="J549" s="13" t="s">
        <v>2291</v>
      </c>
      <c r="K549" s="13" t="s">
        <v>2292</v>
      </c>
      <c r="L549" s="13">
        <v>5.0</v>
      </c>
      <c r="M549" s="14">
        <v>28.08025</v>
      </c>
      <c r="N549" s="14">
        <v>-82.78882</v>
      </c>
      <c r="O549" s="13" t="s">
        <v>850</v>
      </c>
      <c r="P549" s="13" t="s">
        <v>2180</v>
      </c>
    </row>
    <row r="550" ht="33.75" customHeight="1">
      <c r="A550" s="11">
        <v>42769.0</v>
      </c>
      <c r="B550" s="13" t="s">
        <v>2253</v>
      </c>
      <c r="C550" s="13" t="s">
        <v>2254</v>
      </c>
      <c r="D550" s="13" t="s">
        <v>2255</v>
      </c>
      <c r="E550" s="13" t="s">
        <v>244</v>
      </c>
      <c r="F550" s="13">
        <v>28.13186</v>
      </c>
      <c r="G550" s="13">
        <v>-82.82735</v>
      </c>
      <c r="H550" s="13">
        <v>28.13186</v>
      </c>
      <c r="I550" s="13">
        <v>-82.82735</v>
      </c>
      <c r="J550" s="13" t="s">
        <v>2256</v>
      </c>
      <c r="K550" s="13" t="s">
        <v>2257</v>
      </c>
      <c r="L550" s="13">
        <v>4.0</v>
      </c>
      <c r="M550" s="13">
        <v>28.12607</v>
      </c>
      <c r="N550" s="13">
        <v>-82.83504</v>
      </c>
      <c r="O550" s="13" t="s">
        <v>2293</v>
      </c>
      <c r="P550" s="13" t="s">
        <v>2180</v>
      </c>
    </row>
    <row r="551" ht="33.75" customHeight="1">
      <c r="A551" s="11">
        <v>42769.0</v>
      </c>
      <c r="B551" s="13" t="s">
        <v>1007</v>
      </c>
      <c r="C551" s="13" t="s">
        <v>1008</v>
      </c>
      <c r="D551" s="13" t="s">
        <v>1009</v>
      </c>
      <c r="E551" s="13" t="s">
        <v>244</v>
      </c>
      <c r="F551" s="13">
        <v>28.157</v>
      </c>
      <c r="G551" s="13">
        <v>-82.83643</v>
      </c>
      <c r="H551" s="13">
        <v>28.1761</v>
      </c>
      <c r="I551" s="14">
        <v>-82.8503</v>
      </c>
      <c r="J551" s="13" t="s">
        <v>2251</v>
      </c>
      <c r="K551" s="13" t="s">
        <v>2252</v>
      </c>
      <c r="L551" s="13">
        <v>3.0</v>
      </c>
      <c r="M551" s="14">
        <v>28.1602</v>
      </c>
      <c r="N551" s="14">
        <v>-82.84335</v>
      </c>
      <c r="O551" s="13" t="s">
        <v>2295</v>
      </c>
      <c r="P551" s="13" t="s">
        <v>2296</v>
      </c>
    </row>
    <row r="552" ht="33.75" customHeight="1">
      <c r="A552" s="11">
        <v>42769.0</v>
      </c>
      <c r="B552" s="13" t="s">
        <v>1007</v>
      </c>
      <c r="C552" s="13" t="s">
        <v>1008</v>
      </c>
      <c r="D552" s="13" t="s">
        <v>1009</v>
      </c>
      <c r="E552" s="13" t="s">
        <v>244</v>
      </c>
      <c r="F552" s="13">
        <v>28.157</v>
      </c>
      <c r="G552" s="13">
        <v>-82.83643</v>
      </c>
      <c r="H552" s="13">
        <v>28.1761</v>
      </c>
      <c r="I552" s="14">
        <v>-82.8503</v>
      </c>
      <c r="J552" s="13" t="s">
        <v>2251</v>
      </c>
      <c r="K552" s="13" t="s">
        <v>2252</v>
      </c>
      <c r="L552" s="13">
        <v>4.0</v>
      </c>
      <c r="M552" s="14">
        <v>28.16285</v>
      </c>
      <c r="N552" s="14">
        <v>-82.84487</v>
      </c>
      <c r="O552" s="13" t="s">
        <v>2297</v>
      </c>
      <c r="P552" s="13" t="s">
        <v>2298</v>
      </c>
    </row>
    <row r="553" ht="33.75" customHeight="1">
      <c r="A553" s="41">
        <v>42769.0</v>
      </c>
      <c r="B553" s="16" t="s">
        <v>2288</v>
      </c>
      <c r="C553" s="16" t="s">
        <v>2289</v>
      </c>
      <c r="D553" s="16" t="s">
        <v>2290</v>
      </c>
      <c r="E553" s="16" t="s">
        <v>244</v>
      </c>
      <c r="F553" s="17">
        <v>28.05586</v>
      </c>
      <c r="G553" s="17">
        <v>-8281619.0</v>
      </c>
      <c r="H553" s="17">
        <v>28.08028</v>
      </c>
      <c r="I553" s="14">
        <v>-82.78882</v>
      </c>
      <c r="J553" s="13" t="s">
        <v>2291</v>
      </c>
      <c r="K553" s="13" t="s">
        <v>2292</v>
      </c>
      <c r="L553" s="13">
        <v>1.0</v>
      </c>
      <c r="M553" s="14">
        <v>28.05984</v>
      </c>
      <c r="N553" s="14">
        <v>-82.82813</v>
      </c>
      <c r="O553" s="13" t="s">
        <v>2299</v>
      </c>
      <c r="P553" s="13" t="s">
        <v>2180</v>
      </c>
    </row>
    <row r="554" ht="33.75" customHeight="1">
      <c r="A554" s="11">
        <v>42769.0</v>
      </c>
      <c r="B554" s="13" t="s">
        <v>726</v>
      </c>
      <c r="C554" s="13" t="s">
        <v>727</v>
      </c>
      <c r="D554" s="13" t="s">
        <v>728</v>
      </c>
      <c r="E554" s="13" t="s">
        <v>244</v>
      </c>
      <c r="F554" s="13">
        <v>28.1054</v>
      </c>
      <c r="G554" s="13" t="s">
        <v>2245</v>
      </c>
      <c r="H554" s="13">
        <v>28.11806</v>
      </c>
      <c r="I554" s="14">
        <v>-82.83756</v>
      </c>
      <c r="J554" s="13" t="s">
        <v>2246</v>
      </c>
      <c r="K554" s="13" t="s">
        <v>2247</v>
      </c>
      <c r="L554" s="13">
        <v>2.0</v>
      </c>
      <c r="M554" s="13">
        <v>28.11381</v>
      </c>
      <c r="N554" s="13">
        <v>-82.83761</v>
      </c>
      <c r="O554" s="13" t="s">
        <v>2300</v>
      </c>
      <c r="P554" s="13" t="s">
        <v>2301</v>
      </c>
    </row>
    <row r="555" ht="33.75" customHeight="1">
      <c r="A555" s="41">
        <v>42769.0</v>
      </c>
      <c r="B555" s="16" t="s">
        <v>2288</v>
      </c>
      <c r="C555" s="16" t="s">
        <v>2289</v>
      </c>
      <c r="D555" s="16" t="s">
        <v>2290</v>
      </c>
      <c r="E555" s="16" t="s">
        <v>244</v>
      </c>
      <c r="F555" s="17">
        <v>28.05586</v>
      </c>
      <c r="G555" s="17">
        <v>-8281619.0</v>
      </c>
      <c r="H555" s="17">
        <v>28.08028</v>
      </c>
      <c r="I555" s="14">
        <v>-82.78882</v>
      </c>
      <c r="J555" s="13" t="s">
        <v>2291</v>
      </c>
      <c r="K555" s="13" t="s">
        <v>2292</v>
      </c>
      <c r="L555" s="13">
        <v>4.0</v>
      </c>
      <c r="M555" s="14">
        <v>28.09931</v>
      </c>
      <c r="N555" s="14">
        <v>-82.83524</v>
      </c>
      <c r="O555" s="13" t="s">
        <v>2302</v>
      </c>
      <c r="P555" s="13" t="s">
        <v>2180</v>
      </c>
    </row>
    <row r="556" ht="33.75" customHeight="1">
      <c r="A556" s="41">
        <v>42769.0</v>
      </c>
      <c r="B556" s="16" t="s">
        <v>2275</v>
      </c>
      <c r="C556" s="16" t="s">
        <v>2276</v>
      </c>
      <c r="D556" s="16" t="s">
        <v>2277</v>
      </c>
      <c r="E556" s="16" t="s">
        <v>244</v>
      </c>
      <c r="F556" s="17">
        <v>27.7807</v>
      </c>
      <c r="G556" s="17">
        <v>-82.7836</v>
      </c>
      <c r="H556" s="17">
        <v>27.7555</v>
      </c>
      <c r="I556" s="14">
        <v>-82.7652</v>
      </c>
      <c r="J556" s="13" t="s">
        <v>2278</v>
      </c>
      <c r="K556" s="13" t="s">
        <v>2303</v>
      </c>
      <c r="L556" s="13">
        <v>2.0</v>
      </c>
      <c r="M556" s="14">
        <v>27.763</v>
      </c>
      <c r="N556" s="14">
        <v>-82.7691</v>
      </c>
      <c r="O556" s="13" t="s">
        <v>2304</v>
      </c>
      <c r="P556" s="13" t="s">
        <v>563</v>
      </c>
    </row>
    <row r="557" ht="33.75" customHeight="1">
      <c r="A557" s="15">
        <v>42769.0</v>
      </c>
      <c r="B557" s="16" t="s">
        <v>747</v>
      </c>
      <c r="C557" s="16" t="s">
        <v>749</v>
      </c>
      <c r="D557" s="16" t="s">
        <v>751</v>
      </c>
      <c r="E557" s="16" t="s">
        <v>244</v>
      </c>
      <c r="F557" s="17">
        <v>28.04864</v>
      </c>
      <c r="G557" s="17">
        <v>-82.81673</v>
      </c>
      <c r="H557" s="17">
        <v>28.01926</v>
      </c>
      <c r="I557" s="14">
        <v>-82.8268</v>
      </c>
      <c r="J557" s="13" t="s">
        <v>2260</v>
      </c>
      <c r="K557" s="13" t="s">
        <v>2261</v>
      </c>
      <c r="L557" s="94">
        <v>3.0</v>
      </c>
      <c r="M557" s="17">
        <v>28.05014</v>
      </c>
      <c r="N557" s="17">
        <v>-82.81787</v>
      </c>
      <c r="O557" s="94" t="s">
        <v>2305</v>
      </c>
      <c r="P557" s="95"/>
      <c r="Q557" s="96"/>
      <c r="R557" s="96"/>
      <c r="S557" s="96"/>
      <c r="T557" s="96"/>
      <c r="U557" s="96"/>
      <c r="V557" s="96"/>
      <c r="W557" s="96"/>
      <c r="X557" s="96"/>
      <c r="Y557" s="96"/>
      <c r="Z557" s="96"/>
      <c r="AA557" s="96"/>
      <c r="AB557" s="96"/>
      <c r="AC557" s="96"/>
      <c r="AD557" s="96"/>
      <c r="AE557" s="96"/>
      <c r="AF557" s="96"/>
      <c r="AG557" s="96"/>
      <c r="AH557" s="96"/>
      <c r="AI557" s="96"/>
      <c r="AJ557" s="96"/>
      <c r="AK557" s="96"/>
      <c r="AL557" s="96"/>
      <c r="AM557" s="96"/>
      <c r="AN557" s="96"/>
      <c r="AO557" s="96"/>
      <c r="AP557" s="96"/>
      <c r="AQ557" s="96"/>
      <c r="AR557" s="96"/>
      <c r="AS557" s="96"/>
      <c r="AT557" s="96"/>
      <c r="AU557" s="96"/>
      <c r="AV557" s="96"/>
      <c r="AW557" s="96"/>
      <c r="AX557" s="96"/>
      <c r="AY557" s="96"/>
      <c r="AZ557" s="96"/>
      <c r="BA557" s="96"/>
      <c r="BB557" s="96"/>
      <c r="BC557" s="96"/>
      <c r="BD557" s="96"/>
      <c r="BE557" s="96"/>
      <c r="BF557" s="96"/>
      <c r="BG557" s="96"/>
      <c r="BH557" s="96"/>
      <c r="BI557" s="96"/>
      <c r="BJ557" s="96"/>
      <c r="BK557" s="96"/>
      <c r="BL557" s="96"/>
      <c r="BM557" s="96"/>
      <c r="BN557" s="96"/>
      <c r="BO557" s="96"/>
    </row>
    <row r="558" ht="33.75" customHeight="1">
      <c r="A558" s="41">
        <v>42769.0</v>
      </c>
      <c r="B558" s="16" t="s">
        <v>2288</v>
      </c>
      <c r="C558" s="16" t="s">
        <v>2289</v>
      </c>
      <c r="D558" s="16" t="s">
        <v>2290</v>
      </c>
      <c r="E558" s="16" t="s">
        <v>244</v>
      </c>
      <c r="F558" s="17">
        <v>28.05586</v>
      </c>
      <c r="G558" s="17">
        <v>-8281619.0</v>
      </c>
      <c r="H558" s="17">
        <v>28.08028</v>
      </c>
      <c r="I558" s="14">
        <v>-82.78882</v>
      </c>
      <c r="J558" s="13" t="s">
        <v>2291</v>
      </c>
      <c r="K558" s="13" t="s">
        <v>2292</v>
      </c>
      <c r="L558" s="13">
        <v>3.0</v>
      </c>
      <c r="M558" s="14">
        <v>28.08396</v>
      </c>
      <c r="N558" s="14">
        <v>-82.83614</v>
      </c>
      <c r="O558" s="13" t="s">
        <v>2306</v>
      </c>
      <c r="P558" s="13" t="s">
        <v>2180</v>
      </c>
    </row>
    <row r="559" ht="33.75" customHeight="1">
      <c r="A559" s="11">
        <v>42769.0</v>
      </c>
      <c r="B559" s="13" t="s">
        <v>1007</v>
      </c>
      <c r="C559" s="13" t="s">
        <v>1008</v>
      </c>
      <c r="D559" s="13" t="s">
        <v>1009</v>
      </c>
      <c r="E559" s="13" t="s">
        <v>244</v>
      </c>
      <c r="F559" s="13">
        <v>28.157</v>
      </c>
      <c r="G559" s="13">
        <v>-82.83643</v>
      </c>
      <c r="H559" s="13">
        <v>28.1761</v>
      </c>
      <c r="I559" s="14">
        <v>-82.8503</v>
      </c>
      <c r="J559" s="13" t="s">
        <v>2251</v>
      </c>
      <c r="K559" s="13" t="s">
        <v>2252</v>
      </c>
      <c r="L559" s="13">
        <v>1.0</v>
      </c>
      <c r="M559" s="14">
        <v>28.159222</v>
      </c>
      <c r="N559" s="14">
        <v>-82.838805</v>
      </c>
      <c r="O559" s="13" t="s">
        <v>2307</v>
      </c>
      <c r="P559" s="13" t="s">
        <v>563</v>
      </c>
    </row>
    <row r="560" ht="33.75" customHeight="1">
      <c r="A560" s="15">
        <v>42769.0</v>
      </c>
      <c r="B560" s="16" t="s">
        <v>747</v>
      </c>
      <c r="C560" s="16" t="s">
        <v>749</v>
      </c>
      <c r="D560" s="16" t="s">
        <v>751</v>
      </c>
      <c r="E560" s="16" t="s">
        <v>244</v>
      </c>
      <c r="F560" s="17">
        <v>28.04864</v>
      </c>
      <c r="G560" s="17">
        <v>-82.81673</v>
      </c>
      <c r="H560" s="17">
        <v>28.01926</v>
      </c>
      <c r="I560" s="14">
        <v>-82.8268</v>
      </c>
      <c r="J560" s="13" t="s">
        <v>2260</v>
      </c>
      <c r="K560" s="13" t="s">
        <v>2261</v>
      </c>
      <c r="L560" s="13">
        <v>1.0</v>
      </c>
      <c r="M560" s="14">
        <v>28.04948</v>
      </c>
      <c r="N560" s="14">
        <v>-82.81651</v>
      </c>
      <c r="O560" s="13" t="s">
        <v>2308</v>
      </c>
      <c r="P560" s="13" t="s">
        <v>2309</v>
      </c>
    </row>
    <row r="561" ht="33.75" customHeight="1">
      <c r="A561" s="41">
        <v>42769.0</v>
      </c>
      <c r="B561" s="16" t="s">
        <v>2288</v>
      </c>
      <c r="C561" s="16" t="s">
        <v>2289</v>
      </c>
      <c r="D561" s="16" t="s">
        <v>2290</v>
      </c>
      <c r="E561" s="16" t="s">
        <v>244</v>
      </c>
      <c r="F561" s="17">
        <v>28.05586</v>
      </c>
      <c r="G561" s="17">
        <v>-8281619.0</v>
      </c>
      <c r="H561" s="17">
        <v>28.08028</v>
      </c>
      <c r="I561" s="14">
        <v>-82.78882</v>
      </c>
      <c r="J561" s="13" t="s">
        <v>2291</v>
      </c>
      <c r="K561" s="13" t="s">
        <v>2292</v>
      </c>
      <c r="L561" s="13">
        <v>2.0</v>
      </c>
      <c r="M561" s="14">
        <v>28.07279</v>
      </c>
      <c r="N561" s="14">
        <v>-82.83512</v>
      </c>
      <c r="O561" s="13" t="s">
        <v>2310</v>
      </c>
      <c r="P561" s="13" t="s">
        <v>2180</v>
      </c>
    </row>
    <row r="562" ht="33.75" customHeight="1">
      <c r="A562" s="11">
        <v>42769.0</v>
      </c>
      <c r="B562" s="13" t="s">
        <v>18</v>
      </c>
      <c r="C562" s="13" t="s">
        <v>2311</v>
      </c>
      <c r="D562" s="13" t="s">
        <v>2312</v>
      </c>
      <c r="E562" s="13" t="s">
        <v>244</v>
      </c>
      <c r="F562" s="13">
        <v>27.6564</v>
      </c>
      <c r="G562" s="13">
        <v>82.8166</v>
      </c>
      <c r="H562" s="13">
        <v>27.99663</v>
      </c>
      <c r="I562" s="13">
        <v>82.82774</v>
      </c>
      <c r="J562" s="13" t="s">
        <v>2313</v>
      </c>
      <c r="K562" s="13" t="s">
        <v>2315</v>
      </c>
      <c r="L562" s="13">
        <v>1.0</v>
      </c>
      <c r="M562" s="13">
        <v>27.6515</v>
      </c>
      <c r="N562" s="13">
        <v>82.82008</v>
      </c>
      <c r="O562" s="13" t="s">
        <v>1680</v>
      </c>
      <c r="P562" s="14"/>
    </row>
    <row r="563" ht="33.75" customHeight="1">
      <c r="A563" s="42">
        <v>42770.0</v>
      </c>
      <c r="B563" s="60" t="s">
        <v>719</v>
      </c>
      <c r="C563" s="16" t="s">
        <v>2317</v>
      </c>
      <c r="D563" s="16" t="s">
        <v>721</v>
      </c>
      <c r="E563" s="16" t="s">
        <v>244</v>
      </c>
      <c r="F563" s="16">
        <v>28.15368</v>
      </c>
      <c r="G563" s="16">
        <v>-82.79293</v>
      </c>
      <c r="H563" s="13">
        <v>28.15401</v>
      </c>
      <c r="I563" s="13">
        <v>-82.80559</v>
      </c>
      <c r="J563" s="13">
        <v>1530.0</v>
      </c>
      <c r="K563" s="13">
        <v>1630.0</v>
      </c>
      <c r="L563" s="13">
        <v>1.0</v>
      </c>
      <c r="M563" s="13">
        <v>28.15377</v>
      </c>
      <c r="N563" s="13">
        <v>-82.80482</v>
      </c>
      <c r="O563" s="13" t="s">
        <v>2321</v>
      </c>
      <c r="P563" s="14" t="s">
        <v>2322</v>
      </c>
    </row>
    <row r="564" ht="33.75" customHeight="1">
      <c r="A564" s="68">
        <v>42771.0</v>
      </c>
      <c r="B564" s="34" t="s">
        <v>1738</v>
      </c>
      <c r="C564" s="34" t="s">
        <v>1740</v>
      </c>
      <c r="D564" s="34" t="s">
        <v>2324</v>
      </c>
      <c r="E564" s="34" t="s">
        <v>244</v>
      </c>
      <c r="F564" s="97">
        <v>27.541803</v>
      </c>
      <c r="G564" s="97">
        <v>82.505663</v>
      </c>
      <c r="H564" s="97">
        <v>27.522134</v>
      </c>
      <c r="I564" s="76">
        <v>82.510423</v>
      </c>
      <c r="J564" s="26" t="s">
        <v>2326</v>
      </c>
      <c r="K564" s="26" t="s">
        <v>2327</v>
      </c>
      <c r="L564" s="69">
        <v>1.0</v>
      </c>
      <c r="M564" s="76">
        <v>27.523979</v>
      </c>
      <c r="N564" s="76">
        <v>82.510661</v>
      </c>
      <c r="O564" s="26" t="s">
        <v>2328</v>
      </c>
      <c r="P564" s="26" t="s">
        <v>2329</v>
      </c>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c r="BK564" s="38"/>
      <c r="BL564" s="38"/>
      <c r="BM564" s="38"/>
      <c r="BN564" s="38"/>
      <c r="BO564" s="38"/>
    </row>
    <row r="565" ht="33.75" customHeight="1">
      <c r="A565" s="32">
        <v>42771.0</v>
      </c>
      <c r="B565" s="26" t="s">
        <v>1725</v>
      </c>
      <c r="C565" s="26" t="s">
        <v>1726</v>
      </c>
      <c r="D565" s="26" t="s">
        <v>2330</v>
      </c>
      <c r="E565" s="26" t="s">
        <v>244</v>
      </c>
      <c r="F565" s="76">
        <v>27.63733</v>
      </c>
      <c r="G565" s="76">
        <v>-82.69843</v>
      </c>
      <c r="H565" s="76">
        <v>27.61615</v>
      </c>
      <c r="I565" s="76">
        <v>-82.72958</v>
      </c>
      <c r="J565" s="26" t="s">
        <v>2331</v>
      </c>
      <c r="K565" s="26" t="s">
        <v>2332</v>
      </c>
      <c r="L565" s="69">
        <v>1.0</v>
      </c>
      <c r="M565" s="76">
        <v>27.387</v>
      </c>
      <c r="N565" s="76">
        <v>-82.42</v>
      </c>
      <c r="O565" s="98" t="s">
        <v>2333</v>
      </c>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c r="BK565" s="38"/>
      <c r="BL565" s="38"/>
      <c r="BM565" s="38"/>
      <c r="BN565" s="38"/>
      <c r="BO565" s="38"/>
    </row>
    <row r="566" ht="33.75" customHeight="1">
      <c r="A566" s="41">
        <v>42771.0</v>
      </c>
      <c r="B566" s="16" t="s">
        <v>2339</v>
      </c>
      <c r="C566" s="16" t="s">
        <v>2340</v>
      </c>
      <c r="D566" s="16" t="s">
        <v>2341</v>
      </c>
      <c r="E566" s="16" t="s">
        <v>244</v>
      </c>
      <c r="F566" s="16">
        <v>27.755615</v>
      </c>
      <c r="G566" s="16">
        <v>-82.765355</v>
      </c>
      <c r="H566" s="13">
        <v>27.738693</v>
      </c>
      <c r="I566" s="13">
        <v>-82.756562</v>
      </c>
      <c r="J566" s="13" t="s">
        <v>2342</v>
      </c>
      <c r="K566" s="61" t="s">
        <v>2343</v>
      </c>
      <c r="L566" s="13">
        <v>1.0</v>
      </c>
      <c r="M566" s="13">
        <v>27.753044</v>
      </c>
      <c r="N566" s="87">
        <v>-82.764268</v>
      </c>
      <c r="O566" s="13" t="s">
        <v>1316</v>
      </c>
      <c r="P566" s="47"/>
    </row>
    <row r="567" ht="33.75" customHeight="1">
      <c r="A567" s="68">
        <v>42772.0</v>
      </c>
      <c r="B567" s="34" t="s">
        <v>2344</v>
      </c>
      <c r="C567" s="34" t="s">
        <v>2345</v>
      </c>
      <c r="D567" s="34" t="s">
        <v>2346</v>
      </c>
      <c r="E567" s="34" t="s">
        <v>244</v>
      </c>
      <c r="F567" s="97">
        <v>27.964623</v>
      </c>
      <c r="G567" s="97">
        <v>-82.831797</v>
      </c>
      <c r="H567" s="97">
        <v>27.9099376</v>
      </c>
      <c r="I567" s="76">
        <v>-82.84754</v>
      </c>
      <c r="J567" s="26" t="s">
        <v>2347</v>
      </c>
      <c r="K567" s="26" t="s">
        <v>2348</v>
      </c>
      <c r="L567" s="69">
        <v>4.0</v>
      </c>
      <c r="M567" s="76">
        <v>27.9437</v>
      </c>
      <c r="N567" s="76">
        <v>-82.8376</v>
      </c>
      <c r="O567" s="26" t="s">
        <v>1316</v>
      </c>
      <c r="P567" s="70"/>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c r="BK567" s="38"/>
      <c r="BL567" s="38"/>
      <c r="BM567" s="38"/>
      <c r="BN567" s="38"/>
      <c r="BO567" s="38"/>
    </row>
    <row r="568" ht="33.75" customHeight="1">
      <c r="A568" s="68">
        <v>42772.0</v>
      </c>
      <c r="B568" s="34" t="s">
        <v>2344</v>
      </c>
      <c r="C568" s="34" t="s">
        <v>2345</v>
      </c>
      <c r="D568" s="34" t="s">
        <v>2346</v>
      </c>
      <c r="E568" s="34" t="s">
        <v>244</v>
      </c>
      <c r="F568" s="97">
        <v>27.964623</v>
      </c>
      <c r="G568" s="97">
        <v>-82.831797</v>
      </c>
      <c r="H568" s="97">
        <v>27.9099376</v>
      </c>
      <c r="I568" s="76">
        <v>-82.84754</v>
      </c>
      <c r="J568" s="26" t="s">
        <v>2347</v>
      </c>
      <c r="K568" s="26" t="s">
        <v>2348</v>
      </c>
      <c r="L568" s="69">
        <v>3.0</v>
      </c>
      <c r="M568" s="76">
        <v>27.956845</v>
      </c>
      <c r="N568" s="76">
        <v>-82.83267</v>
      </c>
      <c r="O568" s="26" t="s">
        <v>2350</v>
      </c>
      <c r="P568" s="70" t="s">
        <v>2180</v>
      </c>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c r="BK568" s="38"/>
      <c r="BL568" s="38"/>
      <c r="BM568" s="38"/>
      <c r="BN568" s="38"/>
      <c r="BO568" s="38"/>
    </row>
    <row r="569" ht="33.75" customHeight="1">
      <c r="A569" s="68">
        <v>42772.0</v>
      </c>
      <c r="B569" s="34" t="s">
        <v>2344</v>
      </c>
      <c r="C569" s="34" t="s">
        <v>2345</v>
      </c>
      <c r="D569" s="34" t="s">
        <v>2346</v>
      </c>
      <c r="E569" s="34" t="s">
        <v>244</v>
      </c>
      <c r="F569" s="97">
        <v>27.964623</v>
      </c>
      <c r="G569" s="97">
        <v>-82.831797</v>
      </c>
      <c r="H569" s="97">
        <v>27.9099376</v>
      </c>
      <c r="I569" s="76">
        <v>-82.84754</v>
      </c>
      <c r="J569" s="26" t="s">
        <v>2347</v>
      </c>
      <c r="K569" s="26" t="s">
        <v>2348</v>
      </c>
      <c r="L569" s="69">
        <v>2.0</v>
      </c>
      <c r="M569" s="76">
        <v>27.9588</v>
      </c>
      <c r="N569" s="76">
        <v>-82.832344</v>
      </c>
      <c r="O569" s="26" t="s">
        <v>2352</v>
      </c>
      <c r="P569" s="70" t="s">
        <v>2180</v>
      </c>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c r="BK569" s="38"/>
      <c r="BL569" s="38"/>
      <c r="BM569" s="38"/>
      <c r="BN569" s="38"/>
      <c r="BO569" s="38"/>
    </row>
    <row r="570" ht="33.75" customHeight="1">
      <c r="A570" s="68">
        <v>42772.0</v>
      </c>
      <c r="B570" s="34" t="s">
        <v>2344</v>
      </c>
      <c r="C570" s="34" t="s">
        <v>2345</v>
      </c>
      <c r="D570" s="34" t="s">
        <v>2346</v>
      </c>
      <c r="E570" s="34" t="s">
        <v>244</v>
      </c>
      <c r="F570" s="97">
        <v>27.964623</v>
      </c>
      <c r="G570" s="97">
        <v>-82.831797</v>
      </c>
      <c r="H570" s="97">
        <v>27.9099376</v>
      </c>
      <c r="I570" s="76">
        <v>-82.84754</v>
      </c>
      <c r="J570" s="26" t="s">
        <v>2347</v>
      </c>
      <c r="K570" s="26" t="s">
        <v>2348</v>
      </c>
      <c r="L570" s="69">
        <v>1.0</v>
      </c>
      <c r="M570" s="76">
        <v>27.962963</v>
      </c>
      <c r="N570" s="76">
        <v>-82.831664</v>
      </c>
      <c r="O570" s="26" t="s">
        <v>2353</v>
      </c>
      <c r="P570" s="26" t="s">
        <v>2354</v>
      </c>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c r="BK570" s="38"/>
      <c r="BL570" s="38"/>
      <c r="BM570" s="38"/>
      <c r="BN570" s="38"/>
      <c r="BO570" s="38"/>
    </row>
    <row r="571" ht="33.75" customHeight="1">
      <c r="A571" s="15">
        <v>42772.0</v>
      </c>
      <c r="B571" s="16" t="s">
        <v>2355</v>
      </c>
      <c r="C571" s="16" t="s">
        <v>2356</v>
      </c>
      <c r="D571" s="16" t="s">
        <v>2357</v>
      </c>
      <c r="E571" s="16" t="s">
        <v>244</v>
      </c>
      <c r="F571" s="17">
        <v>27.737616</v>
      </c>
      <c r="G571" s="17">
        <v>-82.706705</v>
      </c>
      <c r="H571" s="17">
        <v>27.736572</v>
      </c>
      <c r="I571" s="14">
        <v>-82.710976</v>
      </c>
      <c r="J571" s="13" t="s">
        <v>2358</v>
      </c>
      <c r="K571" s="13" t="s">
        <v>2359</v>
      </c>
      <c r="L571" s="13">
        <v>1.0</v>
      </c>
      <c r="M571" s="14">
        <v>27.737569</v>
      </c>
      <c r="N571" s="14">
        <v>-82.707102</v>
      </c>
      <c r="O571" s="13" t="s">
        <v>2360</v>
      </c>
      <c r="P571" s="13"/>
    </row>
    <row r="572" ht="33.75" customHeight="1">
      <c r="A572" s="41">
        <v>42772.0</v>
      </c>
      <c r="B572" s="16" t="s">
        <v>537</v>
      </c>
      <c r="C572" s="16" t="s">
        <v>2361</v>
      </c>
      <c r="D572" s="16" t="s">
        <v>2362</v>
      </c>
      <c r="E572" s="16" t="s">
        <v>244</v>
      </c>
      <c r="F572" s="16">
        <v>27.8431167</v>
      </c>
      <c r="G572" s="16">
        <v>-82.8416333</v>
      </c>
      <c r="H572" s="13">
        <v>27.8118167</v>
      </c>
      <c r="I572" s="13">
        <v>-82.8176833</v>
      </c>
      <c r="J572" s="13" t="s">
        <v>2363</v>
      </c>
      <c r="K572" s="13" t="s">
        <v>2364</v>
      </c>
      <c r="L572" s="13">
        <v>1.0</v>
      </c>
      <c r="M572" s="13">
        <v>27.83975</v>
      </c>
      <c r="N572" s="13">
        <v>-82.8399833</v>
      </c>
      <c r="O572" s="13" t="s">
        <v>2365</v>
      </c>
      <c r="P572" s="14"/>
    </row>
    <row r="573" ht="33.75" customHeight="1">
      <c r="A573" s="41">
        <v>42772.0</v>
      </c>
      <c r="B573" s="16" t="s">
        <v>537</v>
      </c>
      <c r="C573" s="16" t="s">
        <v>2361</v>
      </c>
      <c r="D573" s="16" t="s">
        <v>2362</v>
      </c>
      <c r="E573" s="16" t="s">
        <v>244</v>
      </c>
      <c r="F573" s="16">
        <v>27.8431167</v>
      </c>
      <c r="G573" s="16">
        <v>-82.8416333</v>
      </c>
      <c r="H573" s="13">
        <v>27.8118167</v>
      </c>
      <c r="I573" s="13">
        <v>-82.8176833</v>
      </c>
      <c r="J573" s="13" t="s">
        <v>2363</v>
      </c>
      <c r="K573" s="13" t="s">
        <v>2364</v>
      </c>
      <c r="L573" s="13">
        <v>2.0</v>
      </c>
      <c r="M573" s="13">
        <v>27.8316333</v>
      </c>
      <c r="N573" s="13">
        <v>-82.8348</v>
      </c>
      <c r="O573" s="13" t="s">
        <v>2367</v>
      </c>
      <c r="P573" s="14"/>
    </row>
    <row r="574" ht="33.75" customHeight="1">
      <c r="A574" s="43">
        <v>42772.0</v>
      </c>
      <c r="B574" s="16" t="s">
        <v>537</v>
      </c>
      <c r="C574" s="16" t="s">
        <v>2361</v>
      </c>
      <c r="D574" s="16" t="s">
        <v>2362</v>
      </c>
      <c r="E574" s="16" t="s">
        <v>244</v>
      </c>
      <c r="F574" s="16">
        <v>27.8431167</v>
      </c>
      <c r="G574" s="16">
        <v>-82.8416333</v>
      </c>
      <c r="H574" s="13">
        <v>27.8118167</v>
      </c>
      <c r="I574" s="13">
        <v>-82.8176833</v>
      </c>
      <c r="J574" s="13" t="s">
        <v>2363</v>
      </c>
      <c r="K574" s="13" t="s">
        <v>2364</v>
      </c>
      <c r="L574" s="13">
        <v>3.0</v>
      </c>
      <c r="M574" s="13">
        <v>27.8250167</v>
      </c>
      <c r="N574" s="13">
        <v>-82.83055</v>
      </c>
      <c r="O574" s="13" t="s">
        <v>2368</v>
      </c>
      <c r="P574" s="14" t="s">
        <v>2369</v>
      </c>
    </row>
    <row r="575" ht="33.75" customHeight="1">
      <c r="A575" s="41">
        <v>42772.0</v>
      </c>
      <c r="B575" s="16" t="s">
        <v>537</v>
      </c>
      <c r="C575" s="16" t="s">
        <v>2361</v>
      </c>
      <c r="D575" s="16" t="s">
        <v>2362</v>
      </c>
      <c r="E575" s="16" t="s">
        <v>244</v>
      </c>
      <c r="F575" s="16">
        <v>27.8431167</v>
      </c>
      <c r="G575" s="16">
        <v>-82.8416333</v>
      </c>
      <c r="H575" s="13">
        <v>27.8118167</v>
      </c>
      <c r="I575" s="13">
        <v>-82.8176833</v>
      </c>
      <c r="J575" s="13" t="s">
        <v>2363</v>
      </c>
      <c r="K575" s="13" t="s">
        <v>2364</v>
      </c>
      <c r="L575" s="13">
        <v>4.0</v>
      </c>
      <c r="M575" s="13">
        <v>27.8204167</v>
      </c>
      <c r="N575" s="13">
        <v>-82.8272</v>
      </c>
      <c r="O575" s="13" t="s">
        <v>2370</v>
      </c>
      <c r="P575" s="14" t="s">
        <v>2371</v>
      </c>
    </row>
    <row r="576" ht="33.75" customHeight="1">
      <c r="A576" s="41">
        <v>42772.0</v>
      </c>
      <c r="B576" s="16" t="s">
        <v>537</v>
      </c>
      <c r="C576" s="16" t="s">
        <v>2361</v>
      </c>
      <c r="D576" s="16" t="s">
        <v>2362</v>
      </c>
      <c r="E576" s="16" t="s">
        <v>244</v>
      </c>
      <c r="F576" s="16">
        <v>27.8431167</v>
      </c>
      <c r="G576" s="16">
        <v>-82.8416333</v>
      </c>
      <c r="H576" s="13">
        <v>27.8118167</v>
      </c>
      <c r="I576" s="13">
        <v>-82.8176833</v>
      </c>
      <c r="J576" s="13" t="s">
        <v>2363</v>
      </c>
      <c r="K576" s="13" t="s">
        <v>2364</v>
      </c>
      <c r="L576" s="13">
        <v>5.0</v>
      </c>
      <c r="M576" s="13">
        <v>27.81305</v>
      </c>
      <c r="N576" s="13">
        <v>-82.8194333</v>
      </c>
      <c r="O576" s="13" t="s">
        <v>2372</v>
      </c>
      <c r="P576" s="14"/>
    </row>
    <row r="577" ht="33.75" customHeight="1">
      <c r="A577" s="41">
        <v>42772.0</v>
      </c>
      <c r="B577" s="16" t="s">
        <v>2373</v>
      </c>
      <c r="C577" s="16" t="s">
        <v>2374</v>
      </c>
      <c r="D577" s="16" t="s">
        <v>2375</v>
      </c>
      <c r="E577" s="16" t="s">
        <v>244</v>
      </c>
      <c r="F577" s="16">
        <v>27.78162</v>
      </c>
      <c r="G577" s="16">
        <v>-82.62533</v>
      </c>
      <c r="H577" s="13">
        <v>27.78489</v>
      </c>
      <c r="I577" s="13">
        <v>-82.62321</v>
      </c>
      <c r="J577" s="13" t="s">
        <v>2376</v>
      </c>
      <c r="K577" s="13" t="s">
        <v>2377</v>
      </c>
      <c r="L577" s="13">
        <v>1.0</v>
      </c>
      <c r="M577" s="13">
        <v>27.783972</v>
      </c>
      <c r="N577" s="13">
        <v>-82.624127</v>
      </c>
      <c r="O577" s="13" t="s">
        <v>2378</v>
      </c>
      <c r="P577" s="14" t="s">
        <v>2379</v>
      </c>
    </row>
    <row r="578" ht="33.75" customHeight="1">
      <c r="A578" s="15">
        <v>42773.0</v>
      </c>
      <c r="B578" s="16" t="s">
        <v>241</v>
      </c>
      <c r="C578" s="16" t="s">
        <v>242</v>
      </c>
      <c r="D578" s="16" t="s">
        <v>243</v>
      </c>
      <c r="E578" s="16" t="s">
        <v>244</v>
      </c>
      <c r="F578" s="97">
        <v>27.873586</v>
      </c>
      <c r="G578" s="97">
        <v>-82.601631</v>
      </c>
      <c r="H578" s="97">
        <v>27.873586</v>
      </c>
      <c r="I578" s="76">
        <v>-82.601631</v>
      </c>
      <c r="J578" s="13" t="s">
        <v>2380</v>
      </c>
      <c r="K578" s="13" t="s">
        <v>2381</v>
      </c>
      <c r="L578" s="13">
        <v>1.0</v>
      </c>
      <c r="M578" s="14">
        <v>27.876179</v>
      </c>
      <c r="N578" s="99">
        <v>-82.592719</v>
      </c>
      <c r="O578" s="13" t="s">
        <v>2385</v>
      </c>
      <c r="P578" s="13"/>
    </row>
    <row r="579" ht="33.75" customHeight="1">
      <c r="A579" s="41">
        <v>42773.0</v>
      </c>
      <c r="B579" s="16" t="s">
        <v>2386</v>
      </c>
      <c r="C579" s="16" t="s">
        <v>2387</v>
      </c>
      <c r="D579" s="16" t="s">
        <v>2388</v>
      </c>
      <c r="E579" s="16" t="s">
        <v>244</v>
      </c>
      <c r="F579" s="16" t="s">
        <v>2389</v>
      </c>
      <c r="G579" s="16" t="s">
        <v>2390</v>
      </c>
      <c r="H579" s="13" t="s">
        <v>2391</v>
      </c>
      <c r="I579" s="13" t="s">
        <v>2392</v>
      </c>
      <c r="J579" s="13" t="s">
        <v>2393</v>
      </c>
      <c r="K579" s="13" t="s">
        <v>2394</v>
      </c>
      <c r="L579" s="13">
        <v>1.0</v>
      </c>
      <c r="M579" s="13" t="s">
        <v>2395</v>
      </c>
      <c r="N579" s="13" t="s">
        <v>2396</v>
      </c>
      <c r="O579" s="13" t="s">
        <v>2397</v>
      </c>
      <c r="P579" s="14"/>
    </row>
    <row r="580" ht="33.75" customHeight="1">
      <c r="A580" s="41">
        <v>42773.0</v>
      </c>
      <c r="B580" s="16" t="s">
        <v>2398</v>
      </c>
      <c r="C580" s="16" t="s">
        <v>371</v>
      </c>
      <c r="D580" s="16" t="s">
        <v>372</v>
      </c>
      <c r="E580" s="16" t="s">
        <v>244</v>
      </c>
      <c r="F580" s="16">
        <v>27.64747</v>
      </c>
      <c r="G580" s="16">
        <v>-82.74692</v>
      </c>
      <c r="H580" s="13">
        <v>27.64985</v>
      </c>
      <c r="I580" s="13">
        <v>-82.75137</v>
      </c>
      <c r="J580" s="13" t="s">
        <v>2399</v>
      </c>
      <c r="K580" s="13" t="s">
        <v>2400</v>
      </c>
      <c r="L580" s="13">
        <v>1.0</v>
      </c>
      <c r="M580" s="13">
        <v>27.651957</v>
      </c>
      <c r="N580" s="13">
        <v>-82.751929</v>
      </c>
      <c r="O580" s="13" t="s">
        <v>2401</v>
      </c>
      <c r="P580" s="14" t="s">
        <v>2402</v>
      </c>
    </row>
    <row r="581" ht="33.75" customHeight="1">
      <c r="A581" s="41">
        <v>42773.0</v>
      </c>
      <c r="B581" s="16" t="s">
        <v>370</v>
      </c>
      <c r="C581" s="16" t="s">
        <v>371</v>
      </c>
      <c r="D581" s="16" t="s">
        <v>372</v>
      </c>
      <c r="E581" s="16" t="s">
        <v>244</v>
      </c>
      <c r="F581" s="16">
        <v>27.64747</v>
      </c>
      <c r="G581" s="16">
        <v>-82.74692</v>
      </c>
      <c r="H581" s="13">
        <v>27.64985</v>
      </c>
      <c r="I581" s="13">
        <v>82.75137</v>
      </c>
      <c r="J581" s="13" t="s">
        <v>2399</v>
      </c>
      <c r="K581" s="13" t="s">
        <v>2403</v>
      </c>
      <c r="L581" s="13">
        <v>2.0</v>
      </c>
      <c r="M581" s="13">
        <v>27.650394</v>
      </c>
      <c r="N581" s="13">
        <v>-8.2751911E7</v>
      </c>
      <c r="O581" s="13" t="s">
        <v>2404</v>
      </c>
      <c r="P581" s="14" t="s">
        <v>2405</v>
      </c>
    </row>
    <row r="582" ht="33.75" customHeight="1">
      <c r="A582" s="41">
        <v>42773.0</v>
      </c>
      <c r="B582" s="16" t="s">
        <v>370</v>
      </c>
      <c r="C582" s="16" t="s">
        <v>371</v>
      </c>
      <c r="D582" s="16" t="s">
        <v>372</v>
      </c>
      <c r="E582" s="16" t="s">
        <v>244</v>
      </c>
      <c r="F582" s="16">
        <v>27.64747</v>
      </c>
      <c r="G582" s="16">
        <v>-82.74692</v>
      </c>
      <c r="H582" s="13">
        <v>27.64985</v>
      </c>
      <c r="I582" s="13">
        <v>8.75137</v>
      </c>
      <c r="J582" s="13" t="s">
        <v>2399</v>
      </c>
      <c r="K582" s="13" t="s">
        <v>2403</v>
      </c>
      <c r="L582" s="13">
        <v>3.0</v>
      </c>
      <c r="M582" s="13">
        <v>27.651849</v>
      </c>
      <c r="N582" s="13">
        <v>-82.752599</v>
      </c>
      <c r="O582" s="13" t="s">
        <v>1411</v>
      </c>
      <c r="P582" s="14" t="s">
        <v>2406</v>
      </c>
    </row>
    <row r="583" ht="33.75" customHeight="1">
      <c r="A583" s="41">
        <v>42773.0</v>
      </c>
      <c r="B583" s="16" t="s">
        <v>1118</v>
      </c>
      <c r="C583" s="16" t="s">
        <v>1119</v>
      </c>
      <c r="D583" s="16" t="s">
        <v>2407</v>
      </c>
      <c r="E583" s="16" t="s">
        <v>244</v>
      </c>
      <c r="F583" s="16">
        <v>27.64776</v>
      </c>
      <c r="G583" s="16">
        <v>-82.73409</v>
      </c>
      <c r="H583" s="13">
        <v>27.6735</v>
      </c>
      <c r="I583" s="13">
        <v>-82.73091</v>
      </c>
      <c r="J583" s="13" t="s">
        <v>2408</v>
      </c>
      <c r="K583" s="13" t="s">
        <v>2409</v>
      </c>
      <c r="L583" s="13">
        <v>1.0</v>
      </c>
      <c r="M583" s="13">
        <v>27.6486</v>
      </c>
      <c r="N583" s="13">
        <v>-82.7338</v>
      </c>
      <c r="O583" s="13" t="s">
        <v>2410</v>
      </c>
      <c r="P583" s="14" t="s">
        <v>2411</v>
      </c>
    </row>
    <row r="584" ht="33.75" customHeight="1">
      <c r="A584" s="41">
        <v>42773.0</v>
      </c>
      <c r="B584" s="16" t="s">
        <v>1118</v>
      </c>
      <c r="C584" s="16" t="s">
        <v>1119</v>
      </c>
      <c r="D584" s="16" t="s">
        <v>1121</v>
      </c>
      <c r="E584" s="16" t="s">
        <v>244</v>
      </c>
      <c r="F584" s="16">
        <v>27.64776</v>
      </c>
      <c r="G584" s="16">
        <v>-82.73409</v>
      </c>
      <c r="H584" s="13">
        <v>27.6735</v>
      </c>
      <c r="I584" s="13">
        <v>-82.73091</v>
      </c>
      <c r="J584" s="13" t="s">
        <v>2408</v>
      </c>
      <c r="K584" s="13" t="s">
        <v>2409</v>
      </c>
      <c r="L584" s="13">
        <v>2.0</v>
      </c>
      <c r="M584" s="13">
        <v>27.66489</v>
      </c>
      <c r="N584" s="13">
        <v>-82.742</v>
      </c>
      <c r="O584" s="100" t="s">
        <v>1316</v>
      </c>
      <c r="P584" s="14" t="s">
        <v>484</v>
      </c>
    </row>
    <row r="585" ht="33.75" customHeight="1">
      <c r="A585" s="41">
        <v>42773.0</v>
      </c>
      <c r="B585" s="16" t="s">
        <v>1118</v>
      </c>
      <c r="C585" s="16" t="s">
        <v>1119</v>
      </c>
      <c r="D585" s="16" t="s">
        <v>1121</v>
      </c>
      <c r="E585" s="16" t="s">
        <v>244</v>
      </c>
      <c r="F585" s="16">
        <v>27.64776</v>
      </c>
      <c r="G585" s="16">
        <v>-82.73409</v>
      </c>
      <c r="H585" s="13">
        <v>27.6735</v>
      </c>
      <c r="I585" s="13">
        <v>-82.73091</v>
      </c>
      <c r="J585" s="13" t="s">
        <v>2408</v>
      </c>
      <c r="K585" s="13" t="s">
        <v>2409</v>
      </c>
      <c r="L585" s="13">
        <v>3.0</v>
      </c>
      <c r="M585" s="13">
        <v>27.67336</v>
      </c>
      <c r="N585" s="13">
        <v>-82.73262</v>
      </c>
      <c r="O585" s="13" t="s">
        <v>2413</v>
      </c>
      <c r="P585" s="14" t="s">
        <v>2414</v>
      </c>
    </row>
    <row r="586" ht="33.75" customHeight="1">
      <c r="A586" s="41">
        <v>42773.0</v>
      </c>
      <c r="B586" s="16" t="s">
        <v>2415</v>
      </c>
      <c r="C586" s="16" t="s">
        <v>2416</v>
      </c>
      <c r="D586" s="16" t="s">
        <v>2417</v>
      </c>
      <c r="E586" s="16" t="s">
        <v>244</v>
      </c>
      <c r="F586" s="16">
        <v>27.613181</v>
      </c>
      <c r="G586" s="16">
        <v>-82.737114</v>
      </c>
      <c r="H586" s="13">
        <v>27.63287</v>
      </c>
      <c r="I586" s="13">
        <v>-82.740698</v>
      </c>
      <c r="J586" s="13" t="s">
        <v>2418</v>
      </c>
      <c r="K586" s="13" t="s">
        <v>2419</v>
      </c>
      <c r="L586" s="13"/>
      <c r="M586" s="13"/>
      <c r="N586" s="13"/>
      <c r="O586" s="13" t="s">
        <v>2420</v>
      </c>
      <c r="P586" s="14" t="s">
        <v>2421</v>
      </c>
    </row>
    <row r="587" ht="33.75" customHeight="1">
      <c r="A587" s="41">
        <v>42774.0</v>
      </c>
      <c r="B587" s="16" t="s">
        <v>2355</v>
      </c>
      <c r="C587" s="16" t="s">
        <v>2356</v>
      </c>
      <c r="D587" s="16" t="s">
        <v>2422</v>
      </c>
      <c r="E587" s="16" t="s">
        <v>244</v>
      </c>
      <c r="F587" s="101">
        <v>27.708553</v>
      </c>
      <c r="G587" s="16">
        <v>-82.738716</v>
      </c>
      <c r="H587" s="13">
        <v>27.721125</v>
      </c>
      <c r="I587" s="13">
        <v>-82.742178</v>
      </c>
      <c r="J587" s="13" t="s">
        <v>2423</v>
      </c>
      <c r="K587" s="13" t="s">
        <v>2424</v>
      </c>
      <c r="L587" s="13"/>
      <c r="M587" s="13"/>
      <c r="N587" s="13"/>
      <c r="O587" s="13"/>
      <c r="P587" s="14" t="s">
        <v>2425</v>
      </c>
    </row>
    <row r="588" ht="33.75" customHeight="1">
      <c r="A588" s="41">
        <v>42774.0</v>
      </c>
      <c r="B588" s="16" t="s">
        <v>2355</v>
      </c>
      <c r="C588" s="16" t="s">
        <v>2356</v>
      </c>
      <c r="D588" s="16" t="s">
        <v>2426</v>
      </c>
      <c r="E588" s="16" t="s">
        <v>244</v>
      </c>
      <c r="F588" s="13">
        <v>27.721125</v>
      </c>
      <c r="G588" s="13">
        <v>-82.742178</v>
      </c>
      <c r="H588" s="13">
        <v>27.735996</v>
      </c>
      <c r="I588" s="13">
        <v>-82.75231</v>
      </c>
      <c r="J588" s="13" t="s">
        <v>2427</v>
      </c>
      <c r="K588" s="13" t="s">
        <v>2424</v>
      </c>
      <c r="L588" s="13"/>
      <c r="M588" s="13"/>
      <c r="N588" s="13"/>
      <c r="O588" s="13"/>
      <c r="P588" s="14" t="s">
        <v>2425</v>
      </c>
    </row>
    <row r="589" ht="33.75" customHeight="1">
      <c r="A589" s="11">
        <v>42774.0</v>
      </c>
      <c r="B589" s="13" t="s">
        <v>537</v>
      </c>
      <c r="C589" s="13" t="s">
        <v>2428</v>
      </c>
      <c r="D589" s="13" t="s">
        <v>539</v>
      </c>
      <c r="E589" s="13" t="s">
        <v>244</v>
      </c>
      <c r="F589" s="13">
        <v>27.8431167</v>
      </c>
      <c r="G589" s="13">
        <v>-82.85075</v>
      </c>
      <c r="H589" s="13">
        <v>27.87165</v>
      </c>
      <c r="I589" s="14">
        <v>-82.85075</v>
      </c>
      <c r="J589" s="13" t="s">
        <v>2429</v>
      </c>
      <c r="K589" s="13" t="s">
        <v>2430</v>
      </c>
      <c r="L589" s="13">
        <v>1.0</v>
      </c>
      <c r="M589" s="13">
        <v>27.8496</v>
      </c>
      <c r="N589" s="13">
        <v>-82.8451833</v>
      </c>
      <c r="O589" s="13" t="s">
        <v>2431</v>
      </c>
      <c r="P589" s="14" t="s">
        <v>2432</v>
      </c>
    </row>
    <row r="590" ht="33.75" customHeight="1">
      <c r="A590" s="11">
        <v>42774.0</v>
      </c>
      <c r="B590" s="13" t="s">
        <v>537</v>
      </c>
      <c r="C590" s="13" t="s">
        <v>2428</v>
      </c>
      <c r="D590" s="13" t="s">
        <v>539</v>
      </c>
      <c r="E590" s="13" t="s">
        <v>244</v>
      </c>
      <c r="F590" s="13">
        <v>27.8431167</v>
      </c>
      <c r="G590" s="13">
        <v>-82.85075</v>
      </c>
      <c r="H590" s="13">
        <v>27.87165</v>
      </c>
      <c r="I590" s="14">
        <v>-82.85075</v>
      </c>
      <c r="J590" s="13" t="s">
        <v>2433</v>
      </c>
      <c r="K590" s="13" t="s">
        <v>2430</v>
      </c>
      <c r="L590" s="13">
        <v>2.0</v>
      </c>
      <c r="M590" s="13">
        <v>27.8501833</v>
      </c>
      <c r="N590" s="13">
        <v>-82.8454</v>
      </c>
      <c r="O590" s="13" t="s">
        <v>2434</v>
      </c>
      <c r="P590" s="14" t="s">
        <v>2435</v>
      </c>
    </row>
    <row r="591" ht="33.75" customHeight="1">
      <c r="A591" s="11">
        <v>42774.0</v>
      </c>
      <c r="B591" s="13" t="s">
        <v>537</v>
      </c>
      <c r="C591" s="13" t="s">
        <v>2428</v>
      </c>
      <c r="D591" s="13" t="s">
        <v>539</v>
      </c>
      <c r="E591" s="13" t="s">
        <v>244</v>
      </c>
      <c r="F591" s="13">
        <v>27.8431167</v>
      </c>
      <c r="G591" s="13">
        <v>-82.85075</v>
      </c>
      <c r="H591" s="13">
        <v>27.87165</v>
      </c>
      <c r="I591" s="14">
        <v>-82.85075</v>
      </c>
      <c r="J591" s="13" t="s">
        <v>2436</v>
      </c>
      <c r="K591" s="13" t="s">
        <v>2430</v>
      </c>
      <c r="L591" s="13">
        <v>3.0</v>
      </c>
      <c r="M591" s="13">
        <v>27.8540333</v>
      </c>
      <c r="N591" s="13">
        <v>-82.8469167</v>
      </c>
      <c r="O591" s="13" t="s">
        <v>2437</v>
      </c>
      <c r="P591" s="14" t="s">
        <v>2438</v>
      </c>
    </row>
    <row r="592" ht="33.75" customHeight="1">
      <c r="A592" s="50">
        <v>42774.0</v>
      </c>
      <c r="B592" s="16" t="s">
        <v>2439</v>
      </c>
      <c r="C592" s="16" t="s">
        <v>2440</v>
      </c>
      <c r="D592" s="16" t="s">
        <v>2441</v>
      </c>
      <c r="E592" s="16" t="s">
        <v>244</v>
      </c>
      <c r="F592" s="103">
        <v>27.78316</v>
      </c>
      <c r="G592" s="104">
        <v>-82.73896</v>
      </c>
      <c r="H592" s="13">
        <v>27.81243</v>
      </c>
      <c r="I592" s="60">
        <v>-82.81883</v>
      </c>
      <c r="J592" s="13" t="s">
        <v>2444</v>
      </c>
      <c r="K592" s="13" t="s">
        <v>2445</v>
      </c>
      <c r="L592" s="13">
        <v>1.0</v>
      </c>
      <c r="M592" s="13">
        <v>27.78983</v>
      </c>
      <c r="N592" s="13">
        <v>-82.78965</v>
      </c>
      <c r="O592" s="13" t="s">
        <v>2446</v>
      </c>
      <c r="P592" s="47"/>
    </row>
    <row r="593" ht="33.75" customHeight="1">
      <c r="A593" s="41">
        <v>42775.0</v>
      </c>
      <c r="B593" s="16" t="s">
        <v>2447</v>
      </c>
      <c r="C593" s="16" t="s">
        <v>2448</v>
      </c>
      <c r="D593" s="16" t="s">
        <v>2449</v>
      </c>
      <c r="E593" s="16" t="s">
        <v>244</v>
      </c>
      <c r="F593" s="16">
        <v>27.68327</v>
      </c>
      <c r="G593" s="16">
        <v>-82.73878</v>
      </c>
      <c r="H593" s="13">
        <v>27.70942</v>
      </c>
      <c r="I593" s="13">
        <v>-82.73866</v>
      </c>
      <c r="J593" s="13" t="s">
        <v>2450</v>
      </c>
      <c r="K593" s="13" t="s">
        <v>2451</v>
      </c>
      <c r="L593" s="13"/>
      <c r="M593" s="13"/>
      <c r="N593" s="13"/>
      <c r="O593" s="13" t="s">
        <v>2452</v>
      </c>
      <c r="P593" s="14"/>
    </row>
    <row r="594" ht="33.75" customHeight="1">
      <c r="A594" s="41">
        <v>42775.0</v>
      </c>
      <c r="B594" s="16" t="s">
        <v>1118</v>
      </c>
      <c r="C594" s="16" t="s">
        <v>1119</v>
      </c>
      <c r="D594" s="16" t="s">
        <v>2453</v>
      </c>
      <c r="E594" s="16" t="s">
        <v>244</v>
      </c>
      <c r="F594" s="16">
        <v>27.99763</v>
      </c>
      <c r="G594" s="16">
        <v>-82.82865</v>
      </c>
      <c r="H594" s="13">
        <v>28.01983</v>
      </c>
      <c r="I594" s="13">
        <v>-82.82684</v>
      </c>
      <c r="J594" s="13" t="s">
        <v>2454</v>
      </c>
      <c r="K594" s="13" t="s">
        <v>2455</v>
      </c>
      <c r="L594" s="13">
        <v>1.0</v>
      </c>
      <c r="M594" s="13">
        <v>28.01327</v>
      </c>
      <c r="N594" s="13">
        <v>-82.82768</v>
      </c>
      <c r="O594" s="13" t="s">
        <v>527</v>
      </c>
      <c r="P594" s="14" t="s">
        <v>484</v>
      </c>
    </row>
    <row r="595" ht="33.75" customHeight="1">
      <c r="A595" s="41">
        <v>42773.0</v>
      </c>
      <c r="B595" s="16" t="s">
        <v>1037</v>
      </c>
      <c r="C595" s="16" t="s">
        <v>1039</v>
      </c>
      <c r="D595" s="16" t="s">
        <v>1040</v>
      </c>
      <c r="E595" s="16" t="s">
        <v>1042</v>
      </c>
      <c r="F595" s="16">
        <v>27.95705</v>
      </c>
      <c r="G595" s="16">
        <v>-82.7111</v>
      </c>
      <c r="H595" s="13">
        <v>27.96251</v>
      </c>
      <c r="I595" s="13">
        <v>-82.57342</v>
      </c>
      <c r="J595" s="13" t="s">
        <v>2456</v>
      </c>
      <c r="K595" s="13" t="s">
        <v>2457</v>
      </c>
      <c r="L595" s="13">
        <v>1.0</v>
      </c>
      <c r="M595" s="13">
        <v>27.96076</v>
      </c>
      <c r="N595" s="13">
        <v>-82.69745</v>
      </c>
      <c r="O595" s="13" t="s">
        <v>2458</v>
      </c>
      <c r="P595" s="14" t="s">
        <v>2459</v>
      </c>
    </row>
    <row r="596" ht="33.75" customHeight="1">
      <c r="A596" s="41">
        <v>42773.0</v>
      </c>
      <c r="B596" s="16" t="s">
        <v>1037</v>
      </c>
      <c r="C596" s="16" t="s">
        <v>1039</v>
      </c>
      <c r="D596" s="16" t="s">
        <v>1040</v>
      </c>
      <c r="E596" s="16" t="s">
        <v>1042</v>
      </c>
      <c r="F596" s="16">
        <v>27.95705</v>
      </c>
      <c r="G596" s="16">
        <v>-82.7111</v>
      </c>
      <c r="H596" s="13">
        <v>27.96251</v>
      </c>
      <c r="I596" s="13">
        <v>-82.57342</v>
      </c>
      <c r="J596" s="13" t="s">
        <v>2456</v>
      </c>
      <c r="K596" s="13" t="s">
        <v>2457</v>
      </c>
      <c r="L596" s="13">
        <v>2.0</v>
      </c>
      <c r="M596" s="13">
        <v>27.96854</v>
      </c>
      <c r="N596" s="13">
        <v>-82.57365</v>
      </c>
      <c r="O596" s="13" t="s">
        <v>2460</v>
      </c>
      <c r="P596" s="14" t="s">
        <v>2461</v>
      </c>
    </row>
    <row r="597" ht="33.75" customHeight="1">
      <c r="A597" s="41">
        <v>42773.0</v>
      </c>
      <c r="B597" s="16" t="s">
        <v>1037</v>
      </c>
      <c r="C597" s="16" t="s">
        <v>1039</v>
      </c>
      <c r="D597" s="16" t="s">
        <v>1040</v>
      </c>
      <c r="E597" s="16" t="s">
        <v>1042</v>
      </c>
      <c r="F597" s="16">
        <v>27.95705</v>
      </c>
      <c r="G597" s="16">
        <v>-82.7111</v>
      </c>
      <c r="H597" s="13">
        <v>27.96251</v>
      </c>
      <c r="I597" s="13">
        <v>-82.57342</v>
      </c>
      <c r="J597" s="13" t="s">
        <v>2456</v>
      </c>
      <c r="K597" s="13" t="s">
        <v>2457</v>
      </c>
      <c r="L597" s="13">
        <v>3.0</v>
      </c>
      <c r="M597" s="13">
        <v>27.96584</v>
      </c>
      <c r="N597" s="13">
        <v>-82.65768</v>
      </c>
      <c r="O597" s="13" t="s">
        <v>2462</v>
      </c>
      <c r="P597" s="14" t="s">
        <v>2463</v>
      </c>
    </row>
    <row r="598" ht="33.75" customHeight="1">
      <c r="A598" s="41">
        <v>42773.0</v>
      </c>
      <c r="B598" s="16" t="s">
        <v>1037</v>
      </c>
      <c r="C598" s="16" t="s">
        <v>1039</v>
      </c>
      <c r="D598" s="16" t="s">
        <v>1040</v>
      </c>
      <c r="E598" s="16" t="s">
        <v>1042</v>
      </c>
      <c r="F598" s="16">
        <v>27.95705</v>
      </c>
      <c r="G598" s="16">
        <v>-82.7111</v>
      </c>
      <c r="H598" s="13">
        <v>27.96251</v>
      </c>
      <c r="I598" s="13">
        <v>-82.57342</v>
      </c>
      <c r="J598" s="13" t="s">
        <v>2456</v>
      </c>
      <c r="K598" s="13" t="s">
        <v>2457</v>
      </c>
      <c r="L598" s="13">
        <v>4.0</v>
      </c>
      <c r="M598" s="13">
        <v>27.96894</v>
      </c>
      <c r="N598" s="13">
        <v>-82.63464</v>
      </c>
      <c r="O598" s="13" t="s">
        <v>2464</v>
      </c>
      <c r="P598" s="14" t="s">
        <v>2465</v>
      </c>
    </row>
    <row r="599" ht="33.75" customHeight="1">
      <c r="A599" s="41">
        <v>42773.0</v>
      </c>
      <c r="B599" s="16" t="s">
        <v>2466</v>
      </c>
      <c r="C599" s="16" t="s">
        <v>2097</v>
      </c>
      <c r="D599" s="16" t="s">
        <v>2467</v>
      </c>
      <c r="E599" s="16" t="s">
        <v>391</v>
      </c>
      <c r="F599" s="16">
        <v>30.32547</v>
      </c>
      <c r="G599" s="16">
        <v>-87.18099</v>
      </c>
      <c r="H599" s="13">
        <v>30.33062</v>
      </c>
      <c r="I599" s="13">
        <v>-87.141892</v>
      </c>
      <c r="J599" s="13" t="s">
        <v>2468</v>
      </c>
      <c r="K599" s="13" t="s">
        <v>2469</v>
      </c>
      <c r="L599" s="13">
        <v>1.0</v>
      </c>
      <c r="M599" s="13">
        <v>30.33062</v>
      </c>
      <c r="N599" s="13">
        <v>-87.141892</v>
      </c>
      <c r="O599" s="13" t="s">
        <v>2470</v>
      </c>
      <c r="P599" s="14"/>
    </row>
    <row r="600" ht="33.75" customHeight="1">
      <c r="A600" s="41">
        <v>42773.0</v>
      </c>
      <c r="B600" s="16" t="s">
        <v>386</v>
      </c>
      <c r="C600" s="16" t="s">
        <v>389</v>
      </c>
      <c r="D600" s="16" t="s">
        <v>2471</v>
      </c>
      <c r="E600" s="16" t="s">
        <v>391</v>
      </c>
      <c r="F600" s="16">
        <v>30.385535</v>
      </c>
      <c r="G600" s="16">
        <v>-86.862089</v>
      </c>
      <c r="H600" s="13">
        <v>30.386141</v>
      </c>
      <c r="I600" s="13">
        <v>-86.849866</v>
      </c>
      <c r="J600" s="13" t="s">
        <v>2472</v>
      </c>
      <c r="K600" s="13" t="s">
        <v>2473</v>
      </c>
      <c r="L600" s="13">
        <v>1.0</v>
      </c>
      <c r="M600" s="13">
        <v>30.386301</v>
      </c>
      <c r="N600" s="13">
        <v>-86.852795</v>
      </c>
      <c r="O600" s="13" t="s">
        <v>850</v>
      </c>
      <c r="P600" s="14" t="s">
        <v>2474</v>
      </c>
    </row>
    <row r="601" ht="33.75" customHeight="1">
      <c r="A601" s="41">
        <v>42773.0</v>
      </c>
      <c r="B601" s="16" t="s">
        <v>386</v>
      </c>
      <c r="C601" s="16" t="s">
        <v>389</v>
      </c>
      <c r="D601" s="16" t="s">
        <v>2475</v>
      </c>
      <c r="E601" s="16" t="s">
        <v>391</v>
      </c>
      <c r="F601" s="16">
        <v>30.381413</v>
      </c>
      <c r="G601" s="16">
        <v>-86.8499413</v>
      </c>
      <c r="H601" s="13">
        <v>30.379884</v>
      </c>
      <c r="I601" s="13">
        <v>-86.860005</v>
      </c>
      <c r="J601" s="13" t="s">
        <v>2476</v>
      </c>
      <c r="K601" s="13" t="s">
        <v>2477</v>
      </c>
      <c r="L601" s="13"/>
      <c r="P601" s="14"/>
    </row>
    <row r="602" ht="33.75" customHeight="1">
      <c r="A602" s="41">
        <v>42773.0</v>
      </c>
      <c r="B602" s="16" t="s">
        <v>2478</v>
      </c>
      <c r="C602" s="16" t="s">
        <v>2479</v>
      </c>
      <c r="D602" s="16" t="s">
        <v>2480</v>
      </c>
      <c r="E602" s="16" t="s">
        <v>2481</v>
      </c>
      <c r="F602" s="16">
        <v>30.38594</v>
      </c>
      <c r="G602" s="16">
        <v>-86.84751</v>
      </c>
      <c r="H602" s="13">
        <v>30.40109</v>
      </c>
      <c r="I602" s="13">
        <v>-86.70015</v>
      </c>
      <c r="J602" s="13" t="s">
        <v>2482</v>
      </c>
      <c r="K602" s="13" t="s">
        <v>2483</v>
      </c>
      <c r="L602" s="13">
        <v>0.0</v>
      </c>
      <c r="M602" s="13"/>
      <c r="N602" s="13"/>
      <c r="O602" s="13" t="s">
        <v>2484</v>
      </c>
      <c r="P602" s="14"/>
    </row>
    <row r="603" ht="33.75" customHeight="1">
      <c r="A603" s="41">
        <v>42773.0</v>
      </c>
      <c r="B603" s="16" t="s">
        <v>427</v>
      </c>
      <c r="C603" s="16" t="s">
        <v>2485</v>
      </c>
      <c r="D603" s="16" t="s">
        <v>436</v>
      </c>
      <c r="E603" s="16" t="s">
        <v>438</v>
      </c>
      <c r="F603" s="16">
        <v>30.3968</v>
      </c>
      <c r="G603" s="16">
        <v>-86.63323</v>
      </c>
      <c r="H603" s="13">
        <v>30.38141</v>
      </c>
      <c r="I603" s="13">
        <v>-86.84926</v>
      </c>
      <c r="J603" s="13" t="s">
        <v>2486</v>
      </c>
      <c r="K603" s="13" t="s">
        <v>2487</v>
      </c>
      <c r="L603" s="13">
        <v>1.0</v>
      </c>
      <c r="M603" s="13">
        <v>30.39673</v>
      </c>
      <c r="N603" s="13">
        <v>-86.65616</v>
      </c>
      <c r="O603" s="13" t="s">
        <v>2488</v>
      </c>
      <c r="P603" s="14" t="s">
        <v>2489</v>
      </c>
    </row>
    <row r="604" ht="33.75" customHeight="1">
      <c r="A604" s="41">
        <v>42773.0</v>
      </c>
      <c r="B604" s="16" t="s">
        <v>427</v>
      </c>
      <c r="C604" s="16" t="s">
        <v>441</v>
      </c>
      <c r="D604" s="16" t="s">
        <v>436</v>
      </c>
      <c r="E604" s="16" t="s">
        <v>438</v>
      </c>
      <c r="F604" s="16">
        <v>30.3968</v>
      </c>
      <c r="G604" s="16">
        <v>-86.63323</v>
      </c>
      <c r="H604" s="13">
        <v>30.38141</v>
      </c>
      <c r="I604" s="13">
        <v>-86.84926</v>
      </c>
      <c r="J604" s="13" t="s">
        <v>2486</v>
      </c>
      <c r="K604" s="13" t="s">
        <v>2487</v>
      </c>
      <c r="L604" s="13">
        <v>2.0</v>
      </c>
      <c r="M604" s="13">
        <v>30.38982</v>
      </c>
      <c r="N604" s="13">
        <v>-86.77339</v>
      </c>
      <c r="O604" s="13" t="s">
        <v>2490</v>
      </c>
      <c r="P604" s="14" t="s">
        <v>2491</v>
      </c>
    </row>
    <row r="605" ht="33.75" customHeight="1">
      <c r="A605" s="41">
        <v>42773.0</v>
      </c>
      <c r="B605" s="16" t="s">
        <v>427</v>
      </c>
      <c r="C605" s="16" t="s">
        <v>441</v>
      </c>
      <c r="D605" s="16" t="s">
        <v>436</v>
      </c>
      <c r="E605" s="16" t="s">
        <v>438</v>
      </c>
      <c r="F605" s="16">
        <v>30.3968</v>
      </c>
      <c r="G605" s="16">
        <v>-86.63323</v>
      </c>
      <c r="H605" s="13">
        <v>30.38141</v>
      </c>
      <c r="I605" s="13">
        <v>-86.84926</v>
      </c>
      <c r="J605" s="13" t="s">
        <v>2486</v>
      </c>
      <c r="K605" s="13" t="s">
        <v>2487</v>
      </c>
      <c r="L605" s="13">
        <v>3.0</v>
      </c>
      <c r="M605" s="13">
        <v>30.38179</v>
      </c>
      <c r="N605" s="13">
        <v>-86.84575</v>
      </c>
      <c r="O605" s="13" t="s">
        <v>2492</v>
      </c>
      <c r="P605" s="14" t="s">
        <v>2493</v>
      </c>
    </row>
    <row r="606" ht="33.75" customHeight="1">
      <c r="A606" s="41">
        <v>42409.0</v>
      </c>
      <c r="B606" s="16" t="s">
        <v>524</v>
      </c>
      <c r="C606" s="16" t="s">
        <v>525</v>
      </c>
      <c r="D606" s="16" t="s">
        <v>2494</v>
      </c>
      <c r="E606" s="16" t="s">
        <v>1207</v>
      </c>
      <c r="F606" s="16">
        <v>27.06585</v>
      </c>
      <c r="G606" s="16">
        <v>82.44807</v>
      </c>
      <c r="H606" s="13">
        <v>27.11122</v>
      </c>
      <c r="I606" s="13">
        <v>82.46551</v>
      </c>
      <c r="J606" s="13" t="s">
        <v>2495</v>
      </c>
      <c r="K606" s="13" t="s">
        <v>2496</v>
      </c>
      <c r="L606" s="13">
        <v>2.0</v>
      </c>
      <c r="M606" s="13">
        <v>27.1009256</v>
      </c>
      <c r="N606" s="13">
        <v>82.4611029</v>
      </c>
      <c r="O606" s="13" t="s">
        <v>2497</v>
      </c>
      <c r="P606" s="14" t="s">
        <v>130</v>
      </c>
    </row>
    <row r="607" ht="33.75" customHeight="1">
      <c r="A607" s="41">
        <v>42769.0</v>
      </c>
      <c r="B607" s="16" t="s">
        <v>2498</v>
      </c>
      <c r="C607" s="16" t="s">
        <v>356</v>
      </c>
      <c r="D607" s="16" t="s">
        <v>2499</v>
      </c>
      <c r="E607" s="16" t="s">
        <v>1207</v>
      </c>
      <c r="F607" s="16">
        <v>27.32846</v>
      </c>
      <c r="G607" s="16">
        <v>-82.58895</v>
      </c>
      <c r="H607" s="13">
        <v>27.38926</v>
      </c>
      <c r="I607" s="13">
        <v>-82.6426</v>
      </c>
      <c r="J607" s="13" t="s">
        <v>2500</v>
      </c>
      <c r="K607" s="13" t="s">
        <v>2501</v>
      </c>
      <c r="L607" s="13" t="s">
        <v>1220</v>
      </c>
      <c r="M607" s="13">
        <v>27.35154</v>
      </c>
      <c r="N607" s="13">
        <v>-82.61378</v>
      </c>
      <c r="O607" s="13" t="s">
        <v>2502</v>
      </c>
      <c r="P607" s="14" t="s">
        <v>484</v>
      </c>
    </row>
    <row r="608" ht="33.75" customHeight="1">
      <c r="A608" s="41">
        <v>42769.0</v>
      </c>
      <c r="B608" s="16" t="s">
        <v>2498</v>
      </c>
      <c r="C608" s="16" t="s">
        <v>356</v>
      </c>
      <c r="D608" s="16" t="s">
        <v>2499</v>
      </c>
      <c r="E608" s="16" t="s">
        <v>1207</v>
      </c>
      <c r="F608" s="16">
        <v>27.32846</v>
      </c>
      <c r="G608" s="16">
        <v>-82.58895</v>
      </c>
      <c r="H608" s="13">
        <v>27.38926</v>
      </c>
      <c r="I608" s="13">
        <v>-82.6426</v>
      </c>
      <c r="J608" s="13" t="s">
        <v>2500</v>
      </c>
      <c r="K608" s="13" t="s">
        <v>2501</v>
      </c>
      <c r="L608" s="13" t="s">
        <v>236</v>
      </c>
      <c r="M608" s="13">
        <v>27.36096</v>
      </c>
      <c r="N608" s="13">
        <v>-82.62276</v>
      </c>
      <c r="O608" s="13" t="s">
        <v>2503</v>
      </c>
      <c r="P608" s="14" t="s">
        <v>484</v>
      </c>
    </row>
    <row r="609" ht="33.75" customHeight="1">
      <c r="A609" s="41">
        <v>42769.0</v>
      </c>
      <c r="B609" s="16" t="s">
        <v>2498</v>
      </c>
      <c r="C609" s="16" t="s">
        <v>356</v>
      </c>
      <c r="D609" s="16" t="s">
        <v>2499</v>
      </c>
      <c r="E609" s="16" t="s">
        <v>1207</v>
      </c>
      <c r="F609" s="16">
        <v>27.32846</v>
      </c>
      <c r="G609" s="16">
        <v>-82.58895</v>
      </c>
      <c r="H609" s="13">
        <v>27.38926</v>
      </c>
      <c r="I609" s="13">
        <v>-82.6426</v>
      </c>
      <c r="J609" s="13" t="s">
        <v>2500</v>
      </c>
      <c r="K609" s="13" t="s">
        <v>2501</v>
      </c>
      <c r="L609" s="13" t="s">
        <v>2504</v>
      </c>
      <c r="M609" s="13">
        <v>27.37685</v>
      </c>
      <c r="N609" s="13">
        <v>-82.63474</v>
      </c>
      <c r="O609" s="13" t="s">
        <v>2505</v>
      </c>
      <c r="P609" s="14" t="s">
        <v>484</v>
      </c>
    </row>
    <row r="610" ht="33.75" customHeight="1">
      <c r="A610" s="32">
        <v>42772.0</v>
      </c>
      <c r="B610" s="26" t="s">
        <v>2506</v>
      </c>
      <c r="C610" s="26" t="s">
        <v>2507</v>
      </c>
      <c r="D610" s="26" t="s">
        <v>2508</v>
      </c>
      <c r="E610" s="26" t="s">
        <v>1207</v>
      </c>
      <c r="F610" s="69">
        <v>27.26619</v>
      </c>
      <c r="G610" s="69">
        <v>-82.556465</v>
      </c>
      <c r="H610" s="69">
        <v>27.278414</v>
      </c>
      <c r="I610" s="76">
        <v>-82.568875</v>
      </c>
      <c r="J610" s="26" t="s">
        <v>2509</v>
      </c>
      <c r="K610" s="26" t="s">
        <v>2510</v>
      </c>
      <c r="L610" s="69">
        <v>8.0</v>
      </c>
      <c r="M610" s="76">
        <v>27.270045</v>
      </c>
      <c r="N610" s="76">
        <v>-82.562463</v>
      </c>
      <c r="O610" s="26" t="s">
        <v>248</v>
      </c>
      <c r="P610" s="26"/>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c r="BK610" s="38"/>
      <c r="BL610" s="38"/>
      <c r="BM610" s="38"/>
      <c r="BN610" s="38"/>
      <c r="BO610" s="38"/>
    </row>
    <row r="611" ht="33.75" customHeight="1">
      <c r="A611" s="32">
        <v>42772.0</v>
      </c>
      <c r="B611" s="26" t="s">
        <v>2506</v>
      </c>
      <c r="C611" s="26" t="s">
        <v>2511</v>
      </c>
      <c r="D611" s="26" t="s">
        <v>2508</v>
      </c>
      <c r="E611" s="26" t="s">
        <v>1207</v>
      </c>
      <c r="F611" s="69">
        <v>27.26619</v>
      </c>
      <c r="G611" s="69">
        <v>-82.556465</v>
      </c>
      <c r="H611" s="69">
        <v>27.278414</v>
      </c>
      <c r="I611" s="76">
        <v>-82.568875</v>
      </c>
      <c r="J611" s="26" t="s">
        <v>2509</v>
      </c>
      <c r="K611" s="26" t="s">
        <v>2510</v>
      </c>
      <c r="L611" s="69">
        <v>9.0</v>
      </c>
      <c r="M611" s="76">
        <v>27.270005</v>
      </c>
      <c r="N611" s="76">
        <v>-82.5622692</v>
      </c>
      <c r="O611" s="26" t="s">
        <v>248</v>
      </c>
      <c r="P611" s="26"/>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c r="BK611" s="38"/>
      <c r="BL611" s="38"/>
      <c r="BM611" s="38"/>
      <c r="BN611" s="38"/>
      <c r="BO611" s="38"/>
    </row>
    <row r="612" ht="33.75" customHeight="1">
      <c r="A612" s="106">
        <v>42772.0</v>
      </c>
      <c r="B612" s="34" t="s">
        <v>2506</v>
      </c>
      <c r="C612" s="34" t="s">
        <v>2512</v>
      </c>
      <c r="D612" s="34" t="s">
        <v>2508</v>
      </c>
      <c r="E612" s="34" t="s">
        <v>1207</v>
      </c>
      <c r="F612" s="97">
        <v>27.26619</v>
      </c>
      <c r="G612" s="97">
        <v>-82.556465</v>
      </c>
      <c r="H612" s="107">
        <v>27.278414</v>
      </c>
      <c r="I612" s="76">
        <v>-82.568875</v>
      </c>
      <c r="J612" s="26" t="s">
        <v>2509</v>
      </c>
      <c r="K612" s="26" t="s">
        <v>2510</v>
      </c>
      <c r="L612" s="69">
        <v>1.0</v>
      </c>
      <c r="M612" s="76">
        <v>27.266654</v>
      </c>
      <c r="N612" s="76">
        <v>-82.557089</v>
      </c>
      <c r="O612" s="26" t="s">
        <v>261</v>
      </c>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c r="BK612" s="38"/>
      <c r="BL612" s="38"/>
      <c r="BM612" s="38"/>
      <c r="BN612" s="38"/>
      <c r="BO612" s="38"/>
    </row>
    <row r="613" ht="33.75" customHeight="1">
      <c r="A613" s="102">
        <v>42772.0</v>
      </c>
      <c r="B613" s="34" t="s">
        <v>2506</v>
      </c>
      <c r="C613" s="34" t="s">
        <v>2516</v>
      </c>
      <c r="D613" s="34" t="s">
        <v>2508</v>
      </c>
      <c r="E613" s="34" t="s">
        <v>1207</v>
      </c>
      <c r="F613" s="97">
        <v>27.26619</v>
      </c>
      <c r="G613" s="97">
        <v>-82.556465</v>
      </c>
      <c r="H613" s="97">
        <v>27.278414</v>
      </c>
      <c r="I613" s="76">
        <v>-82.568875</v>
      </c>
      <c r="J613" s="26" t="s">
        <v>2509</v>
      </c>
      <c r="K613" s="26" t="s">
        <v>2510</v>
      </c>
      <c r="L613" s="69">
        <v>2.0</v>
      </c>
      <c r="M613" s="76">
        <v>27.266793</v>
      </c>
      <c r="N613" s="76">
        <v>-82.557877</v>
      </c>
      <c r="O613" s="26" t="s">
        <v>261</v>
      </c>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c r="BK613" s="38"/>
      <c r="BL613" s="38"/>
      <c r="BM613" s="38"/>
      <c r="BN613" s="38"/>
      <c r="BO613" s="38"/>
    </row>
    <row r="614" ht="33.75" customHeight="1">
      <c r="A614" s="102">
        <v>42772.0</v>
      </c>
      <c r="B614" s="34" t="s">
        <v>2506</v>
      </c>
      <c r="C614" s="34" t="s">
        <v>2517</v>
      </c>
      <c r="D614" s="34" t="s">
        <v>2508</v>
      </c>
      <c r="E614" s="34" t="s">
        <v>1207</v>
      </c>
      <c r="F614" s="97">
        <v>27.26619</v>
      </c>
      <c r="G614" s="97">
        <v>-82.556465</v>
      </c>
      <c r="H614" s="97">
        <v>27.278414</v>
      </c>
      <c r="I614" s="76">
        <v>-82.568875</v>
      </c>
      <c r="J614" s="26" t="s">
        <v>2509</v>
      </c>
      <c r="K614" s="26" t="s">
        <v>2510</v>
      </c>
      <c r="L614" s="69">
        <v>6.0</v>
      </c>
      <c r="M614" s="76">
        <v>27.267527</v>
      </c>
      <c r="N614" s="76">
        <v>-82.559174</v>
      </c>
      <c r="O614" s="26" t="s">
        <v>261</v>
      </c>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c r="BK614" s="38"/>
      <c r="BL614" s="38"/>
      <c r="BM614" s="38"/>
      <c r="BN614" s="38"/>
      <c r="BO614" s="38"/>
    </row>
    <row r="615" ht="33.75" customHeight="1">
      <c r="A615" s="102">
        <v>42772.0</v>
      </c>
      <c r="B615" s="34" t="s">
        <v>2506</v>
      </c>
      <c r="C615" s="34" t="s">
        <v>2518</v>
      </c>
      <c r="D615" s="34" t="s">
        <v>2508</v>
      </c>
      <c r="E615" s="34" t="s">
        <v>1207</v>
      </c>
      <c r="F615" s="97">
        <v>27.26619</v>
      </c>
      <c r="G615" s="97">
        <v>-82.556465</v>
      </c>
      <c r="H615" s="97">
        <v>27.278414</v>
      </c>
      <c r="I615" s="76">
        <v>-82.568875</v>
      </c>
      <c r="J615" s="26" t="s">
        <v>2509</v>
      </c>
      <c r="K615" s="26" t="s">
        <v>2510</v>
      </c>
      <c r="L615" s="69">
        <v>7.0</v>
      </c>
      <c r="M615" s="76">
        <v>27.267892</v>
      </c>
      <c r="N615" s="76">
        <v>-82.560946</v>
      </c>
      <c r="O615" s="26" t="s">
        <v>261</v>
      </c>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c r="BK615" s="38"/>
      <c r="BL615" s="38"/>
      <c r="BM615" s="38"/>
      <c r="BN615" s="38"/>
      <c r="BO615" s="38"/>
    </row>
    <row r="616" ht="33.75" customHeight="1">
      <c r="A616" s="102">
        <v>42772.0</v>
      </c>
      <c r="B616" s="34" t="s">
        <v>2506</v>
      </c>
      <c r="C616" s="34" t="s">
        <v>2519</v>
      </c>
      <c r="D616" s="34" t="s">
        <v>2508</v>
      </c>
      <c r="E616" s="34" t="s">
        <v>1207</v>
      </c>
      <c r="F616" s="97">
        <v>27.26619</v>
      </c>
      <c r="G616" s="97">
        <v>-82.556465</v>
      </c>
      <c r="H616" s="97">
        <v>27.278414</v>
      </c>
      <c r="I616" s="76">
        <v>-82.568875</v>
      </c>
      <c r="J616" s="26" t="s">
        <v>2509</v>
      </c>
      <c r="K616" s="26" t="s">
        <v>2510</v>
      </c>
      <c r="L616" s="69">
        <v>4.0</v>
      </c>
      <c r="M616" s="76">
        <v>27.267213</v>
      </c>
      <c r="N616" s="76">
        <v>-82.558252</v>
      </c>
      <c r="O616" s="26" t="s">
        <v>1339</v>
      </c>
      <c r="P616" s="26" t="s">
        <v>2520</v>
      </c>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c r="BK616" s="38"/>
      <c r="BL616" s="38"/>
      <c r="BM616" s="38"/>
      <c r="BN616" s="38"/>
      <c r="BO616" s="38"/>
    </row>
    <row r="617" ht="33.75" customHeight="1">
      <c r="A617" s="102">
        <v>42772.0</v>
      </c>
      <c r="B617" s="34" t="s">
        <v>2506</v>
      </c>
      <c r="C617" s="34" t="s">
        <v>2521</v>
      </c>
      <c r="D617" s="34" t="s">
        <v>2508</v>
      </c>
      <c r="E617" s="34" t="s">
        <v>1207</v>
      </c>
      <c r="F617" s="97">
        <v>27.26619</v>
      </c>
      <c r="G617" s="97">
        <v>-82.556465</v>
      </c>
      <c r="H617" s="97">
        <v>27.278414</v>
      </c>
      <c r="I617" s="76">
        <v>-82.568875</v>
      </c>
      <c r="J617" s="26" t="s">
        <v>2509</v>
      </c>
      <c r="K617" s="26" t="s">
        <v>2510</v>
      </c>
      <c r="L617" s="69">
        <v>5.0</v>
      </c>
      <c r="M617" s="76">
        <v>27.267311</v>
      </c>
      <c r="N617" s="76">
        <v>-82.558485</v>
      </c>
      <c r="O617" s="26" t="s">
        <v>1339</v>
      </c>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c r="BK617" s="38"/>
      <c r="BL617" s="38"/>
      <c r="BM617" s="38"/>
      <c r="BN617" s="38"/>
      <c r="BO617" s="38"/>
    </row>
    <row r="618" ht="33.75" customHeight="1">
      <c r="A618" s="102">
        <v>42772.0</v>
      </c>
      <c r="B618" s="34" t="s">
        <v>2506</v>
      </c>
      <c r="C618" s="34" t="s">
        <v>2516</v>
      </c>
      <c r="D618" s="34" t="s">
        <v>2508</v>
      </c>
      <c r="E618" s="34" t="s">
        <v>1207</v>
      </c>
      <c r="F618" s="76">
        <v>27.26619</v>
      </c>
      <c r="G618" s="76">
        <v>-82.556465</v>
      </c>
      <c r="H618" s="76">
        <v>27.278414</v>
      </c>
      <c r="I618" s="76">
        <v>-82.568875</v>
      </c>
      <c r="J618" s="26" t="s">
        <v>2509</v>
      </c>
      <c r="K618" s="26" t="s">
        <v>2510</v>
      </c>
      <c r="L618" s="69">
        <v>3.0</v>
      </c>
      <c r="M618" s="76">
        <v>27.267077</v>
      </c>
      <c r="N618" s="76">
        <v>-82.558156</v>
      </c>
      <c r="O618" s="26" t="s">
        <v>2522</v>
      </c>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c r="BK618" s="38"/>
      <c r="BL618" s="38"/>
      <c r="BM618" s="38"/>
      <c r="BN618" s="38"/>
      <c r="BO618" s="38"/>
    </row>
    <row r="619" ht="33.75" customHeight="1">
      <c r="A619" s="11">
        <v>42772.0</v>
      </c>
      <c r="B619" s="13" t="s">
        <v>2523</v>
      </c>
      <c r="C619" s="13" t="s">
        <v>2524</v>
      </c>
      <c r="D619" s="13" t="s">
        <v>2525</v>
      </c>
      <c r="E619" s="13" t="s">
        <v>1207</v>
      </c>
      <c r="F619" s="13">
        <v>27.24611</v>
      </c>
      <c r="G619" s="13">
        <v>-82.53583</v>
      </c>
      <c r="H619" s="13">
        <v>27.26639</v>
      </c>
      <c r="I619" s="14">
        <v>82.55667</v>
      </c>
      <c r="J619" s="13" t="s">
        <v>2526</v>
      </c>
      <c r="K619" s="13" t="s">
        <v>2527</v>
      </c>
      <c r="L619" s="13">
        <v>1.0</v>
      </c>
      <c r="M619" s="14">
        <v>27.24917</v>
      </c>
      <c r="N619" s="14">
        <v>-82.53694</v>
      </c>
      <c r="O619" s="13" t="s">
        <v>2528</v>
      </c>
      <c r="P619" s="13" t="s">
        <v>2529</v>
      </c>
    </row>
    <row r="620" ht="33.75" customHeight="1">
      <c r="A620" s="11">
        <v>42772.0</v>
      </c>
      <c r="B620" s="13" t="s">
        <v>2523</v>
      </c>
      <c r="C620" s="13" t="s">
        <v>2524</v>
      </c>
      <c r="D620" s="13" t="s">
        <v>2525</v>
      </c>
      <c r="E620" s="13" t="s">
        <v>1207</v>
      </c>
      <c r="F620" s="13">
        <v>27.24611</v>
      </c>
      <c r="G620" s="13">
        <v>-82.53583</v>
      </c>
      <c r="H620" s="13">
        <v>27.26639</v>
      </c>
      <c r="I620" s="14">
        <v>82.55667</v>
      </c>
      <c r="J620" s="13" t="s">
        <v>2526</v>
      </c>
      <c r="K620" s="13" t="s">
        <v>2527</v>
      </c>
      <c r="L620" s="13">
        <v>2.0</v>
      </c>
      <c r="M620" s="14">
        <v>27.25694</v>
      </c>
      <c r="N620" s="14">
        <v>-82.54194</v>
      </c>
      <c r="O620" s="13" t="s">
        <v>2530</v>
      </c>
      <c r="P620" s="13" t="s">
        <v>2529</v>
      </c>
    </row>
    <row r="621" ht="33.75" customHeight="1">
      <c r="A621" s="11">
        <v>42772.0</v>
      </c>
      <c r="B621" s="13" t="s">
        <v>2523</v>
      </c>
      <c r="C621" s="13" t="s">
        <v>2524</v>
      </c>
      <c r="D621" s="13" t="s">
        <v>2525</v>
      </c>
      <c r="E621" s="13" t="s">
        <v>1207</v>
      </c>
      <c r="F621" s="13">
        <v>27.24611</v>
      </c>
      <c r="G621" s="13">
        <v>-82.53583</v>
      </c>
      <c r="H621" s="13">
        <v>27.26639</v>
      </c>
      <c r="I621" s="14">
        <v>82.55667</v>
      </c>
      <c r="J621" s="13" t="s">
        <v>2526</v>
      </c>
      <c r="K621" s="13" t="s">
        <v>2527</v>
      </c>
      <c r="L621" s="13">
        <v>3.0</v>
      </c>
      <c r="M621" s="14">
        <v>27.2636</v>
      </c>
      <c r="N621" s="14">
        <v>-82.55167</v>
      </c>
      <c r="O621" s="13" t="s">
        <v>2531</v>
      </c>
      <c r="P621" s="13" t="s">
        <v>2529</v>
      </c>
    </row>
    <row r="622" ht="33.75" customHeight="1">
      <c r="A622" s="11">
        <v>42772.0</v>
      </c>
      <c r="B622" s="13" t="s">
        <v>2523</v>
      </c>
      <c r="C622" s="13" t="s">
        <v>2524</v>
      </c>
      <c r="D622" s="13" t="s">
        <v>2525</v>
      </c>
      <c r="E622" s="13" t="s">
        <v>1207</v>
      </c>
      <c r="F622" s="13">
        <v>27.24611</v>
      </c>
      <c r="G622" s="13">
        <v>-82.53583</v>
      </c>
      <c r="H622" s="13">
        <v>27.26639</v>
      </c>
      <c r="I622" s="14">
        <v>82.55667</v>
      </c>
      <c r="J622" s="13" t="s">
        <v>2526</v>
      </c>
      <c r="K622" s="13" t="s">
        <v>2527</v>
      </c>
      <c r="L622" s="13">
        <v>4.0</v>
      </c>
      <c r="M622" s="14">
        <v>27.26426</v>
      </c>
      <c r="N622" s="14">
        <v>-82.55222</v>
      </c>
      <c r="O622" s="13" t="s">
        <v>2532</v>
      </c>
      <c r="P622" s="13" t="s">
        <v>2529</v>
      </c>
    </row>
    <row r="623" ht="33.75" customHeight="1">
      <c r="A623" s="11">
        <v>42772.0</v>
      </c>
      <c r="B623" s="13" t="s">
        <v>2523</v>
      </c>
      <c r="C623" s="13" t="s">
        <v>2524</v>
      </c>
      <c r="D623" s="13" t="s">
        <v>2525</v>
      </c>
      <c r="E623" s="13" t="s">
        <v>1207</v>
      </c>
      <c r="F623" s="13">
        <v>27.24611</v>
      </c>
      <c r="G623" s="13">
        <v>-82.53583</v>
      </c>
      <c r="H623" s="13">
        <v>27.26639</v>
      </c>
      <c r="I623" s="14">
        <v>82.55667</v>
      </c>
      <c r="J623" s="13" t="s">
        <v>2526</v>
      </c>
      <c r="K623" s="13" t="s">
        <v>2527</v>
      </c>
      <c r="L623" s="13">
        <v>5.0</v>
      </c>
      <c r="M623" s="14">
        <v>27.26494</v>
      </c>
      <c r="N623" s="14">
        <v>-82.55333</v>
      </c>
      <c r="O623" s="13" t="s">
        <v>2533</v>
      </c>
      <c r="P623" s="13" t="s">
        <v>2529</v>
      </c>
    </row>
    <row r="624" ht="33.75" customHeight="1">
      <c r="A624" s="11">
        <v>42772.0</v>
      </c>
      <c r="B624" s="13" t="s">
        <v>2523</v>
      </c>
      <c r="C624" s="13" t="s">
        <v>2524</v>
      </c>
      <c r="D624" s="13" t="s">
        <v>2525</v>
      </c>
      <c r="E624" s="13" t="s">
        <v>1207</v>
      </c>
      <c r="F624" s="13">
        <v>27.24611</v>
      </c>
      <c r="G624" s="13">
        <v>-82.53583</v>
      </c>
      <c r="H624" s="13">
        <v>27.26639</v>
      </c>
      <c r="I624" s="14">
        <v>82.55667</v>
      </c>
      <c r="J624" s="13" t="s">
        <v>2526</v>
      </c>
      <c r="K624" s="13" t="s">
        <v>2527</v>
      </c>
      <c r="L624" s="13">
        <v>6.0</v>
      </c>
      <c r="M624" s="14">
        <v>27.26528</v>
      </c>
      <c r="N624" s="14">
        <v>-82.55472</v>
      </c>
      <c r="O624" s="13" t="s">
        <v>2534</v>
      </c>
      <c r="P624" s="13" t="s">
        <v>2529</v>
      </c>
    </row>
    <row r="625" ht="33.75" customHeight="1">
      <c r="A625" s="15">
        <v>42772.0</v>
      </c>
      <c r="B625" s="13" t="s">
        <v>2523</v>
      </c>
      <c r="C625" s="13" t="s">
        <v>2524</v>
      </c>
      <c r="D625" s="13" t="s">
        <v>2525</v>
      </c>
      <c r="E625" s="13" t="s">
        <v>1207</v>
      </c>
      <c r="F625" s="13">
        <v>27.24611</v>
      </c>
      <c r="G625" s="13">
        <v>-82.53583</v>
      </c>
      <c r="H625" s="13">
        <v>27.26639</v>
      </c>
      <c r="I625" s="14">
        <v>82.55667</v>
      </c>
      <c r="J625" s="13" t="s">
        <v>2526</v>
      </c>
      <c r="K625" s="13" t="s">
        <v>2527</v>
      </c>
      <c r="L625" s="13">
        <v>7.0</v>
      </c>
      <c r="M625" s="14">
        <v>27.26639</v>
      </c>
      <c r="N625" s="14">
        <v>-82.55667</v>
      </c>
      <c r="O625" s="13" t="s">
        <v>53</v>
      </c>
      <c r="P625" s="13" t="s">
        <v>2535</v>
      </c>
    </row>
    <row r="626" ht="33.75" customHeight="1">
      <c r="A626" s="45">
        <v>42773.0</v>
      </c>
      <c r="B626" s="16" t="s">
        <v>2536</v>
      </c>
      <c r="C626" s="16" t="s">
        <v>2537</v>
      </c>
      <c r="D626" s="16" t="s">
        <v>2538</v>
      </c>
      <c r="E626" s="16" t="s">
        <v>1207</v>
      </c>
      <c r="F626" s="16">
        <v>26.978421</v>
      </c>
      <c r="G626" s="16">
        <v>-82.396151</v>
      </c>
      <c r="H626" s="13">
        <v>26.945993</v>
      </c>
      <c r="I626" s="13">
        <v>-82.374191</v>
      </c>
      <c r="J626" s="13" t="s">
        <v>2539</v>
      </c>
      <c r="K626" s="13" t="s">
        <v>2540</v>
      </c>
      <c r="L626" s="13"/>
      <c r="M626" s="13"/>
      <c r="N626" s="13"/>
      <c r="O626" s="13"/>
      <c r="P626" s="14"/>
    </row>
    <row r="627" ht="33.75" customHeight="1">
      <c r="A627" s="41">
        <v>42773.0</v>
      </c>
      <c r="B627" s="16" t="s">
        <v>2541</v>
      </c>
      <c r="C627" s="16" t="s">
        <v>2542</v>
      </c>
      <c r="D627" s="16" t="s">
        <v>2543</v>
      </c>
      <c r="E627" s="16" t="s">
        <v>1207</v>
      </c>
      <c r="F627" s="16">
        <v>27.01688</v>
      </c>
      <c r="G627" s="16">
        <v>-82.41664</v>
      </c>
      <c r="H627" s="13">
        <v>27.0217</v>
      </c>
      <c r="I627" s="13">
        <v>-82.41984</v>
      </c>
      <c r="J627" s="13" t="s">
        <v>2544</v>
      </c>
      <c r="K627" s="13" t="s">
        <v>2545</v>
      </c>
      <c r="L627" s="13">
        <v>0.0</v>
      </c>
      <c r="M627" s="13"/>
      <c r="N627" s="13"/>
      <c r="O627" s="13"/>
      <c r="P627" s="14" t="s">
        <v>521</v>
      </c>
    </row>
    <row r="628" ht="33.75" customHeight="1">
      <c r="A628" s="41">
        <v>42773.0</v>
      </c>
      <c r="B628" s="16" t="s">
        <v>2541</v>
      </c>
      <c r="C628" s="16" t="s">
        <v>2542</v>
      </c>
      <c r="D628" s="16" t="s">
        <v>2546</v>
      </c>
      <c r="E628" s="16" t="s">
        <v>1207</v>
      </c>
      <c r="F628" s="16">
        <v>27.01011</v>
      </c>
      <c r="G628" s="16">
        <v>-82.41256</v>
      </c>
      <c r="H628" s="13">
        <v>27.01687</v>
      </c>
      <c r="I628" s="13">
        <v>-82.41664</v>
      </c>
      <c r="J628" s="13" t="s">
        <v>2547</v>
      </c>
      <c r="K628" s="13" t="s">
        <v>2548</v>
      </c>
      <c r="L628" s="13">
        <v>0.0</v>
      </c>
      <c r="M628" s="13"/>
      <c r="N628" s="13"/>
      <c r="O628" s="13"/>
      <c r="P628" s="14" t="s">
        <v>2549</v>
      </c>
    </row>
    <row r="629" ht="33.75" customHeight="1">
      <c r="A629" s="41">
        <v>42773.0</v>
      </c>
      <c r="B629" s="16" t="s">
        <v>2550</v>
      </c>
      <c r="C629" s="16" t="s">
        <v>2551</v>
      </c>
      <c r="D629" s="16" t="s">
        <v>2552</v>
      </c>
      <c r="E629" s="16" t="s">
        <v>1207</v>
      </c>
      <c r="F629" s="16"/>
      <c r="G629" s="16"/>
      <c r="H629" s="13"/>
      <c r="I629" s="13"/>
      <c r="J629" s="13" t="s">
        <v>2553</v>
      </c>
      <c r="K629" s="13" t="s">
        <v>2554</v>
      </c>
      <c r="L629" s="13"/>
      <c r="M629" s="13"/>
      <c r="N629" s="13"/>
      <c r="O629" s="13"/>
      <c r="P629" s="14"/>
    </row>
    <row r="630" ht="33.75" customHeight="1">
      <c r="A630" s="41">
        <v>42773.0</v>
      </c>
      <c r="B630" s="16" t="s">
        <v>2555</v>
      </c>
      <c r="C630" s="16" t="s">
        <v>2556</v>
      </c>
      <c r="D630" s="16" t="s">
        <v>2557</v>
      </c>
      <c r="E630" s="16" t="s">
        <v>1207</v>
      </c>
      <c r="F630" s="16">
        <v>27.05541</v>
      </c>
      <c r="G630" s="16">
        <v>-82.44235</v>
      </c>
      <c r="H630" s="13">
        <v>27.03678</v>
      </c>
      <c r="I630" s="13">
        <v>-82.42926</v>
      </c>
      <c r="J630" s="13" t="s">
        <v>1505</v>
      </c>
      <c r="K630" s="13" t="s">
        <v>2558</v>
      </c>
      <c r="L630" s="13"/>
      <c r="M630" s="13"/>
      <c r="N630" s="13"/>
      <c r="O630" s="13" t="s">
        <v>1032</v>
      </c>
      <c r="P630" s="14" t="s">
        <v>2559</v>
      </c>
    </row>
    <row r="631" ht="33.75" customHeight="1">
      <c r="A631" s="41">
        <v>42774.0</v>
      </c>
      <c r="B631" s="16" t="s">
        <v>1118</v>
      </c>
      <c r="C631" s="16" t="s">
        <v>1119</v>
      </c>
      <c r="D631" s="16" t="s">
        <v>2560</v>
      </c>
      <c r="E631" s="16" t="s">
        <v>1207</v>
      </c>
      <c r="F631" s="16">
        <v>27.29615</v>
      </c>
      <c r="G631" s="16">
        <v>-82.567</v>
      </c>
      <c r="H631" s="13">
        <v>27.32482</v>
      </c>
      <c r="I631" s="13">
        <v>-82.5885</v>
      </c>
      <c r="J631" s="13" t="s">
        <v>2561</v>
      </c>
      <c r="K631" s="13" t="s">
        <v>2562</v>
      </c>
      <c r="L631" s="13">
        <v>1.0</v>
      </c>
      <c r="M631" s="13">
        <v>27.3139</v>
      </c>
      <c r="N631" s="13">
        <v>-82.58036</v>
      </c>
      <c r="O631" s="13" t="s">
        <v>2563</v>
      </c>
      <c r="P631" s="14" t="s">
        <v>484</v>
      </c>
    </row>
    <row r="632" ht="33.75" customHeight="1">
      <c r="A632" s="41">
        <v>42774.0</v>
      </c>
      <c r="B632" s="16" t="s">
        <v>1118</v>
      </c>
      <c r="C632" s="16" t="s">
        <v>1119</v>
      </c>
      <c r="D632" s="16" t="s">
        <v>2560</v>
      </c>
      <c r="E632" s="16" t="s">
        <v>1207</v>
      </c>
      <c r="F632" s="16">
        <v>27.29615</v>
      </c>
      <c r="G632" s="16">
        <v>-82.567</v>
      </c>
      <c r="H632" s="13">
        <v>27.32482</v>
      </c>
      <c r="I632" s="13">
        <v>-82.5885</v>
      </c>
      <c r="J632" s="13" t="s">
        <v>2561</v>
      </c>
      <c r="K632" s="13" t="s">
        <v>2562</v>
      </c>
      <c r="L632" s="13">
        <v>2.0</v>
      </c>
      <c r="M632" s="13">
        <v>27.31628</v>
      </c>
      <c r="N632" s="13">
        <v>-82.58372</v>
      </c>
      <c r="O632" s="13" t="s">
        <v>2564</v>
      </c>
      <c r="P632" s="14" t="s">
        <v>484</v>
      </c>
    </row>
    <row r="633" ht="33.75" customHeight="1">
      <c r="A633" s="41">
        <v>42775.0</v>
      </c>
      <c r="B633" s="16" t="s">
        <v>524</v>
      </c>
      <c r="C633" s="16" t="s">
        <v>525</v>
      </c>
      <c r="D633" s="16" t="s">
        <v>2494</v>
      </c>
      <c r="E633" s="16" t="s">
        <v>1207</v>
      </c>
      <c r="F633" s="16">
        <v>27.06585</v>
      </c>
      <c r="G633" s="16">
        <v>82.44807</v>
      </c>
      <c r="H633" s="13">
        <v>27.11122</v>
      </c>
      <c r="I633" s="13">
        <v>82.46551</v>
      </c>
      <c r="J633" s="13" t="s">
        <v>2565</v>
      </c>
      <c r="K633" s="13" t="s">
        <v>2496</v>
      </c>
      <c r="L633" s="13">
        <v>1.0</v>
      </c>
      <c r="M633" s="13">
        <v>27.0744374</v>
      </c>
      <c r="N633" s="13">
        <v>82.4515131</v>
      </c>
      <c r="O633" s="13" t="s">
        <v>2566</v>
      </c>
      <c r="P633" s="14" t="s">
        <v>130</v>
      </c>
    </row>
    <row r="634" ht="33.75" customHeight="1">
      <c r="A634" s="111" t="s">
        <v>2567</v>
      </c>
      <c r="B634" s="16" t="s">
        <v>2568</v>
      </c>
      <c r="C634" s="16" t="s">
        <v>2569</v>
      </c>
      <c r="D634" s="16" t="s">
        <v>2570</v>
      </c>
      <c r="E634" s="16" t="s">
        <v>1207</v>
      </c>
      <c r="F634" s="16">
        <v>27.02812</v>
      </c>
      <c r="G634" s="16">
        <v>82.42362</v>
      </c>
      <c r="H634" s="13">
        <v>27.02163</v>
      </c>
      <c r="I634" s="13">
        <v>82.4198</v>
      </c>
      <c r="J634" s="13" t="s">
        <v>2572</v>
      </c>
      <c r="K634" s="13" t="s">
        <v>2574</v>
      </c>
      <c r="L634" s="13"/>
      <c r="M634" s="13"/>
      <c r="N634" s="13"/>
      <c r="O634" s="13"/>
      <c r="P634" s="14" t="s">
        <v>2575</v>
      </c>
    </row>
    <row r="635" ht="33.75" customHeight="1">
      <c r="A635" s="15">
        <v>42773.0</v>
      </c>
      <c r="B635" s="16" t="s">
        <v>2578</v>
      </c>
      <c r="C635" s="16" t="s">
        <v>2579</v>
      </c>
      <c r="D635" s="16" t="s">
        <v>2580</v>
      </c>
      <c r="E635" s="16" t="s">
        <v>2581</v>
      </c>
      <c r="F635" s="17">
        <v>26.97865</v>
      </c>
      <c r="G635" s="99">
        <v>-82.39631</v>
      </c>
      <c r="H635" s="17">
        <v>26.99662</v>
      </c>
      <c r="I635" s="14">
        <v>-82.40564</v>
      </c>
      <c r="J635" s="13" t="s">
        <v>2582</v>
      </c>
      <c r="K635" s="13" t="s">
        <v>2584</v>
      </c>
      <c r="L635" s="13"/>
      <c r="M635" s="14"/>
      <c r="N635" s="14"/>
      <c r="O635" s="13"/>
      <c r="P635" s="13" t="s">
        <v>2116</v>
      </c>
    </row>
    <row r="636" ht="33.75" customHeight="1">
      <c r="A636" s="11">
        <v>42769.0</v>
      </c>
      <c r="B636" s="13" t="s">
        <v>2585</v>
      </c>
      <c r="C636" s="13" t="s">
        <v>2587</v>
      </c>
      <c r="D636" s="13" t="s">
        <v>2588</v>
      </c>
      <c r="E636" s="13" t="s">
        <v>2589</v>
      </c>
      <c r="F636" s="13">
        <v>29.43047</v>
      </c>
      <c r="G636" s="13">
        <v>-81.13897</v>
      </c>
      <c r="H636" s="13">
        <v>29.7068</v>
      </c>
      <c r="I636" s="14">
        <v>-81.22842</v>
      </c>
      <c r="J636" s="13" t="s">
        <v>2590</v>
      </c>
      <c r="K636" s="13" t="s">
        <v>2591</v>
      </c>
      <c r="L636" s="13">
        <v>1.0</v>
      </c>
      <c r="M636" s="13">
        <v>29.71055</v>
      </c>
      <c r="N636" s="13">
        <v>-81.23025</v>
      </c>
      <c r="O636" s="13" t="s">
        <v>850</v>
      </c>
      <c r="P636" s="13" t="s">
        <v>2592</v>
      </c>
      <c r="Z636" s="13"/>
      <c r="AY636" s="13"/>
      <c r="BI636" s="13"/>
      <c r="BJ636" s="13"/>
      <c r="BK636" s="13"/>
      <c r="BL636" s="13"/>
      <c r="BM636" s="13"/>
      <c r="BN636" s="13"/>
      <c r="BO636" s="13"/>
    </row>
    <row r="637" ht="33.75" customHeight="1">
      <c r="A637" s="41">
        <v>42769.0</v>
      </c>
      <c r="B637" s="16" t="s">
        <v>2593</v>
      </c>
      <c r="C637" s="16" t="s">
        <v>2587</v>
      </c>
      <c r="D637" s="16" t="s">
        <v>2594</v>
      </c>
      <c r="E637" s="16" t="s">
        <v>2589</v>
      </c>
      <c r="F637" s="16">
        <v>29.796962</v>
      </c>
      <c r="G637" s="16">
        <v>-81.272047</v>
      </c>
      <c r="H637" s="13">
        <v>29.796962</v>
      </c>
      <c r="I637" s="13">
        <v>-81.272047</v>
      </c>
      <c r="J637" s="13" t="s">
        <v>2595</v>
      </c>
      <c r="K637" s="13" t="s">
        <v>1664</v>
      </c>
      <c r="L637" s="13">
        <v>1.0</v>
      </c>
      <c r="M637" s="13">
        <v>29.796962</v>
      </c>
      <c r="N637" s="13">
        <v>-81.272047</v>
      </c>
      <c r="O637" s="13" t="s">
        <v>2596</v>
      </c>
      <c r="P637" s="14"/>
    </row>
    <row r="638" ht="33.75" customHeight="1">
      <c r="A638" s="79">
        <v>42771.0</v>
      </c>
      <c r="B638" s="26" t="s">
        <v>2597</v>
      </c>
      <c r="C638" s="26" t="s">
        <v>2598</v>
      </c>
      <c r="D638" s="26" t="s">
        <v>2599</v>
      </c>
      <c r="E638" s="26" t="s">
        <v>2589</v>
      </c>
      <c r="F638" s="69">
        <v>29.91788</v>
      </c>
      <c r="G638" s="69">
        <v>-81.29008</v>
      </c>
      <c r="H638" s="69">
        <v>29.91109</v>
      </c>
      <c r="I638" s="69">
        <v>-81.29578</v>
      </c>
      <c r="J638" s="26" t="s">
        <v>2600</v>
      </c>
      <c r="K638" s="26" t="s">
        <v>2601</v>
      </c>
      <c r="L638" s="69">
        <v>1.0</v>
      </c>
      <c r="M638" s="76">
        <v>29.91715</v>
      </c>
      <c r="N638" s="76">
        <v>-81.28999</v>
      </c>
      <c r="O638" s="26" t="s">
        <v>2602</v>
      </c>
      <c r="P638" s="70" t="s">
        <v>2603</v>
      </c>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c r="BK638" s="38"/>
      <c r="BL638" s="38"/>
      <c r="BM638" s="38"/>
      <c r="BN638" s="38"/>
      <c r="BO638" s="38"/>
    </row>
    <row r="639" ht="33.75" customHeight="1">
      <c r="A639" s="79">
        <v>42771.0</v>
      </c>
      <c r="B639" s="26" t="s">
        <v>2597</v>
      </c>
      <c r="C639" s="26" t="s">
        <v>2598</v>
      </c>
      <c r="D639" s="26" t="s">
        <v>2599</v>
      </c>
      <c r="E639" s="26" t="s">
        <v>2589</v>
      </c>
      <c r="F639" s="69">
        <v>29.91788</v>
      </c>
      <c r="G639" s="69">
        <v>-81.29008</v>
      </c>
      <c r="H639" s="69">
        <v>29.91109</v>
      </c>
      <c r="I639" s="69">
        <v>-81.29578</v>
      </c>
      <c r="J639" s="26" t="s">
        <v>2600</v>
      </c>
      <c r="K639" s="26" t="s">
        <v>2601</v>
      </c>
      <c r="L639" s="69">
        <v>2.0</v>
      </c>
      <c r="M639" s="76">
        <v>29.91524</v>
      </c>
      <c r="N639" s="76">
        <v>-81.28893</v>
      </c>
      <c r="O639" s="26" t="s">
        <v>2604</v>
      </c>
      <c r="P639" s="70" t="s">
        <v>2603</v>
      </c>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c r="BK639" s="38"/>
      <c r="BL639" s="38"/>
      <c r="BM639" s="38"/>
      <c r="BN639" s="38"/>
      <c r="BO639" s="38"/>
    </row>
    <row r="640" ht="33.75" customHeight="1">
      <c r="A640" s="32">
        <v>42772.0</v>
      </c>
      <c r="B640" s="26" t="s">
        <v>2607</v>
      </c>
      <c r="C640" s="26" t="s">
        <v>2608</v>
      </c>
      <c r="D640" s="26" t="s">
        <v>2609</v>
      </c>
      <c r="E640" s="26" t="s">
        <v>2589</v>
      </c>
      <c r="F640" s="69">
        <v>29.85938</v>
      </c>
      <c r="G640" s="69">
        <v>-81.26585</v>
      </c>
      <c r="H640" s="69">
        <v>29.90416</v>
      </c>
      <c r="I640" s="76">
        <v>-81.29318</v>
      </c>
      <c r="J640" s="26" t="s">
        <v>2610</v>
      </c>
      <c r="K640" s="26" t="s">
        <v>2611</v>
      </c>
      <c r="L640" s="69">
        <v>1.0</v>
      </c>
      <c r="M640" s="76">
        <v>29.86765</v>
      </c>
      <c r="N640" s="76">
        <v>-81.26737</v>
      </c>
      <c r="O640" s="26" t="s">
        <v>2612</v>
      </c>
      <c r="P640" s="26" t="s">
        <v>2613</v>
      </c>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c r="BK640" s="38"/>
      <c r="BL640" s="38"/>
      <c r="BM640" s="38"/>
      <c r="BN640" s="38"/>
      <c r="BO640" s="38"/>
    </row>
    <row r="641" ht="33.75" customHeight="1">
      <c r="A641" s="113">
        <v>42772.0</v>
      </c>
      <c r="B641" s="26" t="s">
        <v>2616</v>
      </c>
      <c r="C641" s="26" t="s">
        <v>2617</v>
      </c>
      <c r="D641" s="26" t="s">
        <v>2618</v>
      </c>
      <c r="E641" s="26" t="s">
        <v>2589</v>
      </c>
      <c r="F641" s="76">
        <v>30.02208</v>
      </c>
      <c r="G641" s="76">
        <v>-81.32262</v>
      </c>
      <c r="H641" s="76">
        <v>3012702.0</v>
      </c>
      <c r="I641" s="76">
        <v>-81.34683</v>
      </c>
      <c r="J641" s="26" t="s">
        <v>2619</v>
      </c>
      <c r="K641" s="26" t="s">
        <v>2620</v>
      </c>
      <c r="L641" s="69">
        <v>2.0</v>
      </c>
      <c r="M641" s="76">
        <v>30.03353</v>
      </c>
      <c r="N641" s="76">
        <v>81.32542</v>
      </c>
      <c r="O641" s="26" t="s">
        <v>2621</v>
      </c>
      <c r="P641" s="70"/>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c r="BK641" s="38"/>
      <c r="BL641" s="38"/>
      <c r="BM641" s="38"/>
      <c r="BN641" s="38"/>
      <c r="BO641" s="38"/>
    </row>
    <row r="642" ht="33.75" customHeight="1">
      <c r="A642" s="113">
        <v>42772.0</v>
      </c>
      <c r="B642" s="26" t="s">
        <v>2616</v>
      </c>
      <c r="C642" s="26" t="s">
        <v>2617</v>
      </c>
      <c r="D642" s="26" t="s">
        <v>2618</v>
      </c>
      <c r="E642" s="26" t="s">
        <v>2589</v>
      </c>
      <c r="F642" s="76">
        <v>30.02208</v>
      </c>
      <c r="G642" s="76">
        <v>-81.32262</v>
      </c>
      <c r="H642" s="76">
        <v>3012702.0</v>
      </c>
      <c r="I642" s="76">
        <v>-81.34683</v>
      </c>
      <c r="J642" s="26" t="s">
        <v>2619</v>
      </c>
      <c r="K642" s="26" t="s">
        <v>2620</v>
      </c>
      <c r="L642" s="69">
        <v>1.0</v>
      </c>
      <c r="M642" s="76">
        <v>30.02475</v>
      </c>
      <c r="N642" s="76">
        <v>81.32333</v>
      </c>
      <c r="O642" s="26" t="s">
        <v>2624</v>
      </c>
      <c r="P642" s="70"/>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c r="BK642" s="38"/>
      <c r="BL642" s="38"/>
      <c r="BM642" s="38"/>
      <c r="BN642" s="38"/>
      <c r="BO642" s="38"/>
    </row>
    <row r="643" ht="33.75" customHeight="1">
      <c r="A643" s="32">
        <v>42772.0</v>
      </c>
      <c r="B643" s="26" t="s">
        <v>2607</v>
      </c>
      <c r="C643" s="26" t="s">
        <v>2608</v>
      </c>
      <c r="D643" s="26" t="s">
        <v>2609</v>
      </c>
      <c r="E643" s="26" t="s">
        <v>2589</v>
      </c>
      <c r="F643" s="69">
        <v>29.85938</v>
      </c>
      <c r="G643" s="69">
        <v>-81.26585</v>
      </c>
      <c r="H643" s="69">
        <v>29.90416</v>
      </c>
      <c r="I643" s="76">
        <v>-81.29318</v>
      </c>
      <c r="J643" s="26" t="s">
        <v>2610</v>
      </c>
      <c r="K643" s="26" t="s">
        <v>2611</v>
      </c>
      <c r="L643" s="69">
        <v>2.0</v>
      </c>
      <c r="M643" s="76">
        <v>29.8947</v>
      </c>
      <c r="N643" s="114">
        <v>-81.27538</v>
      </c>
      <c r="O643" s="26" t="s">
        <v>2627</v>
      </c>
      <c r="P643" s="70" t="s">
        <v>2613</v>
      </c>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c r="BK643" s="38"/>
      <c r="BL643" s="38"/>
      <c r="BM643" s="38"/>
      <c r="BN643" s="38"/>
      <c r="BO643" s="38"/>
    </row>
    <row r="644" ht="33.75" customHeight="1">
      <c r="A644" s="113">
        <v>42772.0</v>
      </c>
      <c r="B644" s="26" t="s">
        <v>2616</v>
      </c>
      <c r="C644" s="26" t="s">
        <v>2617</v>
      </c>
      <c r="D644" s="26" t="s">
        <v>2618</v>
      </c>
      <c r="E644" s="26" t="s">
        <v>2589</v>
      </c>
      <c r="F644" s="76">
        <v>30.02208</v>
      </c>
      <c r="G644" s="76">
        <v>-81.32262</v>
      </c>
      <c r="H644" s="76">
        <v>3012702.0</v>
      </c>
      <c r="I644" s="76">
        <v>-81.34683</v>
      </c>
      <c r="J644" s="26" t="s">
        <v>2619</v>
      </c>
      <c r="K644" s="26" t="s">
        <v>2620</v>
      </c>
      <c r="L644" s="69">
        <v>4.0</v>
      </c>
      <c r="M644" s="76">
        <v>30.11712</v>
      </c>
      <c r="N644" s="76">
        <v>81.34469</v>
      </c>
      <c r="O644" s="26" t="s">
        <v>2628</v>
      </c>
      <c r="P644" s="70"/>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c r="BK644" s="38"/>
      <c r="BL644" s="38"/>
      <c r="BM644" s="38"/>
      <c r="BN644" s="38"/>
      <c r="BO644" s="38"/>
    </row>
    <row r="645" ht="33.75" customHeight="1">
      <c r="A645" s="113">
        <v>42772.0</v>
      </c>
      <c r="B645" s="26" t="s">
        <v>2616</v>
      </c>
      <c r="C645" s="26" t="s">
        <v>2617</v>
      </c>
      <c r="D645" s="26" t="s">
        <v>2618</v>
      </c>
      <c r="E645" s="26" t="s">
        <v>2589</v>
      </c>
      <c r="F645" s="69">
        <v>30.02208</v>
      </c>
      <c r="G645" s="69">
        <v>-81.32262</v>
      </c>
      <c r="H645" s="69">
        <v>3012702.0</v>
      </c>
      <c r="I645" s="69">
        <v>-81.34683</v>
      </c>
      <c r="J645" s="26" t="s">
        <v>2619</v>
      </c>
      <c r="K645" s="26" t="s">
        <v>2620</v>
      </c>
      <c r="L645" s="69">
        <v>3.0</v>
      </c>
      <c r="M645" s="76">
        <v>30.05633</v>
      </c>
      <c r="N645" s="76">
        <v>81.33045</v>
      </c>
      <c r="O645" s="26" t="s">
        <v>2630</v>
      </c>
      <c r="P645" s="70"/>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c r="BK645" s="38"/>
      <c r="BL645" s="38"/>
      <c r="BM645" s="38"/>
      <c r="BN645" s="38"/>
      <c r="BO645" s="38"/>
    </row>
    <row r="646" ht="33.75" customHeight="1">
      <c r="A646" s="68">
        <v>42772.0</v>
      </c>
      <c r="B646" s="26" t="s">
        <v>2607</v>
      </c>
      <c r="C646" s="26" t="s">
        <v>2608</v>
      </c>
      <c r="D646" s="34" t="s">
        <v>2631</v>
      </c>
      <c r="E646" s="34" t="s">
        <v>2589</v>
      </c>
      <c r="F646" s="114">
        <v>29.90396</v>
      </c>
      <c r="G646" s="114">
        <v>-81.29287</v>
      </c>
      <c r="H646" s="115">
        <v>29.89504</v>
      </c>
      <c r="I646" s="114">
        <v>-81.29142</v>
      </c>
      <c r="J646" s="26" t="s">
        <v>2632</v>
      </c>
      <c r="K646" s="26" t="s">
        <v>2611</v>
      </c>
      <c r="L646" s="26"/>
      <c r="M646" s="70"/>
      <c r="N646" s="116"/>
      <c r="O646" s="26"/>
      <c r="P646" s="70" t="s">
        <v>2116</v>
      </c>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c r="BK646" s="38"/>
      <c r="BL646" s="38"/>
      <c r="BM646" s="38"/>
      <c r="BN646" s="38"/>
      <c r="BO646" s="38"/>
    </row>
    <row r="647" ht="33.75" customHeight="1">
      <c r="A647" s="41">
        <v>42773.0</v>
      </c>
      <c r="B647" s="16" t="s">
        <v>2635</v>
      </c>
      <c r="C647" s="16" t="s">
        <v>2636</v>
      </c>
      <c r="D647" s="16" t="s">
        <v>2637</v>
      </c>
      <c r="E647" s="16" t="s">
        <v>2638</v>
      </c>
      <c r="F647" s="16">
        <v>29.917019</v>
      </c>
      <c r="G647" s="16">
        <v>-81.290222</v>
      </c>
      <c r="H647" s="13">
        <v>30.068257</v>
      </c>
      <c r="I647" s="13">
        <v>-81.332928</v>
      </c>
      <c r="J647" s="13" t="s">
        <v>2639</v>
      </c>
      <c r="K647" s="13" t="s">
        <v>2640</v>
      </c>
      <c r="L647" s="13">
        <v>1.0</v>
      </c>
      <c r="M647" s="13">
        <v>29.953881</v>
      </c>
      <c r="N647" s="13">
        <v>-81.304445</v>
      </c>
      <c r="O647" s="13" t="s">
        <v>2641</v>
      </c>
      <c r="P647" s="14"/>
    </row>
    <row r="648" ht="33.75" customHeight="1">
      <c r="A648" s="41">
        <v>42773.0</v>
      </c>
      <c r="B648" s="16" t="s">
        <v>2635</v>
      </c>
      <c r="C648" s="16" t="s">
        <v>2636</v>
      </c>
      <c r="D648" s="16" t="s">
        <v>2637</v>
      </c>
      <c r="E648" s="16" t="s">
        <v>2638</v>
      </c>
      <c r="F648" s="16">
        <v>29.917019</v>
      </c>
      <c r="G648" s="16">
        <v>-81.290222</v>
      </c>
      <c r="H648" s="13">
        <v>30.068257</v>
      </c>
      <c r="I648" s="13">
        <v>-81.332928</v>
      </c>
      <c r="J648" s="13" t="s">
        <v>2639</v>
      </c>
      <c r="K648" s="13" t="s">
        <v>2640</v>
      </c>
      <c r="L648" s="13">
        <v>2.0</v>
      </c>
      <c r="M648" s="13">
        <v>30.011429</v>
      </c>
      <c r="N648" s="13">
        <v>-81.3197</v>
      </c>
      <c r="O648" s="13" t="s">
        <v>2642</v>
      </c>
      <c r="P648" s="14"/>
    </row>
    <row r="649" ht="33.75" customHeight="1">
      <c r="A649" s="41">
        <v>42773.0</v>
      </c>
      <c r="B649" s="16" t="s">
        <v>2635</v>
      </c>
      <c r="C649" s="16" t="s">
        <v>2636</v>
      </c>
      <c r="D649" s="16" t="s">
        <v>2637</v>
      </c>
      <c r="E649" s="16" t="s">
        <v>2638</v>
      </c>
      <c r="F649" s="16">
        <v>29.917019</v>
      </c>
      <c r="G649" s="16">
        <v>-81.290222</v>
      </c>
      <c r="H649" s="13">
        <v>30.068257</v>
      </c>
      <c r="I649" s="13">
        <v>-81.332928</v>
      </c>
      <c r="J649" s="13" t="s">
        <v>2639</v>
      </c>
      <c r="K649" s="13" t="s">
        <v>2640</v>
      </c>
      <c r="L649" s="13">
        <v>3.0</v>
      </c>
      <c r="M649" s="13">
        <v>30.015892</v>
      </c>
      <c r="N649" s="13">
        <v>-81.32097</v>
      </c>
      <c r="O649" s="13" t="s">
        <v>2643</v>
      </c>
      <c r="P649" s="14"/>
    </row>
    <row r="650" ht="33.75" customHeight="1">
      <c r="A650" s="41">
        <v>42773.0</v>
      </c>
      <c r="B650" s="16" t="s">
        <v>2635</v>
      </c>
      <c r="C650" s="16" t="s">
        <v>2636</v>
      </c>
      <c r="D650" s="16" t="s">
        <v>2637</v>
      </c>
      <c r="E650" s="16" t="s">
        <v>2638</v>
      </c>
      <c r="F650" s="16">
        <v>29.917019</v>
      </c>
      <c r="G650" s="16">
        <v>-81.290222</v>
      </c>
      <c r="H650" s="13">
        <v>30.068257</v>
      </c>
      <c r="I650" s="13">
        <v>-81.332928</v>
      </c>
      <c r="J650" s="13" t="s">
        <v>2639</v>
      </c>
      <c r="K650" s="13" t="s">
        <v>2640</v>
      </c>
      <c r="L650" s="13">
        <v>4.0</v>
      </c>
      <c r="M650" s="13">
        <v>30.026492</v>
      </c>
      <c r="N650" s="13">
        <v>-81.323627</v>
      </c>
      <c r="O650" s="13" t="s">
        <v>2645</v>
      </c>
      <c r="P650" s="14"/>
    </row>
    <row r="651" ht="33.75" customHeight="1">
      <c r="A651" s="41">
        <v>42773.0</v>
      </c>
      <c r="B651" s="16" t="s">
        <v>2635</v>
      </c>
      <c r="C651" s="16" t="s">
        <v>2636</v>
      </c>
      <c r="D651" s="16" t="s">
        <v>2637</v>
      </c>
      <c r="E651" s="16" t="s">
        <v>2638</v>
      </c>
      <c r="F651" s="16">
        <v>29.917019</v>
      </c>
      <c r="G651" s="16">
        <v>-81.290222</v>
      </c>
      <c r="H651" s="13">
        <v>30.068257</v>
      </c>
      <c r="I651" s="13">
        <v>-81.332928</v>
      </c>
      <c r="J651" s="13" t="s">
        <v>2639</v>
      </c>
      <c r="K651" s="13" t="s">
        <v>2640</v>
      </c>
      <c r="L651" s="13">
        <v>5.0</v>
      </c>
      <c r="M651" s="13">
        <v>30.037489</v>
      </c>
      <c r="N651" s="13">
        <v>-81.326445</v>
      </c>
      <c r="O651" s="13" t="s">
        <v>2647</v>
      </c>
      <c r="P651" s="14"/>
    </row>
    <row r="652" ht="33.75" customHeight="1">
      <c r="A652" s="41">
        <v>42773.0</v>
      </c>
      <c r="B652" s="16" t="s">
        <v>2635</v>
      </c>
      <c r="C652" s="16" t="s">
        <v>2636</v>
      </c>
      <c r="D652" s="16" t="s">
        <v>2637</v>
      </c>
      <c r="E652" s="16" t="s">
        <v>2638</v>
      </c>
      <c r="F652" s="16">
        <v>29.917019</v>
      </c>
      <c r="G652" s="16">
        <v>-81.290222</v>
      </c>
      <c r="H652" s="13">
        <v>30.068257</v>
      </c>
      <c r="I652" s="13">
        <v>-81.332928</v>
      </c>
      <c r="J652" s="13" t="s">
        <v>2639</v>
      </c>
      <c r="K652" s="13" t="s">
        <v>2640</v>
      </c>
      <c r="L652" s="13">
        <v>6.0</v>
      </c>
      <c r="M652" s="13">
        <v>30.055895</v>
      </c>
      <c r="N652" s="13">
        <v>-81.330392</v>
      </c>
      <c r="O652" s="13" t="s">
        <v>2648</v>
      </c>
      <c r="P652" s="14"/>
    </row>
    <row r="653" ht="33.75" customHeight="1">
      <c r="A653" s="41">
        <v>42773.0</v>
      </c>
      <c r="B653" s="16" t="s">
        <v>2635</v>
      </c>
      <c r="C653" s="16" t="s">
        <v>2636</v>
      </c>
      <c r="D653" s="16" t="s">
        <v>2637</v>
      </c>
      <c r="E653" s="16" t="s">
        <v>2638</v>
      </c>
      <c r="F653" s="16">
        <v>29.917019</v>
      </c>
      <c r="G653" s="16">
        <v>-81.290222</v>
      </c>
      <c r="H653" s="13">
        <v>30.068257</v>
      </c>
      <c r="I653" s="13">
        <v>-81.332928</v>
      </c>
      <c r="J653" s="13" t="s">
        <v>2639</v>
      </c>
      <c r="K653" s="13" t="s">
        <v>2640</v>
      </c>
      <c r="L653" s="13">
        <v>7.0</v>
      </c>
      <c r="M653" s="13">
        <v>30.067351</v>
      </c>
      <c r="N653" s="13">
        <v>-81.332725</v>
      </c>
      <c r="O653" s="13" t="s">
        <v>2649</v>
      </c>
      <c r="P653" s="14"/>
    </row>
    <row r="654" ht="33.75" customHeight="1">
      <c r="A654" s="43">
        <v>42774.0</v>
      </c>
      <c r="B654" s="16" t="s">
        <v>1658</v>
      </c>
      <c r="C654" s="16" t="s">
        <v>1660</v>
      </c>
      <c r="D654" s="16" t="s">
        <v>2650</v>
      </c>
      <c r="E654" s="16" t="s">
        <v>2651</v>
      </c>
      <c r="F654" s="16">
        <v>27.565544</v>
      </c>
      <c r="G654" s="16">
        <v>-80.353134</v>
      </c>
      <c r="H654" s="13">
        <v>27.520441</v>
      </c>
      <c r="I654" s="13">
        <v>-80.334978</v>
      </c>
      <c r="J654" s="13">
        <v>1154.0</v>
      </c>
      <c r="K654" s="13">
        <v>1430.0</v>
      </c>
      <c r="L654" s="13">
        <v>1.0</v>
      </c>
      <c r="M654" s="13">
        <v>27.551842</v>
      </c>
      <c r="N654" s="13">
        <v>-80.34377</v>
      </c>
      <c r="O654" s="13" t="s">
        <v>850</v>
      </c>
      <c r="P654" s="14" t="s">
        <v>1110</v>
      </c>
    </row>
    <row r="655" ht="33.75" customHeight="1">
      <c r="A655" s="11">
        <v>42769.0</v>
      </c>
      <c r="B655" s="13" t="s">
        <v>2652</v>
      </c>
      <c r="C655" s="13" t="s">
        <v>2653</v>
      </c>
      <c r="D655" s="13" t="s">
        <v>2588</v>
      </c>
      <c r="E655" s="13" t="s">
        <v>2654</v>
      </c>
      <c r="F655" s="13">
        <v>29.43047</v>
      </c>
      <c r="G655" s="13">
        <v>-81.13897</v>
      </c>
      <c r="H655" s="13">
        <v>29.7068</v>
      </c>
      <c r="I655" s="14">
        <v>-81.22842</v>
      </c>
      <c r="J655" s="13" t="s">
        <v>2655</v>
      </c>
      <c r="K655" s="13" t="s">
        <v>2656</v>
      </c>
      <c r="L655" s="13">
        <v>2.0</v>
      </c>
      <c r="M655" s="13">
        <v>29.70698</v>
      </c>
      <c r="N655" s="13">
        <v>-81.2306</v>
      </c>
      <c r="O655" s="13" t="s">
        <v>2657</v>
      </c>
      <c r="P655" s="13"/>
      <c r="Z655" s="13"/>
      <c r="AH655" s="13"/>
      <c r="AL655" s="13"/>
      <c r="AN655" s="13"/>
      <c r="AY655" s="13"/>
      <c r="BI655" s="13"/>
      <c r="BJ655" s="13"/>
      <c r="BK655" s="13"/>
      <c r="BL655" s="13"/>
      <c r="BM655" s="13"/>
      <c r="BN655" s="13"/>
      <c r="BO655" s="13"/>
    </row>
    <row r="656" ht="33.75" customHeight="1">
      <c r="A656" s="11">
        <v>42769.0</v>
      </c>
      <c r="B656" s="13" t="s">
        <v>2658</v>
      </c>
      <c r="C656" s="13" t="s">
        <v>2587</v>
      </c>
      <c r="D656" s="13" t="s">
        <v>2588</v>
      </c>
      <c r="E656" s="13" t="s">
        <v>2654</v>
      </c>
      <c r="F656" s="13">
        <v>29.43047</v>
      </c>
      <c r="G656" s="13">
        <v>-81.13897</v>
      </c>
      <c r="H656" s="13">
        <v>29.7068</v>
      </c>
      <c r="I656" s="14">
        <v>-81.22842</v>
      </c>
      <c r="J656" s="13" t="s">
        <v>2659</v>
      </c>
      <c r="K656" s="13" t="s">
        <v>2656</v>
      </c>
      <c r="L656" s="13">
        <v>3.0</v>
      </c>
      <c r="M656" s="13">
        <v>29.70906</v>
      </c>
      <c r="N656" s="13">
        <v>-81.2267</v>
      </c>
      <c r="O656" s="13" t="s">
        <v>2660</v>
      </c>
      <c r="P656" s="13"/>
      <c r="Y656" s="13"/>
      <c r="Z656" s="13"/>
      <c r="AH656" s="13"/>
      <c r="AY656" s="13"/>
      <c r="BI656" s="13"/>
      <c r="BJ656" s="13"/>
      <c r="BK656" s="13"/>
      <c r="BL656" s="13"/>
      <c r="BM656" s="13"/>
      <c r="BN656" s="13"/>
      <c r="BO656" s="13"/>
    </row>
    <row r="657" ht="33.75" customHeight="1">
      <c r="A657" s="41">
        <v>42773.0</v>
      </c>
      <c r="B657" s="16" t="s">
        <v>2661</v>
      </c>
      <c r="C657" s="16" t="s">
        <v>1943</v>
      </c>
      <c r="D657" s="16" t="s">
        <v>2662</v>
      </c>
      <c r="E657" s="16" t="s">
        <v>2663</v>
      </c>
      <c r="F657" s="16">
        <v>27.2629981768967</v>
      </c>
      <c r="G657" s="16">
        <v>-80.1996679947854</v>
      </c>
      <c r="H657" s="13">
        <v>27.30899695</v>
      </c>
      <c r="I657" s="13">
        <v>-80.22089875</v>
      </c>
      <c r="J657" s="13" t="s">
        <v>2664</v>
      </c>
      <c r="K657" s="13" t="s">
        <v>2665</v>
      </c>
      <c r="L657" s="13"/>
      <c r="M657" s="13"/>
      <c r="N657" s="13"/>
      <c r="P657" s="13" t="s">
        <v>1716</v>
      </c>
    </row>
    <row r="658" ht="33.75" customHeight="1">
      <c r="A658" s="41">
        <v>42773.0</v>
      </c>
      <c r="B658" s="16" t="s">
        <v>932</v>
      </c>
      <c r="C658" s="16" t="s">
        <v>933</v>
      </c>
      <c r="D658" s="16" t="s">
        <v>934</v>
      </c>
      <c r="E658" s="16" t="s">
        <v>935</v>
      </c>
      <c r="F658" s="16">
        <v>29.427222</v>
      </c>
      <c r="G658" s="16">
        <v>81.1025</v>
      </c>
      <c r="H658" s="13">
        <v>29.077222</v>
      </c>
      <c r="I658" s="13">
        <v>80.917778</v>
      </c>
      <c r="J658" s="13" t="s">
        <v>2666</v>
      </c>
      <c r="K658" s="13" t="s">
        <v>2667</v>
      </c>
      <c r="L658" s="13"/>
      <c r="M658" s="13"/>
      <c r="N658" s="13"/>
      <c r="O658" s="13"/>
      <c r="P658" s="14" t="s">
        <v>2668</v>
      </c>
    </row>
    <row r="659" ht="33.75" customHeight="1">
      <c r="A659" s="41">
        <v>42773.0</v>
      </c>
      <c r="B659" s="16" t="s">
        <v>932</v>
      </c>
      <c r="C659" s="16" t="s">
        <v>933</v>
      </c>
      <c r="D659" s="16" t="s">
        <v>934</v>
      </c>
      <c r="E659" s="16" t="s">
        <v>935</v>
      </c>
      <c r="F659" s="16">
        <v>29.427222</v>
      </c>
      <c r="G659" s="16">
        <v>81.1025</v>
      </c>
      <c r="H659" s="13">
        <v>29.077222</v>
      </c>
      <c r="I659" s="13">
        <v>80.917778</v>
      </c>
      <c r="J659" s="13" t="s">
        <v>2666</v>
      </c>
      <c r="K659" s="13" t="s">
        <v>2667</v>
      </c>
      <c r="L659" s="13">
        <v>1.0</v>
      </c>
      <c r="M659" s="13">
        <v>29.37222</v>
      </c>
      <c r="N659" s="13">
        <v>81.078056</v>
      </c>
      <c r="O659" s="13" t="s">
        <v>2669</v>
      </c>
      <c r="P659" s="14"/>
    </row>
    <row r="660" ht="33.75" customHeight="1">
      <c r="A660" s="41">
        <v>42773.0</v>
      </c>
      <c r="B660" s="16" t="s">
        <v>932</v>
      </c>
      <c r="C660" s="16" t="s">
        <v>933</v>
      </c>
      <c r="D660" s="16" t="s">
        <v>934</v>
      </c>
      <c r="E660" s="16" t="s">
        <v>935</v>
      </c>
      <c r="F660" s="16">
        <v>29.427222</v>
      </c>
      <c r="G660" s="16">
        <v>81.1025</v>
      </c>
      <c r="H660" s="13">
        <v>29.077222</v>
      </c>
      <c r="I660" s="13">
        <v>80.917778</v>
      </c>
      <c r="J660" s="13" t="s">
        <v>2666</v>
      </c>
      <c r="K660" s="13" t="s">
        <v>2667</v>
      </c>
      <c r="L660" s="13">
        <v>2.0</v>
      </c>
      <c r="M660" s="13">
        <v>29.305556</v>
      </c>
      <c r="N660" s="13">
        <v>81.045278</v>
      </c>
      <c r="O660" s="13" t="s">
        <v>2672</v>
      </c>
      <c r="P660" s="14" t="s">
        <v>2673</v>
      </c>
    </row>
    <row r="661" ht="33.75" customHeight="1">
      <c r="A661" s="41">
        <v>42773.0</v>
      </c>
      <c r="B661" s="16" t="s">
        <v>932</v>
      </c>
      <c r="C661" s="16" t="s">
        <v>933</v>
      </c>
      <c r="D661" s="16" t="s">
        <v>934</v>
      </c>
      <c r="E661" s="16" t="s">
        <v>935</v>
      </c>
      <c r="F661" s="16">
        <v>29.427222</v>
      </c>
      <c r="G661" s="16">
        <v>81.1025</v>
      </c>
      <c r="H661" s="13">
        <v>29.077222</v>
      </c>
      <c r="I661" s="13">
        <v>80.917778</v>
      </c>
      <c r="J661" s="13" t="s">
        <v>2666</v>
      </c>
      <c r="K661" s="13" t="s">
        <v>2667</v>
      </c>
      <c r="L661" s="13">
        <v>3.0</v>
      </c>
      <c r="M661" s="13">
        <v>29.300833</v>
      </c>
      <c r="N661" s="13">
        <v>81.044444</v>
      </c>
      <c r="O661" s="13" t="s">
        <v>2674</v>
      </c>
      <c r="P661" s="14" t="s">
        <v>2675</v>
      </c>
    </row>
    <row r="662" ht="33.75" customHeight="1">
      <c r="A662" s="41">
        <v>42773.0</v>
      </c>
      <c r="B662" s="16" t="s">
        <v>932</v>
      </c>
      <c r="C662" s="16" t="s">
        <v>933</v>
      </c>
      <c r="D662" s="16" t="s">
        <v>934</v>
      </c>
      <c r="E662" s="16" t="s">
        <v>935</v>
      </c>
      <c r="F662" s="16">
        <v>29.427222</v>
      </c>
      <c r="G662" s="16">
        <v>81.1025</v>
      </c>
      <c r="H662" s="13">
        <v>29.077222</v>
      </c>
      <c r="I662" s="13">
        <v>80.917778</v>
      </c>
      <c r="J662" s="13" t="s">
        <v>2666</v>
      </c>
      <c r="K662" s="13" t="s">
        <v>2667</v>
      </c>
      <c r="L662" s="13">
        <v>4.0</v>
      </c>
      <c r="M662" s="13">
        <v>29.285833</v>
      </c>
      <c r="N662" s="13">
        <v>81.035833</v>
      </c>
      <c r="O662" s="13" t="s">
        <v>2676</v>
      </c>
      <c r="P662" s="47"/>
    </row>
    <row r="663" ht="33.75" customHeight="1">
      <c r="A663" s="41">
        <v>42773.0</v>
      </c>
      <c r="B663" s="16" t="s">
        <v>932</v>
      </c>
      <c r="C663" s="16" t="s">
        <v>933</v>
      </c>
      <c r="D663" s="16" t="s">
        <v>934</v>
      </c>
      <c r="E663" s="16" t="s">
        <v>935</v>
      </c>
      <c r="F663" s="16">
        <v>29.427222</v>
      </c>
      <c r="G663" s="16">
        <v>81.1025</v>
      </c>
      <c r="H663" s="13">
        <v>29.077222</v>
      </c>
      <c r="I663" s="13">
        <v>80.917778</v>
      </c>
      <c r="J663" s="13" t="s">
        <v>2666</v>
      </c>
      <c r="K663" s="13" t="s">
        <v>2667</v>
      </c>
      <c r="L663" s="13">
        <v>5.0</v>
      </c>
      <c r="M663" s="13">
        <v>29.279167</v>
      </c>
      <c r="N663" s="13">
        <v>81.033611</v>
      </c>
      <c r="O663" s="13" t="s">
        <v>2677</v>
      </c>
      <c r="P663" s="14" t="s">
        <v>2675</v>
      </c>
    </row>
    <row r="664" ht="33.75" customHeight="1">
      <c r="A664" s="41">
        <v>42773.0</v>
      </c>
      <c r="B664" s="16" t="s">
        <v>932</v>
      </c>
      <c r="C664" s="16" t="s">
        <v>933</v>
      </c>
      <c r="D664" s="16" t="s">
        <v>934</v>
      </c>
      <c r="E664" s="16" t="s">
        <v>935</v>
      </c>
      <c r="F664" s="16">
        <v>29.427222</v>
      </c>
      <c r="G664" s="16">
        <v>81.1025</v>
      </c>
      <c r="H664" s="13">
        <v>29.077222</v>
      </c>
      <c r="I664" s="13">
        <v>80.917778</v>
      </c>
      <c r="J664" s="13" t="s">
        <v>2666</v>
      </c>
      <c r="K664" s="13" t="s">
        <v>2667</v>
      </c>
      <c r="L664" s="13">
        <v>6.0</v>
      </c>
      <c r="M664" s="13">
        <v>29.277778</v>
      </c>
      <c r="N664" s="13">
        <v>81.033056</v>
      </c>
      <c r="O664" s="13" t="s">
        <v>2678</v>
      </c>
      <c r="P664" s="14"/>
    </row>
    <row r="665" ht="33.75" customHeight="1">
      <c r="A665" s="41">
        <v>42773.0</v>
      </c>
      <c r="B665" s="16" t="s">
        <v>932</v>
      </c>
      <c r="C665" s="16" t="s">
        <v>933</v>
      </c>
      <c r="D665" s="16" t="s">
        <v>934</v>
      </c>
      <c r="E665" s="16" t="s">
        <v>935</v>
      </c>
      <c r="F665" s="16">
        <v>29.427222</v>
      </c>
      <c r="G665" s="16">
        <v>81.1025</v>
      </c>
      <c r="H665" s="13">
        <v>29.077222</v>
      </c>
      <c r="I665" s="13">
        <v>80.917778</v>
      </c>
      <c r="J665" s="13" t="s">
        <v>2666</v>
      </c>
      <c r="K665" s="13" t="s">
        <v>2667</v>
      </c>
      <c r="L665" s="13">
        <v>7.0</v>
      </c>
      <c r="M665" s="13">
        <v>29.273889</v>
      </c>
      <c r="N665" s="13">
        <v>81.03</v>
      </c>
      <c r="O665" s="13" t="s">
        <v>2679</v>
      </c>
      <c r="P665" s="47"/>
    </row>
    <row r="666" ht="33.75" customHeight="1">
      <c r="A666" s="41">
        <v>42773.0</v>
      </c>
      <c r="B666" s="16" t="s">
        <v>932</v>
      </c>
      <c r="C666" s="16" t="s">
        <v>933</v>
      </c>
      <c r="D666" s="16" t="s">
        <v>934</v>
      </c>
      <c r="E666" s="16" t="s">
        <v>935</v>
      </c>
      <c r="F666" s="16">
        <v>29.427222</v>
      </c>
      <c r="G666" s="16">
        <v>81.1025</v>
      </c>
      <c r="H666" s="13">
        <v>29.077222</v>
      </c>
      <c r="I666" s="13">
        <v>80.917778</v>
      </c>
      <c r="J666" s="13" t="s">
        <v>2666</v>
      </c>
      <c r="K666" s="13" t="s">
        <v>2667</v>
      </c>
      <c r="L666" s="13">
        <v>8.0</v>
      </c>
      <c r="M666" s="13">
        <v>29.251111</v>
      </c>
      <c r="N666" s="13">
        <v>81.018889</v>
      </c>
      <c r="O666" s="13" t="s">
        <v>2681</v>
      </c>
      <c r="P666" s="47"/>
    </row>
    <row r="667" ht="33.75" customHeight="1">
      <c r="A667" s="41">
        <v>42773.0</v>
      </c>
      <c r="B667" s="16" t="s">
        <v>932</v>
      </c>
      <c r="C667" s="16" t="s">
        <v>933</v>
      </c>
      <c r="D667" s="16" t="s">
        <v>934</v>
      </c>
      <c r="E667" s="16" t="s">
        <v>935</v>
      </c>
      <c r="F667" s="16">
        <v>29.427222</v>
      </c>
      <c r="G667" s="16">
        <v>81.1025</v>
      </c>
      <c r="H667" s="13">
        <v>29.077222</v>
      </c>
      <c r="I667" s="13">
        <v>80.917778</v>
      </c>
      <c r="J667" s="13" t="s">
        <v>2666</v>
      </c>
      <c r="K667" s="13" t="s">
        <v>2667</v>
      </c>
      <c r="L667" s="13">
        <v>9.0</v>
      </c>
      <c r="M667" s="13">
        <v>29.249167</v>
      </c>
      <c r="N667" s="13">
        <v>81.018056</v>
      </c>
      <c r="O667" s="13" t="s">
        <v>2682</v>
      </c>
      <c r="P667" s="47"/>
    </row>
    <row r="668" ht="33.75" customHeight="1">
      <c r="A668" s="41">
        <v>42773.0</v>
      </c>
      <c r="B668" s="16" t="s">
        <v>932</v>
      </c>
      <c r="C668" s="16" t="s">
        <v>933</v>
      </c>
      <c r="D668" s="16" t="s">
        <v>934</v>
      </c>
      <c r="E668" s="16" t="s">
        <v>935</v>
      </c>
      <c r="F668" s="16">
        <v>29.427222</v>
      </c>
      <c r="G668" s="16">
        <v>81.1025</v>
      </c>
      <c r="H668" s="13">
        <v>29.077222</v>
      </c>
      <c r="I668" s="13">
        <v>80.917778</v>
      </c>
      <c r="J668" s="13" t="s">
        <v>2666</v>
      </c>
      <c r="K668" s="13" t="s">
        <v>2667</v>
      </c>
      <c r="L668" s="13">
        <v>10.0</v>
      </c>
      <c r="M668" s="13">
        <v>29.241389</v>
      </c>
      <c r="N668" s="13">
        <v>81.014444</v>
      </c>
      <c r="O668" s="13" t="s">
        <v>2684</v>
      </c>
      <c r="P668" s="47"/>
    </row>
    <row r="669" ht="33.75" customHeight="1">
      <c r="A669" s="41">
        <v>42773.0</v>
      </c>
      <c r="B669" s="16" t="s">
        <v>932</v>
      </c>
      <c r="C669" s="16" t="s">
        <v>933</v>
      </c>
      <c r="D669" s="16" t="s">
        <v>934</v>
      </c>
      <c r="E669" s="16" t="s">
        <v>935</v>
      </c>
      <c r="F669" s="16">
        <v>29.427222</v>
      </c>
      <c r="G669" s="16">
        <v>81.1025</v>
      </c>
      <c r="H669" s="13">
        <v>29.077222</v>
      </c>
      <c r="I669" s="13">
        <v>80.917778</v>
      </c>
      <c r="J669" s="13" t="s">
        <v>2666</v>
      </c>
      <c r="K669" s="13" t="s">
        <v>2667</v>
      </c>
      <c r="L669" s="13">
        <v>11.0</v>
      </c>
      <c r="M669" s="13">
        <v>29.333333</v>
      </c>
      <c r="N669" s="13">
        <v>81.009722</v>
      </c>
      <c r="O669" s="13" t="s">
        <v>2685</v>
      </c>
      <c r="P669" s="47"/>
    </row>
    <row r="670" ht="33.75" customHeight="1">
      <c r="A670" s="41">
        <v>42773.0</v>
      </c>
      <c r="B670" s="16" t="s">
        <v>932</v>
      </c>
      <c r="C670" s="16" t="s">
        <v>933</v>
      </c>
      <c r="D670" s="16" t="s">
        <v>934</v>
      </c>
      <c r="E670" s="16" t="s">
        <v>935</v>
      </c>
      <c r="F670" s="16">
        <v>29.427222</v>
      </c>
      <c r="G670" s="16">
        <v>81.1025</v>
      </c>
      <c r="H670" s="13">
        <v>29.077222</v>
      </c>
      <c r="I670" s="13">
        <v>80.917778</v>
      </c>
      <c r="J670" s="13" t="s">
        <v>2666</v>
      </c>
      <c r="K670" s="13" t="s">
        <v>2667</v>
      </c>
      <c r="L670" s="13">
        <v>12.0</v>
      </c>
      <c r="M670" s="13">
        <v>29.217222</v>
      </c>
      <c r="N670" s="13">
        <v>81.005278</v>
      </c>
      <c r="O670" s="13" t="s">
        <v>2689</v>
      </c>
      <c r="P670" s="47"/>
    </row>
    <row r="671" ht="33.75" customHeight="1">
      <c r="A671" s="41">
        <v>42773.0</v>
      </c>
      <c r="B671" s="16" t="s">
        <v>932</v>
      </c>
      <c r="C671" s="16" t="s">
        <v>933</v>
      </c>
      <c r="D671" s="16" t="s">
        <v>934</v>
      </c>
      <c r="E671" s="16" t="s">
        <v>935</v>
      </c>
      <c r="F671" s="16">
        <v>29.427222</v>
      </c>
      <c r="G671" s="16">
        <v>81.1025</v>
      </c>
      <c r="H671" s="13">
        <v>29.077222</v>
      </c>
      <c r="I671" s="13">
        <v>80.917778</v>
      </c>
      <c r="J671" s="13" t="s">
        <v>2666</v>
      </c>
      <c r="K671" s="13" t="s">
        <v>2667</v>
      </c>
      <c r="L671" s="13">
        <v>13.0</v>
      </c>
      <c r="M671" s="13">
        <v>29.212778</v>
      </c>
      <c r="N671" s="13">
        <v>81.000556</v>
      </c>
      <c r="O671" s="13" t="s">
        <v>2691</v>
      </c>
      <c r="P671" s="14" t="s">
        <v>2675</v>
      </c>
    </row>
    <row r="672" ht="33.75" customHeight="1">
      <c r="A672" s="41">
        <v>42773.0</v>
      </c>
      <c r="B672" s="16" t="s">
        <v>932</v>
      </c>
      <c r="C672" s="16" t="s">
        <v>933</v>
      </c>
      <c r="D672" s="16" t="s">
        <v>934</v>
      </c>
      <c r="E672" s="16" t="s">
        <v>935</v>
      </c>
      <c r="F672" s="16">
        <v>29.427222</v>
      </c>
      <c r="G672" s="16">
        <v>81.1025</v>
      </c>
      <c r="H672" s="13">
        <v>29.077222</v>
      </c>
      <c r="I672" s="13">
        <v>80.917778</v>
      </c>
      <c r="J672" s="13" t="s">
        <v>2666</v>
      </c>
      <c r="K672" s="13" t="s">
        <v>2667</v>
      </c>
      <c r="L672" s="13">
        <v>14.0</v>
      </c>
      <c r="M672" s="13">
        <v>29.2125</v>
      </c>
      <c r="N672" s="13">
        <v>81.000556</v>
      </c>
      <c r="O672" s="13" t="s">
        <v>2685</v>
      </c>
      <c r="P672" s="47"/>
    </row>
    <row r="673" ht="33.75" customHeight="1">
      <c r="A673" s="41">
        <v>42773.0</v>
      </c>
      <c r="B673" s="16" t="s">
        <v>932</v>
      </c>
      <c r="C673" s="16" t="s">
        <v>933</v>
      </c>
      <c r="D673" s="16" t="s">
        <v>934</v>
      </c>
      <c r="E673" s="16" t="s">
        <v>935</v>
      </c>
      <c r="F673" s="16">
        <v>29.427222</v>
      </c>
      <c r="G673" s="16">
        <v>81.1025</v>
      </c>
      <c r="H673" s="13">
        <v>29.077222</v>
      </c>
      <c r="I673" s="13">
        <v>80.917778</v>
      </c>
      <c r="J673" s="13" t="s">
        <v>2666</v>
      </c>
      <c r="K673" s="13" t="s">
        <v>2667</v>
      </c>
      <c r="L673" s="13">
        <v>15.0</v>
      </c>
      <c r="M673" s="13">
        <v>29.2075</v>
      </c>
      <c r="N673" s="13">
        <v>80.998056</v>
      </c>
      <c r="O673" s="13" t="s">
        <v>2694</v>
      </c>
      <c r="P673" s="47"/>
    </row>
    <row r="674" ht="33.75" customHeight="1">
      <c r="A674" s="41">
        <v>42773.0</v>
      </c>
      <c r="B674" s="16" t="s">
        <v>932</v>
      </c>
      <c r="C674" s="16" t="s">
        <v>933</v>
      </c>
      <c r="D674" s="16" t="s">
        <v>934</v>
      </c>
      <c r="E674" s="16" t="s">
        <v>935</v>
      </c>
      <c r="F674" s="16">
        <v>29.427222</v>
      </c>
      <c r="G674" s="16">
        <v>81.1025</v>
      </c>
      <c r="H674" s="13">
        <v>29.077222</v>
      </c>
      <c r="I674" s="13">
        <v>80.917778</v>
      </c>
      <c r="J674" s="13" t="s">
        <v>2666</v>
      </c>
      <c r="K674" s="13" t="s">
        <v>2667</v>
      </c>
      <c r="L674" s="13">
        <v>16.0</v>
      </c>
      <c r="M674" s="13">
        <v>29.207222</v>
      </c>
      <c r="N674" s="13">
        <v>80.998056</v>
      </c>
      <c r="O674" s="13" t="s">
        <v>2697</v>
      </c>
      <c r="P674" s="47"/>
    </row>
    <row r="675" ht="33.75" customHeight="1">
      <c r="A675" s="41">
        <v>42773.0</v>
      </c>
      <c r="B675" s="16" t="s">
        <v>932</v>
      </c>
      <c r="C675" s="16" t="s">
        <v>933</v>
      </c>
      <c r="D675" s="16" t="s">
        <v>934</v>
      </c>
      <c r="E675" s="16" t="s">
        <v>935</v>
      </c>
      <c r="F675" s="16">
        <v>29.427222</v>
      </c>
      <c r="G675" s="16">
        <v>81.1025</v>
      </c>
      <c r="H675" s="13">
        <v>29.077222</v>
      </c>
      <c r="I675" s="13">
        <v>80.917778</v>
      </c>
      <c r="J675" s="13" t="s">
        <v>2666</v>
      </c>
      <c r="K675" s="13" t="s">
        <v>2667</v>
      </c>
      <c r="L675" s="13">
        <v>17.0</v>
      </c>
      <c r="M675" s="13">
        <v>29.202778</v>
      </c>
      <c r="N675" s="13">
        <v>80.995833</v>
      </c>
      <c r="O675" s="13" t="s">
        <v>2698</v>
      </c>
      <c r="P675" s="47"/>
    </row>
    <row r="676" ht="33.75" customHeight="1">
      <c r="A676" s="41">
        <v>42773.0</v>
      </c>
      <c r="B676" s="16" t="s">
        <v>932</v>
      </c>
      <c r="C676" s="16" t="s">
        <v>933</v>
      </c>
      <c r="D676" s="16" t="s">
        <v>934</v>
      </c>
      <c r="E676" s="16" t="s">
        <v>935</v>
      </c>
      <c r="F676" s="16">
        <v>29.427222</v>
      </c>
      <c r="G676" s="16">
        <v>81.1025</v>
      </c>
      <c r="H676" s="13">
        <v>29.077222</v>
      </c>
      <c r="I676" s="13">
        <v>80.917778</v>
      </c>
      <c r="J676" s="13" t="s">
        <v>2666</v>
      </c>
      <c r="K676" s="13" t="s">
        <v>2667</v>
      </c>
      <c r="L676" s="13">
        <v>18.0</v>
      </c>
      <c r="M676" s="13">
        <v>29.196389</v>
      </c>
      <c r="N676" s="13">
        <v>80.991667</v>
      </c>
      <c r="O676" s="13" t="s">
        <v>2700</v>
      </c>
      <c r="P676" s="47"/>
    </row>
    <row r="677" ht="33.75" customHeight="1">
      <c r="A677" s="41">
        <v>42773.0</v>
      </c>
      <c r="B677" s="16" t="s">
        <v>932</v>
      </c>
      <c r="C677" s="16" t="s">
        <v>933</v>
      </c>
      <c r="D677" s="16" t="s">
        <v>934</v>
      </c>
      <c r="E677" s="16" t="s">
        <v>935</v>
      </c>
      <c r="F677" s="16">
        <v>29.427222</v>
      </c>
      <c r="G677" s="16">
        <v>81.1025</v>
      </c>
      <c r="H677" s="13">
        <v>29.077222</v>
      </c>
      <c r="I677" s="13">
        <v>80.917778</v>
      </c>
      <c r="J677" s="13" t="s">
        <v>2666</v>
      </c>
      <c r="K677" s="13" t="s">
        <v>2667</v>
      </c>
      <c r="L677" s="13">
        <v>19.0</v>
      </c>
      <c r="M677" s="13">
        <v>29.194444</v>
      </c>
      <c r="N677" s="13">
        <v>80.993333</v>
      </c>
      <c r="O677" s="13" t="s">
        <v>2701</v>
      </c>
      <c r="P677" s="14"/>
    </row>
    <row r="678" ht="33.75" customHeight="1">
      <c r="A678" s="41">
        <v>42773.0</v>
      </c>
      <c r="B678" s="16" t="s">
        <v>932</v>
      </c>
      <c r="C678" s="16" t="s">
        <v>933</v>
      </c>
      <c r="D678" s="16" t="s">
        <v>934</v>
      </c>
      <c r="E678" s="16" t="s">
        <v>935</v>
      </c>
      <c r="F678" s="16">
        <v>29.427222</v>
      </c>
      <c r="G678" s="16">
        <v>81.1025</v>
      </c>
      <c r="H678" s="13">
        <v>29.077222</v>
      </c>
      <c r="I678" s="13">
        <v>80.917778</v>
      </c>
      <c r="J678" s="13" t="s">
        <v>2666</v>
      </c>
      <c r="K678" s="13" t="s">
        <v>2667</v>
      </c>
      <c r="L678" s="13">
        <v>20.0</v>
      </c>
      <c r="M678" s="13">
        <v>29.188611</v>
      </c>
      <c r="N678" s="13">
        <v>80.990556</v>
      </c>
      <c r="O678" s="13" t="s">
        <v>2702</v>
      </c>
      <c r="P678" s="14"/>
    </row>
    <row r="679" ht="33.75" customHeight="1">
      <c r="A679" s="41">
        <v>42773.0</v>
      </c>
      <c r="B679" s="16" t="s">
        <v>932</v>
      </c>
      <c r="C679" s="16" t="s">
        <v>933</v>
      </c>
      <c r="D679" s="16" t="s">
        <v>934</v>
      </c>
      <c r="E679" s="16" t="s">
        <v>935</v>
      </c>
      <c r="F679" s="16">
        <v>29.427222</v>
      </c>
      <c r="G679" s="16">
        <v>81.1025</v>
      </c>
      <c r="H679" s="13">
        <v>29.077222</v>
      </c>
      <c r="I679" s="13">
        <v>80.917778</v>
      </c>
      <c r="J679" s="13" t="s">
        <v>2666</v>
      </c>
      <c r="K679" s="13" t="s">
        <v>2667</v>
      </c>
      <c r="L679" s="13">
        <v>21.0</v>
      </c>
      <c r="M679" s="13">
        <v>29.17</v>
      </c>
      <c r="N679" s="13">
        <v>80.98</v>
      </c>
      <c r="O679" s="13" t="s">
        <v>2703</v>
      </c>
      <c r="P679" s="14"/>
    </row>
    <row r="680" ht="33.75" customHeight="1">
      <c r="A680" s="41">
        <v>42773.0</v>
      </c>
      <c r="B680" s="16" t="s">
        <v>932</v>
      </c>
      <c r="C680" s="16" t="s">
        <v>933</v>
      </c>
      <c r="D680" s="16" t="s">
        <v>934</v>
      </c>
      <c r="E680" s="16" t="s">
        <v>935</v>
      </c>
      <c r="F680" s="16">
        <v>29.427222</v>
      </c>
      <c r="G680" s="16">
        <v>81.1025</v>
      </c>
      <c r="H680" s="13">
        <v>29.077222</v>
      </c>
      <c r="I680" s="13">
        <v>80.917778</v>
      </c>
      <c r="J680" s="13" t="s">
        <v>2666</v>
      </c>
      <c r="K680" s="13" t="s">
        <v>2667</v>
      </c>
      <c r="L680" s="13">
        <v>22.0</v>
      </c>
      <c r="M680" s="13">
        <v>29.1575</v>
      </c>
      <c r="N680" s="87">
        <v>80.971389</v>
      </c>
      <c r="O680" s="13" t="s">
        <v>2704</v>
      </c>
      <c r="P680" s="14"/>
    </row>
    <row r="681" ht="33.75" customHeight="1">
      <c r="A681" s="41">
        <v>42773.0</v>
      </c>
      <c r="B681" s="16" t="s">
        <v>932</v>
      </c>
      <c r="C681" s="16" t="s">
        <v>933</v>
      </c>
      <c r="D681" s="16" t="s">
        <v>934</v>
      </c>
      <c r="E681" s="16" t="s">
        <v>935</v>
      </c>
      <c r="F681" s="16">
        <v>29.427222</v>
      </c>
      <c r="G681" s="16">
        <v>81.1025</v>
      </c>
      <c r="H681" s="13">
        <v>29.077222</v>
      </c>
      <c r="I681" s="13">
        <v>80.917778</v>
      </c>
      <c r="J681" s="13" t="s">
        <v>2666</v>
      </c>
      <c r="K681" s="13" t="s">
        <v>2667</v>
      </c>
      <c r="L681" s="13">
        <v>23.0</v>
      </c>
      <c r="M681" s="13">
        <v>29.130833</v>
      </c>
      <c r="N681" s="13">
        <v>80.956389</v>
      </c>
      <c r="O681" s="13" t="s">
        <v>2705</v>
      </c>
      <c r="P681" s="14"/>
    </row>
    <row r="682" ht="33.75" customHeight="1">
      <c r="A682" s="41">
        <v>42773.0</v>
      </c>
      <c r="B682" s="16" t="s">
        <v>932</v>
      </c>
      <c r="C682" s="16" t="s">
        <v>933</v>
      </c>
      <c r="D682" s="16" t="s">
        <v>934</v>
      </c>
      <c r="E682" s="16" t="s">
        <v>935</v>
      </c>
      <c r="F682" s="16">
        <v>29.427222</v>
      </c>
      <c r="G682" s="16">
        <v>81.1025</v>
      </c>
      <c r="H682" s="13">
        <v>29.077222</v>
      </c>
      <c r="I682" s="13">
        <v>80.917778</v>
      </c>
      <c r="J682" s="13" t="s">
        <v>2666</v>
      </c>
      <c r="K682" s="13" t="s">
        <v>2667</v>
      </c>
      <c r="L682" s="13">
        <v>24.0</v>
      </c>
      <c r="M682" s="13">
        <v>20.110833</v>
      </c>
      <c r="N682" s="13">
        <v>80.945278</v>
      </c>
      <c r="O682" s="13" t="s">
        <v>2706</v>
      </c>
      <c r="P682" s="14"/>
    </row>
    <row r="683" ht="33.75" customHeight="1">
      <c r="A683" s="41">
        <v>42773.0</v>
      </c>
      <c r="B683" s="16" t="s">
        <v>932</v>
      </c>
      <c r="C683" s="16" t="s">
        <v>933</v>
      </c>
      <c r="D683" s="16" t="s">
        <v>934</v>
      </c>
      <c r="E683" s="16" t="s">
        <v>935</v>
      </c>
      <c r="F683" s="16">
        <v>29.427222</v>
      </c>
      <c r="G683" s="16">
        <v>81.1025</v>
      </c>
      <c r="H683" s="13">
        <v>29.077222</v>
      </c>
      <c r="I683" s="13">
        <v>80.917778</v>
      </c>
      <c r="J683" s="13" t="s">
        <v>2666</v>
      </c>
      <c r="K683" s="13" t="s">
        <v>2667</v>
      </c>
      <c r="L683" s="13">
        <v>25.0</v>
      </c>
      <c r="M683" s="13">
        <v>29.090278</v>
      </c>
      <c r="N683" s="13">
        <v>80.929444</v>
      </c>
      <c r="O683" s="13" t="s">
        <v>2707</v>
      </c>
      <c r="P683" s="14"/>
    </row>
    <row r="684" ht="33.75" customHeight="1">
      <c r="A684" s="41">
        <v>42773.0</v>
      </c>
      <c r="B684" s="16" t="s">
        <v>932</v>
      </c>
      <c r="C684" s="16" t="s">
        <v>933</v>
      </c>
      <c r="D684" s="16" t="s">
        <v>934</v>
      </c>
      <c r="E684" s="16" t="s">
        <v>935</v>
      </c>
      <c r="F684" s="16">
        <v>29.427222</v>
      </c>
      <c r="G684" s="16">
        <v>81.1025</v>
      </c>
      <c r="H684" s="13">
        <v>29.077222</v>
      </c>
      <c r="I684" s="13">
        <v>80.917778</v>
      </c>
      <c r="J684" s="13" t="s">
        <v>2666</v>
      </c>
      <c r="K684" s="13" t="s">
        <v>2667</v>
      </c>
      <c r="L684" s="13">
        <v>26.0</v>
      </c>
      <c r="M684" s="13">
        <v>29.077222</v>
      </c>
      <c r="N684" s="13">
        <v>80.917778</v>
      </c>
      <c r="O684" s="13" t="s">
        <v>2708</v>
      </c>
      <c r="P684" s="14"/>
    </row>
    <row r="685" ht="33.75" customHeight="1">
      <c r="A685" s="41">
        <v>42773.0</v>
      </c>
      <c r="B685" s="16" t="s">
        <v>1160</v>
      </c>
      <c r="C685" s="16" t="s">
        <v>1162</v>
      </c>
      <c r="D685" s="16" t="s">
        <v>2709</v>
      </c>
      <c r="E685" s="16" t="s">
        <v>935</v>
      </c>
      <c r="F685" s="16" t="s">
        <v>2710</v>
      </c>
      <c r="G685" s="16" t="s">
        <v>2711</v>
      </c>
      <c r="H685" s="13" t="s">
        <v>2712</v>
      </c>
      <c r="I685" s="13" t="s">
        <v>2713</v>
      </c>
      <c r="J685" s="13" t="s">
        <v>2714</v>
      </c>
      <c r="K685" s="13" t="s">
        <v>2715</v>
      </c>
      <c r="L685" s="13">
        <v>2.0</v>
      </c>
      <c r="M685" s="13">
        <v>29.14577411</v>
      </c>
      <c r="N685" s="13">
        <v>-80.97676752</v>
      </c>
      <c r="O685" s="13" t="s">
        <v>2716</v>
      </c>
      <c r="P685" s="14" t="s">
        <v>563</v>
      </c>
    </row>
    <row r="686" ht="33.75" customHeight="1">
      <c r="A686" s="41">
        <v>42773.0</v>
      </c>
      <c r="B686" s="16" t="s">
        <v>1160</v>
      </c>
      <c r="C686" s="16" t="s">
        <v>1162</v>
      </c>
      <c r="D686" s="16" t="s">
        <v>2709</v>
      </c>
      <c r="E686" s="16" t="s">
        <v>935</v>
      </c>
      <c r="F686" s="16" t="s">
        <v>2710</v>
      </c>
      <c r="G686" s="16" t="s">
        <v>2711</v>
      </c>
      <c r="H686" s="13" t="s">
        <v>2712</v>
      </c>
      <c r="I686" s="13" t="s">
        <v>2713</v>
      </c>
      <c r="J686" s="13" t="s">
        <v>2714</v>
      </c>
      <c r="K686" s="13" t="s">
        <v>2715</v>
      </c>
      <c r="L686" s="13">
        <v>3.0</v>
      </c>
      <c r="M686" s="13" t="s">
        <v>2717</v>
      </c>
      <c r="N686" s="13" t="s">
        <v>2718</v>
      </c>
      <c r="O686" s="13" t="s">
        <v>2719</v>
      </c>
      <c r="P686" s="14"/>
    </row>
    <row r="687" ht="33.75" customHeight="1">
      <c r="A687" s="41">
        <v>42773.0</v>
      </c>
      <c r="B687" s="16" t="s">
        <v>1160</v>
      </c>
      <c r="C687" s="16" t="s">
        <v>1162</v>
      </c>
      <c r="D687" s="16" t="s">
        <v>2709</v>
      </c>
      <c r="E687" s="16" t="s">
        <v>935</v>
      </c>
      <c r="F687" s="16" t="s">
        <v>2710</v>
      </c>
      <c r="G687" s="16" t="s">
        <v>2711</v>
      </c>
      <c r="H687" s="13" t="s">
        <v>2712</v>
      </c>
      <c r="I687" s="13" t="s">
        <v>2713</v>
      </c>
      <c r="J687" s="13" t="s">
        <v>2714</v>
      </c>
      <c r="K687" s="13" t="s">
        <v>2715</v>
      </c>
      <c r="L687" s="13">
        <v>4.0</v>
      </c>
      <c r="M687" s="16">
        <v>29.14499939</v>
      </c>
      <c r="N687" s="16">
        <v>-80.97459055</v>
      </c>
      <c r="O687" s="16" t="s">
        <v>2720</v>
      </c>
      <c r="P687" s="16"/>
      <c r="Q687" s="16"/>
      <c r="R687" s="16"/>
      <c r="S687" s="16"/>
      <c r="T687" s="13"/>
      <c r="U687" s="13"/>
      <c r="V687" s="13"/>
      <c r="W687" s="13"/>
    </row>
    <row r="688" ht="33.75" customHeight="1">
      <c r="A688" s="41">
        <v>42773.0</v>
      </c>
      <c r="B688" s="16" t="s">
        <v>1160</v>
      </c>
      <c r="C688" s="16" t="s">
        <v>1162</v>
      </c>
      <c r="D688" s="16" t="s">
        <v>2709</v>
      </c>
      <c r="E688" s="16" t="s">
        <v>935</v>
      </c>
      <c r="F688" s="16" t="s">
        <v>2710</v>
      </c>
      <c r="G688" s="16" t="s">
        <v>2711</v>
      </c>
      <c r="H688" s="13" t="s">
        <v>2712</v>
      </c>
      <c r="I688" s="13" t="s">
        <v>2713</v>
      </c>
      <c r="J688" s="13" t="s">
        <v>2714</v>
      </c>
      <c r="K688" s="13" t="s">
        <v>2715</v>
      </c>
      <c r="L688" s="13">
        <v>5.0</v>
      </c>
      <c r="M688" s="13">
        <v>29.14704819</v>
      </c>
      <c r="N688" s="13">
        <v>-80.97397075</v>
      </c>
      <c r="O688" s="13" t="s">
        <v>2721</v>
      </c>
      <c r="P688" s="14"/>
    </row>
    <row r="689" ht="33.75" customHeight="1">
      <c r="A689" s="41">
        <v>42773.0</v>
      </c>
      <c r="B689" s="16" t="s">
        <v>1160</v>
      </c>
      <c r="C689" s="16" t="s">
        <v>1162</v>
      </c>
      <c r="D689" s="16" t="s">
        <v>2709</v>
      </c>
      <c r="E689" s="16" t="s">
        <v>935</v>
      </c>
      <c r="F689" s="16" t="s">
        <v>2710</v>
      </c>
      <c r="G689" s="16" t="s">
        <v>2711</v>
      </c>
      <c r="H689" s="13" t="s">
        <v>2712</v>
      </c>
      <c r="I689" s="13" t="s">
        <v>2713</v>
      </c>
      <c r="J689" s="13" t="s">
        <v>2714</v>
      </c>
      <c r="K689" s="13" t="s">
        <v>2715</v>
      </c>
      <c r="L689" s="13">
        <v>6.0</v>
      </c>
      <c r="M689" s="13">
        <v>29.14571449</v>
      </c>
      <c r="N689" s="13">
        <v>-80.97278677</v>
      </c>
      <c r="O689" s="13" t="s">
        <v>2723</v>
      </c>
      <c r="P689" s="47"/>
    </row>
    <row r="690" ht="33.75" customHeight="1">
      <c r="A690" s="41">
        <v>42773.0</v>
      </c>
      <c r="B690" s="16" t="s">
        <v>1160</v>
      </c>
      <c r="C690" s="16" t="s">
        <v>1162</v>
      </c>
      <c r="D690" s="16" t="s">
        <v>2709</v>
      </c>
      <c r="E690" s="16" t="s">
        <v>935</v>
      </c>
      <c r="F690" s="16" t="s">
        <v>2710</v>
      </c>
      <c r="G690" s="16" t="s">
        <v>2711</v>
      </c>
      <c r="H690" s="13" t="s">
        <v>2712</v>
      </c>
      <c r="I690" s="13" t="s">
        <v>2713</v>
      </c>
      <c r="J690" s="13" t="s">
        <v>2714</v>
      </c>
      <c r="K690" s="13" t="s">
        <v>2715</v>
      </c>
      <c r="L690" s="13">
        <v>7.0</v>
      </c>
      <c r="M690" s="13">
        <v>29.09195692</v>
      </c>
      <c r="N690" s="13">
        <v>-80.94621989</v>
      </c>
      <c r="O690" s="13" t="s">
        <v>2724</v>
      </c>
      <c r="P690" s="47"/>
    </row>
    <row r="691" ht="33.75" customHeight="1">
      <c r="A691" s="41">
        <v>42773.0</v>
      </c>
      <c r="B691" s="16" t="s">
        <v>1160</v>
      </c>
      <c r="C691" s="16" t="s">
        <v>1162</v>
      </c>
      <c r="D691" s="16" t="s">
        <v>2709</v>
      </c>
      <c r="E691" s="16" t="s">
        <v>935</v>
      </c>
      <c r="F691" s="16" t="s">
        <v>2710</v>
      </c>
      <c r="G691" s="16" t="s">
        <v>2711</v>
      </c>
      <c r="H691" s="13" t="s">
        <v>2712</v>
      </c>
      <c r="I691" s="13" t="s">
        <v>2713</v>
      </c>
      <c r="J691" s="13" t="s">
        <v>2714</v>
      </c>
      <c r="K691" s="13" t="s">
        <v>2715</v>
      </c>
      <c r="L691" s="13">
        <v>8.0</v>
      </c>
      <c r="M691" s="13">
        <v>29.09154661</v>
      </c>
      <c r="N691" s="13">
        <v>-80.94375019</v>
      </c>
      <c r="O691" s="13" t="s">
        <v>2725</v>
      </c>
      <c r="P691" s="14"/>
    </row>
    <row r="692" ht="33.75" customHeight="1">
      <c r="A692" s="41">
        <v>42773.0</v>
      </c>
      <c r="B692" s="16" t="s">
        <v>1160</v>
      </c>
      <c r="C692" s="16" t="s">
        <v>1162</v>
      </c>
      <c r="D692" s="16" t="s">
        <v>2709</v>
      </c>
      <c r="E692" s="16" t="s">
        <v>935</v>
      </c>
      <c r="F692" s="16" t="s">
        <v>2710</v>
      </c>
      <c r="G692" s="16" t="s">
        <v>2711</v>
      </c>
      <c r="H692" s="13" t="s">
        <v>2712</v>
      </c>
      <c r="I692" s="13" t="s">
        <v>2713</v>
      </c>
      <c r="J692" s="13" t="s">
        <v>2714</v>
      </c>
      <c r="K692" s="13" t="s">
        <v>2715</v>
      </c>
      <c r="L692" s="13">
        <v>9.0</v>
      </c>
      <c r="M692" s="13">
        <v>29.09083162</v>
      </c>
      <c r="N692" s="13">
        <v>-80.94433392</v>
      </c>
      <c r="O692" s="13" t="s">
        <v>2726</v>
      </c>
      <c r="P692" s="14"/>
    </row>
    <row r="693" ht="33.75" customHeight="1">
      <c r="A693" s="41">
        <v>42773.0</v>
      </c>
      <c r="B693" s="16" t="s">
        <v>1160</v>
      </c>
      <c r="C693" s="16" t="s">
        <v>1162</v>
      </c>
      <c r="D693" s="16" t="s">
        <v>2709</v>
      </c>
      <c r="E693" s="16" t="s">
        <v>935</v>
      </c>
      <c r="F693" s="16" t="s">
        <v>2710</v>
      </c>
      <c r="G693" s="16" t="s">
        <v>2711</v>
      </c>
      <c r="H693" s="13" t="s">
        <v>2712</v>
      </c>
      <c r="I693" s="13" t="s">
        <v>2713</v>
      </c>
      <c r="J693" s="13" t="s">
        <v>2714</v>
      </c>
      <c r="K693" s="13" t="s">
        <v>2715</v>
      </c>
      <c r="L693" s="13">
        <v>10.0</v>
      </c>
      <c r="M693" s="13">
        <v>29.09083162</v>
      </c>
      <c r="N693" s="13">
        <v>-80.94433392</v>
      </c>
      <c r="O693" s="13" t="s">
        <v>2728</v>
      </c>
      <c r="P693" s="47"/>
    </row>
    <row r="694" ht="33.75" customHeight="1">
      <c r="A694" s="41">
        <v>42773.0</v>
      </c>
      <c r="B694" s="16" t="s">
        <v>1160</v>
      </c>
      <c r="C694" s="16" t="s">
        <v>1162</v>
      </c>
      <c r="D694" s="16" t="s">
        <v>2709</v>
      </c>
      <c r="E694" s="16" t="s">
        <v>935</v>
      </c>
      <c r="F694" s="16" t="s">
        <v>2710</v>
      </c>
      <c r="G694" s="16" t="s">
        <v>2711</v>
      </c>
      <c r="H694" s="13" t="s">
        <v>2712</v>
      </c>
      <c r="I694" s="13" t="s">
        <v>2713</v>
      </c>
      <c r="J694" s="13" t="s">
        <v>2714</v>
      </c>
      <c r="K694" s="13" t="s">
        <v>2715</v>
      </c>
      <c r="L694" s="13">
        <v>11.0</v>
      </c>
      <c r="M694" s="13">
        <v>29.09079217</v>
      </c>
      <c r="N694" s="13">
        <v>-80.94482471</v>
      </c>
      <c r="O694" s="13" t="s">
        <v>2729</v>
      </c>
      <c r="P694" s="47"/>
    </row>
    <row r="695" ht="33.75" customHeight="1">
      <c r="A695" s="41">
        <v>42773.0</v>
      </c>
      <c r="B695" s="16" t="s">
        <v>1160</v>
      </c>
      <c r="C695" s="16" t="s">
        <v>1162</v>
      </c>
      <c r="D695" s="16" t="s">
        <v>2709</v>
      </c>
      <c r="E695" s="16" t="s">
        <v>935</v>
      </c>
      <c r="F695" s="16" t="s">
        <v>2710</v>
      </c>
      <c r="G695" s="16" t="s">
        <v>2711</v>
      </c>
      <c r="H695" s="13" t="s">
        <v>2712</v>
      </c>
      <c r="I695" s="13" t="s">
        <v>2713</v>
      </c>
      <c r="J695" s="13" t="s">
        <v>2714</v>
      </c>
      <c r="K695" s="13" t="s">
        <v>2715</v>
      </c>
      <c r="L695" s="13">
        <v>12.0</v>
      </c>
      <c r="M695" s="13">
        <v>29.09140929</v>
      </c>
      <c r="N695" s="13">
        <v>-80.94330432</v>
      </c>
      <c r="O695" s="13" t="s">
        <v>2730</v>
      </c>
      <c r="P695" s="47"/>
    </row>
    <row r="696" ht="33.75" customHeight="1">
      <c r="A696" s="41">
        <v>42773.0</v>
      </c>
      <c r="B696" s="16" t="s">
        <v>1160</v>
      </c>
      <c r="C696" s="16" t="s">
        <v>1162</v>
      </c>
      <c r="D696" s="16" t="s">
        <v>2709</v>
      </c>
      <c r="E696" s="16" t="s">
        <v>935</v>
      </c>
      <c r="F696" s="16" t="s">
        <v>2710</v>
      </c>
      <c r="G696" s="16" t="s">
        <v>2711</v>
      </c>
      <c r="H696" s="13" t="s">
        <v>2712</v>
      </c>
      <c r="I696" s="13" t="s">
        <v>2713</v>
      </c>
      <c r="J696" s="13" t="s">
        <v>2714</v>
      </c>
      <c r="K696" s="13" t="s">
        <v>2715</v>
      </c>
      <c r="L696" s="13">
        <v>13.0</v>
      </c>
      <c r="M696" s="13">
        <v>29.07450686</v>
      </c>
      <c r="N696" s="13">
        <v>-80.92699333</v>
      </c>
      <c r="O696" s="13" t="s">
        <v>508</v>
      </c>
      <c r="P696" s="47"/>
    </row>
    <row r="697" ht="33.75" customHeight="1">
      <c r="A697" s="41">
        <v>42773.0</v>
      </c>
      <c r="B697" s="16" t="s">
        <v>1160</v>
      </c>
      <c r="C697" s="16" t="s">
        <v>1162</v>
      </c>
      <c r="D697" s="16" t="s">
        <v>2709</v>
      </c>
      <c r="E697" s="16" t="s">
        <v>935</v>
      </c>
      <c r="F697" s="16" t="s">
        <v>2710</v>
      </c>
      <c r="G697" s="16" t="s">
        <v>2711</v>
      </c>
      <c r="H697" s="13" t="s">
        <v>2712</v>
      </c>
      <c r="I697" s="13" t="s">
        <v>2713</v>
      </c>
      <c r="J697" s="13" t="s">
        <v>2714</v>
      </c>
      <c r="K697" s="13" t="s">
        <v>2715</v>
      </c>
      <c r="L697" s="13">
        <v>14.0</v>
      </c>
      <c r="M697" s="13">
        <v>29.07434101</v>
      </c>
      <c r="N697" s="13">
        <v>-80.92417768</v>
      </c>
      <c r="O697" s="13" t="s">
        <v>2732</v>
      </c>
      <c r="P697" s="14"/>
    </row>
    <row r="698" ht="33.75" customHeight="1">
      <c r="A698" s="41">
        <v>42773.0</v>
      </c>
      <c r="B698" s="16" t="s">
        <v>1160</v>
      </c>
      <c r="C698" s="16" t="s">
        <v>1162</v>
      </c>
      <c r="D698" s="16" t="s">
        <v>2709</v>
      </c>
      <c r="E698" s="16" t="s">
        <v>935</v>
      </c>
      <c r="F698" s="16" t="s">
        <v>2710</v>
      </c>
      <c r="G698" s="16" t="s">
        <v>2711</v>
      </c>
      <c r="H698" s="13" t="s">
        <v>2712</v>
      </c>
      <c r="I698" s="13" t="s">
        <v>2713</v>
      </c>
      <c r="J698" s="13" t="s">
        <v>2714</v>
      </c>
      <c r="K698" s="13" t="s">
        <v>2715</v>
      </c>
      <c r="L698" s="13">
        <v>15.0</v>
      </c>
      <c r="M698" s="13">
        <v>29.06992035</v>
      </c>
      <c r="N698" s="13">
        <v>-80.92575117</v>
      </c>
      <c r="O698" s="13" t="s">
        <v>2734</v>
      </c>
      <c r="P698" s="14"/>
    </row>
    <row r="699" ht="33.75" customHeight="1">
      <c r="A699" s="41">
        <v>42773.0</v>
      </c>
      <c r="B699" s="16" t="s">
        <v>1160</v>
      </c>
      <c r="C699" s="16" t="s">
        <v>1162</v>
      </c>
      <c r="D699" s="16" t="s">
        <v>2709</v>
      </c>
      <c r="E699" s="16" t="s">
        <v>935</v>
      </c>
      <c r="F699" s="16" t="s">
        <v>2710</v>
      </c>
      <c r="G699" s="16" t="s">
        <v>2711</v>
      </c>
      <c r="H699" s="13" t="s">
        <v>2712</v>
      </c>
      <c r="I699" s="13" t="s">
        <v>2713</v>
      </c>
      <c r="J699" s="13" t="s">
        <v>2714</v>
      </c>
      <c r="K699" s="13" t="s">
        <v>2715</v>
      </c>
      <c r="L699" s="13">
        <v>16.0</v>
      </c>
      <c r="M699" s="13">
        <v>29.06949916</v>
      </c>
      <c r="N699" s="13">
        <v>-80.92589124</v>
      </c>
      <c r="O699" s="13" t="s">
        <v>1402</v>
      </c>
      <c r="P699" s="47"/>
    </row>
    <row r="700" ht="33.75" customHeight="1">
      <c r="A700" s="41">
        <v>42773.0</v>
      </c>
      <c r="B700" s="16" t="s">
        <v>1160</v>
      </c>
      <c r="C700" s="16" t="s">
        <v>1162</v>
      </c>
      <c r="D700" s="16" t="s">
        <v>2709</v>
      </c>
      <c r="E700" s="16" t="s">
        <v>935</v>
      </c>
      <c r="F700" s="16" t="s">
        <v>2710</v>
      </c>
      <c r="G700" s="16" t="s">
        <v>2711</v>
      </c>
      <c r="H700" s="13" t="s">
        <v>2712</v>
      </c>
      <c r="I700" s="13" t="s">
        <v>2713</v>
      </c>
      <c r="J700" s="13" t="s">
        <v>2714</v>
      </c>
      <c r="K700" s="13" t="s">
        <v>2715</v>
      </c>
      <c r="L700" s="13">
        <v>17.0</v>
      </c>
      <c r="M700" s="13">
        <v>29.06666452</v>
      </c>
      <c r="N700" s="13">
        <v>-80.92727657</v>
      </c>
      <c r="O700" s="13" t="s">
        <v>2735</v>
      </c>
      <c r="P700" s="47"/>
    </row>
    <row r="701" ht="33.75" customHeight="1">
      <c r="A701" s="43">
        <v>42773.0</v>
      </c>
      <c r="B701" s="16" t="s">
        <v>2736</v>
      </c>
      <c r="C701" s="16" t="s">
        <v>1120</v>
      </c>
      <c r="D701" s="16" t="s">
        <v>2737</v>
      </c>
      <c r="E701" s="16" t="s">
        <v>935</v>
      </c>
      <c r="F701" s="16">
        <v>29.427174</v>
      </c>
      <c r="G701" s="16">
        <v>-81.102257</v>
      </c>
      <c r="H701" s="13">
        <v>29.389905</v>
      </c>
      <c r="I701" s="13">
        <v>-81.085247</v>
      </c>
      <c r="J701" s="13" t="s">
        <v>2738</v>
      </c>
      <c r="K701" s="13" t="s">
        <v>2739</v>
      </c>
      <c r="L701" s="13">
        <v>1.0</v>
      </c>
      <c r="M701" s="13">
        <v>29.42733</v>
      </c>
      <c r="N701" s="13">
        <v>-81.10377</v>
      </c>
      <c r="O701" s="13" t="s">
        <v>2740</v>
      </c>
      <c r="P701" s="14" t="s">
        <v>2741</v>
      </c>
    </row>
    <row r="702" ht="33.75" customHeight="1">
      <c r="A702" s="43">
        <v>42773.0</v>
      </c>
      <c r="B702" s="16" t="s">
        <v>2742</v>
      </c>
      <c r="C702" s="16" t="s">
        <v>2743</v>
      </c>
      <c r="D702" s="16" t="s">
        <v>2744</v>
      </c>
      <c r="E702" s="16" t="s">
        <v>935</v>
      </c>
      <c r="F702" s="16">
        <v>29.00945</v>
      </c>
      <c r="G702" s="16">
        <v>80.8779</v>
      </c>
      <c r="H702" s="13">
        <v>28.884845</v>
      </c>
      <c r="I702" s="13">
        <v>80.79241</v>
      </c>
      <c r="J702" s="13" t="s">
        <v>2745</v>
      </c>
      <c r="K702" s="13" t="s">
        <v>2746</v>
      </c>
      <c r="L702" s="13">
        <v>1.0</v>
      </c>
      <c r="M702" s="13">
        <v>29.00945</v>
      </c>
      <c r="N702" s="13">
        <v>80.87793</v>
      </c>
      <c r="O702" s="13" t="s">
        <v>2747</v>
      </c>
      <c r="P702" s="47"/>
    </row>
    <row r="703" ht="33.75" customHeight="1">
      <c r="A703" s="43">
        <v>42773.0</v>
      </c>
      <c r="B703" s="16" t="s">
        <v>2742</v>
      </c>
      <c r="C703" s="16" t="s">
        <v>2748</v>
      </c>
      <c r="D703" s="16" t="s">
        <v>2744</v>
      </c>
      <c r="E703" s="16" t="s">
        <v>935</v>
      </c>
      <c r="F703" s="16">
        <v>29.00945</v>
      </c>
      <c r="G703" s="16">
        <v>80.8779</v>
      </c>
      <c r="H703" s="13">
        <v>28.884845</v>
      </c>
      <c r="I703" s="13">
        <v>80.79241</v>
      </c>
      <c r="J703" s="13" t="s">
        <v>2745</v>
      </c>
      <c r="K703" s="13" t="s">
        <v>2746</v>
      </c>
      <c r="L703" s="13">
        <v>2.0</v>
      </c>
      <c r="M703" s="13">
        <v>29.00927</v>
      </c>
      <c r="N703" s="13">
        <v>80.87793</v>
      </c>
      <c r="O703" s="13" t="s">
        <v>2749</v>
      </c>
      <c r="P703" s="47"/>
    </row>
    <row r="704" ht="33.75" customHeight="1">
      <c r="A704" s="43">
        <v>42773.0</v>
      </c>
      <c r="B704" s="16" t="s">
        <v>2742</v>
      </c>
      <c r="C704" s="16" t="s">
        <v>2748</v>
      </c>
      <c r="D704" s="16" t="s">
        <v>2744</v>
      </c>
      <c r="E704" s="16" t="s">
        <v>935</v>
      </c>
      <c r="F704" s="16">
        <v>29.00945</v>
      </c>
      <c r="G704" s="16">
        <v>80.8779</v>
      </c>
      <c r="H704" s="13">
        <v>28.884845</v>
      </c>
      <c r="I704" s="13">
        <v>80.79241</v>
      </c>
      <c r="J704" s="13" t="s">
        <v>2745</v>
      </c>
      <c r="K704" s="13" t="s">
        <v>2746</v>
      </c>
      <c r="L704" s="13">
        <v>3.0</v>
      </c>
      <c r="M704" s="13">
        <v>28.9942</v>
      </c>
      <c r="N704" s="13">
        <v>80.86555</v>
      </c>
      <c r="O704" s="60" t="s">
        <v>2750</v>
      </c>
      <c r="P704" s="47"/>
    </row>
    <row r="705" ht="33.75" customHeight="1">
      <c r="A705" s="43">
        <v>42773.0</v>
      </c>
      <c r="B705" s="16" t="s">
        <v>2742</v>
      </c>
      <c r="C705" s="16" t="s">
        <v>2748</v>
      </c>
      <c r="D705" s="16" t="s">
        <v>2744</v>
      </c>
      <c r="E705" s="16" t="s">
        <v>935</v>
      </c>
      <c r="F705" s="16">
        <v>29.00945</v>
      </c>
      <c r="G705" s="16">
        <v>80.8779</v>
      </c>
      <c r="H705" s="13">
        <v>28.884845</v>
      </c>
      <c r="I705" s="13">
        <v>80.79241</v>
      </c>
      <c r="J705" s="13" t="s">
        <v>2745</v>
      </c>
      <c r="K705" s="13" t="s">
        <v>2746</v>
      </c>
      <c r="L705" s="13">
        <v>4.0</v>
      </c>
      <c r="M705" s="13">
        <v>28.94909</v>
      </c>
      <c r="N705" s="13" t="s">
        <v>2751</v>
      </c>
      <c r="O705" s="13" t="s">
        <v>508</v>
      </c>
      <c r="P705" s="14" t="s">
        <v>2752</v>
      </c>
    </row>
    <row r="706" ht="33.75" customHeight="1">
      <c r="A706" s="43">
        <v>42773.0</v>
      </c>
      <c r="B706" s="16" t="s">
        <v>2742</v>
      </c>
      <c r="C706" s="16" t="s">
        <v>2748</v>
      </c>
      <c r="D706" s="16" t="s">
        <v>2744</v>
      </c>
      <c r="E706" s="16" t="s">
        <v>935</v>
      </c>
      <c r="F706" s="16">
        <v>29.00945</v>
      </c>
      <c r="G706" s="16">
        <v>80.8779</v>
      </c>
      <c r="H706" s="13">
        <v>28.884845</v>
      </c>
      <c r="I706" s="13">
        <v>80.79241</v>
      </c>
      <c r="J706" s="13" t="s">
        <v>2745</v>
      </c>
      <c r="K706" s="13" t="s">
        <v>2746</v>
      </c>
      <c r="L706" s="13">
        <v>5.0</v>
      </c>
      <c r="M706" s="13">
        <v>28.9866</v>
      </c>
      <c r="N706" s="13">
        <v>80.86235</v>
      </c>
      <c r="O706" s="13" t="s">
        <v>2753</v>
      </c>
      <c r="P706" s="47"/>
    </row>
    <row r="707" ht="33.75" customHeight="1">
      <c r="A707" s="50">
        <v>42773.0</v>
      </c>
      <c r="B707" s="16" t="s">
        <v>2754</v>
      </c>
      <c r="C707" s="16" t="s">
        <v>2755</v>
      </c>
      <c r="D707" s="16" t="s">
        <v>2756</v>
      </c>
      <c r="E707" s="16" t="s">
        <v>935</v>
      </c>
      <c r="F707" s="16">
        <v>28.937891</v>
      </c>
      <c r="G707" s="16">
        <v>80.830686</v>
      </c>
      <c r="H707" s="13">
        <v>29.023437</v>
      </c>
      <c r="I707" s="13">
        <v>80.916657</v>
      </c>
      <c r="J707" s="13" t="s">
        <v>2757</v>
      </c>
      <c r="K707" s="13" t="s">
        <v>2746</v>
      </c>
      <c r="P707" s="47"/>
    </row>
    <row r="708" ht="33.75" customHeight="1">
      <c r="A708" s="50">
        <v>42773.0</v>
      </c>
      <c r="B708" s="16" t="s">
        <v>2758</v>
      </c>
      <c r="C708" s="16" t="s">
        <v>2759</v>
      </c>
      <c r="D708" s="16" t="s">
        <v>2760</v>
      </c>
      <c r="E708" s="16" t="s">
        <v>935</v>
      </c>
      <c r="F708" s="16">
        <v>29.030089</v>
      </c>
      <c r="G708" s="16">
        <v>80.91863</v>
      </c>
      <c r="H708" s="13">
        <v>28.97509</v>
      </c>
      <c r="I708" s="13">
        <v>80.892188</v>
      </c>
      <c r="J708" s="13" t="s">
        <v>2761</v>
      </c>
      <c r="K708" s="13" t="s">
        <v>2746</v>
      </c>
      <c r="P708" s="47"/>
    </row>
    <row r="709" ht="33.75" customHeight="1">
      <c r="A709" s="117">
        <v>42773.0</v>
      </c>
      <c r="B709" s="34" t="s">
        <v>2762</v>
      </c>
      <c r="C709" s="34" t="s">
        <v>2763</v>
      </c>
      <c r="D709" s="34" t="s">
        <v>2764</v>
      </c>
      <c r="E709" s="34" t="s">
        <v>935</v>
      </c>
      <c r="F709" s="74">
        <v>29.009688</v>
      </c>
      <c r="G709" s="74">
        <v>80.877934</v>
      </c>
      <c r="H709" s="69">
        <v>29.073523</v>
      </c>
      <c r="I709" s="69">
        <v>80.915223</v>
      </c>
      <c r="J709" s="26" t="s">
        <v>2765</v>
      </c>
      <c r="K709" s="26" t="s">
        <v>2766</v>
      </c>
      <c r="L709" s="13">
        <v>1.0</v>
      </c>
      <c r="M709" s="13">
        <v>29.00581</v>
      </c>
      <c r="N709" s="13">
        <v>80.52678</v>
      </c>
      <c r="O709" s="13" t="s">
        <v>2767</v>
      </c>
      <c r="P709" s="47"/>
    </row>
    <row r="710" ht="33.75" customHeight="1">
      <c r="A710" s="117">
        <v>42773.0</v>
      </c>
      <c r="B710" s="34" t="s">
        <v>2762</v>
      </c>
      <c r="C710" s="34" t="s">
        <v>2763</v>
      </c>
      <c r="D710" s="34" t="s">
        <v>2764</v>
      </c>
      <c r="E710" s="34" t="s">
        <v>935</v>
      </c>
      <c r="F710" s="74">
        <v>29.009688</v>
      </c>
      <c r="G710" s="74">
        <v>80.877934</v>
      </c>
      <c r="H710" s="69">
        <v>29.073523</v>
      </c>
      <c r="I710" s="69">
        <v>80.915223</v>
      </c>
      <c r="J710" s="26" t="s">
        <v>2765</v>
      </c>
      <c r="K710" s="26" t="s">
        <v>2766</v>
      </c>
      <c r="L710" s="13">
        <v>2.0</v>
      </c>
      <c r="M710" s="13">
        <v>29.010362</v>
      </c>
      <c r="N710" s="13">
        <v>80.53147</v>
      </c>
      <c r="O710" s="13" t="s">
        <v>2768</v>
      </c>
      <c r="P710" s="47"/>
    </row>
    <row r="711" ht="33.75" customHeight="1">
      <c r="A711" s="117">
        <v>42773.0</v>
      </c>
      <c r="B711" s="34" t="s">
        <v>2762</v>
      </c>
      <c r="C711" s="34" t="s">
        <v>2763</v>
      </c>
      <c r="D711" s="34" t="s">
        <v>2764</v>
      </c>
      <c r="E711" s="34" t="s">
        <v>935</v>
      </c>
      <c r="F711" s="74">
        <v>29.009688</v>
      </c>
      <c r="G711" s="74">
        <v>80.877934</v>
      </c>
      <c r="H711" s="69">
        <v>29.073523</v>
      </c>
      <c r="I711" s="69">
        <v>80.915223</v>
      </c>
      <c r="J711" s="26" t="s">
        <v>2765</v>
      </c>
      <c r="K711" s="26" t="s">
        <v>2766</v>
      </c>
      <c r="L711" s="13">
        <v>3.0</v>
      </c>
      <c r="M711" s="119">
        <v>2901449.0</v>
      </c>
      <c r="N711" s="13">
        <v>80.53198</v>
      </c>
      <c r="O711" s="13" t="s">
        <v>2769</v>
      </c>
      <c r="P711" s="47"/>
    </row>
    <row r="712" ht="33.75" customHeight="1">
      <c r="A712" s="117">
        <v>42773.0</v>
      </c>
      <c r="B712" s="34" t="s">
        <v>2762</v>
      </c>
      <c r="C712" s="34" t="s">
        <v>2763</v>
      </c>
      <c r="D712" s="34" t="s">
        <v>2764</v>
      </c>
      <c r="E712" s="34" t="s">
        <v>935</v>
      </c>
      <c r="F712" s="74">
        <v>29.009688</v>
      </c>
      <c r="G712" s="74">
        <v>80.877934</v>
      </c>
      <c r="H712" s="69">
        <v>29.073523</v>
      </c>
      <c r="I712" s="69">
        <v>80.915223</v>
      </c>
      <c r="J712" s="26" t="s">
        <v>2765</v>
      </c>
      <c r="K712" s="26" t="s">
        <v>2766</v>
      </c>
      <c r="L712" s="13">
        <v>4.0</v>
      </c>
      <c r="M712" s="13">
        <v>29.03151</v>
      </c>
      <c r="N712" s="13">
        <v>80.54109</v>
      </c>
      <c r="O712" s="13" t="s">
        <v>2770</v>
      </c>
      <c r="P712" s="47"/>
    </row>
    <row r="713" ht="33.75" customHeight="1">
      <c r="A713" s="117">
        <v>42773.0</v>
      </c>
      <c r="B713" s="34" t="s">
        <v>2762</v>
      </c>
      <c r="C713" s="34" t="s">
        <v>2763</v>
      </c>
      <c r="D713" s="34" t="s">
        <v>2764</v>
      </c>
      <c r="E713" s="34" t="s">
        <v>935</v>
      </c>
      <c r="F713" s="74">
        <v>29.009688</v>
      </c>
      <c r="G713" s="74">
        <v>80.877934</v>
      </c>
      <c r="H713" s="69">
        <v>29.073523</v>
      </c>
      <c r="I713" s="69">
        <v>80.915223</v>
      </c>
      <c r="J713" s="26" t="s">
        <v>2765</v>
      </c>
      <c r="K713" s="26" t="s">
        <v>2766</v>
      </c>
      <c r="L713" s="13">
        <v>5.0</v>
      </c>
      <c r="M713" s="13">
        <v>29.03942</v>
      </c>
      <c r="N713" s="13">
        <v>80.054458</v>
      </c>
      <c r="O713" s="13" t="s">
        <v>2771</v>
      </c>
      <c r="P713" s="47"/>
    </row>
    <row r="714" ht="33.75" customHeight="1">
      <c r="A714" s="117">
        <v>42773.0</v>
      </c>
      <c r="B714" s="34" t="s">
        <v>2762</v>
      </c>
      <c r="C714" s="34" t="s">
        <v>2763</v>
      </c>
      <c r="D714" s="34" t="s">
        <v>2764</v>
      </c>
      <c r="E714" s="34" t="s">
        <v>935</v>
      </c>
      <c r="F714" s="74">
        <v>29.009688</v>
      </c>
      <c r="G714" s="74">
        <v>80.877934</v>
      </c>
      <c r="H714" s="69">
        <v>29.073523</v>
      </c>
      <c r="I714" s="69">
        <v>80.915223</v>
      </c>
      <c r="J714" s="26" t="s">
        <v>2765</v>
      </c>
      <c r="K714" s="26" t="s">
        <v>2766</v>
      </c>
      <c r="L714" s="13">
        <v>6.0</v>
      </c>
      <c r="M714" s="13">
        <v>29.069985</v>
      </c>
      <c r="N714" s="13">
        <v>80.911805</v>
      </c>
      <c r="O714" s="13" t="s">
        <v>850</v>
      </c>
      <c r="P714" s="14" t="s">
        <v>2772</v>
      </c>
    </row>
    <row r="715" ht="33.75" customHeight="1">
      <c r="A715" s="41">
        <v>42774.0</v>
      </c>
      <c r="B715" s="16" t="s">
        <v>2773</v>
      </c>
      <c r="C715" s="16" t="s">
        <v>2774</v>
      </c>
      <c r="D715" s="16" t="s">
        <v>2775</v>
      </c>
      <c r="E715" s="16" t="s">
        <v>935</v>
      </c>
      <c r="F715" s="16">
        <v>28.93855</v>
      </c>
      <c r="G715" s="16">
        <v>-80.83016</v>
      </c>
      <c r="H715" s="13">
        <v>28.794133</v>
      </c>
      <c r="I715" s="13">
        <v>-80.73493</v>
      </c>
      <c r="J715" s="13" t="s">
        <v>408</v>
      </c>
      <c r="K715" s="13" t="s">
        <v>409</v>
      </c>
      <c r="L715" s="13">
        <v>1.0</v>
      </c>
      <c r="M715" s="13">
        <v>28.929733</v>
      </c>
      <c r="N715" s="13">
        <v>-80.8223</v>
      </c>
      <c r="O715" s="13" t="s">
        <v>645</v>
      </c>
      <c r="P715" s="47"/>
    </row>
    <row r="716" ht="33.75" customHeight="1">
      <c r="A716" s="41">
        <v>42774.0</v>
      </c>
      <c r="B716" s="16" t="s">
        <v>2773</v>
      </c>
      <c r="C716" s="16" t="s">
        <v>2774</v>
      </c>
      <c r="D716" s="16" t="s">
        <v>2775</v>
      </c>
      <c r="E716" s="16" t="s">
        <v>935</v>
      </c>
      <c r="F716" s="16">
        <v>28.93855</v>
      </c>
      <c r="G716" s="16">
        <v>-80.83016</v>
      </c>
      <c r="H716" s="13">
        <v>28.794133</v>
      </c>
      <c r="I716" s="13">
        <v>-80.73493</v>
      </c>
      <c r="J716" s="13" t="s">
        <v>408</v>
      </c>
      <c r="K716" s="13" t="s">
        <v>409</v>
      </c>
      <c r="L716" s="13">
        <v>2.0</v>
      </c>
      <c r="M716" s="13">
        <v>28.93415</v>
      </c>
      <c r="N716" s="13">
        <v>-80.82715</v>
      </c>
      <c r="O716" s="13" t="s">
        <v>2776</v>
      </c>
      <c r="P716" s="14"/>
    </row>
    <row r="717" ht="33.75" customHeight="1">
      <c r="A717" s="41">
        <v>42774.0</v>
      </c>
      <c r="B717" s="16" t="s">
        <v>2773</v>
      </c>
      <c r="C717" s="16" t="s">
        <v>2774</v>
      </c>
      <c r="D717" s="16" t="s">
        <v>2775</v>
      </c>
      <c r="E717" s="16" t="s">
        <v>935</v>
      </c>
      <c r="F717" s="16">
        <v>28.93855</v>
      </c>
      <c r="G717" s="16">
        <v>-80.83016</v>
      </c>
      <c r="H717" s="13">
        <v>28.794133</v>
      </c>
      <c r="I717" s="13">
        <v>-80.73493</v>
      </c>
      <c r="J717" s="13" t="s">
        <v>408</v>
      </c>
      <c r="K717" s="13" t="s">
        <v>409</v>
      </c>
      <c r="L717" s="13">
        <v>3.0</v>
      </c>
      <c r="M717" s="13">
        <v>28.9225</v>
      </c>
      <c r="N717" s="13">
        <v>-80.819633</v>
      </c>
      <c r="O717" s="13" t="s">
        <v>2777</v>
      </c>
      <c r="P717" s="14"/>
    </row>
    <row r="718" ht="33.75" customHeight="1">
      <c r="A718" s="41">
        <v>42770.0</v>
      </c>
      <c r="B718" s="16" t="s">
        <v>110</v>
      </c>
      <c r="C718" s="13" t="s">
        <v>112</v>
      </c>
      <c r="D718" s="16" t="s">
        <v>2778</v>
      </c>
      <c r="E718" s="16" t="s">
        <v>2779</v>
      </c>
      <c r="F718" s="16">
        <v>29.97079</v>
      </c>
      <c r="G718" s="16">
        <v>-84.34397</v>
      </c>
      <c r="H718" s="13">
        <v>29.98381</v>
      </c>
      <c r="I718" s="13">
        <v>-84.35157</v>
      </c>
      <c r="J718" s="13" t="s">
        <v>2780</v>
      </c>
      <c r="K718" s="13" t="s">
        <v>2781</v>
      </c>
      <c r="L718" s="13">
        <v>1.0</v>
      </c>
      <c r="M718" s="13">
        <v>29.97055</v>
      </c>
      <c r="N718" s="13">
        <v>-84.34237</v>
      </c>
      <c r="O718" s="13" t="s">
        <v>2782</v>
      </c>
      <c r="P718" s="14" t="s">
        <v>2783</v>
      </c>
    </row>
    <row r="719" ht="33.75" customHeight="1">
      <c r="A719" s="41">
        <v>42770.0</v>
      </c>
      <c r="B719" s="16" t="s">
        <v>110</v>
      </c>
      <c r="C719" s="13" t="s">
        <v>112</v>
      </c>
      <c r="D719" s="16" t="s">
        <v>2778</v>
      </c>
      <c r="E719" s="16" t="s">
        <v>2779</v>
      </c>
      <c r="F719" s="16">
        <v>29.97079</v>
      </c>
      <c r="G719" s="16">
        <v>-84.34397</v>
      </c>
      <c r="H719" s="13">
        <v>29.98381</v>
      </c>
      <c r="I719" s="13">
        <v>-84.35157</v>
      </c>
      <c r="J719" s="13" t="s">
        <v>2780</v>
      </c>
      <c r="K719" s="13" t="s">
        <v>2781</v>
      </c>
      <c r="L719" s="13">
        <v>2.0</v>
      </c>
      <c r="M719" s="13">
        <v>29.98692</v>
      </c>
      <c r="N719" s="13">
        <v>-84.34464</v>
      </c>
      <c r="O719" s="13" t="s">
        <v>2784</v>
      </c>
      <c r="P719" s="14"/>
    </row>
    <row r="720" ht="33.75" customHeight="1">
      <c r="A720" s="41">
        <v>42770.0</v>
      </c>
      <c r="B720" s="16" t="s">
        <v>110</v>
      </c>
      <c r="C720" s="13" t="s">
        <v>112</v>
      </c>
      <c r="D720" s="16" t="s">
        <v>2778</v>
      </c>
      <c r="E720" s="16" t="s">
        <v>2779</v>
      </c>
      <c r="F720" s="16">
        <v>29.97079</v>
      </c>
      <c r="G720" s="16">
        <v>-84.34397</v>
      </c>
      <c r="H720" s="13">
        <v>29.98381</v>
      </c>
      <c r="I720" s="13">
        <v>-84.35157</v>
      </c>
      <c r="J720" s="13" t="s">
        <v>2780</v>
      </c>
      <c r="K720" s="13" t="s">
        <v>2781</v>
      </c>
      <c r="L720" s="13">
        <v>3.0</v>
      </c>
      <c r="M720" s="13">
        <v>29.98562</v>
      </c>
      <c r="N720" s="13">
        <v>-84.3465</v>
      </c>
      <c r="O720" s="13" t="s">
        <v>2785</v>
      </c>
      <c r="P720" s="14"/>
    </row>
    <row r="721" ht="33.75" customHeight="1">
      <c r="A721" s="41">
        <v>42772.0</v>
      </c>
      <c r="B721" s="16" t="s">
        <v>2786</v>
      </c>
      <c r="C721" s="16" t="s">
        <v>363</v>
      </c>
      <c r="D721" s="16" t="s">
        <v>2787</v>
      </c>
      <c r="E721" s="16" t="s">
        <v>2779</v>
      </c>
      <c r="F721" s="16">
        <v>30.11034</v>
      </c>
      <c r="G721" s="16">
        <v>-83.98174</v>
      </c>
      <c r="H721" s="13">
        <v>30.07899</v>
      </c>
      <c r="I721" s="13">
        <v>-84.17852</v>
      </c>
      <c r="J721" s="13" t="s">
        <v>2788</v>
      </c>
      <c r="K721" s="13" t="s">
        <v>2789</v>
      </c>
      <c r="L721" s="13">
        <v>1.0</v>
      </c>
      <c r="M721" s="13">
        <v>30.09206</v>
      </c>
      <c r="N721" s="13">
        <v>-84.11314</v>
      </c>
      <c r="O721" s="13" t="s">
        <v>2790</v>
      </c>
      <c r="P721" s="14"/>
    </row>
    <row r="722" ht="33.75" customHeight="1">
      <c r="A722" s="41">
        <v>42772.0</v>
      </c>
      <c r="B722" s="16" t="s">
        <v>2786</v>
      </c>
      <c r="C722" s="16" t="s">
        <v>363</v>
      </c>
      <c r="D722" s="16" t="s">
        <v>2787</v>
      </c>
      <c r="E722" s="16" t="s">
        <v>2779</v>
      </c>
      <c r="F722" s="16">
        <v>30.11034</v>
      </c>
      <c r="G722" s="16">
        <v>-83.98174</v>
      </c>
      <c r="H722" s="13">
        <v>30.07899</v>
      </c>
      <c r="I722" s="13">
        <v>-84.17852</v>
      </c>
      <c r="J722" s="13" t="s">
        <v>2788</v>
      </c>
      <c r="K722" s="13" t="s">
        <v>2789</v>
      </c>
      <c r="L722" s="13">
        <v>2.0</v>
      </c>
      <c r="M722" s="13">
        <v>30.08845</v>
      </c>
      <c r="N722" s="13">
        <v>-84.11798</v>
      </c>
      <c r="O722" s="13" t="s">
        <v>2791</v>
      </c>
      <c r="P722" s="14"/>
    </row>
    <row r="723" ht="33.75" customHeight="1">
      <c r="A723" s="43">
        <v>42772.0</v>
      </c>
      <c r="B723" s="16" t="s">
        <v>2792</v>
      </c>
      <c r="C723" s="16" t="s">
        <v>2793</v>
      </c>
      <c r="D723" s="16" t="s">
        <v>2794</v>
      </c>
      <c r="E723" s="16" t="s">
        <v>2779</v>
      </c>
      <c r="F723" s="16">
        <v>30.113772</v>
      </c>
      <c r="G723" s="16">
        <v>-84.11901</v>
      </c>
      <c r="H723" s="13">
        <v>30.074172</v>
      </c>
      <c r="I723" s="13">
        <v>-84.180106</v>
      </c>
      <c r="J723" s="13" t="s">
        <v>2795</v>
      </c>
      <c r="K723" s="13" t="s">
        <v>2796</v>
      </c>
      <c r="L723" s="13">
        <v>1.0</v>
      </c>
      <c r="M723" s="13">
        <v>30.112554</v>
      </c>
      <c r="N723" s="13">
        <v>-84.137615</v>
      </c>
      <c r="O723" s="13" t="s">
        <v>2797</v>
      </c>
      <c r="P723" s="14" t="s">
        <v>2798</v>
      </c>
    </row>
    <row r="724" ht="33.75" customHeight="1">
      <c r="A724" s="41">
        <v>42773.0</v>
      </c>
      <c r="B724" s="16" t="s">
        <v>2799</v>
      </c>
      <c r="C724" s="16" t="s">
        <v>506</v>
      </c>
      <c r="D724" s="16" t="s">
        <v>2800</v>
      </c>
      <c r="E724" s="16" t="s">
        <v>2779</v>
      </c>
      <c r="F724" s="120">
        <v>30.01606</v>
      </c>
      <c r="G724" s="120">
        <v>-84.3682</v>
      </c>
      <c r="H724" s="120">
        <v>30.07899</v>
      </c>
      <c r="I724" s="120">
        <v>-84.17852</v>
      </c>
      <c r="J724" s="13" t="s">
        <v>2801</v>
      </c>
      <c r="K724" s="13" t="s">
        <v>2802</v>
      </c>
      <c r="L724" s="13">
        <v>1.0</v>
      </c>
      <c r="M724" s="121">
        <v>30.03922</v>
      </c>
      <c r="N724" s="121">
        <v>-84.35979</v>
      </c>
      <c r="O724" s="13" t="s">
        <v>2803</v>
      </c>
      <c r="P724" s="14"/>
    </row>
    <row r="725" ht="33.75" customHeight="1">
      <c r="A725" s="41">
        <v>42773.0</v>
      </c>
      <c r="B725" s="16" t="s">
        <v>2799</v>
      </c>
      <c r="C725" s="16" t="s">
        <v>506</v>
      </c>
      <c r="D725" s="16" t="s">
        <v>2800</v>
      </c>
      <c r="E725" s="16" t="s">
        <v>2779</v>
      </c>
      <c r="F725" s="120">
        <v>30.01606</v>
      </c>
      <c r="G725" s="120">
        <v>-84.3682</v>
      </c>
      <c r="H725" s="120">
        <v>30.07899</v>
      </c>
      <c r="I725" s="120">
        <v>-84.17852</v>
      </c>
      <c r="J725" s="13" t="s">
        <v>2801</v>
      </c>
      <c r="K725" s="13" t="s">
        <v>2802</v>
      </c>
      <c r="L725" s="13">
        <v>2.0</v>
      </c>
      <c r="M725" s="121">
        <v>30.05551</v>
      </c>
      <c r="N725" s="121">
        <v>-84.35385</v>
      </c>
      <c r="O725" s="13" t="s">
        <v>1680</v>
      </c>
      <c r="P725" s="47"/>
    </row>
    <row r="726" ht="33.75" customHeight="1">
      <c r="A726" s="41">
        <v>42773.0</v>
      </c>
      <c r="B726" s="16" t="s">
        <v>2799</v>
      </c>
      <c r="C726" s="16" t="s">
        <v>506</v>
      </c>
      <c r="D726" s="16" t="s">
        <v>2800</v>
      </c>
      <c r="E726" s="16" t="s">
        <v>2779</v>
      </c>
      <c r="F726" s="120">
        <v>30.01606</v>
      </c>
      <c r="G726" s="120">
        <v>-84.3682</v>
      </c>
      <c r="H726" s="120">
        <v>30.07899</v>
      </c>
      <c r="I726" s="120">
        <v>-84.17852</v>
      </c>
      <c r="J726" s="13" t="s">
        <v>2801</v>
      </c>
      <c r="K726" s="13" t="s">
        <v>2802</v>
      </c>
      <c r="L726" s="13">
        <v>3.0</v>
      </c>
      <c r="M726" s="121">
        <v>30.05328</v>
      </c>
      <c r="N726" s="121">
        <v>-84.34465</v>
      </c>
      <c r="O726" s="13" t="s">
        <v>2804</v>
      </c>
      <c r="P726" s="47"/>
    </row>
    <row r="727" ht="33.75" customHeight="1">
      <c r="A727" s="41">
        <v>42773.0</v>
      </c>
      <c r="B727" s="16" t="s">
        <v>2799</v>
      </c>
      <c r="C727" s="16" t="s">
        <v>506</v>
      </c>
      <c r="D727" s="16" t="s">
        <v>2800</v>
      </c>
      <c r="E727" s="16" t="s">
        <v>2779</v>
      </c>
      <c r="F727" s="120">
        <v>30.01606</v>
      </c>
      <c r="G727" s="120">
        <v>-84.3682</v>
      </c>
      <c r="H727" s="120">
        <v>30.07899</v>
      </c>
      <c r="I727" s="120">
        <v>-84.17852</v>
      </c>
      <c r="J727" s="13" t="s">
        <v>2801</v>
      </c>
      <c r="K727" s="13" t="s">
        <v>2802</v>
      </c>
      <c r="L727" s="13">
        <v>4.0</v>
      </c>
      <c r="M727" s="121">
        <v>30.05052</v>
      </c>
      <c r="N727" s="121">
        <v>-84.3393</v>
      </c>
      <c r="O727" s="13" t="s">
        <v>1680</v>
      </c>
      <c r="P727" s="14"/>
    </row>
    <row r="728" ht="33.75" customHeight="1">
      <c r="A728" s="41">
        <v>42773.0</v>
      </c>
      <c r="B728" s="16" t="s">
        <v>2799</v>
      </c>
      <c r="C728" s="16" t="s">
        <v>506</v>
      </c>
      <c r="D728" s="16" t="s">
        <v>2800</v>
      </c>
      <c r="E728" s="16" t="s">
        <v>2779</v>
      </c>
      <c r="F728" s="120">
        <v>30.01606</v>
      </c>
      <c r="G728" s="120">
        <v>-84.3682</v>
      </c>
      <c r="H728" s="120">
        <v>30.07899</v>
      </c>
      <c r="I728" s="120">
        <v>-84.17852</v>
      </c>
      <c r="J728" s="13" t="s">
        <v>2801</v>
      </c>
      <c r="K728" s="13" t="s">
        <v>2802</v>
      </c>
      <c r="L728" s="13">
        <v>5.0</v>
      </c>
      <c r="M728" s="121">
        <v>30.02701</v>
      </c>
      <c r="N728" s="121">
        <v>-84.34518</v>
      </c>
      <c r="O728" s="48" t="s">
        <v>2805</v>
      </c>
      <c r="P728" s="14"/>
    </row>
    <row r="729" ht="33.75" customHeight="1">
      <c r="A729" s="41">
        <v>42773.0</v>
      </c>
      <c r="B729" s="16" t="s">
        <v>2799</v>
      </c>
      <c r="C729" s="16" t="s">
        <v>506</v>
      </c>
      <c r="D729" s="16" t="s">
        <v>2800</v>
      </c>
      <c r="E729" s="16" t="s">
        <v>2779</v>
      </c>
      <c r="F729" s="120">
        <v>30.01606</v>
      </c>
      <c r="G729" s="120">
        <v>-84.3682</v>
      </c>
      <c r="H729" s="120">
        <v>30.07899</v>
      </c>
      <c r="I729" s="120">
        <v>-84.17852</v>
      </c>
      <c r="J729" s="13" t="s">
        <v>2801</v>
      </c>
      <c r="K729" s="13" t="s">
        <v>2802</v>
      </c>
      <c r="L729" s="13">
        <v>6.0</v>
      </c>
      <c r="M729" s="121">
        <v>30.03632</v>
      </c>
      <c r="N729" s="121">
        <v>-84.32915</v>
      </c>
      <c r="O729" s="13" t="s">
        <v>1316</v>
      </c>
      <c r="P729" s="14"/>
    </row>
    <row r="730" ht="33.75" customHeight="1">
      <c r="A730" s="41">
        <v>42773.0</v>
      </c>
      <c r="B730" s="16" t="s">
        <v>2799</v>
      </c>
      <c r="C730" s="16" t="s">
        <v>506</v>
      </c>
      <c r="D730" s="16" t="s">
        <v>2800</v>
      </c>
      <c r="E730" s="16" t="s">
        <v>2779</v>
      </c>
      <c r="F730" s="120">
        <v>30.01606</v>
      </c>
      <c r="G730" s="120">
        <v>-84.3682</v>
      </c>
      <c r="H730" s="120">
        <v>30.07899</v>
      </c>
      <c r="I730" s="120">
        <v>-84.17852</v>
      </c>
      <c r="J730" s="13" t="s">
        <v>2801</v>
      </c>
      <c r="K730" s="13" t="s">
        <v>2802</v>
      </c>
      <c r="L730" s="13">
        <v>7.0</v>
      </c>
      <c r="M730" s="121">
        <v>30.04577</v>
      </c>
      <c r="N730" s="121">
        <v>-84.32629</v>
      </c>
      <c r="O730" s="13" t="s">
        <v>2806</v>
      </c>
      <c r="P730" s="14"/>
    </row>
    <row r="731" ht="33.75" customHeight="1">
      <c r="A731" s="41">
        <v>42773.0</v>
      </c>
      <c r="B731" s="16" t="s">
        <v>2799</v>
      </c>
      <c r="C731" s="16" t="s">
        <v>506</v>
      </c>
      <c r="D731" s="16" t="s">
        <v>2800</v>
      </c>
      <c r="E731" s="16" t="s">
        <v>2779</v>
      </c>
      <c r="F731" s="120">
        <v>30.01606</v>
      </c>
      <c r="G731" s="120">
        <v>-84.3682</v>
      </c>
      <c r="H731" s="120">
        <v>30.07899</v>
      </c>
      <c r="I731" s="120">
        <v>-84.17852</v>
      </c>
      <c r="J731" s="13" t="s">
        <v>2801</v>
      </c>
      <c r="K731" s="13" t="s">
        <v>2802</v>
      </c>
      <c r="L731" s="13">
        <v>8.0</v>
      </c>
      <c r="M731" s="121">
        <v>30.05191</v>
      </c>
      <c r="N731" s="121">
        <v>-84.32807</v>
      </c>
      <c r="O731" s="13" t="s">
        <v>2807</v>
      </c>
      <c r="P731" s="47"/>
    </row>
    <row r="732" ht="33.75" customHeight="1">
      <c r="A732" s="41">
        <v>42773.0</v>
      </c>
      <c r="B732" s="16" t="s">
        <v>2799</v>
      </c>
      <c r="C732" s="16" t="s">
        <v>506</v>
      </c>
      <c r="D732" s="16" t="s">
        <v>2800</v>
      </c>
      <c r="E732" s="16" t="s">
        <v>2779</v>
      </c>
      <c r="F732" s="120">
        <v>30.01606</v>
      </c>
      <c r="G732" s="120">
        <v>-84.3682</v>
      </c>
      <c r="H732" s="120">
        <v>30.07899</v>
      </c>
      <c r="I732" s="120">
        <v>-84.17852</v>
      </c>
      <c r="J732" s="13" t="s">
        <v>2801</v>
      </c>
      <c r="K732" s="13" t="s">
        <v>2802</v>
      </c>
      <c r="L732" s="13">
        <v>9.0</v>
      </c>
      <c r="M732" s="121">
        <v>30.06891</v>
      </c>
      <c r="N732" s="121">
        <v>-84.35856</v>
      </c>
      <c r="O732" s="13" t="s">
        <v>2808</v>
      </c>
      <c r="P732" s="14"/>
    </row>
    <row r="733" ht="33.75" customHeight="1">
      <c r="A733" s="41">
        <v>42773.0</v>
      </c>
      <c r="B733" s="16" t="s">
        <v>2799</v>
      </c>
      <c r="C733" s="16" t="s">
        <v>506</v>
      </c>
      <c r="D733" s="16" t="s">
        <v>2800</v>
      </c>
      <c r="E733" s="16" t="s">
        <v>2779</v>
      </c>
      <c r="F733" s="120">
        <v>30.01606</v>
      </c>
      <c r="G733" s="120">
        <v>-84.3682</v>
      </c>
      <c r="H733" s="120">
        <v>30.07899</v>
      </c>
      <c r="I733" s="120">
        <v>-84.17852</v>
      </c>
      <c r="J733" s="13" t="s">
        <v>2801</v>
      </c>
      <c r="K733" s="13" t="s">
        <v>2802</v>
      </c>
      <c r="L733" s="13">
        <v>10.0</v>
      </c>
      <c r="M733" s="121">
        <v>30.06427</v>
      </c>
      <c r="N733" s="121">
        <v>-84.32351</v>
      </c>
      <c r="O733" s="13" t="s">
        <v>2809</v>
      </c>
      <c r="P733" s="14"/>
    </row>
    <row r="734" ht="33.75" customHeight="1">
      <c r="A734" s="41">
        <v>42773.0</v>
      </c>
      <c r="B734" s="16" t="s">
        <v>2799</v>
      </c>
      <c r="C734" s="16" t="s">
        <v>506</v>
      </c>
      <c r="D734" s="16" t="s">
        <v>2800</v>
      </c>
      <c r="E734" s="16" t="s">
        <v>2779</v>
      </c>
      <c r="F734" s="120">
        <v>30.01606</v>
      </c>
      <c r="G734" s="120">
        <v>-84.3682</v>
      </c>
      <c r="H734" s="120">
        <v>30.07899</v>
      </c>
      <c r="I734" s="120">
        <v>-84.17852</v>
      </c>
      <c r="J734" s="13" t="s">
        <v>2801</v>
      </c>
      <c r="K734" s="13" t="s">
        <v>2802</v>
      </c>
      <c r="L734" s="13">
        <v>11.0</v>
      </c>
      <c r="M734" s="121">
        <v>30.06214</v>
      </c>
      <c r="N734" s="121">
        <v>-84.30949</v>
      </c>
      <c r="O734" s="13" t="s">
        <v>2810</v>
      </c>
      <c r="P734" s="14"/>
    </row>
    <row r="735" ht="33.75" customHeight="1">
      <c r="A735" s="41">
        <v>42773.0</v>
      </c>
      <c r="B735" s="16" t="s">
        <v>2799</v>
      </c>
      <c r="C735" s="16" t="s">
        <v>506</v>
      </c>
      <c r="D735" s="16" t="s">
        <v>2800</v>
      </c>
      <c r="E735" s="16" t="s">
        <v>2779</v>
      </c>
      <c r="F735" s="120">
        <v>30.01606</v>
      </c>
      <c r="G735" s="120">
        <v>-84.3682</v>
      </c>
      <c r="H735" s="120">
        <v>30.07899</v>
      </c>
      <c r="I735" s="120">
        <v>-84.17852</v>
      </c>
      <c r="J735" s="13" t="s">
        <v>2801</v>
      </c>
      <c r="K735" s="13" t="s">
        <v>2802</v>
      </c>
      <c r="L735" s="13">
        <v>12.0</v>
      </c>
      <c r="M735" s="121">
        <v>30.05076</v>
      </c>
      <c r="N735" s="121">
        <v>-84.32332</v>
      </c>
      <c r="O735" s="13" t="s">
        <v>2811</v>
      </c>
      <c r="P735" s="14"/>
    </row>
    <row r="736" ht="33.75" customHeight="1">
      <c r="A736" s="41">
        <v>42773.0</v>
      </c>
      <c r="B736" s="16" t="s">
        <v>2799</v>
      </c>
      <c r="C736" s="16" t="s">
        <v>506</v>
      </c>
      <c r="D736" s="16" t="s">
        <v>2800</v>
      </c>
      <c r="E736" s="16" t="s">
        <v>2779</v>
      </c>
      <c r="F736" s="120">
        <v>30.01606</v>
      </c>
      <c r="G736" s="120">
        <v>-84.3682</v>
      </c>
      <c r="H736" s="120">
        <v>30.07899</v>
      </c>
      <c r="I736" s="120">
        <v>-84.17852</v>
      </c>
      <c r="J736" s="13" t="s">
        <v>2801</v>
      </c>
      <c r="K736" s="13" t="s">
        <v>2802</v>
      </c>
      <c r="L736" s="13">
        <v>13.0</v>
      </c>
      <c r="M736" s="121">
        <v>30.06212</v>
      </c>
      <c r="N736" s="121">
        <v>-84.30202</v>
      </c>
      <c r="O736" s="48" t="s">
        <v>2812</v>
      </c>
      <c r="P736" s="47"/>
    </row>
    <row r="737" ht="33.75" customHeight="1">
      <c r="A737" s="80"/>
      <c r="B737" s="16" t="s">
        <v>2792</v>
      </c>
      <c r="C737" s="16" t="s">
        <v>2793</v>
      </c>
      <c r="D737" s="16" t="s">
        <v>2794</v>
      </c>
      <c r="E737" s="16" t="s">
        <v>2779</v>
      </c>
      <c r="F737" s="16">
        <v>30.113772</v>
      </c>
      <c r="G737" s="16">
        <v>-84.11901</v>
      </c>
      <c r="H737" s="13">
        <v>30.074172</v>
      </c>
      <c r="I737" s="13" t="s">
        <v>2813</v>
      </c>
      <c r="J737" s="13" t="s">
        <v>2795</v>
      </c>
      <c r="K737" s="13" t="s">
        <v>2796</v>
      </c>
      <c r="L737" s="13">
        <v>2.0</v>
      </c>
      <c r="M737" s="13">
        <v>30.091476</v>
      </c>
      <c r="N737" s="13">
        <v>-84.153936</v>
      </c>
      <c r="O737" s="13" t="s">
        <v>2814</v>
      </c>
      <c r="P737" s="14" t="s">
        <v>2815</v>
      </c>
    </row>
    <row r="738" ht="33.75" customHeight="1">
      <c r="A738" s="41">
        <v>42770.0</v>
      </c>
      <c r="B738" s="16" t="s">
        <v>2816</v>
      </c>
      <c r="C738" s="16" t="s">
        <v>250</v>
      </c>
      <c r="D738" s="16" t="s">
        <v>2817</v>
      </c>
      <c r="E738" s="16" t="s">
        <v>290</v>
      </c>
      <c r="F738" s="16">
        <v>30.33347</v>
      </c>
      <c r="G738" s="16">
        <v>-86.18655</v>
      </c>
      <c r="H738" s="13">
        <v>30.33524</v>
      </c>
      <c r="I738" s="13">
        <v>-86.16279</v>
      </c>
      <c r="J738" s="13" t="s">
        <v>2818</v>
      </c>
      <c r="K738" s="13" t="s">
        <v>2819</v>
      </c>
      <c r="L738" s="13">
        <v>0.0</v>
      </c>
      <c r="M738" s="13"/>
      <c r="N738" s="13"/>
      <c r="O738" s="13" t="s">
        <v>2484</v>
      </c>
      <c r="P738" s="14"/>
    </row>
    <row r="739" ht="33.75" customHeight="1">
      <c r="A739" s="41">
        <v>42770.0</v>
      </c>
      <c r="B739" s="16" t="s">
        <v>2816</v>
      </c>
      <c r="C739" s="16" t="s">
        <v>250</v>
      </c>
      <c r="D739" s="16" t="s">
        <v>289</v>
      </c>
      <c r="E739" s="16" t="s">
        <v>290</v>
      </c>
      <c r="F739" s="16">
        <v>30.33347</v>
      </c>
      <c r="G739" s="16">
        <v>-86.18655</v>
      </c>
      <c r="H739" s="13">
        <v>30.32131</v>
      </c>
      <c r="I739" s="13">
        <v>-86.14637</v>
      </c>
      <c r="J739" s="13" t="s">
        <v>2821</v>
      </c>
      <c r="K739" s="13" t="s">
        <v>2819</v>
      </c>
      <c r="L739" s="13">
        <v>1.0</v>
      </c>
      <c r="M739" s="13">
        <v>30.32664</v>
      </c>
      <c r="N739" s="13">
        <v>-86.16388</v>
      </c>
      <c r="O739" s="13" t="s">
        <v>2824</v>
      </c>
      <c r="P739" s="14" t="s">
        <v>2825</v>
      </c>
    </row>
    <row r="740" ht="33.75" customHeight="1">
      <c r="A740" s="41">
        <v>42770.0</v>
      </c>
      <c r="B740" s="16" t="s">
        <v>340</v>
      </c>
      <c r="C740" s="16" t="s">
        <v>250</v>
      </c>
      <c r="D740" s="16" t="s">
        <v>2826</v>
      </c>
      <c r="E740" s="16" t="s">
        <v>290</v>
      </c>
      <c r="F740" s="16">
        <v>30.32131</v>
      </c>
      <c r="G740" s="16">
        <v>-86.14637</v>
      </c>
      <c r="H740" s="13">
        <v>30.30216</v>
      </c>
      <c r="I740" s="13">
        <v>-86.08517</v>
      </c>
      <c r="J740" s="13" t="s">
        <v>2827</v>
      </c>
      <c r="K740" s="13" t="s">
        <v>2828</v>
      </c>
      <c r="L740" s="13">
        <v>1.0</v>
      </c>
      <c r="M740" s="13">
        <v>30.31269</v>
      </c>
      <c r="N740" s="13">
        <v>-86.11871</v>
      </c>
      <c r="O740" s="13" t="s">
        <v>2829</v>
      </c>
      <c r="P740" s="14"/>
    </row>
    <row r="741" ht="33.75" customHeight="1">
      <c r="A741" s="41">
        <v>42770.0</v>
      </c>
      <c r="B741" s="16" t="s">
        <v>340</v>
      </c>
      <c r="C741" s="16" t="s">
        <v>250</v>
      </c>
      <c r="D741" s="16" t="s">
        <v>2830</v>
      </c>
      <c r="E741" s="16" t="s">
        <v>290</v>
      </c>
      <c r="F741" s="16">
        <v>30.29923</v>
      </c>
      <c r="G741" s="16">
        <v>-86.09716</v>
      </c>
      <c r="H741" s="13">
        <v>30.29413</v>
      </c>
      <c r="I741" s="13">
        <v>-86.06292</v>
      </c>
      <c r="J741" s="13" t="s">
        <v>2831</v>
      </c>
      <c r="K741" s="13" t="s">
        <v>948</v>
      </c>
      <c r="L741" s="13">
        <v>0.0</v>
      </c>
      <c r="M741" s="13"/>
      <c r="N741" s="13"/>
      <c r="O741" s="13" t="s">
        <v>2484</v>
      </c>
      <c r="P741" s="47"/>
    </row>
    <row r="742" ht="33.75" customHeight="1">
      <c r="A742" s="41">
        <v>42770.0</v>
      </c>
      <c r="B742" s="16" t="s">
        <v>110</v>
      </c>
      <c r="C742" s="16" t="s">
        <v>328</v>
      </c>
      <c r="D742" s="16" t="s">
        <v>495</v>
      </c>
      <c r="E742" s="16" t="s">
        <v>290</v>
      </c>
      <c r="F742" s="16">
        <v>30.36724</v>
      </c>
      <c r="G742" s="16">
        <v>-85.31965</v>
      </c>
      <c r="H742" s="13">
        <v>30.35509</v>
      </c>
      <c r="I742" s="13">
        <v>-85.26351</v>
      </c>
      <c r="J742" s="13" t="s">
        <v>2832</v>
      </c>
      <c r="K742" s="13" t="s">
        <v>2833</v>
      </c>
      <c r="L742" s="13">
        <v>1.0</v>
      </c>
      <c r="M742" s="13">
        <v>30.36626</v>
      </c>
      <c r="N742" s="13">
        <v>-85.31416</v>
      </c>
      <c r="O742" s="13" t="s">
        <v>2834</v>
      </c>
      <c r="P742" s="14" t="s">
        <v>2835</v>
      </c>
    </row>
    <row r="743" ht="33.75" customHeight="1">
      <c r="A743" s="41">
        <v>42770.0</v>
      </c>
      <c r="B743" s="16" t="s">
        <v>340</v>
      </c>
      <c r="C743" s="16" t="s">
        <v>250</v>
      </c>
      <c r="D743" s="16" t="s">
        <v>342</v>
      </c>
      <c r="E743" s="16" t="s">
        <v>2836</v>
      </c>
      <c r="F743" s="16">
        <v>30.30217</v>
      </c>
      <c r="G743" s="16">
        <v>-86.08577</v>
      </c>
      <c r="H743" s="13">
        <v>30.29923</v>
      </c>
      <c r="I743" s="13">
        <v>-86.07716</v>
      </c>
      <c r="J743" s="13" t="s">
        <v>2837</v>
      </c>
      <c r="K743" s="13" t="s">
        <v>2828</v>
      </c>
      <c r="L743" s="13">
        <v>1.0</v>
      </c>
      <c r="M743" s="13">
        <v>30.3014</v>
      </c>
      <c r="N743" s="13">
        <v>-86.0824</v>
      </c>
      <c r="O743" s="13" t="s">
        <v>2091</v>
      </c>
      <c r="P743" s="14" t="s">
        <v>2825</v>
      </c>
    </row>
    <row r="744" ht="33.75" customHeight="1">
      <c r="A744" s="41">
        <v>42772.0</v>
      </c>
      <c r="B744" s="16" t="s">
        <v>489</v>
      </c>
      <c r="C744" s="16"/>
      <c r="D744" s="16"/>
      <c r="E744" s="16"/>
      <c r="F744" s="16"/>
      <c r="G744" s="16"/>
      <c r="H744" s="13"/>
      <c r="I744" s="13"/>
      <c r="J744" s="13"/>
      <c r="K744" s="13"/>
      <c r="L744" s="13">
        <v>2.0</v>
      </c>
      <c r="M744" s="13">
        <v>26.890276</v>
      </c>
      <c r="N744" s="13">
        <v>-82.339223</v>
      </c>
      <c r="O744" s="13" t="s">
        <v>2838</v>
      </c>
      <c r="P744" s="14"/>
    </row>
    <row r="745" ht="33.75" customHeight="1">
      <c r="A745" s="41">
        <v>42772.0</v>
      </c>
      <c r="B745" s="16" t="s">
        <v>489</v>
      </c>
      <c r="C745" s="16"/>
      <c r="D745" s="16"/>
      <c r="E745" s="16"/>
      <c r="F745" s="16"/>
      <c r="G745" s="16"/>
      <c r="H745" s="13"/>
      <c r="I745" s="13"/>
      <c r="J745" s="13"/>
      <c r="K745" s="13"/>
      <c r="L745" s="13">
        <v>3.0</v>
      </c>
      <c r="M745" s="13">
        <v>26.887901</v>
      </c>
      <c r="N745" s="13">
        <v>-82.337759</v>
      </c>
      <c r="O745" s="13" t="s">
        <v>2839</v>
      </c>
      <c r="P745" s="14"/>
    </row>
    <row r="746" ht="33.75" customHeight="1">
      <c r="A746" s="41">
        <v>42772.0</v>
      </c>
      <c r="B746" s="16" t="s">
        <v>489</v>
      </c>
      <c r="C746" s="16"/>
      <c r="D746" s="16"/>
      <c r="E746" s="16"/>
      <c r="F746" s="16"/>
      <c r="G746" s="16"/>
      <c r="H746" s="13"/>
      <c r="I746" s="13"/>
      <c r="J746" s="13"/>
      <c r="K746" s="13"/>
      <c r="L746" s="13">
        <v>4.0</v>
      </c>
      <c r="M746" s="13">
        <v>26.885001</v>
      </c>
      <c r="N746" s="13">
        <v>-82.334793</v>
      </c>
      <c r="O746" s="13" t="s">
        <v>2840</v>
      </c>
      <c r="P746" s="14"/>
    </row>
    <row r="747" ht="33.75" customHeight="1">
      <c r="A747" s="41">
        <v>42773.0</v>
      </c>
      <c r="B747" s="16" t="s">
        <v>660</v>
      </c>
      <c r="C747" s="16"/>
      <c r="D747" s="16"/>
      <c r="E747" s="16"/>
      <c r="F747" s="16"/>
      <c r="G747" s="16"/>
      <c r="H747" s="13"/>
      <c r="I747" s="13"/>
      <c r="J747" s="13"/>
      <c r="K747" s="13"/>
      <c r="L747" s="13"/>
      <c r="M747" s="13"/>
      <c r="N747" s="13"/>
      <c r="O747" s="13"/>
      <c r="P747" s="14"/>
    </row>
    <row r="748" ht="33.75" customHeight="1">
      <c r="A748" s="41">
        <v>42773.0</v>
      </c>
      <c r="B748" s="16" t="s">
        <v>2415</v>
      </c>
      <c r="C748" s="16" t="s">
        <v>2416</v>
      </c>
      <c r="D748" s="16" t="s">
        <v>2693</v>
      </c>
      <c r="E748" s="16"/>
      <c r="F748" s="16">
        <v>27.612896</v>
      </c>
      <c r="G748" s="16">
        <v>-82.736943</v>
      </c>
      <c r="H748" s="13">
        <v>27.616205</v>
      </c>
      <c r="I748" s="13">
        <v>-82.726257</v>
      </c>
      <c r="J748" s="13" t="s">
        <v>2695</v>
      </c>
      <c r="K748" s="13" t="s">
        <v>2841</v>
      </c>
      <c r="L748" s="13" t="s">
        <v>2842</v>
      </c>
      <c r="M748" s="13"/>
      <c r="N748" s="13"/>
      <c r="O748" s="13" t="s">
        <v>2843</v>
      </c>
      <c r="P748" s="14" t="s">
        <v>2421</v>
      </c>
    </row>
    <row r="749" ht="33.75" customHeight="1">
      <c r="A749" s="41"/>
      <c r="B749" s="16"/>
      <c r="C749" s="16"/>
      <c r="D749" s="16"/>
      <c r="E749" s="16"/>
      <c r="F749" s="16"/>
      <c r="G749" s="16"/>
      <c r="H749" s="13"/>
      <c r="I749" s="13"/>
      <c r="J749" s="13"/>
      <c r="K749" s="13"/>
      <c r="L749" s="13"/>
      <c r="M749" s="13"/>
      <c r="N749" s="13"/>
      <c r="O749" s="13"/>
      <c r="P749" s="47"/>
    </row>
    <row r="750" ht="33.75" customHeight="1">
      <c r="A750" s="41"/>
      <c r="B750" s="16"/>
      <c r="C750" s="16"/>
      <c r="D750" s="16"/>
      <c r="E750" s="16"/>
      <c r="F750" s="16"/>
      <c r="G750" s="16"/>
      <c r="H750" s="13"/>
      <c r="I750" s="13"/>
      <c r="J750" s="13"/>
      <c r="K750" s="13"/>
      <c r="L750" s="13"/>
      <c r="M750" s="13"/>
      <c r="N750" s="13"/>
      <c r="O750" s="13"/>
      <c r="P750" s="47"/>
    </row>
    <row r="751" ht="33.75" customHeight="1">
      <c r="A751" s="41"/>
      <c r="B751" s="16"/>
      <c r="C751" s="16"/>
      <c r="D751" s="16"/>
      <c r="E751" s="16"/>
      <c r="F751" s="16"/>
      <c r="G751" s="16"/>
      <c r="H751" s="13"/>
      <c r="I751" s="13"/>
      <c r="J751" s="13"/>
      <c r="K751" s="13"/>
      <c r="L751" s="13"/>
      <c r="P751" s="14"/>
    </row>
    <row r="752" ht="33.75" customHeight="1">
      <c r="A752" s="41"/>
      <c r="B752" s="16"/>
      <c r="C752" s="16"/>
      <c r="D752" s="16"/>
      <c r="E752" s="16"/>
      <c r="F752" s="16"/>
      <c r="G752" s="16"/>
      <c r="H752" s="13"/>
      <c r="I752" s="13"/>
      <c r="J752" s="13"/>
      <c r="K752" s="13"/>
      <c r="L752" s="13"/>
      <c r="M752" s="13"/>
      <c r="N752" s="13"/>
      <c r="O752" s="13"/>
      <c r="P752" s="14"/>
    </row>
    <row r="753" ht="33.75" customHeight="1">
      <c r="A753" s="41"/>
      <c r="B753" s="16"/>
      <c r="C753" s="16"/>
      <c r="D753" s="16"/>
      <c r="E753" s="16"/>
      <c r="F753" s="16"/>
      <c r="G753" s="16"/>
      <c r="H753" s="16"/>
      <c r="I753" s="16"/>
      <c r="J753" s="13"/>
      <c r="K753" s="13"/>
      <c r="L753" s="13"/>
      <c r="M753" s="13"/>
      <c r="N753" s="13"/>
      <c r="O753" s="13"/>
      <c r="P753" s="47"/>
    </row>
    <row r="754" ht="33.75" customHeight="1">
      <c r="A754" s="11"/>
      <c r="B754" s="13"/>
      <c r="C754" s="13"/>
      <c r="D754" s="13"/>
      <c r="E754" s="13"/>
      <c r="F754" s="13"/>
      <c r="G754" s="13"/>
      <c r="H754" s="13"/>
      <c r="I754" s="14"/>
      <c r="J754" s="13"/>
      <c r="K754" s="13"/>
      <c r="L754" s="13"/>
      <c r="M754" s="13"/>
      <c r="N754" s="13"/>
      <c r="O754" s="13"/>
      <c r="P754" s="14"/>
    </row>
    <row r="755" ht="33.75" customHeight="1">
      <c r="A755" s="41"/>
      <c r="B755" s="41"/>
      <c r="C755" s="41"/>
      <c r="D755" s="41"/>
      <c r="E755" s="41"/>
      <c r="F755" s="41"/>
      <c r="G755" s="41"/>
      <c r="H755" s="41"/>
      <c r="I755" s="41"/>
      <c r="J755" s="41"/>
      <c r="K755" s="41"/>
      <c r="L755" s="41"/>
      <c r="M755" s="41"/>
      <c r="N755" s="41"/>
      <c r="O755" s="41"/>
      <c r="P755" s="41"/>
    </row>
    <row r="756" ht="33.75" customHeight="1">
      <c r="A756" s="41"/>
      <c r="B756" s="41"/>
      <c r="C756" s="41"/>
      <c r="D756" s="41"/>
      <c r="E756" s="41"/>
      <c r="F756" s="41"/>
      <c r="G756" s="41"/>
      <c r="H756" s="41"/>
      <c r="I756" s="41"/>
      <c r="J756" s="41"/>
      <c r="K756" s="41"/>
      <c r="L756" s="41"/>
      <c r="M756" s="41"/>
      <c r="N756" s="41"/>
      <c r="O756" s="41"/>
      <c r="P756" s="41"/>
    </row>
    <row r="757" ht="33.75" customHeight="1">
      <c r="A757" s="41"/>
      <c r="B757" s="16"/>
      <c r="C757" s="16"/>
      <c r="D757" s="16"/>
      <c r="E757" s="16"/>
      <c r="F757" s="16"/>
      <c r="G757" s="16"/>
      <c r="H757" s="13"/>
      <c r="I757" s="13"/>
      <c r="J757" s="13"/>
      <c r="K757" s="13"/>
      <c r="L757" s="13"/>
      <c r="M757" s="13"/>
      <c r="N757" s="13"/>
      <c r="O757" s="13"/>
      <c r="P757" s="47"/>
    </row>
    <row r="758" ht="33.75" customHeight="1">
      <c r="A758" s="41"/>
      <c r="B758" s="16"/>
      <c r="C758" s="16"/>
      <c r="D758" s="16"/>
      <c r="E758" s="16"/>
      <c r="F758" s="16"/>
      <c r="G758" s="16"/>
      <c r="H758" s="13"/>
      <c r="I758" s="13"/>
      <c r="J758" s="13"/>
      <c r="K758" s="13"/>
      <c r="L758" s="13"/>
      <c r="M758" s="13"/>
      <c r="N758" s="13"/>
      <c r="O758" s="13"/>
      <c r="P758" s="14"/>
    </row>
    <row r="759" ht="33.75" customHeight="1">
      <c r="A759" s="41"/>
      <c r="B759" s="16"/>
      <c r="C759" s="16"/>
      <c r="D759" s="16"/>
      <c r="E759" s="16"/>
      <c r="F759" s="16"/>
      <c r="G759" s="16"/>
      <c r="H759" s="13"/>
      <c r="I759" s="13"/>
      <c r="J759" s="13"/>
      <c r="K759" s="13"/>
      <c r="L759" s="13"/>
      <c r="M759" s="13"/>
      <c r="N759" s="13"/>
      <c r="O759" s="13"/>
      <c r="P759" s="14"/>
    </row>
    <row r="760" ht="33.75" customHeight="1">
      <c r="A760" s="41"/>
      <c r="B760" s="16"/>
      <c r="C760" s="16"/>
      <c r="D760" s="16"/>
      <c r="E760" s="16"/>
      <c r="F760" s="16"/>
      <c r="G760" s="16"/>
      <c r="H760" s="13"/>
      <c r="I760" s="13"/>
      <c r="J760" s="13"/>
      <c r="K760" s="13"/>
      <c r="L760" s="13"/>
      <c r="M760" s="13"/>
      <c r="N760" s="13"/>
      <c r="O760" s="13"/>
      <c r="P760" s="47"/>
    </row>
    <row r="761" ht="33.75" customHeight="1">
      <c r="A761" s="41"/>
      <c r="B761" s="16"/>
      <c r="C761" s="16"/>
      <c r="D761" s="16"/>
      <c r="E761" s="16"/>
      <c r="F761" s="16"/>
      <c r="G761" s="16"/>
      <c r="H761" s="13"/>
      <c r="I761" s="13"/>
      <c r="J761" s="13"/>
      <c r="K761" s="13"/>
      <c r="L761" s="13">
        <v>2.0</v>
      </c>
      <c r="M761" s="13">
        <v>26.81352</v>
      </c>
      <c r="N761" s="13">
        <v>-82.27456</v>
      </c>
      <c r="O761" s="13" t="s">
        <v>2844</v>
      </c>
      <c r="P761" s="14"/>
    </row>
    <row r="762" ht="33.75" customHeight="1">
      <c r="P762" s="47"/>
    </row>
    <row r="763" ht="33.75" customHeight="1">
      <c r="A763" s="50"/>
      <c r="B763" s="80"/>
      <c r="C763" s="80"/>
      <c r="D763" s="80"/>
      <c r="E763" s="80"/>
      <c r="F763" s="80"/>
      <c r="G763" s="80"/>
      <c r="P763" s="47"/>
    </row>
    <row r="764" ht="33.75" customHeight="1">
      <c r="A764" s="49"/>
      <c r="B764" s="16"/>
      <c r="C764" s="16"/>
      <c r="D764" s="16"/>
      <c r="E764" s="16"/>
      <c r="F764" s="16"/>
      <c r="G764" s="16"/>
      <c r="H764" s="13"/>
      <c r="I764" s="13"/>
      <c r="J764" s="13"/>
      <c r="K764" s="13"/>
      <c r="L764" s="13"/>
      <c r="M764" s="13"/>
      <c r="N764" s="13"/>
      <c r="O764" s="13"/>
      <c r="P764" s="14"/>
    </row>
    <row r="765" ht="33.75" customHeight="1">
      <c r="A765" s="49"/>
      <c r="B765" s="16"/>
      <c r="C765" s="16"/>
      <c r="D765" s="16"/>
      <c r="E765" s="16"/>
      <c r="F765" s="16"/>
      <c r="G765" s="16"/>
      <c r="H765" s="13"/>
      <c r="I765" s="13"/>
      <c r="J765" s="13"/>
      <c r="K765" s="13"/>
      <c r="L765" s="13"/>
      <c r="P765" s="47"/>
    </row>
    <row r="766" ht="33.75" customHeight="1">
      <c r="A766" s="80"/>
      <c r="B766" s="80"/>
      <c r="C766" s="80"/>
      <c r="D766" s="80"/>
      <c r="E766" s="80"/>
      <c r="F766" s="80"/>
      <c r="G766" s="80"/>
      <c r="P766" s="47"/>
    </row>
    <row r="767" ht="33.75" customHeight="1">
      <c r="A767" s="80"/>
      <c r="B767" s="80"/>
      <c r="C767" s="80"/>
      <c r="D767" s="80"/>
      <c r="E767" s="80"/>
      <c r="F767" s="80"/>
      <c r="G767" s="80"/>
      <c r="P767" s="47"/>
    </row>
    <row r="768" ht="33.75" customHeight="1">
      <c r="A768" s="80"/>
      <c r="B768" s="80"/>
      <c r="C768" s="80"/>
      <c r="D768" s="80"/>
      <c r="E768" s="80"/>
      <c r="F768" s="80"/>
      <c r="G768" s="80"/>
      <c r="P768" s="47"/>
    </row>
    <row r="769" ht="33.75" customHeight="1">
      <c r="A769" s="80"/>
      <c r="B769" s="80"/>
      <c r="C769" s="80"/>
      <c r="D769" s="80"/>
      <c r="E769" s="80"/>
      <c r="F769" s="80"/>
      <c r="G769" s="80"/>
      <c r="P769" s="47"/>
    </row>
    <row r="770" ht="33.75" customHeight="1">
      <c r="A770" s="80"/>
      <c r="B770" s="80"/>
      <c r="C770" s="80"/>
      <c r="D770" s="80"/>
      <c r="E770" s="80"/>
      <c r="F770" s="80"/>
      <c r="G770" s="80"/>
      <c r="P770" s="47"/>
    </row>
    <row r="771" ht="33.75" customHeight="1">
      <c r="A771" s="80"/>
      <c r="B771" s="80"/>
      <c r="C771" s="80"/>
      <c r="D771" s="80"/>
      <c r="E771" s="80"/>
      <c r="F771" s="80"/>
      <c r="G771" s="80"/>
      <c r="P771" s="47"/>
    </row>
    <row r="772" ht="33.75" customHeight="1">
      <c r="A772" s="80"/>
      <c r="B772" s="80"/>
      <c r="C772" s="80"/>
      <c r="D772" s="80"/>
      <c r="E772" s="80"/>
      <c r="F772" s="80"/>
      <c r="G772" s="80"/>
      <c r="P772" s="47"/>
    </row>
    <row r="773" ht="33.75" customHeight="1">
      <c r="A773" s="80"/>
      <c r="B773" s="80"/>
      <c r="C773" s="80"/>
      <c r="D773" s="80"/>
      <c r="E773" s="80"/>
      <c r="F773" s="80"/>
      <c r="G773" s="80"/>
      <c r="P773" s="47"/>
    </row>
    <row r="774" ht="33.75" customHeight="1">
      <c r="A774" s="80"/>
      <c r="B774" s="80"/>
      <c r="C774" s="80"/>
      <c r="D774" s="80"/>
      <c r="E774" s="80"/>
      <c r="F774" s="80"/>
      <c r="G774" s="80"/>
      <c r="P774" s="47"/>
    </row>
    <row r="775" ht="33.75" customHeight="1">
      <c r="A775" s="80"/>
      <c r="B775" s="80"/>
      <c r="C775" s="80"/>
      <c r="D775" s="80"/>
      <c r="E775" s="80"/>
      <c r="F775" s="80"/>
      <c r="G775" s="80"/>
      <c r="P775" s="47"/>
    </row>
    <row r="776" ht="33.75" customHeight="1">
      <c r="A776" s="80"/>
      <c r="B776" s="80"/>
      <c r="C776" s="80"/>
      <c r="D776" s="80"/>
      <c r="E776" s="80"/>
      <c r="F776" s="80"/>
      <c r="G776" s="80"/>
      <c r="P776" s="47"/>
    </row>
    <row r="777" ht="33.75" customHeight="1">
      <c r="A777" s="80"/>
      <c r="B777" s="80"/>
      <c r="C777" s="80"/>
      <c r="D777" s="80"/>
      <c r="E777" s="80"/>
      <c r="F777" s="80"/>
      <c r="G777" s="80"/>
      <c r="P777" s="47"/>
    </row>
    <row r="778" ht="33.75" customHeight="1">
      <c r="A778" s="80"/>
      <c r="B778" s="80"/>
      <c r="C778" s="80"/>
      <c r="D778" s="80"/>
      <c r="E778" s="80"/>
      <c r="F778" s="80"/>
      <c r="G778" s="80"/>
      <c r="P778" s="47"/>
    </row>
    <row r="779" ht="33.75" customHeight="1">
      <c r="A779" s="80"/>
      <c r="B779" s="80"/>
      <c r="C779" s="80"/>
      <c r="D779" s="80"/>
      <c r="E779" s="80"/>
      <c r="F779" s="80"/>
      <c r="G779" s="80"/>
      <c r="P779" s="47"/>
    </row>
    <row r="780" ht="33.75" customHeight="1">
      <c r="A780" s="80"/>
      <c r="B780" s="80"/>
      <c r="C780" s="80"/>
      <c r="D780" s="80"/>
      <c r="E780" s="80"/>
      <c r="F780" s="80"/>
      <c r="G780" s="80"/>
      <c r="P780" s="47"/>
    </row>
    <row r="781" ht="33.75" customHeight="1">
      <c r="A781" s="80"/>
      <c r="B781" s="80"/>
      <c r="C781" s="80"/>
      <c r="D781" s="80"/>
      <c r="E781" s="80"/>
      <c r="F781" s="80"/>
      <c r="G781" s="80"/>
      <c r="P781" s="47"/>
    </row>
    <row r="782" ht="33.75" customHeight="1">
      <c r="A782" s="80"/>
      <c r="B782" s="80"/>
      <c r="C782" s="80"/>
      <c r="D782" s="80"/>
      <c r="E782" s="80"/>
      <c r="F782" s="80"/>
      <c r="G782" s="80"/>
      <c r="P782" s="47"/>
    </row>
    <row r="783" ht="33.75" customHeight="1">
      <c r="A783" s="80"/>
      <c r="B783" s="80"/>
      <c r="C783" s="80"/>
      <c r="D783" s="80"/>
      <c r="E783" s="80"/>
      <c r="F783" s="80"/>
      <c r="G783" s="80"/>
      <c r="P783" s="47"/>
    </row>
    <row r="784" ht="33.75" customHeight="1">
      <c r="A784" s="80"/>
      <c r="B784" s="80"/>
      <c r="C784" s="80"/>
      <c r="D784" s="80"/>
      <c r="E784" s="80"/>
      <c r="F784" s="80"/>
      <c r="G784" s="80"/>
      <c r="P784" s="47"/>
    </row>
    <row r="785" ht="33.75" customHeight="1">
      <c r="A785" s="80"/>
      <c r="B785" s="80"/>
      <c r="C785" s="80"/>
      <c r="D785" s="80"/>
      <c r="E785" s="80"/>
      <c r="F785" s="80"/>
      <c r="G785" s="80"/>
      <c r="P785" s="47"/>
    </row>
    <row r="786" ht="33.75" customHeight="1">
      <c r="A786" s="80"/>
      <c r="B786" s="80"/>
      <c r="C786" s="80"/>
      <c r="D786" s="80"/>
      <c r="E786" s="80"/>
      <c r="F786" s="80"/>
      <c r="G786" s="80"/>
      <c r="P786" s="47"/>
    </row>
    <row r="787" ht="33.75" customHeight="1">
      <c r="A787" s="80"/>
      <c r="B787" s="80"/>
      <c r="C787" s="80"/>
      <c r="D787" s="80"/>
      <c r="E787" s="80"/>
      <c r="F787" s="80"/>
      <c r="G787" s="80"/>
      <c r="P787" s="47"/>
    </row>
    <row r="788" ht="33.75" customHeight="1">
      <c r="A788" s="80"/>
      <c r="B788" s="80"/>
      <c r="C788" s="80"/>
      <c r="D788" s="80"/>
      <c r="E788" s="80"/>
      <c r="F788" s="80"/>
      <c r="G788" s="80"/>
      <c r="P788" s="47"/>
    </row>
    <row r="789" ht="33.75" customHeight="1">
      <c r="A789" s="80"/>
      <c r="B789" s="80"/>
      <c r="C789" s="80"/>
      <c r="D789" s="80"/>
      <c r="E789" s="80"/>
      <c r="F789" s="80"/>
      <c r="G789" s="80"/>
      <c r="P789" s="47"/>
    </row>
    <row r="790" ht="33.75" customHeight="1">
      <c r="A790" s="80"/>
      <c r="B790" s="80"/>
      <c r="C790" s="80"/>
      <c r="D790" s="80"/>
      <c r="E790" s="80"/>
      <c r="F790" s="80"/>
      <c r="G790" s="80"/>
      <c r="P790" s="47"/>
    </row>
    <row r="791" ht="33.75" customHeight="1">
      <c r="A791" s="80"/>
      <c r="B791" s="80"/>
      <c r="C791" s="80"/>
      <c r="D791" s="80"/>
      <c r="E791" s="80"/>
      <c r="F791" s="80"/>
      <c r="G791" s="80"/>
      <c r="P791" s="47"/>
    </row>
    <row r="792" ht="33.75" customHeight="1">
      <c r="A792" s="80"/>
      <c r="B792" s="80"/>
      <c r="C792" s="80"/>
      <c r="D792" s="80"/>
      <c r="E792" s="80"/>
      <c r="F792" s="80"/>
      <c r="G792" s="80"/>
      <c r="P792" s="47"/>
    </row>
    <row r="793" ht="33.75" customHeight="1">
      <c r="A793" s="80"/>
      <c r="B793" s="80"/>
      <c r="C793" s="80"/>
      <c r="D793" s="80"/>
      <c r="E793" s="80"/>
      <c r="F793" s="80"/>
      <c r="G793" s="80"/>
      <c r="P793" s="47"/>
    </row>
    <row r="794" ht="33.75" customHeight="1">
      <c r="A794" s="80"/>
      <c r="B794" s="80"/>
      <c r="C794" s="80"/>
      <c r="D794" s="80"/>
      <c r="E794" s="80"/>
      <c r="F794" s="80"/>
      <c r="G794" s="80"/>
      <c r="P794" s="47"/>
    </row>
    <row r="795" ht="33.75" customHeight="1">
      <c r="A795" s="80"/>
      <c r="B795" s="80"/>
      <c r="C795" s="80"/>
      <c r="D795" s="80"/>
      <c r="E795" s="80"/>
      <c r="F795" s="80"/>
      <c r="G795" s="80"/>
      <c r="P795" s="47"/>
    </row>
    <row r="796" ht="33.75" customHeight="1">
      <c r="A796" s="80"/>
      <c r="B796" s="80"/>
      <c r="C796" s="80"/>
      <c r="D796" s="80"/>
      <c r="E796" s="80"/>
      <c r="F796" s="80"/>
      <c r="G796" s="80"/>
      <c r="P796" s="47"/>
    </row>
    <row r="797" ht="33.75" customHeight="1">
      <c r="A797" s="80"/>
      <c r="B797" s="80"/>
      <c r="C797" s="80"/>
      <c r="D797" s="80"/>
      <c r="E797" s="80"/>
      <c r="F797" s="80"/>
      <c r="G797" s="80"/>
      <c r="P797" s="47"/>
    </row>
    <row r="798" ht="33.75" customHeight="1">
      <c r="A798" s="80"/>
      <c r="B798" s="80"/>
      <c r="C798" s="80"/>
      <c r="D798" s="80"/>
      <c r="E798" s="80"/>
      <c r="F798" s="80"/>
      <c r="G798" s="80"/>
      <c r="P798" s="47"/>
    </row>
    <row r="799" ht="33.75" customHeight="1">
      <c r="A799" s="80"/>
      <c r="B799" s="80"/>
      <c r="C799" s="80"/>
      <c r="D799" s="80"/>
      <c r="E799" s="80"/>
      <c r="F799" s="80"/>
      <c r="G799" s="80"/>
      <c r="P799" s="47"/>
    </row>
    <row r="800" ht="33.75" customHeight="1">
      <c r="A800" s="80"/>
      <c r="B800" s="80"/>
      <c r="C800" s="80"/>
      <c r="D800" s="80"/>
      <c r="E800" s="80"/>
      <c r="F800" s="80"/>
      <c r="G800" s="80"/>
      <c r="P800" s="47"/>
    </row>
    <row r="801" ht="33.75" customHeight="1">
      <c r="A801" s="80"/>
      <c r="B801" s="80"/>
      <c r="C801" s="80"/>
      <c r="D801" s="80"/>
      <c r="E801" s="80"/>
      <c r="F801" s="80"/>
      <c r="G801" s="80"/>
      <c r="P801" s="47"/>
    </row>
    <row r="802" ht="33.75" customHeight="1">
      <c r="A802" s="80"/>
      <c r="B802" s="80"/>
      <c r="C802" s="80"/>
      <c r="D802" s="80"/>
      <c r="E802" s="80"/>
      <c r="F802" s="80"/>
      <c r="G802" s="80"/>
      <c r="P802" s="47"/>
    </row>
    <row r="803" ht="33.75" customHeight="1">
      <c r="A803" s="80"/>
      <c r="B803" s="80"/>
      <c r="C803" s="80"/>
      <c r="D803" s="80"/>
      <c r="E803" s="80"/>
      <c r="F803" s="80"/>
      <c r="G803" s="80"/>
      <c r="P803" s="47"/>
    </row>
    <row r="804" ht="33.75" customHeight="1">
      <c r="A804" s="80"/>
      <c r="B804" s="80"/>
      <c r="C804" s="80"/>
      <c r="D804" s="80"/>
      <c r="E804" s="80"/>
      <c r="F804" s="80"/>
      <c r="G804" s="80"/>
      <c r="P804" s="47"/>
    </row>
    <row r="805" ht="33.75" customHeight="1">
      <c r="A805" s="80"/>
      <c r="B805" s="80"/>
      <c r="C805" s="80"/>
      <c r="D805" s="80"/>
      <c r="E805" s="80"/>
      <c r="F805" s="80"/>
      <c r="G805" s="80"/>
      <c r="P805" s="47"/>
    </row>
    <row r="806" ht="33.75" customHeight="1">
      <c r="A806" s="80"/>
      <c r="B806" s="80"/>
      <c r="C806" s="80"/>
      <c r="D806" s="80"/>
      <c r="E806" s="80"/>
      <c r="F806" s="80"/>
      <c r="G806" s="80"/>
      <c r="P806" s="47"/>
    </row>
    <row r="807" ht="33.75" customHeight="1">
      <c r="A807" s="80"/>
      <c r="B807" s="80"/>
      <c r="C807" s="80"/>
      <c r="D807" s="80"/>
      <c r="E807" s="80"/>
      <c r="F807" s="80"/>
      <c r="G807" s="80"/>
      <c r="P807" s="47"/>
    </row>
    <row r="808" ht="33.75" customHeight="1">
      <c r="A808" s="80"/>
      <c r="B808" s="80"/>
      <c r="C808" s="80"/>
      <c r="D808" s="80"/>
      <c r="E808" s="80"/>
      <c r="F808" s="80"/>
      <c r="G808" s="80"/>
      <c r="P808" s="47"/>
    </row>
    <row r="809" ht="33.75" customHeight="1">
      <c r="A809" s="80"/>
      <c r="B809" s="80"/>
      <c r="C809" s="80"/>
      <c r="D809" s="80"/>
      <c r="E809" s="80"/>
      <c r="F809" s="80"/>
      <c r="G809" s="80"/>
      <c r="P809" s="47"/>
    </row>
    <row r="810" ht="33.75" customHeight="1">
      <c r="A810" s="80"/>
      <c r="B810" s="80"/>
      <c r="C810" s="80"/>
      <c r="D810" s="80"/>
      <c r="E810" s="80"/>
      <c r="F810" s="80"/>
      <c r="G810" s="80"/>
      <c r="P810" s="47"/>
    </row>
    <row r="811" ht="33.75" customHeight="1">
      <c r="A811" s="80"/>
      <c r="B811" s="80"/>
      <c r="C811" s="80"/>
      <c r="D811" s="80"/>
      <c r="E811" s="80"/>
      <c r="F811" s="80"/>
      <c r="G811" s="80"/>
      <c r="P811" s="47"/>
    </row>
    <row r="812" ht="33.75" customHeight="1">
      <c r="A812" s="80"/>
      <c r="B812" s="80"/>
      <c r="C812" s="80"/>
      <c r="D812" s="80"/>
      <c r="E812" s="80"/>
      <c r="F812" s="80"/>
      <c r="G812" s="80"/>
      <c r="P812" s="47"/>
    </row>
    <row r="813" ht="33.75" customHeight="1">
      <c r="A813" s="80"/>
      <c r="B813" s="80"/>
      <c r="C813" s="80"/>
      <c r="D813" s="80"/>
      <c r="E813" s="80"/>
      <c r="F813" s="80"/>
      <c r="G813" s="80"/>
      <c r="P813" s="47"/>
    </row>
    <row r="814" ht="33.75" customHeight="1">
      <c r="A814" s="80"/>
      <c r="B814" s="80"/>
      <c r="C814" s="80"/>
      <c r="D814" s="80"/>
      <c r="E814" s="80"/>
      <c r="F814" s="80"/>
      <c r="G814" s="80"/>
      <c r="P814" s="47"/>
    </row>
    <row r="815" ht="33.75" customHeight="1">
      <c r="A815" s="80"/>
      <c r="B815" s="80"/>
      <c r="C815" s="80"/>
      <c r="D815" s="80"/>
      <c r="E815" s="80"/>
      <c r="F815" s="80"/>
      <c r="G815" s="80"/>
      <c r="P815" s="47"/>
    </row>
    <row r="816" ht="33.75" customHeight="1">
      <c r="A816" s="80"/>
      <c r="B816" s="80"/>
      <c r="C816" s="80"/>
      <c r="D816" s="80"/>
      <c r="E816" s="80"/>
      <c r="F816" s="80"/>
      <c r="G816" s="80"/>
      <c r="P816" s="47"/>
    </row>
    <row r="817" ht="33.75" customHeight="1">
      <c r="A817" s="80"/>
      <c r="B817" s="80"/>
      <c r="C817" s="80"/>
      <c r="D817" s="80"/>
      <c r="E817" s="80"/>
      <c r="F817" s="80"/>
      <c r="G817" s="80"/>
      <c r="P817" s="47"/>
    </row>
    <row r="818" ht="33.75" customHeight="1">
      <c r="A818" s="80"/>
      <c r="B818" s="80"/>
      <c r="C818" s="80"/>
      <c r="D818" s="80"/>
      <c r="E818" s="80"/>
      <c r="F818" s="80"/>
      <c r="G818" s="80"/>
      <c r="P818" s="47"/>
    </row>
    <row r="819" ht="33.75" customHeight="1">
      <c r="A819" s="80"/>
      <c r="B819" s="80"/>
      <c r="C819" s="80"/>
      <c r="D819" s="80"/>
      <c r="E819" s="80"/>
      <c r="F819" s="80"/>
      <c r="G819" s="80"/>
      <c r="P819" s="47"/>
    </row>
    <row r="820" ht="33.75" customHeight="1">
      <c r="A820" s="80"/>
      <c r="B820" s="80"/>
      <c r="C820" s="80"/>
      <c r="D820" s="80"/>
      <c r="E820" s="80"/>
      <c r="F820" s="80"/>
      <c r="G820" s="80"/>
      <c r="P820" s="47"/>
    </row>
    <row r="821" ht="33.75" customHeight="1">
      <c r="A821" s="80"/>
      <c r="B821" s="80"/>
      <c r="C821" s="80"/>
      <c r="D821" s="80"/>
      <c r="E821" s="80"/>
      <c r="F821" s="80"/>
      <c r="G821" s="80"/>
      <c r="P821" s="47"/>
    </row>
    <row r="822" ht="33.75" customHeight="1">
      <c r="A822" s="80"/>
      <c r="B822" s="80"/>
      <c r="C822" s="80"/>
      <c r="D822" s="80"/>
      <c r="E822" s="80"/>
      <c r="F822" s="80"/>
      <c r="G822" s="80"/>
      <c r="P822" s="47"/>
    </row>
    <row r="823" ht="33.75" customHeight="1">
      <c r="A823" s="80"/>
      <c r="B823" s="80"/>
      <c r="C823" s="80"/>
      <c r="D823" s="80"/>
      <c r="E823" s="80"/>
      <c r="F823" s="80"/>
      <c r="G823" s="80"/>
      <c r="P823" s="47"/>
    </row>
    <row r="824" ht="33.75" customHeight="1">
      <c r="A824" s="80"/>
      <c r="B824" s="80"/>
      <c r="C824" s="80"/>
      <c r="D824" s="80"/>
      <c r="E824" s="80"/>
      <c r="F824" s="80"/>
      <c r="G824" s="80"/>
      <c r="P824" s="47"/>
    </row>
    <row r="825" ht="33.75" customHeight="1">
      <c r="A825" s="80"/>
      <c r="B825" s="80"/>
      <c r="C825" s="80"/>
      <c r="D825" s="80"/>
      <c r="E825" s="80"/>
      <c r="F825" s="80"/>
      <c r="G825" s="80"/>
      <c r="P825" s="47"/>
    </row>
    <row r="826" ht="33.75" customHeight="1">
      <c r="A826" s="80"/>
      <c r="B826" s="80"/>
      <c r="C826" s="80"/>
      <c r="D826" s="80"/>
      <c r="E826" s="80"/>
      <c r="F826" s="80"/>
      <c r="G826" s="80"/>
      <c r="P826" s="47"/>
    </row>
    <row r="827" ht="33.75" customHeight="1">
      <c r="A827" s="80"/>
      <c r="B827" s="80"/>
      <c r="C827" s="80"/>
      <c r="D827" s="80"/>
      <c r="E827" s="80"/>
      <c r="F827" s="80"/>
      <c r="G827" s="80"/>
      <c r="P827" s="47"/>
    </row>
    <row r="828" ht="33.75" customHeight="1">
      <c r="A828" s="80"/>
      <c r="B828" s="80"/>
      <c r="C828" s="80"/>
      <c r="D828" s="80"/>
      <c r="E828" s="80"/>
      <c r="F828" s="80"/>
      <c r="G828" s="80"/>
      <c r="P828" s="47"/>
    </row>
    <row r="829" ht="33.75" customHeight="1">
      <c r="A829" s="80"/>
      <c r="B829" s="80"/>
      <c r="C829" s="80"/>
      <c r="D829" s="80"/>
      <c r="E829" s="80"/>
      <c r="F829" s="80"/>
      <c r="G829" s="80"/>
      <c r="P829" s="47"/>
    </row>
    <row r="830" ht="33.75" customHeight="1">
      <c r="A830" s="80"/>
      <c r="B830" s="80"/>
      <c r="C830" s="80"/>
      <c r="D830" s="80"/>
      <c r="E830" s="80"/>
      <c r="F830" s="80"/>
      <c r="G830" s="80"/>
      <c r="P830" s="47"/>
    </row>
    <row r="831" ht="33.75" customHeight="1">
      <c r="A831" s="80"/>
      <c r="B831" s="80"/>
      <c r="C831" s="80"/>
      <c r="D831" s="80"/>
      <c r="E831" s="80"/>
      <c r="F831" s="80"/>
      <c r="G831" s="80"/>
      <c r="P831" s="47"/>
    </row>
    <row r="832" ht="33.75" customHeight="1">
      <c r="A832" s="80"/>
      <c r="B832" s="80"/>
      <c r="C832" s="80"/>
      <c r="D832" s="80"/>
      <c r="E832" s="80"/>
      <c r="F832" s="80"/>
      <c r="G832" s="80"/>
      <c r="P832" s="47"/>
    </row>
    <row r="833" ht="33.75" customHeight="1">
      <c r="A833" s="80"/>
      <c r="B833" s="80"/>
      <c r="C833" s="80"/>
      <c r="D833" s="80"/>
      <c r="E833" s="80"/>
      <c r="F833" s="80"/>
      <c r="G833" s="80"/>
      <c r="P833" s="47"/>
    </row>
    <row r="834" ht="33.75" customHeight="1">
      <c r="A834" s="80"/>
      <c r="B834" s="80"/>
      <c r="C834" s="80"/>
      <c r="D834" s="80"/>
      <c r="E834" s="80"/>
      <c r="F834" s="80"/>
      <c r="G834" s="80"/>
      <c r="P834" s="47"/>
    </row>
    <row r="835" ht="33.75" customHeight="1">
      <c r="A835" s="80"/>
      <c r="B835" s="80"/>
      <c r="C835" s="80"/>
      <c r="D835" s="80"/>
      <c r="E835" s="80"/>
      <c r="F835" s="80"/>
      <c r="G835" s="80"/>
      <c r="P835" s="47"/>
    </row>
    <row r="836" ht="33.75" customHeight="1">
      <c r="A836" s="80"/>
      <c r="B836" s="80"/>
      <c r="C836" s="80"/>
      <c r="D836" s="80"/>
      <c r="E836" s="80"/>
      <c r="F836" s="80"/>
      <c r="G836" s="80"/>
      <c r="P836" s="47"/>
    </row>
    <row r="837" ht="33.75" customHeight="1">
      <c r="A837" s="80"/>
      <c r="B837" s="80"/>
      <c r="C837" s="80"/>
      <c r="D837" s="80"/>
      <c r="E837" s="80"/>
      <c r="F837" s="80"/>
      <c r="G837" s="80"/>
      <c r="P837" s="47"/>
    </row>
    <row r="838" ht="33.75" customHeight="1">
      <c r="A838" s="80"/>
      <c r="B838" s="80"/>
      <c r="C838" s="80"/>
      <c r="D838" s="80"/>
      <c r="E838" s="80"/>
      <c r="F838" s="80"/>
      <c r="G838" s="80"/>
      <c r="P838" s="47"/>
    </row>
    <row r="839" ht="33.75" customHeight="1">
      <c r="A839" s="80"/>
      <c r="B839" s="80"/>
      <c r="C839" s="80"/>
      <c r="D839" s="80"/>
      <c r="E839" s="80"/>
      <c r="F839" s="80"/>
      <c r="G839" s="80"/>
      <c r="P839" s="47"/>
    </row>
    <row r="840" ht="33.75" customHeight="1">
      <c r="A840" s="80"/>
      <c r="B840" s="80"/>
      <c r="C840" s="80"/>
      <c r="D840" s="80"/>
      <c r="E840" s="80"/>
      <c r="F840" s="80"/>
      <c r="G840" s="80"/>
      <c r="P840" s="47"/>
    </row>
    <row r="841" ht="33.75" customHeight="1">
      <c r="A841" s="80"/>
      <c r="B841" s="80"/>
      <c r="C841" s="80"/>
      <c r="D841" s="80"/>
      <c r="E841" s="80"/>
      <c r="F841" s="80"/>
      <c r="G841" s="80"/>
      <c r="P841" s="47"/>
    </row>
    <row r="842" ht="33.75" customHeight="1">
      <c r="A842" s="80"/>
      <c r="B842" s="80"/>
      <c r="C842" s="80"/>
      <c r="D842" s="80"/>
      <c r="E842" s="80"/>
      <c r="F842" s="80"/>
      <c r="G842" s="80"/>
      <c r="P842" s="47"/>
    </row>
    <row r="843" ht="33.75" customHeight="1">
      <c r="A843" s="80"/>
      <c r="B843" s="80"/>
      <c r="C843" s="80"/>
      <c r="D843" s="80"/>
      <c r="E843" s="80"/>
      <c r="F843" s="80"/>
      <c r="G843" s="80"/>
      <c r="P843" s="47"/>
    </row>
    <row r="844" ht="33.75" customHeight="1">
      <c r="A844" s="80"/>
      <c r="B844" s="80"/>
      <c r="C844" s="80"/>
      <c r="D844" s="80"/>
      <c r="E844" s="80"/>
      <c r="F844" s="80"/>
      <c r="G844" s="80"/>
      <c r="P844" s="47"/>
    </row>
    <row r="845" ht="33.75" customHeight="1">
      <c r="A845" s="80"/>
      <c r="B845" s="80"/>
      <c r="C845" s="80"/>
      <c r="D845" s="80"/>
      <c r="E845" s="80"/>
      <c r="F845" s="80"/>
      <c r="G845" s="80"/>
      <c r="P845" s="47"/>
    </row>
    <row r="846" ht="33.75" customHeight="1">
      <c r="A846" s="80"/>
      <c r="B846" s="80"/>
      <c r="C846" s="80"/>
      <c r="D846" s="80"/>
      <c r="E846" s="80"/>
      <c r="F846" s="80"/>
      <c r="G846" s="80"/>
      <c r="P846" s="47"/>
    </row>
    <row r="847" ht="33.75" customHeight="1">
      <c r="A847" s="80"/>
      <c r="B847" s="80"/>
      <c r="C847" s="80"/>
      <c r="D847" s="80"/>
      <c r="E847" s="80"/>
      <c r="F847" s="80"/>
      <c r="G847" s="80"/>
      <c r="P847" s="47"/>
    </row>
    <row r="848" ht="33.75" customHeight="1">
      <c r="A848" s="80"/>
      <c r="B848" s="80"/>
      <c r="C848" s="80"/>
      <c r="D848" s="80"/>
      <c r="E848" s="80"/>
      <c r="F848" s="80"/>
      <c r="G848" s="80"/>
      <c r="P848" s="47"/>
    </row>
    <row r="849" ht="33.75" customHeight="1">
      <c r="A849" s="80"/>
      <c r="B849" s="80"/>
      <c r="C849" s="80"/>
      <c r="D849" s="80"/>
      <c r="E849" s="80"/>
      <c r="F849" s="80"/>
      <c r="G849" s="80"/>
      <c r="P849" s="47"/>
    </row>
    <row r="850" ht="33.75" customHeight="1">
      <c r="A850" s="80"/>
      <c r="B850" s="80"/>
      <c r="C850" s="80"/>
      <c r="D850" s="80"/>
      <c r="E850" s="80"/>
      <c r="F850" s="80"/>
      <c r="G850" s="80"/>
      <c r="P850" s="47"/>
    </row>
    <row r="851" ht="33.75" customHeight="1">
      <c r="A851" s="80"/>
      <c r="B851" s="80"/>
      <c r="C851" s="80"/>
      <c r="D851" s="80"/>
      <c r="E851" s="80"/>
      <c r="F851" s="80"/>
      <c r="G851" s="80"/>
      <c r="P851" s="47"/>
    </row>
    <row r="852" ht="33.75" customHeight="1">
      <c r="A852" s="80"/>
      <c r="B852" s="80"/>
      <c r="C852" s="80"/>
      <c r="D852" s="80"/>
      <c r="E852" s="80"/>
      <c r="F852" s="80"/>
      <c r="G852" s="80"/>
      <c r="P852" s="47"/>
    </row>
    <row r="853" ht="33.75" customHeight="1">
      <c r="A853" s="80"/>
      <c r="B853" s="80"/>
      <c r="C853" s="80"/>
      <c r="D853" s="80"/>
      <c r="E853" s="80"/>
      <c r="F853" s="80"/>
      <c r="G853" s="80"/>
      <c r="P853" s="47"/>
    </row>
    <row r="854" ht="33.75" customHeight="1">
      <c r="A854" s="80"/>
      <c r="B854" s="80"/>
      <c r="C854" s="80"/>
      <c r="D854" s="80"/>
      <c r="E854" s="80"/>
      <c r="F854" s="80"/>
      <c r="G854" s="80"/>
      <c r="P854" s="47"/>
    </row>
    <row r="855" ht="33.75" customHeight="1">
      <c r="A855" s="80"/>
      <c r="B855" s="80"/>
      <c r="C855" s="80"/>
      <c r="D855" s="80"/>
      <c r="E855" s="80"/>
      <c r="F855" s="80"/>
      <c r="G855" s="80"/>
      <c r="P855" s="47"/>
    </row>
    <row r="856" ht="33.75" customHeight="1">
      <c r="A856" s="80"/>
      <c r="B856" s="80"/>
      <c r="C856" s="80"/>
      <c r="D856" s="80"/>
      <c r="E856" s="80"/>
      <c r="F856" s="80"/>
      <c r="G856" s="80"/>
      <c r="P856" s="47"/>
    </row>
    <row r="857" ht="33.75" customHeight="1">
      <c r="A857" s="80"/>
      <c r="B857" s="80"/>
      <c r="C857" s="80"/>
      <c r="D857" s="80"/>
      <c r="E857" s="80"/>
      <c r="F857" s="80"/>
      <c r="G857" s="80"/>
      <c r="P857" s="47"/>
    </row>
    <row r="858" ht="33.75" customHeight="1">
      <c r="A858" s="80"/>
      <c r="B858" s="80"/>
      <c r="C858" s="80"/>
      <c r="D858" s="80"/>
      <c r="E858" s="80"/>
      <c r="F858" s="80"/>
      <c r="G858" s="80"/>
      <c r="P858" s="47"/>
    </row>
    <row r="859" ht="33.75" customHeight="1">
      <c r="A859" s="80"/>
      <c r="B859" s="80"/>
      <c r="C859" s="80"/>
      <c r="D859" s="80"/>
      <c r="E859" s="80"/>
      <c r="F859" s="80"/>
      <c r="G859" s="80"/>
      <c r="P859" s="47"/>
    </row>
    <row r="860" ht="33.75" customHeight="1">
      <c r="A860" s="80"/>
      <c r="B860" s="80"/>
      <c r="C860" s="80"/>
      <c r="D860" s="80"/>
      <c r="E860" s="80"/>
      <c r="F860" s="80"/>
      <c r="G860" s="80"/>
      <c r="P860" s="47"/>
    </row>
    <row r="861" ht="33.75" customHeight="1">
      <c r="A861" s="80"/>
      <c r="B861" s="80"/>
      <c r="C861" s="80"/>
      <c r="D861" s="80"/>
      <c r="E861" s="80"/>
      <c r="F861" s="80"/>
      <c r="G861" s="80"/>
      <c r="P861" s="47"/>
    </row>
    <row r="862" ht="33.75" customHeight="1">
      <c r="A862" s="80"/>
      <c r="B862" s="80"/>
      <c r="C862" s="80"/>
      <c r="D862" s="80"/>
      <c r="E862" s="80"/>
      <c r="F862" s="80"/>
      <c r="G862" s="80"/>
      <c r="P862" s="47"/>
    </row>
    <row r="863" ht="33.75" customHeight="1">
      <c r="A863" s="80"/>
      <c r="B863" s="80"/>
      <c r="C863" s="80"/>
      <c r="D863" s="80"/>
      <c r="E863" s="80"/>
      <c r="F863" s="80"/>
      <c r="G863" s="80"/>
      <c r="P863" s="47"/>
    </row>
    <row r="864" ht="33.75" customHeight="1">
      <c r="A864" s="80"/>
      <c r="B864" s="80"/>
      <c r="C864" s="80"/>
      <c r="D864" s="80"/>
      <c r="E864" s="80"/>
      <c r="F864" s="80"/>
      <c r="G864" s="80"/>
      <c r="P864" s="47"/>
    </row>
    <row r="865" ht="33.75" customHeight="1">
      <c r="A865" s="80"/>
      <c r="B865" s="80"/>
      <c r="C865" s="80"/>
      <c r="D865" s="80"/>
      <c r="E865" s="80"/>
      <c r="F865" s="80"/>
      <c r="G865" s="80"/>
      <c r="P865" s="47"/>
    </row>
    <row r="866" ht="33.75" customHeight="1">
      <c r="A866" s="80"/>
      <c r="B866" s="80"/>
      <c r="C866" s="80"/>
      <c r="D866" s="80"/>
      <c r="E866" s="80"/>
      <c r="F866" s="80"/>
      <c r="G866" s="80"/>
      <c r="P866" s="47"/>
    </row>
    <row r="867" ht="33.75" customHeight="1">
      <c r="A867" s="80"/>
      <c r="B867" s="80"/>
      <c r="C867" s="80"/>
      <c r="D867" s="80"/>
      <c r="E867" s="80"/>
      <c r="F867" s="80"/>
      <c r="G867" s="80"/>
      <c r="P867" s="47"/>
    </row>
    <row r="868" ht="33.75" customHeight="1">
      <c r="A868" s="80"/>
      <c r="B868" s="80"/>
      <c r="C868" s="80"/>
      <c r="D868" s="80"/>
      <c r="E868" s="80"/>
      <c r="F868" s="80"/>
      <c r="G868" s="80"/>
      <c r="P868" s="47"/>
    </row>
    <row r="869" ht="33.75" customHeight="1">
      <c r="A869" s="80"/>
      <c r="B869" s="80"/>
      <c r="C869" s="80"/>
      <c r="D869" s="80"/>
      <c r="E869" s="80"/>
      <c r="F869" s="80"/>
      <c r="G869" s="80"/>
      <c r="P869" s="47"/>
    </row>
    <row r="870" ht="33.75" customHeight="1">
      <c r="A870" s="80"/>
      <c r="B870" s="80"/>
      <c r="C870" s="80"/>
      <c r="D870" s="80"/>
      <c r="E870" s="80"/>
      <c r="F870" s="80"/>
      <c r="G870" s="80"/>
      <c r="P870" s="47"/>
    </row>
    <row r="871" ht="33.75" customHeight="1">
      <c r="A871" s="80"/>
      <c r="B871" s="80"/>
      <c r="C871" s="80"/>
      <c r="D871" s="80"/>
      <c r="E871" s="80"/>
      <c r="F871" s="80"/>
      <c r="G871" s="80"/>
      <c r="P871" s="47"/>
    </row>
    <row r="872" ht="33.75" customHeight="1">
      <c r="A872" s="80"/>
      <c r="B872" s="80"/>
      <c r="C872" s="80"/>
      <c r="D872" s="80"/>
      <c r="E872" s="80"/>
      <c r="F872" s="80"/>
      <c r="G872" s="80"/>
      <c r="P872" s="47"/>
    </row>
    <row r="873" ht="33.75" customHeight="1">
      <c r="A873" s="80"/>
      <c r="B873" s="80"/>
      <c r="C873" s="80"/>
      <c r="D873" s="80"/>
      <c r="E873" s="80"/>
      <c r="F873" s="80"/>
      <c r="G873" s="80"/>
      <c r="P873" s="47"/>
    </row>
    <row r="874" ht="33.75" customHeight="1">
      <c r="A874" s="80"/>
      <c r="B874" s="80"/>
      <c r="C874" s="80"/>
      <c r="D874" s="80"/>
      <c r="E874" s="80"/>
      <c r="F874" s="80"/>
      <c r="G874" s="80"/>
      <c r="P874" s="47"/>
    </row>
    <row r="875" ht="33.75" customHeight="1">
      <c r="A875" s="80"/>
      <c r="B875" s="80"/>
      <c r="C875" s="80"/>
      <c r="D875" s="80"/>
      <c r="E875" s="80"/>
      <c r="F875" s="80"/>
      <c r="G875" s="80"/>
      <c r="P875" s="47"/>
    </row>
    <row r="876" ht="33.75" customHeight="1">
      <c r="A876" s="80"/>
      <c r="B876" s="80"/>
      <c r="C876" s="80"/>
      <c r="D876" s="80"/>
      <c r="E876" s="80"/>
      <c r="F876" s="80"/>
      <c r="G876" s="80"/>
      <c r="P876" s="47"/>
    </row>
    <row r="877" ht="33.75" customHeight="1">
      <c r="A877" s="80"/>
      <c r="B877" s="80"/>
      <c r="C877" s="80"/>
      <c r="D877" s="80"/>
      <c r="E877" s="80"/>
      <c r="F877" s="80"/>
      <c r="G877" s="80"/>
      <c r="P877" s="47"/>
    </row>
    <row r="878" ht="33.75" customHeight="1">
      <c r="A878" s="80"/>
      <c r="B878" s="80"/>
      <c r="C878" s="80"/>
      <c r="D878" s="80"/>
      <c r="E878" s="80"/>
      <c r="F878" s="80"/>
      <c r="G878" s="80"/>
      <c r="P878" s="47"/>
    </row>
    <row r="879" ht="33.75" customHeight="1">
      <c r="A879" s="80"/>
      <c r="B879" s="80"/>
      <c r="C879" s="80"/>
      <c r="D879" s="80"/>
      <c r="E879" s="80"/>
      <c r="F879" s="80"/>
      <c r="G879" s="80"/>
      <c r="P879" s="47"/>
    </row>
    <row r="880" ht="33.75" customHeight="1">
      <c r="A880" s="80"/>
      <c r="B880" s="80"/>
      <c r="C880" s="80"/>
      <c r="D880" s="80"/>
      <c r="E880" s="80"/>
      <c r="F880" s="80"/>
      <c r="G880" s="80"/>
      <c r="P880" s="47"/>
    </row>
    <row r="881" ht="33.75" customHeight="1">
      <c r="A881" s="80"/>
      <c r="B881" s="80"/>
      <c r="C881" s="80"/>
      <c r="D881" s="80"/>
      <c r="E881" s="80"/>
      <c r="F881" s="80"/>
      <c r="G881" s="80"/>
      <c r="P881" s="47"/>
    </row>
    <row r="882" ht="33.75" customHeight="1">
      <c r="A882" s="80"/>
      <c r="B882" s="80"/>
      <c r="C882" s="80"/>
      <c r="D882" s="80"/>
      <c r="E882" s="80"/>
      <c r="F882" s="80"/>
      <c r="G882" s="80"/>
      <c r="P882" s="47"/>
    </row>
    <row r="883" ht="33.75" customHeight="1">
      <c r="A883" s="80"/>
      <c r="B883" s="80"/>
      <c r="C883" s="80"/>
      <c r="D883" s="80"/>
      <c r="E883" s="80"/>
      <c r="F883" s="80"/>
      <c r="G883" s="80"/>
      <c r="P883" s="47"/>
    </row>
    <row r="884" ht="33.75" customHeight="1">
      <c r="A884" s="80"/>
      <c r="B884" s="80"/>
      <c r="C884" s="80"/>
      <c r="D884" s="80"/>
      <c r="E884" s="80"/>
      <c r="F884" s="80"/>
      <c r="G884" s="80"/>
      <c r="P884" s="47"/>
    </row>
    <row r="885" ht="33.75" customHeight="1">
      <c r="A885" s="80"/>
      <c r="B885" s="80"/>
      <c r="C885" s="80"/>
      <c r="D885" s="80"/>
      <c r="E885" s="80"/>
      <c r="F885" s="80"/>
      <c r="G885" s="80"/>
      <c r="P885" s="47"/>
    </row>
    <row r="886" ht="33.75" customHeight="1">
      <c r="A886" s="80"/>
      <c r="B886" s="80"/>
      <c r="C886" s="80"/>
      <c r="D886" s="80"/>
      <c r="E886" s="80"/>
      <c r="F886" s="80"/>
      <c r="G886" s="80"/>
      <c r="P886" s="47"/>
    </row>
    <row r="887" ht="33.75" customHeight="1">
      <c r="A887" s="80"/>
      <c r="B887" s="80"/>
      <c r="C887" s="80"/>
      <c r="D887" s="80"/>
      <c r="E887" s="80"/>
      <c r="F887" s="80"/>
      <c r="G887" s="80"/>
      <c r="P887" s="47"/>
    </row>
    <row r="888" ht="33.75" customHeight="1">
      <c r="A888" s="80"/>
      <c r="B888" s="80"/>
      <c r="C888" s="80"/>
      <c r="D888" s="80"/>
      <c r="E888" s="80"/>
      <c r="F888" s="80"/>
      <c r="G888" s="80"/>
      <c r="P888" s="47"/>
    </row>
    <row r="889" ht="33.75" customHeight="1">
      <c r="A889" s="80"/>
      <c r="B889" s="80"/>
      <c r="C889" s="80"/>
      <c r="D889" s="80"/>
      <c r="E889" s="80"/>
      <c r="F889" s="80"/>
      <c r="G889" s="80"/>
      <c r="P889" s="47"/>
    </row>
    <row r="890" ht="33.75" customHeight="1">
      <c r="A890" s="80"/>
      <c r="B890" s="80"/>
      <c r="C890" s="80"/>
      <c r="D890" s="80"/>
      <c r="E890" s="80"/>
      <c r="F890" s="80"/>
      <c r="G890" s="80"/>
      <c r="P890" s="47"/>
    </row>
    <row r="891" ht="33.75" customHeight="1">
      <c r="A891" s="80"/>
      <c r="B891" s="80"/>
      <c r="C891" s="80"/>
      <c r="D891" s="80"/>
      <c r="E891" s="80"/>
      <c r="F891" s="80"/>
      <c r="G891" s="80"/>
      <c r="P891" s="47"/>
    </row>
    <row r="892" ht="33.75" customHeight="1">
      <c r="A892" s="80"/>
      <c r="B892" s="80"/>
      <c r="C892" s="80"/>
      <c r="D892" s="80"/>
      <c r="E892" s="80"/>
      <c r="F892" s="80"/>
      <c r="G892" s="80"/>
      <c r="P892" s="47"/>
    </row>
    <row r="893" ht="33.75" customHeight="1">
      <c r="A893" s="80"/>
      <c r="B893" s="80"/>
      <c r="C893" s="80"/>
      <c r="D893" s="80"/>
      <c r="E893" s="80"/>
      <c r="F893" s="80"/>
      <c r="G893" s="80"/>
      <c r="P893" s="47"/>
    </row>
    <row r="894" ht="33.75" customHeight="1">
      <c r="A894" s="80"/>
      <c r="B894" s="80"/>
      <c r="C894" s="80"/>
      <c r="D894" s="80"/>
      <c r="E894" s="80"/>
      <c r="F894" s="80"/>
      <c r="G894" s="80"/>
      <c r="P894" s="47"/>
    </row>
    <row r="895" ht="33.75" customHeight="1">
      <c r="A895" s="80"/>
      <c r="B895" s="80"/>
      <c r="C895" s="80"/>
      <c r="D895" s="80"/>
      <c r="E895" s="80"/>
      <c r="F895" s="80"/>
      <c r="G895" s="80"/>
      <c r="P895" s="47"/>
    </row>
    <row r="896" ht="33.75" customHeight="1">
      <c r="A896" s="80"/>
      <c r="B896" s="80"/>
      <c r="C896" s="80"/>
      <c r="D896" s="80"/>
      <c r="E896" s="80"/>
      <c r="F896" s="80"/>
      <c r="G896" s="80"/>
      <c r="P896" s="47"/>
    </row>
    <row r="897" ht="33.75" customHeight="1">
      <c r="A897" s="80"/>
      <c r="B897" s="80"/>
      <c r="C897" s="80"/>
      <c r="D897" s="80"/>
      <c r="E897" s="80"/>
      <c r="F897" s="80"/>
      <c r="G897" s="80"/>
      <c r="P897" s="47"/>
    </row>
    <row r="898" ht="33.75" customHeight="1">
      <c r="A898" s="80"/>
      <c r="B898" s="80"/>
      <c r="C898" s="80"/>
      <c r="D898" s="80"/>
      <c r="E898" s="80"/>
      <c r="F898" s="80"/>
      <c r="G898" s="80"/>
      <c r="P898" s="47"/>
    </row>
    <row r="899" ht="33.75" customHeight="1">
      <c r="A899" s="80"/>
      <c r="B899" s="80"/>
      <c r="C899" s="80"/>
      <c r="D899" s="80"/>
      <c r="E899" s="80"/>
      <c r="F899" s="80"/>
      <c r="G899" s="80"/>
      <c r="P899" s="47"/>
    </row>
    <row r="900" ht="33.75" customHeight="1">
      <c r="A900" s="80"/>
      <c r="B900" s="80"/>
      <c r="C900" s="80"/>
      <c r="D900" s="80"/>
      <c r="E900" s="80"/>
      <c r="F900" s="80"/>
      <c r="G900" s="80"/>
      <c r="P900" s="47"/>
    </row>
    <row r="901" ht="33.75" customHeight="1">
      <c r="A901" s="80"/>
      <c r="B901" s="80"/>
      <c r="C901" s="80"/>
      <c r="D901" s="80"/>
      <c r="E901" s="80"/>
      <c r="F901" s="80"/>
      <c r="G901" s="80"/>
      <c r="P901" s="47"/>
    </row>
    <row r="902" ht="33.75" customHeight="1">
      <c r="A902" s="80"/>
      <c r="B902" s="80"/>
      <c r="C902" s="80"/>
      <c r="D902" s="80"/>
      <c r="E902" s="80"/>
      <c r="F902" s="80"/>
      <c r="G902" s="80"/>
      <c r="P902" s="47"/>
    </row>
    <row r="903" ht="33.75" customHeight="1">
      <c r="A903" s="80"/>
      <c r="B903" s="80"/>
      <c r="C903" s="80"/>
      <c r="D903" s="80"/>
      <c r="E903" s="80"/>
      <c r="F903" s="80"/>
      <c r="G903" s="80"/>
      <c r="P903" s="47"/>
    </row>
    <row r="904" ht="33.75" customHeight="1">
      <c r="A904" s="80"/>
      <c r="B904" s="80"/>
      <c r="C904" s="80"/>
      <c r="D904" s="80"/>
      <c r="E904" s="80"/>
      <c r="F904" s="80"/>
      <c r="G904" s="80"/>
      <c r="P904" s="47"/>
    </row>
    <row r="905" ht="33.75" customHeight="1">
      <c r="A905" s="80"/>
      <c r="B905" s="80"/>
      <c r="C905" s="80"/>
      <c r="D905" s="80"/>
      <c r="E905" s="80"/>
      <c r="F905" s="80"/>
      <c r="G905" s="80"/>
      <c r="P905" s="47"/>
    </row>
    <row r="906" ht="33.75" customHeight="1">
      <c r="A906" s="80"/>
      <c r="B906" s="80"/>
      <c r="C906" s="80"/>
      <c r="D906" s="80"/>
      <c r="E906" s="80"/>
      <c r="F906" s="80"/>
      <c r="G906" s="80"/>
      <c r="P906" s="47"/>
    </row>
    <row r="907" ht="33.75" customHeight="1">
      <c r="A907" s="80"/>
      <c r="B907" s="80"/>
      <c r="C907" s="80"/>
      <c r="D907" s="80"/>
      <c r="E907" s="80"/>
      <c r="F907" s="80"/>
      <c r="G907" s="80"/>
      <c r="P907" s="47"/>
    </row>
    <row r="908" ht="33.75" customHeight="1">
      <c r="A908" s="80"/>
      <c r="B908" s="80"/>
      <c r="C908" s="80"/>
      <c r="D908" s="80"/>
      <c r="E908" s="80"/>
      <c r="F908" s="80"/>
      <c r="G908" s="80"/>
      <c r="P908" s="47"/>
    </row>
    <row r="909" ht="33.75" customHeight="1">
      <c r="A909" s="80"/>
      <c r="B909" s="80"/>
      <c r="C909" s="80"/>
      <c r="D909" s="80"/>
      <c r="E909" s="80"/>
      <c r="F909" s="80"/>
      <c r="G909" s="80"/>
      <c r="P909" s="47"/>
    </row>
    <row r="910" ht="33.75" customHeight="1">
      <c r="A910" s="80"/>
      <c r="B910" s="80"/>
      <c r="C910" s="80"/>
      <c r="D910" s="80"/>
      <c r="E910" s="80"/>
      <c r="F910" s="80"/>
      <c r="G910" s="80"/>
      <c r="P910" s="47"/>
    </row>
    <row r="911" ht="33.75" customHeight="1">
      <c r="A911" s="80"/>
      <c r="B911" s="80"/>
      <c r="C911" s="80"/>
      <c r="D911" s="80"/>
      <c r="E911" s="80"/>
      <c r="F911" s="80"/>
      <c r="G911" s="80"/>
      <c r="P911" s="47"/>
    </row>
    <row r="912" ht="33.75" customHeight="1">
      <c r="A912" s="80"/>
      <c r="B912" s="80"/>
      <c r="C912" s="80"/>
      <c r="D912" s="80"/>
      <c r="E912" s="80"/>
      <c r="F912" s="80"/>
      <c r="G912" s="80"/>
      <c r="P912" s="47"/>
    </row>
    <row r="913" ht="33.75" customHeight="1">
      <c r="A913" s="80"/>
      <c r="B913" s="80"/>
      <c r="C913" s="80"/>
      <c r="D913" s="80"/>
      <c r="E913" s="80"/>
      <c r="F913" s="80"/>
      <c r="G913" s="80"/>
      <c r="P913" s="47"/>
    </row>
    <row r="914" ht="33.75" customHeight="1">
      <c r="A914" s="80"/>
      <c r="B914" s="80"/>
      <c r="C914" s="80"/>
      <c r="D914" s="80"/>
      <c r="E914" s="80"/>
      <c r="F914" s="80"/>
      <c r="G914" s="80"/>
      <c r="P914" s="47"/>
    </row>
    <row r="915" ht="33.75" customHeight="1">
      <c r="A915" s="80"/>
      <c r="B915" s="80"/>
      <c r="C915" s="80"/>
      <c r="D915" s="80"/>
      <c r="E915" s="80"/>
      <c r="F915" s="80"/>
      <c r="G915" s="80"/>
      <c r="P915" s="47"/>
    </row>
    <row r="916" ht="33.75" customHeight="1">
      <c r="A916" s="80"/>
      <c r="B916" s="80"/>
      <c r="C916" s="80"/>
      <c r="D916" s="80"/>
      <c r="E916" s="80"/>
      <c r="F916" s="80"/>
      <c r="G916" s="80"/>
      <c r="P916" s="47"/>
    </row>
    <row r="917" ht="33.75" customHeight="1">
      <c r="A917" s="80"/>
      <c r="B917" s="80"/>
      <c r="C917" s="80"/>
      <c r="D917" s="80"/>
      <c r="E917" s="80"/>
      <c r="F917" s="80"/>
      <c r="G917" s="80"/>
      <c r="P917" s="47"/>
    </row>
    <row r="918" ht="33.75" customHeight="1">
      <c r="A918" s="80"/>
      <c r="B918" s="80"/>
      <c r="C918" s="80"/>
      <c r="D918" s="80"/>
      <c r="E918" s="80"/>
      <c r="F918" s="80"/>
      <c r="G918" s="80"/>
      <c r="P918" s="47"/>
    </row>
    <row r="919" ht="33.75" customHeight="1">
      <c r="A919" s="80"/>
      <c r="B919" s="80"/>
      <c r="C919" s="80"/>
      <c r="D919" s="80"/>
      <c r="E919" s="80"/>
      <c r="F919" s="80"/>
      <c r="G919" s="80"/>
      <c r="P919" s="47"/>
    </row>
    <row r="920" ht="33.75" customHeight="1">
      <c r="A920" s="80"/>
      <c r="B920" s="80"/>
      <c r="C920" s="80"/>
      <c r="D920" s="80"/>
      <c r="E920" s="80"/>
      <c r="F920" s="80"/>
      <c r="G920" s="80"/>
      <c r="P920" s="47"/>
    </row>
    <row r="921" ht="33.75" customHeight="1">
      <c r="A921" s="80"/>
      <c r="B921" s="80"/>
      <c r="C921" s="80"/>
      <c r="D921" s="80"/>
      <c r="E921" s="80"/>
      <c r="F921" s="80"/>
      <c r="G921" s="80"/>
      <c r="P921" s="47"/>
    </row>
    <row r="922" ht="33.75" customHeight="1">
      <c r="A922" s="80"/>
      <c r="B922" s="80"/>
      <c r="C922" s="80"/>
      <c r="D922" s="80"/>
      <c r="E922" s="80"/>
      <c r="F922" s="80"/>
      <c r="G922" s="80"/>
      <c r="P922" s="47"/>
    </row>
    <row r="923" ht="33.75" customHeight="1">
      <c r="A923" s="80"/>
      <c r="B923" s="80"/>
      <c r="C923" s="80"/>
      <c r="D923" s="80"/>
      <c r="E923" s="80"/>
      <c r="F923" s="80"/>
      <c r="G923" s="80"/>
      <c r="P923" s="47"/>
    </row>
    <row r="924" ht="33.75" customHeight="1">
      <c r="A924" s="80"/>
      <c r="B924" s="80"/>
      <c r="C924" s="80"/>
      <c r="D924" s="80"/>
      <c r="E924" s="80"/>
      <c r="F924" s="80"/>
      <c r="G924" s="80"/>
      <c r="P924" s="47"/>
    </row>
    <row r="925" ht="33.75" customHeight="1">
      <c r="A925" s="80"/>
      <c r="B925" s="80"/>
      <c r="C925" s="80"/>
      <c r="D925" s="80"/>
      <c r="E925" s="80"/>
      <c r="F925" s="80"/>
      <c r="G925" s="80"/>
      <c r="P925" s="47"/>
    </row>
    <row r="926" ht="33.75" customHeight="1">
      <c r="A926" s="80"/>
      <c r="B926" s="80"/>
      <c r="C926" s="80"/>
      <c r="D926" s="80"/>
      <c r="E926" s="80"/>
      <c r="F926" s="80"/>
      <c r="G926" s="80"/>
      <c r="P926" s="47"/>
    </row>
    <row r="927" ht="33.75" customHeight="1">
      <c r="A927" s="80"/>
      <c r="B927" s="80"/>
      <c r="C927" s="80"/>
      <c r="D927" s="80"/>
      <c r="E927" s="80"/>
      <c r="F927" s="80"/>
      <c r="G927" s="80"/>
      <c r="P927" s="47"/>
    </row>
    <row r="928" ht="33.75" customHeight="1">
      <c r="A928" s="80"/>
      <c r="B928" s="80"/>
      <c r="C928" s="80"/>
      <c r="D928" s="80"/>
      <c r="E928" s="80"/>
      <c r="F928" s="80"/>
      <c r="G928" s="80"/>
      <c r="P928" s="47"/>
    </row>
    <row r="929" ht="33.75" customHeight="1">
      <c r="A929" s="80"/>
      <c r="B929" s="80"/>
      <c r="C929" s="80"/>
      <c r="D929" s="80"/>
      <c r="E929" s="80"/>
      <c r="F929" s="80"/>
      <c r="G929" s="80"/>
      <c r="P929" s="47"/>
    </row>
    <row r="930" ht="33.75" customHeight="1">
      <c r="A930" s="80"/>
      <c r="B930" s="80"/>
      <c r="C930" s="80"/>
      <c r="D930" s="80"/>
      <c r="E930" s="80"/>
      <c r="F930" s="80"/>
      <c r="G930" s="80"/>
      <c r="P930" s="47"/>
    </row>
    <row r="931" ht="33.75" customHeight="1">
      <c r="A931" s="80"/>
      <c r="B931" s="80"/>
      <c r="C931" s="80"/>
      <c r="D931" s="80"/>
      <c r="E931" s="80"/>
      <c r="F931" s="80"/>
      <c r="G931" s="80"/>
      <c r="P931" s="47"/>
    </row>
    <row r="932" ht="33.75" customHeight="1">
      <c r="A932" s="80"/>
      <c r="B932" s="80"/>
      <c r="C932" s="80"/>
      <c r="D932" s="80"/>
      <c r="E932" s="80"/>
      <c r="F932" s="80"/>
      <c r="G932" s="80"/>
      <c r="P932" s="47"/>
    </row>
    <row r="933" ht="33.75" customHeight="1">
      <c r="A933" s="80"/>
      <c r="B933" s="80"/>
      <c r="C933" s="80"/>
      <c r="D933" s="80"/>
      <c r="E933" s="80"/>
      <c r="F933" s="80"/>
      <c r="G933" s="80"/>
      <c r="P933" s="47"/>
    </row>
    <row r="934" ht="33.75" customHeight="1">
      <c r="A934" s="80"/>
      <c r="B934" s="80"/>
      <c r="C934" s="80"/>
      <c r="D934" s="80"/>
      <c r="E934" s="80"/>
      <c r="F934" s="80"/>
      <c r="G934" s="80"/>
      <c r="P934" s="47"/>
    </row>
    <row r="935" ht="33.75" customHeight="1">
      <c r="A935" s="80"/>
      <c r="B935" s="80"/>
      <c r="C935" s="80"/>
      <c r="D935" s="80"/>
      <c r="E935" s="80"/>
      <c r="F935" s="80"/>
      <c r="G935" s="80"/>
      <c r="P935" s="47"/>
    </row>
    <row r="936" ht="33.75" customHeight="1">
      <c r="A936" s="80"/>
      <c r="B936" s="80"/>
      <c r="C936" s="80"/>
      <c r="D936" s="80"/>
      <c r="E936" s="80"/>
      <c r="F936" s="80"/>
      <c r="G936" s="80"/>
      <c r="P936" s="47"/>
    </row>
    <row r="937" ht="33.75" customHeight="1">
      <c r="A937" s="80"/>
      <c r="B937" s="80"/>
      <c r="C937" s="80"/>
      <c r="D937" s="80"/>
      <c r="E937" s="80"/>
      <c r="F937" s="80"/>
      <c r="G937" s="80"/>
      <c r="P937" s="47"/>
    </row>
    <row r="938" ht="33.75" customHeight="1">
      <c r="A938" s="80"/>
      <c r="B938" s="80"/>
      <c r="C938" s="80"/>
      <c r="D938" s="80"/>
      <c r="E938" s="80"/>
      <c r="F938" s="80"/>
      <c r="G938" s="80"/>
      <c r="P938" s="47"/>
    </row>
    <row r="939" ht="33.75" customHeight="1">
      <c r="A939" s="80"/>
      <c r="B939" s="80"/>
      <c r="C939" s="80"/>
      <c r="D939" s="80"/>
      <c r="E939" s="80"/>
      <c r="F939" s="80"/>
      <c r="G939" s="80"/>
      <c r="P939" s="47"/>
    </row>
    <row r="940" ht="33.75" customHeight="1">
      <c r="A940" s="80"/>
      <c r="B940" s="80"/>
      <c r="C940" s="80"/>
      <c r="D940" s="80"/>
      <c r="E940" s="80"/>
      <c r="F940" s="80"/>
      <c r="G940" s="80"/>
      <c r="P940" s="47"/>
    </row>
    <row r="941" ht="33.75" customHeight="1">
      <c r="A941" s="80"/>
      <c r="B941" s="80"/>
      <c r="C941" s="80"/>
      <c r="D941" s="80"/>
      <c r="E941" s="80"/>
      <c r="F941" s="80"/>
      <c r="G941" s="80"/>
      <c r="P941" s="47"/>
    </row>
    <row r="942" ht="33.75" customHeight="1">
      <c r="A942" s="80"/>
      <c r="B942" s="80"/>
      <c r="C942" s="80"/>
      <c r="D942" s="80"/>
      <c r="E942" s="80"/>
      <c r="F942" s="80"/>
      <c r="G942" s="80"/>
      <c r="P942" s="47"/>
    </row>
    <row r="943" ht="33.75" customHeight="1">
      <c r="A943" s="80"/>
      <c r="B943" s="80"/>
      <c r="C943" s="80"/>
      <c r="D943" s="80"/>
      <c r="E943" s="80"/>
      <c r="F943" s="80"/>
      <c r="G943" s="80"/>
      <c r="P943" s="47"/>
    </row>
    <row r="944" ht="33.75" customHeight="1">
      <c r="A944" s="80"/>
      <c r="B944" s="80"/>
      <c r="C944" s="80"/>
      <c r="D944" s="80"/>
      <c r="E944" s="80"/>
      <c r="F944" s="80"/>
      <c r="G944" s="80"/>
      <c r="P944" s="47"/>
    </row>
    <row r="945" ht="33.75" customHeight="1">
      <c r="A945" s="80"/>
      <c r="B945" s="80"/>
      <c r="C945" s="80"/>
      <c r="D945" s="80"/>
      <c r="E945" s="80"/>
      <c r="F945" s="80"/>
      <c r="G945" s="80"/>
      <c r="P945" s="47"/>
    </row>
    <row r="946" ht="33.75" customHeight="1">
      <c r="A946" s="80"/>
      <c r="B946" s="80"/>
      <c r="C946" s="80"/>
      <c r="D946" s="80"/>
      <c r="E946" s="80"/>
      <c r="F946" s="80"/>
      <c r="G946" s="80"/>
      <c r="P946" s="47"/>
    </row>
    <row r="947" ht="33.75" customHeight="1">
      <c r="A947" s="80"/>
      <c r="B947" s="80"/>
      <c r="C947" s="80"/>
      <c r="D947" s="80"/>
      <c r="E947" s="80"/>
      <c r="F947" s="80"/>
      <c r="G947" s="80"/>
      <c r="P947" s="47"/>
    </row>
    <row r="948" ht="33.75" customHeight="1">
      <c r="A948" s="80"/>
      <c r="B948" s="80"/>
      <c r="C948" s="80"/>
      <c r="D948" s="80"/>
      <c r="E948" s="80"/>
      <c r="F948" s="80"/>
      <c r="G948" s="80"/>
      <c r="P948" s="47"/>
    </row>
    <row r="949" ht="33.75" customHeight="1">
      <c r="A949" s="80"/>
      <c r="B949" s="80"/>
      <c r="C949" s="80"/>
      <c r="D949" s="80"/>
      <c r="E949" s="80"/>
      <c r="F949" s="80"/>
      <c r="G949" s="80"/>
      <c r="P949" s="47"/>
    </row>
    <row r="950" ht="33.75" customHeight="1">
      <c r="A950" s="80"/>
      <c r="B950" s="80"/>
      <c r="C950" s="80"/>
      <c r="D950" s="80"/>
      <c r="E950" s="80"/>
      <c r="F950" s="80"/>
      <c r="G950" s="80"/>
      <c r="P950" s="47"/>
    </row>
    <row r="951" ht="33.75" customHeight="1">
      <c r="A951" s="80"/>
      <c r="B951" s="80"/>
      <c r="C951" s="80"/>
      <c r="D951" s="80"/>
      <c r="E951" s="80"/>
      <c r="F951" s="80"/>
      <c r="G951" s="80"/>
      <c r="P951" s="47"/>
    </row>
    <row r="952" ht="33.75" customHeight="1">
      <c r="A952" s="80"/>
      <c r="B952" s="80"/>
      <c r="C952" s="80"/>
      <c r="D952" s="80"/>
      <c r="E952" s="80"/>
      <c r="F952" s="80"/>
      <c r="G952" s="80"/>
      <c r="P952" s="47"/>
    </row>
    <row r="953" ht="33.75" customHeight="1">
      <c r="A953" s="80"/>
      <c r="B953" s="80"/>
      <c r="C953" s="80"/>
      <c r="D953" s="80"/>
      <c r="E953" s="80"/>
      <c r="F953" s="80"/>
      <c r="G953" s="80"/>
      <c r="P953" s="47"/>
    </row>
    <row r="954" ht="33.75" customHeight="1">
      <c r="A954" s="80"/>
      <c r="B954" s="80"/>
      <c r="C954" s="80"/>
      <c r="D954" s="80"/>
      <c r="E954" s="80"/>
      <c r="F954" s="80"/>
      <c r="G954" s="80"/>
      <c r="P954" s="47"/>
    </row>
    <row r="955" ht="33.75" customHeight="1">
      <c r="A955" s="80"/>
      <c r="B955" s="80"/>
      <c r="C955" s="80"/>
      <c r="D955" s="80"/>
      <c r="E955" s="80"/>
      <c r="F955" s="80"/>
      <c r="G955" s="80"/>
      <c r="P955" s="47"/>
    </row>
    <row r="956" ht="33.75" customHeight="1">
      <c r="A956" s="80"/>
      <c r="B956" s="80"/>
      <c r="C956" s="80"/>
      <c r="D956" s="80"/>
      <c r="E956" s="80"/>
      <c r="F956" s="80"/>
      <c r="G956" s="80"/>
      <c r="P956" s="47"/>
    </row>
    <row r="957" ht="33.75" customHeight="1">
      <c r="A957" s="80"/>
      <c r="B957" s="80"/>
      <c r="C957" s="80"/>
      <c r="D957" s="80"/>
      <c r="E957" s="80"/>
      <c r="F957" s="80"/>
      <c r="G957" s="80"/>
      <c r="P957" s="47"/>
    </row>
    <row r="958" ht="33.75" customHeight="1">
      <c r="A958" s="80"/>
      <c r="B958" s="80"/>
      <c r="C958" s="80"/>
      <c r="D958" s="80"/>
      <c r="E958" s="80"/>
      <c r="F958" s="80"/>
      <c r="G958" s="80"/>
      <c r="P958" s="47"/>
    </row>
    <row r="959" ht="33.75" customHeight="1">
      <c r="A959" s="80"/>
      <c r="B959" s="80"/>
      <c r="C959" s="80"/>
      <c r="D959" s="80"/>
      <c r="E959" s="80"/>
      <c r="F959" s="80"/>
      <c r="G959" s="80"/>
      <c r="P959" s="47"/>
    </row>
    <row r="960" ht="33.75" customHeight="1">
      <c r="A960" s="80"/>
      <c r="B960" s="80"/>
      <c r="C960" s="80"/>
      <c r="D960" s="80"/>
      <c r="E960" s="80"/>
      <c r="F960" s="80"/>
      <c r="G960" s="80"/>
      <c r="P960" s="47"/>
    </row>
    <row r="961" ht="33.75" customHeight="1">
      <c r="A961" s="80"/>
      <c r="B961" s="80"/>
      <c r="C961" s="80"/>
      <c r="D961" s="80"/>
      <c r="E961" s="80"/>
      <c r="F961" s="80"/>
      <c r="G961" s="80"/>
      <c r="P961" s="47"/>
    </row>
    <row r="962" ht="33.75" customHeight="1">
      <c r="A962" s="80"/>
      <c r="B962" s="80"/>
      <c r="C962" s="80"/>
      <c r="D962" s="80"/>
      <c r="E962" s="80"/>
      <c r="F962" s="80"/>
      <c r="G962" s="80"/>
      <c r="P962" s="47"/>
    </row>
    <row r="963" ht="33.75" customHeight="1">
      <c r="A963" s="80"/>
      <c r="B963" s="80"/>
      <c r="C963" s="80"/>
      <c r="D963" s="80"/>
      <c r="E963" s="80"/>
      <c r="F963" s="80"/>
      <c r="G963" s="80"/>
      <c r="P963" s="47"/>
    </row>
    <row r="964" ht="33.75" customHeight="1">
      <c r="A964" s="80"/>
      <c r="B964" s="80"/>
      <c r="C964" s="80"/>
      <c r="D964" s="80"/>
      <c r="E964" s="80"/>
      <c r="F964" s="80"/>
      <c r="G964" s="80"/>
      <c r="P964" s="47"/>
    </row>
    <row r="965" ht="33.75" customHeight="1">
      <c r="A965" s="80"/>
      <c r="B965" s="80"/>
      <c r="C965" s="80"/>
      <c r="D965" s="80"/>
      <c r="E965" s="80"/>
      <c r="F965" s="80"/>
      <c r="G965" s="80"/>
      <c r="P965" s="47"/>
    </row>
    <row r="966" ht="33.75" customHeight="1">
      <c r="A966" s="80"/>
      <c r="B966" s="80"/>
      <c r="C966" s="80"/>
      <c r="D966" s="80"/>
      <c r="E966" s="80"/>
      <c r="F966" s="80"/>
      <c r="G966" s="80"/>
      <c r="P966" s="47"/>
    </row>
    <row r="967" ht="33.75" customHeight="1">
      <c r="A967" s="80"/>
      <c r="B967" s="80"/>
      <c r="C967" s="80"/>
      <c r="D967" s="80"/>
      <c r="E967" s="80"/>
      <c r="F967" s="80"/>
      <c r="G967" s="80"/>
      <c r="P967" s="47"/>
    </row>
    <row r="968" ht="33.75" customHeight="1">
      <c r="A968" s="80"/>
      <c r="B968" s="80"/>
      <c r="C968" s="80"/>
      <c r="D968" s="80"/>
      <c r="E968" s="80"/>
      <c r="F968" s="80"/>
      <c r="G968" s="80"/>
      <c r="P968" s="47"/>
    </row>
    <row r="969" ht="33.75" customHeight="1">
      <c r="A969" s="80"/>
      <c r="B969" s="80"/>
      <c r="C969" s="80"/>
      <c r="D969" s="80"/>
      <c r="E969" s="80"/>
      <c r="F969" s="80"/>
      <c r="G969" s="80"/>
      <c r="P969" s="47"/>
    </row>
    <row r="970" ht="33.75" customHeight="1">
      <c r="A970" s="80"/>
      <c r="B970" s="80"/>
      <c r="C970" s="80"/>
      <c r="D970" s="80"/>
      <c r="E970" s="80"/>
      <c r="F970" s="80"/>
      <c r="G970" s="80"/>
      <c r="P970" s="47"/>
    </row>
    <row r="971" ht="33.75" customHeight="1">
      <c r="A971" s="80"/>
      <c r="B971" s="80"/>
      <c r="C971" s="80"/>
      <c r="D971" s="80"/>
      <c r="E971" s="80"/>
      <c r="F971" s="80"/>
      <c r="G971" s="80"/>
      <c r="P971" s="47"/>
    </row>
    <row r="972" ht="33.75" customHeight="1">
      <c r="A972" s="80"/>
      <c r="B972" s="80"/>
      <c r="C972" s="80"/>
      <c r="D972" s="80"/>
      <c r="E972" s="80"/>
      <c r="F972" s="80"/>
      <c r="G972" s="80"/>
      <c r="P972" s="47"/>
    </row>
    <row r="973" ht="33.75" customHeight="1">
      <c r="A973" s="80"/>
      <c r="B973" s="80"/>
      <c r="C973" s="80"/>
      <c r="D973" s="80"/>
      <c r="E973" s="80"/>
      <c r="F973" s="80"/>
      <c r="G973" s="80"/>
      <c r="P973" s="47"/>
    </row>
    <row r="974" ht="33.75" customHeight="1">
      <c r="A974" s="80"/>
      <c r="B974" s="80"/>
      <c r="C974" s="80"/>
      <c r="D974" s="80"/>
      <c r="E974" s="80"/>
      <c r="F974" s="80"/>
      <c r="G974" s="80"/>
      <c r="P974" s="47"/>
    </row>
    <row r="975" ht="33.75" customHeight="1">
      <c r="A975" s="80"/>
      <c r="B975" s="80"/>
      <c r="C975" s="80"/>
      <c r="D975" s="80"/>
      <c r="E975" s="80"/>
      <c r="F975" s="80"/>
      <c r="G975" s="80"/>
      <c r="P975" s="47"/>
    </row>
    <row r="976" ht="33.75" customHeight="1">
      <c r="A976" s="80"/>
      <c r="B976" s="80"/>
      <c r="C976" s="80"/>
      <c r="D976" s="80"/>
      <c r="E976" s="80"/>
      <c r="F976" s="80"/>
      <c r="G976" s="80"/>
      <c r="P976" s="47"/>
    </row>
    <row r="977" ht="33.75" customHeight="1">
      <c r="A977" s="80"/>
      <c r="B977" s="80"/>
      <c r="C977" s="80"/>
      <c r="D977" s="80"/>
      <c r="E977" s="80"/>
      <c r="F977" s="80"/>
      <c r="G977" s="80"/>
      <c r="P977" s="47"/>
    </row>
    <row r="978" ht="33.75" customHeight="1">
      <c r="A978" s="80"/>
      <c r="B978" s="80"/>
      <c r="C978" s="80"/>
      <c r="D978" s="80"/>
      <c r="E978" s="80"/>
      <c r="F978" s="80"/>
      <c r="G978" s="80"/>
      <c r="P978" s="47"/>
    </row>
    <row r="979" ht="33.75" customHeight="1">
      <c r="A979" s="80"/>
      <c r="B979" s="80"/>
      <c r="C979" s="80"/>
      <c r="D979" s="80"/>
      <c r="E979" s="80"/>
      <c r="F979" s="80"/>
      <c r="G979" s="80"/>
      <c r="P979" s="47"/>
    </row>
    <row r="980" ht="33.75" customHeight="1">
      <c r="A980" s="80"/>
      <c r="B980" s="80"/>
      <c r="C980" s="80"/>
      <c r="D980" s="80"/>
      <c r="E980" s="80"/>
      <c r="F980" s="80"/>
      <c r="G980" s="80"/>
      <c r="P980" s="47"/>
    </row>
    <row r="981" ht="33.75" customHeight="1">
      <c r="A981" s="80"/>
      <c r="B981" s="80"/>
      <c r="C981" s="80"/>
      <c r="D981" s="80"/>
      <c r="E981" s="80"/>
      <c r="F981" s="80"/>
      <c r="G981" s="80"/>
      <c r="P981" s="47"/>
    </row>
    <row r="982" ht="33.75" customHeight="1">
      <c r="A982" s="80"/>
      <c r="B982" s="80"/>
      <c r="C982" s="80"/>
      <c r="D982" s="80"/>
      <c r="E982" s="80"/>
      <c r="F982" s="80"/>
      <c r="G982" s="80"/>
      <c r="P982" s="47"/>
    </row>
    <row r="983" ht="33.75" customHeight="1">
      <c r="A983" s="80"/>
      <c r="B983" s="80"/>
      <c r="C983" s="80"/>
      <c r="D983" s="80"/>
      <c r="E983" s="80"/>
      <c r="F983" s="80"/>
      <c r="G983" s="80"/>
      <c r="P983" s="47"/>
    </row>
    <row r="984" ht="33.75" customHeight="1">
      <c r="A984" s="80"/>
      <c r="B984" s="80"/>
      <c r="C984" s="80"/>
      <c r="D984" s="80"/>
      <c r="E984" s="80"/>
      <c r="F984" s="80"/>
      <c r="G984" s="80"/>
      <c r="P984" s="47"/>
    </row>
    <row r="985" ht="33.75" customHeight="1">
      <c r="A985" s="80"/>
      <c r="B985" s="80"/>
      <c r="C985" s="80"/>
      <c r="D985" s="80"/>
      <c r="E985" s="80"/>
      <c r="F985" s="80"/>
      <c r="G985" s="80"/>
      <c r="P985" s="47"/>
    </row>
    <row r="986" ht="33.75" customHeight="1">
      <c r="A986" s="80"/>
      <c r="B986" s="80"/>
      <c r="C986" s="80"/>
      <c r="D986" s="80"/>
      <c r="E986" s="80"/>
      <c r="F986" s="80"/>
      <c r="G986" s="80"/>
      <c r="P986" s="47"/>
    </row>
    <row r="987" ht="33.75" customHeight="1">
      <c r="A987" s="80"/>
      <c r="B987" s="80"/>
      <c r="C987" s="80"/>
      <c r="D987" s="80"/>
      <c r="E987" s="80"/>
      <c r="F987" s="80"/>
      <c r="G987" s="80"/>
      <c r="P987" s="47"/>
    </row>
    <row r="988" ht="33.75" customHeight="1">
      <c r="A988" s="80"/>
      <c r="B988" s="80"/>
      <c r="C988" s="80"/>
      <c r="D988" s="80"/>
      <c r="E988" s="80"/>
      <c r="F988" s="80"/>
      <c r="G988" s="80"/>
      <c r="P988" s="47"/>
    </row>
    <row r="989" ht="33.75" customHeight="1">
      <c r="A989" s="80"/>
      <c r="B989" s="80"/>
      <c r="C989" s="80"/>
      <c r="D989" s="80"/>
      <c r="E989" s="80"/>
      <c r="F989" s="80"/>
      <c r="G989" s="80"/>
      <c r="P989" s="47"/>
    </row>
    <row r="990" ht="33.75" customHeight="1">
      <c r="A990" s="80"/>
      <c r="B990" s="80"/>
      <c r="C990" s="80"/>
      <c r="D990" s="80"/>
      <c r="E990" s="80"/>
      <c r="F990" s="80"/>
      <c r="G990" s="80"/>
      <c r="P990" s="47"/>
    </row>
    <row r="991" ht="33.75" customHeight="1">
      <c r="A991" s="80"/>
      <c r="B991" s="80"/>
      <c r="C991" s="80"/>
      <c r="D991" s="80"/>
      <c r="E991" s="80"/>
      <c r="F991" s="80"/>
      <c r="G991" s="80"/>
      <c r="P991" s="47"/>
    </row>
    <row r="992" ht="33.75" customHeight="1">
      <c r="A992" s="80"/>
      <c r="B992" s="80"/>
      <c r="C992" s="80"/>
      <c r="D992" s="80"/>
      <c r="E992" s="80"/>
      <c r="F992" s="80"/>
      <c r="G992" s="80"/>
      <c r="P992" s="47"/>
    </row>
    <row r="993" ht="33.75" customHeight="1">
      <c r="A993" s="80"/>
      <c r="B993" s="80"/>
      <c r="C993" s="80"/>
      <c r="D993" s="80"/>
      <c r="E993" s="80"/>
      <c r="F993" s="80"/>
      <c r="G993" s="80"/>
      <c r="P993" s="47"/>
    </row>
    <row r="994" ht="33.75" customHeight="1">
      <c r="A994" s="80"/>
      <c r="B994" s="80"/>
      <c r="C994" s="80"/>
      <c r="D994" s="80"/>
      <c r="E994" s="80"/>
      <c r="F994" s="80"/>
      <c r="G994" s="80"/>
      <c r="P994" s="47"/>
    </row>
    <row r="995" ht="33.75" customHeight="1">
      <c r="A995" s="80"/>
      <c r="B995" s="80"/>
      <c r="C995" s="80"/>
      <c r="D995" s="80"/>
      <c r="E995" s="80"/>
      <c r="F995" s="80"/>
      <c r="G995" s="80"/>
      <c r="P995" s="47"/>
    </row>
    <row r="996" ht="33.75" customHeight="1">
      <c r="A996" s="80"/>
      <c r="B996" s="80"/>
      <c r="C996" s="80"/>
      <c r="D996" s="80"/>
      <c r="E996" s="80"/>
      <c r="F996" s="80"/>
      <c r="G996" s="80"/>
      <c r="P996" s="47"/>
    </row>
    <row r="997" ht="33.75" customHeight="1">
      <c r="A997" s="80"/>
      <c r="B997" s="80"/>
      <c r="C997" s="80"/>
      <c r="D997" s="80"/>
      <c r="E997" s="80"/>
      <c r="F997" s="80"/>
      <c r="G997" s="80"/>
      <c r="P997" s="47"/>
    </row>
    <row r="998" ht="33.75" customHeight="1">
      <c r="A998" s="80"/>
      <c r="B998" s="80"/>
      <c r="C998" s="80"/>
      <c r="D998" s="80"/>
      <c r="E998" s="80"/>
      <c r="F998" s="80"/>
      <c r="G998" s="80"/>
      <c r="P998" s="47"/>
    </row>
    <row r="999" ht="33.75" customHeight="1">
      <c r="A999" s="80"/>
      <c r="B999" s="80"/>
      <c r="C999" s="80"/>
      <c r="D999" s="80"/>
      <c r="E999" s="80"/>
      <c r="F999" s="80"/>
      <c r="G999" s="80"/>
      <c r="P999" s="47"/>
    </row>
    <row r="1000" ht="33.75" customHeight="1">
      <c r="A1000" s="80"/>
      <c r="B1000" s="80"/>
      <c r="C1000" s="80"/>
      <c r="D1000" s="80"/>
      <c r="E1000" s="80"/>
      <c r="F1000" s="80"/>
      <c r="G1000" s="80"/>
      <c r="P1000" s="47"/>
    </row>
    <row r="1001" ht="33.75" customHeight="1">
      <c r="A1001" s="80"/>
      <c r="B1001" s="80"/>
      <c r="C1001" s="80"/>
      <c r="D1001" s="80"/>
      <c r="E1001" s="80"/>
      <c r="F1001" s="80"/>
      <c r="G1001" s="80"/>
      <c r="P1001" s="47"/>
    </row>
    <row r="1002" ht="33.75" customHeight="1">
      <c r="A1002" s="80"/>
      <c r="B1002" s="80"/>
      <c r="C1002" s="80"/>
      <c r="D1002" s="80"/>
      <c r="E1002" s="80"/>
      <c r="F1002" s="80"/>
      <c r="G1002" s="80"/>
      <c r="P1002" s="47"/>
    </row>
    <row r="1003" ht="33.75" customHeight="1">
      <c r="A1003" s="80"/>
      <c r="B1003" s="80"/>
      <c r="C1003" s="80"/>
      <c r="D1003" s="80"/>
      <c r="E1003" s="80"/>
      <c r="F1003" s="80"/>
      <c r="G1003" s="80"/>
      <c r="P1003" s="47"/>
    </row>
    <row r="1004" ht="33.75" customHeight="1">
      <c r="A1004" s="80"/>
      <c r="B1004" s="80"/>
      <c r="C1004" s="80"/>
      <c r="D1004" s="80"/>
      <c r="E1004" s="80"/>
      <c r="F1004" s="80"/>
      <c r="G1004" s="80"/>
      <c r="P1004" s="47"/>
    </row>
    <row r="1005" ht="33.75" customHeight="1">
      <c r="A1005" s="80"/>
      <c r="B1005" s="80"/>
      <c r="C1005" s="80"/>
      <c r="D1005" s="80"/>
      <c r="E1005" s="80"/>
      <c r="F1005" s="80"/>
      <c r="G1005" s="80"/>
      <c r="P1005" s="47"/>
    </row>
    <row r="1006" ht="33.75" customHeight="1">
      <c r="A1006" s="80"/>
      <c r="B1006" s="80"/>
      <c r="C1006" s="80"/>
      <c r="D1006" s="80"/>
      <c r="E1006" s="80"/>
      <c r="F1006" s="80"/>
      <c r="G1006" s="80"/>
      <c r="P1006" s="47"/>
    </row>
    <row r="1007" ht="33.75" customHeight="1">
      <c r="A1007" s="80"/>
      <c r="B1007" s="80"/>
      <c r="C1007" s="80"/>
      <c r="D1007" s="80"/>
      <c r="E1007" s="80"/>
      <c r="F1007" s="80"/>
      <c r="G1007" s="80"/>
      <c r="P1007" s="47"/>
    </row>
    <row r="1008" ht="33.75" customHeight="1">
      <c r="A1008" s="80"/>
      <c r="B1008" s="80"/>
      <c r="C1008" s="80"/>
      <c r="D1008" s="80"/>
      <c r="E1008" s="80"/>
      <c r="F1008" s="80"/>
      <c r="G1008" s="80"/>
      <c r="P1008" s="47"/>
    </row>
    <row r="1009" ht="33.75" customHeight="1">
      <c r="A1009" s="80"/>
      <c r="B1009" s="80"/>
      <c r="C1009" s="80"/>
      <c r="D1009" s="80"/>
      <c r="E1009" s="80"/>
      <c r="F1009" s="80"/>
      <c r="G1009" s="80"/>
      <c r="P1009" s="47"/>
    </row>
    <row r="1010" ht="33.75" customHeight="1">
      <c r="A1010" s="80"/>
      <c r="B1010" s="80"/>
      <c r="C1010" s="80"/>
      <c r="D1010" s="80"/>
      <c r="E1010" s="80"/>
      <c r="F1010" s="80"/>
      <c r="G1010" s="80"/>
      <c r="P1010" s="47"/>
    </row>
    <row r="1011" ht="33.75" customHeight="1">
      <c r="A1011" s="80"/>
      <c r="B1011" s="80"/>
      <c r="C1011" s="80"/>
      <c r="D1011" s="80"/>
      <c r="E1011" s="80"/>
      <c r="F1011" s="80"/>
      <c r="G1011" s="80"/>
      <c r="P1011" s="47"/>
    </row>
    <row r="1012" ht="33.75" customHeight="1">
      <c r="A1012" s="80"/>
      <c r="B1012" s="80"/>
      <c r="C1012" s="80"/>
      <c r="D1012" s="80"/>
      <c r="E1012" s="80"/>
      <c r="F1012" s="80"/>
      <c r="G1012" s="80"/>
      <c r="P1012" s="47"/>
    </row>
    <row r="1013" ht="33.75" customHeight="1">
      <c r="A1013" s="80"/>
      <c r="B1013" s="80"/>
      <c r="C1013" s="80"/>
      <c r="D1013" s="80"/>
      <c r="E1013" s="80"/>
      <c r="F1013" s="80"/>
      <c r="G1013" s="80"/>
      <c r="P1013" s="47"/>
    </row>
    <row r="1014" ht="33.75" customHeight="1">
      <c r="A1014" s="80"/>
      <c r="B1014" s="80"/>
      <c r="C1014" s="80"/>
      <c r="D1014" s="80"/>
      <c r="E1014" s="80"/>
      <c r="F1014" s="80"/>
      <c r="G1014" s="80"/>
      <c r="P1014" s="47"/>
    </row>
    <row r="1015" ht="33.75" customHeight="1">
      <c r="A1015" s="80"/>
      <c r="B1015" s="80"/>
      <c r="C1015" s="80"/>
      <c r="D1015" s="80"/>
      <c r="E1015" s="80"/>
      <c r="F1015" s="80"/>
      <c r="G1015" s="80"/>
      <c r="P1015" s="47"/>
    </row>
    <row r="1016" ht="33.75" customHeight="1">
      <c r="A1016" s="80"/>
      <c r="B1016" s="80"/>
      <c r="C1016" s="80"/>
      <c r="D1016" s="80"/>
      <c r="E1016" s="80"/>
      <c r="F1016" s="80"/>
      <c r="G1016" s="80"/>
      <c r="P1016" s="47"/>
    </row>
    <row r="1017" ht="33.75" customHeight="1">
      <c r="A1017" s="80"/>
      <c r="B1017" s="80"/>
      <c r="C1017" s="80"/>
      <c r="D1017" s="80"/>
      <c r="E1017" s="80"/>
      <c r="F1017" s="80"/>
      <c r="G1017" s="80"/>
      <c r="P1017" s="47"/>
    </row>
    <row r="1018" ht="33.75" customHeight="1">
      <c r="A1018" s="80"/>
      <c r="B1018" s="80"/>
      <c r="C1018" s="80"/>
      <c r="D1018" s="80"/>
      <c r="E1018" s="80"/>
      <c r="F1018" s="80"/>
      <c r="G1018" s="80"/>
      <c r="P1018" s="47"/>
    </row>
    <row r="1019" ht="33.75" customHeight="1">
      <c r="A1019" s="80"/>
      <c r="B1019" s="80"/>
      <c r="C1019" s="80"/>
      <c r="D1019" s="80"/>
      <c r="E1019" s="80"/>
      <c r="F1019" s="80"/>
      <c r="G1019" s="80"/>
      <c r="P1019" s="47"/>
    </row>
    <row r="1020" ht="33.75" customHeight="1">
      <c r="A1020" s="80"/>
      <c r="B1020" s="80"/>
      <c r="C1020" s="80"/>
      <c r="D1020" s="80"/>
      <c r="E1020" s="80"/>
      <c r="F1020" s="80"/>
      <c r="G1020" s="80"/>
      <c r="P1020" s="47"/>
    </row>
    <row r="1021" ht="33.75" customHeight="1">
      <c r="A1021" s="80"/>
      <c r="B1021" s="80"/>
      <c r="C1021" s="80"/>
      <c r="D1021" s="80"/>
      <c r="E1021" s="80"/>
      <c r="F1021" s="80"/>
      <c r="G1021" s="80"/>
      <c r="P1021" s="47"/>
    </row>
    <row r="1022" ht="33.75" customHeight="1">
      <c r="A1022" s="80"/>
      <c r="B1022" s="80"/>
      <c r="C1022" s="80"/>
      <c r="D1022" s="80"/>
      <c r="E1022" s="80"/>
      <c r="F1022" s="80"/>
      <c r="G1022" s="80"/>
      <c r="P1022" s="47"/>
    </row>
    <row r="1023" ht="33.75" customHeight="1">
      <c r="A1023" s="80"/>
      <c r="B1023" s="80"/>
      <c r="C1023" s="80"/>
      <c r="D1023" s="80"/>
      <c r="E1023" s="80"/>
      <c r="F1023" s="80"/>
      <c r="G1023" s="80"/>
      <c r="P1023" s="47"/>
    </row>
    <row r="1024" ht="33.75" customHeight="1">
      <c r="A1024" s="80"/>
      <c r="B1024" s="80"/>
      <c r="C1024" s="80"/>
      <c r="D1024" s="80"/>
      <c r="E1024" s="80"/>
      <c r="F1024" s="80"/>
      <c r="G1024" s="80"/>
      <c r="P1024" s="47"/>
    </row>
    <row r="1025" ht="33.75" customHeight="1">
      <c r="A1025" s="80"/>
      <c r="B1025" s="80"/>
      <c r="C1025" s="80"/>
      <c r="D1025" s="80"/>
      <c r="E1025" s="80"/>
      <c r="F1025" s="80"/>
      <c r="G1025" s="80"/>
      <c r="P1025" s="47"/>
    </row>
    <row r="1026" ht="33.75" customHeight="1">
      <c r="A1026" s="80"/>
      <c r="B1026" s="80"/>
      <c r="C1026" s="80"/>
      <c r="D1026" s="80"/>
      <c r="E1026" s="80"/>
      <c r="F1026" s="80"/>
      <c r="G1026" s="80"/>
      <c r="P1026" s="47"/>
    </row>
    <row r="1027" ht="33.75" customHeight="1">
      <c r="A1027" s="80"/>
      <c r="B1027" s="80"/>
      <c r="C1027" s="80"/>
      <c r="D1027" s="80"/>
      <c r="E1027" s="80"/>
      <c r="F1027" s="80"/>
      <c r="G1027" s="80"/>
      <c r="P1027" s="47"/>
    </row>
    <row r="1028" ht="33.75" customHeight="1">
      <c r="A1028" s="80"/>
      <c r="B1028" s="80"/>
      <c r="C1028" s="80"/>
      <c r="D1028" s="80"/>
      <c r="E1028" s="80"/>
      <c r="F1028" s="80"/>
      <c r="G1028" s="80"/>
      <c r="P1028" s="47"/>
    </row>
    <row r="1029" ht="33.75" customHeight="1">
      <c r="A1029" s="80"/>
      <c r="B1029" s="80"/>
      <c r="C1029" s="80"/>
      <c r="D1029" s="80"/>
      <c r="E1029" s="80"/>
      <c r="F1029" s="80"/>
      <c r="G1029" s="80"/>
      <c r="P1029" s="47"/>
    </row>
    <row r="1030" ht="33.75" customHeight="1">
      <c r="A1030" s="80"/>
      <c r="B1030" s="80"/>
      <c r="C1030" s="80"/>
      <c r="D1030" s="80"/>
      <c r="E1030" s="80"/>
      <c r="F1030" s="80"/>
      <c r="G1030" s="80"/>
      <c r="P1030" s="47"/>
    </row>
    <row r="1031" ht="33.75" customHeight="1">
      <c r="A1031" s="80"/>
      <c r="B1031" s="80"/>
      <c r="C1031" s="80"/>
      <c r="D1031" s="80"/>
      <c r="E1031" s="80"/>
      <c r="F1031" s="80"/>
      <c r="G1031" s="80"/>
      <c r="P1031" s="47"/>
    </row>
    <row r="1032" ht="33.75" customHeight="1">
      <c r="A1032" s="80"/>
      <c r="B1032" s="80"/>
      <c r="C1032" s="80"/>
      <c r="D1032" s="80"/>
      <c r="E1032" s="80"/>
      <c r="F1032" s="80"/>
      <c r="G1032" s="80"/>
      <c r="P1032" s="47"/>
    </row>
    <row r="1033" ht="33.75" customHeight="1">
      <c r="A1033" s="80"/>
      <c r="B1033" s="80"/>
      <c r="C1033" s="80"/>
      <c r="D1033" s="80"/>
      <c r="E1033" s="80"/>
      <c r="F1033" s="80"/>
      <c r="G1033" s="80"/>
      <c r="P1033" s="47"/>
    </row>
    <row r="1034" ht="33.75" customHeight="1">
      <c r="A1034" s="80"/>
      <c r="B1034" s="80"/>
      <c r="C1034" s="80"/>
      <c r="D1034" s="80"/>
      <c r="E1034" s="80"/>
      <c r="F1034" s="80"/>
      <c r="G1034" s="80"/>
      <c r="P1034" s="47"/>
    </row>
    <row r="1035" ht="33.75" customHeight="1">
      <c r="A1035" s="80"/>
      <c r="B1035" s="80"/>
      <c r="C1035" s="80"/>
      <c r="D1035" s="80"/>
      <c r="E1035" s="80"/>
      <c r="F1035" s="80"/>
      <c r="G1035" s="80"/>
      <c r="P1035" s="47"/>
    </row>
    <row r="1036" ht="33.75" customHeight="1">
      <c r="A1036" s="80"/>
      <c r="B1036" s="80"/>
      <c r="C1036" s="80"/>
      <c r="D1036" s="80"/>
      <c r="E1036" s="80"/>
      <c r="F1036" s="80"/>
      <c r="G1036" s="80"/>
      <c r="P1036" s="47"/>
    </row>
    <row r="1037" ht="33.75" customHeight="1">
      <c r="A1037" s="80"/>
      <c r="B1037" s="80"/>
      <c r="C1037" s="80"/>
      <c r="D1037" s="80"/>
      <c r="E1037" s="80"/>
      <c r="F1037" s="80"/>
      <c r="G1037" s="80"/>
      <c r="P1037" s="47"/>
    </row>
    <row r="1038" ht="33.75" customHeight="1">
      <c r="A1038" s="80"/>
      <c r="B1038" s="80"/>
      <c r="C1038" s="80"/>
      <c r="D1038" s="80"/>
      <c r="E1038" s="80"/>
      <c r="F1038" s="80"/>
      <c r="G1038" s="80"/>
      <c r="P1038" s="47"/>
    </row>
    <row r="1039" ht="33.75" customHeight="1">
      <c r="A1039" s="80"/>
      <c r="B1039" s="80"/>
      <c r="C1039" s="80"/>
      <c r="D1039" s="80"/>
      <c r="E1039" s="80"/>
      <c r="F1039" s="80"/>
      <c r="G1039" s="80"/>
      <c r="P1039" s="47"/>
    </row>
    <row r="1040" ht="33.75" customHeight="1">
      <c r="A1040" s="80"/>
      <c r="B1040" s="80"/>
      <c r="C1040" s="80"/>
      <c r="D1040" s="80"/>
      <c r="E1040" s="80"/>
      <c r="F1040" s="80"/>
      <c r="G1040" s="80"/>
      <c r="P1040" s="47"/>
    </row>
    <row r="1041" ht="33.75" customHeight="1">
      <c r="A1041" s="80"/>
      <c r="B1041" s="80"/>
      <c r="C1041" s="80"/>
      <c r="D1041" s="80"/>
      <c r="E1041" s="80"/>
      <c r="F1041" s="80"/>
      <c r="G1041" s="80"/>
      <c r="P1041" s="47"/>
    </row>
    <row r="1042" ht="33.75" customHeight="1">
      <c r="A1042" s="80"/>
      <c r="B1042" s="80"/>
      <c r="C1042" s="80"/>
      <c r="D1042" s="80"/>
      <c r="E1042" s="80"/>
      <c r="F1042" s="80"/>
      <c r="G1042" s="80"/>
      <c r="P1042" s="47"/>
    </row>
    <row r="1043" ht="33.75" customHeight="1">
      <c r="A1043" s="80"/>
      <c r="B1043" s="80"/>
      <c r="C1043" s="80"/>
      <c r="D1043" s="80"/>
      <c r="E1043" s="80"/>
      <c r="F1043" s="80"/>
      <c r="G1043" s="80"/>
      <c r="P1043" s="47"/>
    </row>
    <row r="1044" ht="33.75" customHeight="1">
      <c r="A1044" s="80"/>
      <c r="B1044" s="80"/>
      <c r="C1044" s="80"/>
      <c r="D1044" s="80"/>
      <c r="E1044" s="80"/>
      <c r="F1044" s="80"/>
      <c r="G1044" s="80"/>
      <c r="P1044" s="47"/>
    </row>
    <row r="1045" ht="33.75" customHeight="1">
      <c r="A1045" s="80"/>
      <c r="B1045" s="80"/>
      <c r="C1045" s="80"/>
      <c r="D1045" s="80"/>
      <c r="E1045" s="80"/>
      <c r="F1045" s="80"/>
      <c r="G1045" s="80"/>
      <c r="P1045" s="47"/>
    </row>
    <row r="1046" ht="33.75" customHeight="1">
      <c r="A1046" s="80"/>
      <c r="B1046" s="80"/>
      <c r="C1046" s="80"/>
      <c r="D1046" s="80"/>
      <c r="E1046" s="80"/>
      <c r="F1046" s="80"/>
      <c r="G1046" s="80"/>
      <c r="P1046" s="47"/>
    </row>
    <row r="1047" ht="33.75" customHeight="1">
      <c r="A1047" s="80"/>
      <c r="B1047" s="80"/>
      <c r="C1047" s="80"/>
      <c r="D1047" s="80"/>
      <c r="E1047" s="80"/>
      <c r="F1047" s="80"/>
      <c r="G1047" s="80"/>
      <c r="P1047" s="47"/>
    </row>
    <row r="1048" ht="33.75" customHeight="1">
      <c r="A1048" s="80"/>
      <c r="B1048" s="80"/>
      <c r="C1048" s="80"/>
      <c r="D1048" s="80"/>
      <c r="E1048" s="80"/>
      <c r="F1048" s="80"/>
      <c r="G1048" s="80"/>
      <c r="P1048" s="47"/>
    </row>
    <row r="1049" ht="33.75" customHeight="1">
      <c r="A1049" s="80"/>
      <c r="B1049" s="80"/>
      <c r="C1049" s="80"/>
      <c r="D1049" s="80"/>
      <c r="E1049" s="80"/>
      <c r="F1049" s="80"/>
      <c r="G1049" s="80"/>
      <c r="P1049" s="47"/>
    </row>
    <row r="1050" ht="33.75" customHeight="1">
      <c r="A1050" s="80"/>
      <c r="B1050" s="80"/>
      <c r="C1050" s="80"/>
      <c r="D1050" s="80"/>
      <c r="E1050" s="80"/>
      <c r="F1050" s="80"/>
      <c r="G1050" s="80"/>
      <c r="P1050" s="47"/>
    </row>
    <row r="1051" ht="33.75" customHeight="1">
      <c r="A1051" s="80"/>
      <c r="B1051" s="80"/>
      <c r="C1051" s="80"/>
      <c r="D1051" s="80"/>
      <c r="E1051" s="80"/>
      <c r="F1051" s="80"/>
      <c r="G1051" s="80"/>
      <c r="P1051" s="47"/>
    </row>
    <row r="1052" ht="33.75" customHeight="1">
      <c r="A1052" s="80"/>
      <c r="B1052" s="80"/>
      <c r="C1052" s="80"/>
      <c r="D1052" s="80"/>
      <c r="E1052" s="80"/>
      <c r="F1052" s="80"/>
      <c r="G1052" s="80"/>
      <c r="P1052" s="47"/>
    </row>
    <row r="1053" ht="33.75" customHeight="1">
      <c r="A1053" s="80"/>
      <c r="B1053" s="80"/>
      <c r="C1053" s="80"/>
      <c r="D1053" s="80"/>
      <c r="E1053" s="80"/>
      <c r="F1053" s="80"/>
      <c r="G1053" s="80"/>
      <c r="P1053" s="47"/>
    </row>
    <row r="1054" ht="33.75" customHeight="1">
      <c r="A1054" s="80"/>
      <c r="B1054" s="80"/>
      <c r="C1054" s="80"/>
      <c r="D1054" s="80"/>
      <c r="E1054" s="80"/>
      <c r="F1054" s="80"/>
      <c r="G1054" s="80"/>
      <c r="P1054" s="47"/>
    </row>
    <row r="1055" ht="33.75" customHeight="1">
      <c r="A1055" s="80"/>
      <c r="B1055" s="80"/>
      <c r="C1055" s="80"/>
      <c r="D1055" s="80"/>
      <c r="E1055" s="80"/>
      <c r="F1055" s="80"/>
      <c r="G1055" s="80"/>
      <c r="P1055" s="47"/>
    </row>
    <row r="1056" ht="33.75" customHeight="1">
      <c r="A1056" s="80"/>
      <c r="B1056" s="80"/>
      <c r="C1056" s="80"/>
      <c r="D1056" s="80"/>
      <c r="E1056" s="80"/>
      <c r="F1056" s="80"/>
      <c r="G1056" s="80"/>
      <c r="P1056" s="47"/>
    </row>
    <row r="1057" ht="33.75" customHeight="1">
      <c r="A1057" s="80"/>
      <c r="B1057" s="80"/>
      <c r="C1057" s="80"/>
      <c r="D1057" s="80"/>
      <c r="E1057" s="80"/>
      <c r="F1057" s="80"/>
      <c r="G1057" s="80"/>
      <c r="P1057" s="47"/>
    </row>
    <row r="1058" ht="33.75" customHeight="1">
      <c r="A1058" s="80"/>
      <c r="B1058" s="80"/>
      <c r="C1058" s="80"/>
      <c r="D1058" s="80"/>
      <c r="E1058" s="80"/>
      <c r="F1058" s="80"/>
      <c r="G1058" s="80"/>
      <c r="P1058" s="47"/>
    </row>
    <row r="1059" ht="33.75" customHeight="1">
      <c r="A1059" s="80"/>
      <c r="B1059" s="80"/>
      <c r="C1059" s="80"/>
      <c r="D1059" s="80"/>
      <c r="E1059" s="80"/>
      <c r="F1059" s="80"/>
      <c r="G1059" s="80"/>
      <c r="P1059" s="47"/>
    </row>
    <row r="1060" ht="33.75" customHeight="1">
      <c r="A1060" s="80"/>
      <c r="B1060" s="80"/>
      <c r="C1060" s="80"/>
      <c r="D1060" s="80"/>
      <c r="E1060" s="80"/>
      <c r="F1060" s="80"/>
      <c r="G1060" s="80"/>
      <c r="P1060" s="47"/>
    </row>
    <row r="1061" ht="33.75" customHeight="1">
      <c r="A1061" s="80"/>
      <c r="B1061" s="80"/>
      <c r="C1061" s="80"/>
      <c r="D1061" s="80"/>
      <c r="E1061" s="80"/>
      <c r="F1061" s="80"/>
      <c r="G1061" s="80"/>
      <c r="P1061" s="47"/>
    </row>
    <row r="1062" ht="33.75" customHeight="1">
      <c r="A1062" s="80"/>
      <c r="B1062" s="80"/>
      <c r="C1062" s="80"/>
      <c r="D1062" s="80"/>
      <c r="E1062" s="80"/>
      <c r="F1062" s="80"/>
      <c r="G1062" s="80"/>
      <c r="P1062" s="47"/>
    </row>
    <row r="1063" ht="33.75" customHeight="1">
      <c r="A1063" s="80"/>
      <c r="B1063" s="80"/>
      <c r="C1063" s="80"/>
      <c r="D1063" s="80"/>
      <c r="E1063" s="80"/>
      <c r="F1063" s="80"/>
      <c r="G1063" s="80"/>
      <c r="P1063" s="47"/>
    </row>
    <row r="1064" ht="33.75" customHeight="1">
      <c r="A1064" s="80"/>
      <c r="B1064" s="80"/>
      <c r="C1064" s="80"/>
      <c r="D1064" s="80"/>
      <c r="E1064" s="80"/>
      <c r="F1064" s="80"/>
      <c r="G1064" s="80"/>
      <c r="P1064" s="47"/>
    </row>
    <row r="1065" ht="33.75" customHeight="1">
      <c r="A1065" s="80"/>
      <c r="B1065" s="80"/>
      <c r="C1065" s="80"/>
      <c r="D1065" s="80"/>
      <c r="E1065" s="80"/>
      <c r="F1065" s="80"/>
      <c r="G1065" s="80"/>
      <c r="P1065" s="47"/>
    </row>
    <row r="1066" ht="33.75" customHeight="1">
      <c r="A1066" s="80"/>
      <c r="B1066" s="80"/>
      <c r="C1066" s="80"/>
      <c r="D1066" s="80"/>
      <c r="E1066" s="80"/>
      <c r="F1066" s="80"/>
      <c r="G1066" s="80"/>
      <c r="P1066" s="47"/>
    </row>
    <row r="1067" ht="33.75" customHeight="1">
      <c r="A1067" s="80"/>
      <c r="B1067" s="80"/>
      <c r="C1067" s="80"/>
      <c r="D1067" s="80"/>
      <c r="E1067" s="80"/>
      <c r="F1067" s="80"/>
      <c r="G1067" s="80"/>
      <c r="P1067" s="47"/>
    </row>
    <row r="1068" ht="33.75" customHeight="1">
      <c r="A1068" s="80"/>
      <c r="B1068" s="80"/>
      <c r="C1068" s="80"/>
      <c r="D1068" s="80"/>
      <c r="E1068" s="80"/>
      <c r="F1068" s="80"/>
      <c r="G1068" s="80"/>
      <c r="P1068" s="47"/>
    </row>
    <row r="1069" ht="33.75" customHeight="1">
      <c r="A1069" s="80"/>
      <c r="B1069" s="80"/>
      <c r="C1069" s="80"/>
      <c r="D1069" s="80"/>
      <c r="E1069" s="80"/>
      <c r="F1069" s="80"/>
      <c r="G1069" s="80"/>
      <c r="P1069" s="47"/>
    </row>
    <row r="1070" ht="33.75" customHeight="1">
      <c r="A1070" s="80"/>
      <c r="B1070" s="80"/>
      <c r="C1070" s="80"/>
      <c r="D1070" s="80"/>
      <c r="E1070" s="80"/>
      <c r="F1070" s="80"/>
      <c r="G1070" s="80"/>
      <c r="P1070" s="47"/>
    </row>
    <row r="1071" ht="33.75" customHeight="1">
      <c r="A1071" s="80"/>
      <c r="B1071" s="80"/>
      <c r="C1071" s="80"/>
      <c r="D1071" s="80"/>
      <c r="E1071" s="80"/>
      <c r="F1071" s="80"/>
      <c r="G1071" s="80"/>
      <c r="P1071" s="47"/>
    </row>
    <row r="1072" ht="33.75" customHeight="1">
      <c r="A1072" s="80"/>
      <c r="B1072" s="80"/>
      <c r="C1072" s="80"/>
      <c r="D1072" s="80"/>
      <c r="E1072" s="80"/>
      <c r="F1072" s="80"/>
      <c r="G1072" s="80"/>
      <c r="P1072" s="47"/>
    </row>
    <row r="1073" ht="33.75" customHeight="1">
      <c r="A1073" s="80"/>
      <c r="B1073" s="80"/>
      <c r="C1073" s="80"/>
      <c r="D1073" s="80"/>
      <c r="E1073" s="80"/>
      <c r="F1073" s="80"/>
      <c r="G1073" s="80"/>
      <c r="P1073" s="47"/>
    </row>
    <row r="1074" ht="33.75" customHeight="1">
      <c r="A1074" s="80"/>
      <c r="B1074" s="80"/>
      <c r="C1074" s="80"/>
      <c r="D1074" s="80"/>
      <c r="E1074" s="80"/>
      <c r="F1074" s="80"/>
      <c r="G1074" s="80"/>
      <c r="P1074" s="47"/>
    </row>
    <row r="1075" ht="33.75" customHeight="1">
      <c r="A1075" s="80"/>
      <c r="B1075" s="80"/>
      <c r="C1075" s="80"/>
      <c r="D1075" s="80"/>
      <c r="E1075" s="80"/>
      <c r="F1075" s="80"/>
      <c r="G1075" s="80"/>
      <c r="P1075" s="47"/>
    </row>
    <row r="1076" ht="33.75" customHeight="1">
      <c r="A1076" s="80"/>
      <c r="B1076" s="80"/>
      <c r="C1076" s="80"/>
      <c r="D1076" s="80"/>
      <c r="E1076" s="80"/>
      <c r="F1076" s="80"/>
      <c r="G1076" s="80"/>
      <c r="P1076" s="47"/>
    </row>
    <row r="1077" ht="33.75" customHeight="1">
      <c r="A1077" s="80"/>
      <c r="B1077" s="80"/>
      <c r="C1077" s="80"/>
      <c r="D1077" s="80"/>
      <c r="E1077" s="80"/>
      <c r="F1077" s="80"/>
      <c r="G1077" s="80"/>
      <c r="P1077" s="47"/>
    </row>
    <row r="1078" ht="33.75" customHeight="1">
      <c r="A1078" s="80"/>
      <c r="B1078" s="80"/>
      <c r="C1078" s="80"/>
      <c r="D1078" s="80"/>
      <c r="E1078" s="80"/>
      <c r="F1078" s="80"/>
      <c r="G1078" s="80"/>
      <c r="P1078" s="47"/>
    </row>
    <row r="1079" ht="33.75" customHeight="1">
      <c r="A1079" s="80"/>
      <c r="B1079" s="80"/>
      <c r="C1079" s="80"/>
      <c r="D1079" s="80"/>
      <c r="E1079" s="80"/>
      <c r="F1079" s="80"/>
      <c r="G1079" s="80"/>
      <c r="P1079" s="47"/>
    </row>
    <row r="1080" ht="33.75" customHeight="1">
      <c r="A1080" s="80"/>
      <c r="B1080" s="80"/>
      <c r="C1080" s="80"/>
      <c r="D1080" s="80"/>
      <c r="E1080" s="80"/>
      <c r="F1080" s="80"/>
      <c r="G1080" s="80"/>
      <c r="P1080" s="47"/>
    </row>
    <row r="1081" ht="33.75" customHeight="1">
      <c r="A1081" s="80"/>
      <c r="B1081" s="80"/>
      <c r="C1081" s="80"/>
      <c r="D1081" s="80"/>
      <c r="E1081" s="80"/>
      <c r="F1081" s="80"/>
      <c r="G1081" s="80"/>
      <c r="P1081" s="47"/>
    </row>
    <row r="1082" ht="33.75" customHeight="1">
      <c r="A1082" s="80"/>
      <c r="B1082" s="80"/>
      <c r="C1082" s="80"/>
      <c r="D1082" s="80"/>
      <c r="E1082" s="80"/>
      <c r="F1082" s="80"/>
      <c r="G1082" s="80"/>
      <c r="P1082" s="47"/>
    </row>
    <row r="1083" ht="33.75" customHeight="1">
      <c r="A1083" s="80"/>
      <c r="B1083" s="80"/>
      <c r="C1083" s="80"/>
      <c r="D1083" s="80"/>
      <c r="E1083" s="80"/>
      <c r="F1083" s="80"/>
      <c r="G1083" s="80"/>
      <c r="P1083" s="47"/>
    </row>
    <row r="1084" ht="33.75" customHeight="1">
      <c r="A1084" s="80"/>
      <c r="B1084" s="80"/>
      <c r="C1084" s="80"/>
      <c r="D1084" s="80"/>
      <c r="E1084" s="80"/>
      <c r="F1084" s="80"/>
      <c r="G1084" s="80"/>
      <c r="P1084" s="47"/>
    </row>
    <row r="1085" ht="33.75" customHeight="1">
      <c r="A1085" s="80"/>
      <c r="B1085" s="80"/>
      <c r="C1085" s="80"/>
      <c r="D1085" s="80"/>
      <c r="E1085" s="80"/>
      <c r="F1085" s="80"/>
      <c r="G1085" s="80"/>
      <c r="P1085" s="47"/>
    </row>
    <row r="1086" ht="33.75" customHeight="1">
      <c r="A1086" s="80"/>
      <c r="B1086" s="80"/>
      <c r="C1086" s="80"/>
      <c r="D1086" s="80"/>
      <c r="E1086" s="80"/>
      <c r="F1086" s="80"/>
      <c r="G1086" s="80"/>
      <c r="P1086" s="47"/>
    </row>
    <row r="1087" ht="33.75" customHeight="1">
      <c r="A1087" s="80"/>
      <c r="B1087" s="80"/>
      <c r="C1087" s="80"/>
      <c r="D1087" s="80"/>
      <c r="E1087" s="80"/>
      <c r="F1087" s="80"/>
      <c r="G1087" s="80"/>
      <c r="P1087" s="47"/>
    </row>
    <row r="1088" ht="33.75" customHeight="1">
      <c r="A1088" s="80"/>
      <c r="B1088" s="80"/>
      <c r="C1088" s="80"/>
      <c r="D1088" s="80"/>
      <c r="E1088" s="80"/>
      <c r="F1088" s="80"/>
      <c r="G1088" s="80"/>
      <c r="P1088" s="47"/>
    </row>
    <row r="1089" ht="33.75" customHeight="1">
      <c r="A1089" s="80"/>
      <c r="B1089" s="80"/>
      <c r="C1089" s="80"/>
      <c r="D1089" s="80"/>
      <c r="E1089" s="80"/>
      <c r="F1089" s="80"/>
      <c r="G1089" s="80"/>
      <c r="P1089" s="47"/>
    </row>
    <row r="1090" ht="33.75" customHeight="1">
      <c r="A1090" s="80"/>
      <c r="B1090" s="80"/>
      <c r="C1090" s="80"/>
      <c r="D1090" s="80"/>
      <c r="E1090" s="80"/>
      <c r="F1090" s="80"/>
      <c r="G1090" s="80"/>
      <c r="P1090" s="47"/>
    </row>
    <row r="1091" ht="33.75" customHeight="1">
      <c r="A1091" s="80"/>
      <c r="B1091" s="80"/>
      <c r="C1091" s="80"/>
      <c r="D1091" s="80"/>
      <c r="E1091" s="80"/>
      <c r="F1091" s="80"/>
      <c r="G1091" s="80"/>
      <c r="P1091" s="47"/>
    </row>
    <row r="1092" ht="33.75" customHeight="1">
      <c r="A1092" s="80"/>
      <c r="B1092" s="80"/>
      <c r="C1092" s="80"/>
      <c r="D1092" s="80"/>
      <c r="E1092" s="80"/>
      <c r="F1092" s="80"/>
      <c r="G1092" s="80"/>
      <c r="P1092" s="47"/>
    </row>
    <row r="1093" ht="33.75" customHeight="1">
      <c r="A1093" s="80"/>
      <c r="B1093" s="80"/>
      <c r="C1093" s="80"/>
      <c r="D1093" s="80"/>
      <c r="E1093" s="80"/>
      <c r="F1093" s="80"/>
      <c r="G1093" s="80"/>
      <c r="P1093" s="47"/>
    </row>
    <row r="1094" ht="33.75" customHeight="1">
      <c r="A1094" s="80"/>
      <c r="B1094" s="80"/>
      <c r="C1094" s="80"/>
      <c r="D1094" s="80"/>
      <c r="E1094" s="80"/>
      <c r="F1094" s="80"/>
      <c r="G1094" s="80"/>
      <c r="P1094" s="47"/>
    </row>
    <row r="1095" ht="33.75" customHeight="1">
      <c r="A1095" s="80"/>
      <c r="B1095" s="80"/>
      <c r="C1095" s="80"/>
      <c r="D1095" s="80"/>
      <c r="E1095" s="80"/>
      <c r="F1095" s="80"/>
      <c r="G1095" s="80"/>
      <c r="P1095" s="47"/>
    </row>
    <row r="1096" ht="33.75" customHeight="1">
      <c r="A1096" s="80"/>
      <c r="B1096" s="80"/>
      <c r="C1096" s="80"/>
      <c r="D1096" s="80"/>
      <c r="E1096" s="80"/>
      <c r="F1096" s="80"/>
      <c r="G1096" s="80"/>
      <c r="P1096" s="47"/>
    </row>
    <row r="1097" ht="33.75" customHeight="1">
      <c r="A1097" s="80"/>
      <c r="B1097" s="80"/>
      <c r="C1097" s="80"/>
      <c r="D1097" s="80"/>
      <c r="E1097" s="80"/>
      <c r="F1097" s="80"/>
      <c r="G1097" s="80"/>
      <c r="P1097" s="47"/>
    </row>
    <row r="1098" ht="33.75" customHeight="1">
      <c r="A1098" s="80"/>
      <c r="B1098" s="80"/>
      <c r="C1098" s="80"/>
      <c r="D1098" s="80"/>
      <c r="E1098" s="80"/>
      <c r="F1098" s="80"/>
      <c r="G1098" s="80"/>
      <c r="P1098" s="47"/>
    </row>
    <row r="1099" ht="33.75" customHeight="1">
      <c r="A1099" s="80"/>
      <c r="B1099" s="80"/>
      <c r="C1099" s="80"/>
      <c r="D1099" s="80"/>
      <c r="E1099" s="80"/>
      <c r="F1099" s="80"/>
      <c r="G1099" s="80"/>
      <c r="P1099" s="47"/>
    </row>
    <row r="1100" ht="33.75" customHeight="1">
      <c r="A1100" s="80"/>
      <c r="B1100" s="80"/>
      <c r="C1100" s="80"/>
      <c r="D1100" s="80"/>
      <c r="E1100" s="80"/>
      <c r="F1100" s="80"/>
      <c r="G1100" s="80"/>
      <c r="P1100" s="47"/>
    </row>
    <row r="1101" ht="33.75" customHeight="1">
      <c r="A1101" s="80"/>
      <c r="B1101" s="80"/>
      <c r="C1101" s="80"/>
      <c r="D1101" s="80"/>
      <c r="E1101" s="80"/>
      <c r="F1101" s="80"/>
      <c r="G1101" s="80"/>
      <c r="P1101" s="47"/>
    </row>
    <row r="1102" ht="33.75" customHeight="1">
      <c r="A1102" s="80"/>
      <c r="B1102" s="80"/>
      <c r="C1102" s="80"/>
      <c r="D1102" s="80"/>
      <c r="E1102" s="80"/>
      <c r="F1102" s="80"/>
      <c r="G1102" s="80"/>
      <c r="P1102" s="47"/>
    </row>
    <row r="1103" ht="33.75" customHeight="1">
      <c r="A1103" s="80"/>
      <c r="B1103" s="80"/>
      <c r="C1103" s="80"/>
      <c r="D1103" s="80"/>
      <c r="E1103" s="80"/>
      <c r="F1103" s="80"/>
      <c r="G1103" s="80"/>
      <c r="P1103" s="47"/>
    </row>
    <row r="1104" ht="33.75" customHeight="1">
      <c r="A1104" s="80"/>
      <c r="B1104" s="80"/>
      <c r="C1104" s="80"/>
      <c r="D1104" s="80"/>
      <c r="E1104" s="80"/>
      <c r="F1104" s="80"/>
      <c r="G1104" s="80"/>
      <c r="P1104" s="47"/>
    </row>
    <row r="1105" ht="33.75" customHeight="1">
      <c r="A1105" s="80"/>
      <c r="B1105" s="80"/>
      <c r="C1105" s="80"/>
      <c r="D1105" s="80"/>
      <c r="E1105" s="80"/>
      <c r="F1105" s="80"/>
      <c r="G1105" s="80"/>
      <c r="P1105" s="47"/>
    </row>
    <row r="1106" ht="33.75" customHeight="1">
      <c r="A1106" s="80"/>
      <c r="B1106" s="80"/>
      <c r="C1106" s="80"/>
      <c r="D1106" s="80"/>
      <c r="E1106" s="80"/>
      <c r="F1106" s="80"/>
      <c r="G1106" s="80"/>
      <c r="P1106" s="47"/>
    </row>
    <row r="1107" ht="33.75" customHeight="1">
      <c r="A1107" s="80"/>
      <c r="B1107" s="80"/>
      <c r="C1107" s="80"/>
      <c r="D1107" s="80"/>
      <c r="E1107" s="80"/>
      <c r="F1107" s="80"/>
      <c r="G1107" s="80"/>
      <c r="P1107" s="47"/>
    </row>
    <row r="1108" ht="33.75" customHeight="1">
      <c r="A1108" s="80"/>
      <c r="B1108" s="80"/>
      <c r="C1108" s="80"/>
      <c r="D1108" s="80"/>
      <c r="E1108" s="80"/>
      <c r="F1108" s="80"/>
      <c r="G1108" s="80"/>
      <c r="P1108" s="47"/>
    </row>
    <row r="1109" ht="33.75" customHeight="1">
      <c r="A1109" s="80"/>
      <c r="B1109" s="80"/>
      <c r="C1109" s="80"/>
      <c r="D1109" s="80"/>
      <c r="E1109" s="80"/>
      <c r="F1109" s="80"/>
      <c r="G1109" s="80"/>
      <c r="P1109" s="47"/>
    </row>
    <row r="1110" ht="33.75" customHeight="1">
      <c r="A1110" s="80"/>
      <c r="B1110" s="80"/>
      <c r="C1110" s="80"/>
      <c r="D1110" s="80"/>
      <c r="E1110" s="80"/>
      <c r="F1110" s="80"/>
      <c r="G1110" s="80"/>
      <c r="P1110" s="47"/>
    </row>
    <row r="1111" ht="33.75" customHeight="1">
      <c r="A1111" s="80"/>
      <c r="B1111" s="80"/>
      <c r="C1111" s="80"/>
      <c r="D1111" s="80"/>
      <c r="E1111" s="80"/>
      <c r="F1111" s="80"/>
      <c r="G1111" s="80"/>
      <c r="P1111" s="47"/>
    </row>
    <row r="1112" ht="33.75" customHeight="1">
      <c r="A1112" s="80"/>
      <c r="B1112" s="80"/>
      <c r="C1112" s="80"/>
      <c r="D1112" s="80"/>
      <c r="E1112" s="80"/>
      <c r="F1112" s="80"/>
      <c r="G1112" s="80"/>
      <c r="P1112" s="47"/>
    </row>
    <row r="1113" ht="33.75" customHeight="1">
      <c r="A1113" s="80"/>
      <c r="B1113" s="80"/>
      <c r="C1113" s="80"/>
      <c r="D1113" s="80"/>
      <c r="E1113" s="80"/>
      <c r="F1113" s="80"/>
      <c r="G1113" s="80"/>
      <c r="P1113" s="47"/>
    </row>
    <row r="1114" ht="33.75" customHeight="1">
      <c r="A1114" s="80"/>
      <c r="B1114" s="80"/>
      <c r="C1114" s="80"/>
      <c r="D1114" s="80"/>
      <c r="E1114" s="80"/>
      <c r="F1114" s="80"/>
      <c r="G1114" s="80"/>
      <c r="P1114" s="47"/>
    </row>
    <row r="1115" ht="33.75" customHeight="1">
      <c r="A1115" s="80"/>
      <c r="B1115" s="80"/>
      <c r="C1115" s="80"/>
      <c r="D1115" s="80"/>
      <c r="E1115" s="80"/>
      <c r="F1115" s="80"/>
      <c r="G1115" s="80"/>
      <c r="P1115" s="47"/>
    </row>
    <row r="1116" ht="33.75" customHeight="1">
      <c r="A1116" s="80"/>
      <c r="B1116" s="80"/>
      <c r="C1116" s="80"/>
      <c r="D1116" s="80"/>
      <c r="E1116" s="80"/>
      <c r="F1116" s="80"/>
      <c r="G1116" s="80"/>
      <c r="P1116" s="47"/>
    </row>
    <row r="1117" ht="33.75" customHeight="1">
      <c r="A1117" s="80"/>
      <c r="B1117" s="80"/>
      <c r="C1117" s="80"/>
      <c r="D1117" s="80"/>
      <c r="E1117" s="80"/>
      <c r="F1117" s="80"/>
      <c r="G1117" s="80"/>
      <c r="P1117" s="47"/>
    </row>
    <row r="1118" ht="33.75" customHeight="1">
      <c r="A1118" s="80"/>
      <c r="B1118" s="80"/>
      <c r="C1118" s="80"/>
      <c r="D1118" s="80"/>
      <c r="E1118" s="80"/>
      <c r="F1118" s="80"/>
      <c r="G1118" s="80"/>
      <c r="P1118" s="47"/>
    </row>
    <row r="1119" ht="33.75" customHeight="1">
      <c r="A1119" s="80"/>
      <c r="B1119" s="80"/>
      <c r="C1119" s="80"/>
      <c r="D1119" s="80"/>
      <c r="E1119" s="80"/>
      <c r="F1119" s="80"/>
      <c r="G1119" s="80"/>
      <c r="P1119" s="47"/>
    </row>
    <row r="1120" ht="33.75" customHeight="1">
      <c r="A1120" s="80"/>
      <c r="B1120" s="80"/>
      <c r="C1120" s="80"/>
      <c r="D1120" s="80"/>
      <c r="E1120" s="80"/>
      <c r="F1120" s="80"/>
      <c r="G1120" s="80"/>
      <c r="P1120" s="47"/>
    </row>
    <row r="1121" ht="33.75" customHeight="1">
      <c r="A1121" s="80"/>
      <c r="B1121" s="80"/>
      <c r="C1121" s="80"/>
      <c r="D1121" s="80"/>
      <c r="E1121" s="80"/>
      <c r="F1121" s="80"/>
      <c r="G1121" s="80"/>
      <c r="P1121" s="47"/>
    </row>
    <row r="1122" ht="33.75" customHeight="1">
      <c r="A1122" s="80"/>
      <c r="B1122" s="80"/>
      <c r="C1122" s="80"/>
      <c r="D1122" s="80"/>
      <c r="E1122" s="80"/>
      <c r="F1122" s="80"/>
      <c r="G1122" s="80"/>
      <c r="P1122" s="47"/>
    </row>
    <row r="1123" ht="33.75" customHeight="1">
      <c r="A1123" s="80"/>
      <c r="B1123" s="80"/>
      <c r="C1123" s="80"/>
      <c r="D1123" s="80"/>
      <c r="E1123" s="80"/>
      <c r="F1123" s="80"/>
      <c r="G1123" s="80"/>
      <c r="P1123" s="47"/>
    </row>
    <row r="1124" ht="33.75" customHeight="1">
      <c r="A1124" s="80"/>
      <c r="B1124" s="80"/>
      <c r="C1124" s="80"/>
      <c r="D1124" s="80"/>
      <c r="E1124" s="80"/>
      <c r="F1124" s="80"/>
      <c r="G1124" s="80"/>
      <c r="P1124" s="47"/>
    </row>
    <row r="1125" ht="33.75" customHeight="1">
      <c r="A1125" s="80"/>
      <c r="B1125" s="80"/>
      <c r="C1125" s="80"/>
      <c r="D1125" s="80"/>
      <c r="E1125" s="80"/>
      <c r="F1125" s="80"/>
      <c r="G1125" s="80"/>
      <c r="P1125" s="47"/>
    </row>
    <row r="1126" ht="33.75" customHeight="1">
      <c r="A1126" s="80"/>
      <c r="B1126" s="80"/>
      <c r="C1126" s="80"/>
      <c r="D1126" s="80"/>
      <c r="E1126" s="80"/>
      <c r="F1126" s="80"/>
      <c r="G1126" s="80"/>
      <c r="P1126" s="47"/>
    </row>
    <row r="1127" ht="33.75" customHeight="1">
      <c r="A1127" s="80"/>
      <c r="B1127" s="80"/>
      <c r="C1127" s="80"/>
      <c r="D1127" s="80"/>
      <c r="E1127" s="80"/>
      <c r="F1127" s="80"/>
      <c r="G1127" s="80"/>
      <c r="P1127" s="47"/>
    </row>
    <row r="1128" ht="33.75" customHeight="1">
      <c r="A1128" s="80"/>
      <c r="B1128" s="80"/>
      <c r="C1128" s="80"/>
      <c r="D1128" s="80"/>
      <c r="E1128" s="80"/>
      <c r="F1128" s="80"/>
      <c r="G1128" s="80"/>
      <c r="P1128" s="47"/>
    </row>
    <row r="1129" ht="33.75" customHeight="1">
      <c r="A1129" s="80"/>
      <c r="B1129" s="80"/>
      <c r="C1129" s="80"/>
      <c r="D1129" s="80"/>
      <c r="E1129" s="80"/>
      <c r="F1129" s="80"/>
      <c r="G1129" s="80"/>
      <c r="P1129" s="47"/>
    </row>
    <row r="1130" ht="33.75" customHeight="1">
      <c r="A1130" s="80"/>
      <c r="B1130" s="80"/>
      <c r="C1130" s="80"/>
      <c r="D1130" s="80"/>
      <c r="E1130" s="80"/>
      <c r="F1130" s="80"/>
      <c r="G1130" s="80"/>
      <c r="P1130" s="47"/>
    </row>
    <row r="1131" ht="33.75" customHeight="1">
      <c r="A1131" s="80"/>
      <c r="B1131" s="80"/>
      <c r="C1131" s="80"/>
      <c r="D1131" s="80"/>
      <c r="E1131" s="80"/>
      <c r="F1131" s="80"/>
      <c r="G1131" s="80"/>
      <c r="P1131" s="47"/>
    </row>
    <row r="1132" ht="33.75" customHeight="1">
      <c r="A1132" s="80"/>
      <c r="B1132" s="80"/>
      <c r="C1132" s="80"/>
      <c r="D1132" s="80"/>
      <c r="E1132" s="80"/>
      <c r="F1132" s="80"/>
      <c r="G1132" s="80"/>
      <c r="P1132" s="47"/>
    </row>
    <row r="1133" ht="33.75" customHeight="1">
      <c r="A1133" s="80"/>
      <c r="B1133" s="80"/>
      <c r="C1133" s="80"/>
      <c r="D1133" s="80"/>
      <c r="E1133" s="80"/>
      <c r="F1133" s="80"/>
      <c r="G1133" s="80"/>
      <c r="P1133" s="47"/>
    </row>
    <row r="1134" ht="33.75" customHeight="1">
      <c r="A1134" s="80"/>
      <c r="B1134" s="80"/>
      <c r="C1134" s="80"/>
      <c r="D1134" s="80"/>
      <c r="E1134" s="80"/>
      <c r="F1134" s="80"/>
      <c r="G1134" s="80"/>
      <c r="P1134" s="47"/>
    </row>
    <row r="1135" ht="33.75" customHeight="1">
      <c r="A1135" s="80"/>
      <c r="B1135" s="80"/>
      <c r="C1135" s="80"/>
      <c r="D1135" s="80"/>
      <c r="E1135" s="80"/>
      <c r="F1135" s="80"/>
      <c r="G1135" s="80"/>
      <c r="P1135" s="47"/>
    </row>
    <row r="1136" ht="33.75" customHeight="1">
      <c r="A1136" s="80"/>
      <c r="B1136" s="80"/>
      <c r="C1136" s="80"/>
      <c r="D1136" s="80"/>
      <c r="E1136" s="80"/>
      <c r="F1136" s="80"/>
      <c r="G1136" s="80"/>
      <c r="P1136" s="47"/>
    </row>
    <row r="1137" ht="33.75" customHeight="1">
      <c r="A1137" s="80"/>
      <c r="B1137" s="80"/>
      <c r="C1137" s="80"/>
      <c r="D1137" s="80"/>
      <c r="E1137" s="80"/>
      <c r="F1137" s="80"/>
      <c r="G1137" s="80"/>
      <c r="P1137" s="47"/>
    </row>
    <row r="1138" ht="33.75" customHeight="1">
      <c r="A1138" s="80"/>
      <c r="B1138" s="80"/>
      <c r="C1138" s="80"/>
      <c r="D1138" s="80"/>
      <c r="E1138" s="80"/>
      <c r="F1138" s="80"/>
      <c r="G1138" s="80"/>
      <c r="P1138" s="47"/>
    </row>
    <row r="1139" ht="33.75" customHeight="1">
      <c r="A1139" s="80"/>
      <c r="B1139" s="80"/>
      <c r="C1139" s="80"/>
      <c r="D1139" s="80"/>
      <c r="E1139" s="80"/>
      <c r="F1139" s="80"/>
      <c r="G1139" s="80"/>
      <c r="P1139" s="47"/>
    </row>
    <row r="1140" ht="33.75" customHeight="1">
      <c r="A1140" s="80"/>
      <c r="B1140" s="80"/>
      <c r="C1140" s="80"/>
      <c r="D1140" s="80"/>
      <c r="E1140" s="80"/>
      <c r="F1140" s="80"/>
      <c r="G1140" s="80"/>
      <c r="P1140" s="47"/>
    </row>
    <row r="1141" ht="33.75" customHeight="1">
      <c r="A1141" s="80"/>
      <c r="B1141" s="80"/>
      <c r="C1141" s="80"/>
      <c r="D1141" s="80"/>
      <c r="E1141" s="80"/>
      <c r="F1141" s="80"/>
      <c r="G1141" s="80"/>
      <c r="P1141" s="47"/>
    </row>
    <row r="1142" ht="33.75" customHeight="1">
      <c r="A1142" s="80"/>
      <c r="B1142" s="80"/>
      <c r="C1142" s="80"/>
      <c r="D1142" s="80"/>
      <c r="E1142" s="80"/>
      <c r="F1142" s="80"/>
      <c r="G1142" s="80"/>
      <c r="P1142" s="47"/>
    </row>
    <row r="1143" ht="33.75" customHeight="1">
      <c r="A1143" s="80"/>
      <c r="B1143" s="80"/>
      <c r="C1143" s="80"/>
      <c r="D1143" s="80"/>
      <c r="E1143" s="80"/>
      <c r="F1143" s="80"/>
      <c r="G1143" s="80"/>
      <c r="P1143" s="47"/>
    </row>
    <row r="1144" ht="33.75" customHeight="1">
      <c r="A1144" s="80"/>
      <c r="B1144" s="80"/>
      <c r="C1144" s="80"/>
      <c r="D1144" s="80"/>
      <c r="E1144" s="80"/>
      <c r="F1144" s="80"/>
      <c r="G1144" s="80"/>
      <c r="P1144" s="47"/>
    </row>
    <row r="1145" ht="33.75" customHeight="1">
      <c r="A1145" s="80"/>
      <c r="B1145" s="80"/>
      <c r="C1145" s="80"/>
      <c r="D1145" s="80"/>
      <c r="E1145" s="80"/>
      <c r="F1145" s="80"/>
      <c r="G1145" s="80"/>
      <c r="P1145" s="47"/>
    </row>
    <row r="1146" ht="33.75" customHeight="1">
      <c r="A1146" s="80"/>
      <c r="B1146" s="80"/>
      <c r="C1146" s="80"/>
      <c r="D1146" s="80"/>
      <c r="E1146" s="80"/>
      <c r="F1146" s="80"/>
      <c r="G1146" s="80"/>
      <c r="P1146" s="47"/>
    </row>
    <row r="1147" ht="33.75" customHeight="1">
      <c r="A1147" s="80"/>
      <c r="B1147" s="80"/>
      <c r="C1147" s="80"/>
      <c r="D1147" s="80"/>
      <c r="E1147" s="80"/>
      <c r="F1147" s="80"/>
      <c r="G1147" s="80"/>
      <c r="P1147" s="47"/>
    </row>
    <row r="1148" ht="33.75" customHeight="1">
      <c r="A1148" s="80"/>
      <c r="B1148" s="80"/>
      <c r="C1148" s="80"/>
      <c r="D1148" s="80"/>
      <c r="E1148" s="80"/>
      <c r="F1148" s="80"/>
      <c r="G1148" s="80"/>
      <c r="P1148" s="47"/>
    </row>
    <row r="1149" ht="33.75" customHeight="1">
      <c r="A1149" s="80"/>
      <c r="B1149" s="80"/>
      <c r="C1149" s="80"/>
      <c r="D1149" s="80"/>
      <c r="E1149" s="80"/>
      <c r="F1149" s="80"/>
      <c r="G1149" s="80"/>
      <c r="P1149" s="47"/>
    </row>
    <row r="1150" ht="33.75" customHeight="1">
      <c r="A1150" s="80"/>
      <c r="B1150" s="80"/>
      <c r="C1150" s="80"/>
      <c r="D1150" s="80"/>
      <c r="E1150" s="80"/>
      <c r="F1150" s="80"/>
      <c r="G1150" s="80"/>
      <c r="P1150" s="47"/>
    </row>
    <row r="1151" ht="33.75" customHeight="1">
      <c r="A1151" s="80"/>
      <c r="B1151" s="80"/>
      <c r="C1151" s="80"/>
      <c r="D1151" s="80"/>
      <c r="E1151" s="80"/>
      <c r="F1151" s="80"/>
      <c r="G1151" s="80"/>
      <c r="P1151" s="47"/>
    </row>
    <row r="1152" ht="33.75" customHeight="1">
      <c r="A1152" s="80"/>
      <c r="B1152" s="80"/>
      <c r="C1152" s="80"/>
      <c r="D1152" s="80"/>
      <c r="E1152" s="80"/>
      <c r="F1152" s="80"/>
      <c r="G1152" s="80"/>
      <c r="P1152" s="47"/>
    </row>
    <row r="1153" ht="33.75" customHeight="1">
      <c r="A1153" s="80"/>
      <c r="B1153" s="80"/>
      <c r="C1153" s="80"/>
      <c r="D1153" s="80"/>
      <c r="E1153" s="80"/>
      <c r="F1153" s="80"/>
      <c r="G1153" s="80"/>
      <c r="P1153" s="47"/>
    </row>
    <row r="1154" ht="33.75" customHeight="1">
      <c r="A1154" s="80"/>
      <c r="B1154" s="80"/>
      <c r="C1154" s="80"/>
      <c r="D1154" s="80"/>
      <c r="E1154" s="80"/>
      <c r="F1154" s="80"/>
      <c r="G1154" s="80"/>
      <c r="P1154" s="47"/>
    </row>
    <row r="1155" ht="33.75" customHeight="1">
      <c r="A1155" s="80"/>
      <c r="B1155" s="80"/>
      <c r="C1155" s="80"/>
      <c r="D1155" s="80"/>
      <c r="E1155" s="80"/>
      <c r="F1155" s="80"/>
      <c r="G1155" s="80"/>
      <c r="P1155" s="47"/>
    </row>
    <row r="1156" ht="33.75" customHeight="1">
      <c r="A1156" s="80"/>
      <c r="B1156" s="80"/>
      <c r="C1156" s="80"/>
      <c r="D1156" s="80"/>
      <c r="E1156" s="80"/>
      <c r="F1156" s="80"/>
      <c r="G1156" s="80"/>
      <c r="P1156" s="47"/>
    </row>
    <row r="1157" ht="33.75" customHeight="1">
      <c r="A1157" s="80"/>
      <c r="B1157" s="80"/>
      <c r="C1157" s="80"/>
      <c r="D1157" s="80"/>
      <c r="E1157" s="80"/>
      <c r="F1157" s="80"/>
      <c r="G1157" s="80"/>
      <c r="P1157" s="47"/>
    </row>
    <row r="1158" ht="33.75" customHeight="1">
      <c r="A1158" s="80"/>
      <c r="B1158" s="80"/>
      <c r="C1158" s="80"/>
      <c r="D1158" s="80"/>
      <c r="E1158" s="80"/>
      <c r="F1158" s="80"/>
      <c r="G1158" s="80"/>
      <c r="P1158" s="47"/>
    </row>
    <row r="1159" ht="33.75" customHeight="1">
      <c r="A1159" s="80"/>
      <c r="B1159" s="80"/>
      <c r="C1159" s="80"/>
      <c r="D1159" s="80"/>
      <c r="E1159" s="80"/>
      <c r="F1159" s="80"/>
      <c r="G1159" s="80"/>
      <c r="P1159" s="47"/>
    </row>
    <row r="1160" ht="33.75" customHeight="1">
      <c r="A1160" s="80"/>
      <c r="B1160" s="80"/>
      <c r="C1160" s="80"/>
      <c r="D1160" s="80"/>
      <c r="E1160" s="80"/>
      <c r="F1160" s="80"/>
      <c r="G1160" s="80"/>
      <c r="P1160" s="47"/>
    </row>
    <row r="1161" ht="33.75" customHeight="1">
      <c r="A1161" s="80"/>
      <c r="B1161" s="80"/>
      <c r="C1161" s="80"/>
      <c r="D1161" s="80"/>
      <c r="E1161" s="80"/>
      <c r="F1161" s="80"/>
      <c r="G1161" s="80"/>
      <c r="P1161" s="47"/>
    </row>
    <row r="1162" ht="33.75" customHeight="1">
      <c r="A1162" s="80"/>
      <c r="B1162" s="80"/>
      <c r="C1162" s="80"/>
      <c r="D1162" s="80"/>
      <c r="E1162" s="80"/>
      <c r="F1162" s="80"/>
      <c r="G1162" s="80"/>
      <c r="P1162" s="47"/>
    </row>
    <row r="1163" ht="33.75" customHeight="1">
      <c r="A1163" s="80"/>
      <c r="B1163" s="80"/>
      <c r="C1163" s="80"/>
      <c r="D1163" s="80"/>
      <c r="E1163" s="80"/>
      <c r="F1163" s="80"/>
      <c r="G1163" s="80"/>
      <c r="P1163" s="47"/>
    </row>
    <row r="1164" ht="33.75" customHeight="1">
      <c r="A1164" s="80"/>
      <c r="B1164" s="80"/>
      <c r="C1164" s="80"/>
      <c r="D1164" s="80"/>
      <c r="E1164" s="80"/>
      <c r="F1164" s="80"/>
      <c r="G1164" s="80"/>
      <c r="P1164" s="47"/>
    </row>
    <row r="1165" ht="33.75" customHeight="1">
      <c r="A1165" s="80"/>
      <c r="B1165" s="80"/>
      <c r="C1165" s="80"/>
      <c r="D1165" s="80"/>
      <c r="E1165" s="80"/>
      <c r="F1165" s="80"/>
      <c r="G1165" s="80"/>
      <c r="P1165" s="47"/>
    </row>
    <row r="1166" ht="33.75" customHeight="1">
      <c r="A1166" s="80"/>
      <c r="B1166" s="80"/>
      <c r="C1166" s="80"/>
      <c r="D1166" s="80"/>
      <c r="E1166" s="80"/>
      <c r="F1166" s="80"/>
      <c r="G1166" s="80"/>
      <c r="P1166" s="47"/>
    </row>
    <row r="1167" ht="33.75" customHeight="1">
      <c r="A1167" s="80"/>
      <c r="B1167" s="80"/>
      <c r="C1167" s="80"/>
      <c r="D1167" s="80"/>
      <c r="E1167" s="80"/>
      <c r="F1167" s="80"/>
      <c r="G1167" s="80"/>
      <c r="P1167" s="47"/>
    </row>
    <row r="1168" ht="33.75" customHeight="1">
      <c r="A1168" s="80"/>
      <c r="B1168" s="80"/>
      <c r="C1168" s="80"/>
      <c r="D1168" s="80"/>
      <c r="E1168" s="80"/>
      <c r="F1168" s="80"/>
      <c r="G1168" s="80"/>
      <c r="P1168" s="47"/>
    </row>
    <row r="1169" ht="33.75" customHeight="1">
      <c r="A1169" s="80"/>
      <c r="B1169" s="80"/>
      <c r="C1169" s="80"/>
      <c r="D1169" s="80"/>
      <c r="E1169" s="80"/>
      <c r="F1169" s="80"/>
      <c r="G1169" s="80"/>
      <c r="P1169" s="47"/>
    </row>
    <row r="1170" ht="33.75" customHeight="1">
      <c r="A1170" s="80"/>
      <c r="B1170" s="80"/>
      <c r="C1170" s="80"/>
      <c r="D1170" s="80"/>
      <c r="E1170" s="80"/>
      <c r="F1170" s="80"/>
      <c r="G1170" s="80"/>
      <c r="P1170" s="47"/>
    </row>
    <row r="1171" ht="33.75" customHeight="1">
      <c r="A1171" s="80"/>
      <c r="B1171" s="80"/>
      <c r="C1171" s="80"/>
      <c r="D1171" s="80"/>
      <c r="E1171" s="80"/>
      <c r="F1171" s="80"/>
      <c r="G1171" s="80"/>
      <c r="P1171" s="47"/>
    </row>
    <row r="1172" ht="33.75" customHeight="1">
      <c r="A1172" s="80"/>
      <c r="B1172" s="80"/>
      <c r="C1172" s="80"/>
      <c r="D1172" s="80"/>
      <c r="E1172" s="80"/>
      <c r="F1172" s="80"/>
      <c r="G1172" s="80"/>
      <c r="P1172" s="47"/>
    </row>
    <row r="1173" ht="33.75" customHeight="1">
      <c r="A1173" s="80"/>
      <c r="B1173" s="80"/>
      <c r="C1173" s="80"/>
      <c r="D1173" s="80"/>
      <c r="E1173" s="80"/>
      <c r="F1173" s="80"/>
      <c r="G1173" s="80"/>
      <c r="P1173" s="47"/>
    </row>
    <row r="1174" ht="33.75" customHeight="1">
      <c r="A1174" s="80"/>
      <c r="B1174" s="80"/>
      <c r="C1174" s="80"/>
      <c r="D1174" s="80"/>
      <c r="E1174" s="80"/>
      <c r="F1174" s="80"/>
      <c r="G1174" s="80"/>
      <c r="P1174" s="47"/>
    </row>
    <row r="1175" ht="33.75" customHeight="1">
      <c r="A1175" s="80"/>
      <c r="B1175" s="80"/>
      <c r="C1175" s="80"/>
      <c r="D1175" s="80"/>
      <c r="E1175" s="80"/>
      <c r="F1175" s="80"/>
      <c r="G1175" s="80"/>
      <c r="P1175" s="47"/>
    </row>
  </sheetData>
  <mergeCells count="1">
    <mergeCell ref="A1:K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2.75"/>
  <cols>
    <col customWidth="1" min="1" max="1" width="16.57"/>
    <col customWidth="1" min="2" max="2" width="17.0"/>
    <col customWidth="1" min="3" max="3" width="21.43"/>
    <col customWidth="1" min="4" max="4" width="17.14"/>
    <col customWidth="1" min="5" max="5" width="16.57"/>
    <col customWidth="1" min="6" max="6" width="14.14"/>
    <col customWidth="1" min="7" max="7" width="14.0"/>
    <col customWidth="1" min="8" max="8" width="21.43"/>
    <col customWidth="1" min="9" max="9" width="14.0"/>
    <col customWidth="1" min="10" max="10" width="17.29"/>
    <col customWidth="1" min="11" max="11" width="28.29"/>
    <col customWidth="1" min="12" max="59" width="17.29"/>
    <col customWidth="1" min="60" max="60" width="15.86"/>
    <col customWidth="1" min="61" max="127" width="107.29"/>
  </cols>
  <sheetData>
    <row r="1" ht="36.75" customHeight="1">
      <c r="A1" s="9" t="s">
        <v>1</v>
      </c>
      <c r="B1" s="9" t="s">
        <v>2</v>
      </c>
      <c r="C1" s="9" t="s">
        <v>3</v>
      </c>
      <c r="D1" s="9" t="s">
        <v>4</v>
      </c>
      <c r="E1" s="9" t="s">
        <v>5</v>
      </c>
      <c r="F1" s="9" t="s">
        <v>6</v>
      </c>
      <c r="G1" s="9" t="s">
        <v>7</v>
      </c>
      <c r="H1" s="9" t="s">
        <v>8</v>
      </c>
      <c r="I1" s="9" t="s">
        <v>9</v>
      </c>
      <c r="J1" s="9" t="s">
        <v>10</v>
      </c>
      <c r="K1" s="9" t="s">
        <v>12</v>
      </c>
      <c r="L1" s="9" t="s">
        <v>28</v>
      </c>
      <c r="M1" s="9" t="s">
        <v>30</v>
      </c>
      <c r="N1" s="9" t="s">
        <v>32</v>
      </c>
      <c r="O1" s="9" t="s">
        <v>33</v>
      </c>
      <c r="P1" s="9" t="s">
        <v>34</v>
      </c>
      <c r="Q1" s="9" t="s">
        <v>35</v>
      </c>
      <c r="R1" s="9" t="s">
        <v>36</v>
      </c>
      <c r="S1" s="9" t="s">
        <v>37</v>
      </c>
      <c r="T1" s="9" t="s">
        <v>39</v>
      </c>
      <c r="U1" s="9" t="s">
        <v>40</v>
      </c>
      <c r="V1" s="9" t="s">
        <v>41</v>
      </c>
      <c r="W1" s="9" t="s">
        <v>42</v>
      </c>
      <c r="X1" s="9" t="s">
        <v>43</v>
      </c>
      <c r="Y1" s="9" t="s">
        <v>44</v>
      </c>
      <c r="Z1" s="9" t="s">
        <v>46</v>
      </c>
      <c r="AA1" s="9" t="s">
        <v>47</v>
      </c>
      <c r="AB1" s="9" t="s">
        <v>49</v>
      </c>
      <c r="AC1" s="9" t="s">
        <v>50</v>
      </c>
      <c r="AD1" s="9" t="s">
        <v>51</v>
      </c>
      <c r="AE1" s="9" t="s">
        <v>52</v>
      </c>
      <c r="AF1" s="9" t="s">
        <v>55</v>
      </c>
      <c r="AG1" s="9" t="s">
        <v>57</v>
      </c>
      <c r="AH1" s="9" t="s">
        <v>58</v>
      </c>
      <c r="AI1" s="9" t="s">
        <v>59</v>
      </c>
      <c r="AJ1" s="9" t="s">
        <v>60</v>
      </c>
      <c r="AK1" s="9" t="s">
        <v>61</v>
      </c>
      <c r="AL1" s="9" t="s">
        <v>62</v>
      </c>
      <c r="AM1" s="9" t="s">
        <v>63</v>
      </c>
      <c r="AN1" s="9" t="s">
        <v>64</v>
      </c>
      <c r="AO1" s="9" t="s">
        <v>65</v>
      </c>
      <c r="AP1" s="9" t="s">
        <v>67</v>
      </c>
      <c r="AQ1" s="9" t="s">
        <v>69</v>
      </c>
      <c r="AR1" s="9" t="s">
        <v>70</v>
      </c>
      <c r="AS1" s="9" t="s">
        <v>71</v>
      </c>
      <c r="AT1" s="9" t="s">
        <v>72</v>
      </c>
      <c r="AU1" s="9" t="s">
        <v>73</v>
      </c>
      <c r="AV1" s="9" t="s">
        <v>75</v>
      </c>
      <c r="AW1" s="9" t="s">
        <v>76</v>
      </c>
      <c r="AX1" s="9" t="s">
        <v>78</v>
      </c>
      <c r="AY1" s="21" t="s">
        <v>79</v>
      </c>
      <c r="AZ1" s="9" t="s">
        <v>91</v>
      </c>
      <c r="BA1" s="9" t="s">
        <v>92</v>
      </c>
      <c r="BB1" s="9" t="s">
        <v>93</v>
      </c>
      <c r="BC1" s="9" t="s">
        <v>94</v>
      </c>
      <c r="BD1" s="9" t="s">
        <v>95</v>
      </c>
      <c r="BE1" s="9" t="s">
        <v>96</v>
      </c>
      <c r="BF1" s="9" t="s">
        <v>97</v>
      </c>
      <c r="BG1" s="9" t="s">
        <v>98</v>
      </c>
      <c r="BH1" s="9" t="s">
        <v>99</v>
      </c>
      <c r="BI1" s="9" t="s">
        <v>101</v>
      </c>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row>
    <row r="2" ht="36.75" customHeight="1">
      <c r="A2" s="11">
        <v>42404.0</v>
      </c>
      <c r="B2" s="13" t="s">
        <v>110</v>
      </c>
      <c r="C2" s="13" t="s">
        <v>112</v>
      </c>
      <c r="D2" s="13" t="s">
        <v>113</v>
      </c>
      <c r="E2" s="26" t="s">
        <v>25</v>
      </c>
      <c r="F2" s="16">
        <v>30.1327</v>
      </c>
      <c r="G2" s="16">
        <v>-85.74536</v>
      </c>
      <c r="H2" s="13">
        <v>30.1327</v>
      </c>
      <c r="I2" s="13">
        <v>-85.74536</v>
      </c>
      <c r="J2" s="13" t="s">
        <v>118</v>
      </c>
      <c r="K2" s="13" t="s">
        <v>119</v>
      </c>
      <c r="L2" s="13">
        <v>0.0</v>
      </c>
      <c r="M2" s="13">
        <v>0.0</v>
      </c>
      <c r="N2" s="13">
        <v>0.0</v>
      </c>
      <c r="O2" s="13">
        <v>0.0</v>
      </c>
      <c r="P2" s="13">
        <v>0.0</v>
      </c>
      <c r="Q2" s="13">
        <v>0.0</v>
      </c>
      <c r="R2" s="13">
        <v>0.0</v>
      </c>
      <c r="S2" s="13">
        <v>0.0</v>
      </c>
      <c r="T2" s="13">
        <v>0.0</v>
      </c>
      <c r="U2" s="13">
        <v>0.0</v>
      </c>
      <c r="V2" s="13">
        <v>0.0</v>
      </c>
      <c r="W2" s="13">
        <v>0.0</v>
      </c>
      <c r="X2" s="13">
        <v>0.0</v>
      </c>
      <c r="Y2" s="13">
        <v>0.0</v>
      </c>
      <c r="Z2" s="13">
        <v>9.0</v>
      </c>
      <c r="AA2" s="13">
        <v>0.0</v>
      </c>
      <c r="AB2" s="13">
        <v>0.0</v>
      </c>
      <c r="AC2" s="13">
        <v>0.0</v>
      </c>
      <c r="AD2" s="13">
        <v>0.0</v>
      </c>
      <c r="AE2" s="13">
        <v>0.0</v>
      </c>
      <c r="AF2" s="13">
        <v>0.0</v>
      </c>
      <c r="AG2" s="13">
        <v>0.0</v>
      </c>
      <c r="AH2" s="13">
        <v>0.0</v>
      </c>
      <c r="AI2" s="13">
        <v>0.0</v>
      </c>
      <c r="AJ2" s="13">
        <v>0.0</v>
      </c>
      <c r="AK2" s="13">
        <v>0.0</v>
      </c>
      <c r="AL2" s="13">
        <v>129.0</v>
      </c>
      <c r="AM2" s="13">
        <v>0.0</v>
      </c>
      <c r="AN2" s="13">
        <v>0.0</v>
      </c>
      <c r="AO2" s="13">
        <v>0.0</v>
      </c>
      <c r="AP2" s="13">
        <v>0.0</v>
      </c>
      <c r="AQ2" s="13">
        <v>18.0</v>
      </c>
      <c r="AR2" s="13">
        <v>17.0</v>
      </c>
      <c r="AS2" s="13">
        <v>0.0</v>
      </c>
      <c r="AT2" s="13">
        <v>0.0</v>
      </c>
      <c r="AU2" s="13">
        <v>0.0</v>
      </c>
      <c r="AV2" s="13">
        <v>0.0</v>
      </c>
      <c r="AW2" s="13">
        <v>16.0</v>
      </c>
      <c r="AX2" s="13">
        <v>0.0</v>
      </c>
      <c r="AY2" s="13">
        <v>5.0</v>
      </c>
      <c r="AZ2" s="13">
        <v>28.0</v>
      </c>
      <c r="BA2" s="13">
        <v>0.0</v>
      </c>
      <c r="BB2" s="13">
        <v>0.0</v>
      </c>
      <c r="BC2" s="13">
        <v>0.0</v>
      </c>
      <c r="BD2" s="13">
        <v>0.0</v>
      </c>
      <c r="BE2" s="13">
        <v>0.0</v>
      </c>
      <c r="BF2" s="13">
        <v>0.0</v>
      </c>
      <c r="BG2" s="13">
        <v>0.0</v>
      </c>
      <c r="BH2" s="13">
        <f t="shared" ref="BH2:BH8" si="1">sum(L2:BG2)</f>
        <v>222</v>
      </c>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row>
    <row r="3" ht="36.75" customHeight="1">
      <c r="A3" s="11">
        <v>42769.0</v>
      </c>
      <c r="B3" s="13" t="s">
        <v>22</v>
      </c>
      <c r="C3" s="13" t="s">
        <v>127</v>
      </c>
      <c r="D3" s="13" t="s">
        <v>24</v>
      </c>
      <c r="E3" s="28" t="s">
        <v>25</v>
      </c>
      <c r="F3" s="13">
        <v>29.95</v>
      </c>
      <c r="G3" s="13">
        <v>-85.4309</v>
      </c>
      <c r="H3" s="13">
        <v>29.9584</v>
      </c>
      <c r="I3" s="14">
        <v>-85.4491</v>
      </c>
      <c r="J3" s="13" t="s">
        <v>131</v>
      </c>
      <c r="K3" s="13" t="s">
        <v>132</v>
      </c>
      <c r="L3" s="13">
        <v>0.0</v>
      </c>
      <c r="M3" s="13">
        <v>0.0</v>
      </c>
      <c r="N3" s="13">
        <v>2.0</v>
      </c>
      <c r="O3" s="13">
        <v>0.0</v>
      </c>
      <c r="P3" s="13">
        <v>0.0</v>
      </c>
      <c r="Q3" s="13">
        <v>0.0</v>
      </c>
      <c r="R3" s="13">
        <v>0.0</v>
      </c>
      <c r="S3" s="13">
        <v>0.0</v>
      </c>
      <c r="T3" s="13">
        <v>0.0</v>
      </c>
      <c r="U3" s="13">
        <v>0.0</v>
      </c>
      <c r="V3" s="13">
        <v>0.0</v>
      </c>
      <c r="W3" s="13">
        <v>0.0</v>
      </c>
      <c r="X3" s="13">
        <v>0.0</v>
      </c>
      <c r="Y3" s="13">
        <v>1.0</v>
      </c>
      <c r="Z3" s="13">
        <v>12.0</v>
      </c>
      <c r="AA3" s="13">
        <v>0.0</v>
      </c>
      <c r="AB3" s="13">
        <v>0.0</v>
      </c>
      <c r="AC3" s="13">
        <v>0.0</v>
      </c>
      <c r="AD3" s="13">
        <v>2.0</v>
      </c>
      <c r="AE3" s="13">
        <v>0.0</v>
      </c>
      <c r="AF3" s="13">
        <v>0.0</v>
      </c>
      <c r="AG3" s="13">
        <v>0.0</v>
      </c>
      <c r="AH3" s="13">
        <v>3.0</v>
      </c>
      <c r="AI3" s="13">
        <v>0.0</v>
      </c>
      <c r="AJ3" s="13">
        <v>0.0</v>
      </c>
      <c r="AK3" s="13">
        <v>0.0</v>
      </c>
      <c r="AL3" s="13">
        <v>0.0</v>
      </c>
      <c r="AM3" s="13">
        <v>0.0</v>
      </c>
      <c r="AN3" s="13">
        <v>1.0</v>
      </c>
      <c r="AO3" s="13">
        <v>0.0</v>
      </c>
      <c r="AP3" s="13">
        <v>0.0</v>
      </c>
      <c r="AQ3" s="13">
        <v>0.0</v>
      </c>
      <c r="AR3" s="13">
        <v>0.0</v>
      </c>
      <c r="AS3" s="13">
        <v>0.0</v>
      </c>
      <c r="AT3" s="13">
        <v>0.0</v>
      </c>
      <c r="AU3" s="13">
        <v>0.0</v>
      </c>
      <c r="AV3" s="13">
        <v>0.0</v>
      </c>
      <c r="AW3" s="13">
        <v>0.0</v>
      </c>
      <c r="AX3" s="13">
        <v>0.0</v>
      </c>
      <c r="AY3" s="13">
        <v>1.0</v>
      </c>
      <c r="AZ3" s="13">
        <v>0.0</v>
      </c>
      <c r="BA3" s="13">
        <v>0.0</v>
      </c>
      <c r="BB3" s="13">
        <v>0.0</v>
      </c>
      <c r="BC3" s="13">
        <v>0.0</v>
      </c>
      <c r="BD3" s="13">
        <v>0.0</v>
      </c>
      <c r="BE3" s="13">
        <v>0.0</v>
      </c>
      <c r="BF3" s="13">
        <v>0.0</v>
      </c>
      <c r="BG3" s="13">
        <v>0.0</v>
      </c>
      <c r="BH3" s="13">
        <f t="shared" si="1"/>
        <v>22</v>
      </c>
    </row>
    <row r="4" ht="36.75" customHeight="1">
      <c r="A4" s="11">
        <v>42769.0</v>
      </c>
      <c r="B4" s="13" t="s">
        <v>22</v>
      </c>
      <c r="C4" s="13" t="s">
        <v>66</v>
      </c>
      <c r="D4" s="13" t="s">
        <v>68</v>
      </c>
      <c r="E4" s="29" t="s">
        <v>25</v>
      </c>
      <c r="F4" s="13">
        <v>29.925</v>
      </c>
      <c r="G4" s="13">
        <v>-85.3894</v>
      </c>
      <c r="H4" s="13">
        <v>29.9505</v>
      </c>
      <c r="I4" s="14">
        <v>-85.4304</v>
      </c>
      <c r="J4" s="13" t="s">
        <v>136</v>
      </c>
      <c r="K4" s="13" t="s">
        <v>137</v>
      </c>
      <c r="L4" s="13">
        <v>0.0</v>
      </c>
      <c r="M4" s="13">
        <v>0.0</v>
      </c>
      <c r="N4" s="13">
        <v>0.0</v>
      </c>
      <c r="O4" s="13">
        <v>0.0</v>
      </c>
      <c r="P4" s="13">
        <v>0.0</v>
      </c>
      <c r="Q4" s="13">
        <v>0.0</v>
      </c>
      <c r="R4" s="13">
        <v>0.0</v>
      </c>
      <c r="S4" s="13">
        <v>0.0</v>
      </c>
      <c r="T4" s="13">
        <v>0.0</v>
      </c>
      <c r="U4" s="13">
        <v>0.0</v>
      </c>
      <c r="V4" s="13">
        <v>0.0</v>
      </c>
      <c r="W4" s="13">
        <v>0.0</v>
      </c>
      <c r="X4" s="13">
        <v>0.0</v>
      </c>
      <c r="Y4" s="13">
        <v>3.0</v>
      </c>
      <c r="Z4" s="13">
        <v>21.0</v>
      </c>
      <c r="AA4" s="13">
        <v>0.0</v>
      </c>
      <c r="AB4" s="13">
        <v>0.0</v>
      </c>
      <c r="AC4" s="13">
        <v>0.0</v>
      </c>
      <c r="AD4" s="13">
        <v>0.0</v>
      </c>
      <c r="AE4" s="13">
        <v>0.0</v>
      </c>
      <c r="AF4" s="13">
        <v>0.0</v>
      </c>
      <c r="AG4" s="13">
        <v>0.0</v>
      </c>
      <c r="AH4" s="13">
        <v>9.0</v>
      </c>
      <c r="AI4" s="13">
        <v>0.0</v>
      </c>
      <c r="AJ4" s="13">
        <v>0.0</v>
      </c>
      <c r="AK4" s="13">
        <v>0.0</v>
      </c>
      <c r="AL4" s="13">
        <v>0.0</v>
      </c>
      <c r="AM4" s="13">
        <v>0.0</v>
      </c>
      <c r="AN4" s="13">
        <v>7.0</v>
      </c>
      <c r="AO4" s="13">
        <v>0.0</v>
      </c>
      <c r="AP4" s="13">
        <v>0.0</v>
      </c>
      <c r="AQ4" s="13">
        <v>1.0</v>
      </c>
      <c r="AR4" s="13">
        <v>24.0</v>
      </c>
      <c r="AS4" s="13">
        <v>4.0</v>
      </c>
      <c r="AT4" s="13">
        <v>0.0</v>
      </c>
      <c r="AU4" s="13">
        <v>0.0</v>
      </c>
      <c r="AV4" s="13">
        <v>4.0</v>
      </c>
      <c r="AW4" s="13">
        <v>85.0</v>
      </c>
      <c r="AX4" s="13">
        <v>0.0</v>
      </c>
      <c r="AY4" s="13">
        <v>44.0</v>
      </c>
      <c r="AZ4" s="13">
        <v>4.0</v>
      </c>
      <c r="BA4" s="13">
        <v>0.0</v>
      </c>
      <c r="BB4" s="13">
        <v>0.0</v>
      </c>
      <c r="BC4" s="13">
        <v>0.0</v>
      </c>
      <c r="BD4" s="13">
        <v>0.0</v>
      </c>
      <c r="BE4" s="13">
        <v>0.0</v>
      </c>
      <c r="BF4" s="13">
        <v>0.0</v>
      </c>
      <c r="BG4" s="13">
        <v>0.0</v>
      </c>
      <c r="BH4" s="13">
        <f t="shared" si="1"/>
        <v>206</v>
      </c>
    </row>
    <row r="5" ht="36.75" customHeight="1">
      <c r="A5" s="15">
        <v>42769.0</v>
      </c>
      <c r="B5" s="16" t="s">
        <v>85</v>
      </c>
      <c r="C5" s="16" t="s">
        <v>86</v>
      </c>
      <c r="D5" s="16" t="s">
        <v>87</v>
      </c>
      <c r="E5" s="29" t="s">
        <v>25</v>
      </c>
      <c r="F5" s="17">
        <v>30.05303</v>
      </c>
      <c r="G5" s="13">
        <v>-85.6004</v>
      </c>
      <c r="H5" s="13">
        <v>30.00397</v>
      </c>
      <c r="I5" s="14">
        <v>-85.53571</v>
      </c>
      <c r="J5" s="13" t="s">
        <v>88</v>
      </c>
      <c r="K5" s="13" t="s">
        <v>48</v>
      </c>
      <c r="L5" s="13">
        <v>0.0</v>
      </c>
      <c r="M5" s="13">
        <v>0.0</v>
      </c>
      <c r="N5" s="13">
        <v>15.0</v>
      </c>
      <c r="O5" s="13">
        <v>37.0</v>
      </c>
      <c r="P5" s="13">
        <v>1.0</v>
      </c>
      <c r="Q5" s="13">
        <v>0.0</v>
      </c>
      <c r="R5" s="13">
        <v>0.0</v>
      </c>
      <c r="S5" s="13">
        <v>0.0</v>
      </c>
      <c r="T5" s="13">
        <v>0.0</v>
      </c>
      <c r="U5" s="13">
        <v>0.0</v>
      </c>
      <c r="V5" s="13">
        <v>0.0</v>
      </c>
      <c r="W5" s="13">
        <v>2.0</v>
      </c>
      <c r="X5" s="13">
        <v>0.0</v>
      </c>
      <c r="Y5" s="13">
        <v>2.0</v>
      </c>
      <c r="Z5" s="13">
        <v>151.0</v>
      </c>
      <c r="AA5" s="13">
        <v>0.0</v>
      </c>
      <c r="AB5" s="13">
        <v>0.0</v>
      </c>
      <c r="AC5" s="13">
        <v>0.0</v>
      </c>
      <c r="AD5" s="13">
        <v>39.0</v>
      </c>
      <c r="AE5" s="13">
        <v>0.0</v>
      </c>
      <c r="AF5" s="13">
        <v>0.0</v>
      </c>
      <c r="AG5" s="13">
        <v>0.0</v>
      </c>
      <c r="AH5" s="13">
        <v>24.0</v>
      </c>
      <c r="AI5" s="13">
        <v>1.0</v>
      </c>
      <c r="AJ5" s="13">
        <v>0.0</v>
      </c>
      <c r="AK5" s="13">
        <v>0.0</v>
      </c>
      <c r="AL5" s="13">
        <v>83.0</v>
      </c>
      <c r="AM5" s="13">
        <v>0.0</v>
      </c>
      <c r="AN5" s="13">
        <v>20.0</v>
      </c>
      <c r="AO5" s="13">
        <v>0.0</v>
      </c>
      <c r="AP5" s="13">
        <v>0.0</v>
      </c>
      <c r="AQ5" s="13">
        <v>2.0</v>
      </c>
      <c r="AR5" s="13">
        <v>5.0</v>
      </c>
      <c r="AS5" s="13">
        <v>0.0</v>
      </c>
      <c r="AT5" s="13">
        <v>0.0</v>
      </c>
      <c r="AU5" s="13">
        <v>0.0</v>
      </c>
      <c r="AV5" s="13">
        <v>6.0</v>
      </c>
      <c r="AW5" s="13">
        <v>0.0</v>
      </c>
      <c r="AX5" s="13">
        <v>0.0</v>
      </c>
      <c r="AY5" s="13">
        <v>86.0</v>
      </c>
      <c r="AZ5" s="13">
        <v>0.0</v>
      </c>
      <c r="BA5" s="13">
        <v>0.0</v>
      </c>
      <c r="BB5" s="13">
        <v>0.0</v>
      </c>
      <c r="BC5" s="13">
        <v>0.0</v>
      </c>
      <c r="BD5" s="13">
        <v>0.0</v>
      </c>
      <c r="BE5" s="13">
        <v>0.0</v>
      </c>
      <c r="BF5" s="13">
        <v>0.0</v>
      </c>
      <c r="BG5" s="13">
        <v>0.0</v>
      </c>
      <c r="BH5" s="13">
        <f t="shared" si="1"/>
        <v>474</v>
      </c>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row>
    <row r="6" ht="36.75" customHeight="1">
      <c r="A6" s="32">
        <v>42769.0</v>
      </c>
      <c r="B6" s="34" t="s">
        <v>139</v>
      </c>
      <c r="C6" s="34" t="s">
        <v>147</v>
      </c>
      <c r="D6" s="26" t="s">
        <v>141</v>
      </c>
      <c r="E6" s="35" t="s">
        <v>25</v>
      </c>
      <c r="F6" s="31">
        <v>30.08906</v>
      </c>
      <c r="G6" s="31">
        <v>-85.67865</v>
      </c>
      <c r="H6" s="31">
        <v>30.12122</v>
      </c>
      <c r="I6" s="33">
        <v>-85.72196</v>
      </c>
      <c r="J6" s="26" t="s">
        <v>149</v>
      </c>
      <c r="K6" s="31" t="s">
        <v>150</v>
      </c>
      <c r="L6" s="13">
        <v>0.0</v>
      </c>
      <c r="M6" s="13">
        <v>0.0</v>
      </c>
      <c r="N6" s="13">
        <v>3.0</v>
      </c>
      <c r="O6" s="13">
        <v>0.0</v>
      </c>
      <c r="P6" s="13">
        <v>0.0</v>
      </c>
      <c r="Q6" s="13">
        <v>0.0</v>
      </c>
      <c r="R6" s="13">
        <v>0.0</v>
      </c>
      <c r="S6" s="13">
        <v>0.0</v>
      </c>
      <c r="T6" s="13">
        <v>0.0</v>
      </c>
      <c r="U6" s="13">
        <v>0.0</v>
      </c>
      <c r="V6" s="13">
        <v>0.0</v>
      </c>
      <c r="W6" s="13">
        <v>0.0</v>
      </c>
      <c r="X6" s="13">
        <v>0.0</v>
      </c>
      <c r="Y6" s="13">
        <v>2.0</v>
      </c>
      <c r="Z6" s="13">
        <v>60.0</v>
      </c>
      <c r="AA6" s="13">
        <v>0.0</v>
      </c>
      <c r="AB6" s="13">
        <v>0.0</v>
      </c>
      <c r="AC6" s="13">
        <v>0.0</v>
      </c>
      <c r="AD6" s="13">
        <v>19.0</v>
      </c>
      <c r="AE6" s="13">
        <v>0.0</v>
      </c>
      <c r="AF6" s="13">
        <v>0.0</v>
      </c>
      <c r="AG6" s="13">
        <v>0.0</v>
      </c>
      <c r="AH6" s="13">
        <v>6.0</v>
      </c>
      <c r="AI6" s="13">
        <v>0.0</v>
      </c>
      <c r="AJ6" s="13">
        <v>0.0</v>
      </c>
      <c r="AK6" s="13">
        <v>0.0</v>
      </c>
      <c r="AL6" s="13">
        <v>0.0</v>
      </c>
      <c r="AM6" s="13">
        <v>0.0</v>
      </c>
      <c r="AN6" s="13">
        <v>6.0</v>
      </c>
      <c r="AO6" s="13">
        <v>0.0</v>
      </c>
      <c r="AP6" s="13">
        <v>0.0</v>
      </c>
      <c r="AQ6" s="13">
        <v>5.0</v>
      </c>
      <c r="AR6" s="13">
        <v>0.0</v>
      </c>
      <c r="AS6" s="13">
        <v>0.0</v>
      </c>
      <c r="AT6" s="13">
        <v>0.0</v>
      </c>
      <c r="AU6" s="13">
        <v>0.0</v>
      </c>
      <c r="AV6" s="13">
        <v>0.0</v>
      </c>
      <c r="AW6" s="13">
        <v>3.0</v>
      </c>
      <c r="AX6" s="13">
        <v>0.0</v>
      </c>
      <c r="AY6" s="13">
        <v>10.0</v>
      </c>
      <c r="AZ6" s="13">
        <v>0.0</v>
      </c>
      <c r="BA6" s="13">
        <v>0.0</v>
      </c>
      <c r="BB6" s="13">
        <v>0.0</v>
      </c>
      <c r="BC6" s="13">
        <v>0.0</v>
      </c>
      <c r="BD6" s="13">
        <v>0.0</v>
      </c>
      <c r="BE6" s="13">
        <v>0.0</v>
      </c>
      <c r="BF6" s="13">
        <v>0.0</v>
      </c>
      <c r="BG6" s="13">
        <v>0.0</v>
      </c>
      <c r="BH6" s="13">
        <f t="shared" si="1"/>
        <v>114</v>
      </c>
      <c r="BI6" s="13" t="s">
        <v>153</v>
      </c>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row>
    <row r="7" ht="36.75" customHeight="1">
      <c r="A7" s="32">
        <v>42769.0</v>
      </c>
      <c r="B7" s="34" t="s">
        <v>139</v>
      </c>
      <c r="C7" s="34" t="s">
        <v>147</v>
      </c>
      <c r="D7" s="31" t="s">
        <v>158</v>
      </c>
      <c r="E7" s="26" t="s">
        <v>25</v>
      </c>
      <c r="F7" s="31">
        <v>30.08906</v>
      </c>
      <c r="G7" s="31">
        <v>-85.67865</v>
      </c>
      <c r="H7" s="31">
        <v>30.529</v>
      </c>
      <c r="I7" s="33">
        <v>-85.60049</v>
      </c>
      <c r="J7" s="31" t="s">
        <v>159</v>
      </c>
      <c r="K7" s="31" t="s">
        <v>160</v>
      </c>
      <c r="L7" s="13">
        <v>0.0</v>
      </c>
      <c r="M7" s="13">
        <v>0.0</v>
      </c>
      <c r="N7" s="13">
        <v>16.0</v>
      </c>
      <c r="O7" s="13">
        <v>27.0</v>
      </c>
      <c r="P7" s="13">
        <v>0.0</v>
      </c>
      <c r="Q7" s="13">
        <v>0.0</v>
      </c>
      <c r="R7" s="13">
        <v>0.0</v>
      </c>
      <c r="S7" s="13">
        <v>0.0</v>
      </c>
      <c r="T7" s="13">
        <v>0.0</v>
      </c>
      <c r="U7" s="13">
        <v>0.0</v>
      </c>
      <c r="V7" s="13">
        <v>0.0</v>
      </c>
      <c r="W7" s="13">
        <v>4.0</v>
      </c>
      <c r="X7" s="13">
        <v>0.0</v>
      </c>
      <c r="Y7" s="13">
        <v>4.0</v>
      </c>
      <c r="Z7" s="13">
        <v>66.0</v>
      </c>
      <c r="AA7" s="13">
        <v>1.0</v>
      </c>
      <c r="AB7" s="13">
        <v>0.0</v>
      </c>
      <c r="AC7" s="13">
        <v>0.0</v>
      </c>
      <c r="AD7" s="13">
        <v>14.0</v>
      </c>
      <c r="AE7" s="13">
        <v>0.0</v>
      </c>
      <c r="AF7" s="13">
        <v>0.0</v>
      </c>
      <c r="AG7" s="13">
        <v>1.0</v>
      </c>
      <c r="AH7" s="13">
        <v>26.0</v>
      </c>
      <c r="AI7" s="13">
        <v>5.0</v>
      </c>
      <c r="AJ7" s="13">
        <v>0.0</v>
      </c>
      <c r="AK7" s="13">
        <v>0.0</v>
      </c>
      <c r="AL7" s="13">
        <v>1.0</v>
      </c>
      <c r="AM7" s="13">
        <v>0.0</v>
      </c>
      <c r="AN7" s="13">
        <v>6.0</v>
      </c>
      <c r="AO7" s="13">
        <v>0.0</v>
      </c>
      <c r="AP7" s="13">
        <v>0.0</v>
      </c>
      <c r="AQ7" s="13">
        <v>2.0</v>
      </c>
      <c r="AR7" s="13">
        <v>10.0</v>
      </c>
      <c r="AS7" s="13">
        <v>0.0</v>
      </c>
      <c r="AT7" s="13">
        <v>0.0</v>
      </c>
      <c r="AU7" s="13">
        <v>0.0</v>
      </c>
      <c r="AV7" s="13">
        <v>3.0</v>
      </c>
      <c r="AW7" s="13">
        <v>3.0</v>
      </c>
      <c r="AX7" s="13">
        <v>0.0</v>
      </c>
      <c r="AY7" s="13">
        <v>52.0</v>
      </c>
      <c r="AZ7" s="13">
        <v>4.0</v>
      </c>
      <c r="BA7" s="13">
        <v>0.0</v>
      </c>
      <c r="BB7" s="13">
        <v>0.0</v>
      </c>
      <c r="BC7" s="13">
        <v>0.0</v>
      </c>
      <c r="BD7" s="13">
        <v>0.0</v>
      </c>
      <c r="BE7" s="13">
        <v>0.0</v>
      </c>
      <c r="BF7" s="13">
        <v>0.0</v>
      </c>
      <c r="BG7" s="13">
        <v>0.0</v>
      </c>
      <c r="BH7" s="13">
        <f t="shared" si="1"/>
        <v>245</v>
      </c>
      <c r="BI7" s="13" t="s">
        <v>162</v>
      </c>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row>
    <row r="8" ht="36.75" customHeight="1">
      <c r="A8" s="11">
        <v>42769.0</v>
      </c>
      <c r="B8" s="13" t="s">
        <v>165</v>
      </c>
      <c r="C8" s="13" t="s">
        <v>166</v>
      </c>
      <c r="D8" s="13" t="s">
        <v>167</v>
      </c>
      <c r="E8" s="34" t="s">
        <v>25</v>
      </c>
      <c r="F8" s="13">
        <v>29.98487</v>
      </c>
      <c r="G8" s="13">
        <v>-85.49261</v>
      </c>
      <c r="H8" s="13">
        <v>29.98222</v>
      </c>
      <c r="I8" s="14">
        <v>-85.48926</v>
      </c>
      <c r="J8" s="13" t="s">
        <v>169</v>
      </c>
      <c r="K8" s="13" t="s">
        <v>170</v>
      </c>
      <c r="L8" s="13">
        <v>0.0</v>
      </c>
      <c r="M8" s="13">
        <v>0.0</v>
      </c>
      <c r="N8" s="13">
        <v>3.0</v>
      </c>
      <c r="O8" s="13">
        <v>55.0</v>
      </c>
      <c r="P8" s="13">
        <v>7.0</v>
      </c>
      <c r="Q8" s="13">
        <v>0.0</v>
      </c>
      <c r="R8" s="13">
        <v>8.0</v>
      </c>
      <c r="S8" s="13">
        <v>0.0</v>
      </c>
      <c r="T8" s="13">
        <v>0.0</v>
      </c>
      <c r="U8" s="13">
        <v>0.0</v>
      </c>
      <c r="V8" s="13">
        <v>0.0</v>
      </c>
      <c r="W8" s="13">
        <v>5.0</v>
      </c>
      <c r="X8" s="13">
        <v>0.0</v>
      </c>
      <c r="Y8" s="13">
        <v>0.0</v>
      </c>
      <c r="Z8" s="13">
        <v>0.0</v>
      </c>
      <c r="AA8" s="13">
        <v>0.0</v>
      </c>
      <c r="AB8" s="13">
        <v>0.0</v>
      </c>
      <c r="AC8" s="13">
        <v>4.0</v>
      </c>
      <c r="AD8" s="13">
        <v>0.0</v>
      </c>
      <c r="AE8" s="13">
        <v>0.0</v>
      </c>
      <c r="AF8" s="13">
        <v>0.0</v>
      </c>
      <c r="AG8" s="13">
        <v>0.0</v>
      </c>
      <c r="AH8" s="13">
        <v>4.0</v>
      </c>
      <c r="AI8" s="13">
        <v>0.0</v>
      </c>
      <c r="AJ8" s="13">
        <v>0.0</v>
      </c>
      <c r="AK8" s="13">
        <v>0.0</v>
      </c>
      <c r="AL8" s="13">
        <v>0.0</v>
      </c>
      <c r="AM8" s="13">
        <v>0.0</v>
      </c>
      <c r="AN8" s="13">
        <v>11.0</v>
      </c>
      <c r="AO8" s="13">
        <v>0.0</v>
      </c>
      <c r="AP8" s="13">
        <v>0.0</v>
      </c>
      <c r="AQ8" s="13">
        <v>4.0</v>
      </c>
      <c r="AR8" s="13">
        <v>1.0</v>
      </c>
      <c r="AS8" s="13">
        <v>0.0</v>
      </c>
      <c r="AT8" s="13">
        <v>0.0</v>
      </c>
      <c r="AU8" s="13">
        <v>0.0</v>
      </c>
      <c r="AV8" s="13">
        <v>1.0</v>
      </c>
      <c r="AW8" s="13">
        <v>0.0</v>
      </c>
      <c r="AX8" s="13">
        <v>0.0</v>
      </c>
      <c r="AY8" s="13">
        <v>2.0</v>
      </c>
      <c r="AZ8" s="13">
        <v>0.0</v>
      </c>
      <c r="BA8" s="13">
        <v>0.0</v>
      </c>
      <c r="BB8" s="13">
        <v>0.0</v>
      </c>
      <c r="BC8" s="13">
        <v>0.0</v>
      </c>
      <c r="BD8" s="13">
        <v>0.0</v>
      </c>
      <c r="BE8" s="13">
        <v>0.0</v>
      </c>
      <c r="BF8" s="13">
        <v>0.0</v>
      </c>
      <c r="BG8" s="13">
        <v>0.0</v>
      </c>
      <c r="BH8" s="13">
        <f t="shared" si="1"/>
        <v>105</v>
      </c>
    </row>
    <row r="9" ht="36.75" customHeight="1">
      <c r="A9" s="11">
        <v>42769.0</v>
      </c>
      <c r="B9" s="13" t="s">
        <v>165</v>
      </c>
      <c r="C9" s="13" t="s">
        <v>166</v>
      </c>
      <c r="D9" s="13" t="s">
        <v>174</v>
      </c>
      <c r="E9" s="34" t="s">
        <v>25</v>
      </c>
      <c r="F9" s="16">
        <v>30.13865</v>
      </c>
      <c r="G9" s="16">
        <v>-85.6691</v>
      </c>
      <c r="H9" s="13">
        <v>30.13321</v>
      </c>
      <c r="I9" s="13">
        <v>-85.67809</v>
      </c>
      <c r="J9" s="13" t="s">
        <v>176</v>
      </c>
      <c r="K9" s="13" t="s">
        <v>177</v>
      </c>
      <c r="L9" s="13">
        <v>0.0</v>
      </c>
      <c r="M9" s="13">
        <v>0.0</v>
      </c>
      <c r="N9" s="13">
        <v>1.0</v>
      </c>
      <c r="O9" s="13">
        <v>4.0</v>
      </c>
      <c r="P9" s="13">
        <v>0.0</v>
      </c>
      <c r="Q9" s="13">
        <v>0.0</v>
      </c>
      <c r="R9" s="13">
        <v>0.0</v>
      </c>
      <c r="S9" s="13">
        <v>0.0</v>
      </c>
      <c r="T9" s="13">
        <v>0.0</v>
      </c>
      <c r="U9" s="13">
        <v>0.0</v>
      </c>
      <c r="V9" s="13">
        <v>0.0</v>
      </c>
      <c r="W9" s="13">
        <v>0.0</v>
      </c>
      <c r="X9" s="13">
        <v>0.0</v>
      </c>
      <c r="Y9" s="13">
        <v>10.0</v>
      </c>
      <c r="Z9" s="13">
        <v>0.0</v>
      </c>
      <c r="AA9" s="13">
        <v>0.0</v>
      </c>
      <c r="AB9" s="13">
        <v>0.0</v>
      </c>
      <c r="AC9" s="13">
        <v>0.0</v>
      </c>
      <c r="AD9" s="13">
        <v>0.0</v>
      </c>
      <c r="AE9" s="13">
        <v>0.0</v>
      </c>
      <c r="AF9" s="13">
        <v>0.0</v>
      </c>
      <c r="AG9" s="13">
        <v>0.0</v>
      </c>
      <c r="AH9" s="13">
        <v>1.0</v>
      </c>
      <c r="AI9" s="13">
        <v>0.0</v>
      </c>
      <c r="AJ9" s="13">
        <v>0.0</v>
      </c>
      <c r="AK9" s="13">
        <v>0.0</v>
      </c>
      <c r="AL9" s="13">
        <v>0.0</v>
      </c>
      <c r="AM9" s="13">
        <v>0.0</v>
      </c>
      <c r="AN9" s="13">
        <v>3.0</v>
      </c>
      <c r="AO9" s="13">
        <v>0.0</v>
      </c>
      <c r="AP9" s="13">
        <v>0.0</v>
      </c>
      <c r="AQ9" s="13">
        <v>0.0</v>
      </c>
      <c r="AR9" s="13">
        <v>4.0</v>
      </c>
      <c r="AS9" s="13">
        <v>0.0</v>
      </c>
      <c r="AT9" s="13">
        <v>0.0</v>
      </c>
      <c r="AU9" s="13">
        <v>0.0</v>
      </c>
      <c r="AV9" s="13">
        <v>0.0</v>
      </c>
      <c r="AW9" s="13">
        <v>1.0</v>
      </c>
      <c r="AX9" s="13">
        <v>0.0</v>
      </c>
      <c r="AY9" s="13">
        <v>3.0</v>
      </c>
      <c r="AZ9" s="13">
        <v>0.0</v>
      </c>
      <c r="BA9" s="13">
        <v>0.0</v>
      </c>
      <c r="BB9" s="13">
        <v>0.0</v>
      </c>
      <c r="BC9" s="13">
        <v>0.0</v>
      </c>
      <c r="BD9" s="13">
        <v>0.0</v>
      </c>
      <c r="BE9" s="13">
        <v>0.0</v>
      </c>
      <c r="BF9" s="13">
        <v>0.0</v>
      </c>
      <c r="BG9" s="13">
        <v>0.0</v>
      </c>
      <c r="BH9" s="13">
        <v>27.0</v>
      </c>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row>
    <row r="10" ht="36.75" customHeight="1">
      <c r="A10" s="41">
        <v>42769.0</v>
      </c>
      <c r="B10" s="16" t="s">
        <v>194</v>
      </c>
      <c r="C10" s="16" t="s">
        <v>195</v>
      </c>
      <c r="D10" s="16" t="s">
        <v>196</v>
      </c>
      <c r="E10" s="34" t="s">
        <v>25</v>
      </c>
      <c r="F10" s="16">
        <v>29.95482</v>
      </c>
      <c r="G10" s="16">
        <v>-85.4491</v>
      </c>
      <c r="H10" s="13">
        <v>30.00088</v>
      </c>
      <c r="I10" s="13">
        <v>-85.5287</v>
      </c>
      <c r="J10" s="13" t="s">
        <v>201</v>
      </c>
      <c r="K10" s="13" t="s">
        <v>203</v>
      </c>
      <c r="L10" s="13"/>
      <c r="M10" s="13"/>
      <c r="N10" s="13">
        <v>17.0</v>
      </c>
      <c r="O10" s="13">
        <v>39.0</v>
      </c>
      <c r="P10" s="13">
        <v>2.0</v>
      </c>
      <c r="Q10" s="13"/>
      <c r="R10" s="13">
        <v>10.0</v>
      </c>
      <c r="S10" s="13"/>
      <c r="T10" s="13"/>
      <c r="U10" s="13"/>
      <c r="V10" s="13"/>
      <c r="W10" s="13"/>
      <c r="X10" s="13"/>
      <c r="Y10" s="13">
        <v>11.0</v>
      </c>
      <c r="Z10" s="13">
        <v>91.0</v>
      </c>
      <c r="AA10" s="13"/>
      <c r="AB10" s="13"/>
      <c r="AC10" s="13"/>
      <c r="AD10" s="13">
        <v>32.0</v>
      </c>
      <c r="AE10" s="13"/>
      <c r="AF10" s="13"/>
      <c r="AG10" s="13"/>
      <c r="AH10" s="13">
        <v>21.0</v>
      </c>
      <c r="AI10" s="13">
        <v>4.0</v>
      </c>
      <c r="AJ10" s="13"/>
      <c r="AK10" s="13"/>
      <c r="AL10" s="13">
        <v>14.0</v>
      </c>
      <c r="AM10" s="13"/>
      <c r="AN10" s="13">
        <v>11.0</v>
      </c>
      <c r="AO10" s="13"/>
      <c r="AP10" s="13"/>
      <c r="AQ10" s="13">
        <v>11.0</v>
      </c>
      <c r="AR10" s="13">
        <v>24.0</v>
      </c>
      <c r="AS10" s="13"/>
      <c r="AT10" s="13"/>
      <c r="AU10" s="13"/>
      <c r="AV10" s="13">
        <v>16.0</v>
      </c>
      <c r="AW10" s="13">
        <v>1.0</v>
      </c>
      <c r="AX10" s="13"/>
      <c r="AY10" s="13">
        <v>33.0</v>
      </c>
      <c r="AZ10" s="13">
        <v>8.0</v>
      </c>
      <c r="BA10" s="13"/>
      <c r="BB10" s="13"/>
      <c r="BC10" s="13"/>
      <c r="BD10" s="13"/>
      <c r="BE10" s="13"/>
      <c r="BF10" s="13"/>
      <c r="BG10" s="13"/>
      <c r="BH10" s="13">
        <v>345.0</v>
      </c>
      <c r="BI10" s="13" t="s">
        <v>216</v>
      </c>
    </row>
    <row r="11" ht="36.75" customHeight="1">
      <c r="A11" s="41">
        <v>42770.0</v>
      </c>
      <c r="B11" s="16" t="s">
        <v>110</v>
      </c>
      <c r="C11" s="13" t="s">
        <v>112</v>
      </c>
      <c r="D11" s="16" t="s">
        <v>218</v>
      </c>
      <c r="E11" s="34" t="s">
        <v>25</v>
      </c>
      <c r="F11" s="16">
        <v>30.26652</v>
      </c>
      <c r="G11" s="16">
        <v>-85.98927</v>
      </c>
      <c r="H11" s="13">
        <v>30.26943</v>
      </c>
      <c r="I11" s="13">
        <v>-85.99601</v>
      </c>
      <c r="J11" s="13" t="s">
        <v>227</v>
      </c>
      <c r="K11" s="13" t="s">
        <v>228</v>
      </c>
      <c r="L11" s="13">
        <v>0.0</v>
      </c>
      <c r="M11" s="13">
        <v>0.0</v>
      </c>
      <c r="N11" s="13">
        <v>0.0</v>
      </c>
      <c r="O11" s="13">
        <v>0.0</v>
      </c>
      <c r="P11" s="13">
        <v>0.0</v>
      </c>
      <c r="Q11" s="13">
        <v>4.0</v>
      </c>
      <c r="R11" s="13">
        <v>0.0</v>
      </c>
      <c r="S11" s="13">
        <v>0.0</v>
      </c>
      <c r="T11" s="13">
        <v>0.0</v>
      </c>
      <c r="U11" s="13">
        <v>0.0</v>
      </c>
      <c r="V11" s="13">
        <v>0.0</v>
      </c>
      <c r="W11" s="13">
        <v>0.0</v>
      </c>
      <c r="X11" s="13">
        <v>0.0</v>
      </c>
      <c r="Y11" s="13">
        <v>0.0</v>
      </c>
      <c r="Z11" s="13">
        <v>14.0</v>
      </c>
      <c r="AA11" s="13">
        <v>0.0</v>
      </c>
      <c r="AB11" s="13">
        <v>0.0</v>
      </c>
      <c r="AC11" s="13">
        <v>0.0</v>
      </c>
      <c r="AD11" s="13">
        <v>4.0</v>
      </c>
      <c r="AE11" s="13">
        <v>0.0</v>
      </c>
      <c r="AF11" s="13">
        <v>0.0</v>
      </c>
      <c r="AG11" s="13">
        <v>0.0</v>
      </c>
      <c r="AH11" s="13">
        <v>1.0</v>
      </c>
      <c r="AI11" s="13">
        <v>0.0</v>
      </c>
      <c r="AJ11" s="13">
        <v>0.0</v>
      </c>
      <c r="AK11" s="13">
        <v>0.0</v>
      </c>
      <c r="AL11" s="13">
        <v>3.0</v>
      </c>
      <c r="AM11" s="13">
        <v>0.0</v>
      </c>
      <c r="AN11" s="13">
        <v>0.0</v>
      </c>
      <c r="AO11" s="13">
        <v>0.0</v>
      </c>
      <c r="AP11" s="13">
        <v>0.0</v>
      </c>
      <c r="AQ11" s="13">
        <v>0.0</v>
      </c>
      <c r="AR11" s="13">
        <v>8.0</v>
      </c>
      <c r="AS11" s="13">
        <v>0.0</v>
      </c>
      <c r="AT11" s="13">
        <v>0.0</v>
      </c>
      <c r="AU11" s="13">
        <v>0.0</v>
      </c>
      <c r="AV11" s="13">
        <v>0.0</v>
      </c>
      <c r="AW11" s="13">
        <v>13.0</v>
      </c>
      <c r="AX11" s="13">
        <v>0.0</v>
      </c>
      <c r="AY11" s="13">
        <v>5.0</v>
      </c>
      <c r="AZ11" s="13">
        <v>0.0</v>
      </c>
      <c r="BA11" s="13">
        <v>0.0</v>
      </c>
      <c r="BB11" s="13">
        <v>0.0</v>
      </c>
      <c r="BC11" s="13">
        <v>0.0</v>
      </c>
      <c r="BD11" s="13">
        <v>0.0</v>
      </c>
      <c r="BE11" s="13">
        <v>0.0</v>
      </c>
      <c r="BF11" s="13">
        <v>0.0</v>
      </c>
      <c r="BG11" s="13">
        <v>0.0</v>
      </c>
      <c r="BH11" s="13">
        <f>sum(L11:BG11)</f>
        <v>52</v>
      </c>
    </row>
    <row r="12" ht="36.75" customHeight="1">
      <c r="A12" s="43">
        <v>42770.0</v>
      </c>
      <c r="B12" s="16" t="s">
        <v>257</v>
      </c>
      <c r="C12" s="16" t="s">
        <v>195</v>
      </c>
      <c r="D12" s="16" t="s">
        <v>259</v>
      </c>
      <c r="E12" s="34" t="s">
        <v>25</v>
      </c>
      <c r="F12" s="16">
        <v>30.31651</v>
      </c>
      <c r="G12" s="16">
        <v>-85.76203</v>
      </c>
      <c r="H12" s="13">
        <v>30.25841</v>
      </c>
      <c r="I12" s="13">
        <v>-85.73208</v>
      </c>
      <c r="J12" s="13" t="s">
        <v>263</v>
      </c>
      <c r="K12" s="13" t="s">
        <v>264</v>
      </c>
      <c r="N12" s="13">
        <v>55.0</v>
      </c>
      <c r="O12" s="13">
        <v>765.0</v>
      </c>
      <c r="P12" s="13">
        <v>12.0</v>
      </c>
      <c r="R12" s="13">
        <v>136.0</v>
      </c>
      <c r="Z12" s="13"/>
      <c r="AA12" s="13">
        <v>25.0</v>
      </c>
      <c r="AC12" s="13">
        <v>10.0</v>
      </c>
      <c r="AF12" s="13">
        <v>15.0</v>
      </c>
      <c r="AH12" s="13">
        <v>15.0</v>
      </c>
      <c r="AN12" s="13">
        <v>23.0</v>
      </c>
      <c r="AQ12" s="13">
        <v>6.0</v>
      </c>
      <c r="AR12" s="13">
        <v>5.0</v>
      </c>
      <c r="AW12" s="13">
        <v>1.0</v>
      </c>
      <c r="AY12" s="13">
        <v>13.0</v>
      </c>
      <c r="AZ12" s="13">
        <v>5.0</v>
      </c>
      <c r="BH12" s="13">
        <v>1086.0</v>
      </c>
      <c r="BI12" s="13" t="s">
        <v>272</v>
      </c>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row>
    <row r="13" ht="36.75" customHeight="1">
      <c r="A13" s="11">
        <v>42769.0</v>
      </c>
      <c r="B13" s="13" t="s">
        <v>165</v>
      </c>
      <c r="C13" s="13" t="s">
        <v>166</v>
      </c>
      <c r="D13" s="16" t="s">
        <v>280</v>
      </c>
      <c r="E13" s="26" t="s">
        <v>281</v>
      </c>
      <c r="F13" s="16">
        <v>30.0098</v>
      </c>
      <c r="G13" s="16">
        <v>-85.52682</v>
      </c>
      <c r="H13" s="13">
        <v>29.99791</v>
      </c>
      <c r="I13" s="13">
        <v>-85.51371</v>
      </c>
      <c r="J13" s="13" t="s">
        <v>283</v>
      </c>
      <c r="K13" s="13" t="s">
        <v>285</v>
      </c>
      <c r="L13" s="13">
        <v>0.0</v>
      </c>
      <c r="M13" s="13">
        <v>0.0</v>
      </c>
      <c r="N13" s="13">
        <v>0.0</v>
      </c>
      <c r="O13" s="13">
        <v>0.0</v>
      </c>
      <c r="P13" s="13">
        <v>1.0</v>
      </c>
      <c r="Q13" s="13">
        <v>0.0</v>
      </c>
      <c r="R13" s="13">
        <v>0.0</v>
      </c>
      <c r="S13" s="13">
        <v>0.0</v>
      </c>
      <c r="T13" s="13">
        <v>0.0</v>
      </c>
      <c r="U13" s="13">
        <v>0.0</v>
      </c>
      <c r="V13" s="13">
        <v>0.0</v>
      </c>
      <c r="W13" s="13">
        <v>0.0</v>
      </c>
      <c r="X13" s="13">
        <v>0.0</v>
      </c>
      <c r="Y13" s="13">
        <v>0.0</v>
      </c>
      <c r="Z13" s="13">
        <v>18.0</v>
      </c>
      <c r="AA13" s="13">
        <v>0.0</v>
      </c>
      <c r="AB13" s="13">
        <v>0.0</v>
      </c>
      <c r="AC13" s="13">
        <v>0.0</v>
      </c>
      <c r="AD13" s="13">
        <v>0.0</v>
      </c>
      <c r="AE13" s="13">
        <v>0.0</v>
      </c>
      <c r="AF13" s="13">
        <v>0.0</v>
      </c>
      <c r="AG13" s="13">
        <v>0.0</v>
      </c>
      <c r="AH13" s="13">
        <v>3.0</v>
      </c>
      <c r="AI13" s="13">
        <v>0.0</v>
      </c>
      <c r="AJ13" s="13">
        <v>0.0</v>
      </c>
      <c r="AK13" s="13">
        <v>0.0</v>
      </c>
      <c r="AL13" s="13">
        <v>3.0</v>
      </c>
      <c r="AM13" s="13">
        <v>0.0</v>
      </c>
      <c r="AN13" s="13">
        <v>5.0</v>
      </c>
      <c r="AO13" s="13">
        <v>0.0</v>
      </c>
      <c r="AP13" s="13">
        <v>0.0</v>
      </c>
      <c r="AQ13" s="13">
        <v>2.0</v>
      </c>
      <c r="AR13" s="13">
        <v>2.0</v>
      </c>
      <c r="AS13" s="13">
        <v>0.0</v>
      </c>
      <c r="AT13" s="13">
        <v>0.0</v>
      </c>
      <c r="AU13" s="13">
        <v>0.0</v>
      </c>
      <c r="AV13" s="13">
        <v>0.0</v>
      </c>
      <c r="AW13" s="13">
        <v>0.0</v>
      </c>
      <c r="AX13" s="13">
        <v>0.0</v>
      </c>
      <c r="AY13" s="13">
        <v>4.0</v>
      </c>
      <c r="AZ13" s="13">
        <v>1.0</v>
      </c>
      <c r="BA13" s="13">
        <v>0.0</v>
      </c>
      <c r="BB13" s="13">
        <v>0.0</v>
      </c>
      <c r="BC13" s="13">
        <v>0.0</v>
      </c>
      <c r="BD13" s="13">
        <v>0.0</v>
      </c>
      <c r="BE13" s="13">
        <v>0.0</v>
      </c>
      <c r="BF13" s="13">
        <v>0.0</v>
      </c>
      <c r="BG13" s="13">
        <v>0.0</v>
      </c>
      <c r="BH13" s="13">
        <v>39.0</v>
      </c>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row>
    <row r="14" ht="36.75" customHeight="1">
      <c r="A14" s="11">
        <v>42769.0</v>
      </c>
      <c r="B14" s="13" t="s">
        <v>300</v>
      </c>
      <c r="C14" s="13" t="s">
        <v>301</v>
      </c>
      <c r="D14" s="13" t="s">
        <v>302</v>
      </c>
      <c r="E14" s="26" t="s">
        <v>303</v>
      </c>
      <c r="F14" s="13" t="s">
        <v>304</v>
      </c>
      <c r="G14" s="13" t="s">
        <v>306</v>
      </c>
      <c r="H14" s="13" t="s">
        <v>307</v>
      </c>
      <c r="I14" s="14" t="s">
        <v>308</v>
      </c>
      <c r="J14" s="13" t="s">
        <v>310</v>
      </c>
      <c r="K14" s="13" t="s">
        <v>313</v>
      </c>
      <c r="N14" s="13">
        <v>3.0</v>
      </c>
      <c r="Y14" s="13">
        <v>17.0</v>
      </c>
      <c r="Z14" s="13">
        <v>160.0</v>
      </c>
      <c r="AH14" s="13">
        <v>17.0</v>
      </c>
      <c r="AK14" s="13">
        <v>75.0</v>
      </c>
      <c r="AL14" s="13"/>
      <c r="AN14" s="13">
        <v>10.0</v>
      </c>
      <c r="AR14" s="13"/>
      <c r="AV14" s="13">
        <v>4.0</v>
      </c>
      <c r="AW14" s="13">
        <v>4.0</v>
      </c>
      <c r="AY14" s="13"/>
      <c r="AZ14" s="13">
        <v>195.0</v>
      </c>
      <c r="BA14" s="13">
        <v>1.0</v>
      </c>
      <c r="BC14" s="13">
        <v>6.0</v>
      </c>
      <c r="BG14" s="13">
        <v>1.0</v>
      </c>
      <c r="BH14" s="13">
        <f t="shared" ref="BH14:BH18" si="2">sum(L14:BG14)</f>
        <v>493</v>
      </c>
      <c r="BI14" s="13" t="s">
        <v>323</v>
      </c>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row>
    <row r="15" ht="36.75" customHeight="1">
      <c r="A15" s="11">
        <v>42772.0</v>
      </c>
      <c r="B15" s="13" t="s">
        <v>332</v>
      </c>
      <c r="C15" s="13" t="s">
        <v>333</v>
      </c>
      <c r="D15" s="13" t="s">
        <v>335</v>
      </c>
      <c r="E15" s="29" t="s">
        <v>303</v>
      </c>
      <c r="F15" s="13">
        <v>28.27195</v>
      </c>
      <c r="G15" s="13">
        <v>-80.60527</v>
      </c>
      <c r="H15" s="13">
        <v>28.21282</v>
      </c>
      <c r="I15" s="14">
        <v>-80.5969</v>
      </c>
      <c r="J15" s="13" t="s">
        <v>336</v>
      </c>
      <c r="K15" s="13" t="s">
        <v>337</v>
      </c>
      <c r="L15" s="13">
        <v>0.0</v>
      </c>
      <c r="M15" s="13">
        <v>0.0</v>
      </c>
      <c r="N15" s="13">
        <v>3.0</v>
      </c>
      <c r="O15" s="13">
        <v>0.0</v>
      </c>
      <c r="P15" s="13">
        <v>0.0</v>
      </c>
      <c r="Q15" s="13">
        <v>0.0</v>
      </c>
      <c r="R15" s="13">
        <v>0.0</v>
      </c>
      <c r="S15" s="13">
        <v>0.0</v>
      </c>
      <c r="T15" s="13">
        <v>0.0</v>
      </c>
      <c r="U15" s="13">
        <v>0.0</v>
      </c>
      <c r="V15" s="13">
        <v>0.0</v>
      </c>
      <c r="W15" s="13">
        <v>0.0</v>
      </c>
      <c r="X15" s="13">
        <v>0.0</v>
      </c>
      <c r="Y15" s="13">
        <v>4.0</v>
      </c>
      <c r="Z15" s="13">
        <v>80.0</v>
      </c>
      <c r="AA15" s="13">
        <v>0.0</v>
      </c>
      <c r="AB15" s="13">
        <v>0.0</v>
      </c>
      <c r="AC15" s="13">
        <v>0.0</v>
      </c>
      <c r="AD15" s="13">
        <v>0.0</v>
      </c>
      <c r="AE15" s="13">
        <v>0.0</v>
      </c>
      <c r="AF15" s="13">
        <v>0.0</v>
      </c>
      <c r="AG15" s="13">
        <v>0.0</v>
      </c>
      <c r="AH15" s="13">
        <v>3.0</v>
      </c>
      <c r="AI15" s="13">
        <v>0.0</v>
      </c>
      <c r="AJ15" s="13">
        <v>0.0</v>
      </c>
      <c r="AK15" s="13">
        <v>0.0</v>
      </c>
      <c r="AL15" s="13">
        <v>0.0</v>
      </c>
      <c r="AM15" s="13">
        <v>0.0</v>
      </c>
      <c r="AN15" s="13">
        <v>0.0</v>
      </c>
      <c r="AO15" s="13">
        <v>0.0</v>
      </c>
      <c r="AP15" s="13">
        <v>0.0</v>
      </c>
      <c r="AQ15" s="13">
        <v>0.0</v>
      </c>
      <c r="AR15" s="13">
        <v>0.0</v>
      </c>
      <c r="AS15" s="13">
        <v>0.0</v>
      </c>
      <c r="AT15" s="13">
        <v>0.0</v>
      </c>
      <c r="AU15" s="13">
        <v>0.0</v>
      </c>
      <c r="AV15" s="13">
        <v>7.0</v>
      </c>
      <c r="AW15" s="13">
        <v>3.0</v>
      </c>
      <c r="AX15" s="13">
        <v>2.0</v>
      </c>
      <c r="AY15" s="13">
        <v>44.0</v>
      </c>
      <c r="AZ15" s="13">
        <v>23.0</v>
      </c>
      <c r="BA15" s="13">
        <v>0.0</v>
      </c>
      <c r="BB15" s="13">
        <v>0.0</v>
      </c>
      <c r="BC15" s="13">
        <v>0.0</v>
      </c>
      <c r="BD15" s="13">
        <v>0.0</v>
      </c>
      <c r="BE15" s="13">
        <v>0.0</v>
      </c>
      <c r="BF15" s="13">
        <v>0.0</v>
      </c>
      <c r="BG15" s="13">
        <v>0.0</v>
      </c>
      <c r="BH15" s="13">
        <f t="shared" si="2"/>
        <v>169</v>
      </c>
      <c r="BI15" s="13" t="s">
        <v>345</v>
      </c>
    </row>
    <row r="16" ht="36.75" customHeight="1">
      <c r="A16" s="11">
        <v>42772.0</v>
      </c>
      <c r="B16" s="13" t="s">
        <v>347</v>
      </c>
      <c r="C16" s="13" t="s">
        <v>349</v>
      </c>
      <c r="D16" s="13" t="s">
        <v>350</v>
      </c>
      <c r="E16" s="28" t="s">
        <v>303</v>
      </c>
      <c r="F16" s="13">
        <v>28.411243</v>
      </c>
      <c r="G16" s="13">
        <v>-80.583621</v>
      </c>
      <c r="H16" s="13">
        <v>28.568711</v>
      </c>
      <c r="I16" s="14">
        <v>-80.569302</v>
      </c>
      <c r="J16" s="13" t="s">
        <v>352</v>
      </c>
      <c r="K16" s="13" t="s">
        <v>354</v>
      </c>
      <c r="L16" s="13">
        <v>0.0</v>
      </c>
      <c r="M16" s="13">
        <v>0.0</v>
      </c>
      <c r="N16" s="13">
        <v>21.0</v>
      </c>
      <c r="O16" s="13">
        <v>0.0</v>
      </c>
      <c r="P16" s="13">
        <v>0.0</v>
      </c>
      <c r="Q16" s="13">
        <v>2.0</v>
      </c>
      <c r="R16" s="13">
        <v>0.0</v>
      </c>
      <c r="S16" s="13">
        <v>0.0</v>
      </c>
      <c r="T16" s="13">
        <v>0.0</v>
      </c>
      <c r="U16" s="13">
        <v>0.0</v>
      </c>
      <c r="V16" s="13">
        <v>0.0</v>
      </c>
      <c r="W16" s="13">
        <v>0.0</v>
      </c>
      <c r="X16" s="13">
        <v>0.0</v>
      </c>
      <c r="Y16" s="13">
        <v>8.0</v>
      </c>
      <c r="Z16" s="13">
        <v>168.0</v>
      </c>
      <c r="AA16" s="13">
        <v>14.0</v>
      </c>
      <c r="AB16" s="13">
        <v>0.0</v>
      </c>
      <c r="AC16" s="13">
        <v>0.0</v>
      </c>
      <c r="AD16" s="13">
        <v>0.0</v>
      </c>
      <c r="AE16" s="13">
        <v>0.0</v>
      </c>
      <c r="AF16" s="13">
        <v>0.0</v>
      </c>
      <c r="AG16" s="13">
        <v>0.0</v>
      </c>
      <c r="AH16" s="13">
        <v>2.0</v>
      </c>
      <c r="AI16" s="13">
        <v>1.0</v>
      </c>
      <c r="AJ16" s="13">
        <v>0.0</v>
      </c>
      <c r="AK16" s="13">
        <v>0.0</v>
      </c>
      <c r="AL16" s="13">
        <v>7.0</v>
      </c>
      <c r="AM16" s="13">
        <v>0.0</v>
      </c>
      <c r="AN16" s="13">
        <v>180.0</v>
      </c>
      <c r="AO16" s="13">
        <v>0.0</v>
      </c>
      <c r="AP16" s="13">
        <v>0.0</v>
      </c>
      <c r="AQ16" s="13">
        <v>0.0</v>
      </c>
      <c r="AR16" s="13">
        <v>2.0</v>
      </c>
      <c r="AS16" s="13">
        <v>0.0</v>
      </c>
      <c r="AT16" s="13">
        <v>0.0</v>
      </c>
      <c r="AU16" s="13">
        <v>0.0</v>
      </c>
      <c r="AV16" s="13">
        <v>26.0</v>
      </c>
      <c r="AW16" s="13">
        <v>259.0</v>
      </c>
      <c r="AX16" s="13">
        <v>1.0</v>
      </c>
      <c r="AY16" s="13">
        <v>184.0</v>
      </c>
      <c r="AZ16" s="13">
        <v>120.0</v>
      </c>
      <c r="BA16" s="13">
        <v>0.0</v>
      </c>
      <c r="BB16" s="13">
        <v>0.0</v>
      </c>
      <c r="BC16" s="13">
        <v>0.0</v>
      </c>
      <c r="BD16" s="13">
        <v>0.0</v>
      </c>
      <c r="BE16" s="13">
        <v>0.0</v>
      </c>
      <c r="BF16" s="13">
        <v>0.0</v>
      </c>
      <c r="BG16" s="13">
        <v>0.0</v>
      </c>
      <c r="BH16" s="13">
        <f t="shared" si="2"/>
        <v>995</v>
      </c>
      <c r="BI16" s="13" t="s">
        <v>369</v>
      </c>
    </row>
    <row r="17" ht="36.75" customHeight="1">
      <c r="A17" s="41">
        <v>42772.0</v>
      </c>
      <c r="B17" s="16" t="s">
        <v>374</v>
      </c>
      <c r="C17" s="16" t="s">
        <v>376</v>
      </c>
      <c r="D17" s="16" t="s">
        <v>378</v>
      </c>
      <c r="E17" s="26" t="s">
        <v>303</v>
      </c>
      <c r="F17" s="16">
        <v>28.138662</v>
      </c>
      <c r="G17" s="16">
        <v>-80.580264</v>
      </c>
      <c r="H17" s="13">
        <v>28.214641</v>
      </c>
      <c r="I17" s="13">
        <v>-80.597146</v>
      </c>
      <c r="J17" s="13" t="s">
        <v>380</v>
      </c>
      <c r="K17" s="13" t="s">
        <v>382</v>
      </c>
      <c r="L17" s="13">
        <v>0.0</v>
      </c>
      <c r="M17" s="13">
        <v>0.0</v>
      </c>
      <c r="N17" s="13">
        <v>6.0</v>
      </c>
      <c r="O17" s="13">
        <v>0.0</v>
      </c>
      <c r="P17" s="13">
        <v>0.0</v>
      </c>
      <c r="Q17" s="13">
        <v>0.0</v>
      </c>
      <c r="R17" s="13">
        <v>0.0</v>
      </c>
      <c r="S17" s="13">
        <v>0.0</v>
      </c>
      <c r="T17" s="13">
        <v>0.0</v>
      </c>
      <c r="U17" s="13">
        <v>0.0</v>
      </c>
      <c r="V17" s="13">
        <v>0.0</v>
      </c>
      <c r="W17" s="13">
        <v>0.0</v>
      </c>
      <c r="X17" s="13">
        <v>0.0</v>
      </c>
      <c r="Y17" s="13">
        <v>19.0</v>
      </c>
      <c r="Z17" s="13">
        <v>67.0</v>
      </c>
      <c r="AA17" s="13">
        <v>0.0</v>
      </c>
      <c r="AB17" s="13">
        <v>0.0</v>
      </c>
      <c r="AC17" s="13">
        <v>0.0</v>
      </c>
      <c r="AD17" s="13">
        <v>0.0</v>
      </c>
      <c r="AE17" s="13">
        <v>0.0</v>
      </c>
      <c r="AF17" s="13">
        <v>0.0</v>
      </c>
      <c r="AG17" s="13">
        <v>0.0</v>
      </c>
      <c r="AH17" s="13">
        <v>18.0</v>
      </c>
      <c r="AI17" s="13">
        <v>0.0</v>
      </c>
      <c r="AJ17" s="13">
        <v>0.0</v>
      </c>
      <c r="AK17" s="13">
        <v>0.0</v>
      </c>
      <c r="AL17" s="13">
        <v>0.0</v>
      </c>
      <c r="AM17" s="13">
        <v>0.0</v>
      </c>
      <c r="AN17" s="13">
        <v>0.0</v>
      </c>
      <c r="AO17" s="13">
        <v>0.0</v>
      </c>
      <c r="AP17" s="13">
        <v>0.0</v>
      </c>
      <c r="AQ17" s="13">
        <v>0.0</v>
      </c>
      <c r="AR17" s="13">
        <v>0.0</v>
      </c>
      <c r="AS17" s="13">
        <v>0.0</v>
      </c>
      <c r="AT17" s="13">
        <v>0.0</v>
      </c>
      <c r="AU17" s="13">
        <v>0.0</v>
      </c>
      <c r="AV17" s="13">
        <v>1.0</v>
      </c>
      <c r="AW17" s="13">
        <v>0.0</v>
      </c>
      <c r="AX17" s="13">
        <v>0.0</v>
      </c>
      <c r="AY17" s="13">
        <v>76.0</v>
      </c>
      <c r="AZ17" s="13">
        <v>7.0</v>
      </c>
      <c r="BA17" s="13">
        <v>0.0</v>
      </c>
      <c r="BB17" s="13">
        <v>0.0</v>
      </c>
      <c r="BC17" s="13">
        <v>0.0</v>
      </c>
      <c r="BD17" s="13">
        <v>0.0</v>
      </c>
      <c r="BE17" s="13">
        <v>0.0</v>
      </c>
      <c r="BF17" s="13">
        <v>0.0</v>
      </c>
      <c r="BG17" s="13">
        <v>0.0</v>
      </c>
      <c r="BH17" s="13">
        <f t="shared" si="2"/>
        <v>194</v>
      </c>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row>
    <row r="18" ht="36.75" customHeight="1">
      <c r="A18" s="41">
        <v>42773.0</v>
      </c>
      <c r="B18" s="16" t="s">
        <v>404</v>
      </c>
      <c r="C18" s="16" t="s">
        <v>406</v>
      </c>
      <c r="D18" s="16" t="s">
        <v>407</v>
      </c>
      <c r="E18" s="34" t="s">
        <v>303</v>
      </c>
      <c r="F18" s="13">
        <v>28.794133</v>
      </c>
      <c r="G18" s="13">
        <v>-80.73493</v>
      </c>
      <c r="H18" s="13">
        <v>28.643681</v>
      </c>
      <c r="I18" s="13">
        <v>-80.623842</v>
      </c>
      <c r="J18" s="13" t="s">
        <v>408</v>
      </c>
      <c r="K18" s="13" t="s">
        <v>409</v>
      </c>
      <c r="L18" s="13"/>
      <c r="M18" s="13"/>
      <c r="N18" s="13">
        <v>1.0</v>
      </c>
      <c r="O18" s="13">
        <v>18.0</v>
      </c>
      <c r="P18" s="13"/>
      <c r="Q18" s="13"/>
      <c r="R18" s="13"/>
      <c r="S18" s="13"/>
      <c r="T18" s="13"/>
      <c r="U18" s="13"/>
      <c r="V18" s="13"/>
      <c r="W18" s="13"/>
      <c r="X18" s="13">
        <v>16.0</v>
      </c>
      <c r="Y18" s="13">
        <v>32.0</v>
      </c>
      <c r="Z18" s="13">
        <v>147.0</v>
      </c>
      <c r="AA18" s="13"/>
      <c r="AB18" s="13"/>
      <c r="AC18" s="13"/>
      <c r="AD18" s="13"/>
      <c r="AE18" s="13"/>
      <c r="AF18" s="13"/>
      <c r="AG18" s="13"/>
      <c r="AH18" s="13">
        <v>123.0</v>
      </c>
      <c r="AI18" s="13">
        <v>3.0</v>
      </c>
      <c r="AJ18" s="13"/>
      <c r="AK18" s="13"/>
      <c r="AL18" s="13"/>
      <c r="AM18" s="13"/>
      <c r="AN18" s="13">
        <v>17.0</v>
      </c>
      <c r="AO18" s="13"/>
      <c r="AP18" s="13"/>
      <c r="AQ18" s="13"/>
      <c r="AR18" s="13"/>
      <c r="AS18" s="13"/>
      <c r="AT18" s="13"/>
      <c r="AU18" s="13">
        <v>1.0</v>
      </c>
      <c r="AV18" s="13">
        <v>2.0</v>
      </c>
      <c r="AW18" s="13">
        <v>67.0</v>
      </c>
      <c r="AX18" s="13"/>
      <c r="AY18" s="13">
        <v>60.0</v>
      </c>
      <c r="AZ18" s="13">
        <v>124.0</v>
      </c>
      <c r="BA18" s="13">
        <v>1.0</v>
      </c>
      <c r="BB18" s="13"/>
      <c r="BC18" s="13"/>
      <c r="BD18" s="13"/>
      <c r="BE18" s="13"/>
      <c r="BF18" s="13"/>
      <c r="BG18" s="13"/>
      <c r="BH18">
        <f t="shared" si="2"/>
        <v>612</v>
      </c>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row>
    <row r="19" ht="36.75" customHeight="1">
      <c r="A19" s="11">
        <v>42769.0</v>
      </c>
      <c r="B19" s="13" t="s">
        <v>413</v>
      </c>
      <c r="C19" s="13" t="s">
        <v>414</v>
      </c>
      <c r="D19" s="13" t="s">
        <v>415</v>
      </c>
      <c r="E19" s="34" t="s">
        <v>416</v>
      </c>
      <c r="F19" s="16" t="s">
        <v>418</v>
      </c>
      <c r="G19" s="16" t="s">
        <v>419</v>
      </c>
      <c r="H19" s="13" t="s">
        <v>420</v>
      </c>
      <c r="I19" s="13" t="s">
        <v>421</v>
      </c>
      <c r="J19" s="13" t="s">
        <v>422</v>
      </c>
      <c r="K19" s="13" t="s">
        <v>423</v>
      </c>
      <c r="N19" s="13">
        <v>13.0</v>
      </c>
      <c r="O19" s="13"/>
      <c r="Y19" s="13">
        <v>4.0</v>
      </c>
      <c r="Z19" s="13">
        <v>188.0</v>
      </c>
      <c r="AH19" s="13">
        <v>29.0</v>
      </c>
      <c r="AN19" s="13"/>
      <c r="AR19" s="13"/>
      <c r="AW19" s="13"/>
      <c r="AY19" s="13">
        <v>44.0</v>
      </c>
      <c r="AZ19" s="13">
        <v>6.0</v>
      </c>
      <c r="BH19" s="13">
        <v>284.0</v>
      </c>
      <c r="BI19" s="13" t="s">
        <v>425</v>
      </c>
    </row>
    <row r="20" ht="36.75" customHeight="1">
      <c r="A20" s="11">
        <v>42769.0</v>
      </c>
      <c r="B20" s="13" t="s">
        <v>428</v>
      </c>
      <c r="C20" s="13" t="s">
        <v>429</v>
      </c>
      <c r="D20" s="13" t="s">
        <v>430</v>
      </c>
      <c r="E20" s="26" t="s">
        <v>416</v>
      </c>
      <c r="F20" s="13" t="s">
        <v>420</v>
      </c>
      <c r="G20" s="13" t="s">
        <v>421</v>
      </c>
      <c r="H20" s="13" t="s">
        <v>431</v>
      </c>
      <c r="I20" s="13" t="s">
        <v>432</v>
      </c>
      <c r="J20" s="13" t="s">
        <v>433</v>
      </c>
      <c r="K20" s="13" t="s">
        <v>423</v>
      </c>
      <c r="L20" s="13"/>
      <c r="N20" s="13">
        <v>5.0</v>
      </c>
      <c r="O20" s="13"/>
      <c r="V20" s="13"/>
      <c r="X20" s="13"/>
      <c r="Y20" s="13">
        <v>3.0</v>
      </c>
      <c r="Z20" s="13">
        <v>242.0</v>
      </c>
      <c r="AA20" s="13"/>
      <c r="AF20" s="13"/>
      <c r="AG20" s="13">
        <v>5.0</v>
      </c>
      <c r="AH20" s="13">
        <v>28.0</v>
      </c>
      <c r="AK20" s="13"/>
      <c r="AN20" s="13">
        <v>3.0</v>
      </c>
      <c r="AO20" s="13"/>
      <c r="AQ20" s="13"/>
      <c r="AR20" s="13"/>
      <c r="AV20" s="13">
        <v>1.0</v>
      </c>
      <c r="AW20" s="13">
        <v>2.0</v>
      </c>
      <c r="AY20" s="13">
        <v>40.0</v>
      </c>
      <c r="AZ20" s="13">
        <v>49.0</v>
      </c>
      <c r="BC20" s="13"/>
      <c r="BD20" s="13"/>
      <c r="BE20" s="13"/>
      <c r="BF20" s="13"/>
      <c r="BH20" s="13">
        <v>405.0</v>
      </c>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row>
    <row r="21" ht="36.75" customHeight="1">
      <c r="A21" s="45">
        <v>42775.0</v>
      </c>
      <c r="B21" s="13" t="s">
        <v>451</v>
      </c>
      <c r="C21" s="13" t="s">
        <v>454</v>
      </c>
      <c r="D21" s="13" t="s">
        <v>455</v>
      </c>
      <c r="E21" s="26" t="s">
        <v>456</v>
      </c>
      <c r="F21" s="13">
        <v>26.2596</v>
      </c>
      <c r="G21" s="13">
        <v>-80.08057</v>
      </c>
      <c r="H21" s="13">
        <v>26.31645</v>
      </c>
      <c r="I21" s="14">
        <v>-80.07496</v>
      </c>
      <c r="J21" s="13" t="s">
        <v>457</v>
      </c>
      <c r="K21" s="13" t="s">
        <v>458</v>
      </c>
      <c r="L21" s="13">
        <v>0.0</v>
      </c>
      <c r="M21" s="13">
        <v>0.0</v>
      </c>
      <c r="N21" s="13">
        <v>46.0</v>
      </c>
      <c r="O21" s="13">
        <v>0.0</v>
      </c>
      <c r="P21" s="13">
        <v>0.0</v>
      </c>
      <c r="Q21" s="13">
        <v>0.0</v>
      </c>
      <c r="R21" s="13">
        <v>0.0</v>
      </c>
      <c r="S21" s="13">
        <v>0.0</v>
      </c>
      <c r="T21" s="13">
        <v>0.0</v>
      </c>
      <c r="U21" s="13">
        <v>0.0</v>
      </c>
      <c r="V21" s="13">
        <v>0.0</v>
      </c>
      <c r="W21" s="13">
        <v>0.0</v>
      </c>
      <c r="X21" s="13">
        <v>0.0</v>
      </c>
      <c r="Y21" s="13">
        <v>0.0</v>
      </c>
      <c r="Z21" s="13">
        <v>45.0</v>
      </c>
      <c r="AA21" s="13">
        <v>0.0</v>
      </c>
      <c r="AB21" s="13">
        <v>0.0</v>
      </c>
      <c r="AC21" s="13">
        <v>0.0</v>
      </c>
      <c r="AD21" s="13">
        <v>0.0</v>
      </c>
      <c r="AE21" s="13">
        <v>0.0</v>
      </c>
      <c r="AF21" s="13">
        <v>0.0</v>
      </c>
      <c r="AG21" s="13">
        <v>0.0</v>
      </c>
      <c r="AH21" s="13">
        <v>0.0</v>
      </c>
      <c r="AI21" s="13">
        <v>0.0</v>
      </c>
      <c r="AJ21" s="13">
        <v>0.0</v>
      </c>
      <c r="AK21" s="13">
        <v>0.0</v>
      </c>
      <c r="AL21" s="13">
        <v>0.0</v>
      </c>
      <c r="AM21" s="13">
        <v>0.0</v>
      </c>
      <c r="AN21" s="13">
        <v>0.0</v>
      </c>
      <c r="AO21" s="13">
        <v>0.0</v>
      </c>
      <c r="AP21" s="13">
        <v>0.0</v>
      </c>
      <c r="AQ21" s="13">
        <v>0.0</v>
      </c>
      <c r="AR21" s="13">
        <v>0.0</v>
      </c>
      <c r="AS21" s="13">
        <v>0.0</v>
      </c>
      <c r="AT21" s="13">
        <v>0.0</v>
      </c>
      <c r="AU21" s="13">
        <v>0.0</v>
      </c>
      <c r="AV21" s="13">
        <v>8.0</v>
      </c>
      <c r="AW21" s="13">
        <v>10.0</v>
      </c>
      <c r="AX21" s="13">
        <v>0.0</v>
      </c>
      <c r="AY21" s="13">
        <v>60.0</v>
      </c>
      <c r="AZ21" s="13">
        <v>5.0</v>
      </c>
      <c r="BA21" s="13">
        <v>0.0</v>
      </c>
      <c r="BB21" s="13">
        <v>0.0</v>
      </c>
      <c r="BC21" s="13">
        <v>0.0</v>
      </c>
      <c r="BD21" s="13">
        <v>0.0</v>
      </c>
      <c r="BE21" s="13">
        <v>0.0</v>
      </c>
      <c r="BF21" s="13">
        <v>0.0</v>
      </c>
      <c r="BG21" s="13">
        <v>0.0</v>
      </c>
      <c r="BH21" s="13">
        <v>174.0</v>
      </c>
    </row>
    <row r="22" ht="36.75" customHeight="1">
      <c r="A22" s="41">
        <v>42772.0</v>
      </c>
      <c r="B22" s="16" t="s">
        <v>472</v>
      </c>
      <c r="C22" s="16" t="s">
        <v>473</v>
      </c>
      <c r="D22" s="16" t="s">
        <v>474</v>
      </c>
      <c r="E22" s="26" t="s">
        <v>475</v>
      </c>
      <c r="F22" s="16" t="s">
        <v>476</v>
      </c>
      <c r="G22" s="16" t="s">
        <v>477</v>
      </c>
      <c r="H22" s="13" t="s">
        <v>478</v>
      </c>
      <c r="I22" s="13" t="s">
        <v>479</v>
      </c>
      <c r="J22" s="13" t="s">
        <v>480</v>
      </c>
      <c r="K22" s="13" t="s">
        <v>481</v>
      </c>
      <c r="L22" s="13">
        <v>0.0</v>
      </c>
      <c r="M22" s="13">
        <v>0.0</v>
      </c>
      <c r="N22" s="13">
        <v>0.0</v>
      </c>
      <c r="O22" s="13">
        <v>0.0</v>
      </c>
      <c r="P22" s="13">
        <v>0.0</v>
      </c>
      <c r="Q22" s="13">
        <v>0.0</v>
      </c>
      <c r="R22" s="13">
        <v>0.0</v>
      </c>
      <c r="S22" s="13">
        <v>0.0</v>
      </c>
      <c r="T22" s="13">
        <v>0.0</v>
      </c>
      <c r="U22" s="13">
        <v>0.0</v>
      </c>
      <c r="V22" s="13">
        <v>0.0</v>
      </c>
      <c r="W22" s="13">
        <v>0.0</v>
      </c>
      <c r="X22" s="13">
        <v>0.0</v>
      </c>
      <c r="Y22" s="13">
        <v>0.0</v>
      </c>
      <c r="Z22" s="13">
        <v>0.0</v>
      </c>
      <c r="AA22" s="13">
        <v>0.0</v>
      </c>
      <c r="AB22" s="13">
        <v>0.0</v>
      </c>
      <c r="AC22" s="13">
        <v>0.0</v>
      </c>
      <c r="AD22" s="13">
        <v>3.0</v>
      </c>
      <c r="AE22" s="13">
        <v>0.0</v>
      </c>
      <c r="AF22" s="13">
        <v>0.0</v>
      </c>
      <c r="AG22" s="13">
        <v>0.0</v>
      </c>
      <c r="AH22" s="13">
        <v>0.0</v>
      </c>
      <c r="AI22" s="13">
        <v>0.0</v>
      </c>
      <c r="AJ22" s="13">
        <v>0.0</v>
      </c>
      <c r="AK22" s="13">
        <v>0.0</v>
      </c>
      <c r="AL22" s="13">
        <v>0.0</v>
      </c>
      <c r="AM22" s="13">
        <v>0.0</v>
      </c>
      <c r="AN22" s="13">
        <v>1.0</v>
      </c>
      <c r="AO22" s="13">
        <v>0.0</v>
      </c>
      <c r="AP22" s="13">
        <v>0.0</v>
      </c>
      <c r="AQ22" s="13">
        <v>0.0</v>
      </c>
      <c r="AR22" s="13">
        <v>0.0</v>
      </c>
      <c r="AS22" s="13">
        <v>0.0</v>
      </c>
      <c r="AT22" s="13">
        <v>0.0</v>
      </c>
      <c r="AU22" s="13">
        <v>0.0</v>
      </c>
      <c r="AV22" s="13">
        <v>0.0</v>
      </c>
      <c r="AW22" s="13">
        <v>0.0</v>
      </c>
      <c r="AX22" s="13">
        <v>0.0</v>
      </c>
      <c r="AY22" s="13">
        <v>0.0</v>
      </c>
      <c r="AZ22" s="13">
        <v>6.0</v>
      </c>
      <c r="BA22" s="13">
        <v>0.0</v>
      </c>
      <c r="BB22" s="13">
        <v>0.0</v>
      </c>
      <c r="BC22" s="13">
        <v>0.0</v>
      </c>
      <c r="BD22" s="13">
        <v>0.0</v>
      </c>
      <c r="BE22" s="13">
        <v>0.0</v>
      </c>
      <c r="BF22" s="13">
        <v>0.0</v>
      </c>
      <c r="BG22" s="13">
        <v>0.0</v>
      </c>
      <c r="BH22" s="13">
        <v>22.0</v>
      </c>
      <c r="BI22" s="13" t="s">
        <v>487</v>
      </c>
    </row>
    <row r="23" ht="36.75" customHeight="1">
      <c r="A23" s="11">
        <v>42772.0</v>
      </c>
      <c r="B23" s="13" t="s">
        <v>489</v>
      </c>
      <c r="C23" s="13" t="s">
        <v>490</v>
      </c>
      <c r="D23" s="13" t="s">
        <v>491</v>
      </c>
      <c r="E23" s="34" t="s">
        <v>475</v>
      </c>
      <c r="F23" s="13">
        <v>26.898102</v>
      </c>
      <c r="G23" s="13">
        <v>-82.338627</v>
      </c>
      <c r="H23" s="13">
        <v>26.885576</v>
      </c>
      <c r="I23" s="14">
        <v>-82.334993</v>
      </c>
      <c r="J23" s="13" t="s">
        <v>492</v>
      </c>
      <c r="K23" s="13" t="s">
        <v>493</v>
      </c>
      <c r="N23" s="13">
        <v>42.0</v>
      </c>
      <c r="O23" s="13">
        <v>230.0</v>
      </c>
      <c r="Y23" s="13"/>
      <c r="Z23" s="13"/>
      <c r="AA23" s="13"/>
      <c r="AB23" s="13"/>
      <c r="AH23" s="13">
        <v>60.0</v>
      </c>
      <c r="AI23" s="13">
        <v>1.0</v>
      </c>
      <c r="AJ23" s="13"/>
      <c r="AK23" s="13">
        <v>76.0</v>
      </c>
      <c r="AW23" s="13"/>
      <c r="AX23" s="13"/>
      <c r="AY23" s="13"/>
      <c r="AZ23" s="13">
        <v>76.0</v>
      </c>
      <c r="BA23" s="13"/>
      <c r="BG23" s="13">
        <v>87.0</v>
      </c>
      <c r="BH23" s="13">
        <v>547.0</v>
      </c>
    </row>
    <row r="24" ht="36.75" customHeight="1">
      <c r="A24" s="41">
        <v>42773.0</v>
      </c>
      <c r="B24" s="16" t="s">
        <v>496</v>
      </c>
      <c r="C24" s="16" t="s">
        <v>497</v>
      </c>
      <c r="D24" s="16" t="s">
        <v>499</v>
      </c>
      <c r="E24" s="34" t="s">
        <v>475</v>
      </c>
      <c r="F24" s="16">
        <v>26.841715</v>
      </c>
      <c r="G24" s="16">
        <v>-82.300287</v>
      </c>
      <c r="H24" s="13">
        <v>26.85452</v>
      </c>
      <c r="I24" s="13">
        <v>-82.309924</v>
      </c>
      <c r="J24" s="13" t="s">
        <v>501</v>
      </c>
      <c r="K24" s="13" t="s">
        <v>502</v>
      </c>
      <c r="L24" s="13">
        <v>0.0</v>
      </c>
      <c r="M24" s="13">
        <v>0.0</v>
      </c>
      <c r="N24" s="13">
        <v>2.0</v>
      </c>
      <c r="O24" s="13">
        <v>0.0</v>
      </c>
      <c r="P24" s="13">
        <v>0.0</v>
      </c>
      <c r="Q24" s="13">
        <v>0.0</v>
      </c>
      <c r="R24" s="13">
        <v>0.0</v>
      </c>
      <c r="S24" s="13">
        <v>0.0</v>
      </c>
      <c r="T24" s="13">
        <v>0.0</v>
      </c>
      <c r="U24" s="13">
        <v>0.0</v>
      </c>
      <c r="V24" s="13">
        <v>0.0</v>
      </c>
      <c r="W24" s="13">
        <v>0.0</v>
      </c>
      <c r="X24" s="13">
        <v>0.0</v>
      </c>
      <c r="Y24" s="13">
        <v>6.0</v>
      </c>
      <c r="Z24" s="13">
        <v>16.0</v>
      </c>
      <c r="AA24" s="13">
        <v>0.0</v>
      </c>
      <c r="AB24" s="13">
        <v>0.0</v>
      </c>
      <c r="AC24" s="13">
        <v>0.0</v>
      </c>
      <c r="AD24" s="13">
        <v>0.0</v>
      </c>
      <c r="AE24" s="13">
        <v>0.0</v>
      </c>
      <c r="AF24" s="13">
        <v>0.0</v>
      </c>
      <c r="AG24" s="13">
        <v>0.0</v>
      </c>
      <c r="AH24" s="13">
        <v>1.0</v>
      </c>
      <c r="AI24" s="13">
        <v>0.0</v>
      </c>
      <c r="AJ24" s="13">
        <v>0.0</v>
      </c>
      <c r="AK24" s="13">
        <v>0.0</v>
      </c>
      <c r="AL24" s="13">
        <v>0.0</v>
      </c>
      <c r="AM24" s="13">
        <v>0.0</v>
      </c>
      <c r="AN24" s="13">
        <v>0.0</v>
      </c>
      <c r="AO24" s="13">
        <v>0.0</v>
      </c>
      <c r="AP24" s="13">
        <v>0.0</v>
      </c>
      <c r="AQ24" s="13">
        <v>0.0</v>
      </c>
      <c r="AR24" s="13">
        <v>0.0</v>
      </c>
      <c r="AS24" s="13">
        <v>0.0</v>
      </c>
      <c r="AT24" s="13">
        <v>0.0</v>
      </c>
      <c r="AU24" s="13">
        <v>0.0</v>
      </c>
      <c r="AV24" s="13">
        <v>0.0</v>
      </c>
      <c r="AW24" s="13">
        <v>0.0</v>
      </c>
      <c r="AX24" s="13">
        <v>0.0</v>
      </c>
      <c r="AY24" s="13">
        <v>1.0</v>
      </c>
      <c r="AZ24" s="13">
        <v>0.0</v>
      </c>
      <c r="BA24" s="13">
        <v>0.0</v>
      </c>
      <c r="BB24" s="13">
        <v>0.0</v>
      </c>
      <c r="BC24" s="13">
        <v>0.0</v>
      </c>
      <c r="BD24" s="13">
        <v>0.0</v>
      </c>
      <c r="BE24" s="13">
        <v>0.0</v>
      </c>
      <c r="BF24" s="13">
        <v>0.0</v>
      </c>
      <c r="BG24" s="13">
        <v>0.0</v>
      </c>
      <c r="BH24" s="13">
        <f>sum(L24:BG24)</f>
        <v>26</v>
      </c>
    </row>
    <row r="25" ht="36.75" customHeight="1">
      <c r="A25" s="11">
        <v>42775.0</v>
      </c>
      <c r="B25" s="13" t="s">
        <v>524</v>
      </c>
      <c r="C25" s="13" t="s">
        <v>525</v>
      </c>
      <c r="D25" s="13" t="s">
        <v>526</v>
      </c>
      <c r="E25" s="26" t="s">
        <v>475</v>
      </c>
      <c r="F25" s="13">
        <v>27.88499</v>
      </c>
      <c r="G25" s="13">
        <v>82.33541</v>
      </c>
      <c r="H25" s="13">
        <v>26.87164</v>
      </c>
      <c r="I25" s="14">
        <v>82.32199</v>
      </c>
      <c r="J25" s="13" t="s">
        <v>528</v>
      </c>
      <c r="K25" s="13" t="s">
        <v>529</v>
      </c>
      <c r="L25" s="13">
        <v>0.0</v>
      </c>
      <c r="M25" s="13">
        <v>0.0</v>
      </c>
      <c r="N25" s="13">
        <v>0.0</v>
      </c>
      <c r="O25" s="13">
        <v>0.0</v>
      </c>
      <c r="P25" s="13">
        <v>0.0</v>
      </c>
      <c r="Q25" s="13">
        <v>0.0</v>
      </c>
      <c r="R25" s="13">
        <v>0.0</v>
      </c>
      <c r="S25" s="13">
        <v>0.0</v>
      </c>
      <c r="T25" s="13">
        <v>0.0</v>
      </c>
      <c r="U25" s="13">
        <v>0.0</v>
      </c>
      <c r="V25" s="13">
        <v>0.0</v>
      </c>
      <c r="W25" s="13">
        <v>0.0</v>
      </c>
      <c r="X25" s="13">
        <v>0.0</v>
      </c>
      <c r="Y25" s="13">
        <v>0.0</v>
      </c>
      <c r="Z25" s="13">
        <v>0.0</v>
      </c>
      <c r="AA25" s="13">
        <v>0.0</v>
      </c>
      <c r="AB25" s="13">
        <v>0.0</v>
      </c>
      <c r="AC25" s="13">
        <v>0.0</v>
      </c>
      <c r="AD25" s="13">
        <v>0.0</v>
      </c>
      <c r="AE25" s="13">
        <v>0.0</v>
      </c>
      <c r="AF25" s="13">
        <v>0.0</v>
      </c>
      <c r="AG25" s="13">
        <v>0.0</v>
      </c>
      <c r="AH25" s="13">
        <v>0.0</v>
      </c>
      <c r="AI25" s="13">
        <v>0.0</v>
      </c>
      <c r="AJ25" s="13">
        <v>0.0</v>
      </c>
      <c r="AK25" s="13">
        <v>0.0</v>
      </c>
      <c r="AL25" s="13">
        <v>0.0</v>
      </c>
      <c r="AM25" s="13">
        <v>0.0</v>
      </c>
      <c r="AN25" s="13">
        <v>0.0</v>
      </c>
      <c r="AO25" s="13">
        <v>0.0</v>
      </c>
      <c r="AP25" s="13">
        <v>0.0</v>
      </c>
      <c r="AQ25" s="13">
        <v>0.0</v>
      </c>
      <c r="AR25" s="13">
        <v>0.0</v>
      </c>
      <c r="AS25" s="13">
        <v>0.0</v>
      </c>
      <c r="AT25" s="13">
        <v>0.0</v>
      </c>
      <c r="AU25" s="13">
        <v>0.0</v>
      </c>
      <c r="AV25" s="13">
        <v>0.0</v>
      </c>
      <c r="AW25" s="13">
        <v>0.0</v>
      </c>
      <c r="AX25" s="13">
        <v>0.0</v>
      </c>
      <c r="AY25" s="13">
        <v>0.0</v>
      </c>
      <c r="AZ25" s="13">
        <v>0.0</v>
      </c>
      <c r="BA25" s="13">
        <v>0.0</v>
      </c>
      <c r="BB25" s="13">
        <v>0.0</v>
      </c>
      <c r="BC25" s="13">
        <v>0.0</v>
      </c>
      <c r="BD25" s="13">
        <v>0.0</v>
      </c>
      <c r="BE25" s="13">
        <v>0.0</v>
      </c>
      <c r="BF25" s="13">
        <v>0.0</v>
      </c>
      <c r="BG25" s="13">
        <v>0.0</v>
      </c>
      <c r="BH25" s="13">
        <v>0.0</v>
      </c>
      <c r="BI25" s="13" t="s">
        <v>540</v>
      </c>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3"/>
      <c r="CZ25" s="13"/>
      <c r="DA25" s="13"/>
      <c r="DB25" s="13"/>
      <c r="DC25" s="13"/>
      <c r="DD25" s="13"/>
      <c r="DE25" s="13"/>
      <c r="DF25" s="13"/>
      <c r="DG25" s="13"/>
      <c r="DH25" s="13"/>
      <c r="DI25" s="13"/>
      <c r="DJ25" s="13"/>
      <c r="DK25" s="13"/>
      <c r="DL25" s="13"/>
      <c r="DM25" s="13"/>
      <c r="DN25" s="13"/>
      <c r="DO25" s="13"/>
      <c r="DP25" s="13"/>
      <c r="DQ25" s="13"/>
      <c r="DR25" s="13"/>
      <c r="DS25" s="13"/>
      <c r="DT25" s="13"/>
      <c r="DU25" s="13"/>
      <c r="DV25" s="13"/>
      <c r="DW25" s="13"/>
    </row>
    <row r="26" ht="36.75" customHeight="1">
      <c r="A26" s="11">
        <v>42775.0</v>
      </c>
      <c r="B26" s="13" t="s">
        <v>554</v>
      </c>
      <c r="C26" s="13" t="s">
        <v>555</v>
      </c>
      <c r="D26" s="13" t="s">
        <v>474</v>
      </c>
      <c r="E26" s="34" t="s">
        <v>475</v>
      </c>
      <c r="F26" s="13">
        <v>26.78961</v>
      </c>
      <c r="G26" s="13">
        <v>-82.27232</v>
      </c>
      <c r="H26" s="13">
        <v>26.81059</v>
      </c>
      <c r="I26" s="14">
        <v>-82.28252</v>
      </c>
      <c r="J26" s="13" t="s">
        <v>560</v>
      </c>
      <c r="K26" s="13" t="s">
        <v>561</v>
      </c>
      <c r="L26" s="13">
        <v>0.0</v>
      </c>
      <c r="M26" s="13">
        <v>0.0</v>
      </c>
      <c r="N26" s="13">
        <v>0.0</v>
      </c>
      <c r="O26" s="13">
        <v>0.0</v>
      </c>
      <c r="P26" s="13">
        <v>0.0</v>
      </c>
      <c r="Q26" s="13">
        <v>0.0</v>
      </c>
      <c r="R26" s="13">
        <v>0.0</v>
      </c>
      <c r="S26" s="13">
        <v>0.0</v>
      </c>
      <c r="T26" s="13">
        <v>0.0</v>
      </c>
      <c r="U26" s="13">
        <v>0.0</v>
      </c>
      <c r="V26" s="13">
        <v>0.0</v>
      </c>
      <c r="W26" s="13">
        <v>0.0</v>
      </c>
      <c r="X26" s="13">
        <v>0.0</v>
      </c>
      <c r="Y26" s="13">
        <v>4.0</v>
      </c>
      <c r="Z26" s="13">
        <v>0.0</v>
      </c>
      <c r="AA26" s="13">
        <v>0.0</v>
      </c>
      <c r="AB26" s="13">
        <v>0.0</v>
      </c>
      <c r="AC26" s="13">
        <v>0.0</v>
      </c>
      <c r="AD26" s="13">
        <v>0.0</v>
      </c>
      <c r="AE26" s="13">
        <v>0.0</v>
      </c>
      <c r="AF26" s="13">
        <v>0.0</v>
      </c>
      <c r="AG26" s="13">
        <v>0.0</v>
      </c>
      <c r="AH26" s="13">
        <v>0.0</v>
      </c>
      <c r="AI26" s="13">
        <v>0.0</v>
      </c>
      <c r="AJ26" s="13">
        <v>0.0</v>
      </c>
      <c r="AK26" s="13">
        <v>0.0</v>
      </c>
      <c r="AL26" s="13">
        <v>0.0</v>
      </c>
      <c r="AM26" s="13">
        <v>0.0</v>
      </c>
      <c r="AN26" s="13">
        <v>2.0</v>
      </c>
      <c r="AO26" s="13">
        <v>0.0</v>
      </c>
      <c r="AP26" s="13">
        <v>0.0</v>
      </c>
      <c r="AQ26" s="13">
        <v>1.0</v>
      </c>
      <c r="AR26" s="13">
        <v>0.0</v>
      </c>
      <c r="AS26" s="13">
        <v>0.0</v>
      </c>
      <c r="AT26" s="13">
        <v>0.0</v>
      </c>
      <c r="AU26" s="13">
        <v>0.0</v>
      </c>
      <c r="AV26" s="13">
        <v>0.0</v>
      </c>
      <c r="AW26" s="13">
        <v>4.0</v>
      </c>
      <c r="AX26" s="13">
        <v>0.0</v>
      </c>
      <c r="AY26" s="13">
        <v>0.0</v>
      </c>
      <c r="AZ26" s="13">
        <v>4.0</v>
      </c>
      <c r="BA26" s="13">
        <v>0.0</v>
      </c>
      <c r="BB26" s="13">
        <v>0.0</v>
      </c>
      <c r="BC26" s="13">
        <v>0.0</v>
      </c>
      <c r="BD26" s="13">
        <v>0.0</v>
      </c>
      <c r="BE26" s="13">
        <v>0.0</v>
      </c>
      <c r="BF26" s="13">
        <v>0.0</v>
      </c>
      <c r="BG26" s="13">
        <v>0.0</v>
      </c>
      <c r="BH26" s="13">
        <v>15.0</v>
      </c>
      <c r="BI26" s="13" t="s">
        <v>563</v>
      </c>
    </row>
    <row r="27" ht="36.75" customHeight="1">
      <c r="A27" s="49">
        <v>42775.0</v>
      </c>
      <c r="B27" s="16" t="s">
        <v>582</v>
      </c>
      <c r="C27" s="16" t="s">
        <v>583</v>
      </c>
      <c r="D27" s="16" t="s">
        <v>584</v>
      </c>
      <c r="E27" s="26" t="s">
        <v>475</v>
      </c>
      <c r="F27" s="16" t="s">
        <v>586</v>
      </c>
      <c r="G27" s="16" t="s">
        <v>587</v>
      </c>
      <c r="H27" s="13" t="s">
        <v>589</v>
      </c>
      <c r="I27" s="13" t="s">
        <v>590</v>
      </c>
      <c r="J27" s="13" t="s">
        <v>591</v>
      </c>
      <c r="K27" s="13" t="s">
        <v>592</v>
      </c>
      <c r="L27" s="13">
        <v>0.0</v>
      </c>
      <c r="M27" s="13">
        <v>0.0</v>
      </c>
      <c r="N27" s="13">
        <v>2.0</v>
      </c>
      <c r="O27" s="13">
        <v>0.0</v>
      </c>
      <c r="P27" s="13">
        <v>0.0</v>
      </c>
      <c r="Q27" s="13">
        <v>0.0</v>
      </c>
      <c r="R27" s="13">
        <v>0.0</v>
      </c>
      <c r="S27" s="13">
        <v>0.0</v>
      </c>
      <c r="T27" s="13">
        <v>0.0</v>
      </c>
      <c r="U27" s="13">
        <v>0.0</v>
      </c>
      <c r="V27" s="13">
        <v>0.0</v>
      </c>
      <c r="W27" s="13">
        <v>0.0</v>
      </c>
      <c r="X27" s="13">
        <v>0.0</v>
      </c>
      <c r="Y27" s="13">
        <v>0.0</v>
      </c>
      <c r="Z27" s="13">
        <v>6.0</v>
      </c>
      <c r="AA27" s="13">
        <v>1.0</v>
      </c>
      <c r="AB27" s="13">
        <v>0.0</v>
      </c>
      <c r="AC27" s="13">
        <v>0.0</v>
      </c>
      <c r="AD27" s="13">
        <v>0.0</v>
      </c>
      <c r="AE27" s="13">
        <v>0.0</v>
      </c>
      <c r="AF27" s="13">
        <v>0.0</v>
      </c>
      <c r="AG27" s="13">
        <v>0.0</v>
      </c>
      <c r="AH27" s="13">
        <v>0.0</v>
      </c>
      <c r="AI27" s="13">
        <v>2.0</v>
      </c>
      <c r="AJ27" s="13">
        <v>0.0</v>
      </c>
      <c r="AK27" s="13">
        <v>0.0</v>
      </c>
      <c r="AL27" s="13">
        <v>0.0</v>
      </c>
      <c r="AM27" s="13">
        <v>0.0</v>
      </c>
      <c r="AN27" s="13">
        <v>18.0</v>
      </c>
      <c r="AO27" s="13">
        <v>0.0</v>
      </c>
      <c r="AP27" s="13">
        <v>6.0</v>
      </c>
      <c r="AQ27" s="13">
        <v>0.0</v>
      </c>
      <c r="AR27" s="13">
        <v>0.0</v>
      </c>
      <c r="AS27" s="13">
        <v>0.0</v>
      </c>
      <c r="AT27" s="13">
        <v>0.0</v>
      </c>
      <c r="AU27" s="13">
        <v>0.0</v>
      </c>
      <c r="AV27" s="13">
        <v>3.0</v>
      </c>
      <c r="AW27" s="13">
        <v>16.0</v>
      </c>
      <c r="AX27" s="13">
        <v>0.0</v>
      </c>
      <c r="AY27" s="13">
        <v>9.0</v>
      </c>
      <c r="AZ27" s="13">
        <v>7.0</v>
      </c>
      <c r="BA27" s="13">
        <v>0.0</v>
      </c>
      <c r="BB27" s="13">
        <v>0.0</v>
      </c>
      <c r="BC27" s="13">
        <v>0.0</v>
      </c>
      <c r="BD27" s="13">
        <v>0.0</v>
      </c>
      <c r="BE27" s="13">
        <v>0.0</v>
      </c>
      <c r="BF27" s="13">
        <v>0.0</v>
      </c>
      <c r="BG27" s="13">
        <v>0.0</v>
      </c>
      <c r="BH27" s="13">
        <v>70.0</v>
      </c>
      <c r="BI27" s="13" t="s">
        <v>603</v>
      </c>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row>
    <row r="28" ht="36.75" customHeight="1">
      <c r="A28" s="43">
        <v>42775.0</v>
      </c>
      <c r="B28" s="16" t="s">
        <v>472</v>
      </c>
      <c r="C28" s="16" t="s">
        <v>620</v>
      </c>
      <c r="D28" s="16" t="s">
        <v>621</v>
      </c>
      <c r="E28" s="16" t="s">
        <v>622</v>
      </c>
      <c r="F28" s="16" t="s">
        <v>623</v>
      </c>
      <c r="G28" s="16" t="s">
        <v>624</v>
      </c>
      <c r="H28" s="13" t="s">
        <v>625</v>
      </c>
      <c r="I28" s="13" t="s">
        <v>626</v>
      </c>
      <c r="J28" s="13" t="s">
        <v>627</v>
      </c>
      <c r="K28" s="13" t="s">
        <v>628</v>
      </c>
      <c r="L28" s="13">
        <v>0.0</v>
      </c>
      <c r="M28" s="13">
        <v>0.0</v>
      </c>
      <c r="N28" s="13">
        <v>0.0</v>
      </c>
      <c r="O28" s="13">
        <v>0.0</v>
      </c>
      <c r="P28" s="13">
        <v>0.0</v>
      </c>
      <c r="Q28" s="13">
        <v>0.0</v>
      </c>
      <c r="R28" s="13">
        <v>0.0</v>
      </c>
      <c r="S28" s="13">
        <v>0.0</v>
      </c>
      <c r="T28" s="13">
        <v>0.0</v>
      </c>
      <c r="U28" s="13">
        <v>0.0</v>
      </c>
      <c r="V28" s="13">
        <v>0.0</v>
      </c>
      <c r="W28" s="13">
        <v>0.0</v>
      </c>
      <c r="X28" s="13">
        <v>0.0</v>
      </c>
      <c r="Y28" s="13">
        <v>3.0</v>
      </c>
      <c r="Z28" s="13">
        <v>7.0</v>
      </c>
      <c r="AA28" s="13">
        <v>0.0</v>
      </c>
      <c r="AB28" s="13">
        <v>0.0</v>
      </c>
      <c r="AC28" s="13">
        <v>0.0</v>
      </c>
      <c r="AD28" s="13">
        <v>0.0</v>
      </c>
      <c r="AE28" s="13">
        <v>0.0</v>
      </c>
      <c r="AF28" s="13">
        <v>0.0</v>
      </c>
      <c r="AG28" s="13">
        <v>0.0</v>
      </c>
      <c r="AH28" s="13">
        <v>0.0</v>
      </c>
      <c r="AI28" s="13">
        <v>0.0</v>
      </c>
      <c r="AJ28" s="13">
        <v>0.0</v>
      </c>
      <c r="AK28" s="13">
        <v>0.0</v>
      </c>
      <c r="AL28" s="13">
        <v>0.0</v>
      </c>
      <c r="AM28" s="13">
        <v>0.0</v>
      </c>
      <c r="AN28" s="13">
        <v>1.0</v>
      </c>
      <c r="AO28" s="13">
        <v>0.0</v>
      </c>
      <c r="AP28" s="13">
        <v>0.0</v>
      </c>
      <c r="AQ28" s="13">
        <v>24.0</v>
      </c>
      <c r="AR28" s="13">
        <v>0.0</v>
      </c>
      <c r="AS28" s="13">
        <v>0.0</v>
      </c>
      <c r="AT28" s="13">
        <v>0.0</v>
      </c>
      <c r="AU28" s="13">
        <v>0.0</v>
      </c>
      <c r="AV28" s="13">
        <v>0.0</v>
      </c>
      <c r="AW28" s="13">
        <v>3.0</v>
      </c>
      <c r="AX28" s="13">
        <v>0.0</v>
      </c>
      <c r="AY28" s="13">
        <v>2.0</v>
      </c>
      <c r="AZ28" s="13">
        <v>7.0</v>
      </c>
      <c r="BA28" s="13">
        <v>0.0</v>
      </c>
      <c r="BB28" s="13">
        <v>0.0</v>
      </c>
      <c r="BC28" s="13">
        <v>120.0</v>
      </c>
      <c r="BD28" s="13">
        <v>0.0</v>
      </c>
      <c r="BE28" s="13">
        <v>0.0</v>
      </c>
      <c r="BF28" s="13">
        <v>0.0</v>
      </c>
      <c r="BG28" s="13">
        <v>0.0</v>
      </c>
      <c r="BH28">
        <f>L28+M28+N28+O28+P28+Q28+R28+S28+T28+U28+V28+W28+X28+Y28+Z28+AA28+AB28+AC28+AD28+AE28+AF28+AG28+AH28+AI28+AJ28+AK28+AL28+AM28+AN28+AO28+AP28+AQ28+AR28+AS28+AT28+AU28+AV28+AW28+AX28+AY28+AZ28+BA28+BB28+BC28+BD28+BE28+BF28+BG28</f>
        <v>167</v>
      </c>
      <c r="BI28" s="13" t="s">
        <v>681</v>
      </c>
    </row>
    <row r="29" ht="36.75" customHeight="1">
      <c r="A29" s="11">
        <v>42769.0</v>
      </c>
      <c r="B29" s="16" t="s">
        <v>651</v>
      </c>
      <c r="C29" s="16" t="s">
        <v>653</v>
      </c>
      <c r="D29" s="16" t="s">
        <v>655</v>
      </c>
      <c r="E29" s="26" t="s">
        <v>656</v>
      </c>
      <c r="F29" s="16">
        <v>26.27226</v>
      </c>
      <c r="G29" s="16">
        <v>-81.82778</v>
      </c>
      <c r="H29" s="13">
        <v>26.288741</v>
      </c>
      <c r="I29" s="13">
        <v>-81.829161</v>
      </c>
      <c r="J29" s="13" t="s">
        <v>659</v>
      </c>
      <c r="K29" s="13" t="s">
        <v>661</v>
      </c>
      <c r="L29" s="13">
        <v>0.0</v>
      </c>
      <c r="M29" s="13">
        <v>0.0</v>
      </c>
      <c r="N29" s="13">
        <v>0.0</v>
      </c>
      <c r="O29" s="13">
        <v>0.0</v>
      </c>
      <c r="P29" s="13">
        <v>0.0</v>
      </c>
      <c r="Q29" s="13">
        <v>0.0</v>
      </c>
      <c r="R29" s="13">
        <v>0.0</v>
      </c>
      <c r="S29" s="13">
        <v>0.0</v>
      </c>
      <c r="T29" s="13">
        <v>0.0</v>
      </c>
      <c r="U29" s="13">
        <v>0.0</v>
      </c>
      <c r="V29" s="13">
        <v>0.0</v>
      </c>
      <c r="W29" s="13">
        <v>0.0</v>
      </c>
      <c r="X29" s="13">
        <v>0.0</v>
      </c>
      <c r="Y29" s="13">
        <v>0.0</v>
      </c>
      <c r="Z29" s="13">
        <v>5.0</v>
      </c>
      <c r="AA29" s="13">
        <v>0.0</v>
      </c>
      <c r="AB29" s="13">
        <v>0.0</v>
      </c>
      <c r="AC29" s="13">
        <v>0.0</v>
      </c>
      <c r="AD29" s="13">
        <v>0.0</v>
      </c>
      <c r="AE29" s="13">
        <v>0.0</v>
      </c>
      <c r="AF29" s="13">
        <v>0.0</v>
      </c>
      <c r="AG29" s="13">
        <v>0.0</v>
      </c>
      <c r="AH29" s="13">
        <v>4.0</v>
      </c>
      <c r="AI29" s="13">
        <v>0.0</v>
      </c>
      <c r="AJ29" s="13">
        <v>0.0</v>
      </c>
      <c r="AK29" s="13">
        <v>0.0</v>
      </c>
      <c r="AL29" s="13">
        <v>0.0</v>
      </c>
      <c r="AM29" s="13">
        <v>0.0</v>
      </c>
      <c r="AN29" s="13">
        <v>5.0</v>
      </c>
      <c r="AO29" s="13">
        <v>0.0</v>
      </c>
      <c r="AP29" s="13">
        <v>0.0</v>
      </c>
      <c r="AQ29" s="13">
        <v>1.0</v>
      </c>
      <c r="AR29" s="13">
        <v>0.0</v>
      </c>
      <c r="AS29" s="13">
        <v>0.0</v>
      </c>
      <c r="AT29" s="13">
        <v>0.0</v>
      </c>
      <c r="AU29" s="13">
        <v>0.0</v>
      </c>
      <c r="AV29" s="13">
        <v>0.0</v>
      </c>
      <c r="AW29" s="13">
        <v>5.0</v>
      </c>
      <c r="AX29" s="13">
        <v>0.0</v>
      </c>
      <c r="AY29" s="13">
        <v>8.0</v>
      </c>
      <c r="AZ29" s="13">
        <v>3.0</v>
      </c>
      <c r="BA29" s="13">
        <v>0.0</v>
      </c>
      <c r="BB29" s="13">
        <v>0.0</v>
      </c>
      <c r="BC29" s="13">
        <v>0.0</v>
      </c>
      <c r="BD29" s="13">
        <v>0.0</v>
      </c>
      <c r="BE29" s="13">
        <v>0.0</v>
      </c>
      <c r="BF29" s="13">
        <v>0.0</v>
      </c>
      <c r="BG29" s="13">
        <v>0.0</v>
      </c>
      <c r="BH29" s="13">
        <f>sum(L29:BG29)</f>
        <v>31</v>
      </c>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row>
    <row r="30" ht="36.75" customHeight="1">
      <c r="A30" s="11">
        <v>42772.0</v>
      </c>
      <c r="B30" s="52" t="s">
        <v>672</v>
      </c>
      <c r="C30" s="53" t="s">
        <v>675</v>
      </c>
      <c r="D30" s="13" t="s">
        <v>683</v>
      </c>
      <c r="E30" s="26" t="s">
        <v>656</v>
      </c>
      <c r="F30" s="54">
        <v>25.9013</v>
      </c>
      <c r="G30" s="54">
        <v>-81.7157</v>
      </c>
      <c r="H30" s="54">
        <v>25.871</v>
      </c>
      <c r="I30" s="57">
        <v>-81.6969</v>
      </c>
      <c r="J30" s="13" t="s">
        <v>690</v>
      </c>
      <c r="K30" s="52" t="s">
        <v>692</v>
      </c>
      <c r="L30" s="13">
        <v>0.0</v>
      </c>
      <c r="M30" s="13">
        <v>0.0</v>
      </c>
      <c r="N30" s="13">
        <v>42.0</v>
      </c>
      <c r="O30" s="13">
        <v>405.0</v>
      </c>
      <c r="P30" s="13">
        <v>0.0</v>
      </c>
      <c r="Q30" s="13">
        <v>0.0</v>
      </c>
      <c r="R30" s="13">
        <v>0.0</v>
      </c>
      <c r="S30" s="13">
        <v>0.0</v>
      </c>
      <c r="T30" s="13">
        <v>0.0</v>
      </c>
      <c r="U30" s="13">
        <v>0.0</v>
      </c>
      <c r="V30" s="13">
        <v>23.0</v>
      </c>
      <c r="W30" s="13">
        <v>0.0</v>
      </c>
      <c r="X30" s="13">
        <v>0.0</v>
      </c>
      <c r="Y30" s="13">
        <v>34.0</v>
      </c>
      <c r="Z30" s="13">
        <v>100.0</v>
      </c>
      <c r="AA30" s="13">
        <v>0.0</v>
      </c>
      <c r="AB30" s="13">
        <v>0.0</v>
      </c>
      <c r="AC30" s="13">
        <v>293.0</v>
      </c>
      <c r="AD30" s="13">
        <v>0.0</v>
      </c>
      <c r="AE30" s="13">
        <v>0.0</v>
      </c>
      <c r="AF30" s="13">
        <v>106.0</v>
      </c>
      <c r="AG30" s="13">
        <v>0.0</v>
      </c>
      <c r="AH30" s="13">
        <v>269.0</v>
      </c>
      <c r="AI30" s="13">
        <v>0.0</v>
      </c>
      <c r="AJ30" s="13">
        <v>0.0</v>
      </c>
      <c r="AK30" s="13">
        <v>0.0</v>
      </c>
      <c r="AL30" s="13">
        <v>0.0</v>
      </c>
      <c r="AM30" s="13">
        <v>0.0</v>
      </c>
      <c r="AN30" s="13">
        <v>3.0</v>
      </c>
      <c r="AO30" s="13">
        <v>0.0</v>
      </c>
      <c r="AP30" s="13">
        <v>0.0</v>
      </c>
      <c r="AQ30" s="13">
        <v>0.0</v>
      </c>
      <c r="AR30" s="13">
        <v>0.0</v>
      </c>
      <c r="AS30" s="13">
        <v>0.0</v>
      </c>
      <c r="AT30" s="13">
        <v>0.0</v>
      </c>
      <c r="AU30" s="13">
        <v>0.0</v>
      </c>
      <c r="AV30" s="13">
        <v>0.0</v>
      </c>
      <c r="AW30" s="13">
        <v>0.0</v>
      </c>
      <c r="AX30" s="13">
        <v>0.0</v>
      </c>
      <c r="AY30" s="13">
        <v>1.0</v>
      </c>
      <c r="AZ30" s="13">
        <v>36.0</v>
      </c>
      <c r="BA30" s="13">
        <v>0.0</v>
      </c>
      <c r="BB30" s="13">
        <v>0.0</v>
      </c>
      <c r="BC30" s="13">
        <v>0.0</v>
      </c>
      <c r="BD30" s="13">
        <v>0.0</v>
      </c>
      <c r="BE30" s="13">
        <v>0.0</v>
      </c>
      <c r="BF30" s="13">
        <v>0.0</v>
      </c>
      <c r="BG30" s="13">
        <v>0.0</v>
      </c>
      <c r="BH30" s="13">
        <v>1312.0</v>
      </c>
      <c r="BI30" s="13" t="s">
        <v>740</v>
      </c>
    </row>
    <row r="31" ht="36.75" customHeight="1">
      <c r="A31" s="11">
        <v>42772.0</v>
      </c>
      <c r="B31" s="52" t="s">
        <v>672</v>
      </c>
      <c r="C31" s="53" t="s">
        <v>746</v>
      </c>
      <c r="D31" s="56" t="s">
        <v>699</v>
      </c>
      <c r="E31" s="34" t="s">
        <v>656</v>
      </c>
      <c r="F31" s="54">
        <v>25.9013</v>
      </c>
      <c r="G31" s="54">
        <v>-81.7157</v>
      </c>
      <c r="H31" s="54">
        <v>25.871</v>
      </c>
      <c r="I31" s="57">
        <v>-81.6969</v>
      </c>
      <c r="J31" s="13" t="s">
        <v>754</v>
      </c>
      <c r="K31" s="52" t="s">
        <v>706</v>
      </c>
      <c r="L31" s="13">
        <v>0.0</v>
      </c>
      <c r="M31" s="13">
        <v>0.0</v>
      </c>
      <c r="N31" s="13">
        <v>23.0</v>
      </c>
      <c r="O31" s="13">
        <v>68.0</v>
      </c>
      <c r="P31" s="13">
        <v>0.0</v>
      </c>
      <c r="Q31" s="13">
        <v>0.0</v>
      </c>
      <c r="R31" s="13">
        <v>155.0</v>
      </c>
      <c r="S31" s="13">
        <v>0.0</v>
      </c>
      <c r="T31" s="13">
        <v>0.0</v>
      </c>
      <c r="U31" s="13">
        <v>0.0</v>
      </c>
      <c r="V31" s="13">
        <v>0.0</v>
      </c>
      <c r="W31" s="13">
        <v>0.0</v>
      </c>
      <c r="X31" s="13">
        <v>2.0</v>
      </c>
      <c r="Y31" s="13">
        <v>38.0</v>
      </c>
      <c r="Z31" s="13">
        <v>3.0</v>
      </c>
      <c r="AA31" s="13">
        <v>124.0</v>
      </c>
      <c r="AB31" s="13">
        <v>0.0</v>
      </c>
      <c r="AC31" s="13">
        <v>35.0</v>
      </c>
      <c r="AD31" s="13">
        <v>0.0</v>
      </c>
      <c r="AE31" s="13">
        <v>0.0</v>
      </c>
      <c r="AF31" s="13">
        <v>159.0</v>
      </c>
      <c r="AG31" s="13">
        <v>0.0</v>
      </c>
      <c r="AH31" s="13">
        <v>72.0</v>
      </c>
      <c r="AI31" s="13">
        <v>32.0</v>
      </c>
      <c r="AJ31" s="13">
        <v>0.0</v>
      </c>
      <c r="AK31" s="13">
        <v>0.0</v>
      </c>
      <c r="AL31" s="13">
        <v>0.0</v>
      </c>
      <c r="AM31" s="13">
        <v>0.0</v>
      </c>
      <c r="AN31" s="13">
        <v>8.0</v>
      </c>
      <c r="AO31" s="13">
        <v>0.0</v>
      </c>
      <c r="AP31" s="13">
        <v>0.0</v>
      </c>
      <c r="AQ31" s="13">
        <v>101.0</v>
      </c>
      <c r="AR31" s="13">
        <v>0.0</v>
      </c>
      <c r="AS31" s="13">
        <v>0.0</v>
      </c>
      <c r="AT31" s="13">
        <v>0.0</v>
      </c>
      <c r="AU31" s="13">
        <v>0.0</v>
      </c>
      <c r="AV31" s="13">
        <v>0.0</v>
      </c>
      <c r="AW31" s="13">
        <v>1.0</v>
      </c>
      <c r="AX31" s="13">
        <v>0.0</v>
      </c>
      <c r="AY31" s="13">
        <v>0.0</v>
      </c>
      <c r="AZ31" s="13">
        <v>405.0</v>
      </c>
      <c r="BA31" s="13">
        <v>0.0</v>
      </c>
      <c r="BB31" s="13">
        <v>0.0</v>
      </c>
      <c r="BC31" s="13">
        <v>15.0</v>
      </c>
      <c r="BD31" s="13">
        <v>0.0</v>
      </c>
      <c r="BE31" s="13">
        <v>0.0</v>
      </c>
      <c r="BF31" s="13">
        <v>0.0</v>
      </c>
      <c r="BG31" s="13">
        <v>0.0</v>
      </c>
      <c r="BH31" s="13">
        <v>1241.0</v>
      </c>
      <c r="BI31" s="13" t="s">
        <v>765</v>
      </c>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row>
    <row r="32" ht="36.75" customHeight="1">
      <c r="A32" s="43">
        <v>42772.0</v>
      </c>
      <c r="B32" s="16" t="s">
        <v>672</v>
      </c>
      <c r="C32" s="16" t="s">
        <v>698</v>
      </c>
      <c r="D32" s="16" t="s">
        <v>745</v>
      </c>
      <c r="E32" s="59" t="s">
        <v>656</v>
      </c>
      <c r="F32" s="54">
        <v>25.843642</v>
      </c>
      <c r="G32" s="54">
        <v>-81.666403</v>
      </c>
      <c r="H32" s="54">
        <v>25.840697</v>
      </c>
      <c r="I32" s="54">
        <v>-81.665599</v>
      </c>
      <c r="J32" s="13" t="s">
        <v>748</v>
      </c>
      <c r="K32" s="52" t="s">
        <v>706</v>
      </c>
      <c r="L32" s="13">
        <v>0.0</v>
      </c>
      <c r="M32" s="13">
        <v>0.0</v>
      </c>
      <c r="N32" s="13">
        <v>1.0</v>
      </c>
      <c r="O32" s="13">
        <v>680.0</v>
      </c>
      <c r="Q32" s="13">
        <v>0.0</v>
      </c>
      <c r="R32" s="13">
        <v>0.0</v>
      </c>
      <c r="S32" s="13">
        <v>0.0</v>
      </c>
      <c r="T32" s="13">
        <v>0.0</v>
      </c>
      <c r="U32" s="13">
        <v>0.0</v>
      </c>
      <c r="V32" s="13">
        <v>0.0</v>
      </c>
      <c r="W32" s="13">
        <v>0.0</v>
      </c>
      <c r="X32" s="13">
        <v>0.0</v>
      </c>
      <c r="Y32" s="13">
        <v>8.0</v>
      </c>
      <c r="Z32" s="13">
        <v>225.0</v>
      </c>
      <c r="AA32" s="13">
        <v>0.0</v>
      </c>
      <c r="AB32" s="13">
        <v>0.0</v>
      </c>
      <c r="AC32" s="13">
        <v>20.0</v>
      </c>
      <c r="AD32" s="13">
        <v>0.0</v>
      </c>
      <c r="AE32" s="13">
        <v>0.0</v>
      </c>
      <c r="AF32" s="13">
        <v>300.0</v>
      </c>
      <c r="AG32" s="13">
        <v>0.0</v>
      </c>
      <c r="AH32" s="13">
        <v>0.0</v>
      </c>
      <c r="AI32" s="13">
        <v>0.0</v>
      </c>
      <c r="AJ32" s="13">
        <v>0.0</v>
      </c>
      <c r="AK32" s="13">
        <v>0.0</v>
      </c>
      <c r="AL32" s="13">
        <v>0.0</v>
      </c>
      <c r="AM32" s="13">
        <v>0.0</v>
      </c>
      <c r="AN32" s="13">
        <v>8.0</v>
      </c>
      <c r="AO32" s="13">
        <v>0.0</v>
      </c>
      <c r="AP32" s="13">
        <v>0.0</v>
      </c>
      <c r="AQ32" s="13">
        <v>76.0</v>
      </c>
      <c r="AR32" s="13">
        <v>0.0</v>
      </c>
      <c r="AS32" s="13">
        <v>0.0</v>
      </c>
      <c r="AT32" s="13">
        <v>0.0</v>
      </c>
      <c r="AU32" s="13">
        <v>0.0</v>
      </c>
      <c r="AV32" s="13">
        <v>0.0</v>
      </c>
      <c r="AW32" s="13">
        <v>0.0</v>
      </c>
      <c r="AX32" s="13">
        <v>0.0</v>
      </c>
      <c r="AY32" s="13">
        <v>13.0</v>
      </c>
      <c r="AZ32" s="13">
        <v>35.0</v>
      </c>
      <c r="BA32" s="13">
        <v>0.0</v>
      </c>
      <c r="BB32" s="13">
        <v>0.0</v>
      </c>
      <c r="BC32" s="13">
        <v>0.0</v>
      </c>
      <c r="BD32" s="13">
        <v>0.0</v>
      </c>
      <c r="BE32" s="13">
        <v>0.0</v>
      </c>
      <c r="BF32" s="13">
        <v>0.0</v>
      </c>
      <c r="BG32" s="13">
        <v>0.0</v>
      </c>
      <c r="BH32" s="13">
        <v>1366.0</v>
      </c>
      <c r="BI32" s="13" t="s">
        <v>765</v>
      </c>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row>
    <row r="33" ht="36.75" customHeight="1">
      <c r="A33" s="45">
        <v>42772.0</v>
      </c>
      <c r="B33" s="13" t="s">
        <v>672</v>
      </c>
      <c r="C33" s="13" t="s">
        <v>698</v>
      </c>
      <c r="D33" s="13" t="s">
        <v>775</v>
      </c>
      <c r="E33" s="26" t="s">
        <v>656</v>
      </c>
      <c r="F33" s="54">
        <v>25.989172</v>
      </c>
      <c r="G33" s="54">
        <v>-81.749735</v>
      </c>
      <c r="H33" s="54">
        <v>25.091804</v>
      </c>
      <c r="I33" s="54">
        <v>-81.801744</v>
      </c>
      <c r="J33" s="13" t="s">
        <v>776</v>
      </c>
      <c r="K33" s="13" t="s">
        <v>777</v>
      </c>
      <c r="L33" s="13">
        <v>0.0</v>
      </c>
      <c r="M33" s="13">
        <v>0.0</v>
      </c>
      <c r="N33" s="13">
        <v>21.0</v>
      </c>
      <c r="O33" s="13">
        <v>0.0</v>
      </c>
      <c r="P33" s="13">
        <v>0.0</v>
      </c>
      <c r="Q33" s="13">
        <v>0.0</v>
      </c>
      <c r="R33" s="13">
        <v>0.0</v>
      </c>
      <c r="S33" s="13">
        <v>0.0</v>
      </c>
      <c r="T33" s="13">
        <v>0.0</v>
      </c>
      <c r="U33" s="13">
        <v>0.0</v>
      </c>
      <c r="V33" s="13">
        <v>0.0</v>
      </c>
      <c r="W33" s="13">
        <v>0.0</v>
      </c>
      <c r="X33" s="13">
        <v>0.0</v>
      </c>
      <c r="Y33" s="13">
        <v>15.0</v>
      </c>
      <c r="Z33" s="13">
        <v>86.0</v>
      </c>
      <c r="AA33" s="13">
        <v>0.0</v>
      </c>
      <c r="AB33" s="13">
        <v>0.0</v>
      </c>
      <c r="AC33" s="13">
        <v>0.0</v>
      </c>
      <c r="AD33" s="13">
        <v>0.0</v>
      </c>
      <c r="AE33" s="13">
        <v>0.0</v>
      </c>
      <c r="AF33" s="13">
        <v>0.0</v>
      </c>
      <c r="AG33" s="13">
        <v>0.0</v>
      </c>
      <c r="AH33" s="13">
        <v>0.0</v>
      </c>
      <c r="AI33" s="13">
        <v>7.0</v>
      </c>
      <c r="AJ33" s="13">
        <v>0.0</v>
      </c>
      <c r="AK33" s="13">
        <v>0.0</v>
      </c>
      <c r="AL33" s="13">
        <v>0.0</v>
      </c>
      <c r="AM33" s="13">
        <v>0.0</v>
      </c>
      <c r="AN33" s="13">
        <v>42.0</v>
      </c>
      <c r="AO33" s="13">
        <v>0.0</v>
      </c>
      <c r="AP33" s="13">
        <v>0.0</v>
      </c>
      <c r="AQ33" s="13">
        <v>62.0</v>
      </c>
      <c r="AR33" s="13">
        <v>0.0</v>
      </c>
      <c r="AS33" s="13">
        <v>0.0</v>
      </c>
      <c r="AT33" s="13">
        <v>0.0</v>
      </c>
      <c r="AU33" s="13">
        <v>0.0</v>
      </c>
      <c r="AV33" s="13">
        <v>0.0</v>
      </c>
      <c r="AW33" s="13">
        <v>8.0</v>
      </c>
      <c r="AX33" s="13">
        <v>0.0</v>
      </c>
      <c r="AY33" s="13">
        <v>25.0</v>
      </c>
      <c r="AZ33" s="13">
        <v>107.0</v>
      </c>
      <c r="BA33" s="13">
        <v>0.0</v>
      </c>
      <c r="BB33" s="13">
        <v>0.0</v>
      </c>
      <c r="BC33" s="13">
        <v>0.0</v>
      </c>
      <c r="BD33" s="13">
        <v>0.0</v>
      </c>
      <c r="BE33" s="13">
        <v>0.0</v>
      </c>
      <c r="BF33" s="13">
        <v>0.0</v>
      </c>
      <c r="BG33" s="13">
        <v>0.0</v>
      </c>
      <c r="BH33" s="13">
        <v>373.0</v>
      </c>
      <c r="BI33" s="13" t="s">
        <v>799</v>
      </c>
    </row>
    <row r="34" ht="36.75" customHeight="1">
      <c r="A34" s="45">
        <v>42772.0</v>
      </c>
      <c r="B34" s="13" t="s">
        <v>759</v>
      </c>
      <c r="C34" s="13" t="s">
        <v>760</v>
      </c>
      <c r="D34" s="13" t="s">
        <v>762</v>
      </c>
      <c r="E34" s="34" t="s">
        <v>656</v>
      </c>
      <c r="F34" s="16">
        <v>25.94723</v>
      </c>
      <c r="G34" s="16">
        <v>-81.743183</v>
      </c>
      <c r="H34" s="13">
        <v>25.96886</v>
      </c>
      <c r="I34" s="13">
        <v>-81.74356</v>
      </c>
      <c r="J34" s="13" t="s">
        <v>763</v>
      </c>
      <c r="K34" s="13" t="s">
        <v>764</v>
      </c>
      <c r="L34" s="13">
        <v>0.0</v>
      </c>
      <c r="M34" s="13">
        <v>0.0</v>
      </c>
      <c r="N34" s="13">
        <v>128.0</v>
      </c>
      <c r="O34" s="13">
        <v>300.0</v>
      </c>
      <c r="P34" s="13">
        <v>0.0</v>
      </c>
      <c r="Q34" s="13">
        <v>0.0</v>
      </c>
      <c r="R34" s="13">
        <v>0.0</v>
      </c>
      <c r="S34" s="13">
        <v>0.0</v>
      </c>
      <c r="T34" s="13">
        <v>0.0</v>
      </c>
      <c r="U34" s="13">
        <v>0.0</v>
      </c>
      <c r="V34" s="13">
        <v>0.0</v>
      </c>
      <c r="W34" s="13">
        <v>0.0</v>
      </c>
      <c r="X34" s="13">
        <v>0.0</v>
      </c>
      <c r="Y34" s="13">
        <v>7.0</v>
      </c>
      <c r="Z34" s="13">
        <v>35.0</v>
      </c>
      <c r="AA34" s="13">
        <v>0.0</v>
      </c>
      <c r="AB34" s="13">
        <v>0.0</v>
      </c>
      <c r="AC34" s="13">
        <v>172.0</v>
      </c>
      <c r="AD34" s="13">
        <v>0.0</v>
      </c>
      <c r="AE34" s="13">
        <v>0.0</v>
      </c>
      <c r="AF34" s="13">
        <v>1.0</v>
      </c>
      <c r="AG34" s="13">
        <v>0.0</v>
      </c>
      <c r="AH34" s="13">
        <v>0.0</v>
      </c>
      <c r="AI34" s="13">
        <v>33.0</v>
      </c>
      <c r="AJ34" s="13">
        <v>0.0</v>
      </c>
      <c r="AK34" s="13">
        <v>0.0</v>
      </c>
      <c r="AL34" s="13">
        <v>0.0</v>
      </c>
      <c r="AM34" s="13">
        <v>0.0</v>
      </c>
      <c r="AN34" s="13">
        <v>12.0</v>
      </c>
      <c r="AO34" s="13">
        <v>0.0</v>
      </c>
      <c r="AP34" s="13">
        <v>0.0</v>
      </c>
      <c r="AQ34" s="13">
        <v>33.0</v>
      </c>
      <c r="AR34" s="13">
        <v>0.0</v>
      </c>
      <c r="AS34" s="13">
        <v>0.0</v>
      </c>
      <c r="AT34" s="13">
        <v>0.0</v>
      </c>
      <c r="AU34" s="13">
        <v>0.0</v>
      </c>
      <c r="AV34" s="13">
        <v>0.0</v>
      </c>
      <c r="AW34" s="13">
        <v>2.0</v>
      </c>
      <c r="AX34" s="13">
        <v>0.0</v>
      </c>
      <c r="AY34" s="13">
        <v>3.0</v>
      </c>
      <c r="AZ34" s="13">
        <v>22.0</v>
      </c>
      <c r="BA34" s="13">
        <v>0.0</v>
      </c>
      <c r="BB34" s="13">
        <v>0.0</v>
      </c>
      <c r="BC34" s="13">
        <v>0.0</v>
      </c>
      <c r="BD34" s="13">
        <v>0.0</v>
      </c>
      <c r="BE34" s="13">
        <v>0.0</v>
      </c>
      <c r="BF34" s="13">
        <v>0.0</v>
      </c>
      <c r="BG34" s="13">
        <v>0.0</v>
      </c>
      <c r="BH34" s="13">
        <v>747.0</v>
      </c>
    </row>
    <row r="35" ht="36.75" customHeight="1">
      <c r="A35" s="41">
        <v>42773.0</v>
      </c>
      <c r="B35" s="16" t="s">
        <v>660</v>
      </c>
      <c r="C35" s="16" t="s">
        <v>662</v>
      </c>
      <c r="D35" s="16" t="s">
        <v>663</v>
      </c>
      <c r="E35" s="34" t="s">
        <v>656</v>
      </c>
      <c r="F35" s="16">
        <v>26.214286</v>
      </c>
      <c r="G35" s="13">
        <v>-81.817353</v>
      </c>
      <c r="H35" s="13">
        <v>26.220889</v>
      </c>
      <c r="I35" s="13">
        <v>-81.818662</v>
      </c>
      <c r="J35" s="13" t="s">
        <v>770</v>
      </c>
      <c r="K35" s="13" t="s">
        <v>771</v>
      </c>
      <c r="L35" s="13">
        <v>0.0</v>
      </c>
      <c r="M35" s="13">
        <v>0.0</v>
      </c>
      <c r="N35" s="13">
        <v>31.0</v>
      </c>
      <c r="O35" s="13">
        <v>0.0</v>
      </c>
      <c r="P35" s="13">
        <v>0.0</v>
      </c>
      <c r="Q35" s="13">
        <v>0.0</v>
      </c>
      <c r="R35" s="13">
        <v>0.0</v>
      </c>
      <c r="S35" s="13">
        <v>0.0</v>
      </c>
      <c r="T35" s="13">
        <v>0.0</v>
      </c>
      <c r="U35" s="13">
        <v>0.0</v>
      </c>
      <c r="V35" s="13">
        <v>0.0</v>
      </c>
      <c r="W35" s="13">
        <v>0.0</v>
      </c>
      <c r="X35" s="13">
        <v>0.0</v>
      </c>
      <c r="Y35" s="13">
        <v>0.0</v>
      </c>
      <c r="Z35" s="13">
        <v>13.0</v>
      </c>
      <c r="AA35" s="13">
        <v>0.0</v>
      </c>
      <c r="AB35" s="13">
        <v>0.0</v>
      </c>
      <c r="AC35" s="13">
        <v>0.0</v>
      </c>
      <c r="AD35" s="13">
        <v>0.0</v>
      </c>
      <c r="AE35" s="13">
        <v>0.0</v>
      </c>
      <c r="AF35" s="13">
        <v>0.0</v>
      </c>
      <c r="AG35" s="13">
        <v>0.0</v>
      </c>
      <c r="AH35" s="13">
        <v>0.0</v>
      </c>
      <c r="AI35" s="13">
        <v>0.0</v>
      </c>
      <c r="AJ35" s="13">
        <v>0.0</v>
      </c>
      <c r="AK35" s="13">
        <v>427.0</v>
      </c>
      <c r="AL35" s="13">
        <v>0.0</v>
      </c>
      <c r="AM35" s="13">
        <v>0.0</v>
      </c>
      <c r="AN35" s="13">
        <v>18.0</v>
      </c>
      <c r="AO35" s="13">
        <v>0.0</v>
      </c>
      <c r="AP35" s="13">
        <v>0.0</v>
      </c>
      <c r="AQ35" s="13">
        <v>0.0</v>
      </c>
      <c r="AR35" s="13">
        <v>1.0</v>
      </c>
      <c r="AS35" s="13">
        <v>0.0</v>
      </c>
      <c r="AT35" s="13">
        <v>0.0</v>
      </c>
      <c r="AU35" s="13">
        <v>0.0</v>
      </c>
      <c r="AV35" s="13">
        <v>1.0</v>
      </c>
      <c r="AW35" s="13">
        <v>61.0</v>
      </c>
      <c r="AX35" s="13">
        <v>0.0</v>
      </c>
      <c r="AY35" s="13">
        <v>22.0</v>
      </c>
      <c r="AZ35" s="13">
        <v>31.0</v>
      </c>
      <c r="BA35" s="13">
        <v>0.0</v>
      </c>
      <c r="BB35" s="13">
        <v>0.0</v>
      </c>
      <c r="BC35" s="13">
        <v>0.0</v>
      </c>
      <c r="BD35" s="13">
        <v>0.0</v>
      </c>
      <c r="BE35" s="13">
        <v>0.0</v>
      </c>
      <c r="BF35" s="13">
        <v>0.0</v>
      </c>
      <c r="BG35" s="13">
        <v>0.0</v>
      </c>
      <c r="BH35" s="13">
        <v>605.0</v>
      </c>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3"/>
      <c r="CZ35" s="13"/>
      <c r="DA35" s="13"/>
      <c r="DB35" s="13"/>
      <c r="DC35" s="13"/>
      <c r="DD35" s="13"/>
      <c r="DE35" s="13"/>
      <c r="DF35" s="13"/>
      <c r="DG35" s="13"/>
      <c r="DH35" s="13"/>
      <c r="DI35" s="13"/>
      <c r="DJ35" s="13"/>
      <c r="DK35" s="13"/>
      <c r="DL35" s="13"/>
      <c r="DM35" s="13"/>
      <c r="DN35" s="13"/>
      <c r="DO35" s="13"/>
      <c r="DP35" s="13"/>
      <c r="DQ35" s="13"/>
      <c r="DR35" s="13"/>
      <c r="DS35" s="13"/>
      <c r="DT35" s="13"/>
      <c r="DU35" s="13"/>
      <c r="DV35" s="13"/>
      <c r="DW35" s="13"/>
    </row>
    <row r="36" ht="36.75" customHeight="1">
      <c r="A36" s="11">
        <v>42769.0</v>
      </c>
      <c r="B36" s="13" t="s">
        <v>781</v>
      </c>
      <c r="C36" s="13" t="s">
        <v>782</v>
      </c>
      <c r="D36" s="13" t="s">
        <v>783</v>
      </c>
      <c r="E36" s="34" t="s">
        <v>535</v>
      </c>
      <c r="F36" s="13" t="s">
        <v>784</v>
      </c>
      <c r="G36" s="13" t="s">
        <v>785</v>
      </c>
      <c r="H36" s="13" t="s">
        <v>787</v>
      </c>
      <c r="I36" s="14" t="s">
        <v>788</v>
      </c>
      <c r="J36" s="13" t="s">
        <v>789</v>
      </c>
      <c r="K36" s="13" t="s">
        <v>790</v>
      </c>
      <c r="Y36" s="13"/>
      <c r="Z36" s="13"/>
      <c r="AD36" s="13"/>
      <c r="AH36" s="13">
        <v>3.0</v>
      </c>
      <c r="AK36" s="13">
        <v>91.0</v>
      </c>
      <c r="AL36" s="13">
        <v>5.0</v>
      </c>
      <c r="AN36" s="13">
        <v>7.0</v>
      </c>
      <c r="AQ36" s="13">
        <v>22.0</v>
      </c>
      <c r="AR36" s="13">
        <v>11.0</v>
      </c>
      <c r="AV36" s="13">
        <v>2.0</v>
      </c>
      <c r="AW36" s="13">
        <v>657.0</v>
      </c>
      <c r="AX36" s="13"/>
      <c r="AY36" s="13">
        <v>26.0</v>
      </c>
      <c r="AZ36" s="13">
        <v>20.0</v>
      </c>
      <c r="BA36" s="13">
        <v>4.0</v>
      </c>
      <c r="BH36" s="13">
        <f>sum(L36:BG36)</f>
        <v>848</v>
      </c>
    </row>
    <row r="37" ht="36.75" customHeight="1">
      <c r="A37" s="11">
        <v>42769.0</v>
      </c>
      <c r="B37" s="13" t="s">
        <v>532</v>
      </c>
      <c r="C37" s="13" t="s">
        <v>533</v>
      </c>
      <c r="D37" s="13" t="s">
        <v>534</v>
      </c>
      <c r="E37" s="34" t="s">
        <v>535</v>
      </c>
      <c r="F37" s="13">
        <v>30.48762</v>
      </c>
      <c r="G37" s="13">
        <v>-81.41838</v>
      </c>
      <c r="H37" s="13">
        <v>30.48664</v>
      </c>
      <c r="I37" s="14">
        <v>-81.4255</v>
      </c>
      <c r="J37" s="13" t="s">
        <v>810</v>
      </c>
      <c r="K37" s="13" t="s">
        <v>811</v>
      </c>
      <c r="L37" s="13">
        <v>0.0</v>
      </c>
      <c r="M37" s="13">
        <v>0.0</v>
      </c>
      <c r="N37" s="13">
        <v>6.0</v>
      </c>
      <c r="O37" s="13">
        <v>273.0</v>
      </c>
      <c r="P37" s="13">
        <v>2.0</v>
      </c>
      <c r="Q37" s="13">
        <v>0.0</v>
      </c>
      <c r="R37" s="13">
        <v>0.0</v>
      </c>
      <c r="S37" s="13">
        <v>0.0</v>
      </c>
      <c r="T37" s="13">
        <v>0.0</v>
      </c>
      <c r="U37" s="13">
        <v>0.0</v>
      </c>
      <c r="V37" s="13">
        <v>0.0</v>
      </c>
      <c r="W37" s="13">
        <v>2.0</v>
      </c>
      <c r="X37" s="13">
        <v>15.0</v>
      </c>
      <c r="Y37" s="13">
        <v>0.0</v>
      </c>
      <c r="Z37" s="13">
        <v>27.0</v>
      </c>
      <c r="AA37" s="13">
        <v>8.0</v>
      </c>
      <c r="AB37" s="13">
        <v>0.0</v>
      </c>
      <c r="AC37" s="13">
        <v>27.0</v>
      </c>
      <c r="AD37" s="13">
        <v>0.0</v>
      </c>
      <c r="AE37" s="13">
        <v>0.0</v>
      </c>
      <c r="AF37" s="13">
        <v>2.0</v>
      </c>
      <c r="AG37" s="13">
        <v>0.0</v>
      </c>
      <c r="AH37" s="13">
        <v>6.0</v>
      </c>
      <c r="AI37" s="13">
        <v>0.0</v>
      </c>
      <c r="AJ37" s="13">
        <v>0.0</v>
      </c>
      <c r="AK37" s="13">
        <v>0.0</v>
      </c>
      <c r="AL37" s="13">
        <v>0.0</v>
      </c>
      <c r="AM37" s="13">
        <v>0.0</v>
      </c>
      <c r="AN37" s="13">
        <v>1.0</v>
      </c>
      <c r="AO37" s="13">
        <v>0.0</v>
      </c>
      <c r="AP37" s="13">
        <v>0.0</v>
      </c>
      <c r="AQ37" s="13">
        <v>2.0</v>
      </c>
      <c r="AR37" s="13">
        <v>0.0</v>
      </c>
      <c r="AS37" s="13">
        <v>0.0</v>
      </c>
      <c r="AT37" s="13">
        <v>0.0</v>
      </c>
      <c r="AU37" s="13">
        <v>0.0</v>
      </c>
      <c r="AV37" s="13">
        <v>0.0</v>
      </c>
      <c r="AW37" s="13">
        <v>1.0</v>
      </c>
      <c r="AX37" s="13">
        <v>0.0</v>
      </c>
      <c r="AY37" s="13">
        <v>9.0</v>
      </c>
      <c r="AZ37" s="13">
        <v>1.0</v>
      </c>
      <c r="BA37" s="13">
        <v>0.0</v>
      </c>
      <c r="BB37" s="13">
        <v>0.0</v>
      </c>
      <c r="BC37" s="13">
        <v>4.0</v>
      </c>
      <c r="BD37" s="13">
        <v>0.0</v>
      </c>
      <c r="BE37" s="13">
        <v>0.0</v>
      </c>
      <c r="BF37" s="13">
        <v>0.0</v>
      </c>
      <c r="BG37" s="13">
        <v>0.0</v>
      </c>
      <c r="BH37">
        <f t="shared" ref="BH37:BH39" si="3">SUM(L37:BG37)</f>
        <v>386</v>
      </c>
      <c r="BI37" s="13" t="s">
        <v>837</v>
      </c>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row>
    <row r="38" ht="36.75" customHeight="1">
      <c r="A38" s="41">
        <v>42769.0</v>
      </c>
      <c r="B38" s="16" t="s">
        <v>532</v>
      </c>
      <c r="C38" s="16" t="s">
        <v>533</v>
      </c>
      <c r="D38" s="16" t="s">
        <v>832</v>
      </c>
      <c r="E38" s="26" t="s">
        <v>535</v>
      </c>
      <c r="F38" s="16">
        <v>30.48762</v>
      </c>
      <c r="G38" s="16">
        <v>-81.41838</v>
      </c>
      <c r="H38" s="13">
        <v>30.4296</v>
      </c>
      <c r="I38" s="13">
        <v>-81.41011</v>
      </c>
      <c r="J38" s="13" t="s">
        <v>833</v>
      </c>
      <c r="K38" s="13" t="s">
        <v>811</v>
      </c>
      <c r="L38" s="13">
        <v>0.0</v>
      </c>
      <c r="M38" s="13">
        <v>0.0</v>
      </c>
      <c r="N38" s="13">
        <v>6.0</v>
      </c>
      <c r="O38" s="13">
        <v>249.0</v>
      </c>
      <c r="P38" s="14">
        <v>0.0</v>
      </c>
      <c r="Q38" s="13">
        <v>0.0</v>
      </c>
      <c r="R38" s="13">
        <v>0.0</v>
      </c>
      <c r="S38" s="13">
        <v>0.0</v>
      </c>
      <c r="T38" s="13">
        <v>0.0</v>
      </c>
      <c r="U38" s="13">
        <v>0.0</v>
      </c>
      <c r="V38" s="13">
        <v>0.0</v>
      </c>
      <c r="W38" s="13">
        <v>23.0</v>
      </c>
      <c r="X38" s="13">
        <v>30.0</v>
      </c>
      <c r="Y38" s="13">
        <v>1.0</v>
      </c>
      <c r="Z38" s="13">
        <v>95.0</v>
      </c>
      <c r="AA38" s="13">
        <v>233.0</v>
      </c>
      <c r="AB38" s="13">
        <v>0.0</v>
      </c>
      <c r="AC38" s="13">
        <v>3.0</v>
      </c>
      <c r="AD38" s="13">
        <v>0.0</v>
      </c>
      <c r="AE38" s="13">
        <v>0.0</v>
      </c>
      <c r="AF38" s="13">
        <v>10.0</v>
      </c>
      <c r="AG38" s="13">
        <v>0.0</v>
      </c>
      <c r="AH38" s="13">
        <v>5.0</v>
      </c>
      <c r="AI38" s="13">
        <v>18.0</v>
      </c>
      <c r="AJ38" s="13">
        <v>0.0</v>
      </c>
      <c r="AK38" s="13">
        <v>0.0</v>
      </c>
      <c r="AL38" s="13">
        <v>0.0</v>
      </c>
      <c r="AM38" s="13">
        <v>0.0</v>
      </c>
      <c r="AN38" s="13">
        <v>0.0</v>
      </c>
      <c r="AO38" s="13">
        <v>0.0</v>
      </c>
      <c r="AP38" s="13">
        <v>0.0</v>
      </c>
      <c r="AQ38" s="13">
        <v>0.0</v>
      </c>
      <c r="AR38" s="13">
        <v>0.0</v>
      </c>
      <c r="AS38" s="13">
        <v>0.0</v>
      </c>
      <c r="AT38" s="13">
        <v>0.0</v>
      </c>
      <c r="AU38" s="13">
        <v>0.0</v>
      </c>
      <c r="AV38" s="13">
        <v>0.0</v>
      </c>
      <c r="AW38" s="13">
        <v>0.0</v>
      </c>
      <c r="AX38" s="13">
        <v>0.0</v>
      </c>
      <c r="AY38" s="13">
        <v>7.0</v>
      </c>
      <c r="AZ38" s="13">
        <v>0.0</v>
      </c>
      <c r="BA38" s="13">
        <v>0.0</v>
      </c>
      <c r="BB38" s="13">
        <v>0.0</v>
      </c>
      <c r="BC38" s="13">
        <v>0.0</v>
      </c>
      <c r="BD38" s="13">
        <v>0.0</v>
      </c>
      <c r="BE38" s="13">
        <v>0.0</v>
      </c>
      <c r="BF38" s="13">
        <v>0.0</v>
      </c>
      <c r="BG38" s="13">
        <v>0.0</v>
      </c>
      <c r="BH38">
        <f t="shared" si="3"/>
        <v>680</v>
      </c>
      <c r="BI38" s="13" t="s">
        <v>837</v>
      </c>
    </row>
    <row r="39" ht="36.75" customHeight="1">
      <c r="A39" s="41">
        <v>42769.0</v>
      </c>
      <c r="B39" s="16" t="s">
        <v>846</v>
      </c>
      <c r="C39" s="16" t="s">
        <v>847</v>
      </c>
      <c r="D39" s="16" t="s">
        <v>848</v>
      </c>
      <c r="E39" s="34" t="s">
        <v>535</v>
      </c>
      <c r="F39" s="16">
        <v>30.512914</v>
      </c>
      <c r="G39" s="16">
        <v>-81.4588</v>
      </c>
      <c r="H39" s="13">
        <v>30.502887</v>
      </c>
      <c r="I39" s="13">
        <v>-81.449429</v>
      </c>
      <c r="J39" s="13" t="s">
        <v>849</v>
      </c>
      <c r="K39" s="13" t="s">
        <v>851</v>
      </c>
      <c r="L39" s="13">
        <v>0.0</v>
      </c>
      <c r="M39" s="13">
        <v>0.0</v>
      </c>
      <c r="N39" s="13">
        <v>0.0</v>
      </c>
      <c r="O39" s="13">
        <v>2.0</v>
      </c>
      <c r="P39" s="14">
        <v>0.0</v>
      </c>
      <c r="Q39" s="13">
        <v>0.0</v>
      </c>
      <c r="R39" s="13">
        <v>0.0</v>
      </c>
      <c r="S39" s="13">
        <v>0.0</v>
      </c>
      <c r="T39" s="13">
        <v>0.0</v>
      </c>
      <c r="U39" s="13">
        <v>0.0</v>
      </c>
      <c r="V39" s="13">
        <v>0.0</v>
      </c>
      <c r="W39" s="13">
        <v>0.0</v>
      </c>
      <c r="X39" s="13">
        <v>0.0</v>
      </c>
      <c r="Y39" s="13">
        <v>5.0</v>
      </c>
      <c r="Z39" s="13">
        <v>11.0</v>
      </c>
      <c r="AA39" s="13">
        <v>0.0</v>
      </c>
      <c r="AB39" s="13">
        <v>0.0</v>
      </c>
      <c r="AC39" s="13">
        <v>0.0</v>
      </c>
      <c r="AD39" s="13">
        <v>0.0</v>
      </c>
      <c r="AE39" s="13">
        <v>0.0</v>
      </c>
      <c r="AF39" s="13">
        <v>0.0</v>
      </c>
      <c r="AG39" s="13">
        <v>0.0</v>
      </c>
      <c r="AH39" s="13">
        <v>1.0</v>
      </c>
      <c r="AI39" s="13">
        <v>0.0</v>
      </c>
      <c r="AJ39" s="13">
        <v>0.0</v>
      </c>
      <c r="AK39" s="13">
        <v>0.0</v>
      </c>
      <c r="AL39" s="13">
        <v>0.0</v>
      </c>
      <c r="AM39" s="13">
        <v>0.0</v>
      </c>
      <c r="AN39" s="13">
        <v>0.0</v>
      </c>
      <c r="AO39" s="13">
        <v>0.0</v>
      </c>
      <c r="AP39" s="13">
        <v>0.0</v>
      </c>
      <c r="AQ39" s="13">
        <v>0.0</v>
      </c>
      <c r="AR39" s="13">
        <v>0.0</v>
      </c>
      <c r="AS39" s="13">
        <v>0.0</v>
      </c>
      <c r="AT39" s="13">
        <v>0.0</v>
      </c>
      <c r="AU39" s="13">
        <v>0.0</v>
      </c>
      <c r="AV39" s="13">
        <v>0.0</v>
      </c>
      <c r="AW39" s="13">
        <v>16.0</v>
      </c>
      <c r="AX39" s="13">
        <v>0.0</v>
      </c>
      <c r="AY39" s="13">
        <v>42.0</v>
      </c>
      <c r="AZ39" s="13">
        <v>0.0</v>
      </c>
      <c r="BA39" s="13">
        <v>0.0</v>
      </c>
      <c r="BB39" s="13">
        <v>0.0</v>
      </c>
      <c r="BC39" s="13">
        <v>0.0</v>
      </c>
      <c r="BD39" s="13">
        <v>0.0</v>
      </c>
      <c r="BE39" s="13">
        <v>0.0</v>
      </c>
      <c r="BF39" s="13">
        <v>0.0</v>
      </c>
      <c r="BG39" s="13">
        <v>0.0</v>
      </c>
      <c r="BH39">
        <f t="shared" si="3"/>
        <v>77</v>
      </c>
      <c r="BI39" s="13" t="s">
        <v>837</v>
      </c>
    </row>
    <row r="40" ht="36.75" customHeight="1">
      <c r="A40" s="41">
        <v>42769.0</v>
      </c>
      <c r="B40" s="16" t="s">
        <v>846</v>
      </c>
      <c r="C40" s="16" t="s">
        <v>847</v>
      </c>
      <c r="D40" s="16" t="s">
        <v>856</v>
      </c>
      <c r="E40" s="26" t="s">
        <v>535</v>
      </c>
      <c r="F40" s="16">
        <v>30.494025</v>
      </c>
      <c r="G40" s="16">
        <v>-81.438439</v>
      </c>
      <c r="H40" s="13">
        <v>30.485106</v>
      </c>
      <c r="I40" s="13">
        <v>-81.430301</v>
      </c>
      <c r="J40" s="13" t="s">
        <v>857</v>
      </c>
      <c r="K40" s="13" t="s">
        <v>851</v>
      </c>
      <c r="L40" s="13">
        <v>0.0</v>
      </c>
      <c r="M40" s="13">
        <v>0.0</v>
      </c>
      <c r="N40" s="13">
        <v>0.0</v>
      </c>
      <c r="O40" s="13">
        <v>0.0</v>
      </c>
      <c r="P40" s="14">
        <v>0.0</v>
      </c>
      <c r="Q40" s="13">
        <v>0.0</v>
      </c>
      <c r="R40" s="13">
        <v>0.0</v>
      </c>
      <c r="S40" s="13">
        <v>0.0</v>
      </c>
      <c r="T40" s="13">
        <v>0.0</v>
      </c>
      <c r="U40" s="13">
        <v>0.0</v>
      </c>
      <c r="V40" s="13">
        <v>0.0</v>
      </c>
      <c r="W40" s="13">
        <v>0.0</v>
      </c>
      <c r="X40" s="13">
        <v>0.0</v>
      </c>
      <c r="Y40" s="13">
        <v>0.0</v>
      </c>
      <c r="Z40" s="13">
        <v>0.0</v>
      </c>
      <c r="AA40" s="13">
        <v>0.0</v>
      </c>
      <c r="AB40" s="13">
        <v>0.0</v>
      </c>
      <c r="AC40" s="13">
        <v>0.0</v>
      </c>
      <c r="AD40" s="13">
        <v>0.0</v>
      </c>
      <c r="AE40" s="13">
        <v>0.0</v>
      </c>
      <c r="AF40" s="13">
        <v>0.0</v>
      </c>
      <c r="AG40" s="13">
        <v>0.0</v>
      </c>
      <c r="AH40" s="13">
        <v>0.0</v>
      </c>
      <c r="AI40" s="13">
        <v>0.0</v>
      </c>
      <c r="AJ40" s="13">
        <v>0.0</v>
      </c>
      <c r="AK40" s="13">
        <v>0.0</v>
      </c>
      <c r="AL40" s="13">
        <v>0.0</v>
      </c>
      <c r="AM40" s="13">
        <v>0.0</v>
      </c>
      <c r="AN40" s="13">
        <v>0.0</v>
      </c>
      <c r="AO40" s="13">
        <v>0.0</v>
      </c>
      <c r="AP40" s="13">
        <v>0.0</v>
      </c>
      <c r="AQ40" s="13">
        <v>0.0</v>
      </c>
      <c r="AR40" s="13">
        <v>0.0</v>
      </c>
      <c r="AS40" s="13">
        <v>0.0</v>
      </c>
      <c r="AT40" s="13">
        <v>0.0</v>
      </c>
      <c r="AU40" s="13">
        <v>0.0</v>
      </c>
      <c r="AV40" s="13">
        <v>0.0</v>
      </c>
      <c r="AW40" s="13">
        <v>0.0</v>
      </c>
      <c r="AX40" s="13">
        <v>0.0</v>
      </c>
      <c r="AY40" s="13">
        <v>0.0</v>
      </c>
      <c r="AZ40" s="13">
        <v>0.0</v>
      </c>
      <c r="BA40" s="13">
        <v>0.0</v>
      </c>
      <c r="BB40" s="13">
        <v>0.0</v>
      </c>
      <c r="BC40" s="13">
        <v>4.0</v>
      </c>
      <c r="BD40" s="13">
        <v>0.0</v>
      </c>
      <c r="BE40" s="13">
        <v>0.0</v>
      </c>
      <c r="BF40" s="13">
        <v>0.0</v>
      </c>
      <c r="BG40" s="13">
        <v>0.0</v>
      </c>
      <c r="BH40" s="13">
        <v>4.0</v>
      </c>
      <c r="BI40" s="16" t="s">
        <v>863</v>
      </c>
      <c r="BJ40" s="16"/>
      <c r="BK40" s="16"/>
      <c r="BL40" s="16"/>
      <c r="BM40" s="16"/>
      <c r="BN40" s="16"/>
      <c r="BO40" s="16"/>
      <c r="BP40" s="13"/>
      <c r="BQ40" s="13"/>
      <c r="BR40" s="13"/>
      <c r="BS40" s="13"/>
      <c r="BT40" s="13"/>
      <c r="BU40" s="13"/>
      <c r="BV40" s="13"/>
      <c r="BW40" s="13"/>
      <c r="BX40" s="14"/>
    </row>
    <row r="41" ht="36.75" customHeight="1">
      <c r="A41" s="11">
        <v>42773.0</v>
      </c>
      <c r="B41" s="13" t="s">
        <v>865</v>
      </c>
      <c r="C41" s="13" t="s">
        <v>533</v>
      </c>
      <c r="D41" s="13" t="s">
        <v>867</v>
      </c>
      <c r="E41" s="34" t="s">
        <v>535</v>
      </c>
      <c r="F41" s="13">
        <v>30.511172</v>
      </c>
      <c r="G41" s="13">
        <v>-81.45738</v>
      </c>
      <c r="H41" s="13">
        <v>30.50488</v>
      </c>
      <c r="I41" s="14">
        <v>-81.45498</v>
      </c>
      <c r="J41" s="13" t="s">
        <v>868</v>
      </c>
      <c r="K41" s="13" t="s">
        <v>869</v>
      </c>
      <c r="L41" s="13">
        <v>0.0</v>
      </c>
      <c r="M41" s="13">
        <v>0.0</v>
      </c>
      <c r="N41" s="13">
        <v>5.0</v>
      </c>
      <c r="O41" s="13">
        <v>0.0</v>
      </c>
      <c r="P41" s="13">
        <v>0.0</v>
      </c>
      <c r="Q41" s="13">
        <v>1.0</v>
      </c>
      <c r="R41" s="13">
        <v>0.0</v>
      </c>
      <c r="S41" s="13">
        <v>0.0</v>
      </c>
      <c r="T41" s="13">
        <v>0.0</v>
      </c>
      <c r="U41" s="13">
        <v>0.0</v>
      </c>
      <c r="V41" s="13">
        <v>0.0</v>
      </c>
      <c r="W41" s="13">
        <v>0.0</v>
      </c>
      <c r="X41" s="13">
        <v>0.0</v>
      </c>
      <c r="Y41" s="13">
        <v>0.0</v>
      </c>
      <c r="Z41" s="13">
        <v>0.0</v>
      </c>
      <c r="AA41" s="13">
        <v>0.0</v>
      </c>
      <c r="AB41" s="13">
        <v>0.0</v>
      </c>
      <c r="AC41" s="13">
        <v>0.0</v>
      </c>
      <c r="AD41" s="13">
        <v>0.0</v>
      </c>
      <c r="AE41" s="13">
        <v>0.0</v>
      </c>
      <c r="AF41" s="13">
        <v>0.0</v>
      </c>
      <c r="AG41" s="13">
        <v>0.0</v>
      </c>
      <c r="AH41" s="13">
        <v>11.0</v>
      </c>
      <c r="AI41" s="13">
        <v>0.0</v>
      </c>
      <c r="AJ41" s="13">
        <v>0.0</v>
      </c>
      <c r="AK41" s="13">
        <v>0.0</v>
      </c>
      <c r="AL41" s="13">
        <v>0.0</v>
      </c>
      <c r="AM41" s="13">
        <v>0.0</v>
      </c>
      <c r="AN41" s="13">
        <v>0.0</v>
      </c>
      <c r="AO41" s="13">
        <v>0.0</v>
      </c>
      <c r="AP41" s="13">
        <v>0.0</v>
      </c>
      <c r="AQ41" s="13">
        <v>0.0</v>
      </c>
      <c r="AR41" s="13">
        <v>0.0</v>
      </c>
      <c r="AS41" s="13">
        <v>0.0</v>
      </c>
      <c r="AT41" s="13">
        <v>0.0</v>
      </c>
      <c r="AU41" s="13">
        <v>0.0</v>
      </c>
      <c r="AV41" s="13">
        <v>0.0</v>
      </c>
      <c r="AW41" s="13">
        <v>0.0</v>
      </c>
      <c r="AX41" s="13">
        <v>0.0</v>
      </c>
      <c r="AY41" s="13">
        <v>0.0</v>
      </c>
      <c r="AZ41" s="13">
        <v>0.0</v>
      </c>
      <c r="BA41" s="13">
        <v>0.0</v>
      </c>
      <c r="BB41" s="13">
        <v>0.0</v>
      </c>
      <c r="BC41" s="13">
        <v>0.0</v>
      </c>
      <c r="BD41" s="13">
        <v>0.0</v>
      </c>
      <c r="BE41" s="13">
        <v>0.0</v>
      </c>
      <c r="BF41" s="13">
        <v>0.0</v>
      </c>
      <c r="BG41" s="13">
        <v>0.0</v>
      </c>
      <c r="BH41" s="13">
        <v>17.0</v>
      </c>
      <c r="BI41" s="13" t="s">
        <v>880</v>
      </c>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row>
    <row r="42" ht="36.75" customHeight="1">
      <c r="A42" s="11">
        <v>42774.0</v>
      </c>
      <c r="B42" s="13" t="s">
        <v>873</v>
      </c>
      <c r="C42" s="13" t="s">
        <v>874</v>
      </c>
      <c r="D42" s="13" t="s">
        <v>886</v>
      </c>
      <c r="E42" s="34" t="s">
        <v>535</v>
      </c>
      <c r="F42" s="13">
        <v>30.4071</v>
      </c>
      <c r="G42" s="13">
        <v>-81.527</v>
      </c>
      <c r="H42" s="13">
        <v>30.4137</v>
      </c>
      <c r="I42" s="14">
        <v>-81.532</v>
      </c>
      <c r="J42" s="13" t="s">
        <v>878</v>
      </c>
      <c r="K42" s="13" t="s">
        <v>879</v>
      </c>
      <c r="AJ42" s="13">
        <v>1.0</v>
      </c>
      <c r="AK42" s="13"/>
      <c r="AL42" s="13"/>
      <c r="AQ42" s="13">
        <v>2.0</v>
      </c>
      <c r="AV42" s="13"/>
      <c r="AW42" s="13"/>
      <c r="AX42" s="13"/>
      <c r="AY42" s="13"/>
      <c r="AZ42" s="13"/>
      <c r="BA42" s="13"/>
      <c r="BH42" s="13">
        <v>3.0</v>
      </c>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row>
    <row r="43" ht="36.75" customHeight="1">
      <c r="A43" s="41">
        <v>42774.0</v>
      </c>
      <c r="B43" s="16" t="s">
        <v>873</v>
      </c>
      <c r="C43" s="16" t="s">
        <v>874</v>
      </c>
      <c r="D43" s="16" t="s">
        <v>903</v>
      </c>
      <c r="E43" s="34" t="s">
        <v>535</v>
      </c>
      <c r="F43" s="16">
        <v>30.4098</v>
      </c>
      <c r="G43" s="16">
        <v>-81.5323</v>
      </c>
      <c r="H43" s="13">
        <v>30.4082</v>
      </c>
      <c r="I43" s="13">
        <v>-81.5277</v>
      </c>
      <c r="J43" s="13" t="s">
        <v>883</v>
      </c>
      <c r="K43" s="13" t="s">
        <v>879</v>
      </c>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v>0.0</v>
      </c>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row>
    <row r="44" ht="36.75" customHeight="1">
      <c r="A44" s="41">
        <v>42774.0</v>
      </c>
      <c r="B44" s="16" t="s">
        <v>873</v>
      </c>
      <c r="C44" s="16" t="s">
        <v>874</v>
      </c>
      <c r="D44" s="16" t="s">
        <v>917</v>
      </c>
      <c r="E44" s="34" t="s">
        <v>535</v>
      </c>
      <c r="F44" s="16">
        <v>30.4054</v>
      </c>
      <c r="G44" s="16">
        <v>-81.5057</v>
      </c>
      <c r="H44" s="13">
        <v>30.3992</v>
      </c>
      <c r="I44" s="13">
        <v>-81.4936</v>
      </c>
      <c r="J44" s="13" t="s">
        <v>888</v>
      </c>
      <c r="K44" s="13" t="s">
        <v>879</v>
      </c>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v>1.0</v>
      </c>
      <c r="AO44" s="13"/>
      <c r="AP44" s="13"/>
      <c r="AQ44" s="13"/>
      <c r="AR44" s="13">
        <v>1.0</v>
      </c>
      <c r="AS44" s="13"/>
      <c r="AT44" s="13"/>
      <c r="AU44" s="13"/>
      <c r="AV44" s="13"/>
      <c r="AW44" s="13"/>
      <c r="AX44" s="13"/>
      <c r="AY44" s="13">
        <v>1.0</v>
      </c>
      <c r="AZ44" s="13"/>
      <c r="BA44" s="13"/>
      <c r="BB44" s="13"/>
      <c r="BC44" s="13"/>
      <c r="BD44" s="13"/>
      <c r="BE44" s="13"/>
      <c r="BF44" s="13"/>
      <c r="BG44" s="13"/>
      <c r="BH44" s="13">
        <v>3.0</v>
      </c>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row>
    <row r="45" ht="28.5" customHeight="1">
      <c r="A45" s="11">
        <v>42774.0</v>
      </c>
      <c r="B45" s="13" t="s">
        <v>873</v>
      </c>
      <c r="C45" s="13" t="s">
        <v>874</v>
      </c>
      <c r="D45" s="13" t="s">
        <v>901</v>
      </c>
      <c r="E45" s="34" t="s">
        <v>535</v>
      </c>
      <c r="F45" s="13">
        <v>30.4054</v>
      </c>
      <c r="G45" s="13">
        <v>-81.5057</v>
      </c>
      <c r="H45" s="13">
        <v>30.4047</v>
      </c>
      <c r="I45" s="14">
        <v>-81.5056</v>
      </c>
      <c r="J45" s="13" t="s">
        <v>897</v>
      </c>
      <c r="K45" s="13" t="s">
        <v>879</v>
      </c>
      <c r="M45" s="13">
        <v>29.0</v>
      </c>
      <c r="R45" s="13">
        <v>74.0</v>
      </c>
      <c r="Z45" s="13"/>
      <c r="AH45" s="13"/>
      <c r="AQ45" s="13">
        <v>3.0</v>
      </c>
      <c r="AR45" s="13"/>
      <c r="AY45" s="13"/>
      <c r="AZ45" s="13"/>
      <c r="BC45" s="13">
        <v>202.0</v>
      </c>
      <c r="BD45" s="13">
        <v>3.0</v>
      </c>
      <c r="BE45" s="13"/>
      <c r="BH45" s="13">
        <v>311.0</v>
      </c>
    </row>
    <row r="46" ht="36.75" customHeight="1">
      <c r="A46" s="11">
        <v>42774.0</v>
      </c>
      <c r="B46" s="13" t="s">
        <v>873</v>
      </c>
      <c r="C46" s="13" t="s">
        <v>874</v>
      </c>
      <c r="D46" s="13" t="s">
        <v>907</v>
      </c>
      <c r="E46" s="34" t="s">
        <v>535</v>
      </c>
      <c r="F46" s="13">
        <v>30.3918</v>
      </c>
      <c r="G46" s="13">
        <v>-81.5249</v>
      </c>
      <c r="H46" s="13">
        <v>30.3929</v>
      </c>
      <c r="I46" s="14">
        <v>-81.5177</v>
      </c>
      <c r="J46" s="13" t="s">
        <v>909</v>
      </c>
      <c r="K46" s="13" t="s">
        <v>879</v>
      </c>
      <c r="Y46" s="13"/>
      <c r="Z46" s="13"/>
      <c r="AH46" s="13"/>
      <c r="AK46" s="13"/>
      <c r="AL46" s="13"/>
      <c r="AR46" s="13"/>
      <c r="AW46" s="13">
        <v>1.0</v>
      </c>
      <c r="AY46" s="13">
        <v>3.0</v>
      </c>
      <c r="AZ46" s="13"/>
      <c r="BH46" s="13">
        <v>4.0</v>
      </c>
    </row>
    <row r="47" ht="36.75" customHeight="1">
      <c r="A47" s="11">
        <v>42774.0</v>
      </c>
      <c r="B47" s="13" t="s">
        <v>873</v>
      </c>
      <c r="C47" s="13" t="s">
        <v>874</v>
      </c>
      <c r="D47" s="13" t="s">
        <v>943</v>
      </c>
      <c r="E47" s="26" t="s">
        <v>535</v>
      </c>
      <c r="F47" s="13">
        <v>30.399</v>
      </c>
      <c r="G47" s="13">
        <v>-81.5167</v>
      </c>
      <c r="H47" s="13">
        <v>30.4014</v>
      </c>
      <c r="I47" s="14">
        <v>-81.5159</v>
      </c>
      <c r="J47" s="13" t="s">
        <v>912</v>
      </c>
      <c r="K47" s="13" t="s">
        <v>879</v>
      </c>
      <c r="Z47" s="13"/>
      <c r="AH47" s="13"/>
      <c r="AQ47" s="13">
        <v>2.0</v>
      </c>
      <c r="AR47" s="13"/>
      <c r="AY47" s="13"/>
      <c r="BH47" s="13">
        <v>2.0</v>
      </c>
    </row>
    <row r="48" ht="36.75" customHeight="1">
      <c r="A48" s="11">
        <v>42774.0</v>
      </c>
      <c r="B48" s="13" t="s">
        <v>873</v>
      </c>
      <c r="C48" s="13" t="s">
        <v>874</v>
      </c>
      <c r="D48" s="13" t="s">
        <v>914</v>
      </c>
      <c r="E48" s="34" t="s">
        <v>535</v>
      </c>
      <c r="F48" s="16">
        <v>30.3977</v>
      </c>
      <c r="G48" s="16">
        <v>-81.5171</v>
      </c>
      <c r="H48" s="13">
        <v>30.4076</v>
      </c>
      <c r="I48" s="13">
        <v>-81.5217</v>
      </c>
      <c r="J48" s="13" t="s">
        <v>915</v>
      </c>
      <c r="K48" s="13" t="s">
        <v>879</v>
      </c>
      <c r="Y48" s="13"/>
      <c r="Z48" s="13"/>
      <c r="AH48" s="13"/>
      <c r="AQ48" s="13">
        <v>2.0</v>
      </c>
      <c r="AW48" s="13">
        <v>1.0</v>
      </c>
      <c r="AY48" s="13">
        <v>1.0</v>
      </c>
      <c r="AZ48" s="13">
        <v>1.0</v>
      </c>
      <c r="BH48" s="13">
        <v>5.0</v>
      </c>
    </row>
    <row r="49" ht="36.75" customHeight="1">
      <c r="A49" s="62">
        <v>42775.0</v>
      </c>
      <c r="B49" s="13" t="s">
        <v>918</v>
      </c>
      <c r="C49" s="13" t="s">
        <v>958</v>
      </c>
      <c r="D49" s="13" t="s">
        <v>959</v>
      </c>
      <c r="E49" s="31" t="s">
        <v>535</v>
      </c>
      <c r="F49" s="13">
        <v>30.3971</v>
      </c>
      <c r="G49" s="13">
        <v>-81.3911</v>
      </c>
      <c r="H49" s="13">
        <v>30.2537</v>
      </c>
      <c r="I49" s="14">
        <v>-81.3806</v>
      </c>
      <c r="J49" s="13" t="s">
        <v>962</v>
      </c>
      <c r="K49" s="13" t="s">
        <v>963</v>
      </c>
      <c r="L49" s="13">
        <v>0.0</v>
      </c>
      <c r="M49" s="13">
        <v>0.0</v>
      </c>
      <c r="N49" s="13">
        <v>0.0</v>
      </c>
      <c r="O49" s="13">
        <v>0.0</v>
      </c>
      <c r="P49" s="13">
        <v>0.0</v>
      </c>
      <c r="Q49" s="13">
        <v>0.0</v>
      </c>
      <c r="R49" s="13">
        <v>0.0</v>
      </c>
      <c r="S49" s="13">
        <v>0.0</v>
      </c>
      <c r="T49" s="13">
        <v>0.0</v>
      </c>
      <c r="U49" s="13">
        <v>0.0</v>
      </c>
      <c r="V49" s="13">
        <v>0.0</v>
      </c>
      <c r="W49" s="13">
        <v>0.0</v>
      </c>
      <c r="X49" s="13">
        <v>0.0</v>
      </c>
      <c r="Y49" s="13">
        <v>9.0</v>
      </c>
      <c r="Z49" s="13">
        <v>123.0</v>
      </c>
      <c r="AA49" s="13">
        <v>0.0</v>
      </c>
      <c r="AB49" s="13">
        <v>0.0</v>
      </c>
      <c r="AC49" s="13">
        <v>0.0</v>
      </c>
      <c r="AD49" s="13">
        <v>0.0</v>
      </c>
      <c r="AE49" s="13">
        <v>0.0</v>
      </c>
      <c r="AF49" s="13">
        <v>0.0</v>
      </c>
      <c r="AG49" s="13">
        <v>0.0</v>
      </c>
      <c r="AH49" s="13">
        <v>15.0</v>
      </c>
      <c r="AI49" s="13">
        <v>0.0</v>
      </c>
      <c r="AJ49" s="13">
        <v>0.0</v>
      </c>
      <c r="AK49" s="13">
        <v>108.0</v>
      </c>
      <c r="AL49" s="13">
        <v>84.0</v>
      </c>
      <c r="AM49" s="13">
        <v>0.0</v>
      </c>
      <c r="AN49" s="13">
        <v>145.0</v>
      </c>
      <c r="AO49" s="13">
        <v>0.0</v>
      </c>
      <c r="AP49" s="13">
        <v>0.0</v>
      </c>
      <c r="AQ49" s="13">
        <v>36.0</v>
      </c>
      <c r="AR49" s="13">
        <v>98.0</v>
      </c>
      <c r="AS49" s="13">
        <v>0.0</v>
      </c>
      <c r="AT49" s="13">
        <v>0.0</v>
      </c>
      <c r="AU49" s="13">
        <v>0.0</v>
      </c>
      <c r="AV49" s="13">
        <v>1.0</v>
      </c>
      <c r="AW49" s="13">
        <v>1709.0</v>
      </c>
      <c r="AX49" s="13">
        <v>0.0</v>
      </c>
      <c r="AY49" s="13">
        <v>367.0</v>
      </c>
      <c r="AZ49" s="13">
        <v>76.0</v>
      </c>
      <c r="BA49" s="13">
        <v>0.0</v>
      </c>
      <c r="BB49" s="13">
        <v>0.0</v>
      </c>
      <c r="BC49" s="13">
        <v>0.0</v>
      </c>
      <c r="BD49" s="13">
        <v>0.0</v>
      </c>
      <c r="BE49" s="13">
        <v>0.0</v>
      </c>
      <c r="BF49" s="13">
        <v>0.0</v>
      </c>
      <c r="BG49" s="13">
        <v>39.0</v>
      </c>
      <c r="BH49">
        <f t="shared" ref="BH49:BH51" si="4">sum(L49:BG49)</f>
        <v>2810</v>
      </c>
      <c r="BI49" s="13" t="s">
        <v>975</v>
      </c>
    </row>
    <row r="50" ht="36.75" customHeight="1">
      <c r="A50" s="41">
        <v>42772.0</v>
      </c>
      <c r="B50" s="16" t="s">
        <v>139</v>
      </c>
      <c r="C50" s="16" t="s">
        <v>250</v>
      </c>
      <c r="D50" s="16" t="s">
        <v>946</v>
      </c>
      <c r="E50" s="29" t="s">
        <v>826</v>
      </c>
      <c r="F50" s="16">
        <v>30.31508</v>
      </c>
      <c r="G50" s="16">
        <v>-87.40173</v>
      </c>
      <c r="H50" s="13">
        <v>30.31064</v>
      </c>
      <c r="I50" s="13">
        <v>-87.405</v>
      </c>
      <c r="J50" s="13" t="s">
        <v>947</v>
      </c>
      <c r="K50" s="13" t="s">
        <v>948</v>
      </c>
      <c r="L50" s="13">
        <v>0.0</v>
      </c>
      <c r="M50" s="13">
        <v>0.0</v>
      </c>
      <c r="N50" s="13">
        <v>2.0</v>
      </c>
      <c r="O50" s="13">
        <v>0.0</v>
      </c>
      <c r="P50" s="13">
        <v>0.0</v>
      </c>
      <c r="Q50" s="13">
        <v>1.0</v>
      </c>
      <c r="R50" s="13">
        <v>0.0</v>
      </c>
      <c r="S50" s="13">
        <v>0.0</v>
      </c>
      <c r="T50" s="13">
        <v>0.0</v>
      </c>
      <c r="U50" s="13">
        <v>0.0</v>
      </c>
      <c r="V50" s="13">
        <v>0.0</v>
      </c>
      <c r="W50" s="13">
        <v>0.0</v>
      </c>
      <c r="X50" s="13">
        <v>0.0</v>
      </c>
      <c r="Y50" s="13">
        <v>1.0</v>
      </c>
      <c r="Z50" s="13">
        <v>25.0</v>
      </c>
      <c r="AA50" s="13">
        <v>0.0</v>
      </c>
      <c r="AB50" s="13">
        <v>0.0</v>
      </c>
      <c r="AC50" s="13">
        <v>0.0</v>
      </c>
      <c r="AD50" s="13">
        <v>0.0</v>
      </c>
      <c r="AE50" s="13">
        <v>0.0</v>
      </c>
      <c r="AF50" s="13">
        <v>0.0</v>
      </c>
      <c r="AG50" s="13">
        <v>0.0</v>
      </c>
      <c r="AH50" s="13">
        <v>1.0</v>
      </c>
      <c r="AI50" s="13">
        <v>0.0</v>
      </c>
      <c r="AJ50" s="13">
        <v>0.0</v>
      </c>
      <c r="AK50" s="13">
        <v>0.0</v>
      </c>
      <c r="AL50" s="13">
        <v>0.0</v>
      </c>
      <c r="AM50" s="13">
        <v>0.0</v>
      </c>
      <c r="AN50" s="13">
        <v>8.0</v>
      </c>
      <c r="AO50" s="13">
        <v>0.0</v>
      </c>
      <c r="AP50" s="13">
        <v>0.0</v>
      </c>
      <c r="AQ50" s="13">
        <v>7.0</v>
      </c>
      <c r="AR50" s="13">
        <v>127.0</v>
      </c>
      <c r="AS50" s="13">
        <v>0.0</v>
      </c>
      <c r="AT50" s="13">
        <v>0.0</v>
      </c>
      <c r="AU50" s="13">
        <v>0.0</v>
      </c>
      <c r="AV50" s="13">
        <v>1.0</v>
      </c>
      <c r="AW50" s="13">
        <v>34.0</v>
      </c>
      <c r="AX50" s="13">
        <v>0.0</v>
      </c>
      <c r="AY50" s="13">
        <v>10.0</v>
      </c>
      <c r="AZ50" s="13">
        <v>0.0</v>
      </c>
      <c r="BA50" s="13">
        <v>0.0</v>
      </c>
      <c r="BB50" s="13">
        <v>0.0</v>
      </c>
      <c r="BC50" s="13">
        <v>0.0</v>
      </c>
      <c r="BD50" s="13">
        <v>0.0</v>
      </c>
      <c r="BE50" s="13">
        <v>0.0</v>
      </c>
      <c r="BF50" s="13">
        <v>0.0</v>
      </c>
      <c r="BG50" s="13">
        <v>0.0</v>
      </c>
      <c r="BH50" s="13">
        <f t="shared" si="4"/>
        <v>217</v>
      </c>
      <c r="BI50" s="13" t="s">
        <v>991</v>
      </c>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row>
    <row r="51" ht="36.75" customHeight="1">
      <c r="A51" s="41">
        <v>42772.0</v>
      </c>
      <c r="B51" s="16" t="s">
        <v>876</v>
      </c>
      <c r="C51" s="16" t="s">
        <v>514</v>
      </c>
      <c r="D51" s="13" t="s">
        <v>877</v>
      </c>
      <c r="E51" s="34" t="s">
        <v>826</v>
      </c>
      <c r="F51" s="16">
        <v>30.33168</v>
      </c>
      <c r="G51" s="16">
        <v>-87.30089</v>
      </c>
      <c r="H51" s="13">
        <v>30.327083</v>
      </c>
      <c r="I51" s="13">
        <v>-87.1812</v>
      </c>
      <c r="J51" s="13" t="s">
        <v>952</v>
      </c>
      <c r="K51" s="13" t="s">
        <v>953</v>
      </c>
      <c r="L51" s="13">
        <v>0.0</v>
      </c>
      <c r="M51" s="13">
        <v>0.0</v>
      </c>
      <c r="N51" s="13">
        <v>2.0</v>
      </c>
      <c r="O51" s="13">
        <v>0.0</v>
      </c>
      <c r="P51" s="13">
        <v>0.0</v>
      </c>
      <c r="Q51" s="13">
        <v>0.0</v>
      </c>
      <c r="R51" s="13">
        <v>0.0</v>
      </c>
      <c r="S51" s="13">
        <v>0.0</v>
      </c>
      <c r="T51" s="13">
        <v>0.0</v>
      </c>
      <c r="U51" s="13">
        <v>0.0</v>
      </c>
      <c r="V51" s="13">
        <v>0.0</v>
      </c>
      <c r="W51" s="13">
        <v>0.0</v>
      </c>
      <c r="X51" s="13">
        <v>0.0</v>
      </c>
      <c r="Y51" s="13">
        <v>6.0</v>
      </c>
      <c r="Z51" s="13">
        <v>131.0</v>
      </c>
      <c r="AA51" s="13">
        <v>0.0</v>
      </c>
      <c r="AB51" s="13">
        <v>0.0</v>
      </c>
      <c r="AC51" s="13">
        <v>0.0</v>
      </c>
      <c r="AD51" s="13">
        <v>16.0</v>
      </c>
      <c r="AE51" s="13">
        <v>0.0</v>
      </c>
      <c r="AF51" s="13">
        <v>0.0</v>
      </c>
      <c r="AG51" s="13">
        <v>0.0</v>
      </c>
      <c r="AH51" s="13">
        <v>28.0</v>
      </c>
      <c r="AI51" s="13">
        <v>0.0</v>
      </c>
      <c r="AJ51" s="13">
        <v>0.0</v>
      </c>
      <c r="AK51" s="13">
        <v>0.0</v>
      </c>
      <c r="AL51" s="13">
        <v>103.0</v>
      </c>
      <c r="AM51" s="13">
        <v>0.0</v>
      </c>
      <c r="AN51" s="13">
        <v>93.0</v>
      </c>
      <c r="AO51" s="13">
        <v>0.0</v>
      </c>
      <c r="AP51" s="13">
        <v>0.0</v>
      </c>
      <c r="AQ51" s="13">
        <v>3.0</v>
      </c>
      <c r="AR51" s="13">
        <v>19.0</v>
      </c>
      <c r="AS51" s="13">
        <v>0.0</v>
      </c>
      <c r="AT51" s="13">
        <v>0.0</v>
      </c>
      <c r="AU51" s="13">
        <v>0.0</v>
      </c>
      <c r="AV51" s="13">
        <v>35.0</v>
      </c>
      <c r="AW51" s="13">
        <v>191.0</v>
      </c>
      <c r="AX51" s="13">
        <v>0.0</v>
      </c>
      <c r="AY51" s="13">
        <v>199.0</v>
      </c>
      <c r="AZ51" s="13">
        <v>8.0</v>
      </c>
      <c r="BA51" s="13">
        <v>0.0</v>
      </c>
      <c r="BB51" s="13">
        <v>0.0</v>
      </c>
      <c r="BC51" s="13">
        <v>0.0</v>
      </c>
      <c r="BD51" s="13">
        <v>0.0</v>
      </c>
      <c r="BE51" s="13">
        <v>0.0</v>
      </c>
      <c r="BF51" s="13">
        <v>0.0</v>
      </c>
      <c r="BG51" s="13">
        <v>0.0</v>
      </c>
      <c r="BH51" s="13">
        <f t="shared" si="4"/>
        <v>834</v>
      </c>
    </row>
    <row r="52" ht="36.75" customHeight="1">
      <c r="A52" s="11">
        <v>42772.0</v>
      </c>
      <c r="B52" s="13" t="s">
        <v>139</v>
      </c>
      <c r="C52" s="13" t="s">
        <v>1012</v>
      </c>
      <c r="D52" s="13" t="s">
        <v>994</v>
      </c>
      <c r="E52" s="26" t="s">
        <v>826</v>
      </c>
      <c r="F52" s="13">
        <v>30.29769</v>
      </c>
      <c r="G52" s="13">
        <v>-87.41948</v>
      </c>
      <c r="H52" s="13">
        <v>30.32812</v>
      </c>
      <c r="I52" s="14">
        <v>-87.31618</v>
      </c>
      <c r="J52" s="13" t="s">
        <v>996</v>
      </c>
      <c r="K52" s="13" t="s">
        <v>998</v>
      </c>
      <c r="L52" s="13">
        <v>0.0</v>
      </c>
      <c r="M52" s="13">
        <v>0.0</v>
      </c>
      <c r="N52" s="13">
        <v>13.0</v>
      </c>
      <c r="O52" s="13">
        <v>0.0</v>
      </c>
      <c r="P52" s="13">
        <v>0.0</v>
      </c>
      <c r="Q52" s="13">
        <v>0.0</v>
      </c>
      <c r="R52" s="13">
        <v>0.0</v>
      </c>
      <c r="S52" s="13">
        <v>0.0</v>
      </c>
      <c r="T52" s="13">
        <v>0.0</v>
      </c>
      <c r="U52" s="13">
        <v>0.0</v>
      </c>
      <c r="V52" s="13">
        <v>0.0</v>
      </c>
      <c r="W52" s="13">
        <v>1.0</v>
      </c>
      <c r="X52" s="13">
        <v>0.0</v>
      </c>
      <c r="Y52" s="13">
        <v>10.0</v>
      </c>
      <c r="Z52" s="13">
        <v>93.0</v>
      </c>
      <c r="AA52" s="13">
        <v>0.0</v>
      </c>
      <c r="AB52" s="13">
        <v>0.0</v>
      </c>
      <c r="AC52" s="13">
        <v>0.0</v>
      </c>
      <c r="AD52" s="13">
        <v>29.0</v>
      </c>
      <c r="AE52" s="13">
        <v>0.0</v>
      </c>
      <c r="AF52" s="13">
        <v>0.0</v>
      </c>
      <c r="AG52" s="13">
        <v>0.0</v>
      </c>
      <c r="AH52" s="13">
        <v>12.0</v>
      </c>
      <c r="AI52" s="13">
        <v>0.0</v>
      </c>
      <c r="AJ52" s="13">
        <v>0.0</v>
      </c>
      <c r="AK52" s="13">
        <v>5.0</v>
      </c>
      <c r="AL52" s="13">
        <v>0.0</v>
      </c>
      <c r="AM52" s="13">
        <v>0.0</v>
      </c>
      <c r="AN52" s="13">
        <v>33.0</v>
      </c>
      <c r="AO52" s="13">
        <v>0.0</v>
      </c>
      <c r="AP52" s="13">
        <v>0.0</v>
      </c>
      <c r="AQ52" s="13">
        <v>6.0</v>
      </c>
      <c r="AR52" s="13">
        <v>154.0</v>
      </c>
      <c r="AS52" s="13">
        <v>0.0</v>
      </c>
      <c r="AT52" s="13">
        <v>0.0</v>
      </c>
      <c r="AU52" s="13">
        <v>0.0</v>
      </c>
      <c r="AV52" s="13">
        <v>8.0</v>
      </c>
      <c r="AW52" s="13">
        <v>117.0</v>
      </c>
      <c r="AX52" s="13">
        <v>0.0</v>
      </c>
      <c r="AY52" s="13">
        <v>11.0</v>
      </c>
      <c r="AZ52" s="13">
        <v>7.0</v>
      </c>
      <c r="BA52" s="13">
        <v>0.0</v>
      </c>
      <c r="BB52" s="13">
        <v>0.0</v>
      </c>
      <c r="BC52" s="13">
        <v>0.0</v>
      </c>
      <c r="BD52" s="13">
        <v>0.0</v>
      </c>
      <c r="BE52" s="13">
        <v>0.0</v>
      </c>
      <c r="BF52" s="13">
        <v>0.0</v>
      </c>
      <c r="BG52" s="13">
        <v>0.0</v>
      </c>
      <c r="BH52">
        <f t="shared" ref="BH52:BH53" si="5">SUM(L52:BG52)</f>
        <v>499</v>
      </c>
      <c r="BI52" s="13" t="s">
        <v>1020</v>
      </c>
    </row>
    <row r="53" ht="36.75" customHeight="1">
      <c r="A53" s="41">
        <v>42772.0</v>
      </c>
      <c r="B53" s="16" t="s">
        <v>340</v>
      </c>
      <c r="C53" s="13" t="s">
        <v>341</v>
      </c>
      <c r="D53" s="16" t="s">
        <v>1021</v>
      </c>
      <c r="E53" s="26" t="s">
        <v>826</v>
      </c>
      <c r="F53" s="16">
        <v>30.32888</v>
      </c>
      <c r="G53" s="16">
        <v>-87.31746</v>
      </c>
      <c r="H53" s="16">
        <v>30.32888</v>
      </c>
      <c r="I53" s="16">
        <v>-87.31746</v>
      </c>
      <c r="J53" s="13" t="s">
        <v>1022</v>
      </c>
      <c r="K53" s="13" t="s">
        <v>1024</v>
      </c>
      <c r="L53" s="13">
        <v>0.0</v>
      </c>
      <c r="M53" s="13">
        <v>0.0</v>
      </c>
      <c r="N53" s="13">
        <v>1.0</v>
      </c>
      <c r="O53" s="13">
        <v>5.0</v>
      </c>
      <c r="P53" s="13">
        <v>0.0</v>
      </c>
      <c r="Q53" s="13">
        <v>0.0</v>
      </c>
      <c r="R53" s="13">
        <v>0.0</v>
      </c>
      <c r="S53" s="13">
        <v>0.0</v>
      </c>
      <c r="T53" s="13">
        <v>0.0</v>
      </c>
      <c r="U53" s="13">
        <v>0.0</v>
      </c>
      <c r="V53" s="13">
        <v>0.0</v>
      </c>
      <c r="W53" s="13">
        <v>0.0</v>
      </c>
      <c r="X53" s="13">
        <v>0.0</v>
      </c>
      <c r="Y53" s="13">
        <v>1.0</v>
      </c>
      <c r="Z53" s="13">
        <v>0.0</v>
      </c>
      <c r="AA53" s="13">
        <v>0.0</v>
      </c>
      <c r="AB53" s="13">
        <v>0.0</v>
      </c>
      <c r="AC53" s="13">
        <v>0.0</v>
      </c>
      <c r="AD53" s="13">
        <v>0.0</v>
      </c>
      <c r="AE53" s="13">
        <v>0.0</v>
      </c>
      <c r="AF53" s="13">
        <v>0.0</v>
      </c>
      <c r="AG53" s="13">
        <v>0.0</v>
      </c>
      <c r="AH53" s="13">
        <v>0.0</v>
      </c>
      <c r="AI53" s="13">
        <v>0.0</v>
      </c>
      <c r="AJ53" s="13">
        <v>0.0</v>
      </c>
      <c r="AK53" s="13">
        <v>0.0</v>
      </c>
      <c r="AL53" s="13">
        <v>0.0</v>
      </c>
      <c r="AM53" s="13">
        <v>0.0</v>
      </c>
      <c r="AN53" s="13">
        <v>1.0</v>
      </c>
      <c r="AO53" s="13">
        <v>0.0</v>
      </c>
      <c r="AP53" s="13">
        <v>0.0</v>
      </c>
      <c r="AQ53" s="13">
        <v>0.0</v>
      </c>
      <c r="AR53" s="13">
        <v>0.0</v>
      </c>
      <c r="AS53" s="13">
        <v>0.0</v>
      </c>
      <c r="AT53" s="13">
        <v>0.0</v>
      </c>
      <c r="AU53" s="13">
        <v>0.0</v>
      </c>
      <c r="AV53" s="13">
        <v>0.0</v>
      </c>
      <c r="AW53" s="13">
        <v>7.0</v>
      </c>
      <c r="AX53" s="13">
        <v>0.0</v>
      </c>
      <c r="AY53" s="13">
        <v>0.0</v>
      </c>
      <c r="AZ53" s="13">
        <v>0.0</v>
      </c>
      <c r="BA53" s="13">
        <v>0.0</v>
      </c>
      <c r="BB53" s="13">
        <v>0.0</v>
      </c>
      <c r="BC53" s="13">
        <v>0.0</v>
      </c>
      <c r="BD53" s="13">
        <v>0.0</v>
      </c>
      <c r="BE53" s="13">
        <v>0.0</v>
      </c>
      <c r="BF53" s="13">
        <v>0.0</v>
      </c>
      <c r="BG53" s="13">
        <v>0.0</v>
      </c>
      <c r="BH53">
        <f t="shared" si="5"/>
        <v>15</v>
      </c>
      <c r="BI53" s="13" t="s">
        <v>1031</v>
      </c>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3"/>
      <c r="CZ53" s="13"/>
      <c r="DA53" s="13"/>
      <c r="DB53" s="13"/>
      <c r="DC53" s="13"/>
      <c r="DD53" s="13"/>
      <c r="DE53" s="13"/>
      <c r="DF53" s="13"/>
      <c r="DG53" s="13"/>
      <c r="DH53" s="13"/>
      <c r="DI53" s="13"/>
      <c r="DJ53" s="13"/>
      <c r="DK53" s="13"/>
      <c r="DL53" s="13"/>
      <c r="DM53" s="13"/>
      <c r="DN53" s="13"/>
      <c r="DO53" s="13"/>
      <c r="DP53" s="13"/>
      <c r="DQ53" s="13"/>
      <c r="DR53" s="13"/>
      <c r="DS53" s="13"/>
      <c r="DT53" s="13"/>
      <c r="DU53" s="13"/>
      <c r="DV53" s="13"/>
      <c r="DW53" s="13"/>
    </row>
    <row r="54" ht="36.75" customHeight="1">
      <c r="A54" s="43">
        <v>42772.0</v>
      </c>
      <c r="B54" s="16" t="s">
        <v>1035</v>
      </c>
      <c r="C54" s="16" t="s">
        <v>195</v>
      </c>
      <c r="D54" s="16" t="s">
        <v>1036</v>
      </c>
      <c r="E54" s="34" t="s">
        <v>826</v>
      </c>
      <c r="F54" s="16">
        <v>30.34981</v>
      </c>
      <c r="G54" s="16">
        <v>-87.04164</v>
      </c>
      <c r="H54" s="13">
        <v>30.37103</v>
      </c>
      <c r="I54" s="13">
        <v>-86.9185</v>
      </c>
      <c r="J54" s="13" t="s">
        <v>1038</v>
      </c>
      <c r="K54" s="13" t="s">
        <v>1041</v>
      </c>
      <c r="L54" s="13"/>
      <c r="N54" s="13">
        <v>3.0</v>
      </c>
      <c r="O54" s="13">
        <v>37.0</v>
      </c>
      <c r="P54" s="13">
        <v>1.0</v>
      </c>
      <c r="R54" s="13"/>
      <c r="Y54" s="13"/>
      <c r="Z54" s="13">
        <v>141.0</v>
      </c>
      <c r="AA54" s="13">
        <v>19.0</v>
      </c>
      <c r="AC54" s="13"/>
      <c r="AD54" s="13">
        <v>19.0</v>
      </c>
      <c r="AE54" s="13"/>
      <c r="AH54" s="13">
        <v>4.0</v>
      </c>
      <c r="AL54" s="13">
        <v>1559.0</v>
      </c>
      <c r="AN54" s="13">
        <v>10.0</v>
      </c>
      <c r="AQ54" s="13">
        <v>1.0</v>
      </c>
      <c r="AR54" s="13">
        <v>57.0</v>
      </c>
      <c r="AV54" s="13">
        <v>26.0</v>
      </c>
      <c r="AW54" s="13">
        <v>274.0</v>
      </c>
      <c r="AY54" s="13">
        <v>93.0</v>
      </c>
      <c r="AZ54" s="13">
        <v>2.0</v>
      </c>
      <c r="BC54" s="13"/>
      <c r="BH54" s="13">
        <v>2246.0</v>
      </c>
      <c r="BI54" s="13" t="s">
        <v>1052</v>
      </c>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3"/>
      <c r="CZ54" s="13"/>
      <c r="DA54" s="13"/>
      <c r="DB54" s="13"/>
      <c r="DC54" s="13"/>
      <c r="DD54" s="13"/>
      <c r="DE54" s="13"/>
      <c r="DF54" s="13"/>
      <c r="DG54" s="13"/>
      <c r="DH54" s="13"/>
      <c r="DI54" s="13"/>
      <c r="DJ54" s="13"/>
      <c r="DK54" s="13"/>
      <c r="DL54" s="13"/>
      <c r="DM54" s="13"/>
      <c r="DN54" s="13"/>
      <c r="DO54" s="13"/>
      <c r="DP54" s="13"/>
      <c r="DQ54" s="13"/>
      <c r="DR54" s="13"/>
      <c r="DS54" s="13"/>
      <c r="DT54" s="13"/>
      <c r="DU54" s="13"/>
      <c r="DV54" s="13"/>
      <c r="DW54" s="13"/>
    </row>
    <row r="55" ht="36.75" customHeight="1">
      <c r="A55" s="11">
        <v>42773.0</v>
      </c>
      <c r="B55" s="13" t="s">
        <v>824</v>
      </c>
      <c r="C55" s="16" t="s">
        <v>389</v>
      </c>
      <c r="D55" s="16" t="s">
        <v>825</v>
      </c>
      <c r="E55" s="34" t="s">
        <v>826</v>
      </c>
      <c r="F55" s="16">
        <v>30.3557</v>
      </c>
      <c r="G55" s="16">
        <v>-87.0495</v>
      </c>
      <c r="H55" s="13">
        <v>30.355539</v>
      </c>
      <c r="I55" s="13">
        <v>-87.042538</v>
      </c>
      <c r="J55" s="13" t="s">
        <v>1058</v>
      </c>
      <c r="K55" s="13" t="s">
        <v>1059</v>
      </c>
      <c r="N55" s="13">
        <v>37.0</v>
      </c>
      <c r="O55" s="13">
        <v>1.0</v>
      </c>
      <c r="P55" s="13"/>
      <c r="S55" s="13"/>
      <c r="W55" s="13">
        <v>7.0</v>
      </c>
      <c r="Z55" s="13">
        <v>177.0</v>
      </c>
      <c r="AA55" s="13">
        <v>20.0</v>
      </c>
      <c r="AD55" s="13">
        <v>17.0</v>
      </c>
      <c r="AH55" s="13">
        <v>9.0</v>
      </c>
      <c r="AN55" s="13">
        <v>5.0</v>
      </c>
      <c r="AP55" s="13">
        <v>30.0</v>
      </c>
      <c r="AW55" s="13">
        <v>4.0</v>
      </c>
      <c r="AY55" s="13">
        <v>5.0</v>
      </c>
      <c r="AZ55" s="13">
        <v>2.0</v>
      </c>
      <c r="BD55" s="13">
        <v>10.0</v>
      </c>
      <c r="BE55" s="13">
        <v>3.0</v>
      </c>
      <c r="BH55" s="13">
        <f>sum(L55:BG55)</f>
        <v>327</v>
      </c>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3"/>
      <c r="CZ55" s="13"/>
      <c r="DA55" s="13"/>
      <c r="DB55" s="13"/>
      <c r="DC55" s="13"/>
      <c r="DD55" s="13"/>
      <c r="DE55" s="13"/>
      <c r="DF55" s="13"/>
      <c r="DG55" s="13"/>
      <c r="DH55" s="13"/>
      <c r="DI55" s="13"/>
      <c r="DJ55" s="13"/>
      <c r="DK55" s="13"/>
      <c r="DL55" s="13"/>
      <c r="DM55" s="13"/>
      <c r="DN55" s="13"/>
      <c r="DO55" s="13"/>
      <c r="DP55" s="13"/>
      <c r="DQ55" s="13"/>
      <c r="DR55" s="13"/>
      <c r="DS55" s="13"/>
      <c r="DT55" s="13"/>
      <c r="DU55" s="13"/>
      <c r="DV55" s="13"/>
      <c r="DW55" s="13"/>
    </row>
    <row r="56" ht="36.75" customHeight="1">
      <c r="A56" s="11">
        <v>42772.0</v>
      </c>
      <c r="B56" s="13" t="s">
        <v>1067</v>
      </c>
      <c r="C56" s="13" t="s">
        <v>341</v>
      </c>
      <c r="D56" s="13" t="s">
        <v>1068</v>
      </c>
      <c r="E56" s="34" t="s">
        <v>1069</v>
      </c>
      <c r="F56" s="13">
        <v>30.29769</v>
      </c>
      <c r="G56" s="13">
        <v>-87.41748</v>
      </c>
      <c r="H56" s="13">
        <v>30.29259</v>
      </c>
      <c r="I56" s="14">
        <v>-87.45307</v>
      </c>
      <c r="J56" s="13" t="s">
        <v>1070</v>
      </c>
      <c r="K56" s="13" t="s">
        <v>1072</v>
      </c>
      <c r="L56" s="13">
        <v>0.0</v>
      </c>
      <c r="M56" s="13">
        <v>0.0</v>
      </c>
      <c r="N56" s="13">
        <v>0.0</v>
      </c>
      <c r="O56" s="13">
        <v>0.0</v>
      </c>
      <c r="P56" s="13">
        <v>0.0</v>
      </c>
      <c r="Q56" s="13">
        <v>0.0</v>
      </c>
      <c r="R56" s="13">
        <v>0.0</v>
      </c>
      <c r="S56" s="13">
        <v>0.0</v>
      </c>
      <c r="T56" s="13">
        <v>0.0</v>
      </c>
      <c r="U56" s="13">
        <v>0.0</v>
      </c>
      <c r="V56" s="13">
        <v>0.0</v>
      </c>
      <c r="W56" s="13">
        <v>0.0</v>
      </c>
      <c r="X56" s="13">
        <v>0.0</v>
      </c>
      <c r="Y56" s="13">
        <v>0.0</v>
      </c>
      <c r="Z56" s="13">
        <v>7.0</v>
      </c>
      <c r="AA56" s="13">
        <v>0.0</v>
      </c>
      <c r="AB56" s="13">
        <v>0.0</v>
      </c>
      <c r="AC56" s="13">
        <v>0.0</v>
      </c>
      <c r="AD56" s="13">
        <v>0.0</v>
      </c>
      <c r="AE56" s="13">
        <v>0.0</v>
      </c>
      <c r="AF56" s="13">
        <v>0.0</v>
      </c>
      <c r="AG56" s="13">
        <v>0.0</v>
      </c>
      <c r="AH56" s="13">
        <v>6.0</v>
      </c>
      <c r="AI56" s="13">
        <v>0.0</v>
      </c>
      <c r="AJ56" s="13">
        <v>0.0</v>
      </c>
      <c r="AK56" s="13">
        <v>0.0</v>
      </c>
      <c r="AL56" s="13">
        <v>0.0</v>
      </c>
      <c r="AM56" s="13">
        <v>0.0</v>
      </c>
      <c r="AN56" s="13">
        <v>0.0</v>
      </c>
      <c r="AO56" s="13">
        <v>0.0</v>
      </c>
      <c r="AP56" s="13">
        <v>0.0</v>
      </c>
      <c r="AQ56" s="13">
        <v>0.0</v>
      </c>
      <c r="AR56" s="13">
        <v>0.0</v>
      </c>
      <c r="AS56" s="13">
        <v>0.0</v>
      </c>
      <c r="AT56" s="13">
        <v>0.0</v>
      </c>
      <c r="AU56" s="13">
        <v>0.0</v>
      </c>
      <c r="AV56" s="13">
        <v>1.0</v>
      </c>
      <c r="AW56" s="13">
        <v>19.0</v>
      </c>
      <c r="AX56" s="13">
        <v>0.0</v>
      </c>
      <c r="AY56" s="13">
        <v>1.0</v>
      </c>
      <c r="AZ56" s="13">
        <v>0.0</v>
      </c>
      <c r="BA56" s="13">
        <v>0.0</v>
      </c>
      <c r="BB56" s="13">
        <v>0.0</v>
      </c>
      <c r="BC56" s="13">
        <v>0.0</v>
      </c>
      <c r="BD56" s="13">
        <v>0.0</v>
      </c>
      <c r="BE56" s="13">
        <v>0.0</v>
      </c>
      <c r="BF56" s="13">
        <v>0.0</v>
      </c>
      <c r="BG56" s="13">
        <v>0.0</v>
      </c>
      <c r="BH56">
        <f t="shared" ref="BH56:BH57" si="6">SUM(L56:BG56)</f>
        <v>34</v>
      </c>
      <c r="BI56" s="13" t="s">
        <v>1079</v>
      </c>
    </row>
    <row r="57" ht="36.75" customHeight="1">
      <c r="A57" s="11">
        <v>42772.0</v>
      </c>
      <c r="B57" s="13" t="s">
        <v>1067</v>
      </c>
      <c r="C57" s="16" t="s">
        <v>341</v>
      </c>
      <c r="D57" s="16" t="s">
        <v>1083</v>
      </c>
      <c r="E57" s="26" t="s">
        <v>1069</v>
      </c>
      <c r="F57" s="13">
        <v>30.29259</v>
      </c>
      <c r="G57" s="13">
        <v>-87.45307</v>
      </c>
      <c r="H57" s="13">
        <v>30.28634</v>
      </c>
      <c r="I57" s="14">
        <v>-87.48465</v>
      </c>
      <c r="J57" s="13" t="s">
        <v>1084</v>
      </c>
      <c r="K57" s="13" t="s">
        <v>1072</v>
      </c>
      <c r="L57" s="13">
        <v>0.0</v>
      </c>
      <c r="M57" s="13">
        <v>0.0</v>
      </c>
      <c r="N57" s="13">
        <v>0.0</v>
      </c>
      <c r="O57" s="13">
        <v>0.0</v>
      </c>
      <c r="P57" s="13">
        <v>0.0</v>
      </c>
      <c r="Q57" s="13">
        <v>0.0</v>
      </c>
      <c r="R57" s="13">
        <v>0.0</v>
      </c>
      <c r="S57" s="13">
        <v>0.0</v>
      </c>
      <c r="T57" s="13">
        <v>0.0</v>
      </c>
      <c r="U57" s="13">
        <v>0.0</v>
      </c>
      <c r="V57" s="13">
        <v>0.0</v>
      </c>
      <c r="W57" s="13">
        <v>0.0</v>
      </c>
      <c r="X57" s="13">
        <v>0.0</v>
      </c>
      <c r="Y57" s="13">
        <v>0.0</v>
      </c>
      <c r="Z57" s="13">
        <v>21.0</v>
      </c>
      <c r="AA57" s="13">
        <v>0.0</v>
      </c>
      <c r="AB57" s="13">
        <v>0.0</v>
      </c>
      <c r="AC57" s="13">
        <v>0.0</v>
      </c>
      <c r="AD57" s="13">
        <v>3.0</v>
      </c>
      <c r="AE57" s="13">
        <v>0.0</v>
      </c>
      <c r="AF57" s="13">
        <v>0.0</v>
      </c>
      <c r="AG57" s="13">
        <v>0.0</v>
      </c>
      <c r="AH57" s="13">
        <v>2.0</v>
      </c>
      <c r="AI57" s="13">
        <v>0.0</v>
      </c>
      <c r="AJ57" s="13">
        <v>0.0</v>
      </c>
      <c r="AK57" s="13">
        <v>0.0</v>
      </c>
      <c r="AL57" s="13">
        <v>0.0</v>
      </c>
      <c r="AM57" s="13">
        <v>0.0</v>
      </c>
      <c r="AN57" s="13">
        <v>25.0</v>
      </c>
      <c r="AO57" s="13">
        <v>0.0</v>
      </c>
      <c r="AP57" s="13">
        <v>0.0</v>
      </c>
      <c r="AQ57" s="13">
        <v>0.0</v>
      </c>
      <c r="AR57" s="13">
        <v>0.0</v>
      </c>
      <c r="AS57" s="13">
        <v>0.0</v>
      </c>
      <c r="AT57" s="13">
        <v>0.0</v>
      </c>
      <c r="AU57" s="13">
        <v>0.0</v>
      </c>
      <c r="AV57" s="13">
        <v>1.0</v>
      </c>
      <c r="AW57" s="13">
        <v>0.0</v>
      </c>
      <c r="AX57" s="13">
        <v>0.0</v>
      </c>
      <c r="AY57" s="13">
        <v>13.0</v>
      </c>
      <c r="AZ57" s="13">
        <v>0.0</v>
      </c>
      <c r="BA57" s="13">
        <v>0.0</v>
      </c>
      <c r="BB57" s="13">
        <v>0.0</v>
      </c>
      <c r="BC57" s="13">
        <v>0.0</v>
      </c>
      <c r="BD57" s="13">
        <v>0.0</v>
      </c>
      <c r="BE57" s="13">
        <v>0.0</v>
      </c>
      <c r="BF57" s="13">
        <v>0.0</v>
      </c>
      <c r="BG57" s="13">
        <v>0.0</v>
      </c>
      <c r="BH57">
        <f t="shared" si="6"/>
        <v>65</v>
      </c>
      <c r="BI57" s="13" t="s">
        <v>1090</v>
      </c>
    </row>
    <row r="58" ht="36.75" customHeight="1">
      <c r="A58" s="11">
        <v>42770.0</v>
      </c>
      <c r="B58" s="13" t="s">
        <v>1094</v>
      </c>
      <c r="C58" s="13" t="s">
        <v>1096</v>
      </c>
      <c r="D58" s="13" t="s">
        <v>1097</v>
      </c>
      <c r="E58" s="34" t="s">
        <v>1098</v>
      </c>
      <c r="F58" s="13">
        <v>29.44165</v>
      </c>
      <c r="G58" s="13">
        <v>-81.10875</v>
      </c>
      <c r="H58" s="13">
        <v>29.427198</v>
      </c>
      <c r="I58" s="14">
        <v>-81.102115</v>
      </c>
      <c r="J58" s="13" t="s">
        <v>1099</v>
      </c>
      <c r="K58" s="13" t="s">
        <v>1100</v>
      </c>
      <c r="L58" s="13">
        <v>0.0</v>
      </c>
      <c r="M58" s="13">
        <v>0.0</v>
      </c>
      <c r="N58" s="13">
        <v>2.0</v>
      </c>
      <c r="O58" s="13">
        <v>0.0</v>
      </c>
      <c r="P58" s="13">
        <v>0.0</v>
      </c>
      <c r="Q58" s="13">
        <v>0.0</v>
      </c>
      <c r="R58" s="13">
        <v>0.0</v>
      </c>
      <c r="S58" s="13">
        <v>0.0</v>
      </c>
      <c r="T58" s="13">
        <v>0.0</v>
      </c>
      <c r="U58" s="13">
        <v>0.0</v>
      </c>
      <c r="V58" s="13">
        <v>0.0</v>
      </c>
      <c r="W58" s="13">
        <v>0.0</v>
      </c>
      <c r="X58" s="13">
        <v>0.0</v>
      </c>
      <c r="Y58" s="13">
        <v>0.0</v>
      </c>
      <c r="Z58" s="13">
        <v>30.0</v>
      </c>
      <c r="AA58" s="13">
        <v>0.0</v>
      </c>
      <c r="AB58" s="13">
        <v>0.0</v>
      </c>
      <c r="AC58" s="13">
        <v>0.0</v>
      </c>
      <c r="AD58" s="13">
        <v>0.0</v>
      </c>
      <c r="AE58" s="13">
        <v>0.0</v>
      </c>
      <c r="AF58" s="13">
        <v>0.0</v>
      </c>
      <c r="AG58" s="13">
        <v>0.0</v>
      </c>
      <c r="AH58" s="13">
        <v>2.0</v>
      </c>
      <c r="AI58" s="13">
        <v>0.0</v>
      </c>
      <c r="AJ58" s="13">
        <v>0.0</v>
      </c>
      <c r="AK58" s="13">
        <v>0.0</v>
      </c>
      <c r="AL58" s="13">
        <v>0.0</v>
      </c>
      <c r="AM58" s="13">
        <v>0.0</v>
      </c>
      <c r="AN58" s="13">
        <v>0.0</v>
      </c>
      <c r="AO58" s="13">
        <v>0.0</v>
      </c>
      <c r="AP58" s="13">
        <v>0.0</v>
      </c>
      <c r="AQ58" s="13">
        <v>0.0</v>
      </c>
      <c r="AR58" s="13">
        <v>3.0</v>
      </c>
      <c r="AS58" s="13">
        <v>0.0</v>
      </c>
      <c r="AT58" s="13">
        <v>0.0</v>
      </c>
      <c r="AU58" s="13">
        <v>0.0</v>
      </c>
      <c r="AV58" s="13">
        <v>7.0</v>
      </c>
      <c r="AW58" s="13">
        <v>231.0</v>
      </c>
      <c r="AX58" s="13">
        <v>1.0</v>
      </c>
      <c r="AY58" s="13">
        <v>23.0</v>
      </c>
      <c r="AZ58" s="13">
        <v>1.0</v>
      </c>
      <c r="BA58" s="13">
        <v>0.0</v>
      </c>
      <c r="BB58" s="13">
        <v>0.0</v>
      </c>
      <c r="BC58" s="13">
        <v>0.0</v>
      </c>
      <c r="BD58" s="13">
        <v>0.0</v>
      </c>
      <c r="BE58" s="13">
        <v>0.0</v>
      </c>
      <c r="BF58" s="13">
        <v>0.0</v>
      </c>
      <c r="BG58" s="13">
        <v>0.0</v>
      </c>
      <c r="BH58" s="13">
        <v>300.0</v>
      </c>
    </row>
    <row r="59" ht="36.75" customHeight="1">
      <c r="A59" s="11">
        <v>42770.0</v>
      </c>
      <c r="B59" s="13" t="s">
        <v>1105</v>
      </c>
      <c r="C59" s="13" t="s">
        <v>1096</v>
      </c>
      <c r="D59" s="13" t="s">
        <v>1106</v>
      </c>
      <c r="E59" s="34" t="s">
        <v>1098</v>
      </c>
      <c r="F59" s="13">
        <v>29.47558</v>
      </c>
      <c r="G59" s="13">
        <v>-81.1284</v>
      </c>
      <c r="H59" s="13">
        <v>29.47419</v>
      </c>
      <c r="I59" s="14">
        <v>-81.13471</v>
      </c>
      <c r="J59" s="13" t="s">
        <v>1107</v>
      </c>
      <c r="K59" s="13" t="s">
        <v>1108</v>
      </c>
      <c r="L59" s="13">
        <v>0.0</v>
      </c>
      <c r="M59" s="13">
        <v>0.0</v>
      </c>
      <c r="N59" s="13">
        <v>0.0</v>
      </c>
      <c r="O59" s="13">
        <v>0.0</v>
      </c>
      <c r="P59" s="13">
        <v>0.0</v>
      </c>
      <c r="Q59" s="13">
        <v>0.0</v>
      </c>
      <c r="R59" s="13">
        <v>0.0</v>
      </c>
      <c r="S59" s="13">
        <v>0.0</v>
      </c>
      <c r="T59" s="13">
        <v>0.0</v>
      </c>
      <c r="U59" s="13">
        <v>0.0</v>
      </c>
      <c r="V59" s="13">
        <v>0.0</v>
      </c>
      <c r="W59" s="13">
        <v>0.0</v>
      </c>
      <c r="X59" s="13">
        <v>0.0</v>
      </c>
      <c r="Y59" s="13">
        <v>0.0</v>
      </c>
      <c r="Z59" s="13">
        <v>0.0</v>
      </c>
      <c r="AA59" s="13">
        <v>0.0</v>
      </c>
      <c r="AB59" s="13">
        <v>0.0</v>
      </c>
      <c r="AC59" s="13">
        <v>0.0</v>
      </c>
      <c r="AD59" s="13">
        <v>0.0</v>
      </c>
      <c r="AE59" s="13">
        <v>0.0</v>
      </c>
      <c r="AF59" s="13">
        <v>0.0</v>
      </c>
      <c r="AG59" s="13">
        <v>0.0</v>
      </c>
      <c r="AH59" s="13">
        <v>0.0</v>
      </c>
      <c r="AI59" s="13">
        <v>0.0</v>
      </c>
      <c r="AJ59" s="13">
        <v>0.0</v>
      </c>
      <c r="AK59" s="13">
        <v>0.0</v>
      </c>
      <c r="AL59" s="13">
        <v>0.0</v>
      </c>
      <c r="AM59" s="13">
        <v>0.0</v>
      </c>
      <c r="AN59" s="13">
        <v>0.0</v>
      </c>
      <c r="AO59" s="13">
        <v>0.0</v>
      </c>
      <c r="AP59" s="13">
        <v>0.0</v>
      </c>
      <c r="AQ59" s="13">
        <v>0.0</v>
      </c>
      <c r="AR59" s="13">
        <v>0.0</v>
      </c>
      <c r="AS59" s="13">
        <v>0.0</v>
      </c>
      <c r="AT59" s="13">
        <v>0.0</v>
      </c>
      <c r="AU59" s="13">
        <v>0.0</v>
      </c>
      <c r="AV59" s="13">
        <v>0.0</v>
      </c>
      <c r="AW59" s="13">
        <v>0.0</v>
      </c>
      <c r="AX59" s="13">
        <v>0.0</v>
      </c>
      <c r="AY59" s="13">
        <v>0.0</v>
      </c>
      <c r="AZ59" s="13">
        <v>0.0</v>
      </c>
      <c r="BA59" s="13">
        <v>0.0</v>
      </c>
      <c r="BB59" s="13">
        <v>0.0</v>
      </c>
      <c r="BC59" s="13">
        <v>0.0</v>
      </c>
      <c r="BD59" s="13">
        <v>0.0</v>
      </c>
      <c r="BE59" s="13">
        <v>0.0</v>
      </c>
      <c r="BF59" s="13">
        <v>0.0</v>
      </c>
      <c r="BG59" s="13">
        <v>0.0</v>
      </c>
      <c r="BH59" s="13">
        <v>0.0</v>
      </c>
      <c r="BI59" s="13" t="s">
        <v>1112</v>
      </c>
    </row>
    <row r="60" ht="36.75" customHeight="1">
      <c r="A60" s="45">
        <v>42770.0</v>
      </c>
      <c r="B60" s="13" t="s">
        <v>1094</v>
      </c>
      <c r="C60" s="13" t="s">
        <v>1096</v>
      </c>
      <c r="D60" s="13" t="s">
        <v>1113</v>
      </c>
      <c r="E60" s="34" t="s">
        <v>1098</v>
      </c>
      <c r="F60" s="13">
        <v>29.44157</v>
      </c>
      <c r="G60" s="13">
        <v>-81.11371</v>
      </c>
      <c r="H60" s="13">
        <v>29.43427</v>
      </c>
      <c r="I60" s="14">
        <v>-81.11045</v>
      </c>
      <c r="J60" s="13" t="s">
        <v>1114</v>
      </c>
      <c r="K60" s="13" t="s">
        <v>1115</v>
      </c>
      <c r="L60" s="13">
        <v>0.0</v>
      </c>
      <c r="M60" s="13">
        <v>0.0</v>
      </c>
      <c r="N60" s="13">
        <v>0.0</v>
      </c>
      <c r="O60" s="13">
        <v>0.0</v>
      </c>
      <c r="P60" s="13">
        <v>0.0</v>
      </c>
      <c r="Q60" s="13">
        <v>0.0</v>
      </c>
      <c r="R60" s="13">
        <v>0.0</v>
      </c>
      <c r="S60" s="13">
        <v>0.0</v>
      </c>
      <c r="T60" s="13">
        <v>0.0</v>
      </c>
      <c r="U60" s="13">
        <v>0.0</v>
      </c>
      <c r="V60" s="13">
        <v>0.0</v>
      </c>
      <c r="W60" s="13">
        <v>0.0</v>
      </c>
      <c r="X60" s="13">
        <v>0.0</v>
      </c>
      <c r="Y60" s="13">
        <v>0.0</v>
      </c>
      <c r="Z60" s="13">
        <v>0.0</v>
      </c>
      <c r="AA60" s="13">
        <v>0.0</v>
      </c>
      <c r="AB60" s="13">
        <v>0.0</v>
      </c>
      <c r="AC60" s="13">
        <v>0.0</v>
      </c>
      <c r="AD60" s="13">
        <v>0.0</v>
      </c>
      <c r="AE60" s="13">
        <v>0.0</v>
      </c>
      <c r="AF60" s="13">
        <v>0.0</v>
      </c>
      <c r="AG60" s="13">
        <v>0.0</v>
      </c>
      <c r="AH60" s="13">
        <v>0.0</v>
      </c>
      <c r="AI60" s="13">
        <v>0.0</v>
      </c>
      <c r="AJ60" s="13">
        <v>0.0</v>
      </c>
      <c r="AK60" s="13">
        <v>0.0</v>
      </c>
      <c r="AL60" s="13">
        <v>0.0</v>
      </c>
      <c r="AM60" s="13">
        <v>0.0</v>
      </c>
      <c r="AN60" s="13">
        <v>0.0</v>
      </c>
      <c r="AO60" s="13">
        <v>0.0</v>
      </c>
      <c r="AP60" s="13">
        <v>0.0</v>
      </c>
      <c r="AQ60" s="13">
        <v>1.0</v>
      </c>
      <c r="AR60" s="13">
        <v>0.0</v>
      </c>
      <c r="AS60" s="13">
        <v>0.0</v>
      </c>
      <c r="AT60" s="13">
        <v>0.0</v>
      </c>
      <c r="AU60" s="13">
        <v>0.0</v>
      </c>
      <c r="AV60" s="13">
        <v>0.0</v>
      </c>
      <c r="AW60" s="13">
        <v>0.0</v>
      </c>
      <c r="AX60" s="13">
        <v>0.0</v>
      </c>
      <c r="AY60" s="13">
        <v>0.0</v>
      </c>
      <c r="AZ60" s="13">
        <v>0.0</v>
      </c>
      <c r="BA60" s="13">
        <v>0.0</v>
      </c>
      <c r="BB60" s="13">
        <v>0.0</v>
      </c>
      <c r="BC60" s="13">
        <v>0.0</v>
      </c>
      <c r="BD60" s="13">
        <v>0.0</v>
      </c>
      <c r="BE60" s="13">
        <v>0.0</v>
      </c>
      <c r="BF60" s="13">
        <v>0.0</v>
      </c>
      <c r="BG60" s="13">
        <v>0.0</v>
      </c>
      <c r="BH60" s="13">
        <v>1.0</v>
      </c>
    </row>
    <row r="61" ht="36.75" customHeight="1">
      <c r="A61" s="45">
        <v>42770.0</v>
      </c>
      <c r="B61" s="13" t="s">
        <v>1117</v>
      </c>
      <c r="C61" s="13" t="s">
        <v>1120</v>
      </c>
      <c r="D61" s="13" t="s">
        <v>1122</v>
      </c>
      <c r="E61" s="34" t="s">
        <v>1098</v>
      </c>
      <c r="F61" s="13">
        <v>29.4798</v>
      </c>
      <c r="G61" s="13">
        <v>-81.1628</v>
      </c>
      <c r="H61" s="13">
        <v>29.44157</v>
      </c>
      <c r="I61" s="14">
        <v>-81.1089</v>
      </c>
      <c r="J61" s="13" t="s">
        <v>1123</v>
      </c>
      <c r="K61" s="13" t="s">
        <v>1124</v>
      </c>
      <c r="L61" s="13">
        <v>0.0</v>
      </c>
      <c r="M61" s="13">
        <v>0.0</v>
      </c>
      <c r="N61" s="13">
        <v>2.0</v>
      </c>
      <c r="O61" s="13">
        <v>0.0</v>
      </c>
      <c r="P61" s="13">
        <v>0.0</v>
      </c>
      <c r="Q61" s="13">
        <v>0.0</v>
      </c>
      <c r="R61" s="13">
        <v>0.0</v>
      </c>
      <c r="S61" s="13">
        <v>0.0</v>
      </c>
      <c r="T61" s="13">
        <v>0.0</v>
      </c>
      <c r="U61" s="13">
        <v>0.0</v>
      </c>
      <c r="V61" s="13">
        <v>0.0</v>
      </c>
      <c r="W61" s="13">
        <v>0.0</v>
      </c>
      <c r="X61" s="13">
        <v>0.0</v>
      </c>
      <c r="Y61" s="13">
        <v>6.0</v>
      </c>
      <c r="Z61" s="13">
        <v>8.0</v>
      </c>
      <c r="AA61" s="13">
        <v>0.0</v>
      </c>
      <c r="AB61" s="13">
        <v>0.0</v>
      </c>
      <c r="AC61" s="13">
        <v>0.0</v>
      </c>
      <c r="AD61" s="13">
        <v>0.0</v>
      </c>
      <c r="AE61" s="13">
        <v>0.0</v>
      </c>
      <c r="AF61" s="13">
        <v>0.0</v>
      </c>
      <c r="AG61" s="13">
        <v>0.0</v>
      </c>
      <c r="AH61" s="13">
        <v>11.0</v>
      </c>
      <c r="AI61" s="13">
        <v>0.0</v>
      </c>
      <c r="AJ61" s="13">
        <v>0.0</v>
      </c>
      <c r="AK61" s="13">
        <v>3.0</v>
      </c>
      <c r="AL61" s="13">
        <v>0.0</v>
      </c>
      <c r="AM61" s="13">
        <v>0.0</v>
      </c>
      <c r="AN61" s="13">
        <v>4.0</v>
      </c>
      <c r="AO61" s="13">
        <v>0.0</v>
      </c>
      <c r="AP61" s="13">
        <v>0.0</v>
      </c>
      <c r="AQ61" s="13">
        <v>0.0</v>
      </c>
      <c r="AR61" s="13">
        <v>5.0</v>
      </c>
      <c r="AS61" s="13">
        <v>0.0</v>
      </c>
      <c r="AT61" s="13">
        <v>0.0</v>
      </c>
      <c r="AU61" s="13">
        <v>0.0</v>
      </c>
      <c r="AV61" s="13">
        <v>43.0</v>
      </c>
      <c r="AW61" s="13">
        <v>315.0</v>
      </c>
      <c r="AX61" s="13">
        <v>0.0</v>
      </c>
      <c r="AY61" s="13">
        <v>235.0</v>
      </c>
      <c r="AZ61" s="13">
        <v>4.0</v>
      </c>
      <c r="BA61" s="13">
        <v>1.0</v>
      </c>
      <c r="BB61" s="13">
        <v>0.0</v>
      </c>
      <c r="BC61" s="13">
        <v>0.0</v>
      </c>
      <c r="BD61" s="13">
        <v>0.0</v>
      </c>
      <c r="BE61" s="13">
        <v>0.0</v>
      </c>
      <c r="BF61" s="13">
        <v>0.0</v>
      </c>
      <c r="BG61" s="13">
        <v>0.0</v>
      </c>
      <c r="BH61">
        <f t="shared" ref="BH61:BH64" si="7">SUM(L61:BG61)</f>
        <v>637</v>
      </c>
    </row>
    <row r="62" ht="36.75" customHeight="1">
      <c r="A62" s="45">
        <v>42770.0</v>
      </c>
      <c r="B62" s="13" t="s">
        <v>1136</v>
      </c>
      <c r="C62" s="13" t="s">
        <v>1137</v>
      </c>
      <c r="D62" s="13" t="s">
        <v>1138</v>
      </c>
      <c r="E62" s="34" t="s">
        <v>1098</v>
      </c>
      <c r="F62" s="13">
        <v>29.54934</v>
      </c>
      <c r="G62" s="13">
        <v>-81.16061</v>
      </c>
      <c r="H62" s="13">
        <v>29.63323</v>
      </c>
      <c r="I62" s="14">
        <v>-81.19744</v>
      </c>
      <c r="J62" s="13" t="s">
        <v>1139</v>
      </c>
      <c r="K62" s="13" t="s">
        <v>1124</v>
      </c>
      <c r="L62" s="13">
        <v>0.0</v>
      </c>
      <c r="M62" s="13">
        <v>0.0</v>
      </c>
      <c r="N62" s="13">
        <v>0.0</v>
      </c>
      <c r="O62" s="13">
        <v>0.0</v>
      </c>
      <c r="P62" s="13">
        <v>0.0</v>
      </c>
      <c r="Q62" s="13">
        <v>0.0</v>
      </c>
      <c r="R62" s="13">
        <v>0.0</v>
      </c>
      <c r="S62" s="13">
        <v>2.0</v>
      </c>
      <c r="T62" s="13">
        <v>0.0</v>
      </c>
      <c r="U62" s="13">
        <v>0.0</v>
      </c>
      <c r="V62" s="13">
        <v>0.0</v>
      </c>
      <c r="W62" s="13">
        <v>0.0</v>
      </c>
      <c r="X62" s="13">
        <v>0.0</v>
      </c>
      <c r="Y62" s="13">
        <v>0.0</v>
      </c>
      <c r="Z62" s="13">
        <v>36.0</v>
      </c>
      <c r="AA62" s="13">
        <v>0.0</v>
      </c>
      <c r="AB62" s="13">
        <v>0.0</v>
      </c>
      <c r="AC62" s="13">
        <v>0.0</v>
      </c>
      <c r="AD62" s="13">
        <v>0.0</v>
      </c>
      <c r="AE62" s="13">
        <v>0.0</v>
      </c>
      <c r="AF62" s="13">
        <v>0.0</v>
      </c>
      <c r="AG62" s="13">
        <v>0.0</v>
      </c>
      <c r="AH62" s="13">
        <v>14.0</v>
      </c>
      <c r="AI62" s="13">
        <v>0.0</v>
      </c>
      <c r="AJ62" s="13">
        <v>0.0</v>
      </c>
      <c r="AK62" s="13">
        <v>0.0</v>
      </c>
      <c r="AL62" s="13">
        <v>0.0</v>
      </c>
      <c r="AM62" s="13">
        <v>0.0</v>
      </c>
      <c r="AN62" s="13">
        <v>6.0</v>
      </c>
      <c r="AO62" s="13">
        <v>0.0</v>
      </c>
      <c r="AP62" s="13">
        <v>0.0</v>
      </c>
      <c r="AQ62" s="13">
        <v>6.0</v>
      </c>
      <c r="AR62" s="13">
        <v>0.0</v>
      </c>
      <c r="AS62" s="13">
        <v>0.0</v>
      </c>
      <c r="AT62" s="13">
        <v>0.0</v>
      </c>
      <c r="AU62" s="13">
        <v>0.0</v>
      </c>
      <c r="AV62" s="13">
        <v>0.0</v>
      </c>
      <c r="AW62" s="13">
        <v>5.0</v>
      </c>
      <c r="AX62" s="13">
        <v>0.0</v>
      </c>
      <c r="AY62" s="13">
        <v>28.0</v>
      </c>
      <c r="AZ62" s="13">
        <v>6.0</v>
      </c>
      <c r="BA62" s="13">
        <v>0.0</v>
      </c>
      <c r="BB62" s="13">
        <v>0.0</v>
      </c>
      <c r="BC62" s="13">
        <v>0.0</v>
      </c>
      <c r="BD62" s="13">
        <v>0.0</v>
      </c>
      <c r="BE62" s="13">
        <v>0.0</v>
      </c>
      <c r="BF62" s="13">
        <v>0.0</v>
      </c>
      <c r="BG62" s="13">
        <v>0.0</v>
      </c>
      <c r="BH62">
        <f t="shared" si="7"/>
        <v>103</v>
      </c>
    </row>
    <row r="63" ht="36.75" customHeight="1">
      <c r="A63" s="45">
        <v>42770.0</v>
      </c>
      <c r="B63" s="13" t="s">
        <v>1136</v>
      </c>
      <c r="C63" s="13" t="s">
        <v>1137</v>
      </c>
      <c r="D63" s="13" t="s">
        <v>1152</v>
      </c>
      <c r="E63" s="26" t="s">
        <v>1098</v>
      </c>
      <c r="F63" s="13">
        <v>29.6338</v>
      </c>
      <c r="G63" s="13">
        <v>-81.19737</v>
      </c>
      <c r="H63" s="13">
        <v>29.67149</v>
      </c>
      <c r="I63" s="14">
        <v>-81.2135</v>
      </c>
      <c r="J63" s="13" t="s">
        <v>1153</v>
      </c>
      <c r="K63" s="13" t="s">
        <v>1124</v>
      </c>
      <c r="L63" s="13">
        <v>0.0</v>
      </c>
      <c r="M63" s="13">
        <v>0.0</v>
      </c>
      <c r="N63" s="13">
        <v>0.0</v>
      </c>
      <c r="O63" s="13">
        <v>0.0</v>
      </c>
      <c r="P63" s="13">
        <v>0.0</v>
      </c>
      <c r="Q63" s="13">
        <v>0.0</v>
      </c>
      <c r="R63" s="13">
        <v>0.0</v>
      </c>
      <c r="S63" s="13">
        <v>0.0</v>
      </c>
      <c r="T63" s="13">
        <v>0.0</v>
      </c>
      <c r="U63" s="13">
        <v>0.0</v>
      </c>
      <c r="V63" s="13">
        <v>0.0</v>
      </c>
      <c r="W63" s="13">
        <v>0.0</v>
      </c>
      <c r="X63" s="13">
        <v>0.0</v>
      </c>
      <c r="Y63" s="13">
        <v>0.0</v>
      </c>
      <c r="Z63" s="13">
        <v>27.0</v>
      </c>
      <c r="AA63" s="13">
        <v>0.0</v>
      </c>
      <c r="AB63" s="13">
        <v>0.0</v>
      </c>
      <c r="AC63" s="13">
        <v>0.0</v>
      </c>
      <c r="AD63" s="13">
        <v>0.0</v>
      </c>
      <c r="AE63" s="13">
        <v>0.0</v>
      </c>
      <c r="AF63" s="13">
        <v>0.0</v>
      </c>
      <c r="AG63" s="13">
        <v>0.0</v>
      </c>
      <c r="AH63" s="13">
        <v>5.0</v>
      </c>
      <c r="AI63" s="13">
        <v>0.0</v>
      </c>
      <c r="AJ63" s="13">
        <v>0.0</v>
      </c>
      <c r="AK63" s="13">
        <v>0.0</v>
      </c>
      <c r="AL63" s="13">
        <v>0.0</v>
      </c>
      <c r="AM63" s="13">
        <v>0.0</v>
      </c>
      <c r="AN63" s="13">
        <v>22.0</v>
      </c>
      <c r="AO63" s="13">
        <v>0.0</v>
      </c>
      <c r="AP63" s="13">
        <v>0.0</v>
      </c>
      <c r="AQ63" s="13">
        <v>1.0</v>
      </c>
      <c r="AR63" s="13">
        <v>23.0</v>
      </c>
      <c r="AS63" s="13">
        <v>0.0</v>
      </c>
      <c r="AT63" s="13">
        <v>0.0</v>
      </c>
      <c r="AU63" s="13">
        <v>0.0</v>
      </c>
      <c r="AV63" s="13">
        <v>0.0</v>
      </c>
      <c r="AW63" s="13">
        <v>0.0</v>
      </c>
      <c r="AX63" s="13">
        <v>0.0</v>
      </c>
      <c r="AY63" s="13">
        <v>29.0</v>
      </c>
      <c r="AZ63" s="13">
        <v>0.0</v>
      </c>
      <c r="BA63" s="13">
        <v>0.0</v>
      </c>
      <c r="BB63" s="13">
        <v>0.0</v>
      </c>
      <c r="BC63" s="13">
        <v>0.0</v>
      </c>
      <c r="BD63" s="13">
        <v>0.0</v>
      </c>
      <c r="BE63" s="13">
        <v>0.0</v>
      </c>
      <c r="BF63" s="13">
        <v>0.0</v>
      </c>
      <c r="BG63" s="13">
        <v>0.0</v>
      </c>
      <c r="BH63">
        <f t="shared" si="7"/>
        <v>107</v>
      </c>
    </row>
    <row r="64" ht="36.75" customHeight="1">
      <c r="A64" s="65">
        <v>42770.0</v>
      </c>
      <c r="B64" s="13" t="s">
        <v>1165</v>
      </c>
      <c r="C64" s="13" t="s">
        <v>1179</v>
      </c>
      <c r="D64" s="13" t="s">
        <v>1180</v>
      </c>
      <c r="E64" s="26" t="s">
        <v>1098</v>
      </c>
      <c r="F64" s="13">
        <v>29.480003</v>
      </c>
      <c r="G64" s="13">
        <v>-81.12631</v>
      </c>
      <c r="H64" s="13">
        <v>29.54933</v>
      </c>
      <c r="I64" s="14">
        <v>-81.16059</v>
      </c>
      <c r="J64" s="13" t="s">
        <v>1182</v>
      </c>
      <c r="K64" s="13" t="s">
        <v>1183</v>
      </c>
      <c r="L64" s="13">
        <v>0.0</v>
      </c>
      <c r="M64" s="13">
        <v>0.0</v>
      </c>
      <c r="N64" s="13">
        <v>10.0</v>
      </c>
      <c r="O64" s="13">
        <v>0.0</v>
      </c>
      <c r="P64" s="13">
        <v>0.0</v>
      </c>
      <c r="Q64" s="13">
        <v>0.0</v>
      </c>
      <c r="R64" s="13">
        <v>0.0</v>
      </c>
      <c r="S64" s="13">
        <v>0.0</v>
      </c>
      <c r="T64" s="13">
        <v>0.0</v>
      </c>
      <c r="U64" s="13">
        <v>0.0</v>
      </c>
      <c r="V64" s="13">
        <v>0.0</v>
      </c>
      <c r="W64" s="13">
        <v>0.0</v>
      </c>
      <c r="X64" s="13">
        <v>0.0</v>
      </c>
      <c r="Y64" s="13">
        <v>14.0</v>
      </c>
      <c r="Z64" s="13">
        <v>111.0</v>
      </c>
      <c r="AA64" s="13">
        <v>0.0</v>
      </c>
      <c r="AB64" s="13">
        <v>0.0</v>
      </c>
      <c r="AC64" s="13">
        <v>0.0</v>
      </c>
      <c r="AD64" s="13">
        <v>0.0</v>
      </c>
      <c r="AE64" s="13">
        <v>0.0</v>
      </c>
      <c r="AF64" s="13">
        <v>0.0</v>
      </c>
      <c r="AG64" s="13">
        <v>0.0</v>
      </c>
      <c r="AH64" s="13">
        <v>29.0</v>
      </c>
      <c r="AI64" s="13">
        <v>0.0</v>
      </c>
      <c r="AJ64" s="13">
        <v>0.0</v>
      </c>
      <c r="AK64" s="13">
        <v>0.0</v>
      </c>
      <c r="AL64" s="13">
        <v>0.0</v>
      </c>
      <c r="AM64" s="13">
        <v>0.0</v>
      </c>
      <c r="AN64" s="13">
        <v>170.0</v>
      </c>
      <c r="AO64" s="13">
        <v>0.0</v>
      </c>
      <c r="AP64" s="13">
        <v>0.0</v>
      </c>
      <c r="AQ64" s="13">
        <v>2.0</v>
      </c>
      <c r="AR64" s="13">
        <v>2.0</v>
      </c>
      <c r="AS64" s="13">
        <v>0.0</v>
      </c>
      <c r="AT64" s="13">
        <v>0.0</v>
      </c>
      <c r="AU64" s="13">
        <v>3.0</v>
      </c>
      <c r="AV64" s="13">
        <v>28.0</v>
      </c>
      <c r="AW64" s="13">
        <v>165.0</v>
      </c>
      <c r="AX64" s="13">
        <v>0.0</v>
      </c>
      <c r="AY64" s="13">
        <v>224.0</v>
      </c>
      <c r="AZ64" s="13">
        <v>0.0</v>
      </c>
      <c r="BA64" s="13">
        <v>0.0</v>
      </c>
      <c r="BC64" s="13">
        <v>0.0</v>
      </c>
      <c r="BD64" s="13">
        <v>0.0</v>
      </c>
      <c r="BE64" s="13">
        <v>0.0</v>
      </c>
      <c r="BF64" s="13">
        <v>0.0</v>
      </c>
      <c r="BG64" s="13">
        <v>76.0</v>
      </c>
      <c r="BH64">
        <f t="shared" si="7"/>
        <v>834</v>
      </c>
    </row>
    <row r="65" ht="36.75" customHeight="1">
      <c r="A65" s="11">
        <v>42770.0</v>
      </c>
      <c r="B65" s="13" t="s">
        <v>265</v>
      </c>
      <c r="C65" s="13" t="s">
        <v>363</v>
      </c>
      <c r="D65" s="13" t="s">
        <v>621</v>
      </c>
      <c r="E65" s="34" t="s">
        <v>268</v>
      </c>
      <c r="F65" s="13">
        <v>29.71729</v>
      </c>
      <c r="G65" s="13">
        <v>-84.97683</v>
      </c>
      <c r="H65" s="13">
        <v>29.71123</v>
      </c>
      <c r="I65" s="14">
        <v>-84.97502</v>
      </c>
      <c r="J65" s="13" t="s">
        <v>1191</v>
      </c>
      <c r="K65" s="13" t="s">
        <v>1188</v>
      </c>
      <c r="L65" s="13">
        <v>0.0</v>
      </c>
      <c r="M65" s="13">
        <v>0.0</v>
      </c>
      <c r="N65" s="13">
        <v>13.0</v>
      </c>
      <c r="O65" s="13">
        <v>70.0</v>
      </c>
      <c r="P65" s="13">
        <v>0.0</v>
      </c>
      <c r="Q65" s="13">
        <v>0.0</v>
      </c>
      <c r="R65" s="13">
        <v>6.0</v>
      </c>
      <c r="S65" s="13">
        <v>0.0</v>
      </c>
      <c r="T65" s="13">
        <v>0.0</v>
      </c>
      <c r="U65" s="13">
        <v>0.0</v>
      </c>
      <c r="V65" s="13">
        <v>0.0</v>
      </c>
      <c r="W65" s="13">
        <v>0.0</v>
      </c>
      <c r="X65" s="13">
        <v>0.0</v>
      </c>
      <c r="Y65" s="13">
        <v>0.0</v>
      </c>
      <c r="Z65" s="13">
        <v>11.0</v>
      </c>
      <c r="AA65" s="13">
        <v>17.0</v>
      </c>
      <c r="AB65" s="13">
        <v>0.0</v>
      </c>
      <c r="AC65" s="13">
        <v>0.0</v>
      </c>
      <c r="AD65" s="13">
        <v>0.0</v>
      </c>
      <c r="AE65" s="13">
        <v>0.0</v>
      </c>
      <c r="AF65" s="13">
        <v>11.0</v>
      </c>
      <c r="AG65" s="13">
        <v>0.0</v>
      </c>
      <c r="AH65" s="13">
        <v>0.0</v>
      </c>
      <c r="AI65" s="13">
        <v>0.0</v>
      </c>
      <c r="AJ65" s="13">
        <v>0.0</v>
      </c>
      <c r="AK65" s="13">
        <v>0.0</v>
      </c>
      <c r="AL65" s="13">
        <v>5.0</v>
      </c>
      <c r="AM65" s="13">
        <v>0.0</v>
      </c>
      <c r="AN65" s="13">
        <v>0.0</v>
      </c>
      <c r="AO65" s="13">
        <v>0.0</v>
      </c>
      <c r="AP65" s="13">
        <v>0.0</v>
      </c>
      <c r="AQ65" s="13">
        <v>0.0</v>
      </c>
      <c r="AR65" s="13">
        <v>1.0</v>
      </c>
      <c r="AS65" s="13">
        <v>0.0</v>
      </c>
      <c r="AT65" s="13">
        <v>0.0</v>
      </c>
      <c r="AU65" s="13">
        <v>0.0</v>
      </c>
      <c r="AV65" s="13">
        <v>0.0</v>
      </c>
      <c r="AW65" s="13">
        <v>0.0</v>
      </c>
      <c r="AX65" s="13">
        <v>0.0</v>
      </c>
      <c r="AY65" s="13">
        <v>3.0</v>
      </c>
      <c r="AZ65" s="13">
        <v>0.0</v>
      </c>
      <c r="BA65" s="13">
        <v>0.0</v>
      </c>
      <c r="BB65" s="13">
        <v>0.0</v>
      </c>
      <c r="BC65" s="13">
        <v>0.0</v>
      </c>
      <c r="BD65" s="13">
        <v>0.0</v>
      </c>
      <c r="BE65" s="13">
        <v>0.0</v>
      </c>
      <c r="BF65" s="13">
        <v>0.0</v>
      </c>
      <c r="BG65" s="13">
        <v>0.0</v>
      </c>
      <c r="BH65" s="13">
        <f t="shared" ref="BH65:BH67" si="8">sum(L65:BG65)</f>
        <v>137</v>
      </c>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3"/>
      <c r="CZ65" s="13"/>
      <c r="DA65" s="13"/>
      <c r="DB65" s="13"/>
      <c r="DC65" s="13"/>
      <c r="DD65" s="13"/>
      <c r="DE65" s="13"/>
      <c r="DF65" s="13"/>
      <c r="DG65" s="13"/>
      <c r="DH65" s="13"/>
      <c r="DI65" s="13"/>
      <c r="DJ65" s="13"/>
      <c r="DK65" s="13"/>
      <c r="DL65" s="13"/>
      <c r="DM65" s="13"/>
      <c r="DN65" s="13"/>
      <c r="DO65" s="13"/>
      <c r="DP65" s="13"/>
      <c r="DQ65" s="13"/>
      <c r="DR65" s="13"/>
      <c r="DS65" s="13"/>
      <c r="DT65" s="13"/>
      <c r="DU65" s="13"/>
      <c r="DV65" s="13"/>
      <c r="DW65" s="13"/>
    </row>
    <row r="66" ht="36.75" customHeight="1">
      <c r="A66" s="11">
        <v>42770.0</v>
      </c>
      <c r="B66" s="13" t="s">
        <v>265</v>
      </c>
      <c r="C66" s="16" t="s">
        <v>363</v>
      </c>
      <c r="D66" s="13" t="s">
        <v>1200</v>
      </c>
      <c r="E66" s="26" t="s">
        <v>268</v>
      </c>
      <c r="F66" s="13">
        <v>29.73319</v>
      </c>
      <c r="G66" s="13">
        <v>-84.88037</v>
      </c>
      <c r="H66" s="13">
        <v>29.74164</v>
      </c>
      <c r="I66" s="13">
        <v>-84.86646</v>
      </c>
      <c r="J66" s="13" t="s">
        <v>1201</v>
      </c>
      <c r="K66" s="13" t="s">
        <v>1202</v>
      </c>
      <c r="L66" s="13">
        <v>12.0</v>
      </c>
      <c r="M66" s="13">
        <v>0.0</v>
      </c>
      <c r="N66" s="13">
        <v>20.0</v>
      </c>
      <c r="O66" s="13">
        <v>0.0</v>
      </c>
      <c r="P66" s="13">
        <v>0.0</v>
      </c>
      <c r="Q66" s="13">
        <v>0.0</v>
      </c>
      <c r="R66" s="13">
        <v>0.0</v>
      </c>
      <c r="S66" s="13">
        <v>0.0</v>
      </c>
      <c r="T66" s="13">
        <v>0.0</v>
      </c>
      <c r="U66" s="13">
        <v>0.0</v>
      </c>
      <c r="V66" s="13">
        <v>0.0</v>
      </c>
      <c r="W66" s="13">
        <v>0.0</v>
      </c>
      <c r="X66" s="13">
        <v>0.0</v>
      </c>
      <c r="Y66" s="13">
        <v>31.0</v>
      </c>
      <c r="Z66" s="13">
        <v>1.0</v>
      </c>
      <c r="AA66" s="13">
        <v>8.0</v>
      </c>
      <c r="AB66" s="13">
        <v>0.0</v>
      </c>
      <c r="AC66" s="13">
        <v>0.0</v>
      </c>
      <c r="AD66" s="13">
        <v>0.0</v>
      </c>
      <c r="AE66" s="13">
        <v>2.0</v>
      </c>
      <c r="AF66" s="13">
        <v>0.0</v>
      </c>
      <c r="AG66" s="13">
        <v>0.0</v>
      </c>
      <c r="AH66" s="13">
        <v>3.0</v>
      </c>
      <c r="AI66" s="13">
        <v>0.0</v>
      </c>
      <c r="AJ66" s="13">
        <v>0.0</v>
      </c>
      <c r="AK66" s="13">
        <v>0.0</v>
      </c>
      <c r="AL66" s="13">
        <v>4.0</v>
      </c>
      <c r="AM66" s="13">
        <v>0.0</v>
      </c>
      <c r="AN66" s="13">
        <v>4.0</v>
      </c>
      <c r="AO66" s="13">
        <v>1.0</v>
      </c>
      <c r="AP66" s="13">
        <v>0.0</v>
      </c>
      <c r="AQ66" s="13">
        <v>0.0</v>
      </c>
      <c r="AR66" s="13">
        <v>0.0</v>
      </c>
      <c r="AS66" s="13">
        <v>0.0</v>
      </c>
      <c r="AT66" s="13">
        <v>0.0</v>
      </c>
      <c r="AU66" s="13">
        <v>0.0</v>
      </c>
      <c r="AV66" s="13">
        <v>2.0</v>
      </c>
      <c r="AW66" s="13">
        <v>3.0</v>
      </c>
      <c r="AX66" s="13" t="s">
        <v>219</v>
      </c>
      <c r="AY66" s="13">
        <v>11.0</v>
      </c>
      <c r="AZ66" s="13">
        <v>2.0</v>
      </c>
      <c r="BA66" s="13">
        <v>0.0</v>
      </c>
      <c r="BB66" s="13">
        <v>0.0</v>
      </c>
      <c r="BC66" s="13">
        <v>0.0</v>
      </c>
      <c r="BD66" s="13">
        <v>0.0</v>
      </c>
      <c r="BE66" s="13">
        <v>0.0</v>
      </c>
      <c r="BF66" s="13">
        <v>0.0</v>
      </c>
      <c r="BG66" s="13">
        <v>0.0</v>
      </c>
      <c r="BH66" s="13">
        <f t="shared" si="8"/>
        <v>104</v>
      </c>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3"/>
      <c r="CZ66" s="13"/>
      <c r="DA66" s="13"/>
      <c r="DB66" s="13"/>
      <c r="DC66" s="13"/>
      <c r="DD66" s="13"/>
      <c r="DE66" s="13"/>
      <c r="DF66" s="13"/>
      <c r="DG66" s="13"/>
      <c r="DH66" s="13"/>
      <c r="DI66" s="13"/>
      <c r="DJ66" s="13"/>
      <c r="DK66" s="13"/>
      <c r="DL66" s="13"/>
      <c r="DM66" s="13"/>
      <c r="DN66" s="13"/>
      <c r="DO66" s="13"/>
      <c r="DP66" s="13"/>
      <c r="DQ66" s="13"/>
      <c r="DR66" s="13"/>
      <c r="DS66" s="13"/>
      <c r="DT66" s="13"/>
      <c r="DU66" s="13"/>
      <c r="DV66" s="13"/>
      <c r="DW66" s="13"/>
    </row>
    <row r="67" ht="36.75" customHeight="1">
      <c r="A67" s="11">
        <v>42770.0</v>
      </c>
      <c r="B67" s="13" t="s">
        <v>265</v>
      </c>
      <c r="C67" s="16" t="s">
        <v>363</v>
      </c>
      <c r="D67" s="16" t="s">
        <v>267</v>
      </c>
      <c r="E67" s="34" t="s">
        <v>268</v>
      </c>
      <c r="F67" s="16">
        <v>29.67161</v>
      </c>
      <c r="G67" s="16">
        <v>-84.86168</v>
      </c>
      <c r="H67" s="13">
        <v>29.67138</v>
      </c>
      <c r="I67" s="13">
        <v>-84.85575</v>
      </c>
      <c r="J67" s="13" t="s">
        <v>1196</v>
      </c>
      <c r="K67" s="13" t="s">
        <v>1197</v>
      </c>
      <c r="L67" s="13">
        <v>4.0</v>
      </c>
      <c r="M67" s="13">
        <v>0.0</v>
      </c>
      <c r="N67" s="13">
        <v>3.0</v>
      </c>
      <c r="O67" s="13">
        <v>0.0</v>
      </c>
      <c r="P67" s="13">
        <v>0.0</v>
      </c>
      <c r="Q67" s="13">
        <v>0.0</v>
      </c>
      <c r="R67" s="13">
        <v>0.0</v>
      </c>
      <c r="S67" s="13">
        <v>0.0</v>
      </c>
      <c r="T67" s="13">
        <v>0.0</v>
      </c>
      <c r="U67" s="13">
        <v>0.0</v>
      </c>
      <c r="V67" s="13">
        <v>0.0</v>
      </c>
      <c r="W67" s="13">
        <v>0.0</v>
      </c>
      <c r="X67" s="13">
        <v>0.0</v>
      </c>
      <c r="Y67" s="13">
        <v>5.0</v>
      </c>
      <c r="Z67" s="13">
        <v>0.0</v>
      </c>
      <c r="AA67" s="13">
        <v>9.0</v>
      </c>
      <c r="AB67" s="13">
        <v>0.0</v>
      </c>
      <c r="AC67" s="13">
        <v>0.0</v>
      </c>
      <c r="AD67" s="13">
        <v>0.0</v>
      </c>
      <c r="AE67" s="13">
        <v>0.0</v>
      </c>
      <c r="AF67" s="13">
        <v>0.0</v>
      </c>
      <c r="AG67" s="13">
        <v>0.0</v>
      </c>
      <c r="AH67" s="13">
        <v>0.0</v>
      </c>
      <c r="AI67" s="13">
        <v>0.0</v>
      </c>
      <c r="AJ67" s="13">
        <v>0.0</v>
      </c>
      <c r="AK67" s="13">
        <v>0.0</v>
      </c>
      <c r="AL67" s="13">
        <v>1.0</v>
      </c>
      <c r="AM67" s="13">
        <v>0.0</v>
      </c>
      <c r="AN67" s="13">
        <v>0.0</v>
      </c>
      <c r="AO67" s="13">
        <v>0.0</v>
      </c>
      <c r="AP67" s="13">
        <v>0.0</v>
      </c>
      <c r="AQ67" s="13">
        <v>3.0</v>
      </c>
      <c r="AR67" s="13">
        <v>0.0</v>
      </c>
      <c r="AS67" s="13">
        <v>0.0</v>
      </c>
      <c r="AT67" s="13">
        <v>0.0</v>
      </c>
      <c r="AU67" s="13">
        <v>0.0</v>
      </c>
      <c r="AV67" s="13">
        <v>0.0</v>
      </c>
      <c r="AW67" s="13">
        <v>0.0</v>
      </c>
      <c r="AX67" s="13">
        <v>0.0</v>
      </c>
      <c r="AY67" s="13">
        <v>1.0</v>
      </c>
      <c r="AZ67" s="13">
        <v>0.0</v>
      </c>
      <c r="BA67" s="13">
        <v>0.0</v>
      </c>
      <c r="BB67" s="13">
        <v>0.0</v>
      </c>
      <c r="BC67" s="13">
        <v>0.0</v>
      </c>
      <c r="BD67" s="13">
        <v>0.0</v>
      </c>
      <c r="BE67" s="13">
        <v>0.0</v>
      </c>
      <c r="BF67" s="13">
        <v>0.0</v>
      </c>
      <c r="BG67" s="13">
        <v>0.0</v>
      </c>
      <c r="BH67" s="13">
        <f t="shared" si="8"/>
        <v>26</v>
      </c>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3"/>
      <c r="CZ67" s="13"/>
      <c r="DA67" s="13"/>
      <c r="DB67" s="13"/>
      <c r="DC67" s="13"/>
      <c r="DD67" s="13"/>
      <c r="DE67" s="13"/>
      <c r="DF67" s="13"/>
      <c r="DG67" s="13"/>
      <c r="DH67" s="13"/>
      <c r="DI67" s="13"/>
      <c r="DJ67" s="13"/>
      <c r="DK67" s="13"/>
      <c r="DL67" s="13"/>
      <c r="DM67" s="13"/>
      <c r="DN67" s="13"/>
      <c r="DO67" s="13"/>
      <c r="DP67" s="13"/>
      <c r="DQ67" s="13"/>
      <c r="DR67" s="13"/>
      <c r="DS67" s="13"/>
      <c r="DT67" s="13"/>
      <c r="DU67" s="13"/>
      <c r="DV67" s="13"/>
      <c r="DW67" s="13"/>
    </row>
    <row r="68" ht="36.75" customHeight="1">
      <c r="A68" s="41">
        <v>42770.0</v>
      </c>
      <c r="B68" s="13" t="s">
        <v>1221</v>
      </c>
      <c r="C68" s="16" t="s">
        <v>597</v>
      </c>
      <c r="D68" s="16" t="s">
        <v>1222</v>
      </c>
      <c r="E68" s="34" t="s">
        <v>268</v>
      </c>
      <c r="F68" s="16">
        <v>29.68751</v>
      </c>
      <c r="G68" s="16">
        <v>-84.87695</v>
      </c>
      <c r="H68" s="13">
        <v>29.70329</v>
      </c>
      <c r="I68" s="13">
        <v>-84.88691</v>
      </c>
      <c r="J68" s="13" t="s">
        <v>1223</v>
      </c>
      <c r="K68" s="13" t="s">
        <v>1224</v>
      </c>
      <c r="L68" s="13">
        <v>8.0</v>
      </c>
      <c r="M68" s="13">
        <v>0.0</v>
      </c>
      <c r="N68" s="13">
        <v>0.0</v>
      </c>
      <c r="O68" s="13">
        <v>0.0</v>
      </c>
      <c r="P68" s="13">
        <v>0.0</v>
      </c>
      <c r="Q68" s="13">
        <v>0.0</v>
      </c>
      <c r="R68" s="13">
        <v>0.0</v>
      </c>
      <c r="S68" s="13">
        <v>0.0</v>
      </c>
      <c r="T68" s="13">
        <v>0.0</v>
      </c>
      <c r="U68" s="13">
        <v>0.0</v>
      </c>
      <c r="V68" s="13">
        <v>0.0</v>
      </c>
      <c r="W68" s="13">
        <v>0.0</v>
      </c>
      <c r="X68" s="13">
        <v>0.0</v>
      </c>
      <c r="Y68" s="13">
        <v>0.0</v>
      </c>
      <c r="Z68" s="13">
        <v>0.0</v>
      </c>
      <c r="AA68" s="13">
        <v>0.0</v>
      </c>
      <c r="AB68" s="13">
        <v>0.0</v>
      </c>
      <c r="AC68" s="13">
        <v>0.0</v>
      </c>
      <c r="AD68" s="13">
        <v>0.0</v>
      </c>
      <c r="AE68" s="13">
        <v>3.0</v>
      </c>
      <c r="AF68" s="13">
        <v>0.0</v>
      </c>
      <c r="AG68" s="13">
        <v>0.0</v>
      </c>
      <c r="AH68" s="13">
        <v>2.0</v>
      </c>
      <c r="AI68" s="13">
        <v>0.0</v>
      </c>
      <c r="AJ68" s="13">
        <v>0.0</v>
      </c>
      <c r="AK68" s="13">
        <v>0.0</v>
      </c>
      <c r="AL68" s="13">
        <v>0.0</v>
      </c>
      <c r="AM68" s="13">
        <v>0.0</v>
      </c>
      <c r="AN68" s="13">
        <v>20.0</v>
      </c>
      <c r="AO68" s="13">
        <v>0.0</v>
      </c>
      <c r="AP68" s="13">
        <v>0.0</v>
      </c>
      <c r="AQ68" s="13">
        <v>1.0</v>
      </c>
      <c r="AR68" s="13">
        <v>0.0</v>
      </c>
      <c r="AS68" s="13">
        <v>0.0</v>
      </c>
      <c r="AT68" s="13">
        <v>0.0</v>
      </c>
      <c r="AU68" s="13">
        <v>0.0</v>
      </c>
      <c r="AV68" s="13">
        <v>0.0</v>
      </c>
      <c r="AW68" s="13">
        <v>0.0</v>
      </c>
      <c r="AX68" s="13">
        <v>0.0</v>
      </c>
      <c r="AY68" s="13">
        <v>1.0</v>
      </c>
      <c r="AZ68" s="13">
        <v>0.0</v>
      </c>
      <c r="BA68" s="13">
        <v>0.0</v>
      </c>
      <c r="BB68" s="13">
        <v>0.0</v>
      </c>
      <c r="BC68" s="13">
        <v>0.0</v>
      </c>
      <c r="BD68" s="13">
        <v>0.0</v>
      </c>
      <c r="BE68" s="13">
        <v>0.0</v>
      </c>
      <c r="BF68" s="13">
        <v>0.0</v>
      </c>
      <c r="BG68" s="13">
        <v>0.0</v>
      </c>
      <c r="BH68" s="13">
        <v>37.0</v>
      </c>
    </row>
    <row r="69" ht="36.75" customHeight="1">
      <c r="A69" s="41">
        <v>42771.0</v>
      </c>
      <c r="B69" s="16" t="s">
        <v>1226</v>
      </c>
      <c r="C69" s="16" t="s">
        <v>1227</v>
      </c>
      <c r="D69" s="16" t="s">
        <v>1228</v>
      </c>
      <c r="E69" s="26" t="s">
        <v>268</v>
      </c>
      <c r="F69" s="16">
        <v>29.69013</v>
      </c>
      <c r="G69" s="16">
        <v>-85.22767</v>
      </c>
      <c r="H69" s="13">
        <v>29.69732</v>
      </c>
      <c r="I69" s="13">
        <v>-85.20184</v>
      </c>
      <c r="J69" s="13" t="s">
        <v>1230</v>
      </c>
      <c r="K69" s="13" t="s">
        <v>1231</v>
      </c>
      <c r="L69" s="13">
        <v>25.0</v>
      </c>
      <c r="M69" s="13">
        <v>0.0</v>
      </c>
      <c r="N69" s="13">
        <v>1.0</v>
      </c>
      <c r="O69" s="13">
        <v>61.0</v>
      </c>
      <c r="P69" s="13">
        <v>1.0</v>
      </c>
      <c r="Q69" s="13">
        <v>0.0</v>
      </c>
      <c r="R69" s="13">
        <v>0.0</v>
      </c>
      <c r="S69" s="13">
        <v>3.0</v>
      </c>
      <c r="T69" s="13">
        <v>0.0</v>
      </c>
      <c r="U69" s="13">
        <v>0.0</v>
      </c>
      <c r="V69" s="13">
        <v>0.0</v>
      </c>
      <c r="W69" s="13">
        <v>0.0</v>
      </c>
      <c r="X69" s="13">
        <v>0.0</v>
      </c>
      <c r="Y69" s="13">
        <v>5.0</v>
      </c>
      <c r="Z69" s="13">
        <v>0.0</v>
      </c>
      <c r="AA69" s="13">
        <v>2.0</v>
      </c>
      <c r="AB69" s="13">
        <v>0.0</v>
      </c>
      <c r="AC69" s="13">
        <v>36.0</v>
      </c>
      <c r="AD69" s="13">
        <v>0.0</v>
      </c>
      <c r="AE69" s="13">
        <v>0.0</v>
      </c>
      <c r="AF69" s="13">
        <v>0.0</v>
      </c>
      <c r="AG69" s="13">
        <v>0.0</v>
      </c>
      <c r="AH69" s="13">
        <v>18.0</v>
      </c>
      <c r="AI69" s="13">
        <v>0.0</v>
      </c>
      <c r="AJ69" s="13">
        <v>0.0</v>
      </c>
      <c r="AK69" s="13">
        <v>232.0</v>
      </c>
      <c r="AL69" s="13">
        <v>27.0</v>
      </c>
      <c r="AM69" s="13">
        <v>0.0</v>
      </c>
      <c r="AN69" s="13">
        <v>6.0</v>
      </c>
      <c r="AO69" s="13">
        <v>0.0</v>
      </c>
      <c r="AP69" s="13">
        <v>0.0</v>
      </c>
      <c r="AQ69" s="13">
        <v>0.0</v>
      </c>
      <c r="AR69" s="13">
        <v>72.0</v>
      </c>
      <c r="AS69" s="13">
        <v>0.0</v>
      </c>
      <c r="AT69" s="13">
        <v>0.0</v>
      </c>
      <c r="AU69" s="13">
        <v>0.0</v>
      </c>
      <c r="AV69" s="13">
        <v>1.0</v>
      </c>
      <c r="AW69" s="13">
        <v>1.0</v>
      </c>
      <c r="AX69" s="13">
        <v>0.0</v>
      </c>
      <c r="AY69" s="13">
        <v>18.0</v>
      </c>
      <c r="AZ69" s="13">
        <v>2.0</v>
      </c>
      <c r="BA69" s="13">
        <v>0.0</v>
      </c>
      <c r="BB69" s="13">
        <v>0.0</v>
      </c>
      <c r="BC69" s="13">
        <v>50.0</v>
      </c>
      <c r="BD69" s="13">
        <v>0.0</v>
      </c>
      <c r="BE69" s="13">
        <v>0.0</v>
      </c>
      <c r="BF69" s="13">
        <v>0.0</v>
      </c>
      <c r="BG69" s="13">
        <v>0.0</v>
      </c>
      <c r="BH69" s="13">
        <f t="shared" ref="BH69:BH72" si="9">sum(L69:BG69)</f>
        <v>561</v>
      </c>
    </row>
    <row r="70" ht="36.75" customHeight="1">
      <c r="A70" s="41">
        <v>42771.0</v>
      </c>
      <c r="B70" s="16" t="s">
        <v>1226</v>
      </c>
      <c r="C70" s="16" t="s">
        <v>1227</v>
      </c>
      <c r="D70" s="16" t="s">
        <v>1234</v>
      </c>
      <c r="E70" s="34" t="s">
        <v>268</v>
      </c>
      <c r="F70" s="16">
        <v>29.69643</v>
      </c>
      <c r="G70" s="16">
        <v>-85.19943</v>
      </c>
      <c r="H70" s="13">
        <v>29.69351</v>
      </c>
      <c r="I70" s="13">
        <v>-85.17718</v>
      </c>
      <c r="J70" s="13" t="s">
        <v>1237</v>
      </c>
      <c r="K70" s="13" t="s">
        <v>1238</v>
      </c>
      <c r="L70" s="13">
        <v>0.0</v>
      </c>
      <c r="M70" s="13">
        <v>0.0</v>
      </c>
      <c r="N70" s="13">
        <v>1.0</v>
      </c>
      <c r="O70" s="13">
        <v>0.0</v>
      </c>
      <c r="P70" s="13">
        <v>0.0</v>
      </c>
      <c r="Q70" s="13">
        <v>0.0</v>
      </c>
      <c r="R70" s="13">
        <v>0.0</v>
      </c>
      <c r="S70" s="13">
        <v>0.0</v>
      </c>
      <c r="T70" s="13">
        <v>0.0</v>
      </c>
      <c r="U70" s="13">
        <v>0.0</v>
      </c>
      <c r="V70" s="13">
        <v>0.0</v>
      </c>
      <c r="W70" s="13">
        <v>0.0</v>
      </c>
      <c r="X70" s="13">
        <v>0.0</v>
      </c>
      <c r="Y70" s="13">
        <v>26.0</v>
      </c>
      <c r="Z70" s="13">
        <v>0.0</v>
      </c>
      <c r="AA70" s="13">
        <v>0.0</v>
      </c>
      <c r="AB70" s="13">
        <v>0.0</v>
      </c>
      <c r="AC70" s="13">
        <v>0.0</v>
      </c>
      <c r="AD70" s="13">
        <v>0.0</v>
      </c>
      <c r="AE70" s="13">
        <v>0.0</v>
      </c>
      <c r="AF70" s="13">
        <v>0.0</v>
      </c>
      <c r="AG70" s="13">
        <v>0.0</v>
      </c>
      <c r="AH70" s="13">
        <v>11.0</v>
      </c>
      <c r="AI70" s="13">
        <v>0.0</v>
      </c>
      <c r="AJ70" s="13">
        <v>0.0</v>
      </c>
      <c r="AK70" s="13">
        <v>0.0</v>
      </c>
      <c r="AL70" s="13">
        <v>0.0</v>
      </c>
      <c r="AM70" s="13">
        <v>0.0</v>
      </c>
      <c r="AN70" s="13">
        <v>8.0</v>
      </c>
      <c r="AO70" s="13">
        <v>2.0</v>
      </c>
      <c r="AP70" s="13">
        <v>0.0</v>
      </c>
      <c r="AQ70" s="13">
        <v>10.0</v>
      </c>
      <c r="AR70" s="13">
        <v>8.0</v>
      </c>
      <c r="AS70" s="13">
        <v>0.0</v>
      </c>
      <c r="AT70" s="13">
        <v>0.0</v>
      </c>
      <c r="AU70" s="13">
        <v>0.0</v>
      </c>
      <c r="AV70" s="13">
        <v>0.0</v>
      </c>
      <c r="AW70" s="13">
        <v>0.0</v>
      </c>
      <c r="AX70" s="13">
        <v>0.0</v>
      </c>
      <c r="AY70" s="13">
        <v>0.0</v>
      </c>
      <c r="AZ70" s="13">
        <v>5.0</v>
      </c>
      <c r="BA70" s="13">
        <v>0.0</v>
      </c>
      <c r="BB70" s="13">
        <v>0.0</v>
      </c>
      <c r="BC70" s="13">
        <v>0.0</v>
      </c>
      <c r="BD70" s="13">
        <v>0.0</v>
      </c>
      <c r="BE70" s="13">
        <v>0.0</v>
      </c>
      <c r="BF70" s="13">
        <v>0.0</v>
      </c>
      <c r="BG70" s="13">
        <v>0.0</v>
      </c>
      <c r="BH70" s="13">
        <f t="shared" si="9"/>
        <v>71</v>
      </c>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3"/>
      <c r="DC70" s="13"/>
      <c r="DD70" s="13"/>
      <c r="DE70" s="13"/>
      <c r="DF70" s="13"/>
      <c r="DG70" s="13"/>
      <c r="DH70" s="13"/>
      <c r="DI70" s="13"/>
      <c r="DJ70" s="13"/>
      <c r="DK70" s="13"/>
      <c r="DL70" s="13"/>
      <c r="DM70" s="13"/>
      <c r="DN70" s="13"/>
      <c r="DO70" s="13"/>
      <c r="DP70" s="13"/>
      <c r="DQ70" s="13"/>
      <c r="DR70" s="13"/>
      <c r="DS70" s="13"/>
      <c r="DT70" s="13"/>
      <c r="DU70" s="13"/>
      <c r="DV70" s="13"/>
      <c r="DW70" s="13"/>
    </row>
    <row r="71" ht="36.75" customHeight="1">
      <c r="A71" s="41">
        <v>42773.0</v>
      </c>
      <c r="B71" s="16" t="s">
        <v>1246</v>
      </c>
      <c r="C71" s="13" t="s">
        <v>1247</v>
      </c>
      <c r="D71" s="13" t="s">
        <v>1248</v>
      </c>
      <c r="E71" s="34" t="s">
        <v>268</v>
      </c>
      <c r="F71" s="13">
        <v>29.91548</v>
      </c>
      <c r="G71" s="13">
        <v>-84.5156</v>
      </c>
      <c r="H71" s="13">
        <v>29.91498</v>
      </c>
      <c r="I71" s="14">
        <v>-84.51257</v>
      </c>
      <c r="J71" s="13" t="s">
        <v>1249</v>
      </c>
      <c r="K71" s="13" t="s">
        <v>1250</v>
      </c>
      <c r="L71" s="13">
        <v>3.0</v>
      </c>
      <c r="M71" s="13">
        <v>0.0</v>
      </c>
      <c r="N71" s="13">
        <v>1.0</v>
      </c>
      <c r="O71" s="13">
        <v>0.0</v>
      </c>
      <c r="P71" s="13">
        <v>0.0</v>
      </c>
      <c r="Q71" s="13">
        <v>0.0</v>
      </c>
      <c r="R71" s="13">
        <v>0.0</v>
      </c>
      <c r="S71" s="13">
        <v>0.0</v>
      </c>
      <c r="T71" s="13">
        <v>0.0</v>
      </c>
      <c r="U71" s="13">
        <v>0.0</v>
      </c>
      <c r="V71" s="13">
        <v>0.0</v>
      </c>
      <c r="W71" s="13">
        <v>0.0</v>
      </c>
      <c r="X71" s="13">
        <v>0.0</v>
      </c>
      <c r="Y71" s="13">
        <v>0.0</v>
      </c>
      <c r="Z71" s="13">
        <v>0.0</v>
      </c>
      <c r="AA71" s="13">
        <v>0.0</v>
      </c>
      <c r="AB71" s="13">
        <v>0.0</v>
      </c>
      <c r="AC71" s="13">
        <v>0.0</v>
      </c>
      <c r="AD71" s="13">
        <v>0.0</v>
      </c>
      <c r="AE71" s="13">
        <v>0.0</v>
      </c>
      <c r="AF71" s="13">
        <v>0.0</v>
      </c>
      <c r="AG71" s="13">
        <v>0.0</v>
      </c>
      <c r="AH71" s="13">
        <v>0.0</v>
      </c>
      <c r="AI71" s="13">
        <v>0.0</v>
      </c>
      <c r="AJ71" s="13">
        <v>0.0</v>
      </c>
      <c r="AK71" s="13">
        <v>0.0</v>
      </c>
      <c r="AL71" s="13">
        <v>0.0</v>
      </c>
      <c r="AM71" s="13">
        <v>0.0</v>
      </c>
      <c r="AN71" s="13">
        <v>0.0</v>
      </c>
      <c r="AO71" s="13">
        <v>0.0</v>
      </c>
      <c r="AP71" s="13">
        <v>0.0</v>
      </c>
      <c r="AQ71" s="13">
        <v>0.0</v>
      </c>
      <c r="AR71" s="13">
        <v>0.0</v>
      </c>
      <c r="AS71" s="13">
        <v>0.0</v>
      </c>
      <c r="AT71" s="13">
        <v>0.0</v>
      </c>
      <c r="AU71" s="13">
        <v>0.0</v>
      </c>
      <c r="AV71" s="13">
        <v>0.0</v>
      </c>
      <c r="AW71" s="13">
        <v>0.0</v>
      </c>
      <c r="AX71" s="13">
        <v>0.0</v>
      </c>
      <c r="AY71" s="13">
        <v>0.0</v>
      </c>
      <c r="AZ71" s="13">
        <v>0.0</v>
      </c>
      <c r="BA71" s="13">
        <v>0.0</v>
      </c>
      <c r="BB71" s="13">
        <v>0.0</v>
      </c>
      <c r="BC71" s="13">
        <v>0.0</v>
      </c>
      <c r="BD71" s="13">
        <v>0.0</v>
      </c>
      <c r="BE71" s="13">
        <v>0.0</v>
      </c>
      <c r="BF71" s="13">
        <v>0.0</v>
      </c>
      <c r="BG71" s="13">
        <v>0.0</v>
      </c>
      <c r="BH71" s="13">
        <f t="shared" si="9"/>
        <v>4</v>
      </c>
      <c r="BI71" s="13" t="s">
        <v>1254</v>
      </c>
    </row>
    <row r="72" ht="36.75" customHeight="1">
      <c r="A72" s="41">
        <v>42773.0</v>
      </c>
      <c r="B72" s="16" t="s">
        <v>110</v>
      </c>
      <c r="C72" s="16" t="s">
        <v>514</v>
      </c>
      <c r="D72" s="16" t="s">
        <v>1076</v>
      </c>
      <c r="E72" s="26" t="s">
        <v>268</v>
      </c>
      <c r="F72" s="16">
        <v>29.90608</v>
      </c>
      <c r="G72" s="16">
        <v>-84.3647</v>
      </c>
      <c r="H72" s="13">
        <v>29.91066</v>
      </c>
      <c r="I72" s="13">
        <v>-84.38499</v>
      </c>
      <c r="J72" s="13" t="s">
        <v>1257</v>
      </c>
      <c r="K72" s="13" t="s">
        <v>1258</v>
      </c>
      <c r="L72" s="13">
        <v>13.0</v>
      </c>
      <c r="M72" s="13">
        <v>0.0</v>
      </c>
      <c r="N72" s="13">
        <v>15.0</v>
      </c>
      <c r="O72" s="13">
        <v>0.0</v>
      </c>
      <c r="P72" s="13">
        <v>12.0</v>
      </c>
      <c r="Q72" s="13">
        <v>0.0</v>
      </c>
      <c r="R72" s="13">
        <v>4.0</v>
      </c>
      <c r="S72" s="13">
        <v>0.0</v>
      </c>
      <c r="T72" s="13">
        <v>0.0</v>
      </c>
      <c r="U72" s="13">
        <v>0.0</v>
      </c>
      <c r="V72" s="13">
        <v>0.0</v>
      </c>
      <c r="W72" s="13">
        <v>0.0</v>
      </c>
      <c r="X72" s="13">
        <v>0.0</v>
      </c>
      <c r="Y72" s="13">
        <v>7.0</v>
      </c>
      <c r="Z72" s="13">
        <v>0.0</v>
      </c>
      <c r="AA72" s="13">
        <v>1.0</v>
      </c>
      <c r="AB72" s="13">
        <v>0.0</v>
      </c>
      <c r="AC72" s="13">
        <v>0.0</v>
      </c>
      <c r="AD72" s="13">
        <v>0.0</v>
      </c>
      <c r="AE72" s="13">
        <v>0.0</v>
      </c>
      <c r="AF72" s="13">
        <v>0.0</v>
      </c>
      <c r="AG72" s="13">
        <v>0.0</v>
      </c>
      <c r="AH72" s="13">
        <v>13.0</v>
      </c>
      <c r="AI72" s="13">
        <v>0.0</v>
      </c>
      <c r="AJ72" s="13">
        <v>0.0</v>
      </c>
      <c r="AK72" s="13">
        <v>0.0</v>
      </c>
      <c r="AL72" s="13">
        <v>0.0</v>
      </c>
      <c r="AM72" s="13">
        <v>0.0</v>
      </c>
      <c r="AN72" s="13">
        <v>0.0</v>
      </c>
      <c r="AO72" s="13">
        <v>0.0</v>
      </c>
      <c r="AP72" s="13">
        <v>0.0</v>
      </c>
      <c r="AQ72" s="13">
        <v>0.0</v>
      </c>
      <c r="AR72" s="13">
        <v>5.0</v>
      </c>
      <c r="AS72" s="13">
        <v>0.0</v>
      </c>
      <c r="AT72" s="13">
        <v>0.0</v>
      </c>
      <c r="AU72" s="13">
        <v>0.0</v>
      </c>
      <c r="AV72" s="13">
        <v>1.0</v>
      </c>
      <c r="AW72" s="13">
        <v>2.0</v>
      </c>
      <c r="AX72" s="13">
        <v>0.0</v>
      </c>
      <c r="AY72" s="13">
        <v>3.0</v>
      </c>
      <c r="AZ72" s="13">
        <v>0.0</v>
      </c>
      <c r="BA72" s="13">
        <v>0.0</v>
      </c>
      <c r="BB72" s="13">
        <v>0.0</v>
      </c>
      <c r="BC72" s="13">
        <v>0.0</v>
      </c>
      <c r="BD72" s="13">
        <v>0.0</v>
      </c>
      <c r="BE72" s="13">
        <v>0.0</v>
      </c>
      <c r="BF72" s="13">
        <v>0.0</v>
      </c>
      <c r="BG72" s="13">
        <v>0.0</v>
      </c>
      <c r="BH72" s="13">
        <f t="shared" si="9"/>
        <v>76</v>
      </c>
    </row>
    <row r="73" ht="36.75" customHeight="1">
      <c r="A73" s="41">
        <v>42773.0</v>
      </c>
      <c r="B73" s="16" t="s">
        <v>110</v>
      </c>
      <c r="C73" s="16" t="s">
        <v>514</v>
      </c>
      <c r="D73" s="16" t="s">
        <v>1264</v>
      </c>
      <c r="E73" s="34" t="s">
        <v>268</v>
      </c>
      <c r="F73" s="16">
        <v>29.80443</v>
      </c>
      <c r="G73" s="16">
        <v>-84.73568</v>
      </c>
      <c r="H73" s="13">
        <v>29.80652</v>
      </c>
      <c r="I73" s="13">
        <v>-84.72747</v>
      </c>
      <c r="J73" s="13" t="s">
        <v>1266</v>
      </c>
      <c r="K73" s="13" t="s">
        <v>1267</v>
      </c>
      <c r="L73" s="13">
        <v>5.0</v>
      </c>
      <c r="M73" s="13">
        <v>0.0</v>
      </c>
      <c r="N73" s="13">
        <v>0.0</v>
      </c>
      <c r="O73" s="13">
        <v>0.0</v>
      </c>
      <c r="P73" s="13">
        <v>0.0</v>
      </c>
      <c r="Q73" s="13">
        <v>1.0</v>
      </c>
      <c r="R73" s="13">
        <v>0.0</v>
      </c>
      <c r="S73" s="13">
        <v>0.0</v>
      </c>
      <c r="T73" s="13">
        <v>0.0</v>
      </c>
      <c r="U73" s="13">
        <v>0.0</v>
      </c>
      <c r="V73" s="13">
        <v>0.0</v>
      </c>
      <c r="W73" s="13">
        <v>0.0</v>
      </c>
      <c r="X73" s="13">
        <v>0.0</v>
      </c>
      <c r="Y73" s="13">
        <v>0.0</v>
      </c>
      <c r="Z73" s="13">
        <v>41.0</v>
      </c>
      <c r="AA73" s="13">
        <v>0.0</v>
      </c>
      <c r="AB73" s="13">
        <v>0.0</v>
      </c>
      <c r="AC73" s="13">
        <v>0.0</v>
      </c>
      <c r="AD73" s="13">
        <v>0.0</v>
      </c>
      <c r="AE73" s="13">
        <v>0.0</v>
      </c>
      <c r="AF73" s="13">
        <v>0.0</v>
      </c>
      <c r="AG73" s="13">
        <v>0.0</v>
      </c>
      <c r="AH73" s="13">
        <v>0.0</v>
      </c>
      <c r="AI73" s="13">
        <v>0.0</v>
      </c>
      <c r="AJ73" s="13">
        <v>0.0</v>
      </c>
      <c r="AK73" s="13">
        <v>0.0</v>
      </c>
      <c r="AL73" s="13">
        <v>22.0</v>
      </c>
      <c r="AM73" s="13">
        <v>0.0</v>
      </c>
      <c r="AN73" s="13">
        <v>10.0</v>
      </c>
      <c r="AO73" s="13">
        <v>0.0</v>
      </c>
      <c r="AP73" s="13">
        <v>0.0</v>
      </c>
      <c r="AQ73" s="13">
        <v>19.0</v>
      </c>
      <c r="AR73" s="13">
        <v>24.0</v>
      </c>
      <c r="AS73" s="13">
        <v>0.0</v>
      </c>
      <c r="AT73" s="13">
        <v>0.0</v>
      </c>
      <c r="AU73" s="13">
        <v>0.0</v>
      </c>
      <c r="AV73" s="13">
        <v>11.0</v>
      </c>
      <c r="AW73" s="13">
        <v>0.0</v>
      </c>
      <c r="AX73" s="13">
        <v>0.0</v>
      </c>
      <c r="AY73" s="13">
        <v>37.0</v>
      </c>
      <c r="AZ73" s="13">
        <v>2.0</v>
      </c>
      <c r="BA73" s="13">
        <v>0.0</v>
      </c>
      <c r="BB73" s="13">
        <v>0.0</v>
      </c>
      <c r="BC73" s="13">
        <v>0.0</v>
      </c>
      <c r="BD73" s="13">
        <v>0.0</v>
      </c>
      <c r="BE73" s="13">
        <v>0.0</v>
      </c>
      <c r="BF73" s="13">
        <v>0.0</v>
      </c>
      <c r="BG73" s="13">
        <v>0.0</v>
      </c>
      <c r="BH73">
        <f>SUM(L73:BG73)</f>
        <v>172</v>
      </c>
    </row>
    <row r="74" ht="36.75" customHeight="1">
      <c r="A74" s="41">
        <v>42773.0</v>
      </c>
      <c r="B74" s="16" t="s">
        <v>1280</v>
      </c>
      <c r="C74" s="13" t="s">
        <v>166</v>
      </c>
      <c r="D74" s="16" t="s">
        <v>1281</v>
      </c>
      <c r="E74" s="26" t="s">
        <v>268</v>
      </c>
      <c r="F74" s="16">
        <v>29.68304</v>
      </c>
      <c r="G74" s="16">
        <v>-85.2223</v>
      </c>
      <c r="H74" s="13">
        <v>29.676</v>
      </c>
      <c r="I74" s="13">
        <v>-85.3336</v>
      </c>
      <c r="J74" s="13" t="s">
        <v>1283</v>
      </c>
      <c r="K74" s="13" t="s">
        <v>1284</v>
      </c>
      <c r="L74" s="13">
        <v>0.0</v>
      </c>
      <c r="M74" s="13">
        <v>0.0</v>
      </c>
      <c r="N74" s="13">
        <v>0.0</v>
      </c>
      <c r="O74" s="13">
        <v>1.0</v>
      </c>
      <c r="P74" s="13">
        <v>0.0</v>
      </c>
      <c r="Q74" s="13">
        <v>0.0</v>
      </c>
      <c r="R74" s="13">
        <v>0.0</v>
      </c>
      <c r="S74" s="13">
        <v>0.0</v>
      </c>
      <c r="T74" s="13">
        <v>0.0</v>
      </c>
      <c r="U74" s="13">
        <v>0.0</v>
      </c>
      <c r="V74" s="13">
        <v>0.0</v>
      </c>
      <c r="W74" s="13">
        <v>0.0</v>
      </c>
      <c r="X74" s="13">
        <v>0.0</v>
      </c>
      <c r="Y74" s="13">
        <v>42.0</v>
      </c>
      <c r="Z74" s="13">
        <v>113.0</v>
      </c>
      <c r="AA74" s="13">
        <v>1.0</v>
      </c>
      <c r="AB74" s="13">
        <v>0.0</v>
      </c>
      <c r="AC74" s="13">
        <v>0.0</v>
      </c>
      <c r="AD74" s="13">
        <v>0.0</v>
      </c>
      <c r="AE74" s="13">
        <v>0.0</v>
      </c>
      <c r="AF74" s="13">
        <v>0.0</v>
      </c>
      <c r="AG74" s="13">
        <v>0.0</v>
      </c>
      <c r="AH74" s="13">
        <v>46.0</v>
      </c>
      <c r="AI74" s="13">
        <v>0.0</v>
      </c>
      <c r="AJ74" s="13">
        <v>0.0</v>
      </c>
      <c r="AK74" s="13">
        <v>0.0</v>
      </c>
      <c r="AL74" s="13">
        <v>0.0</v>
      </c>
      <c r="AM74" s="13">
        <v>0.0</v>
      </c>
      <c r="AN74" s="13">
        <v>3.0</v>
      </c>
      <c r="AO74" s="13">
        <v>0.0</v>
      </c>
      <c r="AP74" s="13">
        <v>0.0</v>
      </c>
      <c r="AQ74" s="13">
        <v>1.0</v>
      </c>
      <c r="AR74" s="13">
        <v>52.0</v>
      </c>
      <c r="AS74" s="13">
        <v>0.0</v>
      </c>
      <c r="AT74" s="13">
        <v>0.0</v>
      </c>
      <c r="AU74" s="13">
        <v>0.0</v>
      </c>
      <c r="AV74" s="13">
        <v>0.0</v>
      </c>
      <c r="AW74" s="13">
        <v>4.0</v>
      </c>
      <c r="AX74" s="13">
        <v>0.0</v>
      </c>
      <c r="AY74" s="13">
        <v>29.0</v>
      </c>
      <c r="AZ74" s="13">
        <v>4.0</v>
      </c>
      <c r="BA74" s="13">
        <v>0.0</v>
      </c>
      <c r="BB74" s="13">
        <v>0.0</v>
      </c>
      <c r="BC74" s="13">
        <v>0.0</v>
      </c>
      <c r="BD74" s="13">
        <v>0.0</v>
      </c>
      <c r="BE74" s="13">
        <v>0.0</v>
      </c>
      <c r="BF74" s="13">
        <v>0.0</v>
      </c>
      <c r="BG74" s="13">
        <v>0.0</v>
      </c>
      <c r="BH74" s="13">
        <v>296.0</v>
      </c>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3"/>
      <c r="DB74" s="13"/>
      <c r="DC74" s="13"/>
      <c r="DD74" s="13"/>
      <c r="DE74" s="13"/>
      <c r="DF74" s="13"/>
      <c r="DG74" s="13"/>
      <c r="DH74" s="13"/>
      <c r="DI74" s="13"/>
      <c r="DJ74" s="13"/>
      <c r="DK74" s="13"/>
      <c r="DL74" s="13"/>
      <c r="DM74" s="13"/>
      <c r="DN74" s="13"/>
      <c r="DO74" s="13"/>
      <c r="DP74" s="13"/>
      <c r="DQ74" s="13"/>
      <c r="DR74" s="13"/>
      <c r="DS74" s="13"/>
      <c r="DT74" s="13"/>
      <c r="DU74" s="13"/>
      <c r="DV74" s="13"/>
      <c r="DW74" s="13"/>
    </row>
    <row r="75" ht="36.75" customHeight="1">
      <c r="A75" s="41">
        <v>42773.0</v>
      </c>
      <c r="B75" s="16" t="s">
        <v>110</v>
      </c>
      <c r="C75" s="16" t="s">
        <v>514</v>
      </c>
      <c r="D75" s="16" t="s">
        <v>515</v>
      </c>
      <c r="E75" s="34" t="s">
        <v>268</v>
      </c>
      <c r="F75" s="16">
        <v>29.84594</v>
      </c>
      <c r="G75" s="16">
        <v>-84.66611</v>
      </c>
      <c r="H75" s="13">
        <v>29.83919</v>
      </c>
      <c r="I75" s="13">
        <v>-84.65692</v>
      </c>
      <c r="J75" s="13" t="s">
        <v>1298</v>
      </c>
      <c r="K75" s="13" t="s">
        <v>1300</v>
      </c>
      <c r="L75" s="13">
        <v>2.0</v>
      </c>
      <c r="M75" s="13">
        <v>0.0</v>
      </c>
      <c r="N75" s="13">
        <v>0.0</v>
      </c>
      <c r="O75" s="13">
        <v>8.0</v>
      </c>
      <c r="P75" s="13">
        <v>0.0</v>
      </c>
      <c r="Q75" s="13">
        <v>0.0</v>
      </c>
      <c r="R75" s="13">
        <v>9.0</v>
      </c>
      <c r="S75" s="13">
        <v>0.0</v>
      </c>
      <c r="T75" s="13">
        <v>0.0</v>
      </c>
      <c r="U75" s="13">
        <v>0.0</v>
      </c>
      <c r="V75" s="13">
        <v>0.0</v>
      </c>
      <c r="W75" s="13">
        <v>0.0</v>
      </c>
      <c r="X75" s="13">
        <v>0.0</v>
      </c>
      <c r="Y75" s="13">
        <v>9.0</v>
      </c>
      <c r="Z75" s="13">
        <v>0.0</v>
      </c>
      <c r="AA75" s="13">
        <v>19.0</v>
      </c>
      <c r="AB75" s="13">
        <v>0.0</v>
      </c>
      <c r="AC75" s="13">
        <v>0.0</v>
      </c>
      <c r="AD75" s="13">
        <v>0.0</v>
      </c>
      <c r="AE75" s="13">
        <v>0.0</v>
      </c>
      <c r="AF75" s="13">
        <v>0.0</v>
      </c>
      <c r="AG75" s="13">
        <v>0.0</v>
      </c>
      <c r="AH75" s="13">
        <v>0.0</v>
      </c>
      <c r="AI75" s="13">
        <v>1.0</v>
      </c>
      <c r="AJ75" s="13">
        <v>0.0</v>
      </c>
      <c r="AK75" s="13">
        <v>0.0</v>
      </c>
      <c r="AL75" s="13">
        <v>0.0</v>
      </c>
      <c r="AM75" s="13">
        <v>0.0</v>
      </c>
      <c r="AN75" s="13">
        <v>11.0</v>
      </c>
      <c r="AO75" s="13">
        <v>0.0</v>
      </c>
      <c r="AP75" s="13">
        <v>0.0</v>
      </c>
      <c r="AQ75" s="13">
        <v>32.0</v>
      </c>
      <c r="AR75" s="13">
        <v>0.0</v>
      </c>
      <c r="AS75" s="13">
        <v>0.0</v>
      </c>
      <c r="AT75" s="13">
        <v>0.0</v>
      </c>
      <c r="AU75" s="13">
        <v>0.0</v>
      </c>
      <c r="AV75" s="13">
        <v>3.0</v>
      </c>
      <c r="AW75" s="13">
        <v>1.0</v>
      </c>
      <c r="AX75" s="13">
        <v>0.0</v>
      </c>
      <c r="AY75" s="13">
        <v>3.0</v>
      </c>
      <c r="AZ75" s="13">
        <v>0.0</v>
      </c>
      <c r="BA75" s="13">
        <v>0.0</v>
      </c>
      <c r="BB75" s="13">
        <v>0.0</v>
      </c>
      <c r="BC75" s="13">
        <v>0.0</v>
      </c>
      <c r="BD75" s="13">
        <v>0.0</v>
      </c>
      <c r="BE75" s="13">
        <v>0.0</v>
      </c>
      <c r="BF75" s="13">
        <v>0.0</v>
      </c>
      <c r="BG75" s="13">
        <v>0.0</v>
      </c>
      <c r="BH75" s="13">
        <v>98.0</v>
      </c>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3"/>
      <c r="CZ75" s="13"/>
      <c r="DA75" s="13"/>
      <c r="DB75" s="13"/>
      <c r="DC75" s="13"/>
      <c r="DD75" s="13"/>
      <c r="DE75" s="13"/>
      <c r="DF75" s="13"/>
      <c r="DG75" s="13"/>
      <c r="DH75" s="13"/>
      <c r="DI75" s="13"/>
      <c r="DJ75" s="13"/>
      <c r="DK75" s="13"/>
      <c r="DL75" s="13"/>
      <c r="DM75" s="13"/>
      <c r="DN75" s="13"/>
      <c r="DO75" s="13"/>
      <c r="DP75" s="13"/>
      <c r="DQ75" s="13"/>
      <c r="DR75" s="13"/>
      <c r="DS75" s="13"/>
      <c r="DT75" s="13"/>
      <c r="DU75" s="13"/>
      <c r="DV75" s="13"/>
      <c r="DW75" s="13"/>
    </row>
    <row r="76" ht="36.75" customHeight="1">
      <c r="A76" s="43">
        <v>42773.0</v>
      </c>
      <c r="B76" s="16" t="s">
        <v>1002</v>
      </c>
      <c r="C76" s="16" t="s">
        <v>195</v>
      </c>
      <c r="D76" s="16" t="s">
        <v>1003</v>
      </c>
      <c r="E76" s="34" t="s">
        <v>268</v>
      </c>
      <c r="F76" s="16">
        <v>29.91879</v>
      </c>
      <c r="G76" s="13">
        <v>-84.44126</v>
      </c>
      <c r="H76" s="13">
        <v>29.8985</v>
      </c>
      <c r="I76" s="13">
        <v>-84.34654</v>
      </c>
      <c r="J76" s="13" t="s">
        <v>1318</v>
      </c>
      <c r="K76" s="13" t="s">
        <v>1319</v>
      </c>
      <c r="L76" s="13">
        <v>6.0</v>
      </c>
      <c r="N76" s="13">
        <v>44.0</v>
      </c>
      <c r="O76" s="13">
        <v>75.0</v>
      </c>
      <c r="P76" s="13">
        <v>17.0</v>
      </c>
      <c r="S76" s="13">
        <v>2.0</v>
      </c>
      <c r="V76" s="13">
        <v>46.0</v>
      </c>
      <c r="W76" s="13">
        <v>8.0</v>
      </c>
      <c r="X76" s="13">
        <v>30.0</v>
      </c>
      <c r="Y76" s="13">
        <v>21.0</v>
      </c>
      <c r="Z76" s="13">
        <v>167.0</v>
      </c>
      <c r="AA76" s="13">
        <v>32.0</v>
      </c>
      <c r="AC76" s="13">
        <v>5.0</v>
      </c>
      <c r="AD76" s="13">
        <v>7.0</v>
      </c>
      <c r="AH76" s="13">
        <v>175.0</v>
      </c>
      <c r="AK76" s="13">
        <v>405.0</v>
      </c>
      <c r="AL76" s="13">
        <v>3.0</v>
      </c>
      <c r="AN76" s="13">
        <v>22.0</v>
      </c>
      <c r="AO76" s="13">
        <v>2.0</v>
      </c>
      <c r="AQ76" s="13">
        <v>114.0</v>
      </c>
      <c r="AR76" s="13">
        <v>153.0</v>
      </c>
      <c r="AV76" s="13">
        <v>3.0</v>
      </c>
      <c r="AW76" s="13">
        <v>30.0</v>
      </c>
      <c r="AY76" s="13">
        <v>75.0</v>
      </c>
      <c r="AZ76" s="13">
        <v>69.0</v>
      </c>
      <c r="BH76" s="13">
        <v>1511.0</v>
      </c>
      <c r="BI76" s="13" t="s">
        <v>1321</v>
      </c>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3"/>
      <c r="CZ76" s="13"/>
      <c r="DA76" s="13"/>
      <c r="DB76" s="13"/>
      <c r="DC76" s="13"/>
      <c r="DD76" s="13"/>
      <c r="DE76" s="13"/>
      <c r="DF76" s="13"/>
      <c r="DG76" s="13"/>
      <c r="DH76" s="13"/>
      <c r="DI76" s="13"/>
      <c r="DJ76" s="13"/>
      <c r="DK76" s="13"/>
      <c r="DL76" s="13"/>
      <c r="DM76" s="13"/>
      <c r="DN76" s="13"/>
      <c r="DO76" s="13"/>
      <c r="DP76" s="13"/>
      <c r="DQ76" s="13"/>
      <c r="DR76" s="13"/>
      <c r="DS76" s="13"/>
      <c r="DT76" s="13"/>
      <c r="DU76" s="13"/>
      <c r="DV76" s="13"/>
      <c r="DW76" s="13"/>
    </row>
    <row r="77" ht="36.75" customHeight="1">
      <c r="A77" s="43">
        <v>42773.0</v>
      </c>
      <c r="B77" s="16" t="s">
        <v>652</v>
      </c>
      <c r="C77" s="16" t="s">
        <v>195</v>
      </c>
      <c r="D77" s="16" t="s">
        <v>654</v>
      </c>
      <c r="E77" s="26" t="s">
        <v>268</v>
      </c>
      <c r="F77" s="16">
        <v>29.94735</v>
      </c>
      <c r="G77" s="16">
        <v>-84.34243</v>
      </c>
      <c r="H77" s="13">
        <v>29.93786</v>
      </c>
      <c r="I77" s="13">
        <v>-84.33559</v>
      </c>
      <c r="J77" s="13" t="s">
        <v>1324</v>
      </c>
      <c r="K77" s="13" t="s">
        <v>1325</v>
      </c>
      <c r="L77" s="13">
        <v>3.0</v>
      </c>
      <c r="N77" s="13">
        <v>21.0</v>
      </c>
      <c r="O77" s="13">
        <v>104.0</v>
      </c>
      <c r="P77" s="13">
        <v>2.0</v>
      </c>
      <c r="Y77" s="13">
        <v>50.0</v>
      </c>
      <c r="Z77" s="13">
        <v>11.0</v>
      </c>
      <c r="AA77" s="13">
        <v>7.0</v>
      </c>
      <c r="AF77" s="13">
        <v>8.0</v>
      </c>
      <c r="AH77" s="13">
        <v>1.0</v>
      </c>
      <c r="AI77" s="13">
        <v>1.0</v>
      </c>
      <c r="AK77" s="13">
        <v>24.0</v>
      </c>
      <c r="AL77" s="13">
        <v>5.0</v>
      </c>
      <c r="AN77" s="13">
        <v>77.0</v>
      </c>
      <c r="AO77" s="13">
        <v>4.0</v>
      </c>
      <c r="AQ77" s="13">
        <v>4.0</v>
      </c>
      <c r="AR77" s="13">
        <v>18.0</v>
      </c>
      <c r="AV77" s="13">
        <v>11.0</v>
      </c>
      <c r="AW77" s="13">
        <v>18.0</v>
      </c>
      <c r="AY77" s="13">
        <v>8.0</v>
      </c>
      <c r="AZ77" s="13">
        <v>1.0</v>
      </c>
      <c r="BH77" s="13">
        <v>378.0</v>
      </c>
      <c r="BI77" s="13" t="s">
        <v>1327</v>
      </c>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3"/>
      <c r="CZ77" s="13"/>
      <c r="DA77" s="13"/>
      <c r="DB77" s="13"/>
      <c r="DC77" s="13"/>
      <c r="DD77" s="13"/>
      <c r="DE77" s="13"/>
      <c r="DF77" s="13"/>
      <c r="DG77" s="13"/>
      <c r="DH77" s="13"/>
      <c r="DI77" s="13"/>
      <c r="DJ77" s="13"/>
      <c r="DK77" s="13"/>
      <c r="DL77" s="13"/>
      <c r="DM77" s="13"/>
      <c r="DN77" s="13"/>
      <c r="DO77" s="13"/>
      <c r="DP77" s="13"/>
      <c r="DQ77" s="13"/>
      <c r="DR77" s="13"/>
      <c r="DS77" s="13"/>
      <c r="DT77" s="13"/>
      <c r="DU77" s="13"/>
      <c r="DV77" s="13"/>
      <c r="DW77" s="13"/>
    </row>
    <row r="78" ht="36.75" customHeight="1">
      <c r="A78" s="41">
        <v>42774.0</v>
      </c>
      <c r="B78" s="16" t="s">
        <v>362</v>
      </c>
      <c r="C78" s="16" t="s">
        <v>363</v>
      </c>
      <c r="D78" s="16" t="s">
        <v>1328</v>
      </c>
      <c r="E78" s="26" t="s">
        <v>268</v>
      </c>
      <c r="F78" s="16">
        <v>29.69412</v>
      </c>
      <c r="G78" s="16">
        <v>-84.78846</v>
      </c>
      <c r="H78" s="13">
        <v>29.70301</v>
      </c>
      <c r="I78" s="13">
        <v>-84.80091</v>
      </c>
      <c r="J78" s="13" t="s">
        <v>1333</v>
      </c>
      <c r="K78" s="13" t="s">
        <v>1334</v>
      </c>
      <c r="L78" s="13">
        <v>13.0</v>
      </c>
      <c r="M78" s="13">
        <v>0.0</v>
      </c>
      <c r="N78" s="13">
        <v>7.0</v>
      </c>
      <c r="O78" s="13">
        <v>21.0</v>
      </c>
      <c r="P78" s="13">
        <v>0.0</v>
      </c>
      <c r="Q78" s="13">
        <v>0.0</v>
      </c>
      <c r="R78" s="13">
        <v>0.0</v>
      </c>
      <c r="S78" s="13">
        <v>0.0</v>
      </c>
      <c r="T78" s="13">
        <v>0.0</v>
      </c>
      <c r="U78" s="13">
        <v>0.0</v>
      </c>
      <c r="V78" s="13">
        <v>0.0</v>
      </c>
      <c r="W78" s="13">
        <v>0.0</v>
      </c>
      <c r="X78" s="13">
        <v>0.0</v>
      </c>
      <c r="Y78" s="13">
        <v>67.0</v>
      </c>
      <c r="Z78" s="13">
        <v>10.0</v>
      </c>
      <c r="AA78" s="13">
        <v>6.0</v>
      </c>
      <c r="AB78" s="13">
        <v>0.0</v>
      </c>
      <c r="AC78" s="13">
        <v>0.0</v>
      </c>
      <c r="AD78" s="13">
        <v>0.0</v>
      </c>
      <c r="AE78" s="13">
        <v>0.0</v>
      </c>
      <c r="AF78" s="13">
        <v>0.0</v>
      </c>
      <c r="AG78" s="13">
        <v>0.0</v>
      </c>
      <c r="AH78" s="13">
        <v>10.0</v>
      </c>
      <c r="AI78" s="13">
        <v>0.0</v>
      </c>
      <c r="AJ78" s="13">
        <v>0.0</v>
      </c>
      <c r="AK78" s="13">
        <v>0.0</v>
      </c>
      <c r="AL78" s="13">
        <v>0.0</v>
      </c>
      <c r="AM78" s="13">
        <v>0.0</v>
      </c>
      <c r="AN78" s="13">
        <v>0.0</v>
      </c>
      <c r="AO78" s="13">
        <v>0.0</v>
      </c>
      <c r="AP78" s="13">
        <v>0.0</v>
      </c>
      <c r="AQ78" s="13">
        <v>0.0</v>
      </c>
      <c r="AR78" s="13">
        <v>2.0</v>
      </c>
      <c r="AS78" s="13">
        <v>0.0</v>
      </c>
      <c r="AT78" s="13">
        <v>0.0</v>
      </c>
      <c r="AU78" s="13">
        <v>0.0</v>
      </c>
      <c r="AV78" s="13">
        <v>1.0</v>
      </c>
      <c r="AW78" s="13">
        <v>10.0</v>
      </c>
      <c r="AX78" s="13">
        <v>0.0</v>
      </c>
      <c r="AY78" s="13">
        <v>10.0</v>
      </c>
      <c r="AZ78" s="13">
        <v>0.0</v>
      </c>
      <c r="BA78" s="13">
        <v>0.0</v>
      </c>
      <c r="BB78" s="13">
        <v>0.0</v>
      </c>
      <c r="BC78" s="13">
        <v>0.0</v>
      </c>
      <c r="BD78" s="13">
        <v>0.0</v>
      </c>
      <c r="BE78" s="13">
        <v>0.0</v>
      </c>
      <c r="BF78" s="13">
        <v>0.0</v>
      </c>
      <c r="BG78" s="13">
        <v>0.0</v>
      </c>
      <c r="BH78" s="13">
        <f t="shared" ref="BH78:BH80" si="10">sum(L78:BG78)</f>
        <v>157</v>
      </c>
    </row>
    <row r="79" ht="36.75" customHeight="1">
      <c r="A79" s="41">
        <v>42774.0</v>
      </c>
      <c r="B79" s="16" t="s">
        <v>362</v>
      </c>
      <c r="C79" s="16" t="s">
        <v>363</v>
      </c>
      <c r="D79" s="16" t="s">
        <v>364</v>
      </c>
      <c r="E79" s="34" t="s">
        <v>268</v>
      </c>
      <c r="F79" s="13">
        <v>29.68282</v>
      </c>
      <c r="G79" s="13">
        <v>-84.79662</v>
      </c>
      <c r="H79" s="13">
        <v>29.77231</v>
      </c>
      <c r="I79" s="14">
        <v>-84.69436</v>
      </c>
      <c r="J79" s="13" t="s">
        <v>1344</v>
      </c>
      <c r="K79" s="13" t="s">
        <v>1346</v>
      </c>
      <c r="L79" s="13">
        <v>4.0</v>
      </c>
      <c r="M79" s="13">
        <v>0.0</v>
      </c>
      <c r="N79" s="13">
        <v>23.0</v>
      </c>
      <c r="O79" s="13">
        <v>148.0</v>
      </c>
      <c r="P79" s="13">
        <v>0.0</v>
      </c>
      <c r="Q79" s="13">
        <v>0.0</v>
      </c>
      <c r="R79" s="13">
        <v>0.0</v>
      </c>
      <c r="S79" s="13">
        <v>0.0</v>
      </c>
      <c r="T79" s="13">
        <v>0.0</v>
      </c>
      <c r="U79" s="13">
        <v>0.0</v>
      </c>
      <c r="V79" s="13">
        <v>0.0</v>
      </c>
      <c r="W79" s="13">
        <v>10.0</v>
      </c>
      <c r="X79" s="13">
        <v>0.0</v>
      </c>
      <c r="Y79" s="13">
        <v>50.0</v>
      </c>
      <c r="Z79" s="13">
        <v>155.0</v>
      </c>
      <c r="AA79" s="13">
        <v>74.0</v>
      </c>
      <c r="AB79" s="13">
        <v>0.0</v>
      </c>
      <c r="AC79" s="13">
        <v>0.0</v>
      </c>
      <c r="AD79" s="13">
        <v>29.0</v>
      </c>
      <c r="AE79" s="13">
        <v>0.0</v>
      </c>
      <c r="AF79" s="13">
        <v>0.0</v>
      </c>
      <c r="AG79" s="13">
        <v>0.0</v>
      </c>
      <c r="AH79" s="13">
        <v>22.0</v>
      </c>
      <c r="AI79" s="13">
        <v>0.0</v>
      </c>
      <c r="AJ79" s="13">
        <v>0.0</v>
      </c>
      <c r="AK79" s="13">
        <v>0.0</v>
      </c>
      <c r="AL79" s="13">
        <v>12.0</v>
      </c>
      <c r="AM79" s="13">
        <v>0.0</v>
      </c>
      <c r="AN79" s="13">
        <v>32.0</v>
      </c>
      <c r="AO79" s="13">
        <v>1.0</v>
      </c>
      <c r="AP79" s="13">
        <v>0.0</v>
      </c>
      <c r="AQ79" s="13">
        <v>0.0</v>
      </c>
      <c r="AR79" s="13">
        <v>26.0</v>
      </c>
      <c r="AS79" s="13">
        <v>0.0</v>
      </c>
      <c r="AT79" s="13">
        <v>0.0</v>
      </c>
      <c r="AU79" s="13">
        <v>0.0</v>
      </c>
      <c r="AV79" s="13">
        <v>14.0</v>
      </c>
      <c r="AW79" s="13">
        <v>39.0</v>
      </c>
      <c r="AX79" s="13">
        <v>0.0</v>
      </c>
      <c r="AY79" s="13">
        <v>54.0</v>
      </c>
      <c r="AZ79" s="13">
        <v>12.0</v>
      </c>
      <c r="BA79" s="13">
        <v>0.0</v>
      </c>
      <c r="BB79" s="13">
        <v>0.0</v>
      </c>
      <c r="BC79" s="13">
        <v>0.0</v>
      </c>
      <c r="BD79" s="13">
        <v>0.0</v>
      </c>
      <c r="BE79" s="13">
        <v>0.0</v>
      </c>
      <c r="BF79" s="13">
        <v>0.0</v>
      </c>
      <c r="BG79" s="13">
        <v>0.0</v>
      </c>
      <c r="BH79" s="13">
        <f t="shared" si="10"/>
        <v>705</v>
      </c>
    </row>
    <row r="80" ht="36.75" customHeight="1">
      <c r="A80" s="41">
        <v>42774.0</v>
      </c>
      <c r="B80" s="16" t="s">
        <v>505</v>
      </c>
      <c r="C80" s="16" t="s">
        <v>506</v>
      </c>
      <c r="D80" s="16" t="s">
        <v>507</v>
      </c>
      <c r="E80" s="34" t="s">
        <v>268</v>
      </c>
      <c r="F80" s="16">
        <v>29.68018</v>
      </c>
      <c r="G80" s="16">
        <v>-85.21397</v>
      </c>
      <c r="H80" s="13">
        <v>29.67556</v>
      </c>
      <c r="I80" s="13">
        <v>-85.08079</v>
      </c>
      <c r="J80" s="13" t="s">
        <v>1354</v>
      </c>
      <c r="K80" s="13" t="s">
        <v>1355</v>
      </c>
      <c r="L80" s="13">
        <v>0.0</v>
      </c>
      <c r="M80" s="13">
        <v>0.0</v>
      </c>
      <c r="N80" s="13">
        <v>14.0</v>
      </c>
      <c r="O80" s="13">
        <v>20.0</v>
      </c>
      <c r="P80" s="13">
        <v>2.0</v>
      </c>
      <c r="Q80" s="13">
        <v>0.0</v>
      </c>
      <c r="R80" s="13">
        <v>0.0</v>
      </c>
      <c r="S80" s="13">
        <v>0.0</v>
      </c>
      <c r="T80" s="13">
        <v>0.0</v>
      </c>
      <c r="U80" s="13">
        <v>0.0</v>
      </c>
      <c r="V80" s="13">
        <v>0.0</v>
      </c>
      <c r="W80" s="13">
        <v>3.0</v>
      </c>
      <c r="X80" s="13">
        <v>201.0</v>
      </c>
      <c r="Y80" s="13">
        <v>14.0</v>
      </c>
      <c r="Z80" s="13">
        <v>104.0</v>
      </c>
      <c r="AA80" s="13">
        <v>0.0</v>
      </c>
      <c r="AB80" s="13">
        <v>0.0</v>
      </c>
      <c r="AC80" s="13">
        <v>0.0</v>
      </c>
      <c r="AD80" s="13">
        <v>10.0</v>
      </c>
      <c r="AE80" s="13">
        <v>0.0</v>
      </c>
      <c r="AF80" s="13">
        <v>0.0</v>
      </c>
      <c r="AG80" s="13">
        <v>0.0</v>
      </c>
      <c r="AH80" s="13">
        <v>141.0</v>
      </c>
      <c r="AI80" s="13">
        <v>0.0</v>
      </c>
      <c r="AJ80" s="13">
        <v>0.0</v>
      </c>
      <c r="AK80" s="13">
        <v>14.0</v>
      </c>
      <c r="AL80" s="13">
        <v>10.0</v>
      </c>
      <c r="AM80" s="13">
        <v>0.0</v>
      </c>
      <c r="AN80" s="13">
        <v>39.0</v>
      </c>
      <c r="AO80" s="13">
        <v>1.0</v>
      </c>
      <c r="AP80" s="13">
        <v>178.0</v>
      </c>
      <c r="AQ80" s="13">
        <v>66.0</v>
      </c>
      <c r="AR80" s="13">
        <v>46.0</v>
      </c>
      <c r="AS80" s="13">
        <v>0.0</v>
      </c>
      <c r="AT80" s="13">
        <v>0.0</v>
      </c>
      <c r="AU80" s="13">
        <v>0.0</v>
      </c>
      <c r="AV80" s="13">
        <v>17.0</v>
      </c>
      <c r="AW80" s="13">
        <v>99.0</v>
      </c>
      <c r="AX80" s="13">
        <v>0.0</v>
      </c>
      <c r="AY80" s="13">
        <v>28.0</v>
      </c>
      <c r="AZ80" s="13">
        <v>28.0</v>
      </c>
      <c r="BA80" s="13">
        <v>0.0</v>
      </c>
      <c r="BB80" s="13">
        <v>0.0</v>
      </c>
      <c r="BC80" s="13">
        <v>8.0</v>
      </c>
      <c r="BD80" s="13">
        <v>0.0</v>
      </c>
      <c r="BE80" s="13">
        <v>0.0</v>
      </c>
      <c r="BF80" s="13">
        <v>0.0</v>
      </c>
      <c r="BG80" s="13">
        <v>0.0</v>
      </c>
      <c r="BH80" s="13">
        <f t="shared" si="10"/>
        <v>1043</v>
      </c>
    </row>
    <row r="81" ht="36.75" customHeight="1">
      <c r="A81" s="15">
        <v>42774.0</v>
      </c>
      <c r="B81" s="16" t="s">
        <v>520</v>
      </c>
      <c r="C81" s="16" t="s">
        <v>1360</v>
      </c>
      <c r="D81" s="16" t="s">
        <v>523</v>
      </c>
      <c r="E81" s="26" t="s">
        <v>268</v>
      </c>
      <c r="F81" s="17">
        <v>29.615021</v>
      </c>
      <c r="G81" s="17">
        <v>-84.95831</v>
      </c>
      <c r="H81" s="17">
        <v>29.647627</v>
      </c>
      <c r="I81" s="14">
        <v>-84.893189</v>
      </c>
      <c r="J81" s="13" t="s">
        <v>1361</v>
      </c>
      <c r="K81" s="13" t="s">
        <v>1362</v>
      </c>
      <c r="L81" s="13">
        <v>0.0</v>
      </c>
      <c r="M81" s="13">
        <v>0.0</v>
      </c>
      <c r="N81" s="13">
        <v>0.0</v>
      </c>
      <c r="O81" s="13">
        <v>0.0</v>
      </c>
      <c r="P81" s="13">
        <v>0.0</v>
      </c>
      <c r="Q81" s="13">
        <v>0.0</v>
      </c>
      <c r="R81" s="13">
        <v>0.0</v>
      </c>
      <c r="S81" s="13">
        <v>0.0</v>
      </c>
      <c r="T81" s="13">
        <v>0.0</v>
      </c>
      <c r="U81" s="13">
        <v>0.0</v>
      </c>
      <c r="V81" s="13">
        <v>0.0</v>
      </c>
      <c r="W81" s="13">
        <v>0.0</v>
      </c>
      <c r="X81" s="13">
        <v>0.0</v>
      </c>
      <c r="Y81" s="13">
        <v>0.0</v>
      </c>
      <c r="Z81" s="13">
        <v>40.0</v>
      </c>
      <c r="AA81" s="13">
        <v>15.0</v>
      </c>
      <c r="AB81" s="13">
        <v>0.0</v>
      </c>
      <c r="AC81" s="13">
        <v>0.0</v>
      </c>
      <c r="AD81" s="13">
        <v>5.0</v>
      </c>
      <c r="AE81" s="13">
        <v>0.0</v>
      </c>
      <c r="AF81" s="13">
        <v>0.0</v>
      </c>
      <c r="AG81" s="13">
        <v>0.0</v>
      </c>
      <c r="AH81" s="13">
        <v>18.0</v>
      </c>
      <c r="AI81" s="13">
        <v>0.0</v>
      </c>
      <c r="AJ81" s="13">
        <v>0.0</v>
      </c>
      <c r="AK81" s="13">
        <v>0.0</v>
      </c>
      <c r="AL81" s="13">
        <v>0.0</v>
      </c>
      <c r="AM81" s="13">
        <v>0.0</v>
      </c>
      <c r="AN81" s="13">
        <v>3.0</v>
      </c>
      <c r="AO81" s="13">
        <v>0.0</v>
      </c>
      <c r="AP81" s="13">
        <v>0.0</v>
      </c>
      <c r="AQ81" s="13">
        <v>0.0</v>
      </c>
      <c r="AR81" s="13">
        <v>0.0</v>
      </c>
      <c r="AS81" s="13">
        <v>0.0</v>
      </c>
      <c r="AT81" s="13">
        <v>0.0</v>
      </c>
      <c r="AU81" s="13">
        <v>0.0</v>
      </c>
      <c r="AV81" s="13">
        <v>0.0</v>
      </c>
      <c r="AW81" s="13">
        <v>2.0</v>
      </c>
      <c r="AX81" s="13">
        <v>0.0</v>
      </c>
      <c r="AY81" s="13">
        <v>8.0</v>
      </c>
      <c r="AZ81" s="13">
        <v>0.0</v>
      </c>
      <c r="BA81" s="13">
        <v>0.0</v>
      </c>
      <c r="BB81" s="13">
        <v>0.0</v>
      </c>
      <c r="BC81" s="13">
        <v>0.0</v>
      </c>
      <c r="BD81" s="13">
        <v>0.0</v>
      </c>
      <c r="BE81" s="13">
        <v>0.0</v>
      </c>
      <c r="BF81" s="13">
        <v>0.0</v>
      </c>
      <c r="BG81" s="13">
        <v>0.0</v>
      </c>
      <c r="BH81" s="13">
        <v>88.0</v>
      </c>
    </row>
    <row r="82" ht="36.75" customHeight="1">
      <c r="A82" s="41">
        <v>42774.0</v>
      </c>
      <c r="B82" s="16" t="s">
        <v>928</v>
      </c>
      <c r="C82" s="16" t="s">
        <v>597</v>
      </c>
      <c r="D82" s="16" t="s">
        <v>1368</v>
      </c>
      <c r="E82" s="26" t="s">
        <v>268</v>
      </c>
      <c r="F82" s="16">
        <v>29.62462</v>
      </c>
      <c r="G82" s="16">
        <v>-85.1489</v>
      </c>
      <c r="H82" s="13">
        <v>29.64239</v>
      </c>
      <c r="I82" s="13">
        <v>-85.15471</v>
      </c>
      <c r="J82" s="13" t="s">
        <v>1369</v>
      </c>
      <c r="K82" s="13" t="s">
        <v>1370</v>
      </c>
      <c r="L82" s="13">
        <v>2.0</v>
      </c>
      <c r="M82" s="13">
        <v>0.0</v>
      </c>
      <c r="N82" s="13">
        <v>5.0</v>
      </c>
      <c r="O82" s="13">
        <v>5.0</v>
      </c>
      <c r="P82" s="13">
        <v>0.0</v>
      </c>
      <c r="Q82" s="13">
        <v>0.0</v>
      </c>
      <c r="R82" s="13">
        <v>0.0</v>
      </c>
      <c r="S82" s="13">
        <v>0.0</v>
      </c>
      <c r="T82" s="13">
        <v>1.0</v>
      </c>
      <c r="U82" s="13">
        <v>0.0</v>
      </c>
      <c r="V82" s="13">
        <v>0.0</v>
      </c>
      <c r="W82" s="13">
        <v>3.0</v>
      </c>
      <c r="X82" s="13">
        <v>0.0</v>
      </c>
      <c r="Y82" s="13">
        <v>4.0</v>
      </c>
      <c r="Z82" s="13">
        <v>30.0</v>
      </c>
      <c r="AA82" s="13">
        <v>5.0</v>
      </c>
      <c r="AB82" s="13">
        <v>0.0</v>
      </c>
      <c r="AC82" s="13">
        <v>1.0</v>
      </c>
      <c r="AD82" s="13">
        <v>0.0</v>
      </c>
      <c r="AE82" s="13">
        <v>0.0</v>
      </c>
      <c r="AF82" s="13">
        <v>0.0</v>
      </c>
      <c r="AG82" s="13">
        <v>0.0</v>
      </c>
      <c r="AH82" s="13">
        <v>3.0</v>
      </c>
      <c r="AI82" s="13">
        <v>0.0</v>
      </c>
      <c r="AJ82" s="13">
        <v>0.0</v>
      </c>
      <c r="AK82" s="13">
        <v>0.0</v>
      </c>
      <c r="AL82" s="13">
        <v>2.0</v>
      </c>
      <c r="AM82" s="13">
        <v>0.0</v>
      </c>
      <c r="AN82" s="13">
        <v>2.0</v>
      </c>
      <c r="AO82" s="13">
        <v>0.0</v>
      </c>
      <c r="AP82" s="13">
        <v>71.0</v>
      </c>
      <c r="AQ82" s="13">
        <v>0.0</v>
      </c>
      <c r="AR82" s="13">
        <v>6.0</v>
      </c>
      <c r="AS82" s="13">
        <v>0.0</v>
      </c>
      <c r="AT82" s="13">
        <v>0.0</v>
      </c>
      <c r="AU82" s="13">
        <v>0.0</v>
      </c>
      <c r="AV82" s="13">
        <v>99.0</v>
      </c>
      <c r="AW82" s="13">
        <v>3.0</v>
      </c>
      <c r="AX82" s="13">
        <v>0.0</v>
      </c>
      <c r="AY82" s="13">
        <v>15.0</v>
      </c>
      <c r="AZ82" s="13">
        <v>23.0</v>
      </c>
      <c r="BA82" s="13">
        <v>0.0</v>
      </c>
      <c r="BB82" s="13">
        <v>0.0</v>
      </c>
      <c r="BC82" s="13">
        <v>0.0</v>
      </c>
      <c r="BD82" s="13">
        <v>0.0</v>
      </c>
      <c r="BE82" s="13">
        <v>0.0</v>
      </c>
      <c r="BF82" s="13">
        <v>0.0</v>
      </c>
      <c r="BG82" s="13">
        <v>0.0</v>
      </c>
      <c r="BH82">
        <f t="shared" ref="BH82:BH83" si="11">SUM(L82:BG82)</f>
        <v>280</v>
      </c>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3"/>
      <c r="CZ82" s="13"/>
      <c r="DA82" s="13"/>
      <c r="DB82" s="13"/>
      <c r="DC82" s="13"/>
      <c r="DD82" s="13"/>
      <c r="DE82" s="13"/>
      <c r="DF82" s="13"/>
      <c r="DG82" s="13"/>
      <c r="DH82" s="13"/>
      <c r="DI82" s="13"/>
      <c r="DJ82" s="13"/>
      <c r="DK82" s="13"/>
      <c r="DL82" s="13"/>
      <c r="DM82" s="13"/>
      <c r="DN82" s="13"/>
      <c r="DO82" s="13"/>
      <c r="DP82" s="13"/>
      <c r="DQ82" s="13"/>
      <c r="DR82" s="13"/>
      <c r="DS82" s="13"/>
      <c r="DT82" s="13"/>
      <c r="DU82" s="13"/>
      <c r="DV82" s="13"/>
      <c r="DW82" s="13"/>
    </row>
    <row r="83" ht="36.75" customHeight="1">
      <c r="A83" s="41">
        <v>42774.0</v>
      </c>
      <c r="B83" s="16" t="s">
        <v>928</v>
      </c>
      <c r="C83" s="16" t="s">
        <v>597</v>
      </c>
      <c r="D83" s="16" t="s">
        <v>929</v>
      </c>
      <c r="E83" s="34" t="s">
        <v>268</v>
      </c>
      <c r="F83" s="16">
        <v>29.62627</v>
      </c>
      <c r="G83" s="16">
        <v>-85.09661</v>
      </c>
      <c r="H83" s="13">
        <v>29.61344</v>
      </c>
      <c r="I83" s="13">
        <v>-84.95964</v>
      </c>
      <c r="J83" s="13" t="s">
        <v>1376</v>
      </c>
      <c r="K83" s="13" t="s">
        <v>1378</v>
      </c>
      <c r="L83" s="13">
        <v>2.0</v>
      </c>
      <c r="M83" s="13">
        <v>0.0</v>
      </c>
      <c r="N83" s="13">
        <v>20.0</v>
      </c>
      <c r="O83" s="13">
        <v>45.0</v>
      </c>
      <c r="P83" s="13">
        <v>0.0</v>
      </c>
      <c r="Q83" s="13">
        <v>4.0</v>
      </c>
      <c r="R83" s="13">
        <v>5.0</v>
      </c>
      <c r="S83" s="13">
        <v>0.0</v>
      </c>
      <c r="T83" s="13">
        <v>0.0</v>
      </c>
      <c r="U83" s="13">
        <v>0.0</v>
      </c>
      <c r="V83" s="13">
        <v>0.0</v>
      </c>
      <c r="W83" s="13">
        <v>0.0</v>
      </c>
      <c r="X83" s="13">
        <v>1.0</v>
      </c>
      <c r="Y83" s="13">
        <v>87.0</v>
      </c>
      <c r="Z83" s="13">
        <v>171.0</v>
      </c>
      <c r="AA83" s="13">
        <v>10.0</v>
      </c>
      <c r="AB83" s="13">
        <v>0.0</v>
      </c>
      <c r="AC83" s="13">
        <v>0.0</v>
      </c>
      <c r="AD83" s="13">
        <v>25.0</v>
      </c>
      <c r="AE83" s="13">
        <v>0.0</v>
      </c>
      <c r="AF83" s="13">
        <v>0.0</v>
      </c>
      <c r="AG83" s="13">
        <v>0.0</v>
      </c>
      <c r="AH83" s="13">
        <v>35.0</v>
      </c>
      <c r="AI83" s="13">
        <v>0.0</v>
      </c>
      <c r="AJ83" s="13">
        <v>0.0</v>
      </c>
      <c r="AK83" s="13">
        <v>0.0</v>
      </c>
      <c r="AL83" s="13">
        <v>43.0</v>
      </c>
      <c r="AM83" s="13">
        <v>0.0</v>
      </c>
      <c r="AN83" s="13">
        <v>7.0</v>
      </c>
      <c r="AO83" s="13">
        <v>0.0</v>
      </c>
      <c r="AP83" s="13">
        <v>0.0</v>
      </c>
      <c r="AQ83" s="13">
        <v>138.0</v>
      </c>
      <c r="AR83" s="13">
        <v>74.0</v>
      </c>
      <c r="AS83" s="13">
        <v>0.0</v>
      </c>
      <c r="AT83" s="13">
        <v>0.0</v>
      </c>
      <c r="AU83" s="13">
        <v>0.0</v>
      </c>
      <c r="AV83" s="13">
        <v>612.0</v>
      </c>
      <c r="AW83" s="13">
        <v>149.0</v>
      </c>
      <c r="AX83" s="13">
        <v>0.0</v>
      </c>
      <c r="AY83" s="13">
        <v>64.0</v>
      </c>
      <c r="AZ83" s="13">
        <v>101.0</v>
      </c>
      <c r="BA83" s="13">
        <v>0.0</v>
      </c>
      <c r="BB83" s="13">
        <v>0.0</v>
      </c>
      <c r="BC83" s="13">
        <v>0.0</v>
      </c>
      <c r="BD83" s="13">
        <v>0.0</v>
      </c>
      <c r="BE83" s="13">
        <v>0.0</v>
      </c>
      <c r="BF83" s="13">
        <v>0.0</v>
      </c>
      <c r="BG83" s="13">
        <v>0.0</v>
      </c>
      <c r="BH83">
        <f t="shared" si="11"/>
        <v>1593</v>
      </c>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3"/>
      <c r="CZ83" s="13"/>
      <c r="DA83" s="13"/>
      <c r="DB83" s="13"/>
      <c r="DC83" s="13"/>
      <c r="DD83" s="13"/>
      <c r="DE83" s="13"/>
      <c r="DF83" s="13"/>
      <c r="DG83" s="13"/>
      <c r="DH83" s="13"/>
      <c r="DI83" s="13"/>
      <c r="DJ83" s="13"/>
      <c r="DK83" s="13"/>
      <c r="DL83" s="13"/>
      <c r="DM83" s="13"/>
      <c r="DN83" s="13"/>
      <c r="DO83" s="13"/>
      <c r="DP83" s="13"/>
      <c r="DQ83" s="13"/>
      <c r="DR83" s="13"/>
      <c r="DS83" s="13"/>
      <c r="DT83" s="13"/>
      <c r="DU83" s="13"/>
      <c r="DV83" s="13"/>
      <c r="DW83" s="13"/>
    </row>
    <row r="84" ht="36.75" customHeight="1">
      <c r="A84" s="16" t="s">
        <v>1385</v>
      </c>
      <c r="B84" s="16" t="s">
        <v>1386</v>
      </c>
      <c r="C84" s="16" t="s">
        <v>341</v>
      </c>
      <c r="D84" s="16" t="s">
        <v>988</v>
      </c>
      <c r="E84" s="16" t="s">
        <v>268</v>
      </c>
      <c r="P84" s="13">
        <v>2.0</v>
      </c>
      <c r="Q84" s="13">
        <v>0.0</v>
      </c>
      <c r="R84" s="13">
        <v>1.0</v>
      </c>
      <c r="S84" s="13">
        <v>0.0</v>
      </c>
      <c r="T84" s="13">
        <v>0.0</v>
      </c>
      <c r="U84" s="13">
        <v>0.0</v>
      </c>
      <c r="V84" s="13">
        <v>182.0</v>
      </c>
      <c r="W84" s="13">
        <v>2.0</v>
      </c>
      <c r="X84" s="13">
        <v>28.0</v>
      </c>
      <c r="Y84" s="13">
        <v>46.0</v>
      </c>
      <c r="Z84" s="13">
        <v>83.0</v>
      </c>
      <c r="AA84" s="13">
        <v>31.0</v>
      </c>
      <c r="AB84" s="13">
        <v>0.0</v>
      </c>
      <c r="AC84" s="13">
        <v>65.0</v>
      </c>
      <c r="AD84" s="13">
        <v>0.0</v>
      </c>
      <c r="AE84" s="13">
        <v>0.0</v>
      </c>
      <c r="AF84" s="13">
        <v>2.0</v>
      </c>
      <c r="AG84" s="13">
        <v>0.0</v>
      </c>
      <c r="AH84" s="13">
        <v>79.0</v>
      </c>
      <c r="AI84" s="13">
        <v>0.0</v>
      </c>
      <c r="AJ84" s="13">
        <v>0.0</v>
      </c>
      <c r="AK84" s="13">
        <v>0.0</v>
      </c>
      <c r="AL84" s="13">
        <v>0.0</v>
      </c>
      <c r="AM84" s="13">
        <v>0.0</v>
      </c>
      <c r="AN84" s="13">
        <v>8.0</v>
      </c>
      <c r="AO84" s="13">
        <v>1.0</v>
      </c>
      <c r="AP84" s="13">
        <v>0.0</v>
      </c>
      <c r="AQ84" s="13">
        <v>9.0</v>
      </c>
      <c r="AR84" s="13">
        <v>4.0</v>
      </c>
      <c r="AS84" s="13">
        <v>0.0</v>
      </c>
      <c r="AT84" s="13">
        <v>0.0</v>
      </c>
      <c r="AU84" s="13">
        <v>0.0</v>
      </c>
      <c r="AV84" s="13">
        <v>4.0</v>
      </c>
      <c r="AW84" s="13">
        <v>19.0</v>
      </c>
      <c r="AX84" s="13">
        <v>0.0</v>
      </c>
      <c r="AY84" s="13">
        <v>9.0</v>
      </c>
      <c r="AZ84" s="13">
        <v>0.0</v>
      </c>
      <c r="BA84" s="13">
        <v>0.0</v>
      </c>
      <c r="BB84" s="13">
        <v>0.0</v>
      </c>
      <c r="BC84" s="13">
        <v>0.0</v>
      </c>
      <c r="BD84" s="13">
        <v>0.0</v>
      </c>
      <c r="BE84" s="13" t="s">
        <v>1390</v>
      </c>
      <c r="BF84" s="13">
        <v>0.0</v>
      </c>
      <c r="BG84" s="13">
        <v>0.0</v>
      </c>
      <c r="BH84" s="13">
        <v>923.0</v>
      </c>
      <c r="BI84" s="13" t="s">
        <v>1391</v>
      </c>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3"/>
      <c r="CZ84" s="13"/>
      <c r="DA84" s="13"/>
      <c r="DB84" s="13"/>
      <c r="DC84" s="13"/>
      <c r="DD84" s="13"/>
      <c r="DE84" s="13"/>
      <c r="DF84" s="13"/>
      <c r="DG84" s="13"/>
      <c r="DH84" s="13"/>
      <c r="DI84" s="13"/>
      <c r="DJ84" s="13"/>
      <c r="DK84" s="13"/>
      <c r="DL84" s="13"/>
      <c r="DM84" s="13"/>
      <c r="DN84" s="13"/>
      <c r="DO84" s="13"/>
      <c r="DP84" s="13"/>
      <c r="DQ84" s="13"/>
      <c r="DR84" s="13"/>
      <c r="DS84" s="13"/>
      <c r="DT84" s="13"/>
      <c r="DU84" s="13"/>
      <c r="DV84" s="13"/>
      <c r="DW84" s="13"/>
    </row>
    <row r="85" ht="36.75" customHeight="1">
      <c r="A85" s="11">
        <v>42771.0</v>
      </c>
      <c r="B85" s="13" t="s">
        <v>22</v>
      </c>
      <c r="C85" s="13" t="s">
        <v>66</v>
      </c>
      <c r="D85" s="13" t="s">
        <v>1397</v>
      </c>
      <c r="E85" s="29" t="s">
        <v>230</v>
      </c>
      <c r="F85" s="13">
        <v>29.7593</v>
      </c>
      <c r="G85" s="13">
        <v>-85.4035</v>
      </c>
      <c r="H85" s="13">
        <v>29.6814</v>
      </c>
      <c r="I85" s="14">
        <v>-85.3655</v>
      </c>
      <c r="J85" s="13" t="s">
        <v>1398</v>
      </c>
      <c r="K85" s="13" t="s">
        <v>1399</v>
      </c>
      <c r="L85" s="13">
        <v>0.0</v>
      </c>
      <c r="M85" s="13">
        <v>0.0</v>
      </c>
      <c r="N85" s="13">
        <v>0.0</v>
      </c>
      <c r="O85" s="13">
        <v>0.0</v>
      </c>
      <c r="P85" s="13">
        <v>0.0</v>
      </c>
      <c r="Q85" s="13">
        <v>0.0</v>
      </c>
      <c r="R85" s="13">
        <v>0.0</v>
      </c>
      <c r="S85" s="13">
        <v>0.0</v>
      </c>
      <c r="T85" s="13">
        <v>0.0</v>
      </c>
      <c r="U85" s="13">
        <v>0.0</v>
      </c>
      <c r="V85" s="13">
        <v>0.0</v>
      </c>
      <c r="W85" s="13">
        <v>0.0</v>
      </c>
      <c r="X85" s="13">
        <v>0.0</v>
      </c>
      <c r="Y85" s="13">
        <v>1.0</v>
      </c>
      <c r="Z85" s="13">
        <v>39.0</v>
      </c>
      <c r="AA85" s="13">
        <v>0.0</v>
      </c>
      <c r="AB85" s="13">
        <v>0.0</v>
      </c>
      <c r="AC85" s="13">
        <v>0.0</v>
      </c>
      <c r="AD85" s="13">
        <v>2.0</v>
      </c>
      <c r="AE85" s="13">
        <v>0.0</v>
      </c>
      <c r="AF85" s="13">
        <v>0.0</v>
      </c>
      <c r="AG85" s="13">
        <v>0.0</v>
      </c>
      <c r="AH85" s="13">
        <v>5.0</v>
      </c>
      <c r="AI85" s="13">
        <v>0.0</v>
      </c>
      <c r="AJ85" s="13">
        <v>0.0</v>
      </c>
      <c r="AK85" s="13">
        <v>0.0</v>
      </c>
      <c r="AL85" s="13">
        <v>0.0</v>
      </c>
      <c r="AM85" s="13">
        <v>0.0</v>
      </c>
      <c r="AN85" s="13">
        <v>55.0</v>
      </c>
      <c r="AO85" s="13">
        <v>0.0</v>
      </c>
      <c r="AP85" s="13">
        <v>0.0</v>
      </c>
      <c r="AQ85" s="13">
        <v>0.0</v>
      </c>
      <c r="AR85" s="13">
        <v>1.0</v>
      </c>
      <c r="AS85" s="13">
        <v>0.0</v>
      </c>
      <c r="AT85" s="13">
        <v>0.0</v>
      </c>
      <c r="AU85" s="13">
        <v>0.0</v>
      </c>
      <c r="AV85" s="13">
        <v>4.0</v>
      </c>
      <c r="AW85" s="13">
        <v>0.0</v>
      </c>
      <c r="AX85" s="13">
        <v>0.0</v>
      </c>
      <c r="AY85" s="13">
        <v>42.0</v>
      </c>
      <c r="AZ85" s="13">
        <v>0.0</v>
      </c>
      <c r="BA85" s="13">
        <v>0.0</v>
      </c>
      <c r="BB85" s="13">
        <v>0.0</v>
      </c>
      <c r="BC85" s="13">
        <v>0.0</v>
      </c>
      <c r="BD85" s="13">
        <v>0.0</v>
      </c>
      <c r="BE85" s="13">
        <v>0.0</v>
      </c>
      <c r="BF85" s="13">
        <v>0.0</v>
      </c>
      <c r="BG85" s="13">
        <v>0.0</v>
      </c>
      <c r="BH85" s="13">
        <f t="shared" ref="BH85:BH88" si="12">sum(L85:BG85)</f>
        <v>149</v>
      </c>
    </row>
    <row r="86" ht="36.75" customHeight="1">
      <c r="A86" s="41">
        <v>42771.0</v>
      </c>
      <c r="B86" s="13" t="s">
        <v>22</v>
      </c>
      <c r="C86" s="16" t="s">
        <v>66</v>
      </c>
      <c r="D86" s="16" t="s">
        <v>1406</v>
      </c>
      <c r="E86" s="29" t="s">
        <v>230</v>
      </c>
      <c r="F86" s="16">
        <v>29.8933</v>
      </c>
      <c r="G86" s="16">
        <v>-85.3602</v>
      </c>
      <c r="H86" s="13">
        <v>29.8506</v>
      </c>
      <c r="I86" s="13">
        <v>-85.337</v>
      </c>
      <c r="J86" s="13" t="s">
        <v>1408</v>
      </c>
      <c r="K86" s="13" t="s">
        <v>1409</v>
      </c>
      <c r="L86" s="13">
        <v>0.0</v>
      </c>
      <c r="M86" s="13">
        <v>0.0</v>
      </c>
      <c r="N86" s="13">
        <v>0.0</v>
      </c>
      <c r="O86" s="13">
        <v>0.0</v>
      </c>
      <c r="P86" s="13">
        <v>0.0</v>
      </c>
      <c r="Q86" s="13">
        <v>0.0</v>
      </c>
      <c r="R86" s="13">
        <v>0.0</v>
      </c>
      <c r="S86" s="13">
        <v>0.0</v>
      </c>
      <c r="T86" s="13">
        <v>0.0</v>
      </c>
      <c r="U86" s="13">
        <v>0.0</v>
      </c>
      <c r="V86" s="13">
        <v>0.0</v>
      </c>
      <c r="W86" s="13">
        <v>0.0</v>
      </c>
      <c r="X86" s="13">
        <v>0.0</v>
      </c>
      <c r="Y86" s="13">
        <v>0.0</v>
      </c>
      <c r="Z86" s="13">
        <v>17.0</v>
      </c>
      <c r="AA86" s="13">
        <v>0.0</v>
      </c>
      <c r="AB86" s="13">
        <v>0.0</v>
      </c>
      <c r="AC86" s="13">
        <v>0.0</v>
      </c>
      <c r="AD86" s="13">
        <v>0.0</v>
      </c>
      <c r="AE86" s="13">
        <v>0.0</v>
      </c>
      <c r="AF86" s="13">
        <v>0.0</v>
      </c>
      <c r="AG86" s="13">
        <v>0.0</v>
      </c>
      <c r="AH86" s="13">
        <v>12.0</v>
      </c>
      <c r="AI86" s="13">
        <v>0.0</v>
      </c>
      <c r="AJ86" s="13">
        <v>0.0</v>
      </c>
      <c r="AK86" s="13">
        <v>0.0</v>
      </c>
      <c r="AL86" s="13">
        <v>11.0</v>
      </c>
      <c r="AM86" s="13">
        <v>0.0</v>
      </c>
      <c r="AN86" s="13">
        <v>0.0</v>
      </c>
      <c r="AO86" s="13">
        <v>0.0</v>
      </c>
      <c r="AP86" s="13">
        <v>0.0</v>
      </c>
      <c r="AQ86" s="13">
        <v>0.0</v>
      </c>
      <c r="AR86" s="13">
        <v>13.0</v>
      </c>
      <c r="AS86" s="13">
        <v>0.0</v>
      </c>
      <c r="AT86" s="13">
        <v>0.0</v>
      </c>
      <c r="AU86" s="13">
        <v>0.0</v>
      </c>
      <c r="AV86" s="13">
        <v>5.0</v>
      </c>
      <c r="AW86" s="13">
        <v>0.0</v>
      </c>
      <c r="AX86" s="13">
        <v>0.0</v>
      </c>
      <c r="AY86" s="13">
        <v>2.0</v>
      </c>
      <c r="AZ86" s="13">
        <v>0.0</v>
      </c>
      <c r="BA86" s="13">
        <v>0.0</v>
      </c>
      <c r="BB86" s="13">
        <v>0.0</v>
      </c>
      <c r="BC86" s="13">
        <v>0.0</v>
      </c>
      <c r="BD86" s="13">
        <v>0.0</v>
      </c>
      <c r="BE86" s="13">
        <v>0.0</v>
      </c>
      <c r="BF86" s="13">
        <v>0.0</v>
      </c>
      <c r="BG86" s="13">
        <v>0.0</v>
      </c>
      <c r="BH86" s="13">
        <f t="shared" si="12"/>
        <v>60</v>
      </c>
      <c r="BI86" s="13" t="s">
        <v>1414</v>
      </c>
    </row>
    <row r="87" ht="36.75" customHeight="1">
      <c r="A87" s="41">
        <v>42771.0</v>
      </c>
      <c r="B87" s="13" t="s">
        <v>22</v>
      </c>
      <c r="C87" s="16" t="s">
        <v>66</v>
      </c>
      <c r="D87" s="16" t="s">
        <v>1416</v>
      </c>
      <c r="E87" s="29" t="s">
        <v>230</v>
      </c>
      <c r="F87" s="16">
        <v>29.8933</v>
      </c>
      <c r="G87" s="16">
        <v>-85.3602</v>
      </c>
      <c r="H87" s="13">
        <v>29.925</v>
      </c>
      <c r="I87" s="13">
        <v>-85.3894</v>
      </c>
      <c r="J87" s="13" t="s">
        <v>1417</v>
      </c>
      <c r="K87" s="13" t="s">
        <v>1418</v>
      </c>
      <c r="L87" s="13">
        <v>0.0</v>
      </c>
      <c r="M87" s="13">
        <v>0.0</v>
      </c>
      <c r="N87" s="13">
        <v>0.0</v>
      </c>
      <c r="O87" s="13">
        <v>0.0</v>
      </c>
      <c r="P87" s="13">
        <v>0.0</v>
      </c>
      <c r="Q87" s="13">
        <v>0.0</v>
      </c>
      <c r="R87" s="13">
        <v>0.0</v>
      </c>
      <c r="S87" s="13">
        <v>0.0</v>
      </c>
      <c r="T87" s="13">
        <v>0.0</v>
      </c>
      <c r="U87" s="13">
        <v>0.0</v>
      </c>
      <c r="V87" s="13">
        <v>0.0</v>
      </c>
      <c r="W87" s="13">
        <v>0.0</v>
      </c>
      <c r="X87" s="13">
        <v>0.0</v>
      </c>
      <c r="Y87" s="13">
        <v>0.0</v>
      </c>
      <c r="Z87" s="13">
        <v>144.0</v>
      </c>
      <c r="AA87" s="13">
        <v>0.0</v>
      </c>
      <c r="AB87" s="13">
        <v>0.0</v>
      </c>
      <c r="AC87" s="13">
        <v>0.0</v>
      </c>
      <c r="AD87" s="13">
        <v>0.0</v>
      </c>
      <c r="AE87" s="13">
        <v>0.0</v>
      </c>
      <c r="AF87" s="13">
        <v>0.0</v>
      </c>
      <c r="AG87" s="13">
        <v>0.0</v>
      </c>
      <c r="AH87" s="13">
        <v>20.0</v>
      </c>
      <c r="AI87" s="13">
        <v>0.0</v>
      </c>
      <c r="AJ87" s="13">
        <v>0.0</v>
      </c>
      <c r="AK87" s="13">
        <v>0.0</v>
      </c>
      <c r="AL87" s="13">
        <v>0.0</v>
      </c>
      <c r="AM87" s="13">
        <v>0.0</v>
      </c>
      <c r="AN87" s="13">
        <v>0.0</v>
      </c>
      <c r="AO87" s="13">
        <v>0.0</v>
      </c>
      <c r="AP87" s="13">
        <v>0.0</v>
      </c>
      <c r="AQ87" s="13">
        <v>0.0</v>
      </c>
      <c r="AR87" s="13">
        <v>4.0</v>
      </c>
      <c r="AS87" s="13">
        <v>0.0</v>
      </c>
      <c r="AT87" s="13">
        <v>0.0</v>
      </c>
      <c r="AU87" s="13">
        <v>0.0</v>
      </c>
      <c r="AV87" s="13">
        <v>1.0</v>
      </c>
      <c r="AW87" s="13">
        <v>5.0</v>
      </c>
      <c r="AX87" s="13">
        <v>0.0</v>
      </c>
      <c r="AY87" s="13">
        <v>64.0</v>
      </c>
      <c r="AZ87" s="13">
        <v>0.0</v>
      </c>
      <c r="BA87" s="13">
        <v>0.0</v>
      </c>
      <c r="BB87" s="13">
        <v>0.0</v>
      </c>
      <c r="BC87" s="13">
        <v>0.0</v>
      </c>
      <c r="BD87" s="13">
        <v>0.0</v>
      </c>
      <c r="BE87" s="13">
        <v>0.0</v>
      </c>
      <c r="BF87" s="13">
        <v>0.0</v>
      </c>
      <c r="BG87" s="13">
        <v>0.0</v>
      </c>
      <c r="BH87" s="13">
        <f t="shared" si="12"/>
        <v>238</v>
      </c>
      <c r="BI87" s="13" t="s">
        <v>1420</v>
      </c>
    </row>
    <row r="88" ht="36.75" customHeight="1">
      <c r="A88" s="41">
        <v>42771.0</v>
      </c>
      <c r="B88" s="16" t="s">
        <v>316</v>
      </c>
      <c r="C88" s="16" t="s">
        <v>363</v>
      </c>
      <c r="D88" s="16" t="s">
        <v>318</v>
      </c>
      <c r="E88" s="26" t="s">
        <v>230</v>
      </c>
      <c r="F88" s="16">
        <v>29.75929</v>
      </c>
      <c r="G88" s="16">
        <v>-85.40339</v>
      </c>
      <c r="H88" s="13">
        <v>29.87575</v>
      </c>
      <c r="I88" s="13">
        <v>-85.38584</v>
      </c>
      <c r="J88" s="13" t="s">
        <v>1424</v>
      </c>
      <c r="K88" s="13" t="s">
        <v>1425</v>
      </c>
      <c r="L88" s="13">
        <v>0.0</v>
      </c>
      <c r="M88" s="13">
        <v>0.0</v>
      </c>
      <c r="N88" s="13">
        <v>8.0</v>
      </c>
      <c r="O88" s="13">
        <v>1.0</v>
      </c>
      <c r="P88" s="13">
        <v>1.0</v>
      </c>
      <c r="Q88" s="13">
        <v>0.0</v>
      </c>
      <c r="R88" s="13">
        <v>0.0</v>
      </c>
      <c r="S88" s="13">
        <v>0.0</v>
      </c>
      <c r="T88" s="13">
        <v>0.0</v>
      </c>
      <c r="U88" s="13">
        <v>0.0</v>
      </c>
      <c r="V88" s="13">
        <v>0.0</v>
      </c>
      <c r="W88" s="13">
        <v>2.0</v>
      </c>
      <c r="X88" s="13">
        <v>0.0</v>
      </c>
      <c r="Y88" s="13">
        <v>1.0</v>
      </c>
      <c r="Z88" s="13">
        <v>142.0</v>
      </c>
      <c r="AA88" s="13">
        <v>14.0</v>
      </c>
      <c r="AB88" s="13">
        <v>0.0</v>
      </c>
      <c r="AC88" s="13">
        <v>0.0</v>
      </c>
      <c r="AD88" s="13">
        <v>50.0</v>
      </c>
      <c r="AE88" s="13">
        <v>0.0</v>
      </c>
      <c r="AF88" s="13">
        <v>0.0</v>
      </c>
      <c r="AG88" s="13">
        <v>0.0</v>
      </c>
      <c r="AH88" s="13">
        <v>62.0</v>
      </c>
      <c r="AI88" s="13">
        <v>0.0</v>
      </c>
      <c r="AJ88" s="13">
        <v>0.0</v>
      </c>
      <c r="AK88" s="13">
        <v>0.0</v>
      </c>
      <c r="AL88" s="13">
        <v>30.0</v>
      </c>
      <c r="AM88" s="13">
        <v>0.0</v>
      </c>
      <c r="AN88" s="13">
        <v>44.0</v>
      </c>
      <c r="AO88" s="13">
        <v>0.0</v>
      </c>
      <c r="AP88" s="13">
        <v>0.0</v>
      </c>
      <c r="AQ88" s="13">
        <v>6.0</v>
      </c>
      <c r="AR88" s="13">
        <v>52.0</v>
      </c>
      <c r="AS88" s="13">
        <v>0.0</v>
      </c>
      <c r="AT88" s="13">
        <v>0.0</v>
      </c>
      <c r="AU88" s="13">
        <v>0.0</v>
      </c>
      <c r="AV88" s="13">
        <v>20.0</v>
      </c>
      <c r="AW88" s="13">
        <v>18.0</v>
      </c>
      <c r="AX88" s="13">
        <v>0.0</v>
      </c>
      <c r="AY88" s="13">
        <v>27.0</v>
      </c>
      <c r="AZ88" s="13">
        <v>7.0</v>
      </c>
      <c r="BA88" s="13">
        <v>0.0</v>
      </c>
      <c r="BB88" s="13">
        <v>0.0</v>
      </c>
      <c r="BC88" s="13">
        <v>0.0</v>
      </c>
      <c r="BD88" s="13">
        <v>0.0</v>
      </c>
      <c r="BE88" s="13">
        <v>0.0</v>
      </c>
      <c r="BF88" s="13">
        <v>0.0</v>
      </c>
      <c r="BG88" s="13">
        <v>0.0</v>
      </c>
      <c r="BH88" s="13">
        <f t="shared" si="12"/>
        <v>485</v>
      </c>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3"/>
      <c r="CZ88" s="13"/>
      <c r="DA88" s="13"/>
      <c r="DB88" s="13"/>
      <c r="DC88" s="13"/>
      <c r="DD88" s="13"/>
      <c r="DE88" s="13"/>
      <c r="DF88" s="13"/>
      <c r="DG88" s="13"/>
      <c r="DH88" s="13"/>
      <c r="DI88" s="13"/>
      <c r="DJ88" s="13"/>
      <c r="DK88" s="13"/>
      <c r="DL88" s="13"/>
      <c r="DM88" s="13"/>
      <c r="DN88" s="13"/>
      <c r="DO88" s="13"/>
      <c r="DP88" s="13"/>
      <c r="DQ88" s="13"/>
      <c r="DR88" s="13"/>
      <c r="DS88" s="13"/>
      <c r="DT88" s="13"/>
      <c r="DU88" s="13"/>
      <c r="DV88" s="13"/>
      <c r="DW88" s="13"/>
    </row>
    <row r="89" ht="36.75" customHeight="1">
      <c r="A89" s="41">
        <v>42771.0</v>
      </c>
      <c r="B89" s="16" t="s">
        <v>596</v>
      </c>
      <c r="C89" s="16" t="s">
        <v>597</v>
      </c>
      <c r="D89" s="16" t="s">
        <v>1427</v>
      </c>
      <c r="E89" s="26" t="s">
        <v>230</v>
      </c>
      <c r="F89" s="16">
        <v>29.68325</v>
      </c>
      <c r="G89" s="16">
        <v>-85.30616</v>
      </c>
      <c r="H89" s="13">
        <v>29.67594</v>
      </c>
      <c r="I89" s="13">
        <v>-85.33372</v>
      </c>
      <c r="J89" s="13" t="s">
        <v>1429</v>
      </c>
      <c r="K89" s="13" t="s">
        <v>1430</v>
      </c>
      <c r="L89" s="13">
        <v>0.0</v>
      </c>
      <c r="M89" s="13">
        <v>0.0</v>
      </c>
      <c r="N89" s="13">
        <v>0.0</v>
      </c>
      <c r="O89" s="13">
        <v>0.0</v>
      </c>
      <c r="P89" s="13">
        <v>0.0</v>
      </c>
      <c r="Q89" s="13">
        <v>0.0</v>
      </c>
      <c r="R89" s="13">
        <v>0.0</v>
      </c>
      <c r="S89" s="13">
        <v>0.0</v>
      </c>
      <c r="T89" s="13">
        <v>0.0</v>
      </c>
      <c r="U89" s="13">
        <v>0.0</v>
      </c>
      <c r="V89" s="13">
        <v>0.0</v>
      </c>
      <c r="W89" s="13">
        <v>0.0</v>
      </c>
      <c r="X89" s="13">
        <v>0.0</v>
      </c>
      <c r="Y89" s="13">
        <v>4.0</v>
      </c>
      <c r="Z89" s="13">
        <v>23.0</v>
      </c>
      <c r="AA89" s="13">
        <v>0.0</v>
      </c>
      <c r="AB89" s="13">
        <v>0.0</v>
      </c>
      <c r="AC89" s="13">
        <v>0.0</v>
      </c>
      <c r="AD89" s="13">
        <v>0.0</v>
      </c>
      <c r="AE89" s="13">
        <v>0.0</v>
      </c>
      <c r="AF89" s="13">
        <v>0.0</v>
      </c>
      <c r="AG89" s="13">
        <v>0.0</v>
      </c>
      <c r="AH89" s="13">
        <v>21.0</v>
      </c>
      <c r="AI89" s="13">
        <v>0.0</v>
      </c>
      <c r="AJ89" s="13">
        <v>0.0</v>
      </c>
      <c r="AK89" s="13">
        <v>0.0</v>
      </c>
      <c r="AL89" s="13">
        <v>0.0</v>
      </c>
      <c r="AM89" s="13">
        <v>0.0</v>
      </c>
      <c r="AN89" s="13">
        <v>0.0</v>
      </c>
      <c r="AO89" s="13">
        <v>0.0</v>
      </c>
      <c r="AP89" s="13">
        <v>0.0</v>
      </c>
      <c r="AQ89" s="13">
        <v>0.0</v>
      </c>
      <c r="AR89" s="13">
        <v>0.0</v>
      </c>
      <c r="AS89" s="13">
        <v>0.0</v>
      </c>
      <c r="AT89" s="13">
        <v>0.0</v>
      </c>
      <c r="AU89" s="13">
        <v>0.0</v>
      </c>
      <c r="AV89" s="13">
        <v>0.0</v>
      </c>
      <c r="AW89" s="13">
        <v>0.0</v>
      </c>
      <c r="AX89" s="13">
        <v>0.0</v>
      </c>
      <c r="AY89" s="13">
        <v>12.0</v>
      </c>
      <c r="AZ89" s="13">
        <v>0.0</v>
      </c>
      <c r="BA89" s="13">
        <v>0.0</v>
      </c>
      <c r="BB89" s="13">
        <v>0.0</v>
      </c>
      <c r="BC89" s="13">
        <v>0.0</v>
      </c>
      <c r="BD89" s="13">
        <v>0.0</v>
      </c>
      <c r="BE89" s="13">
        <v>0.0</v>
      </c>
      <c r="BF89" s="13">
        <v>0.0</v>
      </c>
      <c r="BG89" s="13">
        <v>0.0</v>
      </c>
      <c r="BH89">
        <f t="shared" ref="BH89:BH90" si="13">SUM(L89:BG89)</f>
        <v>60</v>
      </c>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3"/>
      <c r="CZ89" s="13"/>
      <c r="DA89" s="13"/>
      <c r="DB89" s="13"/>
      <c r="DC89" s="13"/>
      <c r="DD89" s="13"/>
      <c r="DE89" s="13"/>
      <c r="DF89" s="13"/>
      <c r="DG89" s="13"/>
      <c r="DH89" s="13"/>
      <c r="DI89" s="13"/>
      <c r="DJ89" s="13"/>
      <c r="DK89" s="13"/>
      <c r="DL89" s="13"/>
      <c r="DM89" s="13"/>
      <c r="DN89" s="13"/>
      <c r="DO89" s="13"/>
      <c r="DP89" s="13"/>
      <c r="DQ89" s="13"/>
      <c r="DR89" s="13"/>
      <c r="DS89" s="13"/>
      <c r="DT89" s="13"/>
      <c r="DU89" s="13"/>
      <c r="DV89" s="13"/>
      <c r="DW89" s="13"/>
    </row>
    <row r="90" ht="36.75" customHeight="1">
      <c r="A90" s="41">
        <v>42771.0</v>
      </c>
      <c r="B90" s="16" t="s">
        <v>596</v>
      </c>
      <c r="C90" s="16" t="s">
        <v>597</v>
      </c>
      <c r="D90" s="16" t="s">
        <v>598</v>
      </c>
      <c r="E90" s="34" t="s">
        <v>230</v>
      </c>
      <c r="F90" s="13">
        <v>29.67594</v>
      </c>
      <c r="G90" s="13">
        <v>-85.33372</v>
      </c>
      <c r="H90" s="13">
        <v>29.66995</v>
      </c>
      <c r="I90" s="13">
        <v>-85.35591</v>
      </c>
      <c r="J90" s="13" t="s">
        <v>1437</v>
      </c>
      <c r="K90" s="13" t="s">
        <v>1438</v>
      </c>
      <c r="L90" s="13">
        <v>0.0</v>
      </c>
      <c r="M90" s="13">
        <v>0.0</v>
      </c>
      <c r="N90" s="13">
        <v>2.0</v>
      </c>
      <c r="O90" s="13">
        <v>0.0</v>
      </c>
      <c r="P90" s="13">
        <v>0.0</v>
      </c>
      <c r="Q90" s="13">
        <v>0.0</v>
      </c>
      <c r="R90" s="13">
        <v>0.0</v>
      </c>
      <c r="S90" s="13">
        <v>0.0</v>
      </c>
      <c r="T90" s="13">
        <v>0.0</v>
      </c>
      <c r="U90" s="13">
        <v>0.0</v>
      </c>
      <c r="V90" s="13">
        <v>0.0</v>
      </c>
      <c r="W90" s="13">
        <v>1.0</v>
      </c>
      <c r="X90" s="13">
        <v>0.0</v>
      </c>
      <c r="Y90" s="13">
        <v>18.0</v>
      </c>
      <c r="Z90" s="13">
        <v>27.0</v>
      </c>
      <c r="AA90" s="13">
        <v>3.0</v>
      </c>
      <c r="AB90" s="13">
        <v>0.0</v>
      </c>
      <c r="AC90" s="13">
        <v>0.0</v>
      </c>
      <c r="AD90" s="13">
        <v>3.0</v>
      </c>
      <c r="AE90" s="13">
        <v>0.0</v>
      </c>
      <c r="AF90" s="13">
        <v>0.0</v>
      </c>
      <c r="AG90" s="13">
        <v>0.0</v>
      </c>
      <c r="AH90" s="13">
        <v>8.0</v>
      </c>
      <c r="AI90" s="13">
        <v>3.0</v>
      </c>
      <c r="AJ90" s="13">
        <v>0.0</v>
      </c>
      <c r="AK90" s="13">
        <v>2.0</v>
      </c>
      <c r="AL90" s="13">
        <v>4.0</v>
      </c>
      <c r="AM90" s="13">
        <v>0.0</v>
      </c>
      <c r="AN90" s="13">
        <v>6.0</v>
      </c>
      <c r="AO90" s="13">
        <v>0.0</v>
      </c>
      <c r="AP90" s="13">
        <v>0.0</v>
      </c>
      <c r="AQ90" s="13">
        <v>17.0</v>
      </c>
      <c r="AR90" s="13">
        <v>223.0</v>
      </c>
      <c r="AS90" s="13">
        <v>0.0</v>
      </c>
      <c r="AT90" s="13">
        <v>0.0</v>
      </c>
      <c r="AU90" s="13">
        <v>0.0</v>
      </c>
      <c r="AV90" s="13">
        <v>17.0</v>
      </c>
      <c r="AW90" s="13">
        <v>207.0</v>
      </c>
      <c r="AX90" s="13">
        <v>0.0</v>
      </c>
      <c r="AY90" s="13">
        <v>39.0</v>
      </c>
      <c r="AZ90" s="13">
        <v>285.0</v>
      </c>
      <c r="BA90" s="13">
        <v>0.0</v>
      </c>
      <c r="BB90" s="13">
        <v>0.0</v>
      </c>
      <c r="BC90" s="13">
        <v>0.0</v>
      </c>
      <c r="BD90" s="13">
        <v>0.0</v>
      </c>
      <c r="BE90" s="13">
        <v>0.0</v>
      </c>
      <c r="BF90" s="13">
        <v>0.0</v>
      </c>
      <c r="BG90" s="13">
        <v>0.0</v>
      </c>
      <c r="BH90">
        <f t="shared" si="13"/>
        <v>865</v>
      </c>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3"/>
      <c r="CZ90" s="13"/>
      <c r="DA90" s="13"/>
      <c r="DB90" s="13"/>
      <c r="DC90" s="13"/>
      <c r="DD90" s="13"/>
      <c r="DE90" s="13"/>
      <c r="DF90" s="13"/>
      <c r="DG90" s="13"/>
      <c r="DH90" s="13"/>
      <c r="DI90" s="13"/>
      <c r="DJ90" s="13"/>
      <c r="DK90" s="13"/>
      <c r="DL90" s="13"/>
      <c r="DM90" s="13"/>
      <c r="DN90" s="13"/>
      <c r="DO90" s="13"/>
      <c r="DP90" s="13"/>
      <c r="DQ90" s="13"/>
      <c r="DR90" s="13"/>
      <c r="DS90" s="13"/>
      <c r="DT90" s="13"/>
      <c r="DU90" s="13"/>
      <c r="DV90" s="13"/>
      <c r="DW90" s="13"/>
    </row>
    <row r="91" ht="36.75" customHeight="1">
      <c r="A91" s="43">
        <v>42771.0</v>
      </c>
      <c r="B91" s="16" t="s">
        <v>652</v>
      </c>
      <c r="C91" s="16" t="s">
        <v>195</v>
      </c>
      <c r="D91" s="16" t="s">
        <v>1442</v>
      </c>
      <c r="E91" s="34" t="s">
        <v>230</v>
      </c>
      <c r="F91" s="16">
        <v>29.71874</v>
      </c>
      <c r="G91" s="16">
        <v>-85.3051</v>
      </c>
      <c r="H91" s="13">
        <v>29.68633</v>
      </c>
      <c r="I91" s="13">
        <v>-85.31922</v>
      </c>
      <c r="J91" s="13" t="s">
        <v>1443</v>
      </c>
      <c r="K91" s="13" t="s">
        <v>1444</v>
      </c>
      <c r="N91" s="13">
        <v>17.0</v>
      </c>
      <c r="O91" s="13">
        <v>285.0</v>
      </c>
      <c r="P91" s="13">
        <v>1.0</v>
      </c>
      <c r="Z91" s="13"/>
      <c r="AC91" s="13">
        <v>46.0</v>
      </c>
      <c r="AG91" s="13">
        <v>1.0</v>
      </c>
      <c r="AH91" s="13">
        <v>96.0</v>
      </c>
      <c r="AL91" s="13">
        <v>1.0</v>
      </c>
      <c r="AN91" s="13">
        <v>1.0</v>
      </c>
      <c r="AQ91" s="13">
        <v>2.0</v>
      </c>
      <c r="AR91" s="13">
        <v>7.0</v>
      </c>
      <c r="AV91" s="13">
        <v>4.0</v>
      </c>
      <c r="AW91" s="13">
        <v>4.0</v>
      </c>
      <c r="AY91" s="13">
        <v>6.0</v>
      </c>
      <c r="BC91" s="13">
        <v>68.0</v>
      </c>
      <c r="BI91" s="13" t="s">
        <v>1446</v>
      </c>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3"/>
      <c r="CZ91" s="13"/>
      <c r="DA91" s="13"/>
      <c r="DB91" s="13"/>
      <c r="DC91" s="13"/>
      <c r="DD91" s="13"/>
      <c r="DE91" s="13"/>
      <c r="DF91" s="13"/>
      <c r="DG91" s="13"/>
      <c r="DH91" s="13"/>
      <c r="DI91" s="13"/>
      <c r="DJ91" s="13"/>
      <c r="DK91" s="13"/>
      <c r="DL91" s="13"/>
      <c r="DM91" s="13"/>
      <c r="DN91" s="13"/>
      <c r="DO91" s="13"/>
      <c r="DP91" s="13"/>
      <c r="DQ91" s="13"/>
      <c r="DR91" s="13"/>
      <c r="DS91" s="13"/>
      <c r="DT91" s="13"/>
      <c r="DU91" s="13"/>
      <c r="DV91" s="13"/>
      <c r="DW91" s="13"/>
    </row>
    <row r="92" ht="36.75" customHeight="1">
      <c r="A92" s="41">
        <v>42772.0</v>
      </c>
      <c r="B92" s="13" t="s">
        <v>22</v>
      </c>
      <c r="C92" s="16" t="s">
        <v>66</v>
      </c>
      <c r="D92" s="16" t="s">
        <v>1455</v>
      </c>
      <c r="E92" s="29" t="s">
        <v>230</v>
      </c>
      <c r="F92" s="16">
        <v>29.841</v>
      </c>
      <c r="G92" s="16">
        <v>-85.32</v>
      </c>
      <c r="H92" s="13">
        <v>29.8456</v>
      </c>
      <c r="I92" s="13">
        <v>-85.4442</v>
      </c>
      <c r="J92" s="13" t="s">
        <v>1456</v>
      </c>
      <c r="K92" s="13" t="s">
        <v>1457</v>
      </c>
      <c r="L92" s="13">
        <v>0.0</v>
      </c>
      <c r="M92" s="13">
        <v>0.0</v>
      </c>
      <c r="N92" s="13">
        <v>1.0</v>
      </c>
      <c r="O92" s="13">
        <v>0.0</v>
      </c>
      <c r="P92" s="13">
        <v>0.0</v>
      </c>
      <c r="Q92" s="13">
        <v>8.0</v>
      </c>
      <c r="R92" s="13">
        <v>7.0</v>
      </c>
      <c r="S92" s="13">
        <v>0.0</v>
      </c>
      <c r="T92" s="13">
        <v>0.0</v>
      </c>
      <c r="U92" s="13">
        <v>0.0</v>
      </c>
      <c r="V92" s="13">
        <v>0.0</v>
      </c>
      <c r="W92" s="13">
        <v>0.0</v>
      </c>
      <c r="X92" s="13">
        <v>0.0</v>
      </c>
      <c r="Y92" s="13">
        <v>0.0</v>
      </c>
      <c r="Z92" s="13">
        <v>0.0</v>
      </c>
      <c r="AA92" s="13">
        <v>1.0</v>
      </c>
      <c r="AB92" s="13">
        <v>0.0</v>
      </c>
      <c r="AC92" s="13">
        <v>0.0</v>
      </c>
      <c r="AD92" s="13">
        <v>0.0</v>
      </c>
      <c r="AE92" s="13">
        <v>0.0</v>
      </c>
      <c r="AF92" s="13">
        <v>0.0</v>
      </c>
      <c r="AG92" s="13">
        <v>0.0</v>
      </c>
      <c r="AH92" s="13">
        <v>0.0</v>
      </c>
      <c r="AI92" s="13">
        <v>0.0</v>
      </c>
      <c r="AJ92" s="13">
        <v>0.0</v>
      </c>
      <c r="AK92" s="13">
        <v>0.0</v>
      </c>
      <c r="AL92" s="13">
        <v>65.0</v>
      </c>
      <c r="AM92" s="13">
        <v>0.0</v>
      </c>
      <c r="AN92" s="13">
        <v>3.0</v>
      </c>
      <c r="AO92" s="13">
        <v>0.0</v>
      </c>
      <c r="AP92" s="13">
        <v>0.0</v>
      </c>
      <c r="AQ92" s="13">
        <v>0.0</v>
      </c>
      <c r="AR92" s="13">
        <v>22.0</v>
      </c>
      <c r="AS92" s="13">
        <v>0.0</v>
      </c>
      <c r="AT92" s="13">
        <v>0.0</v>
      </c>
      <c r="AU92" s="13">
        <v>0.0</v>
      </c>
      <c r="AV92" s="13">
        <v>12.0</v>
      </c>
      <c r="AW92" s="13">
        <v>4.0</v>
      </c>
      <c r="AX92" s="13">
        <v>0.0</v>
      </c>
      <c r="AY92" s="13">
        <v>62.0</v>
      </c>
      <c r="AZ92" s="13">
        <v>1.0</v>
      </c>
      <c r="BA92" s="13">
        <v>0.0</v>
      </c>
      <c r="BB92" s="13">
        <v>0.0</v>
      </c>
      <c r="BC92" s="13">
        <v>0.0</v>
      </c>
      <c r="BD92" s="13">
        <v>0.0</v>
      </c>
      <c r="BE92" s="13">
        <v>0.0</v>
      </c>
      <c r="BF92" s="13">
        <v>0.0</v>
      </c>
      <c r="BG92" s="13">
        <v>0.0</v>
      </c>
      <c r="BH92" s="13">
        <f t="shared" ref="BH92:BH95" si="14">sum(L92:BG92)</f>
        <v>186</v>
      </c>
    </row>
    <row r="93" ht="36.75" customHeight="1">
      <c r="A93" s="45">
        <v>42775.0</v>
      </c>
      <c r="B93" s="13" t="s">
        <v>1462</v>
      </c>
      <c r="C93" s="13" t="s">
        <v>1463</v>
      </c>
      <c r="D93" s="13" t="s">
        <v>1464</v>
      </c>
      <c r="E93" s="31" t="s">
        <v>1465</v>
      </c>
      <c r="F93" s="38" t="s">
        <v>1466</v>
      </c>
      <c r="G93" s="38" t="s">
        <v>1468</v>
      </c>
      <c r="H93" s="38" t="s">
        <v>1469</v>
      </c>
      <c r="I93" s="70" t="s">
        <v>1470</v>
      </c>
      <c r="J93" s="13" t="s">
        <v>1475</v>
      </c>
      <c r="K93" s="13" t="s">
        <v>1476</v>
      </c>
      <c r="P93" s="13">
        <v>39.0</v>
      </c>
      <c r="Q93" s="13">
        <v>41.0</v>
      </c>
      <c r="S93" s="13">
        <v>43.0</v>
      </c>
      <c r="U93" s="13">
        <v>30.0</v>
      </c>
      <c r="AQ93" s="13">
        <v>265.0</v>
      </c>
      <c r="BC93" s="13">
        <v>12.0</v>
      </c>
      <c r="BF93" s="13">
        <v>56.0</v>
      </c>
      <c r="BH93">
        <f t="shared" si="14"/>
        <v>486</v>
      </c>
    </row>
    <row r="94" ht="36.75" customHeight="1">
      <c r="A94" s="41">
        <v>42769.0</v>
      </c>
      <c r="B94" s="16" t="s">
        <v>1479</v>
      </c>
      <c r="C94" s="16" t="s">
        <v>1480</v>
      </c>
      <c r="D94" s="16" t="s">
        <v>1482</v>
      </c>
      <c r="E94" s="26" t="s">
        <v>1485</v>
      </c>
      <c r="F94" s="16">
        <v>28.5359</v>
      </c>
      <c r="G94" s="16">
        <v>-82.652142</v>
      </c>
      <c r="H94" s="13">
        <v>28.534069</v>
      </c>
      <c r="I94" s="13">
        <v>-82.649906</v>
      </c>
      <c r="J94" s="13" t="s">
        <v>1487</v>
      </c>
      <c r="K94" s="13" t="s">
        <v>1488</v>
      </c>
      <c r="N94" s="13"/>
      <c r="O94" s="13"/>
      <c r="P94" s="13"/>
      <c r="R94" s="13"/>
      <c r="Z94" s="13"/>
      <c r="AA94" s="13"/>
      <c r="AE94" s="13">
        <v>1.0</v>
      </c>
      <c r="AH94" s="13"/>
      <c r="AI94" s="13"/>
      <c r="AN94" s="13">
        <v>4.0</v>
      </c>
      <c r="AQ94" s="13">
        <v>12.0</v>
      </c>
      <c r="AR94" s="13">
        <v>2.0</v>
      </c>
      <c r="AV94" s="13"/>
      <c r="AW94" s="13">
        <v>38.0</v>
      </c>
      <c r="AY94" s="13">
        <v>2.0</v>
      </c>
      <c r="AZ94" s="13">
        <v>3.0</v>
      </c>
      <c r="BC94" s="13"/>
      <c r="BH94" s="13">
        <f t="shared" si="14"/>
        <v>62</v>
      </c>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3"/>
      <c r="CZ94" s="13"/>
      <c r="DA94" s="13"/>
      <c r="DB94" s="13"/>
      <c r="DC94" s="13"/>
      <c r="DD94" s="13"/>
      <c r="DE94" s="13"/>
      <c r="DF94" s="13"/>
      <c r="DG94" s="13"/>
      <c r="DH94" s="13"/>
      <c r="DI94" s="13"/>
      <c r="DJ94" s="13"/>
      <c r="DK94" s="13"/>
      <c r="DL94" s="13"/>
      <c r="DM94" s="13"/>
      <c r="DN94" s="13"/>
      <c r="DO94" s="13"/>
      <c r="DP94" s="13"/>
      <c r="DQ94" s="13"/>
      <c r="DR94" s="13"/>
      <c r="DS94" s="13"/>
      <c r="DT94" s="13"/>
      <c r="DU94" s="13"/>
      <c r="DV94" s="13"/>
      <c r="DW94" s="13"/>
    </row>
    <row r="95" ht="36.75" customHeight="1">
      <c r="A95" s="41">
        <v>42769.0</v>
      </c>
      <c r="B95" s="16" t="s">
        <v>1479</v>
      </c>
      <c r="C95" s="16" t="s">
        <v>1480</v>
      </c>
      <c r="D95" s="16" t="s">
        <v>1493</v>
      </c>
      <c r="E95" s="34" t="s">
        <v>1485</v>
      </c>
      <c r="F95" s="16">
        <v>28.569058</v>
      </c>
      <c r="G95" s="16">
        <v>-82.656416</v>
      </c>
      <c r="H95" s="13">
        <v>28.568316</v>
      </c>
      <c r="I95" s="13">
        <v>-82.655115</v>
      </c>
      <c r="J95" s="13" t="s">
        <v>1494</v>
      </c>
      <c r="K95" s="13" t="s">
        <v>1488</v>
      </c>
      <c r="N95" s="13"/>
      <c r="O95" s="13">
        <v>42.0</v>
      </c>
      <c r="R95" s="13">
        <v>12.0</v>
      </c>
      <c r="W95" s="13"/>
      <c r="Y95" s="13">
        <v>10.0</v>
      </c>
      <c r="Z95" s="13">
        <v>2.0</v>
      </c>
      <c r="AC95" s="13">
        <v>10.0</v>
      </c>
      <c r="AD95" s="13"/>
      <c r="AH95" s="13">
        <v>2.0</v>
      </c>
      <c r="AK95" s="13">
        <v>45.0</v>
      </c>
      <c r="AL95" s="13"/>
      <c r="AN95" s="13">
        <v>1.0</v>
      </c>
      <c r="AO95" s="13">
        <v>2.0</v>
      </c>
      <c r="AQ95" s="13">
        <v>2.0</v>
      </c>
      <c r="AR95" s="13"/>
      <c r="AV95" s="13"/>
      <c r="AW95" s="13">
        <v>1373.0</v>
      </c>
      <c r="AY95" s="13">
        <v>1088.0</v>
      </c>
      <c r="AZ95" s="13">
        <v>6.0</v>
      </c>
      <c r="BC95" s="13">
        <v>10.0</v>
      </c>
      <c r="BH95" s="13">
        <f t="shared" si="14"/>
        <v>2605</v>
      </c>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3"/>
      <c r="CZ95" s="13"/>
      <c r="DA95" s="13"/>
      <c r="DB95" s="13"/>
      <c r="DC95" s="13"/>
      <c r="DD95" s="13"/>
      <c r="DE95" s="13"/>
      <c r="DF95" s="13"/>
      <c r="DG95" s="13"/>
      <c r="DH95" s="13"/>
      <c r="DI95" s="13"/>
      <c r="DJ95" s="13"/>
      <c r="DK95" s="13"/>
      <c r="DL95" s="13"/>
      <c r="DM95" s="13"/>
      <c r="DN95" s="13"/>
      <c r="DO95" s="13"/>
      <c r="DP95" s="13"/>
      <c r="DQ95" s="13"/>
      <c r="DR95" s="13"/>
      <c r="DS95" s="13"/>
      <c r="DT95" s="13"/>
      <c r="DU95" s="13"/>
      <c r="DV95" s="13"/>
      <c r="DW95" s="13"/>
    </row>
    <row r="96" ht="36.75" customHeight="1">
      <c r="A96" s="62">
        <v>42775.0</v>
      </c>
      <c r="B96" s="13" t="s">
        <v>1479</v>
      </c>
      <c r="C96" s="13" t="s">
        <v>1503</v>
      </c>
      <c r="D96" s="13" t="s">
        <v>1504</v>
      </c>
      <c r="E96" s="34" t="s">
        <v>1485</v>
      </c>
      <c r="F96" s="13">
        <v>28.551611</v>
      </c>
      <c r="G96" s="13">
        <v>-82.483788</v>
      </c>
      <c r="H96" s="13">
        <v>28.553314</v>
      </c>
      <c r="I96" s="13">
        <v>-82.483731</v>
      </c>
      <c r="J96" s="13" t="s">
        <v>1505</v>
      </c>
      <c r="K96" s="13" t="s">
        <v>1506</v>
      </c>
      <c r="L96" s="13"/>
      <c r="M96" s="13"/>
      <c r="N96" s="13"/>
      <c r="O96" s="13"/>
      <c r="P96" s="13">
        <v>1.0</v>
      </c>
      <c r="Q96" s="13">
        <v>13.0</v>
      </c>
      <c r="R96" s="13">
        <v>8.0</v>
      </c>
      <c r="S96" s="13">
        <v>18.0</v>
      </c>
      <c r="T96" s="13"/>
      <c r="U96" s="13">
        <v>74.0</v>
      </c>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v>13.0</v>
      </c>
      <c r="AZ96" s="13"/>
      <c r="BA96" s="13"/>
      <c r="BB96" s="13"/>
      <c r="BC96" s="13"/>
      <c r="BD96" s="13"/>
      <c r="BE96" s="13"/>
      <c r="BF96" s="13"/>
      <c r="BG96" s="13"/>
      <c r="BH96">
        <f t="shared" ref="BH96:BH101" si="15">SUM(L96:BG96)</f>
        <v>127</v>
      </c>
    </row>
    <row r="97" ht="36.75" customHeight="1">
      <c r="A97" s="41">
        <v>42775.0</v>
      </c>
      <c r="B97" s="16" t="s">
        <v>1511</v>
      </c>
      <c r="C97" s="16" t="s">
        <v>1512</v>
      </c>
      <c r="D97" s="16" t="s">
        <v>1513</v>
      </c>
      <c r="E97" s="26" t="s">
        <v>1485</v>
      </c>
      <c r="F97" s="16">
        <v>28.4996</v>
      </c>
      <c r="G97" s="16">
        <v>-82.65012</v>
      </c>
      <c r="H97" s="13">
        <v>28.50009</v>
      </c>
      <c r="I97" s="13">
        <v>-82.6771</v>
      </c>
      <c r="J97" s="13" t="s">
        <v>1516</v>
      </c>
      <c r="K97" s="13" t="s">
        <v>1506</v>
      </c>
      <c r="L97" s="13">
        <v>2.0</v>
      </c>
      <c r="M97" s="13">
        <v>0.0</v>
      </c>
      <c r="N97" s="13">
        <v>0.0</v>
      </c>
      <c r="O97" s="13">
        <v>30.0</v>
      </c>
      <c r="P97" s="13">
        <v>0.0</v>
      </c>
      <c r="Q97" s="13">
        <v>7.0</v>
      </c>
      <c r="R97" s="13">
        <v>0.0</v>
      </c>
      <c r="S97" s="13">
        <v>0.0</v>
      </c>
      <c r="T97" s="13">
        <v>0.0</v>
      </c>
      <c r="U97" s="13">
        <v>0.0</v>
      </c>
      <c r="V97" s="13">
        <v>1.0</v>
      </c>
      <c r="W97" s="13">
        <v>0.0</v>
      </c>
      <c r="X97" s="13">
        <v>0.0</v>
      </c>
      <c r="Y97" s="13">
        <v>0.0</v>
      </c>
      <c r="Z97" s="13">
        <v>0.0</v>
      </c>
      <c r="AA97" s="13">
        <v>10.0</v>
      </c>
      <c r="AB97" s="13">
        <v>0.0</v>
      </c>
      <c r="AC97" s="13">
        <v>11.0</v>
      </c>
      <c r="AD97" s="13">
        <v>0.0</v>
      </c>
      <c r="AE97" s="13">
        <v>3.0</v>
      </c>
      <c r="AF97" s="13">
        <v>0.0</v>
      </c>
      <c r="AG97" s="13">
        <v>0.0</v>
      </c>
      <c r="AH97" s="13">
        <v>57.0</v>
      </c>
      <c r="AI97" s="13">
        <v>0.0</v>
      </c>
      <c r="AJ97" s="13">
        <v>0.0</v>
      </c>
      <c r="AK97" s="13">
        <v>0.0</v>
      </c>
      <c r="AL97" s="13">
        <v>0.0</v>
      </c>
      <c r="AM97" s="13">
        <v>0.0</v>
      </c>
      <c r="AN97" s="13">
        <v>24.0</v>
      </c>
      <c r="AO97" s="13">
        <v>0.0</v>
      </c>
      <c r="AP97" s="13">
        <v>0.0</v>
      </c>
      <c r="AQ97" s="13">
        <v>16.0</v>
      </c>
      <c r="AR97" s="13">
        <v>0.0</v>
      </c>
      <c r="AS97" s="13">
        <v>0.0</v>
      </c>
      <c r="AT97" s="13">
        <v>0.0</v>
      </c>
      <c r="AU97" s="13">
        <v>0.0</v>
      </c>
      <c r="AV97" s="13">
        <v>0.0</v>
      </c>
      <c r="AW97" s="13">
        <v>57.0</v>
      </c>
      <c r="AX97" s="13">
        <v>0.0</v>
      </c>
      <c r="AY97" s="13">
        <v>51.0</v>
      </c>
      <c r="AZ97" s="13">
        <v>1.0</v>
      </c>
      <c r="BA97" s="13">
        <v>0.0</v>
      </c>
      <c r="BB97" s="13">
        <v>0.0</v>
      </c>
      <c r="BC97" s="13">
        <v>0.0</v>
      </c>
      <c r="BD97" s="13">
        <v>0.0</v>
      </c>
      <c r="BE97" s="13">
        <v>0.0</v>
      </c>
      <c r="BF97" s="13">
        <v>0.0</v>
      </c>
      <c r="BG97" s="13">
        <v>0.0</v>
      </c>
      <c r="BH97">
        <f t="shared" si="15"/>
        <v>270</v>
      </c>
      <c r="BI97" s="13" t="s">
        <v>1522</v>
      </c>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3"/>
      <c r="CZ97" s="13"/>
      <c r="DA97" s="13"/>
      <c r="DB97" s="13"/>
      <c r="DC97" s="13"/>
      <c r="DD97" s="13"/>
      <c r="DE97" s="13"/>
      <c r="DF97" s="13"/>
      <c r="DG97" s="13"/>
      <c r="DH97" s="13"/>
      <c r="DI97" s="13"/>
      <c r="DJ97" s="13"/>
      <c r="DK97" s="13"/>
      <c r="DL97" s="13"/>
      <c r="DM97" s="13"/>
      <c r="DN97" s="13"/>
      <c r="DO97" s="13"/>
      <c r="DP97" s="13"/>
      <c r="DQ97" s="13"/>
      <c r="DR97" s="13"/>
      <c r="DS97" s="13"/>
      <c r="DT97" s="13"/>
      <c r="DU97" s="13"/>
      <c r="DV97" s="13"/>
      <c r="DW97" s="13"/>
    </row>
    <row r="98" ht="36.75" customHeight="1">
      <c r="A98" s="11">
        <v>42769.0</v>
      </c>
      <c r="B98" s="13" t="s">
        <v>1534</v>
      </c>
      <c r="C98" s="13" t="s">
        <v>1535</v>
      </c>
      <c r="D98" s="13" t="s">
        <v>1536</v>
      </c>
      <c r="E98" s="34" t="s">
        <v>1537</v>
      </c>
      <c r="F98" s="13">
        <v>27.95</v>
      </c>
      <c r="G98" s="13">
        <v>82.5453</v>
      </c>
      <c r="H98" s="13">
        <v>27.9488</v>
      </c>
      <c r="I98" s="14">
        <v>82.5414</v>
      </c>
      <c r="J98" s="13" t="s">
        <v>1538</v>
      </c>
      <c r="K98" s="13" t="s">
        <v>1539</v>
      </c>
      <c r="L98" s="13"/>
      <c r="N98" s="13"/>
      <c r="O98" s="13"/>
      <c r="R98" s="13">
        <v>25.0</v>
      </c>
      <c r="V98" s="13"/>
      <c r="W98" s="13"/>
      <c r="Y98" s="13">
        <v>12.0</v>
      </c>
      <c r="Z98" s="13"/>
      <c r="AA98" s="13">
        <v>64.0</v>
      </c>
      <c r="AC98" s="13"/>
      <c r="AF98" s="13"/>
      <c r="AH98" s="13">
        <v>22.0</v>
      </c>
      <c r="AI98" s="13">
        <v>3.0</v>
      </c>
      <c r="AK98" s="13"/>
      <c r="AN98" s="13">
        <v>6.0</v>
      </c>
      <c r="AO98" s="13">
        <v>2.0</v>
      </c>
      <c r="AQ98" s="13">
        <v>5.0</v>
      </c>
      <c r="AR98" s="13">
        <v>1.0</v>
      </c>
      <c r="AV98" s="13">
        <v>1.0</v>
      </c>
      <c r="AW98" s="13">
        <v>28.0</v>
      </c>
      <c r="AY98" s="13">
        <v>10.0</v>
      </c>
      <c r="AZ98" s="13">
        <v>4.0</v>
      </c>
      <c r="BA98" s="13"/>
      <c r="BH98">
        <f t="shared" si="15"/>
        <v>183</v>
      </c>
    </row>
    <row r="99" ht="36.75" customHeight="1">
      <c r="A99" s="11">
        <v>42772.0</v>
      </c>
      <c r="B99" s="13" t="s">
        <v>1543</v>
      </c>
      <c r="C99" s="13" t="s">
        <v>1545</v>
      </c>
      <c r="D99" s="13" t="s">
        <v>1546</v>
      </c>
      <c r="E99" s="26" t="s">
        <v>1537</v>
      </c>
      <c r="F99" s="16">
        <v>27.860283</v>
      </c>
      <c r="G99" s="16">
        <v>-82.384513</v>
      </c>
      <c r="H99" s="16">
        <v>27.860283</v>
      </c>
      <c r="I99" s="16">
        <v>-82.384513</v>
      </c>
      <c r="J99" s="13" t="s">
        <v>1548</v>
      </c>
      <c r="K99" s="13" t="s">
        <v>1551</v>
      </c>
      <c r="L99" s="13">
        <v>66.0</v>
      </c>
      <c r="M99" s="13">
        <v>0.0</v>
      </c>
      <c r="N99" s="13">
        <v>13.0</v>
      </c>
      <c r="O99" s="13">
        <v>15.0</v>
      </c>
      <c r="P99" s="13">
        <v>0.0</v>
      </c>
      <c r="Q99" s="13">
        <v>0.0</v>
      </c>
      <c r="R99" s="13">
        <v>23.0</v>
      </c>
      <c r="S99" s="13">
        <v>0.0</v>
      </c>
      <c r="T99" s="13">
        <v>1.0</v>
      </c>
      <c r="U99" s="13">
        <v>0.0</v>
      </c>
      <c r="V99" s="13">
        <v>0.0</v>
      </c>
      <c r="W99" s="13">
        <v>0.0</v>
      </c>
      <c r="X99" s="13">
        <v>0.0</v>
      </c>
      <c r="Y99" s="13">
        <v>100.0</v>
      </c>
      <c r="Z99" s="13">
        <v>6.0</v>
      </c>
      <c r="AA99" s="13">
        <v>0.0</v>
      </c>
      <c r="AB99" s="13">
        <v>0.0</v>
      </c>
      <c r="AC99" s="13">
        <v>0.0</v>
      </c>
      <c r="AD99" s="13">
        <v>0.0</v>
      </c>
      <c r="AE99" s="13">
        <v>10.0</v>
      </c>
      <c r="AF99" s="13">
        <v>0.0</v>
      </c>
      <c r="AG99" s="13">
        <v>0.0</v>
      </c>
      <c r="AH99" s="13">
        <v>29.0</v>
      </c>
      <c r="AI99" s="13">
        <v>0.0</v>
      </c>
      <c r="AJ99" s="13">
        <v>0.0</v>
      </c>
      <c r="AK99" s="13">
        <v>0.0</v>
      </c>
      <c r="AL99" s="13">
        <v>2.0</v>
      </c>
      <c r="AM99" s="13">
        <v>0.0</v>
      </c>
      <c r="AN99" s="13">
        <v>183.0</v>
      </c>
      <c r="AO99" s="13">
        <v>6.0</v>
      </c>
      <c r="AP99" s="13">
        <v>0.0</v>
      </c>
      <c r="AQ99" s="13">
        <v>237.0</v>
      </c>
      <c r="AR99" s="13">
        <v>236.0</v>
      </c>
      <c r="AS99" s="13">
        <v>0.0</v>
      </c>
      <c r="AT99" s="13">
        <v>0.0</v>
      </c>
      <c r="AU99" s="13">
        <v>0.0</v>
      </c>
      <c r="AV99" s="13">
        <v>7.0</v>
      </c>
      <c r="AW99" s="13">
        <v>1529.0</v>
      </c>
      <c r="AX99" s="13">
        <v>1.0</v>
      </c>
      <c r="AY99" s="13">
        <v>138.0</v>
      </c>
      <c r="AZ99" s="13">
        <v>100.0</v>
      </c>
      <c r="BA99" s="13">
        <v>1.0</v>
      </c>
      <c r="BB99" s="13">
        <v>0.0</v>
      </c>
      <c r="BC99" s="13">
        <v>110.0</v>
      </c>
      <c r="BD99" s="13">
        <v>0.0</v>
      </c>
      <c r="BE99" s="13">
        <v>0.0</v>
      </c>
      <c r="BF99" s="13">
        <v>0.0</v>
      </c>
      <c r="BG99" s="13">
        <v>0.0</v>
      </c>
      <c r="BH99">
        <f t="shared" si="15"/>
        <v>2813</v>
      </c>
      <c r="BI99" s="13" t="s">
        <v>1558</v>
      </c>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3"/>
      <c r="CY99" s="13"/>
      <c r="CZ99" s="13"/>
      <c r="DA99" s="13"/>
      <c r="DB99" s="13"/>
      <c r="DC99" s="13"/>
      <c r="DD99" s="13"/>
      <c r="DE99" s="13"/>
      <c r="DF99" s="13"/>
      <c r="DG99" s="13"/>
      <c r="DH99" s="13"/>
      <c r="DI99" s="13"/>
      <c r="DJ99" s="13"/>
      <c r="DK99" s="13"/>
      <c r="DL99" s="13"/>
      <c r="DM99" s="13"/>
      <c r="DN99" s="13"/>
      <c r="DO99" s="13"/>
      <c r="DP99" s="13"/>
      <c r="DQ99" s="13"/>
      <c r="DR99" s="13"/>
      <c r="DS99" s="13"/>
      <c r="DT99" s="13"/>
      <c r="DU99" s="13"/>
      <c r="DV99" s="13"/>
      <c r="DW99" s="13"/>
    </row>
    <row r="100" ht="36.75" customHeight="1">
      <c r="A100" s="11">
        <v>42772.0</v>
      </c>
      <c r="B100" s="13" t="s">
        <v>1534</v>
      </c>
      <c r="C100" s="13" t="s">
        <v>1535</v>
      </c>
      <c r="D100" s="13" t="s">
        <v>1562</v>
      </c>
      <c r="E100" s="26" t="s">
        <v>1537</v>
      </c>
      <c r="F100" s="13">
        <v>27.8936</v>
      </c>
      <c r="G100" s="13">
        <v>82.5401</v>
      </c>
      <c r="H100" s="13">
        <v>27.8941</v>
      </c>
      <c r="I100" s="14">
        <v>82.5374</v>
      </c>
      <c r="J100" s="13" t="s">
        <v>1563</v>
      </c>
      <c r="K100" s="13" t="s">
        <v>1565</v>
      </c>
      <c r="L100" s="13">
        <v>2.0</v>
      </c>
      <c r="N100" s="13">
        <v>15.0</v>
      </c>
      <c r="O100" s="13">
        <v>1.0</v>
      </c>
      <c r="R100" s="13">
        <v>3.0</v>
      </c>
      <c r="V100" s="13"/>
      <c r="W100" s="13"/>
      <c r="X100" s="13">
        <v>5.0</v>
      </c>
      <c r="Y100" s="13"/>
      <c r="Z100" s="13"/>
      <c r="AE100" s="13">
        <v>1.0</v>
      </c>
      <c r="AF100" s="13"/>
      <c r="AH100" s="13"/>
      <c r="AN100" s="13">
        <v>5.0</v>
      </c>
      <c r="AQ100" s="13">
        <v>7.0</v>
      </c>
      <c r="AR100" s="13"/>
      <c r="AW100" s="13">
        <v>6.0</v>
      </c>
      <c r="AY100" s="13"/>
      <c r="AZ100" s="13"/>
      <c r="BH100">
        <f t="shared" si="15"/>
        <v>45</v>
      </c>
    </row>
    <row r="101" ht="36.75" customHeight="1">
      <c r="A101" s="11">
        <v>42772.0</v>
      </c>
      <c r="B101" s="13" t="s">
        <v>1534</v>
      </c>
      <c r="C101" s="13" t="s">
        <v>1570</v>
      </c>
      <c r="D101" s="13" t="s">
        <v>1571</v>
      </c>
      <c r="E101" s="26" t="s">
        <v>1537</v>
      </c>
      <c r="F101" s="13">
        <v>27.8904</v>
      </c>
      <c r="G101" s="13">
        <v>82.5396</v>
      </c>
      <c r="H101" s="13">
        <v>27.8903</v>
      </c>
      <c r="I101" s="14">
        <v>82.5419</v>
      </c>
      <c r="J101" s="13" t="s">
        <v>1572</v>
      </c>
      <c r="K101" s="13" t="s">
        <v>1575</v>
      </c>
      <c r="N101" s="13"/>
      <c r="O101" s="13"/>
      <c r="R101" s="13"/>
      <c r="V101" s="13"/>
      <c r="X101" s="13"/>
      <c r="Y101" s="13"/>
      <c r="AA101" s="13"/>
      <c r="AC101" s="13"/>
      <c r="AE101" s="13">
        <v>4.0</v>
      </c>
      <c r="AH101" s="13"/>
      <c r="AN101" s="13">
        <v>13.0</v>
      </c>
      <c r="AQ101" s="13">
        <v>6.0</v>
      </c>
      <c r="AR101" s="13">
        <v>3.0</v>
      </c>
      <c r="AW101" s="13">
        <v>65.0</v>
      </c>
      <c r="AY101" s="13">
        <v>110.0</v>
      </c>
      <c r="AZ101" s="13"/>
      <c r="BH101">
        <f t="shared" si="15"/>
        <v>201</v>
      </c>
    </row>
    <row r="102" ht="36.75" customHeight="1">
      <c r="A102" s="11">
        <v>42773.0</v>
      </c>
      <c r="B102" s="13" t="s">
        <v>1582</v>
      </c>
      <c r="C102" s="13" t="s">
        <v>1583</v>
      </c>
      <c r="D102" s="13" t="s">
        <v>1584</v>
      </c>
      <c r="E102" s="34" t="s">
        <v>1537</v>
      </c>
      <c r="F102" s="13">
        <v>27.858839</v>
      </c>
      <c r="G102" s="13">
        <v>-82.550643</v>
      </c>
      <c r="H102" s="13">
        <v>27.847667</v>
      </c>
      <c r="I102" s="14">
        <v>-82.553413</v>
      </c>
      <c r="J102" s="13" t="s">
        <v>1585</v>
      </c>
      <c r="K102" s="13" t="s">
        <v>1586</v>
      </c>
      <c r="L102" s="13">
        <v>0.0</v>
      </c>
      <c r="M102" s="13">
        <v>0.0</v>
      </c>
      <c r="N102" s="13">
        <v>0.0</v>
      </c>
      <c r="O102" s="13">
        <v>0.0</v>
      </c>
      <c r="P102" s="13">
        <v>0.0</v>
      </c>
      <c r="Q102" s="13">
        <v>0.0</v>
      </c>
      <c r="R102" s="13">
        <v>0.0</v>
      </c>
      <c r="S102" s="13">
        <v>0.0</v>
      </c>
      <c r="T102" s="13">
        <v>0.0</v>
      </c>
      <c r="U102" s="13">
        <v>0.0</v>
      </c>
      <c r="V102" s="13">
        <v>0.0</v>
      </c>
      <c r="W102" s="13">
        <v>0.0</v>
      </c>
      <c r="X102" s="13">
        <v>0.0</v>
      </c>
      <c r="Y102" s="13">
        <v>0.0</v>
      </c>
      <c r="Z102" s="13">
        <v>0.0</v>
      </c>
      <c r="AA102" s="13">
        <v>0.0</v>
      </c>
      <c r="AB102" s="13">
        <v>0.0</v>
      </c>
      <c r="AC102" s="13">
        <v>0.0</v>
      </c>
      <c r="AD102" s="13">
        <v>0.0</v>
      </c>
      <c r="AE102" s="13">
        <v>1.0</v>
      </c>
      <c r="AF102" s="13">
        <v>0.0</v>
      </c>
      <c r="AG102" s="13">
        <v>0.0</v>
      </c>
      <c r="AH102" s="13">
        <v>0.0</v>
      </c>
      <c r="AI102" s="13">
        <v>0.0</v>
      </c>
      <c r="AJ102" s="13">
        <v>0.0</v>
      </c>
      <c r="AK102" s="13">
        <v>2.0</v>
      </c>
      <c r="AL102" s="13">
        <v>0.0</v>
      </c>
      <c r="AM102" s="13">
        <v>0.0</v>
      </c>
      <c r="AN102" s="13">
        <v>9.0</v>
      </c>
      <c r="AO102" s="13">
        <v>1.0</v>
      </c>
      <c r="AP102" s="13">
        <v>0.0</v>
      </c>
      <c r="AQ102" s="13">
        <v>6.0</v>
      </c>
      <c r="AR102" s="13">
        <v>0.0</v>
      </c>
      <c r="AS102" s="13">
        <v>0.0</v>
      </c>
      <c r="AT102" s="13">
        <v>0.0</v>
      </c>
      <c r="AU102" s="13">
        <v>0.0</v>
      </c>
      <c r="AV102" s="13">
        <v>0.0</v>
      </c>
      <c r="AW102" s="13">
        <v>36.0</v>
      </c>
      <c r="AX102" s="13">
        <v>0.0</v>
      </c>
      <c r="AY102" s="13">
        <v>54.0</v>
      </c>
      <c r="AZ102" s="13">
        <v>3.0</v>
      </c>
      <c r="BA102" s="13">
        <v>0.0</v>
      </c>
      <c r="BB102" s="13">
        <v>0.0</v>
      </c>
      <c r="BC102" s="13">
        <v>0.0</v>
      </c>
      <c r="BD102" s="13">
        <v>0.0</v>
      </c>
      <c r="BE102" s="13">
        <v>0.0</v>
      </c>
      <c r="BF102" s="13">
        <v>0.0</v>
      </c>
      <c r="BG102" s="13">
        <v>0.0</v>
      </c>
      <c r="BH102" s="13">
        <v>112.0</v>
      </c>
      <c r="BI102" s="71" t="s">
        <v>1595</v>
      </c>
    </row>
    <row r="103" ht="36.75" customHeight="1">
      <c r="A103" s="11">
        <v>42774.0</v>
      </c>
      <c r="B103" s="13" t="s">
        <v>1602</v>
      </c>
      <c r="C103" s="13" t="s">
        <v>1603</v>
      </c>
      <c r="D103" s="13" t="s">
        <v>1604</v>
      </c>
      <c r="E103" s="34" t="s">
        <v>1537</v>
      </c>
      <c r="F103" s="13">
        <v>27.69483</v>
      </c>
      <c r="G103" s="13">
        <v>-82.50199</v>
      </c>
      <c r="H103" s="13">
        <v>27.69483</v>
      </c>
      <c r="I103" s="14">
        <v>-82.50199</v>
      </c>
      <c r="J103" s="13" t="s">
        <v>1605</v>
      </c>
      <c r="K103" s="13" t="s">
        <v>1606</v>
      </c>
      <c r="L103" s="13">
        <v>0.0</v>
      </c>
      <c r="M103" s="13">
        <v>0.0</v>
      </c>
      <c r="N103" s="13">
        <v>0.0</v>
      </c>
      <c r="O103" s="13">
        <v>0.0</v>
      </c>
      <c r="P103" s="13">
        <v>1.0</v>
      </c>
      <c r="Q103" s="13">
        <v>7.0</v>
      </c>
      <c r="R103" s="13">
        <v>0.0</v>
      </c>
      <c r="S103" s="13">
        <v>0.0</v>
      </c>
      <c r="T103" s="13">
        <v>0.0</v>
      </c>
      <c r="U103" s="13">
        <v>0.0</v>
      </c>
      <c r="V103" s="13">
        <v>0.0</v>
      </c>
      <c r="W103" s="13">
        <v>0.0</v>
      </c>
      <c r="X103" s="13">
        <v>0.0</v>
      </c>
      <c r="Y103" s="13">
        <v>0.0</v>
      </c>
      <c r="Z103" s="13">
        <v>0.0</v>
      </c>
      <c r="AA103" s="13">
        <v>0.0</v>
      </c>
      <c r="AB103" s="13">
        <v>0.0</v>
      </c>
      <c r="AC103" s="13">
        <v>0.0</v>
      </c>
      <c r="AD103" s="13">
        <v>0.0</v>
      </c>
      <c r="AE103" s="13">
        <v>0.0</v>
      </c>
      <c r="AF103" s="13">
        <v>0.0</v>
      </c>
      <c r="AG103" s="13">
        <v>0.0</v>
      </c>
      <c r="AH103" s="13">
        <v>0.0</v>
      </c>
      <c r="AI103" s="13">
        <v>0.0</v>
      </c>
      <c r="AJ103" s="13">
        <v>2.0</v>
      </c>
      <c r="AK103" s="13">
        <v>0.0</v>
      </c>
      <c r="AL103" s="13">
        <v>0.0</v>
      </c>
      <c r="AM103" s="13">
        <v>0.0</v>
      </c>
      <c r="AN103" s="13">
        <v>0.0</v>
      </c>
      <c r="AO103" s="13">
        <v>4.0</v>
      </c>
      <c r="AP103" s="13">
        <v>0.0</v>
      </c>
      <c r="AQ103" s="13">
        <v>10.0</v>
      </c>
      <c r="AR103" s="13">
        <v>0.0</v>
      </c>
      <c r="AS103" s="13">
        <v>0.0</v>
      </c>
      <c r="AT103" s="13">
        <v>0.0</v>
      </c>
      <c r="AU103" s="13">
        <v>0.0</v>
      </c>
      <c r="AV103" s="13">
        <v>0.0</v>
      </c>
      <c r="AW103" s="13">
        <v>0.0</v>
      </c>
      <c r="AX103" s="13">
        <v>0.0</v>
      </c>
      <c r="AY103" s="13">
        <v>1.0</v>
      </c>
      <c r="AZ103" s="13">
        <v>0.0</v>
      </c>
      <c r="BA103" s="13">
        <v>0.0</v>
      </c>
      <c r="BB103" s="13">
        <v>0.0</v>
      </c>
      <c r="BC103" s="13">
        <v>16.0</v>
      </c>
      <c r="BD103" s="13">
        <v>0.0</v>
      </c>
      <c r="BE103" s="13">
        <v>0.0</v>
      </c>
      <c r="BF103" s="13">
        <v>2.0</v>
      </c>
      <c r="BG103" s="13">
        <v>1.0</v>
      </c>
      <c r="BH103" s="13">
        <v>51.0</v>
      </c>
      <c r="BI103" s="13" t="s">
        <v>1611</v>
      </c>
    </row>
    <row r="104" ht="36.75" customHeight="1">
      <c r="A104" s="11">
        <v>42775.0</v>
      </c>
      <c r="B104" s="13" t="s">
        <v>1602</v>
      </c>
      <c r="C104" s="13" t="s">
        <v>1612</v>
      </c>
      <c r="D104" s="13" t="s">
        <v>1613</v>
      </c>
      <c r="E104" s="34" t="s">
        <v>1537</v>
      </c>
      <c r="F104" s="13">
        <v>27.67638</v>
      </c>
      <c r="G104" s="13">
        <v>-82.48614</v>
      </c>
      <c r="H104" s="13">
        <v>27.67753</v>
      </c>
      <c r="I104" s="14">
        <v>-82.49591</v>
      </c>
      <c r="J104" s="13" t="s">
        <v>1616</v>
      </c>
      <c r="K104" s="13" t="s">
        <v>1617</v>
      </c>
      <c r="L104" s="13">
        <v>0.0</v>
      </c>
      <c r="M104" s="13">
        <v>0.0</v>
      </c>
      <c r="N104" s="13">
        <v>0.0</v>
      </c>
      <c r="O104" s="13">
        <v>0.0</v>
      </c>
      <c r="P104" s="13">
        <v>1.0</v>
      </c>
      <c r="Q104" s="13">
        <v>4.0</v>
      </c>
      <c r="R104" s="13">
        <v>0.0</v>
      </c>
      <c r="S104" s="13">
        <v>12.0</v>
      </c>
      <c r="T104" s="13">
        <v>0.0</v>
      </c>
      <c r="U104" s="13">
        <v>0.0</v>
      </c>
      <c r="V104" s="13">
        <v>0.0</v>
      </c>
      <c r="W104" s="13">
        <v>0.0</v>
      </c>
      <c r="X104" s="13">
        <v>0.0</v>
      </c>
      <c r="Y104" s="13">
        <v>0.0</v>
      </c>
      <c r="Z104" s="13">
        <v>0.0</v>
      </c>
      <c r="AA104" s="13">
        <v>0.0</v>
      </c>
      <c r="AB104" s="13">
        <v>0.0</v>
      </c>
      <c r="AC104" s="13">
        <v>2.0</v>
      </c>
      <c r="AD104" s="13">
        <v>0.0</v>
      </c>
      <c r="AE104" s="13">
        <v>0.0</v>
      </c>
      <c r="AF104" s="13">
        <v>0.0</v>
      </c>
      <c r="AG104" s="13">
        <v>0.0</v>
      </c>
      <c r="AH104" s="13">
        <v>3.0</v>
      </c>
      <c r="AI104" s="13">
        <v>0.0</v>
      </c>
      <c r="AJ104" s="13">
        <v>0.0</v>
      </c>
      <c r="AK104" s="13">
        <v>0.0</v>
      </c>
      <c r="AL104" s="13">
        <v>0.0</v>
      </c>
      <c r="AM104" s="13">
        <v>0.0</v>
      </c>
      <c r="AN104" s="13">
        <v>1.0</v>
      </c>
      <c r="AO104" s="13">
        <v>3.0</v>
      </c>
      <c r="AP104" s="13">
        <v>0.0</v>
      </c>
      <c r="AQ104" s="13">
        <v>32.0</v>
      </c>
      <c r="AR104" s="13">
        <v>8.0</v>
      </c>
      <c r="AS104" s="13">
        <v>0.0</v>
      </c>
      <c r="AT104" s="13">
        <v>0.0</v>
      </c>
      <c r="AU104" s="13">
        <v>0.0</v>
      </c>
      <c r="AV104" s="13">
        <v>0.0</v>
      </c>
      <c r="AW104" s="13">
        <v>0.0</v>
      </c>
      <c r="AX104" s="13">
        <v>0.0</v>
      </c>
      <c r="AY104" s="13">
        <v>1.0</v>
      </c>
      <c r="AZ104" s="13">
        <v>0.0</v>
      </c>
      <c r="BA104" s="13">
        <v>0.0</v>
      </c>
      <c r="BB104" s="13">
        <v>0.0</v>
      </c>
      <c r="BC104" s="13">
        <v>0.0</v>
      </c>
      <c r="BD104" s="13">
        <v>0.0</v>
      </c>
      <c r="BE104" s="13">
        <v>0.0</v>
      </c>
      <c r="BF104" s="13">
        <v>3.0</v>
      </c>
      <c r="BG104" s="13">
        <v>5.0</v>
      </c>
      <c r="BH104" s="13">
        <v>75.0</v>
      </c>
      <c r="BI104" s="13" t="s">
        <v>1622</v>
      </c>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3"/>
      <c r="CZ104" s="13"/>
      <c r="DA104" s="13"/>
      <c r="DB104" s="13"/>
      <c r="DC104" s="13"/>
      <c r="DD104" s="13"/>
      <c r="DE104" s="13"/>
      <c r="DF104" s="13"/>
      <c r="DG104" s="13"/>
      <c r="DH104" s="13"/>
      <c r="DI104" s="13"/>
      <c r="DJ104" s="13"/>
      <c r="DK104" s="13"/>
      <c r="DL104" s="13"/>
      <c r="DM104" s="13"/>
      <c r="DN104" s="13"/>
      <c r="DO104" s="13"/>
      <c r="DP104" s="13"/>
      <c r="DQ104" s="13"/>
      <c r="DR104" s="13"/>
      <c r="DS104" s="13"/>
      <c r="DT104" s="13"/>
      <c r="DU104" s="13"/>
      <c r="DV104" s="13"/>
      <c r="DW104" s="13"/>
    </row>
    <row r="105" ht="36.75" customHeight="1">
      <c r="A105" s="11">
        <v>42772.0</v>
      </c>
      <c r="B105" s="13" t="s">
        <v>1627</v>
      </c>
      <c r="C105" s="13" t="s">
        <v>301</v>
      </c>
      <c r="D105" s="13" t="s">
        <v>1628</v>
      </c>
      <c r="E105" s="34" t="s">
        <v>1629</v>
      </c>
      <c r="F105" s="13" t="s">
        <v>1630</v>
      </c>
      <c r="G105" s="13" t="s">
        <v>1631</v>
      </c>
      <c r="H105" s="13" t="s">
        <v>1632</v>
      </c>
      <c r="I105" s="14" t="s">
        <v>1633</v>
      </c>
      <c r="J105" s="13" t="s">
        <v>1634</v>
      </c>
      <c r="K105" s="13" t="s">
        <v>1635</v>
      </c>
      <c r="Z105" s="13">
        <v>18.0</v>
      </c>
      <c r="AK105" s="13"/>
      <c r="AW105" s="13">
        <v>5.0</v>
      </c>
      <c r="AY105" s="13">
        <v>4.0</v>
      </c>
      <c r="AZ105" s="13">
        <v>5.0</v>
      </c>
      <c r="BH105" s="13">
        <v>32.0</v>
      </c>
      <c r="BI105" s="13" t="s">
        <v>1636</v>
      </c>
    </row>
    <row r="106" ht="36.75" customHeight="1">
      <c r="A106" s="11">
        <v>42772.0</v>
      </c>
      <c r="B106" s="13" t="s">
        <v>1637</v>
      </c>
      <c r="C106" s="13" t="s">
        <v>1638</v>
      </c>
      <c r="D106" s="13" t="s">
        <v>1639</v>
      </c>
      <c r="E106" s="34" t="s">
        <v>1629</v>
      </c>
      <c r="F106" s="13" t="s">
        <v>1640</v>
      </c>
      <c r="G106" s="13" t="s">
        <v>1641</v>
      </c>
      <c r="H106" s="13" t="s">
        <v>1632</v>
      </c>
      <c r="I106" s="14" t="s">
        <v>1633</v>
      </c>
      <c r="J106" s="13" t="s">
        <v>1642</v>
      </c>
      <c r="K106" s="13" t="s">
        <v>1635</v>
      </c>
      <c r="N106" s="13"/>
      <c r="O106" s="13"/>
      <c r="Y106" s="13">
        <v>3.0</v>
      </c>
      <c r="Z106" s="13">
        <v>15.0</v>
      </c>
      <c r="AR106" s="13"/>
      <c r="AU106" s="13">
        <v>5.0</v>
      </c>
      <c r="AV106" s="13">
        <v>1.0</v>
      </c>
      <c r="AY106" s="13">
        <v>15.0</v>
      </c>
      <c r="AZ106" s="13">
        <v>4.0</v>
      </c>
      <c r="BC106" s="13"/>
      <c r="BH106" s="13">
        <v>43.0</v>
      </c>
      <c r="BI106" s="13" t="s">
        <v>1643</v>
      </c>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c r="DE106" s="13"/>
      <c r="DF106" s="13"/>
      <c r="DG106" s="13"/>
      <c r="DH106" s="13"/>
      <c r="DI106" s="13"/>
      <c r="DJ106" s="13"/>
      <c r="DK106" s="13"/>
      <c r="DL106" s="13"/>
      <c r="DM106" s="13"/>
      <c r="DN106" s="13"/>
      <c r="DO106" s="13"/>
      <c r="DP106" s="13"/>
      <c r="DQ106" s="13"/>
      <c r="DR106" s="13"/>
      <c r="DS106" s="13"/>
      <c r="DT106" s="13"/>
      <c r="DU106" s="13"/>
      <c r="DV106" s="13"/>
      <c r="DW106" s="13"/>
    </row>
    <row r="107" ht="36.75" customHeight="1">
      <c r="A107" s="11">
        <v>42772.0</v>
      </c>
      <c r="B107" s="13" t="s">
        <v>1648</v>
      </c>
      <c r="C107" s="13" t="s">
        <v>970</v>
      </c>
      <c r="D107" s="16" t="s">
        <v>1649</v>
      </c>
      <c r="E107" s="34" t="s">
        <v>1629</v>
      </c>
      <c r="F107" s="16">
        <v>27.71151802</v>
      </c>
      <c r="G107" s="16">
        <v>-80.37423486</v>
      </c>
      <c r="H107" s="13">
        <v>27.76790463</v>
      </c>
      <c r="I107" s="13">
        <v>-80.39888401</v>
      </c>
      <c r="J107" s="13" t="s">
        <v>1650</v>
      </c>
      <c r="K107" s="13" t="s">
        <v>1651</v>
      </c>
      <c r="L107" s="13">
        <v>0.0</v>
      </c>
      <c r="M107" s="13">
        <v>0.0</v>
      </c>
      <c r="N107" s="13">
        <v>0.0</v>
      </c>
      <c r="O107" s="13">
        <v>0.0</v>
      </c>
      <c r="P107" s="13">
        <v>0.0</v>
      </c>
      <c r="Q107" s="13">
        <v>0.0</v>
      </c>
      <c r="R107" s="13">
        <v>0.0</v>
      </c>
      <c r="S107" s="13">
        <v>0.0</v>
      </c>
      <c r="T107" s="13">
        <v>0.0</v>
      </c>
      <c r="U107" s="13">
        <v>0.0</v>
      </c>
      <c r="V107" s="13">
        <v>0.0</v>
      </c>
      <c r="W107" s="13">
        <v>0.0</v>
      </c>
      <c r="X107" s="13">
        <v>0.0</v>
      </c>
      <c r="Y107" s="13">
        <v>0.0</v>
      </c>
      <c r="Z107" s="13">
        <v>34.0</v>
      </c>
      <c r="AA107" s="13">
        <v>0.0</v>
      </c>
      <c r="AB107" s="13">
        <v>0.0</v>
      </c>
      <c r="AC107" s="13">
        <v>0.0</v>
      </c>
      <c r="AD107" s="13">
        <v>0.0</v>
      </c>
      <c r="AE107" s="13">
        <v>0.0</v>
      </c>
      <c r="AF107" s="13">
        <v>0.0</v>
      </c>
      <c r="AG107" s="13">
        <v>0.0</v>
      </c>
      <c r="AH107" s="13">
        <v>0.0</v>
      </c>
      <c r="AI107" s="13">
        <v>0.0</v>
      </c>
      <c r="AJ107" s="13">
        <v>0.0</v>
      </c>
      <c r="AK107" s="13">
        <v>0.0</v>
      </c>
      <c r="AL107" s="13">
        <v>0.0</v>
      </c>
      <c r="AM107" s="13">
        <v>0.0</v>
      </c>
      <c r="AN107" s="13">
        <v>0.0</v>
      </c>
      <c r="AO107" s="13">
        <v>0.0</v>
      </c>
      <c r="AP107" s="13">
        <v>0.0</v>
      </c>
      <c r="AQ107" s="13">
        <v>0.0</v>
      </c>
      <c r="AR107" s="13">
        <v>0.0</v>
      </c>
      <c r="AS107" s="13">
        <v>0.0</v>
      </c>
      <c r="AT107" s="13">
        <v>0.0</v>
      </c>
      <c r="AU107" s="13">
        <v>0.0</v>
      </c>
      <c r="AV107" s="13">
        <v>0.0</v>
      </c>
      <c r="AW107" s="13">
        <v>0.0</v>
      </c>
      <c r="AX107" s="13">
        <v>0.0</v>
      </c>
      <c r="AY107" s="13">
        <v>8.0</v>
      </c>
      <c r="AZ107" s="13">
        <v>0.0</v>
      </c>
      <c r="BA107" s="13">
        <v>0.0</v>
      </c>
      <c r="BB107" s="13">
        <v>0.0</v>
      </c>
      <c r="BC107" s="13">
        <v>0.0</v>
      </c>
      <c r="BD107" s="13">
        <v>0.0</v>
      </c>
      <c r="BE107" s="13">
        <v>0.0</v>
      </c>
      <c r="BF107" s="13">
        <v>0.0</v>
      </c>
      <c r="BG107" s="13">
        <v>0.0</v>
      </c>
      <c r="BH107" s="13">
        <f t="shared" ref="BH107:BH112" si="16">sum(L107:BG107)</f>
        <v>42</v>
      </c>
    </row>
    <row r="108" ht="36.75" customHeight="1">
      <c r="A108" s="45">
        <v>42772.0</v>
      </c>
      <c r="B108" s="16" t="s">
        <v>1658</v>
      </c>
      <c r="C108" s="16" t="s">
        <v>1660</v>
      </c>
      <c r="D108" s="13" t="s">
        <v>1661</v>
      </c>
      <c r="E108" s="31" t="s">
        <v>1662</v>
      </c>
      <c r="F108" s="13">
        <v>27.843233</v>
      </c>
      <c r="G108" s="13">
        <v>-80.475255</v>
      </c>
      <c r="H108" s="13">
        <v>27.695928</v>
      </c>
      <c r="I108" s="14">
        <v>-80.390899</v>
      </c>
      <c r="J108" s="13" t="s">
        <v>1663</v>
      </c>
      <c r="K108" s="13" t="s">
        <v>1664</v>
      </c>
      <c r="L108" s="13">
        <v>3.0</v>
      </c>
      <c r="N108" s="13">
        <v>1.0</v>
      </c>
      <c r="Z108" s="13">
        <v>24.0</v>
      </c>
      <c r="AE108" s="13">
        <v>1.0</v>
      </c>
      <c r="AH108" s="13">
        <v>4.0</v>
      </c>
      <c r="AL108" s="13">
        <v>4.0</v>
      </c>
      <c r="AN108" s="13">
        <v>15.0</v>
      </c>
      <c r="AQ108" s="13">
        <v>34.0</v>
      </c>
      <c r="AV108" s="13">
        <v>2.0</v>
      </c>
      <c r="AW108" s="13">
        <v>6.0</v>
      </c>
      <c r="AY108" s="13">
        <v>56.0</v>
      </c>
      <c r="AZ108" s="13">
        <v>40.0</v>
      </c>
      <c r="BA108" s="13">
        <v>2.0</v>
      </c>
      <c r="BC108" s="13">
        <v>17.0</v>
      </c>
      <c r="BH108" s="72">
        <f t="shared" si="16"/>
        <v>209</v>
      </c>
      <c r="BI108" s="13"/>
    </row>
    <row r="109" ht="36.75" customHeight="1">
      <c r="A109" s="45">
        <v>42773.0</v>
      </c>
      <c r="B109" s="16" t="s">
        <v>1658</v>
      </c>
      <c r="C109" s="16" t="s">
        <v>1660</v>
      </c>
      <c r="D109" s="13" t="s">
        <v>1670</v>
      </c>
      <c r="E109" s="31" t="s">
        <v>1662</v>
      </c>
      <c r="F109" s="13">
        <v>27.690354</v>
      </c>
      <c r="G109" s="13">
        <v>-80.386466</v>
      </c>
      <c r="H109" s="13">
        <v>27.5737</v>
      </c>
      <c r="I109" s="14">
        <v>-80.355867</v>
      </c>
      <c r="J109" s="13" t="s">
        <v>1671</v>
      </c>
      <c r="K109" s="13" t="s">
        <v>1664</v>
      </c>
      <c r="Z109" s="13">
        <v>1.0</v>
      </c>
      <c r="AE109" s="13">
        <v>1.0</v>
      </c>
      <c r="AN109" s="13">
        <v>38.0</v>
      </c>
      <c r="AQ109" s="13">
        <v>53.0</v>
      </c>
      <c r="AV109" s="13">
        <v>7.0</v>
      </c>
      <c r="AY109" s="13">
        <v>14.0</v>
      </c>
      <c r="AZ109" s="13">
        <v>8.0</v>
      </c>
      <c r="BC109" s="13">
        <v>15.0</v>
      </c>
      <c r="BH109" s="73">
        <f t="shared" si="16"/>
        <v>137</v>
      </c>
    </row>
    <row r="110" ht="36.75" customHeight="1">
      <c r="A110" s="41">
        <v>42769.0</v>
      </c>
      <c r="B110" s="16" t="s">
        <v>1673</v>
      </c>
      <c r="C110" s="16" t="s">
        <v>653</v>
      </c>
      <c r="D110" s="16" t="s">
        <v>1674</v>
      </c>
      <c r="E110" s="29" t="s">
        <v>608</v>
      </c>
      <c r="F110" s="16">
        <v>26.640366</v>
      </c>
      <c r="G110" s="16">
        <v>-81.87846</v>
      </c>
      <c r="H110" s="13">
        <v>26.37934</v>
      </c>
      <c r="I110" s="13">
        <v>-81.8687</v>
      </c>
      <c r="J110" s="13" t="s">
        <v>1676</v>
      </c>
      <c r="K110" s="13" t="s">
        <v>1677</v>
      </c>
      <c r="L110" s="13">
        <v>0.0</v>
      </c>
      <c r="M110" s="13">
        <v>0.0</v>
      </c>
      <c r="N110" s="13">
        <v>3.0</v>
      </c>
      <c r="O110" s="13">
        <v>18.0</v>
      </c>
      <c r="P110" s="13">
        <v>0.0</v>
      </c>
      <c r="Q110" s="13">
        <v>0.0</v>
      </c>
      <c r="R110" s="13">
        <v>0.0</v>
      </c>
      <c r="S110" s="13">
        <v>0.0</v>
      </c>
      <c r="T110" s="13">
        <v>0.0</v>
      </c>
      <c r="U110" s="13">
        <v>0.0</v>
      </c>
      <c r="V110" s="13">
        <v>0.0</v>
      </c>
      <c r="W110" s="13">
        <v>0.0</v>
      </c>
      <c r="X110" s="13">
        <v>0.0</v>
      </c>
      <c r="Y110" s="13">
        <v>11.0</v>
      </c>
      <c r="Z110" s="13">
        <v>83.0</v>
      </c>
      <c r="AA110" s="13">
        <v>0.0</v>
      </c>
      <c r="AB110" s="13">
        <v>0.0</v>
      </c>
      <c r="AC110" s="13">
        <v>0.0</v>
      </c>
      <c r="AD110" s="13">
        <v>0.0</v>
      </c>
      <c r="AE110" s="13">
        <v>0.0</v>
      </c>
      <c r="AF110" s="13">
        <v>0.0</v>
      </c>
      <c r="AG110" s="13">
        <v>0.0</v>
      </c>
      <c r="AH110" s="13">
        <v>107.0</v>
      </c>
      <c r="AI110" s="13">
        <v>2.0</v>
      </c>
      <c r="AJ110" s="13">
        <v>0.0</v>
      </c>
      <c r="AK110" s="13">
        <v>0.0</v>
      </c>
      <c r="AL110" s="13">
        <v>0.0</v>
      </c>
      <c r="AM110" s="13">
        <v>0.0</v>
      </c>
      <c r="AN110" s="13">
        <v>18.0</v>
      </c>
      <c r="AO110" s="13">
        <v>0.0</v>
      </c>
      <c r="AP110" s="13">
        <v>0.0</v>
      </c>
      <c r="AQ110" s="13">
        <v>14.0</v>
      </c>
      <c r="AR110" s="13">
        <v>0.0</v>
      </c>
      <c r="AS110" s="13">
        <v>0.0</v>
      </c>
      <c r="AT110" s="13">
        <v>0.0</v>
      </c>
      <c r="AU110" s="13">
        <v>0.0</v>
      </c>
      <c r="AV110" s="13">
        <v>6.0</v>
      </c>
      <c r="AW110" s="13">
        <v>20.0</v>
      </c>
      <c r="AX110" s="13">
        <v>0.0</v>
      </c>
      <c r="AY110" s="13">
        <v>19.0</v>
      </c>
      <c r="AZ110" s="13">
        <v>31.0</v>
      </c>
      <c r="BA110" s="13">
        <v>30.0</v>
      </c>
      <c r="BB110" s="13">
        <v>0.0</v>
      </c>
      <c r="BC110" s="13">
        <v>0.0</v>
      </c>
      <c r="BD110" s="13">
        <v>0.0</v>
      </c>
      <c r="BE110" s="13">
        <v>0.0</v>
      </c>
      <c r="BF110" s="13">
        <v>0.0</v>
      </c>
      <c r="BG110" s="13">
        <v>0.0</v>
      </c>
      <c r="BH110" s="13">
        <f t="shared" si="16"/>
        <v>362</v>
      </c>
    </row>
    <row r="111" ht="36.75" customHeight="1">
      <c r="A111" s="32">
        <v>42770.0</v>
      </c>
      <c r="B111" s="26" t="s">
        <v>1682</v>
      </c>
      <c r="C111" s="26" t="s">
        <v>1683</v>
      </c>
      <c r="D111" s="26" t="s">
        <v>1684</v>
      </c>
      <c r="E111" s="34" t="s">
        <v>608</v>
      </c>
      <c r="F111" s="74">
        <v>26.492455</v>
      </c>
      <c r="G111" s="74">
        <v>-81.96801</v>
      </c>
      <c r="H111" s="69">
        <v>26.487865</v>
      </c>
      <c r="I111" s="69">
        <v>-81.96801</v>
      </c>
      <c r="J111" s="26" t="s">
        <v>1686</v>
      </c>
      <c r="K111" s="26" t="s">
        <v>1687</v>
      </c>
      <c r="L111" s="75">
        <v>0.0</v>
      </c>
      <c r="M111" s="75">
        <v>0.0</v>
      </c>
      <c r="N111" s="69">
        <v>0.0</v>
      </c>
      <c r="O111" s="75">
        <v>0.0</v>
      </c>
      <c r="P111" s="75">
        <v>1.0</v>
      </c>
      <c r="Q111" s="75">
        <v>3.0</v>
      </c>
      <c r="R111" s="75">
        <v>0.0</v>
      </c>
      <c r="S111" s="75">
        <v>3.0</v>
      </c>
      <c r="T111" s="75">
        <v>0.0</v>
      </c>
      <c r="U111" s="75">
        <v>0.0</v>
      </c>
      <c r="V111" s="75">
        <v>0.0</v>
      </c>
      <c r="W111" s="75">
        <v>0.0</v>
      </c>
      <c r="X111" s="75">
        <v>0.0</v>
      </c>
      <c r="Y111" s="75">
        <v>0.0</v>
      </c>
      <c r="Z111" s="69">
        <v>0.0</v>
      </c>
      <c r="AA111" s="75">
        <v>0.0</v>
      </c>
      <c r="AB111" s="75">
        <v>0.0</v>
      </c>
      <c r="AC111" s="75">
        <v>0.0</v>
      </c>
      <c r="AD111" s="69">
        <v>0.0</v>
      </c>
      <c r="AE111" s="75">
        <v>0.0</v>
      </c>
      <c r="AF111" s="75">
        <v>0.0</v>
      </c>
      <c r="AG111" s="75">
        <v>0.0</v>
      </c>
      <c r="AH111" s="75">
        <v>0.0</v>
      </c>
      <c r="AI111" s="75">
        <v>3.0</v>
      </c>
      <c r="AJ111" s="75">
        <v>0.0</v>
      </c>
      <c r="AK111" s="75">
        <v>0.0</v>
      </c>
      <c r="AL111" s="69">
        <v>0.0</v>
      </c>
      <c r="AM111" s="75">
        <v>0.0</v>
      </c>
      <c r="AN111" s="69">
        <v>1.0</v>
      </c>
      <c r="AO111" s="75">
        <v>0.0</v>
      </c>
      <c r="AP111" s="75">
        <v>0.0</v>
      </c>
      <c r="AQ111" s="69">
        <v>1.0</v>
      </c>
      <c r="AR111" s="69">
        <v>0.0</v>
      </c>
      <c r="AS111" s="75">
        <v>0.0</v>
      </c>
      <c r="AT111" s="75">
        <v>0.0</v>
      </c>
      <c r="AU111" s="75">
        <v>0.0</v>
      </c>
      <c r="AV111" s="69">
        <v>0.0</v>
      </c>
      <c r="AW111" s="75">
        <v>0.0</v>
      </c>
      <c r="AX111" s="75">
        <v>0.0</v>
      </c>
      <c r="AY111" s="69">
        <v>3.0</v>
      </c>
      <c r="AZ111" s="69">
        <v>0.0</v>
      </c>
      <c r="BA111" s="75">
        <v>0.0</v>
      </c>
      <c r="BB111" s="75">
        <v>0.0</v>
      </c>
      <c r="BC111" s="75">
        <v>0.0</v>
      </c>
      <c r="BD111" s="75">
        <v>0.0</v>
      </c>
      <c r="BE111" s="75">
        <v>0.0</v>
      </c>
      <c r="BF111" s="75">
        <v>0.0</v>
      </c>
      <c r="BG111" s="75">
        <v>0.0</v>
      </c>
      <c r="BH111" s="13">
        <f t="shared" si="16"/>
        <v>15</v>
      </c>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c r="DS111" s="26"/>
      <c r="DT111" s="26"/>
      <c r="DU111" s="26"/>
      <c r="DV111" s="26"/>
      <c r="DW111" s="26"/>
    </row>
    <row r="112" ht="36.75" customHeight="1">
      <c r="A112" s="32">
        <v>42770.0</v>
      </c>
      <c r="B112" s="26" t="s">
        <v>1682</v>
      </c>
      <c r="C112" s="26" t="s">
        <v>1683</v>
      </c>
      <c r="D112" s="26" t="s">
        <v>1684</v>
      </c>
      <c r="E112" s="34" t="s">
        <v>608</v>
      </c>
      <c r="F112" s="74">
        <v>26.492455</v>
      </c>
      <c r="G112" s="74">
        <v>-81.96801</v>
      </c>
      <c r="H112" s="69">
        <v>26.487865</v>
      </c>
      <c r="I112" s="69">
        <v>-81.96801</v>
      </c>
      <c r="J112" s="26" t="s">
        <v>1686</v>
      </c>
      <c r="K112" s="26" t="s">
        <v>1687</v>
      </c>
      <c r="L112" s="69">
        <v>0.0</v>
      </c>
      <c r="M112" s="69">
        <v>0.0</v>
      </c>
      <c r="N112" s="69">
        <v>0.0</v>
      </c>
      <c r="O112" s="69">
        <v>0.0</v>
      </c>
      <c r="P112" s="69">
        <v>1.0</v>
      </c>
      <c r="Q112" s="69">
        <v>3.0</v>
      </c>
      <c r="R112" s="69">
        <v>0.0</v>
      </c>
      <c r="S112" s="69">
        <v>3.0</v>
      </c>
      <c r="T112" s="69">
        <v>0.0</v>
      </c>
      <c r="U112" s="69">
        <v>0.0</v>
      </c>
      <c r="V112" s="69">
        <v>0.0</v>
      </c>
      <c r="W112" s="69">
        <v>0.0</v>
      </c>
      <c r="X112" s="69">
        <v>0.0</v>
      </c>
      <c r="Y112" s="69">
        <v>0.0</v>
      </c>
      <c r="Z112" s="69">
        <v>0.0</v>
      </c>
      <c r="AA112" s="69">
        <v>0.0</v>
      </c>
      <c r="AB112" s="69">
        <v>0.0</v>
      </c>
      <c r="AC112" s="69">
        <v>0.0</v>
      </c>
      <c r="AD112" s="69">
        <v>0.0</v>
      </c>
      <c r="AE112" s="69">
        <v>0.0</v>
      </c>
      <c r="AF112" s="69">
        <v>0.0</v>
      </c>
      <c r="AG112" s="69">
        <v>0.0</v>
      </c>
      <c r="AH112" s="69">
        <v>0.0</v>
      </c>
      <c r="AI112" s="69">
        <v>3.0</v>
      </c>
      <c r="AJ112" s="69">
        <v>0.0</v>
      </c>
      <c r="AK112" s="69">
        <v>0.0</v>
      </c>
      <c r="AL112" s="69">
        <v>0.0</v>
      </c>
      <c r="AM112" s="69">
        <v>0.0</v>
      </c>
      <c r="AN112" s="69">
        <v>1.0</v>
      </c>
      <c r="AO112" s="69">
        <v>0.0</v>
      </c>
      <c r="AP112" s="69">
        <v>0.0</v>
      </c>
      <c r="AQ112" s="69">
        <v>1.0</v>
      </c>
      <c r="AR112" s="69">
        <v>0.0</v>
      </c>
      <c r="AS112" s="69">
        <v>0.0</v>
      </c>
      <c r="AT112" s="69">
        <v>0.0</v>
      </c>
      <c r="AU112" s="69">
        <v>0.0</v>
      </c>
      <c r="AV112" s="69">
        <v>0.0</v>
      </c>
      <c r="AW112" s="69">
        <v>0.0</v>
      </c>
      <c r="AX112" s="69">
        <v>0.0</v>
      </c>
      <c r="AY112" s="69">
        <v>3.0</v>
      </c>
      <c r="AZ112" s="69">
        <v>0.0</v>
      </c>
      <c r="BA112" s="69">
        <v>0.0</v>
      </c>
      <c r="BB112" s="69">
        <v>0.0</v>
      </c>
      <c r="BC112" s="69">
        <v>0.0</v>
      </c>
      <c r="BD112" s="69">
        <v>0.0</v>
      </c>
      <c r="BE112" s="69">
        <v>0.0</v>
      </c>
      <c r="BF112" s="69">
        <v>0.0</v>
      </c>
      <c r="BG112" s="69">
        <v>0.0</v>
      </c>
      <c r="BH112" s="13">
        <f t="shared" si="16"/>
        <v>15</v>
      </c>
      <c r="BI112" s="26"/>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c r="CU112" s="13"/>
      <c r="CV112" s="13"/>
      <c r="CW112" s="13"/>
      <c r="CX112" s="13"/>
      <c r="CY112" s="13"/>
      <c r="CZ112" s="13"/>
      <c r="DA112" s="13"/>
      <c r="DB112" s="13"/>
      <c r="DC112" s="13"/>
      <c r="DD112" s="13"/>
      <c r="DE112" s="13"/>
      <c r="DF112" s="13"/>
      <c r="DG112" s="13"/>
      <c r="DH112" s="13"/>
      <c r="DI112" s="13"/>
      <c r="DJ112" s="13"/>
      <c r="DK112" s="13"/>
      <c r="DL112" s="13"/>
      <c r="DM112" s="13"/>
      <c r="DN112" s="13"/>
      <c r="DO112" s="13"/>
      <c r="DP112" s="13"/>
      <c r="DQ112" s="13"/>
      <c r="DR112" s="13"/>
      <c r="DS112" s="13"/>
      <c r="DT112" s="13"/>
      <c r="DU112" s="13"/>
      <c r="DV112" s="13"/>
      <c r="DW112" s="13"/>
    </row>
    <row r="113" ht="36.75" customHeight="1">
      <c r="A113" s="45">
        <v>42770.0</v>
      </c>
      <c r="B113" s="13" t="s">
        <v>674</v>
      </c>
      <c r="C113" s="13" t="s">
        <v>676</v>
      </c>
      <c r="D113" s="13" t="s">
        <v>677</v>
      </c>
      <c r="E113" s="26" t="s">
        <v>608</v>
      </c>
      <c r="F113" s="13">
        <v>26.470753</v>
      </c>
      <c r="G113" s="13">
        <v>-81.960223</v>
      </c>
      <c r="H113" s="13">
        <v>26.481461</v>
      </c>
      <c r="I113" s="14">
        <v>-81.983076</v>
      </c>
      <c r="J113" s="13" t="s">
        <v>1693</v>
      </c>
      <c r="K113" s="13" t="s">
        <v>1694</v>
      </c>
      <c r="L113" s="13">
        <v>0.0</v>
      </c>
      <c r="M113" s="13">
        <v>0.0</v>
      </c>
      <c r="N113" s="13">
        <v>30.0</v>
      </c>
      <c r="O113" s="13">
        <v>150.0</v>
      </c>
      <c r="P113" s="13">
        <v>0.0</v>
      </c>
      <c r="Q113" s="13">
        <v>0.0</v>
      </c>
      <c r="R113" s="13">
        <v>50.0</v>
      </c>
      <c r="S113" s="13">
        <v>4.0</v>
      </c>
      <c r="T113" s="13">
        <v>0.0</v>
      </c>
      <c r="U113" s="13">
        <v>0.0</v>
      </c>
      <c r="V113" s="13">
        <v>25.0</v>
      </c>
      <c r="W113" s="13">
        <v>15.0</v>
      </c>
      <c r="X113" s="13">
        <v>10.0</v>
      </c>
      <c r="Y113" s="13">
        <v>10.0</v>
      </c>
      <c r="Z113" s="13">
        <v>200.0</v>
      </c>
      <c r="AA113" s="13">
        <v>100.0</v>
      </c>
      <c r="AB113" s="13">
        <v>0.0</v>
      </c>
      <c r="AC113" s="13">
        <v>100.0</v>
      </c>
      <c r="AD113" s="13">
        <v>0.0</v>
      </c>
      <c r="AE113" s="13">
        <v>2.0</v>
      </c>
      <c r="AF113" s="13">
        <v>100.0</v>
      </c>
      <c r="AG113" s="13">
        <v>1.0</v>
      </c>
      <c r="AH113" s="13">
        <v>100.0</v>
      </c>
      <c r="AI113" s="13">
        <v>5.0</v>
      </c>
      <c r="AJ113" s="13">
        <v>0.0</v>
      </c>
      <c r="AK113" s="13">
        <v>200.0</v>
      </c>
      <c r="AL113" s="13">
        <v>0.0</v>
      </c>
      <c r="AM113" s="13">
        <v>0.0</v>
      </c>
      <c r="AN113" s="13">
        <v>15.0</v>
      </c>
      <c r="AO113" s="13">
        <v>1.0</v>
      </c>
      <c r="AP113" s="13">
        <v>0.0</v>
      </c>
      <c r="AQ113" s="13">
        <v>10.0</v>
      </c>
      <c r="AR113" s="13">
        <v>1.0</v>
      </c>
      <c r="AS113" s="13">
        <v>0.0</v>
      </c>
      <c r="AT113" s="13">
        <v>0.0</v>
      </c>
      <c r="AU113" s="13">
        <v>0.0</v>
      </c>
      <c r="AV113" s="13">
        <v>1.0</v>
      </c>
      <c r="AW113" s="13">
        <v>300.0</v>
      </c>
      <c r="AX113" s="13">
        <v>0.0</v>
      </c>
      <c r="AY113" s="13">
        <v>12.0</v>
      </c>
      <c r="AZ113" s="13">
        <v>25.0</v>
      </c>
      <c r="BA113" s="13">
        <v>10.0</v>
      </c>
      <c r="BB113" s="13">
        <v>0.0</v>
      </c>
      <c r="BC113" s="13">
        <v>0.0</v>
      </c>
      <c r="BD113" s="13">
        <v>0.0</v>
      </c>
      <c r="BE113" s="13">
        <v>0.0</v>
      </c>
      <c r="BF113" s="13">
        <v>0.0</v>
      </c>
      <c r="BG113" s="13">
        <v>0.0</v>
      </c>
      <c r="BH113" s="13">
        <v>1480.0</v>
      </c>
    </row>
    <row r="114" ht="36.75" customHeight="1">
      <c r="A114" s="32">
        <v>42771.0</v>
      </c>
      <c r="B114" s="26" t="s">
        <v>1682</v>
      </c>
      <c r="C114" s="26" t="s">
        <v>1683</v>
      </c>
      <c r="D114" s="26" t="s">
        <v>1696</v>
      </c>
      <c r="E114" s="26" t="s">
        <v>608</v>
      </c>
      <c r="F114" s="69">
        <v>26.403929</v>
      </c>
      <c r="G114" s="69">
        <v>-81.883171</v>
      </c>
      <c r="H114" s="69">
        <v>26.402137</v>
      </c>
      <c r="I114" s="76">
        <v>-81.888594</v>
      </c>
      <c r="J114" s="26" t="s">
        <v>1699</v>
      </c>
      <c r="K114" s="26" t="s">
        <v>1701</v>
      </c>
      <c r="L114" s="69">
        <v>0.0</v>
      </c>
      <c r="M114" s="69">
        <v>0.0</v>
      </c>
      <c r="N114" s="69">
        <v>4.0</v>
      </c>
      <c r="O114" s="69">
        <v>0.0</v>
      </c>
      <c r="P114" s="69">
        <v>0.0</v>
      </c>
      <c r="Q114" s="69">
        <v>0.0</v>
      </c>
      <c r="R114" s="69">
        <v>0.0</v>
      </c>
      <c r="S114" s="69">
        <v>0.0</v>
      </c>
      <c r="T114" s="69">
        <v>0.0</v>
      </c>
      <c r="U114" s="69">
        <v>0.0</v>
      </c>
      <c r="V114" s="69">
        <v>0.0</v>
      </c>
      <c r="W114" s="69">
        <v>3.0</v>
      </c>
      <c r="X114" s="69">
        <v>0.0</v>
      </c>
      <c r="Y114" s="69">
        <v>2.0</v>
      </c>
      <c r="Z114" s="69">
        <v>2.0</v>
      </c>
      <c r="AA114" s="69">
        <v>32.0</v>
      </c>
      <c r="AB114" s="69">
        <v>0.0</v>
      </c>
      <c r="AC114" s="69">
        <v>0.0</v>
      </c>
      <c r="AD114" s="69">
        <v>12.0</v>
      </c>
      <c r="AE114" s="69">
        <v>0.0</v>
      </c>
      <c r="AF114" s="69">
        <v>0.0</v>
      </c>
      <c r="AG114" s="69">
        <v>0.0</v>
      </c>
      <c r="AH114" s="69">
        <v>0.0</v>
      </c>
      <c r="AI114" s="69">
        <v>2.0</v>
      </c>
      <c r="AJ114" s="69">
        <v>0.0</v>
      </c>
      <c r="AK114" s="69">
        <v>0.0</v>
      </c>
      <c r="AL114" s="69">
        <v>0.0</v>
      </c>
      <c r="AM114" s="69">
        <v>0.0</v>
      </c>
      <c r="AN114" s="69">
        <v>3.0</v>
      </c>
      <c r="AO114" s="69">
        <v>0.0</v>
      </c>
      <c r="AP114" s="69">
        <v>0.0</v>
      </c>
      <c r="AQ114" s="69">
        <v>0.0</v>
      </c>
      <c r="AR114" s="69">
        <v>0.0</v>
      </c>
      <c r="AS114" s="69">
        <v>0.0</v>
      </c>
      <c r="AT114" s="69">
        <v>0.0</v>
      </c>
      <c r="AU114" s="69">
        <v>1.0</v>
      </c>
      <c r="AV114" s="69">
        <v>1.0</v>
      </c>
      <c r="AW114" s="69">
        <v>3.0</v>
      </c>
      <c r="AX114" s="69">
        <v>1.0</v>
      </c>
      <c r="AY114" s="69">
        <v>13.0</v>
      </c>
      <c r="AZ114" s="69">
        <v>23.0</v>
      </c>
      <c r="BA114" s="69">
        <v>0.0</v>
      </c>
      <c r="BB114" s="69">
        <v>0.0</v>
      </c>
      <c r="BC114" s="69">
        <v>0.0</v>
      </c>
      <c r="BD114" s="69">
        <v>0.0</v>
      </c>
      <c r="BE114" s="69">
        <v>0.0</v>
      </c>
      <c r="BF114" s="69">
        <v>0.0</v>
      </c>
      <c r="BG114" s="69">
        <v>0.0</v>
      </c>
      <c r="BH114" s="13">
        <f t="shared" ref="BH114:BH118" si="17">sum(L114:BG114)</f>
        <v>102</v>
      </c>
      <c r="BI114" s="26"/>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c r="CX114" s="13"/>
      <c r="CY114" s="13"/>
      <c r="CZ114" s="13"/>
      <c r="DA114" s="13"/>
      <c r="DB114" s="13"/>
      <c r="DC114" s="13"/>
      <c r="DD114" s="13"/>
      <c r="DE114" s="13"/>
      <c r="DF114" s="13"/>
      <c r="DG114" s="13"/>
      <c r="DH114" s="13"/>
      <c r="DI114" s="13"/>
      <c r="DJ114" s="13"/>
      <c r="DK114" s="13"/>
      <c r="DL114" s="13"/>
      <c r="DM114" s="13"/>
      <c r="DN114" s="13"/>
      <c r="DO114" s="13"/>
      <c r="DP114" s="13"/>
      <c r="DQ114" s="13"/>
      <c r="DR114" s="13"/>
      <c r="DS114" s="13"/>
      <c r="DT114" s="13"/>
      <c r="DU114" s="13"/>
      <c r="DV114" s="13"/>
      <c r="DW114" s="13"/>
    </row>
    <row r="115" ht="36.75" customHeight="1">
      <c r="A115" s="32">
        <v>42771.0</v>
      </c>
      <c r="B115" s="26" t="s">
        <v>1682</v>
      </c>
      <c r="C115" s="26" t="s">
        <v>1683</v>
      </c>
      <c r="D115" s="26" t="s">
        <v>1696</v>
      </c>
      <c r="E115" s="34" t="s">
        <v>608</v>
      </c>
      <c r="F115" s="69">
        <v>26.402137</v>
      </c>
      <c r="G115" s="69">
        <v>-81.888594</v>
      </c>
      <c r="H115" s="69">
        <v>26.410485</v>
      </c>
      <c r="I115" s="76">
        <v>-81.901577</v>
      </c>
      <c r="J115" s="26" t="s">
        <v>1714</v>
      </c>
      <c r="K115" s="26" t="s">
        <v>1715</v>
      </c>
      <c r="L115" s="69">
        <v>0.0</v>
      </c>
      <c r="M115" s="69">
        <v>0.0</v>
      </c>
      <c r="N115" s="69">
        <v>0.0</v>
      </c>
      <c r="O115" s="69">
        <v>0.0</v>
      </c>
      <c r="P115" s="69">
        <v>0.0</v>
      </c>
      <c r="Q115" s="69">
        <v>0.0</v>
      </c>
      <c r="R115" s="69">
        <v>0.0</v>
      </c>
      <c r="S115" s="69">
        <v>0.0</v>
      </c>
      <c r="T115" s="69">
        <v>0.0</v>
      </c>
      <c r="U115" s="69">
        <v>0.0</v>
      </c>
      <c r="V115" s="69">
        <v>0.0</v>
      </c>
      <c r="W115" s="69">
        <v>0.0</v>
      </c>
      <c r="X115" s="69">
        <v>0.0</v>
      </c>
      <c r="Y115" s="69">
        <v>13.0</v>
      </c>
      <c r="Z115" s="69">
        <v>63.0</v>
      </c>
      <c r="AA115" s="69">
        <v>0.0</v>
      </c>
      <c r="AB115" s="69">
        <v>0.0</v>
      </c>
      <c r="AC115" s="69">
        <v>6.0</v>
      </c>
      <c r="AD115" s="69">
        <v>0.0</v>
      </c>
      <c r="AE115" s="69">
        <v>0.0</v>
      </c>
      <c r="AF115" s="69">
        <v>0.0</v>
      </c>
      <c r="AG115" s="69">
        <v>0.0</v>
      </c>
      <c r="AH115" s="69">
        <v>18.0</v>
      </c>
      <c r="AI115" s="69">
        <v>2.0</v>
      </c>
      <c r="AJ115" s="69">
        <v>0.0</v>
      </c>
      <c r="AK115" s="69">
        <v>0.0</v>
      </c>
      <c r="AL115" s="69">
        <v>0.0</v>
      </c>
      <c r="AM115" s="69">
        <v>0.0</v>
      </c>
      <c r="AN115" s="69">
        <v>2.0</v>
      </c>
      <c r="AO115" s="69">
        <v>0.0</v>
      </c>
      <c r="AP115" s="69">
        <v>0.0</v>
      </c>
      <c r="AQ115" s="69">
        <v>0.0</v>
      </c>
      <c r="AR115" s="69">
        <v>0.0</v>
      </c>
      <c r="AS115" s="69">
        <v>0.0</v>
      </c>
      <c r="AT115" s="69">
        <v>0.0</v>
      </c>
      <c r="AU115" s="69">
        <v>1.0</v>
      </c>
      <c r="AV115" s="69">
        <v>0.0</v>
      </c>
      <c r="AW115" s="69">
        <v>14.0</v>
      </c>
      <c r="AX115" s="69">
        <v>0.0</v>
      </c>
      <c r="AY115" s="69">
        <v>4.0</v>
      </c>
      <c r="AZ115" s="75">
        <v>4.0</v>
      </c>
      <c r="BA115" s="69">
        <v>0.0</v>
      </c>
      <c r="BB115" s="69">
        <v>0.0</v>
      </c>
      <c r="BC115" s="69">
        <v>0.0</v>
      </c>
      <c r="BD115" s="69">
        <v>0.0</v>
      </c>
      <c r="BE115" s="69">
        <v>0.0</v>
      </c>
      <c r="BF115" s="69">
        <v>0.0</v>
      </c>
      <c r="BG115" s="69">
        <v>0.0</v>
      </c>
      <c r="BH115" s="13">
        <f t="shared" si="17"/>
        <v>127</v>
      </c>
      <c r="BI115" s="26"/>
      <c r="BJ115" s="60"/>
      <c r="BK115" s="60"/>
      <c r="BL115" s="60"/>
      <c r="BM115" s="60"/>
      <c r="BN115" s="60"/>
      <c r="BO115" s="60"/>
      <c r="BP115" s="60"/>
      <c r="BQ115" s="60"/>
      <c r="BR115" s="60"/>
      <c r="BS115" s="60"/>
      <c r="BT115" s="60"/>
      <c r="BU115" s="60"/>
      <c r="BV115" s="60"/>
      <c r="BW115" s="60"/>
      <c r="BX115" s="60"/>
      <c r="BY115" s="60"/>
      <c r="BZ115" s="60"/>
      <c r="CA115" s="60"/>
      <c r="CB115" s="60"/>
      <c r="CC115" s="60"/>
      <c r="CD115" s="60"/>
      <c r="CE115" s="60"/>
      <c r="CF115" s="60"/>
      <c r="CG115" s="60"/>
      <c r="CH115" s="60"/>
      <c r="CI115" s="60"/>
      <c r="CJ115" s="60"/>
      <c r="CK115" s="60"/>
      <c r="CL115" s="60"/>
      <c r="CM115" s="60"/>
      <c r="CN115" s="60"/>
      <c r="CO115" s="60"/>
      <c r="CP115" s="60"/>
      <c r="CQ115" s="60"/>
      <c r="CR115" s="60"/>
      <c r="CS115" s="60"/>
      <c r="CT115" s="60"/>
      <c r="CU115" s="60"/>
      <c r="CV115" s="60"/>
      <c r="CW115" s="60"/>
      <c r="CX115" s="60"/>
      <c r="CY115" s="60"/>
      <c r="CZ115" s="60"/>
      <c r="DA115" s="60"/>
      <c r="DB115" s="60"/>
      <c r="DC115" s="60"/>
      <c r="DD115" s="60"/>
      <c r="DE115" s="60"/>
      <c r="DF115" s="60"/>
      <c r="DG115" s="60"/>
      <c r="DH115" s="60"/>
      <c r="DI115" s="60"/>
      <c r="DJ115" s="60"/>
      <c r="DK115" s="60"/>
      <c r="DL115" s="60"/>
      <c r="DM115" s="60"/>
      <c r="DN115" s="60"/>
      <c r="DO115" s="60"/>
      <c r="DP115" s="60"/>
      <c r="DQ115" s="60"/>
      <c r="DR115" s="60"/>
      <c r="DS115" s="60"/>
      <c r="DT115" s="60"/>
      <c r="DU115" s="60"/>
      <c r="DV115" s="60"/>
      <c r="DW115" s="60"/>
    </row>
    <row r="116" ht="36.75" customHeight="1">
      <c r="A116" s="77">
        <v>42771.0</v>
      </c>
      <c r="B116" s="29" t="s">
        <v>1682</v>
      </c>
      <c r="C116" s="29" t="s">
        <v>1683</v>
      </c>
      <c r="D116" s="29" t="s">
        <v>1729</v>
      </c>
      <c r="E116" s="26" t="s">
        <v>608</v>
      </c>
      <c r="F116" s="69">
        <v>26.410485</v>
      </c>
      <c r="G116" s="69">
        <v>-81.901577</v>
      </c>
      <c r="H116" s="69">
        <v>26.416498</v>
      </c>
      <c r="I116" s="76">
        <v>-81.904644</v>
      </c>
      <c r="J116" s="26" t="s">
        <v>1732</v>
      </c>
      <c r="K116" s="26" t="s">
        <v>1733</v>
      </c>
      <c r="L116" s="69">
        <v>3.0</v>
      </c>
      <c r="M116" s="69">
        <v>0.0</v>
      </c>
      <c r="N116" s="69">
        <v>1.0</v>
      </c>
      <c r="O116" s="69">
        <v>1.0</v>
      </c>
      <c r="P116" s="69">
        <v>0.0</v>
      </c>
      <c r="Q116" s="69">
        <v>0.0</v>
      </c>
      <c r="R116" s="69">
        <v>0.0</v>
      </c>
      <c r="S116" s="69">
        <v>0.0</v>
      </c>
      <c r="T116" s="69">
        <v>0.0</v>
      </c>
      <c r="U116" s="69">
        <v>0.0</v>
      </c>
      <c r="V116" s="69">
        <v>0.0</v>
      </c>
      <c r="W116" s="69">
        <v>0.0</v>
      </c>
      <c r="X116" s="69">
        <v>0.0</v>
      </c>
      <c r="Y116" s="69">
        <v>16.0</v>
      </c>
      <c r="Z116" s="69">
        <v>48.0</v>
      </c>
      <c r="AA116" s="69">
        <v>2.0</v>
      </c>
      <c r="AB116" s="69">
        <v>0.0</v>
      </c>
      <c r="AC116" s="69">
        <v>0.0</v>
      </c>
      <c r="AD116" s="69">
        <v>0.0</v>
      </c>
      <c r="AE116" s="69">
        <v>0.0</v>
      </c>
      <c r="AF116" s="69">
        <v>0.0</v>
      </c>
      <c r="AG116" s="69">
        <v>0.0</v>
      </c>
      <c r="AH116" s="69">
        <v>2.0</v>
      </c>
      <c r="AI116" s="69">
        <v>0.0</v>
      </c>
      <c r="AJ116" s="69">
        <v>0.0</v>
      </c>
      <c r="AK116" s="69">
        <v>0.0</v>
      </c>
      <c r="AL116" s="69">
        <v>0.0</v>
      </c>
      <c r="AM116" s="69">
        <v>0.0</v>
      </c>
      <c r="AN116" s="69">
        <v>15.0</v>
      </c>
      <c r="AO116" s="69">
        <v>0.0</v>
      </c>
      <c r="AP116" s="69">
        <v>0.0</v>
      </c>
      <c r="AQ116" s="69">
        <v>8.0</v>
      </c>
      <c r="AR116" s="69">
        <v>0.0</v>
      </c>
      <c r="AS116" s="69">
        <v>0.0</v>
      </c>
      <c r="AT116" s="69">
        <v>0.0</v>
      </c>
      <c r="AU116" s="69">
        <v>0.0</v>
      </c>
      <c r="AV116" s="69">
        <v>0.0</v>
      </c>
      <c r="AW116" s="69">
        <v>40.0</v>
      </c>
      <c r="AX116" s="69">
        <v>0.0</v>
      </c>
      <c r="AY116" s="69">
        <v>5.0</v>
      </c>
      <c r="AZ116" s="69">
        <v>37.0</v>
      </c>
      <c r="BA116" s="69">
        <v>7.0</v>
      </c>
      <c r="BB116" s="69">
        <v>0.0</v>
      </c>
      <c r="BC116" s="69">
        <v>0.0</v>
      </c>
      <c r="BD116" s="69">
        <v>0.0</v>
      </c>
      <c r="BE116" s="69">
        <v>0.0</v>
      </c>
      <c r="BF116" s="69">
        <v>0.0</v>
      </c>
      <c r="BG116" s="69">
        <v>0.0</v>
      </c>
      <c r="BH116" s="13">
        <f t="shared" si="17"/>
        <v>185</v>
      </c>
      <c r="BI116" s="38"/>
    </row>
    <row r="117" ht="36.75" customHeight="1">
      <c r="A117" s="41">
        <v>42772.0</v>
      </c>
      <c r="B117" s="16" t="s">
        <v>1448</v>
      </c>
      <c r="C117" s="16" t="s">
        <v>653</v>
      </c>
      <c r="D117" s="16" t="s">
        <v>1742</v>
      </c>
      <c r="E117" s="34" t="s">
        <v>608</v>
      </c>
      <c r="F117" s="16">
        <v>26.71943</v>
      </c>
      <c r="G117" s="16">
        <v>-82.25872</v>
      </c>
      <c r="H117" s="13">
        <v>26.72733</v>
      </c>
      <c r="I117" s="13">
        <v>-82.26417</v>
      </c>
      <c r="J117" s="13" t="s">
        <v>1745</v>
      </c>
      <c r="K117" s="13" t="s">
        <v>1746</v>
      </c>
      <c r="L117" s="13">
        <v>0.0</v>
      </c>
      <c r="M117" s="13">
        <v>0.0</v>
      </c>
      <c r="N117" s="13">
        <v>0.0</v>
      </c>
      <c r="O117" s="13">
        <v>0.0</v>
      </c>
      <c r="P117" s="13">
        <v>0.0</v>
      </c>
      <c r="Q117" s="13">
        <v>0.0</v>
      </c>
      <c r="R117" s="13">
        <v>0.0</v>
      </c>
      <c r="S117" s="13">
        <v>0.0</v>
      </c>
      <c r="T117" s="13">
        <v>0.0</v>
      </c>
      <c r="U117" s="13">
        <v>0.0</v>
      </c>
      <c r="V117" s="13">
        <v>0.0</v>
      </c>
      <c r="W117" s="13">
        <v>0.0</v>
      </c>
      <c r="X117" s="13">
        <v>0.0</v>
      </c>
      <c r="Y117" s="13">
        <v>1.0</v>
      </c>
      <c r="Z117" s="13">
        <v>0.0</v>
      </c>
      <c r="AA117" s="13">
        <v>0.0</v>
      </c>
      <c r="AB117" s="13">
        <v>0.0</v>
      </c>
      <c r="AC117" s="13">
        <v>0.0</v>
      </c>
      <c r="AD117" s="13">
        <v>5.0</v>
      </c>
      <c r="AE117" s="13">
        <v>0.0</v>
      </c>
      <c r="AF117" s="13">
        <v>0.0</v>
      </c>
      <c r="AG117" s="13">
        <v>0.0</v>
      </c>
      <c r="AH117" s="13">
        <v>0.0</v>
      </c>
      <c r="AI117" s="13">
        <v>0.0</v>
      </c>
      <c r="AJ117" s="13">
        <v>0.0</v>
      </c>
      <c r="AK117" s="13">
        <v>0.0</v>
      </c>
      <c r="AL117" s="13">
        <v>0.0</v>
      </c>
      <c r="AM117" s="13">
        <v>0.0</v>
      </c>
      <c r="AN117" s="13">
        <v>12.0</v>
      </c>
      <c r="AO117" s="13">
        <v>0.0</v>
      </c>
      <c r="AP117" s="13">
        <v>0.0</v>
      </c>
      <c r="AQ117" s="13">
        <v>10.0</v>
      </c>
      <c r="AR117" s="13">
        <v>0.0</v>
      </c>
      <c r="AS117" s="13">
        <v>0.0</v>
      </c>
      <c r="AT117" s="13">
        <v>0.0</v>
      </c>
      <c r="AU117" s="13">
        <v>0.0</v>
      </c>
      <c r="AV117" s="13">
        <v>2.0</v>
      </c>
      <c r="AW117" s="13">
        <v>43.0</v>
      </c>
      <c r="AX117" s="13">
        <v>0.0</v>
      </c>
      <c r="AY117" s="13">
        <v>15.0</v>
      </c>
      <c r="AZ117" s="13">
        <v>38.0</v>
      </c>
      <c r="BA117" s="13">
        <v>0.0</v>
      </c>
      <c r="BB117" s="13">
        <v>0.0</v>
      </c>
      <c r="BC117" s="13">
        <v>0.0</v>
      </c>
      <c r="BD117" s="13">
        <v>0.0</v>
      </c>
      <c r="BE117" s="13">
        <v>0.0</v>
      </c>
      <c r="BF117" s="13">
        <v>0.0</v>
      </c>
      <c r="BG117" s="13">
        <v>0.0</v>
      </c>
      <c r="BH117" s="13">
        <f t="shared" si="17"/>
        <v>126</v>
      </c>
      <c r="BI117" s="13" t="s">
        <v>1751</v>
      </c>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c r="CU117" s="13"/>
      <c r="CV117" s="13"/>
      <c r="CW117" s="13"/>
      <c r="CX117" s="13"/>
      <c r="CY117" s="13"/>
      <c r="CZ117" s="13"/>
      <c r="DA117" s="13"/>
      <c r="DB117" s="13"/>
      <c r="DC117" s="13"/>
      <c r="DD117" s="13"/>
      <c r="DE117" s="13"/>
      <c r="DF117" s="13"/>
      <c r="DG117" s="13"/>
      <c r="DH117" s="13"/>
      <c r="DI117" s="13"/>
      <c r="DJ117" s="13"/>
      <c r="DK117" s="13"/>
      <c r="DL117" s="13"/>
      <c r="DM117" s="13"/>
      <c r="DN117" s="13"/>
      <c r="DO117" s="13"/>
      <c r="DP117" s="13"/>
      <c r="DQ117" s="13"/>
      <c r="DR117" s="13"/>
      <c r="DS117" s="13"/>
      <c r="DT117" s="13"/>
      <c r="DU117" s="13"/>
      <c r="DV117" s="13"/>
      <c r="DW117" s="13"/>
    </row>
    <row r="118" ht="36.75" customHeight="1">
      <c r="A118" s="41">
        <v>42772.0</v>
      </c>
      <c r="B118" s="16" t="s">
        <v>1448</v>
      </c>
      <c r="C118" s="16" t="s">
        <v>497</v>
      </c>
      <c r="D118" s="16" t="s">
        <v>1450</v>
      </c>
      <c r="E118" s="26" t="s">
        <v>608</v>
      </c>
      <c r="F118" s="16">
        <v>26.70593</v>
      </c>
      <c r="G118" s="16" t="s">
        <v>1762</v>
      </c>
      <c r="H118" s="13">
        <v>26.55561</v>
      </c>
      <c r="I118" s="13">
        <v>-82.200374</v>
      </c>
      <c r="J118" s="13" t="s">
        <v>1763</v>
      </c>
      <c r="K118" s="13" t="s">
        <v>1764</v>
      </c>
      <c r="L118" s="13">
        <v>0.0</v>
      </c>
      <c r="M118" s="13">
        <v>0.0</v>
      </c>
      <c r="N118" s="13">
        <v>64.0</v>
      </c>
      <c r="O118" s="13">
        <v>137.0</v>
      </c>
      <c r="P118" s="13">
        <v>0.0</v>
      </c>
      <c r="Q118" s="13">
        <v>0.0</v>
      </c>
      <c r="R118" s="13">
        <v>0.0</v>
      </c>
      <c r="S118" s="13">
        <v>0.0</v>
      </c>
      <c r="T118" s="13">
        <v>0.0</v>
      </c>
      <c r="U118" s="13">
        <v>0.0</v>
      </c>
      <c r="V118" s="13">
        <v>0.0</v>
      </c>
      <c r="W118" s="13">
        <v>2.0</v>
      </c>
      <c r="X118" s="13">
        <v>6.0</v>
      </c>
      <c r="Y118" s="13">
        <v>87.0</v>
      </c>
      <c r="Z118" s="13">
        <v>278.0</v>
      </c>
      <c r="AA118" s="13">
        <v>34.0</v>
      </c>
      <c r="AB118" s="13">
        <v>0.0</v>
      </c>
      <c r="AC118" s="13">
        <v>0.0</v>
      </c>
      <c r="AD118" s="13">
        <v>22.0</v>
      </c>
      <c r="AE118" s="13">
        <v>0.0</v>
      </c>
      <c r="AF118" s="13">
        <v>0.0</v>
      </c>
      <c r="AG118" s="13">
        <v>0.0</v>
      </c>
      <c r="AH118" s="13">
        <v>3.0</v>
      </c>
      <c r="AI118" s="13">
        <v>9.0</v>
      </c>
      <c r="AJ118" s="13">
        <v>0.0</v>
      </c>
      <c r="AK118" s="13">
        <v>0.0</v>
      </c>
      <c r="AL118" s="13">
        <v>0.0</v>
      </c>
      <c r="AM118" s="13">
        <v>0.0</v>
      </c>
      <c r="AN118" s="13">
        <v>4.0</v>
      </c>
      <c r="AO118" s="13">
        <v>1.0</v>
      </c>
      <c r="AP118" s="13">
        <v>0.0</v>
      </c>
      <c r="AQ118" s="13">
        <v>2.0</v>
      </c>
      <c r="AR118" s="13">
        <v>0.0</v>
      </c>
      <c r="AS118" s="13">
        <v>0.0</v>
      </c>
      <c r="AT118" s="13">
        <v>0.0</v>
      </c>
      <c r="AU118" s="13">
        <v>0.0</v>
      </c>
      <c r="AV118" s="13">
        <v>19.0</v>
      </c>
      <c r="AW118" s="13">
        <v>26.0</v>
      </c>
      <c r="AX118" s="13">
        <v>0.0</v>
      </c>
      <c r="AY118" s="13">
        <v>15.0</v>
      </c>
      <c r="AZ118" s="13">
        <v>209.0</v>
      </c>
      <c r="BA118" s="13">
        <v>0.0</v>
      </c>
      <c r="BB118" s="13">
        <v>0.0</v>
      </c>
      <c r="BC118" s="13">
        <v>0.0</v>
      </c>
      <c r="BD118" s="13">
        <v>0.0</v>
      </c>
      <c r="BE118" s="13">
        <v>0.0</v>
      </c>
      <c r="BF118" s="13">
        <v>0.0</v>
      </c>
      <c r="BG118" s="13">
        <v>0.0</v>
      </c>
      <c r="BH118" s="13">
        <f t="shared" si="17"/>
        <v>918</v>
      </c>
    </row>
    <row r="119" ht="36.75" customHeight="1">
      <c r="A119" s="41">
        <v>42772.0</v>
      </c>
      <c r="B119" s="16" t="s">
        <v>605</v>
      </c>
      <c r="C119" s="16" t="s">
        <v>606</v>
      </c>
      <c r="D119" s="16" t="s">
        <v>1769</v>
      </c>
      <c r="E119" s="26" t="s">
        <v>608</v>
      </c>
      <c r="F119" s="81">
        <v>26.45362</v>
      </c>
      <c r="G119" s="82">
        <v>-82.01411</v>
      </c>
      <c r="H119" s="82">
        <v>26.43842</v>
      </c>
      <c r="I119" s="82">
        <v>-82.03759</v>
      </c>
      <c r="J119" s="13" t="s">
        <v>1773</v>
      </c>
      <c r="K119" s="13" t="s">
        <v>1774</v>
      </c>
      <c r="L119" s="13">
        <v>0.0</v>
      </c>
      <c r="M119" s="13">
        <v>0.0</v>
      </c>
      <c r="N119" s="13">
        <v>0.0</v>
      </c>
      <c r="O119" s="13">
        <v>0.0</v>
      </c>
      <c r="P119" s="13">
        <v>0.0</v>
      </c>
      <c r="Q119" s="13">
        <v>0.0</v>
      </c>
      <c r="R119" s="13">
        <v>0.0</v>
      </c>
      <c r="S119" s="13">
        <v>0.0</v>
      </c>
      <c r="T119" s="13">
        <v>0.0</v>
      </c>
      <c r="U119" s="13">
        <v>0.0</v>
      </c>
      <c r="V119" s="13">
        <v>0.0</v>
      </c>
      <c r="W119" s="13">
        <v>0.0</v>
      </c>
      <c r="X119" s="13">
        <v>0.0</v>
      </c>
      <c r="Y119" s="13">
        <v>23.0</v>
      </c>
      <c r="Z119" s="13">
        <v>5.0</v>
      </c>
      <c r="AA119" s="13">
        <v>0.0</v>
      </c>
      <c r="AB119" s="13">
        <v>0.0</v>
      </c>
      <c r="AC119" s="13">
        <v>0.0</v>
      </c>
      <c r="AD119" s="13">
        <v>0.0</v>
      </c>
      <c r="AE119" s="13">
        <v>0.0</v>
      </c>
      <c r="AF119" s="13">
        <v>0.0</v>
      </c>
      <c r="AG119" s="13">
        <v>0.0</v>
      </c>
      <c r="AH119" s="13">
        <v>1.0</v>
      </c>
      <c r="AI119" s="13">
        <v>0.0</v>
      </c>
      <c r="AJ119" s="13">
        <v>0.0</v>
      </c>
      <c r="AK119" s="13">
        <v>0.0</v>
      </c>
      <c r="AL119" s="13">
        <v>0.0</v>
      </c>
      <c r="AM119" s="13">
        <v>0.0</v>
      </c>
      <c r="AN119" s="13">
        <v>0.0</v>
      </c>
      <c r="AO119" s="13">
        <v>0.0</v>
      </c>
      <c r="AP119" s="13">
        <v>0.0</v>
      </c>
      <c r="AQ119" s="13">
        <v>0.0</v>
      </c>
      <c r="AR119" s="13">
        <v>0.0</v>
      </c>
      <c r="AS119" s="13">
        <v>0.0</v>
      </c>
      <c r="AT119" s="13">
        <v>0.0</v>
      </c>
      <c r="AU119" s="13">
        <v>0.0</v>
      </c>
      <c r="AV119" s="13">
        <v>0.0</v>
      </c>
      <c r="AW119" s="13">
        <v>69.0</v>
      </c>
      <c r="AX119" s="13">
        <v>7.0</v>
      </c>
      <c r="AY119" s="13">
        <v>20.0</v>
      </c>
      <c r="AZ119" s="13">
        <v>25.0</v>
      </c>
      <c r="BA119" s="13">
        <v>0.0</v>
      </c>
      <c r="BB119" s="13">
        <v>0.0</v>
      </c>
      <c r="BC119" s="13">
        <v>0.0</v>
      </c>
      <c r="BD119" s="13">
        <v>0.0</v>
      </c>
      <c r="BE119" s="13">
        <v>0.0</v>
      </c>
      <c r="BF119" s="13">
        <v>0.0</v>
      </c>
      <c r="BG119" s="13">
        <v>0.0</v>
      </c>
      <c r="BH119">
        <f t="shared" ref="BH119:BH121" si="18">SUM(L119:BG119)</f>
        <v>150</v>
      </c>
    </row>
    <row r="120" ht="36.75" customHeight="1">
      <c r="A120" s="41">
        <v>42772.0</v>
      </c>
      <c r="B120" s="16" t="s">
        <v>605</v>
      </c>
      <c r="C120" s="16" t="s">
        <v>606</v>
      </c>
      <c r="D120" s="16" t="s">
        <v>1781</v>
      </c>
      <c r="E120" s="34" t="s">
        <v>608</v>
      </c>
      <c r="F120" s="82">
        <v>26.43842</v>
      </c>
      <c r="G120" s="82">
        <v>-82.03759</v>
      </c>
      <c r="H120" s="83">
        <v>26.43101</v>
      </c>
      <c r="I120" s="83">
        <v>-82.05121</v>
      </c>
      <c r="J120" s="13" t="s">
        <v>1785</v>
      </c>
      <c r="K120" s="13" t="s">
        <v>1774</v>
      </c>
      <c r="L120" s="13">
        <v>0.0</v>
      </c>
      <c r="M120" s="13">
        <v>0.0</v>
      </c>
      <c r="N120" s="13">
        <v>0.0</v>
      </c>
      <c r="O120" s="13">
        <v>0.0</v>
      </c>
      <c r="P120" s="13">
        <v>0.0</v>
      </c>
      <c r="Q120" s="13">
        <v>0.0</v>
      </c>
      <c r="R120" s="13">
        <v>0.0</v>
      </c>
      <c r="S120" s="13">
        <v>0.0</v>
      </c>
      <c r="T120" s="13">
        <v>0.0</v>
      </c>
      <c r="U120" s="13">
        <v>0.0</v>
      </c>
      <c r="V120" s="13">
        <v>0.0</v>
      </c>
      <c r="W120" s="13">
        <v>0.0</v>
      </c>
      <c r="X120" s="13">
        <v>0.0</v>
      </c>
      <c r="Y120" s="13">
        <v>0.0</v>
      </c>
      <c r="Z120" s="13">
        <v>0.0</v>
      </c>
      <c r="AA120" s="13">
        <v>0.0</v>
      </c>
      <c r="AB120" s="13">
        <v>0.0</v>
      </c>
      <c r="AC120" s="13">
        <v>0.0</v>
      </c>
      <c r="AD120" s="13">
        <v>0.0</v>
      </c>
      <c r="AE120" s="13">
        <v>0.0</v>
      </c>
      <c r="AF120" s="13">
        <v>0.0</v>
      </c>
      <c r="AG120" s="13">
        <v>0.0</v>
      </c>
      <c r="AH120" s="13">
        <v>33.0</v>
      </c>
      <c r="AI120" s="13">
        <v>0.0</v>
      </c>
      <c r="AJ120" s="13">
        <v>0.0</v>
      </c>
      <c r="AK120" s="13">
        <v>0.0</v>
      </c>
      <c r="AL120" s="13">
        <v>0.0</v>
      </c>
      <c r="AM120" s="13">
        <v>0.0</v>
      </c>
      <c r="AN120" s="13">
        <v>0.0</v>
      </c>
      <c r="AO120" s="13">
        <v>0.0</v>
      </c>
      <c r="AP120" s="13">
        <v>0.0</v>
      </c>
      <c r="AQ120" s="13">
        <v>0.0</v>
      </c>
      <c r="AR120" s="13">
        <v>0.0</v>
      </c>
      <c r="AS120" s="13">
        <v>0.0</v>
      </c>
      <c r="AT120" s="13">
        <v>0.0</v>
      </c>
      <c r="AU120" s="13">
        <v>0.0</v>
      </c>
      <c r="AV120" s="13">
        <v>0.0</v>
      </c>
      <c r="AW120" s="13">
        <v>39.0</v>
      </c>
      <c r="AX120" s="13">
        <v>5.0</v>
      </c>
      <c r="AY120" s="13">
        <v>34.0</v>
      </c>
      <c r="AZ120" s="13">
        <v>41.0</v>
      </c>
      <c r="BA120" s="13">
        <v>1.0</v>
      </c>
      <c r="BB120" s="13">
        <v>0.0</v>
      </c>
      <c r="BC120" s="13">
        <v>0.0</v>
      </c>
      <c r="BD120" s="13">
        <v>0.0</v>
      </c>
      <c r="BE120" s="13">
        <v>0.0</v>
      </c>
      <c r="BF120" s="13">
        <v>0.0</v>
      </c>
      <c r="BG120" s="13">
        <v>0.0</v>
      </c>
      <c r="BH120">
        <f t="shared" si="18"/>
        <v>153</v>
      </c>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c r="CT120" s="13"/>
      <c r="CU120" s="13"/>
      <c r="CV120" s="13"/>
      <c r="CW120" s="13"/>
      <c r="CX120" s="13"/>
      <c r="CY120" s="13"/>
      <c r="CZ120" s="13"/>
      <c r="DA120" s="13"/>
      <c r="DB120" s="13"/>
      <c r="DC120" s="13"/>
      <c r="DD120" s="13"/>
      <c r="DE120" s="13"/>
      <c r="DF120" s="13"/>
      <c r="DG120" s="13"/>
      <c r="DH120" s="13"/>
      <c r="DI120" s="13"/>
      <c r="DJ120" s="13"/>
      <c r="DK120" s="13"/>
      <c r="DL120" s="13"/>
      <c r="DM120" s="13"/>
      <c r="DN120" s="13"/>
      <c r="DO120" s="13"/>
      <c r="DP120" s="13"/>
      <c r="DQ120" s="13"/>
      <c r="DR120" s="13"/>
      <c r="DS120" s="13"/>
      <c r="DT120" s="13"/>
      <c r="DU120" s="13"/>
      <c r="DV120" s="13"/>
      <c r="DW120" s="13"/>
    </row>
    <row r="121" ht="36.75" customHeight="1">
      <c r="A121" s="41">
        <v>42772.0</v>
      </c>
      <c r="B121" s="16" t="s">
        <v>605</v>
      </c>
      <c r="C121" s="16" t="s">
        <v>606</v>
      </c>
      <c r="D121" s="16" t="s">
        <v>607</v>
      </c>
      <c r="E121" s="26" t="s">
        <v>608</v>
      </c>
      <c r="F121" s="83">
        <v>26.43101</v>
      </c>
      <c r="G121" s="83">
        <v>-82.05121</v>
      </c>
      <c r="H121" s="83">
        <v>26.42196</v>
      </c>
      <c r="I121" s="83">
        <v>-82.0801</v>
      </c>
      <c r="J121" s="13" t="s">
        <v>1792</v>
      </c>
      <c r="K121" s="13" t="s">
        <v>1774</v>
      </c>
      <c r="L121" s="13">
        <v>0.0</v>
      </c>
      <c r="M121" s="13">
        <v>0.0</v>
      </c>
      <c r="N121" s="13">
        <v>0.0</v>
      </c>
      <c r="O121" s="13">
        <v>0.0</v>
      </c>
      <c r="P121" s="13">
        <v>0.0</v>
      </c>
      <c r="Q121" s="13">
        <v>0.0</v>
      </c>
      <c r="R121" s="13">
        <v>0.0</v>
      </c>
      <c r="S121" s="13">
        <v>0.0</v>
      </c>
      <c r="T121" s="13">
        <v>0.0</v>
      </c>
      <c r="U121" s="13">
        <v>0.0</v>
      </c>
      <c r="V121" s="13">
        <v>0.0</v>
      </c>
      <c r="W121" s="13">
        <v>0.0</v>
      </c>
      <c r="X121" s="13">
        <v>0.0</v>
      </c>
      <c r="Y121" s="13">
        <v>46.0</v>
      </c>
      <c r="Z121" s="13">
        <v>90.0</v>
      </c>
      <c r="AA121" s="13">
        <v>0.0</v>
      </c>
      <c r="AB121" s="13">
        <v>0.0</v>
      </c>
      <c r="AC121" s="13">
        <v>0.0</v>
      </c>
      <c r="AD121" s="13">
        <v>6.0</v>
      </c>
      <c r="AE121" s="13">
        <v>0.0</v>
      </c>
      <c r="AF121" s="13">
        <v>0.0</v>
      </c>
      <c r="AG121" s="13">
        <v>0.0</v>
      </c>
      <c r="AH121" s="13">
        <v>61.0</v>
      </c>
      <c r="AI121" s="13">
        <v>0.0</v>
      </c>
      <c r="AJ121" s="13">
        <v>0.0</v>
      </c>
      <c r="AK121" s="13">
        <v>0.0</v>
      </c>
      <c r="AL121" s="13">
        <v>0.0</v>
      </c>
      <c r="AM121" s="13">
        <v>0.0</v>
      </c>
      <c r="AN121" s="13">
        <v>0.0</v>
      </c>
      <c r="AO121" s="13">
        <v>0.0</v>
      </c>
      <c r="AP121" s="13">
        <v>0.0</v>
      </c>
      <c r="AQ121" s="13">
        <v>0.0</v>
      </c>
      <c r="AR121" s="13">
        <v>0.0</v>
      </c>
      <c r="AS121" s="13">
        <v>0.0</v>
      </c>
      <c r="AT121" s="13">
        <v>0.0</v>
      </c>
      <c r="AU121" s="13">
        <v>0.0</v>
      </c>
      <c r="AV121" s="13">
        <v>0.0</v>
      </c>
      <c r="AW121" s="13">
        <v>20.0</v>
      </c>
      <c r="AX121" s="13">
        <v>2.0</v>
      </c>
      <c r="AY121" s="13">
        <v>15.0</v>
      </c>
      <c r="AZ121" s="13">
        <v>0.0</v>
      </c>
      <c r="BA121" s="13">
        <v>0.0</v>
      </c>
      <c r="BB121" s="13">
        <v>0.0</v>
      </c>
      <c r="BC121" s="13">
        <v>0.0</v>
      </c>
      <c r="BD121" s="13">
        <v>0.0</v>
      </c>
      <c r="BE121" s="13">
        <v>0.0</v>
      </c>
      <c r="BF121" s="13">
        <v>0.0</v>
      </c>
      <c r="BG121" s="13">
        <v>0.0</v>
      </c>
      <c r="BH121">
        <f t="shared" si="18"/>
        <v>240</v>
      </c>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3"/>
      <c r="CR121" s="13"/>
      <c r="CS121" s="13"/>
      <c r="CT121" s="13"/>
      <c r="CU121" s="13"/>
      <c r="CV121" s="13"/>
      <c r="CW121" s="13"/>
      <c r="CX121" s="13"/>
      <c r="CY121" s="13"/>
      <c r="CZ121" s="13"/>
      <c r="DA121" s="13"/>
      <c r="DB121" s="13"/>
      <c r="DC121" s="13"/>
      <c r="DD121" s="13"/>
      <c r="DE121" s="13"/>
      <c r="DF121" s="13"/>
      <c r="DG121" s="13"/>
      <c r="DH121" s="13"/>
      <c r="DI121" s="13"/>
      <c r="DJ121" s="13"/>
      <c r="DK121" s="13"/>
      <c r="DL121" s="13"/>
      <c r="DM121" s="13"/>
      <c r="DN121" s="13"/>
      <c r="DO121" s="13"/>
      <c r="DP121" s="13"/>
      <c r="DQ121" s="13"/>
      <c r="DR121" s="13"/>
      <c r="DS121" s="13"/>
      <c r="DT121" s="13"/>
      <c r="DU121" s="13"/>
      <c r="DV121" s="13"/>
      <c r="DW121" s="13"/>
    </row>
    <row r="122" ht="36.75" customHeight="1">
      <c r="A122" s="84">
        <v>42772.0</v>
      </c>
      <c r="B122" s="52" t="s">
        <v>1796</v>
      </c>
      <c r="C122" s="52" t="s">
        <v>1797</v>
      </c>
      <c r="D122" s="52" t="s">
        <v>1798</v>
      </c>
      <c r="E122" s="26" t="s">
        <v>608</v>
      </c>
      <c r="F122" s="85" t="s">
        <v>1799</v>
      </c>
      <c r="G122" s="52" t="s">
        <v>1801</v>
      </c>
      <c r="H122" s="52" t="s">
        <v>1802</v>
      </c>
      <c r="I122" s="86">
        <v>-81.845732</v>
      </c>
      <c r="J122" s="52" t="s">
        <v>1804</v>
      </c>
      <c r="K122" s="52" t="s">
        <v>1805</v>
      </c>
      <c r="L122" s="52">
        <v>0.0</v>
      </c>
      <c r="M122" s="52">
        <v>0.0</v>
      </c>
      <c r="N122" s="52">
        <v>0.0</v>
      </c>
      <c r="O122" s="52">
        <v>0.0</v>
      </c>
      <c r="P122" s="52">
        <v>0.0</v>
      </c>
      <c r="Q122" s="52">
        <v>0.0</v>
      </c>
      <c r="R122" s="52">
        <v>0.0</v>
      </c>
      <c r="S122" s="52">
        <v>0.0</v>
      </c>
      <c r="T122" s="52">
        <v>0.0</v>
      </c>
      <c r="U122" s="52">
        <v>0.0</v>
      </c>
      <c r="V122" s="52">
        <v>0.0</v>
      </c>
      <c r="W122" s="52">
        <v>0.0</v>
      </c>
      <c r="X122" s="52">
        <v>0.0</v>
      </c>
      <c r="Y122" s="52">
        <v>37.0</v>
      </c>
      <c r="Z122" s="52">
        <v>17.0</v>
      </c>
      <c r="AA122" s="52">
        <v>0.0</v>
      </c>
      <c r="AB122" s="52">
        <v>0.0</v>
      </c>
      <c r="AC122" s="52">
        <v>0.0</v>
      </c>
      <c r="AD122" s="52">
        <v>0.0</v>
      </c>
      <c r="AE122" s="52">
        <v>1.0</v>
      </c>
      <c r="AF122" s="52">
        <v>0.0</v>
      </c>
      <c r="AG122" s="52">
        <v>0.0</v>
      </c>
      <c r="AH122" s="52">
        <v>26.0</v>
      </c>
      <c r="AI122" s="52">
        <v>0.0</v>
      </c>
      <c r="AJ122" s="52">
        <v>0.0</v>
      </c>
      <c r="AK122" s="52">
        <v>0.0</v>
      </c>
      <c r="AL122" s="52">
        <v>0.0</v>
      </c>
      <c r="AM122" s="52">
        <v>0.0</v>
      </c>
      <c r="AN122" s="52">
        <v>4.0</v>
      </c>
      <c r="AO122" s="52">
        <v>0.0</v>
      </c>
      <c r="AP122" s="52">
        <v>0.0</v>
      </c>
      <c r="AQ122" s="52">
        <v>3.0</v>
      </c>
      <c r="AR122" s="52">
        <v>0.0</v>
      </c>
      <c r="AS122" s="52">
        <v>0.0</v>
      </c>
      <c r="AT122" s="52">
        <v>0.0</v>
      </c>
      <c r="AU122" s="52">
        <v>0.0</v>
      </c>
      <c r="AV122" s="52">
        <v>0.0</v>
      </c>
      <c r="AW122" s="52">
        <v>48.0</v>
      </c>
      <c r="AX122" s="52">
        <v>0.0</v>
      </c>
      <c r="AY122" s="52">
        <v>17.0</v>
      </c>
      <c r="AZ122" s="52">
        <v>16.0</v>
      </c>
      <c r="BA122" s="52">
        <v>0.0</v>
      </c>
      <c r="BB122" s="52">
        <v>0.0</v>
      </c>
      <c r="BC122" s="52">
        <v>0.0</v>
      </c>
      <c r="BD122" s="52">
        <v>0.0</v>
      </c>
      <c r="BE122" s="52">
        <v>0.0</v>
      </c>
      <c r="BF122" s="52">
        <v>0.0</v>
      </c>
      <c r="BG122" s="52">
        <v>0.0</v>
      </c>
      <c r="BH122" s="52">
        <v>202.0</v>
      </c>
      <c r="BI122" s="52" t="s">
        <v>1807</v>
      </c>
    </row>
    <row r="123" ht="36.75" customHeight="1">
      <c r="A123" s="62">
        <v>42772.0</v>
      </c>
      <c r="B123" s="13" t="s">
        <v>1808</v>
      </c>
      <c r="C123" s="13" t="s">
        <v>1809</v>
      </c>
      <c r="D123" s="13" t="s">
        <v>1810</v>
      </c>
      <c r="E123" s="31" t="s">
        <v>608</v>
      </c>
      <c r="F123" s="13">
        <v>26.43962</v>
      </c>
      <c r="G123" s="13">
        <v>-81.925924</v>
      </c>
      <c r="H123" s="13">
        <v>26.463998</v>
      </c>
      <c r="I123" s="14">
        <v>-81.968356</v>
      </c>
      <c r="J123" s="13" t="s">
        <v>1811</v>
      </c>
      <c r="K123" s="13" t="s">
        <v>1812</v>
      </c>
      <c r="L123" s="13">
        <v>0.0</v>
      </c>
      <c r="M123" s="13">
        <v>0.0</v>
      </c>
      <c r="N123" s="13">
        <v>0.0</v>
      </c>
      <c r="O123" s="13">
        <v>0.0</v>
      </c>
      <c r="P123" s="13">
        <v>0.0</v>
      </c>
      <c r="Q123" s="13">
        <v>0.0</v>
      </c>
      <c r="R123" s="13">
        <v>0.0</v>
      </c>
      <c r="S123" s="13">
        <v>0.0</v>
      </c>
      <c r="T123" s="13">
        <v>0.0</v>
      </c>
      <c r="U123" s="13">
        <v>0.0</v>
      </c>
      <c r="V123" s="13">
        <v>0.0</v>
      </c>
      <c r="W123" s="13">
        <v>0.0</v>
      </c>
      <c r="X123" s="13">
        <v>0.0</v>
      </c>
      <c r="Y123" s="13">
        <v>39.0</v>
      </c>
      <c r="Z123" s="13">
        <v>268.0</v>
      </c>
      <c r="AA123" s="13">
        <v>0.0</v>
      </c>
      <c r="AB123" s="13">
        <v>0.0</v>
      </c>
      <c r="AC123" s="13">
        <v>0.0</v>
      </c>
      <c r="AD123" s="13">
        <v>0.0</v>
      </c>
      <c r="AE123" s="13">
        <v>0.0</v>
      </c>
      <c r="AF123" s="13">
        <v>0.0</v>
      </c>
      <c r="AG123" s="13">
        <v>0.0</v>
      </c>
      <c r="AH123" s="13">
        <v>185.0</v>
      </c>
      <c r="AI123" s="13">
        <v>0.0</v>
      </c>
      <c r="AJ123" s="13">
        <v>0.0</v>
      </c>
      <c r="AK123" s="13">
        <v>0.0</v>
      </c>
      <c r="AL123" s="13">
        <v>0.0</v>
      </c>
      <c r="AM123" s="13">
        <v>0.0</v>
      </c>
      <c r="AN123" s="13">
        <v>0.0</v>
      </c>
      <c r="AO123" s="13">
        <v>0.0</v>
      </c>
      <c r="AP123" s="13">
        <v>0.0</v>
      </c>
      <c r="AQ123" s="13">
        <v>2.0</v>
      </c>
      <c r="AR123" s="13">
        <v>1.0</v>
      </c>
      <c r="AS123" s="13">
        <v>0.0</v>
      </c>
      <c r="AT123" s="13">
        <v>0.0</v>
      </c>
      <c r="AU123" s="13">
        <v>0.0</v>
      </c>
      <c r="AV123" s="13">
        <v>2.0</v>
      </c>
      <c r="AW123" s="13">
        <v>12.0</v>
      </c>
      <c r="AY123" s="13">
        <v>21.0</v>
      </c>
      <c r="AZ123" s="13">
        <v>3.0</v>
      </c>
      <c r="BA123" s="13">
        <v>1.0</v>
      </c>
      <c r="BB123" s="13">
        <v>0.0</v>
      </c>
      <c r="BC123" s="13">
        <v>0.0</v>
      </c>
      <c r="BD123" s="13">
        <v>0.0</v>
      </c>
      <c r="BE123" s="13">
        <v>0.0</v>
      </c>
      <c r="BF123" s="13">
        <v>0.0</v>
      </c>
      <c r="BG123" s="13">
        <v>0.0</v>
      </c>
      <c r="BH123" s="13">
        <v>545.0</v>
      </c>
      <c r="BI123" s="13" t="s">
        <v>1815</v>
      </c>
    </row>
    <row r="124" ht="36.75" customHeight="1">
      <c r="A124" s="62">
        <v>42772.0</v>
      </c>
      <c r="B124" s="13" t="s">
        <v>1808</v>
      </c>
      <c r="C124" s="13" t="s">
        <v>1809</v>
      </c>
      <c r="D124" s="13" t="s">
        <v>1810</v>
      </c>
      <c r="E124" s="31" t="s">
        <v>608</v>
      </c>
      <c r="F124" s="13">
        <v>26.43962</v>
      </c>
      <c r="G124" s="13">
        <v>-81.925924</v>
      </c>
      <c r="H124" s="13">
        <v>26.417351</v>
      </c>
      <c r="I124" s="14">
        <v>-81.905434</v>
      </c>
      <c r="J124" s="13" t="s">
        <v>1819</v>
      </c>
      <c r="K124" s="13" t="s">
        <v>1820</v>
      </c>
      <c r="L124" s="13">
        <v>0.0</v>
      </c>
      <c r="M124" s="13">
        <v>0.0</v>
      </c>
      <c r="N124" s="13">
        <v>1.0</v>
      </c>
      <c r="O124" s="13">
        <v>7.0</v>
      </c>
      <c r="P124" s="13">
        <v>0.0</v>
      </c>
      <c r="Q124" s="13">
        <v>0.0</v>
      </c>
      <c r="R124" s="13">
        <v>27.0</v>
      </c>
      <c r="S124" s="13">
        <v>0.0</v>
      </c>
      <c r="T124" s="13">
        <v>0.0</v>
      </c>
      <c r="U124" s="13">
        <v>0.0</v>
      </c>
      <c r="V124" s="13">
        <v>0.0</v>
      </c>
      <c r="W124" s="13">
        <v>0.0</v>
      </c>
      <c r="X124" s="13">
        <v>0.0</v>
      </c>
      <c r="Y124" s="13">
        <v>64.0</v>
      </c>
      <c r="Z124" s="13">
        <v>169.0</v>
      </c>
      <c r="AA124" s="13">
        <v>0.0</v>
      </c>
      <c r="AB124" s="13">
        <v>0.0</v>
      </c>
      <c r="AC124" s="13">
        <v>3.0</v>
      </c>
      <c r="AD124" s="13">
        <v>0.0</v>
      </c>
      <c r="AE124" s="13">
        <v>0.0</v>
      </c>
      <c r="AF124" s="13">
        <v>0.0</v>
      </c>
      <c r="AG124" s="13">
        <v>0.0</v>
      </c>
      <c r="AH124" s="13">
        <v>70.0</v>
      </c>
      <c r="AI124" s="13">
        <v>0.0</v>
      </c>
      <c r="AJ124" s="13">
        <v>0.0</v>
      </c>
      <c r="AK124" s="13">
        <v>0.0</v>
      </c>
      <c r="AL124" s="13">
        <v>0.0</v>
      </c>
      <c r="AM124" s="13">
        <v>0.0</v>
      </c>
      <c r="AN124" s="13">
        <v>0.0</v>
      </c>
      <c r="AO124" s="13">
        <v>0.0</v>
      </c>
      <c r="AP124" s="13">
        <v>0.0</v>
      </c>
      <c r="AQ124" s="13">
        <v>0.0</v>
      </c>
      <c r="AR124" s="13">
        <v>0.0</v>
      </c>
      <c r="AS124" s="13">
        <v>0.0</v>
      </c>
      <c r="AT124" s="13">
        <v>0.0</v>
      </c>
      <c r="AU124" s="13">
        <v>0.0</v>
      </c>
      <c r="AV124" s="13">
        <v>0.0</v>
      </c>
      <c r="AW124" s="13">
        <v>83.0</v>
      </c>
      <c r="AX124" s="13">
        <v>0.0</v>
      </c>
      <c r="AY124" s="13">
        <v>10.0</v>
      </c>
      <c r="AZ124" s="13">
        <v>1.0</v>
      </c>
      <c r="BA124" s="13">
        <v>0.0</v>
      </c>
      <c r="BB124" s="13">
        <v>0.0</v>
      </c>
      <c r="BC124" s="13">
        <v>0.0</v>
      </c>
      <c r="BD124" s="13">
        <v>0.0</v>
      </c>
      <c r="BE124" s="13">
        <v>0.0</v>
      </c>
      <c r="BF124" s="13">
        <v>0.0</v>
      </c>
      <c r="BG124" s="13">
        <v>0.0</v>
      </c>
      <c r="BH124" s="13">
        <v>435.0</v>
      </c>
    </row>
    <row r="125" ht="36.75" customHeight="1">
      <c r="A125" s="41">
        <v>42773.0</v>
      </c>
      <c r="B125" s="16" t="s">
        <v>605</v>
      </c>
      <c r="C125" s="16" t="s">
        <v>606</v>
      </c>
      <c r="D125" s="16" t="s">
        <v>976</v>
      </c>
      <c r="E125" s="26" t="s">
        <v>608</v>
      </c>
      <c r="F125" s="83">
        <v>26.42196</v>
      </c>
      <c r="G125" s="83">
        <f>G126-82.0801</f>
        <v>-164.19208</v>
      </c>
      <c r="H125" s="83" t="s">
        <v>1833</v>
      </c>
      <c r="I125" s="83" t="s">
        <v>1834</v>
      </c>
      <c r="J125" s="13" t="s">
        <v>1835</v>
      </c>
      <c r="K125" s="13" t="s">
        <v>1836</v>
      </c>
      <c r="L125" s="13">
        <v>0.0</v>
      </c>
      <c r="M125" s="13">
        <v>0.0</v>
      </c>
      <c r="N125" s="13">
        <v>12.0</v>
      </c>
      <c r="O125" s="13">
        <v>4.0</v>
      </c>
      <c r="P125" s="13">
        <v>0.0</v>
      </c>
      <c r="Q125" s="13">
        <v>0.0</v>
      </c>
      <c r="R125" s="13">
        <v>0.0</v>
      </c>
      <c r="S125" s="13">
        <v>0.0</v>
      </c>
      <c r="T125" s="13">
        <v>0.0</v>
      </c>
      <c r="U125" s="13">
        <v>0.0</v>
      </c>
      <c r="V125" s="13">
        <v>0.0</v>
      </c>
      <c r="W125" s="13">
        <v>0.0</v>
      </c>
      <c r="X125" s="13">
        <v>4.0</v>
      </c>
      <c r="Y125" s="13">
        <v>78.0</v>
      </c>
      <c r="Z125" s="13">
        <v>311.0</v>
      </c>
      <c r="AA125" s="13">
        <v>0.0</v>
      </c>
      <c r="AB125" s="13">
        <v>0.0</v>
      </c>
      <c r="AC125" s="13">
        <v>0.0</v>
      </c>
      <c r="AD125" s="13">
        <v>0.0</v>
      </c>
      <c r="AE125" s="13">
        <v>0.0</v>
      </c>
      <c r="AF125" s="13">
        <v>0.0</v>
      </c>
      <c r="AG125" s="13">
        <v>0.0</v>
      </c>
      <c r="AH125" s="13">
        <v>12.0</v>
      </c>
      <c r="AI125" s="13">
        <v>0.0</v>
      </c>
      <c r="AJ125" s="13">
        <v>0.0</v>
      </c>
      <c r="AK125" s="13">
        <v>0.0</v>
      </c>
      <c r="AL125" s="13">
        <v>0.0</v>
      </c>
      <c r="AM125" s="13">
        <v>0.0</v>
      </c>
      <c r="AN125" s="13">
        <v>0.0</v>
      </c>
      <c r="AO125" s="13">
        <v>0.0</v>
      </c>
      <c r="AP125" s="13">
        <v>0.0</v>
      </c>
      <c r="AQ125" s="13">
        <v>0.0</v>
      </c>
      <c r="AR125" s="13">
        <v>0.0</v>
      </c>
      <c r="AS125" s="13">
        <v>0.0</v>
      </c>
      <c r="AT125" s="13">
        <v>0.0</v>
      </c>
      <c r="AU125" s="13">
        <v>0.0</v>
      </c>
      <c r="AV125" s="13">
        <v>0.0</v>
      </c>
      <c r="AW125" s="13">
        <v>76.0</v>
      </c>
      <c r="AX125" s="13">
        <v>4.0</v>
      </c>
      <c r="AY125" s="13">
        <v>18.0</v>
      </c>
      <c r="AZ125" s="13">
        <v>252.0</v>
      </c>
      <c r="BA125" s="13">
        <v>56.0</v>
      </c>
      <c r="BB125" s="13">
        <v>0.0</v>
      </c>
      <c r="BC125" s="13">
        <v>0.0</v>
      </c>
      <c r="BD125" s="13">
        <v>0.0</v>
      </c>
      <c r="BE125" s="13">
        <v>0.0</v>
      </c>
      <c r="BF125" s="13">
        <v>0.0</v>
      </c>
      <c r="BG125" s="13">
        <v>0.0</v>
      </c>
      <c r="BH125" s="13">
        <f t="shared" ref="BH125:BH130" si="19">SUM(L125:BG125)</f>
        <v>827</v>
      </c>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c r="CU125" s="13"/>
      <c r="CV125" s="13"/>
      <c r="CW125" s="13"/>
      <c r="CX125" s="13"/>
      <c r="CY125" s="13"/>
      <c r="CZ125" s="13"/>
      <c r="DA125" s="13"/>
      <c r="DB125" s="13"/>
      <c r="DC125" s="13"/>
      <c r="DD125" s="13"/>
      <c r="DE125" s="13"/>
      <c r="DF125" s="13"/>
      <c r="DG125" s="13"/>
      <c r="DH125" s="13"/>
      <c r="DI125" s="13"/>
      <c r="DJ125" s="13"/>
      <c r="DK125" s="13"/>
      <c r="DL125" s="13"/>
      <c r="DM125" s="13"/>
      <c r="DN125" s="13"/>
      <c r="DO125" s="13"/>
      <c r="DP125" s="13"/>
      <c r="DQ125" s="13"/>
      <c r="DR125" s="13"/>
      <c r="DS125" s="13"/>
      <c r="DT125" s="13"/>
      <c r="DU125" s="13"/>
      <c r="DV125" s="13"/>
      <c r="DW125" s="13"/>
    </row>
    <row r="126" ht="36.75" customHeight="1">
      <c r="A126" s="41">
        <v>42773.0</v>
      </c>
      <c r="B126" s="16" t="s">
        <v>605</v>
      </c>
      <c r="C126" s="16" t="s">
        <v>606</v>
      </c>
      <c r="D126" s="16" t="s">
        <v>1844</v>
      </c>
      <c r="E126" s="34" t="s">
        <v>608</v>
      </c>
      <c r="F126" s="83" t="s">
        <v>1837</v>
      </c>
      <c r="G126" s="83" t="s">
        <v>1838</v>
      </c>
      <c r="H126" s="83" t="s">
        <v>1845</v>
      </c>
      <c r="I126" s="83" t="s">
        <v>1846</v>
      </c>
      <c r="J126" s="13" t="s">
        <v>1847</v>
      </c>
      <c r="K126" s="13" t="s">
        <v>1836</v>
      </c>
      <c r="L126" s="13">
        <v>0.0</v>
      </c>
      <c r="M126" s="13">
        <v>0.0</v>
      </c>
      <c r="N126" s="13">
        <v>0.0</v>
      </c>
      <c r="O126" s="13">
        <v>0.0</v>
      </c>
      <c r="P126" s="13">
        <v>0.0</v>
      </c>
      <c r="Q126" s="13">
        <v>0.0</v>
      </c>
      <c r="R126" s="13">
        <v>0.0</v>
      </c>
      <c r="S126" s="13">
        <v>0.0</v>
      </c>
      <c r="T126" s="13">
        <v>0.0</v>
      </c>
      <c r="U126" s="13">
        <v>0.0</v>
      </c>
      <c r="V126" s="13">
        <v>0.0</v>
      </c>
      <c r="W126" s="13">
        <v>0.0</v>
      </c>
      <c r="X126" s="13">
        <v>17.0</v>
      </c>
      <c r="Y126" s="13">
        <v>3.0</v>
      </c>
      <c r="Z126" s="13">
        <v>30.0</v>
      </c>
      <c r="AA126" s="13">
        <v>0.0</v>
      </c>
      <c r="AB126" s="13">
        <v>0.0</v>
      </c>
      <c r="AC126" s="13">
        <v>0.0</v>
      </c>
      <c r="AD126" s="13">
        <v>0.0</v>
      </c>
      <c r="AE126" s="13">
        <v>0.0</v>
      </c>
      <c r="AF126" s="13">
        <v>0.0</v>
      </c>
      <c r="AG126" s="13">
        <v>0.0</v>
      </c>
      <c r="AH126" s="13">
        <v>2.0</v>
      </c>
      <c r="AI126" s="13">
        <v>0.0</v>
      </c>
      <c r="AJ126" s="13">
        <v>0.0</v>
      </c>
      <c r="AK126" s="13">
        <v>0.0</v>
      </c>
      <c r="AL126" s="13">
        <v>0.0</v>
      </c>
      <c r="AM126" s="13">
        <v>0.0</v>
      </c>
      <c r="AN126" s="13">
        <v>0.0</v>
      </c>
      <c r="AO126" s="13">
        <v>0.0</v>
      </c>
      <c r="AP126" s="13">
        <v>0.0</v>
      </c>
      <c r="AQ126" s="13">
        <v>0.0</v>
      </c>
      <c r="AR126" s="13">
        <v>0.0</v>
      </c>
      <c r="AS126" s="13">
        <v>0.0</v>
      </c>
      <c r="AT126" s="13">
        <v>0.0</v>
      </c>
      <c r="AU126" s="13">
        <v>0.0</v>
      </c>
      <c r="AV126" s="13">
        <v>0.0</v>
      </c>
      <c r="AW126" s="13">
        <v>17.0</v>
      </c>
      <c r="AX126" s="13">
        <v>0.0</v>
      </c>
      <c r="AY126" s="13">
        <v>5.0</v>
      </c>
      <c r="AZ126" s="13">
        <v>71.0</v>
      </c>
      <c r="BA126" s="13">
        <v>1.0</v>
      </c>
      <c r="BB126" s="13">
        <v>0.0</v>
      </c>
      <c r="BC126" s="13">
        <v>0.0</v>
      </c>
      <c r="BD126" s="13">
        <v>0.0</v>
      </c>
      <c r="BE126" s="13">
        <v>0.0</v>
      </c>
      <c r="BF126" s="13">
        <v>0.0</v>
      </c>
      <c r="BG126" s="13">
        <v>0.0</v>
      </c>
      <c r="BH126">
        <f t="shared" si="19"/>
        <v>146</v>
      </c>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c r="CU126" s="13"/>
      <c r="CV126" s="13"/>
      <c r="CW126" s="13"/>
      <c r="CX126" s="13"/>
      <c r="CY126" s="13"/>
      <c r="CZ126" s="13"/>
      <c r="DA126" s="13"/>
      <c r="DB126" s="13"/>
      <c r="DC126" s="13"/>
      <c r="DD126" s="13"/>
      <c r="DE126" s="13"/>
      <c r="DF126" s="13"/>
      <c r="DG126" s="13"/>
      <c r="DH126" s="13"/>
      <c r="DI126" s="13"/>
      <c r="DJ126" s="13"/>
      <c r="DK126" s="13"/>
      <c r="DL126" s="13"/>
      <c r="DM126" s="13"/>
      <c r="DN126" s="13"/>
      <c r="DO126" s="13"/>
      <c r="DP126" s="13"/>
      <c r="DQ126" s="13"/>
      <c r="DR126" s="13"/>
      <c r="DS126" s="13"/>
      <c r="DT126" s="13"/>
      <c r="DU126" s="13"/>
      <c r="DV126" s="13"/>
      <c r="DW126" s="13"/>
    </row>
    <row r="127" ht="33.75" customHeight="1">
      <c r="A127" s="41">
        <v>42773.0</v>
      </c>
      <c r="B127" s="16" t="s">
        <v>605</v>
      </c>
      <c r="C127" s="16" t="s">
        <v>606</v>
      </c>
      <c r="D127" s="16" t="s">
        <v>1850</v>
      </c>
      <c r="E127" s="34" t="s">
        <v>608</v>
      </c>
      <c r="F127" s="83" t="s">
        <v>1845</v>
      </c>
      <c r="G127" s="83" t="s">
        <v>1846</v>
      </c>
      <c r="H127" s="83" t="s">
        <v>1851</v>
      </c>
      <c r="I127" s="83" t="s">
        <v>1852</v>
      </c>
      <c r="J127" s="13" t="s">
        <v>1853</v>
      </c>
      <c r="K127" s="13" t="s">
        <v>1836</v>
      </c>
      <c r="L127" s="13">
        <v>0.0</v>
      </c>
      <c r="M127" s="13">
        <v>0.0</v>
      </c>
      <c r="N127" s="13">
        <v>68.0</v>
      </c>
      <c r="O127" s="13">
        <v>84.0</v>
      </c>
      <c r="P127" s="13">
        <v>0.0</v>
      </c>
      <c r="Q127" s="13">
        <v>0.0</v>
      </c>
      <c r="R127" s="13">
        <v>0.0</v>
      </c>
      <c r="S127" s="13">
        <v>0.0</v>
      </c>
      <c r="T127" s="13">
        <v>0.0</v>
      </c>
      <c r="U127" s="13">
        <v>0.0</v>
      </c>
      <c r="V127" s="13">
        <v>0.0</v>
      </c>
      <c r="W127" s="13">
        <v>0.0</v>
      </c>
      <c r="X127" s="13">
        <v>64.0</v>
      </c>
      <c r="Y127" s="13">
        <v>20.0</v>
      </c>
      <c r="Z127" s="13">
        <v>199.0</v>
      </c>
      <c r="AA127" s="13">
        <v>0.0</v>
      </c>
      <c r="AB127" s="13">
        <v>0.0</v>
      </c>
      <c r="AC127" s="13">
        <v>109.0</v>
      </c>
      <c r="AD127" s="13">
        <v>6.0</v>
      </c>
      <c r="AE127" s="13">
        <v>0.0</v>
      </c>
      <c r="AF127" s="13">
        <v>0.0</v>
      </c>
      <c r="AG127" s="13">
        <v>0.0</v>
      </c>
      <c r="AH127" s="13">
        <v>4.0</v>
      </c>
      <c r="AI127" s="13">
        <v>0.0</v>
      </c>
      <c r="AJ127" s="13">
        <v>0.0</v>
      </c>
      <c r="AK127" s="13">
        <v>0.0</v>
      </c>
      <c r="AL127" s="13">
        <v>0.0</v>
      </c>
      <c r="AM127" s="13">
        <v>0.0</v>
      </c>
      <c r="AN127" s="13">
        <v>0.0</v>
      </c>
      <c r="AO127" s="13">
        <v>0.0</v>
      </c>
      <c r="AP127" s="13">
        <v>0.0</v>
      </c>
      <c r="AQ127" s="13">
        <v>0.0</v>
      </c>
      <c r="AR127" s="13">
        <v>0.0</v>
      </c>
      <c r="AS127" s="13">
        <v>0.0</v>
      </c>
      <c r="AT127" s="13">
        <v>0.0</v>
      </c>
      <c r="AU127" s="13">
        <v>0.0</v>
      </c>
      <c r="AV127" s="13">
        <v>0.0</v>
      </c>
      <c r="AW127" s="13">
        <v>53.0</v>
      </c>
      <c r="AX127" s="13">
        <v>1.0</v>
      </c>
      <c r="AY127" s="13">
        <v>13.0</v>
      </c>
      <c r="AZ127" s="13">
        <v>137.0</v>
      </c>
      <c r="BA127" s="13">
        <v>14.0</v>
      </c>
      <c r="BB127" s="13">
        <v>0.0</v>
      </c>
      <c r="BC127" s="13">
        <v>0.0</v>
      </c>
      <c r="BD127" s="13">
        <v>0.0</v>
      </c>
      <c r="BE127" s="13">
        <v>0.0</v>
      </c>
      <c r="BF127" s="13">
        <v>0.0</v>
      </c>
      <c r="BG127" s="13">
        <v>0.0</v>
      </c>
      <c r="BH127" s="13">
        <f t="shared" si="19"/>
        <v>772</v>
      </c>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c r="CT127" s="13"/>
      <c r="CU127" s="13"/>
      <c r="CV127" s="13"/>
      <c r="CW127" s="13"/>
      <c r="CX127" s="13"/>
      <c r="CY127" s="13"/>
      <c r="CZ127" s="13"/>
      <c r="DA127" s="13"/>
      <c r="DB127" s="13"/>
      <c r="DC127" s="13"/>
      <c r="DD127" s="13"/>
      <c r="DE127" s="13"/>
      <c r="DF127" s="13"/>
      <c r="DG127" s="13"/>
      <c r="DH127" s="13"/>
      <c r="DI127" s="13"/>
      <c r="DJ127" s="13"/>
      <c r="DK127" s="13"/>
      <c r="DL127" s="13"/>
      <c r="DM127" s="13"/>
      <c r="DN127" s="13"/>
      <c r="DO127" s="13"/>
      <c r="DP127" s="13"/>
      <c r="DQ127" s="13"/>
      <c r="DR127" s="13"/>
      <c r="DS127" s="13"/>
      <c r="DT127" s="13"/>
      <c r="DU127" s="13"/>
      <c r="DV127" s="13"/>
      <c r="DW127" s="13"/>
    </row>
    <row r="128" ht="36.75" customHeight="1">
      <c r="A128" s="11">
        <v>42774.0</v>
      </c>
      <c r="B128" s="16" t="s">
        <v>605</v>
      </c>
      <c r="C128" s="16" t="s">
        <v>606</v>
      </c>
      <c r="D128" s="16" t="s">
        <v>1862</v>
      </c>
      <c r="E128" s="34" t="s">
        <v>608</v>
      </c>
      <c r="F128" s="83" t="s">
        <v>1851</v>
      </c>
      <c r="G128" s="83" t="s">
        <v>1852</v>
      </c>
      <c r="H128" s="83" t="s">
        <v>1863</v>
      </c>
      <c r="I128" s="83" t="s">
        <v>1864</v>
      </c>
      <c r="J128" s="13" t="s">
        <v>1865</v>
      </c>
      <c r="K128" s="13" t="s">
        <v>1866</v>
      </c>
      <c r="L128" s="13">
        <v>0.0</v>
      </c>
      <c r="M128" s="13">
        <v>0.0</v>
      </c>
      <c r="N128" s="13">
        <v>3.0</v>
      </c>
      <c r="O128" s="13">
        <v>0.0</v>
      </c>
      <c r="P128" s="13">
        <v>0.0</v>
      </c>
      <c r="Q128" s="13">
        <v>0.0</v>
      </c>
      <c r="R128" s="13">
        <v>0.0</v>
      </c>
      <c r="S128" s="13">
        <v>0.0</v>
      </c>
      <c r="T128" s="13">
        <v>0.0</v>
      </c>
      <c r="U128" s="13">
        <v>0.0</v>
      </c>
      <c r="V128" s="13">
        <v>0.0</v>
      </c>
      <c r="W128" s="13">
        <v>0.0</v>
      </c>
      <c r="X128" s="13">
        <v>0.0</v>
      </c>
      <c r="Y128" s="13">
        <v>1.0</v>
      </c>
      <c r="Z128" s="13">
        <v>26.0</v>
      </c>
      <c r="AA128" s="13">
        <v>0.0</v>
      </c>
      <c r="AB128" s="13">
        <v>0.0</v>
      </c>
      <c r="AC128" s="13">
        <v>0.0</v>
      </c>
      <c r="AD128" s="13">
        <v>0.0</v>
      </c>
      <c r="AE128" s="13">
        <v>0.0</v>
      </c>
      <c r="AF128" s="13">
        <v>0.0</v>
      </c>
      <c r="AG128" s="13">
        <v>0.0</v>
      </c>
      <c r="AH128" s="13">
        <v>5.0</v>
      </c>
      <c r="AI128" s="13">
        <v>3.0</v>
      </c>
      <c r="AJ128" s="13">
        <v>0.0</v>
      </c>
      <c r="AK128" s="13">
        <v>0.0</v>
      </c>
      <c r="AL128" s="13">
        <v>0.0</v>
      </c>
      <c r="AM128" s="13">
        <v>0.0</v>
      </c>
      <c r="AN128" s="13">
        <v>0.0</v>
      </c>
      <c r="AO128" s="13">
        <v>0.0</v>
      </c>
      <c r="AP128" s="13">
        <v>0.0</v>
      </c>
      <c r="AQ128" s="13">
        <v>0.0</v>
      </c>
      <c r="AR128" s="13">
        <v>0.0</v>
      </c>
      <c r="AS128" s="13">
        <v>0.0</v>
      </c>
      <c r="AT128" s="13">
        <v>0.0</v>
      </c>
      <c r="AU128" s="13">
        <v>0.0</v>
      </c>
      <c r="AV128" s="13">
        <v>0.0</v>
      </c>
      <c r="AW128" s="13">
        <v>15.0</v>
      </c>
      <c r="AX128" s="13">
        <v>1.0</v>
      </c>
      <c r="AY128" s="13">
        <v>3.0</v>
      </c>
      <c r="AZ128" s="13">
        <v>77.0</v>
      </c>
      <c r="BA128" s="13">
        <v>24.0</v>
      </c>
      <c r="BB128" s="13">
        <v>0.0</v>
      </c>
      <c r="BC128" s="13">
        <v>0.0</v>
      </c>
      <c r="BD128" s="13">
        <v>0.0</v>
      </c>
      <c r="BE128" s="13">
        <v>0.0</v>
      </c>
      <c r="BF128" s="13">
        <v>0.0</v>
      </c>
      <c r="BG128" s="13">
        <v>0.0</v>
      </c>
      <c r="BH128">
        <f t="shared" si="19"/>
        <v>158</v>
      </c>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c r="CM128" s="13"/>
      <c r="CN128" s="13"/>
      <c r="CO128" s="13"/>
      <c r="CP128" s="13"/>
      <c r="CQ128" s="13"/>
      <c r="CR128" s="13"/>
      <c r="CS128" s="13"/>
      <c r="CT128" s="13"/>
      <c r="CU128" s="13"/>
      <c r="CV128" s="13"/>
      <c r="CW128" s="13"/>
      <c r="CX128" s="13"/>
      <c r="CY128" s="13"/>
      <c r="CZ128" s="13"/>
      <c r="DA128" s="13"/>
      <c r="DB128" s="13"/>
      <c r="DC128" s="13"/>
      <c r="DD128" s="13"/>
      <c r="DE128" s="13"/>
      <c r="DF128" s="13"/>
      <c r="DG128" s="13"/>
      <c r="DH128" s="13"/>
      <c r="DI128" s="13"/>
      <c r="DJ128" s="13"/>
      <c r="DK128" s="13"/>
      <c r="DL128" s="13"/>
      <c r="DM128" s="13"/>
      <c r="DN128" s="13"/>
      <c r="DO128" s="13"/>
      <c r="DP128" s="13"/>
      <c r="DQ128" s="13"/>
      <c r="DR128" s="13"/>
      <c r="DS128" s="13"/>
      <c r="DT128" s="13"/>
      <c r="DU128" s="13"/>
      <c r="DV128" s="13"/>
      <c r="DW128" s="13"/>
    </row>
    <row r="129" ht="33.75" customHeight="1">
      <c r="A129" s="11">
        <v>42774.0</v>
      </c>
      <c r="B129" s="16" t="s">
        <v>605</v>
      </c>
      <c r="C129" s="16" t="s">
        <v>606</v>
      </c>
      <c r="D129" s="16" t="s">
        <v>981</v>
      </c>
      <c r="E129" s="34" t="s">
        <v>608</v>
      </c>
      <c r="F129" s="83" t="s">
        <v>1869</v>
      </c>
      <c r="G129" s="83" t="s">
        <v>1870</v>
      </c>
      <c r="H129" s="83" t="s">
        <v>1871</v>
      </c>
      <c r="I129" s="83" t="s">
        <v>1872</v>
      </c>
      <c r="J129" s="13" t="s">
        <v>1873</v>
      </c>
      <c r="K129" s="13" t="s">
        <v>1874</v>
      </c>
      <c r="L129" s="13">
        <v>0.0</v>
      </c>
      <c r="M129" s="13">
        <v>0.0</v>
      </c>
      <c r="N129" s="13">
        <v>37.0</v>
      </c>
      <c r="O129" s="13">
        <v>32.0</v>
      </c>
      <c r="P129" s="13">
        <v>0.0</v>
      </c>
      <c r="Q129" s="13">
        <v>0.0</v>
      </c>
      <c r="R129" s="13">
        <v>0.0</v>
      </c>
      <c r="S129" s="13">
        <v>0.0</v>
      </c>
      <c r="T129" s="13">
        <v>0.0</v>
      </c>
      <c r="U129" s="13">
        <v>0.0</v>
      </c>
      <c r="V129" s="13">
        <v>0.0</v>
      </c>
      <c r="W129" s="13">
        <v>0.0</v>
      </c>
      <c r="X129" s="13">
        <v>10.0</v>
      </c>
      <c r="Y129" s="13">
        <v>71.0</v>
      </c>
      <c r="Z129" s="13">
        <v>120.0</v>
      </c>
      <c r="AA129" s="13">
        <v>6.0</v>
      </c>
      <c r="AB129" s="13">
        <v>0.0</v>
      </c>
      <c r="AC129" s="13">
        <v>1.0</v>
      </c>
      <c r="AD129" s="13">
        <v>0.0</v>
      </c>
      <c r="AE129" s="13">
        <v>0.0</v>
      </c>
      <c r="AF129" s="13">
        <v>0.0</v>
      </c>
      <c r="AG129" s="13">
        <v>0.0</v>
      </c>
      <c r="AH129" s="13">
        <v>87.0</v>
      </c>
      <c r="AI129" s="13">
        <v>0.0</v>
      </c>
      <c r="AJ129" s="13">
        <v>0.0</v>
      </c>
      <c r="AK129" s="13">
        <v>0.0</v>
      </c>
      <c r="AL129" s="13">
        <v>0.0</v>
      </c>
      <c r="AM129" s="13">
        <v>0.0</v>
      </c>
      <c r="AN129" s="13">
        <v>0.0</v>
      </c>
      <c r="AO129" s="13">
        <v>0.0</v>
      </c>
      <c r="AP129" s="13">
        <v>0.0</v>
      </c>
      <c r="AQ129" s="13">
        <v>0.0</v>
      </c>
      <c r="AR129" s="13">
        <v>0.0</v>
      </c>
      <c r="AS129" s="13">
        <v>0.0</v>
      </c>
      <c r="AT129" s="13">
        <v>0.0</v>
      </c>
      <c r="AU129" s="13">
        <v>0.0</v>
      </c>
      <c r="AV129" s="13">
        <v>0.0</v>
      </c>
      <c r="AW129" s="13">
        <v>37.0</v>
      </c>
      <c r="AX129" s="13">
        <v>1.0</v>
      </c>
      <c r="AY129" s="13">
        <v>5.0</v>
      </c>
      <c r="AZ129" s="13">
        <v>25.0</v>
      </c>
      <c r="BA129" s="13">
        <v>16.0</v>
      </c>
      <c r="BB129" s="13">
        <v>0.0</v>
      </c>
      <c r="BC129" s="13">
        <v>0.0</v>
      </c>
      <c r="BD129" s="13">
        <v>0.0</v>
      </c>
      <c r="BE129" s="13">
        <v>0.0</v>
      </c>
      <c r="BF129" s="13">
        <v>0.0</v>
      </c>
      <c r="BG129" s="13">
        <v>0.0</v>
      </c>
      <c r="BH129">
        <f t="shared" si="19"/>
        <v>448</v>
      </c>
    </row>
    <row r="130" ht="33.75" customHeight="1">
      <c r="A130" s="41">
        <v>42774.0</v>
      </c>
      <c r="B130" s="16" t="s">
        <v>605</v>
      </c>
      <c r="C130" s="16" t="s">
        <v>606</v>
      </c>
      <c r="D130" s="16" t="s">
        <v>1881</v>
      </c>
      <c r="E130" s="34" t="s">
        <v>608</v>
      </c>
      <c r="F130" s="83" t="s">
        <v>1871</v>
      </c>
      <c r="G130" s="83" t="s">
        <v>1872</v>
      </c>
      <c r="H130" s="83" t="s">
        <v>1882</v>
      </c>
      <c r="I130" s="83" t="s">
        <v>1883</v>
      </c>
      <c r="J130" s="13" t="s">
        <v>1884</v>
      </c>
      <c r="K130" s="13" t="s">
        <v>1874</v>
      </c>
      <c r="L130" s="13">
        <v>0.0</v>
      </c>
      <c r="M130" s="13">
        <v>0.0</v>
      </c>
      <c r="N130" s="13">
        <v>9.0</v>
      </c>
      <c r="O130" s="13">
        <v>0.0</v>
      </c>
      <c r="P130" s="13">
        <v>0.0</v>
      </c>
      <c r="Q130" s="13">
        <v>0.0</v>
      </c>
      <c r="R130" s="13">
        <v>0.0</v>
      </c>
      <c r="S130" s="13">
        <v>0.0</v>
      </c>
      <c r="T130" s="13">
        <v>0.0</v>
      </c>
      <c r="U130" s="13">
        <v>0.0</v>
      </c>
      <c r="V130" s="13">
        <v>0.0</v>
      </c>
      <c r="W130" s="13">
        <v>0.0</v>
      </c>
      <c r="X130" s="13">
        <v>0.0</v>
      </c>
      <c r="Y130" s="13">
        <v>24.0</v>
      </c>
      <c r="Z130" s="13">
        <v>171.0</v>
      </c>
      <c r="AA130" s="13">
        <v>0.0</v>
      </c>
      <c r="AB130" s="13">
        <v>0.0</v>
      </c>
      <c r="AC130" s="13">
        <v>0.0</v>
      </c>
      <c r="AD130" s="13">
        <v>0.0</v>
      </c>
      <c r="AE130" s="13">
        <v>0.0</v>
      </c>
      <c r="AF130" s="13">
        <v>0.0</v>
      </c>
      <c r="AG130" s="13">
        <v>0.0</v>
      </c>
      <c r="AH130" s="13">
        <v>10.0</v>
      </c>
      <c r="AI130" s="13">
        <v>0.0</v>
      </c>
      <c r="AJ130" s="13">
        <v>0.0</v>
      </c>
      <c r="AK130" s="13">
        <v>36.0</v>
      </c>
      <c r="AL130" s="13">
        <v>0.0</v>
      </c>
      <c r="AM130" s="13">
        <v>0.0</v>
      </c>
      <c r="AN130" s="13">
        <v>0.0</v>
      </c>
      <c r="AO130" s="13">
        <v>0.0</v>
      </c>
      <c r="AP130" s="13">
        <v>0.0</v>
      </c>
      <c r="AQ130" s="13">
        <v>0.0</v>
      </c>
      <c r="AR130" s="13">
        <v>0.0</v>
      </c>
      <c r="AS130" s="13">
        <v>0.0</v>
      </c>
      <c r="AT130" s="13">
        <v>0.0</v>
      </c>
      <c r="AU130" s="13">
        <v>0.0</v>
      </c>
      <c r="AV130" s="13">
        <v>1.0</v>
      </c>
      <c r="AW130" s="13">
        <v>28.0</v>
      </c>
      <c r="AX130" s="13">
        <v>1.0</v>
      </c>
      <c r="AY130" s="13">
        <v>18.0</v>
      </c>
      <c r="AZ130" s="13">
        <v>209.0</v>
      </c>
      <c r="BA130" s="13">
        <v>17.0</v>
      </c>
      <c r="BB130" s="13">
        <v>0.0</v>
      </c>
      <c r="BC130" s="13">
        <v>0.0</v>
      </c>
      <c r="BD130" s="13">
        <v>0.0</v>
      </c>
      <c r="BE130" s="13">
        <v>0.0</v>
      </c>
      <c r="BF130" s="13">
        <v>0.0</v>
      </c>
      <c r="BG130" s="13">
        <v>0.0</v>
      </c>
      <c r="BH130">
        <f t="shared" si="19"/>
        <v>524</v>
      </c>
    </row>
    <row r="131" ht="36.75" customHeight="1">
      <c r="A131" s="41">
        <v>42769.0</v>
      </c>
      <c r="B131" s="16" t="s">
        <v>1894</v>
      </c>
      <c r="C131" s="16" t="s">
        <v>1895</v>
      </c>
      <c r="D131" s="16" t="s">
        <v>1896</v>
      </c>
      <c r="E131" s="29" t="s">
        <v>359</v>
      </c>
      <c r="F131" s="89">
        <v>27.450933</v>
      </c>
      <c r="G131" s="90">
        <v>-82.69327</v>
      </c>
      <c r="H131" s="89">
        <v>27.527995</v>
      </c>
      <c r="I131" s="90">
        <v>-82.740145</v>
      </c>
      <c r="J131" s="13" t="s">
        <v>1897</v>
      </c>
      <c r="K131" s="13" t="s">
        <v>1898</v>
      </c>
      <c r="Z131" s="13">
        <v>5.0</v>
      </c>
      <c r="AN131" s="13"/>
      <c r="AQ131" s="13"/>
      <c r="AR131" s="13">
        <v>5.0</v>
      </c>
      <c r="AV131" s="13">
        <v>7.0</v>
      </c>
      <c r="AW131" s="13">
        <v>1580.0</v>
      </c>
      <c r="AY131" s="13">
        <v>95.0</v>
      </c>
      <c r="AZ131" s="13">
        <v>74.0</v>
      </c>
      <c r="BA131" s="13">
        <v>167.0</v>
      </c>
      <c r="BH131" s="13">
        <f t="shared" ref="BH131:BH132" si="20">sum(L131:BG131)</f>
        <v>1933</v>
      </c>
    </row>
    <row r="132" ht="36.75" customHeight="1">
      <c r="A132" s="41">
        <v>42771.0</v>
      </c>
      <c r="B132" s="16" t="s">
        <v>355</v>
      </c>
      <c r="C132" s="16" t="s">
        <v>356</v>
      </c>
      <c r="D132" s="13" t="s">
        <v>357</v>
      </c>
      <c r="E132" s="26" t="s">
        <v>359</v>
      </c>
      <c r="F132" s="13">
        <v>27.38938</v>
      </c>
      <c r="G132" s="13">
        <v>-82.64257</v>
      </c>
      <c r="H132" s="13">
        <v>27.44065</v>
      </c>
      <c r="I132" s="14">
        <v>-82.68645</v>
      </c>
      <c r="J132" s="13" t="s">
        <v>1903</v>
      </c>
      <c r="K132" s="13" t="s">
        <v>1904</v>
      </c>
      <c r="L132" s="13">
        <v>0.0</v>
      </c>
      <c r="M132" s="13">
        <v>0.0</v>
      </c>
      <c r="N132" s="13">
        <v>0.0</v>
      </c>
      <c r="O132" s="13">
        <v>0.0</v>
      </c>
      <c r="P132" s="13">
        <v>0.0</v>
      </c>
      <c r="Q132" s="13">
        <v>0.0</v>
      </c>
      <c r="R132" s="13">
        <v>0.0</v>
      </c>
      <c r="S132" s="13">
        <v>0.0</v>
      </c>
      <c r="T132" s="13">
        <v>0.0</v>
      </c>
      <c r="U132" s="13">
        <v>0.0</v>
      </c>
      <c r="V132" s="13">
        <v>0.0</v>
      </c>
      <c r="W132" s="13">
        <v>0.0</v>
      </c>
      <c r="X132" s="13">
        <v>0.0</v>
      </c>
      <c r="Y132" s="13">
        <v>1.0</v>
      </c>
      <c r="Z132" s="13">
        <v>193.0</v>
      </c>
      <c r="AA132" s="13">
        <v>0.0</v>
      </c>
      <c r="AB132" s="13">
        <v>0.0</v>
      </c>
      <c r="AC132" s="13">
        <v>0.0</v>
      </c>
      <c r="AD132" s="13">
        <v>3.0</v>
      </c>
      <c r="AE132" s="13">
        <v>1.0</v>
      </c>
      <c r="AF132" s="13">
        <v>0.0</v>
      </c>
      <c r="AG132" s="13">
        <v>0.0</v>
      </c>
      <c r="AH132" s="13">
        <v>0.0</v>
      </c>
      <c r="AI132" s="13">
        <v>0.0</v>
      </c>
      <c r="AJ132" s="13">
        <v>0.0</v>
      </c>
      <c r="AK132" s="13">
        <v>6.0</v>
      </c>
      <c r="AL132" s="13">
        <v>0.0</v>
      </c>
      <c r="AM132" s="13">
        <v>0.0</v>
      </c>
      <c r="AN132" s="13">
        <v>6.0</v>
      </c>
      <c r="AO132" s="13">
        <v>0.0</v>
      </c>
      <c r="AP132" s="13">
        <v>0.0</v>
      </c>
      <c r="AQ132" s="13">
        <v>7.0</v>
      </c>
      <c r="AR132" s="13">
        <v>52.0</v>
      </c>
      <c r="AS132" s="13">
        <v>0.0</v>
      </c>
      <c r="AT132" s="13">
        <v>0.0</v>
      </c>
      <c r="AU132" s="13">
        <v>0.0</v>
      </c>
      <c r="AV132" s="13">
        <v>25.0</v>
      </c>
      <c r="AW132" s="13">
        <v>382.0</v>
      </c>
      <c r="AX132" s="13">
        <v>6.0</v>
      </c>
      <c r="AY132" s="13">
        <v>111.0</v>
      </c>
      <c r="AZ132" s="13">
        <v>33.0</v>
      </c>
      <c r="BA132" s="13">
        <v>9.0</v>
      </c>
      <c r="BB132" s="13">
        <v>0.0</v>
      </c>
      <c r="BC132" s="13">
        <v>0.0</v>
      </c>
      <c r="BD132" s="13">
        <v>0.0</v>
      </c>
      <c r="BE132" s="13">
        <v>0.0</v>
      </c>
      <c r="BF132" s="13">
        <v>0.0</v>
      </c>
      <c r="BG132" s="13">
        <v>0.0</v>
      </c>
      <c r="BH132" s="13">
        <f t="shared" si="20"/>
        <v>835</v>
      </c>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3"/>
      <c r="CY132" s="13"/>
      <c r="CZ132" s="13"/>
      <c r="DA132" s="13"/>
      <c r="DB132" s="13"/>
      <c r="DC132" s="13"/>
      <c r="DD132" s="13"/>
      <c r="DE132" s="13"/>
      <c r="DF132" s="13"/>
      <c r="DG132" s="13"/>
      <c r="DH132" s="13"/>
      <c r="DI132" s="13"/>
      <c r="DJ132" s="13"/>
      <c r="DK132" s="13"/>
      <c r="DL132" s="13"/>
      <c r="DM132" s="13"/>
      <c r="DN132" s="13"/>
      <c r="DO132" s="13"/>
      <c r="DP132" s="13"/>
      <c r="DQ132" s="13"/>
      <c r="DR132" s="13"/>
      <c r="DS132" s="13"/>
      <c r="DT132" s="13"/>
      <c r="DU132" s="13"/>
      <c r="DV132" s="13"/>
      <c r="DW132" s="13"/>
    </row>
    <row r="133" ht="36.75" customHeight="1">
      <c r="A133" s="41">
        <v>42774.0</v>
      </c>
      <c r="B133" s="16" t="s">
        <v>1909</v>
      </c>
      <c r="C133" s="13" t="s">
        <v>1910</v>
      </c>
      <c r="D133" s="16" t="s">
        <v>1912</v>
      </c>
      <c r="E133" s="34" t="s">
        <v>359</v>
      </c>
      <c r="F133" s="16">
        <v>27.5554671</v>
      </c>
      <c r="G133" s="16">
        <v>-82.7440647</v>
      </c>
      <c r="H133" s="16">
        <v>27.5554671</v>
      </c>
      <c r="I133" s="16">
        <v>-82.7440647</v>
      </c>
      <c r="J133" s="13" t="s">
        <v>1914</v>
      </c>
      <c r="K133" s="13" t="s">
        <v>1915</v>
      </c>
      <c r="L133" s="13">
        <v>0.0</v>
      </c>
      <c r="M133" s="13">
        <v>0.0</v>
      </c>
      <c r="N133" s="13">
        <v>21.0</v>
      </c>
      <c r="O133" s="13">
        <v>0.0</v>
      </c>
      <c r="P133" s="13">
        <v>0.0</v>
      </c>
      <c r="Q133" s="13">
        <v>0.0</v>
      </c>
      <c r="R133" s="13">
        <v>0.0</v>
      </c>
      <c r="S133" s="13">
        <v>0.0</v>
      </c>
      <c r="T133" s="13">
        <v>0.0</v>
      </c>
      <c r="U133" s="13">
        <v>0.0</v>
      </c>
      <c r="V133" s="13">
        <v>0.0</v>
      </c>
      <c r="W133" s="13">
        <v>0.0</v>
      </c>
      <c r="X133" s="13">
        <v>57.0</v>
      </c>
      <c r="Y133" s="13">
        <v>4.0</v>
      </c>
      <c r="Z133" s="13" t="s">
        <v>1918</v>
      </c>
      <c r="AA133" s="13">
        <v>0.0</v>
      </c>
      <c r="AB133" s="13">
        <v>0.0</v>
      </c>
      <c r="AC133" s="13">
        <v>46.0</v>
      </c>
      <c r="AD133" s="13">
        <v>0.0</v>
      </c>
      <c r="AE133" s="13">
        <v>0.0</v>
      </c>
      <c r="AF133" s="13">
        <v>3.0</v>
      </c>
      <c r="AG133" s="13">
        <v>0.0</v>
      </c>
      <c r="AH133" s="13">
        <v>0.0</v>
      </c>
      <c r="AI133" s="13">
        <v>0.0</v>
      </c>
      <c r="AJ133" s="13">
        <v>0.0</v>
      </c>
      <c r="AK133" s="13">
        <v>0.0</v>
      </c>
      <c r="AL133" s="13">
        <v>0.0</v>
      </c>
      <c r="AM133" s="13">
        <v>0.0</v>
      </c>
      <c r="AN133" s="13">
        <v>216.0</v>
      </c>
      <c r="AO133" s="13">
        <v>0.0</v>
      </c>
      <c r="AP133" s="13">
        <v>0.0</v>
      </c>
      <c r="AQ133" s="13" t="s">
        <v>1920</v>
      </c>
      <c r="AR133" s="13">
        <v>0.0</v>
      </c>
      <c r="AS133" s="13">
        <v>0.0</v>
      </c>
      <c r="AT133" s="13">
        <v>0.0</v>
      </c>
      <c r="AU133" s="13">
        <v>0.0</v>
      </c>
      <c r="AV133" s="13">
        <v>23.0</v>
      </c>
      <c r="AW133" s="13">
        <v>0.0</v>
      </c>
      <c r="AX133" s="13">
        <v>0.0</v>
      </c>
      <c r="AY133" s="13">
        <v>0.0</v>
      </c>
      <c r="AZ133" s="13">
        <v>0.0</v>
      </c>
      <c r="BA133" s="13">
        <v>0.0</v>
      </c>
      <c r="BB133" s="13">
        <v>0.0</v>
      </c>
      <c r="BC133" s="13">
        <v>0.0</v>
      </c>
      <c r="BD133" s="13">
        <v>0.0</v>
      </c>
      <c r="BE133" s="13">
        <v>0.0</v>
      </c>
      <c r="BF133" s="13">
        <v>0.0</v>
      </c>
      <c r="BG133" s="13">
        <v>0.0</v>
      </c>
      <c r="BH133" s="13">
        <v>920.0</v>
      </c>
      <c r="BI133" s="13" t="s">
        <v>1922</v>
      </c>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c r="CO133" s="13"/>
      <c r="CP133" s="13"/>
      <c r="CQ133" s="13"/>
      <c r="CR133" s="13"/>
      <c r="CS133" s="13"/>
      <c r="CT133" s="13"/>
      <c r="CU133" s="13"/>
      <c r="CV133" s="13"/>
      <c r="CW133" s="13"/>
      <c r="CX133" s="13"/>
      <c r="CY133" s="13"/>
      <c r="CZ133" s="13"/>
      <c r="DA133" s="13"/>
      <c r="DB133" s="13"/>
      <c r="DC133" s="13"/>
      <c r="DD133" s="13"/>
      <c r="DE133" s="13"/>
      <c r="DF133" s="13"/>
      <c r="DG133" s="13"/>
      <c r="DH133" s="13"/>
      <c r="DI133" s="13"/>
      <c r="DJ133" s="13"/>
      <c r="DK133" s="13"/>
      <c r="DL133" s="13"/>
      <c r="DM133" s="13"/>
      <c r="DN133" s="13"/>
      <c r="DO133" s="13"/>
      <c r="DP133" s="13"/>
      <c r="DQ133" s="13"/>
      <c r="DR133" s="13"/>
      <c r="DS133" s="13"/>
      <c r="DT133" s="13"/>
      <c r="DU133" s="13"/>
      <c r="DV133" s="13"/>
      <c r="DW133" s="13"/>
    </row>
    <row r="134" ht="36.75" customHeight="1">
      <c r="A134" s="43">
        <v>42769.0</v>
      </c>
      <c r="B134" s="16" t="s">
        <v>1930</v>
      </c>
      <c r="C134" s="16" t="s">
        <v>1931</v>
      </c>
      <c r="D134" s="16" t="s">
        <v>1932</v>
      </c>
      <c r="E134" s="34" t="s">
        <v>972</v>
      </c>
      <c r="F134" s="16">
        <v>27.08655</v>
      </c>
      <c r="G134" s="16">
        <v>-80.12454</v>
      </c>
      <c r="H134" s="13">
        <v>26.970539</v>
      </c>
      <c r="I134" s="13">
        <v>-80.080585</v>
      </c>
      <c r="J134" s="13" t="s">
        <v>1935</v>
      </c>
      <c r="K134" s="13" t="s">
        <v>1937</v>
      </c>
      <c r="L134" s="13">
        <v>0.0</v>
      </c>
      <c r="M134" s="13">
        <v>0.0</v>
      </c>
      <c r="N134" s="13">
        <v>14.0</v>
      </c>
      <c r="O134" s="13">
        <v>0.0</v>
      </c>
      <c r="P134" s="13">
        <v>0.0</v>
      </c>
      <c r="Q134" s="13">
        <v>0.0</v>
      </c>
      <c r="R134" s="13">
        <v>0.0</v>
      </c>
      <c r="S134" s="13">
        <v>0.0</v>
      </c>
      <c r="T134" s="13">
        <v>0.0</v>
      </c>
      <c r="U134" s="13">
        <v>0.0</v>
      </c>
      <c r="V134" s="13">
        <v>0.0</v>
      </c>
      <c r="W134" s="13">
        <v>0.0</v>
      </c>
      <c r="X134" s="13">
        <v>0.0</v>
      </c>
      <c r="Y134" s="13">
        <v>30.0</v>
      </c>
      <c r="Z134" s="13">
        <v>137.0</v>
      </c>
      <c r="AA134" s="13">
        <v>0.0</v>
      </c>
      <c r="AB134" s="13">
        <v>0.0</v>
      </c>
      <c r="AC134" s="13">
        <v>0.0</v>
      </c>
      <c r="AD134" s="13">
        <v>0.0</v>
      </c>
      <c r="AE134" s="13">
        <v>0.0</v>
      </c>
      <c r="AF134" s="13">
        <v>0.0</v>
      </c>
      <c r="AG134" s="13">
        <v>0.0</v>
      </c>
      <c r="AH134" s="13">
        <v>21.0</v>
      </c>
      <c r="AI134" s="13">
        <v>0.0</v>
      </c>
      <c r="AJ134" s="13">
        <v>0.0</v>
      </c>
      <c r="AK134" s="13">
        <v>0.0</v>
      </c>
      <c r="AL134" s="13">
        <v>1.0</v>
      </c>
      <c r="AM134" s="13">
        <v>0.0</v>
      </c>
      <c r="AN134" s="13">
        <v>0.0</v>
      </c>
      <c r="AO134" s="13">
        <v>0.0</v>
      </c>
      <c r="AP134" s="13">
        <v>0.0</v>
      </c>
      <c r="AQ134" s="13">
        <v>0.0</v>
      </c>
      <c r="AR134" s="13">
        <v>0.0</v>
      </c>
      <c r="AS134" s="13">
        <v>0.0</v>
      </c>
      <c r="AT134" s="13">
        <v>0.0</v>
      </c>
      <c r="AU134" s="13">
        <v>0.0</v>
      </c>
      <c r="AV134" s="13">
        <v>3.0</v>
      </c>
      <c r="AW134" s="13">
        <v>2.0</v>
      </c>
      <c r="AX134" s="13">
        <v>1.0</v>
      </c>
      <c r="AY134" s="13">
        <v>91.0</v>
      </c>
      <c r="AZ134" s="13">
        <v>21.0</v>
      </c>
      <c r="BA134" s="13">
        <v>0.0</v>
      </c>
      <c r="BB134" s="13">
        <v>0.0</v>
      </c>
      <c r="BC134" s="13">
        <v>0.0</v>
      </c>
      <c r="BD134" s="13">
        <v>0.0</v>
      </c>
      <c r="BE134" s="13">
        <v>0.0</v>
      </c>
      <c r="BF134" s="13">
        <v>0.0</v>
      </c>
      <c r="BG134" s="13">
        <v>0.0</v>
      </c>
      <c r="BH134">
        <f>sum(L134:BG134)</f>
        <v>321</v>
      </c>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c r="CO134" s="13"/>
      <c r="CP134" s="13"/>
      <c r="CQ134" s="13"/>
      <c r="CR134" s="13"/>
      <c r="CS134" s="13"/>
      <c r="CT134" s="13"/>
      <c r="CU134" s="13"/>
      <c r="CV134" s="13"/>
      <c r="CW134" s="13"/>
      <c r="CX134" s="13"/>
      <c r="CY134" s="13"/>
      <c r="CZ134" s="13"/>
      <c r="DA134" s="13"/>
      <c r="DB134" s="13"/>
      <c r="DC134" s="13"/>
      <c r="DD134" s="13"/>
      <c r="DE134" s="13"/>
      <c r="DF134" s="13"/>
      <c r="DG134" s="13"/>
      <c r="DH134" s="13"/>
      <c r="DI134" s="13"/>
      <c r="DJ134" s="13"/>
      <c r="DK134" s="13"/>
      <c r="DL134" s="13"/>
      <c r="DM134" s="13"/>
      <c r="DN134" s="13"/>
      <c r="DO134" s="13"/>
      <c r="DP134" s="13"/>
      <c r="DQ134" s="13"/>
      <c r="DR134" s="13"/>
      <c r="DS134" s="13"/>
      <c r="DT134" s="13"/>
      <c r="DU134" s="13"/>
      <c r="DV134" s="13"/>
      <c r="DW134" s="13"/>
    </row>
    <row r="135" ht="36.75" customHeight="1">
      <c r="A135" s="45">
        <v>42772.0</v>
      </c>
      <c r="B135" s="13" t="s">
        <v>1462</v>
      </c>
      <c r="C135" s="13" t="s">
        <v>1463</v>
      </c>
      <c r="D135" s="13" t="s">
        <v>1959</v>
      </c>
      <c r="E135" s="31" t="s">
        <v>972</v>
      </c>
      <c r="F135" s="13" t="s">
        <v>1960</v>
      </c>
      <c r="G135" s="38" t="s">
        <v>1961</v>
      </c>
      <c r="H135" s="38" t="s">
        <v>1960</v>
      </c>
      <c r="I135" s="70" t="s">
        <v>1961</v>
      </c>
      <c r="J135" s="13" t="s">
        <v>1962</v>
      </c>
      <c r="K135" s="13" t="s">
        <v>1476</v>
      </c>
      <c r="Q135" s="13">
        <v>8.0</v>
      </c>
      <c r="AQ135" s="13">
        <v>21.0</v>
      </c>
    </row>
    <row r="136" ht="36.75" customHeight="1">
      <c r="A136" s="41">
        <v>42773.0</v>
      </c>
      <c r="B136" s="16" t="s">
        <v>1927</v>
      </c>
      <c r="C136" s="16" t="s">
        <v>1928</v>
      </c>
      <c r="D136" s="16" t="s">
        <v>1929</v>
      </c>
      <c r="E136" s="34" t="s">
        <v>972</v>
      </c>
      <c r="F136" s="16">
        <v>27.086367</v>
      </c>
      <c r="G136" s="16">
        <v>-80.124733</v>
      </c>
      <c r="H136" s="13">
        <v>27.131117</v>
      </c>
      <c r="I136" s="13">
        <v>-80.145283</v>
      </c>
      <c r="J136" s="13" t="s">
        <v>1933</v>
      </c>
      <c r="K136" s="13" t="s">
        <v>1934</v>
      </c>
      <c r="L136" s="13">
        <v>0.0</v>
      </c>
      <c r="M136" s="13">
        <v>0.0</v>
      </c>
      <c r="N136" s="13">
        <v>1.0</v>
      </c>
      <c r="O136" s="13">
        <v>0.0</v>
      </c>
      <c r="P136" s="13">
        <v>0.0</v>
      </c>
      <c r="Q136" s="13">
        <v>0.0</v>
      </c>
      <c r="R136" s="13">
        <v>0.0</v>
      </c>
      <c r="S136" s="13">
        <v>0.0</v>
      </c>
      <c r="T136" s="13">
        <v>0.0</v>
      </c>
      <c r="U136" s="13">
        <v>0.0</v>
      </c>
      <c r="V136" s="13">
        <v>0.0</v>
      </c>
      <c r="W136" s="13">
        <v>0.0</v>
      </c>
      <c r="X136" s="13">
        <v>0.0</v>
      </c>
      <c r="Y136" s="13">
        <v>28.0</v>
      </c>
      <c r="Z136" s="13">
        <v>51.0</v>
      </c>
      <c r="AA136" s="13">
        <v>0.0</v>
      </c>
      <c r="AB136" s="13">
        <v>0.0</v>
      </c>
      <c r="AC136" s="13">
        <v>0.0</v>
      </c>
      <c r="AD136" s="13">
        <v>0.0</v>
      </c>
      <c r="AE136" s="13">
        <v>0.0</v>
      </c>
      <c r="AF136" s="13">
        <v>0.0</v>
      </c>
      <c r="AG136" s="13">
        <v>0.0</v>
      </c>
      <c r="AH136" s="13">
        <v>11.0</v>
      </c>
      <c r="AI136" s="13">
        <v>0.0</v>
      </c>
      <c r="AJ136" s="13">
        <v>0.0</v>
      </c>
      <c r="AK136" s="13">
        <v>0.0</v>
      </c>
      <c r="AL136" s="13">
        <v>0.0</v>
      </c>
      <c r="AM136" s="13">
        <v>0.0</v>
      </c>
      <c r="AN136" s="13">
        <v>0.0</v>
      </c>
      <c r="AO136" s="13">
        <v>0.0</v>
      </c>
      <c r="AP136" s="13">
        <v>0.0</v>
      </c>
      <c r="AQ136" s="13">
        <v>0.0</v>
      </c>
      <c r="AR136" s="13">
        <v>0.0</v>
      </c>
      <c r="AS136" s="13">
        <v>0.0</v>
      </c>
      <c r="AT136" s="13">
        <v>0.0</v>
      </c>
      <c r="AU136" s="13">
        <v>0.0</v>
      </c>
      <c r="AV136" s="13">
        <v>0.0</v>
      </c>
      <c r="AW136" s="13">
        <v>0.0</v>
      </c>
      <c r="AX136" s="13">
        <v>1.0</v>
      </c>
      <c r="AY136" s="13">
        <v>69.0</v>
      </c>
      <c r="AZ136" s="13">
        <v>15.0</v>
      </c>
      <c r="BA136" s="13">
        <v>0.0</v>
      </c>
      <c r="BB136" s="13">
        <v>0.0</v>
      </c>
      <c r="BC136" s="13">
        <v>0.0</v>
      </c>
      <c r="BD136" s="13">
        <v>0.0</v>
      </c>
      <c r="BE136" s="13">
        <v>0.0</v>
      </c>
      <c r="BF136" s="13">
        <v>0.0</v>
      </c>
      <c r="BG136" s="13">
        <v>0.0</v>
      </c>
      <c r="BH136" s="13">
        <f t="shared" ref="BH136:BH137" si="21">sum(L136:BG136)</f>
        <v>176</v>
      </c>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13"/>
      <c r="CT136" s="13"/>
      <c r="CU136" s="13"/>
      <c r="CV136" s="13"/>
      <c r="CW136" s="13"/>
      <c r="CX136" s="13"/>
      <c r="CY136" s="13"/>
      <c r="CZ136" s="13"/>
      <c r="DA136" s="13"/>
      <c r="DB136" s="13"/>
      <c r="DC136" s="13"/>
      <c r="DD136" s="13"/>
      <c r="DE136" s="13"/>
      <c r="DF136" s="13"/>
      <c r="DG136" s="13"/>
      <c r="DH136" s="13"/>
      <c r="DI136" s="13"/>
      <c r="DJ136" s="13"/>
      <c r="DK136" s="13"/>
      <c r="DL136" s="13"/>
      <c r="DM136" s="13"/>
      <c r="DN136" s="13"/>
      <c r="DO136" s="13"/>
      <c r="DP136" s="13"/>
      <c r="DQ136" s="13"/>
      <c r="DR136" s="13"/>
      <c r="DS136" s="13"/>
      <c r="DT136" s="13"/>
      <c r="DU136" s="13"/>
      <c r="DV136" s="13"/>
      <c r="DW136" s="13"/>
    </row>
    <row r="137" ht="36.75" customHeight="1">
      <c r="A137" s="41">
        <v>42773.0</v>
      </c>
      <c r="B137" s="16" t="s">
        <v>969</v>
      </c>
      <c r="C137" s="16" t="s">
        <v>970</v>
      </c>
      <c r="D137" s="16" t="s">
        <v>971</v>
      </c>
      <c r="E137" s="34" t="s">
        <v>972</v>
      </c>
      <c r="F137" s="16">
        <v>27.16902633</v>
      </c>
      <c r="G137" s="16">
        <v>-80.15704639</v>
      </c>
      <c r="H137" s="13">
        <v>27.26299818</v>
      </c>
      <c r="I137" s="13">
        <v>-80.19966799</v>
      </c>
      <c r="J137" s="13" t="s">
        <v>1938</v>
      </c>
      <c r="K137" s="13" t="s">
        <v>1939</v>
      </c>
      <c r="L137" s="13">
        <v>0.0</v>
      </c>
      <c r="M137" s="13">
        <v>0.0</v>
      </c>
      <c r="N137" s="13">
        <v>1.0</v>
      </c>
      <c r="O137" s="13">
        <v>0.0</v>
      </c>
      <c r="P137" s="13">
        <v>0.0</v>
      </c>
      <c r="Q137" s="13">
        <v>7.0</v>
      </c>
      <c r="R137" s="13">
        <v>0.0</v>
      </c>
      <c r="S137" s="13">
        <v>0.0</v>
      </c>
      <c r="T137" s="13">
        <v>0.0</v>
      </c>
      <c r="U137" s="13">
        <v>0.0</v>
      </c>
      <c r="V137" s="13">
        <v>0.0</v>
      </c>
      <c r="W137" s="13">
        <v>0.0</v>
      </c>
      <c r="X137" s="13">
        <v>0.0</v>
      </c>
      <c r="Y137" s="13">
        <v>88.0</v>
      </c>
      <c r="Z137" s="13">
        <v>94.0</v>
      </c>
      <c r="AA137" s="13">
        <v>0.0</v>
      </c>
      <c r="AB137" s="13">
        <v>0.0</v>
      </c>
      <c r="AC137" s="13">
        <v>0.0</v>
      </c>
      <c r="AD137" s="13">
        <v>0.0</v>
      </c>
      <c r="AE137" s="13">
        <v>0.0</v>
      </c>
      <c r="AF137" s="13">
        <v>0.0</v>
      </c>
      <c r="AG137" s="13">
        <v>0.0</v>
      </c>
      <c r="AH137" s="13">
        <v>8.0</v>
      </c>
      <c r="AI137" s="13">
        <v>0.0</v>
      </c>
      <c r="AJ137" s="13">
        <v>0.0</v>
      </c>
      <c r="AK137" s="13">
        <v>0.0</v>
      </c>
      <c r="AL137" s="13">
        <v>0.0</v>
      </c>
      <c r="AM137" s="13">
        <v>0.0</v>
      </c>
      <c r="AN137" s="13">
        <v>0.0</v>
      </c>
      <c r="AO137" s="13">
        <v>0.0</v>
      </c>
      <c r="AP137" s="13">
        <v>0.0</v>
      </c>
      <c r="AQ137" s="13">
        <v>0.0</v>
      </c>
      <c r="AR137" s="13">
        <v>0.0</v>
      </c>
      <c r="AS137" s="13">
        <v>0.0</v>
      </c>
      <c r="AT137" s="13">
        <v>0.0</v>
      </c>
      <c r="AU137" s="13">
        <v>0.0</v>
      </c>
      <c r="AV137" s="13">
        <v>1.0</v>
      </c>
      <c r="AW137" s="13">
        <v>56.0</v>
      </c>
      <c r="AX137" s="13">
        <v>0.0</v>
      </c>
      <c r="AY137" s="13">
        <v>106.0</v>
      </c>
      <c r="AZ137" s="13">
        <v>6.0</v>
      </c>
      <c r="BA137" s="13">
        <v>0.0</v>
      </c>
      <c r="BB137" s="13">
        <v>0.0</v>
      </c>
      <c r="BC137" s="13">
        <v>0.0</v>
      </c>
      <c r="BD137" s="13">
        <v>0.0</v>
      </c>
      <c r="BE137" s="13">
        <v>0.0</v>
      </c>
      <c r="BF137" s="13">
        <v>0.0</v>
      </c>
      <c r="BG137" s="13">
        <v>0.0</v>
      </c>
      <c r="BH137" s="13">
        <f t="shared" si="21"/>
        <v>367</v>
      </c>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c r="CM137" s="13"/>
      <c r="CN137" s="13"/>
      <c r="CO137" s="13"/>
      <c r="CP137" s="13"/>
      <c r="CQ137" s="13"/>
      <c r="CR137" s="13"/>
      <c r="CS137" s="13"/>
      <c r="CT137" s="13"/>
      <c r="CU137" s="13"/>
      <c r="CV137" s="13"/>
      <c r="CW137" s="13"/>
      <c r="CX137" s="13"/>
      <c r="CY137" s="13"/>
      <c r="CZ137" s="13"/>
      <c r="DA137" s="13"/>
      <c r="DB137" s="13"/>
      <c r="DC137" s="13"/>
      <c r="DD137" s="13"/>
      <c r="DE137" s="13"/>
      <c r="DF137" s="13"/>
      <c r="DG137" s="13"/>
      <c r="DH137" s="13"/>
      <c r="DI137" s="13"/>
      <c r="DJ137" s="13"/>
      <c r="DK137" s="13"/>
      <c r="DL137" s="13"/>
      <c r="DM137" s="13"/>
      <c r="DN137" s="13"/>
      <c r="DO137" s="13"/>
      <c r="DP137" s="13"/>
      <c r="DQ137" s="13"/>
      <c r="DR137" s="13"/>
      <c r="DS137" s="13"/>
      <c r="DT137" s="13"/>
      <c r="DU137" s="13"/>
      <c r="DV137" s="13"/>
      <c r="DW137" s="13"/>
    </row>
    <row r="138" ht="36.75" customHeight="1">
      <c r="A138" s="41">
        <v>42774.0</v>
      </c>
      <c r="B138" s="16" t="s">
        <v>1942</v>
      </c>
      <c r="C138" s="16" t="s">
        <v>1943</v>
      </c>
      <c r="D138" s="16" t="s">
        <v>1944</v>
      </c>
      <c r="E138" s="26" t="s">
        <v>972</v>
      </c>
      <c r="F138" s="16">
        <v>27.13080743</v>
      </c>
      <c r="G138" s="16">
        <v>-80.14504041</v>
      </c>
      <c r="H138" s="13">
        <v>27.16318685</v>
      </c>
      <c r="I138" s="13">
        <v>-80.16742617</v>
      </c>
      <c r="J138" s="13" t="s">
        <v>1945</v>
      </c>
      <c r="K138" s="13" t="s">
        <v>1946</v>
      </c>
      <c r="L138" s="13">
        <v>0.0</v>
      </c>
      <c r="M138" s="13">
        <v>0.0</v>
      </c>
      <c r="N138" s="13">
        <v>0.0</v>
      </c>
      <c r="O138" s="13">
        <v>0.0</v>
      </c>
      <c r="P138" s="13">
        <v>0.0</v>
      </c>
      <c r="Q138" s="13">
        <v>0.0</v>
      </c>
      <c r="R138" s="13">
        <v>0.0</v>
      </c>
      <c r="S138" s="13">
        <v>0.0</v>
      </c>
      <c r="T138" s="13">
        <v>0.0</v>
      </c>
      <c r="U138" s="13">
        <v>0.0</v>
      </c>
      <c r="V138" s="13">
        <v>0.0</v>
      </c>
      <c r="W138" s="13">
        <v>0.0</v>
      </c>
      <c r="X138" s="13">
        <v>0.0</v>
      </c>
      <c r="Y138" s="13">
        <v>0.0</v>
      </c>
      <c r="Z138" s="13">
        <v>3.0</v>
      </c>
      <c r="AA138" s="13">
        <v>0.0</v>
      </c>
      <c r="AB138" s="13">
        <v>0.0</v>
      </c>
      <c r="AC138" s="13">
        <v>0.0</v>
      </c>
      <c r="AD138" s="13">
        <v>0.0</v>
      </c>
      <c r="AE138" s="13">
        <v>0.0</v>
      </c>
      <c r="AF138" s="13">
        <v>0.0</v>
      </c>
      <c r="AG138" s="13">
        <v>0.0</v>
      </c>
      <c r="AH138" s="13">
        <v>1.0</v>
      </c>
      <c r="AI138" s="13">
        <v>0.0</v>
      </c>
      <c r="AJ138" s="13">
        <v>0.0</v>
      </c>
      <c r="AK138" s="13">
        <v>0.0</v>
      </c>
      <c r="AL138" s="13">
        <v>0.0</v>
      </c>
      <c r="AM138" s="13">
        <v>0.0</v>
      </c>
      <c r="AN138" s="13">
        <v>0.0</v>
      </c>
      <c r="AO138" s="13">
        <v>0.0</v>
      </c>
      <c r="AP138" s="13">
        <v>0.0</v>
      </c>
      <c r="AQ138" s="13">
        <v>0.0</v>
      </c>
      <c r="AR138" s="13">
        <v>0.0</v>
      </c>
      <c r="AS138" s="13">
        <v>0.0</v>
      </c>
      <c r="AT138" s="13">
        <v>0.0</v>
      </c>
      <c r="AU138" s="13">
        <v>0.0</v>
      </c>
      <c r="AV138" s="13">
        <v>0.0</v>
      </c>
      <c r="AW138" s="13">
        <v>0.0</v>
      </c>
      <c r="AX138" s="13">
        <v>0.0</v>
      </c>
      <c r="AY138" s="13">
        <v>0.0</v>
      </c>
      <c r="AZ138" s="13">
        <v>0.0</v>
      </c>
      <c r="BA138" s="13">
        <v>0.0</v>
      </c>
      <c r="BB138" s="13">
        <v>0.0</v>
      </c>
      <c r="BC138" s="13">
        <v>0.0</v>
      </c>
      <c r="BD138" s="13">
        <v>0.0</v>
      </c>
      <c r="BE138" s="13">
        <v>0.0</v>
      </c>
      <c r="BF138" s="13">
        <v>0.0</v>
      </c>
      <c r="BG138" s="13">
        <v>0.0</v>
      </c>
      <c r="BH138" s="13">
        <v>6.0</v>
      </c>
      <c r="BI138" s="13" t="s">
        <v>2004</v>
      </c>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c r="CM138" s="13"/>
      <c r="CN138" s="13"/>
      <c r="CO138" s="13"/>
      <c r="CP138" s="13"/>
      <c r="CQ138" s="13"/>
      <c r="CR138" s="13"/>
      <c r="CS138" s="13"/>
      <c r="CT138" s="13"/>
      <c r="CU138" s="13"/>
      <c r="CV138" s="13"/>
      <c r="CW138" s="13"/>
      <c r="CX138" s="13"/>
      <c r="CY138" s="13"/>
      <c r="CZ138" s="13"/>
      <c r="DA138" s="13"/>
      <c r="DB138" s="13"/>
      <c r="DC138" s="13"/>
      <c r="DD138" s="13"/>
      <c r="DE138" s="13"/>
      <c r="DF138" s="13"/>
      <c r="DG138" s="13"/>
      <c r="DH138" s="13"/>
      <c r="DI138" s="13"/>
      <c r="DJ138" s="13"/>
      <c r="DK138" s="13"/>
      <c r="DL138" s="13"/>
      <c r="DM138" s="13"/>
      <c r="DN138" s="13"/>
      <c r="DO138" s="13"/>
      <c r="DP138" s="13"/>
      <c r="DQ138" s="13"/>
      <c r="DR138" s="13"/>
      <c r="DS138" s="13"/>
      <c r="DT138" s="13"/>
      <c r="DU138" s="13"/>
      <c r="DV138" s="13"/>
      <c r="DW138" s="13"/>
    </row>
    <row r="139" ht="36.75" customHeight="1">
      <c r="A139" s="91" t="s">
        <v>2010</v>
      </c>
      <c r="B139" s="92"/>
      <c r="C139" s="92"/>
      <c r="D139" s="92" t="s">
        <v>2019</v>
      </c>
      <c r="E139" s="92" t="s">
        <v>972</v>
      </c>
      <c r="F139" s="69">
        <v>27.470703</v>
      </c>
      <c r="G139" s="69">
        <v>-80.289946</v>
      </c>
      <c r="H139" s="69">
        <v>27.309</v>
      </c>
      <c r="I139" s="76">
        <v>-80.22105</v>
      </c>
      <c r="J139" s="26" t="s">
        <v>2021</v>
      </c>
      <c r="K139" s="26" t="s">
        <v>2022</v>
      </c>
      <c r="L139" s="69">
        <v>0.0</v>
      </c>
      <c r="M139" s="69">
        <v>0.0</v>
      </c>
      <c r="N139" s="69">
        <v>32.0</v>
      </c>
      <c r="O139" s="69">
        <v>1.0</v>
      </c>
      <c r="P139" s="69">
        <v>0.0</v>
      </c>
      <c r="Q139" s="69">
        <v>9.0</v>
      </c>
      <c r="R139" s="69">
        <v>0.0</v>
      </c>
      <c r="S139" s="69">
        <v>0.0</v>
      </c>
      <c r="T139" s="69">
        <v>0.0</v>
      </c>
      <c r="U139" s="69">
        <v>0.0</v>
      </c>
      <c r="V139" s="69">
        <v>0.0</v>
      </c>
      <c r="W139" s="69">
        <v>0.0</v>
      </c>
      <c r="X139" s="69">
        <v>0.0</v>
      </c>
      <c r="Y139" s="69">
        <v>0.0</v>
      </c>
      <c r="Z139" s="69">
        <v>137.0</v>
      </c>
      <c r="AA139" s="69">
        <v>0.0</v>
      </c>
      <c r="AB139" s="69">
        <v>0.0</v>
      </c>
      <c r="AC139" s="69">
        <v>0.0</v>
      </c>
      <c r="AD139" s="69">
        <v>0.0</v>
      </c>
      <c r="AE139" s="69">
        <v>0.0</v>
      </c>
      <c r="AF139" s="69">
        <v>0.0</v>
      </c>
      <c r="AG139" s="69">
        <v>0.0</v>
      </c>
      <c r="AH139" s="69">
        <v>10.0</v>
      </c>
      <c r="AI139" s="69">
        <v>0.0</v>
      </c>
      <c r="AJ139" s="69">
        <v>0.0</v>
      </c>
      <c r="AK139" s="69">
        <v>0.0</v>
      </c>
      <c r="AL139" s="69">
        <v>0.0</v>
      </c>
      <c r="AM139" s="69">
        <v>0.0</v>
      </c>
      <c r="AN139" s="69">
        <v>42.0</v>
      </c>
      <c r="AO139" s="69">
        <v>0.0</v>
      </c>
      <c r="AP139" s="69">
        <v>0.0</v>
      </c>
      <c r="AQ139" s="69">
        <v>1.0</v>
      </c>
      <c r="AR139" s="69">
        <v>3.0</v>
      </c>
      <c r="AS139" s="69">
        <v>0.0</v>
      </c>
      <c r="AT139" s="69">
        <v>0.0</v>
      </c>
      <c r="AU139" s="69">
        <v>2.0</v>
      </c>
      <c r="AV139" s="69">
        <v>25.0</v>
      </c>
      <c r="AW139" s="69">
        <v>15.0</v>
      </c>
      <c r="AX139" s="69">
        <v>0.0</v>
      </c>
      <c r="AY139" s="69">
        <v>83.0</v>
      </c>
      <c r="AZ139" s="69">
        <v>34.0</v>
      </c>
      <c r="BA139" s="69">
        <v>0.0</v>
      </c>
      <c r="BB139" s="69">
        <v>0.0</v>
      </c>
      <c r="BC139" s="69">
        <v>0.0</v>
      </c>
      <c r="BD139" s="69">
        <v>0.0</v>
      </c>
      <c r="BE139" s="69">
        <v>0.0</v>
      </c>
      <c r="BF139" s="69">
        <v>0.0</v>
      </c>
      <c r="BG139" s="69">
        <v>0.0</v>
      </c>
      <c r="BH139" s="13">
        <f>sum(L139:BG139)</f>
        <v>394</v>
      </c>
      <c r="BI139" s="38"/>
    </row>
    <row r="140" ht="36.75" customHeight="1">
      <c r="A140" s="11">
        <v>42774.0</v>
      </c>
      <c r="B140" s="13" t="s">
        <v>2032</v>
      </c>
      <c r="C140" s="13" t="s">
        <v>2033</v>
      </c>
      <c r="D140" s="13" t="s">
        <v>2034</v>
      </c>
      <c r="E140" s="34" t="s">
        <v>1951</v>
      </c>
      <c r="F140" s="13"/>
      <c r="G140" s="13"/>
      <c r="H140" s="13">
        <v>27.19093</v>
      </c>
      <c r="I140" s="14">
        <v>-80.18867</v>
      </c>
      <c r="J140" s="13" t="s">
        <v>1952</v>
      </c>
      <c r="K140" s="13" t="s">
        <v>2035</v>
      </c>
      <c r="L140" s="13">
        <v>0.0</v>
      </c>
      <c r="M140" s="13">
        <v>0.0</v>
      </c>
      <c r="N140" s="13">
        <v>23.0</v>
      </c>
      <c r="O140" s="13">
        <v>3.0</v>
      </c>
      <c r="P140" s="13">
        <v>0.0</v>
      </c>
      <c r="Q140" s="13">
        <v>4.0</v>
      </c>
      <c r="R140" s="13">
        <v>0.0</v>
      </c>
      <c r="S140" s="13">
        <v>0.0</v>
      </c>
      <c r="T140" s="13">
        <v>0.0</v>
      </c>
      <c r="U140" s="13">
        <v>0.0</v>
      </c>
      <c r="V140" s="13">
        <v>0.0</v>
      </c>
      <c r="W140" s="13">
        <v>0.0</v>
      </c>
      <c r="X140" s="13">
        <v>0.0</v>
      </c>
      <c r="Y140" s="13">
        <v>14.0</v>
      </c>
      <c r="Z140" s="13">
        <v>93.0</v>
      </c>
      <c r="AA140" s="13">
        <v>2.0</v>
      </c>
      <c r="AB140" s="13">
        <v>0.0</v>
      </c>
      <c r="AC140" s="13">
        <v>2.0</v>
      </c>
      <c r="AD140" s="13">
        <v>0.0</v>
      </c>
      <c r="AE140" s="13">
        <v>0.0</v>
      </c>
      <c r="AF140" s="13">
        <v>0.0</v>
      </c>
      <c r="AG140" s="13">
        <v>0.0</v>
      </c>
      <c r="AH140" s="13">
        <v>24.0</v>
      </c>
      <c r="AI140" s="13">
        <v>0.0</v>
      </c>
      <c r="AJ140" s="13">
        <v>0.0</v>
      </c>
      <c r="AK140" s="13">
        <v>25.0</v>
      </c>
      <c r="AL140" s="13">
        <v>0.0</v>
      </c>
      <c r="AM140" s="13">
        <v>0.0</v>
      </c>
      <c r="AN140" s="13">
        <v>69.0</v>
      </c>
      <c r="AO140" s="13">
        <v>0.0</v>
      </c>
      <c r="AP140" s="13">
        <v>0.0</v>
      </c>
      <c r="AQ140" s="13">
        <v>19.0</v>
      </c>
      <c r="AR140" s="13">
        <v>0.0</v>
      </c>
      <c r="AS140" s="13">
        <v>0.0</v>
      </c>
      <c r="AT140" s="13">
        <v>0.0</v>
      </c>
      <c r="AU140" s="13">
        <v>0.0</v>
      </c>
      <c r="AV140" s="13">
        <v>0.0</v>
      </c>
      <c r="AW140" s="13">
        <v>30.0</v>
      </c>
      <c r="AX140" s="13">
        <v>0.0</v>
      </c>
      <c r="AY140" s="13">
        <v>3.0</v>
      </c>
      <c r="AZ140" s="13">
        <v>0.0</v>
      </c>
      <c r="BA140" s="13">
        <v>0.0</v>
      </c>
      <c r="BB140" s="13">
        <v>0.0</v>
      </c>
      <c r="BC140" s="13">
        <v>0.0</v>
      </c>
      <c r="BD140" s="13">
        <v>0.0</v>
      </c>
      <c r="BE140" s="13">
        <v>0.0</v>
      </c>
      <c r="BF140" s="13">
        <v>0.0</v>
      </c>
      <c r="BG140" s="13">
        <v>0.0</v>
      </c>
      <c r="BH140">
        <f>SUM(L140:BG140)</f>
        <v>311</v>
      </c>
      <c r="BI140" s="13" t="s">
        <v>2039</v>
      </c>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c r="CM140" s="13"/>
      <c r="CN140" s="13"/>
      <c r="CO140" s="13"/>
      <c r="CP140" s="13"/>
      <c r="CQ140" s="13"/>
      <c r="CR140" s="13"/>
      <c r="CS140" s="13"/>
      <c r="CT140" s="13"/>
      <c r="CU140" s="13"/>
      <c r="CV140" s="13"/>
      <c r="CW140" s="13"/>
      <c r="CX140" s="13"/>
      <c r="CY140" s="13"/>
      <c r="CZ140" s="13"/>
      <c r="DA140" s="13"/>
      <c r="DB140" s="13"/>
      <c r="DC140" s="13"/>
      <c r="DD140" s="13"/>
      <c r="DE140" s="13"/>
      <c r="DF140" s="13"/>
      <c r="DG140" s="13"/>
      <c r="DH140" s="13"/>
      <c r="DI140" s="13"/>
      <c r="DJ140" s="13"/>
      <c r="DK140" s="13"/>
      <c r="DL140" s="13"/>
      <c r="DM140" s="13"/>
      <c r="DN140" s="13"/>
      <c r="DO140" s="13"/>
      <c r="DP140" s="13"/>
      <c r="DQ140" s="13"/>
      <c r="DR140" s="13"/>
      <c r="DS140" s="13"/>
      <c r="DT140" s="13"/>
      <c r="DU140" s="13"/>
      <c r="DV140" s="13"/>
      <c r="DW140" s="13"/>
    </row>
    <row r="141" ht="36.75" customHeight="1">
      <c r="A141" s="50">
        <v>42772.0</v>
      </c>
      <c r="B141" s="16" t="s">
        <v>714</v>
      </c>
      <c r="C141" s="16" t="s">
        <v>715</v>
      </c>
      <c r="D141" s="16" t="s">
        <v>716</v>
      </c>
      <c r="E141" s="16" t="s">
        <v>717</v>
      </c>
      <c r="F141" s="16">
        <v>25.849124</v>
      </c>
      <c r="G141" s="16">
        <v>-80.16512</v>
      </c>
      <c r="H141" s="16">
        <v>25.849124</v>
      </c>
      <c r="I141" s="16">
        <v>-80.16512</v>
      </c>
      <c r="J141" s="13" t="s">
        <v>1963</v>
      </c>
      <c r="K141" s="13" t="s">
        <v>1964</v>
      </c>
      <c r="L141" s="13">
        <v>0.0</v>
      </c>
      <c r="M141" s="13">
        <v>0.0</v>
      </c>
      <c r="N141" s="13">
        <v>0.0</v>
      </c>
      <c r="O141" s="13">
        <v>0.0</v>
      </c>
      <c r="P141" s="13">
        <v>0.0</v>
      </c>
      <c r="Q141" s="13">
        <v>0.0</v>
      </c>
      <c r="R141" s="13">
        <v>0.0</v>
      </c>
      <c r="S141" s="13">
        <v>0.0</v>
      </c>
      <c r="T141" s="13">
        <v>0.0</v>
      </c>
      <c r="U141" s="13">
        <v>0.0</v>
      </c>
      <c r="V141" s="13">
        <v>0.0</v>
      </c>
      <c r="W141" s="13">
        <v>0.0</v>
      </c>
      <c r="X141" s="13">
        <v>0.0</v>
      </c>
      <c r="Y141" s="13">
        <v>0.0</v>
      </c>
      <c r="Z141" s="13">
        <v>0.0</v>
      </c>
      <c r="AA141" s="13">
        <v>0.0</v>
      </c>
      <c r="AB141" s="13">
        <v>0.0</v>
      </c>
      <c r="AC141" s="13">
        <v>0.0</v>
      </c>
      <c r="AD141" s="13">
        <v>0.0</v>
      </c>
      <c r="AE141" s="13">
        <v>0.0</v>
      </c>
      <c r="AF141" s="13">
        <v>0.0</v>
      </c>
      <c r="AG141" s="13">
        <v>0.0</v>
      </c>
      <c r="AH141" s="13">
        <v>0.0</v>
      </c>
      <c r="AI141" s="13">
        <v>0.0</v>
      </c>
      <c r="AJ141" s="13">
        <v>0.0</v>
      </c>
      <c r="AK141" s="13">
        <v>0.0</v>
      </c>
      <c r="AL141" s="13">
        <v>0.0</v>
      </c>
      <c r="AM141" s="13">
        <v>0.0</v>
      </c>
      <c r="AN141" s="13">
        <v>23.0</v>
      </c>
      <c r="AO141" s="13">
        <v>0.0</v>
      </c>
      <c r="AP141" s="13">
        <v>0.0</v>
      </c>
      <c r="AQ141" s="13">
        <v>46.0</v>
      </c>
      <c r="AR141" s="13">
        <v>0.0</v>
      </c>
      <c r="AS141" s="13">
        <v>0.0</v>
      </c>
      <c r="AT141" s="13">
        <v>0.0</v>
      </c>
      <c r="AU141" s="13">
        <v>0.0</v>
      </c>
      <c r="AV141" s="13">
        <v>6.0</v>
      </c>
      <c r="AW141" s="13">
        <v>108.0</v>
      </c>
      <c r="AX141" s="13">
        <v>0.0</v>
      </c>
      <c r="AY141" s="13">
        <v>5.0</v>
      </c>
      <c r="AZ141" s="13">
        <v>8.0</v>
      </c>
      <c r="BA141" s="13">
        <v>0.0</v>
      </c>
      <c r="BB141" s="13">
        <v>0.0</v>
      </c>
      <c r="BC141" s="13">
        <v>0.0</v>
      </c>
      <c r="BD141" s="13">
        <v>0.0</v>
      </c>
      <c r="BE141" s="13">
        <v>0.0</v>
      </c>
      <c r="BF141" s="13">
        <v>0.0</v>
      </c>
      <c r="BG141" s="13">
        <v>0.0</v>
      </c>
      <c r="BH141">
        <f t="shared" ref="BH141:BH143" si="22">sum(L141:BG141)</f>
        <v>196</v>
      </c>
    </row>
    <row r="142" ht="36.75" customHeight="1">
      <c r="A142" s="41">
        <v>42773.0</v>
      </c>
      <c r="B142" s="16" t="s">
        <v>1966</v>
      </c>
      <c r="C142" s="16" t="s">
        <v>1967</v>
      </c>
      <c r="D142" s="16" t="s">
        <v>1968</v>
      </c>
      <c r="E142" s="34" t="s">
        <v>399</v>
      </c>
      <c r="F142" s="16">
        <v>25.730741</v>
      </c>
      <c r="G142" s="16">
        <v>-80.161019</v>
      </c>
      <c r="H142" s="13">
        <v>25.746273</v>
      </c>
      <c r="I142" s="13">
        <v>-80.200829</v>
      </c>
      <c r="J142" s="13" t="s">
        <v>1969</v>
      </c>
      <c r="K142" s="13" t="s">
        <v>1970</v>
      </c>
      <c r="N142" s="13">
        <v>45.0</v>
      </c>
      <c r="O142" s="13"/>
      <c r="R142" s="13"/>
      <c r="Y142" s="13">
        <v>1.0</v>
      </c>
      <c r="Z142" s="13"/>
      <c r="AF142" s="13"/>
      <c r="AH142" s="13">
        <v>2.0</v>
      </c>
      <c r="AK142" s="13">
        <v>135.0</v>
      </c>
      <c r="AN142" s="13">
        <v>60.0</v>
      </c>
      <c r="AO142" s="13"/>
      <c r="AQ142" s="13">
        <v>150.0</v>
      </c>
      <c r="AU142" s="13">
        <v>2.0</v>
      </c>
      <c r="AV142" s="13">
        <v>46.0</v>
      </c>
      <c r="AW142" s="13">
        <v>244.0</v>
      </c>
      <c r="AX142" s="13">
        <v>11.0</v>
      </c>
      <c r="AY142" s="13">
        <v>24.0</v>
      </c>
      <c r="AZ142" s="13">
        <v>101.0</v>
      </c>
      <c r="BA142" s="13">
        <v>1.0</v>
      </c>
      <c r="BH142" s="13">
        <f t="shared" si="22"/>
        <v>822</v>
      </c>
    </row>
    <row r="143" ht="36.75" customHeight="1">
      <c r="A143" s="41">
        <v>42773.0</v>
      </c>
      <c r="B143" s="16" t="s">
        <v>396</v>
      </c>
      <c r="C143" s="16" t="s">
        <v>397</v>
      </c>
      <c r="D143" s="16" t="s">
        <v>398</v>
      </c>
      <c r="E143" s="26" t="s">
        <v>399</v>
      </c>
      <c r="F143" s="16">
        <v>25.46381</v>
      </c>
      <c r="G143" s="16">
        <v>-80.33408</v>
      </c>
      <c r="H143" s="13">
        <v>25.38414</v>
      </c>
      <c r="I143" s="13">
        <v>-80.21384</v>
      </c>
      <c r="J143" s="13" t="s">
        <v>1974</v>
      </c>
      <c r="K143" s="13" t="s">
        <v>1975</v>
      </c>
      <c r="L143" s="13">
        <v>0.0</v>
      </c>
      <c r="M143" s="13">
        <v>0.0</v>
      </c>
      <c r="N143" s="13">
        <v>24.0</v>
      </c>
      <c r="O143" s="13">
        <v>5.0</v>
      </c>
      <c r="P143" s="13">
        <v>0.0</v>
      </c>
      <c r="Q143" s="13">
        <v>0.0</v>
      </c>
      <c r="R143" s="13">
        <v>2.0</v>
      </c>
      <c r="S143" s="13">
        <v>0.0</v>
      </c>
      <c r="T143" s="13">
        <v>0.0</v>
      </c>
      <c r="U143" s="13">
        <v>0.0</v>
      </c>
      <c r="V143" s="13">
        <v>0.0</v>
      </c>
      <c r="W143" s="13">
        <v>0.0</v>
      </c>
      <c r="X143" s="13">
        <v>0.0</v>
      </c>
      <c r="Y143" s="13">
        <v>2.0</v>
      </c>
      <c r="Z143" s="13">
        <v>109.0</v>
      </c>
      <c r="AA143" s="13">
        <v>16.0</v>
      </c>
      <c r="AB143" s="13">
        <v>3.0</v>
      </c>
      <c r="AC143" s="13">
        <v>0.0</v>
      </c>
      <c r="AD143" s="13">
        <v>0.0</v>
      </c>
      <c r="AE143" s="13">
        <v>1.0</v>
      </c>
      <c r="AF143" s="13">
        <v>0.0</v>
      </c>
      <c r="AG143" s="13">
        <v>0.0</v>
      </c>
      <c r="AH143" s="13">
        <v>0.0</v>
      </c>
      <c r="AI143" s="13">
        <v>0.0</v>
      </c>
      <c r="AJ143" s="13">
        <v>0.0</v>
      </c>
      <c r="AK143" s="13">
        <v>0.0</v>
      </c>
      <c r="AL143" s="13">
        <v>0.0</v>
      </c>
      <c r="AM143" s="13">
        <v>0.0</v>
      </c>
      <c r="AN143" s="13">
        <v>39.0</v>
      </c>
      <c r="AO143" s="13">
        <v>1.0</v>
      </c>
      <c r="AP143" s="13">
        <v>0.0</v>
      </c>
      <c r="AQ143" s="13">
        <v>247.0</v>
      </c>
      <c r="AR143" s="13">
        <v>0.0</v>
      </c>
      <c r="AS143" s="13">
        <v>0.0</v>
      </c>
      <c r="AT143" s="13">
        <v>0.0</v>
      </c>
      <c r="AU143" s="13">
        <v>0.0</v>
      </c>
      <c r="AV143" s="13">
        <v>2.0</v>
      </c>
      <c r="AW143" s="13">
        <v>64.0</v>
      </c>
      <c r="AX143" s="13">
        <v>2.0</v>
      </c>
      <c r="AY143" s="13">
        <v>30.0</v>
      </c>
      <c r="AZ143" s="13">
        <v>222.0</v>
      </c>
      <c r="BA143" s="13">
        <v>0.0</v>
      </c>
      <c r="BB143" s="13">
        <v>0.0</v>
      </c>
      <c r="BC143" s="13">
        <v>0.0</v>
      </c>
      <c r="BD143" s="13">
        <v>0.0</v>
      </c>
      <c r="BE143" s="13">
        <v>0.0</v>
      </c>
      <c r="BF143" s="13">
        <v>0.0</v>
      </c>
      <c r="BG143" s="13">
        <v>0.0</v>
      </c>
      <c r="BH143" s="13">
        <f t="shared" si="22"/>
        <v>769</v>
      </c>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c r="CP143" s="13"/>
      <c r="CQ143" s="13"/>
      <c r="CR143" s="13"/>
      <c r="CS143" s="13"/>
      <c r="CT143" s="13"/>
      <c r="CU143" s="13"/>
      <c r="CV143" s="13"/>
      <c r="CW143" s="13"/>
      <c r="CX143" s="13"/>
      <c r="CY143" s="13"/>
      <c r="CZ143" s="13"/>
      <c r="DA143" s="13"/>
      <c r="DB143" s="13"/>
      <c r="DC143" s="13"/>
      <c r="DD143" s="13"/>
      <c r="DE143" s="13"/>
      <c r="DF143" s="13"/>
      <c r="DG143" s="13"/>
      <c r="DH143" s="13"/>
      <c r="DI143" s="13"/>
      <c r="DJ143" s="13"/>
      <c r="DK143" s="13"/>
      <c r="DL143" s="13"/>
      <c r="DM143" s="13"/>
      <c r="DN143" s="13"/>
      <c r="DO143" s="13"/>
      <c r="DP143" s="13"/>
      <c r="DQ143" s="13"/>
      <c r="DR143" s="13"/>
      <c r="DS143" s="13"/>
      <c r="DT143" s="13"/>
      <c r="DU143" s="13"/>
      <c r="DV143" s="13"/>
      <c r="DW143" s="13"/>
    </row>
    <row r="144" ht="36.75" customHeight="1">
      <c r="A144" s="11">
        <v>42775.0</v>
      </c>
      <c r="B144" s="13" t="s">
        <v>1985</v>
      </c>
      <c r="C144" s="13" t="s">
        <v>2060</v>
      </c>
      <c r="D144" s="13" t="s">
        <v>1987</v>
      </c>
      <c r="E144" s="93" t="s">
        <v>399</v>
      </c>
      <c r="F144" s="13">
        <v>25.683</v>
      </c>
      <c r="G144" s="13">
        <v>-80.1553</v>
      </c>
      <c r="H144" s="13">
        <v>25.7002</v>
      </c>
      <c r="I144" s="13">
        <v>-80.1553</v>
      </c>
      <c r="J144" s="13" t="s">
        <v>1988</v>
      </c>
      <c r="K144" s="13" t="s">
        <v>2064</v>
      </c>
      <c r="L144" s="13">
        <v>0.0</v>
      </c>
      <c r="M144" s="13">
        <v>0.0</v>
      </c>
      <c r="N144" s="13">
        <v>0.0</v>
      </c>
      <c r="O144" s="13">
        <v>0.0</v>
      </c>
      <c r="P144" s="13">
        <v>0.0</v>
      </c>
      <c r="Q144" s="13">
        <v>0.0</v>
      </c>
      <c r="R144" s="13">
        <v>0.0</v>
      </c>
      <c r="S144" s="13">
        <v>0.0</v>
      </c>
      <c r="T144" s="13">
        <v>0.0</v>
      </c>
      <c r="U144" s="13">
        <v>0.0</v>
      </c>
      <c r="V144" s="13">
        <v>0.0</v>
      </c>
      <c r="W144" s="13">
        <v>0.0</v>
      </c>
      <c r="X144" s="13">
        <v>0.0</v>
      </c>
      <c r="Y144" s="13">
        <v>0.0</v>
      </c>
      <c r="Z144" s="13">
        <v>0.0</v>
      </c>
      <c r="AA144" s="13">
        <v>0.0</v>
      </c>
      <c r="AB144" s="13">
        <v>0.0</v>
      </c>
      <c r="AC144" s="13">
        <v>0.0</v>
      </c>
      <c r="AD144" s="13">
        <v>0.0</v>
      </c>
      <c r="AE144" s="13">
        <v>0.0</v>
      </c>
      <c r="AF144" s="13">
        <v>0.0</v>
      </c>
      <c r="AG144" s="13">
        <v>0.0</v>
      </c>
      <c r="AH144" s="13">
        <v>0.0</v>
      </c>
      <c r="AI144" s="13">
        <v>0.0</v>
      </c>
      <c r="AJ144" s="13">
        <v>0.0</v>
      </c>
      <c r="AK144" s="13">
        <v>0.0</v>
      </c>
      <c r="AL144" s="13">
        <v>0.0</v>
      </c>
      <c r="AM144" s="13">
        <v>0.0</v>
      </c>
      <c r="AN144" s="13">
        <v>0.0</v>
      </c>
      <c r="AO144" s="13">
        <v>0.0</v>
      </c>
      <c r="AP144" s="13">
        <v>0.0</v>
      </c>
      <c r="AQ144" s="13">
        <v>8.0</v>
      </c>
      <c r="AR144" s="13">
        <v>0.0</v>
      </c>
      <c r="AS144" s="13">
        <v>0.0</v>
      </c>
      <c r="AT144" s="13">
        <v>0.0</v>
      </c>
      <c r="AU144" s="13">
        <v>0.0</v>
      </c>
      <c r="AV144" s="13">
        <v>2.0</v>
      </c>
      <c r="AW144" s="13">
        <v>62.0</v>
      </c>
      <c r="AX144" s="13">
        <v>3.0</v>
      </c>
      <c r="AY144" s="13">
        <v>16.0</v>
      </c>
      <c r="AZ144" s="13">
        <v>0.0</v>
      </c>
      <c r="BA144" s="13">
        <v>0.0</v>
      </c>
      <c r="BB144" s="13">
        <v>0.0</v>
      </c>
      <c r="BC144" s="13">
        <v>0.0</v>
      </c>
      <c r="BD144" s="13">
        <v>0.0</v>
      </c>
      <c r="BE144" s="13">
        <v>0.0</v>
      </c>
      <c r="BF144" s="13">
        <v>0.0</v>
      </c>
      <c r="BG144" s="13">
        <v>0.0</v>
      </c>
      <c r="BH144" s="13">
        <v>91.0</v>
      </c>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c r="CO144" s="13"/>
      <c r="CP144" s="13"/>
      <c r="CQ144" s="13"/>
      <c r="CR144" s="13"/>
      <c r="CS144" s="13"/>
      <c r="CT144" s="13"/>
      <c r="CU144" s="13"/>
      <c r="CV144" s="13"/>
      <c r="CW144" s="13"/>
      <c r="CX144" s="13"/>
      <c r="CY144" s="13"/>
      <c r="CZ144" s="13"/>
      <c r="DA144" s="13"/>
      <c r="DB144" s="13"/>
      <c r="DC144" s="13"/>
      <c r="DD144" s="13"/>
      <c r="DE144" s="13"/>
      <c r="DF144" s="13"/>
      <c r="DG144" s="13"/>
      <c r="DH144" s="13"/>
      <c r="DI144" s="13"/>
      <c r="DJ144" s="13"/>
      <c r="DK144" s="13"/>
      <c r="DL144" s="13"/>
      <c r="DM144" s="13"/>
      <c r="DN144" s="13"/>
      <c r="DO144" s="13"/>
      <c r="DP144" s="13"/>
      <c r="DQ144" s="13"/>
      <c r="DR144" s="13"/>
      <c r="DS144" s="13"/>
      <c r="DT144" s="13"/>
      <c r="DU144" s="13"/>
      <c r="DV144" s="13"/>
      <c r="DW144" s="13"/>
    </row>
    <row r="145" ht="36.75" customHeight="1">
      <c r="A145" s="11">
        <v>42775.0</v>
      </c>
      <c r="B145" s="13" t="s">
        <v>1985</v>
      </c>
      <c r="C145" s="13" t="s">
        <v>1986</v>
      </c>
      <c r="D145" s="13" t="s">
        <v>2077</v>
      </c>
      <c r="E145" s="93" t="s">
        <v>399</v>
      </c>
      <c r="F145" s="13">
        <v>25.6667</v>
      </c>
      <c r="G145" s="13">
        <v>-80.1557</v>
      </c>
      <c r="H145" s="13">
        <v>25.683</v>
      </c>
      <c r="I145" s="14">
        <v>-80.1553</v>
      </c>
      <c r="J145" s="13" t="s">
        <v>2080</v>
      </c>
      <c r="K145" s="13" t="s">
        <v>2082</v>
      </c>
      <c r="L145" s="13">
        <v>0.0</v>
      </c>
      <c r="M145" s="13">
        <v>0.0</v>
      </c>
      <c r="N145" s="13">
        <v>0.0</v>
      </c>
      <c r="O145" s="13">
        <v>0.0</v>
      </c>
      <c r="P145" s="13">
        <v>0.0</v>
      </c>
      <c r="Q145" s="13">
        <v>0.0</v>
      </c>
      <c r="R145" s="13">
        <v>0.0</v>
      </c>
      <c r="S145" s="13">
        <v>0.0</v>
      </c>
      <c r="T145" s="13">
        <v>0.0</v>
      </c>
      <c r="U145" s="13">
        <v>0.0</v>
      </c>
      <c r="V145" s="13">
        <v>0.0</v>
      </c>
      <c r="W145" s="13">
        <v>0.0</v>
      </c>
      <c r="X145" s="13">
        <v>0.0</v>
      </c>
      <c r="Y145" s="13">
        <v>0.0</v>
      </c>
      <c r="Z145" s="13">
        <v>33.0</v>
      </c>
      <c r="AA145" s="13">
        <v>11.0</v>
      </c>
      <c r="AB145" s="13">
        <v>0.0</v>
      </c>
      <c r="AC145" s="13">
        <v>0.0</v>
      </c>
      <c r="AD145" s="13">
        <v>0.0</v>
      </c>
      <c r="AE145" s="13">
        <v>0.0</v>
      </c>
      <c r="AF145" s="13">
        <v>0.0</v>
      </c>
      <c r="AG145" s="13">
        <v>0.0</v>
      </c>
      <c r="AH145" s="13">
        <v>0.0</v>
      </c>
      <c r="AI145" s="13">
        <v>0.0</v>
      </c>
      <c r="AJ145" s="13">
        <v>0.0</v>
      </c>
      <c r="AK145" s="13">
        <v>0.0</v>
      </c>
      <c r="AL145" s="13">
        <v>0.0</v>
      </c>
      <c r="AM145" s="13">
        <v>0.0</v>
      </c>
      <c r="AN145" s="13">
        <v>0.0</v>
      </c>
      <c r="AO145" s="13">
        <v>0.0</v>
      </c>
      <c r="AP145" s="13">
        <v>0.0</v>
      </c>
      <c r="AQ145" s="13">
        <v>2.0</v>
      </c>
      <c r="AR145" s="13">
        <v>0.0</v>
      </c>
      <c r="AS145" s="13">
        <v>0.0</v>
      </c>
      <c r="AT145" s="13">
        <v>0.0</v>
      </c>
      <c r="AU145" s="13">
        <v>0.0</v>
      </c>
      <c r="AV145" s="13">
        <v>0.0</v>
      </c>
      <c r="AW145" s="13">
        <v>0.0</v>
      </c>
      <c r="AX145" s="13">
        <v>0.0</v>
      </c>
      <c r="AY145" s="13">
        <v>0.0</v>
      </c>
      <c r="AZ145" s="13">
        <v>0.0</v>
      </c>
      <c r="BA145" s="13">
        <v>0.0</v>
      </c>
      <c r="BB145" s="13">
        <v>0.0</v>
      </c>
      <c r="BC145" s="13">
        <v>0.0</v>
      </c>
      <c r="BD145" s="13">
        <v>0.0</v>
      </c>
      <c r="BE145" s="13">
        <v>0.0</v>
      </c>
      <c r="BF145" s="13">
        <v>0.0</v>
      </c>
      <c r="BG145" s="13">
        <v>0.0</v>
      </c>
      <c r="BH145" s="13">
        <v>46.0</v>
      </c>
    </row>
    <row r="146" ht="36.75" customHeight="1">
      <c r="A146" s="43">
        <v>42773.0</v>
      </c>
      <c r="B146" s="13" t="s">
        <v>1991</v>
      </c>
      <c r="C146" s="16" t="s">
        <v>1992</v>
      </c>
      <c r="D146" s="16" t="s">
        <v>1998</v>
      </c>
      <c r="E146" s="34" t="s">
        <v>1994</v>
      </c>
      <c r="F146" s="16">
        <v>24.673465</v>
      </c>
      <c r="G146" s="16">
        <v>-81.243655</v>
      </c>
      <c r="H146" s="13">
        <v>24.641344</v>
      </c>
      <c r="I146" s="13">
        <v>-81.331922</v>
      </c>
      <c r="J146" s="13" t="s">
        <v>1999</v>
      </c>
      <c r="K146" s="13" t="s">
        <v>2000</v>
      </c>
      <c r="L146" s="13">
        <v>0.0</v>
      </c>
      <c r="M146" s="13">
        <v>0.0</v>
      </c>
      <c r="N146" s="13">
        <v>58.0</v>
      </c>
      <c r="O146" s="13">
        <v>0.0</v>
      </c>
      <c r="P146" s="13">
        <v>0.0</v>
      </c>
      <c r="Q146" s="13">
        <v>1.0</v>
      </c>
      <c r="R146" s="13">
        <v>27.0</v>
      </c>
      <c r="S146" s="13">
        <v>0.0</v>
      </c>
      <c r="T146" s="13">
        <v>0.0</v>
      </c>
      <c r="U146" s="13">
        <v>0.0</v>
      </c>
      <c r="V146" s="13">
        <v>0.0</v>
      </c>
      <c r="W146" s="13">
        <v>0.0</v>
      </c>
      <c r="X146" s="13">
        <v>0.0</v>
      </c>
      <c r="Y146" s="13">
        <v>0.0</v>
      </c>
      <c r="Z146" s="13">
        <v>6.0</v>
      </c>
      <c r="AA146" s="13">
        <v>168.0</v>
      </c>
      <c r="AB146" s="13">
        <v>0.0</v>
      </c>
      <c r="AC146" s="13">
        <v>255.0</v>
      </c>
      <c r="AD146" s="13">
        <v>0.0</v>
      </c>
      <c r="AE146" s="13">
        <v>0.0</v>
      </c>
      <c r="AF146" s="13">
        <v>0.0</v>
      </c>
      <c r="AG146" s="13">
        <v>0.0</v>
      </c>
      <c r="AH146" s="13">
        <v>6.0</v>
      </c>
      <c r="AI146" s="13">
        <v>0.0</v>
      </c>
      <c r="AJ146" s="13">
        <v>0.0</v>
      </c>
      <c r="AK146" s="13">
        <v>0.0</v>
      </c>
      <c r="AL146" s="13">
        <v>0.0</v>
      </c>
      <c r="AM146" s="13">
        <v>0.0</v>
      </c>
      <c r="AN146" s="13">
        <v>0.0</v>
      </c>
      <c r="AO146" s="13">
        <v>0.0</v>
      </c>
      <c r="AP146" s="13">
        <v>0.0</v>
      </c>
      <c r="AQ146" s="13">
        <v>0.0</v>
      </c>
      <c r="AR146" s="13">
        <v>0.0</v>
      </c>
      <c r="AS146" s="13">
        <v>0.0</v>
      </c>
      <c r="AT146" s="13">
        <v>0.0</v>
      </c>
      <c r="AU146" s="13">
        <v>0.0</v>
      </c>
      <c r="AV146" s="13">
        <v>0.0</v>
      </c>
      <c r="AW146" s="13">
        <v>0.0</v>
      </c>
      <c r="AX146" s="13">
        <v>0.0</v>
      </c>
      <c r="AY146" s="13">
        <v>0.0</v>
      </c>
      <c r="AZ146" s="13">
        <v>0.0</v>
      </c>
      <c r="BA146" s="13">
        <v>0.0</v>
      </c>
      <c r="BB146" s="13">
        <v>0.0</v>
      </c>
      <c r="BC146" s="13">
        <v>0.0</v>
      </c>
      <c r="BD146" s="13">
        <v>0.0</v>
      </c>
      <c r="BE146" s="13">
        <v>0.0</v>
      </c>
      <c r="BF146" s="13">
        <v>0.0</v>
      </c>
      <c r="BG146" s="13">
        <v>0.0</v>
      </c>
      <c r="BH146">
        <f t="shared" ref="BH146:BH149" si="23">sum(L146:BG146)</f>
        <v>521</v>
      </c>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c r="CT146" s="13"/>
      <c r="CU146" s="13"/>
      <c r="CV146" s="13"/>
      <c r="CW146" s="13"/>
      <c r="CX146" s="13"/>
      <c r="CY146" s="13"/>
      <c r="CZ146" s="13"/>
      <c r="DA146" s="13"/>
      <c r="DB146" s="13"/>
      <c r="DC146" s="13"/>
      <c r="DD146" s="13"/>
      <c r="DE146" s="13"/>
      <c r="DF146" s="13"/>
      <c r="DG146" s="13"/>
      <c r="DH146" s="13"/>
      <c r="DI146" s="13"/>
      <c r="DJ146" s="13"/>
      <c r="DK146" s="13"/>
      <c r="DL146" s="13"/>
      <c r="DM146" s="13"/>
      <c r="DN146" s="13"/>
      <c r="DO146" s="13"/>
      <c r="DP146" s="13"/>
      <c r="DQ146" s="13"/>
      <c r="DR146" s="13"/>
      <c r="DS146" s="13"/>
      <c r="DT146" s="13"/>
      <c r="DU146" s="13"/>
      <c r="DV146" s="13"/>
      <c r="DW146" s="13"/>
    </row>
    <row r="147" ht="36.75" customHeight="1">
      <c r="A147" s="43">
        <v>42773.0</v>
      </c>
      <c r="B147" s="13" t="s">
        <v>1991</v>
      </c>
      <c r="C147" s="16" t="s">
        <v>1992</v>
      </c>
      <c r="D147" s="16" t="s">
        <v>1993</v>
      </c>
      <c r="E147" s="34" t="s">
        <v>1994</v>
      </c>
      <c r="F147" s="16">
        <v>24.794184</v>
      </c>
      <c r="G147" s="16">
        <v>-81.492866</v>
      </c>
      <c r="H147" s="13">
        <v>24.699196</v>
      </c>
      <c r="I147" s="13">
        <v>-81.67293</v>
      </c>
      <c r="J147" s="13" t="s">
        <v>1995</v>
      </c>
      <c r="K147" s="13" t="s">
        <v>1996</v>
      </c>
      <c r="L147" s="13">
        <v>0.0</v>
      </c>
      <c r="M147" s="13">
        <v>0.0</v>
      </c>
      <c r="N147" s="13">
        <v>0.0</v>
      </c>
      <c r="O147" s="13">
        <v>0.0</v>
      </c>
      <c r="P147" s="13">
        <v>0.0</v>
      </c>
      <c r="Q147" s="13">
        <v>0.0</v>
      </c>
      <c r="R147" s="13">
        <v>0.0</v>
      </c>
      <c r="S147" s="13">
        <v>0.0</v>
      </c>
      <c r="T147" s="13">
        <v>0.0</v>
      </c>
      <c r="U147" s="13">
        <v>0.0</v>
      </c>
      <c r="V147" s="13">
        <v>0.0</v>
      </c>
      <c r="W147" s="13">
        <v>0.0</v>
      </c>
      <c r="X147" s="13">
        <v>0.0</v>
      </c>
      <c r="Y147" s="13">
        <v>0.0</v>
      </c>
      <c r="Z147" s="13">
        <v>0.0</v>
      </c>
      <c r="AA147" s="13">
        <v>0.0</v>
      </c>
      <c r="AB147" s="13">
        <v>0.0</v>
      </c>
      <c r="AC147" s="13">
        <v>0.0</v>
      </c>
      <c r="AD147" s="13">
        <v>0.0</v>
      </c>
      <c r="AE147" s="13">
        <v>0.0</v>
      </c>
      <c r="AF147" s="13">
        <v>0.0</v>
      </c>
      <c r="AG147" s="13">
        <v>0.0</v>
      </c>
      <c r="AH147" s="13">
        <v>36.0</v>
      </c>
      <c r="AI147" s="13">
        <v>0.0</v>
      </c>
      <c r="AJ147" s="13">
        <v>0.0</v>
      </c>
      <c r="AK147" s="13">
        <v>0.0</v>
      </c>
      <c r="AL147" s="13">
        <v>0.0</v>
      </c>
      <c r="AM147" s="13">
        <v>0.0</v>
      </c>
      <c r="AN147" s="13">
        <v>0.0</v>
      </c>
      <c r="AO147" s="13">
        <v>0.0</v>
      </c>
      <c r="AP147" s="13">
        <v>0.0</v>
      </c>
      <c r="AQ147" s="13">
        <v>0.0</v>
      </c>
      <c r="AR147" s="13">
        <v>0.0</v>
      </c>
      <c r="AS147" s="13">
        <v>0.0</v>
      </c>
      <c r="AT147" s="13">
        <v>0.0</v>
      </c>
      <c r="AU147" s="13">
        <v>0.0</v>
      </c>
      <c r="AV147" s="13">
        <v>0.0</v>
      </c>
      <c r="AW147" s="13">
        <v>0.0</v>
      </c>
      <c r="AX147" s="13">
        <v>0.0</v>
      </c>
      <c r="AY147" s="13">
        <v>0.0</v>
      </c>
      <c r="AZ147" s="13">
        <v>0.0</v>
      </c>
      <c r="BA147" s="13">
        <v>0.0</v>
      </c>
      <c r="BB147" s="13">
        <v>0.0</v>
      </c>
      <c r="BC147" s="13">
        <v>0.0</v>
      </c>
      <c r="BD147" s="13">
        <v>0.0</v>
      </c>
      <c r="BE147" s="13">
        <v>0.0</v>
      </c>
      <c r="BF147" s="13">
        <v>0.0</v>
      </c>
      <c r="BG147" s="13">
        <v>0.0</v>
      </c>
      <c r="BH147">
        <f t="shared" si="23"/>
        <v>36</v>
      </c>
    </row>
    <row r="148" ht="36.75" customHeight="1">
      <c r="A148" s="41">
        <v>42774.0</v>
      </c>
      <c r="B148" s="13" t="s">
        <v>1991</v>
      </c>
      <c r="C148" s="16" t="s">
        <v>1992</v>
      </c>
      <c r="D148" s="16" t="s">
        <v>2003</v>
      </c>
      <c r="E148" s="34" t="s">
        <v>1994</v>
      </c>
      <c r="F148" s="16">
        <v>24.534498</v>
      </c>
      <c r="G148" s="16">
        <v>-82.009531</v>
      </c>
      <c r="H148" s="13">
        <v>24.524032</v>
      </c>
      <c r="I148" s="13">
        <v>-81.967275</v>
      </c>
      <c r="J148" s="13" t="s">
        <v>2005</v>
      </c>
      <c r="K148" s="13" t="s">
        <v>2006</v>
      </c>
      <c r="L148" s="13">
        <v>0.0</v>
      </c>
      <c r="M148" s="13">
        <v>0.0</v>
      </c>
      <c r="N148" s="13">
        <v>185.0</v>
      </c>
      <c r="O148" s="13">
        <v>0.0</v>
      </c>
      <c r="P148" s="13">
        <v>0.0</v>
      </c>
      <c r="Q148" s="13">
        <v>0.0</v>
      </c>
      <c r="R148" s="13">
        <v>2.0</v>
      </c>
      <c r="S148" s="13">
        <v>0.0</v>
      </c>
      <c r="T148" s="13">
        <v>0.0</v>
      </c>
      <c r="U148" s="13">
        <v>0.0</v>
      </c>
      <c r="V148" s="13">
        <v>0.0</v>
      </c>
      <c r="W148" s="13">
        <v>0.0</v>
      </c>
      <c r="X148" s="13">
        <v>0.0</v>
      </c>
      <c r="Y148" s="13">
        <v>4.0</v>
      </c>
      <c r="Z148" s="13">
        <v>34.0</v>
      </c>
      <c r="AA148" s="13">
        <v>0.0</v>
      </c>
      <c r="AB148" s="13">
        <v>0.0</v>
      </c>
      <c r="AC148" s="13">
        <v>153.0</v>
      </c>
      <c r="AD148" s="13">
        <v>0.0</v>
      </c>
      <c r="AE148" s="13">
        <v>0.0</v>
      </c>
      <c r="AF148" s="13">
        <v>0.0</v>
      </c>
      <c r="AG148" s="13">
        <v>1.0</v>
      </c>
      <c r="AH148" s="13">
        <v>0.0</v>
      </c>
      <c r="AI148" s="13">
        <v>0.0</v>
      </c>
      <c r="AJ148" s="13">
        <v>0.0</v>
      </c>
      <c r="AK148" s="13">
        <v>0.0</v>
      </c>
      <c r="AL148" s="13">
        <v>0.0</v>
      </c>
      <c r="AM148" s="13">
        <v>0.0</v>
      </c>
      <c r="AN148" s="13">
        <v>0.0</v>
      </c>
      <c r="AO148" s="13">
        <v>0.0</v>
      </c>
      <c r="AP148" s="13">
        <v>0.0</v>
      </c>
      <c r="AQ148" s="13">
        <v>0.0</v>
      </c>
      <c r="AR148" s="13">
        <v>0.0</v>
      </c>
      <c r="AS148" s="13">
        <v>0.0</v>
      </c>
      <c r="AT148" s="13">
        <v>0.0</v>
      </c>
      <c r="AU148" s="13">
        <v>0.0</v>
      </c>
      <c r="AV148" s="13">
        <v>0.0</v>
      </c>
      <c r="AW148" s="13">
        <v>0.0</v>
      </c>
      <c r="AX148" s="13">
        <v>0.0</v>
      </c>
      <c r="AY148" s="13">
        <v>0.0</v>
      </c>
      <c r="AZ148" s="13">
        <v>0.0</v>
      </c>
      <c r="BA148" s="13">
        <v>0.0</v>
      </c>
      <c r="BB148" s="13">
        <v>0.0</v>
      </c>
      <c r="BC148" s="13">
        <v>0.0</v>
      </c>
      <c r="BD148" s="13">
        <v>0.0</v>
      </c>
      <c r="BE148" s="13">
        <v>0.0</v>
      </c>
      <c r="BF148" s="13">
        <v>0.0</v>
      </c>
      <c r="BG148" s="13">
        <v>0.0</v>
      </c>
      <c r="BH148">
        <f t="shared" si="23"/>
        <v>379</v>
      </c>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c r="CM148" s="13"/>
      <c r="CN148" s="13"/>
      <c r="CO148" s="13"/>
      <c r="CP148" s="13"/>
      <c r="CQ148" s="13"/>
      <c r="CR148" s="13"/>
      <c r="CS148" s="13"/>
      <c r="CT148" s="13"/>
      <c r="CU148" s="13"/>
      <c r="CV148" s="13"/>
      <c r="CW148" s="13"/>
      <c r="CX148" s="13"/>
      <c r="CY148" s="13"/>
      <c r="CZ148" s="13"/>
      <c r="DA148" s="13"/>
      <c r="DB148" s="13"/>
      <c r="DC148" s="13"/>
      <c r="DD148" s="13"/>
      <c r="DE148" s="13"/>
      <c r="DF148" s="13"/>
      <c r="DG148" s="13"/>
      <c r="DH148" s="13"/>
      <c r="DI148" s="13"/>
      <c r="DJ148" s="13"/>
      <c r="DK148" s="13"/>
      <c r="DL148" s="13"/>
      <c r="DM148" s="13"/>
      <c r="DN148" s="13"/>
      <c r="DO148" s="13"/>
      <c r="DP148" s="13"/>
      <c r="DQ148" s="13"/>
      <c r="DR148" s="13"/>
      <c r="DS148" s="13"/>
      <c r="DT148" s="13"/>
      <c r="DU148" s="13"/>
      <c r="DV148" s="13"/>
      <c r="DW148" s="13"/>
    </row>
    <row r="149" ht="36.75" customHeight="1">
      <c r="A149" s="41">
        <v>42775.0</v>
      </c>
      <c r="B149" s="13" t="s">
        <v>2009</v>
      </c>
      <c r="C149" s="16" t="s">
        <v>1992</v>
      </c>
      <c r="D149" s="16" t="s">
        <v>2003</v>
      </c>
      <c r="E149" s="34" t="s">
        <v>1994</v>
      </c>
      <c r="F149" s="16">
        <v>24.534498</v>
      </c>
      <c r="G149" s="16">
        <v>-82.009531</v>
      </c>
      <c r="H149" s="13">
        <v>24.524032</v>
      </c>
      <c r="I149" s="13">
        <v>-81.967275</v>
      </c>
      <c r="J149" s="13" t="s">
        <v>2011</v>
      </c>
      <c r="K149" s="13" t="s">
        <v>2006</v>
      </c>
      <c r="L149" s="13">
        <v>0.0</v>
      </c>
      <c r="M149" s="13">
        <v>0.0</v>
      </c>
      <c r="N149" s="13">
        <v>0.0</v>
      </c>
      <c r="O149" s="13">
        <v>0.0</v>
      </c>
      <c r="P149" s="13">
        <v>0.0</v>
      </c>
      <c r="Q149" s="13">
        <v>0.0</v>
      </c>
      <c r="R149" s="13">
        <v>0.0</v>
      </c>
      <c r="S149" s="13">
        <v>0.0</v>
      </c>
      <c r="T149" s="13">
        <v>0.0</v>
      </c>
      <c r="U149" s="13">
        <v>0.0</v>
      </c>
      <c r="V149" s="13">
        <v>0.0</v>
      </c>
      <c r="W149" s="13">
        <v>9.0</v>
      </c>
      <c r="X149" s="13">
        <v>0.0</v>
      </c>
      <c r="Y149" s="13">
        <v>0.0</v>
      </c>
      <c r="Z149" s="13">
        <v>0.0</v>
      </c>
      <c r="AA149" s="13">
        <v>0.0</v>
      </c>
      <c r="AB149" s="13">
        <v>0.0</v>
      </c>
      <c r="AC149" s="13">
        <v>0.0</v>
      </c>
      <c r="AD149" s="13">
        <v>0.0</v>
      </c>
      <c r="AE149" s="13">
        <v>0.0</v>
      </c>
      <c r="AF149" s="13">
        <v>0.0</v>
      </c>
      <c r="AG149" s="13">
        <v>0.0</v>
      </c>
      <c r="AH149" s="13">
        <v>0.0</v>
      </c>
      <c r="AI149" s="13">
        <v>0.0</v>
      </c>
      <c r="AJ149" s="13">
        <v>0.0</v>
      </c>
      <c r="AK149" s="13">
        <v>0.0</v>
      </c>
      <c r="AL149" s="13">
        <v>0.0</v>
      </c>
      <c r="AM149" s="13">
        <v>0.0</v>
      </c>
      <c r="AN149" s="13">
        <v>0.0</v>
      </c>
      <c r="AO149" s="13">
        <v>0.0</v>
      </c>
      <c r="AP149" s="13">
        <v>0.0</v>
      </c>
      <c r="AQ149" s="13">
        <v>0.0</v>
      </c>
      <c r="AR149" s="13">
        <v>0.0</v>
      </c>
      <c r="AS149" s="13">
        <v>0.0</v>
      </c>
      <c r="AT149" s="13">
        <v>0.0</v>
      </c>
      <c r="AU149" s="13">
        <v>0.0</v>
      </c>
      <c r="AV149" s="13">
        <v>0.0</v>
      </c>
      <c r="AW149" s="13">
        <v>0.0</v>
      </c>
      <c r="AX149" s="13">
        <v>0.0</v>
      </c>
      <c r="AY149" s="13">
        <v>0.0</v>
      </c>
      <c r="AZ149" s="13">
        <v>0.0</v>
      </c>
      <c r="BA149" s="13">
        <v>0.0</v>
      </c>
      <c r="BB149" s="13">
        <v>0.0</v>
      </c>
      <c r="BC149" s="13">
        <v>0.0</v>
      </c>
      <c r="BD149" s="13">
        <v>0.0</v>
      </c>
      <c r="BE149" s="13">
        <v>0.0</v>
      </c>
      <c r="BF149" s="13">
        <v>0.0</v>
      </c>
      <c r="BG149" s="13">
        <v>0.0</v>
      </c>
      <c r="BH149">
        <f t="shared" si="23"/>
        <v>9</v>
      </c>
      <c r="BI149" s="13" t="s">
        <v>2123</v>
      </c>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c r="CM149" s="13"/>
      <c r="CN149" s="13"/>
      <c r="CO149" s="13"/>
      <c r="CP149" s="13"/>
      <c r="CQ149" s="13"/>
      <c r="CR149" s="13"/>
      <c r="CS149" s="13"/>
      <c r="CT149" s="13"/>
      <c r="CU149" s="13"/>
      <c r="CV149" s="13"/>
      <c r="CW149" s="13"/>
      <c r="CX149" s="13"/>
      <c r="CY149" s="13"/>
      <c r="CZ149" s="13"/>
      <c r="DA149" s="13"/>
      <c r="DB149" s="13"/>
      <c r="DC149" s="13"/>
      <c r="DD149" s="13"/>
      <c r="DE149" s="13"/>
      <c r="DF149" s="13"/>
      <c r="DG149" s="13"/>
      <c r="DH149" s="13"/>
      <c r="DI149" s="13"/>
      <c r="DJ149" s="13"/>
      <c r="DK149" s="13"/>
      <c r="DL149" s="13"/>
      <c r="DM149" s="13"/>
      <c r="DN149" s="13"/>
      <c r="DO149" s="13"/>
      <c r="DP149" s="13"/>
      <c r="DQ149" s="13"/>
      <c r="DR149" s="13"/>
      <c r="DS149" s="13"/>
      <c r="DT149" s="13"/>
      <c r="DU149" s="13"/>
      <c r="DV149" s="13"/>
      <c r="DW149" s="13"/>
    </row>
    <row r="150" ht="36.75" customHeight="1">
      <c r="A150" s="50">
        <v>42770.0</v>
      </c>
      <c r="B150" s="16" t="s">
        <v>2014</v>
      </c>
      <c r="C150" s="16" t="s">
        <v>689</v>
      </c>
      <c r="D150" s="16" t="s">
        <v>2015</v>
      </c>
      <c r="E150" s="16" t="s">
        <v>693</v>
      </c>
      <c r="F150" s="16">
        <v>24.99765</v>
      </c>
      <c r="G150" s="16">
        <v>-80.60797</v>
      </c>
      <c r="H150" s="13">
        <v>25.0291</v>
      </c>
      <c r="I150" s="13">
        <v>-80.6618</v>
      </c>
      <c r="J150" s="13" t="s">
        <v>2016</v>
      </c>
      <c r="K150" s="13" t="s">
        <v>2017</v>
      </c>
      <c r="L150" s="13">
        <v>0.0</v>
      </c>
      <c r="M150" s="13">
        <v>0.0</v>
      </c>
      <c r="N150" s="13">
        <v>5.0</v>
      </c>
      <c r="O150" s="13">
        <v>40.0</v>
      </c>
      <c r="P150" s="13">
        <v>0.0</v>
      </c>
      <c r="Q150" s="13">
        <v>0.0</v>
      </c>
      <c r="R150" s="13">
        <v>26.0</v>
      </c>
      <c r="S150" s="13">
        <v>0.0</v>
      </c>
      <c r="T150" s="13">
        <v>0.0</v>
      </c>
      <c r="U150" s="13">
        <v>0.0</v>
      </c>
      <c r="V150" s="13">
        <v>0.0</v>
      </c>
      <c r="W150" s="13">
        <v>0.0</v>
      </c>
      <c r="X150" s="13">
        <v>45.0</v>
      </c>
      <c r="Y150" s="13">
        <v>0.0</v>
      </c>
      <c r="Z150" s="13">
        <v>50.0</v>
      </c>
      <c r="AA150" s="13">
        <v>75.0</v>
      </c>
      <c r="AB150" s="13">
        <v>11.0</v>
      </c>
      <c r="AC150" s="13">
        <v>0.0</v>
      </c>
      <c r="AD150" s="13">
        <v>0.0</v>
      </c>
      <c r="AE150" s="13">
        <v>0.0</v>
      </c>
      <c r="AF150" s="13">
        <v>0.0</v>
      </c>
      <c r="AG150" s="13">
        <v>0.0</v>
      </c>
      <c r="AH150" s="13">
        <v>0.0</v>
      </c>
      <c r="AI150" s="13">
        <v>1.0</v>
      </c>
      <c r="AJ150" s="13">
        <v>0.0</v>
      </c>
      <c r="AK150" s="13">
        <v>0.0</v>
      </c>
      <c r="AL150" s="13">
        <v>0.0</v>
      </c>
      <c r="AM150" s="13">
        <v>0.0</v>
      </c>
      <c r="AN150" s="13">
        <v>61.0</v>
      </c>
      <c r="AO150" s="13">
        <v>3.0</v>
      </c>
      <c r="AP150" s="13">
        <v>0.0</v>
      </c>
      <c r="AQ150" s="13">
        <v>7.0</v>
      </c>
      <c r="AR150" s="13">
        <v>0.0</v>
      </c>
      <c r="AS150" s="13">
        <v>0.0</v>
      </c>
      <c r="AT150" s="13">
        <v>0.0</v>
      </c>
      <c r="AU150" s="13">
        <v>0.0</v>
      </c>
      <c r="AV150" s="13">
        <v>0.0</v>
      </c>
      <c r="AW150" s="13">
        <v>0.0</v>
      </c>
      <c r="AX150" s="13">
        <v>0.0</v>
      </c>
      <c r="AY150" s="13">
        <v>5.0</v>
      </c>
      <c r="AZ150" s="13">
        <v>3.0</v>
      </c>
      <c r="BA150" s="13">
        <v>0.0</v>
      </c>
      <c r="BB150" s="13">
        <v>0.0</v>
      </c>
      <c r="BC150" s="13">
        <v>0.0</v>
      </c>
      <c r="BD150" s="13">
        <v>16.0</v>
      </c>
      <c r="BE150" s="13">
        <v>285.0</v>
      </c>
      <c r="BF150" s="13">
        <v>0.0</v>
      </c>
      <c r="BG150" s="13">
        <v>0.0</v>
      </c>
      <c r="BH150" s="13">
        <v>633.0</v>
      </c>
      <c r="BI150" s="13" t="s">
        <v>2135</v>
      </c>
    </row>
    <row r="151" ht="36.75" customHeight="1">
      <c r="A151" s="50">
        <v>42771.0</v>
      </c>
      <c r="B151" s="16" t="s">
        <v>2026</v>
      </c>
      <c r="C151" s="16" t="s">
        <v>689</v>
      </c>
      <c r="D151" s="16" t="s">
        <v>2027</v>
      </c>
      <c r="E151" s="16" t="s">
        <v>693</v>
      </c>
      <c r="F151" s="16">
        <v>25.1267</v>
      </c>
      <c r="G151" s="16" t="s">
        <v>2028</v>
      </c>
      <c r="H151" s="13">
        <v>25.1808</v>
      </c>
      <c r="I151" s="13" t="s">
        <v>2029</v>
      </c>
      <c r="J151" s="13" t="s">
        <v>2030</v>
      </c>
      <c r="K151" s="13" t="s">
        <v>2017</v>
      </c>
      <c r="L151" s="13">
        <v>0.0</v>
      </c>
      <c r="M151" s="13">
        <v>0.0</v>
      </c>
      <c r="N151" s="13">
        <v>33.0</v>
      </c>
      <c r="O151" s="13">
        <v>31.0</v>
      </c>
      <c r="P151" s="13">
        <v>0.0</v>
      </c>
      <c r="Q151" s="13">
        <v>0.0</v>
      </c>
      <c r="R151" s="13">
        <v>0.0</v>
      </c>
      <c r="S151" s="13">
        <v>0.0</v>
      </c>
      <c r="T151" s="13">
        <v>1.0</v>
      </c>
      <c r="U151" s="13">
        <v>0.0</v>
      </c>
      <c r="V151" s="13">
        <v>0.0</v>
      </c>
      <c r="W151" s="13">
        <v>0.0</v>
      </c>
      <c r="X151" s="13">
        <v>0.0</v>
      </c>
      <c r="Y151" s="13">
        <v>55.0</v>
      </c>
      <c r="Z151" s="13">
        <v>88.0</v>
      </c>
      <c r="AA151" s="13">
        <v>19.0</v>
      </c>
      <c r="AB151" s="13">
        <v>0.0</v>
      </c>
      <c r="AC151" s="13">
        <v>0.0</v>
      </c>
      <c r="AD151" s="13">
        <v>0.0</v>
      </c>
      <c r="AE151" s="13">
        <v>0.0</v>
      </c>
      <c r="AF151" s="13">
        <v>0.0</v>
      </c>
      <c r="AG151" s="13">
        <v>5.0</v>
      </c>
      <c r="AH151" s="13">
        <v>4.0</v>
      </c>
      <c r="AI151" s="13">
        <v>0.0</v>
      </c>
      <c r="AJ151" s="13">
        <v>0.0</v>
      </c>
      <c r="AK151" s="13">
        <v>500.0</v>
      </c>
      <c r="AL151" s="13">
        <v>0.0</v>
      </c>
      <c r="AM151" s="13">
        <v>0.0</v>
      </c>
      <c r="AN151" s="13">
        <v>153.0</v>
      </c>
      <c r="AO151" s="13">
        <v>25.0</v>
      </c>
      <c r="AP151" s="13">
        <v>0.0</v>
      </c>
      <c r="AQ151" s="13">
        <v>205.0</v>
      </c>
      <c r="AR151" s="13">
        <v>1.0</v>
      </c>
      <c r="AS151" s="13">
        <v>0.0</v>
      </c>
      <c r="AT151" s="13">
        <v>0.0</v>
      </c>
      <c r="AU151" s="13">
        <v>1.0</v>
      </c>
      <c r="AV151" s="13">
        <v>0.0</v>
      </c>
      <c r="AW151" s="13">
        <v>20.0</v>
      </c>
      <c r="AX151" s="13">
        <v>0.0</v>
      </c>
      <c r="AY151" s="13">
        <v>8.0</v>
      </c>
      <c r="AZ151" s="13">
        <v>272.0</v>
      </c>
      <c r="BA151" s="13">
        <v>0.0</v>
      </c>
      <c r="BB151" s="13">
        <v>0.0</v>
      </c>
      <c r="BC151" s="13">
        <v>400.0</v>
      </c>
      <c r="BD151" s="13">
        <v>34.0</v>
      </c>
      <c r="BE151" s="13">
        <v>1001.0</v>
      </c>
      <c r="BF151" s="13">
        <v>0.0</v>
      </c>
      <c r="BG151" s="13">
        <v>0.0</v>
      </c>
      <c r="BH151" s="13">
        <v>2856.0</v>
      </c>
      <c r="BI151" s="13" t="s">
        <v>2148</v>
      </c>
    </row>
    <row r="152" ht="36.75" customHeight="1">
      <c r="A152" s="50">
        <v>42773.0</v>
      </c>
      <c r="B152" s="16" t="s">
        <v>2149</v>
      </c>
      <c r="C152" s="16" t="s">
        <v>689</v>
      </c>
      <c r="D152" s="16" t="s">
        <v>691</v>
      </c>
      <c r="E152" s="16" t="s">
        <v>693</v>
      </c>
      <c r="F152" s="13">
        <v>25.475702</v>
      </c>
      <c r="G152" s="13">
        <v>-81.177782</v>
      </c>
      <c r="H152" s="13">
        <v>25.490047</v>
      </c>
      <c r="I152" s="13">
        <v>-81.196538</v>
      </c>
      <c r="J152" s="13" t="s">
        <v>2043</v>
      </c>
      <c r="K152" s="13" t="s">
        <v>1664</v>
      </c>
      <c r="L152" s="13">
        <v>0.0</v>
      </c>
      <c r="M152" s="13">
        <v>0.0</v>
      </c>
      <c r="N152" s="13">
        <v>0.0</v>
      </c>
      <c r="O152" s="13">
        <v>0.0</v>
      </c>
      <c r="P152" s="13">
        <v>0.0</v>
      </c>
      <c r="Q152" s="13">
        <v>0.0</v>
      </c>
      <c r="R152" s="13">
        <v>0.0</v>
      </c>
      <c r="S152" s="13">
        <v>0.0</v>
      </c>
      <c r="T152" s="13">
        <v>0.0</v>
      </c>
      <c r="U152" s="13">
        <v>0.0</v>
      </c>
      <c r="V152" s="13">
        <v>0.0</v>
      </c>
      <c r="W152" s="13">
        <v>10.0</v>
      </c>
      <c r="X152" s="13">
        <v>0.0</v>
      </c>
      <c r="Y152" s="13">
        <v>0.0</v>
      </c>
      <c r="Z152" s="13">
        <v>0.0</v>
      </c>
      <c r="AA152" s="13">
        <v>0.0</v>
      </c>
      <c r="AB152" s="13">
        <v>0.0</v>
      </c>
      <c r="AC152" s="13">
        <v>0.0</v>
      </c>
      <c r="AD152" s="13">
        <v>0.0</v>
      </c>
      <c r="AE152" s="13">
        <v>0.0</v>
      </c>
      <c r="AF152" s="13">
        <v>0.0</v>
      </c>
      <c r="AG152" s="13">
        <v>0.0</v>
      </c>
      <c r="AH152" s="13">
        <v>0.0</v>
      </c>
      <c r="AI152" s="13">
        <v>0.0</v>
      </c>
      <c r="AJ152" s="13">
        <v>0.0</v>
      </c>
      <c r="AK152" s="13">
        <v>0.0</v>
      </c>
      <c r="AL152" s="13">
        <v>0.0</v>
      </c>
      <c r="AM152" s="13">
        <v>0.0</v>
      </c>
      <c r="AN152" s="13">
        <v>0.0</v>
      </c>
      <c r="AO152" s="13">
        <v>0.0</v>
      </c>
      <c r="AP152" s="13">
        <v>0.0</v>
      </c>
      <c r="AQ152" s="13">
        <v>0.0</v>
      </c>
      <c r="AR152" s="13">
        <v>0.0</v>
      </c>
      <c r="AS152" s="13">
        <v>0.0</v>
      </c>
      <c r="AT152" s="13">
        <v>0.0</v>
      </c>
      <c r="AU152" s="13">
        <v>0.0</v>
      </c>
      <c r="AV152" s="13">
        <v>0.0</v>
      </c>
      <c r="AW152" s="13">
        <v>0.0</v>
      </c>
      <c r="AX152" s="13">
        <v>0.0</v>
      </c>
      <c r="AY152" s="13">
        <v>0.0</v>
      </c>
      <c r="AZ152" s="13">
        <v>0.0</v>
      </c>
      <c r="BA152" s="13">
        <v>0.0</v>
      </c>
      <c r="BB152" s="13">
        <v>0.0</v>
      </c>
      <c r="BC152" s="13">
        <v>0.0</v>
      </c>
      <c r="BD152" s="13">
        <v>0.0</v>
      </c>
      <c r="BE152" s="13">
        <v>0.0</v>
      </c>
      <c r="BF152" s="13">
        <v>0.0</v>
      </c>
      <c r="BG152" s="13">
        <v>0.0</v>
      </c>
      <c r="BH152" s="13">
        <v>10.0</v>
      </c>
      <c r="BI152" s="13" t="s">
        <v>2161</v>
      </c>
    </row>
    <row r="153" ht="36.75" customHeight="1">
      <c r="A153" s="50">
        <v>42774.0</v>
      </c>
      <c r="B153" s="16" t="s">
        <v>700</v>
      </c>
      <c r="C153" s="16" t="s">
        <v>689</v>
      </c>
      <c r="D153" s="16" t="s">
        <v>2050</v>
      </c>
      <c r="E153" s="16" t="s">
        <v>693</v>
      </c>
      <c r="F153" s="16">
        <v>25.85022</v>
      </c>
      <c r="G153" s="16">
        <v>-81.396052</v>
      </c>
      <c r="H153" s="13">
        <v>25.694949</v>
      </c>
      <c r="I153" s="13">
        <v>-81.348572</v>
      </c>
      <c r="J153" s="13" t="s">
        <v>2051</v>
      </c>
      <c r="K153" s="13" t="s">
        <v>1664</v>
      </c>
      <c r="L153" s="13">
        <v>20.0</v>
      </c>
      <c r="M153" s="13">
        <v>0.0</v>
      </c>
      <c r="N153" s="13">
        <v>3.0</v>
      </c>
      <c r="O153" s="13">
        <v>39.0</v>
      </c>
      <c r="P153" s="13">
        <v>0.0</v>
      </c>
      <c r="Q153" s="13">
        <v>0.0</v>
      </c>
      <c r="R153" s="13">
        <v>0.0</v>
      </c>
      <c r="S153" s="13">
        <v>0.0</v>
      </c>
      <c r="T153" s="13">
        <v>0.0</v>
      </c>
      <c r="U153" s="13">
        <v>0.0</v>
      </c>
      <c r="V153" s="13">
        <v>0.0</v>
      </c>
      <c r="W153" s="13">
        <v>4.0</v>
      </c>
      <c r="X153" s="13">
        <v>0.0</v>
      </c>
      <c r="Y153" s="13">
        <v>45.0</v>
      </c>
      <c r="Z153" s="13">
        <v>50.0</v>
      </c>
      <c r="AA153" s="13">
        <v>30.0</v>
      </c>
      <c r="AB153" s="13">
        <v>0.0</v>
      </c>
      <c r="AC153" s="13">
        <v>0.0</v>
      </c>
      <c r="AD153" s="13">
        <v>0.0</v>
      </c>
      <c r="AE153" s="13">
        <v>0.0</v>
      </c>
      <c r="AF153" s="13">
        <v>0.0</v>
      </c>
      <c r="AG153" s="13">
        <v>0.0</v>
      </c>
      <c r="AH153" s="13">
        <v>0.0</v>
      </c>
      <c r="AI153" s="13">
        <v>0.0</v>
      </c>
      <c r="AJ153" s="13">
        <v>0.0</v>
      </c>
      <c r="AK153" s="13">
        <v>0.0</v>
      </c>
      <c r="AL153" s="13">
        <v>0.0</v>
      </c>
      <c r="AM153" s="13">
        <v>0.0</v>
      </c>
      <c r="AN153" s="13">
        <v>7.0</v>
      </c>
      <c r="AO153" s="13">
        <v>0.0</v>
      </c>
      <c r="AP153" s="13">
        <v>0.0</v>
      </c>
      <c r="AQ153" s="13">
        <v>47.0</v>
      </c>
      <c r="AR153" s="13">
        <v>0.0</v>
      </c>
      <c r="AS153" s="13">
        <v>0.0</v>
      </c>
      <c r="AT153" s="13">
        <v>0.0</v>
      </c>
      <c r="AU153" s="13">
        <v>0.0</v>
      </c>
      <c r="AV153" s="13">
        <v>0.0</v>
      </c>
      <c r="AW153" s="13">
        <v>1.0</v>
      </c>
      <c r="AX153" s="13">
        <v>0.0</v>
      </c>
      <c r="AY153" s="13">
        <v>1.0</v>
      </c>
      <c r="AZ153" s="13">
        <v>141.0</v>
      </c>
      <c r="BA153" s="13">
        <v>0.0</v>
      </c>
      <c r="BB153" s="13">
        <v>0.0</v>
      </c>
      <c r="BC153" s="13">
        <v>120.0</v>
      </c>
      <c r="BD153" s="13">
        <v>0.0</v>
      </c>
      <c r="BE153" s="13">
        <v>0.0</v>
      </c>
      <c r="BF153" s="13">
        <v>0.0</v>
      </c>
      <c r="BG153" s="13">
        <v>0.0</v>
      </c>
      <c r="BH153" s="13">
        <v>508.0</v>
      </c>
    </row>
    <row r="154" ht="36.75" customHeight="1">
      <c r="A154" s="11">
        <v>42769.0</v>
      </c>
      <c r="B154" s="16" t="s">
        <v>532</v>
      </c>
      <c r="C154" s="16" t="s">
        <v>533</v>
      </c>
      <c r="D154" s="16" t="s">
        <v>2070</v>
      </c>
      <c r="E154" s="26" t="s">
        <v>2065</v>
      </c>
      <c r="F154" s="16">
        <v>30.52154</v>
      </c>
      <c r="G154" s="16">
        <v>-81.44524</v>
      </c>
      <c r="H154" s="13">
        <v>30.52976</v>
      </c>
      <c r="I154" s="13">
        <v>-81.43668</v>
      </c>
      <c r="J154" s="13" t="s">
        <v>2066</v>
      </c>
      <c r="K154" s="13" t="s">
        <v>2067</v>
      </c>
      <c r="L154" s="13">
        <v>0.0</v>
      </c>
      <c r="M154" s="13">
        <v>0.0</v>
      </c>
      <c r="N154" s="13">
        <v>0.0</v>
      </c>
      <c r="O154" s="13">
        <v>0.0</v>
      </c>
      <c r="P154" s="13">
        <v>0.0</v>
      </c>
      <c r="Q154" s="13">
        <v>0.0</v>
      </c>
      <c r="R154" s="13">
        <v>0.0</v>
      </c>
      <c r="S154" s="13">
        <v>0.0</v>
      </c>
      <c r="T154" s="13">
        <v>0.0</v>
      </c>
      <c r="U154" s="13">
        <v>0.0</v>
      </c>
      <c r="V154" s="13">
        <v>0.0</v>
      </c>
      <c r="W154" s="13">
        <v>0.0</v>
      </c>
      <c r="X154" s="13">
        <v>4.0</v>
      </c>
      <c r="Y154" s="13">
        <v>2.0</v>
      </c>
      <c r="Z154" s="13">
        <v>31.0</v>
      </c>
      <c r="AA154" s="13">
        <v>0.0</v>
      </c>
      <c r="AB154" s="13">
        <v>0.0</v>
      </c>
      <c r="AC154" s="13">
        <v>0.0</v>
      </c>
      <c r="AD154" s="13">
        <v>0.0</v>
      </c>
      <c r="AE154" s="13">
        <v>0.0</v>
      </c>
      <c r="AF154" s="13">
        <v>0.0</v>
      </c>
      <c r="AG154" s="13">
        <v>0.0</v>
      </c>
      <c r="AH154" s="13">
        <v>2.0</v>
      </c>
      <c r="AI154" s="13">
        <v>31.0</v>
      </c>
      <c r="AJ154" s="13">
        <v>0.0</v>
      </c>
      <c r="AK154" s="13">
        <v>0.0</v>
      </c>
      <c r="AL154" s="13">
        <v>0.0</v>
      </c>
      <c r="AM154" s="13">
        <v>0.0</v>
      </c>
      <c r="AN154" s="13">
        <v>4.0</v>
      </c>
      <c r="AO154" s="13">
        <v>0.0</v>
      </c>
      <c r="AP154" s="13">
        <v>0.0</v>
      </c>
      <c r="AQ154" s="13">
        <v>0.0</v>
      </c>
      <c r="AR154" s="13">
        <v>0.0</v>
      </c>
      <c r="AS154" s="13">
        <v>0.0</v>
      </c>
      <c r="AT154" s="13">
        <v>0.0</v>
      </c>
      <c r="AU154" s="13">
        <v>0.0</v>
      </c>
      <c r="AV154" s="13">
        <v>0.0</v>
      </c>
      <c r="AW154" s="13">
        <v>0.0</v>
      </c>
      <c r="AX154" s="13">
        <v>0.0</v>
      </c>
      <c r="AY154" s="13">
        <v>5.0</v>
      </c>
      <c r="AZ154" s="13">
        <v>0.0</v>
      </c>
      <c r="BA154" s="13">
        <v>0.0</v>
      </c>
      <c r="BB154" s="13">
        <v>0.0</v>
      </c>
      <c r="BC154" s="13">
        <v>0.0</v>
      </c>
      <c r="BD154" s="13">
        <v>0.0</v>
      </c>
      <c r="BE154" s="13">
        <v>0.0</v>
      </c>
      <c r="BF154" s="13">
        <v>0.0</v>
      </c>
      <c r="BG154" s="13">
        <v>0.0</v>
      </c>
      <c r="BH154">
        <f>SUM(L154:BG154)</f>
        <v>79</v>
      </c>
      <c r="BI154" s="13" t="s">
        <v>2189</v>
      </c>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c r="CM154" s="13"/>
      <c r="CN154" s="13"/>
      <c r="CO154" s="13"/>
      <c r="CP154" s="13"/>
      <c r="CQ154" s="13"/>
      <c r="CR154" s="13"/>
      <c r="CS154" s="13"/>
      <c r="CT154" s="13"/>
      <c r="CU154" s="13"/>
      <c r="CV154" s="13"/>
      <c r="CW154" s="13"/>
      <c r="CX154" s="13"/>
      <c r="CY154" s="13"/>
      <c r="CZ154" s="13"/>
      <c r="DA154" s="13"/>
      <c r="DB154" s="13"/>
      <c r="DC154" s="13"/>
      <c r="DD154" s="13"/>
      <c r="DE154" s="13"/>
      <c r="DF154" s="13"/>
      <c r="DG154" s="13"/>
      <c r="DH154" s="13"/>
      <c r="DI154" s="13"/>
      <c r="DJ154" s="13"/>
      <c r="DK154" s="13"/>
      <c r="DL154" s="13"/>
      <c r="DM154" s="13"/>
      <c r="DN154" s="13"/>
      <c r="DO154" s="13"/>
      <c r="DP154" s="13"/>
      <c r="DQ154" s="13"/>
      <c r="DR154" s="13"/>
      <c r="DS154" s="13"/>
      <c r="DT154" s="13"/>
      <c r="DU154" s="13"/>
      <c r="DV154" s="13"/>
      <c r="DW154" s="13"/>
    </row>
    <row r="155" ht="36.75" customHeight="1">
      <c r="A155" s="11">
        <v>42769.0</v>
      </c>
      <c r="B155" s="13" t="s">
        <v>2199</v>
      </c>
      <c r="C155" s="13" t="s">
        <v>2200</v>
      </c>
      <c r="D155" s="13" t="s">
        <v>2201</v>
      </c>
      <c r="E155" s="26" t="s">
        <v>2065</v>
      </c>
      <c r="F155" s="13">
        <v>30.70303</v>
      </c>
      <c r="G155" s="13">
        <v>-81.43222</v>
      </c>
      <c r="H155" s="13">
        <v>30.70061</v>
      </c>
      <c r="I155" s="14">
        <v>-81.42555</v>
      </c>
      <c r="J155" s="13" t="s">
        <v>2202</v>
      </c>
      <c r="K155" s="13" t="s">
        <v>2203</v>
      </c>
      <c r="L155" s="13">
        <v>0.0</v>
      </c>
      <c r="M155" s="13">
        <v>0.0</v>
      </c>
      <c r="N155" s="13">
        <v>0.0</v>
      </c>
      <c r="O155" s="13">
        <v>0.0</v>
      </c>
      <c r="P155" s="13">
        <v>0.0</v>
      </c>
      <c r="Q155" s="13">
        <v>0.0</v>
      </c>
      <c r="R155" s="13">
        <v>0.0</v>
      </c>
      <c r="S155" s="13">
        <v>0.0</v>
      </c>
      <c r="T155" s="13">
        <v>0.0</v>
      </c>
      <c r="U155" s="13">
        <v>0.0</v>
      </c>
      <c r="V155" s="13">
        <v>0.0</v>
      </c>
      <c r="W155" s="13">
        <v>0.0</v>
      </c>
      <c r="X155" s="13">
        <v>0.0</v>
      </c>
      <c r="Y155" s="13">
        <v>37.0</v>
      </c>
      <c r="Z155" s="13">
        <v>2.0</v>
      </c>
      <c r="AA155" s="13">
        <v>0.0</v>
      </c>
      <c r="AB155" s="13">
        <v>0.0</v>
      </c>
      <c r="AC155" s="13">
        <v>0.0</v>
      </c>
      <c r="AD155" s="13">
        <v>0.0</v>
      </c>
      <c r="AE155" s="13">
        <v>0.0</v>
      </c>
      <c r="AF155" s="13">
        <v>0.0</v>
      </c>
      <c r="AG155" s="13">
        <v>0.0</v>
      </c>
      <c r="AH155" s="13">
        <v>1.0</v>
      </c>
      <c r="AI155" s="13">
        <v>0.0</v>
      </c>
      <c r="AJ155" s="13">
        <v>0.0</v>
      </c>
      <c r="AK155" s="13">
        <v>0.0</v>
      </c>
      <c r="AL155" s="13">
        <v>1.0</v>
      </c>
      <c r="AM155" s="13">
        <v>0.0</v>
      </c>
      <c r="AN155" s="13">
        <v>11.0</v>
      </c>
      <c r="AO155" s="13">
        <v>0.0</v>
      </c>
      <c r="AP155" s="13">
        <v>0.0</v>
      </c>
      <c r="AQ155" s="13">
        <v>33.0</v>
      </c>
      <c r="AR155" s="13">
        <v>0.0</v>
      </c>
      <c r="AS155" s="13">
        <v>0.0</v>
      </c>
      <c r="AT155" s="13">
        <v>0.0</v>
      </c>
      <c r="AU155" s="13">
        <v>0.0</v>
      </c>
      <c r="AV155" s="13">
        <v>0.0</v>
      </c>
      <c r="AW155" s="13">
        <v>12.0</v>
      </c>
      <c r="AX155" s="13">
        <v>0.0</v>
      </c>
      <c r="AY155" s="13">
        <v>6.0</v>
      </c>
      <c r="AZ155" s="13">
        <v>0.0</v>
      </c>
      <c r="BA155" s="13">
        <v>0.0</v>
      </c>
      <c r="BB155" s="13">
        <v>0.0</v>
      </c>
      <c r="BC155" s="13">
        <v>0.0</v>
      </c>
      <c r="BD155" s="13">
        <v>0.0</v>
      </c>
      <c r="BE155" s="13">
        <v>0.0</v>
      </c>
      <c r="BF155" s="13">
        <v>0.0</v>
      </c>
      <c r="BG155" s="13">
        <v>0.0</v>
      </c>
      <c r="BH155" s="13">
        <v>114.0</v>
      </c>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c r="CM155" s="13"/>
      <c r="CN155" s="13"/>
      <c r="CO155" s="13"/>
      <c r="CP155" s="13"/>
      <c r="CQ155" s="13"/>
      <c r="CR155" s="13"/>
      <c r="CS155" s="13"/>
      <c r="CT155" s="13"/>
      <c r="CU155" s="13"/>
      <c r="CV155" s="13"/>
      <c r="CW155" s="13"/>
      <c r="CX155" s="13"/>
      <c r="CY155" s="13"/>
      <c r="CZ155" s="13"/>
      <c r="DA155" s="13"/>
      <c r="DB155" s="13"/>
      <c r="DC155" s="13"/>
      <c r="DD155" s="13"/>
      <c r="DE155" s="13"/>
      <c r="DF155" s="13"/>
      <c r="DG155" s="13"/>
      <c r="DH155" s="13"/>
      <c r="DI155" s="13"/>
      <c r="DJ155" s="13"/>
      <c r="DK155" s="13"/>
      <c r="DL155" s="13"/>
      <c r="DM155" s="13"/>
      <c r="DN155" s="13"/>
      <c r="DO155" s="13"/>
      <c r="DP155" s="13"/>
      <c r="DQ155" s="13"/>
      <c r="DR155" s="13"/>
      <c r="DS155" s="13"/>
      <c r="DT155" s="13"/>
      <c r="DU155" s="13"/>
      <c r="DV155" s="13"/>
      <c r="DW155" s="13"/>
    </row>
    <row r="156" ht="36.75" customHeight="1">
      <c r="A156" s="41">
        <v>42769.0</v>
      </c>
      <c r="B156" s="16" t="s">
        <v>2073</v>
      </c>
      <c r="C156" s="16" t="s">
        <v>2215</v>
      </c>
      <c r="D156" s="16" t="s">
        <v>2216</v>
      </c>
      <c r="E156" s="26" t="s">
        <v>2217</v>
      </c>
      <c r="F156" s="16">
        <v>30.70323</v>
      </c>
      <c r="G156" s="16">
        <v>-81.480899</v>
      </c>
      <c r="H156" s="13">
        <v>30.487164</v>
      </c>
      <c r="I156" s="13">
        <v>-81.416999</v>
      </c>
      <c r="J156" s="13" t="s">
        <v>2218</v>
      </c>
      <c r="K156" s="13" t="s">
        <v>2219</v>
      </c>
      <c r="L156" s="13">
        <v>29.0</v>
      </c>
      <c r="N156" s="13" t="s">
        <v>2220</v>
      </c>
      <c r="O156" s="13" t="s">
        <v>2221</v>
      </c>
      <c r="P156" s="13">
        <v>5.0</v>
      </c>
      <c r="R156" s="13">
        <v>12.0</v>
      </c>
      <c r="W156" s="13">
        <v>11.0</v>
      </c>
      <c r="Y156" s="13" t="s">
        <v>2222</v>
      </c>
      <c r="Z156" s="13" t="s">
        <v>2223</v>
      </c>
      <c r="AA156" s="13" t="s">
        <v>2223</v>
      </c>
      <c r="AC156" s="13" t="s">
        <v>2223</v>
      </c>
      <c r="AD156" s="13"/>
      <c r="AF156" s="13" t="s">
        <v>2223</v>
      </c>
      <c r="AH156" s="13">
        <v>115.0</v>
      </c>
      <c r="AI156" s="13">
        <v>1.0</v>
      </c>
      <c r="AL156" s="13"/>
      <c r="AN156" s="13">
        <v>85.0</v>
      </c>
      <c r="AQ156" s="13">
        <v>35.0</v>
      </c>
      <c r="AR156" s="13">
        <v>33.0</v>
      </c>
      <c r="AW156" s="13">
        <v>75.0</v>
      </c>
      <c r="AY156" s="13">
        <v>25.0</v>
      </c>
      <c r="AZ156" s="13">
        <v>5.0</v>
      </c>
      <c r="BC156" s="13">
        <v>188.0</v>
      </c>
      <c r="BH156" s="13">
        <f>sum(L156:BG156)</f>
        <v>619</v>
      </c>
      <c r="BI156" s="13" t="s">
        <v>2228</v>
      </c>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c r="CM156" s="13"/>
      <c r="CN156" s="13"/>
      <c r="CO156" s="13"/>
      <c r="CP156" s="13"/>
      <c r="CQ156" s="13"/>
      <c r="CR156" s="13"/>
      <c r="CS156" s="13"/>
      <c r="CT156" s="13"/>
      <c r="CU156" s="13"/>
      <c r="CV156" s="13"/>
      <c r="CW156" s="13"/>
      <c r="CX156" s="13"/>
      <c r="CY156" s="13"/>
      <c r="CZ156" s="13"/>
      <c r="DA156" s="13"/>
      <c r="DB156" s="13"/>
      <c r="DC156" s="13"/>
      <c r="DD156" s="13"/>
      <c r="DE156" s="13"/>
      <c r="DF156" s="13"/>
      <c r="DG156" s="13"/>
      <c r="DH156" s="13"/>
      <c r="DI156" s="13"/>
      <c r="DJ156" s="13"/>
      <c r="DK156" s="13"/>
      <c r="DL156" s="13"/>
      <c r="DM156" s="13"/>
      <c r="DN156" s="13"/>
      <c r="DO156" s="13"/>
      <c r="DP156" s="13"/>
      <c r="DQ156" s="13"/>
      <c r="DR156" s="13"/>
      <c r="DS156" s="13"/>
      <c r="DT156" s="13"/>
      <c r="DU156" s="13"/>
      <c r="DV156" s="13"/>
      <c r="DW156" s="13"/>
    </row>
    <row r="157" ht="36.75" customHeight="1">
      <c r="A157" s="41">
        <v>42773.0</v>
      </c>
      <c r="B157" s="16" t="s">
        <v>305</v>
      </c>
      <c r="C157" s="16" t="s">
        <v>309</v>
      </c>
      <c r="D157" s="16" t="s">
        <v>311</v>
      </c>
      <c r="E157" s="26" t="s">
        <v>312</v>
      </c>
      <c r="F157" s="16">
        <v>30.39282</v>
      </c>
      <c r="G157" s="16">
        <v>-86.58286</v>
      </c>
      <c r="H157" s="13">
        <v>30.39114</v>
      </c>
      <c r="I157" s="13">
        <v>-86.51746</v>
      </c>
      <c r="J157" s="13" t="s">
        <v>2089</v>
      </c>
      <c r="K157" s="13" t="s">
        <v>2237</v>
      </c>
      <c r="L157" s="13">
        <v>0.0</v>
      </c>
      <c r="M157" s="13">
        <v>0.0</v>
      </c>
      <c r="N157" s="13">
        <v>0.0</v>
      </c>
      <c r="O157" s="13">
        <v>0.0</v>
      </c>
      <c r="P157" s="13">
        <v>0.0</v>
      </c>
      <c r="Q157" s="13">
        <v>0.0</v>
      </c>
      <c r="R157" s="13">
        <v>0.0</v>
      </c>
      <c r="S157" s="13">
        <v>0.0</v>
      </c>
      <c r="T157" s="13">
        <v>0.0</v>
      </c>
      <c r="U157" s="13">
        <v>0.0</v>
      </c>
      <c r="V157" s="13">
        <v>0.0</v>
      </c>
      <c r="W157" s="13">
        <v>0.0</v>
      </c>
      <c r="X157" s="13">
        <v>0.0</v>
      </c>
      <c r="Y157" s="13">
        <v>0.0</v>
      </c>
      <c r="Z157" s="13">
        <v>57.0</v>
      </c>
      <c r="AA157" s="13">
        <v>0.0</v>
      </c>
      <c r="AB157" s="13">
        <v>0.0</v>
      </c>
      <c r="AC157" s="13">
        <v>0.0</v>
      </c>
      <c r="AD157" s="13">
        <v>16.0</v>
      </c>
      <c r="AE157" s="13">
        <v>0.0</v>
      </c>
      <c r="AF157" s="13">
        <v>0.0</v>
      </c>
      <c r="AG157" s="13">
        <v>0.0</v>
      </c>
      <c r="AH157" s="13">
        <v>0.0</v>
      </c>
      <c r="AI157" s="13">
        <v>0.0</v>
      </c>
      <c r="AJ157" s="13">
        <v>0.0</v>
      </c>
      <c r="AK157" s="13">
        <v>0.0</v>
      </c>
      <c r="AL157" s="13">
        <v>0.0</v>
      </c>
      <c r="AM157" s="13">
        <v>0.0</v>
      </c>
      <c r="AN157" s="13">
        <v>0.0</v>
      </c>
      <c r="AO157" s="13">
        <v>0.0</v>
      </c>
      <c r="AP157" s="13">
        <v>0.0</v>
      </c>
      <c r="AQ157" s="13">
        <v>0.0</v>
      </c>
      <c r="AR157" s="13">
        <v>0.0</v>
      </c>
      <c r="AS157" s="13">
        <v>0.0</v>
      </c>
      <c r="AT157" s="13">
        <v>0.0</v>
      </c>
      <c r="AU157" s="13">
        <v>0.0</v>
      </c>
      <c r="AV157" s="13">
        <v>2.0</v>
      </c>
      <c r="AW157" s="13">
        <v>1.0</v>
      </c>
      <c r="AX157" s="13">
        <v>0.0</v>
      </c>
      <c r="AY157" s="13">
        <v>15.0</v>
      </c>
      <c r="AZ157" s="13">
        <v>0.0</v>
      </c>
      <c r="BA157" s="13">
        <v>0.0</v>
      </c>
      <c r="BB157" s="13">
        <v>0.0</v>
      </c>
      <c r="BC157" s="13">
        <v>0.0</v>
      </c>
      <c r="BD157" s="13">
        <v>0.0</v>
      </c>
      <c r="BE157" s="13">
        <v>0.0</v>
      </c>
      <c r="BF157" s="13">
        <v>0.0</v>
      </c>
      <c r="BG157" s="13">
        <v>0.0</v>
      </c>
      <c r="BH157" s="13">
        <v>91.0</v>
      </c>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c r="CO157" s="13"/>
      <c r="CP157" s="13"/>
      <c r="CQ157" s="13"/>
      <c r="CR157" s="13"/>
      <c r="CS157" s="13"/>
      <c r="CT157" s="13"/>
      <c r="CU157" s="13"/>
      <c r="CV157" s="13"/>
      <c r="CW157" s="13"/>
      <c r="CX157" s="13"/>
      <c r="CY157" s="13"/>
      <c r="CZ157" s="13"/>
      <c r="DA157" s="13"/>
      <c r="DB157" s="13"/>
      <c r="DC157" s="13"/>
      <c r="DD157" s="13"/>
      <c r="DE157" s="13"/>
      <c r="DF157" s="13"/>
      <c r="DG157" s="13"/>
      <c r="DH157" s="13"/>
      <c r="DI157" s="13"/>
      <c r="DJ157" s="13"/>
      <c r="DK157" s="13"/>
      <c r="DL157" s="13"/>
      <c r="DM157" s="13"/>
      <c r="DN157" s="13"/>
      <c r="DO157" s="13"/>
      <c r="DP157" s="13"/>
      <c r="DQ157" s="13"/>
      <c r="DR157" s="13"/>
      <c r="DS157" s="13"/>
      <c r="DT157" s="13"/>
      <c r="DU157" s="13"/>
      <c r="DV157" s="13"/>
      <c r="DW157" s="13"/>
    </row>
    <row r="158" ht="36.75" customHeight="1">
      <c r="A158" s="41">
        <v>42773.0</v>
      </c>
      <c r="B158" s="16" t="s">
        <v>2096</v>
      </c>
      <c r="C158" s="16" t="s">
        <v>2097</v>
      </c>
      <c r="D158" s="16" t="s">
        <v>2098</v>
      </c>
      <c r="E158" s="26" t="s">
        <v>312</v>
      </c>
      <c r="F158" s="16">
        <v>30.40713</v>
      </c>
      <c r="G158" s="16">
        <v>-85.68645</v>
      </c>
      <c r="H158" s="13">
        <v>30.38213</v>
      </c>
      <c r="I158" s="13">
        <v>-86.43256</v>
      </c>
      <c r="J158" s="13" t="s">
        <v>2099</v>
      </c>
      <c r="K158" s="13" t="s">
        <v>2100</v>
      </c>
      <c r="L158" s="13">
        <v>0.0</v>
      </c>
      <c r="M158" s="13">
        <v>0.0</v>
      </c>
      <c r="N158" s="13">
        <v>0.0</v>
      </c>
      <c r="O158" s="13">
        <v>0.0</v>
      </c>
      <c r="P158" s="13">
        <v>0.0</v>
      </c>
      <c r="Q158" s="13">
        <v>0.0</v>
      </c>
      <c r="R158" s="13">
        <v>0.0</v>
      </c>
      <c r="S158" s="13">
        <v>0.0</v>
      </c>
      <c r="T158" s="13">
        <v>0.0</v>
      </c>
      <c r="U158" s="13">
        <v>0.0</v>
      </c>
      <c r="V158" s="13">
        <v>0.0</v>
      </c>
      <c r="W158" s="13">
        <v>0.0</v>
      </c>
      <c r="X158" s="13">
        <v>0.0</v>
      </c>
      <c r="Y158" s="13">
        <v>0.0</v>
      </c>
      <c r="Z158" s="13">
        <v>38.0</v>
      </c>
      <c r="AA158" s="13">
        <v>0.0</v>
      </c>
      <c r="AB158" s="13">
        <v>0.0</v>
      </c>
      <c r="AC158" s="13">
        <v>0.0</v>
      </c>
      <c r="AD158" s="13">
        <v>0.0</v>
      </c>
      <c r="AE158" s="13">
        <v>0.0</v>
      </c>
      <c r="AF158" s="13">
        <v>0.0</v>
      </c>
      <c r="AG158" s="13">
        <v>0.0</v>
      </c>
      <c r="AH158" s="13">
        <v>0.0</v>
      </c>
      <c r="AI158" s="13">
        <v>0.0</v>
      </c>
      <c r="AJ158" s="13">
        <v>0.0</v>
      </c>
      <c r="AK158" s="13">
        <v>0.0</v>
      </c>
      <c r="AL158" s="13">
        <v>10.0</v>
      </c>
      <c r="AM158" s="13">
        <v>0.0</v>
      </c>
      <c r="AN158" s="13">
        <v>0.0</v>
      </c>
      <c r="AO158" s="13">
        <v>0.0</v>
      </c>
      <c r="AP158" s="13">
        <v>0.0</v>
      </c>
      <c r="AQ158" s="13">
        <v>0.0</v>
      </c>
      <c r="AR158" s="13">
        <v>1.0</v>
      </c>
      <c r="AS158" s="13">
        <v>0.0</v>
      </c>
      <c r="AT158" s="13">
        <v>0.0</v>
      </c>
      <c r="AU158" s="13">
        <v>0.0</v>
      </c>
      <c r="AV158" s="13">
        <v>0.0</v>
      </c>
      <c r="AW158" s="13">
        <v>38.0</v>
      </c>
      <c r="AX158" s="13">
        <v>0.0</v>
      </c>
      <c r="AY158" s="13">
        <v>18.0</v>
      </c>
      <c r="AZ158" s="13">
        <v>0.0</v>
      </c>
      <c r="BA158" s="13">
        <v>0.0</v>
      </c>
      <c r="BB158" s="13">
        <v>0.0</v>
      </c>
      <c r="BC158" s="13">
        <v>0.0</v>
      </c>
      <c r="BD158" s="13">
        <v>0.0</v>
      </c>
      <c r="BE158" s="13">
        <v>0.0</v>
      </c>
      <c r="BF158" s="13">
        <v>0.0</v>
      </c>
      <c r="BG158" s="13">
        <v>0.0</v>
      </c>
      <c r="BH158" s="13">
        <f>sum(L158:BG158)</f>
        <v>105</v>
      </c>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c r="CM158" s="13"/>
      <c r="CN158" s="13"/>
      <c r="CO158" s="13"/>
      <c r="CP158" s="13"/>
      <c r="CQ158" s="13"/>
      <c r="CR158" s="13"/>
      <c r="CS158" s="13"/>
      <c r="CT158" s="13"/>
      <c r="CU158" s="13"/>
      <c r="CV158" s="13"/>
      <c r="CW158" s="13"/>
      <c r="CX158" s="13"/>
      <c r="CY158" s="13"/>
      <c r="CZ158" s="13"/>
      <c r="DA158" s="13"/>
      <c r="DB158" s="13"/>
      <c r="DC158" s="13"/>
      <c r="DD158" s="13"/>
      <c r="DE158" s="13"/>
      <c r="DF158" s="13"/>
      <c r="DG158" s="13"/>
      <c r="DH158" s="13"/>
      <c r="DI158" s="13"/>
      <c r="DJ158" s="13"/>
      <c r="DK158" s="13"/>
      <c r="DL158" s="13"/>
      <c r="DM158" s="13"/>
      <c r="DN158" s="13"/>
      <c r="DO158" s="13"/>
      <c r="DP158" s="13"/>
      <c r="DQ158" s="13"/>
      <c r="DR158" s="13"/>
      <c r="DS158" s="13"/>
      <c r="DT158" s="13"/>
      <c r="DU158" s="13"/>
      <c r="DV158" s="13"/>
      <c r="DW158" s="13"/>
    </row>
    <row r="159" ht="36.75" customHeight="1">
      <c r="A159" s="45">
        <v>42769.0</v>
      </c>
      <c r="B159" s="13" t="s">
        <v>1462</v>
      </c>
      <c r="C159" s="13" t="s">
        <v>1463</v>
      </c>
      <c r="D159" s="13" t="s">
        <v>2258</v>
      </c>
      <c r="E159" s="31" t="s">
        <v>2259</v>
      </c>
      <c r="F159" s="38" t="s">
        <v>2262</v>
      </c>
      <c r="G159" s="38" t="s">
        <v>2263</v>
      </c>
      <c r="H159" s="38" t="s">
        <v>2262</v>
      </c>
      <c r="I159" s="70" t="s">
        <v>2263</v>
      </c>
      <c r="J159" s="13" t="s">
        <v>2264</v>
      </c>
      <c r="K159" s="13" t="s">
        <v>628</v>
      </c>
      <c r="AQ159" s="13">
        <v>12.0</v>
      </c>
    </row>
    <row r="160" ht="36.75" customHeight="1">
      <c r="A160" s="45">
        <v>42769.0</v>
      </c>
      <c r="B160" s="13" t="s">
        <v>1462</v>
      </c>
      <c r="C160" s="13" t="s">
        <v>1463</v>
      </c>
      <c r="D160" s="13" t="s">
        <v>2265</v>
      </c>
      <c r="E160" s="31" t="s">
        <v>2259</v>
      </c>
      <c r="F160" s="38" t="s">
        <v>2266</v>
      </c>
      <c r="G160" s="38" t="s">
        <v>2267</v>
      </c>
      <c r="H160" s="38" t="s">
        <v>2266</v>
      </c>
      <c r="I160" s="70" t="s">
        <v>2267</v>
      </c>
      <c r="J160" s="13" t="s">
        <v>2268</v>
      </c>
      <c r="K160" s="13" t="s">
        <v>628</v>
      </c>
      <c r="P160" s="13">
        <v>5.0</v>
      </c>
      <c r="Q160" s="13">
        <v>23.0</v>
      </c>
      <c r="U160" s="13">
        <v>30.0</v>
      </c>
      <c r="AQ160" s="13">
        <v>30.0</v>
      </c>
    </row>
    <row r="161" ht="36.75" customHeight="1">
      <c r="A161" s="50">
        <v>42769.0</v>
      </c>
      <c r="B161" s="16" t="s">
        <v>2102</v>
      </c>
      <c r="C161" s="13" t="s">
        <v>760</v>
      </c>
      <c r="D161" s="16" t="s">
        <v>2103</v>
      </c>
      <c r="E161" s="26" t="s">
        <v>615</v>
      </c>
      <c r="F161" s="16">
        <v>26.775632</v>
      </c>
      <c r="G161" s="16">
        <v>-80.042638</v>
      </c>
      <c r="H161" s="13">
        <v>26.775632</v>
      </c>
      <c r="I161" s="13">
        <v>-80.042638</v>
      </c>
      <c r="J161" s="13" t="s">
        <v>2104</v>
      </c>
      <c r="K161" s="13" t="s">
        <v>2017</v>
      </c>
      <c r="L161" s="13">
        <v>0.0</v>
      </c>
      <c r="M161" s="13">
        <v>0.0</v>
      </c>
      <c r="N161" s="13">
        <v>0.0</v>
      </c>
      <c r="O161" s="13">
        <v>0.0</v>
      </c>
      <c r="P161" s="13">
        <v>0.0</v>
      </c>
      <c r="Q161" s="13">
        <v>0.0</v>
      </c>
      <c r="R161" s="13">
        <v>0.0</v>
      </c>
      <c r="S161" s="13">
        <v>0.0</v>
      </c>
      <c r="T161" s="13">
        <v>0.0</v>
      </c>
      <c r="U161" s="13">
        <v>0.0</v>
      </c>
      <c r="V161" s="13">
        <v>0.0</v>
      </c>
      <c r="W161" s="13">
        <v>0.0</v>
      </c>
      <c r="X161" s="13">
        <v>0.0</v>
      </c>
      <c r="Y161" s="13">
        <v>12.0</v>
      </c>
      <c r="Z161" s="13">
        <v>5.0</v>
      </c>
      <c r="AA161" s="13">
        <v>0.0</v>
      </c>
      <c r="AB161" s="13">
        <v>0.0</v>
      </c>
      <c r="AC161" s="13">
        <v>0.0</v>
      </c>
      <c r="AD161" s="13">
        <v>0.0</v>
      </c>
      <c r="AE161" s="13">
        <v>2.0</v>
      </c>
      <c r="AF161" s="13">
        <v>0.0</v>
      </c>
      <c r="AG161" s="13">
        <v>0.0</v>
      </c>
      <c r="AH161" s="13">
        <v>0.0</v>
      </c>
      <c r="AI161" s="13">
        <v>0.0</v>
      </c>
      <c r="AJ161" s="13">
        <v>0.0</v>
      </c>
      <c r="AK161" s="13">
        <v>0.0</v>
      </c>
      <c r="AL161" s="13">
        <v>0.0</v>
      </c>
      <c r="AM161" s="13">
        <v>0.0</v>
      </c>
      <c r="AN161" s="13">
        <v>3.0</v>
      </c>
      <c r="AO161" s="13">
        <v>0.0</v>
      </c>
      <c r="AP161" s="13">
        <v>0.0</v>
      </c>
      <c r="AQ161" s="13">
        <v>0.0</v>
      </c>
      <c r="AR161" s="13">
        <v>0.0</v>
      </c>
      <c r="AS161" s="13">
        <v>0.0</v>
      </c>
      <c r="AT161" s="13">
        <v>0.0</v>
      </c>
      <c r="AU161" s="13">
        <v>0.0</v>
      </c>
      <c r="AV161" s="13">
        <v>0.0</v>
      </c>
      <c r="AW161" s="13">
        <v>3.0</v>
      </c>
      <c r="AX161" s="13">
        <v>0.0</v>
      </c>
      <c r="AY161" s="13">
        <v>8.0</v>
      </c>
      <c r="AZ161" s="13">
        <v>0.0</v>
      </c>
      <c r="BA161" s="13">
        <v>0.0</v>
      </c>
      <c r="BB161" s="13">
        <v>0.0</v>
      </c>
      <c r="BC161" s="13">
        <v>0.0</v>
      </c>
      <c r="BD161" s="13">
        <v>0.0</v>
      </c>
      <c r="BE161" s="13">
        <v>0.0</v>
      </c>
      <c r="BF161" s="13">
        <v>0.0</v>
      </c>
      <c r="BG161" s="13">
        <v>0.0</v>
      </c>
      <c r="BH161" s="13">
        <v>33.0</v>
      </c>
    </row>
    <row r="162" ht="36.75" customHeight="1">
      <c r="A162" s="45">
        <v>42770.0</v>
      </c>
      <c r="B162" s="13" t="s">
        <v>2284</v>
      </c>
      <c r="C162" s="13" t="s">
        <v>2285</v>
      </c>
      <c r="D162" s="13" t="s">
        <v>2286</v>
      </c>
      <c r="E162" s="31" t="s">
        <v>615</v>
      </c>
      <c r="F162" s="75">
        <v>26.682391</v>
      </c>
      <c r="G162" s="75">
        <v>-80.298952</v>
      </c>
      <c r="H162" s="75">
        <v>26.682391</v>
      </c>
      <c r="I162" s="76">
        <v>-80.298952</v>
      </c>
      <c r="J162" s="13" t="s">
        <v>2287</v>
      </c>
      <c r="K162" s="13" t="s">
        <v>628</v>
      </c>
      <c r="Q162" s="13">
        <v>4.0</v>
      </c>
      <c r="U162" s="13">
        <v>22.0</v>
      </c>
      <c r="AE162" s="13">
        <v>1.0</v>
      </c>
      <c r="AJ162" s="13">
        <v>2.0</v>
      </c>
      <c r="AK162" s="13">
        <v>1.0</v>
      </c>
      <c r="AO162" s="13">
        <v>2.0</v>
      </c>
      <c r="AQ162" s="13">
        <v>25.0</v>
      </c>
      <c r="AY162" s="13">
        <v>4.0</v>
      </c>
      <c r="BH162">
        <f t="shared" ref="BH162:BH169" si="24">sum(L162:BG162)</f>
        <v>61</v>
      </c>
    </row>
    <row r="163" ht="36.75" customHeight="1">
      <c r="A163" s="41">
        <v>42771.0</v>
      </c>
      <c r="B163" s="13" t="s">
        <v>2105</v>
      </c>
      <c r="C163" s="16" t="s">
        <v>2294</v>
      </c>
      <c r="D163" s="16" t="s">
        <v>2107</v>
      </c>
      <c r="E163" s="29" t="s">
        <v>615</v>
      </c>
      <c r="F163" s="17">
        <v>26.94343</v>
      </c>
      <c r="G163" s="17">
        <v>-80.07133</v>
      </c>
      <c r="H163" s="17">
        <v>26.8365</v>
      </c>
      <c r="I163" s="14">
        <v>-80.0412</v>
      </c>
      <c r="J163" s="13" t="s">
        <v>2108</v>
      </c>
      <c r="K163" s="13" t="s">
        <v>2109</v>
      </c>
      <c r="L163" s="13">
        <v>0.0</v>
      </c>
      <c r="M163" s="13">
        <v>0.0</v>
      </c>
      <c r="N163" s="13">
        <v>30.0</v>
      </c>
      <c r="O163" s="13">
        <v>0.0</v>
      </c>
      <c r="P163" s="13">
        <v>0.0</v>
      </c>
      <c r="Q163" s="13">
        <v>0.0</v>
      </c>
      <c r="R163" s="13">
        <v>0.0</v>
      </c>
      <c r="S163" s="13">
        <v>0.0</v>
      </c>
      <c r="T163" s="13">
        <v>0.0</v>
      </c>
      <c r="U163" s="13">
        <v>0.0</v>
      </c>
      <c r="V163" s="13">
        <v>0.0</v>
      </c>
      <c r="W163" s="13">
        <v>0.0</v>
      </c>
      <c r="X163" s="13">
        <v>0.0</v>
      </c>
      <c r="Y163" s="13">
        <v>44.0</v>
      </c>
      <c r="Z163" s="13">
        <v>167.0</v>
      </c>
      <c r="AA163" s="13">
        <v>0.0</v>
      </c>
      <c r="AB163" s="13">
        <v>0.0</v>
      </c>
      <c r="AC163" s="13">
        <v>0.0</v>
      </c>
      <c r="AD163" s="13">
        <v>0.0</v>
      </c>
      <c r="AE163" s="13">
        <v>0.0</v>
      </c>
      <c r="AF163" s="13">
        <v>0.0</v>
      </c>
      <c r="AG163" s="13">
        <v>0.0</v>
      </c>
      <c r="AH163" s="13">
        <v>1.0</v>
      </c>
      <c r="AI163" s="13">
        <v>0.0</v>
      </c>
      <c r="AJ163" s="13">
        <v>0.0</v>
      </c>
      <c r="AK163" s="13">
        <v>0.0</v>
      </c>
      <c r="AL163" s="13">
        <v>0.0</v>
      </c>
      <c r="AM163" s="13">
        <v>0.0</v>
      </c>
      <c r="AN163" s="13">
        <v>46.0</v>
      </c>
      <c r="AO163" s="13">
        <v>0.0</v>
      </c>
      <c r="AP163" s="13">
        <v>0.0</v>
      </c>
      <c r="AQ163" s="13">
        <v>0.0</v>
      </c>
      <c r="AR163" s="13">
        <v>0.0</v>
      </c>
      <c r="AS163" s="13">
        <v>0.0</v>
      </c>
      <c r="AT163" s="13">
        <v>0.0</v>
      </c>
      <c r="AU163" s="13">
        <v>0.0</v>
      </c>
      <c r="AV163" s="13">
        <v>1.0</v>
      </c>
      <c r="AW163" s="13">
        <v>26.0</v>
      </c>
      <c r="AX163" s="13">
        <v>0.0</v>
      </c>
      <c r="AY163" s="13">
        <v>63.0</v>
      </c>
      <c r="AZ163" s="13">
        <v>35.0</v>
      </c>
      <c r="BA163" s="13">
        <v>0.0</v>
      </c>
      <c r="BB163" s="13">
        <v>0.0</v>
      </c>
      <c r="BC163" s="13">
        <v>0.0</v>
      </c>
      <c r="BD163" s="13">
        <v>0.0</v>
      </c>
      <c r="BE163" s="13">
        <v>0.0</v>
      </c>
      <c r="BF163" s="13">
        <v>0.0</v>
      </c>
      <c r="BG163" s="13">
        <v>0.0</v>
      </c>
      <c r="BH163" s="13">
        <f t="shared" si="24"/>
        <v>413</v>
      </c>
    </row>
    <row r="164" ht="36.75" customHeight="1">
      <c r="A164" s="41">
        <v>42771.0</v>
      </c>
      <c r="B164" s="13" t="s">
        <v>2105</v>
      </c>
      <c r="C164" s="16" t="s">
        <v>2294</v>
      </c>
      <c r="D164" s="16" t="s">
        <v>2111</v>
      </c>
      <c r="E164" s="28" t="s">
        <v>615</v>
      </c>
      <c r="F164" s="17">
        <v>26.814271</v>
      </c>
      <c r="G164" s="17">
        <v>-80.035523</v>
      </c>
      <c r="H164" s="17">
        <v>26.773552</v>
      </c>
      <c r="I164" s="14">
        <v>-80.031796</v>
      </c>
      <c r="J164" s="13" t="s">
        <v>2112</v>
      </c>
      <c r="K164" s="13" t="s">
        <v>2109</v>
      </c>
      <c r="L164" s="13">
        <v>0.0</v>
      </c>
      <c r="M164" s="13">
        <v>0.0</v>
      </c>
      <c r="N164" s="13">
        <v>0.0</v>
      </c>
      <c r="O164" s="13">
        <v>0.0</v>
      </c>
      <c r="P164" s="13">
        <v>0.0</v>
      </c>
      <c r="Q164" s="13">
        <v>0.0</v>
      </c>
      <c r="R164" s="13">
        <v>0.0</v>
      </c>
      <c r="S164" s="13">
        <v>0.0</v>
      </c>
      <c r="T164" s="13">
        <v>0.0</v>
      </c>
      <c r="U164" s="13">
        <v>0.0</v>
      </c>
      <c r="V164" s="13">
        <v>0.0</v>
      </c>
      <c r="W164" s="13">
        <v>0.0</v>
      </c>
      <c r="X164" s="13">
        <v>0.0</v>
      </c>
      <c r="Y164" s="13">
        <v>4.0</v>
      </c>
      <c r="Z164" s="13">
        <v>7.0</v>
      </c>
      <c r="AA164" s="13">
        <v>0.0</v>
      </c>
      <c r="AB164" s="13">
        <v>0.0</v>
      </c>
      <c r="AC164" s="13">
        <v>0.0</v>
      </c>
      <c r="AD164" s="13">
        <v>0.0</v>
      </c>
      <c r="AE164" s="13">
        <v>0.0</v>
      </c>
      <c r="AF164" s="13">
        <v>0.0</v>
      </c>
      <c r="AG164" s="13">
        <v>0.0</v>
      </c>
      <c r="AH164" s="13">
        <v>0.0</v>
      </c>
      <c r="AJ164" s="13">
        <v>0.0</v>
      </c>
      <c r="AK164" s="13">
        <v>120.0</v>
      </c>
      <c r="AL164" s="13">
        <v>0.0</v>
      </c>
      <c r="AM164" s="13">
        <v>0.0</v>
      </c>
      <c r="AN164" s="13">
        <v>40.0</v>
      </c>
      <c r="AO164" s="13">
        <v>0.0</v>
      </c>
      <c r="AP164" s="13">
        <v>0.0</v>
      </c>
      <c r="AQ164" s="13">
        <v>0.0</v>
      </c>
      <c r="AR164" s="13">
        <v>0.0</v>
      </c>
      <c r="AS164" s="13">
        <v>0.0</v>
      </c>
      <c r="AT164" s="13">
        <v>0.0</v>
      </c>
      <c r="AU164" s="13">
        <v>0.0</v>
      </c>
      <c r="AV164" s="13">
        <v>0.0</v>
      </c>
      <c r="AW164" s="13">
        <v>27.0</v>
      </c>
      <c r="AX164" s="13">
        <v>3.0</v>
      </c>
      <c r="AY164" s="13">
        <v>42.0</v>
      </c>
      <c r="AZ164" s="13">
        <v>6.0</v>
      </c>
      <c r="BA164" s="13">
        <v>0.0</v>
      </c>
      <c r="BB164" s="13">
        <v>0.0</v>
      </c>
      <c r="BC164" s="13">
        <v>0.0</v>
      </c>
      <c r="BD164" s="13">
        <v>0.0</v>
      </c>
      <c r="BE164" s="13">
        <v>0.0</v>
      </c>
      <c r="BF164" s="13">
        <v>0.0</v>
      </c>
      <c r="BG164" s="13">
        <v>0.0</v>
      </c>
      <c r="BH164" s="13">
        <f t="shared" si="24"/>
        <v>249</v>
      </c>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c r="CM164" s="13"/>
      <c r="CN164" s="13"/>
      <c r="CO164" s="13"/>
      <c r="CP164" s="13"/>
      <c r="CQ164" s="13"/>
      <c r="CR164" s="13"/>
      <c r="CS164" s="13"/>
      <c r="CT164" s="13"/>
      <c r="CU164" s="13"/>
      <c r="CV164" s="13"/>
      <c r="CW164" s="13"/>
      <c r="CX164" s="13"/>
      <c r="CY164" s="13"/>
      <c r="CZ164" s="13"/>
      <c r="DA164" s="13"/>
      <c r="DB164" s="13"/>
      <c r="DC164" s="13"/>
      <c r="DD164" s="13"/>
      <c r="DE164" s="13"/>
      <c r="DF164" s="13"/>
      <c r="DG164" s="13"/>
      <c r="DH164" s="13"/>
      <c r="DI164" s="13"/>
      <c r="DJ164" s="13"/>
      <c r="DK164" s="13"/>
      <c r="DL164" s="13"/>
      <c r="DM164" s="13"/>
      <c r="DN164" s="13"/>
      <c r="DO164" s="13"/>
      <c r="DP164" s="13"/>
      <c r="DQ164" s="13"/>
      <c r="DR164" s="13"/>
      <c r="DS164" s="13"/>
      <c r="DT164" s="13"/>
      <c r="DU164" s="13"/>
      <c r="DV164" s="13"/>
      <c r="DW164" s="13"/>
    </row>
    <row r="165" ht="36.75" customHeight="1">
      <c r="A165" s="41">
        <v>42771.0</v>
      </c>
      <c r="B165" s="13" t="s">
        <v>2105</v>
      </c>
      <c r="C165" s="16" t="s">
        <v>2294</v>
      </c>
      <c r="D165" s="16" t="s">
        <v>2114</v>
      </c>
      <c r="E165" s="26" t="s">
        <v>615</v>
      </c>
      <c r="F165" s="17">
        <v>26.944692</v>
      </c>
      <c r="G165" s="17">
        <v>-80.071097</v>
      </c>
      <c r="H165" s="17">
        <v>26.970536</v>
      </c>
      <c r="I165" s="14">
        <v>-80.08053</v>
      </c>
      <c r="J165" s="13" t="s">
        <v>2115</v>
      </c>
      <c r="K165" s="13" t="s">
        <v>2109</v>
      </c>
      <c r="L165" s="13">
        <v>0.0</v>
      </c>
      <c r="M165" s="13">
        <v>0.0</v>
      </c>
      <c r="N165" s="13">
        <v>3.0</v>
      </c>
      <c r="O165" s="13">
        <v>0.0</v>
      </c>
      <c r="P165" s="13">
        <v>0.0</v>
      </c>
      <c r="Q165" s="13">
        <v>0.0</v>
      </c>
      <c r="R165" s="13">
        <v>0.0</v>
      </c>
      <c r="S165" s="13">
        <v>0.0</v>
      </c>
      <c r="T165" s="13">
        <v>0.0</v>
      </c>
      <c r="U165" s="13">
        <v>0.0</v>
      </c>
      <c r="V165" s="13">
        <v>0.0</v>
      </c>
      <c r="W165" s="13">
        <v>0.0</v>
      </c>
      <c r="X165" s="13">
        <v>0.0</v>
      </c>
      <c r="Y165" s="13">
        <v>2.0</v>
      </c>
      <c r="Z165" s="13">
        <v>41.0</v>
      </c>
      <c r="AA165" s="13">
        <v>0.0</v>
      </c>
      <c r="AB165" s="13">
        <v>0.0</v>
      </c>
      <c r="AC165" s="13">
        <v>0.0</v>
      </c>
      <c r="AD165" s="13">
        <v>0.0</v>
      </c>
      <c r="AE165" s="13">
        <v>0.0</v>
      </c>
      <c r="AF165" s="13">
        <v>0.0</v>
      </c>
      <c r="AG165" s="13">
        <v>0.0</v>
      </c>
      <c r="AH165" s="13">
        <v>1.0</v>
      </c>
      <c r="AI165" s="13">
        <v>0.0</v>
      </c>
      <c r="AJ165" s="13">
        <v>0.0</v>
      </c>
      <c r="AK165" s="13">
        <v>0.0</v>
      </c>
      <c r="AL165" s="13">
        <v>0.0</v>
      </c>
      <c r="AM165" s="13">
        <v>0.0</v>
      </c>
      <c r="AN165" s="13">
        <v>0.0</v>
      </c>
      <c r="AO165" s="13">
        <v>0.0</v>
      </c>
      <c r="AP165" s="13">
        <v>0.0</v>
      </c>
      <c r="AQ165" s="13">
        <v>0.0</v>
      </c>
      <c r="AR165" s="13">
        <v>0.0</v>
      </c>
      <c r="AS165" s="13">
        <v>0.0</v>
      </c>
      <c r="AT165" s="13">
        <v>0.0</v>
      </c>
      <c r="AU165" s="13">
        <v>0.0</v>
      </c>
      <c r="AV165" s="13">
        <v>0.0</v>
      </c>
      <c r="AW165" s="13">
        <v>0.0</v>
      </c>
      <c r="AX165" s="13">
        <v>0.0</v>
      </c>
      <c r="AY165" s="13">
        <v>4.0</v>
      </c>
      <c r="AZ165" s="13">
        <v>0.0</v>
      </c>
      <c r="BA165" s="13">
        <v>0.0</v>
      </c>
      <c r="BB165" s="13">
        <v>0.0</v>
      </c>
      <c r="BC165" s="13">
        <v>0.0</v>
      </c>
      <c r="BD165" s="13">
        <v>0.0</v>
      </c>
      <c r="BE165" s="13">
        <v>0.0</v>
      </c>
      <c r="BF165" s="13">
        <v>0.0</v>
      </c>
      <c r="BG165" s="13">
        <v>0.0</v>
      </c>
      <c r="BH165" s="13">
        <f t="shared" si="24"/>
        <v>51</v>
      </c>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c r="CM165" s="13"/>
      <c r="CN165" s="13"/>
      <c r="CO165" s="13"/>
      <c r="CP165" s="13"/>
      <c r="CQ165" s="13"/>
      <c r="CR165" s="13"/>
      <c r="CS165" s="13"/>
      <c r="CT165" s="13"/>
      <c r="CU165" s="13"/>
      <c r="CV165" s="13"/>
      <c r="CW165" s="13"/>
      <c r="CX165" s="13"/>
      <c r="CY165" s="13"/>
      <c r="CZ165" s="13"/>
      <c r="DA165" s="13"/>
      <c r="DB165" s="13"/>
      <c r="DC165" s="13"/>
      <c r="DD165" s="13"/>
      <c r="DE165" s="13"/>
      <c r="DF165" s="13"/>
      <c r="DG165" s="13"/>
      <c r="DH165" s="13"/>
      <c r="DI165" s="13"/>
      <c r="DJ165" s="13"/>
      <c r="DK165" s="13"/>
      <c r="DL165" s="13"/>
      <c r="DM165" s="13"/>
      <c r="DN165" s="13"/>
      <c r="DO165" s="13"/>
      <c r="DP165" s="13"/>
      <c r="DQ165" s="13"/>
      <c r="DR165" s="13"/>
      <c r="DS165" s="13"/>
      <c r="DT165" s="13"/>
      <c r="DU165" s="13"/>
      <c r="DV165" s="13"/>
      <c r="DW165" s="13"/>
    </row>
    <row r="166" ht="36.75" customHeight="1">
      <c r="A166" s="41">
        <v>42772.0</v>
      </c>
      <c r="B166" s="16" t="s">
        <v>995</v>
      </c>
      <c r="C166" s="16" t="s">
        <v>612</v>
      </c>
      <c r="D166" s="16" t="s">
        <v>997</v>
      </c>
      <c r="E166" s="34" t="s">
        <v>615</v>
      </c>
      <c r="F166" s="16">
        <v>26.44164</v>
      </c>
      <c r="G166" s="16">
        <v>-80.06002</v>
      </c>
      <c r="H166" s="13">
        <v>26.6572</v>
      </c>
      <c r="I166" s="13">
        <v>-80.03656</v>
      </c>
      <c r="J166" s="13" t="s">
        <v>2117</v>
      </c>
      <c r="K166" s="13" t="s">
        <v>2118</v>
      </c>
      <c r="L166" s="13">
        <v>0.0</v>
      </c>
      <c r="M166" s="13">
        <v>0.0</v>
      </c>
      <c r="N166" s="13">
        <v>47.0</v>
      </c>
      <c r="O166" s="13">
        <v>0.0</v>
      </c>
      <c r="P166" s="13">
        <v>0.0</v>
      </c>
      <c r="Q166" s="13">
        <v>0.0</v>
      </c>
      <c r="R166" s="13">
        <v>0.0</v>
      </c>
      <c r="S166" s="13">
        <v>0.0</v>
      </c>
      <c r="T166" s="13">
        <v>0.0</v>
      </c>
      <c r="U166" s="13">
        <v>0.0</v>
      </c>
      <c r="V166" s="13">
        <v>0.0</v>
      </c>
      <c r="W166" s="13">
        <v>0.0</v>
      </c>
      <c r="X166" s="13">
        <v>0.0</v>
      </c>
      <c r="Y166" s="13">
        <v>33.0</v>
      </c>
      <c r="Z166" s="13">
        <v>166.0</v>
      </c>
      <c r="AA166" s="13">
        <v>18.0</v>
      </c>
      <c r="AB166" s="13">
        <v>0.0</v>
      </c>
      <c r="AC166" s="13">
        <v>0.0</v>
      </c>
      <c r="AD166" s="13">
        <v>0.0</v>
      </c>
      <c r="AE166" s="13">
        <v>0.0</v>
      </c>
      <c r="AF166" s="13">
        <v>0.0</v>
      </c>
      <c r="AG166" s="13">
        <v>0.0</v>
      </c>
      <c r="AH166" s="13">
        <v>0.0</v>
      </c>
      <c r="AI166" s="13">
        <v>0.0</v>
      </c>
      <c r="AJ166" s="13">
        <v>0.0</v>
      </c>
      <c r="AK166" s="13">
        <v>0.0</v>
      </c>
      <c r="AL166" s="13">
        <v>0.0</v>
      </c>
      <c r="AM166" s="13">
        <v>0.0</v>
      </c>
      <c r="AN166" s="13">
        <v>0.0</v>
      </c>
      <c r="AO166" s="13">
        <v>0.0</v>
      </c>
      <c r="AP166" s="13">
        <v>0.0</v>
      </c>
      <c r="AQ166" s="13">
        <v>0.0</v>
      </c>
      <c r="AR166" s="13">
        <v>0.0</v>
      </c>
      <c r="AS166" s="13">
        <v>0.0</v>
      </c>
      <c r="AT166" s="13">
        <v>0.0</v>
      </c>
      <c r="AU166" s="13">
        <v>0.0</v>
      </c>
      <c r="AV166" s="13">
        <v>3.0</v>
      </c>
      <c r="AW166" s="13">
        <v>419.0</v>
      </c>
      <c r="AX166" s="13">
        <v>34.0</v>
      </c>
      <c r="AY166" s="13">
        <v>183.0</v>
      </c>
      <c r="AZ166" s="13">
        <v>54.0</v>
      </c>
      <c r="BA166" s="13">
        <v>25.0</v>
      </c>
      <c r="BB166" s="13">
        <v>0.0</v>
      </c>
      <c r="BC166" s="13">
        <v>0.0</v>
      </c>
      <c r="BD166" s="13">
        <v>0.0</v>
      </c>
      <c r="BE166" s="13">
        <v>0.0</v>
      </c>
      <c r="BF166" s="13">
        <v>0.0</v>
      </c>
      <c r="BG166" s="13">
        <v>0.0</v>
      </c>
      <c r="BH166">
        <f t="shared" si="24"/>
        <v>982</v>
      </c>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row>
    <row r="167" ht="36.75" customHeight="1">
      <c r="A167" s="45">
        <v>42772.0</v>
      </c>
      <c r="B167" s="13" t="s">
        <v>1462</v>
      </c>
      <c r="C167" s="13" t="s">
        <v>1463</v>
      </c>
      <c r="D167" s="13" t="s">
        <v>2314</v>
      </c>
      <c r="E167" s="31" t="s">
        <v>615</v>
      </c>
      <c r="F167" s="75">
        <v>26.370283</v>
      </c>
      <c r="G167" s="75">
        <v>-80.564157</v>
      </c>
      <c r="H167" s="75">
        <v>26.370283</v>
      </c>
      <c r="I167" s="76">
        <v>-80.564157</v>
      </c>
      <c r="J167" s="13" t="s">
        <v>2316</v>
      </c>
      <c r="K167" s="13" t="s">
        <v>1664</v>
      </c>
      <c r="Q167" s="13">
        <v>8.0</v>
      </c>
      <c r="U167" s="13">
        <v>35.0</v>
      </c>
      <c r="AJ167" s="13">
        <v>1.0</v>
      </c>
      <c r="AO167" s="13">
        <v>3.0</v>
      </c>
      <c r="AQ167" s="13">
        <v>84.0</v>
      </c>
      <c r="AR167" s="13">
        <v>2.0</v>
      </c>
      <c r="BH167">
        <f t="shared" si="24"/>
        <v>133</v>
      </c>
    </row>
    <row r="168" ht="36.75" customHeight="1">
      <c r="A168" s="45">
        <v>42773.0</v>
      </c>
      <c r="B168" s="13" t="s">
        <v>1462</v>
      </c>
      <c r="C168" s="13" t="s">
        <v>1463</v>
      </c>
      <c r="D168" s="13" t="s">
        <v>2318</v>
      </c>
      <c r="E168" s="31" t="s">
        <v>615</v>
      </c>
      <c r="F168" s="38" t="s">
        <v>2319</v>
      </c>
      <c r="G168" s="38" t="s">
        <v>2320</v>
      </c>
      <c r="H168" s="38" t="s">
        <v>2319</v>
      </c>
      <c r="I168" s="38" t="s">
        <v>2320</v>
      </c>
      <c r="J168" s="13" t="s">
        <v>2323</v>
      </c>
      <c r="K168" s="13" t="s">
        <v>628</v>
      </c>
      <c r="AQ168" s="13">
        <v>10.0</v>
      </c>
      <c r="BH168">
        <f t="shared" si="24"/>
        <v>10</v>
      </c>
    </row>
    <row r="169" ht="36.75" customHeight="1">
      <c r="A169" s="45">
        <v>42773.0</v>
      </c>
      <c r="B169" s="13" t="s">
        <v>1462</v>
      </c>
      <c r="C169" s="13" t="s">
        <v>1463</v>
      </c>
      <c r="D169" s="13" t="s">
        <v>2325</v>
      </c>
      <c r="E169" s="31" t="s">
        <v>615</v>
      </c>
      <c r="F169" s="13" t="s">
        <v>2129</v>
      </c>
      <c r="G169" s="13" t="s">
        <v>2130</v>
      </c>
      <c r="H169" s="13" t="s">
        <v>2129</v>
      </c>
      <c r="I169" s="13" t="s">
        <v>2130</v>
      </c>
      <c r="J169" s="13" t="s">
        <v>2131</v>
      </c>
      <c r="K169" s="13" t="s">
        <v>628</v>
      </c>
      <c r="P169" s="13">
        <v>95.0</v>
      </c>
      <c r="Q169" s="13">
        <v>109.0</v>
      </c>
      <c r="S169" s="13">
        <v>57.0</v>
      </c>
      <c r="U169" s="13">
        <v>1277.0</v>
      </c>
      <c r="AB169" s="13">
        <v>2.0</v>
      </c>
      <c r="AK169" s="13">
        <v>100.0</v>
      </c>
      <c r="AO169" s="13">
        <v>178.0</v>
      </c>
      <c r="AQ169" s="13">
        <v>193.0</v>
      </c>
      <c r="BC169" s="13">
        <v>333.0</v>
      </c>
      <c r="BE169" s="13">
        <v>115.0</v>
      </c>
      <c r="BF169" s="13">
        <v>92.0</v>
      </c>
      <c r="BH169">
        <f t="shared" si="24"/>
        <v>2551</v>
      </c>
    </row>
    <row r="170" ht="36.75" customHeight="1">
      <c r="A170" s="41">
        <v>42774.0</v>
      </c>
      <c r="B170" s="16" t="s">
        <v>2152</v>
      </c>
      <c r="C170" s="16" t="s">
        <v>2153</v>
      </c>
      <c r="D170" s="16" t="s">
        <v>2154</v>
      </c>
      <c r="E170" s="26" t="s">
        <v>615</v>
      </c>
      <c r="F170" s="16">
        <v>26.39085</v>
      </c>
      <c r="G170" s="16">
        <v>-80.06619</v>
      </c>
      <c r="H170" s="13">
        <v>26.33615</v>
      </c>
      <c r="I170" s="13">
        <v>-80.07062</v>
      </c>
      <c r="J170" s="13" t="s">
        <v>2155</v>
      </c>
      <c r="K170" s="13" t="s">
        <v>2156</v>
      </c>
      <c r="L170" s="13">
        <v>0.0</v>
      </c>
      <c r="M170" s="13">
        <v>0.0</v>
      </c>
      <c r="N170" s="13">
        <v>0.0</v>
      </c>
      <c r="O170" s="13">
        <v>0.0</v>
      </c>
      <c r="P170" s="13">
        <v>0.0</v>
      </c>
      <c r="Q170" s="13">
        <v>0.0</v>
      </c>
      <c r="R170" s="13">
        <v>0.0</v>
      </c>
      <c r="S170" s="13">
        <v>0.0</v>
      </c>
      <c r="T170" s="13">
        <v>0.0</v>
      </c>
      <c r="U170" s="13">
        <v>0.0</v>
      </c>
      <c r="V170" s="13">
        <v>0.0</v>
      </c>
      <c r="W170" s="13">
        <v>0.0</v>
      </c>
      <c r="X170" s="13">
        <v>0.0</v>
      </c>
      <c r="Y170" s="13">
        <v>0.0</v>
      </c>
      <c r="Z170" s="13">
        <v>0.0</v>
      </c>
      <c r="AA170" s="13">
        <v>0.0</v>
      </c>
      <c r="AB170" s="13">
        <v>0.0</v>
      </c>
      <c r="AC170" s="13">
        <v>0.0</v>
      </c>
      <c r="AD170" s="13">
        <v>0.0</v>
      </c>
      <c r="AE170" s="13">
        <v>0.0</v>
      </c>
      <c r="AF170" s="13">
        <v>0.0</v>
      </c>
      <c r="AG170" s="13">
        <v>0.0</v>
      </c>
      <c r="AH170" s="13">
        <v>0.0</v>
      </c>
      <c r="AI170" s="13">
        <v>0.0</v>
      </c>
      <c r="AJ170" s="13">
        <v>0.0</v>
      </c>
      <c r="AK170" s="13">
        <v>0.0</v>
      </c>
      <c r="AL170" s="13">
        <v>0.0</v>
      </c>
      <c r="AM170" s="13">
        <v>0.0</v>
      </c>
      <c r="AN170" s="13">
        <v>0.0</v>
      </c>
      <c r="AO170" s="13">
        <v>0.0</v>
      </c>
      <c r="AP170" s="13">
        <v>0.0</v>
      </c>
      <c r="AQ170" s="13">
        <v>0.0</v>
      </c>
      <c r="AR170" s="13">
        <v>0.0</v>
      </c>
      <c r="AS170" s="13">
        <v>0.0</v>
      </c>
      <c r="AT170" s="13">
        <v>0.0</v>
      </c>
      <c r="AU170" s="13">
        <v>0.0</v>
      </c>
      <c r="AV170" s="13">
        <v>0.0</v>
      </c>
      <c r="AW170" s="13">
        <v>15.0</v>
      </c>
      <c r="AX170" s="13">
        <v>0.0</v>
      </c>
      <c r="AY170" s="13">
        <v>22.0</v>
      </c>
      <c r="AZ170" s="13">
        <v>1.0</v>
      </c>
      <c r="BA170" s="13">
        <v>0.0</v>
      </c>
      <c r="BB170" s="13">
        <v>0.0</v>
      </c>
      <c r="BC170" s="13">
        <v>0.0</v>
      </c>
      <c r="BD170" s="13">
        <v>0.0</v>
      </c>
      <c r="BE170" s="13">
        <v>0.0</v>
      </c>
      <c r="BF170" s="13">
        <v>0.0</v>
      </c>
      <c r="BG170" s="13">
        <v>0.0</v>
      </c>
      <c r="BH170">
        <f>SUM(L170:BG170)</f>
        <v>38</v>
      </c>
      <c r="BI170" s="13" t="s">
        <v>2334</v>
      </c>
    </row>
    <row r="171" ht="36.75" customHeight="1">
      <c r="A171" s="11">
        <v>42774.0</v>
      </c>
      <c r="B171" s="13" t="s">
        <v>2335</v>
      </c>
      <c r="C171" s="16" t="s">
        <v>612</v>
      </c>
      <c r="D171" s="13" t="s">
        <v>2336</v>
      </c>
      <c r="E171" s="26" t="s">
        <v>615</v>
      </c>
      <c r="F171" s="13">
        <v>26.70887</v>
      </c>
      <c r="G171" s="13">
        <v>-80.03314</v>
      </c>
      <c r="H171" s="13">
        <v>26.6572</v>
      </c>
      <c r="I171" s="14">
        <v>-80.03656</v>
      </c>
      <c r="J171" s="13" t="s">
        <v>2337</v>
      </c>
      <c r="K171" s="13" t="s">
        <v>2338</v>
      </c>
      <c r="L171" s="13">
        <v>0.0</v>
      </c>
      <c r="M171" s="13">
        <v>0.0</v>
      </c>
      <c r="N171" s="13">
        <v>0.0</v>
      </c>
      <c r="O171" s="13">
        <v>0.0</v>
      </c>
      <c r="P171" s="13">
        <v>0.0</v>
      </c>
      <c r="Q171" s="13">
        <v>0.0</v>
      </c>
      <c r="R171" s="13">
        <v>0.0</v>
      </c>
      <c r="S171" s="13">
        <v>0.0</v>
      </c>
      <c r="T171" s="13">
        <v>0.0</v>
      </c>
      <c r="U171" s="13">
        <v>0.0</v>
      </c>
      <c r="V171" s="13">
        <v>0.0</v>
      </c>
      <c r="W171" s="13">
        <v>0.0</v>
      </c>
      <c r="X171" s="13">
        <v>0.0</v>
      </c>
      <c r="Y171" s="13">
        <v>0.0</v>
      </c>
      <c r="Z171" s="13">
        <v>88.0</v>
      </c>
      <c r="AA171" s="13">
        <v>0.0</v>
      </c>
      <c r="AB171" s="13">
        <v>0.0</v>
      </c>
      <c r="AC171" s="13">
        <v>0.0</v>
      </c>
      <c r="AD171" s="13">
        <v>0.0</v>
      </c>
      <c r="AE171" s="13">
        <v>0.0</v>
      </c>
      <c r="AF171" s="13">
        <v>0.0</v>
      </c>
      <c r="AG171" s="13">
        <v>0.0</v>
      </c>
      <c r="AH171" s="13">
        <v>0.0</v>
      </c>
      <c r="AI171" s="13">
        <v>0.0</v>
      </c>
      <c r="AJ171" s="13">
        <v>0.0</v>
      </c>
      <c r="AK171" s="13">
        <v>0.0</v>
      </c>
      <c r="AL171" s="13">
        <v>0.0</v>
      </c>
      <c r="AM171" s="13">
        <v>0.0</v>
      </c>
      <c r="AN171" s="13">
        <v>0.0</v>
      </c>
      <c r="AO171" s="13">
        <v>0.0</v>
      </c>
      <c r="AP171" s="13">
        <v>0.0</v>
      </c>
      <c r="AQ171" s="13">
        <v>0.0</v>
      </c>
      <c r="AR171" s="13">
        <v>0.0</v>
      </c>
      <c r="AS171" s="13">
        <v>0.0</v>
      </c>
      <c r="AT171" s="13">
        <v>0.0</v>
      </c>
      <c r="AU171" s="13">
        <v>0.0</v>
      </c>
      <c r="AV171" s="13">
        <v>0.0</v>
      </c>
      <c r="AW171" s="13">
        <v>11.0</v>
      </c>
      <c r="AX171" s="13">
        <v>1.0</v>
      </c>
      <c r="AY171" s="13">
        <v>21.0</v>
      </c>
      <c r="AZ171" s="13">
        <v>23.0</v>
      </c>
      <c r="BA171" s="13">
        <v>0.0</v>
      </c>
      <c r="BB171" s="13">
        <v>0.0</v>
      </c>
      <c r="BC171" s="13">
        <v>0.0</v>
      </c>
      <c r="BD171" s="13">
        <v>0.0</v>
      </c>
      <c r="BE171" s="13">
        <v>0.0</v>
      </c>
      <c r="BF171" s="13">
        <v>0.0</v>
      </c>
      <c r="BG171" s="13">
        <v>0.0</v>
      </c>
      <c r="BH171">
        <f>sum(L171:BG171)</f>
        <v>144</v>
      </c>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c r="CM171" s="13"/>
      <c r="CN171" s="13"/>
      <c r="CO171" s="13"/>
      <c r="CP171" s="13"/>
      <c r="CQ171" s="13"/>
      <c r="CR171" s="13"/>
      <c r="CS171" s="13"/>
      <c r="CT171" s="13"/>
      <c r="CU171" s="13"/>
      <c r="CV171" s="13"/>
      <c r="CW171" s="13"/>
      <c r="CX171" s="13"/>
      <c r="CY171" s="13"/>
      <c r="CZ171" s="13"/>
      <c r="DA171" s="13"/>
      <c r="DB171" s="13"/>
      <c r="DC171" s="13"/>
      <c r="DD171" s="13"/>
      <c r="DE171" s="13"/>
      <c r="DF171" s="13"/>
      <c r="DG171" s="13"/>
      <c r="DH171" s="13"/>
      <c r="DI171" s="13"/>
      <c r="DJ171" s="13"/>
      <c r="DK171" s="13"/>
      <c r="DL171" s="13"/>
      <c r="DM171" s="13"/>
      <c r="DN171" s="13"/>
      <c r="DO171" s="13"/>
      <c r="DP171" s="13"/>
      <c r="DQ171" s="13"/>
      <c r="DR171" s="13"/>
      <c r="DS171" s="13"/>
      <c r="DT171" s="13"/>
      <c r="DU171" s="13"/>
      <c r="DV171" s="13"/>
      <c r="DW171" s="13"/>
    </row>
    <row r="172" ht="36.75" customHeight="1">
      <c r="A172" s="45">
        <v>42774.0</v>
      </c>
      <c r="B172" s="13" t="s">
        <v>2158</v>
      </c>
      <c r="C172" s="13" t="s">
        <v>2349</v>
      </c>
      <c r="D172" s="13" t="s">
        <v>2160</v>
      </c>
      <c r="E172" s="26" t="s">
        <v>615</v>
      </c>
      <c r="F172" s="16">
        <v>26.675299</v>
      </c>
      <c r="G172" s="13">
        <v>80.045256</v>
      </c>
      <c r="H172" s="13">
        <v>26.675634</v>
      </c>
      <c r="I172" s="14">
        <v>80.041207</v>
      </c>
      <c r="K172" s="13" t="s">
        <v>2351</v>
      </c>
      <c r="AN172" s="13">
        <v>2.0</v>
      </c>
    </row>
    <row r="173" ht="36.75" customHeight="1">
      <c r="A173" s="45">
        <v>42774.0</v>
      </c>
      <c r="B173" s="13" t="s">
        <v>1462</v>
      </c>
      <c r="C173" s="13" t="s">
        <v>1463</v>
      </c>
      <c r="D173" s="13" t="s">
        <v>2162</v>
      </c>
      <c r="E173" s="31" t="s">
        <v>615</v>
      </c>
      <c r="F173" s="38" t="s">
        <v>2163</v>
      </c>
      <c r="G173" s="38" t="s">
        <v>2164</v>
      </c>
      <c r="H173" s="38" t="s">
        <v>2163</v>
      </c>
      <c r="I173" s="70" t="s">
        <v>2164</v>
      </c>
      <c r="J173" s="13" t="s">
        <v>2165</v>
      </c>
      <c r="K173" s="13" t="s">
        <v>1476</v>
      </c>
      <c r="Q173" s="13">
        <v>2.0</v>
      </c>
      <c r="AK173" s="13">
        <v>120.0</v>
      </c>
      <c r="AO173" s="13">
        <v>8.0</v>
      </c>
      <c r="AQ173" s="13">
        <v>36.0</v>
      </c>
      <c r="AR173" s="13">
        <v>20.0</v>
      </c>
      <c r="BF173" s="13">
        <v>10.0</v>
      </c>
    </row>
    <row r="174" ht="36.75" customHeight="1">
      <c r="A174" s="41">
        <v>42775.0</v>
      </c>
      <c r="B174" s="16" t="s">
        <v>2169</v>
      </c>
      <c r="C174" s="16" t="s">
        <v>2170</v>
      </c>
      <c r="D174" s="16" t="s">
        <v>2171</v>
      </c>
      <c r="E174" s="34" t="s">
        <v>615</v>
      </c>
      <c r="F174" s="16">
        <v>26.33551</v>
      </c>
      <c r="G174" s="16">
        <v>-80.07129</v>
      </c>
      <c r="H174" s="13">
        <v>26.32096</v>
      </c>
      <c r="I174" s="13">
        <v>-80.07543</v>
      </c>
      <c r="J174" s="13" t="s">
        <v>2172</v>
      </c>
      <c r="K174" s="13" t="s">
        <v>2173</v>
      </c>
      <c r="L174" s="13">
        <v>0.0</v>
      </c>
      <c r="M174" s="13">
        <v>0.0</v>
      </c>
      <c r="N174" s="13">
        <v>0.0</v>
      </c>
      <c r="O174" s="13">
        <v>0.0</v>
      </c>
      <c r="P174" s="13">
        <v>0.0</v>
      </c>
      <c r="Q174" s="13">
        <v>0.0</v>
      </c>
      <c r="R174" s="13">
        <v>0.0</v>
      </c>
      <c r="S174" s="13">
        <v>0.0</v>
      </c>
      <c r="T174" s="13">
        <v>0.0</v>
      </c>
      <c r="U174" s="13">
        <v>0.0</v>
      </c>
      <c r="V174" s="13">
        <v>0.0</v>
      </c>
      <c r="W174" s="13">
        <v>0.0</v>
      </c>
      <c r="X174" s="13">
        <v>0.0</v>
      </c>
      <c r="Y174" s="13">
        <v>2.0</v>
      </c>
      <c r="Z174" s="13">
        <v>23.0</v>
      </c>
      <c r="AA174" s="13">
        <v>0.0</v>
      </c>
      <c r="AB174" s="13">
        <v>0.0</v>
      </c>
      <c r="AC174" s="13">
        <v>0.0</v>
      </c>
      <c r="AD174" s="13">
        <v>0.0</v>
      </c>
      <c r="AE174" s="13">
        <v>0.0</v>
      </c>
      <c r="AF174" s="13">
        <v>0.0</v>
      </c>
      <c r="AG174" s="13">
        <v>0.0</v>
      </c>
      <c r="AH174" s="13">
        <v>0.0</v>
      </c>
      <c r="AI174" s="13">
        <v>0.0</v>
      </c>
      <c r="AJ174" s="13">
        <v>0.0</v>
      </c>
      <c r="AK174" s="13">
        <v>0.0</v>
      </c>
      <c r="AL174" s="13">
        <v>0.0</v>
      </c>
      <c r="AM174" s="13">
        <v>0.0</v>
      </c>
      <c r="AN174" s="13">
        <v>0.0</v>
      </c>
      <c r="AO174" s="13">
        <v>0.0</v>
      </c>
      <c r="AP174" s="13">
        <v>0.0</v>
      </c>
      <c r="AQ174" s="13">
        <v>0.0</v>
      </c>
      <c r="AR174" s="13">
        <v>0.0</v>
      </c>
      <c r="AS174" s="13">
        <v>0.0</v>
      </c>
      <c r="AT174" s="13">
        <v>0.0</v>
      </c>
      <c r="AU174" s="13">
        <v>0.0</v>
      </c>
      <c r="AV174" s="13">
        <v>0.0</v>
      </c>
      <c r="AW174" s="13">
        <v>17.0</v>
      </c>
      <c r="AX174" s="13">
        <v>0.0</v>
      </c>
      <c r="AY174" s="13">
        <v>21.0</v>
      </c>
      <c r="AZ174" s="13">
        <v>4.0</v>
      </c>
      <c r="BA174" s="13">
        <v>0.0</v>
      </c>
      <c r="BB174" s="13">
        <v>0.0</v>
      </c>
      <c r="BC174" s="13">
        <v>0.0</v>
      </c>
      <c r="BD174" s="13">
        <v>0.0</v>
      </c>
      <c r="BE174" s="13">
        <v>0.0</v>
      </c>
      <c r="BF174" s="13">
        <v>0.0</v>
      </c>
      <c r="BG174" s="13">
        <v>0.0</v>
      </c>
      <c r="BH174">
        <f>SUM(L174:BG174)</f>
        <v>67</v>
      </c>
      <c r="BI174" s="13" t="s">
        <v>2366</v>
      </c>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c r="CM174" s="13"/>
      <c r="CN174" s="13"/>
      <c r="CO174" s="13"/>
      <c r="CP174" s="13"/>
      <c r="CQ174" s="13"/>
      <c r="CR174" s="13"/>
      <c r="CS174" s="13"/>
      <c r="CT174" s="13"/>
      <c r="CU174" s="13"/>
      <c r="CV174" s="13"/>
      <c r="CW174" s="13"/>
      <c r="CX174" s="13"/>
      <c r="CY174" s="13"/>
      <c r="CZ174" s="13"/>
      <c r="DA174" s="13"/>
      <c r="DB174" s="13"/>
      <c r="DC174" s="13"/>
      <c r="DD174" s="13"/>
      <c r="DE174" s="13"/>
      <c r="DF174" s="13"/>
      <c r="DG174" s="13"/>
      <c r="DH174" s="13"/>
      <c r="DI174" s="13"/>
      <c r="DJ174" s="13"/>
      <c r="DK174" s="13"/>
      <c r="DL174" s="13"/>
      <c r="DM174" s="13"/>
      <c r="DN174" s="13"/>
      <c r="DO174" s="13"/>
      <c r="DP174" s="13"/>
      <c r="DQ174" s="13"/>
      <c r="DR174" s="13"/>
      <c r="DS174" s="13"/>
      <c r="DT174" s="13"/>
      <c r="DU174" s="13"/>
      <c r="DV174" s="13"/>
      <c r="DW174" s="13"/>
    </row>
    <row r="175" ht="36.75" customHeight="1">
      <c r="A175" s="43">
        <v>42775.0</v>
      </c>
      <c r="B175" s="16" t="s">
        <v>610</v>
      </c>
      <c r="C175" s="16" t="s">
        <v>612</v>
      </c>
      <c r="D175" s="16" t="s">
        <v>614</v>
      </c>
      <c r="E175" s="26" t="s">
        <v>615</v>
      </c>
      <c r="F175" s="16">
        <v>26.77131</v>
      </c>
      <c r="G175" s="16">
        <v>-80.03461</v>
      </c>
      <c r="H175" s="13">
        <v>26.71163</v>
      </c>
      <c r="I175" s="13">
        <v>-80.3351</v>
      </c>
      <c r="J175" s="13" t="s">
        <v>2174</v>
      </c>
      <c r="K175" s="13" t="s">
        <v>2175</v>
      </c>
      <c r="L175" s="13">
        <v>0.0</v>
      </c>
      <c r="M175" s="13">
        <v>0.0</v>
      </c>
      <c r="N175" s="13">
        <v>0.0</v>
      </c>
      <c r="O175" s="13">
        <v>0.0</v>
      </c>
      <c r="P175" s="13">
        <v>0.0</v>
      </c>
      <c r="Q175" s="13">
        <v>0.0</v>
      </c>
      <c r="R175" s="13">
        <v>0.0</v>
      </c>
      <c r="S175" s="13">
        <v>0.0</v>
      </c>
      <c r="T175" s="13">
        <v>0.0</v>
      </c>
      <c r="U175" s="13">
        <v>0.0</v>
      </c>
      <c r="V175" s="13">
        <v>0.0</v>
      </c>
      <c r="W175" s="13">
        <v>0.0</v>
      </c>
      <c r="X175" s="13">
        <v>0.0</v>
      </c>
      <c r="Y175" s="13">
        <v>0.0</v>
      </c>
      <c r="Z175" s="13">
        <v>29.0</v>
      </c>
      <c r="AA175" s="13">
        <v>0.0</v>
      </c>
      <c r="AB175" s="13">
        <v>0.0</v>
      </c>
      <c r="AC175" s="13">
        <v>0.0</v>
      </c>
      <c r="AD175" s="13">
        <v>0.0</v>
      </c>
      <c r="AE175" s="13">
        <v>0.0</v>
      </c>
      <c r="AF175" s="13">
        <v>0.0</v>
      </c>
      <c r="AG175" s="13">
        <v>0.0</v>
      </c>
      <c r="AH175" s="13">
        <v>7.0</v>
      </c>
      <c r="AI175" s="13">
        <v>0.0</v>
      </c>
      <c r="AJ175" s="13">
        <v>0.0</v>
      </c>
      <c r="AK175" s="13">
        <v>0.0</v>
      </c>
      <c r="AL175" s="13">
        <v>0.0</v>
      </c>
      <c r="AM175" s="13">
        <v>0.0</v>
      </c>
      <c r="AN175" s="13">
        <v>0.0</v>
      </c>
      <c r="AO175" s="13">
        <v>0.0</v>
      </c>
      <c r="AP175" s="13">
        <v>0.0</v>
      </c>
      <c r="AQ175" s="13">
        <v>0.0</v>
      </c>
      <c r="AR175" s="13">
        <v>0.0</v>
      </c>
      <c r="AS175" s="13">
        <v>0.0</v>
      </c>
      <c r="AT175" s="13">
        <v>0.0</v>
      </c>
      <c r="AU175" s="13">
        <v>0.0</v>
      </c>
      <c r="AV175" s="13">
        <v>0.0</v>
      </c>
      <c r="AW175" s="13">
        <v>13.0</v>
      </c>
      <c r="AX175" s="13">
        <v>37.0</v>
      </c>
      <c r="AY175" s="13">
        <v>33.0</v>
      </c>
      <c r="AZ175" s="13">
        <v>42.0</v>
      </c>
      <c r="BA175" s="13">
        <v>0.0</v>
      </c>
      <c r="BB175" s="13">
        <v>0.0</v>
      </c>
      <c r="BC175" s="13">
        <v>0.0</v>
      </c>
      <c r="BD175" s="13">
        <v>0.0</v>
      </c>
      <c r="BE175" s="13">
        <v>0.0</v>
      </c>
      <c r="BF175" s="13">
        <v>0.0</v>
      </c>
      <c r="BG175" s="13">
        <v>0.0</v>
      </c>
      <c r="BH175">
        <f>sum(L175:BG175)</f>
        <v>161</v>
      </c>
    </row>
    <row r="176" ht="36.75" customHeight="1">
      <c r="A176" s="62">
        <v>42775.0</v>
      </c>
      <c r="B176" s="13" t="s">
        <v>2382</v>
      </c>
      <c r="C176" s="13" t="s">
        <v>760</v>
      </c>
      <c r="D176" s="13" t="s">
        <v>2383</v>
      </c>
      <c r="E176" s="26" t="s">
        <v>615</v>
      </c>
      <c r="F176" s="13">
        <v>26.6535</v>
      </c>
      <c r="G176" s="13">
        <v>-80.0414</v>
      </c>
      <c r="H176" s="13">
        <v>26.67828</v>
      </c>
      <c r="I176" s="14">
        <v>-80.044583</v>
      </c>
      <c r="J176" s="13" t="s">
        <v>2384</v>
      </c>
      <c r="L176" s="13">
        <v>0.0</v>
      </c>
      <c r="M176" s="13">
        <v>0.0</v>
      </c>
      <c r="N176" s="13">
        <v>0.0</v>
      </c>
      <c r="O176" s="13">
        <v>0.0</v>
      </c>
      <c r="P176" s="13">
        <v>0.0</v>
      </c>
      <c r="Q176" s="13">
        <v>0.0</v>
      </c>
      <c r="R176" s="13">
        <v>0.0</v>
      </c>
      <c r="S176" s="13">
        <v>0.0</v>
      </c>
      <c r="T176" s="13">
        <v>0.0</v>
      </c>
      <c r="U176" s="13">
        <v>0.0</v>
      </c>
      <c r="V176" s="13">
        <v>0.0</v>
      </c>
      <c r="W176" s="13">
        <v>0.0</v>
      </c>
      <c r="X176" s="13">
        <v>0.0</v>
      </c>
      <c r="Y176" s="13">
        <v>0.0</v>
      </c>
      <c r="Z176" s="13">
        <v>0.0</v>
      </c>
      <c r="AA176" s="13">
        <v>0.0</v>
      </c>
      <c r="AB176" s="13">
        <v>0.0</v>
      </c>
      <c r="AC176" s="13">
        <v>0.0</v>
      </c>
      <c r="AD176" s="13">
        <v>0.0</v>
      </c>
      <c r="AE176" s="13">
        <v>0.0</v>
      </c>
      <c r="AF176" s="13">
        <v>0.0</v>
      </c>
      <c r="AG176" s="13">
        <v>0.0</v>
      </c>
      <c r="AH176" s="13">
        <v>0.0</v>
      </c>
      <c r="AI176" s="13">
        <v>0.0</v>
      </c>
      <c r="AJ176" s="13">
        <v>0.0</v>
      </c>
      <c r="AK176" s="13">
        <v>0.0</v>
      </c>
      <c r="AL176" s="13">
        <v>0.0</v>
      </c>
      <c r="AM176" s="13">
        <v>0.0</v>
      </c>
      <c r="AN176" s="13">
        <v>1.0</v>
      </c>
      <c r="AO176" s="13">
        <v>0.0</v>
      </c>
      <c r="AP176" s="13">
        <v>0.0</v>
      </c>
      <c r="AQ176" s="13">
        <v>0.0</v>
      </c>
      <c r="AR176" s="13">
        <v>0.0</v>
      </c>
      <c r="AS176" s="13">
        <v>0.0</v>
      </c>
      <c r="AT176" s="13">
        <v>0.0</v>
      </c>
      <c r="AU176" s="13">
        <v>0.0</v>
      </c>
      <c r="AV176" s="13">
        <v>0.0</v>
      </c>
      <c r="AW176" s="13">
        <v>0.0</v>
      </c>
      <c r="AX176" s="13">
        <v>0.0</v>
      </c>
      <c r="AY176" s="13">
        <v>0.0</v>
      </c>
      <c r="AZ176" s="13">
        <v>0.0</v>
      </c>
      <c r="BA176" s="13">
        <v>0.0</v>
      </c>
      <c r="BB176" s="13">
        <v>0.0</v>
      </c>
      <c r="BC176" s="13">
        <v>0.0</v>
      </c>
      <c r="BD176" s="13">
        <v>0.0</v>
      </c>
      <c r="BE176" s="13">
        <v>0.0</v>
      </c>
      <c r="BF176" s="13">
        <v>0.0</v>
      </c>
      <c r="BG176" s="13">
        <v>0.0</v>
      </c>
      <c r="BH176" s="13">
        <v>1.0</v>
      </c>
    </row>
    <row r="177" ht="36.75" customHeight="1">
      <c r="A177" s="41">
        <v>42769.0</v>
      </c>
      <c r="B177" s="16" t="s">
        <v>193</v>
      </c>
      <c r="C177" s="16" t="s">
        <v>197</v>
      </c>
      <c r="D177" s="16" t="s">
        <v>198</v>
      </c>
      <c r="E177" s="26" t="s">
        <v>199</v>
      </c>
      <c r="F177" s="17">
        <v>28.21392</v>
      </c>
      <c r="G177" s="17">
        <v>-82.8466</v>
      </c>
      <c r="H177" s="13">
        <v>28.1761</v>
      </c>
      <c r="I177" s="14">
        <v>-82.8503</v>
      </c>
      <c r="J177" s="13" t="s">
        <v>565</v>
      </c>
      <c r="K177" s="13" t="s">
        <v>2178</v>
      </c>
      <c r="L177" s="13">
        <v>1.0</v>
      </c>
      <c r="M177" s="13">
        <v>0.0</v>
      </c>
      <c r="N177" s="13">
        <v>5.0</v>
      </c>
      <c r="O177" s="13">
        <v>0.0</v>
      </c>
      <c r="P177" s="13">
        <v>0.0</v>
      </c>
      <c r="Q177" s="13">
        <v>0.0</v>
      </c>
      <c r="R177" s="13">
        <v>0.0</v>
      </c>
      <c r="S177" s="13">
        <v>0.0</v>
      </c>
      <c r="T177" s="13">
        <v>0.0</v>
      </c>
      <c r="U177" s="13">
        <v>0.0</v>
      </c>
      <c r="V177" s="13">
        <v>0.0</v>
      </c>
      <c r="W177" s="13">
        <v>6.0</v>
      </c>
      <c r="X177" s="13">
        <v>7.0</v>
      </c>
      <c r="Y177" s="13">
        <v>20.0</v>
      </c>
      <c r="Z177" s="13">
        <v>60.0</v>
      </c>
      <c r="AA177" s="13">
        <v>2.0</v>
      </c>
      <c r="AB177" s="13">
        <v>0.0</v>
      </c>
      <c r="AC177" s="13">
        <v>0.0</v>
      </c>
      <c r="AD177" s="13">
        <v>3.0</v>
      </c>
      <c r="AE177" s="13">
        <v>0.0</v>
      </c>
      <c r="AF177" s="13">
        <v>0.0</v>
      </c>
      <c r="AG177" s="13">
        <v>0.0</v>
      </c>
      <c r="AH177" s="13">
        <v>2.0</v>
      </c>
      <c r="AI177" s="13">
        <v>0.0</v>
      </c>
      <c r="AJ177" s="13">
        <v>0.0</v>
      </c>
      <c r="AK177" s="13">
        <v>0.0</v>
      </c>
      <c r="AL177" s="13">
        <v>0.0</v>
      </c>
      <c r="AM177" s="13">
        <v>0.0</v>
      </c>
      <c r="AN177" s="13">
        <v>6.0</v>
      </c>
      <c r="AO177" s="13">
        <v>0.0</v>
      </c>
      <c r="AP177" s="13">
        <v>0.0</v>
      </c>
      <c r="AQ177" s="13">
        <v>0.0</v>
      </c>
      <c r="AR177" s="13">
        <v>45.0</v>
      </c>
      <c r="AS177" s="13">
        <v>0.0</v>
      </c>
      <c r="AT177" s="13">
        <v>0.0</v>
      </c>
      <c r="AU177" s="13">
        <v>0.0</v>
      </c>
      <c r="AV177" s="13">
        <v>2.0</v>
      </c>
      <c r="AW177" s="13">
        <v>29.0</v>
      </c>
      <c r="AX177" s="13">
        <v>0.0</v>
      </c>
      <c r="AY177" s="13">
        <v>7.0</v>
      </c>
      <c r="AZ177" s="13">
        <v>43.0</v>
      </c>
      <c r="BA177" s="13">
        <v>0.0</v>
      </c>
      <c r="BB177" s="13">
        <v>0.0</v>
      </c>
      <c r="BC177" s="13">
        <v>0.0</v>
      </c>
      <c r="BD177" s="13">
        <v>0.0</v>
      </c>
      <c r="BE177" s="13">
        <v>0.0</v>
      </c>
      <c r="BF177" s="13">
        <v>0.0</v>
      </c>
      <c r="BG177" s="13">
        <v>0.0</v>
      </c>
      <c r="BH177" s="13">
        <f t="shared" ref="BH177:BH180" si="25">sum(L177:BG177)</f>
        <v>238</v>
      </c>
    </row>
    <row r="178" ht="36.75" customHeight="1">
      <c r="A178" s="15">
        <v>42769.0</v>
      </c>
      <c r="B178" s="16" t="s">
        <v>193</v>
      </c>
      <c r="C178" s="16" t="s">
        <v>197</v>
      </c>
      <c r="D178" s="16" t="s">
        <v>2181</v>
      </c>
      <c r="E178" s="34" t="s">
        <v>199</v>
      </c>
      <c r="F178" s="17">
        <v>28.23475</v>
      </c>
      <c r="G178" s="17">
        <v>-82.83674</v>
      </c>
      <c r="H178" s="17">
        <v>28.23475</v>
      </c>
      <c r="I178" s="17">
        <v>-82.83674</v>
      </c>
      <c r="J178" s="13" t="s">
        <v>2182</v>
      </c>
      <c r="K178" s="13" t="s">
        <v>2183</v>
      </c>
      <c r="L178" s="13">
        <v>3.0</v>
      </c>
      <c r="M178" s="13">
        <v>0.0</v>
      </c>
      <c r="N178" s="13">
        <v>2.0</v>
      </c>
      <c r="O178" s="13">
        <v>0.0</v>
      </c>
      <c r="P178" s="13">
        <v>0.0</v>
      </c>
      <c r="Q178" s="13">
        <v>0.0</v>
      </c>
      <c r="R178" s="13">
        <v>0.0</v>
      </c>
      <c r="S178" s="13">
        <v>0.0</v>
      </c>
      <c r="T178" s="13">
        <v>0.0</v>
      </c>
      <c r="U178" s="13">
        <v>0.0</v>
      </c>
      <c r="V178" s="13">
        <v>0.0</v>
      </c>
      <c r="W178" s="13">
        <v>6.0</v>
      </c>
      <c r="X178" s="13">
        <v>0.0</v>
      </c>
      <c r="Y178" s="13">
        <v>2.0</v>
      </c>
      <c r="Z178" s="13">
        <v>19.0</v>
      </c>
      <c r="AA178" s="13">
        <v>0.0</v>
      </c>
      <c r="AB178" s="13">
        <v>0.0</v>
      </c>
      <c r="AC178" s="13">
        <v>0.0</v>
      </c>
      <c r="AD178" s="13">
        <v>8.0</v>
      </c>
      <c r="AE178" s="13">
        <v>0.0</v>
      </c>
      <c r="AF178" s="13">
        <v>0.0</v>
      </c>
      <c r="AG178" s="13">
        <v>0.0</v>
      </c>
      <c r="AH178" s="13">
        <v>0.0</v>
      </c>
      <c r="AI178" s="13">
        <v>0.0</v>
      </c>
      <c r="AJ178" s="13">
        <v>0.0</v>
      </c>
      <c r="AK178" s="13">
        <v>8.0</v>
      </c>
      <c r="AL178" s="13">
        <v>0.0</v>
      </c>
      <c r="AM178" s="13">
        <v>0.0</v>
      </c>
      <c r="AN178" s="13">
        <v>82.0</v>
      </c>
      <c r="AO178" s="13">
        <v>0.0</v>
      </c>
      <c r="AP178" s="13">
        <v>0.0</v>
      </c>
      <c r="AQ178" s="13">
        <v>400.0</v>
      </c>
      <c r="AR178" s="13">
        <v>45.0</v>
      </c>
      <c r="AS178" s="13">
        <v>0.0</v>
      </c>
      <c r="AT178" s="13">
        <v>0.0</v>
      </c>
      <c r="AU178" s="13">
        <v>0.0</v>
      </c>
      <c r="AV178" s="13">
        <v>12.0</v>
      </c>
      <c r="AW178" s="13">
        <v>190.0</v>
      </c>
      <c r="AX178" s="13">
        <v>0.0</v>
      </c>
      <c r="AY178" s="13">
        <v>6.0</v>
      </c>
      <c r="AZ178" s="13">
        <v>75.0</v>
      </c>
      <c r="BA178" s="13">
        <v>0.0</v>
      </c>
      <c r="BB178" s="13">
        <v>0.0</v>
      </c>
      <c r="BC178" s="13">
        <v>0.0</v>
      </c>
      <c r="BD178" s="13">
        <v>0.0</v>
      </c>
      <c r="BE178" s="13">
        <v>0.0</v>
      </c>
      <c r="BF178" s="13">
        <v>0.0</v>
      </c>
      <c r="BG178" s="13">
        <v>0.0</v>
      </c>
      <c r="BH178" s="13">
        <f t="shared" si="25"/>
        <v>858</v>
      </c>
      <c r="BI178" s="13" t="s">
        <v>2412</v>
      </c>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c r="CM178" s="13"/>
      <c r="CN178" s="13"/>
      <c r="CO178" s="13"/>
      <c r="CP178" s="13"/>
      <c r="CQ178" s="13"/>
      <c r="CR178" s="13"/>
      <c r="CS178" s="13"/>
      <c r="CT178" s="13"/>
      <c r="CU178" s="13"/>
      <c r="CV178" s="13"/>
      <c r="CW178" s="13"/>
      <c r="CX178" s="13"/>
      <c r="CY178" s="13"/>
      <c r="CZ178" s="13"/>
      <c r="DA178" s="13"/>
      <c r="DB178" s="13"/>
      <c r="DC178" s="13"/>
      <c r="DD178" s="13"/>
      <c r="DE178" s="13"/>
      <c r="DF178" s="13"/>
      <c r="DG178" s="13"/>
      <c r="DH178" s="13"/>
      <c r="DI178" s="13"/>
      <c r="DJ178" s="13"/>
      <c r="DK178" s="13"/>
      <c r="DL178" s="13"/>
      <c r="DM178" s="13"/>
      <c r="DN178" s="13"/>
      <c r="DO178" s="13"/>
      <c r="DP178" s="13"/>
      <c r="DQ178" s="13"/>
      <c r="DR178" s="13"/>
      <c r="DS178" s="13"/>
      <c r="DT178" s="13"/>
      <c r="DU178" s="13"/>
      <c r="DV178" s="13"/>
      <c r="DW178" s="13"/>
    </row>
    <row r="179" ht="36.75" customHeight="1">
      <c r="A179" s="68">
        <v>42769.0</v>
      </c>
      <c r="B179" s="34" t="s">
        <v>193</v>
      </c>
      <c r="C179" s="34" t="s">
        <v>197</v>
      </c>
      <c r="D179" s="34" t="s">
        <v>198</v>
      </c>
      <c r="E179" s="34" t="s">
        <v>199</v>
      </c>
      <c r="F179" s="97">
        <v>28.21392</v>
      </c>
      <c r="G179" s="97">
        <v>-82.8466</v>
      </c>
      <c r="H179" s="69">
        <v>28.1761</v>
      </c>
      <c r="I179" s="76">
        <v>-82.8503</v>
      </c>
      <c r="J179" s="26" t="s">
        <v>565</v>
      </c>
      <c r="K179" s="26" t="s">
        <v>2178</v>
      </c>
      <c r="L179" s="69">
        <v>1.0</v>
      </c>
      <c r="M179" s="69">
        <v>0.0</v>
      </c>
      <c r="N179" s="69">
        <v>5.0</v>
      </c>
      <c r="O179" s="69">
        <v>0.0</v>
      </c>
      <c r="P179" s="75">
        <v>0.0</v>
      </c>
      <c r="Q179" s="75">
        <v>0.0</v>
      </c>
      <c r="R179" s="75">
        <v>0.0</v>
      </c>
      <c r="S179" s="75">
        <v>0.0</v>
      </c>
      <c r="T179" s="75">
        <v>0.0</v>
      </c>
      <c r="U179" s="75">
        <v>0.0</v>
      </c>
      <c r="V179" s="75">
        <v>0.0</v>
      </c>
      <c r="W179" s="75">
        <v>6.0</v>
      </c>
      <c r="X179" s="75">
        <v>7.0</v>
      </c>
      <c r="Y179" s="75">
        <v>20.0</v>
      </c>
      <c r="Z179" s="69">
        <v>60.0</v>
      </c>
      <c r="AA179" s="75">
        <v>2.0</v>
      </c>
      <c r="AB179" s="75">
        <v>0.0</v>
      </c>
      <c r="AC179" s="75">
        <v>0.0</v>
      </c>
      <c r="AD179" s="75">
        <v>3.0</v>
      </c>
      <c r="AE179" s="75">
        <v>0.0</v>
      </c>
      <c r="AF179" s="75">
        <v>0.0</v>
      </c>
      <c r="AG179" s="75">
        <v>0.0</v>
      </c>
      <c r="AH179" s="69">
        <v>2.0</v>
      </c>
      <c r="AI179" s="75">
        <v>0.0</v>
      </c>
      <c r="AJ179" s="75">
        <v>0.0</v>
      </c>
      <c r="AK179" s="75">
        <v>0.0</v>
      </c>
      <c r="AL179" s="75">
        <v>0.0</v>
      </c>
      <c r="AM179" s="75">
        <v>0.0</v>
      </c>
      <c r="AN179" s="69">
        <v>6.0</v>
      </c>
      <c r="AO179" s="75">
        <v>0.0</v>
      </c>
      <c r="AP179" s="75">
        <v>0.0</v>
      </c>
      <c r="AQ179" s="75">
        <v>0.0</v>
      </c>
      <c r="AR179" s="75">
        <v>45.0</v>
      </c>
      <c r="AS179" s="75">
        <v>0.0</v>
      </c>
      <c r="AT179" s="75">
        <v>0.0</v>
      </c>
      <c r="AU179" s="75">
        <v>0.0</v>
      </c>
      <c r="AV179" s="75">
        <v>2.0</v>
      </c>
      <c r="AW179" s="69">
        <v>29.0</v>
      </c>
      <c r="AX179" s="75">
        <v>0.0</v>
      </c>
      <c r="AY179" s="75">
        <v>7.0</v>
      </c>
      <c r="AZ179" s="69">
        <v>43.0</v>
      </c>
      <c r="BA179" s="75">
        <v>0.0</v>
      </c>
      <c r="BB179" s="75">
        <v>0.0</v>
      </c>
      <c r="BC179" s="75">
        <v>0.0</v>
      </c>
      <c r="BD179" s="75">
        <v>0.0</v>
      </c>
      <c r="BE179" s="75">
        <v>0.0</v>
      </c>
      <c r="BF179" s="75">
        <v>0.0</v>
      </c>
      <c r="BG179" s="75">
        <v>0.0</v>
      </c>
      <c r="BH179" s="13">
        <f t="shared" si="25"/>
        <v>238</v>
      </c>
      <c r="BI179" s="38"/>
    </row>
    <row r="180" ht="36.75" customHeight="1">
      <c r="A180" s="102">
        <v>42769.0</v>
      </c>
      <c r="B180" s="34" t="s">
        <v>193</v>
      </c>
      <c r="C180" s="34" t="s">
        <v>197</v>
      </c>
      <c r="D180" s="34" t="s">
        <v>2181</v>
      </c>
      <c r="E180" s="34" t="s">
        <v>199</v>
      </c>
      <c r="F180" s="97">
        <v>28.23475</v>
      </c>
      <c r="G180" s="97">
        <v>-82.83674</v>
      </c>
      <c r="H180" s="97">
        <v>28.23475</v>
      </c>
      <c r="I180" s="97">
        <v>-82.83674</v>
      </c>
      <c r="J180" s="26" t="s">
        <v>2182</v>
      </c>
      <c r="K180" s="26" t="s">
        <v>2183</v>
      </c>
      <c r="L180" s="69">
        <v>3.0</v>
      </c>
      <c r="M180" s="69">
        <v>0.0</v>
      </c>
      <c r="N180" s="69">
        <v>2.0</v>
      </c>
      <c r="O180" s="69">
        <v>0.0</v>
      </c>
      <c r="P180" s="75">
        <v>0.0</v>
      </c>
      <c r="Q180" s="75">
        <v>0.0</v>
      </c>
      <c r="R180" s="75">
        <v>0.0</v>
      </c>
      <c r="S180" s="75">
        <v>0.0</v>
      </c>
      <c r="T180" s="75">
        <v>0.0</v>
      </c>
      <c r="U180" s="75">
        <v>0.0</v>
      </c>
      <c r="V180" s="75">
        <v>0.0</v>
      </c>
      <c r="W180" s="75">
        <v>6.0</v>
      </c>
      <c r="X180" s="75">
        <v>0.0</v>
      </c>
      <c r="Y180" s="69">
        <v>2.0</v>
      </c>
      <c r="Z180" s="69">
        <v>19.0</v>
      </c>
      <c r="AA180" s="75">
        <v>0.0</v>
      </c>
      <c r="AB180" s="75">
        <v>0.0</v>
      </c>
      <c r="AC180" s="75">
        <v>0.0</v>
      </c>
      <c r="AD180" s="75">
        <v>8.0</v>
      </c>
      <c r="AE180" s="75">
        <v>0.0</v>
      </c>
      <c r="AF180" s="75">
        <v>0.0</v>
      </c>
      <c r="AG180" s="75">
        <v>0.0</v>
      </c>
      <c r="AH180" s="69">
        <v>0.0</v>
      </c>
      <c r="AI180" s="75">
        <v>0.0</v>
      </c>
      <c r="AJ180" s="75">
        <v>0.0</v>
      </c>
      <c r="AK180" s="69">
        <v>8.0</v>
      </c>
      <c r="AL180" s="75">
        <v>0.0</v>
      </c>
      <c r="AM180" s="75">
        <v>0.0</v>
      </c>
      <c r="AN180" s="69">
        <v>82.0</v>
      </c>
      <c r="AO180" s="75">
        <v>0.0</v>
      </c>
      <c r="AP180" s="75">
        <v>0.0</v>
      </c>
      <c r="AQ180" s="75">
        <v>400.0</v>
      </c>
      <c r="AR180" s="75">
        <v>45.0</v>
      </c>
      <c r="AS180" s="75">
        <v>0.0</v>
      </c>
      <c r="AT180" s="75">
        <v>0.0</v>
      </c>
      <c r="AU180" s="75">
        <v>0.0</v>
      </c>
      <c r="AV180" s="75">
        <v>12.0</v>
      </c>
      <c r="AW180" s="75">
        <v>190.0</v>
      </c>
      <c r="AX180" s="75">
        <v>0.0</v>
      </c>
      <c r="AY180" s="69">
        <v>6.0</v>
      </c>
      <c r="AZ180" s="69">
        <v>75.0</v>
      </c>
      <c r="BA180" s="75">
        <v>0.0</v>
      </c>
      <c r="BB180" s="75">
        <v>0.0</v>
      </c>
      <c r="BC180" s="75">
        <v>0.0</v>
      </c>
      <c r="BD180" s="75">
        <v>0.0</v>
      </c>
      <c r="BE180" s="75">
        <v>0.0</v>
      </c>
      <c r="BF180" s="75">
        <v>0.0</v>
      </c>
      <c r="BG180" s="75">
        <v>0.0</v>
      </c>
      <c r="BH180" s="13">
        <f t="shared" si="25"/>
        <v>858</v>
      </c>
      <c r="BI180" s="38" t="s">
        <v>2412</v>
      </c>
    </row>
    <row r="181" ht="36.75" customHeight="1">
      <c r="A181" s="41">
        <v>42772.0</v>
      </c>
      <c r="B181" s="16" t="s">
        <v>2193</v>
      </c>
      <c r="C181" s="16" t="s">
        <v>2194</v>
      </c>
      <c r="D181" s="16" t="s">
        <v>2195</v>
      </c>
      <c r="E181" s="26" t="s">
        <v>199</v>
      </c>
      <c r="F181" s="16">
        <v>28.175745</v>
      </c>
      <c r="G181" s="16">
        <v>-82.787132</v>
      </c>
      <c r="H181" s="13">
        <v>28.405353</v>
      </c>
      <c r="I181" s="13">
        <v>-82.672634</v>
      </c>
      <c r="J181" s="13" t="s">
        <v>2442</v>
      </c>
      <c r="K181" s="13" t="s">
        <v>2443</v>
      </c>
      <c r="L181" s="13">
        <v>0.0</v>
      </c>
      <c r="M181" s="13">
        <v>0.0</v>
      </c>
      <c r="N181" s="13">
        <v>0.0</v>
      </c>
      <c r="O181" s="13">
        <v>81.0</v>
      </c>
      <c r="P181" s="13">
        <v>1.0</v>
      </c>
      <c r="Q181" s="13">
        <v>13.0</v>
      </c>
      <c r="R181" s="13">
        <v>30.0</v>
      </c>
      <c r="S181" s="13">
        <v>0.0</v>
      </c>
      <c r="T181" s="13">
        <v>0.0</v>
      </c>
      <c r="U181" s="13">
        <v>1.0</v>
      </c>
      <c r="V181" s="13">
        <v>0.0</v>
      </c>
      <c r="W181" s="13">
        <v>0.0</v>
      </c>
      <c r="X181" s="13">
        <v>0.0</v>
      </c>
      <c r="Y181" s="13">
        <v>15.0</v>
      </c>
      <c r="Z181" s="13">
        <v>0.0</v>
      </c>
      <c r="AA181" s="13">
        <v>10.0</v>
      </c>
      <c r="AB181" s="13">
        <v>0.0</v>
      </c>
      <c r="AC181" s="13">
        <v>0.0</v>
      </c>
      <c r="AD181" s="13">
        <v>0.0</v>
      </c>
      <c r="AE181" s="13">
        <v>4.0</v>
      </c>
      <c r="AF181" s="13">
        <v>0.0</v>
      </c>
      <c r="AG181" s="13">
        <v>0.0</v>
      </c>
      <c r="AH181" s="13">
        <v>66.0</v>
      </c>
      <c r="AI181" s="13">
        <v>0.0</v>
      </c>
      <c r="AJ181" s="13">
        <v>2.0</v>
      </c>
      <c r="AK181" s="13">
        <v>1.0</v>
      </c>
      <c r="AL181" s="13">
        <v>1.0</v>
      </c>
      <c r="AM181" s="13">
        <v>0.0</v>
      </c>
      <c r="AN181" s="13">
        <v>87.0</v>
      </c>
      <c r="AO181" s="13">
        <v>2.0</v>
      </c>
      <c r="AP181" s="13">
        <v>0.0</v>
      </c>
      <c r="AQ181" s="13">
        <v>1598.0</v>
      </c>
      <c r="AR181" s="13">
        <v>5.0</v>
      </c>
      <c r="AS181" s="13">
        <v>0.0</v>
      </c>
      <c r="AT181" s="13">
        <v>0.0</v>
      </c>
      <c r="AU181" s="13">
        <v>0.0</v>
      </c>
      <c r="AV181" s="13">
        <v>9.0</v>
      </c>
      <c r="AW181" s="13">
        <v>532.0</v>
      </c>
      <c r="AX181" s="13">
        <v>0.0</v>
      </c>
      <c r="AY181" s="13">
        <v>159.0</v>
      </c>
      <c r="AZ181" s="13">
        <v>17.0</v>
      </c>
      <c r="BA181" s="13">
        <v>0.0</v>
      </c>
      <c r="BB181" s="13">
        <v>0.0</v>
      </c>
      <c r="BC181" s="13">
        <v>0.0</v>
      </c>
      <c r="BD181" s="13">
        <v>0.0</v>
      </c>
      <c r="BE181" s="13">
        <v>0.0</v>
      </c>
      <c r="BF181" s="13">
        <v>0.0</v>
      </c>
      <c r="BG181" s="13">
        <v>0.0</v>
      </c>
      <c r="BH181" s="13">
        <v>2632.0</v>
      </c>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c r="CM181" s="13"/>
      <c r="CN181" s="13"/>
      <c r="CO181" s="13"/>
      <c r="CP181" s="13"/>
      <c r="CQ181" s="13"/>
      <c r="CR181" s="13"/>
      <c r="CS181" s="13"/>
      <c r="CT181" s="13"/>
      <c r="CU181" s="13"/>
      <c r="CV181" s="13"/>
      <c r="CW181" s="13"/>
      <c r="CX181" s="13"/>
      <c r="CY181" s="13"/>
      <c r="CZ181" s="13"/>
      <c r="DA181" s="13"/>
      <c r="DB181" s="13"/>
      <c r="DC181" s="13"/>
      <c r="DD181" s="13"/>
      <c r="DE181" s="13"/>
      <c r="DF181" s="13"/>
      <c r="DG181" s="13"/>
      <c r="DH181" s="13"/>
      <c r="DI181" s="13"/>
      <c r="DJ181" s="13"/>
      <c r="DK181" s="13"/>
      <c r="DL181" s="13"/>
      <c r="DM181" s="13"/>
      <c r="DN181" s="13"/>
      <c r="DO181" s="13"/>
      <c r="DP181" s="13"/>
      <c r="DQ181" s="13"/>
      <c r="DR181" s="13"/>
      <c r="DS181" s="13"/>
      <c r="DT181" s="13"/>
      <c r="DU181" s="13"/>
      <c r="DV181" s="13"/>
      <c r="DW181" s="13"/>
    </row>
    <row r="182" ht="36.75" customHeight="1">
      <c r="A182" s="11">
        <v>42769.0</v>
      </c>
      <c r="B182" s="13" t="s">
        <v>1007</v>
      </c>
      <c r="C182" s="13" t="s">
        <v>1008</v>
      </c>
      <c r="D182" s="13" t="s">
        <v>1009</v>
      </c>
      <c r="E182" s="26" t="s">
        <v>244</v>
      </c>
      <c r="F182" s="13">
        <v>28.15709</v>
      </c>
      <c r="G182" s="13">
        <v>-82.83643</v>
      </c>
      <c r="H182" s="13">
        <v>28.1761</v>
      </c>
      <c r="I182" s="14">
        <v>-82.8503</v>
      </c>
      <c r="J182" s="13" t="s">
        <v>2251</v>
      </c>
      <c r="K182" s="13" t="s">
        <v>2252</v>
      </c>
      <c r="L182" s="105">
        <v>1.0</v>
      </c>
      <c r="M182" s="33"/>
      <c r="N182" s="31">
        <v>22.0</v>
      </c>
      <c r="O182" s="31">
        <v>89.0</v>
      </c>
      <c r="P182" s="31">
        <v>0.0</v>
      </c>
      <c r="Q182" s="31">
        <v>0.0</v>
      </c>
      <c r="R182" s="31">
        <v>3.0</v>
      </c>
      <c r="S182" s="31">
        <v>4.0</v>
      </c>
      <c r="T182" s="31">
        <v>0.0</v>
      </c>
      <c r="U182" s="31">
        <v>0.0</v>
      </c>
      <c r="V182" s="31">
        <v>0.0</v>
      </c>
      <c r="W182" s="31">
        <v>18.0</v>
      </c>
      <c r="X182" s="31">
        <v>0.0</v>
      </c>
      <c r="Y182" s="31">
        <v>20.0</v>
      </c>
      <c r="Z182" s="31">
        <v>144.0</v>
      </c>
      <c r="AA182" s="31">
        <v>9.0</v>
      </c>
      <c r="AB182" s="31">
        <v>0.0</v>
      </c>
      <c r="AC182" s="31">
        <v>16.0</v>
      </c>
      <c r="AD182" s="31">
        <v>8.0</v>
      </c>
      <c r="AE182" s="31">
        <v>0.0</v>
      </c>
      <c r="AF182" s="31">
        <v>16.0</v>
      </c>
      <c r="AG182" s="31">
        <v>0.0</v>
      </c>
      <c r="AH182" s="31">
        <v>2.0</v>
      </c>
      <c r="AI182" s="31">
        <v>3.0</v>
      </c>
      <c r="AJ182" s="31">
        <v>0.0</v>
      </c>
      <c r="AK182" s="31">
        <v>220.0</v>
      </c>
      <c r="AL182" s="31">
        <v>0.0</v>
      </c>
      <c r="AM182" s="31">
        <v>0.0</v>
      </c>
      <c r="AN182" s="31">
        <v>6.0</v>
      </c>
      <c r="AO182" s="31">
        <v>2.0</v>
      </c>
      <c r="AP182" s="31">
        <v>0.0</v>
      </c>
      <c r="AQ182" s="31">
        <v>84.0</v>
      </c>
      <c r="AR182" s="31">
        <v>0.0</v>
      </c>
      <c r="AS182" s="31">
        <v>0.0</v>
      </c>
      <c r="AT182" s="31">
        <v>0.0</v>
      </c>
      <c r="AU182" s="31">
        <v>0.0</v>
      </c>
      <c r="AV182" s="31">
        <v>6.0</v>
      </c>
      <c r="AW182" s="31">
        <v>80.0</v>
      </c>
      <c r="AX182" s="31">
        <v>0.0</v>
      </c>
      <c r="AY182" s="31">
        <v>15.0</v>
      </c>
      <c r="AZ182" s="31">
        <v>21.0</v>
      </c>
      <c r="BA182" s="31">
        <v>1.0</v>
      </c>
      <c r="BB182" s="31">
        <v>0.0</v>
      </c>
      <c r="BC182" s="31">
        <v>0.0</v>
      </c>
      <c r="BD182" s="31">
        <v>0.0</v>
      </c>
      <c r="BE182" s="31">
        <v>0.0</v>
      </c>
      <c r="BF182" s="31">
        <v>0.0</v>
      </c>
      <c r="BG182" s="31">
        <v>80.0</v>
      </c>
      <c r="BH182" s="13">
        <f t="shared" ref="BH182:BH199" si="26">sum(L182:BG182)</f>
        <v>870</v>
      </c>
      <c r="BI182" s="31"/>
      <c r="BJ182" s="31"/>
      <c r="BK182" s="31"/>
      <c r="BL182" s="31"/>
      <c r="BM182" s="31"/>
      <c r="BN182" s="31"/>
      <c r="BO182" s="31"/>
      <c r="BP182" s="31"/>
      <c r="BQ182" s="31"/>
      <c r="BR182" s="31"/>
      <c r="BS182" s="31"/>
      <c r="BT182" s="31"/>
      <c r="BU182" s="31"/>
      <c r="BV182" s="31"/>
      <c r="BW182" s="31"/>
      <c r="BX182" s="31"/>
      <c r="BY182" s="31"/>
      <c r="BZ182" s="31"/>
      <c r="CA182" s="31"/>
      <c r="CB182" s="31"/>
      <c r="CC182" s="31"/>
      <c r="CD182" s="31"/>
      <c r="CE182" s="31"/>
      <c r="CF182" s="31"/>
      <c r="CG182" s="31"/>
      <c r="CH182" s="31"/>
      <c r="CI182" s="31"/>
      <c r="CJ182" s="31"/>
      <c r="CK182" s="31"/>
      <c r="CL182" s="31"/>
      <c r="CM182" s="31"/>
      <c r="CN182" s="31"/>
      <c r="CO182" s="31"/>
      <c r="CP182" s="31"/>
      <c r="CQ182" s="31"/>
      <c r="CR182" s="31"/>
      <c r="CS182" s="31"/>
      <c r="CT182" s="31"/>
      <c r="CU182" s="31"/>
      <c r="CV182" s="31"/>
      <c r="CW182" s="31"/>
      <c r="CX182" s="31"/>
      <c r="CY182" s="31"/>
      <c r="CZ182" s="31"/>
      <c r="DA182" s="31"/>
      <c r="DB182" s="31"/>
      <c r="DC182" s="31"/>
      <c r="DD182" s="31"/>
      <c r="DE182" s="31"/>
      <c r="DF182" s="31"/>
      <c r="DG182" s="31"/>
      <c r="DH182" s="31"/>
      <c r="DI182" s="31"/>
      <c r="DJ182" s="31"/>
      <c r="DK182" s="31"/>
      <c r="DL182" s="31"/>
      <c r="DM182" s="31"/>
      <c r="DN182" s="31"/>
      <c r="DO182" s="31"/>
      <c r="DP182" s="31"/>
      <c r="DQ182" s="31"/>
      <c r="DR182" s="31"/>
      <c r="DS182" s="31"/>
      <c r="DT182" s="31"/>
      <c r="DU182" s="31"/>
      <c r="DV182" s="31"/>
      <c r="DW182" s="31"/>
    </row>
    <row r="183" ht="36.75" customHeight="1">
      <c r="A183" s="15">
        <v>42769.0</v>
      </c>
      <c r="B183" s="16" t="s">
        <v>747</v>
      </c>
      <c r="C183" s="16" t="s">
        <v>749</v>
      </c>
      <c r="D183" s="16" t="s">
        <v>751</v>
      </c>
      <c r="E183" s="26" t="s">
        <v>244</v>
      </c>
      <c r="F183" s="17">
        <v>28.04864</v>
      </c>
      <c r="G183" s="17">
        <v>-82.81673</v>
      </c>
      <c r="H183" s="17">
        <v>28.01926</v>
      </c>
      <c r="I183" s="14">
        <v>-82.8268</v>
      </c>
      <c r="J183" s="13" t="s">
        <v>2260</v>
      </c>
      <c r="K183" s="13" t="s">
        <v>2261</v>
      </c>
      <c r="L183" s="13">
        <v>10.0</v>
      </c>
      <c r="M183" s="13">
        <v>0.0</v>
      </c>
      <c r="N183" s="13">
        <v>21.0</v>
      </c>
      <c r="O183" s="13">
        <v>0.0</v>
      </c>
      <c r="P183" s="13">
        <v>0.0</v>
      </c>
      <c r="Q183" s="13">
        <v>0.0</v>
      </c>
      <c r="R183" s="13">
        <v>0.0</v>
      </c>
      <c r="S183" s="13">
        <v>0.0</v>
      </c>
      <c r="T183" s="13">
        <v>0.0</v>
      </c>
      <c r="U183" s="13">
        <v>0.0</v>
      </c>
      <c r="V183" s="13">
        <v>0.0</v>
      </c>
      <c r="W183" s="13">
        <v>3.0</v>
      </c>
      <c r="X183" s="13">
        <v>31.0</v>
      </c>
      <c r="Y183" s="13">
        <v>11.0</v>
      </c>
      <c r="Z183" s="13">
        <v>27.0</v>
      </c>
      <c r="AA183" s="13">
        <v>16.0</v>
      </c>
      <c r="AB183" s="13">
        <v>0.0</v>
      </c>
      <c r="AC183" s="13">
        <v>91.0</v>
      </c>
      <c r="AD183" s="13">
        <v>2.0</v>
      </c>
      <c r="AE183" s="13">
        <v>0.0</v>
      </c>
      <c r="AF183" s="13">
        <v>20.0</v>
      </c>
      <c r="AG183" s="13">
        <v>0.0</v>
      </c>
      <c r="AH183" s="13">
        <v>0.0</v>
      </c>
      <c r="AI183" s="13">
        <v>1.0</v>
      </c>
      <c r="AJ183" s="13">
        <v>0.0</v>
      </c>
      <c r="AK183" s="13">
        <v>0.0</v>
      </c>
      <c r="AL183" s="13">
        <v>0.0</v>
      </c>
      <c r="AM183" s="13">
        <v>0.0</v>
      </c>
      <c r="AN183" s="13">
        <v>9.0</v>
      </c>
      <c r="AO183" s="13">
        <v>0.0</v>
      </c>
      <c r="AP183" s="13">
        <v>0.0</v>
      </c>
      <c r="AQ183" s="13">
        <v>134.0</v>
      </c>
      <c r="AR183" s="13">
        <v>0.0</v>
      </c>
      <c r="AS183" s="13">
        <v>0.0</v>
      </c>
      <c r="AT183" s="13">
        <v>0.0</v>
      </c>
      <c r="AU183" s="13">
        <v>0.0</v>
      </c>
      <c r="AV183" s="13">
        <v>2.0</v>
      </c>
      <c r="AW183" s="13">
        <v>3.0</v>
      </c>
      <c r="AX183" s="13">
        <v>0.0</v>
      </c>
      <c r="AY183" s="13">
        <v>32.0</v>
      </c>
      <c r="AZ183" s="13">
        <v>1.0</v>
      </c>
      <c r="BA183" s="13">
        <v>0.0</v>
      </c>
      <c r="BB183" s="13">
        <v>0.0</v>
      </c>
      <c r="BC183" s="13">
        <v>0.0</v>
      </c>
      <c r="BD183" s="13">
        <v>0.0</v>
      </c>
      <c r="BE183" s="13">
        <v>0.0</v>
      </c>
      <c r="BF183" s="13">
        <v>0.0</v>
      </c>
      <c r="BG183" s="13">
        <v>0.0</v>
      </c>
      <c r="BH183" s="13">
        <f t="shared" si="26"/>
        <v>414</v>
      </c>
    </row>
    <row r="184" ht="36.75" customHeight="1">
      <c r="A184" s="15">
        <v>42769.0</v>
      </c>
      <c r="B184" s="16" t="s">
        <v>1118</v>
      </c>
      <c r="C184" s="16" t="s">
        <v>749</v>
      </c>
      <c r="D184" s="16" t="s">
        <v>2271</v>
      </c>
      <c r="E184" s="26" t="s">
        <v>244</v>
      </c>
      <c r="F184" s="17">
        <v>28.03216</v>
      </c>
      <c r="G184" s="17">
        <v>-82.82265</v>
      </c>
      <c r="H184" s="17">
        <v>28.05841</v>
      </c>
      <c r="I184" s="14">
        <v>-82.80975</v>
      </c>
      <c r="J184" s="13" t="s">
        <v>2272</v>
      </c>
      <c r="K184" s="13" t="s">
        <v>2273</v>
      </c>
      <c r="L184" s="13">
        <v>0.0</v>
      </c>
      <c r="M184" s="13">
        <v>0.0</v>
      </c>
      <c r="N184" s="13">
        <v>0.0</v>
      </c>
      <c r="O184" s="13">
        <v>0.0</v>
      </c>
      <c r="Q184" s="13">
        <v>0.0</v>
      </c>
      <c r="R184" s="13">
        <v>0.0</v>
      </c>
      <c r="S184" s="13">
        <v>0.0</v>
      </c>
      <c r="T184" s="13">
        <v>0.0</v>
      </c>
      <c r="U184" s="13">
        <v>0.0</v>
      </c>
      <c r="V184" s="13">
        <v>0.0</v>
      </c>
      <c r="W184" s="13">
        <v>0.0</v>
      </c>
      <c r="X184" s="13">
        <v>0.0</v>
      </c>
      <c r="Y184" s="13">
        <v>3.0</v>
      </c>
      <c r="Z184" s="13">
        <v>0.0</v>
      </c>
      <c r="AA184" s="13">
        <v>0.0</v>
      </c>
      <c r="AB184" s="13">
        <v>0.0</v>
      </c>
      <c r="AC184" s="13">
        <v>1.0</v>
      </c>
      <c r="AD184" s="13">
        <v>0.0</v>
      </c>
      <c r="AE184" s="13">
        <v>0.0</v>
      </c>
      <c r="AF184" s="13">
        <v>0.0</v>
      </c>
      <c r="AG184" s="13">
        <v>0.0</v>
      </c>
      <c r="AH184" s="13">
        <v>1.0</v>
      </c>
      <c r="AI184" s="13">
        <v>0.0</v>
      </c>
      <c r="AJ184" s="13">
        <v>0.0</v>
      </c>
      <c r="AK184" s="13">
        <v>61.0</v>
      </c>
      <c r="AL184" s="13">
        <v>0.0</v>
      </c>
      <c r="AM184" s="13">
        <v>0.0</v>
      </c>
      <c r="AN184" s="13">
        <v>0.0</v>
      </c>
      <c r="AO184" s="13">
        <v>0.0</v>
      </c>
      <c r="AP184" s="13">
        <v>0.0</v>
      </c>
      <c r="AQ184" s="13">
        <v>0.0</v>
      </c>
      <c r="AR184" s="13">
        <v>0.0</v>
      </c>
      <c r="AS184" s="13">
        <v>0.0</v>
      </c>
      <c r="AT184" s="13">
        <v>0.0</v>
      </c>
      <c r="AU184" s="13">
        <v>0.0</v>
      </c>
      <c r="AV184" s="13">
        <v>1.0</v>
      </c>
      <c r="AW184" s="13">
        <v>77.0</v>
      </c>
      <c r="AX184" s="13">
        <v>0.0</v>
      </c>
      <c r="AY184" s="13">
        <v>16.0</v>
      </c>
      <c r="AZ184" s="13">
        <v>0.0</v>
      </c>
      <c r="BA184" s="13">
        <v>0.0</v>
      </c>
      <c r="BB184" s="13">
        <v>0.0</v>
      </c>
      <c r="BC184" s="13">
        <v>0.0</v>
      </c>
      <c r="BD184" s="13">
        <v>0.0</v>
      </c>
      <c r="BE184" s="13">
        <v>0.0</v>
      </c>
      <c r="BF184" s="13">
        <v>0.0</v>
      </c>
      <c r="BG184" s="13">
        <v>0.0</v>
      </c>
      <c r="BH184" s="13">
        <f t="shared" si="26"/>
        <v>160</v>
      </c>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c r="CM184" s="13"/>
      <c r="CN184" s="13"/>
      <c r="CO184" s="13"/>
      <c r="CP184" s="13"/>
      <c r="CQ184" s="13"/>
      <c r="CR184" s="13"/>
      <c r="CS184" s="13"/>
      <c r="CT184" s="13"/>
      <c r="CU184" s="13"/>
      <c r="CV184" s="13"/>
      <c r="CW184" s="13"/>
      <c r="CX184" s="13"/>
      <c r="CY184" s="13"/>
      <c r="CZ184" s="13"/>
      <c r="DA184" s="13"/>
      <c r="DB184" s="13"/>
      <c r="DC184" s="13"/>
      <c r="DD184" s="13"/>
      <c r="DE184" s="13"/>
      <c r="DF184" s="13"/>
      <c r="DG184" s="13"/>
      <c r="DH184" s="13"/>
      <c r="DI184" s="13"/>
      <c r="DJ184" s="13"/>
      <c r="DK184" s="13"/>
      <c r="DL184" s="13"/>
      <c r="DM184" s="13"/>
      <c r="DN184" s="13"/>
      <c r="DO184" s="13"/>
      <c r="DP184" s="13"/>
      <c r="DQ184" s="13"/>
      <c r="DR184" s="13"/>
      <c r="DS184" s="13"/>
      <c r="DT184" s="13"/>
      <c r="DU184" s="13"/>
      <c r="DV184" s="13"/>
      <c r="DW184" s="13"/>
    </row>
    <row r="185" ht="36.75" customHeight="1">
      <c r="A185" s="41">
        <v>42769.0</v>
      </c>
      <c r="B185" s="16" t="s">
        <v>2288</v>
      </c>
      <c r="C185" s="16" t="s">
        <v>2289</v>
      </c>
      <c r="D185" s="16" t="s">
        <v>2290</v>
      </c>
      <c r="E185" s="34" t="s">
        <v>244</v>
      </c>
      <c r="F185" s="17">
        <v>28.05586</v>
      </c>
      <c r="G185" s="17">
        <v>-8281619.0</v>
      </c>
      <c r="H185" s="17">
        <v>28.08028</v>
      </c>
      <c r="I185" s="14">
        <v>-82.78882</v>
      </c>
      <c r="J185" s="13" t="s">
        <v>2291</v>
      </c>
      <c r="K185" s="13" t="s">
        <v>2292</v>
      </c>
      <c r="L185" s="13">
        <v>3.0</v>
      </c>
      <c r="M185" s="13">
        <v>0.0</v>
      </c>
      <c r="N185" s="13">
        <v>7.0</v>
      </c>
      <c r="O185" s="13">
        <v>65.0</v>
      </c>
      <c r="P185" s="13">
        <v>0.0</v>
      </c>
      <c r="Q185" s="13">
        <v>0.0</v>
      </c>
      <c r="R185" s="13">
        <v>0.0</v>
      </c>
      <c r="S185" s="13">
        <v>1.0</v>
      </c>
      <c r="T185" s="13">
        <v>0.0</v>
      </c>
      <c r="U185" s="13">
        <v>0.0</v>
      </c>
      <c r="V185" s="13">
        <v>0.0</v>
      </c>
      <c r="W185" s="13">
        <v>2.0</v>
      </c>
      <c r="X185" s="13">
        <v>0.0</v>
      </c>
      <c r="Y185" s="13">
        <v>21.0</v>
      </c>
      <c r="Z185" s="13">
        <v>27.0</v>
      </c>
      <c r="AA185" s="13">
        <v>46.0</v>
      </c>
      <c r="AB185" s="13">
        <v>30.0</v>
      </c>
      <c r="AC185" s="13">
        <v>46.0</v>
      </c>
      <c r="AD185" s="13">
        <v>0.0</v>
      </c>
      <c r="AE185" s="13">
        <v>0.0</v>
      </c>
      <c r="AF185" s="13">
        <v>6.0</v>
      </c>
      <c r="AG185" s="13">
        <v>0.0</v>
      </c>
      <c r="AH185" s="13">
        <v>0.0</v>
      </c>
      <c r="AI185" s="13">
        <v>7.0</v>
      </c>
      <c r="AJ185" s="13">
        <v>0.0</v>
      </c>
      <c r="AK185" s="13">
        <v>0.0</v>
      </c>
      <c r="AL185" s="13">
        <v>0.0</v>
      </c>
      <c r="AM185" s="13">
        <v>0.0</v>
      </c>
      <c r="AN185" s="13">
        <v>24.0</v>
      </c>
      <c r="AO185" s="13">
        <v>0.0</v>
      </c>
      <c r="AP185" s="13">
        <v>0.0</v>
      </c>
      <c r="AQ185" s="13">
        <v>30.0</v>
      </c>
      <c r="AR185" s="13">
        <v>89.0</v>
      </c>
      <c r="AS185" s="13">
        <v>0.0</v>
      </c>
      <c r="AT185" s="13">
        <v>0.0</v>
      </c>
      <c r="AU185" s="13">
        <v>0.0</v>
      </c>
      <c r="AV185" s="13">
        <v>7.0</v>
      </c>
      <c r="AW185" s="13">
        <v>91.0</v>
      </c>
      <c r="AX185" s="13">
        <v>0.0</v>
      </c>
      <c r="AY185" s="13">
        <v>23.0</v>
      </c>
      <c r="AZ185" s="13">
        <v>98.0</v>
      </c>
      <c r="BA185" s="13">
        <v>0.0</v>
      </c>
      <c r="BB185" s="13">
        <v>0.0</v>
      </c>
      <c r="BC185" s="13">
        <v>0.0</v>
      </c>
      <c r="BD185" s="13">
        <v>0.0</v>
      </c>
      <c r="BE185" s="13">
        <v>0.0</v>
      </c>
      <c r="BF185" s="13">
        <v>0.0</v>
      </c>
      <c r="BG185" s="13">
        <v>0.0</v>
      </c>
      <c r="BH185" s="13">
        <f t="shared" si="26"/>
        <v>623</v>
      </c>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c r="CM185" s="13"/>
      <c r="CN185" s="13"/>
      <c r="CO185" s="13"/>
      <c r="CP185" s="13"/>
      <c r="CQ185" s="13"/>
      <c r="CR185" s="13"/>
      <c r="CS185" s="13"/>
      <c r="CT185" s="13"/>
      <c r="CU185" s="13"/>
      <c r="CV185" s="13"/>
      <c r="CW185" s="13"/>
      <c r="CX185" s="13"/>
      <c r="CY185" s="13"/>
      <c r="CZ185" s="13"/>
      <c r="DA185" s="13"/>
      <c r="DB185" s="13"/>
      <c r="DC185" s="13"/>
      <c r="DD185" s="13"/>
      <c r="DE185" s="13"/>
      <c r="DF185" s="13"/>
      <c r="DG185" s="13"/>
      <c r="DH185" s="13"/>
      <c r="DI185" s="13"/>
      <c r="DJ185" s="13"/>
      <c r="DK185" s="13"/>
      <c r="DL185" s="13"/>
      <c r="DM185" s="13"/>
      <c r="DN185" s="13"/>
      <c r="DO185" s="13"/>
      <c r="DP185" s="13"/>
      <c r="DQ185" s="13"/>
      <c r="DR185" s="13"/>
      <c r="DS185" s="13"/>
      <c r="DT185" s="13"/>
      <c r="DU185" s="13"/>
      <c r="DV185" s="13"/>
      <c r="DW185" s="13"/>
    </row>
    <row r="186" ht="36.75" customHeight="1">
      <c r="A186" s="11">
        <v>42769.0</v>
      </c>
      <c r="B186" s="13" t="s">
        <v>2253</v>
      </c>
      <c r="C186" s="13" t="s">
        <v>2254</v>
      </c>
      <c r="D186" s="13" t="s">
        <v>2255</v>
      </c>
      <c r="E186" s="34" t="s">
        <v>244</v>
      </c>
      <c r="F186" s="13">
        <v>28.13186</v>
      </c>
      <c r="G186" s="13">
        <v>-82.82735</v>
      </c>
      <c r="H186" s="13">
        <v>28.13186</v>
      </c>
      <c r="I186" s="13">
        <v>-82.82735</v>
      </c>
      <c r="J186" s="13" t="s">
        <v>2256</v>
      </c>
      <c r="K186" s="13" t="s">
        <v>2257</v>
      </c>
      <c r="L186" s="13">
        <v>3.0</v>
      </c>
      <c r="M186" s="13">
        <v>0.0</v>
      </c>
      <c r="N186" s="13">
        <v>7.0</v>
      </c>
      <c r="O186" s="13">
        <v>30.0</v>
      </c>
      <c r="P186" s="13">
        <v>0.0</v>
      </c>
      <c r="Q186" s="13">
        <v>0.0</v>
      </c>
      <c r="R186" s="13">
        <v>0.0</v>
      </c>
      <c r="S186" s="13">
        <v>1.0</v>
      </c>
      <c r="T186" s="13">
        <v>0.0</v>
      </c>
      <c r="U186" s="13">
        <v>0.0</v>
      </c>
      <c r="V186" s="13">
        <v>0.0</v>
      </c>
      <c r="W186" s="13">
        <v>1.0</v>
      </c>
      <c r="X186" s="13">
        <v>0.0</v>
      </c>
      <c r="Y186" s="13">
        <v>14.0</v>
      </c>
      <c r="Z186" s="13">
        <v>40.0</v>
      </c>
      <c r="AA186" s="13">
        <v>1.0</v>
      </c>
      <c r="AB186" s="13">
        <v>0.0</v>
      </c>
      <c r="AC186" s="13">
        <v>0.0</v>
      </c>
      <c r="AD186" s="13">
        <v>0.0</v>
      </c>
      <c r="AE186" s="13">
        <v>0.0</v>
      </c>
      <c r="AF186" s="13">
        <v>0.0</v>
      </c>
      <c r="AG186" s="13">
        <v>0.0</v>
      </c>
      <c r="AH186" s="13">
        <v>0.0</v>
      </c>
      <c r="AI186" s="13">
        <v>0.0</v>
      </c>
      <c r="AJ186" s="13">
        <v>0.0</v>
      </c>
      <c r="AK186" s="13">
        <v>0.0</v>
      </c>
      <c r="AL186" s="13">
        <v>0.0</v>
      </c>
      <c r="AM186" s="13">
        <v>0.0</v>
      </c>
      <c r="AN186" s="13">
        <v>14.0</v>
      </c>
      <c r="AO186" s="13">
        <v>0.0</v>
      </c>
      <c r="AP186" s="13">
        <v>0.0</v>
      </c>
      <c r="AQ186" s="13">
        <v>94.0</v>
      </c>
      <c r="AR186" s="13">
        <v>0.0</v>
      </c>
      <c r="AS186" s="13">
        <v>0.0</v>
      </c>
      <c r="AT186" s="13">
        <v>0.0</v>
      </c>
      <c r="AU186" s="13">
        <v>0.0</v>
      </c>
      <c r="AV186" s="13">
        <v>4.0</v>
      </c>
      <c r="AW186" s="13">
        <v>1.0</v>
      </c>
      <c r="AX186" s="13">
        <v>0.0</v>
      </c>
      <c r="AY186" s="13">
        <v>13.0</v>
      </c>
      <c r="AZ186" s="13">
        <v>3.0</v>
      </c>
      <c r="BA186" s="13">
        <v>0.0</v>
      </c>
      <c r="BB186" s="13">
        <v>0.0</v>
      </c>
      <c r="BC186" s="13">
        <v>0.0</v>
      </c>
      <c r="BD186" s="13">
        <v>0.0</v>
      </c>
      <c r="BE186" s="13">
        <v>0.0</v>
      </c>
      <c r="BF186" s="13">
        <v>0.0</v>
      </c>
      <c r="BG186" s="13">
        <v>0.0</v>
      </c>
      <c r="BH186" s="13">
        <f t="shared" si="26"/>
        <v>226</v>
      </c>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c r="CM186" s="13"/>
      <c r="CN186" s="13"/>
      <c r="CO186" s="13"/>
      <c r="CP186" s="13"/>
      <c r="CQ186" s="13"/>
      <c r="CR186" s="13"/>
      <c r="CS186" s="13"/>
      <c r="CT186" s="13"/>
      <c r="CU186" s="13"/>
      <c r="CV186" s="13"/>
      <c r="CW186" s="13"/>
      <c r="CX186" s="13"/>
      <c r="CY186" s="13"/>
      <c r="CZ186" s="13"/>
      <c r="DA186" s="13"/>
      <c r="DB186" s="13"/>
      <c r="DC186" s="13"/>
      <c r="DD186" s="13"/>
      <c r="DE186" s="13"/>
      <c r="DF186" s="13"/>
      <c r="DG186" s="13"/>
      <c r="DH186" s="13"/>
      <c r="DI186" s="13"/>
      <c r="DJ186" s="13"/>
      <c r="DK186" s="13"/>
      <c r="DL186" s="13"/>
      <c r="DM186" s="13"/>
      <c r="DN186" s="13"/>
      <c r="DO186" s="13"/>
      <c r="DP186" s="13"/>
      <c r="DQ186" s="13"/>
      <c r="DR186" s="13"/>
      <c r="DS186" s="13"/>
      <c r="DT186" s="13"/>
      <c r="DU186" s="13"/>
      <c r="DV186" s="13"/>
      <c r="DW186" s="13"/>
    </row>
    <row r="187" ht="36.75" customHeight="1">
      <c r="A187" s="11">
        <v>42769.0</v>
      </c>
      <c r="B187" s="13" t="s">
        <v>726</v>
      </c>
      <c r="C187" s="13" t="s">
        <v>727</v>
      </c>
      <c r="D187" s="13" t="s">
        <v>728</v>
      </c>
      <c r="E187" s="34" t="s">
        <v>244</v>
      </c>
      <c r="F187" s="13">
        <v>28.1054</v>
      </c>
      <c r="G187" s="13" t="s">
        <v>2245</v>
      </c>
      <c r="H187" s="13">
        <v>28.11806</v>
      </c>
      <c r="I187" s="14">
        <v>-82.83756</v>
      </c>
      <c r="J187" s="13" t="s">
        <v>2246</v>
      </c>
      <c r="K187" s="13" t="s">
        <v>2247</v>
      </c>
      <c r="L187" s="13">
        <v>2.0</v>
      </c>
      <c r="M187" s="13">
        <v>0.0</v>
      </c>
      <c r="N187" s="13">
        <v>16.0</v>
      </c>
      <c r="O187" s="13">
        <v>191.0</v>
      </c>
      <c r="P187" s="13">
        <v>0.0</v>
      </c>
      <c r="Q187" s="13">
        <v>0.0</v>
      </c>
      <c r="R187" s="13">
        <v>0.0</v>
      </c>
      <c r="S187" s="13">
        <v>1.0</v>
      </c>
      <c r="T187" s="13">
        <v>0.0</v>
      </c>
      <c r="U187" s="13">
        <v>0.0</v>
      </c>
      <c r="V187" s="13">
        <v>0.0</v>
      </c>
      <c r="W187" s="13">
        <v>21.0</v>
      </c>
      <c r="X187" s="13">
        <v>13.0</v>
      </c>
      <c r="Y187" s="13">
        <v>12.0</v>
      </c>
      <c r="Z187" s="13">
        <v>45.0</v>
      </c>
      <c r="AA187" s="13">
        <v>32.0</v>
      </c>
      <c r="AB187" s="13">
        <v>0.0</v>
      </c>
      <c r="AC187" s="13">
        <v>36.0</v>
      </c>
      <c r="AD187" s="13">
        <v>0.0</v>
      </c>
      <c r="AE187" s="13">
        <v>0.0</v>
      </c>
      <c r="AF187" s="13">
        <v>15.0</v>
      </c>
      <c r="AG187" s="13">
        <v>0.0</v>
      </c>
      <c r="AH187" s="13">
        <v>1.0</v>
      </c>
      <c r="AI187" s="13">
        <v>4.0</v>
      </c>
      <c r="AJ187" s="13">
        <v>0.0</v>
      </c>
      <c r="AK187" s="13">
        <v>0.0</v>
      </c>
      <c r="AL187" s="13">
        <v>0.0</v>
      </c>
      <c r="AM187" s="13">
        <v>0.0</v>
      </c>
      <c r="AN187" s="13">
        <v>40.0</v>
      </c>
      <c r="AO187" s="13">
        <v>2.0</v>
      </c>
      <c r="AP187" s="13">
        <v>0.0</v>
      </c>
      <c r="AQ187" s="13">
        <v>24.0</v>
      </c>
      <c r="AR187" s="13">
        <v>10.0</v>
      </c>
      <c r="AS187" s="13">
        <v>0.0</v>
      </c>
      <c r="AT187" s="13">
        <v>0.0</v>
      </c>
      <c r="AU187" s="13">
        <v>0.0</v>
      </c>
      <c r="AV187" s="13">
        <v>9.0</v>
      </c>
      <c r="AW187" s="13">
        <v>40.0</v>
      </c>
      <c r="AX187" s="13">
        <v>0.0</v>
      </c>
      <c r="AY187" s="13">
        <v>10.0</v>
      </c>
      <c r="AZ187" s="13">
        <v>20.0</v>
      </c>
      <c r="BA187" s="13">
        <v>2.0</v>
      </c>
      <c r="BB187" s="13">
        <v>0.0</v>
      </c>
      <c r="BC187" s="13">
        <v>0.0</v>
      </c>
      <c r="BD187" s="13">
        <v>0.0</v>
      </c>
      <c r="BE187" s="13">
        <v>0.0</v>
      </c>
      <c r="BF187" s="13">
        <v>0.0</v>
      </c>
      <c r="BG187" s="13">
        <v>0.0</v>
      </c>
      <c r="BH187" s="13">
        <f t="shared" si="26"/>
        <v>546</v>
      </c>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c r="CM187" s="13"/>
      <c r="CN187" s="13"/>
      <c r="CO187" s="13"/>
      <c r="CP187" s="13"/>
      <c r="CQ187" s="13"/>
      <c r="CR187" s="13"/>
      <c r="CS187" s="13"/>
      <c r="CT187" s="13"/>
      <c r="CU187" s="13"/>
      <c r="CV187" s="13"/>
      <c r="CW187" s="13"/>
      <c r="CX187" s="13"/>
      <c r="CY187" s="13"/>
      <c r="CZ187" s="13"/>
      <c r="DA187" s="13"/>
      <c r="DB187" s="13"/>
      <c r="DC187" s="13"/>
      <c r="DD187" s="13"/>
      <c r="DE187" s="13"/>
      <c r="DF187" s="13"/>
      <c r="DG187" s="13"/>
      <c r="DH187" s="13"/>
      <c r="DI187" s="13"/>
      <c r="DJ187" s="13"/>
      <c r="DK187" s="13"/>
      <c r="DL187" s="13"/>
      <c r="DM187" s="13"/>
      <c r="DN187" s="13"/>
      <c r="DO187" s="13"/>
      <c r="DP187" s="13"/>
      <c r="DQ187" s="13"/>
      <c r="DR187" s="13"/>
      <c r="DS187" s="13"/>
      <c r="DT187" s="13"/>
      <c r="DU187" s="13"/>
      <c r="DV187" s="13"/>
      <c r="DW187" s="13"/>
    </row>
    <row r="188" ht="36.75" customHeight="1">
      <c r="A188" s="11">
        <v>42769.0</v>
      </c>
      <c r="B188" s="13" t="s">
        <v>2275</v>
      </c>
      <c r="C188" s="13" t="s">
        <v>2513</v>
      </c>
      <c r="D188" s="13" t="s">
        <v>2277</v>
      </c>
      <c r="E188" s="26" t="s">
        <v>244</v>
      </c>
      <c r="F188" s="13">
        <v>27.7807</v>
      </c>
      <c r="G188" s="13">
        <v>-82.7836</v>
      </c>
      <c r="H188" s="13">
        <v>27.7555</v>
      </c>
      <c r="I188" s="14">
        <v>-82.7652</v>
      </c>
      <c r="J188" s="13" t="s">
        <v>2278</v>
      </c>
      <c r="K188" s="13" t="s">
        <v>2514</v>
      </c>
      <c r="L188" s="13"/>
      <c r="N188" s="13"/>
      <c r="O188" s="13"/>
      <c r="X188" s="13"/>
      <c r="Y188" s="13"/>
      <c r="Z188" s="13">
        <v>8.0</v>
      </c>
      <c r="AA188" s="13"/>
      <c r="AH188" s="13"/>
      <c r="AI188" s="13"/>
      <c r="AL188" s="13">
        <v>2.0</v>
      </c>
      <c r="AN188" s="13"/>
      <c r="AQ188" s="13"/>
      <c r="AR188" s="13">
        <v>10.0</v>
      </c>
      <c r="AV188" s="13">
        <v>7.0</v>
      </c>
      <c r="AW188" s="13">
        <v>127.0</v>
      </c>
      <c r="AX188" s="13">
        <v>1.0</v>
      </c>
      <c r="AY188" s="13">
        <v>56.0</v>
      </c>
      <c r="AZ188" s="13">
        <v>59.0</v>
      </c>
      <c r="BA188" s="13"/>
      <c r="BH188" s="13">
        <f t="shared" si="26"/>
        <v>270</v>
      </c>
      <c r="BI188" s="13" t="s">
        <v>2515</v>
      </c>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c r="CM188" s="13"/>
      <c r="CN188" s="13"/>
      <c r="CO188" s="13"/>
      <c r="CP188" s="13"/>
      <c r="CQ188" s="13"/>
      <c r="CR188" s="13"/>
      <c r="CS188" s="13"/>
      <c r="CT188" s="13"/>
      <c r="CU188" s="13"/>
      <c r="CV188" s="13"/>
      <c r="CW188" s="13"/>
      <c r="CX188" s="13"/>
      <c r="CY188" s="13"/>
      <c r="CZ188" s="13"/>
      <c r="DA188" s="13"/>
      <c r="DB188" s="13"/>
      <c r="DC188" s="13"/>
      <c r="DD188" s="13"/>
      <c r="DE188" s="13"/>
      <c r="DF188" s="13"/>
      <c r="DG188" s="13"/>
      <c r="DH188" s="13"/>
      <c r="DI188" s="13"/>
      <c r="DJ188" s="13"/>
      <c r="DK188" s="13"/>
      <c r="DL188" s="13"/>
      <c r="DM188" s="13"/>
      <c r="DN188" s="13"/>
      <c r="DO188" s="13"/>
      <c r="DP188" s="13"/>
      <c r="DQ188" s="13"/>
      <c r="DR188" s="13"/>
      <c r="DS188" s="13"/>
      <c r="DT188" s="13"/>
      <c r="DU188" s="13"/>
      <c r="DV188" s="13"/>
      <c r="DW188" s="13"/>
    </row>
    <row r="189" ht="36.75" customHeight="1">
      <c r="A189" s="102">
        <v>42769.0</v>
      </c>
      <c r="B189" s="34" t="s">
        <v>1118</v>
      </c>
      <c r="C189" s="34" t="s">
        <v>749</v>
      </c>
      <c r="D189" s="34" t="s">
        <v>2271</v>
      </c>
      <c r="E189" s="26" t="s">
        <v>244</v>
      </c>
      <c r="F189" s="97">
        <v>28.03216</v>
      </c>
      <c r="G189" s="97">
        <v>-82.82265</v>
      </c>
      <c r="H189" s="97">
        <v>28.05841</v>
      </c>
      <c r="I189" s="76">
        <v>-82.80975</v>
      </c>
      <c r="J189" s="26" t="s">
        <v>2272</v>
      </c>
      <c r="K189" s="26" t="s">
        <v>2273</v>
      </c>
      <c r="L189" s="69">
        <v>0.0</v>
      </c>
      <c r="M189" s="75">
        <v>0.0</v>
      </c>
      <c r="N189" s="75">
        <v>0.0</v>
      </c>
      <c r="O189" s="75">
        <v>0.0</v>
      </c>
      <c r="P189" s="38"/>
      <c r="Q189" s="75">
        <v>0.0</v>
      </c>
      <c r="R189" s="75">
        <v>0.0</v>
      </c>
      <c r="S189" s="75">
        <v>0.0</v>
      </c>
      <c r="T189" s="75">
        <v>0.0</v>
      </c>
      <c r="U189" s="75">
        <v>0.0</v>
      </c>
      <c r="V189" s="75">
        <v>0.0</v>
      </c>
      <c r="W189" s="75">
        <v>0.0</v>
      </c>
      <c r="X189" s="75">
        <v>0.0</v>
      </c>
      <c r="Y189" s="75">
        <v>3.0</v>
      </c>
      <c r="Z189" s="69">
        <v>0.0</v>
      </c>
      <c r="AA189" s="75">
        <v>0.0</v>
      </c>
      <c r="AB189" s="75">
        <v>0.0</v>
      </c>
      <c r="AC189" s="75">
        <v>1.0</v>
      </c>
      <c r="AD189" s="75">
        <v>0.0</v>
      </c>
      <c r="AE189" s="75">
        <v>0.0</v>
      </c>
      <c r="AF189" s="75">
        <v>0.0</v>
      </c>
      <c r="AG189" s="75">
        <v>0.0</v>
      </c>
      <c r="AH189" s="75">
        <v>1.0</v>
      </c>
      <c r="AI189" s="75">
        <v>0.0</v>
      </c>
      <c r="AJ189" s="75">
        <v>0.0</v>
      </c>
      <c r="AK189" s="69">
        <v>61.0</v>
      </c>
      <c r="AL189" s="75">
        <v>0.0</v>
      </c>
      <c r="AM189" s="75">
        <v>0.0</v>
      </c>
      <c r="AN189" s="75">
        <v>0.0</v>
      </c>
      <c r="AO189" s="75">
        <v>0.0</v>
      </c>
      <c r="AP189" s="75">
        <v>0.0</v>
      </c>
      <c r="AQ189" s="69">
        <v>0.0</v>
      </c>
      <c r="AR189" s="75">
        <v>0.0</v>
      </c>
      <c r="AS189" s="75">
        <v>0.0</v>
      </c>
      <c r="AT189" s="75">
        <v>0.0</v>
      </c>
      <c r="AU189" s="75">
        <v>0.0</v>
      </c>
      <c r="AV189" s="75">
        <v>1.0</v>
      </c>
      <c r="AW189" s="75">
        <v>77.0</v>
      </c>
      <c r="AX189" s="75">
        <v>0.0</v>
      </c>
      <c r="AY189" s="69">
        <v>16.0</v>
      </c>
      <c r="AZ189" s="75">
        <v>0.0</v>
      </c>
      <c r="BA189" s="75">
        <v>0.0</v>
      </c>
      <c r="BB189" s="75">
        <v>0.0</v>
      </c>
      <c r="BC189" s="75">
        <v>0.0</v>
      </c>
      <c r="BD189" s="75">
        <v>0.0</v>
      </c>
      <c r="BE189" s="75">
        <v>0.0</v>
      </c>
      <c r="BF189" s="75">
        <v>0.0</v>
      </c>
      <c r="BG189" s="75">
        <v>0.0</v>
      </c>
      <c r="BH189" s="13">
        <f t="shared" si="26"/>
        <v>160</v>
      </c>
      <c r="BI189" s="38"/>
    </row>
    <row r="190" ht="36.75" customHeight="1">
      <c r="A190" s="32">
        <v>42769.0</v>
      </c>
      <c r="B190" s="26" t="s">
        <v>2253</v>
      </c>
      <c r="C190" s="26" t="s">
        <v>2254</v>
      </c>
      <c r="D190" s="26" t="s">
        <v>2255</v>
      </c>
      <c r="E190" s="26" t="s">
        <v>244</v>
      </c>
      <c r="F190" s="69">
        <v>28.13186</v>
      </c>
      <c r="G190" s="69">
        <v>-82.82735</v>
      </c>
      <c r="H190" s="108">
        <v>28.13186</v>
      </c>
      <c r="I190" s="76">
        <v>-82.82735</v>
      </c>
      <c r="J190" s="26" t="s">
        <v>2256</v>
      </c>
      <c r="K190" s="26" t="s">
        <v>2257</v>
      </c>
      <c r="L190" s="75">
        <v>3.0</v>
      </c>
      <c r="M190" s="75">
        <v>0.0</v>
      </c>
      <c r="N190" s="69">
        <v>7.0</v>
      </c>
      <c r="O190" s="75">
        <v>30.0</v>
      </c>
      <c r="P190" s="75">
        <v>0.0</v>
      </c>
      <c r="Q190" s="75">
        <v>0.0</v>
      </c>
      <c r="R190" s="75">
        <v>0.0</v>
      </c>
      <c r="S190" s="75">
        <v>1.0</v>
      </c>
      <c r="T190" s="75">
        <v>0.0</v>
      </c>
      <c r="U190" s="75">
        <v>0.0</v>
      </c>
      <c r="V190" s="75">
        <v>0.0</v>
      </c>
      <c r="W190" s="75">
        <v>1.0</v>
      </c>
      <c r="X190" s="75">
        <v>0.0</v>
      </c>
      <c r="Y190" s="69">
        <v>14.0</v>
      </c>
      <c r="Z190" s="69">
        <v>40.0</v>
      </c>
      <c r="AA190" s="75">
        <v>1.0</v>
      </c>
      <c r="AB190" s="75">
        <v>0.0</v>
      </c>
      <c r="AC190" s="75">
        <v>0.0</v>
      </c>
      <c r="AD190" s="75">
        <v>0.0</v>
      </c>
      <c r="AE190" s="75">
        <v>0.0</v>
      </c>
      <c r="AF190" s="75">
        <v>0.0</v>
      </c>
      <c r="AG190" s="75">
        <v>0.0</v>
      </c>
      <c r="AH190" s="75">
        <v>0.0</v>
      </c>
      <c r="AI190" s="75">
        <v>0.0</v>
      </c>
      <c r="AJ190" s="75">
        <v>0.0</v>
      </c>
      <c r="AK190" s="75">
        <v>0.0</v>
      </c>
      <c r="AL190" s="75">
        <v>0.0</v>
      </c>
      <c r="AM190" s="75">
        <v>0.0</v>
      </c>
      <c r="AN190" s="75">
        <v>14.0</v>
      </c>
      <c r="AO190" s="75">
        <v>0.0</v>
      </c>
      <c r="AP190" s="75">
        <v>0.0</v>
      </c>
      <c r="AQ190" s="75">
        <v>94.0</v>
      </c>
      <c r="AR190" s="75">
        <v>0.0</v>
      </c>
      <c r="AS190" s="75">
        <v>0.0</v>
      </c>
      <c r="AT190" s="75">
        <v>0.0</v>
      </c>
      <c r="AU190" s="75">
        <v>0.0</v>
      </c>
      <c r="AV190" s="69">
        <v>4.0</v>
      </c>
      <c r="AW190" s="75">
        <v>1.0</v>
      </c>
      <c r="AX190" s="75">
        <v>0.0</v>
      </c>
      <c r="AY190" s="69">
        <v>13.0</v>
      </c>
      <c r="AZ190" s="75">
        <v>3.0</v>
      </c>
      <c r="BA190" s="75">
        <v>0.0</v>
      </c>
      <c r="BB190" s="75">
        <v>0.0</v>
      </c>
      <c r="BC190" s="75">
        <v>0.0</v>
      </c>
      <c r="BD190" s="75">
        <v>0.0</v>
      </c>
      <c r="BE190" s="75">
        <v>0.0</v>
      </c>
      <c r="BF190" s="75">
        <v>0.0</v>
      </c>
      <c r="BG190" s="75">
        <v>0.0</v>
      </c>
      <c r="BH190" s="13">
        <f t="shared" si="26"/>
        <v>226</v>
      </c>
      <c r="BI190" s="26"/>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c r="CM190" s="13"/>
      <c r="CN190" s="13"/>
      <c r="CO190" s="13"/>
      <c r="CP190" s="13"/>
      <c r="CQ190" s="13"/>
      <c r="CR190" s="13"/>
      <c r="CS190" s="13"/>
      <c r="CT190" s="13"/>
      <c r="CU190" s="13"/>
      <c r="CV190" s="13"/>
      <c r="CW190" s="13"/>
      <c r="CX190" s="13"/>
      <c r="CY190" s="13"/>
      <c r="CZ190" s="13"/>
      <c r="DA190" s="13"/>
      <c r="DB190" s="13"/>
      <c r="DC190" s="13"/>
      <c r="DD190" s="13"/>
      <c r="DE190" s="13"/>
      <c r="DF190" s="13"/>
      <c r="DG190" s="13"/>
      <c r="DH190" s="13"/>
      <c r="DI190" s="13"/>
      <c r="DJ190" s="13"/>
      <c r="DK190" s="13"/>
      <c r="DL190" s="13"/>
      <c r="DM190" s="13"/>
      <c r="DN190" s="13"/>
      <c r="DO190" s="13"/>
      <c r="DP190" s="13"/>
      <c r="DQ190" s="13"/>
      <c r="DR190" s="13"/>
      <c r="DS190" s="13"/>
      <c r="DT190" s="13"/>
      <c r="DU190" s="13"/>
      <c r="DV190" s="13"/>
      <c r="DW190" s="13"/>
    </row>
    <row r="191" ht="36.75" customHeight="1">
      <c r="A191" s="102">
        <v>42769.0</v>
      </c>
      <c r="B191" s="34" t="s">
        <v>747</v>
      </c>
      <c r="C191" s="34" t="s">
        <v>749</v>
      </c>
      <c r="D191" s="34" t="s">
        <v>751</v>
      </c>
      <c r="E191" s="26" t="s">
        <v>244</v>
      </c>
      <c r="F191" s="97">
        <v>28.04864</v>
      </c>
      <c r="G191" s="97">
        <v>-82.81673</v>
      </c>
      <c r="H191" s="97">
        <v>28.01926</v>
      </c>
      <c r="I191" s="76">
        <v>-82.8268</v>
      </c>
      <c r="J191" s="26" t="s">
        <v>2260</v>
      </c>
      <c r="K191" s="26" t="s">
        <v>2261</v>
      </c>
      <c r="L191" s="69">
        <v>10.0</v>
      </c>
      <c r="M191" s="69">
        <v>0.0</v>
      </c>
      <c r="N191" s="69">
        <v>21.0</v>
      </c>
      <c r="O191" s="69">
        <v>0.0</v>
      </c>
      <c r="P191" s="69">
        <v>0.0</v>
      </c>
      <c r="Q191" s="69">
        <v>0.0</v>
      </c>
      <c r="R191" s="69">
        <v>0.0</v>
      </c>
      <c r="S191" s="69">
        <v>0.0</v>
      </c>
      <c r="T191" s="69">
        <v>0.0</v>
      </c>
      <c r="U191" s="69">
        <v>0.0</v>
      </c>
      <c r="V191" s="69">
        <v>0.0</v>
      </c>
      <c r="W191" s="69">
        <v>3.0</v>
      </c>
      <c r="X191" s="69">
        <v>31.0</v>
      </c>
      <c r="Y191" s="69">
        <v>11.0</v>
      </c>
      <c r="Z191" s="69">
        <v>27.0</v>
      </c>
      <c r="AA191" s="69">
        <v>16.0</v>
      </c>
      <c r="AB191" s="69">
        <v>0.0</v>
      </c>
      <c r="AC191" s="69">
        <v>91.0</v>
      </c>
      <c r="AD191" s="69">
        <v>2.0</v>
      </c>
      <c r="AE191" s="69">
        <v>0.0</v>
      </c>
      <c r="AF191" s="69">
        <v>20.0</v>
      </c>
      <c r="AG191" s="69">
        <v>0.0</v>
      </c>
      <c r="AH191" s="69">
        <v>0.0</v>
      </c>
      <c r="AI191" s="69">
        <v>1.0</v>
      </c>
      <c r="AJ191" s="69">
        <v>0.0</v>
      </c>
      <c r="AK191" s="69">
        <v>0.0</v>
      </c>
      <c r="AL191" s="69">
        <v>0.0</v>
      </c>
      <c r="AM191" s="69">
        <v>0.0</v>
      </c>
      <c r="AN191" s="69">
        <v>9.0</v>
      </c>
      <c r="AO191" s="69">
        <v>0.0</v>
      </c>
      <c r="AP191" s="69">
        <v>0.0</v>
      </c>
      <c r="AQ191" s="69">
        <v>134.0</v>
      </c>
      <c r="AR191" s="69">
        <v>0.0</v>
      </c>
      <c r="AS191" s="69">
        <v>0.0</v>
      </c>
      <c r="AT191" s="69">
        <v>0.0</v>
      </c>
      <c r="AU191" s="69">
        <v>0.0</v>
      </c>
      <c r="AV191" s="69">
        <v>2.0</v>
      </c>
      <c r="AW191" s="69">
        <v>3.0</v>
      </c>
      <c r="AX191" s="69">
        <v>0.0</v>
      </c>
      <c r="AY191" s="69">
        <v>32.0</v>
      </c>
      <c r="AZ191" s="69">
        <v>1.0</v>
      </c>
      <c r="BA191" s="69">
        <v>0.0</v>
      </c>
      <c r="BB191" s="69">
        <v>0.0</v>
      </c>
      <c r="BC191" s="69">
        <v>0.0</v>
      </c>
      <c r="BD191" s="69">
        <v>0.0</v>
      </c>
      <c r="BE191" s="69">
        <v>0.0</v>
      </c>
      <c r="BF191" s="69">
        <v>0.0</v>
      </c>
      <c r="BG191" s="69">
        <v>0.0</v>
      </c>
      <c r="BH191" s="13">
        <f t="shared" si="26"/>
        <v>414</v>
      </c>
      <c r="BI191" s="38"/>
    </row>
    <row r="192" ht="36.75" customHeight="1">
      <c r="A192" s="32">
        <v>42769.0</v>
      </c>
      <c r="B192" s="26" t="s">
        <v>726</v>
      </c>
      <c r="C192" s="26" t="s">
        <v>727</v>
      </c>
      <c r="D192" s="26" t="s">
        <v>728</v>
      </c>
      <c r="E192" s="28" t="s">
        <v>244</v>
      </c>
      <c r="F192" s="69">
        <v>28.1054</v>
      </c>
      <c r="G192" s="69">
        <v>-82.82798</v>
      </c>
      <c r="H192" s="69">
        <v>28.11806</v>
      </c>
      <c r="I192" s="76">
        <v>-82.83756</v>
      </c>
      <c r="J192" s="26" t="s">
        <v>2246</v>
      </c>
      <c r="K192" s="26" t="s">
        <v>2247</v>
      </c>
      <c r="L192" s="75">
        <v>2.0</v>
      </c>
      <c r="M192" s="75">
        <v>0.0</v>
      </c>
      <c r="N192" s="69">
        <v>16.0</v>
      </c>
      <c r="O192" s="75">
        <v>191.0</v>
      </c>
      <c r="P192" s="75">
        <v>0.0</v>
      </c>
      <c r="Q192" s="75">
        <v>0.0</v>
      </c>
      <c r="R192" s="75">
        <v>0.0</v>
      </c>
      <c r="S192" s="75">
        <v>1.0</v>
      </c>
      <c r="T192" s="75">
        <v>0.0</v>
      </c>
      <c r="U192" s="75">
        <v>0.0</v>
      </c>
      <c r="V192" s="75">
        <v>0.0</v>
      </c>
      <c r="W192" s="75">
        <v>21.0</v>
      </c>
      <c r="X192" s="75">
        <v>13.0</v>
      </c>
      <c r="Y192" s="69">
        <v>12.0</v>
      </c>
      <c r="Z192" s="69">
        <v>45.0</v>
      </c>
      <c r="AA192" s="69">
        <v>32.0</v>
      </c>
      <c r="AB192" s="75">
        <v>0.0</v>
      </c>
      <c r="AC192" s="75">
        <v>36.0</v>
      </c>
      <c r="AD192" s="69">
        <v>0.0</v>
      </c>
      <c r="AE192" s="75">
        <v>0.0</v>
      </c>
      <c r="AF192" s="75">
        <v>15.0</v>
      </c>
      <c r="AG192" s="75">
        <v>0.0</v>
      </c>
      <c r="AH192" s="75">
        <v>1.0</v>
      </c>
      <c r="AI192" s="69">
        <v>4.0</v>
      </c>
      <c r="AJ192" s="75">
        <v>0.0</v>
      </c>
      <c r="AK192" s="75">
        <v>0.0</v>
      </c>
      <c r="AL192" s="75">
        <v>0.0</v>
      </c>
      <c r="AM192" s="75">
        <v>0.0</v>
      </c>
      <c r="AN192" s="69">
        <v>40.0</v>
      </c>
      <c r="AO192" s="75">
        <v>2.0</v>
      </c>
      <c r="AP192" s="75">
        <v>0.0</v>
      </c>
      <c r="AQ192" s="69">
        <v>24.0</v>
      </c>
      <c r="AR192" s="75">
        <v>10.0</v>
      </c>
      <c r="AS192" s="75">
        <v>0.0</v>
      </c>
      <c r="AT192" s="75">
        <v>0.0</v>
      </c>
      <c r="AU192" s="75">
        <v>0.0</v>
      </c>
      <c r="AV192" s="69">
        <v>9.0</v>
      </c>
      <c r="AW192" s="69">
        <v>40.0</v>
      </c>
      <c r="AX192" s="75">
        <v>0.0</v>
      </c>
      <c r="AY192" s="69">
        <v>10.0</v>
      </c>
      <c r="AZ192" s="69">
        <v>20.0</v>
      </c>
      <c r="BA192" s="75">
        <v>2.0</v>
      </c>
      <c r="BB192" s="75">
        <v>0.0</v>
      </c>
      <c r="BC192" s="75">
        <v>0.0</v>
      </c>
      <c r="BD192" s="75">
        <v>0.0</v>
      </c>
      <c r="BE192" s="75">
        <v>0.0</v>
      </c>
      <c r="BF192" s="75">
        <v>0.0</v>
      </c>
      <c r="BG192" s="75">
        <v>0.0</v>
      </c>
      <c r="BH192" s="13">
        <f t="shared" si="26"/>
        <v>546</v>
      </c>
      <c r="BI192" s="38"/>
    </row>
    <row r="193" ht="36.75" customHeight="1">
      <c r="A193" s="32">
        <v>42769.0</v>
      </c>
      <c r="B193" s="26" t="s">
        <v>1007</v>
      </c>
      <c r="C193" s="26" t="s">
        <v>1008</v>
      </c>
      <c r="D193" s="26" t="s">
        <v>1009</v>
      </c>
      <c r="E193" s="28" t="s">
        <v>244</v>
      </c>
      <c r="F193" s="69">
        <v>28.15709</v>
      </c>
      <c r="G193" s="69">
        <v>-82.83643</v>
      </c>
      <c r="H193" s="69">
        <v>28.1761</v>
      </c>
      <c r="I193" s="76">
        <v>-82.8503</v>
      </c>
      <c r="J193" s="26" t="s">
        <v>2251</v>
      </c>
      <c r="K193" s="26" t="s">
        <v>2252</v>
      </c>
      <c r="L193" s="109">
        <v>1.0</v>
      </c>
      <c r="M193" s="70"/>
      <c r="N193" s="110">
        <v>22.0</v>
      </c>
      <c r="O193" s="109">
        <v>89.0</v>
      </c>
      <c r="P193" s="109">
        <v>0.0</v>
      </c>
      <c r="Q193" s="109">
        <v>0.0</v>
      </c>
      <c r="R193" s="109">
        <v>3.0</v>
      </c>
      <c r="S193" s="109">
        <v>4.0</v>
      </c>
      <c r="T193" s="109">
        <v>0.0</v>
      </c>
      <c r="U193" s="109">
        <v>0.0</v>
      </c>
      <c r="V193" s="109">
        <v>0.0</v>
      </c>
      <c r="W193" s="109">
        <v>18.0</v>
      </c>
      <c r="X193" s="109">
        <v>0.0</v>
      </c>
      <c r="Y193" s="110">
        <v>20.0</v>
      </c>
      <c r="Z193" s="110">
        <v>144.0</v>
      </c>
      <c r="AA193" s="109">
        <v>9.0</v>
      </c>
      <c r="AB193" s="109">
        <v>0.0</v>
      </c>
      <c r="AC193" s="109">
        <v>16.0</v>
      </c>
      <c r="AD193" s="109">
        <v>8.0</v>
      </c>
      <c r="AE193" s="109">
        <v>0.0</v>
      </c>
      <c r="AF193" s="109">
        <v>16.0</v>
      </c>
      <c r="AG193" s="109">
        <v>0.0</v>
      </c>
      <c r="AH193" s="110">
        <v>2.0</v>
      </c>
      <c r="AI193" s="109">
        <v>3.0</v>
      </c>
      <c r="AJ193" s="109">
        <v>0.0</v>
      </c>
      <c r="AK193" s="110">
        <v>220.0</v>
      </c>
      <c r="AL193" s="109">
        <v>0.0</v>
      </c>
      <c r="AM193" s="109">
        <v>0.0</v>
      </c>
      <c r="AN193" s="109">
        <v>6.0</v>
      </c>
      <c r="AO193" s="109">
        <v>2.0</v>
      </c>
      <c r="AP193" s="109">
        <v>0.0</v>
      </c>
      <c r="AQ193" s="109">
        <v>84.0</v>
      </c>
      <c r="AR193" s="109">
        <v>0.0</v>
      </c>
      <c r="AS193" s="109">
        <v>0.0</v>
      </c>
      <c r="AT193" s="109">
        <v>0.0</v>
      </c>
      <c r="AU193" s="109">
        <v>0.0</v>
      </c>
      <c r="AV193" s="110">
        <v>6.0</v>
      </c>
      <c r="AW193" s="110">
        <v>80.0</v>
      </c>
      <c r="AX193" s="109">
        <v>0.0</v>
      </c>
      <c r="AY193" s="110">
        <v>15.0</v>
      </c>
      <c r="AZ193" s="110">
        <v>21.0</v>
      </c>
      <c r="BA193" s="109">
        <v>1.0</v>
      </c>
      <c r="BB193" s="109">
        <v>0.0</v>
      </c>
      <c r="BC193" s="109">
        <v>0.0</v>
      </c>
      <c r="BD193" s="109">
        <v>0.0</v>
      </c>
      <c r="BE193" s="109">
        <v>0.0</v>
      </c>
      <c r="BF193" s="109">
        <v>0.0</v>
      </c>
      <c r="BG193" s="109">
        <v>80.0</v>
      </c>
      <c r="BH193" s="13">
        <f t="shared" si="26"/>
        <v>870</v>
      </c>
      <c r="BI193" s="26"/>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c r="CM193" s="13"/>
      <c r="CN193" s="13"/>
      <c r="CO193" s="13"/>
      <c r="CP193" s="13"/>
      <c r="CQ193" s="13"/>
      <c r="CR193" s="13"/>
      <c r="CS193" s="13"/>
      <c r="CT193" s="13"/>
      <c r="CU193" s="13"/>
      <c r="CV193" s="13"/>
      <c r="CW193" s="13"/>
      <c r="CX193" s="13"/>
      <c r="CY193" s="13"/>
      <c r="CZ193" s="13"/>
      <c r="DA193" s="13"/>
      <c r="DB193" s="13"/>
      <c r="DC193" s="13"/>
      <c r="DD193" s="13"/>
      <c r="DE193" s="13"/>
      <c r="DF193" s="13"/>
      <c r="DG193" s="13"/>
      <c r="DH193" s="13"/>
      <c r="DI193" s="13"/>
      <c r="DJ193" s="13"/>
      <c r="DK193" s="13"/>
      <c r="DL193" s="13"/>
      <c r="DM193" s="13"/>
      <c r="DN193" s="13"/>
      <c r="DO193" s="13"/>
      <c r="DP193" s="13"/>
      <c r="DQ193" s="13"/>
      <c r="DR193" s="13"/>
      <c r="DS193" s="13"/>
      <c r="DT193" s="13"/>
      <c r="DU193" s="13"/>
      <c r="DV193" s="13"/>
      <c r="DW193" s="13"/>
    </row>
    <row r="194" ht="36.75" customHeight="1">
      <c r="A194" s="68">
        <v>42769.0</v>
      </c>
      <c r="B194" s="34" t="s">
        <v>2288</v>
      </c>
      <c r="C194" s="34" t="s">
        <v>2289</v>
      </c>
      <c r="D194" s="34" t="s">
        <v>2290</v>
      </c>
      <c r="E194" s="35" t="s">
        <v>244</v>
      </c>
      <c r="F194" s="97">
        <v>28.05586</v>
      </c>
      <c r="G194" s="97">
        <v>-82.81619</v>
      </c>
      <c r="H194" s="97">
        <v>28.08028</v>
      </c>
      <c r="I194" s="76">
        <v>-82.78882</v>
      </c>
      <c r="J194" s="26" t="s">
        <v>2291</v>
      </c>
      <c r="K194" s="26" t="s">
        <v>2292</v>
      </c>
      <c r="L194" s="69">
        <v>3.0</v>
      </c>
      <c r="M194" s="75">
        <v>0.0</v>
      </c>
      <c r="N194" s="69">
        <v>7.0</v>
      </c>
      <c r="O194" s="69">
        <v>65.0</v>
      </c>
      <c r="P194" s="75">
        <v>0.0</v>
      </c>
      <c r="Q194" s="75">
        <v>0.0</v>
      </c>
      <c r="R194" s="69">
        <v>0.0</v>
      </c>
      <c r="S194" s="75">
        <v>1.0</v>
      </c>
      <c r="T194" s="75">
        <v>0.0</v>
      </c>
      <c r="U194" s="75">
        <v>0.0</v>
      </c>
      <c r="V194" s="75">
        <v>0.0</v>
      </c>
      <c r="W194" s="75">
        <v>2.0</v>
      </c>
      <c r="X194" s="75">
        <v>0.0</v>
      </c>
      <c r="Y194" s="69">
        <v>21.0</v>
      </c>
      <c r="Z194" s="69">
        <v>27.0</v>
      </c>
      <c r="AA194" s="69">
        <v>46.0</v>
      </c>
      <c r="AB194" s="75">
        <v>30.0</v>
      </c>
      <c r="AC194" s="75">
        <v>46.0</v>
      </c>
      <c r="AD194" s="75">
        <v>0.0</v>
      </c>
      <c r="AE194" s="69">
        <v>0.0</v>
      </c>
      <c r="AF194" s="75">
        <v>6.0</v>
      </c>
      <c r="AG194" s="75">
        <v>0.0</v>
      </c>
      <c r="AH194" s="69">
        <v>0.0</v>
      </c>
      <c r="AI194" s="75">
        <v>7.0</v>
      </c>
      <c r="AJ194" s="75">
        <v>0.0</v>
      </c>
      <c r="AK194" s="69">
        <v>0.0</v>
      </c>
      <c r="AL194" s="69">
        <v>0.0</v>
      </c>
      <c r="AM194" s="75">
        <v>0.0</v>
      </c>
      <c r="AN194" s="69">
        <v>24.0</v>
      </c>
      <c r="AO194" s="69">
        <v>0.0</v>
      </c>
      <c r="AP194" s="75">
        <v>0.0</v>
      </c>
      <c r="AQ194" s="69">
        <v>30.0</v>
      </c>
      <c r="AR194" s="69">
        <v>89.0</v>
      </c>
      <c r="AS194" s="75">
        <v>0.0</v>
      </c>
      <c r="AT194" s="75">
        <v>0.0</v>
      </c>
      <c r="AU194" s="75">
        <v>0.0</v>
      </c>
      <c r="AV194" s="69">
        <v>7.0</v>
      </c>
      <c r="AW194" s="69">
        <v>91.0</v>
      </c>
      <c r="AX194" s="75">
        <v>0.0</v>
      </c>
      <c r="AY194" s="69">
        <v>23.0</v>
      </c>
      <c r="AZ194" s="69">
        <v>98.0</v>
      </c>
      <c r="BA194" s="75">
        <v>0.0</v>
      </c>
      <c r="BB194" s="75">
        <v>0.0</v>
      </c>
      <c r="BC194" s="69">
        <v>0.0</v>
      </c>
      <c r="BD194" s="75">
        <v>0.0</v>
      </c>
      <c r="BE194" s="75">
        <v>0.0</v>
      </c>
      <c r="BF194" s="75">
        <v>0.0</v>
      </c>
      <c r="BG194" s="75">
        <v>0.0</v>
      </c>
      <c r="BH194" s="13">
        <f t="shared" si="26"/>
        <v>623</v>
      </c>
      <c r="BI194" s="26"/>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c r="CM194" s="13"/>
      <c r="CN194" s="13"/>
      <c r="CO194" s="13"/>
      <c r="CP194" s="13"/>
      <c r="CQ194" s="13"/>
      <c r="CR194" s="13"/>
      <c r="CS194" s="13"/>
      <c r="CT194" s="13"/>
      <c r="CU194" s="13"/>
      <c r="CV194" s="13"/>
      <c r="CW194" s="13"/>
      <c r="CX194" s="13"/>
      <c r="CY194" s="13"/>
      <c r="CZ194" s="13"/>
      <c r="DA194" s="13"/>
      <c r="DB194" s="13"/>
      <c r="DC194" s="13"/>
      <c r="DD194" s="13"/>
      <c r="DE194" s="13"/>
      <c r="DF194" s="13"/>
      <c r="DG194" s="13"/>
      <c r="DH194" s="13"/>
      <c r="DI194" s="13"/>
      <c r="DJ194" s="13"/>
      <c r="DK194" s="13"/>
      <c r="DL194" s="13"/>
      <c r="DM194" s="13"/>
      <c r="DN194" s="13"/>
      <c r="DO194" s="13"/>
      <c r="DP194" s="13"/>
      <c r="DQ194" s="13"/>
      <c r="DR194" s="13"/>
      <c r="DS194" s="13"/>
      <c r="DT194" s="13"/>
      <c r="DU194" s="13"/>
      <c r="DV194" s="13"/>
      <c r="DW194" s="13"/>
    </row>
    <row r="195" ht="36.75" customHeight="1">
      <c r="A195" s="11">
        <v>42769.0</v>
      </c>
      <c r="B195" s="13" t="s">
        <v>2275</v>
      </c>
      <c r="C195" s="13" t="s">
        <v>2571</v>
      </c>
      <c r="D195" s="13" t="s">
        <v>2573</v>
      </c>
      <c r="E195" s="34" t="s">
        <v>244</v>
      </c>
      <c r="F195" s="13">
        <v>27.7033</v>
      </c>
      <c r="G195" s="13">
        <v>-82.6687</v>
      </c>
      <c r="H195" s="13">
        <v>27.6996</v>
      </c>
      <c r="I195" s="14">
        <v>-82.65217</v>
      </c>
      <c r="J195" s="13" t="s">
        <v>2576</v>
      </c>
      <c r="K195" s="13" t="s">
        <v>2577</v>
      </c>
      <c r="N195" s="13">
        <v>23.0</v>
      </c>
      <c r="V195" s="13"/>
      <c r="Y195" s="13">
        <v>2.0</v>
      </c>
      <c r="AC195" s="13">
        <v>7.0</v>
      </c>
      <c r="AE195" s="13"/>
      <c r="AH195" s="13"/>
      <c r="AN195" s="13"/>
      <c r="AR195" s="13"/>
      <c r="AW195" s="13"/>
      <c r="AY195" s="13"/>
      <c r="BH195" s="13">
        <f t="shared" si="26"/>
        <v>32</v>
      </c>
      <c r="BI195" s="13" t="s">
        <v>2583</v>
      </c>
    </row>
    <row r="196" ht="36.75" customHeight="1">
      <c r="A196" s="11">
        <v>42769.0</v>
      </c>
      <c r="B196" s="13" t="s">
        <v>18</v>
      </c>
      <c r="C196" s="13" t="s">
        <v>2311</v>
      </c>
      <c r="D196" s="13" t="s">
        <v>2586</v>
      </c>
      <c r="E196" s="34" t="s">
        <v>244</v>
      </c>
      <c r="F196" s="13">
        <v>27.96564</v>
      </c>
      <c r="G196" s="13">
        <v>82.8186</v>
      </c>
      <c r="H196" s="13">
        <v>27.99663</v>
      </c>
      <c r="I196" s="14">
        <v>82.82774</v>
      </c>
      <c r="J196" s="13" t="s">
        <v>2313</v>
      </c>
      <c r="K196" s="13" t="s">
        <v>48</v>
      </c>
      <c r="L196" s="13">
        <v>1.0</v>
      </c>
      <c r="M196" s="13">
        <v>0.0</v>
      </c>
      <c r="N196" s="13">
        <v>0.0</v>
      </c>
      <c r="O196" s="13">
        <v>0.0</v>
      </c>
      <c r="P196" s="13">
        <v>0.0</v>
      </c>
      <c r="Q196" s="13">
        <v>0.0</v>
      </c>
      <c r="R196" s="13">
        <v>0.0</v>
      </c>
      <c r="S196" s="13">
        <v>0.0</v>
      </c>
      <c r="T196" s="13">
        <v>0.0</v>
      </c>
      <c r="U196" s="13">
        <v>0.0</v>
      </c>
      <c r="V196" s="13">
        <v>0.0</v>
      </c>
      <c r="W196" s="13">
        <v>0.0</v>
      </c>
      <c r="X196" s="13">
        <v>0.0</v>
      </c>
      <c r="Y196" s="13">
        <v>4.0</v>
      </c>
      <c r="Z196" s="13">
        <v>21.0</v>
      </c>
      <c r="AA196" s="13">
        <v>0.0</v>
      </c>
      <c r="AB196" s="13">
        <v>0.0</v>
      </c>
      <c r="AC196" s="13">
        <v>0.0</v>
      </c>
      <c r="AD196" s="13">
        <v>0.0</v>
      </c>
      <c r="AE196" s="13">
        <v>0.0</v>
      </c>
      <c r="AF196" s="13">
        <v>0.0</v>
      </c>
      <c r="AG196" s="13">
        <v>0.0</v>
      </c>
      <c r="AH196" s="13">
        <v>0.0</v>
      </c>
      <c r="AI196" s="13">
        <v>0.0</v>
      </c>
      <c r="AJ196" s="13">
        <v>0.0</v>
      </c>
      <c r="AK196" s="13">
        <v>0.0</v>
      </c>
      <c r="AL196" s="13">
        <v>2.0</v>
      </c>
      <c r="AM196" s="13">
        <v>0.0</v>
      </c>
      <c r="AN196" s="13">
        <v>74.0</v>
      </c>
      <c r="AO196" s="13">
        <v>0.0</v>
      </c>
      <c r="AP196" s="13">
        <v>0.0</v>
      </c>
      <c r="AQ196" s="13">
        <v>12.0</v>
      </c>
      <c r="AR196" s="13">
        <v>98.0</v>
      </c>
      <c r="AS196" s="13">
        <v>0.0</v>
      </c>
      <c r="AT196" s="13">
        <v>0.0</v>
      </c>
      <c r="AV196" s="13">
        <v>4.0</v>
      </c>
      <c r="AW196" s="13">
        <v>97.0</v>
      </c>
      <c r="AX196" s="13">
        <v>0.0</v>
      </c>
      <c r="AY196" s="13">
        <v>123.0</v>
      </c>
      <c r="AZ196" s="13">
        <v>42.0</v>
      </c>
      <c r="BA196" s="13">
        <v>2.0</v>
      </c>
      <c r="BB196" s="13">
        <v>0.0</v>
      </c>
      <c r="BC196" s="13">
        <v>0.0</v>
      </c>
      <c r="BE196" s="13"/>
      <c r="BH196" s="13">
        <f t="shared" si="26"/>
        <v>480</v>
      </c>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c r="CM196" s="13"/>
      <c r="CN196" s="13"/>
      <c r="CO196" s="13"/>
      <c r="CP196" s="13"/>
      <c r="CQ196" s="13"/>
      <c r="CR196" s="13"/>
      <c r="CS196" s="13"/>
      <c r="CT196" s="13"/>
      <c r="CU196" s="13"/>
      <c r="CV196" s="13"/>
      <c r="CW196" s="13"/>
      <c r="CX196" s="13"/>
      <c r="CY196" s="13"/>
      <c r="CZ196" s="13"/>
      <c r="DA196" s="13"/>
      <c r="DB196" s="13"/>
      <c r="DC196" s="13"/>
      <c r="DD196" s="13"/>
      <c r="DE196" s="13"/>
      <c r="DF196" s="13"/>
      <c r="DG196" s="13"/>
      <c r="DH196" s="13"/>
      <c r="DI196" s="13"/>
      <c r="DJ196" s="13"/>
      <c r="DK196" s="13"/>
      <c r="DL196" s="13"/>
      <c r="DM196" s="13"/>
      <c r="DN196" s="13"/>
      <c r="DO196" s="13"/>
      <c r="DP196" s="13"/>
      <c r="DQ196" s="13"/>
      <c r="DR196" s="13"/>
      <c r="DS196" s="13"/>
      <c r="DT196" s="13"/>
      <c r="DU196" s="13"/>
      <c r="DV196" s="13"/>
      <c r="DW196" s="13"/>
    </row>
    <row r="197" ht="36.75" customHeight="1">
      <c r="A197" s="112">
        <v>42770.0</v>
      </c>
      <c r="B197" s="13" t="s">
        <v>719</v>
      </c>
      <c r="C197" s="13" t="s">
        <v>720</v>
      </c>
      <c r="D197" s="13" t="s">
        <v>721</v>
      </c>
      <c r="E197" s="31" t="s">
        <v>244</v>
      </c>
      <c r="F197" s="13">
        <v>28.15368</v>
      </c>
      <c r="G197" s="13">
        <v>-82.79293</v>
      </c>
      <c r="H197" s="13">
        <v>28.15401</v>
      </c>
      <c r="I197" s="14">
        <v>-82.80559</v>
      </c>
      <c r="J197" s="13" t="s">
        <v>2605</v>
      </c>
      <c r="L197" s="13" t="s">
        <v>2606</v>
      </c>
      <c r="N197" s="13" t="s">
        <v>2606</v>
      </c>
      <c r="O197" s="13">
        <v>1.0</v>
      </c>
      <c r="P197" s="13">
        <v>1.0</v>
      </c>
      <c r="R197" s="13" t="s">
        <v>2606</v>
      </c>
      <c r="V197" s="13">
        <v>31.0</v>
      </c>
      <c r="W197" s="13" t="s">
        <v>2606</v>
      </c>
      <c r="Y197" s="13">
        <v>5.0</v>
      </c>
      <c r="Z197" s="13">
        <v>5.0</v>
      </c>
      <c r="AA197" s="13">
        <v>5.0</v>
      </c>
      <c r="AC197" s="13">
        <v>6.0</v>
      </c>
      <c r="AG197" s="13">
        <v>2.0</v>
      </c>
      <c r="AH197" s="13">
        <v>52.0</v>
      </c>
      <c r="AK197" s="13">
        <v>40.0</v>
      </c>
      <c r="AO197" s="13" t="s">
        <v>2606</v>
      </c>
      <c r="AQ197" s="13">
        <v>20.0</v>
      </c>
      <c r="AR197" s="13">
        <v>1.0</v>
      </c>
      <c r="AW197" s="13">
        <v>35.0</v>
      </c>
      <c r="AY197" s="13">
        <v>14.0</v>
      </c>
      <c r="AZ197" s="13">
        <v>50.0</v>
      </c>
      <c r="BA197" s="13">
        <v>1.0</v>
      </c>
      <c r="BH197">
        <f t="shared" si="26"/>
        <v>269</v>
      </c>
      <c r="BI197" s="13" t="s">
        <v>2614</v>
      </c>
    </row>
    <row r="198" ht="36.75" customHeight="1">
      <c r="A198" s="32">
        <v>42771.0</v>
      </c>
      <c r="B198" s="26" t="s">
        <v>1725</v>
      </c>
      <c r="C198" s="26" t="s">
        <v>1726</v>
      </c>
      <c r="D198" s="26" t="s">
        <v>2330</v>
      </c>
      <c r="E198" s="26" t="s">
        <v>244</v>
      </c>
      <c r="F198" s="74">
        <v>27.63733</v>
      </c>
      <c r="G198" s="74">
        <v>-82.69843</v>
      </c>
      <c r="H198" s="69">
        <v>27.61615</v>
      </c>
      <c r="I198" s="69">
        <v>-82.72958</v>
      </c>
      <c r="J198" s="26" t="s">
        <v>2331</v>
      </c>
      <c r="K198" s="26" t="s">
        <v>2615</v>
      </c>
      <c r="L198" s="69">
        <v>0.0</v>
      </c>
      <c r="M198" s="69">
        <v>0.0</v>
      </c>
      <c r="N198" s="69">
        <v>1.0</v>
      </c>
      <c r="O198" s="69">
        <v>17.0</v>
      </c>
      <c r="P198" s="69">
        <v>0.0</v>
      </c>
      <c r="Q198" s="69">
        <v>0.0</v>
      </c>
      <c r="R198" s="69">
        <v>1.0</v>
      </c>
      <c r="S198" s="69">
        <v>0.0</v>
      </c>
      <c r="T198" s="69">
        <v>0.0</v>
      </c>
      <c r="U198" s="69">
        <v>0.0</v>
      </c>
      <c r="V198" s="69">
        <v>0.0</v>
      </c>
      <c r="W198" s="69">
        <v>0.0</v>
      </c>
      <c r="X198" s="69">
        <v>0.0</v>
      </c>
      <c r="Y198" s="69">
        <v>18.0</v>
      </c>
      <c r="Z198" s="69">
        <v>58.0</v>
      </c>
      <c r="AA198" s="69">
        <v>0.0</v>
      </c>
      <c r="AB198" s="69">
        <v>0.0</v>
      </c>
      <c r="AC198" s="69">
        <v>5.0</v>
      </c>
      <c r="AD198" s="69">
        <v>0.0</v>
      </c>
      <c r="AE198" s="69">
        <v>0.0</v>
      </c>
      <c r="AF198" s="69">
        <v>10.0</v>
      </c>
      <c r="AG198" s="69">
        <v>0.0</v>
      </c>
      <c r="AH198" s="69">
        <v>1.0</v>
      </c>
      <c r="AI198" s="69">
        <v>1.0</v>
      </c>
      <c r="AJ198" s="69">
        <v>0.0</v>
      </c>
      <c r="AK198" s="69">
        <v>0.0</v>
      </c>
      <c r="AL198" s="69">
        <v>0.0</v>
      </c>
      <c r="AM198" s="69">
        <v>0.0</v>
      </c>
      <c r="AN198" s="69">
        <v>14.0</v>
      </c>
      <c r="AO198" s="69">
        <v>0.0</v>
      </c>
      <c r="AP198" s="69">
        <v>0.0</v>
      </c>
      <c r="AQ198" s="69">
        <v>13.0</v>
      </c>
      <c r="AR198" s="69">
        <v>0.0</v>
      </c>
      <c r="AS198" s="69">
        <v>0.0</v>
      </c>
      <c r="AT198" s="69">
        <v>0.0</v>
      </c>
      <c r="AU198" s="69">
        <v>0.0</v>
      </c>
      <c r="AV198" s="69">
        <v>1.0</v>
      </c>
      <c r="AW198" s="69">
        <v>58.0</v>
      </c>
      <c r="AX198" s="69">
        <v>0.0</v>
      </c>
      <c r="AY198" s="69">
        <v>16.0</v>
      </c>
      <c r="AZ198" s="69">
        <v>0.0</v>
      </c>
      <c r="BA198" s="69">
        <v>0.0</v>
      </c>
      <c r="BB198" s="69">
        <v>0.0</v>
      </c>
      <c r="BC198" s="69">
        <v>3.0</v>
      </c>
      <c r="BD198" s="69">
        <v>0.0</v>
      </c>
      <c r="BE198" s="69">
        <v>0.0</v>
      </c>
      <c r="BF198" s="69">
        <v>0.0</v>
      </c>
      <c r="BG198" s="69">
        <v>0.0</v>
      </c>
      <c r="BH198" s="13">
        <f t="shared" si="26"/>
        <v>217</v>
      </c>
      <c r="BI198" s="26"/>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c r="CL198" s="13"/>
      <c r="CM198" s="13"/>
      <c r="CN198" s="13"/>
      <c r="CO198" s="13"/>
      <c r="CP198" s="13"/>
      <c r="CQ198" s="13"/>
      <c r="CR198" s="13"/>
      <c r="CS198" s="13"/>
      <c r="CT198" s="13"/>
      <c r="CU198" s="13"/>
      <c r="CV198" s="13"/>
      <c r="CW198" s="13"/>
      <c r="CX198" s="13"/>
      <c r="CY198" s="13"/>
      <c r="CZ198" s="13"/>
      <c r="DA198" s="13"/>
      <c r="DB198" s="13"/>
      <c r="DC198" s="13"/>
      <c r="DD198" s="13"/>
      <c r="DE198" s="13"/>
      <c r="DF198" s="13"/>
      <c r="DG198" s="13"/>
      <c r="DH198" s="13"/>
      <c r="DI198" s="13"/>
      <c r="DJ198" s="13"/>
      <c r="DK198" s="13"/>
      <c r="DL198" s="13"/>
      <c r="DM198" s="13"/>
      <c r="DN198" s="13"/>
      <c r="DO198" s="13"/>
      <c r="DP198" s="13"/>
      <c r="DQ198" s="13"/>
      <c r="DR198" s="13"/>
      <c r="DS198" s="13"/>
      <c r="DT198" s="13"/>
      <c r="DU198" s="13"/>
      <c r="DV198" s="13"/>
      <c r="DW198" s="13"/>
    </row>
    <row r="199" ht="36.75" customHeight="1">
      <c r="A199" s="68">
        <v>42771.0</v>
      </c>
      <c r="B199" s="34" t="s">
        <v>1738</v>
      </c>
      <c r="C199" s="34" t="s">
        <v>1740</v>
      </c>
      <c r="D199" s="34" t="s">
        <v>2324</v>
      </c>
      <c r="E199" s="26" t="s">
        <v>244</v>
      </c>
      <c r="F199" s="69">
        <v>27.541803</v>
      </c>
      <c r="G199" s="69">
        <v>82.505663</v>
      </c>
      <c r="H199" s="69">
        <v>27.522134</v>
      </c>
      <c r="I199" s="69">
        <v>82.510423</v>
      </c>
      <c r="J199" s="26" t="s">
        <v>2622</v>
      </c>
      <c r="K199" s="26" t="s">
        <v>2623</v>
      </c>
      <c r="L199" s="75">
        <v>0.0</v>
      </c>
      <c r="M199" s="75">
        <v>0.0</v>
      </c>
      <c r="N199" s="69">
        <v>0.0</v>
      </c>
      <c r="O199" s="69">
        <v>0.0</v>
      </c>
      <c r="P199" s="75">
        <v>0.0</v>
      </c>
      <c r="Q199" s="75">
        <v>0.0</v>
      </c>
      <c r="R199" s="75">
        <v>0.0</v>
      </c>
      <c r="S199" s="75">
        <v>0.0</v>
      </c>
      <c r="T199" s="75">
        <v>0.0</v>
      </c>
      <c r="U199" s="75">
        <v>0.0</v>
      </c>
      <c r="V199" s="75">
        <v>0.0</v>
      </c>
      <c r="W199" s="75">
        <v>0.0</v>
      </c>
      <c r="X199" s="69">
        <v>23.0</v>
      </c>
      <c r="Y199" s="69">
        <v>7.0</v>
      </c>
      <c r="Z199" s="69">
        <v>67.0</v>
      </c>
      <c r="AA199" s="69">
        <v>0.0</v>
      </c>
      <c r="AB199" s="75">
        <v>0.0</v>
      </c>
      <c r="AC199" s="69">
        <v>0.0</v>
      </c>
      <c r="AD199" s="69">
        <v>0.0</v>
      </c>
      <c r="AE199" s="75">
        <v>0.0</v>
      </c>
      <c r="AF199" s="69">
        <v>0.0</v>
      </c>
      <c r="AG199" s="75">
        <v>0.0</v>
      </c>
      <c r="AH199" s="69">
        <v>34.0</v>
      </c>
      <c r="AI199" s="69">
        <v>0.0</v>
      </c>
      <c r="AJ199" s="75">
        <v>0.0</v>
      </c>
      <c r="AK199" s="75">
        <v>0.0</v>
      </c>
      <c r="AL199" s="75">
        <v>3.0</v>
      </c>
      <c r="AM199" s="75">
        <v>0.0</v>
      </c>
      <c r="AN199" s="69">
        <v>22.0</v>
      </c>
      <c r="AO199" s="69">
        <v>0.0</v>
      </c>
      <c r="AP199" s="75">
        <v>0.0</v>
      </c>
      <c r="AQ199" s="75">
        <v>6.0</v>
      </c>
      <c r="AR199" s="75">
        <v>30.0</v>
      </c>
      <c r="AS199" s="75">
        <v>0.0</v>
      </c>
      <c r="AT199" s="75">
        <v>0.0</v>
      </c>
      <c r="AU199" s="75">
        <v>0.0</v>
      </c>
      <c r="AV199" s="69">
        <v>2.0</v>
      </c>
      <c r="AW199" s="75">
        <v>141.0</v>
      </c>
      <c r="AX199" s="75">
        <v>0.0</v>
      </c>
      <c r="AY199" s="69">
        <v>23.0</v>
      </c>
      <c r="AZ199" s="69">
        <v>21.0</v>
      </c>
      <c r="BA199" s="75">
        <v>29.0</v>
      </c>
      <c r="BB199" s="75">
        <v>0.0</v>
      </c>
      <c r="BC199" s="75">
        <v>0.0</v>
      </c>
      <c r="BD199" s="75">
        <v>0.0</v>
      </c>
      <c r="BE199" s="75">
        <v>0.0</v>
      </c>
      <c r="BF199" s="75">
        <v>0.0</v>
      </c>
      <c r="BG199" s="75">
        <v>0.0</v>
      </c>
      <c r="BH199" s="13">
        <f t="shared" si="26"/>
        <v>408</v>
      </c>
      <c r="BI199" s="38" t="s">
        <v>2625</v>
      </c>
    </row>
    <row r="200" ht="36.75" customHeight="1">
      <c r="A200" s="11">
        <v>42771.0</v>
      </c>
      <c r="B200" s="13" t="s">
        <v>2339</v>
      </c>
      <c r="C200" s="13" t="s">
        <v>2340</v>
      </c>
      <c r="D200" s="13" t="s">
        <v>2341</v>
      </c>
      <c r="E200" s="26" t="s">
        <v>244</v>
      </c>
      <c r="F200" s="13">
        <v>27.755615</v>
      </c>
      <c r="G200" s="13">
        <v>-82.765355</v>
      </c>
      <c r="H200" s="13">
        <v>27.738693</v>
      </c>
      <c r="I200" s="14">
        <v>-82.756562</v>
      </c>
      <c r="J200" s="13" t="s">
        <v>2342</v>
      </c>
      <c r="K200" s="13" t="s">
        <v>2626</v>
      </c>
      <c r="L200" s="13">
        <v>2.0</v>
      </c>
      <c r="M200" s="13">
        <v>0.0</v>
      </c>
      <c r="N200" s="13">
        <v>1.0</v>
      </c>
      <c r="O200" s="13">
        <v>5.0</v>
      </c>
      <c r="P200" s="13">
        <v>0.0</v>
      </c>
      <c r="Q200" s="13">
        <v>0.0</v>
      </c>
      <c r="R200" s="13">
        <v>5.0</v>
      </c>
      <c r="S200" s="13">
        <v>0.0</v>
      </c>
      <c r="T200" s="13">
        <v>0.0</v>
      </c>
      <c r="U200" s="13">
        <v>0.0</v>
      </c>
      <c r="V200" s="13">
        <v>0.0</v>
      </c>
      <c r="W200" s="13">
        <v>0.0</v>
      </c>
      <c r="X200" s="13">
        <v>0.0</v>
      </c>
      <c r="Y200" s="13">
        <v>9.0</v>
      </c>
      <c r="Z200" s="13">
        <v>4.0</v>
      </c>
      <c r="AA200" s="13">
        <v>0.0</v>
      </c>
      <c r="AB200" s="13">
        <v>0.0</v>
      </c>
      <c r="AC200" s="13">
        <v>0.0</v>
      </c>
      <c r="AD200" s="13">
        <v>0.0</v>
      </c>
      <c r="AE200" s="13">
        <v>0.0</v>
      </c>
      <c r="AF200" s="13">
        <v>1.0</v>
      </c>
      <c r="AG200" s="13">
        <v>0.0</v>
      </c>
      <c r="AH200" s="13">
        <v>7.0</v>
      </c>
      <c r="AI200" s="13">
        <v>0.0</v>
      </c>
      <c r="AJ200" s="13">
        <v>0.0</v>
      </c>
      <c r="AK200" s="13">
        <v>0.0</v>
      </c>
      <c r="AL200" s="13">
        <v>0.0</v>
      </c>
      <c r="AM200" s="13">
        <v>0.0</v>
      </c>
      <c r="AN200" s="13">
        <v>11.0</v>
      </c>
      <c r="AO200" s="13">
        <v>0.0</v>
      </c>
      <c r="AP200" s="13">
        <v>0.0</v>
      </c>
      <c r="AQ200" s="13">
        <v>3.0</v>
      </c>
      <c r="AR200" s="13">
        <v>5.0</v>
      </c>
      <c r="AS200" s="13">
        <v>0.0</v>
      </c>
      <c r="AT200" s="13">
        <v>0.0</v>
      </c>
      <c r="AU200" s="13">
        <v>0.0</v>
      </c>
      <c r="AV200" s="13">
        <v>1.0</v>
      </c>
      <c r="AW200" s="13">
        <v>42.0</v>
      </c>
      <c r="AX200" s="13">
        <v>0.0</v>
      </c>
      <c r="AY200" s="13">
        <v>5.0</v>
      </c>
      <c r="AZ200" s="13">
        <v>7.0</v>
      </c>
      <c r="BA200" s="13">
        <v>0.0</v>
      </c>
      <c r="BB200" s="13">
        <v>0.0</v>
      </c>
      <c r="BC200" s="13">
        <v>0.0</v>
      </c>
      <c r="BD200" s="13">
        <v>0.0</v>
      </c>
      <c r="BE200" s="13">
        <v>0.0</v>
      </c>
      <c r="BF200" s="13">
        <v>0.0</v>
      </c>
      <c r="BG200" s="13">
        <v>0.0</v>
      </c>
      <c r="BH200">
        <f>SUM(L200:BG200)</f>
        <v>108</v>
      </c>
      <c r="BI200" s="13" t="s">
        <v>2629</v>
      </c>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c r="CL200" s="13"/>
      <c r="CM200" s="13"/>
      <c r="CN200" s="13"/>
      <c r="CO200" s="13"/>
      <c r="CP200" s="13"/>
      <c r="CQ200" s="13"/>
      <c r="CR200" s="13"/>
      <c r="CS200" s="13"/>
      <c r="CT200" s="13"/>
      <c r="CU200" s="13"/>
      <c r="CV200" s="13"/>
      <c r="CW200" s="13"/>
      <c r="CX200" s="13"/>
      <c r="CY200" s="13"/>
      <c r="CZ200" s="13"/>
      <c r="DA200" s="13"/>
      <c r="DB200" s="13"/>
      <c r="DC200" s="13"/>
      <c r="DD200" s="13"/>
      <c r="DE200" s="13"/>
      <c r="DF200" s="13"/>
      <c r="DG200" s="13"/>
      <c r="DH200" s="13"/>
      <c r="DI200" s="13"/>
      <c r="DJ200" s="13"/>
      <c r="DK200" s="13"/>
      <c r="DL200" s="13"/>
      <c r="DM200" s="13"/>
      <c r="DN200" s="13"/>
      <c r="DO200" s="13"/>
      <c r="DP200" s="13"/>
      <c r="DQ200" s="13"/>
      <c r="DR200" s="13"/>
      <c r="DS200" s="13"/>
      <c r="DT200" s="13"/>
      <c r="DU200" s="13"/>
      <c r="DV200" s="13"/>
      <c r="DW200" s="13"/>
    </row>
    <row r="201" ht="36.75" customHeight="1">
      <c r="A201" s="68">
        <v>42772.0</v>
      </c>
      <c r="B201" s="34" t="s">
        <v>2344</v>
      </c>
      <c r="C201" s="34" t="s">
        <v>2345</v>
      </c>
      <c r="D201" s="34" t="s">
        <v>2346</v>
      </c>
      <c r="E201" s="26" t="s">
        <v>244</v>
      </c>
      <c r="F201" s="97">
        <v>27.964623</v>
      </c>
      <c r="G201" s="97">
        <v>-82.831797</v>
      </c>
      <c r="H201" s="97">
        <v>27.9099376</v>
      </c>
      <c r="I201" s="76">
        <v>-82.84754</v>
      </c>
      <c r="J201" s="26" t="s">
        <v>2347</v>
      </c>
      <c r="K201" s="26" t="s">
        <v>493</v>
      </c>
      <c r="L201" s="75">
        <v>2.0</v>
      </c>
      <c r="M201" s="75">
        <v>0.0</v>
      </c>
      <c r="N201" s="69">
        <v>0.0</v>
      </c>
      <c r="O201" s="75">
        <v>0.0</v>
      </c>
      <c r="P201" s="75">
        <v>0.0</v>
      </c>
      <c r="Q201" s="75">
        <v>0.0</v>
      </c>
      <c r="R201" s="75">
        <v>0.0</v>
      </c>
      <c r="S201" s="75">
        <v>0.0</v>
      </c>
      <c r="T201" s="75">
        <v>0.0</v>
      </c>
      <c r="U201" s="75">
        <v>0.0</v>
      </c>
      <c r="V201" s="75">
        <v>0.0</v>
      </c>
      <c r="W201" s="75">
        <v>0.0</v>
      </c>
      <c r="X201" s="75">
        <v>129.0</v>
      </c>
      <c r="Y201" s="69">
        <v>6.0</v>
      </c>
      <c r="Z201" s="69">
        <v>27.0</v>
      </c>
      <c r="AA201" s="75">
        <v>0.0</v>
      </c>
      <c r="AB201" s="75">
        <v>0.0</v>
      </c>
      <c r="AC201" s="75">
        <v>0.0</v>
      </c>
      <c r="AD201" s="75">
        <v>0.0</v>
      </c>
      <c r="AE201" s="75">
        <v>0.0</v>
      </c>
      <c r="AF201" s="75">
        <v>0.0</v>
      </c>
      <c r="AG201" s="75">
        <v>0.0</v>
      </c>
      <c r="AH201" s="69">
        <v>6.0</v>
      </c>
      <c r="AI201" s="75">
        <v>0.0</v>
      </c>
      <c r="AJ201" s="75">
        <v>0.0</v>
      </c>
      <c r="AK201" s="75">
        <v>0.0</v>
      </c>
      <c r="AL201" s="75">
        <v>0.0</v>
      </c>
      <c r="AM201" s="75">
        <v>0.0</v>
      </c>
      <c r="AN201" s="69">
        <v>10.0</v>
      </c>
      <c r="AO201" s="75">
        <v>0.0</v>
      </c>
      <c r="AP201" s="75">
        <v>0.0</v>
      </c>
      <c r="AQ201" s="75">
        <v>7.0</v>
      </c>
      <c r="AR201" s="75">
        <v>0.0</v>
      </c>
      <c r="AS201" s="75">
        <v>0.0</v>
      </c>
      <c r="AT201" s="75">
        <v>0.0</v>
      </c>
      <c r="AU201" s="75">
        <v>0.0</v>
      </c>
      <c r="AV201" s="75">
        <v>5.0</v>
      </c>
      <c r="AW201" s="75">
        <v>148.0</v>
      </c>
      <c r="AX201" s="75">
        <v>0.0</v>
      </c>
      <c r="AY201" s="69">
        <v>12.0</v>
      </c>
      <c r="AZ201" s="75">
        <v>80.0</v>
      </c>
      <c r="BA201" s="75">
        <v>0.0</v>
      </c>
      <c r="BB201" s="75">
        <v>0.0</v>
      </c>
      <c r="BC201" s="75">
        <v>0.0</v>
      </c>
      <c r="BD201" s="75">
        <v>0.0</v>
      </c>
      <c r="BE201" s="75">
        <v>0.0</v>
      </c>
      <c r="BF201" s="75">
        <v>0.0</v>
      </c>
      <c r="BG201" s="75">
        <v>0.0</v>
      </c>
      <c r="BH201" s="13">
        <f t="shared" ref="BH201:BH206" si="27">sum(L201:BG201)</f>
        <v>432</v>
      </c>
      <c r="BI201" s="38"/>
    </row>
    <row r="202" ht="36.75" customHeight="1">
      <c r="A202" s="11">
        <v>42772.0</v>
      </c>
      <c r="B202" s="13" t="s">
        <v>2355</v>
      </c>
      <c r="C202" s="13" t="s">
        <v>2356</v>
      </c>
      <c r="D202" s="13" t="s">
        <v>2633</v>
      </c>
      <c r="E202" s="28" t="s">
        <v>244</v>
      </c>
      <c r="F202" s="17">
        <v>27.737616</v>
      </c>
      <c r="G202" s="17">
        <v>-82.706705</v>
      </c>
      <c r="H202" s="17">
        <v>27.736572</v>
      </c>
      <c r="I202" s="14">
        <v>-82.710976</v>
      </c>
      <c r="J202" s="13" t="s">
        <v>2634</v>
      </c>
      <c r="K202" s="13" t="s">
        <v>2359</v>
      </c>
      <c r="L202" s="13">
        <v>0.0</v>
      </c>
      <c r="M202" s="13">
        <v>0.0</v>
      </c>
      <c r="N202" s="13">
        <v>0.0</v>
      </c>
      <c r="O202" s="13">
        <v>0.0</v>
      </c>
      <c r="P202" s="13">
        <v>0.0</v>
      </c>
      <c r="Q202" s="13">
        <v>0.0</v>
      </c>
      <c r="R202" s="13">
        <v>0.0</v>
      </c>
      <c r="S202" s="13">
        <v>0.0</v>
      </c>
      <c r="T202" s="13">
        <v>0.0</v>
      </c>
      <c r="U202" s="13">
        <v>0.0</v>
      </c>
      <c r="V202" s="13">
        <v>4.0</v>
      </c>
      <c r="W202" s="13">
        <v>0.0</v>
      </c>
      <c r="X202" s="13">
        <v>0.0</v>
      </c>
      <c r="Y202" s="13">
        <v>0.0</v>
      </c>
      <c r="Z202" s="13">
        <v>0.0</v>
      </c>
      <c r="AA202" s="13">
        <v>0.0</v>
      </c>
      <c r="AB202" s="13">
        <v>0.0</v>
      </c>
      <c r="AC202" s="13">
        <v>0.0</v>
      </c>
      <c r="AD202" s="13">
        <v>0.0</v>
      </c>
      <c r="AE202" s="13">
        <v>0.0</v>
      </c>
      <c r="AF202" s="13">
        <v>0.0</v>
      </c>
      <c r="AG202" s="13">
        <v>0.0</v>
      </c>
      <c r="AH202" s="13">
        <v>61.0</v>
      </c>
      <c r="AI202" s="13">
        <v>0.0</v>
      </c>
      <c r="AJ202" s="13">
        <v>0.0</v>
      </c>
      <c r="AK202" s="13">
        <v>30.0</v>
      </c>
      <c r="AL202" s="13">
        <v>0.0</v>
      </c>
      <c r="AM202" s="13">
        <v>0.0</v>
      </c>
      <c r="AN202" s="13">
        <v>0.0</v>
      </c>
      <c r="AO202" s="13">
        <v>0.0</v>
      </c>
      <c r="AP202" s="13">
        <v>0.0</v>
      </c>
      <c r="AQ202" s="13">
        <v>0.0</v>
      </c>
      <c r="AR202" s="13">
        <v>0.0</v>
      </c>
      <c r="AS202" s="13">
        <v>0.0</v>
      </c>
      <c r="AT202" s="13">
        <v>0.0</v>
      </c>
      <c r="AU202" s="13">
        <v>0.0</v>
      </c>
      <c r="AV202" s="13">
        <v>3.0</v>
      </c>
      <c r="AW202" s="13">
        <v>78.0</v>
      </c>
      <c r="AX202" s="13">
        <v>0.0</v>
      </c>
      <c r="AY202" s="13">
        <v>0.0</v>
      </c>
      <c r="AZ202" s="13">
        <v>2.0</v>
      </c>
      <c r="BA202" s="13">
        <v>0.0</v>
      </c>
      <c r="BB202" s="13">
        <v>0.0</v>
      </c>
      <c r="BC202" s="13">
        <v>0.0</v>
      </c>
      <c r="BD202" s="13">
        <v>0.0</v>
      </c>
      <c r="BE202" s="13">
        <v>0.0</v>
      </c>
      <c r="BF202" s="13">
        <v>0.0</v>
      </c>
      <c r="BG202" s="13">
        <v>0.0</v>
      </c>
      <c r="BH202" s="13">
        <f t="shared" si="27"/>
        <v>178</v>
      </c>
      <c r="BI202" s="13" t="s">
        <v>2644</v>
      </c>
    </row>
    <row r="203" ht="36.75" customHeight="1">
      <c r="A203" s="11">
        <v>42772.0</v>
      </c>
      <c r="B203" s="13" t="s">
        <v>537</v>
      </c>
      <c r="C203" s="13" t="s">
        <v>2646</v>
      </c>
      <c r="D203" s="13" t="s">
        <v>2362</v>
      </c>
      <c r="E203" s="34" t="s">
        <v>244</v>
      </c>
      <c r="F203" s="13">
        <v>27.8431167</v>
      </c>
      <c r="G203" s="13">
        <v>-82.8416333</v>
      </c>
      <c r="H203" s="13">
        <v>27.8118167</v>
      </c>
      <c r="I203" s="14">
        <v>-82.8176833</v>
      </c>
      <c r="J203" s="13" t="s">
        <v>2363</v>
      </c>
      <c r="K203" s="13" t="s">
        <v>2364</v>
      </c>
      <c r="L203" s="13">
        <v>0.0</v>
      </c>
      <c r="M203" s="13">
        <v>0.0</v>
      </c>
      <c r="N203" s="13">
        <v>2.0</v>
      </c>
      <c r="O203" s="13">
        <v>60.0</v>
      </c>
      <c r="P203" s="13">
        <v>0.0</v>
      </c>
      <c r="Q203" s="13">
        <v>0.0</v>
      </c>
      <c r="R203" s="13">
        <v>0.0</v>
      </c>
      <c r="S203" s="13">
        <v>0.0</v>
      </c>
      <c r="T203" s="13">
        <v>0.0</v>
      </c>
      <c r="U203" s="13">
        <v>0.0</v>
      </c>
      <c r="V203" s="13">
        <v>0.0</v>
      </c>
      <c r="W203" s="13">
        <v>0.0</v>
      </c>
      <c r="X203" s="13">
        <v>8.0</v>
      </c>
      <c r="Y203" s="13">
        <v>7.0</v>
      </c>
      <c r="Z203" s="13">
        <v>233.0</v>
      </c>
      <c r="AA203" s="13">
        <v>0.0</v>
      </c>
      <c r="AB203" s="13">
        <v>0.0</v>
      </c>
      <c r="AC203" s="13">
        <v>0.0</v>
      </c>
      <c r="AD203" s="13">
        <v>0.0</v>
      </c>
      <c r="AE203" s="13">
        <v>0.0</v>
      </c>
      <c r="AF203" s="13">
        <v>0.0</v>
      </c>
      <c r="AG203" s="13">
        <v>0.0</v>
      </c>
      <c r="AH203" s="13">
        <v>18.0</v>
      </c>
      <c r="AI203" s="13">
        <v>0.0</v>
      </c>
      <c r="AJ203" s="13">
        <v>0.0</v>
      </c>
      <c r="AK203" s="13">
        <v>104.0</v>
      </c>
      <c r="AL203" s="13">
        <v>0.0</v>
      </c>
      <c r="AM203" s="13">
        <v>0.0</v>
      </c>
      <c r="AN203" s="13">
        <v>0.0</v>
      </c>
      <c r="AO203" s="13">
        <v>0.0</v>
      </c>
      <c r="AP203" s="13">
        <v>0.0</v>
      </c>
      <c r="AQ203" s="13">
        <v>53.0</v>
      </c>
      <c r="AR203" s="13">
        <v>76.0</v>
      </c>
      <c r="AS203" s="13">
        <v>0.0</v>
      </c>
      <c r="AT203" s="13">
        <v>0.0</v>
      </c>
      <c r="AU203" s="13">
        <v>1.0</v>
      </c>
      <c r="AV203" s="13">
        <v>0.0</v>
      </c>
      <c r="AW203" s="13">
        <v>165.0</v>
      </c>
      <c r="AX203" s="13">
        <v>3.0</v>
      </c>
      <c r="AY203" s="13">
        <v>55.0</v>
      </c>
      <c r="AZ203" s="13">
        <v>188.0</v>
      </c>
      <c r="BA203" s="13">
        <v>4.0</v>
      </c>
      <c r="BB203" s="13">
        <v>0.0</v>
      </c>
      <c r="BC203" s="13">
        <v>0.0</v>
      </c>
      <c r="BD203" s="13">
        <v>0.0</v>
      </c>
      <c r="BE203" s="13">
        <v>0.0</v>
      </c>
      <c r="BF203" s="13">
        <v>0.0</v>
      </c>
      <c r="BG203" s="13">
        <v>0.0</v>
      </c>
      <c r="BH203" s="13">
        <f t="shared" si="27"/>
        <v>977</v>
      </c>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c r="CM203" s="13"/>
      <c r="CN203" s="13"/>
      <c r="CO203" s="13"/>
      <c r="CP203" s="13"/>
      <c r="CQ203" s="13"/>
      <c r="CR203" s="13"/>
      <c r="CS203" s="13"/>
      <c r="CT203" s="13"/>
      <c r="CU203" s="13"/>
      <c r="CV203" s="13"/>
      <c r="CW203" s="13"/>
      <c r="CX203" s="13"/>
      <c r="CY203" s="13"/>
      <c r="CZ203" s="13"/>
      <c r="DA203" s="13"/>
      <c r="DB203" s="13"/>
      <c r="DC203" s="13"/>
      <c r="DD203" s="13"/>
      <c r="DE203" s="13"/>
      <c r="DF203" s="13"/>
      <c r="DG203" s="13"/>
      <c r="DH203" s="13"/>
      <c r="DI203" s="13"/>
      <c r="DJ203" s="13"/>
      <c r="DK203" s="13"/>
      <c r="DL203" s="13"/>
      <c r="DM203" s="13"/>
      <c r="DN203" s="13"/>
      <c r="DO203" s="13"/>
      <c r="DP203" s="13"/>
      <c r="DQ203" s="13"/>
      <c r="DR203" s="13"/>
      <c r="DS203" s="13"/>
      <c r="DT203" s="13"/>
      <c r="DU203" s="13"/>
      <c r="DV203" s="13"/>
      <c r="DW203" s="13"/>
    </row>
    <row r="204" ht="36.75" customHeight="1">
      <c r="A204" s="15">
        <v>42773.0</v>
      </c>
      <c r="B204" s="16" t="s">
        <v>241</v>
      </c>
      <c r="C204" s="16" t="s">
        <v>242</v>
      </c>
      <c r="D204" s="16" t="s">
        <v>243</v>
      </c>
      <c r="E204" s="26" t="s">
        <v>244</v>
      </c>
      <c r="F204" s="97">
        <v>27.873586</v>
      </c>
      <c r="G204" s="97">
        <v>-82.601631</v>
      </c>
      <c r="H204" s="97">
        <v>27.873586</v>
      </c>
      <c r="I204" s="76">
        <v>-82.601631</v>
      </c>
      <c r="J204" s="13" t="s">
        <v>2380</v>
      </c>
      <c r="K204" s="13" t="s">
        <v>2381</v>
      </c>
      <c r="L204" s="13">
        <v>0.0</v>
      </c>
      <c r="M204" s="13">
        <v>0.0</v>
      </c>
      <c r="N204" s="13">
        <v>10.0</v>
      </c>
      <c r="O204" s="13">
        <v>0.0</v>
      </c>
      <c r="P204" s="13">
        <v>0.0</v>
      </c>
      <c r="Q204" s="13">
        <v>0.0</v>
      </c>
      <c r="R204" s="13">
        <v>7.0</v>
      </c>
      <c r="S204" s="13">
        <v>0.0</v>
      </c>
      <c r="T204" s="13">
        <v>0.0</v>
      </c>
      <c r="U204" s="13">
        <v>0.0</v>
      </c>
      <c r="V204" s="13">
        <v>0.0</v>
      </c>
      <c r="W204" s="13">
        <v>0.0</v>
      </c>
      <c r="X204" s="13">
        <v>0.0</v>
      </c>
      <c r="Y204" s="13">
        <v>6.0</v>
      </c>
      <c r="Z204" s="13">
        <v>0.0</v>
      </c>
      <c r="AA204" s="13">
        <v>0.0</v>
      </c>
      <c r="AB204" s="13">
        <v>0.0</v>
      </c>
      <c r="AC204" s="13">
        <v>0.0</v>
      </c>
      <c r="AD204" s="13">
        <v>0.0</v>
      </c>
      <c r="AE204" s="13">
        <v>0.0</v>
      </c>
      <c r="AF204" s="13">
        <v>0.0</v>
      </c>
      <c r="AG204" s="13">
        <v>0.0</v>
      </c>
      <c r="AH204" s="13">
        <v>2.0</v>
      </c>
      <c r="AI204" s="13">
        <v>0.0</v>
      </c>
      <c r="AJ204" s="13">
        <v>0.0</v>
      </c>
      <c r="AK204" s="13">
        <v>210.0</v>
      </c>
      <c r="AL204" s="13">
        <v>0.0</v>
      </c>
      <c r="AM204" s="13">
        <v>0.0</v>
      </c>
      <c r="AN204" s="13">
        <v>0.0</v>
      </c>
      <c r="AO204" s="13">
        <v>1.0</v>
      </c>
      <c r="AP204" s="13">
        <v>0.0</v>
      </c>
      <c r="AQ204" s="13">
        <v>28.0</v>
      </c>
      <c r="AR204" s="13">
        <v>32.0</v>
      </c>
      <c r="AS204" s="13">
        <v>0.0</v>
      </c>
      <c r="AT204" s="13">
        <v>0.0</v>
      </c>
      <c r="AU204" s="13">
        <v>0.0</v>
      </c>
      <c r="AV204" s="13">
        <v>0.0</v>
      </c>
      <c r="AW204" s="13">
        <v>48.0</v>
      </c>
      <c r="AX204" s="13">
        <v>0.0</v>
      </c>
      <c r="AY204" s="13">
        <v>49.0</v>
      </c>
      <c r="AZ204" s="13">
        <v>25.0</v>
      </c>
      <c r="BA204" s="13">
        <v>0.0</v>
      </c>
      <c r="BB204" s="13">
        <v>0.0</v>
      </c>
      <c r="BC204" s="13">
        <v>0.0</v>
      </c>
      <c r="BD204" s="13">
        <v>0.0</v>
      </c>
      <c r="BE204" s="13">
        <v>0.0</v>
      </c>
      <c r="BF204" s="13">
        <v>0.0</v>
      </c>
      <c r="BG204" s="13">
        <v>0.0</v>
      </c>
      <c r="BH204" s="13">
        <f t="shared" si="27"/>
        <v>418</v>
      </c>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c r="CM204" s="13"/>
      <c r="CN204" s="13"/>
      <c r="CO204" s="13"/>
      <c r="CP204" s="13"/>
      <c r="CQ204" s="13"/>
      <c r="CR204" s="13"/>
      <c r="CS204" s="13"/>
      <c r="CT204" s="13"/>
      <c r="CU204" s="13"/>
      <c r="CV204" s="13"/>
      <c r="CW204" s="13"/>
      <c r="CX204" s="13"/>
      <c r="CY204" s="13"/>
      <c r="CZ204" s="13"/>
      <c r="DA204" s="13"/>
      <c r="DB204" s="13"/>
      <c r="DC204" s="13"/>
      <c r="DD204" s="13"/>
      <c r="DE204" s="13"/>
      <c r="DF204" s="13"/>
      <c r="DG204" s="13"/>
      <c r="DH204" s="13"/>
      <c r="DI204" s="13"/>
      <c r="DJ204" s="13"/>
      <c r="DK204" s="13"/>
      <c r="DL204" s="13"/>
      <c r="DM204" s="13"/>
      <c r="DN204" s="13"/>
      <c r="DO204" s="13"/>
      <c r="DP204" s="13"/>
      <c r="DQ204" s="13"/>
      <c r="DR204" s="13"/>
      <c r="DS204" s="13"/>
      <c r="DT204" s="13"/>
      <c r="DU204" s="13"/>
      <c r="DV204" s="13"/>
      <c r="DW204" s="13"/>
    </row>
    <row r="205" ht="36.75" customHeight="1">
      <c r="A205" s="11">
        <v>42773.0</v>
      </c>
      <c r="B205" s="13" t="s">
        <v>2386</v>
      </c>
      <c r="C205" s="13" t="s">
        <v>2670</v>
      </c>
      <c r="D205" s="13" t="s">
        <v>2388</v>
      </c>
      <c r="E205" s="34" t="s">
        <v>244</v>
      </c>
      <c r="F205" s="13" t="s">
        <v>2389</v>
      </c>
      <c r="G205" s="13" t="s">
        <v>2390</v>
      </c>
      <c r="H205" s="13" t="s">
        <v>2391</v>
      </c>
      <c r="I205" s="14" t="s">
        <v>2392</v>
      </c>
      <c r="J205" s="13" t="s">
        <v>2393</v>
      </c>
      <c r="K205" s="13" t="s">
        <v>2671</v>
      </c>
      <c r="L205" s="13">
        <v>0.0</v>
      </c>
      <c r="M205" s="13">
        <v>0.0</v>
      </c>
      <c r="N205" s="13">
        <v>0.0</v>
      </c>
      <c r="O205" s="13">
        <v>0.0</v>
      </c>
      <c r="P205" s="13">
        <v>0.0</v>
      </c>
      <c r="Q205" s="13">
        <v>0.0</v>
      </c>
      <c r="R205" s="13">
        <v>0.0</v>
      </c>
      <c r="S205" s="13">
        <v>0.0</v>
      </c>
      <c r="T205" s="13">
        <v>0.0</v>
      </c>
      <c r="U205" s="13">
        <v>0.0</v>
      </c>
      <c r="V205" s="13">
        <v>0.0</v>
      </c>
      <c r="W205" s="13">
        <v>0.0</v>
      </c>
      <c r="X205" s="13">
        <v>0.0</v>
      </c>
      <c r="Y205" s="13">
        <v>0.0</v>
      </c>
      <c r="Z205" s="13">
        <v>0.0</v>
      </c>
      <c r="AA205" s="13">
        <v>0.0</v>
      </c>
      <c r="AB205" s="13">
        <v>0.0</v>
      </c>
      <c r="AC205" s="13">
        <v>0.0</v>
      </c>
      <c r="AD205" s="13">
        <v>0.0</v>
      </c>
      <c r="AE205" s="13">
        <v>0.0</v>
      </c>
      <c r="AF205" s="13">
        <v>0.0</v>
      </c>
      <c r="AG205" s="13">
        <v>0.0</v>
      </c>
      <c r="AH205" s="13">
        <v>1.0</v>
      </c>
      <c r="AI205" s="13">
        <v>0.0</v>
      </c>
      <c r="AJ205" s="13">
        <v>0.0</v>
      </c>
      <c r="AK205" s="13">
        <v>98.0</v>
      </c>
      <c r="AL205" s="13">
        <v>0.0</v>
      </c>
      <c r="AM205" s="13">
        <v>0.0</v>
      </c>
      <c r="AN205" s="13">
        <v>0.0</v>
      </c>
      <c r="AO205" s="13">
        <v>0.0</v>
      </c>
      <c r="AP205" s="13">
        <v>0.0</v>
      </c>
      <c r="AQ205" s="13">
        <v>0.0</v>
      </c>
      <c r="AR205" s="13">
        <v>9.0</v>
      </c>
      <c r="AS205" s="13">
        <v>0.0</v>
      </c>
      <c r="AT205" s="13">
        <v>0.0</v>
      </c>
      <c r="AU205" s="13">
        <v>0.0</v>
      </c>
      <c r="AV205" s="13">
        <v>0.0</v>
      </c>
      <c r="AW205" s="13">
        <v>71.0</v>
      </c>
      <c r="AX205" s="13">
        <v>0.0</v>
      </c>
      <c r="AY205" s="13">
        <v>78.0</v>
      </c>
      <c r="AZ205" s="13">
        <v>16.0</v>
      </c>
      <c r="BA205" s="13">
        <v>47.0</v>
      </c>
      <c r="BB205" s="13">
        <v>0.0</v>
      </c>
      <c r="BC205" s="13">
        <v>0.0</v>
      </c>
      <c r="BD205" s="13">
        <v>0.0</v>
      </c>
      <c r="BE205" s="13">
        <v>0.0</v>
      </c>
      <c r="BF205" s="13">
        <v>0.0</v>
      </c>
      <c r="BG205" s="13">
        <v>0.0</v>
      </c>
      <c r="BH205" s="13">
        <f t="shared" si="27"/>
        <v>320</v>
      </c>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c r="CM205" s="13"/>
      <c r="CN205" s="13"/>
      <c r="CO205" s="13"/>
      <c r="CP205" s="13"/>
      <c r="CQ205" s="13"/>
      <c r="CR205" s="13"/>
      <c r="CS205" s="13"/>
      <c r="CT205" s="13"/>
      <c r="CU205" s="13"/>
      <c r="CV205" s="13"/>
      <c r="CW205" s="13"/>
      <c r="CX205" s="13"/>
      <c r="CY205" s="13"/>
      <c r="CZ205" s="13"/>
      <c r="DA205" s="13"/>
      <c r="DB205" s="13"/>
      <c r="DC205" s="13"/>
      <c r="DD205" s="13"/>
      <c r="DE205" s="13"/>
      <c r="DF205" s="13"/>
      <c r="DG205" s="13"/>
      <c r="DH205" s="13"/>
      <c r="DI205" s="13"/>
      <c r="DJ205" s="13"/>
      <c r="DK205" s="13"/>
      <c r="DL205" s="13"/>
      <c r="DM205" s="13"/>
      <c r="DN205" s="13"/>
      <c r="DO205" s="13"/>
      <c r="DP205" s="13"/>
      <c r="DQ205" s="13"/>
      <c r="DR205" s="13"/>
      <c r="DS205" s="13"/>
      <c r="DT205" s="13"/>
      <c r="DU205" s="13"/>
      <c r="DV205" s="13"/>
      <c r="DW205" s="13"/>
    </row>
    <row r="206" ht="36.75" customHeight="1">
      <c r="A206" s="11">
        <v>42773.0</v>
      </c>
      <c r="B206" s="13" t="s">
        <v>370</v>
      </c>
      <c r="C206" s="13" t="s">
        <v>371</v>
      </c>
      <c r="D206" s="13" t="s">
        <v>372</v>
      </c>
      <c r="E206" s="26" t="s">
        <v>244</v>
      </c>
      <c r="F206" s="13">
        <v>27.64747</v>
      </c>
      <c r="G206" s="13">
        <v>-82.74692</v>
      </c>
      <c r="H206" s="13">
        <v>27.64985</v>
      </c>
      <c r="I206" s="14">
        <v>-82.75137</v>
      </c>
      <c r="J206" s="13" t="s">
        <v>2399</v>
      </c>
      <c r="K206" s="13" t="s">
        <v>2680</v>
      </c>
      <c r="L206" s="13">
        <v>2.0</v>
      </c>
      <c r="M206" s="13">
        <v>0.0</v>
      </c>
      <c r="N206" s="13">
        <v>223.0</v>
      </c>
      <c r="O206" s="13">
        <v>252.0</v>
      </c>
      <c r="P206" s="13">
        <v>0.0</v>
      </c>
      <c r="Q206" s="13">
        <v>0.0</v>
      </c>
      <c r="R206" s="13">
        <v>0.0</v>
      </c>
      <c r="S206" s="13">
        <v>0.0</v>
      </c>
      <c r="T206" s="13">
        <v>0.0</v>
      </c>
      <c r="U206" s="13">
        <v>0.0</v>
      </c>
      <c r="V206" s="13">
        <v>0.0</v>
      </c>
      <c r="W206" s="13">
        <v>17.0</v>
      </c>
      <c r="X206" s="13">
        <v>30.0</v>
      </c>
      <c r="Y206" s="13">
        <v>9.0</v>
      </c>
      <c r="Z206" s="13">
        <v>177.0</v>
      </c>
      <c r="AA206" s="13">
        <v>5.0</v>
      </c>
      <c r="AB206" s="13">
        <v>0.0</v>
      </c>
      <c r="AC206" s="13">
        <v>107.0</v>
      </c>
      <c r="AD206" s="13">
        <v>5.0</v>
      </c>
      <c r="AE206" s="13">
        <v>0.0</v>
      </c>
      <c r="AF206" s="13">
        <v>0.0</v>
      </c>
      <c r="AG206" s="13">
        <v>0.0</v>
      </c>
      <c r="AH206" s="13">
        <v>0.0</v>
      </c>
      <c r="AI206" s="13">
        <v>13.0</v>
      </c>
      <c r="AJ206" s="13">
        <v>0.0</v>
      </c>
      <c r="AK206" s="13">
        <v>0.0</v>
      </c>
      <c r="AL206" s="13">
        <v>0.0</v>
      </c>
      <c r="AM206" s="13">
        <v>0.0</v>
      </c>
      <c r="AN206" s="13">
        <v>24.0</v>
      </c>
      <c r="AO206" s="13">
        <v>0.0</v>
      </c>
      <c r="AP206" s="13">
        <v>1.0</v>
      </c>
      <c r="AQ206" s="13">
        <v>0.0</v>
      </c>
      <c r="AR206" s="13">
        <v>70.0</v>
      </c>
      <c r="AS206" s="13">
        <v>0.0</v>
      </c>
      <c r="AT206" s="13">
        <v>0.0</v>
      </c>
      <c r="AU206" s="13">
        <v>0.0</v>
      </c>
      <c r="AV206" s="13">
        <v>5.0</v>
      </c>
      <c r="AW206" s="13">
        <v>23.0</v>
      </c>
      <c r="AX206" s="13">
        <v>1.0</v>
      </c>
      <c r="AY206" s="13">
        <v>2.0</v>
      </c>
      <c r="AZ206" s="13">
        <v>160.0</v>
      </c>
      <c r="BA206" s="13">
        <v>57.0</v>
      </c>
      <c r="BB206" s="13">
        <v>0.0</v>
      </c>
      <c r="BC206" s="13">
        <v>0.0</v>
      </c>
      <c r="BD206" s="13">
        <v>0.0</v>
      </c>
      <c r="BE206" s="13">
        <v>0.0</v>
      </c>
      <c r="BF206" s="13">
        <v>0.0</v>
      </c>
      <c r="BG206" s="13">
        <v>0.0</v>
      </c>
      <c r="BH206" s="13">
        <f t="shared" si="27"/>
        <v>1183</v>
      </c>
      <c r="BI206" s="13" t="s">
        <v>2683</v>
      </c>
    </row>
    <row r="207" ht="36.75" customHeight="1">
      <c r="A207" s="11">
        <v>42773.0</v>
      </c>
      <c r="B207" s="13" t="s">
        <v>1118</v>
      </c>
      <c r="C207" s="13" t="s">
        <v>1119</v>
      </c>
      <c r="D207" s="13" t="s">
        <v>1121</v>
      </c>
      <c r="E207" s="34" t="s">
        <v>244</v>
      </c>
      <c r="F207" s="13">
        <v>27.64776</v>
      </c>
      <c r="G207" s="13">
        <v>-82.73409</v>
      </c>
      <c r="H207" s="13">
        <v>27.6735</v>
      </c>
      <c r="I207" s="14">
        <v>-82.73091</v>
      </c>
      <c r="J207" s="13" t="s">
        <v>2408</v>
      </c>
      <c r="K207" s="13" t="s">
        <v>2409</v>
      </c>
      <c r="L207" s="13">
        <v>2.0</v>
      </c>
      <c r="M207" s="13">
        <v>0.0</v>
      </c>
      <c r="N207" s="13">
        <v>77.0</v>
      </c>
      <c r="O207" s="13">
        <v>1054.0</v>
      </c>
      <c r="P207" s="13">
        <v>0.0</v>
      </c>
      <c r="Q207" s="13">
        <v>0.0</v>
      </c>
      <c r="R207" s="13">
        <v>72.0</v>
      </c>
      <c r="S207" s="13">
        <v>0.0</v>
      </c>
      <c r="T207" s="13">
        <v>0.0</v>
      </c>
      <c r="U207" s="13">
        <v>0.0</v>
      </c>
      <c r="V207" s="13">
        <v>0.0</v>
      </c>
      <c r="W207" s="13">
        <v>33.0</v>
      </c>
      <c r="X207" s="13">
        <v>50.0</v>
      </c>
      <c r="Y207" s="13">
        <v>15.0</v>
      </c>
      <c r="Z207" s="13">
        <v>183.0</v>
      </c>
      <c r="AA207" s="13">
        <v>437.0</v>
      </c>
      <c r="AB207" s="13">
        <v>0.0</v>
      </c>
      <c r="AC207" s="13">
        <v>60.0</v>
      </c>
      <c r="AD207" s="13">
        <v>0.0</v>
      </c>
      <c r="AE207" s="13">
        <v>0.0</v>
      </c>
      <c r="AF207" s="13">
        <v>178.0</v>
      </c>
      <c r="AG207" s="13">
        <v>0.0</v>
      </c>
      <c r="AH207" s="13">
        <v>301.0</v>
      </c>
      <c r="AI207" s="13">
        <v>8.0</v>
      </c>
      <c r="AJ207" s="13">
        <v>0.0</v>
      </c>
      <c r="AK207" s="13">
        <v>0.0</v>
      </c>
      <c r="AL207" s="13">
        <v>1.0</v>
      </c>
      <c r="AM207" s="13">
        <v>0.0</v>
      </c>
      <c r="AN207" s="13">
        <v>3.0</v>
      </c>
      <c r="AO207" s="13">
        <v>6.0</v>
      </c>
      <c r="AP207" s="13">
        <v>0.0</v>
      </c>
      <c r="AQ207" s="13">
        <v>0.0</v>
      </c>
      <c r="AR207" s="13">
        <v>2.0</v>
      </c>
      <c r="AS207" s="13">
        <v>0.0</v>
      </c>
      <c r="AT207" s="13">
        <v>0.0</v>
      </c>
      <c r="AU207" s="13">
        <v>0.0</v>
      </c>
      <c r="AV207" s="13">
        <v>4.0</v>
      </c>
      <c r="AW207" s="13">
        <v>31.0</v>
      </c>
      <c r="AX207" s="13">
        <v>1.0</v>
      </c>
      <c r="AY207" s="13">
        <v>114.0</v>
      </c>
      <c r="AZ207" s="13">
        <v>13.0</v>
      </c>
      <c r="BA207" s="13">
        <v>0.0</v>
      </c>
      <c r="BB207" s="13">
        <v>0.0</v>
      </c>
      <c r="BC207" s="13">
        <v>277.0</v>
      </c>
      <c r="BH207" s="13">
        <v>2922.0</v>
      </c>
      <c r="BI207" s="13" t="s">
        <v>2686</v>
      </c>
    </row>
    <row r="208" ht="36.75" customHeight="1">
      <c r="A208" s="11">
        <v>42773.0</v>
      </c>
      <c r="B208" s="13" t="s">
        <v>2415</v>
      </c>
      <c r="C208" s="13" t="s">
        <v>2687</v>
      </c>
      <c r="D208" s="13" t="s">
        <v>2688</v>
      </c>
      <c r="E208" s="34" t="s">
        <v>244</v>
      </c>
      <c r="F208" s="13">
        <v>27.613181</v>
      </c>
      <c r="G208" s="13">
        <v>-82.737114</v>
      </c>
      <c r="H208" s="13">
        <v>27.63287</v>
      </c>
      <c r="I208" s="14">
        <v>-82.740698</v>
      </c>
      <c r="J208" s="13" t="s">
        <v>2418</v>
      </c>
      <c r="K208" s="13" t="s">
        <v>2419</v>
      </c>
      <c r="L208" s="13">
        <v>0.0</v>
      </c>
      <c r="M208" s="13">
        <v>0.0</v>
      </c>
      <c r="N208" s="13">
        <v>0.0</v>
      </c>
      <c r="O208" s="13">
        <v>0.0</v>
      </c>
      <c r="P208" s="13">
        <v>0.0</v>
      </c>
      <c r="Q208" s="13">
        <v>0.0</v>
      </c>
      <c r="R208" s="13">
        <v>0.0</v>
      </c>
      <c r="S208" s="13">
        <v>0.0</v>
      </c>
      <c r="T208" s="13">
        <v>0.0</v>
      </c>
      <c r="U208" s="13">
        <v>0.0</v>
      </c>
      <c r="V208" s="13">
        <v>0.0</v>
      </c>
      <c r="W208" s="13">
        <v>0.0</v>
      </c>
      <c r="X208" s="13">
        <v>0.0</v>
      </c>
      <c r="Y208" s="13">
        <v>0.0</v>
      </c>
      <c r="Z208" s="13">
        <v>0.0</v>
      </c>
      <c r="AA208" s="13">
        <v>0.0</v>
      </c>
      <c r="AB208" s="13">
        <v>0.0</v>
      </c>
      <c r="AC208" s="13">
        <v>0.0</v>
      </c>
      <c r="AD208" s="13">
        <v>0.0</v>
      </c>
      <c r="AE208" s="13">
        <v>0.0</v>
      </c>
      <c r="AF208" s="13">
        <v>0.0</v>
      </c>
      <c r="AG208" s="13">
        <v>0.0</v>
      </c>
      <c r="AH208" s="13">
        <v>0.0</v>
      </c>
      <c r="AI208" s="13">
        <v>0.0</v>
      </c>
      <c r="AJ208" s="13">
        <v>0.0</v>
      </c>
      <c r="AK208" s="13">
        <v>0.0</v>
      </c>
      <c r="AL208" s="13">
        <v>0.0</v>
      </c>
      <c r="AM208" s="13">
        <v>0.0</v>
      </c>
      <c r="AN208" s="13">
        <v>6.0</v>
      </c>
      <c r="AO208" s="13">
        <v>0.0</v>
      </c>
      <c r="AP208" s="13">
        <v>0.0</v>
      </c>
      <c r="AQ208" s="13">
        <v>46.0</v>
      </c>
      <c r="AR208" s="13">
        <v>3.0</v>
      </c>
      <c r="AS208" s="13">
        <v>0.0</v>
      </c>
      <c r="AT208" s="13">
        <v>0.0</v>
      </c>
      <c r="AU208" s="13">
        <v>0.0</v>
      </c>
      <c r="AV208" s="13" t="s">
        <v>2690</v>
      </c>
      <c r="AW208" s="13">
        <v>22.0</v>
      </c>
      <c r="AX208" s="13">
        <v>0.0</v>
      </c>
      <c r="AY208" s="13">
        <v>2.0</v>
      </c>
      <c r="AZ208" s="13">
        <v>0.0</v>
      </c>
      <c r="BA208" s="13">
        <v>1.0</v>
      </c>
      <c r="BB208" s="13">
        <v>0.0</v>
      </c>
      <c r="BC208" s="13">
        <v>0.0</v>
      </c>
      <c r="BD208" s="13">
        <v>0.0</v>
      </c>
      <c r="BE208" s="13">
        <v>0.0</v>
      </c>
      <c r="BF208" s="13">
        <v>0.0</v>
      </c>
      <c r="BG208" s="13">
        <v>0.0</v>
      </c>
      <c r="BH208">
        <f t="shared" ref="BH208:BH209" si="28">SUM(L208:BG208)</f>
        <v>80</v>
      </c>
      <c r="BI208" s="13" t="s">
        <v>2692</v>
      </c>
    </row>
    <row r="209" ht="36.75" customHeight="1">
      <c r="A209" s="11">
        <v>42773.0</v>
      </c>
      <c r="B209" s="13" t="s">
        <v>2415</v>
      </c>
      <c r="C209" s="13" t="s">
        <v>2687</v>
      </c>
      <c r="D209" s="13" t="s">
        <v>2693</v>
      </c>
      <c r="E209" s="26" t="s">
        <v>244</v>
      </c>
      <c r="F209" s="13">
        <v>27.612896</v>
      </c>
      <c r="G209" s="13">
        <v>-82.736943</v>
      </c>
      <c r="H209" s="13">
        <v>27.616205</v>
      </c>
      <c r="I209" s="14">
        <v>-82.726257</v>
      </c>
      <c r="J209" s="13" t="s">
        <v>2695</v>
      </c>
      <c r="K209" s="13" t="s">
        <v>2696</v>
      </c>
      <c r="L209" s="13">
        <v>0.0</v>
      </c>
      <c r="M209" s="13">
        <v>0.0</v>
      </c>
      <c r="N209" s="13">
        <v>0.0</v>
      </c>
      <c r="O209" s="13">
        <v>0.0</v>
      </c>
      <c r="P209" s="13">
        <v>0.0</v>
      </c>
      <c r="Q209" s="13">
        <v>0.0</v>
      </c>
      <c r="R209" s="13">
        <v>0.0</v>
      </c>
      <c r="S209" s="13">
        <v>0.0</v>
      </c>
      <c r="T209" s="13">
        <v>0.0</v>
      </c>
      <c r="U209" s="13">
        <v>0.0</v>
      </c>
      <c r="V209" s="13">
        <v>0.0</v>
      </c>
      <c r="W209" s="13">
        <v>0.0</v>
      </c>
      <c r="X209" s="13">
        <v>0.0</v>
      </c>
      <c r="Y209" s="13">
        <v>0.0</v>
      </c>
      <c r="Z209" s="13">
        <v>0.0</v>
      </c>
      <c r="AA209" s="13">
        <v>0.0</v>
      </c>
      <c r="AB209" s="13">
        <v>0.0</v>
      </c>
      <c r="AC209" s="13">
        <v>0.0</v>
      </c>
      <c r="AD209" s="13">
        <v>0.0</v>
      </c>
      <c r="AE209" s="13">
        <v>0.0</v>
      </c>
      <c r="AF209" s="13">
        <v>0.0</v>
      </c>
      <c r="AG209" s="13">
        <v>0.0</v>
      </c>
      <c r="AH209" s="13">
        <v>0.0</v>
      </c>
      <c r="AI209" s="13">
        <v>0.0</v>
      </c>
      <c r="AJ209" s="13">
        <v>0.0</v>
      </c>
      <c r="AK209" s="13">
        <v>0.0</v>
      </c>
      <c r="AL209" s="13">
        <v>0.0</v>
      </c>
      <c r="AM209" s="13">
        <v>0.0</v>
      </c>
      <c r="AN209" s="13">
        <v>5.0</v>
      </c>
      <c r="AO209" s="13">
        <v>0.0</v>
      </c>
      <c r="AP209" s="13">
        <v>0.0</v>
      </c>
      <c r="AQ209" s="13">
        <v>9.0</v>
      </c>
      <c r="AR209" s="13">
        <v>110.0</v>
      </c>
      <c r="AS209" s="13">
        <v>0.0</v>
      </c>
      <c r="AT209" s="13">
        <v>0.0</v>
      </c>
      <c r="AU209" s="13">
        <v>0.0</v>
      </c>
      <c r="AV209" s="13">
        <v>2.0</v>
      </c>
      <c r="AW209" s="13">
        <v>250.0</v>
      </c>
      <c r="AX209" s="13">
        <v>0.0</v>
      </c>
      <c r="AY209" s="13">
        <v>4.0</v>
      </c>
      <c r="AZ209" s="13">
        <v>4.0</v>
      </c>
      <c r="BA209" s="13">
        <v>114.0</v>
      </c>
      <c r="BB209" s="13">
        <v>0.0</v>
      </c>
      <c r="BC209" s="13">
        <v>0.0</v>
      </c>
      <c r="BD209" s="13">
        <v>0.0</v>
      </c>
      <c r="BE209" s="13">
        <v>0.0</v>
      </c>
      <c r="BF209" s="13">
        <v>0.0</v>
      </c>
      <c r="BG209" s="13">
        <v>0.0</v>
      </c>
      <c r="BH209">
        <f t="shared" si="28"/>
        <v>498</v>
      </c>
      <c r="BI209" s="13" t="s">
        <v>2699</v>
      </c>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c r="CM209" s="13"/>
      <c r="CN209" s="13"/>
      <c r="CO209" s="13"/>
      <c r="CP209" s="13"/>
      <c r="CQ209" s="13"/>
      <c r="CR209" s="13"/>
      <c r="CS209" s="13"/>
      <c r="CT209" s="13"/>
      <c r="CU209" s="13"/>
      <c r="CV209" s="13"/>
      <c r="CW209" s="13"/>
      <c r="CX209" s="13"/>
      <c r="CY209" s="13"/>
      <c r="CZ209" s="13"/>
      <c r="DA209" s="13"/>
      <c r="DB209" s="13"/>
      <c r="DC209" s="13"/>
      <c r="DD209" s="13"/>
      <c r="DE209" s="13"/>
      <c r="DF209" s="13"/>
      <c r="DG209" s="13"/>
      <c r="DH209" s="13"/>
      <c r="DI209" s="13"/>
      <c r="DJ209" s="13"/>
      <c r="DK209" s="13"/>
      <c r="DL209" s="13"/>
      <c r="DM209" s="13"/>
      <c r="DN209" s="13"/>
      <c r="DO209" s="13"/>
      <c r="DP209" s="13"/>
      <c r="DQ209" s="13"/>
      <c r="DR209" s="13"/>
      <c r="DS209" s="13"/>
      <c r="DT209" s="13"/>
      <c r="DU209" s="13"/>
      <c r="DV209" s="13"/>
      <c r="DW209" s="13"/>
    </row>
    <row r="210" ht="36.75" customHeight="1">
      <c r="A210" s="41">
        <v>42773.0</v>
      </c>
      <c r="B210" s="16" t="s">
        <v>2373</v>
      </c>
      <c r="C210" s="16" t="s">
        <v>2374</v>
      </c>
      <c r="D210" s="16" t="s">
        <v>2375</v>
      </c>
      <c r="E210" s="26" t="s">
        <v>244</v>
      </c>
      <c r="F210" s="16">
        <v>27.78162</v>
      </c>
      <c r="G210" s="16">
        <v>-82.62533</v>
      </c>
      <c r="H210" s="13">
        <v>27.78489</v>
      </c>
      <c r="I210" s="13">
        <v>-82.62321</v>
      </c>
      <c r="J210" s="13" t="s">
        <v>2376</v>
      </c>
      <c r="K210" s="13" t="s">
        <v>2377</v>
      </c>
      <c r="L210" s="13">
        <v>0.0</v>
      </c>
      <c r="M210" s="13">
        <v>0.0</v>
      </c>
      <c r="N210" s="13">
        <v>4.0</v>
      </c>
      <c r="O210" s="13">
        <v>15.0</v>
      </c>
      <c r="P210" s="13">
        <v>0.0</v>
      </c>
      <c r="Q210" s="13">
        <v>0.0</v>
      </c>
      <c r="R210" s="13">
        <v>0.0</v>
      </c>
      <c r="S210" s="13">
        <v>0.0</v>
      </c>
      <c r="T210" s="13">
        <v>0.0</v>
      </c>
      <c r="U210" s="13">
        <v>0.0</v>
      </c>
      <c r="V210" s="13">
        <v>20.0</v>
      </c>
      <c r="W210" s="13">
        <v>0.0</v>
      </c>
      <c r="X210" s="13">
        <v>1.0</v>
      </c>
      <c r="Y210" s="13">
        <v>0.0</v>
      </c>
      <c r="Z210" s="13">
        <v>12.0</v>
      </c>
      <c r="AA210" s="13">
        <v>0.0</v>
      </c>
      <c r="AB210" s="13">
        <v>0.0</v>
      </c>
      <c r="AC210" s="13">
        <v>0.0</v>
      </c>
      <c r="AD210" s="13">
        <v>0.0</v>
      </c>
      <c r="AE210" s="13">
        <v>0.0</v>
      </c>
      <c r="AF210" s="13">
        <v>0.0</v>
      </c>
      <c r="AG210" s="13">
        <v>0.0</v>
      </c>
      <c r="AH210" s="13">
        <v>2.0</v>
      </c>
      <c r="AI210" s="13">
        <v>0.0</v>
      </c>
      <c r="AJ210" s="13">
        <v>0.0</v>
      </c>
      <c r="AK210" s="13">
        <v>150.0</v>
      </c>
      <c r="AL210" s="13">
        <v>0.0</v>
      </c>
      <c r="AM210" s="13">
        <v>0.0</v>
      </c>
      <c r="AN210" s="13">
        <v>1.0</v>
      </c>
      <c r="AO210" s="13">
        <v>0.0</v>
      </c>
      <c r="AQ210" s="13">
        <v>0.0</v>
      </c>
      <c r="AR210" s="13">
        <v>6.0</v>
      </c>
      <c r="AS210" s="13">
        <v>0.0</v>
      </c>
      <c r="AT210" s="13">
        <v>0.0</v>
      </c>
      <c r="AU210" s="13">
        <v>0.0</v>
      </c>
      <c r="AV210" s="13">
        <v>1.0</v>
      </c>
      <c r="AW210" s="13">
        <v>52.0</v>
      </c>
      <c r="AX210" s="13">
        <v>0.0</v>
      </c>
      <c r="AY210" s="13">
        <v>17.0</v>
      </c>
      <c r="AZ210" s="13">
        <v>12.0</v>
      </c>
      <c r="BA210" s="13">
        <v>0.0</v>
      </c>
      <c r="BB210" s="13">
        <v>0.0</v>
      </c>
      <c r="BC210" s="13">
        <v>0.0</v>
      </c>
      <c r="BD210" s="13">
        <v>0.0</v>
      </c>
      <c r="BE210" s="13">
        <v>0.0</v>
      </c>
      <c r="BF210" s="13">
        <v>0.0</v>
      </c>
      <c r="BG210" s="13">
        <v>0.0</v>
      </c>
      <c r="BH210" s="13">
        <v>293.0</v>
      </c>
    </row>
    <row r="211" ht="36.75" customHeight="1">
      <c r="A211" s="41">
        <v>42774.0</v>
      </c>
      <c r="B211" s="16" t="s">
        <v>2355</v>
      </c>
      <c r="C211" s="16" t="s">
        <v>2356</v>
      </c>
      <c r="D211" s="16" t="s">
        <v>2422</v>
      </c>
      <c r="E211" s="26" t="s">
        <v>244</v>
      </c>
      <c r="F211" s="101">
        <v>27.708553</v>
      </c>
      <c r="G211" s="16">
        <v>-82.738716</v>
      </c>
      <c r="H211" s="13">
        <v>27.721125</v>
      </c>
      <c r="I211" s="13">
        <v>-82.742178</v>
      </c>
      <c r="J211" s="13" t="s">
        <v>2423</v>
      </c>
      <c r="K211" s="13" t="s">
        <v>2424</v>
      </c>
      <c r="L211" s="13">
        <v>0.0</v>
      </c>
      <c r="M211" s="13">
        <v>0.0</v>
      </c>
      <c r="N211" s="13">
        <v>0.0</v>
      </c>
      <c r="O211" s="13">
        <v>0.0</v>
      </c>
      <c r="P211" s="13">
        <v>0.0</v>
      </c>
      <c r="Q211" s="13">
        <v>0.0</v>
      </c>
      <c r="R211" s="13">
        <v>0.0</v>
      </c>
      <c r="S211" s="13">
        <v>0.0</v>
      </c>
      <c r="T211" s="13">
        <v>0.0</v>
      </c>
      <c r="U211" s="13">
        <v>0.0</v>
      </c>
      <c r="V211" s="13">
        <v>0.0</v>
      </c>
      <c r="W211" s="13">
        <v>0.0</v>
      </c>
      <c r="X211" s="13">
        <v>0.0</v>
      </c>
      <c r="Y211" s="13">
        <v>0.0</v>
      </c>
      <c r="Z211" s="13">
        <v>18.0</v>
      </c>
      <c r="AA211" s="13">
        <v>0.0</v>
      </c>
      <c r="AB211" s="13">
        <v>0.0</v>
      </c>
      <c r="AC211" s="13">
        <v>0.0</v>
      </c>
      <c r="AD211" s="13">
        <v>0.0</v>
      </c>
      <c r="AE211" s="13">
        <v>0.0</v>
      </c>
      <c r="AF211" s="13">
        <v>0.0</v>
      </c>
      <c r="AG211" s="13">
        <v>0.0</v>
      </c>
      <c r="AH211" s="13">
        <v>2.0</v>
      </c>
      <c r="AI211" s="13">
        <v>0.0</v>
      </c>
      <c r="AJ211" s="13">
        <v>0.0</v>
      </c>
      <c r="AK211" s="13">
        <v>0.0</v>
      </c>
      <c r="AL211" s="13">
        <v>0.0</v>
      </c>
      <c r="AM211" s="13">
        <v>0.0</v>
      </c>
      <c r="AN211" s="13">
        <v>3.0</v>
      </c>
      <c r="AO211" s="13">
        <v>0.0</v>
      </c>
      <c r="AP211" s="13">
        <v>0.0</v>
      </c>
      <c r="AQ211" s="13">
        <v>0.0</v>
      </c>
      <c r="AR211" s="13">
        <v>23.0</v>
      </c>
      <c r="AS211" s="13">
        <v>0.0</v>
      </c>
      <c r="AT211" s="13">
        <v>0.0</v>
      </c>
      <c r="AU211" s="13">
        <v>0.0</v>
      </c>
      <c r="AV211" s="13">
        <v>7.0</v>
      </c>
      <c r="AW211" s="13">
        <v>87.0</v>
      </c>
      <c r="AX211" s="13">
        <v>0.0</v>
      </c>
      <c r="AY211" s="13">
        <v>0.0</v>
      </c>
      <c r="AZ211" s="13">
        <v>54.0</v>
      </c>
      <c r="BA211" s="13">
        <v>0.0</v>
      </c>
      <c r="BB211" s="13">
        <v>0.0</v>
      </c>
      <c r="BC211" s="13">
        <v>0.0</v>
      </c>
      <c r="BD211" s="13">
        <v>0.0</v>
      </c>
      <c r="BE211" s="13">
        <v>0.0</v>
      </c>
      <c r="BF211" s="13">
        <v>0.0</v>
      </c>
      <c r="BG211" s="13">
        <v>0.0</v>
      </c>
      <c r="BH211" s="13">
        <v>194.0</v>
      </c>
    </row>
    <row r="212" ht="36.75" customHeight="1">
      <c r="A212" s="41">
        <v>42774.0</v>
      </c>
      <c r="B212" s="16" t="s">
        <v>2355</v>
      </c>
      <c r="C212" s="16" t="s">
        <v>2356</v>
      </c>
      <c r="D212" s="16" t="s">
        <v>2426</v>
      </c>
      <c r="E212" s="34" t="s">
        <v>244</v>
      </c>
      <c r="F212" s="13">
        <v>27.721125</v>
      </c>
      <c r="G212" s="13">
        <v>-82.742178</v>
      </c>
      <c r="H212" s="13">
        <v>27.735996</v>
      </c>
      <c r="I212" s="13">
        <v>-82.75231</v>
      </c>
      <c r="J212" s="13" t="s">
        <v>2427</v>
      </c>
      <c r="K212" s="13" t="s">
        <v>2424</v>
      </c>
      <c r="L212" s="13">
        <v>0.0</v>
      </c>
      <c r="M212" s="13">
        <v>0.0</v>
      </c>
      <c r="N212" s="13">
        <v>0.0</v>
      </c>
      <c r="O212" s="13">
        <v>12.0</v>
      </c>
      <c r="P212" s="13">
        <v>0.0</v>
      </c>
      <c r="Q212" s="13">
        <v>0.0</v>
      </c>
      <c r="R212" s="13">
        <v>0.0</v>
      </c>
      <c r="S212" s="13">
        <v>0.0</v>
      </c>
      <c r="T212" s="13">
        <v>0.0</v>
      </c>
      <c r="U212" s="13">
        <v>0.0</v>
      </c>
      <c r="V212" s="13">
        <v>0.0</v>
      </c>
      <c r="W212" s="13">
        <v>0.0</v>
      </c>
      <c r="X212" s="13">
        <v>0.0</v>
      </c>
      <c r="Y212" s="13">
        <v>4.0</v>
      </c>
      <c r="Z212" s="13">
        <v>0.0</v>
      </c>
      <c r="AA212" s="13">
        <v>0.0</v>
      </c>
      <c r="AB212" s="13">
        <v>0.0</v>
      </c>
      <c r="AC212" s="13">
        <v>0.0</v>
      </c>
      <c r="AD212" s="13">
        <v>0.0</v>
      </c>
      <c r="AE212" s="13">
        <v>0.0</v>
      </c>
      <c r="AF212" s="13">
        <v>0.0</v>
      </c>
      <c r="AG212" s="13">
        <v>0.0</v>
      </c>
      <c r="AH212" s="13">
        <v>0.0</v>
      </c>
      <c r="AI212" s="13">
        <v>0.0</v>
      </c>
      <c r="AJ212" s="13">
        <v>0.0</v>
      </c>
      <c r="AK212" s="13">
        <v>0.0</v>
      </c>
      <c r="AL212" s="13">
        <v>0.0</v>
      </c>
      <c r="AM212" s="13">
        <v>0.0</v>
      </c>
      <c r="AN212" s="13">
        <v>2.0</v>
      </c>
      <c r="AO212" s="13">
        <v>0.0</v>
      </c>
      <c r="AP212" s="13">
        <v>0.0</v>
      </c>
      <c r="AQ212" s="13">
        <v>0.0</v>
      </c>
      <c r="AR212" s="13">
        <v>25.0</v>
      </c>
      <c r="AS212" s="13">
        <v>0.0</v>
      </c>
      <c r="AT212" s="13">
        <v>0.0</v>
      </c>
      <c r="AU212" s="13">
        <v>0.0</v>
      </c>
      <c r="AV212" s="13">
        <v>5.0</v>
      </c>
      <c r="AW212" s="13">
        <v>99.0</v>
      </c>
      <c r="AX212" s="13">
        <v>0.0</v>
      </c>
      <c r="AY212" s="13">
        <v>0.0</v>
      </c>
      <c r="AZ212" s="13">
        <v>49.0</v>
      </c>
      <c r="BA212" s="13">
        <v>0.0</v>
      </c>
      <c r="BB212" s="13">
        <v>0.0</v>
      </c>
      <c r="BC212" s="13">
        <v>0.0</v>
      </c>
      <c r="BD212" s="13">
        <v>0.0</v>
      </c>
      <c r="BE212" s="13">
        <v>0.0</v>
      </c>
      <c r="BF212" s="13">
        <v>0.0</v>
      </c>
      <c r="BG212" s="13">
        <v>0.0</v>
      </c>
      <c r="BH212" s="13">
        <v>196.0</v>
      </c>
    </row>
    <row r="213" ht="36.75" customHeight="1">
      <c r="A213" s="11">
        <v>42774.0</v>
      </c>
      <c r="B213" s="13" t="s">
        <v>537</v>
      </c>
      <c r="C213" s="13" t="s">
        <v>538</v>
      </c>
      <c r="D213" s="13" t="s">
        <v>539</v>
      </c>
      <c r="E213" s="34" t="s">
        <v>244</v>
      </c>
      <c r="F213" s="13">
        <v>27.8431167</v>
      </c>
      <c r="G213" s="13">
        <v>-82.8416333</v>
      </c>
      <c r="H213" s="13">
        <v>27.87165</v>
      </c>
      <c r="I213" s="14">
        <v>-82.85075</v>
      </c>
      <c r="J213" s="13" t="s">
        <v>2429</v>
      </c>
      <c r="K213" s="13" t="s">
        <v>2722</v>
      </c>
      <c r="L213" s="13">
        <v>0.0</v>
      </c>
      <c r="M213" s="13">
        <v>0.0</v>
      </c>
      <c r="N213" s="13">
        <v>21.0</v>
      </c>
      <c r="O213" s="13">
        <v>24.0</v>
      </c>
      <c r="P213" s="13">
        <v>0.0</v>
      </c>
      <c r="Q213" s="13">
        <v>0.0</v>
      </c>
      <c r="R213" s="13">
        <v>0.0</v>
      </c>
      <c r="S213" s="13">
        <v>0.0</v>
      </c>
      <c r="T213" s="13">
        <v>0.0</v>
      </c>
      <c r="U213" s="13">
        <v>0.0</v>
      </c>
      <c r="V213" s="13">
        <v>0.0</v>
      </c>
      <c r="W213" s="13">
        <v>0.0</v>
      </c>
      <c r="X213" s="13">
        <v>233.0</v>
      </c>
      <c r="Y213" s="13">
        <v>10.0</v>
      </c>
      <c r="Z213" s="13">
        <v>58.0</v>
      </c>
      <c r="AA213" s="13">
        <v>13.0</v>
      </c>
      <c r="AB213" s="13">
        <v>0.0</v>
      </c>
      <c r="AC213" s="13">
        <v>1.0</v>
      </c>
      <c r="AD213" s="13">
        <v>0.0</v>
      </c>
      <c r="AE213" s="13">
        <v>0.0</v>
      </c>
      <c r="AF213" s="13">
        <v>0.0</v>
      </c>
      <c r="AG213" s="13">
        <v>0.0</v>
      </c>
      <c r="AH213" s="13">
        <v>9.0</v>
      </c>
      <c r="AI213" s="13">
        <v>0.0</v>
      </c>
      <c r="AJ213" s="13">
        <v>0.0</v>
      </c>
      <c r="AK213" s="13">
        <v>0.0</v>
      </c>
      <c r="AL213" s="13">
        <v>1.0</v>
      </c>
      <c r="AM213" s="13">
        <v>0.0</v>
      </c>
      <c r="AN213" s="13">
        <v>0.0</v>
      </c>
      <c r="AO213" s="13">
        <v>0.0</v>
      </c>
      <c r="AP213" s="13">
        <v>0.0</v>
      </c>
      <c r="AQ213" s="13">
        <v>0.0</v>
      </c>
      <c r="AR213" s="13">
        <v>7.0</v>
      </c>
      <c r="AS213" s="13">
        <v>0.0</v>
      </c>
      <c r="AT213" s="13">
        <v>0.0</v>
      </c>
      <c r="AU213" s="13">
        <v>0.0</v>
      </c>
      <c r="AV213" s="13">
        <v>1.0</v>
      </c>
      <c r="AW213" s="13">
        <v>136.0</v>
      </c>
      <c r="AX213" s="13">
        <v>5.0</v>
      </c>
      <c r="AY213" s="13">
        <v>25.0</v>
      </c>
      <c r="AZ213" s="13">
        <v>37.0</v>
      </c>
      <c r="BA213" s="13">
        <v>1.0</v>
      </c>
      <c r="BB213" s="13">
        <v>0.0</v>
      </c>
      <c r="BC213" s="13">
        <v>0.0</v>
      </c>
      <c r="BD213" s="13">
        <v>0.0</v>
      </c>
      <c r="BE213" s="13">
        <v>0.0</v>
      </c>
      <c r="BF213" s="13">
        <v>0.0</v>
      </c>
      <c r="BG213" s="13">
        <v>0.0</v>
      </c>
      <c r="BH213">
        <f>SUM(L213:BG213)</f>
        <v>582</v>
      </c>
      <c r="BI213" s="13" t="s">
        <v>2727</v>
      </c>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c r="CM213" s="13"/>
      <c r="CN213" s="13"/>
      <c r="CO213" s="13"/>
      <c r="CP213" s="13"/>
      <c r="CQ213" s="13"/>
      <c r="CR213" s="13"/>
      <c r="CS213" s="13"/>
      <c r="CT213" s="13"/>
      <c r="CU213" s="13"/>
      <c r="CV213" s="13"/>
      <c r="CW213" s="13"/>
      <c r="CX213" s="13"/>
      <c r="CY213" s="13"/>
      <c r="CZ213" s="13"/>
      <c r="DA213" s="13"/>
      <c r="DB213" s="13"/>
      <c r="DC213" s="13"/>
      <c r="DD213" s="13"/>
      <c r="DE213" s="13"/>
      <c r="DF213" s="13"/>
      <c r="DG213" s="13"/>
      <c r="DH213" s="13"/>
      <c r="DI213" s="13"/>
      <c r="DJ213" s="13"/>
      <c r="DK213" s="13"/>
      <c r="DL213" s="13"/>
      <c r="DM213" s="13"/>
      <c r="DN213" s="13"/>
      <c r="DO213" s="13"/>
      <c r="DP213" s="13"/>
      <c r="DQ213" s="13"/>
      <c r="DR213" s="13"/>
      <c r="DS213" s="13"/>
      <c r="DT213" s="13"/>
      <c r="DU213" s="13"/>
      <c r="DV213" s="13"/>
      <c r="DW213" s="13"/>
    </row>
    <row r="214" ht="36.75" customHeight="1">
      <c r="A214" s="41">
        <v>42774.0</v>
      </c>
      <c r="B214" s="16" t="s">
        <v>2373</v>
      </c>
      <c r="C214" s="16" t="s">
        <v>2374</v>
      </c>
      <c r="D214" s="16" t="s">
        <v>2731</v>
      </c>
      <c r="E214" s="26" t="s">
        <v>244</v>
      </c>
      <c r="F214" s="16">
        <v>27.74864</v>
      </c>
      <c r="G214" s="16">
        <v>-82.62926</v>
      </c>
      <c r="H214" s="13">
        <v>27.75571</v>
      </c>
      <c r="I214" s="13">
        <v>-82.62988</v>
      </c>
      <c r="J214" s="13" t="s">
        <v>2733</v>
      </c>
      <c r="K214" s="13" t="s">
        <v>2377</v>
      </c>
      <c r="L214" s="13">
        <v>0.0</v>
      </c>
      <c r="M214" s="13">
        <v>0.0</v>
      </c>
      <c r="N214" s="13">
        <v>0.0</v>
      </c>
      <c r="O214" s="13">
        <v>15.0</v>
      </c>
      <c r="P214" s="13">
        <v>0.0</v>
      </c>
      <c r="Q214" s="13">
        <v>0.0</v>
      </c>
      <c r="R214" s="13">
        <v>0.0</v>
      </c>
      <c r="S214" s="13">
        <v>0.0</v>
      </c>
      <c r="T214" s="13">
        <v>0.0</v>
      </c>
      <c r="U214" s="13">
        <v>0.0</v>
      </c>
      <c r="V214" s="13">
        <v>0.0</v>
      </c>
      <c r="W214" s="13">
        <v>0.0</v>
      </c>
      <c r="X214" s="13">
        <v>0.0</v>
      </c>
      <c r="Y214" s="13">
        <v>0.0</v>
      </c>
      <c r="Z214" s="13">
        <v>40.0</v>
      </c>
      <c r="AA214" s="13">
        <v>0.0</v>
      </c>
      <c r="AB214" s="13">
        <v>0.0</v>
      </c>
      <c r="AC214" s="13">
        <v>0.0</v>
      </c>
      <c r="AD214" s="13">
        <v>0.0</v>
      </c>
      <c r="AE214" s="13">
        <v>0.0</v>
      </c>
      <c r="AF214" s="13">
        <v>25.0</v>
      </c>
      <c r="AG214" s="13">
        <v>0.0</v>
      </c>
      <c r="AH214" s="13">
        <v>12.0</v>
      </c>
      <c r="AI214" s="13">
        <v>1.0</v>
      </c>
      <c r="AJ214" s="13">
        <v>0.0</v>
      </c>
      <c r="AK214" s="13">
        <v>0.0</v>
      </c>
      <c r="AL214" s="13"/>
      <c r="AM214" s="13">
        <v>0.0</v>
      </c>
      <c r="AN214" s="13">
        <v>40.0</v>
      </c>
      <c r="AO214" s="13">
        <v>0.0</v>
      </c>
      <c r="AP214" s="13">
        <v>0.0</v>
      </c>
      <c r="AQ214" s="13">
        <v>0.0</v>
      </c>
      <c r="AR214" s="13">
        <v>0.0</v>
      </c>
      <c r="AS214" s="13">
        <v>0.0</v>
      </c>
      <c r="AT214" s="13">
        <v>0.0</v>
      </c>
      <c r="AU214" s="13">
        <v>0.0</v>
      </c>
      <c r="AV214" s="13">
        <v>0.0</v>
      </c>
      <c r="AW214" s="13">
        <v>0.0</v>
      </c>
      <c r="AX214" s="13">
        <v>0.0</v>
      </c>
      <c r="AY214" s="13">
        <v>3.0</v>
      </c>
      <c r="AZ214" s="13">
        <v>2.0</v>
      </c>
      <c r="BA214" s="13">
        <v>0.0</v>
      </c>
      <c r="BB214" s="13">
        <v>0.0</v>
      </c>
      <c r="BC214" s="13">
        <v>5.0</v>
      </c>
      <c r="BD214" s="13">
        <v>0.0</v>
      </c>
      <c r="BE214" s="13">
        <v>0.0</v>
      </c>
      <c r="BF214" s="13">
        <v>0.0</v>
      </c>
      <c r="BG214" s="13">
        <v>0.0</v>
      </c>
      <c r="BH214" s="13">
        <v>143.0</v>
      </c>
    </row>
    <row r="215" ht="36.75" customHeight="1">
      <c r="A215" s="45">
        <v>42774.0</v>
      </c>
      <c r="B215" s="13" t="s">
        <v>2439</v>
      </c>
      <c r="C215" s="13" t="s">
        <v>2440</v>
      </c>
      <c r="D215" s="13" t="s">
        <v>2441</v>
      </c>
      <c r="E215" s="31" t="s">
        <v>244</v>
      </c>
      <c r="F215" s="103">
        <v>27.78316</v>
      </c>
      <c r="G215" s="104">
        <v>-82.73896</v>
      </c>
      <c r="H215" s="13">
        <v>27.81243</v>
      </c>
      <c r="I215" s="60">
        <v>-82.81883</v>
      </c>
      <c r="J215" s="13" t="s">
        <v>2444</v>
      </c>
      <c r="K215" s="13" t="s">
        <v>2445</v>
      </c>
      <c r="O215" s="13">
        <v>1.0</v>
      </c>
      <c r="Y215" s="13">
        <v>8.0</v>
      </c>
      <c r="Z215" s="13">
        <f>102+85</f>
        <v>187</v>
      </c>
      <c r="AH215" s="13">
        <f>6+14</f>
        <v>20</v>
      </c>
      <c r="AK215" s="13">
        <v>150.0</v>
      </c>
      <c r="AL215" s="13">
        <v>4.0</v>
      </c>
      <c r="AQ215" s="13">
        <v>1.0</v>
      </c>
      <c r="AR215" s="13">
        <v>40.0</v>
      </c>
      <c r="AU215" s="13">
        <v>1.0</v>
      </c>
      <c r="AV215" s="13">
        <v>4.0</v>
      </c>
      <c r="AW215" s="13">
        <f>66+15</f>
        <v>81</v>
      </c>
      <c r="AX215" s="13">
        <v>1.0</v>
      </c>
      <c r="AY215" s="13">
        <v>30.0</v>
      </c>
      <c r="AZ215" s="13">
        <v>80.0</v>
      </c>
      <c r="BH215">
        <f>sum(L215:BG215)</f>
        <v>608</v>
      </c>
    </row>
    <row r="216" ht="36.75" customHeight="1">
      <c r="A216" s="41">
        <v>42775.0</v>
      </c>
      <c r="B216" s="16" t="s">
        <v>2447</v>
      </c>
      <c r="C216" s="16" t="s">
        <v>2448</v>
      </c>
      <c r="D216" s="16" t="s">
        <v>2449</v>
      </c>
      <c r="E216" s="118" t="s">
        <v>244</v>
      </c>
      <c r="F216" s="16">
        <v>27.68327</v>
      </c>
      <c r="G216" s="16">
        <v>-82.73878</v>
      </c>
      <c r="H216" s="13">
        <v>27.70942</v>
      </c>
      <c r="I216" s="13">
        <v>-82.73866</v>
      </c>
      <c r="J216" s="13" t="s">
        <v>2450</v>
      </c>
      <c r="K216" s="13" t="s">
        <v>2451</v>
      </c>
      <c r="L216" s="13">
        <v>0.0</v>
      </c>
      <c r="M216" s="13">
        <v>0.0</v>
      </c>
      <c r="N216" s="13">
        <v>0.0</v>
      </c>
      <c r="O216" s="13">
        <v>0.0</v>
      </c>
      <c r="P216" s="13">
        <v>0.0</v>
      </c>
      <c r="Q216" s="13">
        <v>0.0</v>
      </c>
      <c r="R216" s="13">
        <v>0.0</v>
      </c>
      <c r="S216" s="13">
        <v>0.0</v>
      </c>
      <c r="T216" s="13">
        <v>0.0</v>
      </c>
      <c r="U216" s="13">
        <v>0.0</v>
      </c>
      <c r="V216" s="13">
        <v>0.0</v>
      </c>
      <c r="W216" s="13">
        <v>0.0</v>
      </c>
      <c r="X216" s="13">
        <v>0.0</v>
      </c>
      <c r="Y216" s="13">
        <v>0.0</v>
      </c>
      <c r="Z216" s="13">
        <v>0.0</v>
      </c>
      <c r="AA216" s="13">
        <v>0.0</v>
      </c>
      <c r="AB216" s="13">
        <v>0.0</v>
      </c>
      <c r="AC216" s="13">
        <v>0.0</v>
      </c>
      <c r="AD216" s="13">
        <v>0.0</v>
      </c>
      <c r="AE216" s="13">
        <v>0.0</v>
      </c>
      <c r="AF216" s="13">
        <v>0.0</v>
      </c>
      <c r="AG216" s="13">
        <v>0.0</v>
      </c>
      <c r="AH216" s="13">
        <v>1.0</v>
      </c>
      <c r="AI216" s="13">
        <v>0.0</v>
      </c>
      <c r="AJ216" s="13">
        <v>0.0</v>
      </c>
      <c r="AK216" s="13">
        <v>0.0</v>
      </c>
      <c r="AL216" s="13">
        <v>0.0</v>
      </c>
      <c r="AM216" s="13">
        <v>0.0</v>
      </c>
      <c r="AN216" s="13">
        <v>0.0</v>
      </c>
      <c r="AO216" s="13">
        <v>0.0</v>
      </c>
      <c r="AP216" s="13">
        <v>0.0</v>
      </c>
      <c r="AQ216" s="13">
        <v>1.0</v>
      </c>
      <c r="AR216" s="13">
        <v>0.0</v>
      </c>
      <c r="AS216" s="13">
        <v>0.0</v>
      </c>
      <c r="AT216" s="13">
        <v>0.0</v>
      </c>
      <c r="AU216" s="13">
        <v>0.0</v>
      </c>
      <c r="AV216" s="13">
        <v>13.0</v>
      </c>
      <c r="AW216" s="13">
        <v>52.0</v>
      </c>
      <c r="AX216" s="13">
        <v>0.0</v>
      </c>
      <c r="AY216" s="13">
        <v>44.0</v>
      </c>
      <c r="AZ216" s="13">
        <v>5.0</v>
      </c>
      <c r="BA216" s="13">
        <v>0.0</v>
      </c>
      <c r="BB216" s="13">
        <v>0.0</v>
      </c>
      <c r="BC216" s="13">
        <v>0.0</v>
      </c>
      <c r="BD216" s="13">
        <v>0.0</v>
      </c>
      <c r="BE216" s="13">
        <v>0.0</v>
      </c>
      <c r="BF216" s="13">
        <v>0.0</v>
      </c>
      <c r="BG216" s="13">
        <v>0.0</v>
      </c>
      <c r="BH216">
        <f>SUM(L216:BG216)</f>
        <v>116</v>
      </c>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c r="CM216" s="13"/>
      <c r="CN216" s="13"/>
      <c r="CO216" s="13"/>
      <c r="CP216" s="13"/>
      <c r="CQ216" s="13"/>
      <c r="CR216" s="13"/>
      <c r="CS216" s="13"/>
      <c r="CT216" s="13"/>
      <c r="CU216" s="13"/>
      <c r="CV216" s="13"/>
      <c r="CW216" s="13"/>
      <c r="CX216" s="13"/>
      <c r="CY216" s="13"/>
      <c r="CZ216" s="13"/>
      <c r="DA216" s="13"/>
      <c r="DB216" s="13"/>
      <c r="DC216" s="13"/>
      <c r="DD216" s="13"/>
      <c r="DE216" s="13"/>
      <c r="DF216" s="13"/>
      <c r="DG216" s="13"/>
      <c r="DH216" s="13"/>
      <c r="DI216" s="13"/>
      <c r="DJ216" s="13"/>
      <c r="DK216" s="13"/>
      <c r="DL216" s="13"/>
      <c r="DM216" s="13"/>
      <c r="DN216" s="13"/>
      <c r="DO216" s="13"/>
      <c r="DP216" s="13"/>
      <c r="DQ216" s="13"/>
      <c r="DR216" s="13"/>
      <c r="DS216" s="13"/>
      <c r="DT216" s="13"/>
      <c r="DU216" s="13"/>
      <c r="DV216" s="13"/>
      <c r="DW216" s="13"/>
    </row>
    <row r="217" ht="36.75" customHeight="1">
      <c r="A217" s="41">
        <v>42775.0</v>
      </c>
      <c r="B217" s="16" t="s">
        <v>1118</v>
      </c>
      <c r="C217" s="16" t="s">
        <v>1119</v>
      </c>
      <c r="D217" s="16" t="s">
        <v>2453</v>
      </c>
      <c r="E217" s="93" t="s">
        <v>244</v>
      </c>
      <c r="F217" s="16">
        <v>27.99763</v>
      </c>
      <c r="G217" s="16">
        <v>-82.82865</v>
      </c>
      <c r="H217" s="13">
        <v>28.01983</v>
      </c>
      <c r="I217" s="13">
        <v>-82.82684</v>
      </c>
      <c r="J217" s="13" t="s">
        <v>2454</v>
      </c>
      <c r="K217" s="13" t="s">
        <v>2455</v>
      </c>
      <c r="L217" s="13">
        <v>0.0</v>
      </c>
      <c r="M217" s="13">
        <v>0.0</v>
      </c>
      <c r="N217" s="13">
        <v>0.0</v>
      </c>
      <c r="O217" s="13">
        <v>0.0</v>
      </c>
      <c r="P217" s="13">
        <v>0.0</v>
      </c>
      <c r="Q217" s="13">
        <v>0.0</v>
      </c>
      <c r="R217" s="13">
        <v>0.0</v>
      </c>
      <c r="S217" s="13">
        <v>0.0</v>
      </c>
      <c r="T217" s="13">
        <v>0.0</v>
      </c>
      <c r="U217" s="13">
        <v>0.0</v>
      </c>
      <c r="V217" s="13">
        <v>0.0</v>
      </c>
      <c r="W217" s="13">
        <v>0.0</v>
      </c>
      <c r="X217" s="13">
        <v>1.0</v>
      </c>
      <c r="Y217" s="13">
        <v>0.0</v>
      </c>
      <c r="Z217" s="13">
        <v>0.0</v>
      </c>
      <c r="AA217" s="13">
        <v>0.0</v>
      </c>
      <c r="AB217" s="13">
        <v>0.0</v>
      </c>
      <c r="AC217" s="13">
        <v>0.0</v>
      </c>
      <c r="AD217" s="13">
        <v>0.0</v>
      </c>
      <c r="AE217" s="13">
        <v>0.0</v>
      </c>
      <c r="AF217" s="13">
        <v>0.0</v>
      </c>
      <c r="AG217" s="13">
        <v>0.0</v>
      </c>
      <c r="AH217" s="13">
        <v>0.0</v>
      </c>
      <c r="AI217" s="13">
        <v>0.0</v>
      </c>
      <c r="AJ217" s="13">
        <v>0.0</v>
      </c>
      <c r="AK217" s="13">
        <v>0.0</v>
      </c>
      <c r="AL217" s="13">
        <v>0.0</v>
      </c>
      <c r="AM217" s="13">
        <v>0.0</v>
      </c>
      <c r="AN217" s="13">
        <v>0.0</v>
      </c>
      <c r="AO217" s="13">
        <v>0.0</v>
      </c>
      <c r="AP217" s="13">
        <v>0.0</v>
      </c>
      <c r="AQ217" s="13">
        <v>0.0</v>
      </c>
      <c r="AR217" s="13">
        <v>0.0</v>
      </c>
      <c r="AS217" s="13">
        <v>0.0</v>
      </c>
      <c r="AT217" s="13">
        <v>0.0</v>
      </c>
      <c r="AU217" s="13">
        <v>0.0</v>
      </c>
      <c r="AV217" s="13">
        <v>0.0</v>
      </c>
      <c r="AW217" s="13">
        <v>0.0</v>
      </c>
      <c r="AX217" s="13">
        <v>0.0</v>
      </c>
      <c r="AY217" s="13">
        <v>2.0</v>
      </c>
      <c r="AZ217" s="13">
        <v>0.0</v>
      </c>
      <c r="BA217" s="13">
        <v>0.0</v>
      </c>
      <c r="BB217" s="13">
        <v>0.0</v>
      </c>
      <c r="BC217" s="13">
        <v>0.0</v>
      </c>
      <c r="BD217" s="13"/>
      <c r="BE217" s="13"/>
      <c r="BF217" s="13"/>
      <c r="BG217" s="13"/>
      <c r="BH217" s="13">
        <v>3.0</v>
      </c>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c r="CM217" s="13"/>
      <c r="CN217" s="13"/>
      <c r="CO217" s="13"/>
      <c r="CP217" s="13"/>
      <c r="CQ217" s="13"/>
      <c r="CR217" s="13"/>
      <c r="CS217" s="13"/>
      <c r="CT217" s="13"/>
      <c r="CU217" s="13"/>
      <c r="CV217" s="13"/>
      <c r="CW217" s="13"/>
      <c r="CX217" s="13"/>
      <c r="CY217" s="13"/>
      <c r="CZ217" s="13"/>
      <c r="DA217" s="13"/>
      <c r="DB217" s="13"/>
      <c r="DC217" s="13"/>
      <c r="DD217" s="13"/>
      <c r="DE217" s="13"/>
      <c r="DF217" s="13"/>
      <c r="DG217" s="13"/>
      <c r="DH217" s="13"/>
      <c r="DI217" s="13"/>
      <c r="DJ217" s="13"/>
      <c r="DK217" s="13"/>
      <c r="DL217" s="13"/>
      <c r="DM217" s="13"/>
      <c r="DN217" s="13"/>
      <c r="DO217" s="13"/>
      <c r="DP217" s="13"/>
      <c r="DQ217" s="13"/>
      <c r="DR217" s="13"/>
      <c r="DS217" s="13"/>
      <c r="DT217" s="13"/>
      <c r="DU217" s="13"/>
      <c r="DV217" s="13"/>
      <c r="DW217" s="13"/>
    </row>
    <row r="218" ht="36.75" customHeight="1">
      <c r="A218" s="41">
        <v>42773.0</v>
      </c>
      <c r="B218" s="16" t="s">
        <v>1037</v>
      </c>
      <c r="C218" s="16" t="s">
        <v>1039</v>
      </c>
      <c r="D218" s="16" t="s">
        <v>1040</v>
      </c>
      <c r="E218" s="28" t="s">
        <v>1042</v>
      </c>
      <c r="F218" s="16">
        <v>27.95705</v>
      </c>
      <c r="G218" s="16">
        <v>-82.7111</v>
      </c>
      <c r="H218" s="13">
        <v>27.96251</v>
      </c>
      <c r="I218" s="13">
        <v>-82.57342</v>
      </c>
      <c r="J218" s="13" t="s">
        <v>2456</v>
      </c>
      <c r="K218" s="13" t="s">
        <v>2457</v>
      </c>
      <c r="L218" s="13">
        <v>26.0</v>
      </c>
      <c r="M218" s="13">
        <v>0.0</v>
      </c>
      <c r="N218" s="13">
        <v>80.0</v>
      </c>
      <c r="O218" s="13">
        <v>400.0</v>
      </c>
      <c r="P218" s="13">
        <v>0.0</v>
      </c>
      <c r="Q218" s="13">
        <v>0.0</v>
      </c>
      <c r="R218" s="13">
        <v>9.0</v>
      </c>
      <c r="S218" s="13">
        <v>0.0</v>
      </c>
      <c r="T218" s="13">
        <v>0.0</v>
      </c>
      <c r="U218" s="13">
        <v>0.0</v>
      </c>
      <c r="V218" s="13">
        <v>2.0</v>
      </c>
      <c r="W218" s="13">
        <v>0.0</v>
      </c>
      <c r="X218" s="13">
        <v>150.0</v>
      </c>
      <c r="Y218" s="13">
        <v>84.0</v>
      </c>
      <c r="Z218" s="13">
        <v>25.0</v>
      </c>
      <c r="AA218" s="13">
        <v>100.0</v>
      </c>
      <c r="AB218" s="13">
        <v>0.0</v>
      </c>
      <c r="AC218" s="13">
        <v>150.0</v>
      </c>
      <c r="AD218" s="13">
        <v>0.0</v>
      </c>
      <c r="AE218" s="13">
        <v>8.0</v>
      </c>
      <c r="AF218" s="13">
        <v>20.0</v>
      </c>
      <c r="AG218" s="13">
        <v>0.0</v>
      </c>
      <c r="AH218" s="13">
        <v>82.0</v>
      </c>
      <c r="AI218" s="13">
        <v>5.0</v>
      </c>
      <c r="AJ218" s="13">
        <v>0.0</v>
      </c>
      <c r="AK218" s="13">
        <v>164.0</v>
      </c>
      <c r="AL218" s="13">
        <v>34.0</v>
      </c>
      <c r="AM218" s="13">
        <v>0.0</v>
      </c>
      <c r="AN218" s="13">
        <v>34.0</v>
      </c>
      <c r="AO218" s="13">
        <v>0.0</v>
      </c>
      <c r="AP218" s="13">
        <v>0.0</v>
      </c>
      <c r="AQ218" s="13">
        <v>23.0</v>
      </c>
      <c r="AR218" s="13">
        <v>17.0</v>
      </c>
      <c r="AS218" s="13">
        <v>0.0</v>
      </c>
      <c r="AT218" s="13">
        <v>0.0</v>
      </c>
      <c r="AU218" s="13">
        <v>0.0</v>
      </c>
      <c r="AV218" s="13">
        <v>1.0</v>
      </c>
      <c r="AW218" s="13">
        <v>232.0</v>
      </c>
      <c r="AX218" s="13">
        <v>1.0</v>
      </c>
      <c r="AY218" s="13">
        <v>78.0</v>
      </c>
      <c r="AZ218" s="13">
        <v>44.0</v>
      </c>
      <c r="BA218" s="13">
        <v>0.0</v>
      </c>
      <c r="BB218" s="13">
        <v>0.0</v>
      </c>
      <c r="BC218" s="13">
        <v>0.0</v>
      </c>
      <c r="BH218" s="13">
        <f t="shared" ref="BH218:BH225" si="29">sum(L218:BG218)</f>
        <v>1769</v>
      </c>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c r="CL218" s="13"/>
      <c r="CM218" s="13"/>
      <c r="CN218" s="13"/>
      <c r="CO218" s="13"/>
      <c r="CP218" s="13"/>
      <c r="CQ218" s="13"/>
      <c r="CR218" s="13"/>
      <c r="CS218" s="13"/>
      <c r="CT218" s="13"/>
      <c r="CU218" s="13"/>
      <c r="CV218" s="13"/>
      <c r="CW218" s="13"/>
      <c r="CX218" s="13"/>
      <c r="CY218" s="13"/>
      <c r="CZ218" s="13"/>
      <c r="DA218" s="13"/>
      <c r="DB218" s="13"/>
      <c r="DC218" s="13"/>
      <c r="DD218" s="13"/>
      <c r="DE218" s="13"/>
      <c r="DF218" s="13"/>
      <c r="DG218" s="13"/>
      <c r="DH218" s="13"/>
      <c r="DI218" s="13"/>
      <c r="DJ218" s="13"/>
      <c r="DK218" s="13"/>
      <c r="DL218" s="13"/>
      <c r="DM218" s="13"/>
      <c r="DN218" s="13"/>
      <c r="DO218" s="13"/>
      <c r="DP218" s="13"/>
      <c r="DQ218" s="13"/>
      <c r="DR218" s="13"/>
      <c r="DS218" s="13"/>
      <c r="DT218" s="13"/>
      <c r="DU218" s="13"/>
      <c r="DV218" s="13"/>
      <c r="DW218" s="13"/>
    </row>
    <row r="219" ht="36.75" customHeight="1">
      <c r="A219" s="41">
        <v>42773.0</v>
      </c>
      <c r="B219" s="16" t="s">
        <v>2466</v>
      </c>
      <c r="C219" s="16" t="s">
        <v>2097</v>
      </c>
      <c r="D219" s="16" t="s">
        <v>2467</v>
      </c>
      <c r="E219" s="34" t="s">
        <v>391</v>
      </c>
      <c r="F219" s="16">
        <v>30.32547</v>
      </c>
      <c r="G219" s="16">
        <v>-87.18099</v>
      </c>
      <c r="H219" s="13">
        <v>30.33062</v>
      </c>
      <c r="I219" s="13">
        <v>-87.141892</v>
      </c>
      <c r="J219" s="13" t="s">
        <v>2468</v>
      </c>
      <c r="K219" s="13" t="s">
        <v>2469</v>
      </c>
      <c r="L219" s="13">
        <v>0.0</v>
      </c>
      <c r="M219" s="13">
        <v>0.0</v>
      </c>
      <c r="N219" s="13">
        <v>0.0</v>
      </c>
      <c r="O219" s="13">
        <v>0.0</v>
      </c>
      <c r="P219" s="13">
        <v>0.0</v>
      </c>
      <c r="Q219" s="13">
        <v>0.0</v>
      </c>
      <c r="R219" s="13">
        <v>0.0</v>
      </c>
      <c r="S219" s="13">
        <v>0.0</v>
      </c>
      <c r="T219" s="13">
        <v>0.0</v>
      </c>
      <c r="U219" s="13">
        <v>0.0</v>
      </c>
      <c r="V219" s="13">
        <v>0.0</v>
      </c>
      <c r="W219" s="13">
        <v>0.0</v>
      </c>
      <c r="X219" s="13">
        <v>0.0</v>
      </c>
      <c r="Y219" s="13">
        <v>0.0</v>
      </c>
      <c r="Z219" s="13">
        <v>66.0</v>
      </c>
      <c r="AA219" s="13">
        <v>0.0</v>
      </c>
      <c r="AB219" s="13">
        <v>0.0</v>
      </c>
      <c r="AC219" s="13">
        <v>0.0</v>
      </c>
      <c r="AD219" s="13">
        <v>0.0</v>
      </c>
      <c r="AE219" s="13">
        <v>0.0</v>
      </c>
      <c r="AF219" s="13">
        <v>0.0</v>
      </c>
      <c r="AG219" s="13">
        <v>0.0</v>
      </c>
      <c r="AH219" s="13">
        <v>0.0</v>
      </c>
      <c r="AI219" s="13">
        <v>0.0</v>
      </c>
      <c r="AJ219" s="13">
        <v>0.0</v>
      </c>
      <c r="AK219" s="13">
        <v>2.0</v>
      </c>
      <c r="AL219" s="13">
        <v>0.0</v>
      </c>
      <c r="AM219" s="13">
        <v>0.0</v>
      </c>
      <c r="AN219" s="13">
        <v>5.0</v>
      </c>
      <c r="AO219" s="13">
        <v>0.0</v>
      </c>
      <c r="AP219" s="13">
        <v>0.0</v>
      </c>
      <c r="AQ219" s="13">
        <v>3.0</v>
      </c>
      <c r="AR219" s="13">
        <v>0.0</v>
      </c>
      <c r="AS219" s="13">
        <v>0.0</v>
      </c>
      <c r="AT219" s="13">
        <v>0.0</v>
      </c>
      <c r="AU219" s="13">
        <v>0.0</v>
      </c>
      <c r="AV219" s="13">
        <v>0.0</v>
      </c>
      <c r="AW219" s="13">
        <v>6.0</v>
      </c>
      <c r="AX219" s="13">
        <v>0.0</v>
      </c>
      <c r="AY219" s="13">
        <v>24.0</v>
      </c>
      <c r="AZ219" s="13">
        <v>4.0</v>
      </c>
      <c r="BA219" s="13">
        <v>0.0</v>
      </c>
      <c r="BB219" s="13">
        <v>0.0</v>
      </c>
      <c r="BC219" s="13">
        <v>0.0</v>
      </c>
      <c r="BD219" s="13">
        <v>0.0</v>
      </c>
      <c r="BE219" s="13">
        <v>0.0</v>
      </c>
      <c r="BF219" s="13">
        <v>0.0</v>
      </c>
      <c r="BG219" s="13">
        <v>0.0</v>
      </c>
      <c r="BH219" s="13">
        <f t="shared" si="29"/>
        <v>110</v>
      </c>
    </row>
    <row r="220" ht="36.75" customHeight="1">
      <c r="A220" s="41">
        <v>42773.0</v>
      </c>
      <c r="B220" s="16" t="s">
        <v>386</v>
      </c>
      <c r="C220" s="16" t="s">
        <v>389</v>
      </c>
      <c r="D220" s="16" t="s">
        <v>2471</v>
      </c>
      <c r="E220" s="34" t="s">
        <v>391</v>
      </c>
      <c r="F220" s="16">
        <v>30.385535</v>
      </c>
      <c r="G220" s="16">
        <v>-86.862089</v>
      </c>
      <c r="H220" s="13">
        <v>30.386141</v>
      </c>
      <c r="I220" s="13">
        <v>-86.849866</v>
      </c>
      <c r="J220" s="13" t="s">
        <v>2472</v>
      </c>
      <c r="K220" s="13" t="s">
        <v>2473</v>
      </c>
      <c r="N220" s="13">
        <v>2.0</v>
      </c>
      <c r="O220" s="13">
        <v>13.0</v>
      </c>
      <c r="Q220" s="13"/>
      <c r="W220" s="13">
        <v>1.0</v>
      </c>
      <c r="Z220" s="13">
        <v>21.0</v>
      </c>
      <c r="AJ220" s="13"/>
      <c r="AW220" s="13">
        <v>1.0</v>
      </c>
      <c r="AY220" s="13">
        <v>3.0</v>
      </c>
      <c r="BH220" s="13">
        <f t="shared" si="29"/>
        <v>41</v>
      </c>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c r="CM220" s="13"/>
      <c r="CN220" s="13"/>
      <c r="CO220" s="13"/>
      <c r="CP220" s="13"/>
      <c r="CQ220" s="13"/>
      <c r="CR220" s="13"/>
      <c r="CS220" s="13"/>
      <c r="CT220" s="13"/>
      <c r="CU220" s="13"/>
      <c r="CV220" s="13"/>
      <c r="CW220" s="13"/>
      <c r="CX220" s="13"/>
      <c r="CY220" s="13"/>
      <c r="CZ220" s="13"/>
      <c r="DA220" s="13"/>
      <c r="DB220" s="13"/>
      <c r="DC220" s="13"/>
      <c r="DD220" s="13"/>
      <c r="DE220" s="13"/>
      <c r="DF220" s="13"/>
      <c r="DG220" s="13"/>
      <c r="DH220" s="13"/>
      <c r="DI220" s="13"/>
      <c r="DJ220" s="13"/>
      <c r="DK220" s="13"/>
      <c r="DL220" s="13"/>
      <c r="DM220" s="13"/>
      <c r="DN220" s="13"/>
      <c r="DO220" s="13"/>
      <c r="DP220" s="13"/>
      <c r="DQ220" s="13"/>
      <c r="DR220" s="13"/>
      <c r="DS220" s="13"/>
      <c r="DT220" s="13"/>
      <c r="DU220" s="13"/>
      <c r="DV220" s="13"/>
      <c r="DW220" s="13"/>
    </row>
    <row r="221" ht="36.75" customHeight="1">
      <c r="A221" s="41">
        <v>42773.0</v>
      </c>
      <c r="B221" s="16" t="s">
        <v>386</v>
      </c>
      <c r="C221" s="16" t="s">
        <v>389</v>
      </c>
      <c r="D221" s="16" t="s">
        <v>2475</v>
      </c>
      <c r="E221" s="34" t="s">
        <v>391</v>
      </c>
      <c r="F221" s="16">
        <v>30.381413</v>
      </c>
      <c r="G221" s="16">
        <v>-86.8499413</v>
      </c>
      <c r="H221" s="13">
        <v>30.379884</v>
      </c>
      <c r="I221" s="13">
        <v>-86.860005</v>
      </c>
      <c r="J221" s="13" t="s">
        <v>2476</v>
      </c>
      <c r="K221" s="13" t="s">
        <v>2477</v>
      </c>
      <c r="Q221" s="13"/>
      <c r="Z221" s="13">
        <v>34.0</v>
      </c>
      <c r="AL221" s="13">
        <v>1.0</v>
      </c>
      <c r="AR221" s="13">
        <v>9.0</v>
      </c>
      <c r="AV221" s="13">
        <v>1.0</v>
      </c>
      <c r="AW221" s="13">
        <v>38.0</v>
      </c>
      <c r="AY221" s="13">
        <v>10.0</v>
      </c>
      <c r="AZ221" s="13">
        <v>2.0</v>
      </c>
      <c r="BH221" s="13">
        <f t="shared" si="29"/>
        <v>95</v>
      </c>
    </row>
    <row r="222" ht="36.75" customHeight="1">
      <c r="A222" s="122">
        <v>42773.0</v>
      </c>
      <c r="B222" s="30" t="s">
        <v>2478</v>
      </c>
      <c r="C222" s="30">
        <v>8.508831145E9</v>
      </c>
      <c r="D222" s="30" t="s">
        <v>2480</v>
      </c>
      <c r="E222" s="26" t="s">
        <v>2820</v>
      </c>
      <c r="F222" s="13">
        <v>30.38594</v>
      </c>
      <c r="G222" s="13">
        <v>-86.84751</v>
      </c>
      <c r="H222" s="13">
        <v>30.40109</v>
      </c>
      <c r="I222" s="14">
        <v>-86.70015</v>
      </c>
      <c r="J222" s="13" t="s">
        <v>2822</v>
      </c>
      <c r="K222" s="13" t="s">
        <v>2823</v>
      </c>
      <c r="L222" s="13">
        <v>0.0</v>
      </c>
      <c r="M222" s="13">
        <v>0.0</v>
      </c>
      <c r="N222" s="13">
        <v>6.0</v>
      </c>
      <c r="O222" s="13">
        <v>6.0</v>
      </c>
      <c r="P222" s="13">
        <v>0.0</v>
      </c>
      <c r="Q222" s="13">
        <v>4.0</v>
      </c>
      <c r="R222" s="13">
        <v>0.0</v>
      </c>
      <c r="S222" s="13">
        <v>0.0</v>
      </c>
      <c r="T222" s="13">
        <v>0.0</v>
      </c>
      <c r="U222" s="13">
        <v>0.0</v>
      </c>
      <c r="V222" s="13">
        <v>0.0</v>
      </c>
      <c r="W222" s="13">
        <v>0.0</v>
      </c>
      <c r="X222" s="13">
        <v>0.0</v>
      </c>
      <c r="Y222" s="13">
        <v>0.0</v>
      </c>
      <c r="Z222" s="13">
        <v>33.0</v>
      </c>
      <c r="AA222" s="13">
        <v>0.0</v>
      </c>
      <c r="AB222" s="13">
        <v>0.0</v>
      </c>
      <c r="AC222" s="13">
        <v>0.0</v>
      </c>
      <c r="AD222" s="13">
        <v>0.0</v>
      </c>
      <c r="AE222" s="13">
        <v>0.0</v>
      </c>
      <c r="AF222" s="13">
        <v>0.0</v>
      </c>
      <c r="AG222" s="13">
        <v>0.0</v>
      </c>
      <c r="AH222" s="13">
        <v>0.0</v>
      </c>
      <c r="AI222" s="13">
        <v>0.0</v>
      </c>
      <c r="AJ222" s="13">
        <v>0.0</v>
      </c>
      <c r="AK222" s="13">
        <v>0.0</v>
      </c>
      <c r="AL222" s="13">
        <v>0.0</v>
      </c>
      <c r="AM222" s="13">
        <v>0.0</v>
      </c>
      <c r="AN222" s="13">
        <v>0.0</v>
      </c>
      <c r="AO222" s="13">
        <v>0.0</v>
      </c>
      <c r="AP222" s="13">
        <v>0.0</v>
      </c>
      <c r="AQ222" s="13">
        <v>1.0</v>
      </c>
      <c r="AR222" s="13">
        <v>0.0</v>
      </c>
      <c r="AS222" s="13">
        <v>0.0</v>
      </c>
      <c r="AT222" s="13">
        <v>0.0</v>
      </c>
      <c r="AU222" s="13">
        <v>0.0</v>
      </c>
      <c r="AV222" s="13">
        <v>0.0</v>
      </c>
      <c r="AW222" s="13">
        <v>0.0</v>
      </c>
      <c r="AX222" s="13">
        <v>0.0</v>
      </c>
      <c r="AY222" s="13">
        <v>0.0</v>
      </c>
      <c r="AZ222" s="13">
        <v>0.0</v>
      </c>
      <c r="BA222" s="13">
        <v>0.0</v>
      </c>
      <c r="BB222" s="13">
        <v>0.0</v>
      </c>
      <c r="BC222" s="13">
        <v>0.0</v>
      </c>
      <c r="BD222" s="13">
        <v>0.0</v>
      </c>
      <c r="BE222" s="13">
        <v>0.0</v>
      </c>
      <c r="BF222" s="13">
        <v>0.0</v>
      </c>
      <c r="BG222" s="13">
        <v>0.0</v>
      </c>
      <c r="BH222" s="13">
        <f t="shared" si="29"/>
        <v>50</v>
      </c>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c r="CL222" s="13"/>
      <c r="CM222" s="13"/>
      <c r="CN222" s="13"/>
      <c r="CO222" s="13"/>
      <c r="CP222" s="13"/>
      <c r="CQ222" s="13"/>
      <c r="CR222" s="13"/>
      <c r="CS222" s="13"/>
      <c r="CT222" s="13"/>
      <c r="CU222" s="13"/>
      <c r="CV222" s="13"/>
      <c r="CW222" s="13"/>
      <c r="CX222" s="13"/>
      <c r="CY222" s="13"/>
      <c r="CZ222" s="13"/>
      <c r="DA222" s="13"/>
      <c r="DB222" s="13"/>
      <c r="DC222" s="13"/>
      <c r="DD222" s="13"/>
      <c r="DE222" s="13"/>
      <c r="DF222" s="13"/>
      <c r="DG222" s="13"/>
      <c r="DH222" s="13"/>
      <c r="DI222" s="13"/>
      <c r="DJ222" s="13"/>
      <c r="DK222" s="13"/>
      <c r="DL222" s="13"/>
      <c r="DM222" s="13"/>
      <c r="DN222" s="13"/>
      <c r="DO222" s="13"/>
      <c r="DP222" s="13"/>
      <c r="DQ222" s="13"/>
      <c r="DR222" s="13"/>
      <c r="DS222" s="13"/>
      <c r="DT222" s="13"/>
      <c r="DU222" s="13"/>
      <c r="DV222" s="13"/>
      <c r="DW222" s="13"/>
    </row>
    <row r="223" ht="36.75" customHeight="1">
      <c r="A223" s="11">
        <v>42773.0</v>
      </c>
      <c r="B223" s="13" t="s">
        <v>427</v>
      </c>
      <c r="C223" s="13" t="s">
        <v>441</v>
      </c>
      <c r="D223" s="13" t="s">
        <v>436</v>
      </c>
      <c r="E223" s="26" t="s">
        <v>438</v>
      </c>
      <c r="F223" s="13">
        <v>30.3968</v>
      </c>
      <c r="G223" s="13">
        <v>-86.63323</v>
      </c>
      <c r="H223" s="13">
        <v>30.38141</v>
      </c>
      <c r="I223" s="14">
        <v>-86.84926</v>
      </c>
      <c r="J223" s="13" t="s">
        <v>2486</v>
      </c>
      <c r="K223" s="13" t="s">
        <v>2487</v>
      </c>
      <c r="L223" s="13">
        <v>0.0</v>
      </c>
      <c r="M223" s="13">
        <v>0.0</v>
      </c>
      <c r="N223" s="13">
        <v>2.0</v>
      </c>
      <c r="O223" s="13">
        <v>0.0</v>
      </c>
      <c r="P223" s="13">
        <v>0.0</v>
      </c>
      <c r="Q223" s="13">
        <v>0.0</v>
      </c>
      <c r="R223" s="13">
        <v>0.0</v>
      </c>
      <c r="S223" s="13">
        <v>0.0</v>
      </c>
      <c r="T223" s="13">
        <v>0.0</v>
      </c>
      <c r="U223" s="13">
        <v>0.0</v>
      </c>
      <c r="V223" s="13">
        <v>0.0</v>
      </c>
      <c r="W223" s="13">
        <v>0.0</v>
      </c>
      <c r="X223" s="13">
        <v>0.0</v>
      </c>
      <c r="Y223" s="13">
        <v>0.0</v>
      </c>
      <c r="Z223" s="13">
        <v>160.0</v>
      </c>
      <c r="AA223" s="13">
        <v>0.0</v>
      </c>
      <c r="AB223" s="13">
        <v>0.0</v>
      </c>
      <c r="AC223" s="13">
        <v>0.0</v>
      </c>
      <c r="AD223" s="13">
        <v>13.0</v>
      </c>
      <c r="AE223" s="13">
        <v>0.0</v>
      </c>
      <c r="AF223" s="13">
        <v>0.0</v>
      </c>
      <c r="AG223" s="13">
        <v>0.0</v>
      </c>
      <c r="AH223" s="13">
        <v>18.0</v>
      </c>
      <c r="AI223" s="13">
        <v>0.0</v>
      </c>
      <c r="AJ223" s="13">
        <v>0.0</v>
      </c>
      <c r="AK223" s="13">
        <v>0.0</v>
      </c>
      <c r="AL223" s="13">
        <v>459.0</v>
      </c>
      <c r="AM223" s="13">
        <v>0.0</v>
      </c>
      <c r="AN223" s="13">
        <v>7.0</v>
      </c>
      <c r="AO223" s="13">
        <v>0.0</v>
      </c>
      <c r="AP223" s="13">
        <v>0.0</v>
      </c>
      <c r="AQ223" s="13">
        <v>0.0</v>
      </c>
      <c r="AR223" s="13">
        <v>17.0</v>
      </c>
      <c r="AS223" s="13">
        <v>0.0</v>
      </c>
      <c r="AT223" s="13">
        <v>0.0</v>
      </c>
      <c r="AU223" s="13">
        <v>0.0</v>
      </c>
      <c r="AV223" s="13">
        <v>0.0</v>
      </c>
      <c r="AW223" s="13">
        <v>0.0</v>
      </c>
      <c r="AX223" s="13">
        <v>0.0</v>
      </c>
      <c r="AY223" s="13">
        <v>4.0</v>
      </c>
      <c r="AZ223" s="13">
        <v>0.0</v>
      </c>
      <c r="BA223" s="13">
        <v>0.0</v>
      </c>
      <c r="BB223" s="13">
        <v>0.0</v>
      </c>
      <c r="BC223" s="13">
        <v>0.0</v>
      </c>
      <c r="BD223" s="13">
        <v>0.0</v>
      </c>
      <c r="BE223" s="13">
        <v>0.0</v>
      </c>
      <c r="BF223" s="13">
        <v>0.0</v>
      </c>
      <c r="BG223" s="13">
        <v>0.0</v>
      </c>
      <c r="BH223" s="13">
        <f t="shared" si="29"/>
        <v>680</v>
      </c>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c r="CL223" s="13"/>
      <c r="CM223" s="13"/>
      <c r="CN223" s="13"/>
      <c r="CO223" s="13"/>
      <c r="CP223" s="13"/>
      <c r="CQ223" s="13"/>
      <c r="CR223" s="13"/>
      <c r="CS223" s="13"/>
      <c r="CT223" s="13"/>
      <c r="CU223" s="13"/>
      <c r="CV223" s="13"/>
      <c r="CW223" s="13"/>
      <c r="CX223" s="13"/>
      <c r="CY223" s="13"/>
      <c r="CZ223" s="13"/>
      <c r="DA223" s="13"/>
      <c r="DB223" s="13"/>
      <c r="DC223" s="13"/>
      <c r="DD223" s="13"/>
      <c r="DE223" s="13"/>
      <c r="DF223" s="13"/>
      <c r="DG223" s="13"/>
      <c r="DH223" s="13"/>
      <c r="DI223" s="13"/>
      <c r="DJ223" s="13"/>
      <c r="DK223" s="13"/>
      <c r="DL223" s="13"/>
      <c r="DM223" s="13"/>
      <c r="DN223" s="13"/>
      <c r="DO223" s="13"/>
      <c r="DP223" s="13"/>
      <c r="DQ223" s="13"/>
      <c r="DR223" s="13"/>
      <c r="DS223" s="13"/>
      <c r="DT223" s="13"/>
      <c r="DU223" s="13"/>
      <c r="DV223" s="13"/>
      <c r="DW223" s="13"/>
    </row>
    <row r="224" ht="36.75" customHeight="1">
      <c r="A224" s="41">
        <v>42769.0</v>
      </c>
      <c r="B224" s="16" t="s">
        <v>2498</v>
      </c>
      <c r="C224" s="16" t="s">
        <v>356</v>
      </c>
      <c r="D224" s="16" t="s">
        <v>2499</v>
      </c>
      <c r="E224" s="26" t="s">
        <v>1207</v>
      </c>
      <c r="F224" s="16">
        <v>27.32846</v>
      </c>
      <c r="G224" s="16">
        <v>-82.58895</v>
      </c>
      <c r="H224" s="13">
        <v>27.38926</v>
      </c>
      <c r="I224" s="13">
        <v>-82.6426</v>
      </c>
      <c r="J224" s="13" t="s">
        <v>2500</v>
      </c>
      <c r="K224" s="13" t="s">
        <v>2501</v>
      </c>
      <c r="L224" s="13">
        <v>0.0</v>
      </c>
      <c r="M224" s="13">
        <v>0.0</v>
      </c>
      <c r="N224" s="13">
        <v>29.0</v>
      </c>
      <c r="O224" s="13">
        <v>0.0</v>
      </c>
      <c r="P224" s="13">
        <v>0.0</v>
      </c>
      <c r="Q224" s="13">
        <v>0.0</v>
      </c>
      <c r="R224" s="13">
        <v>0.0</v>
      </c>
      <c r="S224" s="13">
        <v>0.0</v>
      </c>
      <c r="T224" s="13">
        <v>0.0</v>
      </c>
      <c r="U224" s="13">
        <v>0.0</v>
      </c>
      <c r="V224" s="13">
        <v>0.0</v>
      </c>
      <c r="W224" s="13">
        <v>0.0</v>
      </c>
      <c r="X224" s="13">
        <v>0.0</v>
      </c>
      <c r="Y224" s="13">
        <v>7.0</v>
      </c>
      <c r="Z224" s="13">
        <v>41.0</v>
      </c>
      <c r="AA224" s="13">
        <v>0.0</v>
      </c>
      <c r="AB224" s="13">
        <v>0.0</v>
      </c>
      <c r="AC224" s="13">
        <v>0.0</v>
      </c>
      <c r="AD224" s="13">
        <v>0.0</v>
      </c>
      <c r="AE224" s="13">
        <v>0.0</v>
      </c>
      <c r="AF224" s="13">
        <v>0.0</v>
      </c>
      <c r="AG224" s="13">
        <v>0.0</v>
      </c>
      <c r="AH224" s="13">
        <v>0.0</v>
      </c>
      <c r="AI224" s="13">
        <v>0.0</v>
      </c>
      <c r="AJ224" s="13">
        <v>0.0</v>
      </c>
      <c r="AK224" s="13">
        <v>0.0</v>
      </c>
      <c r="AL224" s="13">
        <v>3.0</v>
      </c>
      <c r="AM224" s="13">
        <v>0.0</v>
      </c>
      <c r="AN224" s="13">
        <v>30.0</v>
      </c>
      <c r="AO224" s="13">
        <v>0.0</v>
      </c>
      <c r="AP224" s="13">
        <v>0.0</v>
      </c>
      <c r="AQ224" s="13">
        <v>35.0</v>
      </c>
      <c r="AR224" s="13">
        <v>87.0</v>
      </c>
      <c r="AS224" s="13">
        <v>0.0</v>
      </c>
      <c r="AT224" s="13">
        <v>0.0</v>
      </c>
      <c r="AU224" s="13">
        <v>0.0</v>
      </c>
      <c r="AV224" s="13">
        <v>5.0</v>
      </c>
      <c r="AW224" s="13">
        <v>76.0</v>
      </c>
      <c r="AX224" s="13">
        <v>4.0</v>
      </c>
      <c r="AY224" s="13">
        <v>32.0</v>
      </c>
      <c r="AZ224" s="13">
        <v>58.0</v>
      </c>
      <c r="BA224" s="13">
        <v>12.0</v>
      </c>
      <c r="BB224" s="13">
        <v>0.0</v>
      </c>
      <c r="BC224" s="13">
        <v>0.0</v>
      </c>
      <c r="BD224" s="13">
        <v>0.0</v>
      </c>
      <c r="BE224" s="13">
        <v>0.0</v>
      </c>
      <c r="BF224" s="13">
        <v>0.0</v>
      </c>
      <c r="BG224" s="13">
        <v>0.0</v>
      </c>
      <c r="BH224" s="13">
        <f t="shared" si="29"/>
        <v>419</v>
      </c>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c r="CM224" s="13"/>
      <c r="CN224" s="13"/>
      <c r="CO224" s="13"/>
      <c r="CP224" s="13"/>
      <c r="CQ224" s="13"/>
      <c r="CR224" s="13"/>
      <c r="CS224" s="13"/>
      <c r="CT224" s="13"/>
      <c r="CU224" s="13"/>
      <c r="CV224" s="13"/>
      <c r="CW224" s="13"/>
      <c r="CX224" s="13"/>
      <c r="CY224" s="13"/>
      <c r="CZ224" s="13"/>
      <c r="DA224" s="13"/>
      <c r="DB224" s="13"/>
      <c r="DC224" s="13"/>
      <c r="DD224" s="13"/>
      <c r="DE224" s="13"/>
      <c r="DF224" s="13"/>
      <c r="DG224" s="13"/>
      <c r="DH224" s="13"/>
      <c r="DI224" s="13"/>
      <c r="DJ224" s="13"/>
      <c r="DK224" s="13"/>
      <c r="DL224" s="13"/>
      <c r="DM224" s="13"/>
      <c r="DN224" s="13"/>
      <c r="DO224" s="13"/>
      <c r="DP224" s="13"/>
      <c r="DQ224" s="13"/>
      <c r="DR224" s="13"/>
      <c r="DS224" s="13"/>
      <c r="DT224" s="13"/>
      <c r="DU224" s="13"/>
      <c r="DV224" s="13"/>
      <c r="DW224" s="13"/>
    </row>
    <row r="225" ht="36.75" customHeight="1">
      <c r="A225" s="32">
        <v>42772.0</v>
      </c>
      <c r="B225" s="26" t="s">
        <v>2506</v>
      </c>
      <c r="C225" s="26" t="s">
        <v>2507</v>
      </c>
      <c r="D225" s="26" t="s">
        <v>2508</v>
      </c>
      <c r="E225" s="34" t="s">
        <v>1207</v>
      </c>
      <c r="F225" s="74">
        <v>27.26619</v>
      </c>
      <c r="G225" s="74">
        <v>-82.556465</v>
      </c>
      <c r="H225" s="74">
        <v>27.278414</v>
      </c>
      <c r="I225" s="97">
        <v>-8.2568875E7</v>
      </c>
      <c r="J225" s="34" t="s">
        <v>2845</v>
      </c>
      <c r="K225" s="34" t="s">
        <v>2846</v>
      </c>
      <c r="L225" s="74">
        <v>0.0</v>
      </c>
      <c r="M225" s="69">
        <v>0.0</v>
      </c>
      <c r="N225" s="69">
        <v>0.0</v>
      </c>
      <c r="O225" s="69">
        <v>0.0</v>
      </c>
      <c r="P225" s="69">
        <v>0.0</v>
      </c>
      <c r="Q225" s="69">
        <v>0.0</v>
      </c>
      <c r="R225" s="69">
        <v>0.0</v>
      </c>
      <c r="S225" s="69">
        <v>0.0</v>
      </c>
      <c r="T225" s="69">
        <v>0.0</v>
      </c>
      <c r="U225" s="69">
        <v>0.0</v>
      </c>
      <c r="V225" s="69">
        <v>0.0</v>
      </c>
      <c r="W225" s="69">
        <v>0.0</v>
      </c>
      <c r="X225" s="69">
        <v>0.0</v>
      </c>
      <c r="Y225" s="69">
        <v>0.0</v>
      </c>
      <c r="Z225" s="69">
        <v>10.0</v>
      </c>
      <c r="AA225" s="69">
        <v>0.0</v>
      </c>
      <c r="AB225" s="69">
        <v>0.0</v>
      </c>
      <c r="AC225" s="69">
        <v>0.0</v>
      </c>
      <c r="AD225" s="69">
        <v>20.0</v>
      </c>
      <c r="AE225" s="69">
        <v>0.0</v>
      </c>
      <c r="AF225" s="69">
        <v>0.0</v>
      </c>
      <c r="AG225" s="69">
        <v>0.0</v>
      </c>
      <c r="AH225" s="69">
        <v>0.0</v>
      </c>
      <c r="AI225" s="69">
        <v>0.0</v>
      </c>
      <c r="AJ225" s="69">
        <v>0.0</v>
      </c>
      <c r="AK225" s="69">
        <v>0.0</v>
      </c>
      <c r="AL225" s="69">
        <v>0.0</v>
      </c>
      <c r="AM225" s="69">
        <v>0.0</v>
      </c>
      <c r="AN225" s="69">
        <v>0.0</v>
      </c>
      <c r="AO225" s="69">
        <v>0.0</v>
      </c>
      <c r="AP225" s="69">
        <v>0.0</v>
      </c>
      <c r="AQ225" s="69">
        <v>0.0</v>
      </c>
      <c r="AR225" s="69">
        <v>0.0</v>
      </c>
      <c r="AS225" s="69">
        <v>0.0</v>
      </c>
      <c r="AT225" s="69">
        <v>0.0</v>
      </c>
      <c r="AU225" s="69">
        <v>0.0</v>
      </c>
      <c r="AV225" s="69">
        <v>19.0</v>
      </c>
      <c r="AW225" s="69">
        <v>9.0</v>
      </c>
      <c r="AX225" s="26"/>
      <c r="AY225" s="69">
        <v>12.0</v>
      </c>
      <c r="AZ225" s="69">
        <v>0.0</v>
      </c>
      <c r="BA225" s="69">
        <v>0.0</v>
      </c>
      <c r="BB225" s="69">
        <v>0.0</v>
      </c>
      <c r="BC225" s="69">
        <v>0.0</v>
      </c>
      <c r="BD225" s="69">
        <v>0.0</v>
      </c>
      <c r="BE225" s="69">
        <v>0.0</v>
      </c>
      <c r="BF225" s="69">
        <v>0.0</v>
      </c>
      <c r="BG225" s="69">
        <v>0.0</v>
      </c>
      <c r="BH225" s="13">
        <f t="shared" si="29"/>
        <v>70</v>
      </c>
      <c r="BI225" s="26" t="s">
        <v>2847</v>
      </c>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c r="CL225" s="13"/>
      <c r="CM225" s="13"/>
      <c r="CN225" s="13"/>
      <c r="CO225" s="13"/>
      <c r="CP225" s="13"/>
      <c r="CQ225" s="13"/>
      <c r="CR225" s="13"/>
      <c r="CS225" s="13"/>
      <c r="CT225" s="13"/>
      <c r="CU225" s="13"/>
      <c r="CV225" s="13"/>
      <c r="CW225" s="13"/>
      <c r="CX225" s="13"/>
      <c r="CY225" s="13"/>
      <c r="CZ225" s="13"/>
      <c r="DA225" s="13"/>
      <c r="DB225" s="13"/>
      <c r="DC225" s="13"/>
      <c r="DD225" s="13"/>
      <c r="DE225" s="13"/>
      <c r="DF225" s="13"/>
      <c r="DG225" s="13"/>
      <c r="DH225" s="13"/>
      <c r="DI225" s="13"/>
      <c r="DJ225" s="13"/>
      <c r="DK225" s="13"/>
      <c r="DL225" s="13"/>
      <c r="DM225" s="13"/>
      <c r="DN225" s="13"/>
      <c r="DO225" s="13"/>
      <c r="DP225" s="13"/>
      <c r="DQ225" s="13"/>
      <c r="DR225" s="13"/>
      <c r="DS225" s="13"/>
      <c r="DT225" s="13"/>
      <c r="DU225" s="13"/>
      <c r="DV225" s="13"/>
      <c r="DW225" s="13"/>
    </row>
    <row r="226" ht="36.75" customHeight="1">
      <c r="A226" s="32">
        <v>42772.0</v>
      </c>
      <c r="B226" s="26" t="s">
        <v>2848</v>
      </c>
      <c r="C226" s="26" t="s">
        <v>2849</v>
      </c>
      <c r="D226" s="26" t="s">
        <v>1206</v>
      </c>
      <c r="E226" s="34" t="s">
        <v>1207</v>
      </c>
      <c r="F226" s="69">
        <v>27.24611</v>
      </c>
      <c r="G226" s="69">
        <v>-82.53583</v>
      </c>
      <c r="H226" s="69">
        <v>27.26639</v>
      </c>
      <c r="I226" s="76">
        <v>-82.55667</v>
      </c>
      <c r="J226" s="26" t="s">
        <v>2526</v>
      </c>
      <c r="K226" s="26" t="s">
        <v>2022</v>
      </c>
      <c r="L226" s="26"/>
      <c r="M226" s="26"/>
      <c r="N226" s="69">
        <v>1.0</v>
      </c>
      <c r="O226" s="26"/>
      <c r="P226" s="26"/>
      <c r="Q226" s="26"/>
      <c r="R226" s="26"/>
      <c r="S226" s="26"/>
      <c r="T226" s="26"/>
      <c r="U226" s="26"/>
      <c r="V226" s="26"/>
      <c r="W226" s="26"/>
      <c r="X226" s="26"/>
      <c r="Y226" s="26"/>
      <c r="Z226" s="69">
        <v>1.0</v>
      </c>
      <c r="AA226" s="26"/>
      <c r="AB226" s="26"/>
      <c r="AC226" s="26"/>
      <c r="AD226" s="69">
        <v>1.0</v>
      </c>
      <c r="AE226" s="26"/>
      <c r="AF226" s="26"/>
      <c r="AG226" s="26"/>
      <c r="AH226" s="26"/>
      <c r="AI226" s="26"/>
      <c r="AJ226" s="26"/>
      <c r="AK226" s="69">
        <v>61.0</v>
      </c>
      <c r="AL226" s="26"/>
      <c r="AM226" s="26"/>
      <c r="AN226" s="69">
        <v>12.0</v>
      </c>
      <c r="AO226" s="26"/>
      <c r="AP226" s="69">
        <v>1.0</v>
      </c>
      <c r="AQ226" s="69">
        <v>3.0</v>
      </c>
      <c r="AR226" s="69">
        <v>50.0</v>
      </c>
      <c r="AS226" s="26"/>
      <c r="AT226" s="26"/>
      <c r="AU226" s="26"/>
      <c r="AV226" s="69">
        <v>139.0</v>
      </c>
      <c r="AW226" s="69">
        <v>528.0</v>
      </c>
      <c r="AX226" s="69">
        <v>1.0</v>
      </c>
      <c r="AY226" s="69">
        <v>171.0</v>
      </c>
      <c r="AZ226" s="69">
        <v>43.0</v>
      </c>
      <c r="BA226" s="69">
        <v>56.0</v>
      </c>
      <c r="BB226" s="26"/>
      <c r="BC226" s="26"/>
      <c r="BD226" s="26"/>
      <c r="BE226" s="26"/>
      <c r="BF226" s="26"/>
      <c r="BG226" s="26"/>
      <c r="BH226" s="13">
        <v>1068.0</v>
      </c>
      <c r="BI226" s="31" t="s">
        <v>2850</v>
      </c>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c r="CL226" s="13"/>
      <c r="CM226" s="13"/>
      <c r="CN226" s="13"/>
      <c r="CO226" s="13"/>
      <c r="CP226" s="13"/>
      <c r="CQ226" s="13"/>
      <c r="CR226" s="13"/>
      <c r="CS226" s="13"/>
      <c r="CT226" s="13"/>
      <c r="CU226" s="13"/>
      <c r="CV226" s="13"/>
      <c r="CW226" s="13"/>
      <c r="CX226" s="13"/>
      <c r="CY226" s="13"/>
      <c r="CZ226" s="13"/>
      <c r="DA226" s="13"/>
      <c r="DB226" s="13"/>
      <c r="DC226" s="13"/>
      <c r="DD226" s="13"/>
      <c r="DE226" s="13"/>
      <c r="DF226" s="13"/>
      <c r="DG226" s="13"/>
      <c r="DH226" s="13"/>
      <c r="DI226" s="13"/>
      <c r="DJ226" s="13"/>
      <c r="DK226" s="13"/>
      <c r="DL226" s="13"/>
      <c r="DM226" s="13"/>
      <c r="DN226" s="13"/>
      <c r="DO226" s="13"/>
      <c r="DP226" s="13"/>
      <c r="DQ226" s="13"/>
      <c r="DR226" s="13"/>
      <c r="DS226" s="13"/>
      <c r="DT226" s="13"/>
      <c r="DU226" s="13"/>
      <c r="DV226" s="13"/>
      <c r="DW226" s="13"/>
    </row>
    <row r="227" ht="36.75" customHeight="1">
      <c r="A227" s="11">
        <v>42773.0</v>
      </c>
      <c r="B227" s="13" t="s">
        <v>1759</v>
      </c>
      <c r="C227" s="13" t="s">
        <v>2851</v>
      </c>
      <c r="D227" s="13" t="s">
        <v>1761</v>
      </c>
      <c r="E227" s="34" t="s">
        <v>1207</v>
      </c>
      <c r="F227" s="13">
        <v>27.02812</v>
      </c>
      <c r="G227" s="13">
        <v>82.42362</v>
      </c>
      <c r="H227" s="13">
        <v>27.02163</v>
      </c>
      <c r="I227" s="14">
        <v>82.4198</v>
      </c>
      <c r="J227" s="13" t="s">
        <v>2852</v>
      </c>
      <c r="K227" s="13" t="s">
        <v>2853</v>
      </c>
      <c r="Y227" s="13"/>
      <c r="Z227" s="13"/>
      <c r="AF227" s="13"/>
      <c r="AH227" s="13"/>
      <c r="AN227" s="13"/>
      <c r="AQ227" s="13"/>
      <c r="AR227" s="13"/>
      <c r="AV227" s="13"/>
      <c r="AW227" s="13"/>
      <c r="AY227" s="13"/>
      <c r="AZ227" s="13"/>
      <c r="BH227" s="13">
        <f t="shared" ref="BH227:BH229" si="30">sum(L227:BG227)</f>
        <v>0</v>
      </c>
      <c r="BI227" s="13" t="s">
        <v>2854</v>
      </c>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c r="CL227" s="13"/>
      <c r="CM227" s="13"/>
      <c r="CN227" s="13"/>
      <c r="CO227" s="13"/>
      <c r="CP227" s="13"/>
      <c r="CQ227" s="13"/>
      <c r="CR227" s="13"/>
      <c r="CS227" s="13"/>
      <c r="CT227" s="13"/>
      <c r="CU227" s="13"/>
      <c r="CV227" s="13"/>
      <c r="CW227" s="13"/>
      <c r="CX227" s="13"/>
      <c r="CY227" s="13"/>
      <c r="CZ227" s="13"/>
      <c r="DA227" s="13"/>
      <c r="DB227" s="13"/>
      <c r="DC227" s="13"/>
      <c r="DD227" s="13"/>
      <c r="DE227" s="13"/>
      <c r="DF227" s="13"/>
      <c r="DG227" s="13"/>
      <c r="DH227" s="13"/>
      <c r="DI227" s="13"/>
      <c r="DJ227" s="13"/>
      <c r="DK227" s="13"/>
      <c r="DL227" s="13"/>
      <c r="DM227" s="13"/>
      <c r="DN227" s="13"/>
      <c r="DO227" s="13"/>
      <c r="DP227" s="13"/>
      <c r="DQ227" s="13"/>
      <c r="DR227" s="13"/>
      <c r="DS227" s="13"/>
      <c r="DT227" s="13"/>
      <c r="DU227" s="13"/>
      <c r="DV227" s="13"/>
      <c r="DW227" s="13"/>
    </row>
    <row r="228" ht="36.75" customHeight="1">
      <c r="A228" s="11">
        <v>42773.0</v>
      </c>
      <c r="B228" s="13" t="s">
        <v>2541</v>
      </c>
      <c r="C228" s="13" t="s">
        <v>2542</v>
      </c>
      <c r="D228" s="13" t="s">
        <v>2543</v>
      </c>
      <c r="E228" s="34" t="s">
        <v>1207</v>
      </c>
      <c r="F228" s="13">
        <v>27.01688</v>
      </c>
      <c r="G228" s="13">
        <v>-82.41664</v>
      </c>
      <c r="H228" s="13">
        <v>27.0217</v>
      </c>
      <c r="I228" s="14">
        <v>-82.41984</v>
      </c>
      <c r="J228" s="13" t="s">
        <v>2544</v>
      </c>
      <c r="K228" s="13" t="s">
        <v>2545</v>
      </c>
      <c r="N228" s="13">
        <v>2.0</v>
      </c>
      <c r="O228" s="13"/>
      <c r="V228" s="13"/>
      <c r="W228" s="13"/>
      <c r="X228" s="13"/>
      <c r="Y228" s="13"/>
      <c r="Z228" s="13">
        <v>3.0</v>
      </c>
      <c r="AA228" s="13"/>
      <c r="AC228" s="13"/>
      <c r="AE228" s="13"/>
      <c r="AF228" s="13"/>
      <c r="AH228" s="13"/>
      <c r="AI228" s="13"/>
      <c r="AK228" s="13"/>
      <c r="AN228" s="13"/>
      <c r="AQ228" s="13"/>
      <c r="AW228" s="13"/>
      <c r="AY228" s="13"/>
      <c r="AZ228" s="13"/>
      <c r="BC228" s="13"/>
      <c r="BH228" s="13">
        <f t="shared" si="30"/>
        <v>5</v>
      </c>
    </row>
    <row r="229" ht="36.75" customHeight="1">
      <c r="A229" s="11">
        <v>42773.0</v>
      </c>
      <c r="B229" s="13" t="s">
        <v>2541</v>
      </c>
      <c r="C229" s="13" t="s">
        <v>2542</v>
      </c>
      <c r="D229" s="13" t="s">
        <v>2546</v>
      </c>
      <c r="E229" s="34" t="s">
        <v>1207</v>
      </c>
      <c r="F229" s="13">
        <v>27.01011</v>
      </c>
      <c r="G229" s="13">
        <v>-82.41256</v>
      </c>
      <c r="H229" s="13">
        <v>27.01687</v>
      </c>
      <c r="I229" s="14">
        <v>-82.41664</v>
      </c>
      <c r="J229" s="13" t="s">
        <v>2547</v>
      </c>
      <c r="K229" s="13" t="s">
        <v>2855</v>
      </c>
      <c r="N229" s="13"/>
      <c r="O229" s="13"/>
      <c r="Y229" s="13">
        <v>10.0</v>
      </c>
      <c r="Z229" s="13">
        <v>28.0</v>
      </c>
      <c r="AD229" s="13"/>
      <c r="AH229" s="13"/>
      <c r="AN229" s="13"/>
      <c r="AV229" s="13"/>
      <c r="AW229" s="13">
        <v>1.0</v>
      </c>
      <c r="AX229" s="13"/>
      <c r="AY229" s="13"/>
      <c r="AZ229" s="13"/>
      <c r="BH229" s="13">
        <f t="shared" si="30"/>
        <v>39</v>
      </c>
    </row>
    <row r="230" ht="36.75" customHeight="1">
      <c r="A230" s="11">
        <v>42773.0</v>
      </c>
      <c r="B230" s="13" t="s">
        <v>2856</v>
      </c>
      <c r="C230" s="13" t="s">
        <v>2857</v>
      </c>
      <c r="D230" s="13" t="s">
        <v>2858</v>
      </c>
      <c r="E230" s="34" t="s">
        <v>1207</v>
      </c>
      <c r="F230" s="13"/>
      <c r="G230" s="13"/>
      <c r="H230" s="13"/>
      <c r="I230" s="14"/>
      <c r="J230" s="13" t="s">
        <v>2859</v>
      </c>
      <c r="K230" s="13" t="s">
        <v>2860</v>
      </c>
      <c r="L230" s="13">
        <v>0.0</v>
      </c>
      <c r="M230" s="13">
        <v>0.0</v>
      </c>
      <c r="N230" s="13">
        <v>2.0</v>
      </c>
      <c r="O230" s="13">
        <v>0.0</v>
      </c>
      <c r="P230" s="13">
        <v>0.0</v>
      </c>
      <c r="Q230" s="13">
        <v>0.0</v>
      </c>
      <c r="R230" s="13"/>
      <c r="S230" s="13">
        <v>0.0</v>
      </c>
      <c r="T230" s="13">
        <v>0.0</v>
      </c>
      <c r="U230" s="13">
        <v>0.0</v>
      </c>
      <c r="V230" s="13">
        <v>0.0</v>
      </c>
      <c r="W230" s="13">
        <v>0.0</v>
      </c>
      <c r="X230" s="13">
        <v>0.0</v>
      </c>
      <c r="Y230" s="13">
        <v>0.0</v>
      </c>
      <c r="Z230" s="13">
        <v>22.0</v>
      </c>
      <c r="AA230" s="13">
        <v>0.0</v>
      </c>
      <c r="AB230" s="13">
        <v>0.0</v>
      </c>
      <c r="AC230" s="13">
        <v>0.0</v>
      </c>
      <c r="AD230" s="13">
        <v>0.0</v>
      </c>
      <c r="AE230" s="13">
        <v>0.0</v>
      </c>
      <c r="AF230" s="13">
        <v>0.0</v>
      </c>
      <c r="AG230" s="13">
        <v>0.0</v>
      </c>
      <c r="AH230" s="13">
        <v>1.0</v>
      </c>
      <c r="AI230" s="13">
        <v>0.0</v>
      </c>
      <c r="AJ230" s="13">
        <v>0.0</v>
      </c>
      <c r="AK230" s="13">
        <v>0.0</v>
      </c>
      <c r="AL230" s="13">
        <v>0.0</v>
      </c>
      <c r="AM230" s="13">
        <v>0.0</v>
      </c>
      <c r="AN230" s="13">
        <v>0.0</v>
      </c>
      <c r="AO230" s="13">
        <v>0.0</v>
      </c>
      <c r="AP230" s="13">
        <v>0.0</v>
      </c>
      <c r="AQ230" s="13">
        <v>0.0</v>
      </c>
      <c r="AR230" s="13">
        <v>0.0</v>
      </c>
      <c r="AS230" s="13">
        <v>0.0</v>
      </c>
      <c r="AT230" s="13">
        <v>0.0</v>
      </c>
      <c r="AU230" s="13">
        <v>0.0</v>
      </c>
      <c r="AV230" s="13">
        <v>0.0</v>
      </c>
      <c r="AW230" s="13">
        <v>3.0</v>
      </c>
      <c r="AX230" s="13">
        <v>0.0</v>
      </c>
      <c r="AY230" s="13">
        <v>0.0</v>
      </c>
      <c r="AZ230" s="13">
        <v>0.0</v>
      </c>
      <c r="BA230" s="13">
        <v>0.0</v>
      </c>
      <c r="BB230" s="13">
        <v>0.0</v>
      </c>
      <c r="BC230" s="13">
        <v>0.0</v>
      </c>
      <c r="BD230" s="13">
        <v>0.0</v>
      </c>
      <c r="BE230" s="13">
        <v>0.0</v>
      </c>
      <c r="BF230" s="13">
        <v>0.0</v>
      </c>
      <c r="BG230" s="13">
        <v>0.0</v>
      </c>
      <c r="BH230" s="13">
        <v>28.0</v>
      </c>
      <c r="BI230" s="13" t="s">
        <v>2861</v>
      </c>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c r="CL230" s="13"/>
      <c r="CM230" s="13"/>
      <c r="CN230" s="13"/>
      <c r="CO230" s="13"/>
      <c r="CP230" s="13"/>
      <c r="CQ230" s="13"/>
      <c r="CR230" s="13"/>
      <c r="CS230" s="13"/>
      <c r="CT230" s="13"/>
      <c r="CU230" s="13"/>
      <c r="CV230" s="13"/>
      <c r="CW230" s="13"/>
      <c r="CX230" s="13"/>
      <c r="CY230" s="13"/>
      <c r="CZ230" s="13"/>
      <c r="DA230" s="13"/>
      <c r="DB230" s="13"/>
      <c r="DC230" s="13"/>
      <c r="DD230" s="13"/>
      <c r="DE230" s="13"/>
      <c r="DF230" s="13"/>
      <c r="DG230" s="13"/>
      <c r="DH230" s="13"/>
      <c r="DI230" s="13"/>
      <c r="DJ230" s="13"/>
      <c r="DK230" s="13"/>
      <c r="DL230" s="13"/>
      <c r="DM230" s="13"/>
      <c r="DN230" s="13"/>
      <c r="DO230" s="13"/>
      <c r="DP230" s="13"/>
      <c r="DQ230" s="13"/>
      <c r="DR230" s="13"/>
      <c r="DS230" s="13"/>
      <c r="DT230" s="13"/>
      <c r="DU230" s="13"/>
      <c r="DV230" s="13"/>
      <c r="DW230" s="13"/>
    </row>
    <row r="231" ht="36.75" customHeight="1">
      <c r="A231" s="41">
        <v>42773.0</v>
      </c>
      <c r="B231" s="16" t="s">
        <v>2555</v>
      </c>
      <c r="C231" s="16" t="s">
        <v>2556</v>
      </c>
      <c r="D231" s="16" t="s">
        <v>2557</v>
      </c>
      <c r="E231" s="26" t="s">
        <v>1207</v>
      </c>
      <c r="F231" s="16">
        <v>27.05541</v>
      </c>
      <c r="G231" s="16">
        <v>-82.44235</v>
      </c>
      <c r="H231" s="13">
        <v>27.03678</v>
      </c>
      <c r="I231" s="13">
        <v>-82.42926</v>
      </c>
      <c r="J231" s="13" t="s">
        <v>1505</v>
      </c>
      <c r="K231" s="13" t="s">
        <v>2558</v>
      </c>
      <c r="L231" s="13">
        <v>0.0</v>
      </c>
      <c r="M231" s="13">
        <v>0.0</v>
      </c>
      <c r="N231" s="13">
        <v>0.0</v>
      </c>
      <c r="O231" s="13">
        <v>0.0</v>
      </c>
      <c r="P231" s="13">
        <v>0.0</v>
      </c>
      <c r="Q231" s="13">
        <v>0.0</v>
      </c>
      <c r="R231" s="13">
        <v>0.0</v>
      </c>
      <c r="S231" s="13">
        <v>0.0</v>
      </c>
      <c r="T231" s="13">
        <v>0.0</v>
      </c>
      <c r="U231" s="13">
        <v>0.0</v>
      </c>
      <c r="V231" s="13">
        <v>0.0</v>
      </c>
      <c r="W231" s="13">
        <v>0.0</v>
      </c>
      <c r="X231" s="13">
        <v>0.0</v>
      </c>
      <c r="Y231" s="13">
        <v>13.0</v>
      </c>
      <c r="Z231" s="13">
        <v>41.0</v>
      </c>
      <c r="AA231" s="13">
        <v>2.0</v>
      </c>
      <c r="AB231" s="13">
        <v>0.0</v>
      </c>
      <c r="AC231" s="13">
        <v>0.0</v>
      </c>
      <c r="AD231" s="13">
        <v>0.0</v>
      </c>
      <c r="AE231" s="13">
        <v>0.0</v>
      </c>
      <c r="AF231" s="13">
        <v>0.0</v>
      </c>
      <c r="AG231" s="13">
        <v>0.0</v>
      </c>
      <c r="AH231" s="13">
        <v>0.0</v>
      </c>
      <c r="AI231" s="13">
        <v>0.0</v>
      </c>
      <c r="AJ231" s="13">
        <v>0.0</v>
      </c>
      <c r="AK231" s="13">
        <v>0.0</v>
      </c>
      <c r="AL231" s="13">
        <v>0.0</v>
      </c>
      <c r="AM231" s="13">
        <v>0.0</v>
      </c>
      <c r="AN231" s="13">
        <v>0.0</v>
      </c>
      <c r="AO231" s="13">
        <v>0.0</v>
      </c>
      <c r="AP231" s="13">
        <v>0.0</v>
      </c>
      <c r="AQ231" s="13">
        <v>0.0</v>
      </c>
      <c r="AR231" s="13">
        <v>0.0</v>
      </c>
      <c r="AS231" s="13">
        <v>0.0</v>
      </c>
      <c r="AT231" s="13">
        <v>0.0</v>
      </c>
      <c r="AU231" s="13">
        <v>0.0</v>
      </c>
      <c r="AV231" s="13">
        <v>2.0</v>
      </c>
      <c r="AW231" s="13">
        <v>0.0</v>
      </c>
      <c r="AX231" s="13">
        <v>0.0</v>
      </c>
      <c r="AY231" s="13">
        <v>19.0</v>
      </c>
      <c r="AZ231" s="13">
        <v>1.0</v>
      </c>
      <c r="BA231" s="13">
        <v>0.0</v>
      </c>
      <c r="BB231" s="13">
        <v>0.0</v>
      </c>
      <c r="BC231" s="13">
        <v>0.0</v>
      </c>
      <c r="BD231" s="13">
        <v>0.0</v>
      </c>
      <c r="BE231" s="13">
        <v>0.0</v>
      </c>
      <c r="BF231" s="13">
        <v>0.0</v>
      </c>
      <c r="BG231" s="13">
        <v>0.0</v>
      </c>
      <c r="BH231">
        <f>SUM(L231:BG231)</f>
        <v>78</v>
      </c>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c r="CM231" s="13"/>
      <c r="CN231" s="13"/>
      <c r="CO231" s="13"/>
      <c r="CP231" s="13"/>
      <c r="CQ231" s="13"/>
      <c r="CR231" s="13"/>
      <c r="CS231" s="13"/>
      <c r="CT231" s="13"/>
      <c r="CU231" s="13"/>
      <c r="CV231" s="13"/>
      <c r="CW231" s="13"/>
      <c r="CX231" s="13"/>
      <c r="CY231" s="13"/>
      <c r="CZ231" s="13"/>
      <c r="DA231" s="13"/>
      <c r="DB231" s="13"/>
      <c r="DC231" s="13"/>
      <c r="DD231" s="13"/>
      <c r="DE231" s="13"/>
      <c r="DF231" s="13"/>
      <c r="DG231" s="13"/>
      <c r="DH231" s="13"/>
      <c r="DI231" s="13"/>
      <c r="DJ231" s="13"/>
      <c r="DK231" s="13"/>
      <c r="DL231" s="13"/>
      <c r="DM231" s="13"/>
      <c r="DN231" s="13"/>
      <c r="DO231" s="13"/>
      <c r="DP231" s="13"/>
      <c r="DQ231" s="13"/>
      <c r="DR231" s="13"/>
      <c r="DS231" s="13"/>
      <c r="DT231" s="13"/>
      <c r="DU231" s="13"/>
      <c r="DV231" s="13"/>
      <c r="DW231" s="13"/>
    </row>
    <row r="232" ht="36.75" customHeight="1">
      <c r="A232" s="11">
        <v>42774.0</v>
      </c>
      <c r="B232" s="13" t="s">
        <v>1118</v>
      </c>
      <c r="C232" s="13" t="s">
        <v>1119</v>
      </c>
      <c r="D232" s="13" t="s">
        <v>2560</v>
      </c>
      <c r="E232" s="34" t="s">
        <v>1207</v>
      </c>
      <c r="F232" s="13">
        <v>27.29615</v>
      </c>
      <c r="G232" s="13">
        <v>-82.567</v>
      </c>
      <c r="H232" s="13">
        <v>27.32482</v>
      </c>
      <c r="I232" s="14">
        <v>-82.5885</v>
      </c>
      <c r="J232" s="13" t="s">
        <v>2862</v>
      </c>
      <c r="K232" s="13" t="s">
        <v>2863</v>
      </c>
      <c r="L232" s="13">
        <v>0.0</v>
      </c>
      <c r="M232" s="13">
        <v>0.0</v>
      </c>
      <c r="N232" s="13">
        <v>1.0</v>
      </c>
      <c r="O232" s="13">
        <v>0.0</v>
      </c>
      <c r="P232" s="13">
        <v>0.0</v>
      </c>
      <c r="Q232" s="13">
        <v>0.0</v>
      </c>
      <c r="R232" s="13">
        <v>0.0</v>
      </c>
      <c r="S232" s="13">
        <v>0.0</v>
      </c>
      <c r="T232" s="13">
        <v>0.0</v>
      </c>
      <c r="U232" s="13">
        <v>0.0</v>
      </c>
      <c r="V232" s="13">
        <v>0.0</v>
      </c>
      <c r="W232" s="13">
        <v>0.0</v>
      </c>
      <c r="X232" s="13">
        <v>0.0</v>
      </c>
      <c r="Y232" s="13">
        <v>6.0</v>
      </c>
      <c r="Z232" s="13">
        <v>15.0</v>
      </c>
      <c r="AA232" s="13">
        <v>0.0</v>
      </c>
      <c r="AB232" s="13">
        <v>0.0</v>
      </c>
      <c r="AC232" s="13">
        <v>0.0</v>
      </c>
      <c r="AD232" s="13">
        <v>0.0</v>
      </c>
      <c r="AE232" s="13">
        <v>0.0</v>
      </c>
      <c r="AF232" s="13">
        <v>3.0</v>
      </c>
      <c r="AG232" s="13">
        <v>0.0</v>
      </c>
      <c r="AH232" s="13">
        <v>0.0</v>
      </c>
      <c r="AI232" s="13">
        <v>0.0</v>
      </c>
      <c r="AJ232" s="13">
        <v>0.0</v>
      </c>
      <c r="AK232" s="13">
        <v>0.0</v>
      </c>
      <c r="AL232" s="13">
        <v>0.0</v>
      </c>
      <c r="AM232" s="13">
        <v>0.0</v>
      </c>
      <c r="AN232" s="13">
        <v>0.0</v>
      </c>
      <c r="AO232" s="13">
        <v>0.0</v>
      </c>
      <c r="AP232" s="13">
        <v>0.0</v>
      </c>
      <c r="AQ232" s="13">
        <v>0.0</v>
      </c>
      <c r="AR232" s="13">
        <v>4.0</v>
      </c>
      <c r="AS232" s="13">
        <v>0.0</v>
      </c>
      <c r="AT232" s="13">
        <v>0.0</v>
      </c>
      <c r="AU232" s="13">
        <v>0.0</v>
      </c>
      <c r="AV232" s="13">
        <v>9.0</v>
      </c>
      <c r="AW232" s="13">
        <v>41.0</v>
      </c>
      <c r="AX232" s="13">
        <v>1.0</v>
      </c>
      <c r="AY232" s="13">
        <v>21.0</v>
      </c>
      <c r="AZ232" s="13">
        <v>27.0</v>
      </c>
      <c r="BA232" s="13">
        <v>0.0</v>
      </c>
      <c r="BB232" s="13">
        <v>0.0</v>
      </c>
      <c r="BC232" s="13">
        <v>0.0</v>
      </c>
      <c r="BH232" s="13">
        <v>132.0</v>
      </c>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c r="CM232" s="13"/>
      <c r="CN232" s="13"/>
      <c r="CO232" s="13"/>
      <c r="CP232" s="13"/>
      <c r="CQ232" s="13"/>
      <c r="CR232" s="13"/>
      <c r="CS232" s="13"/>
      <c r="CT232" s="13"/>
      <c r="CU232" s="13"/>
      <c r="CV232" s="13"/>
      <c r="CW232" s="13"/>
      <c r="CX232" s="13"/>
      <c r="CY232" s="13"/>
      <c r="CZ232" s="13"/>
      <c r="DA232" s="13"/>
      <c r="DB232" s="13"/>
      <c r="DC232" s="13"/>
      <c r="DD232" s="13"/>
      <c r="DE232" s="13"/>
      <c r="DF232" s="13"/>
      <c r="DG232" s="13"/>
      <c r="DH232" s="13"/>
      <c r="DI232" s="13"/>
      <c r="DJ232" s="13"/>
      <c r="DK232" s="13"/>
      <c r="DL232" s="13"/>
      <c r="DM232" s="13"/>
      <c r="DN232" s="13"/>
      <c r="DO232" s="13"/>
      <c r="DP232" s="13"/>
      <c r="DQ232" s="13"/>
      <c r="DR232" s="13"/>
      <c r="DS232" s="13"/>
      <c r="DT232" s="13"/>
      <c r="DU232" s="13"/>
      <c r="DV232" s="13"/>
      <c r="DW232" s="13"/>
    </row>
    <row r="233" ht="36.75" customHeight="1">
      <c r="A233" s="11">
        <v>42775.0</v>
      </c>
      <c r="B233" s="13" t="s">
        <v>524</v>
      </c>
      <c r="C233" s="13" t="s">
        <v>525</v>
      </c>
      <c r="D233" s="13" t="s">
        <v>2864</v>
      </c>
      <c r="E233" s="26" t="s">
        <v>1207</v>
      </c>
      <c r="F233" s="13">
        <v>27.06585</v>
      </c>
      <c r="G233" s="13">
        <v>82.44807</v>
      </c>
      <c r="H233" s="13">
        <v>27.11122</v>
      </c>
      <c r="I233" s="13">
        <v>82.46551</v>
      </c>
      <c r="J233" s="13" t="s">
        <v>2565</v>
      </c>
      <c r="K233" s="13" t="s">
        <v>2865</v>
      </c>
      <c r="L233" s="13">
        <v>0.0</v>
      </c>
      <c r="M233" s="13">
        <v>0.0</v>
      </c>
      <c r="N233" s="13">
        <v>1.0</v>
      </c>
      <c r="O233" s="13">
        <v>0.0</v>
      </c>
      <c r="P233" s="13">
        <v>0.0</v>
      </c>
      <c r="Q233" s="13">
        <v>0.0</v>
      </c>
      <c r="R233" s="13">
        <v>0.0</v>
      </c>
      <c r="S233" s="13">
        <v>0.0</v>
      </c>
      <c r="T233" s="13">
        <v>0.0</v>
      </c>
      <c r="U233" s="13">
        <v>0.0</v>
      </c>
      <c r="V233" s="13">
        <v>0.0</v>
      </c>
      <c r="W233" s="13">
        <v>0.0</v>
      </c>
      <c r="X233" s="13">
        <v>0.0</v>
      </c>
      <c r="Y233" s="13">
        <v>2.0</v>
      </c>
      <c r="Z233" s="13">
        <v>19.0</v>
      </c>
      <c r="AA233" s="13">
        <v>0.0</v>
      </c>
      <c r="AB233" s="13">
        <v>0.0</v>
      </c>
      <c r="AC233" s="13">
        <v>0.0</v>
      </c>
      <c r="AD233" s="13">
        <v>0.0</v>
      </c>
      <c r="AE233" s="13">
        <v>0.0</v>
      </c>
      <c r="AF233" s="13">
        <v>0.0</v>
      </c>
      <c r="AG233" s="13">
        <v>0.0</v>
      </c>
      <c r="AH233" s="13">
        <v>0.0</v>
      </c>
      <c r="AI233" s="13">
        <v>0.0</v>
      </c>
      <c r="AJ233" s="13">
        <v>0.0</v>
      </c>
      <c r="AK233" s="13">
        <v>29.0</v>
      </c>
      <c r="AL233" s="13">
        <v>0.0</v>
      </c>
      <c r="AM233" s="13">
        <v>0.0</v>
      </c>
      <c r="AN233" s="13">
        <v>0.0</v>
      </c>
      <c r="AO233" s="13">
        <v>0.0</v>
      </c>
      <c r="AP233" s="13">
        <v>0.0</v>
      </c>
      <c r="AQ233" s="13">
        <v>0.0</v>
      </c>
      <c r="AR233" s="13">
        <v>0.0</v>
      </c>
      <c r="AS233" s="13">
        <v>0.0</v>
      </c>
      <c r="AT233" s="13">
        <v>0.0</v>
      </c>
      <c r="AU233" s="13">
        <v>0.0</v>
      </c>
      <c r="AV233" s="13">
        <v>8.0</v>
      </c>
      <c r="AW233" s="13">
        <v>39.0</v>
      </c>
      <c r="AX233" s="13">
        <v>0.0</v>
      </c>
      <c r="AY233" s="13">
        <v>98.0</v>
      </c>
      <c r="AZ233" s="13">
        <v>161.0</v>
      </c>
      <c r="BA233" s="13">
        <v>2.0</v>
      </c>
      <c r="BB233" s="13">
        <v>0.0</v>
      </c>
      <c r="BC233" s="13">
        <v>0.0</v>
      </c>
      <c r="BD233" s="13">
        <v>0.0</v>
      </c>
      <c r="BE233" s="13">
        <v>0.0</v>
      </c>
      <c r="BF233" s="13">
        <v>0.0</v>
      </c>
      <c r="BG233" s="13">
        <v>0.0</v>
      </c>
      <c r="BH233">
        <f t="shared" ref="BH233:BH234" si="31">SUM(L233:BG233)</f>
        <v>359</v>
      </c>
    </row>
    <row r="234" ht="36.75" customHeight="1">
      <c r="A234" s="11">
        <v>42775.0</v>
      </c>
      <c r="B234" s="13" t="s">
        <v>524</v>
      </c>
      <c r="C234" s="13" t="s">
        <v>525</v>
      </c>
      <c r="D234" s="13" t="s">
        <v>2866</v>
      </c>
      <c r="E234" s="26" t="s">
        <v>1207</v>
      </c>
      <c r="F234" s="13">
        <v>27.06585</v>
      </c>
      <c r="G234" s="13">
        <v>82.44807</v>
      </c>
      <c r="H234" s="13">
        <v>27.05585</v>
      </c>
      <c r="I234" s="14">
        <v>82.4427</v>
      </c>
      <c r="J234" s="13" t="s">
        <v>2867</v>
      </c>
      <c r="K234" s="13" t="s">
        <v>2868</v>
      </c>
      <c r="L234" s="13">
        <v>0.0</v>
      </c>
      <c r="M234" s="13">
        <v>0.0</v>
      </c>
      <c r="N234" s="13">
        <v>0.0</v>
      </c>
      <c r="O234" s="13">
        <v>0.0</v>
      </c>
      <c r="P234" s="13">
        <v>0.0</v>
      </c>
      <c r="Q234" s="13">
        <v>0.0</v>
      </c>
      <c r="R234" s="13">
        <v>0.0</v>
      </c>
      <c r="S234" s="13">
        <v>0.0</v>
      </c>
      <c r="T234" s="13">
        <v>0.0</v>
      </c>
      <c r="U234" s="13">
        <v>0.0</v>
      </c>
      <c r="V234" s="13">
        <v>0.0</v>
      </c>
      <c r="W234" s="13">
        <v>0.0</v>
      </c>
      <c r="X234" s="13">
        <v>0.0</v>
      </c>
      <c r="Y234" s="13">
        <v>17.0</v>
      </c>
      <c r="Z234" s="13">
        <v>32.0</v>
      </c>
      <c r="AA234" s="13">
        <v>0.0</v>
      </c>
      <c r="AB234" s="13">
        <v>0.0</v>
      </c>
      <c r="AC234" s="13">
        <v>0.0</v>
      </c>
      <c r="AD234" s="13">
        <v>0.0</v>
      </c>
      <c r="AE234" s="13">
        <v>0.0</v>
      </c>
      <c r="AF234" s="13">
        <v>0.0</v>
      </c>
      <c r="AG234" s="13">
        <v>0.0</v>
      </c>
      <c r="AH234" s="13">
        <v>0.0</v>
      </c>
      <c r="AI234" s="13">
        <v>0.0</v>
      </c>
      <c r="AJ234" s="13">
        <v>0.0</v>
      </c>
      <c r="AK234" s="13">
        <v>0.0</v>
      </c>
      <c r="AL234" s="13">
        <v>0.0</v>
      </c>
      <c r="AM234" s="13">
        <v>0.0</v>
      </c>
      <c r="AN234" s="13">
        <v>0.0</v>
      </c>
      <c r="AO234" s="13">
        <v>0.0</v>
      </c>
      <c r="AP234" s="13">
        <v>0.0</v>
      </c>
      <c r="AQ234" s="13">
        <v>0.0</v>
      </c>
      <c r="AR234" s="13">
        <v>0.0</v>
      </c>
      <c r="AS234" s="13">
        <v>0.0</v>
      </c>
      <c r="AT234" s="13">
        <v>0.0</v>
      </c>
      <c r="AU234" s="13">
        <v>0.0</v>
      </c>
      <c r="AV234" s="13">
        <v>0.0</v>
      </c>
      <c r="AW234" s="13">
        <v>5.0</v>
      </c>
      <c r="AX234" s="13">
        <v>0.0</v>
      </c>
      <c r="AY234" s="13">
        <v>5.0</v>
      </c>
      <c r="AZ234" s="13">
        <v>0.0</v>
      </c>
      <c r="BA234" s="13">
        <v>0.0</v>
      </c>
      <c r="BB234" s="13">
        <v>0.0</v>
      </c>
      <c r="BC234" s="13">
        <v>0.0</v>
      </c>
      <c r="BD234" s="13">
        <v>0.0</v>
      </c>
      <c r="BE234" s="13">
        <v>0.0</v>
      </c>
      <c r="BF234" s="13">
        <v>0.0</v>
      </c>
      <c r="BG234" s="13">
        <v>0.0</v>
      </c>
      <c r="BH234">
        <f t="shared" si="31"/>
        <v>59</v>
      </c>
    </row>
    <row r="235" ht="36.75" customHeight="1">
      <c r="A235" s="15">
        <v>42773.0</v>
      </c>
      <c r="B235" s="16" t="s">
        <v>2578</v>
      </c>
      <c r="C235" s="16" t="s">
        <v>2579</v>
      </c>
      <c r="D235" s="16" t="s">
        <v>2580</v>
      </c>
      <c r="E235" s="26" t="s">
        <v>2581</v>
      </c>
      <c r="F235" s="17">
        <v>26.97865</v>
      </c>
      <c r="G235" s="99">
        <v>-82.39631</v>
      </c>
      <c r="H235" s="17">
        <v>26.99662</v>
      </c>
      <c r="I235" s="14">
        <v>-82.40564</v>
      </c>
      <c r="J235" s="13" t="s">
        <v>2582</v>
      </c>
      <c r="K235" s="13" t="s">
        <v>2584</v>
      </c>
      <c r="L235" s="105">
        <v>0.0</v>
      </c>
      <c r="M235" s="105">
        <v>0.0</v>
      </c>
      <c r="N235" s="105">
        <v>2.0</v>
      </c>
      <c r="O235" s="105">
        <v>0.0</v>
      </c>
      <c r="P235" s="105">
        <v>0.0</v>
      </c>
      <c r="Q235" s="105">
        <v>0.0</v>
      </c>
      <c r="R235" s="105">
        <v>0.0</v>
      </c>
      <c r="S235" s="105">
        <v>0.0</v>
      </c>
      <c r="T235" s="105">
        <v>0.0</v>
      </c>
      <c r="U235" s="105">
        <v>0.0</v>
      </c>
      <c r="V235" s="105">
        <v>0.0</v>
      </c>
      <c r="W235" s="105">
        <v>0.0</v>
      </c>
      <c r="X235" s="105">
        <v>0.0</v>
      </c>
      <c r="Y235" s="105">
        <v>0.0</v>
      </c>
      <c r="Z235" s="105">
        <v>4.0</v>
      </c>
      <c r="AA235" s="105">
        <v>0.0</v>
      </c>
      <c r="AB235" s="105">
        <v>0.0</v>
      </c>
      <c r="AC235" s="105">
        <v>0.0</v>
      </c>
      <c r="AD235" s="105">
        <v>0.0</v>
      </c>
      <c r="AE235" s="105">
        <v>0.0</v>
      </c>
      <c r="AF235" s="105">
        <v>0.0</v>
      </c>
      <c r="AG235" s="105">
        <v>0.0</v>
      </c>
      <c r="AH235" s="105">
        <v>0.0</v>
      </c>
      <c r="AI235" s="105">
        <v>0.0</v>
      </c>
      <c r="AJ235" s="105">
        <v>0.0</v>
      </c>
      <c r="AK235" s="105">
        <v>0.0</v>
      </c>
      <c r="AL235" s="105">
        <v>0.0</v>
      </c>
      <c r="AM235" s="105">
        <v>0.0</v>
      </c>
      <c r="AN235" s="105">
        <v>0.0</v>
      </c>
      <c r="AO235" s="105">
        <v>0.0</v>
      </c>
      <c r="AP235" s="105">
        <v>0.0</v>
      </c>
      <c r="AQ235" s="105">
        <v>0.0</v>
      </c>
      <c r="AR235" s="105">
        <v>0.0</v>
      </c>
      <c r="AS235" s="105">
        <v>0.0</v>
      </c>
      <c r="AT235" s="105">
        <v>0.0</v>
      </c>
      <c r="AU235" s="105">
        <v>0.0</v>
      </c>
      <c r="AV235" s="105">
        <v>0.0</v>
      </c>
      <c r="AW235" s="105">
        <v>0.0</v>
      </c>
      <c r="AX235" s="105">
        <v>0.0</v>
      </c>
      <c r="AY235" s="105">
        <v>2.0</v>
      </c>
      <c r="AZ235" s="105">
        <v>0.0</v>
      </c>
      <c r="BA235" s="105">
        <v>0.0</v>
      </c>
      <c r="BB235" s="105">
        <v>0.0</v>
      </c>
      <c r="BC235" s="105">
        <v>0.0</v>
      </c>
      <c r="BD235" s="105">
        <v>0.0</v>
      </c>
      <c r="BE235" s="105">
        <v>0.0</v>
      </c>
      <c r="BF235" s="105">
        <v>0.0</v>
      </c>
      <c r="BG235" s="105">
        <v>0.0</v>
      </c>
      <c r="BH235" s="13">
        <f t="shared" ref="BH235:BH236" si="32">sum(L235:BG235)</f>
        <v>8</v>
      </c>
      <c r="BI235" s="38"/>
    </row>
    <row r="236" ht="36.75" customHeight="1">
      <c r="A236" s="11">
        <v>42769.0</v>
      </c>
      <c r="B236" s="13" t="s">
        <v>2869</v>
      </c>
      <c r="C236" s="13" t="s">
        <v>2870</v>
      </c>
      <c r="D236" s="13" t="s">
        <v>2588</v>
      </c>
      <c r="E236" s="29" t="s">
        <v>2589</v>
      </c>
      <c r="F236" s="13">
        <v>29.43047</v>
      </c>
      <c r="G236" s="13">
        <v>-81.13897</v>
      </c>
      <c r="H236" s="13">
        <v>29.7068</v>
      </c>
      <c r="I236" s="14">
        <v>-81.22842</v>
      </c>
      <c r="J236" s="13" t="s">
        <v>2871</v>
      </c>
      <c r="K236" s="13" t="s">
        <v>2656</v>
      </c>
      <c r="L236" s="13">
        <v>0.0</v>
      </c>
      <c r="M236" s="13">
        <v>0.0</v>
      </c>
      <c r="N236" s="13">
        <v>1.0</v>
      </c>
      <c r="O236" s="13">
        <v>7.0</v>
      </c>
      <c r="P236" s="13">
        <v>0.0</v>
      </c>
      <c r="Q236" s="13">
        <v>0.0</v>
      </c>
      <c r="R236" s="13">
        <v>0.0</v>
      </c>
      <c r="S236" s="13">
        <v>0.0</v>
      </c>
      <c r="T236" s="13">
        <v>0.0</v>
      </c>
      <c r="U236" s="13">
        <v>0.0</v>
      </c>
      <c r="V236" s="13">
        <v>0.0</v>
      </c>
      <c r="W236" s="13">
        <v>1.0</v>
      </c>
      <c r="X236" s="13">
        <v>0.0</v>
      </c>
      <c r="Y236" s="13">
        <v>5.0</v>
      </c>
      <c r="Z236" s="13">
        <v>3.0</v>
      </c>
      <c r="AA236" s="13">
        <v>0.0</v>
      </c>
      <c r="AB236" s="13">
        <v>0.0</v>
      </c>
      <c r="AC236" s="13">
        <v>0.0</v>
      </c>
      <c r="AD236" s="13">
        <v>0.0</v>
      </c>
      <c r="AE236" s="13">
        <v>0.0</v>
      </c>
      <c r="AF236" s="13">
        <v>0.0</v>
      </c>
      <c r="AG236" s="13">
        <v>0.0</v>
      </c>
      <c r="AH236" s="13">
        <v>4.0</v>
      </c>
      <c r="AI236" s="13">
        <v>0.0</v>
      </c>
      <c r="AJ236" s="13">
        <v>0.0</v>
      </c>
      <c r="AK236" s="13">
        <v>667.0</v>
      </c>
      <c r="AL236" s="13">
        <v>2.0</v>
      </c>
      <c r="AM236" s="13">
        <v>0.0</v>
      </c>
      <c r="AN236" s="13">
        <v>27.0</v>
      </c>
      <c r="AO236" s="13">
        <v>1.0</v>
      </c>
      <c r="AP236" s="13">
        <v>0.0</v>
      </c>
      <c r="AQ236" s="13">
        <v>6.0</v>
      </c>
      <c r="AR236" s="13">
        <v>59.0</v>
      </c>
      <c r="AS236" s="13">
        <v>0.0</v>
      </c>
      <c r="AT236" s="13">
        <v>0.0</v>
      </c>
      <c r="AU236" s="13">
        <v>0.0</v>
      </c>
      <c r="AV236" s="13">
        <v>8.0</v>
      </c>
      <c r="AW236" s="13">
        <v>208.0</v>
      </c>
      <c r="AX236" s="13">
        <v>1.0</v>
      </c>
      <c r="AY236" s="13">
        <v>7.0</v>
      </c>
      <c r="AZ236" s="13">
        <v>87.0</v>
      </c>
      <c r="BA236" s="13">
        <v>21.0</v>
      </c>
      <c r="BB236" s="13">
        <v>0.0</v>
      </c>
      <c r="BC236" s="13">
        <v>0.0</v>
      </c>
      <c r="BD236" s="13">
        <v>0.0</v>
      </c>
      <c r="BE236" s="13">
        <v>0.0</v>
      </c>
      <c r="BF236" s="13">
        <v>0.0</v>
      </c>
      <c r="BG236" s="13">
        <v>0.0</v>
      </c>
      <c r="BH236" s="13">
        <f t="shared" si="32"/>
        <v>1115</v>
      </c>
      <c r="BI236" s="13" t="s">
        <v>2872</v>
      </c>
    </row>
    <row r="237" ht="36.75" customHeight="1">
      <c r="A237" s="45">
        <v>42769.0</v>
      </c>
      <c r="B237" s="13" t="s">
        <v>2873</v>
      </c>
      <c r="C237" s="13" t="s">
        <v>2870</v>
      </c>
      <c r="D237" s="13" t="s">
        <v>2874</v>
      </c>
      <c r="E237" s="34" t="s">
        <v>2589</v>
      </c>
      <c r="F237" s="13">
        <v>29.796962</v>
      </c>
      <c r="G237" s="13">
        <v>-81.272047</v>
      </c>
      <c r="H237" s="13">
        <v>29.796962</v>
      </c>
      <c r="I237" s="14">
        <v>-81.272047</v>
      </c>
      <c r="J237" s="13" t="s">
        <v>2875</v>
      </c>
      <c r="K237" s="13" t="s">
        <v>2876</v>
      </c>
      <c r="L237" s="13">
        <v>3.0</v>
      </c>
      <c r="M237" s="13">
        <v>0.0</v>
      </c>
      <c r="N237" s="13">
        <v>0.0</v>
      </c>
      <c r="O237" s="13">
        <v>26.0</v>
      </c>
      <c r="P237" s="13">
        <v>2.0</v>
      </c>
      <c r="Q237" s="13">
        <v>0.0</v>
      </c>
      <c r="R237" s="13">
        <v>0.0</v>
      </c>
      <c r="S237" s="13">
        <v>0.0</v>
      </c>
      <c r="T237" s="13">
        <v>0.0</v>
      </c>
      <c r="U237" s="13">
        <v>0.0</v>
      </c>
      <c r="V237" s="13">
        <v>0.0</v>
      </c>
      <c r="W237" s="13">
        <v>0.0</v>
      </c>
      <c r="X237" s="13">
        <v>0.0</v>
      </c>
      <c r="Y237" s="13">
        <v>11.0</v>
      </c>
      <c r="Z237" s="13">
        <v>0.0</v>
      </c>
      <c r="AA237" s="13">
        <v>0.0</v>
      </c>
      <c r="AB237" s="13">
        <v>0.0</v>
      </c>
      <c r="AC237" s="13">
        <v>18.0</v>
      </c>
      <c r="AD237" s="13">
        <v>0.0</v>
      </c>
      <c r="AE237" s="13">
        <v>0.0</v>
      </c>
      <c r="AF237" s="13">
        <v>4.0</v>
      </c>
      <c r="AG237" s="13">
        <v>4.0</v>
      </c>
      <c r="AH237" s="13">
        <v>9.0</v>
      </c>
      <c r="AI237" s="13">
        <v>1.0</v>
      </c>
      <c r="AJ237" s="13">
        <v>0.0</v>
      </c>
      <c r="AK237" s="13">
        <v>0.0</v>
      </c>
      <c r="AL237" s="13">
        <v>0.0</v>
      </c>
      <c r="AM237" s="13">
        <v>0.0</v>
      </c>
      <c r="AN237" s="13">
        <v>4.0</v>
      </c>
      <c r="AO237" s="13">
        <v>0.0</v>
      </c>
      <c r="AP237" s="13">
        <v>0.0</v>
      </c>
      <c r="AQ237" s="13">
        <v>6.0</v>
      </c>
      <c r="AR237" s="13">
        <v>0.0</v>
      </c>
      <c r="AS237" s="13">
        <v>0.0</v>
      </c>
      <c r="AT237" s="13">
        <v>0.0</v>
      </c>
      <c r="AU237" s="13">
        <v>0.0</v>
      </c>
      <c r="AV237" s="13">
        <v>0.0</v>
      </c>
      <c r="AW237" s="13">
        <v>0.0</v>
      </c>
      <c r="AX237" s="13">
        <v>0.0</v>
      </c>
      <c r="AY237" s="13">
        <v>0.0</v>
      </c>
      <c r="AZ237" s="13">
        <v>0.0</v>
      </c>
      <c r="BA237" s="13">
        <v>0.0</v>
      </c>
      <c r="BB237" s="13">
        <v>0.0</v>
      </c>
      <c r="BC237" s="13">
        <v>32.0</v>
      </c>
      <c r="BD237" s="13">
        <v>0.0</v>
      </c>
      <c r="BE237" s="13">
        <v>0.0</v>
      </c>
      <c r="BF237" s="13">
        <v>0.0</v>
      </c>
      <c r="BG237" s="13">
        <v>0.0</v>
      </c>
      <c r="BH237">
        <f>SUM(L237:BG237)</f>
        <v>120</v>
      </c>
      <c r="BI237" s="13" t="s">
        <v>2877</v>
      </c>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c r="CL237" s="13"/>
      <c r="CM237" s="13"/>
      <c r="CN237" s="13"/>
      <c r="CO237" s="13"/>
      <c r="CP237" s="13"/>
      <c r="CQ237" s="13"/>
      <c r="CR237" s="13"/>
      <c r="CS237" s="13"/>
      <c r="CT237" s="13"/>
      <c r="CU237" s="13"/>
      <c r="CV237" s="13"/>
      <c r="CW237" s="13"/>
      <c r="CX237" s="13"/>
      <c r="CY237" s="13"/>
      <c r="CZ237" s="13"/>
      <c r="DA237" s="13"/>
      <c r="DB237" s="13"/>
      <c r="DC237" s="13"/>
      <c r="DD237" s="13"/>
      <c r="DE237" s="13"/>
      <c r="DF237" s="13"/>
      <c r="DG237" s="13"/>
      <c r="DH237" s="13"/>
      <c r="DI237" s="13"/>
      <c r="DJ237" s="13"/>
      <c r="DK237" s="13"/>
      <c r="DL237" s="13"/>
      <c r="DM237" s="13"/>
      <c r="DN237" s="13"/>
      <c r="DO237" s="13"/>
      <c r="DP237" s="13"/>
      <c r="DQ237" s="13"/>
      <c r="DR237" s="13"/>
      <c r="DS237" s="13"/>
      <c r="DT237" s="13"/>
      <c r="DU237" s="13"/>
      <c r="DV237" s="13"/>
      <c r="DW237" s="13"/>
    </row>
    <row r="238" ht="36.75" customHeight="1">
      <c r="A238" s="32">
        <v>42772.0</v>
      </c>
      <c r="B238" s="26" t="s">
        <v>2607</v>
      </c>
      <c r="C238" s="26" t="s">
        <v>2608</v>
      </c>
      <c r="D238" s="26" t="s">
        <v>2609</v>
      </c>
      <c r="E238" s="34" t="s">
        <v>2589</v>
      </c>
      <c r="F238" s="114">
        <v>29.90396</v>
      </c>
      <c r="G238" s="114">
        <v>-81.29287</v>
      </c>
      <c r="H238" s="115">
        <v>29.89504</v>
      </c>
      <c r="I238" s="114">
        <v>-81.29142</v>
      </c>
      <c r="J238" s="26" t="s">
        <v>2632</v>
      </c>
      <c r="K238" s="26" t="s">
        <v>2611</v>
      </c>
      <c r="L238" s="69">
        <v>0.0</v>
      </c>
      <c r="M238" s="69">
        <v>0.0</v>
      </c>
      <c r="N238" s="69">
        <v>2.0</v>
      </c>
      <c r="O238" s="69">
        <v>0.0</v>
      </c>
      <c r="P238" s="69">
        <v>0.0</v>
      </c>
      <c r="Q238" s="69">
        <v>0.0</v>
      </c>
      <c r="R238" s="69">
        <v>0.0</v>
      </c>
      <c r="S238" s="69">
        <v>0.0</v>
      </c>
      <c r="T238" s="69">
        <v>0.0</v>
      </c>
      <c r="U238" s="69">
        <v>0.0</v>
      </c>
      <c r="V238" s="69">
        <v>0.0</v>
      </c>
      <c r="W238" s="69">
        <v>0.0</v>
      </c>
      <c r="X238" s="69">
        <v>0.0</v>
      </c>
      <c r="Y238" s="69">
        <v>0.0</v>
      </c>
      <c r="Z238" s="69">
        <v>0.0</v>
      </c>
      <c r="AA238" s="69">
        <v>0.0</v>
      </c>
      <c r="AB238" s="69">
        <v>0.0</v>
      </c>
      <c r="AC238" s="69">
        <v>0.0</v>
      </c>
      <c r="AD238" s="69">
        <v>0.0</v>
      </c>
      <c r="AE238" s="69">
        <v>0.0</v>
      </c>
      <c r="AF238" s="69">
        <v>4.0</v>
      </c>
      <c r="AG238" s="69">
        <v>0.0</v>
      </c>
      <c r="AH238" s="69">
        <v>0.0</v>
      </c>
      <c r="AI238" s="69">
        <v>0.0</v>
      </c>
      <c r="AJ238" s="69">
        <v>0.0</v>
      </c>
      <c r="AK238" s="69">
        <v>0.0</v>
      </c>
      <c r="AL238" s="69">
        <v>0.0</v>
      </c>
      <c r="AM238" s="69">
        <v>0.0</v>
      </c>
      <c r="AN238" s="69">
        <v>7.0</v>
      </c>
      <c r="AO238" s="69">
        <v>0.0</v>
      </c>
      <c r="AP238" s="69">
        <v>0.0</v>
      </c>
      <c r="AQ238" s="69">
        <v>2.0</v>
      </c>
      <c r="AR238" s="69">
        <v>0.0</v>
      </c>
      <c r="AS238" s="69">
        <v>0.0</v>
      </c>
      <c r="AT238" s="69">
        <v>0.0</v>
      </c>
      <c r="AU238" s="69">
        <v>0.0</v>
      </c>
      <c r="AV238" s="69">
        <v>0.0</v>
      </c>
      <c r="AW238" s="69">
        <v>31.0</v>
      </c>
      <c r="AX238" s="69">
        <v>0.0</v>
      </c>
      <c r="AY238" s="69">
        <v>3.0</v>
      </c>
      <c r="AZ238" s="69">
        <v>0.0</v>
      </c>
      <c r="BA238" s="69">
        <v>0.0</v>
      </c>
      <c r="BB238" s="69">
        <v>0.0</v>
      </c>
      <c r="BC238" s="69">
        <v>0.0</v>
      </c>
      <c r="BD238" s="69">
        <v>0.0</v>
      </c>
      <c r="BE238" s="69">
        <v>0.0</v>
      </c>
      <c r="BF238" s="69">
        <v>0.0</v>
      </c>
      <c r="BG238" s="69">
        <v>0.0</v>
      </c>
      <c r="BH238" s="13">
        <f t="shared" ref="BH238:BH244" si="33">sum(L238:BG238)</f>
        <v>49</v>
      </c>
      <c r="BI238" s="38" t="s">
        <v>2878</v>
      </c>
    </row>
    <row r="239" ht="36.75" customHeight="1">
      <c r="A239" s="68">
        <v>42772.0</v>
      </c>
      <c r="B239" s="26" t="s">
        <v>2607</v>
      </c>
      <c r="C239" s="26" t="s">
        <v>2608</v>
      </c>
      <c r="D239" s="34" t="s">
        <v>2631</v>
      </c>
      <c r="E239" s="34" t="s">
        <v>2589</v>
      </c>
      <c r="F239" s="69">
        <v>29.85938</v>
      </c>
      <c r="G239" s="69">
        <v>-81.26585</v>
      </c>
      <c r="H239" s="69">
        <v>29.90416</v>
      </c>
      <c r="I239" s="76">
        <v>-81.29318</v>
      </c>
      <c r="J239" s="26" t="s">
        <v>2610</v>
      </c>
      <c r="K239" s="26" t="s">
        <v>2611</v>
      </c>
      <c r="L239" s="69">
        <v>0.0</v>
      </c>
      <c r="M239" s="69">
        <v>0.0</v>
      </c>
      <c r="N239" s="69">
        <v>3.0</v>
      </c>
      <c r="O239" s="69">
        <v>0.0</v>
      </c>
      <c r="P239" s="69">
        <v>0.0</v>
      </c>
      <c r="Q239" s="69">
        <v>0.0</v>
      </c>
      <c r="R239" s="69">
        <v>0.0</v>
      </c>
      <c r="S239" s="69">
        <v>0.0</v>
      </c>
      <c r="T239" s="69">
        <v>0.0</v>
      </c>
      <c r="U239" s="69">
        <v>0.0</v>
      </c>
      <c r="V239" s="69">
        <v>0.0</v>
      </c>
      <c r="W239" s="69">
        <v>0.0</v>
      </c>
      <c r="X239" s="69">
        <v>0.0</v>
      </c>
      <c r="Y239" s="69">
        <v>7.0</v>
      </c>
      <c r="Z239" s="69">
        <v>23.0</v>
      </c>
      <c r="AA239" s="69">
        <v>0.0</v>
      </c>
      <c r="AB239" s="69">
        <v>0.0</v>
      </c>
      <c r="AC239" s="69">
        <v>0.0</v>
      </c>
      <c r="AD239" s="69">
        <v>0.0</v>
      </c>
      <c r="AE239" s="69">
        <v>0.0</v>
      </c>
      <c r="AF239" s="69">
        <v>0.0</v>
      </c>
      <c r="AG239" s="69">
        <v>0.0</v>
      </c>
      <c r="AH239" s="69">
        <v>4.0</v>
      </c>
      <c r="AI239" s="69">
        <v>0.0</v>
      </c>
      <c r="AJ239" s="69">
        <v>0.0</v>
      </c>
      <c r="AK239" s="69">
        <v>0.0</v>
      </c>
      <c r="AL239" s="69">
        <v>0.0</v>
      </c>
      <c r="AM239" s="69">
        <v>0.0</v>
      </c>
      <c r="AN239" s="69">
        <v>21.0</v>
      </c>
      <c r="AO239" s="69">
        <v>0.0</v>
      </c>
      <c r="AP239" s="69">
        <v>0.0</v>
      </c>
      <c r="AQ239" s="69">
        <v>5.0</v>
      </c>
      <c r="AR239" s="69">
        <v>32.0</v>
      </c>
      <c r="AS239" s="69">
        <v>0.0</v>
      </c>
      <c r="AT239" s="69">
        <v>0.0</v>
      </c>
      <c r="AU239" s="69">
        <v>0.0</v>
      </c>
      <c r="AV239" s="69">
        <v>32.0</v>
      </c>
      <c r="AW239" s="69">
        <v>479.0</v>
      </c>
      <c r="AX239" s="69">
        <v>2.0</v>
      </c>
      <c r="AY239" s="69">
        <v>46.0</v>
      </c>
      <c r="AZ239" s="69">
        <v>41.0</v>
      </c>
      <c r="BA239" s="69">
        <v>0.0</v>
      </c>
      <c r="BB239" s="69">
        <v>0.0</v>
      </c>
      <c r="BC239" s="69">
        <v>0.0</v>
      </c>
      <c r="BD239" s="69">
        <v>0.0</v>
      </c>
      <c r="BE239" s="69">
        <v>0.0</v>
      </c>
      <c r="BF239" s="69">
        <v>0.0</v>
      </c>
      <c r="BG239" s="69">
        <v>0.0</v>
      </c>
      <c r="BH239" s="13">
        <f t="shared" si="33"/>
        <v>695</v>
      </c>
      <c r="BI239" s="38" t="s">
        <v>2878</v>
      </c>
    </row>
    <row r="240" ht="36.75" customHeight="1">
      <c r="A240" s="11">
        <v>42773.0</v>
      </c>
      <c r="B240" s="13" t="s">
        <v>2879</v>
      </c>
      <c r="C240" s="13" t="s">
        <v>2880</v>
      </c>
      <c r="D240" s="123" t="s">
        <v>2637</v>
      </c>
      <c r="E240" s="26" t="s">
        <v>2638</v>
      </c>
      <c r="F240" s="13">
        <v>29.917019</v>
      </c>
      <c r="G240" s="13">
        <v>-81.290222</v>
      </c>
      <c r="H240" s="13">
        <v>30.068257</v>
      </c>
      <c r="I240" s="14">
        <v>-81.332928</v>
      </c>
      <c r="J240" s="13" t="s">
        <v>2881</v>
      </c>
      <c r="K240" s="13" t="s">
        <v>2882</v>
      </c>
      <c r="Y240" s="13">
        <v>2.0</v>
      </c>
      <c r="Z240" s="13">
        <v>77.0</v>
      </c>
      <c r="AD240" s="13"/>
      <c r="AH240" s="13">
        <v>20.0</v>
      </c>
      <c r="AI240" s="13"/>
      <c r="AK240" s="13">
        <v>53.0</v>
      </c>
      <c r="AN240" s="13">
        <v>7.0</v>
      </c>
      <c r="AR240" s="13">
        <v>190.0</v>
      </c>
      <c r="AV240" s="13">
        <v>120.0</v>
      </c>
      <c r="AW240" s="13">
        <v>1563.0</v>
      </c>
      <c r="AX240" s="13"/>
      <c r="AY240" s="13">
        <v>182.0</v>
      </c>
      <c r="AZ240" s="13">
        <v>53.0</v>
      </c>
      <c r="BH240" s="13">
        <f t="shared" si="33"/>
        <v>2267</v>
      </c>
      <c r="BI240" s="13" t="s">
        <v>2883</v>
      </c>
    </row>
    <row r="241" ht="36.75" customHeight="1">
      <c r="A241" s="45">
        <v>42774.0</v>
      </c>
      <c r="B241" s="16" t="s">
        <v>1658</v>
      </c>
      <c r="C241" s="16" t="s">
        <v>1660</v>
      </c>
      <c r="D241" s="13" t="s">
        <v>2884</v>
      </c>
      <c r="E241" s="31" t="s">
        <v>2651</v>
      </c>
      <c r="F241" s="13">
        <v>27.565544</v>
      </c>
      <c r="G241" s="13">
        <v>-80.353134</v>
      </c>
      <c r="H241" s="13">
        <v>27.520441</v>
      </c>
      <c r="I241" s="14">
        <v>-80.334978</v>
      </c>
      <c r="J241" s="13" t="s">
        <v>2885</v>
      </c>
      <c r="K241" s="13" t="s">
        <v>1664</v>
      </c>
      <c r="W241" s="13">
        <v>1.0</v>
      </c>
      <c r="Z241" s="13">
        <v>1.0</v>
      </c>
      <c r="AE241" s="13">
        <v>4.0</v>
      </c>
      <c r="AN241" s="13">
        <v>13.0</v>
      </c>
      <c r="AQ241" s="13">
        <v>82.0</v>
      </c>
      <c r="AV241" s="13">
        <v>1.0</v>
      </c>
      <c r="AW241" s="13">
        <v>1.0</v>
      </c>
      <c r="AX241" s="13">
        <v>1.0</v>
      </c>
      <c r="AY241" s="13">
        <v>2.0</v>
      </c>
      <c r="AZ241" s="13">
        <v>22.0</v>
      </c>
      <c r="BH241" s="72">
        <f t="shared" si="33"/>
        <v>128</v>
      </c>
    </row>
    <row r="242" ht="36.75" customHeight="1">
      <c r="A242" s="91" t="s">
        <v>2010</v>
      </c>
      <c r="B242" s="92"/>
      <c r="C242" s="92"/>
      <c r="D242" s="92" t="s">
        <v>2886</v>
      </c>
      <c r="E242" s="124" t="s">
        <v>2654</v>
      </c>
      <c r="F242" s="69">
        <v>29.91788</v>
      </c>
      <c r="G242" s="69">
        <v>-81.29008</v>
      </c>
      <c r="H242" s="69">
        <v>29.91109</v>
      </c>
      <c r="I242" s="76">
        <v>-81.29578</v>
      </c>
      <c r="J242" s="26" t="s">
        <v>2600</v>
      </c>
      <c r="K242" s="26" t="s">
        <v>2601</v>
      </c>
      <c r="L242" s="69">
        <v>0.0</v>
      </c>
      <c r="M242" s="69">
        <v>0.0</v>
      </c>
      <c r="N242" s="69">
        <v>0.0</v>
      </c>
      <c r="O242" s="69">
        <v>0.0</v>
      </c>
      <c r="P242" s="69">
        <v>0.0</v>
      </c>
      <c r="Q242" s="69">
        <v>0.0</v>
      </c>
      <c r="R242" s="69">
        <v>0.0</v>
      </c>
      <c r="S242" s="69">
        <v>0.0</v>
      </c>
      <c r="T242" s="69">
        <v>0.0</v>
      </c>
      <c r="U242" s="69">
        <v>0.0</v>
      </c>
      <c r="V242" s="69">
        <v>0.0</v>
      </c>
      <c r="W242" s="69">
        <v>0.0</v>
      </c>
      <c r="X242" s="69">
        <v>0.0</v>
      </c>
      <c r="Y242" s="69">
        <v>2.0</v>
      </c>
      <c r="Z242" s="69">
        <v>12.0</v>
      </c>
      <c r="AA242" s="69">
        <v>0.0</v>
      </c>
      <c r="AB242" s="69">
        <v>0.0</v>
      </c>
      <c r="AC242" s="69">
        <v>0.0</v>
      </c>
      <c r="AD242" s="69">
        <v>0.0</v>
      </c>
      <c r="AE242" s="69">
        <v>0.0</v>
      </c>
      <c r="AF242" s="69">
        <v>0.0</v>
      </c>
      <c r="AG242" s="69">
        <v>0.0</v>
      </c>
      <c r="AH242" s="69">
        <v>3.0</v>
      </c>
      <c r="AI242" s="69">
        <v>0.0</v>
      </c>
      <c r="AJ242" s="69">
        <v>0.0</v>
      </c>
      <c r="AK242" s="69">
        <v>18.0</v>
      </c>
      <c r="AL242" s="69">
        <v>4.0</v>
      </c>
      <c r="AM242" s="69">
        <v>0.0</v>
      </c>
      <c r="AN242" s="69">
        <v>34.0</v>
      </c>
      <c r="AO242" s="69">
        <v>0.0</v>
      </c>
      <c r="AP242" s="69">
        <v>0.0</v>
      </c>
      <c r="AQ242" s="69">
        <v>27.0</v>
      </c>
      <c r="AR242" s="69">
        <v>3.0</v>
      </c>
      <c r="AS242" s="69">
        <v>0.0</v>
      </c>
      <c r="AT242" s="69">
        <v>0.0</v>
      </c>
      <c r="AU242" s="69">
        <v>0.0</v>
      </c>
      <c r="AV242" s="69">
        <v>0.0</v>
      </c>
      <c r="AW242" s="69">
        <v>177.0</v>
      </c>
      <c r="AX242" s="69">
        <v>0.0</v>
      </c>
      <c r="AY242" s="69">
        <v>68.0</v>
      </c>
      <c r="AZ242" s="69">
        <v>9.0</v>
      </c>
      <c r="BA242" s="69">
        <v>0.0</v>
      </c>
      <c r="BB242" s="69">
        <v>0.0</v>
      </c>
      <c r="BC242" s="69">
        <v>0.0</v>
      </c>
      <c r="BD242" s="69">
        <v>0.0</v>
      </c>
      <c r="BE242" s="69">
        <v>0.0</v>
      </c>
      <c r="BF242" s="69">
        <v>0.0</v>
      </c>
      <c r="BG242" s="69">
        <v>0.0</v>
      </c>
      <c r="BH242" s="13">
        <f t="shared" si="33"/>
        <v>357</v>
      </c>
      <c r="BI242" s="38" t="s">
        <v>2887</v>
      </c>
    </row>
    <row r="243" ht="36.75" customHeight="1">
      <c r="A243" s="91" t="s">
        <v>2010</v>
      </c>
      <c r="B243" s="92"/>
      <c r="C243" s="92"/>
      <c r="D243" s="92" t="s">
        <v>2888</v>
      </c>
      <c r="E243" s="124" t="s">
        <v>2654</v>
      </c>
      <c r="F243" s="69">
        <v>30.02208</v>
      </c>
      <c r="G243" s="74">
        <v>-81.32262</v>
      </c>
      <c r="H243" s="74">
        <v>30.12702</v>
      </c>
      <c r="I243" s="97">
        <v>-81.34683</v>
      </c>
      <c r="J243" s="26" t="s">
        <v>2889</v>
      </c>
      <c r="K243" s="26" t="s">
        <v>2890</v>
      </c>
      <c r="L243" s="69">
        <v>0.0</v>
      </c>
      <c r="M243" s="69">
        <v>0.0</v>
      </c>
      <c r="N243" s="69">
        <v>0.0</v>
      </c>
      <c r="O243" s="69">
        <v>0.0</v>
      </c>
      <c r="P243" s="69">
        <v>0.0</v>
      </c>
      <c r="Q243" s="69">
        <v>0.0</v>
      </c>
      <c r="R243" s="69">
        <v>0.0</v>
      </c>
      <c r="S243" s="69">
        <v>0.0</v>
      </c>
      <c r="T243" s="69">
        <v>0.0</v>
      </c>
      <c r="U243" s="69">
        <v>0.0</v>
      </c>
      <c r="V243" s="69">
        <v>0.0</v>
      </c>
      <c r="W243" s="69">
        <v>0.0</v>
      </c>
      <c r="X243" s="69">
        <v>0.0</v>
      </c>
      <c r="Y243" s="69">
        <v>0.0</v>
      </c>
      <c r="Z243" s="69">
        <v>64.0</v>
      </c>
      <c r="AA243" s="69">
        <v>0.0</v>
      </c>
      <c r="AB243" s="69">
        <v>0.0</v>
      </c>
      <c r="AC243" s="69">
        <v>0.0</v>
      </c>
      <c r="AD243" s="69">
        <v>0.0</v>
      </c>
      <c r="AE243" s="69">
        <v>0.0</v>
      </c>
      <c r="AF243" s="69">
        <v>0.0</v>
      </c>
      <c r="AG243" s="69">
        <v>0.0</v>
      </c>
      <c r="AH243" s="69">
        <v>13.0</v>
      </c>
      <c r="AI243" s="69">
        <v>0.0</v>
      </c>
      <c r="AJ243" s="69">
        <v>0.0</v>
      </c>
      <c r="AK243" s="69">
        <v>17.0</v>
      </c>
      <c r="AL243" s="69">
        <v>1.0</v>
      </c>
      <c r="AM243" s="69">
        <v>0.0</v>
      </c>
      <c r="AN243" s="69">
        <v>5.0</v>
      </c>
      <c r="AO243" s="69">
        <v>1.0</v>
      </c>
      <c r="AP243" s="69">
        <v>0.0</v>
      </c>
      <c r="AQ243" s="69">
        <v>0.0</v>
      </c>
      <c r="AR243" s="69">
        <v>168.0</v>
      </c>
      <c r="AS243" s="69">
        <v>0.0</v>
      </c>
      <c r="AT243" s="69">
        <v>0.0</v>
      </c>
      <c r="AU243" s="69">
        <v>0.0</v>
      </c>
      <c r="AV243" s="69">
        <v>29.0</v>
      </c>
      <c r="AW243" s="69">
        <v>958.0</v>
      </c>
      <c r="AX243" s="69">
        <v>0.0</v>
      </c>
      <c r="AY243" s="69">
        <v>45.0</v>
      </c>
      <c r="AZ243" s="69">
        <v>8.0</v>
      </c>
      <c r="BA243" s="69">
        <v>0.0</v>
      </c>
      <c r="BB243" s="69">
        <v>0.0</v>
      </c>
      <c r="BC243" s="69">
        <v>0.0</v>
      </c>
      <c r="BD243" s="69">
        <v>0.0</v>
      </c>
      <c r="BE243" s="69">
        <v>0.0</v>
      </c>
      <c r="BF243" s="69">
        <v>0.0</v>
      </c>
      <c r="BG243" s="69">
        <v>0.0</v>
      </c>
      <c r="BH243" s="13">
        <f t="shared" si="33"/>
        <v>1309</v>
      </c>
      <c r="BI243" s="38" t="s">
        <v>2891</v>
      </c>
    </row>
    <row r="244" ht="36.75" customHeight="1">
      <c r="A244" s="11">
        <v>42773.0</v>
      </c>
      <c r="B244" s="13" t="s">
        <v>2661</v>
      </c>
      <c r="C244" s="16" t="s">
        <v>1943</v>
      </c>
      <c r="D244" s="16" t="s">
        <v>2662</v>
      </c>
      <c r="E244" s="26" t="s">
        <v>2663</v>
      </c>
      <c r="F244" s="16">
        <v>27.2629981768967</v>
      </c>
      <c r="G244" s="16">
        <v>-80.1996679947854</v>
      </c>
      <c r="H244" s="13">
        <v>27.30899695</v>
      </c>
      <c r="I244" s="13">
        <v>-80.22089875</v>
      </c>
      <c r="J244" s="13" t="s">
        <v>2664</v>
      </c>
      <c r="K244" s="13" t="s">
        <v>2665</v>
      </c>
      <c r="L244" s="13">
        <v>0.0</v>
      </c>
      <c r="M244" s="13">
        <v>0.0</v>
      </c>
      <c r="N244" s="13">
        <v>0.0</v>
      </c>
      <c r="O244" s="13">
        <v>0.0</v>
      </c>
      <c r="P244" s="13">
        <v>0.0</v>
      </c>
      <c r="Q244" s="13">
        <v>0.0</v>
      </c>
      <c r="R244" s="13">
        <v>0.0</v>
      </c>
      <c r="S244" s="13">
        <v>0.0</v>
      </c>
      <c r="T244" s="13">
        <v>0.0</v>
      </c>
      <c r="U244" s="13">
        <v>0.0</v>
      </c>
      <c r="V244" s="13">
        <v>0.0</v>
      </c>
      <c r="W244" s="13">
        <v>0.0</v>
      </c>
      <c r="X244" s="13">
        <v>0.0</v>
      </c>
      <c r="Y244" s="13">
        <v>30.0</v>
      </c>
      <c r="Z244" s="13">
        <v>121.0</v>
      </c>
      <c r="AA244" s="13">
        <v>0.0</v>
      </c>
      <c r="AB244" s="13">
        <v>0.0</v>
      </c>
      <c r="AC244" s="13">
        <v>0.0</v>
      </c>
      <c r="AD244" s="13">
        <v>0.0</v>
      </c>
      <c r="AE244" s="13">
        <v>0.0</v>
      </c>
      <c r="AF244" s="13">
        <v>0.0</v>
      </c>
      <c r="AG244" s="13">
        <v>0.0</v>
      </c>
      <c r="AH244" s="13">
        <v>5.0</v>
      </c>
      <c r="AI244" s="13">
        <v>0.0</v>
      </c>
      <c r="AJ244" s="13">
        <v>0.0</v>
      </c>
      <c r="AK244" s="13">
        <v>0.0</v>
      </c>
      <c r="AL244" s="13">
        <v>0.0</v>
      </c>
      <c r="AM244" s="13">
        <v>0.0</v>
      </c>
      <c r="AN244" s="13">
        <v>3.0</v>
      </c>
      <c r="AO244" s="13">
        <v>0.0</v>
      </c>
      <c r="AP244" s="13">
        <v>0.0</v>
      </c>
      <c r="AQ244" s="13">
        <v>0.0</v>
      </c>
      <c r="AR244" s="13">
        <v>0.0</v>
      </c>
      <c r="AS244" s="13">
        <v>0.0</v>
      </c>
      <c r="AT244" s="13">
        <v>0.0</v>
      </c>
      <c r="AU244" s="13">
        <v>1.0</v>
      </c>
      <c r="AV244" s="13">
        <v>1.0</v>
      </c>
      <c r="AW244" s="13">
        <v>12.0</v>
      </c>
      <c r="AX244" s="13">
        <v>0.0</v>
      </c>
      <c r="AY244" s="13">
        <v>31.0</v>
      </c>
      <c r="AZ244" s="13">
        <v>0.0</v>
      </c>
      <c r="BA244" s="13">
        <v>0.0</v>
      </c>
      <c r="BB244" s="13">
        <v>0.0</v>
      </c>
      <c r="BC244" s="13">
        <v>0.0</v>
      </c>
      <c r="BD244" s="13">
        <v>0.0</v>
      </c>
      <c r="BE244" s="13">
        <v>0.0</v>
      </c>
      <c r="BF244" s="13">
        <v>0.0</v>
      </c>
      <c r="BG244" s="13">
        <v>0.0</v>
      </c>
      <c r="BH244" s="13">
        <f t="shared" si="33"/>
        <v>204</v>
      </c>
    </row>
    <row r="245" ht="36.75" customHeight="1">
      <c r="A245" s="41">
        <v>42773.0</v>
      </c>
      <c r="B245" s="16" t="s">
        <v>932</v>
      </c>
      <c r="C245" s="16" t="s">
        <v>933</v>
      </c>
      <c r="D245" s="16" t="s">
        <v>934</v>
      </c>
      <c r="E245" s="26" t="s">
        <v>935</v>
      </c>
      <c r="F245" s="16">
        <v>29.427222</v>
      </c>
      <c r="G245" s="16">
        <v>81.1025</v>
      </c>
      <c r="H245" s="13">
        <v>29.077222</v>
      </c>
      <c r="I245" s="13">
        <v>80.917778</v>
      </c>
      <c r="J245" s="13" t="s">
        <v>2666</v>
      </c>
      <c r="K245" s="13" t="s">
        <v>2892</v>
      </c>
      <c r="L245" s="13">
        <v>0.0</v>
      </c>
      <c r="M245" s="13">
        <v>0.0</v>
      </c>
      <c r="N245" s="13">
        <v>51.0</v>
      </c>
      <c r="O245" s="13">
        <v>0.0</v>
      </c>
      <c r="P245" s="13">
        <v>0.0</v>
      </c>
      <c r="Q245" s="13">
        <v>0.0</v>
      </c>
      <c r="R245" s="13">
        <v>0.0</v>
      </c>
      <c r="S245" s="13">
        <v>0.0</v>
      </c>
      <c r="T245" s="13">
        <v>0.0</v>
      </c>
      <c r="U245" s="13">
        <v>0.0</v>
      </c>
      <c r="V245" s="13">
        <v>0.0</v>
      </c>
      <c r="W245" s="13">
        <v>0.0</v>
      </c>
      <c r="X245" s="13">
        <v>188.0</v>
      </c>
      <c r="Y245" s="13">
        <v>108.0</v>
      </c>
      <c r="Z245" s="13">
        <v>600.0</v>
      </c>
      <c r="AA245" s="13">
        <v>0.0</v>
      </c>
      <c r="AB245" s="13">
        <v>0.0</v>
      </c>
      <c r="AC245" s="13">
        <v>0.0</v>
      </c>
      <c r="AD245" s="13">
        <v>0.0</v>
      </c>
      <c r="AE245" s="13">
        <v>0.0</v>
      </c>
      <c r="AF245" s="13">
        <v>0.0</v>
      </c>
      <c r="AG245" s="13">
        <v>0.0</v>
      </c>
      <c r="AH245" s="13">
        <v>85.0</v>
      </c>
      <c r="AI245" s="13">
        <v>0.0</v>
      </c>
      <c r="AJ245" s="13">
        <v>0.0</v>
      </c>
      <c r="AK245" s="13">
        <v>2.0</v>
      </c>
      <c r="AL245" s="13">
        <v>0.0</v>
      </c>
      <c r="AM245" s="13">
        <v>0.0</v>
      </c>
      <c r="AN245" s="13">
        <v>2.0</v>
      </c>
      <c r="AO245" s="13">
        <v>0.0</v>
      </c>
      <c r="AP245" s="13">
        <v>0.0</v>
      </c>
      <c r="AQ245" s="13">
        <v>0.0</v>
      </c>
      <c r="AR245" s="13">
        <v>3.0</v>
      </c>
      <c r="AS245" s="13">
        <v>0.0</v>
      </c>
      <c r="AT245" s="13">
        <v>0.0</v>
      </c>
      <c r="AU245" s="13">
        <v>7.0</v>
      </c>
      <c r="AV245" s="13">
        <v>883.0</v>
      </c>
      <c r="AW245" s="119">
        <v>16700.0</v>
      </c>
      <c r="AX245" s="13">
        <v>1.0</v>
      </c>
      <c r="AY245" s="13">
        <v>3435.0</v>
      </c>
      <c r="AZ245" s="13">
        <v>1480.0</v>
      </c>
      <c r="BA245" s="13">
        <v>127.0</v>
      </c>
      <c r="BB245" s="13">
        <v>0.0</v>
      </c>
      <c r="BC245" s="13">
        <v>0.0</v>
      </c>
      <c r="BD245" s="13">
        <v>0.0</v>
      </c>
      <c r="BE245" s="13">
        <v>0.0</v>
      </c>
      <c r="BF245" s="13">
        <v>0.0</v>
      </c>
      <c r="BG245" s="13">
        <v>0.0</v>
      </c>
      <c r="BH245" s="119">
        <v>23672.0</v>
      </c>
      <c r="BI245" s="13" t="s">
        <v>2893</v>
      </c>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c r="CL245" s="13"/>
      <c r="CM245" s="13"/>
      <c r="CN245" s="13"/>
      <c r="CO245" s="13"/>
      <c r="CP245" s="13"/>
      <c r="CQ245" s="13"/>
      <c r="CR245" s="13"/>
      <c r="CS245" s="13"/>
      <c r="CT245" s="13"/>
      <c r="CU245" s="13"/>
      <c r="CV245" s="13"/>
      <c r="CW245" s="13"/>
      <c r="CX245" s="13"/>
      <c r="CY245" s="13"/>
      <c r="CZ245" s="13"/>
      <c r="DA245" s="13"/>
      <c r="DB245" s="13"/>
      <c r="DC245" s="13"/>
      <c r="DD245" s="13"/>
      <c r="DE245" s="13"/>
      <c r="DF245" s="13"/>
      <c r="DG245" s="13"/>
      <c r="DH245" s="13"/>
      <c r="DI245" s="13"/>
      <c r="DJ245" s="13"/>
      <c r="DK245" s="13"/>
      <c r="DL245" s="13"/>
      <c r="DM245" s="13"/>
      <c r="DN245" s="13"/>
      <c r="DO245" s="13"/>
      <c r="DP245" s="13"/>
      <c r="DQ245" s="13"/>
      <c r="DR245" s="13"/>
      <c r="DS245" s="13"/>
      <c r="DT245" s="13"/>
      <c r="DU245" s="13"/>
      <c r="DV245" s="13"/>
      <c r="DW245" s="13"/>
    </row>
    <row r="246" ht="36.75" customHeight="1">
      <c r="A246" s="41">
        <v>42773.0</v>
      </c>
      <c r="B246" s="16" t="s">
        <v>1160</v>
      </c>
      <c r="C246" s="16" t="s">
        <v>1162</v>
      </c>
      <c r="D246" s="16" t="s">
        <v>2709</v>
      </c>
      <c r="E246" s="34" t="s">
        <v>935</v>
      </c>
      <c r="F246" s="16" t="s">
        <v>2710</v>
      </c>
      <c r="G246" s="16" t="s">
        <v>2711</v>
      </c>
      <c r="H246" s="13" t="s">
        <v>2712</v>
      </c>
      <c r="I246" s="13" t="s">
        <v>2713</v>
      </c>
      <c r="J246" s="13" t="s">
        <v>2714</v>
      </c>
      <c r="K246" s="13" t="s">
        <v>2715</v>
      </c>
      <c r="L246" s="13">
        <v>6.0</v>
      </c>
      <c r="M246" s="13">
        <v>0.0</v>
      </c>
      <c r="N246" s="13">
        <v>32.0</v>
      </c>
      <c r="O246" s="13">
        <v>96.0</v>
      </c>
      <c r="P246" s="13">
        <v>3.0</v>
      </c>
      <c r="Q246" s="13">
        <v>0.0</v>
      </c>
      <c r="R246" s="13">
        <v>2.0</v>
      </c>
      <c r="S246" s="13">
        <v>0.0</v>
      </c>
      <c r="T246" s="13">
        <v>0.0</v>
      </c>
      <c r="U246" s="13">
        <v>0.0</v>
      </c>
      <c r="V246" s="13">
        <v>0.0</v>
      </c>
      <c r="W246" s="13">
        <v>15.0</v>
      </c>
      <c r="X246" s="13">
        <v>103.0</v>
      </c>
      <c r="Y246" s="13">
        <v>38.0</v>
      </c>
      <c r="Z246" s="13">
        <v>59.0</v>
      </c>
      <c r="AA246" s="13">
        <v>101.0</v>
      </c>
      <c r="AB246" s="13">
        <v>0.0</v>
      </c>
      <c r="AC246" s="13">
        <v>0.0</v>
      </c>
      <c r="AD246" s="13">
        <v>0.0</v>
      </c>
      <c r="AE246" s="13">
        <v>0.0</v>
      </c>
      <c r="AF246" s="13">
        <v>0.0</v>
      </c>
      <c r="AG246" s="13">
        <v>0.0</v>
      </c>
      <c r="AH246" s="13">
        <v>10.0</v>
      </c>
      <c r="AI246" s="13">
        <v>2.0</v>
      </c>
      <c r="AJ246" s="13">
        <v>0.0</v>
      </c>
      <c r="AK246" s="13">
        <v>47.0</v>
      </c>
      <c r="AL246" s="13">
        <v>0.0</v>
      </c>
      <c r="AM246" s="13">
        <v>0.0</v>
      </c>
      <c r="AN246" s="13">
        <v>280.0</v>
      </c>
      <c r="AO246" s="13">
        <v>10.0</v>
      </c>
      <c r="AP246" s="13">
        <v>0.0</v>
      </c>
      <c r="AQ246" s="13">
        <v>68.0</v>
      </c>
      <c r="AR246" s="13">
        <v>10.0</v>
      </c>
      <c r="AS246" s="13">
        <v>0.0</v>
      </c>
      <c r="AT246" s="13">
        <v>0.0</v>
      </c>
      <c r="AU246" s="13">
        <v>3.0</v>
      </c>
      <c r="AV246" s="13">
        <v>100.0</v>
      </c>
      <c r="AW246" s="13">
        <v>323.0</v>
      </c>
      <c r="AX246" s="13">
        <v>1.0</v>
      </c>
      <c r="AY246" s="13">
        <v>29.0</v>
      </c>
      <c r="AZ246" s="13">
        <v>75.0</v>
      </c>
      <c r="BA246" s="13">
        <v>8.0</v>
      </c>
      <c r="BB246" s="13">
        <v>0.0</v>
      </c>
      <c r="BC246" s="13">
        <v>29.0</v>
      </c>
      <c r="BD246" s="13">
        <v>0.0</v>
      </c>
      <c r="BE246" s="13">
        <v>0.0</v>
      </c>
      <c r="BF246" s="13">
        <v>0.0</v>
      </c>
      <c r="BG246" s="13">
        <v>0.0</v>
      </c>
      <c r="BH246" s="13">
        <v>1418.0</v>
      </c>
      <c r="BI246" s="13" t="s">
        <v>2894</v>
      </c>
    </row>
    <row r="247" ht="36.75" customHeight="1">
      <c r="A247" s="45">
        <v>42773.0</v>
      </c>
      <c r="B247" s="13" t="s">
        <v>2895</v>
      </c>
      <c r="C247" s="13" t="s">
        <v>1120</v>
      </c>
      <c r="D247" s="13" t="s">
        <v>2896</v>
      </c>
      <c r="E247" s="26" t="s">
        <v>935</v>
      </c>
      <c r="F247" s="13">
        <v>29.427174</v>
      </c>
      <c r="G247" s="13">
        <v>-81.102257</v>
      </c>
      <c r="H247" s="13">
        <v>29.3829905</v>
      </c>
      <c r="I247" s="14">
        <v>-81.085247</v>
      </c>
      <c r="J247" s="13" t="s">
        <v>2897</v>
      </c>
      <c r="K247" s="13" t="s">
        <v>2898</v>
      </c>
      <c r="L247" s="13">
        <v>0.0</v>
      </c>
      <c r="M247" s="13">
        <v>0.0</v>
      </c>
      <c r="N247" s="13">
        <v>7.0</v>
      </c>
      <c r="O247" s="13">
        <v>0.0</v>
      </c>
      <c r="P247" s="13">
        <v>0.0</v>
      </c>
      <c r="Q247" s="13">
        <v>0.0</v>
      </c>
      <c r="R247" s="13">
        <v>0.0</v>
      </c>
      <c r="S247" s="13">
        <v>0.0</v>
      </c>
      <c r="T247" s="13">
        <v>0.0</v>
      </c>
      <c r="U247" s="13">
        <v>0.0</v>
      </c>
      <c r="V247" s="13">
        <v>0.0</v>
      </c>
      <c r="W247" s="13">
        <v>0.0</v>
      </c>
      <c r="X247" s="13">
        <v>0.0</v>
      </c>
      <c r="Y247" s="13">
        <v>33.0</v>
      </c>
      <c r="Z247" s="13">
        <v>77.0</v>
      </c>
      <c r="AA247" s="13">
        <v>0.0</v>
      </c>
      <c r="AB247" s="13">
        <v>0.0</v>
      </c>
      <c r="AC247" s="13">
        <v>0.0</v>
      </c>
      <c r="AD247" s="13">
        <v>0.0</v>
      </c>
      <c r="AE247" s="13">
        <v>0.0</v>
      </c>
      <c r="AF247" s="13">
        <v>0.0</v>
      </c>
      <c r="AG247" s="13">
        <v>0.0</v>
      </c>
      <c r="AH247" s="13">
        <v>14.0</v>
      </c>
      <c r="AI247" s="13">
        <v>0.0</v>
      </c>
      <c r="AJ247" s="13">
        <v>0.0</v>
      </c>
      <c r="AK247" s="13">
        <v>0.0</v>
      </c>
      <c r="AL247" s="13">
        <v>0.0</v>
      </c>
      <c r="AM247" s="13">
        <v>0.0</v>
      </c>
      <c r="AN247" s="13">
        <v>2.0</v>
      </c>
      <c r="AO247" s="13">
        <v>0.0</v>
      </c>
      <c r="AP247" s="13">
        <v>0.0</v>
      </c>
      <c r="AQ247" s="13">
        <v>0.0</v>
      </c>
      <c r="AR247" s="13">
        <v>1.0</v>
      </c>
      <c r="AS247" s="13">
        <v>0.0</v>
      </c>
      <c r="AT247" s="13">
        <v>0.0</v>
      </c>
      <c r="AU247" s="13">
        <v>0.0</v>
      </c>
      <c r="AV247" s="13">
        <v>2.0</v>
      </c>
      <c r="AW247" s="13">
        <v>79.0</v>
      </c>
      <c r="AX247" s="13">
        <v>0.0</v>
      </c>
      <c r="AY247" s="13">
        <v>8.0</v>
      </c>
      <c r="AZ247" s="13">
        <v>55.0</v>
      </c>
      <c r="BA247" s="13">
        <v>1.0</v>
      </c>
      <c r="BB247" s="13">
        <v>0.0</v>
      </c>
      <c r="BC247" s="13">
        <v>0.0</v>
      </c>
      <c r="BD247" s="13">
        <v>0.0</v>
      </c>
      <c r="BE247" s="13">
        <v>0.0</v>
      </c>
      <c r="BF247" s="13">
        <v>0.0</v>
      </c>
      <c r="BG247" s="13">
        <v>0.0</v>
      </c>
      <c r="BH247">
        <f>SUM(L247:BG247)</f>
        <v>279</v>
      </c>
    </row>
    <row r="248" ht="36.75" customHeight="1">
      <c r="A248" s="43">
        <v>42773.0</v>
      </c>
      <c r="B248" s="16" t="s">
        <v>2742</v>
      </c>
      <c r="C248" s="16" t="s">
        <v>2748</v>
      </c>
      <c r="D248" s="16" t="s">
        <v>2744</v>
      </c>
      <c r="E248" s="26" t="s">
        <v>935</v>
      </c>
      <c r="F248" s="16">
        <v>29.00945</v>
      </c>
      <c r="G248" s="16">
        <v>80.8779</v>
      </c>
      <c r="H248" s="13">
        <v>28.884845</v>
      </c>
      <c r="I248" s="13">
        <v>80.79241</v>
      </c>
      <c r="J248" s="13" t="s">
        <v>2745</v>
      </c>
      <c r="K248" s="13" t="s">
        <v>2746</v>
      </c>
      <c r="L248" s="13">
        <v>0.0</v>
      </c>
      <c r="M248" s="13">
        <v>0.0</v>
      </c>
      <c r="N248" s="13">
        <v>0.0</v>
      </c>
      <c r="O248" s="13">
        <v>0.0</v>
      </c>
      <c r="P248" s="13">
        <v>0.0</v>
      </c>
      <c r="Q248" s="13">
        <v>0.0</v>
      </c>
      <c r="R248" s="13">
        <v>0.0</v>
      </c>
      <c r="S248" s="13">
        <v>0.0</v>
      </c>
      <c r="T248" s="13">
        <v>0.0</v>
      </c>
      <c r="U248" s="13">
        <v>0.0</v>
      </c>
      <c r="V248" s="13">
        <v>0.0</v>
      </c>
      <c r="W248" s="13">
        <v>0.0</v>
      </c>
      <c r="X248" s="13">
        <v>3.0</v>
      </c>
      <c r="Y248" s="13">
        <v>22.0</v>
      </c>
      <c r="Z248" s="13">
        <v>33.0</v>
      </c>
      <c r="AA248" s="13">
        <v>7.0</v>
      </c>
      <c r="AB248" s="13">
        <v>0.0</v>
      </c>
      <c r="AC248" s="13">
        <v>0.0</v>
      </c>
      <c r="AD248" s="13">
        <v>0.0</v>
      </c>
      <c r="AE248" s="13">
        <v>0.0</v>
      </c>
      <c r="AF248" s="13">
        <v>3.0</v>
      </c>
      <c r="AG248" s="13">
        <v>0.0</v>
      </c>
      <c r="AH248" s="13">
        <v>23.0</v>
      </c>
      <c r="AI248" s="13">
        <v>0.0</v>
      </c>
      <c r="AJ248" s="13">
        <v>0.0</v>
      </c>
      <c r="AK248" s="13">
        <v>0.0</v>
      </c>
      <c r="AL248" s="13">
        <v>0.0</v>
      </c>
      <c r="AM248" s="13">
        <v>0.0</v>
      </c>
      <c r="AN248" s="13">
        <v>5.0</v>
      </c>
      <c r="AO248" s="13">
        <v>0.0</v>
      </c>
      <c r="AP248" s="13">
        <v>0.0</v>
      </c>
      <c r="AQ248" s="13">
        <v>2.0</v>
      </c>
      <c r="AR248" s="13">
        <v>9.0</v>
      </c>
      <c r="AS248" s="13">
        <v>0.0</v>
      </c>
      <c r="AT248" s="13">
        <v>0.0</v>
      </c>
      <c r="AU248" s="13">
        <v>1.0</v>
      </c>
      <c r="AV248" s="13">
        <v>1.0</v>
      </c>
      <c r="AW248" s="13">
        <v>725.0</v>
      </c>
      <c r="AX248" s="13">
        <v>0.0</v>
      </c>
      <c r="AY248" s="13">
        <v>170.0</v>
      </c>
      <c r="AZ248" s="13">
        <v>285.0</v>
      </c>
      <c r="BA248" s="13">
        <v>5.0</v>
      </c>
      <c r="BB248" s="13">
        <v>0.0</v>
      </c>
      <c r="BC248" s="13">
        <v>0.0</v>
      </c>
      <c r="BD248" s="13">
        <v>0.0</v>
      </c>
      <c r="BE248" s="13">
        <v>0.0</v>
      </c>
      <c r="BF248" s="13">
        <v>0.0</v>
      </c>
      <c r="BG248" s="13">
        <v>0.0</v>
      </c>
      <c r="BH248" s="13">
        <v>1319.0</v>
      </c>
    </row>
    <row r="249" ht="36.75" customHeight="1">
      <c r="A249" s="50">
        <v>42773.0</v>
      </c>
      <c r="B249" s="16" t="s">
        <v>2899</v>
      </c>
      <c r="C249" s="16" t="s">
        <v>2755</v>
      </c>
      <c r="D249" s="16" t="s">
        <v>2756</v>
      </c>
      <c r="E249" s="34" t="s">
        <v>935</v>
      </c>
      <c r="F249" s="16">
        <v>28.937891</v>
      </c>
      <c r="G249" s="16">
        <v>80.830686</v>
      </c>
      <c r="H249" s="13">
        <v>29.023437</v>
      </c>
      <c r="I249" s="13">
        <v>80.916657</v>
      </c>
      <c r="J249" s="13" t="s">
        <v>2757</v>
      </c>
      <c r="K249" s="13" t="s">
        <v>2746</v>
      </c>
      <c r="L249" s="13">
        <v>0.0</v>
      </c>
      <c r="M249" s="13">
        <v>0.0</v>
      </c>
      <c r="N249" s="13">
        <v>0.0</v>
      </c>
      <c r="O249" s="13">
        <v>0.0</v>
      </c>
      <c r="P249" s="13">
        <v>0.0</v>
      </c>
      <c r="Q249" s="13">
        <v>0.0</v>
      </c>
      <c r="R249" s="13">
        <v>0.0</v>
      </c>
      <c r="S249" s="13">
        <v>0.0</v>
      </c>
      <c r="T249" s="13">
        <v>0.0</v>
      </c>
      <c r="U249" s="13">
        <v>0.0</v>
      </c>
      <c r="V249" s="13">
        <v>0.0</v>
      </c>
      <c r="W249" s="13">
        <v>0.0</v>
      </c>
      <c r="X249" s="13">
        <v>0.0</v>
      </c>
      <c r="Y249" s="13">
        <v>0.0</v>
      </c>
      <c r="Z249" s="13">
        <v>0.0</v>
      </c>
      <c r="AA249" s="13">
        <v>0.0</v>
      </c>
      <c r="AB249" s="13">
        <v>0.0</v>
      </c>
      <c r="AC249" s="13">
        <v>0.0</v>
      </c>
      <c r="AD249" s="13">
        <v>0.0</v>
      </c>
      <c r="AE249" s="13">
        <v>0.0</v>
      </c>
      <c r="AF249" s="13">
        <v>0.0</v>
      </c>
      <c r="AG249" s="13">
        <v>0.0</v>
      </c>
      <c r="AH249" s="13">
        <v>0.0</v>
      </c>
      <c r="AI249" s="13">
        <v>0.0</v>
      </c>
      <c r="AJ249" s="13">
        <v>0.0</v>
      </c>
      <c r="AK249" s="13">
        <v>0.0</v>
      </c>
      <c r="AL249" s="13">
        <v>0.0</v>
      </c>
      <c r="AM249" s="13">
        <v>0.0</v>
      </c>
      <c r="AN249" s="13">
        <v>25.0</v>
      </c>
      <c r="AO249" s="13">
        <v>1.0</v>
      </c>
      <c r="AP249" s="13">
        <v>0.0</v>
      </c>
      <c r="AQ249" s="13">
        <v>52.0</v>
      </c>
      <c r="AR249" s="13">
        <v>0.0</v>
      </c>
      <c r="AS249" s="13">
        <v>0.0</v>
      </c>
      <c r="AT249" s="13">
        <v>0.0</v>
      </c>
      <c r="AU249" s="13">
        <v>1.0</v>
      </c>
      <c r="AV249" s="13">
        <v>0.0</v>
      </c>
      <c r="AW249" s="13">
        <v>0.0</v>
      </c>
      <c r="AX249" s="13">
        <v>0.0</v>
      </c>
      <c r="AY249" s="13">
        <v>17.0</v>
      </c>
      <c r="AZ249" s="13">
        <v>44.0</v>
      </c>
      <c r="BA249" s="13">
        <v>0.0</v>
      </c>
      <c r="BB249" s="13">
        <v>0.0</v>
      </c>
      <c r="BC249" s="13">
        <v>2.0</v>
      </c>
      <c r="BD249" s="13">
        <v>0.0</v>
      </c>
      <c r="BE249" s="13">
        <v>0.0</v>
      </c>
      <c r="BF249" s="13">
        <v>0.0</v>
      </c>
      <c r="BG249" s="13">
        <v>0.0</v>
      </c>
      <c r="BH249" s="13">
        <v>142.0</v>
      </c>
    </row>
    <row r="250" ht="36.75" customHeight="1">
      <c r="A250" s="50">
        <v>42773.0</v>
      </c>
      <c r="B250" s="16" t="s">
        <v>2758</v>
      </c>
      <c r="C250" s="16" t="s">
        <v>2759</v>
      </c>
      <c r="D250" s="16" t="s">
        <v>2760</v>
      </c>
      <c r="E250" s="34" t="s">
        <v>935</v>
      </c>
      <c r="F250" s="16">
        <v>29.030089</v>
      </c>
      <c r="G250" s="16">
        <v>80.91863</v>
      </c>
      <c r="H250" s="13">
        <v>28.97509</v>
      </c>
      <c r="I250" s="13">
        <v>80.892188</v>
      </c>
      <c r="J250" s="13" t="s">
        <v>2761</v>
      </c>
      <c r="K250" s="13" t="s">
        <v>2746</v>
      </c>
      <c r="L250" s="13">
        <v>0.0</v>
      </c>
      <c r="M250" s="13">
        <v>0.0</v>
      </c>
      <c r="N250" s="13">
        <v>0.0</v>
      </c>
      <c r="O250" s="13">
        <v>0.0</v>
      </c>
      <c r="P250" s="13">
        <v>0.0</v>
      </c>
      <c r="Q250" s="13">
        <v>0.0</v>
      </c>
      <c r="R250" s="13">
        <v>0.0</v>
      </c>
      <c r="S250" s="13">
        <v>0.0</v>
      </c>
      <c r="T250" s="13">
        <v>0.0</v>
      </c>
      <c r="U250" s="13">
        <v>0.0</v>
      </c>
      <c r="V250" s="13">
        <v>0.0</v>
      </c>
      <c r="W250" s="13">
        <v>0.0</v>
      </c>
      <c r="X250" s="13">
        <v>0.0</v>
      </c>
      <c r="Y250" s="13">
        <v>0.0</v>
      </c>
      <c r="Z250" s="13">
        <v>0.0</v>
      </c>
      <c r="AA250" s="13">
        <v>0.0</v>
      </c>
      <c r="AB250" s="13">
        <v>0.0</v>
      </c>
      <c r="AC250" s="13">
        <v>0.0</v>
      </c>
      <c r="AD250" s="13">
        <v>0.0</v>
      </c>
      <c r="AE250" s="13">
        <v>0.0</v>
      </c>
      <c r="AF250" s="13">
        <v>0.0</v>
      </c>
      <c r="AG250" s="13">
        <v>0.0</v>
      </c>
      <c r="AH250" s="13">
        <v>0.0</v>
      </c>
      <c r="AI250" s="13">
        <v>0.0</v>
      </c>
      <c r="AJ250" s="13">
        <v>0.0</v>
      </c>
      <c r="AK250" s="13">
        <v>0.0</v>
      </c>
      <c r="AL250" s="13">
        <v>0.0</v>
      </c>
      <c r="AM250" s="13">
        <v>0.0</v>
      </c>
      <c r="AN250" s="13">
        <v>44.0</v>
      </c>
      <c r="AO250" s="13">
        <v>0.0</v>
      </c>
      <c r="AP250" s="13">
        <v>0.0</v>
      </c>
      <c r="AQ250" s="13">
        <v>48.0</v>
      </c>
      <c r="AR250" s="13">
        <v>0.0</v>
      </c>
      <c r="AS250" s="13">
        <v>0.0</v>
      </c>
      <c r="AT250" s="13">
        <v>0.0</v>
      </c>
      <c r="AU250" s="13">
        <v>0.0</v>
      </c>
      <c r="AV250" s="13">
        <v>0.0</v>
      </c>
      <c r="AW250" s="13">
        <v>6.0</v>
      </c>
      <c r="AX250" s="13">
        <v>0.0</v>
      </c>
      <c r="AY250" s="13">
        <v>25.0</v>
      </c>
      <c r="AZ250" s="13">
        <v>0.0</v>
      </c>
      <c r="BA250" s="13">
        <v>0.0</v>
      </c>
      <c r="BB250" s="13">
        <v>0.0</v>
      </c>
      <c r="BC250" s="13">
        <v>0.0</v>
      </c>
      <c r="BD250" s="13">
        <v>0.0</v>
      </c>
      <c r="BE250" s="13">
        <v>0.0</v>
      </c>
      <c r="BF250" s="13">
        <v>0.0</v>
      </c>
      <c r="BG250" s="13">
        <v>0.0</v>
      </c>
      <c r="BH250" s="13">
        <v>0.0</v>
      </c>
    </row>
    <row r="251" ht="36.75" customHeight="1">
      <c r="A251" s="41">
        <v>42774.0</v>
      </c>
      <c r="B251" s="16" t="s">
        <v>2773</v>
      </c>
      <c r="C251" s="16" t="s">
        <v>2774</v>
      </c>
      <c r="D251" s="16" t="s">
        <v>2775</v>
      </c>
      <c r="E251" s="34" t="s">
        <v>935</v>
      </c>
      <c r="F251" s="16">
        <v>28.93855</v>
      </c>
      <c r="G251" s="16">
        <v>-80.83016</v>
      </c>
      <c r="H251" s="13">
        <v>28.794133</v>
      </c>
      <c r="I251" s="13">
        <v>-80.73493</v>
      </c>
      <c r="J251" s="13" t="s">
        <v>408</v>
      </c>
      <c r="K251" s="13" t="s">
        <v>409</v>
      </c>
      <c r="L251" s="13"/>
      <c r="M251" s="13"/>
      <c r="N251" s="13"/>
      <c r="O251" s="13">
        <v>120.0</v>
      </c>
      <c r="P251" s="13"/>
      <c r="Q251" s="13"/>
      <c r="R251" s="13"/>
      <c r="S251" s="13"/>
      <c r="T251" s="13"/>
      <c r="U251" s="13"/>
      <c r="V251" s="13"/>
      <c r="W251" s="13"/>
      <c r="X251" s="13"/>
      <c r="Y251" s="13">
        <v>42.0</v>
      </c>
      <c r="Z251" s="13">
        <v>36.0</v>
      </c>
      <c r="AA251" s="13"/>
      <c r="AB251" s="13"/>
      <c r="AC251" s="13"/>
      <c r="AD251" s="13"/>
      <c r="AE251" s="13"/>
      <c r="AF251" s="13"/>
      <c r="AG251" s="13"/>
      <c r="AH251" s="13">
        <v>77.0</v>
      </c>
      <c r="AI251" s="13">
        <v>17.0</v>
      </c>
      <c r="AJ251" s="13"/>
      <c r="AK251" s="13"/>
      <c r="AL251" s="13"/>
      <c r="AM251" s="13"/>
      <c r="AN251" s="13">
        <v>17.0</v>
      </c>
      <c r="AO251" s="13"/>
      <c r="AP251" s="13"/>
      <c r="AQ251" s="13"/>
      <c r="AR251" s="13">
        <v>4.0</v>
      </c>
      <c r="AS251" s="13"/>
      <c r="AT251" s="13"/>
      <c r="AU251" s="13"/>
      <c r="AV251" s="13"/>
      <c r="AW251" s="13">
        <v>4.0</v>
      </c>
      <c r="AX251" s="13"/>
      <c r="AY251" s="13">
        <v>33.0</v>
      </c>
      <c r="AZ251" s="13">
        <v>9.0</v>
      </c>
      <c r="BA251" s="13"/>
      <c r="BB251" s="13"/>
      <c r="BC251" s="13"/>
      <c r="BD251" s="13"/>
      <c r="BE251" s="13">
        <v>65.0</v>
      </c>
      <c r="BF251" s="13"/>
      <c r="BG251" s="13"/>
      <c r="BH251">
        <f>sum(L251:BG251)</f>
        <v>424</v>
      </c>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c r="CL251" s="13"/>
      <c r="CM251" s="13"/>
      <c r="CN251" s="13"/>
      <c r="CO251" s="13"/>
      <c r="CP251" s="13"/>
      <c r="CQ251" s="13"/>
      <c r="CR251" s="13"/>
      <c r="CS251" s="13"/>
      <c r="CT251" s="13"/>
      <c r="CU251" s="13"/>
      <c r="CV251" s="13"/>
      <c r="CW251" s="13"/>
      <c r="CX251" s="13"/>
      <c r="CY251" s="13"/>
      <c r="CZ251" s="13"/>
      <c r="DA251" s="13"/>
      <c r="DB251" s="13"/>
      <c r="DC251" s="13"/>
      <c r="DD251" s="13"/>
      <c r="DE251" s="13"/>
      <c r="DF251" s="13"/>
      <c r="DG251" s="13"/>
      <c r="DH251" s="13"/>
      <c r="DI251" s="13"/>
      <c r="DJ251" s="13"/>
      <c r="DK251" s="13"/>
      <c r="DL251" s="13"/>
      <c r="DM251" s="13"/>
      <c r="DN251" s="13"/>
      <c r="DO251" s="13"/>
      <c r="DP251" s="13"/>
      <c r="DQ251" s="13"/>
      <c r="DR251" s="13"/>
      <c r="DS251" s="13"/>
      <c r="DT251" s="13"/>
      <c r="DU251" s="13"/>
      <c r="DV251" s="13"/>
      <c r="DW251" s="13"/>
    </row>
    <row r="252" ht="36.75" customHeight="1">
      <c r="A252" s="45">
        <v>42774.0</v>
      </c>
      <c r="B252" s="13" t="s">
        <v>2900</v>
      </c>
      <c r="C252" s="13" t="s">
        <v>1096</v>
      </c>
      <c r="D252" s="13" t="s">
        <v>2901</v>
      </c>
      <c r="E252" s="26" t="s">
        <v>935</v>
      </c>
      <c r="F252" s="13">
        <v>29.4217</v>
      </c>
      <c r="G252" s="13">
        <v>-81.1032</v>
      </c>
      <c r="H252" s="13">
        <v>29.40991</v>
      </c>
      <c r="I252" s="14">
        <v>-81.10094</v>
      </c>
      <c r="J252" s="13" t="s">
        <v>2902</v>
      </c>
      <c r="K252" s="13" t="s">
        <v>2903</v>
      </c>
      <c r="L252" s="13">
        <v>0.0</v>
      </c>
      <c r="M252" s="13">
        <v>0.0</v>
      </c>
      <c r="N252" s="13">
        <v>0.0</v>
      </c>
      <c r="O252" s="13">
        <v>0.0</v>
      </c>
      <c r="P252" s="13">
        <v>2.0</v>
      </c>
      <c r="Q252" s="13">
        <v>0.0</v>
      </c>
      <c r="R252" s="13">
        <v>0.0</v>
      </c>
      <c r="S252" s="13">
        <v>0.0</v>
      </c>
      <c r="T252" s="13">
        <v>0.0</v>
      </c>
      <c r="U252" s="13">
        <v>0.0</v>
      </c>
      <c r="V252" s="13">
        <v>0.0</v>
      </c>
      <c r="W252" s="13">
        <v>0.0</v>
      </c>
      <c r="X252" s="13">
        <v>0.0</v>
      </c>
      <c r="Y252" s="13">
        <v>0.0</v>
      </c>
      <c r="Z252" s="13">
        <v>0.0</v>
      </c>
      <c r="AA252" s="13">
        <v>0.0</v>
      </c>
      <c r="AB252" s="13">
        <v>0.0</v>
      </c>
      <c r="AC252" s="13">
        <v>0.0</v>
      </c>
      <c r="AD252" s="13">
        <v>0.0</v>
      </c>
      <c r="AE252" s="13">
        <v>0.0</v>
      </c>
      <c r="AF252" s="13">
        <v>0.0</v>
      </c>
      <c r="AG252" s="13">
        <v>0.0</v>
      </c>
      <c r="AH252" s="13">
        <v>0.0</v>
      </c>
      <c r="AI252" s="13">
        <v>0.0</v>
      </c>
      <c r="AJ252" s="13">
        <v>0.0</v>
      </c>
      <c r="AK252" s="13">
        <v>0.0</v>
      </c>
      <c r="AL252" s="13">
        <v>0.0</v>
      </c>
      <c r="AM252" s="13">
        <v>0.0</v>
      </c>
      <c r="AN252" s="13">
        <v>3.0</v>
      </c>
      <c r="AO252" s="13">
        <v>0.0</v>
      </c>
      <c r="AP252" s="13">
        <v>0.0</v>
      </c>
      <c r="AQ252" s="13">
        <v>1.0</v>
      </c>
      <c r="AR252" s="13">
        <v>0.0</v>
      </c>
      <c r="AS252" s="13">
        <v>0.0</v>
      </c>
      <c r="AT252" s="13">
        <v>0.0</v>
      </c>
      <c r="AU252" s="13">
        <v>0.0</v>
      </c>
      <c r="AV252" s="13">
        <v>0.0</v>
      </c>
      <c r="AW252" s="13">
        <v>0.0</v>
      </c>
      <c r="AX252" s="13">
        <v>0.0</v>
      </c>
      <c r="AY252" s="13">
        <v>2.0</v>
      </c>
      <c r="AZ252" s="13">
        <v>0.0</v>
      </c>
      <c r="BA252" s="13">
        <v>0.0</v>
      </c>
      <c r="BB252" s="13">
        <v>0.0</v>
      </c>
      <c r="BC252" s="13">
        <v>0.0</v>
      </c>
      <c r="BD252" s="13">
        <v>0.0</v>
      </c>
      <c r="BE252" s="13">
        <v>0.0</v>
      </c>
      <c r="BF252" s="13">
        <v>0.0</v>
      </c>
      <c r="BG252" s="13">
        <v>0.0</v>
      </c>
      <c r="BH252" s="13">
        <v>8.0</v>
      </c>
    </row>
    <row r="253" ht="36.75" customHeight="1">
      <c r="A253" s="45">
        <v>42774.0</v>
      </c>
      <c r="B253" s="13" t="s">
        <v>2900</v>
      </c>
      <c r="C253" s="13" t="s">
        <v>1096</v>
      </c>
      <c r="D253" s="13" t="s">
        <v>2904</v>
      </c>
      <c r="E253" s="26" t="s">
        <v>935</v>
      </c>
      <c r="F253" s="13">
        <v>29.40576</v>
      </c>
      <c r="G253" s="13">
        <v>-81.09661</v>
      </c>
      <c r="H253" s="13">
        <v>29.39417</v>
      </c>
      <c r="I253" s="14">
        <v>-81.091989</v>
      </c>
      <c r="J253" s="13" t="s">
        <v>2905</v>
      </c>
      <c r="K253" s="13" t="s">
        <v>2906</v>
      </c>
      <c r="L253" s="13">
        <v>0.0</v>
      </c>
      <c r="M253" s="13">
        <v>0.0</v>
      </c>
      <c r="N253" s="13">
        <v>0.0</v>
      </c>
      <c r="O253" s="13">
        <v>0.0</v>
      </c>
      <c r="P253" s="13">
        <v>0.0</v>
      </c>
      <c r="Q253" s="13">
        <v>7.0</v>
      </c>
      <c r="R253" s="13">
        <v>0.0</v>
      </c>
      <c r="S253" s="13">
        <v>0.0</v>
      </c>
      <c r="T253" s="13">
        <v>0.0</v>
      </c>
      <c r="U253" s="13">
        <v>0.0</v>
      </c>
      <c r="V253" s="13">
        <v>0.0</v>
      </c>
      <c r="W253" s="13">
        <v>0.0</v>
      </c>
      <c r="X253" s="13">
        <v>0.0</v>
      </c>
      <c r="Y253" s="13">
        <v>0.0</v>
      </c>
      <c r="Z253" s="13">
        <v>0.0</v>
      </c>
      <c r="AA253" s="13">
        <v>0.0</v>
      </c>
      <c r="AB253" s="13">
        <v>0.0</v>
      </c>
      <c r="AC253" s="13">
        <v>0.0</v>
      </c>
      <c r="AD253" s="13">
        <v>0.0</v>
      </c>
      <c r="AE253" s="13">
        <v>0.0</v>
      </c>
      <c r="AF253" s="13">
        <v>0.0</v>
      </c>
      <c r="AG253" s="13">
        <v>0.0</v>
      </c>
      <c r="AH253" s="13">
        <v>0.0</v>
      </c>
      <c r="AI253" s="13">
        <v>0.0</v>
      </c>
      <c r="AJ253" s="13">
        <v>0.0</v>
      </c>
      <c r="AK253" s="13">
        <v>0.0</v>
      </c>
      <c r="AL253" s="13">
        <v>0.0</v>
      </c>
      <c r="AM253" s="13">
        <v>0.0</v>
      </c>
      <c r="AN253" s="13">
        <v>1.0</v>
      </c>
      <c r="AO253" s="13">
        <v>0.0</v>
      </c>
      <c r="AP253" s="13">
        <v>0.0</v>
      </c>
      <c r="AQ253" s="13">
        <v>3.0</v>
      </c>
      <c r="AR253" s="13">
        <v>0.0</v>
      </c>
      <c r="AS253" s="13">
        <v>0.0</v>
      </c>
      <c r="AT253" s="13">
        <v>0.0</v>
      </c>
      <c r="AU253" s="13">
        <v>0.0</v>
      </c>
      <c r="AV253" s="13">
        <v>0.0</v>
      </c>
      <c r="AW253" s="13">
        <v>0.0</v>
      </c>
      <c r="AX253" s="13">
        <v>0.0</v>
      </c>
      <c r="AY253" s="13">
        <v>0.0</v>
      </c>
      <c r="AZ253" s="13">
        <v>0.0</v>
      </c>
      <c r="BA253" s="13">
        <v>0.0</v>
      </c>
      <c r="BB253" s="13">
        <v>0.0</v>
      </c>
      <c r="BC253" s="13">
        <v>0.0</v>
      </c>
      <c r="BD253" s="13">
        <v>0.0</v>
      </c>
      <c r="BE253" s="13">
        <v>0.0</v>
      </c>
      <c r="BF253" s="13">
        <v>0.0</v>
      </c>
      <c r="BG253" s="13">
        <v>0.0</v>
      </c>
      <c r="BH253" s="13">
        <v>11.0</v>
      </c>
    </row>
    <row r="254" ht="36.75" customHeight="1">
      <c r="A254" s="41">
        <v>42770.0</v>
      </c>
      <c r="B254" s="16" t="s">
        <v>110</v>
      </c>
      <c r="C254" s="13" t="s">
        <v>112</v>
      </c>
      <c r="D254" s="16" t="s">
        <v>2778</v>
      </c>
      <c r="E254" s="34" t="s">
        <v>2779</v>
      </c>
      <c r="F254" s="16">
        <v>29.97079</v>
      </c>
      <c r="G254" s="16">
        <v>-84.34397</v>
      </c>
      <c r="H254" s="13">
        <v>29.98381</v>
      </c>
      <c r="I254" s="13">
        <v>-84.35157</v>
      </c>
      <c r="J254" s="13" t="s">
        <v>2780</v>
      </c>
      <c r="K254" s="13" t="s">
        <v>2781</v>
      </c>
      <c r="L254" s="13">
        <v>0.0</v>
      </c>
      <c r="M254" s="13">
        <v>0.0</v>
      </c>
      <c r="N254" s="13">
        <v>15.0</v>
      </c>
      <c r="O254" s="13">
        <v>43.0</v>
      </c>
      <c r="P254" s="13">
        <v>0.0</v>
      </c>
      <c r="Q254" s="13">
        <v>0.0</v>
      </c>
      <c r="R254" s="13">
        <v>7.0</v>
      </c>
      <c r="S254" s="13">
        <v>0.0</v>
      </c>
      <c r="T254" s="13">
        <v>0.0</v>
      </c>
      <c r="U254" s="13">
        <v>0.0</v>
      </c>
      <c r="V254" s="13">
        <v>5.0</v>
      </c>
      <c r="W254" s="13">
        <v>0.0</v>
      </c>
      <c r="X254" s="13">
        <v>0.0</v>
      </c>
      <c r="Y254" s="13">
        <v>0.0</v>
      </c>
      <c r="Z254" s="13">
        <v>2.0</v>
      </c>
      <c r="AA254" s="13">
        <v>15.0</v>
      </c>
      <c r="AB254" s="13">
        <v>0.0</v>
      </c>
      <c r="AC254" s="13">
        <v>20.0</v>
      </c>
      <c r="AD254" s="13">
        <v>0.0</v>
      </c>
      <c r="AE254" s="13">
        <v>0.0</v>
      </c>
      <c r="AF254" s="13">
        <v>0.0</v>
      </c>
      <c r="AG254" s="13">
        <v>0.0</v>
      </c>
      <c r="AH254" s="13">
        <v>55.0</v>
      </c>
      <c r="AI254" s="13">
        <v>0.0</v>
      </c>
      <c r="AJ254" s="13">
        <v>0.0</v>
      </c>
      <c r="AK254" s="13">
        <v>6.0</v>
      </c>
      <c r="AL254" s="13">
        <v>16.0</v>
      </c>
      <c r="AM254" s="13">
        <v>0.0</v>
      </c>
      <c r="AN254" s="13">
        <v>36.0</v>
      </c>
      <c r="AO254" s="13">
        <v>0.0</v>
      </c>
      <c r="AP254" s="13">
        <v>0.0</v>
      </c>
      <c r="AQ254" s="13">
        <v>8.0</v>
      </c>
      <c r="AR254" s="13">
        <v>63.0</v>
      </c>
      <c r="AS254" s="13">
        <v>0.0</v>
      </c>
      <c r="AT254" s="13">
        <v>0.0</v>
      </c>
      <c r="AU254" s="13">
        <v>0.0</v>
      </c>
      <c r="AV254" s="13">
        <v>25.0</v>
      </c>
      <c r="AW254" s="13">
        <v>28.0</v>
      </c>
      <c r="AX254" s="13">
        <v>0.0</v>
      </c>
      <c r="AY254" s="13">
        <v>51.0</v>
      </c>
      <c r="AZ254" s="13">
        <v>2.0</v>
      </c>
      <c r="BA254" s="13">
        <v>0.0</v>
      </c>
      <c r="BB254" s="13">
        <v>0.0</v>
      </c>
      <c r="BC254" s="13">
        <v>3.0</v>
      </c>
      <c r="BD254" s="13">
        <v>0.0</v>
      </c>
      <c r="BE254" s="13">
        <v>0.0</v>
      </c>
      <c r="BF254" s="13">
        <v>0.0</v>
      </c>
      <c r="BG254" s="13">
        <v>0.0</v>
      </c>
      <c r="BH254" s="13">
        <f t="shared" ref="BH254:BH255" si="34">sum(L254:BG254)</f>
        <v>400</v>
      </c>
    </row>
    <row r="255" ht="36.75" customHeight="1">
      <c r="A255" s="41">
        <v>42772.0</v>
      </c>
      <c r="B255" s="16" t="s">
        <v>2786</v>
      </c>
      <c r="C255" s="16" t="s">
        <v>363</v>
      </c>
      <c r="D255" s="16" t="s">
        <v>2787</v>
      </c>
      <c r="E255" s="34" t="s">
        <v>2779</v>
      </c>
      <c r="F255" s="16">
        <v>30.11034</v>
      </c>
      <c r="G255" s="16">
        <v>-83.98174</v>
      </c>
      <c r="H255" s="13">
        <v>30.07899</v>
      </c>
      <c r="I255" s="13">
        <v>-84.17852</v>
      </c>
      <c r="J255" s="13" t="s">
        <v>2788</v>
      </c>
      <c r="K255" s="13" t="s">
        <v>2789</v>
      </c>
      <c r="L255" s="13">
        <v>0.0</v>
      </c>
      <c r="M255" s="13">
        <v>0.0</v>
      </c>
      <c r="N255" s="13">
        <v>13.0</v>
      </c>
      <c r="O255" s="13">
        <v>350.0</v>
      </c>
      <c r="P255" s="13">
        <v>17.0</v>
      </c>
      <c r="Q255" s="13">
        <v>0.0</v>
      </c>
      <c r="R255" s="13">
        <v>0.0</v>
      </c>
      <c r="S255" s="13">
        <v>0.0</v>
      </c>
      <c r="T255" s="13">
        <v>0.0</v>
      </c>
      <c r="U255" s="13">
        <v>0.0</v>
      </c>
      <c r="V255" s="13">
        <v>0.0</v>
      </c>
      <c r="W255" s="13">
        <v>0.0</v>
      </c>
      <c r="X255" s="13">
        <v>0.0</v>
      </c>
      <c r="Y255" s="13">
        <v>8.0</v>
      </c>
      <c r="Z255" s="13">
        <v>0.0</v>
      </c>
      <c r="AA255" s="13">
        <v>0.0</v>
      </c>
      <c r="AB255" s="13">
        <v>0.0</v>
      </c>
      <c r="AC255" s="13">
        <v>10.0</v>
      </c>
      <c r="AD255" s="13">
        <v>0.0</v>
      </c>
      <c r="AE255" s="13">
        <v>0.0</v>
      </c>
      <c r="AF255" s="13">
        <v>40.0</v>
      </c>
      <c r="AG255" s="13">
        <v>0.0</v>
      </c>
      <c r="AH255" s="13">
        <v>202.0</v>
      </c>
      <c r="AI255" s="13">
        <v>0.0</v>
      </c>
      <c r="AJ255" s="13">
        <v>0.0</v>
      </c>
      <c r="AK255" s="13">
        <v>0.0</v>
      </c>
      <c r="AL255" s="13">
        <v>0.0</v>
      </c>
      <c r="AM255" s="13">
        <v>0.0</v>
      </c>
      <c r="AN255" s="13">
        <v>9.0</v>
      </c>
      <c r="AO255" s="13">
        <v>0.0</v>
      </c>
      <c r="AP255" s="13">
        <v>0.0</v>
      </c>
      <c r="AQ255" s="13">
        <v>61.0</v>
      </c>
      <c r="AR255" s="13">
        <v>9.0</v>
      </c>
      <c r="AS255" s="13">
        <v>0.0</v>
      </c>
      <c r="AT255" s="13">
        <v>0.0</v>
      </c>
      <c r="AU255" s="13">
        <v>0.0</v>
      </c>
      <c r="AV255" s="13">
        <v>10.0</v>
      </c>
      <c r="AW255" s="13">
        <v>1.0</v>
      </c>
      <c r="AX255" s="13">
        <v>0.0</v>
      </c>
      <c r="AY255" s="13">
        <v>62.0</v>
      </c>
      <c r="AZ255" s="13">
        <v>6.0</v>
      </c>
      <c r="BA255" s="13">
        <v>0.0</v>
      </c>
      <c r="BB255" s="13">
        <v>0.0</v>
      </c>
      <c r="BC255" s="13">
        <v>20.0</v>
      </c>
      <c r="BD255" s="13">
        <v>0.0</v>
      </c>
      <c r="BE255" s="13">
        <v>0.0</v>
      </c>
      <c r="BF255" s="13">
        <v>0.0</v>
      </c>
      <c r="BG255" s="13">
        <v>0.0</v>
      </c>
      <c r="BH255" s="13">
        <f t="shared" si="34"/>
        <v>818</v>
      </c>
    </row>
    <row r="256" ht="36.75" customHeight="1">
      <c r="A256" s="45">
        <v>42772.0</v>
      </c>
      <c r="B256" s="13" t="s">
        <v>2792</v>
      </c>
      <c r="C256" s="13" t="s">
        <v>2793</v>
      </c>
      <c r="D256" s="13" t="s">
        <v>2794</v>
      </c>
      <c r="E256" s="34" t="s">
        <v>2779</v>
      </c>
      <c r="F256" s="13">
        <v>30.113772</v>
      </c>
      <c r="G256" s="13">
        <v>-84.11901</v>
      </c>
      <c r="H256" s="13">
        <v>30.074172</v>
      </c>
      <c r="I256" s="14">
        <v>-84.180106</v>
      </c>
      <c r="J256" s="13" t="s">
        <v>2795</v>
      </c>
      <c r="K256" s="13" t="s">
        <v>2796</v>
      </c>
      <c r="L256" s="13">
        <v>0.0</v>
      </c>
      <c r="M256" s="13">
        <v>0.0</v>
      </c>
      <c r="N256" s="13">
        <v>69.0</v>
      </c>
      <c r="O256" s="13">
        <v>2162.0</v>
      </c>
      <c r="P256" s="13">
        <v>65.0</v>
      </c>
      <c r="Q256" s="13">
        <v>95.0</v>
      </c>
      <c r="R256" s="13">
        <v>135.0</v>
      </c>
      <c r="S256" s="13">
        <v>15.0</v>
      </c>
      <c r="T256" s="13">
        <v>0.0</v>
      </c>
      <c r="U256" s="13">
        <v>5.0</v>
      </c>
      <c r="V256" s="13">
        <v>0.0</v>
      </c>
      <c r="W256" s="13">
        <v>0.0</v>
      </c>
      <c r="X256" s="13">
        <v>0.0</v>
      </c>
      <c r="Y256" s="13">
        <v>1.0</v>
      </c>
      <c r="Z256" s="13">
        <v>0.0</v>
      </c>
      <c r="AA256" s="13">
        <v>173.0</v>
      </c>
      <c r="AB256" s="13">
        <v>0.0</v>
      </c>
      <c r="AC256" s="13">
        <v>70.0</v>
      </c>
      <c r="AD256" s="13">
        <v>0.0</v>
      </c>
      <c r="AE256" s="13">
        <v>1.0</v>
      </c>
      <c r="AF256" s="13">
        <v>310.0</v>
      </c>
      <c r="AG256" s="13">
        <v>0.0</v>
      </c>
      <c r="AH256" s="13">
        <v>108.0</v>
      </c>
      <c r="AI256" s="13">
        <v>0.0</v>
      </c>
      <c r="AJ256" s="13">
        <v>47.0</v>
      </c>
      <c r="AK256" s="13">
        <v>0.0</v>
      </c>
      <c r="AL256" s="13">
        <v>0.0</v>
      </c>
      <c r="AM256" s="13">
        <v>0.0</v>
      </c>
      <c r="AN256" s="13">
        <v>5.0</v>
      </c>
      <c r="AO256" s="13">
        <v>2.0</v>
      </c>
      <c r="AP256" s="13">
        <v>0.0</v>
      </c>
      <c r="AQ256" s="13">
        <v>16.0</v>
      </c>
      <c r="AR256" s="13">
        <v>35.0</v>
      </c>
      <c r="AS256" s="13">
        <v>1.0</v>
      </c>
      <c r="AT256" s="13">
        <v>0.0</v>
      </c>
      <c r="AU256" s="13">
        <v>0.0</v>
      </c>
      <c r="AV256" s="13">
        <v>2.0</v>
      </c>
      <c r="AW256" s="13">
        <v>14.0</v>
      </c>
      <c r="AX256" s="13">
        <v>0.0</v>
      </c>
      <c r="AY256" s="13">
        <v>76.0</v>
      </c>
      <c r="AZ256" s="13">
        <v>0.0</v>
      </c>
      <c r="BA256" s="13">
        <v>0.0</v>
      </c>
      <c r="BB256" s="13">
        <v>0.0</v>
      </c>
      <c r="BC256" s="13">
        <v>26.0</v>
      </c>
      <c r="BD256" s="13">
        <v>0.0</v>
      </c>
      <c r="BE256" s="13">
        <v>0.0</v>
      </c>
      <c r="BF256" s="13">
        <v>0.0</v>
      </c>
      <c r="BG256" s="13">
        <v>0.0</v>
      </c>
      <c r="BH256" s="13">
        <v>3433.0</v>
      </c>
      <c r="BI256" s="13" t="s">
        <v>2907</v>
      </c>
    </row>
    <row r="257" ht="36.75" customHeight="1">
      <c r="A257" s="41">
        <v>42773.0</v>
      </c>
      <c r="B257" s="16" t="s">
        <v>2799</v>
      </c>
      <c r="C257" s="16" t="s">
        <v>506</v>
      </c>
      <c r="D257" s="16" t="s">
        <v>2800</v>
      </c>
      <c r="E257" s="26" t="s">
        <v>2779</v>
      </c>
      <c r="F257" s="120">
        <v>30.01606</v>
      </c>
      <c r="G257" s="120">
        <v>-84.3682</v>
      </c>
      <c r="H257" s="120">
        <v>30.07899</v>
      </c>
      <c r="I257" s="120">
        <v>-84.17852</v>
      </c>
      <c r="J257" s="13" t="s">
        <v>2801</v>
      </c>
      <c r="K257" s="13" t="s">
        <v>2802</v>
      </c>
      <c r="L257" s="13">
        <v>155.0</v>
      </c>
      <c r="M257" s="13">
        <v>0.0</v>
      </c>
      <c r="N257" s="13">
        <v>27.0</v>
      </c>
      <c r="O257" s="13">
        <v>402.0</v>
      </c>
      <c r="P257" s="13">
        <v>6.0</v>
      </c>
      <c r="Q257" s="13">
        <v>0.0</v>
      </c>
      <c r="R257" s="13">
        <v>0.0</v>
      </c>
      <c r="S257" s="13">
        <v>0.0</v>
      </c>
      <c r="T257" s="13">
        <v>0.0</v>
      </c>
      <c r="U257" s="13">
        <v>0.0</v>
      </c>
      <c r="V257" s="13">
        <v>76.0</v>
      </c>
      <c r="W257" s="13">
        <v>0.0</v>
      </c>
      <c r="X257" s="13">
        <v>0.0</v>
      </c>
      <c r="Y257" s="13">
        <v>55.0</v>
      </c>
      <c r="Z257" s="13">
        <v>0.0</v>
      </c>
      <c r="AA257" s="13">
        <v>5.0</v>
      </c>
      <c r="AB257" s="13">
        <v>0.0</v>
      </c>
      <c r="AC257" s="13">
        <v>105.0</v>
      </c>
      <c r="AD257" s="13">
        <v>0.0</v>
      </c>
      <c r="AE257" s="13">
        <v>0.0</v>
      </c>
      <c r="AF257" s="13">
        <v>0.0</v>
      </c>
      <c r="AG257" s="13">
        <v>0.0</v>
      </c>
      <c r="AH257" s="13">
        <v>303.0</v>
      </c>
      <c r="AI257" s="13">
        <v>0.0</v>
      </c>
      <c r="AJ257" s="13">
        <v>0.0</v>
      </c>
      <c r="AK257" s="13">
        <v>1.0</v>
      </c>
      <c r="AL257" s="13">
        <v>2.0</v>
      </c>
      <c r="AM257" s="13">
        <v>0.0</v>
      </c>
      <c r="AN257" s="13">
        <v>40.0</v>
      </c>
      <c r="AO257" s="13">
        <v>1.0</v>
      </c>
      <c r="AP257" s="13">
        <v>0.0</v>
      </c>
      <c r="AQ257" s="13">
        <v>70.0</v>
      </c>
      <c r="AR257" s="13">
        <v>45.0</v>
      </c>
      <c r="AS257" s="13">
        <v>0.0</v>
      </c>
      <c r="AT257" s="13">
        <v>0.0</v>
      </c>
      <c r="AU257" s="13">
        <v>0.0</v>
      </c>
      <c r="AV257" s="13">
        <v>9.0</v>
      </c>
      <c r="AW257" s="13">
        <v>12.0</v>
      </c>
      <c r="AX257" s="13">
        <v>0.0</v>
      </c>
      <c r="AY257" s="13">
        <v>25.0</v>
      </c>
      <c r="AZ257" s="13">
        <v>0.0</v>
      </c>
      <c r="BA257" s="13">
        <v>0.0</v>
      </c>
      <c r="BB257" s="13">
        <v>0.0</v>
      </c>
      <c r="BC257" s="13">
        <v>83.0</v>
      </c>
      <c r="BD257" s="13">
        <v>0.0</v>
      </c>
      <c r="BE257" s="13">
        <v>0.0</v>
      </c>
      <c r="BF257" s="13">
        <v>0.0</v>
      </c>
      <c r="BG257" s="13">
        <v>0.0</v>
      </c>
      <c r="BH257" s="13">
        <f t="shared" ref="BH257:BH260" si="35">sum(L257:BG257)</f>
        <v>1422</v>
      </c>
    </row>
    <row r="258" ht="36.75" customHeight="1">
      <c r="A258" s="41">
        <v>42770.0</v>
      </c>
      <c r="B258" s="16" t="s">
        <v>2816</v>
      </c>
      <c r="C258" s="16" t="s">
        <v>250</v>
      </c>
      <c r="D258" s="16" t="s">
        <v>289</v>
      </c>
      <c r="E258" s="29" t="s">
        <v>290</v>
      </c>
      <c r="F258" s="16">
        <v>30.33347</v>
      </c>
      <c r="G258" s="16">
        <v>-86.18655</v>
      </c>
      <c r="H258" s="13">
        <v>30.32131</v>
      </c>
      <c r="I258" s="13">
        <v>-86.14637</v>
      </c>
      <c r="J258" s="13" t="s">
        <v>2821</v>
      </c>
      <c r="K258" s="13" t="s">
        <v>2819</v>
      </c>
      <c r="L258" s="13">
        <v>0.0</v>
      </c>
      <c r="M258" s="13">
        <v>0.0</v>
      </c>
      <c r="N258" s="13">
        <v>0.0</v>
      </c>
      <c r="O258" s="13">
        <v>0.0</v>
      </c>
      <c r="P258" s="13">
        <v>0.0</v>
      </c>
      <c r="Q258" s="13">
        <v>0.0</v>
      </c>
      <c r="R258" s="13">
        <v>0.0</v>
      </c>
      <c r="S258" s="13">
        <v>0.0</v>
      </c>
      <c r="T258" s="13">
        <v>0.0</v>
      </c>
      <c r="U258" s="13">
        <v>0.0</v>
      </c>
      <c r="V258" s="13">
        <v>0.0</v>
      </c>
      <c r="W258" s="13">
        <v>0.0</v>
      </c>
      <c r="X258" s="13">
        <v>0.0</v>
      </c>
      <c r="Y258" s="13">
        <v>0.0</v>
      </c>
      <c r="Z258" s="13">
        <v>26.0</v>
      </c>
      <c r="AA258" s="13">
        <v>0.0</v>
      </c>
      <c r="AB258" s="13">
        <v>0.0</v>
      </c>
      <c r="AC258" s="13">
        <v>0.0</v>
      </c>
      <c r="AD258" s="13">
        <v>3.0</v>
      </c>
      <c r="AE258" s="13">
        <v>0.0</v>
      </c>
      <c r="AF258" s="13">
        <v>0.0</v>
      </c>
      <c r="AG258" s="13">
        <v>0.0</v>
      </c>
      <c r="AH258" s="13">
        <v>0.0</v>
      </c>
      <c r="AI258" s="13">
        <v>0.0</v>
      </c>
      <c r="AJ258" s="13">
        <v>0.0</v>
      </c>
      <c r="AK258" s="13">
        <v>0.0</v>
      </c>
      <c r="AL258" s="13">
        <v>3.0</v>
      </c>
      <c r="AM258" s="13">
        <v>0.0</v>
      </c>
      <c r="AN258" s="13">
        <v>0.0</v>
      </c>
      <c r="AO258" s="13">
        <v>0.0</v>
      </c>
      <c r="AP258" s="13">
        <v>0.0</v>
      </c>
      <c r="AQ258" s="13">
        <v>0.0</v>
      </c>
      <c r="AR258" s="13">
        <v>22.0</v>
      </c>
      <c r="AS258" s="13">
        <v>0.0</v>
      </c>
      <c r="AT258" s="13">
        <v>0.0</v>
      </c>
      <c r="AU258" s="13">
        <v>0.0</v>
      </c>
      <c r="AV258" s="13">
        <v>0.0</v>
      </c>
      <c r="AW258" s="13">
        <v>1.0</v>
      </c>
      <c r="AX258" s="13">
        <v>0.0</v>
      </c>
      <c r="AY258" s="13">
        <v>3.0</v>
      </c>
      <c r="AZ258" s="13">
        <v>0.0</v>
      </c>
      <c r="BA258" s="13">
        <v>0.0</v>
      </c>
      <c r="BB258" s="13">
        <v>0.0</v>
      </c>
      <c r="BC258" s="13">
        <v>0.0</v>
      </c>
      <c r="BD258" s="13">
        <v>0.0</v>
      </c>
      <c r="BE258" s="13">
        <v>0.0</v>
      </c>
      <c r="BF258" s="13">
        <v>0.0</v>
      </c>
      <c r="BG258" s="13">
        <v>0.0</v>
      </c>
      <c r="BH258" s="13">
        <f t="shared" si="35"/>
        <v>58</v>
      </c>
      <c r="BI258" s="13" t="s">
        <v>2908</v>
      </c>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c r="CL258" s="13"/>
      <c r="CM258" s="13"/>
      <c r="CN258" s="13"/>
      <c r="CO258" s="13"/>
      <c r="CP258" s="13"/>
      <c r="CQ258" s="13"/>
      <c r="CR258" s="13"/>
      <c r="CS258" s="13"/>
      <c r="CT258" s="13"/>
      <c r="CU258" s="13"/>
      <c r="CV258" s="13"/>
      <c r="CW258" s="13"/>
      <c r="CX258" s="13"/>
      <c r="CY258" s="13"/>
      <c r="CZ258" s="13"/>
      <c r="DA258" s="13"/>
      <c r="DB258" s="13"/>
      <c r="DC258" s="13"/>
      <c r="DD258" s="13"/>
      <c r="DE258" s="13"/>
      <c r="DF258" s="13"/>
      <c r="DG258" s="13"/>
      <c r="DH258" s="13"/>
      <c r="DI258" s="13"/>
      <c r="DJ258" s="13"/>
      <c r="DK258" s="13"/>
      <c r="DL258" s="13"/>
      <c r="DM258" s="13"/>
      <c r="DN258" s="13"/>
      <c r="DO258" s="13"/>
      <c r="DP258" s="13"/>
      <c r="DQ258" s="13"/>
      <c r="DR258" s="13"/>
      <c r="DS258" s="13"/>
      <c r="DT258" s="13"/>
      <c r="DU258" s="13"/>
      <c r="DV258" s="13"/>
      <c r="DW258" s="13"/>
    </row>
    <row r="259" ht="36.75" customHeight="1">
      <c r="A259" s="41">
        <v>42770.0</v>
      </c>
      <c r="B259" s="16" t="s">
        <v>2816</v>
      </c>
      <c r="C259" s="16" t="s">
        <v>250</v>
      </c>
      <c r="D259" s="16" t="s">
        <v>2817</v>
      </c>
      <c r="E259" s="29" t="s">
        <v>290</v>
      </c>
      <c r="F259" s="16">
        <v>30.33347</v>
      </c>
      <c r="G259" s="16">
        <v>-86.18655</v>
      </c>
      <c r="H259" s="13">
        <v>30.33524</v>
      </c>
      <c r="I259" s="13">
        <v>-86.19279</v>
      </c>
      <c r="J259" s="13" t="s">
        <v>2818</v>
      </c>
      <c r="K259" s="13" t="s">
        <v>2819</v>
      </c>
      <c r="L259" s="13">
        <v>0.0</v>
      </c>
      <c r="M259" s="13">
        <v>0.0</v>
      </c>
      <c r="N259" s="13">
        <v>0.0</v>
      </c>
      <c r="O259" s="13">
        <v>0.0</v>
      </c>
      <c r="P259" s="13">
        <v>0.0</v>
      </c>
      <c r="Q259" s="13">
        <v>0.0</v>
      </c>
      <c r="R259" s="13">
        <v>0.0</v>
      </c>
      <c r="S259" s="13">
        <v>0.0</v>
      </c>
      <c r="T259" s="13">
        <v>0.0</v>
      </c>
      <c r="U259" s="13">
        <v>0.0</v>
      </c>
      <c r="V259" s="13">
        <v>0.0</v>
      </c>
      <c r="W259" s="13">
        <v>0.0</v>
      </c>
      <c r="X259" s="13">
        <v>0.0</v>
      </c>
      <c r="Y259" s="13">
        <v>0.0</v>
      </c>
      <c r="Z259" s="13">
        <v>1.0</v>
      </c>
      <c r="AA259" s="13">
        <v>0.0</v>
      </c>
      <c r="AB259" s="13">
        <v>0.0</v>
      </c>
      <c r="AC259" s="13">
        <v>0.0</v>
      </c>
      <c r="AD259" s="13">
        <v>0.0</v>
      </c>
      <c r="AE259" s="13">
        <v>0.0</v>
      </c>
      <c r="AF259" s="13">
        <v>0.0</v>
      </c>
      <c r="AG259" s="13">
        <v>0.0</v>
      </c>
      <c r="AH259" s="13">
        <v>0.0</v>
      </c>
      <c r="AI259" s="13">
        <v>0.0</v>
      </c>
      <c r="AJ259" s="13">
        <v>0.0</v>
      </c>
      <c r="AK259" s="13">
        <v>0.0</v>
      </c>
      <c r="AL259" s="13">
        <v>0.0</v>
      </c>
      <c r="AM259" s="13">
        <v>0.0</v>
      </c>
      <c r="AN259" s="13">
        <v>0.0</v>
      </c>
      <c r="AO259" s="13">
        <v>0.0</v>
      </c>
      <c r="AP259" s="13">
        <v>0.0</v>
      </c>
      <c r="AQ259" s="13">
        <v>0.0</v>
      </c>
      <c r="AR259" s="13">
        <v>1.0</v>
      </c>
      <c r="AS259" s="13">
        <v>0.0</v>
      </c>
      <c r="AT259" s="13">
        <v>0.0</v>
      </c>
      <c r="AU259" s="13">
        <v>0.0</v>
      </c>
      <c r="AV259" s="13">
        <v>0.0</v>
      </c>
      <c r="AW259" s="13">
        <v>0.0</v>
      </c>
      <c r="AX259" s="13">
        <v>0.0</v>
      </c>
      <c r="AY259" s="13">
        <v>1.0</v>
      </c>
      <c r="AZ259" s="13">
        <v>0.0</v>
      </c>
      <c r="BA259" s="13">
        <v>0.0</v>
      </c>
      <c r="BB259" s="13">
        <v>0.0</v>
      </c>
      <c r="BC259" s="13">
        <v>0.0</v>
      </c>
      <c r="BD259" s="13">
        <v>0.0</v>
      </c>
      <c r="BE259" s="13">
        <v>0.0</v>
      </c>
      <c r="BF259" s="13">
        <v>0.0</v>
      </c>
      <c r="BG259" s="13">
        <v>0.0</v>
      </c>
      <c r="BH259" s="13">
        <f t="shared" si="35"/>
        <v>3</v>
      </c>
      <c r="BI259" s="13" t="s">
        <v>2909</v>
      </c>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c r="CL259" s="13"/>
      <c r="CM259" s="13"/>
      <c r="CN259" s="13"/>
      <c r="CO259" s="13"/>
      <c r="CP259" s="13"/>
      <c r="CQ259" s="13"/>
      <c r="CR259" s="13"/>
      <c r="CS259" s="13"/>
      <c r="CT259" s="13"/>
      <c r="CU259" s="13"/>
      <c r="CV259" s="13"/>
      <c r="CW259" s="13"/>
      <c r="CX259" s="13"/>
      <c r="CY259" s="13"/>
      <c r="CZ259" s="13"/>
      <c r="DA259" s="13"/>
      <c r="DB259" s="13"/>
      <c r="DC259" s="13"/>
      <c r="DD259" s="13"/>
      <c r="DE259" s="13"/>
      <c r="DF259" s="13"/>
      <c r="DG259" s="13"/>
      <c r="DH259" s="13"/>
      <c r="DI259" s="13"/>
      <c r="DJ259" s="13"/>
      <c r="DK259" s="13"/>
      <c r="DL259" s="13"/>
      <c r="DM259" s="13"/>
      <c r="DN259" s="13"/>
      <c r="DO259" s="13"/>
      <c r="DP259" s="13"/>
      <c r="DQ259" s="13"/>
      <c r="DR259" s="13"/>
      <c r="DS259" s="13"/>
      <c r="DT259" s="13"/>
      <c r="DU259" s="13"/>
      <c r="DV259" s="13"/>
      <c r="DW259" s="13"/>
    </row>
    <row r="260" ht="36.75" customHeight="1">
      <c r="A260" s="41">
        <v>42770.0</v>
      </c>
      <c r="B260" s="16" t="s">
        <v>340</v>
      </c>
      <c r="C260" s="16" t="s">
        <v>250</v>
      </c>
      <c r="D260" s="16" t="s">
        <v>2826</v>
      </c>
      <c r="E260" s="26" t="s">
        <v>290</v>
      </c>
      <c r="F260" s="16">
        <v>30.32131</v>
      </c>
      <c r="G260" s="16">
        <v>-86.14637</v>
      </c>
      <c r="H260" s="13">
        <v>30.30216</v>
      </c>
      <c r="I260" s="13">
        <v>-86.08517</v>
      </c>
      <c r="J260" s="13" t="s">
        <v>2827</v>
      </c>
      <c r="K260" s="13" t="s">
        <v>2828</v>
      </c>
      <c r="L260" s="13">
        <v>0.0</v>
      </c>
      <c r="M260" s="13">
        <v>0.0</v>
      </c>
      <c r="N260" s="13">
        <v>0.0</v>
      </c>
      <c r="O260" s="13">
        <v>0.0</v>
      </c>
      <c r="P260" s="13">
        <v>0.0</v>
      </c>
      <c r="Q260" s="13">
        <v>0.0</v>
      </c>
      <c r="R260" s="13">
        <v>0.0</v>
      </c>
      <c r="S260" s="13">
        <v>0.0</v>
      </c>
      <c r="T260" s="13">
        <v>0.0</v>
      </c>
      <c r="U260" s="13">
        <v>0.0</v>
      </c>
      <c r="V260" s="13">
        <v>0.0</v>
      </c>
      <c r="W260" s="13">
        <v>0.0</v>
      </c>
      <c r="X260" s="13">
        <v>0.0</v>
      </c>
      <c r="Y260" s="13">
        <v>0.0</v>
      </c>
      <c r="Z260" s="13">
        <v>40.0</v>
      </c>
      <c r="AA260" s="13">
        <v>0.0</v>
      </c>
      <c r="AB260" s="13">
        <v>0.0</v>
      </c>
      <c r="AC260" s="13">
        <v>0.0</v>
      </c>
      <c r="AD260" s="13">
        <v>0.0</v>
      </c>
      <c r="AE260" s="13">
        <v>0.0</v>
      </c>
      <c r="AF260" s="13">
        <v>0.0</v>
      </c>
      <c r="AG260" s="13">
        <v>0.0</v>
      </c>
      <c r="AH260" s="13">
        <v>2.0</v>
      </c>
      <c r="AI260" s="13">
        <v>0.0</v>
      </c>
      <c r="AJ260" s="13">
        <v>0.0</v>
      </c>
      <c r="AK260" s="13">
        <v>0.0</v>
      </c>
      <c r="AL260" s="13">
        <v>133.0</v>
      </c>
      <c r="AM260" s="13">
        <v>0.0</v>
      </c>
      <c r="AN260" s="13">
        <v>0.0</v>
      </c>
      <c r="AO260" s="13">
        <v>0.0</v>
      </c>
      <c r="AP260" s="13">
        <v>0.0</v>
      </c>
      <c r="AQ260" s="13">
        <v>0.0</v>
      </c>
      <c r="AR260" s="13">
        <v>7.0</v>
      </c>
      <c r="AS260" s="13">
        <v>0.0</v>
      </c>
      <c r="AT260" s="13">
        <v>0.0</v>
      </c>
      <c r="AU260" s="13">
        <v>0.0</v>
      </c>
      <c r="AV260" s="13">
        <v>0.0</v>
      </c>
      <c r="AW260" s="13">
        <v>34.0</v>
      </c>
      <c r="AX260" s="13">
        <v>0.0</v>
      </c>
      <c r="AY260" s="13">
        <v>10.0</v>
      </c>
      <c r="AZ260" s="13">
        <v>0.0</v>
      </c>
      <c r="BA260" s="13">
        <v>0.0</v>
      </c>
      <c r="BB260" s="13">
        <v>0.0</v>
      </c>
      <c r="BC260" s="13">
        <v>0.0</v>
      </c>
      <c r="BD260" s="13">
        <v>0.0</v>
      </c>
      <c r="BE260" s="13">
        <v>0.0</v>
      </c>
      <c r="BF260" s="13">
        <v>0.0</v>
      </c>
      <c r="BG260" s="13">
        <v>0.0</v>
      </c>
      <c r="BH260" s="13">
        <f t="shared" si="35"/>
        <v>226</v>
      </c>
      <c r="BI260" s="13" t="s">
        <v>2910</v>
      </c>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c r="DF260" s="13"/>
      <c r="DG260" s="13"/>
      <c r="DH260" s="13"/>
      <c r="DI260" s="13"/>
      <c r="DJ260" s="13"/>
      <c r="DK260" s="13"/>
      <c r="DL260" s="13"/>
      <c r="DM260" s="13"/>
      <c r="DN260" s="13"/>
      <c r="DO260" s="13"/>
      <c r="DP260" s="13"/>
      <c r="DQ260" s="13"/>
      <c r="DR260" s="13"/>
      <c r="DS260" s="13"/>
      <c r="DT260" s="13"/>
      <c r="DU260" s="13"/>
      <c r="DV260" s="13"/>
      <c r="DW260" s="13"/>
    </row>
    <row r="261" ht="36.75" customHeight="1">
      <c r="A261" s="41">
        <v>42770.0</v>
      </c>
      <c r="B261" s="16" t="s">
        <v>340</v>
      </c>
      <c r="C261" s="16" t="s">
        <v>1012</v>
      </c>
      <c r="D261" s="16" t="s">
        <v>2830</v>
      </c>
      <c r="E261" s="34" t="s">
        <v>290</v>
      </c>
      <c r="F261" s="16">
        <v>30.29923</v>
      </c>
      <c r="G261" s="16">
        <v>-86.09716</v>
      </c>
      <c r="H261" s="13">
        <v>30.29413</v>
      </c>
      <c r="I261" s="13">
        <v>-86.06292</v>
      </c>
      <c r="J261" s="13" t="s">
        <v>2831</v>
      </c>
      <c r="K261" s="13" t="s">
        <v>948</v>
      </c>
      <c r="L261" s="13">
        <v>0.0</v>
      </c>
      <c r="M261" s="13">
        <v>0.0</v>
      </c>
      <c r="N261" s="13">
        <v>0.0</v>
      </c>
      <c r="O261" s="13">
        <v>0.0</v>
      </c>
      <c r="P261" s="13">
        <v>0.0</v>
      </c>
      <c r="Q261" s="13">
        <v>0.0</v>
      </c>
      <c r="R261" s="13">
        <v>0.0</v>
      </c>
      <c r="S261" s="13">
        <v>0.0</v>
      </c>
      <c r="T261" s="13">
        <v>0.0</v>
      </c>
      <c r="U261" s="13">
        <v>0.0</v>
      </c>
      <c r="V261" s="13">
        <v>0.0</v>
      </c>
      <c r="W261" s="13">
        <v>0.0</v>
      </c>
      <c r="X261" s="13">
        <v>0.0</v>
      </c>
      <c r="Y261" s="13">
        <v>0.0</v>
      </c>
      <c r="Z261" s="13">
        <v>18.0</v>
      </c>
      <c r="AA261" s="13">
        <v>0.0</v>
      </c>
      <c r="AB261" s="13">
        <v>0.0</v>
      </c>
      <c r="AC261" s="13">
        <v>0.0</v>
      </c>
      <c r="AD261" s="13">
        <v>0.0</v>
      </c>
      <c r="AE261" s="13">
        <v>0.0</v>
      </c>
      <c r="AF261" s="13">
        <v>0.0</v>
      </c>
      <c r="AG261" s="13">
        <v>0.0</v>
      </c>
      <c r="AH261" s="13">
        <v>0.0</v>
      </c>
      <c r="AI261" s="13">
        <v>0.0</v>
      </c>
      <c r="AJ261" s="13">
        <v>0.0</v>
      </c>
      <c r="AK261" s="13">
        <v>0.0</v>
      </c>
      <c r="AL261" s="13">
        <v>0.0</v>
      </c>
      <c r="AM261" s="13">
        <v>0.0</v>
      </c>
      <c r="AN261" s="13">
        <v>0.0</v>
      </c>
      <c r="AO261" s="13">
        <v>0.0</v>
      </c>
      <c r="AP261" s="13">
        <v>0.0</v>
      </c>
      <c r="AQ261" s="13">
        <v>0.0</v>
      </c>
      <c r="AR261" s="13">
        <v>1.0</v>
      </c>
      <c r="AS261" s="13">
        <v>0.0</v>
      </c>
      <c r="AT261" s="13">
        <v>0.0</v>
      </c>
      <c r="AU261" s="13">
        <v>0.0</v>
      </c>
      <c r="AV261" s="13">
        <v>0.0</v>
      </c>
      <c r="AW261" s="13">
        <v>0.0</v>
      </c>
      <c r="AX261" s="13">
        <v>0.0</v>
      </c>
      <c r="AY261" s="13">
        <v>1.0</v>
      </c>
      <c r="AZ261" s="13">
        <v>0.0</v>
      </c>
      <c r="BA261" s="13">
        <v>0.0</v>
      </c>
      <c r="BB261" s="13">
        <v>0.0</v>
      </c>
      <c r="BC261" s="13">
        <v>0.0</v>
      </c>
      <c r="BD261" s="13">
        <v>0.0</v>
      </c>
      <c r="BE261" s="13">
        <v>0.0</v>
      </c>
      <c r="BF261" s="13">
        <v>0.0</v>
      </c>
      <c r="BG261" s="13">
        <v>0.0</v>
      </c>
      <c r="BH261" s="13">
        <f>SUM(O261:BG261)</f>
        <v>20</v>
      </c>
      <c r="BI261" s="13" t="s">
        <v>2911</v>
      </c>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c r="CL261" s="13"/>
      <c r="CM261" s="13"/>
      <c r="CN261" s="13"/>
      <c r="CO261" s="13"/>
      <c r="CP261" s="13"/>
      <c r="CQ261" s="13"/>
      <c r="CR261" s="13"/>
      <c r="CS261" s="13"/>
      <c r="CT261" s="13"/>
      <c r="CU261" s="13"/>
      <c r="CV261" s="13"/>
      <c r="CW261" s="13"/>
      <c r="CX261" s="13"/>
      <c r="CY261" s="13"/>
      <c r="CZ261" s="13"/>
      <c r="DA261" s="13"/>
      <c r="DB261" s="13"/>
      <c r="DC261" s="13"/>
      <c r="DD261" s="13"/>
      <c r="DE261" s="13"/>
      <c r="DF261" s="13"/>
      <c r="DG261" s="13"/>
      <c r="DH261" s="13"/>
      <c r="DI261" s="13"/>
      <c r="DJ261" s="13"/>
      <c r="DK261" s="13"/>
      <c r="DL261" s="13"/>
      <c r="DM261" s="13"/>
      <c r="DN261" s="13"/>
      <c r="DO261" s="13"/>
      <c r="DP261" s="13"/>
      <c r="DQ261" s="13"/>
      <c r="DR261" s="13"/>
      <c r="DS261" s="13"/>
      <c r="DT261" s="13"/>
      <c r="DU261" s="13"/>
      <c r="DV261" s="13"/>
      <c r="DW261" s="13"/>
    </row>
    <row r="262" ht="36.75" customHeight="1">
      <c r="A262" s="41">
        <v>42770.0</v>
      </c>
      <c r="B262" s="16" t="s">
        <v>110</v>
      </c>
      <c r="C262" s="13" t="s">
        <v>112</v>
      </c>
      <c r="D262" s="16" t="s">
        <v>495</v>
      </c>
      <c r="E262" s="34" t="s">
        <v>290</v>
      </c>
      <c r="F262" s="16">
        <v>30.36724</v>
      </c>
      <c r="G262" s="16">
        <v>-85.31965</v>
      </c>
      <c r="H262" s="13">
        <v>30.35509</v>
      </c>
      <c r="I262" s="13">
        <v>-85.26351</v>
      </c>
      <c r="J262" s="13" t="s">
        <v>2832</v>
      </c>
      <c r="K262" s="13" t="s">
        <v>2912</v>
      </c>
      <c r="L262" s="13">
        <v>0.0</v>
      </c>
      <c r="M262" s="13">
        <v>0.0</v>
      </c>
      <c r="N262" s="13">
        <v>1.0</v>
      </c>
      <c r="O262" s="13">
        <v>0.0</v>
      </c>
      <c r="P262" s="13">
        <v>0.0</v>
      </c>
      <c r="Q262" s="13">
        <v>0.0</v>
      </c>
      <c r="R262" s="13">
        <v>0.0</v>
      </c>
      <c r="S262" s="13">
        <v>0.0</v>
      </c>
      <c r="T262" s="13">
        <v>0.0</v>
      </c>
      <c r="U262" s="13">
        <v>0.0</v>
      </c>
      <c r="V262" s="13">
        <v>0.0</v>
      </c>
      <c r="W262" s="13">
        <v>0.0</v>
      </c>
      <c r="X262" s="13">
        <v>0.0</v>
      </c>
      <c r="Y262" s="13">
        <v>0.0</v>
      </c>
      <c r="Z262" s="13">
        <v>37.0</v>
      </c>
      <c r="AA262" s="13">
        <v>0.0</v>
      </c>
      <c r="AB262" s="13">
        <v>0.0</v>
      </c>
      <c r="AC262" s="13">
        <v>0.0</v>
      </c>
      <c r="AD262" s="13">
        <v>3.0</v>
      </c>
      <c r="AE262" s="13">
        <v>0.0</v>
      </c>
      <c r="AF262" s="13">
        <v>0.0</v>
      </c>
      <c r="AG262" s="13">
        <v>0.0</v>
      </c>
      <c r="AH262" s="13">
        <v>0.0</v>
      </c>
      <c r="AI262" s="13">
        <v>0.0</v>
      </c>
      <c r="AJ262" s="13">
        <v>0.0</v>
      </c>
      <c r="AK262" s="13" t="s">
        <v>1271</v>
      </c>
      <c r="AL262" s="13">
        <v>0.0</v>
      </c>
      <c r="AM262" s="13">
        <v>0.0</v>
      </c>
      <c r="AN262" s="13">
        <v>0.0</v>
      </c>
      <c r="AO262" s="13">
        <v>0.0</v>
      </c>
      <c r="AP262" s="13">
        <v>0.0</v>
      </c>
      <c r="AQ262" s="13">
        <v>0.0</v>
      </c>
      <c r="AR262" s="13">
        <v>0.0</v>
      </c>
      <c r="AS262" s="13">
        <v>0.0</v>
      </c>
      <c r="AT262" s="13">
        <v>0.0</v>
      </c>
      <c r="AU262" s="13">
        <v>0.0</v>
      </c>
      <c r="AV262" s="13">
        <v>0.0</v>
      </c>
      <c r="AW262" s="13">
        <v>2.0</v>
      </c>
      <c r="AX262" s="13">
        <v>0.0</v>
      </c>
      <c r="AY262" s="13">
        <v>6.0</v>
      </c>
      <c r="AZ262" s="13">
        <v>0.0</v>
      </c>
      <c r="BA262" s="13">
        <v>0.0</v>
      </c>
      <c r="BB262" s="13">
        <v>0.0</v>
      </c>
      <c r="BC262" s="13">
        <v>0.0</v>
      </c>
      <c r="BD262" s="13">
        <v>0.0</v>
      </c>
      <c r="BE262" s="13">
        <v>0.0</v>
      </c>
      <c r="BF262" s="13">
        <v>0.0</v>
      </c>
      <c r="BG262" s="13">
        <v>0.0</v>
      </c>
      <c r="BH262" s="13">
        <f t="shared" ref="BH262:BH296" si="36">sum(L262:BG262)</f>
        <v>49</v>
      </c>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c r="CL262" s="13"/>
      <c r="CM262" s="13"/>
      <c r="CN262" s="13"/>
      <c r="CO262" s="13"/>
      <c r="CP262" s="13"/>
      <c r="CQ262" s="13"/>
      <c r="CR262" s="13"/>
      <c r="CS262" s="13"/>
      <c r="CT262" s="13"/>
      <c r="CU262" s="13"/>
      <c r="CV262" s="13"/>
      <c r="CW262" s="13"/>
      <c r="CX262" s="13"/>
      <c r="CY262" s="13"/>
      <c r="CZ262" s="13"/>
      <c r="DA262" s="13"/>
      <c r="DB262" s="13"/>
      <c r="DC262" s="13"/>
      <c r="DD262" s="13"/>
      <c r="DE262" s="13"/>
      <c r="DF262" s="13"/>
      <c r="DG262" s="13"/>
      <c r="DH262" s="13"/>
      <c r="DI262" s="13"/>
      <c r="DJ262" s="13"/>
      <c r="DK262" s="13"/>
      <c r="DL262" s="13"/>
      <c r="DM262" s="13"/>
      <c r="DN262" s="13"/>
      <c r="DO262" s="13"/>
      <c r="DP262" s="13"/>
      <c r="DQ262" s="13"/>
      <c r="DR262" s="13"/>
      <c r="DS262" s="13"/>
      <c r="DT262" s="13"/>
      <c r="DU262" s="13"/>
      <c r="DV262" s="13"/>
      <c r="DW262" s="13"/>
    </row>
    <row r="263" ht="36.75" customHeight="1">
      <c r="A263" s="41">
        <v>42770.0</v>
      </c>
      <c r="B263" s="16" t="s">
        <v>110</v>
      </c>
      <c r="C263" s="13" t="s">
        <v>112</v>
      </c>
      <c r="D263" s="16" t="s">
        <v>2913</v>
      </c>
      <c r="E263" s="34" t="s">
        <v>290</v>
      </c>
      <c r="F263" s="16">
        <v>30.35198</v>
      </c>
      <c r="G263" s="16">
        <v>-85.25153</v>
      </c>
      <c r="H263" s="13">
        <v>30.35096</v>
      </c>
      <c r="I263" s="13">
        <v>-85.24783</v>
      </c>
      <c r="J263" s="13" t="s">
        <v>2914</v>
      </c>
      <c r="K263" s="13" t="s">
        <v>2912</v>
      </c>
      <c r="L263" s="13">
        <v>0.0</v>
      </c>
      <c r="M263" s="13">
        <v>0.0</v>
      </c>
      <c r="N263" s="13">
        <v>0.0</v>
      </c>
      <c r="O263" s="13">
        <v>0.0</v>
      </c>
      <c r="P263" s="13">
        <v>0.0</v>
      </c>
      <c r="Q263" s="13">
        <v>0.0</v>
      </c>
      <c r="R263" s="13">
        <v>0.0</v>
      </c>
      <c r="S263" s="13">
        <v>0.0</v>
      </c>
      <c r="T263" s="13">
        <v>0.0</v>
      </c>
      <c r="U263" s="13">
        <v>0.0</v>
      </c>
      <c r="V263" s="13">
        <v>0.0</v>
      </c>
      <c r="W263" s="13">
        <v>0.0</v>
      </c>
      <c r="X263" s="13">
        <v>0.0</v>
      </c>
      <c r="Y263" s="13">
        <v>0.0</v>
      </c>
      <c r="Z263" s="13">
        <v>11.0</v>
      </c>
      <c r="AA263" s="13">
        <v>0.0</v>
      </c>
      <c r="AB263" s="13">
        <v>0.0</v>
      </c>
      <c r="AC263" s="13">
        <v>0.0</v>
      </c>
      <c r="AD263" s="13">
        <v>0.0</v>
      </c>
      <c r="AE263" s="13">
        <v>0.0</v>
      </c>
      <c r="AF263" s="13">
        <v>0.0</v>
      </c>
      <c r="AG263" s="13">
        <v>0.0</v>
      </c>
      <c r="AH263" s="13">
        <v>7.0</v>
      </c>
      <c r="AI263" s="13">
        <v>0.0</v>
      </c>
      <c r="AJ263" s="13">
        <v>0.0</v>
      </c>
      <c r="AK263" s="13">
        <v>0.0</v>
      </c>
      <c r="AL263" s="13">
        <v>0.0</v>
      </c>
      <c r="AM263" s="13">
        <v>0.0</v>
      </c>
      <c r="AN263" s="13">
        <v>0.0</v>
      </c>
      <c r="AO263" s="13">
        <v>0.0</v>
      </c>
      <c r="AP263" s="13">
        <v>0.0</v>
      </c>
      <c r="AQ263" s="13">
        <v>0.0</v>
      </c>
      <c r="AR263" s="13">
        <v>1.0</v>
      </c>
      <c r="AS263" s="13">
        <v>0.0</v>
      </c>
      <c r="AT263" s="13">
        <v>0.0</v>
      </c>
      <c r="AU263" s="13">
        <v>0.0</v>
      </c>
      <c r="AV263" s="13">
        <v>0.0</v>
      </c>
      <c r="AW263" s="13">
        <v>4.0</v>
      </c>
      <c r="AX263" s="13">
        <v>0.0</v>
      </c>
      <c r="AY263" s="13">
        <v>11.0</v>
      </c>
      <c r="AZ263" s="13">
        <v>0.0</v>
      </c>
      <c r="BA263" s="13">
        <v>0.0</v>
      </c>
      <c r="BB263" s="13">
        <v>0.0</v>
      </c>
      <c r="BC263" s="13">
        <v>0.0</v>
      </c>
      <c r="BD263" s="13">
        <v>0.0</v>
      </c>
      <c r="BE263" s="13">
        <v>0.0</v>
      </c>
      <c r="BF263" s="13">
        <v>0.0</v>
      </c>
      <c r="BG263" s="13">
        <v>0.0</v>
      </c>
      <c r="BH263" s="13">
        <f t="shared" si="36"/>
        <v>34</v>
      </c>
    </row>
    <row r="264" ht="36.75" customHeight="1">
      <c r="A264" s="41">
        <v>42770.0</v>
      </c>
      <c r="B264" s="16" t="s">
        <v>340</v>
      </c>
      <c r="C264" s="16" t="s">
        <v>250</v>
      </c>
      <c r="D264" s="16" t="s">
        <v>342</v>
      </c>
      <c r="E264" s="26" t="s">
        <v>2836</v>
      </c>
      <c r="F264" s="16">
        <v>30.30217</v>
      </c>
      <c r="G264" s="16">
        <v>-86.08577</v>
      </c>
      <c r="H264" s="13">
        <v>30.29923</v>
      </c>
      <c r="I264" s="13">
        <v>-86.07716</v>
      </c>
      <c r="J264" s="13" t="s">
        <v>2837</v>
      </c>
      <c r="K264" s="13" t="s">
        <v>2828</v>
      </c>
      <c r="L264" s="13">
        <v>0.0</v>
      </c>
      <c r="M264" s="13">
        <v>0.0</v>
      </c>
      <c r="N264" s="13"/>
      <c r="O264" s="13">
        <v>0.0</v>
      </c>
      <c r="P264" s="13">
        <v>0.0</v>
      </c>
      <c r="Q264" s="13">
        <v>0.0</v>
      </c>
      <c r="R264" s="13">
        <v>0.0</v>
      </c>
      <c r="S264" s="13">
        <v>0.0</v>
      </c>
      <c r="T264" s="13">
        <v>0.0</v>
      </c>
      <c r="U264" s="13">
        <v>0.0</v>
      </c>
      <c r="V264" s="13">
        <v>0.0</v>
      </c>
      <c r="W264" s="13">
        <v>0.0</v>
      </c>
      <c r="X264" s="13">
        <v>0.0</v>
      </c>
      <c r="Y264" s="13">
        <v>0.0</v>
      </c>
      <c r="Z264" s="13">
        <v>2.0</v>
      </c>
      <c r="AA264" s="13">
        <v>0.0</v>
      </c>
      <c r="AB264" s="13">
        <v>0.0</v>
      </c>
      <c r="AC264" s="13">
        <v>0.0</v>
      </c>
      <c r="AD264" s="13">
        <v>3.0</v>
      </c>
      <c r="AE264" s="13">
        <v>0.0</v>
      </c>
      <c r="AF264" s="13">
        <v>0.0</v>
      </c>
      <c r="AG264" s="13">
        <v>0.0</v>
      </c>
      <c r="AH264" s="13">
        <v>0.0</v>
      </c>
      <c r="AI264" s="13">
        <v>0.0</v>
      </c>
      <c r="AJ264" s="13">
        <v>0.0</v>
      </c>
      <c r="AK264" s="13">
        <v>0.0</v>
      </c>
      <c r="AL264" s="13">
        <v>0.0</v>
      </c>
      <c r="AM264" s="13">
        <v>0.0</v>
      </c>
      <c r="AN264" s="13">
        <v>0.0</v>
      </c>
      <c r="AO264" s="13">
        <v>0.0</v>
      </c>
      <c r="AP264" s="13">
        <v>0.0</v>
      </c>
      <c r="AQ264" s="13">
        <v>0.0</v>
      </c>
      <c r="AR264" s="13">
        <v>0.0</v>
      </c>
      <c r="AS264" s="13">
        <v>0.0</v>
      </c>
      <c r="AT264" s="13">
        <v>0.0</v>
      </c>
      <c r="AU264" s="13">
        <v>0.0</v>
      </c>
      <c r="AV264" s="13">
        <v>0.0</v>
      </c>
      <c r="AW264" s="13">
        <v>0.0</v>
      </c>
      <c r="AX264" s="13">
        <v>0.0</v>
      </c>
      <c r="AY264" s="13">
        <v>0.0</v>
      </c>
      <c r="AZ264" s="13">
        <v>0.0</v>
      </c>
      <c r="BA264" s="13">
        <v>0.0</v>
      </c>
      <c r="BB264" s="13">
        <v>0.0</v>
      </c>
      <c r="BC264" s="13">
        <v>0.0</v>
      </c>
      <c r="BD264" s="13">
        <v>0.0</v>
      </c>
      <c r="BE264" s="13">
        <v>0.0</v>
      </c>
      <c r="BF264" s="13">
        <v>0.0</v>
      </c>
      <c r="BG264" s="13">
        <v>0.0</v>
      </c>
      <c r="BH264" s="13">
        <f t="shared" si="36"/>
        <v>5</v>
      </c>
      <c r="BI264" s="13" t="s">
        <v>2915</v>
      </c>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c r="CM264" s="13"/>
      <c r="CN264" s="13"/>
      <c r="CO264" s="13"/>
      <c r="CP264" s="13"/>
      <c r="CQ264" s="13"/>
      <c r="CR264" s="13"/>
      <c r="CS264" s="13"/>
      <c r="CT264" s="13"/>
      <c r="CU264" s="13"/>
      <c r="CV264" s="13"/>
      <c r="CW264" s="13"/>
      <c r="CX264" s="13"/>
      <c r="CY264" s="13"/>
      <c r="CZ264" s="13"/>
      <c r="DA264" s="13"/>
      <c r="DB264" s="13"/>
      <c r="DC264" s="13"/>
      <c r="DD264" s="13"/>
      <c r="DE264" s="13"/>
      <c r="DF264" s="13"/>
      <c r="DG264" s="13"/>
      <c r="DH264" s="13"/>
      <c r="DI264" s="13"/>
      <c r="DJ264" s="13"/>
      <c r="DK264" s="13"/>
      <c r="DL264" s="13"/>
      <c r="DM264" s="13"/>
      <c r="DN264" s="13"/>
      <c r="DO264" s="13"/>
      <c r="DP264" s="13"/>
      <c r="DQ264" s="13"/>
      <c r="DR264" s="13"/>
      <c r="DS264" s="13"/>
      <c r="DT264" s="13"/>
      <c r="DU264" s="13"/>
      <c r="DV264" s="13"/>
      <c r="DW264" s="13"/>
    </row>
    <row r="265" ht="36.75" customHeight="1">
      <c r="E265" s="38"/>
      <c r="I265" s="47"/>
      <c r="BH265">
        <f t="shared" si="36"/>
        <v>0</v>
      </c>
    </row>
    <row r="266" ht="36.75" customHeight="1">
      <c r="E266" s="38"/>
      <c r="I266" s="47"/>
      <c r="BH266">
        <f t="shared" si="36"/>
        <v>0</v>
      </c>
    </row>
    <row r="267" ht="36.75" customHeight="1">
      <c r="E267" s="38"/>
      <c r="I267" s="47"/>
      <c r="BH267">
        <f t="shared" si="36"/>
        <v>0</v>
      </c>
    </row>
    <row r="268" ht="36.75" customHeight="1">
      <c r="E268" s="38"/>
      <c r="I268" s="47"/>
      <c r="BH268">
        <f t="shared" si="36"/>
        <v>0</v>
      </c>
    </row>
    <row r="269" ht="36.75" customHeight="1">
      <c r="E269" s="38"/>
      <c r="I269" s="47"/>
      <c r="BH269">
        <f t="shared" si="36"/>
        <v>0</v>
      </c>
    </row>
    <row r="270" ht="36.75" customHeight="1">
      <c r="E270" s="38"/>
      <c r="I270" s="47"/>
      <c r="BH270">
        <f t="shared" si="36"/>
        <v>0</v>
      </c>
    </row>
    <row r="271" ht="36.75" customHeight="1">
      <c r="E271" s="38"/>
      <c r="I271" s="47"/>
      <c r="BH271">
        <f t="shared" si="36"/>
        <v>0</v>
      </c>
    </row>
    <row r="272" ht="36.75" customHeight="1">
      <c r="E272" s="38"/>
      <c r="I272" s="47"/>
      <c r="BH272">
        <f t="shared" si="36"/>
        <v>0</v>
      </c>
    </row>
    <row r="273" ht="36.75" customHeight="1">
      <c r="E273" s="38"/>
      <c r="I273" s="47"/>
      <c r="BH273">
        <f t="shared" si="36"/>
        <v>0</v>
      </c>
    </row>
    <row r="274" ht="36.75" customHeight="1">
      <c r="E274" s="38"/>
      <c r="I274" s="47"/>
      <c r="BH274">
        <f t="shared" si="36"/>
        <v>0</v>
      </c>
    </row>
    <row r="275" ht="36.75" customHeight="1">
      <c r="E275" s="38"/>
      <c r="I275" s="47"/>
      <c r="BH275">
        <f t="shared" si="36"/>
        <v>0</v>
      </c>
    </row>
    <row r="276" ht="36.75" customHeight="1">
      <c r="E276" s="38"/>
      <c r="I276" s="47"/>
      <c r="BH276">
        <f t="shared" si="36"/>
        <v>0</v>
      </c>
    </row>
    <row r="277" ht="36.75" customHeight="1">
      <c r="E277" s="38"/>
      <c r="I277" s="47"/>
      <c r="BH277">
        <f t="shared" si="36"/>
        <v>0</v>
      </c>
    </row>
    <row r="278" ht="36.75" customHeight="1">
      <c r="E278" s="38"/>
      <c r="I278" s="47"/>
      <c r="BH278">
        <f t="shared" si="36"/>
        <v>0</v>
      </c>
    </row>
    <row r="279" ht="36.75" customHeight="1">
      <c r="E279" s="38"/>
      <c r="I279" s="47"/>
      <c r="BH279">
        <f t="shared" si="36"/>
        <v>0</v>
      </c>
    </row>
    <row r="280" ht="36.75" customHeight="1">
      <c r="E280" s="38"/>
      <c r="I280" s="47"/>
      <c r="BH280">
        <f t="shared" si="36"/>
        <v>0</v>
      </c>
    </row>
    <row r="281" ht="36.75" customHeight="1">
      <c r="E281" s="38"/>
      <c r="I281" s="47"/>
      <c r="BH281">
        <f t="shared" si="36"/>
        <v>0</v>
      </c>
    </row>
    <row r="282" ht="36.75" customHeight="1">
      <c r="E282" s="38"/>
      <c r="I282" s="47"/>
      <c r="BH282">
        <f t="shared" si="36"/>
        <v>0</v>
      </c>
    </row>
    <row r="283" ht="36.75" customHeight="1">
      <c r="E283" s="38"/>
      <c r="I283" s="47"/>
      <c r="BH283">
        <f t="shared" si="36"/>
        <v>0</v>
      </c>
    </row>
    <row r="284" ht="36.75" customHeight="1">
      <c r="E284" s="38"/>
      <c r="I284" s="47"/>
      <c r="BH284">
        <f t="shared" si="36"/>
        <v>0</v>
      </c>
    </row>
    <row r="285" ht="36.75" customHeight="1">
      <c r="E285" s="38"/>
      <c r="I285" s="47"/>
      <c r="BH285">
        <f t="shared" si="36"/>
        <v>0</v>
      </c>
    </row>
    <row r="286" ht="36.75" customHeight="1">
      <c r="E286" s="38"/>
      <c r="I286" s="47"/>
      <c r="BH286">
        <f t="shared" si="36"/>
        <v>0</v>
      </c>
    </row>
    <row r="287" ht="36.75" customHeight="1">
      <c r="E287" s="38"/>
      <c r="I287" s="47"/>
      <c r="BH287">
        <f t="shared" si="36"/>
        <v>0</v>
      </c>
    </row>
    <row r="288" ht="36.75" customHeight="1">
      <c r="E288" s="38"/>
      <c r="I288" s="47"/>
      <c r="BH288">
        <f t="shared" si="36"/>
        <v>0</v>
      </c>
    </row>
    <row r="289" ht="36.75" customHeight="1">
      <c r="E289" s="38"/>
      <c r="I289" s="47"/>
      <c r="BH289">
        <f t="shared" si="36"/>
        <v>0</v>
      </c>
    </row>
    <row r="290" ht="36.75" customHeight="1">
      <c r="E290" s="38"/>
      <c r="I290" s="47"/>
      <c r="BH290">
        <f t="shared" si="36"/>
        <v>0</v>
      </c>
    </row>
    <row r="291" ht="36.75" customHeight="1">
      <c r="E291" s="38"/>
      <c r="I291" s="47"/>
      <c r="BH291">
        <f t="shared" si="36"/>
        <v>0</v>
      </c>
    </row>
    <row r="292" ht="36.75" customHeight="1">
      <c r="E292" s="38"/>
      <c r="I292" s="47"/>
      <c r="BH292">
        <f t="shared" si="36"/>
        <v>0</v>
      </c>
    </row>
    <row r="293" ht="36.75" customHeight="1">
      <c r="E293" s="38"/>
      <c r="I293" s="47"/>
      <c r="BH293">
        <f t="shared" si="36"/>
        <v>0</v>
      </c>
    </row>
    <row r="294" ht="36.75" customHeight="1">
      <c r="E294" s="38"/>
      <c r="I294" s="47"/>
      <c r="BH294">
        <f t="shared" si="36"/>
        <v>0</v>
      </c>
    </row>
    <row r="295" ht="36.75" customHeight="1">
      <c r="E295" s="38"/>
      <c r="I295" s="47"/>
      <c r="BH295">
        <f t="shared" si="36"/>
        <v>0</v>
      </c>
    </row>
    <row r="296" ht="36.75" customHeight="1">
      <c r="E296" s="38"/>
      <c r="I296" s="47"/>
      <c r="BH296">
        <f t="shared" si="36"/>
        <v>0</v>
      </c>
    </row>
    <row r="297" ht="36.75" customHeight="1">
      <c r="E297" s="38"/>
      <c r="I297" s="47"/>
    </row>
    <row r="298" ht="36.75" customHeight="1">
      <c r="E298" s="38"/>
      <c r="I298" s="47"/>
    </row>
    <row r="299" ht="36.75" customHeight="1">
      <c r="E299" s="38"/>
      <c r="I299" s="47"/>
    </row>
    <row r="300" ht="36.75" customHeight="1">
      <c r="E300" s="38"/>
      <c r="I300" s="47"/>
    </row>
    <row r="301" ht="36.75" customHeight="1">
      <c r="E301" s="38"/>
      <c r="I301" s="47"/>
    </row>
    <row r="302" ht="36.75" customHeight="1">
      <c r="E302" s="38"/>
      <c r="I302" s="47"/>
    </row>
    <row r="303" ht="36.75" customHeight="1">
      <c r="E303" s="38"/>
      <c r="I303" s="47"/>
    </row>
    <row r="304" ht="36.75" customHeight="1">
      <c r="E304" s="38"/>
      <c r="I304" s="47"/>
    </row>
    <row r="305" ht="36.75" customHeight="1">
      <c r="E305" s="38"/>
      <c r="I305" s="47"/>
    </row>
    <row r="306" ht="36.75" customHeight="1">
      <c r="E306" s="38"/>
      <c r="I306" s="47"/>
    </row>
    <row r="307" ht="36.75" customHeight="1">
      <c r="E307" s="38"/>
      <c r="I307" s="47"/>
    </row>
    <row r="308" ht="36.75" customHeight="1">
      <c r="E308" s="38"/>
      <c r="I308" s="47"/>
    </row>
    <row r="309" ht="36.75" customHeight="1">
      <c r="E309" s="38"/>
      <c r="I309" s="47"/>
    </row>
    <row r="310" ht="36.75" customHeight="1">
      <c r="E310" s="38"/>
      <c r="I310" s="47"/>
    </row>
    <row r="311" ht="36.75" customHeight="1">
      <c r="E311" s="38"/>
      <c r="I311" s="47"/>
    </row>
    <row r="312" ht="36.75" customHeight="1">
      <c r="E312" s="38"/>
      <c r="I312" s="47"/>
    </row>
    <row r="313" ht="36.75" customHeight="1">
      <c r="E313" s="38"/>
      <c r="I313" s="47"/>
    </row>
    <row r="314" ht="36.75" customHeight="1">
      <c r="E314" s="38"/>
      <c r="I314" s="47"/>
    </row>
    <row r="315" ht="36.75" customHeight="1">
      <c r="E315" s="38"/>
      <c r="I315" s="47"/>
    </row>
    <row r="316" ht="36.75" customHeight="1">
      <c r="E316" s="38"/>
      <c r="I316" s="47"/>
    </row>
    <row r="317" ht="36.75" customHeight="1">
      <c r="E317" s="38"/>
      <c r="I317" s="47"/>
    </row>
    <row r="318" ht="36.75" customHeight="1">
      <c r="E318" s="38"/>
      <c r="I318" s="47"/>
    </row>
    <row r="319" ht="36.75" customHeight="1">
      <c r="E319" s="38"/>
      <c r="I319" s="47"/>
    </row>
    <row r="320" ht="36.75" customHeight="1">
      <c r="E320" s="38"/>
      <c r="I320" s="47"/>
    </row>
    <row r="321" ht="36.75" customHeight="1">
      <c r="E321" s="38"/>
      <c r="I321" s="47"/>
    </row>
    <row r="322" ht="36.75" customHeight="1">
      <c r="E322" s="38"/>
      <c r="I322" s="47"/>
    </row>
    <row r="323" ht="36.75" customHeight="1">
      <c r="E323" s="38"/>
      <c r="I323" s="47"/>
    </row>
    <row r="324" ht="36.75" customHeight="1">
      <c r="E324" s="38"/>
      <c r="I324" s="47"/>
    </row>
    <row r="325" ht="36.75" customHeight="1">
      <c r="E325" s="38"/>
      <c r="I325" s="47"/>
    </row>
    <row r="326" ht="36.75" customHeight="1">
      <c r="E326" s="38"/>
      <c r="I326" s="47"/>
    </row>
    <row r="327" ht="36.75" customHeight="1">
      <c r="E327" s="38"/>
      <c r="I327" s="47"/>
    </row>
    <row r="328" ht="36.75" customHeight="1">
      <c r="E328" s="38"/>
      <c r="I328" s="47"/>
    </row>
    <row r="329" ht="36.75" customHeight="1">
      <c r="E329" s="38"/>
      <c r="I329" s="47"/>
    </row>
    <row r="330" ht="36.75" customHeight="1">
      <c r="E330" s="38"/>
      <c r="I330" s="47"/>
    </row>
    <row r="331" ht="36.75" customHeight="1">
      <c r="E331" s="38"/>
      <c r="I331" s="47"/>
    </row>
    <row r="332" ht="36.75" customHeight="1">
      <c r="E332" s="38"/>
      <c r="I332" s="47"/>
    </row>
    <row r="333" ht="36.75" customHeight="1">
      <c r="E333" s="38"/>
      <c r="I333" s="47"/>
    </row>
    <row r="334" ht="36.75" customHeight="1">
      <c r="E334" s="38"/>
      <c r="I334" s="47"/>
    </row>
    <row r="335" ht="36.75" customHeight="1">
      <c r="E335" s="38"/>
      <c r="I335" s="47"/>
    </row>
    <row r="336" ht="36.75" customHeight="1">
      <c r="E336" s="38"/>
      <c r="I336" s="47"/>
    </row>
    <row r="337" ht="36.75" customHeight="1">
      <c r="E337" s="38"/>
      <c r="I337" s="47"/>
    </row>
    <row r="338" ht="36.75" customHeight="1">
      <c r="E338" s="38"/>
      <c r="I338" s="47"/>
    </row>
    <row r="339" ht="36.75" customHeight="1">
      <c r="E339" s="38"/>
      <c r="I339" s="47"/>
    </row>
    <row r="340" ht="36.75" customHeight="1">
      <c r="E340" s="38"/>
      <c r="I340" s="47"/>
    </row>
    <row r="341" ht="36.75" customHeight="1">
      <c r="E341" s="38"/>
      <c r="I341" s="47"/>
    </row>
    <row r="342" ht="36.75" customHeight="1">
      <c r="E342" s="38"/>
      <c r="I342" s="47"/>
    </row>
    <row r="343" ht="36.75" customHeight="1">
      <c r="E343" s="38"/>
      <c r="I343" s="47"/>
    </row>
    <row r="344" ht="36.75" customHeight="1">
      <c r="E344" s="38"/>
      <c r="I344" s="47"/>
    </row>
    <row r="345" ht="36.75" customHeight="1">
      <c r="E345" s="38"/>
      <c r="I345" s="47"/>
    </row>
    <row r="346" ht="36.75" customHeight="1">
      <c r="E346" s="38"/>
      <c r="I346" s="47"/>
    </row>
    <row r="347" ht="36.75" customHeight="1">
      <c r="E347" s="38"/>
      <c r="I347" s="47"/>
    </row>
    <row r="348" ht="36.75" customHeight="1">
      <c r="E348" s="38"/>
      <c r="I348" s="47"/>
    </row>
    <row r="349" ht="36.75" customHeight="1">
      <c r="E349" s="38"/>
      <c r="I349" s="47"/>
    </row>
    <row r="350" ht="36.75" customHeight="1">
      <c r="E350" s="38"/>
      <c r="I350" s="47"/>
    </row>
    <row r="351" ht="36.75" customHeight="1">
      <c r="E351" s="38"/>
      <c r="I351" s="47"/>
    </row>
    <row r="352" ht="36.75" customHeight="1">
      <c r="E352" s="38"/>
      <c r="I352" s="47"/>
    </row>
    <row r="353" ht="36.75" customHeight="1">
      <c r="E353" s="38"/>
      <c r="I353" s="47"/>
    </row>
    <row r="354" ht="36.75" customHeight="1">
      <c r="E354" s="38"/>
      <c r="I354" s="47"/>
    </row>
    <row r="355" ht="36.75" customHeight="1">
      <c r="E355" s="38"/>
      <c r="I355" s="47"/>
    </row>
    <row r="356" ht="36.75" customHeight="1">
      <c r="E356" s="38"/>
      <c r="I356" s="47"/>
    </row>
    <row r="357" ht="36.75" customHeight="1">
      <c r="E357" s="38"/>
      <c r="I357" s="47"/>
    </row>
    <row r="358" ht="36.75" customHeight="1">
      <c r="E358" s="38"/>
      <c r="I358" s="47"/>
    </row>
    <row r="359" ht="36.75" customHeight="1">
      <c r="E359" s="38"/>
      <c r="I359" s="47"/>
    </row>
    <row r="360" ht="36.75" customHeight="1">
      <c r="E360" s="38"/>
      <c r="I360" s="47"/>
    </row>
    <row r="361" ht="36.75" customHeight="1">
      <c r="E361" s="38"/>
      <c r="I361" s="47"/>
    </row>
    <row r="362" ht="36.75" customHeight="1">
      <c r="E362" s="38"/>
      <c r="I362" s="47"/>
    </row>
    <row r="363" ht="36.75" customHeight="1">
      <c r="E363" s="38"/>
      <c r="I363" s="47"/>
    </row>
    <row r="364" ht="36.75" customHeight="1">
      <c r="E364" s="38"/>
      <c r="I364" s="47"/>
    </row>
    <row r="365" ht="36.75" customHeight="1">
      <c r="E365" s="38"/>
      <c r="I365" s="47"/>
    </row>
    <row r="366" ht="36.75" customHeight="1">
      <c r="E366" s="38"/>
      <c r="I366" s="47"/>
    </row>
    <row r="367" ht="36.75" customHeight="1">
      <c r="E367" s="38"/>
      <c r="I367" s="47"/>
    </row>
    <row r="368" ht="36.75" customHeight="1">
      <c r="E368" s="38"/>
      <c r="I368" s="47"/>
    </row>
    <row r="369" ht="36.75" customHeight="1">
      <c r="E369" s="38"/>
      <c r="I369" s="47"/>
    </row>
    <row r="370" ht="36.75" customHeight="1">
      <c r="E370" s="38"/>
      <c r="I370" s="47"/>
    </row>
    <row r="371" ht="36.75" customHeight="1">
      <c r="E371" s="38"/>
      <c r="I371" s="47"/>
    </row>
    <row r="372" ht="36.75" customHeight="1">
      <c r="E372" s="38"/>
      <c r="I372" s="47"/>
    </row>
    <row r="373" ht="36.75" customHeight="1">
      <c r="E373" s="38"/>
      <c r="I373" s="47"/>
    </row>
    <row r="374" ht="36.75" customHeight="1">
      <c r="E374" s="38"/>
      <c r="I374" s="47"/>
    </row>
    <row r="375" ht="36.75" customHeight="1">
      <c r="E375" s="38"/>
      <c r="I375" s="47"/>
    </row>
    <row r="376" ht="36.75" customHeight="1">
      <c r="E376" s="38"/>
      <c r="I376" s="47"/>
    </row>
    <row r="377" ht="36.75" customHeight="1">
      <c r="E377" s="38"/>
      <c r="I377" s="47"/>
    </row>
    <row r="378" ht="36.75" customHeight="1">
      <c r="E378" s="38"/>
      <c r="I378" s="47"/>
    </row>
    <row r="379" ht="36.75" customHeight="1">
      <c r="E379" s="38"/>
      <c r="I379" s="47"/>
    </row>
    <row r="380" ht="36.75" customHeight="1">
      <c r="E380" s="38"/>
      <c r="I380" s="47"/>
    </row>
    <row r="381" ht="36.75" customHeight="1">
      <c r="E381" s="38"/>
      <c r="I381" s="47"/>
    </row>
    <row r="382" ht="36.75" customHeight="1">
      <c r="E382" s="38"/>
      <c r="I382" s="47"/>
    </row>
    <row r="383" ht="36.75" customHeight="1">
      <c r="E383" s="38"/>
      <c r="I383" s="47"/>
    </row>
    <row r="384" ht="36.75" customHeight="1">
      <c r="E384" s="38"/>
      <c r="I384" s="47"/>
    </row>
    <row r="385" ht="36.75" customHeight="1">
      <c r="E385" s="38"/>
      <c r="I385" s="47"/>
    </row>
    <row r="386" ht="36.75" customHeight="1">
      <c r="E386" s="38"/>
      <c r="I386" s="47"/>
    </row>
    <row r="387" ht="36.75" customHeight="1">
      <c r="E387" s="38"/>
      <c r="I387" s="47"/>
    </row>
    <row r="388" ht="36.75" customHeight="1">
      <c r="E388" s="38"/>
      <c r="I388" s="47"/>
    </row>
    <row r="389" ht="36.75" customHeight="1">
      <c r="E389" s="38"/>
      <c r="I389" s="47"/>
    </row>
    <row r="390" ht="36.75" customHeight="1">
      <c r="E390" s="38"/>
      <c r="I390" s="47"/>
    </row>
    <row r="391" ht="36.75" customHeight="1">
      <c r="E391" s="38"/>
      <c r="I391" s="47"/>
    </row>
    <row r="392" ht="36.75" customHeight="1">
      <c r="E392" s="38"/>
      <c r="I392" s="47"/>
    </row>
    <row r="393" ht="36.75" customHeight="1">
      <c r="E393" s="38"/>
      <c r="I393" s="47"/>
    </row>
    <row r="394" ht="36.75" customHeight="1">
      <c r="E394" s="38"/>
      <c r="I394" s="47"/>
    </row>
    <row r="395" ht="36.75" customHeight="1">
      <c r="E395" s="38"/>
      <c r="I395" s="47"/>
    </row>
    <row r="396" ht="36.75" customHeight="1">
      <c r="E396" s="38"/>
      <c r="I396" s="47"/>
    </row>
    <row r="397" ht="36.75" customHeight="1">
      <c r="E397" s="38"/>
      <c r="I397" s="47"/>
    </row>
    <row r="398" ht="36.75" customHeight="1">
      <c r="E398" s="38"/>
      <c r="I398" s="47"/>
    </row>
    <row r="399" ht="36.75" customHeight="1">
      <c r="E399" s="38"/>
      <c r="I399" s="47"/>
    </row>
    <row r="400" ht="36.75" customHeight="1">
      <c r="E400" s="38"/>
      <c r="I400" s="47"/>
    </row>
    <row r="401" ht="36.75" customHeight="1">
      <c r="E401" s="38"/>
      <c r="I401" s="47"/>
    </row>
    <row r="402" ht="36.75" customHeight="1">
      <c r="E402" s="38"/>
      <c r="I402" s="47"/>
    </row>
    <row r="403" ht="36.75" customHeight="1">
      <c r="E403" s="38"/>
      <c r="I403" s="47"/>
    </row>
    <row r="404" ht="36.75" customHeight="1">
      <c r="E404" s="38"/>
      <c r="I404" s="47"/>
    </row>
    <row r="405" ht="36.75" customHeight="1">
      <c r="E405" s="38"/>
      <c r="I405" s="47"/>
    </row>
    <row r="406" ht="36.75" customHeight="1">
      <c r="E406" s="38"/>
      <c r="I406" s="47"/>
    </row>
    <row r="407" ht="36.75" customHeight="1">
      <c r="E407" s="38"/>
      <c r="I407" s="47"/>
    </row>
    <row r="408" ht="36.75" customHeight="1">
      <c r="E408" s="38"/>
      <c r="I408" s="47"/>
    </row>
    <row r="409" ht="36.75" customHeight="1">
      <c r="E409" s="38"/>
      <c r="I409" s="47"/>
    </row>
    <row r="410" ht="36.75" customHeight="1">
      <c r="E410" s="38"/>
      <c r="I410" s="47"/>
    </row>
    <row r="411" ht="36.75" customHeight="1">
      <c r="E411" s="38"/>
      <c r="I411" s="47"/>
    </row>
    <row r="412" ht="36.75" customHeight="1">
      <c r="E412" s="38"/>
      <c r="I412" s="47"/>
    </row>
    <row r="413" ht="36.75" customHeight="1">
      <c r="E413" s="38"/>
      <c r="I413" s="47"/>
    </row>
    <row r="414" ht="36.75" customHeight="1">
      <c r="E414" s="38"/>
      <c r="I414" s="47"/>
    </row>
    <row r="415" ht="36.75" customHeight="1">
      <c r="E415" s="38"/>
      <c r="I415" s="47"/>
    </row>
    <row r="416" ht="36.75" customHeight="1">
      <c r="E416" s="38"/>
      <c r="I416" s="47"/>
    </row>
    <row r="417" ht="36.75" customHeight="1">
      <c r="E417" s="38"/>
      <c r="I417" s="47"/>
    </row>
    <row r="418" ht="36.75" customHeight="1">
      <c r="E418" s="38"/>
      <c r="I418" s="47"/>
    </row>
    <row r="419" ht="36.75" customHeight="1">
      <c r="E419" s="38"/>
      <c r="I419" s="47"/>
    </row>
    <row r="420" ht="36.75" customHeight="1">
      <c r="E420" s="38"/>
      <c r="I420" s="47"/>
    </row>
    <row r="421" ht="36.75" customHeight="1">
      <c r="E421" s="38"/>
      <c r="I421" s="47"/>
    </row>
    <row r="422" ht="36.75" customHeight="1">
      <c r="E422" s="38"/>
      <c r="I422" s="47"/>
    </row>
    <row r="423" ht="36.75" customHeight="1">
      <c r="E423" s="38"/>
      <c r="I423" s="47"/>
    </row>
    <row r="424" ht="36.75" customHeight="1">
      <c r="E424" s="38"/>
      <c r="I424" s="47"/>
    </row>
    <row r="425" ht="36.75" customHeight="1">
      <c r="E425" s="38"/>
      <c r="I425" s="47"/>
    </row>
    <row r="426" ht="36.75" customHeight="1">
      <c r="E426" s="38"/>
      <c r="I426" s="47"/>
    </row>
    <row r="427" ht="36.75" customHeight="1">
      <c r="E427" s="38"/>
      <c r="I427" s="47"/>
    </row>
    <row r="428" ht="36.75" customHeight="1">
      <c r="E428" s="38"/>
      <c r="I428" s="47"/>
    </row>
    <row r="429" ht="36.75" customHeight="1">
      <c r="E429" s="38"/>
      <c r="I429" s="47"/>
    </row>
    <row r="430" ht="36.75" customHeight="1">
      <c r="E430" s="38"/>
      <c r="I430" s="47"/>
    </row>
    <row r="431" ht="36.75" customHeight="1">
      <c r="E431" s="38"/>
      <c r="I431" s="47"/>
    </row>
    <row r="432" ht="36.75" customHeight="1">
      <c r="E432" s="38"/>
      <c r="I432" s="47"/>
    </row>
    <row r="433" ht="36.75" customHeight="1">
      <c r="E433" s="38"/>
      <c r="I433" s="47"/>
    </row>
    <row r="434" ht="36.75" customHeight="1">
      <c r="E434" s="38"/>
      <c r="I434" s="47"/>
    </row>
    <row r="435" ht="36.75" customHeight="1">
      <c r="E435" s="38"/>
      <c r="I435" s="47"/>
    </row>
    <row r="436" ht="36.75" customHeight="1">
      <c r="E436" s="38"/>
      <c r="I436" s="47"/>
    </row>
    <row r="437" ht="36.75" customHeight="1">
      <c r="E437" s="38"/>
      <c r="I437" s="47"/>
    </row>
    <row r="438" ht="36.75" customHeight="1">
      <c r="E438" s="38"/>
      <c r="I438" s="47"/>
    </row>
    <row r="439" ht="36.75" customHeight="1">
      <c r="E439" s="38"/>
      <c r="I439" s="47"/>
    </row>
    <row r="440" ht="36.75" customHeight="1">
      <c r="E440" s="38"/>
      <c r="I440" s="47"/>
    </row>
    <row r="441" ht="36.75" customHeight="1">
      <c r="E441" s="38"/>
      <c r="I441" s="47"/>
    </row>
    <row r="442" ht="36.75" customHeight="1">
      <c r="E442" s="38"/>
      <c r="I442" s="47"/>
    </row>
    <row r="443" ht="36.75" customHeight="1">
      <c r="E443" s="38"/>
      <c r="I443" s="47"/>
    </row>
    <row r="444" ht="36.75" customHeight="1">
      <c r="E444" s="38"/>
      <c r="I444" s="47"/>
    </row>
    <row r="445" ht="36.75" customHeight="1">
      <c r="E445" s="38"/>
      <c r="I445" s="47"/>
    </row>
    <row r="446" ht="36.75" customHeight="1">
      <c r="E446" s="38"/>
      <c r="I446" s="47"/>
    </row>
    <row r="447" ht="36.75" customHeight="1">
      <c r="E447" s="38"/>
      <c r="I447" s="47"/>
    </row>
    <row r="448" ht="36.75" customHeight="1">
      <c r="E448" s="38"/>
      <c r="I448" s="47"/>
    </row>
    <row r="449" ht="36.75" customHeight="1">
      <c r="E449" s="38"/>
      <c r="I449" s="47"/>
    </row>
    <row r="450" ht="36.75" customHeight="1">
      <c r="E450" s="38"/>
      <c r="I450" s="47"/>
    </row>
    <row r="451" ht="36.75" customHeight="1">
      <c r="E451" s="38"/>
      <c r="I451" s="47"/>
    </row>
    <row r="452" ht="36.75" customHeight="1">
      <c r="E452" s="38"/>
      <c r="I452" s="47"/>
    </row>
    <row r="453" ht="36.75" customHeight="1">
      <c r="E453" s="38"/>
      <c r="I453" s="47"/>
    </row>
    <row r="454" ht="36.75" customHeight="1">
      <c r="E454" s="38"/>
      <c r="I454" s="47"/>
    </row>
    <row r="455" ht="36.75" customHeight="1">
      <c r="E455" s="38"/>
      <c r="I455" s="47"/>
    </row>
    <row r="456" ht="36.75" customHeight="1">
      <c r="E456" s="38"/>
      <c r="I456" s="47"/>
    </row>
    <row r="457" ht="36.75" customHeight="1">
      <c r="E457" s="38"/>
      <c r="I457" s="47"/>
    </row>
    <row r="458" ht="36.75" customHeight="1">
      <c r="E458" s="38"/>
      <c r="I458" s="47"/>
    </row>
    <row r="459" ht="36.75" customHeight="1">
      <c r="E459" s="38"/>
      <c r="I459" s="47"/>
    </row>
    <row r="460" ht="36.75" customHeight="1">
      <c r="E460" s="38"/>
      <c r="I460" s="47"/>
    </row>
    <row r="461" ht="36.75" customHeight="1">
      <c r="E461" s="38"/>
      <c r="I461" s="47"/>
    </row>
    <row r="462" ht="36.75" customHeight="1">
      <c r="E462" s="38"/>
      <c r="I462" s="47"/>
    </row>
    <row r="463" ht="36.75" customHeight="1">
      <c r="E463" s="38"/>
      <c r="I463" s="47"/>
    </row>
    <row r="464" ht="36.75" customHeight="1">
      <c r="E464" s="38"/>
      <c r="I464" s="47"/>
    </row>
    <row r="465" ht="36.75" customHeight="1">
      <c r="E465" s="38"/>
      <c r="I465" s="47"/>
    </row>
    <row r="466" ht="36.75" customHeight="1">
      <c r="E466" s="38"/>
      <c r="I466" s="47"/>
    </row>
    <row r="467" ht="36.75" customHeight="1">
      <c r="E467" s="38"/>
      <c r="I467" s="47"/>
    </row>
    <row r="468" ht="36.75" customHeight="1">
      <c r="E468" s="38"/>
      <c r="I468" s="47"/>
    </row>
    <row r="469" ht="36.75" customHeight="1">
      <c r="E469" s="38"/>
      <c r="I469" s="47"/>
    </row>
    <row r="470" ht="36.75" customHeight="1">
      <c r="E470" s="38"/>
      <c r="I470" s="47"/>
    </row>
    <row r="471" ht="36.75" customHeight="1">
      <c r="E471" s="38"/>
      <c r="I471" s="47"/>
    </row>
    <row r="472" ht="36.75" customHeight="1">
      <c r="E472" s="38"/>
      <c r="I472" s="47"/>
    </row>
    <row r="473" ht="36.75" customHeight="1">
      <c r="E473" s="38"/>
      <c r="I473" s="47"/>
    </row>
    <row r="474" ht="36.75" customHeight="1">
      <c r="E474" s="38"/>
      <c r="I474" s="47"/>
    </row>
    <row r="475" ht="36.75" customHeight="1">
      <c r="E475" s="38"/>
      <c r="I475" s="47"/>
    </row>
    <row r="476" ht="36.75" customHeight="1">
      <c r="E476" s="38"/>
      <c r="I476" s="47"/>
    </row>
    <row r="477" ht="36.75" customHeight="1">
      <c r="E477" s="38"/>
      <c r="I477" s="47"/>
    </row>
    <row r="478" ht="36.75" customHeight="1">
      <c r="E478" s="38"/>
      <c r="I478" s="47"/>
    </row>
    <row r="479" ht="36.75" customHeight="1">
      <c r="E479" s="38"/>
      <c r="I479" s="47"/>
    </row>
    <row r="480" ht="36.75" customHeight="1">
      <c r="E480" s="38"/>
      <c r="I480" s="47"/>
    </row>
    <row r="481" ht="36.75" customHeight="1">
      <c r="E481" s="38"/>
      <c r="I481" s="47"/>
    </row>
    <row r="482" ht="36.75" customHeight="1">
      <c r="E482" s="38"/>
      <c r="I482" s="47"/>
    </row>
    <row r="483" ht="36.75" customHeight="1">
      <c r="E483" s="38"/>
      <c r="I483" s="47"/>
    </row>
    <row r="484" ht="36.75" customHeight="1">
      <c r="E484" s="38"/>
      <c r="I484" s="47"/>
    </row>
    <row r="485" ht="36.75" customHeight="1">
      <c r="E485" s="38"/>
      <c r="I485" s="47"/>
    </row>
    <row r="486" ht="36.75" customHeight="1">
      <c r="E486" s="38"/>
      <c r="I486" s="47"/>
    </row>
    <row r="487" ht="36.75" customHeight="1">
      <c r="E487" s="38"/>
      <c r="I487" s="47"/>
    </row>
    <row r="488" ht="36.75" customHeight="1">
      <c r="E488" s="38"/>
      <c r="I488" s="47"/>
    </row>
    <row r="489" ht="36.75" customHeight="1">
      <c r="E489" s="38"/>
      <c r="I489" s="47"/>
    </row>
    <row r="490" ht="36.75" customHeight="1">
      <c r="E490" s="38"/>
      <c r="I490" s="47"/>
    </row>
    <row r="491" ht="36.75" customHeight="1">
      <c r="E491" s="38"/>
      <c r="I491" s="47"/>
    </row>
    <row r="492" ht="36.75" customHeight="1">
      <c r="E492" s="38"/>
      <c r="I492" s="47"/>
    </row>
    <row r="493" ht="36.75" customHeight="1">
      <c r="E493" s="38"/>
      <c r="I493" s="47"/>
    </row>
    <row r="494" ht="36.75" customHeight="1">
      <c r="E494" s="38"/>
      <c r="I494" s="47"/>
    </row>
    <row r="495" ht="36.75" customHeight="1">
      <c r="E495" s="38"/>
      <c r="I495" s="47"/>
    </row>
    <row r="496" ht="36.75" customHeight="1">
      <c r="E496" s="38"/>
      <c r="I496" s="47"/>
    </row>
    <row r="497" ht="36.75" customHeight="1">
      <c r="E497" s="38"/>
      <c r="I497" s="47"/>
    </row>
    <row r="498" ht="36.75" customHeight="1">
      <c r="E498" s="38"/>
      <c r="I498" s="47"/>
    </row>
    <row r="499" ht="36.75" customHeight="1">
      <c r="E499" s="38"/>
      <c r="I499" s="47"/>
    </row>
    <row r="500" ht="36.75" customHeight="1">
      <c r="E500" s="38"/>
      <c r="I500" s="47"/>
    </row>
    <row r="501" ht="36.75" customHeight="1">
      <c r="E501" s="38"/>
      <c r="I501" s="47"/>
    </row>
    <row r="502" ht="36.75" customHeight="1">
      <c r="E502" s="38"/>
      <c r="I502" s="47"/>
    </row>
    <row r="503" ht="36.75" customHeight="1">
      <c r="E503" s="38"/>
      <c r="I503" s="47"/>
    </row>
    <row r="504" ht="36.75" customHeight="1">
      <c r="E504" s="38"/>
      <c r="I504" s="47"/>
    </row>
    <row r="505" ht="36.75" customHeight="1">
      <c r="E505" s="38"/>
      <c r="I505" s="47"/>
    </row>
    <row r="506" ht="36.75" customHeight="1">
      <c r="E506" s="38"/>
      <c r="I506" s="47"/>
    </row>
    <row r="507" ht="36.75" customHeight="1">
      <c r="E507" s="38"/>
      <c r="I507" s="47"/>
    </row>
    <row r="508" ht="36.75" customHeight="1">
      <c r="E508" s="38"/>
      <c r="I508" s="47"/>
    </row>
    <row r="509" ht="36.75" customHeight="1">
      <c r="E509" s="38"/>
      <c r="I509" s="47"/>
    </row>
    <row r="510" ht="36.75" customHeight="1">
      <c r="E510" s="38"/>
      <c r="I510" s="47"/>
    </row>
    <row r="511" ht="36.75" customHeight="1">
      <c r="E511" s="38"/>
      <c r="I511" s="47"/>
    </row>
    <row r="512" ht="36.75" customHeight="1">
      <c r="E512" s="38"/>
      <c r="I512" s="47"/>
    </row>
    <row r="513" ht="36.75" customHeight="1">
      <c r="E513" s="38"/>
      <c r="I513" s="47"/>
    </row>
    <row r="514" ht="36.75" customHeight="1">
      <c r="E514" s="38"/>
      <c r="I514" s="47"/>
    </row>
    <row r="515" ht="36.75" customHeight="1">
      <c r="E515" s="38"/>
      <c r="I515" s="47"/>
    </row>
    <row r="516" ht="36.75" customHeight="1">
      <c r="E516" s="38"/>
      <c r="I516" s="47"/>
    </row>
    <row r="517" ht="36.75" customHeight="1">
      <c r="E517" s="38"/>
      <c r="I517" s="47"/>
    </row>
    <row r="518" ht="36.75" customHeight="1">
      <c r="E518" s="38"/>
      <c r="I518" s="47"/>
    </row>
    <row r="519" ht="36.75" customHeight="1">
      <c r="E519" s="38"/>
      <c r="I519" s="47"/>
    </row>
    <row r="520" ht="36.75" customHeight="1">
      <c r="E520" s="38"/>
      <c r="I520" s="47"/>
    </row>
    <row r="521" ht="36.75" customHeight="1">
      <c r="E521" s="38"/>
      <c r="I521" s="47"/>
    </row>
    <row r="522" ht="36.75" customHeight="1">
      <c r="E522" s="38"/>
      <c r="I522" s="47"/>
    </row>
    <row r="523" ht="36.75" customHeight="1">
      <c r="E523" s="38"/>
      <c r="I523" s="47"/>
    </row>
    <row r="524" ht="36.75" customHeight="1">
      <c r="E524" s="38"/>
      <c r="I524" s="47"/>
    </row>
    <row r="525" ht="36.75" customHeight="1">
      <c r="E525" s="38"/>
      <c r="I525" s="47"/>
    </row>
    <row r="526" ht="36.75" customHeight="1">
      <c r="E526" s="38"/>
      <c r="I526" s="47"/>
    </row>
    <row r="527" ht="36.75" customHeight="1">
      <c r="E527" s="38"/>
      <c r="I527" s="47"/>
    </row>
    <row r="528" ht="36.75" customHeight="1">
      <c r="E528" s="38"/>
      <c r="I528" s="47"/>
    </row>
    <row r="529" ht="36.75" customHeight="1">
      <c r="E529" s="38"/>
      <c r="I529" s="47"/>
    </row>
    <row r="530" ht="36.75" customHeight="1">
      <c r="E530" s="38"/>
      <c r="I530" s="47"/>
    </row>
    <row r="531" ht="36.75" customHeight="1">
      <c r="E531" s="38"/>
      <c r="I531" s="47"/>
    </row>
    <row r="532" ht="36.75" customHeight="1">
      <c r="E532" s="38"/>
      <c r="I532" s="47"/>
    </row>
    <row r="533" ht="36.75" customHeight="1">
      <c r="E533" s="38"/>
      <c r="I533" s="47"/>
    </row>
    <row r="534" ht="36.75" customHeight="1">
      <c r="E534" s="38"/>
      <c r="I534" s="47"/>
    </row>
    <row r="535" ht="36.75" customHeight="1">
      <c r="E535" s="38"/>
      <c r="I535" s="47"/>
    </row>
    <row r="536" ht="36.75" customHeight="1">
      <c r="E536" s="38"/>
      <c r="I536" s="47"/>
    </row>
    <row r="537" ht="36.75" customHeight="1">
      <c r="E537" s="38"/>
      <c r="I537" s="47"/>
    </row>
    <row r="538" ht="36.75" customHeight="1">
      <c r="E538" s="38"/>
      <c r="I538" s="47"/>
    </row>
    <row r="539" ht="36.75" customHeight="1">
      <c r="E539" s="38"/>
      <c r="I539" s="47"/>
    </row>
    <row r="540" ht="36.75" customHeight="1">
      <c r="E540" s="38"/>
      <c r="I540" s="47"/>
    </row>
    <row r="541" ht="36.75" customHeight="1">
      <c r="E541" s="38"/>
      <c r="I541" s="47"/>
    </row>
    <row r="542" ht="36.75" customHeight="1">
      <c r="E542" s="38"/>
      <c r="I542" s="47"/>
    </row>
    <row r="543" ht="36.75" customHeight="1">
      <c r="E543" s="38"/>
      <c r="I543" s="47"/>
    </row>
    <row r="544" ht="36.75" customHeight="1">
      <c r="E544" s="38"/>
      <c r="I544" s="47"/>
    </row>
    <row r="545" ht="36.75" customHeight="1">
      <c r="E545" s="38"/>
      <c r="I545" s="47"/>
    </row>
    <row r="546" ht="36.75" customHeight="1">
      <c r="E546" s="38"/>
      <c r="I546" s="47"/>
    </row>
    <row r="547" ht="36.75" customHeight="1">
      <c r="E547" s="38"/>
      <c r="I547" s="47"/>
    </row>
    <row r="548" ht="36.75" customHeight="1">
      <c r="E548" s="38"/>
      <c r="I548" s="47"/>
    </row>
    <row r="549" ht="36.75" customHeight="1">
      <c r="E549" s="38"/>
      <c r="I549" s="47"/>
    </row>
    <row r="550" ht="36.75" customHeight="1">
      <c r="E550" s="38"/>
      <c r="I550" s="47"/>
    </row>
    <row r="551" ht="36.75" customHeight="1">
      <c r="E551" s="38"/>
      <c r="I551" s="47"/>
    </row>
    <row r="552" ht="36.75" customHeight="1">
      <c r="E552" s="38"/>
      <c r="I552" s="47"/>
    </row>
    <row r="553" ht="36.75" customHeight="1">
      <c r="E553" s="38"/>
      <c r="I553" s="47"/>
    </row>
    <row r="554" ht="36.75" customHeight="1">
      <c r="E554" s="38"/>
      <c r="I554" s="47"/>
    </row>
    <row r="555" ht="36.75" customHeight="1">
      <c r="E555" s="38"/>
      <c r="I555" s="47"/>
    </row>
    <row r="556" ht="36.75" customHeight="1">
      <c r="E556" s="38"/>
      <c r="I556" s="47"/>
    </row>
    <row r="557" ht="36.75" customHeight="1">
      <c r="E557" s="38"/>
      <c r="I557" s="47"/>
    </row>
    <row r="558" ht="36.75" customHeight="1">
      <c r="E558" s="38"/>
      <c r="I558" s="47"/>
    </row>
    <row r="559" ht="36.75" customHeight="1">
      <c r="E559" s="38"/>
      <c r="I559" s="47"/>
    </row>
    <row r="560" ht="36.75" customHeight="1">
      <c r="E560" s="38"/>
      <c r="I560" s="47"/>
    </row>
    <row r="561" ht="36.75" customHeight="1">
      <c r="E561" s="38"/>
      <c r="I561" s="47"/>
    </row>
    <row r="562" ht="36.75" customHeight="1">
      <c r="E562" s="38"/>
      <c r="I562" s="47"/>
    </row>
    <row r="563" ht="36.75" customHeight="1">
      <c r="E563" s="38"/>
      <c r="I563" s="47"/>
    </row>
    <row r="564" ht="36.75" customHeight="1">
      <c r="E564" s="38"/>
      <c r="I564" s="47"/>
    </row>
    <row r="565" ht="36.75" customHeight="1">
      <c r="E565" s="38"/>
      <c r="I565" s="47"/>
    </row>
    <row r="566" ht="36.75" customHeight="1">
      <c r="E566" s="38"/>
      <c r="I566" s="47"/>
    </row>
    <row r="567" ht="36.75" customHeight="1">
      <c r="E567" s="38"/>
      <c r="I567" s="47"/>
    </row>
    <row r="568" ht="36.75" customHeight="1">
      <c r="E568" s="38"/>
      <c r="I568" s="47"/>
    </row>
    <row r="569" ht="36.75" customHeight="1">
      <c r="E569" s="38"/>
      <c r="I569" s="47"/>
    </row>
    <row r="570" ht="36.75" customHeight="1">
      <c r="E570" s="38"/>
      <c r="I570" s="47"/>
    </row>
    <row r="571" ht="36.75" customHeight="1">
      <c r="E571" s="38"/>
      <c r="I571" s="47"/>
    </row>
    <row r="572" ht="36.75" customHeight="1">
      <c r="E572" s="38"/>
      <c r="I572" s="47"/>
    </row>
    <row r="573" ht="36.75" customHeight="1">
      <c r="E573" s="38"/>
      <c r="I573" s="47"/>
    </row>
    <row r="574" ht="36.75" customHeight="1">
      <c r="E574" s="38"/>
      <c r="I574" s="47"/>
    </row>
    <row r="575" ht="36.75" customHeight="1">
      <c r="E575" s="38"/>
      <c r="I575" s="47"/>
    </row>
    <row r="576" ht="36.75" customHeight="1">
      <c r="E576" s="38"/>
      <c r="I576" s="47"/>
    </row>
    <row r="577" ht="36.75" customHeight="1">
      <c r="E577" s="38"/>
      <c r="I577" s="47"/>
    </row>
    <row r="578" ht="36.75" customHeight="1">
      <c r="E578" s="38"/>
      <c r="I578" s="47"/>
    </row>
    <row r="579" ht="36.75" customHeight="1">
      <c r="E579" s="38"/>
      <c r="I579" s="47"/>
    </row>
    <row r="580" ht="36.75" customHeight="1">
      <c r="E580" s="38"/>
      <c r="I580" s="47"/>
    </row>
    <row r="581" ht="36.75" customHeight="1">
      <c r="E581" s="38"/>
      <c r="I581" s="47"/>
    </row>
    <row r="582" ht="36.75" customHeight="1">
      <c r="E582" s="38"/>
      <c r="I582" s="47"/>
    </row>
    <row r="583" ht="36.75" customHeight="1">
      <c r="E583" s="38"/>
      <c r="I583" s="47"/>
    </row>
    <row r="584" ht="36.75" customHeight="1">
      <c r="E584" s="38"/>
      <c r="I584" s="47"/>
    </row>
    <row r="585" ht="36.75" customHeight="1">
      <c r="E585" s="38"/>
      <c r="I585" s="47"/>
    </row>
    <row r="586" ht="36.75" customHeight="1">
      <c r="E586" s="38"/>
      <c r="I586" s="47"/>
    </row>
    <row r="587" ht="36.75" customHeight="1">
      <c r="E587" s="38"/>
      <c r="I587" s="47"/>
    </row>
    <row r="588" ht="36.75" customHeight="1">
      <c r="E588" s="38"/>
      <c r="I588" s="47"/>
    </row>
    <row r="589" ht="36.75" customHeight="1">
      <c r="E589" s="38"/>
      <c r="I589" s="47"/>
    </row>
    <row r="590" ht="36.75" customHeight="1">
      <c r="E590" s="38"/>
      <c r="I590" s="47"/>
    </row>
    <row r="591" ht="36.75" customHeight="1">
      <c r="E591" s="38"/>
      <c r="I591" s="47"/>
    </row>
    <row r="592" ht="36.75" customHeight="1">
      <c r="E592" s="38"/>
      <c r="I592" s="47"/>
    </row>
    <row r="593" ht="36.75" customHeight="1">
      <c r="E593" s="38"/>
      <c r="I593" s="47"/>
    </row>
    <row r="594" ht="36.75" customHeight="1">
      <c r="E594" s="38"/>
      <c r="I594" s="47"/>
    </row>
    <row r="595" ht="36.75" customHeight="1">
      <c r="E595" s="38"/>
      <c r="I595" s="47"/>
    </row>
    <row r="596" ht="36.75" customHeight="1">
      <c r="E596" s="38"/>
      <c r="I596" s="47"/>
    </row>
    <row r="597" ht="36.75" customHeight="1">
      <c r="E597" s="38"/>
      <c r="I597" s="47"/>
    </row>
    <row r="598" ht="36.75" customHeight="1">
      <c r="E598" s="38"/>
      <c r="I598" s="47"/>
    </row>
    <row r="599" ht="36.75" customHeight="1">
      <c r="E599" s="38"/>
      <c r="I599" s="47"/>
    </row>
    <row r="600" ht="36.75" customHeight="1">
      <c r="E600" s="38"/>
      <c r="I600" s="47"/>
    </row>
    <row r="601" ht="36.75" customHeight="1">
      <c r="E601" s="38"/>
      <c r="I601" s="47"/>
    </row>
    <row r="602" ht="36.75" customHeight="1">
      <c r="E602" s="38"/>
      <c r="I602" s="47"/>
    </row>
    <row r="603" ht="36.75" customHeight="1">
      <c r="E603" s="38"/>
      <c r="I603" s="47"/>
    </row>
    <row r="604" ht="36.75" customHeight="1">
      <c r="E604" s="38"/>
      <c r="I604" s="47"/>
    </row>
    <row r="605" ht="36.75" customHeight="1">
      <c r="E605" s="38"/>
      <c r="I605" s="47"/>
    </row>
    <row r="606" ht="36.75" customHeight="1">
      <c r="E606" s="38"/>
      <c r="I606" s="47"/>
    </row>
    <row r="607" ht="36.75" customHeight="1">
      <c r="E607" s="38"/>
      <c r="I607" s="47"/>
    </row>
    <row r="608" ht="36.75" customHeight="1">
      <c r="E608" s="38"/>
      <c r="I608" s="47"/>
    </row>
    <row r="609" ht="36.75" customHeight="1">
      <c r="E609" s="38"/>
      <c r="I609" s="47"/>
    </row>
    <row r="610" ht="36.75" customHeight="1">
      <c r="E610" s="38"/>
      <c r="I610" s="47"/>
    </row>
    <row r="611" ht="36.75" customHeight="1">
      <c r="E611" s="38"/>
      <c r="I611" s="47"/>
    </row>
    <row r="612" ht="36.75" customHeight="1">
      <c r="E612" s="38"/>
      <c r="I612" s="47"/>
    </row>
    <row r="613" ht="36.75" customHeight="1">
      <c r="E613" s="38"/>
      <c r="I613" s="47"/>
    </row>
    <row r="614" ht="36.75" customHeight="1">
      <c r="E614" s="38"/>
      <c r="I614" s="47"/>
    </row>
    <row r="615" ht="36.75" customHeight="1">
      <c r="E615" s="38"/>
      <c r="I615" s="47"/>
    </row>
    <row r="616" ht="36.75" customHeight="1">
      <c r="E616" s="38"/>
      <c r="I616" s="47"/>
    </row>
    <row r="617" ht="36.75" customHeight="1">
      <c r="E617" s="38"/>
      <c r="I617" s="47"/>
    </row>
    <row r="618" ht="36.75" customHeight="1">
      <c r="E618" s="38"/>
      <c r="I618" s="47"/>
    </row>
    <row r="619" ht="36.75" customHeight="1">
      <c r="E619" s="38"/>
      <c r="I619" s="47"/>
    </row>
    <row r="620" ht="36.75" customHeight="1">
      <c r="E620" s="38"/>
      <c r="I620" s="47"/>
    </row>
    <row r="621" ht="36.75" customHeight="1">
      <c r="E621" s="38"/>
      <c r="I621" s="47"/>
    </row>
    <row r="622" ht="36.75" customHeight="1">
      <c r="E622" s="38"/>
      <c r="I622" s="47"/>
    </row>
    <row r="623" ht="36.75" customHeight="1">
      <c r="E623" s="38"/>
      <c r="I623" s="47"/>
    </row>
    <row r="624" ht="36.75" customHeight="1">
      <c r="E624" s="38"/>
      <c r="I624" s="47"/>
    </row>
    <row r="625" ht="36.75" customHeight="1">
      <c r="E625" s="38"/>
      <c r="I625" s="47"/>
    </row>
    <row r="626" ht="36.75" customHeight="1">
      <c r="E626" s="38"/>
      <c r="I626" s="47"/>
    </row>
    <row r="627" ht="36.75" customHeight="1">
      <c r="E627" s="38"/>
      <c r="I627" s="47"/>
    </row>
    <row r="628" ht="36.75" customHeight="1">
      <c r="E628" s="38"/>
      <c r="I628" s="47"/>
    </row>
    <row r="629" ht="36.75" customHeight="1">
      <c r="E629" s="38"/>
      <c r="I629" s="47"/>
    </row>
    <row r="630" ht="36.75" customHeight="1">
      <c r="E630" s="38"/>
      <c r="I630" s="47"/>
    </row>
    <row r="631" ht="36.75" customHeight="1">
      <c r="E631" s="38"/>
      <c r="I631" s="47"/>
    </row>
    <row r="632" ht="36.75" customHeight="1">
      <c r="E632" s="38"/>
      <c r="I632" s="47"/>
    </row>
    <row r="633" ht="36.75" customHeight="1">
      <c r="E633" s="38"/>
      <c r="I633" s="47"/>
    </row>
    <row r="634" ht="36.75" customHeight="1">
      <c r="E634" s="38"/>
      <c r="I634" s="47"/>
    </row>
    <row r="635" ht="36.75" customHeight="1">
      <c r="E635" s="38"/>
      <c r="I635" s="47"/>
    </row>
    <row r="636" ht="36.75" customHeight="1">
      <c r="E636" s="38"/>
      <c r="I636" s="47"/>
    </row>
    <row r="637" ht="36.75" customHeight="1">
      <c r="E637" s="38"/>
      <c r="I637" s="47"/>
    </row>
    <row r="638" ht="36.75" customHeight="1">
      <c r="E638" s="38"/>
      <c r="I638" s="47"/>
    </row>
    <row r="639" ht="36.75" customHeight="1">
      <c r="E639" s="38"/>
      <c r="I639" s="47"/>
    </row>
    <row r="640" ht="36.75" customHeight="1">
      <c r="E640" s="38"/>
      <c r="I640" s="47"/>
    </row>
    <row r="641" ht="36.75" customHeight="1">
      <c r="E641" s="38"/>
      <c r="I641" s="47"/>
    </row>
    <row r="642" ht="36.75" customHeight="1">
      <c r="E642" s="38"/>
      <c r="I642" s="47"/>
    </row>
    <row r="643" ht="36.75" customHeight="1">
      <c r="E643" s="38"/>
      <c r="I643" s="47"/>
    </row>
    <row r="644" ht="36.75" customHeight="1">
      <c r="E644" s="38"/>
      <c r="I644" s="47"/>
    </row>
    <row r="645" ht="36.75" customHeight="1">
      <c r="E645" s="38"/>
      <c r="I645" s="47"/>
    </row>
    <row r="646" ht="36.75" customHeight="1">
      <c r="E646" s="38"/>
      <c r="I646" s="47"/>
    </row>
    <row r="647" ht="36.75" customHeight="1">
      <c r="E647" s="38"/>
      <c r="I647" s="47"/>
    </row>
    <row r="648" ht="36.75" customHeight="1">
      <c r="E648" s="38"/>
      <c r="I648" s="47"/>
    </row>
    <row r="649" ht="36.75" customHeight="1">
      <c r="E649" s="38"/>
      <c r="I649" s="47"/>
    </row>
    <row r="650" ht="36.75" customHeight="1">
      <c r="E650" s="38"/>
      <c r="I650" s="47"/>
    </row>
    <row r="651" ht="36.75" customHeight="1">
      <c r="E651" s="38"/>
      <c r="I651" s="47"/>
    </row>
    <row r="652" ht="36.75" customHeight="1">
      <c r="E652" s="38"/>
      <c r="I652" s="47"/>
    </row>
    <row r="653" ht="36.75" customHeight="1">
      <c r="E653" s="38"/>
      <c r="I653" s="47"/>
    </row>
    <row r="654" ht="36.75" customHeight="1">
      <c r="E654" s="38"/>
      <c r="I654" s="47"/>
    </row>
    <row r="655" ht="36.75" customHeight="1">
      <c r="E655" s="38"/>
      <c r="I655" s="47"/>
    </row>
    <row r="656" ht="36.75" customHeight="1">
      <c r="E656" s="38"/>
      <c r="I656" s="47"/>
    </row>
    <row r="657" ht="36.75" customHeight="1">
      <c r="E657" s="38"/>
      <c r="I657" s="47"/>
    </row>
    <row r="658" ht="36.75" customHeight="1">
      <c r="E658" s="38"/>
      <c r="I658" s="47"/>
    </row>
    <row r="659" ht="36.75" customHeight="1">
      <c r="E659" s="38"/>
      <c r="I659" s="47"/>
    </row>
    <row r="660" ht="36.75" customHeight="1">
      <c r="E660" s="38"/>
      <c r="I660" s="47"/>
    </row>
    <row r="661" ht="36.75" customHeight="1">
      <c r="E661" s="38"/>
      <c r="I661" s="47"/>
    </row>
    <row r="662" ht="36.75" customHeight="1">
      <c r="E662" s="38"/>
      <c r="I662" s="47"/>
    </row>
    <row r="663" ht="36.75" customHeight="1">
      <c r="E663" s="38"/>
      <c r="I663" s="47"/>
    </row>
    <row r="664" ht="36.75" customHeight="1">
      <c r="E664" s="38"/>
      <c r="I664" s="47"/>
    </row>
    <row r="665" ht="36.75" customHeight="1">
      <c r="E665" s="38"/>
      <c r="I665" s="47"/>
    </row>
    <row r="666" ht="36.75" customHeight="1">
      <c r="E666" s="38"/>
      <c r="I666" s="47"/>
    </row>
    <row r="667" ht="36.75" customHeight="1">
      <c r="E667" s="38"/>
      <c r="I667" s="47"/>
    </row>
    <row r="668" ht="36.75" customHeight="1">
      <c r="E668" s="38"/>
      <c r="I668" s="47"/>
    </row>
    <row r="669" ht="36.75" customHeight="1">
      <c r="E669" s="38"/>
      <c r="I669" s="47"/>
    </row>
    <row r="670" ht="36.75" customHeight="1">
      <c r="E670" s="38"/>
      <c r="I670" s="47"/>
    </row>
    <row r="671" ht="36.75" customHeight="1">
      <c r="E671" s="38"/>
      <c r="I671" s="47"/>
    </row>
    <row r="672" ht="36.75" customHeight="1">
      <c r="E672" s="38"/>
      <c r="I672" s="47"/>
    </row>
    <row r="673" ht="36.75" customHeight="1">
      <c r="E673" s="38"/>
      <c r="I673" s="47"/>
    </row>
    <row r="674" ht="36.75" customHeight="1">
      <c r="E674" s="38"/>
      <c r="I674" s="47"/>
    </row>
    <row r="675" ht="36.75" customHeight="1">
      <c r="E675" s="38"/>
      <c r="I675" s="47"/>
    </row>
    <row r="676" ht="36.75" customHeight="1">
      <c r="E676" s="38"/>
      <c r="I676" s="47"/>
    </row>
    <row r="677" ht="36.75" customHeight="1">
      <c r="E677" s="38"/>
      <c r="I677" s="47"/>
    </row>
    <row r="678" ht="36.75" customHeight="1">
      <c r="E678" s="38"/>
      <c r="I678" s="47"/>
    </row>
    <row r="679" ht="36.75" customHeight="1">
      <c r="E679" s="38"/>
      <c r="I679" s="47"/>
    </row>
    <row r="680" ht="36.75" customHeight="1">
      <c r="E680" s="38"/>
      <c r="I680" s="47"/>
    </row>
    <row r="681" ht="36.75" customHeight="1">
      <c r="E681" s="38"/>
      <c r="I681" s="47"/>
    </row>
    <row r="682" ht="36.75" customHeight="1">
      <c r="E682" s="38"/>
      <c r="I682" s="47"/>
    </row>
    <row r="683" ht="36.75" customHeight="1">
      <c r="E683" s="38"/>
      <c r="I683" s="47"/>
    </row>
    <row r="684" ht="36.75" customHeight="1">
      <c r="E684" s="38"/>
      <c r="I684" s="47"/>
    </row>
    <row r="685" ht="36.75" customHeight="1">
      <c r="E685" s="38"/>
      <c r="I685" s="47"/>
    </row>
    <row r="686" ht="36.75" customHeight="1">
      <c r="E686" s="38"/>
      <c r="I686" s="47"/>
    </row>
    <row r="687" ht="36.75" customHeight="1">
      <c r="E687" s="38"/>
      <c r="I687" s="47"/>
    </row>
    <row r="688" ht="36.75" customHeight="1">
      <c r="E688" s="38"/>
      <c r="I688" s="47"/>
    </row>
    <row r="689" ht="36.75" customHeight="1">
      <c r="E689" s="38"/>
      <c r="I689" s="47"/>
    </row>
    <row r="690" ht="36.75" customHeight="1">
      <c r="E690" s="38"/>
      <c r="I690" s="47"/>
    </row>
    <row r="691" ht="36.75" customHeight="1">
      <c r="E691" s="38"/>
      <c r="I691" s="47"/>
    </row>
    <row r="692" ht="36.75" customHeight="1">
      <c r="E692" s="38"/>
      <c r="I692" s="47"/>
    </row>
    <row r="693" ht="36.75" customHeight="1">
      <c r="E693" s="38"/>
      <c r="I693" s="47"/>
    </row>
    <row r="694" ht="36.75" customHeight="1">
      <c r="E694" s="38"/>
      <c r="I694" s="47"/>
    </row>
    <row r="695" ht="36.75" customHeight="1">
      <c r="E695" s="38"/>
      <c r="I695" s="47"/>
    </row>
    <row r="696" ht="36.75" customHeight="1">
      <c r="E696" s="38"/>
      <c r="I696" s="47"/>
    </row>
    <row r="697" ht="36.75" customHeight="1">
      <c r="E697" s="38"/>
      <c r="I697" s="47"/>
    </row>
    <row r="698" ht="36.75" customHeight="1">
      <c r="E698" s="38"/>
      <c r="I698" s="47"/>
    </row>
    <row r="699" ht="36.75" customHeight="1">
      <c r="E699" s="38"/>
      <c r="I699" s="47"/>
    </row>
    <row r="700" ht="36.75" customHeight="1">
      <c r="E700" s="38"/>
      <c r="I700" s="47"/>
    </row>
    <row r="701" ht="36.75" customHeight="1">
      <c r="E701" s="38"/>
      <c r="I701" s="47"/>
    </row>
    <row r="702" ht="36.75" customHeight="1">
      <c r="E702" s="38"/>
      <c r="I702" s="47"/>
    </row>
    <row r="703" ht="36.75" customHeight="1">
      <c r="E703" s="38"/>
      <c r="I703" s="47"/>
    </row>
    <row r="704" ht="36.75" customHeight="1">
      <c r="E704" s="38"/>
      <c r="I704" s="47"/>
    </row>
    <row r="705" ht="36.75" customHeight="1">
      <c r="E705" s="38"/>
      <c r="I705" s="47"/>
    </row>
    <row r="706" ht="36.75" customHeight="1">
      <c r="E706" s="38"/>
      <c r="I706" s="47"/>
    </row>
    <row r="707" ht="36.75" customHeight="1">
      <c r="E707" s="38"/>
      <c r="I707" s="47"/>
    </row>
    <row r="708" ht="36.75" customHeight="1">
      <c r="E708" s="38"/>
      <c r="I708" s="47"/>
    </row>
    <row r="709" ht="36.75" customHeight="1">
      <c r="E709" s="38"/>
      <c r="I709" s="47"/>
    </row>
    <row r="710" ht="36.75" customHeight="1">
      <c r="E710" s="38"/>
      <c r="I710" s="47"/>
    </row>
    <row r="711" ht="36.75" customHeight="1">
      <c r="E711" s="38"/>
      <c r="I711" s="47"/>
    </row>
    <row r="712" ht="36.75" customHeight="1">
      <c r="E712" s="38"/>
      <c r="I712" s="47"/>
    </row>
    <row r="713" ht="36.75" customHeight="1">
      <c r="E713" s="38"/>
      <c r="I713" s="47"/>
    </row>
    <row r="714" ht="36.75" customHeight="1">
      <c r="E714" s="38"/>
      <c r="I714" s="47"/>
    </row>
    <row r="715" ht="36.75" customHeight="1">
      <c r="E715" s="38"/>
      <c r="I715" s="47"/>
    </row>
    <row r="716" ht="36.75" customHeight="1">
      <c r="E716" s="38"/>
      <c r="I716" s="47"/>
    </row>
    <row r="717" ht="36.75" customHeight="1">
      <c r="E717" s="38"/>
      <c r="I717" s="47"/>
    </row>
    <row r="718" ht="36.75" customHeight="1">
      <c r="E718" s="38"/>
      <c r="I718" s="47"/>
    </row>
    <row r="719" ht="36.75" customHeight="1">
      <c r="E719" s="38"/>
      <c r="I719" s="47"/>
    </row>
    <row r="720" ht="36.75" customHeight="1">
      <c r="E720" s="38"/>
      <c r="I720" s="47"/>
    </row>
    <row r="721" ht="36.75" customHeight="1">
      <c r="E721" s="38"/>
      <c r="I721" s="47"/>
    </row>
    <row r="722" ht="36.75" customHeight="1">
      <c r="E722" s="38"/>
      <c r="I722" s="47"/>
    </row>
    <row r="723" ht="36.75" customHeight="1">
      <c r="E723" s="38"/>
      <c r="I723" s="47"/>
    </row>
    <row r="724" ht="36.75" customHeight="1">
      <c r="E724" s="38"/>
      <c r="I724" s="47"/>
    </row>
    <row r="725" ht="36.75" customHeight="1">
      <c r="E725" s="38"/>
      <c r="I725" s="47"/>
    </row>
    <row r="726" ht="36.75" customHeight="1">
      <c r="E726" s="38"/>
      <c r="I726" s="47"/>
    </row>
    <row r="727" ht="36.75" customHeight="1">
      <c r="E727" s="38"/>
      <c r="I727" s="47"/>
    </row>
    <row r="728" ht="36.75" customHeight="1">
      <c r="E728" s="38"/>
      <c r="I728" s="47"/>
    </row>
    <row r="729" ht="36.75" customHeight="1">
      <c r="E729" s="38"/>
      <c r="I729" s="47"/>
    </row>
    <row r="730" ht="36.75" customHeight="1">
      <c r="E730" s="38"/>
      <c r="I730" s="47"/>
    </row>
    <row r="731" ht="36.75" customHeight="1">
      <c r="E731" s="38"/>
      <c r="I731" s="47"/>
    </row>
    <row r="732" ht="36.75" customHeight="1">
      <c r="E732" s="38"/>
      <c r="I732" s="47"/>
    </row>
    <row r="733" ht="36.75" customHeight="1">
      <c r="E733" s="38"/>
      <c r="I733" s="47"/>
    </row>
    <row r="734" ht="36.75" customHeight="1">
      <c r="E734" s="38"/>
      <c r="I734" s="47"/>
    </row>
    <row r="735" ht="36.75" customHeight="1">
      <c r="E735" s="38"/>
      <c r="I735" s="47"/>
    </row>
    <row r="736" ht="36.75" customHeight="1">
      <c r="E736" s="38"/>
      <c r="I736" s="47"/>
    </row>
    <row r="737" ht="36.75" customHeight="1">
      <c r="E737" s="38"/>
      <c r="I737" s="47"/>
    </row>
    <row r="738" ht="36.75" customHeight="1">
      <c r="E738" s="38"/>
      <c r="I738" s="47"/>
    </row>
    <row r="739" ht="36.75" customHeight="1">
      <c r="E739" s="38"/>
      <c r="I739" s="47"/>
    </row>
    <row r="740" ht="36.75" customHeight="1">
      <c r="E740" s="38"/>
      <c r="I740" s="47"/>
    </row>
    <row r="741" ht="36.75" customHeight="1">
      <c r="E741" s="38"/>
      <c r="I741" s="47"/>
    </row>
    <row r="742" ht="36.75" customHeight="1">
      <c r="E742" s="38"/>
      <c r="I742" s="47"/>
    </row>
    <row r="743" ht="36.75" customHeight="1">
      <c r="E743" s="38"/>
      <c r="I743" s="47"/>
    </row>
    <row r="744" ht="36.75" customHeight="1">
      <c r="E744" s="38"/>
      <c r="I744" s="47"/>
    </row>
    <row r="745" ht="36.75" customHeight="1">
      <c r="E745" s="38"/>
      <c r="I745" s="47"/>
    </row>
    <row r="746" ht="36.75" customHeight="1">
      <c r="E746" s="38"/>
      <c r="I746" s="47"/>
    </row>
    <row r="747" ht="36.75" customHeight="1">
      <c r="E747" s="38"/>
      <c r="I747" s="47"/>
    </row>
    <row r="748" ht="36.75" customHeight="1">
      <c r="E748" s="38"/>
      <c r="I748" s="47"/>
    </row>
    <row r="749" ht="36.75" customHeight="1">
      <c r="E749" s="38"/>
      <c r="I749" s="47"/>
    </row>
    <row r="750" ht="36.75" customHeight="1">
      <c r="E750" s="38"/>
      <c r="I750" s="47"/>
    </row>
    <row r="751" ht="36.75" customHeight="1">
      <c r="E751" s="38"/>
      <c r="I751" s="47"/>
    </row>
    <row r="752" ht="36.75" customHeight="1">
      <c r="E752" s="38"/>
      <c r="I752" s="47"/>
    </row>
    <row r="753" ht="36.75" customHeight="1">
      <c r="E753" s="38"/>
      <c r="I753" s="47"/>
    </row>
    <row r="754" ht="36.75" customHeight="1">
      <c r="E754" s="38"/>
      <c r="I754" s="47"/>
    </row>
    <row r="755" ht="36.75" customHeight="1">
      <c r="E755" s="38"/>
      <c r="I755" s="47"/>
    </row>
    <row r="756" ht="36.75" customHeight="1">
      <c r="E756" s="38"/>
      <c r="I756" s="47"/>
    </row>
    <row r="757" ht="36.75" customHeight="1">
      <c r="E757" s="38"/>
      <c r="I757" s="47"/>
    </row>
    <row r="758" ht="36.75" customHeight="1">
      <c r="E758" s="38"/>
      <c r="I758" s="47"/>
    </row>
    <row r="759" ht="36.75" customHeight="1">
      <c r="E759" s="38"/>
      <c r="I759" s="47"/>
    </row>
    <row r="760" ht="36.75" customHeight="1">
      <c r="E760" s="38"/>
      <c r="I760" s="47"/>
    </row>
    <row r="761" ht="36.75" customHeight="1">
      <c r="E761" s="38"/>
      <c r="I761" s="47"/>
    </row>
    <row r="762" ht="36.75" customHeight="1">
      <c r="E762" s="38"/>
      <c r="I762" s="47"/>
    </row>
    <row r="763" ht="36.75" customHeight="1">
      <c r="E763" s="38"/>
      <c r="I763" s="47"/>
    </row>
    <row r="764" ht="36.75" customHeight="1">
      <c r="E764" s="38"/>
      <c r="I764" s="47"/>
    </row>
    <row r="765" ht="36.75" customHeight="1">
      <c r="E765" s="38"/>
      <c r="I765" s="47"/>
    </row>
    <row r="766" ht="36.75" customHeight="1">
      <c r="E766" s="38"/>
      <c r="I766" s="47"/>
    </row>
    <row r="767" ht="36.75" customHeight="1">
      <c r="E767" s="38"/>
      <c r="I767" s="47"/>
    </row>
    <row r="768" ht="36.75" customHeight="1">
      <c r="E768" s="38"/>
      <c r="I768" s="47"/>
    </row>
    <row r="769" ht="36.75" customHeight="1">
      <c r="E769" s="38"/>
      <c r="I769" s="47"/>
    </row>
    <row r="770" ht="36.75" customHeight="1">
      <c r="E770" s="38"/>
      <c r="I770" s="47"/>
    </row>
    <row r="771" ht="36.75" customHeight="1">
      <c r="E771" s="38"/>
      <c r="I771" s="47"/>
    </row>
    <row r="772" ht="36.75" customHeight="1">
      <c r="E772" s="38"/>
      <c r="I772" s="47"/>
    </row>
    <row r="773" ht="36.75" customHeight="1">
      <c r="E773" s="38"/>
      <c r="I773" s="47"/>
    </row>
    <row r="774" ht="36.75" customHeight="1">
      <c r="E774" s="38"/>
      <c r="I774" s="47"/>
    </row>
    <row r="775" ht="36.75" customHeight="1">
      <c r="E775" s="38"/>
      <c r="I775" s="47"/>
    </row>
    <row r="776" ht="36.75" customHeight="1">
      <c r="E776" s="38"/>
      <c r="I776" s="47"/>
    </row>
    <row r="777" ht="36.75" customHeight="1">
      <c r="E777" s="38"/>
      <c r="I777" s="47"/>
    </row>
    <row r="778" ht="36.75" customHeight="1">
      <c r="E778" s="38"/>
      <c r="I778" s="47"/>
    </row>
    <row r="779" ht="36.75" customHeight="1">
      <c r="E779" s="38"/>
      <c r="I779" s="47"/>
    </row>
    <row r="780" ht="36.75" customHeight="1">
      <c r="E780" s="38"/>
      <c r="I780" s="47"/>
    </row>
    <row r="781" ht="36.75" customHeight="1">
      <c r="E781" s="38"/>
      <c r="I781" s="47"/>
    </row>
    <row r="782" ht="36.75" customHeight="1">
      <c r="E782" s="38"/>
      <c r="I782" s="47"/>
    </row>
    <row r="783" ht="36.75" customHeight="1">
      <c r="E783" s="38"/>
      <c r="I783" s="47"/>
    </row>
    <row r="784" ht="36.75" customHeight="1">
      <c r="E784" s="38"/>
      <c r="I784" s="47"/>
    </row>
    <row r="785" ht="36.75" customHeight="1">
      <c r="E785" s="38"/>
      <c r="I785" s="47"/>
    </row>
    <row r="786" ht="36.75" customHeight="1">
      <c r="E786" s="38"/>
      <c r="I786" s="47"/>
    </row>
    <row r="787" ht="36.75" customHeight="1">
      <c r="E787" s="38"/>
      <c r="I787" s="47"/>
    </row>
    <row r="788" ht="36.75" customHeight="1">
      <c r="E788" s="38"/>
      <c r="I788" s="47"/>
    </row>
    <row r="789" ht="36.75" customHeight="1">
      <c r="E789" s="38"/>
      <c r="I789" s="47"/>
    </row>
    <row r="790" ht="36.75" customHeight="1">
      <c r="E790" s="38"/>
      <c r="I790" s="47"/>
    </row>
    <row r="791" ht="36.75" customHeight="1">
      <c r="E791" s="38"/>
      <c r="I791" s="47"/>
    </row>
    <row r="792" ht="36.75" customHeight="1">
      <c r="E792" s="38"/>
      <c r="I792" s="47"/>
    </row>
    <row r="793" ht="36.75" customHeight="1">
      <c r="E793" s="38"/>
      <c r="I793" s="47"/>
    </row>
    <row r="794" ht="36.75" customHeight="1">
      <c r="E794" s="38"/>
      <c r="I794" s="47"/>
    </row>
    <row r="795" ht="36.75" customHeight="1">
      <c r="E795" s="38"/>
      <c r="I795" s="47"/>
    </row>
    <row r="796" ht="36.75" customHeight="1">
      <c r="E796" s="38"/>
      <c r="I796" s="47"/>
    </row>
    <row r="797" ht="36.75" customHeight="1">
      <c r="E797" s="38"/>
      <c r="I797" s="47"/>
    </row>
    <row r="798" ht="36.75" customHeight="1">
      <c r="E798" s="38"/>
      <c r="I798" s="47"/>
    </row>
    <row r="799" ht="36.75" customHeight="1">
      <c r="E799" s="38"/>
      <c r="I799" s="47"/>
    </row>
    <row r="800" ht="36.75" customHeight="1">
      <c r="E800" s="38"/>
      <c r="I800" s="47"/>
    </row>
    <row r="801" ht="36.75" customHeight="1">
      <c r="E801" s="38"/>
      <c r="I801" s="47"/>
    </row>
    <row r="802" ht="36.75" customHeight="1">
      <c r="E802" s="38"/>
      <c r="I802" s="47"/>
    </row>
    <row r="803" ht="36.75" customHeight="1">
      <c r="E803" s="38"/>
      <c r="I803" s="47"/>
    </row>
    <row r="804" ht="36.75" customHeight="1">
      <c r="E804" s="38"/>
      <c r="I804" s="47"/>
    </row>
    <row r="805" ht="36.75" customHeight="1">
      <c r="E805" s="38"/>
      <c r="I805" s="47"/>
    </row>
    <row r="806" ht="36.75" customHeight="1">
      <c r="E806" s="38"/>
      <c r="I806" s="47"/>
    </row>
    <row r="807" ht="36.75" customHeight="1">
      <c r="E807" s="38"/>
      <c r="I807" s="47"/>
    </row>
    <row r="808" ht="36.75" customHeight="1">
      <c r="E808" s="38"/>
      <c r="I808" s="47"/>
    </row>
    <row r="809" ht="36.75" customHeight="1">
      <c r="E809" s="38"/>
      <c r="I809" s="47"/>
    </row>
    <row r="810" ht="36.75" customHeight="1">
      <c r="E810" s="38"/>
      <c r="I810" s="47"/>
    </row>
    <row r="811" ht="36.75" customHeight="1">
      <c r="E811" s="38"/>
      <c r="I811" s="47"/>
    </row>
    <row r="812" ht="36.75" customHeight="1">
      <c r="E812" s="38"/>
      <c r="I812" s="47"/>
    </row>
    <row r="813" ht="36.75" customHeight="1">
      <c r="E813" s="38"/>
      <c r="I813" s="47"/>
    </row>
    <row r="814" ht="36.75" customHeight="1">
      <c r="E814" s="38"/>
      <c r="I814" s="47"/>
    </row>
    <row r="815" ht="36.75" customHeight="1">
      <c r="E815" s="38"/>
      <c r="I815" s="47"/>
    </row>
    <row r="816" ht="36.75" customHeight="1">
      <c r="E816" s="38"/>
      <c r="I816" s="47"/>
    </row>
    <row r="817" ht="36.75" customHeight="1">
      <c r="E817" s="38"/>
      <c r="I817" s="47"/>
    </row>
    <row r="818" ht="36.75" customHeight="1">
      <c r="E818" s="38"/>
      <c r="I818" s="47"/>
    </row>
    <row r="819" ht="36.75" customHeight="1">
      <c r="E819" s="38"/>
      <c r="I819" s="47"/>
    </row>
    <row r="820" ht="36.75" customHeight="1">
      <c r="E820" s="38"/>
      <c r="I820" s="47"/>
    </row>
    <row r="821" ht="36.75" customHeight="1">
      <c r="E821" s="38"/>
      <c r="I821" s="47"/>
    </row>
    <row r="822" ht="36.75" customHeight="1">
      <c r="E822" s="38"/>
      <c r="I822" s="47"/>
    </row>
    <row r="823" ht="36.75" customHeight="1">
      <c r="E823" s="38"/>
      <c r="I823" s="47"/>
    </row>
    <row r="824" ht="36.75" customHeight="1">
      <c r="E824" s="38"/>
      <c r="I824" s="47"/>
    </row>
    <row r="825" ht="36.75" customHeight="1">
      <c r="E825" s="38"/>
      <c r="I825" s="47"/>
    </row>
    <row r="826" ht="36.75" customHeight="1">
      <c r="E826" s="38"/>
      <c r="I826" s="47"/>
    </row>
    <row r="827" ht="36.75" customHeight="1">
      <c r="E827" s="38"/>
      <c r="I827" s="47"/>
    </row>
    <row r="828" ht="36.75" customHeight="1">
      <c r="E828" s="38"/>
      <c r="I828" s="47"/>
    </row>
    <row r="829" ht="36.75" customHeight="1">
      <c r="E829" s="38"/>
      <c r="I829" s="47"/>
    </row>
    <row r="830" ht="36.75" customHeight="1">
      <c r="E830" s="38"/>
      <c r="I830" s="47"/>
    </row>
    <row r="831" ht="36.75" customHeight="1">
      <c r="E831" s="38"/>
      <c r="I831" s="47"/>
    </row>
    <row r="832" ht="36.75" customHeight="1">
      <c r="E832" s="38"/>
      <c r="I832" s="47"/>
    </row>
    <row r="833" ht="36.75" customHeight="1">
      <c r="E833" s="38"/>
      <c r="I833" s="47"/>
    </row>
    <row r="834" ht="36.75" customHeight="1">
      <c r="E834" s="38"/>
      <c r="I834" s="47"/>
    </row>
    <row r="835" ht="36.75" customHeight="1">
      <c r="E835" s="38"/>
      <c r="I835" s="47"/>
    </row>
    <row r="836" ht="36.75" customHeight="1">
      <c r="E836" s="38"/>
      <c r="I836" s="47"/>
    </row>
    <row r="837" ht="36.75" customHeight="1">
      <c r="E837" s="38"/>
      <c r="I837" s="47"/>
    </row>
    <row r="838" ht="36.75" customHeight="1">
      <c r="E838" s="38"/>
      <c r="I838" s="47"/>
    </row>
    <row r="839" ht="36.75" customHeight="1">
      <c r="E839" s="38"/>
      <c r="I839" s="47"/>
    </row>
    <row r="840" ht="36.75" customHeight="1">
      <c r="E840" s="38"/>
      <c r="I840" s="47"/>
    </row>
    <row r="841" ht="36.75" customHeight="1">
      <c r="E841" s="38"/>
      <c r="I841" s="47"/>
    </row>
    <row r="842" ht="36.75" customHeight="1">
      <c r="E842" s="38"/>
      <c r="I842" s="47"/>
    </row>
    <row r="843" ht="36.75" customHeight="1">
      <c r="E843" s="38"/>
      <c r="I843" s="47"/>
    </row>
    <row r="844" ht="36.75" customHeight="1">
      <c r="E844" s="38"/>
      <c r="I844" s="47"/>
    </row>
    <row r="845" ht="36.75" customHeight="1">
      <c r="E845" s="38"/>
      <c r="I845" s="47"/>
    </row>
    <row r="846" ht="36.75" customHeight="1">
      <c r="E846" s="38"/>
      <c r="I846" s="47"/>
    </row>
    <row r="847" ht="36.75" customHeight="1">
      <c r="E847" s="38"/>
      <c r="I847" s="47"/>
    </row>
    <row r="848" ht="36.75" customHeight="1">
      <c r="E848" s="38"/>
      <c r="I848" s="47"/>
    </row>
    <row r="849" ht="36.75" customHeight="1">
      <c r="E849" s="38"/>
      <c r="I849" s="47"/>
    </row>
    <row r="850" ht="36.75" customHeight="1">
      <c r="E850" s="38"/>
      <c r="I850" s="47"/>
    </row>
    <row r="851" ht="36.75" customHeight="1">
      <c r="E851" s="38"/>
      <c r="I851" s="47"/>
    </row>
    <row r="852" ht="36.75" customHeight="1">
      <c r="E852" s="38"/>
      <c r="I852" s="47"/>
    </row>
    <row r="853" ht="36.75" customHeight="1">
      <c r="E853" s="38"/>
      <c r="I853" s="47"/>
    </row>
    <row r="854" ht="36.75" customHeight="1">
      <c r="E854" s="38"/>
      <c r="I854" s="47"/>
    </row>
    <row r="855" ht="36.75" customHeight="1">
      <c r="E855" s="38"/>
      <c r="I855" s="47"/>
    </row>
    <row r="856" ht="36.75" customHeight="1">
      <c r="E856" s="38"/>
      <c r="I856" s="47"/>
    </row>
    <row r="857" ht="36.75" customHeight="1">
      <c r="E857" s="38"/>
      <c r="I857" s="47"/>
    </row>
    <row r="858" ht="36.75" customHeight="1">
      <c r="E858" s="38"/>
      <c r="I858" s="47"/>
    </row>
    <row r="859" ht="36.75" customHeight="1">
      <c r="E859" s="38"/>
      <c r="I859" s="47"/>
    </row>
    <row r="860" ht="36.75" customHeight="1">
      <c r="E860" s="38"/>
      <c r="I860" s="47"/>
    </row>
    <row r="861" ht="36.75" customHeight="1">
      <c r="E861" s="38"/>
      <c r="I861" s="47"/>
    </row>
    <row r="862" ht="36.75" customHeight="1">
      <c r="E862" s="38"/>
      <c r="I862" s="47"/>
    </row>
    <row r="863" ht="36.75" customHeight="1">
      <c r="E863" s="38"/>
      <c r="I863" s="47"/>
    </row>
    <row r="864" ht="36.75" customHeight="1">
      <c r="E864" s="38"/>
      <c r="I864" s="47"/>
    </row>
    <row r="865" ht="36.75" customHeight="1">
      <c r="E865" s="38"/>
      <c r="I865" s="47"/>
    </row>
    <row r="866" ht="36.75" customHeight="1">
      <c r="E866" s="38"/>
      <c r="I866" s="47"/>
    </row>
    <row r="867" ht="36.75" customHeight="1">
      <c r="E867" s="38"/>
      <c r="I867" s="47"/>
    </row>
    <row r="868" ht="36.75" customHeight="1">
      <c r="E868" s="38"/>
      <c r="I868" s="47"/>
    </row>
    <row r="869" ht="36.75" customHeight="1">
      <c r="E869" s="38"/>
      <c r="I869" s="47"/>
    </row>
    <row r="870" ht="36.75" customHeight="1">
      <c r="E870" s="38"/>
      <c r="I870" s="47"/>
    </row>
    <row r="871" ht="36.75" customHeight="1">
      <c r="E871" s="38"/>
      <c r="I871" s="47"/>
    </row>
    <row r="872" ht="36.75" customHeight="1">
      <c r="E872" s="38"/>
      <c r="I872" s="47"/>
    </row>
    <row r="873" ht="36.75" customHeight="1">
      <c r="E873" s="38"/>
      <c r="I873" s="47"/>
    </row>
    <row r="874" ht="36.75" customHeight="1">
      <c r="E874" s="38"/>
      <c r="I874" s="47"/>
    </row>
    <row r="875" ht="36.75" customHeight="1">
      <c r="E875" s="38"/>
      <c r="I875" s="47"/>
    </row>
    <row r="876" ht="36.75" customHeight="1">
      <c r="E876" s="38"/>
      <c r="I876" s="47"/>
    </row>
    <row r="877" ht="36.75" customHeight="1">
      <c r="E877" s="38"/>
      <c r="I877" s="47"/>
    </row>
    <row r="878" ht="36.75" customHeight="1">
      <c r="E878" s="38"/>
      <c r="I878" s="47"/>
    </row>
    <row r="879" ht="36.75" customHeight="1">
      <c r="E879" s="38"/>
      <c r="I879" s="47"/>
    </row>
    <row r="880" ht="36.75" customHeight="1">
      <c r="E880" s="38"/>
      <c r="I880" s="47"/>
    </row>
    <row r="881" ht="36.75" customHeight="1">
      <c r="E881" s="38"/>
      <c r="I881" s="47"/>
    </row>
    <row r="882" ht="36.75" customHeight="1">
      <c r="E882" s="38"/>
      <c r="I882" s="47"/>
    </row>
    <row r="883" ht="36.75" customHeight="1">
      <c r="E883" s="38"/>
      <c r="I883" s="47"/>
    </row>
    <row r="884" ht="36.75" customHeight="1">
      <c r="E884" s="38"/>
      <c r="I884" s="47"/>
    </row>
    <row r="885" ht="36.75" customHeight="1">
      <c r="E885" s="38"/>
      <c r="I885" s="47"/>
    </row>
    <row r="886" ht="36.75" customHeight="1">
      <c r="E886" s="38"/>
      <c r="I886" s="47"/>
    </row>
    <row r="887" ht="36.75" customHeight="1">
      <c r="E887" s="38"/>
      <c r="I887" s="47"/>
    </row>
    <row r="888" ht="36.75" customHeight="1">
      <c r="E888" s="38"/>
      <c r="I888" s="47"/>
    </row>
    <row r="889" ht="36.75" customHeight="1">
      <c r="E889" s="38"/>
      <c r="I889" s="47"/>
    </row>
    <row r="890" ht="36.75" customHeight="1">
      <c r="E890" s="38"/>
      <c r="I890" s="47"/>
    </row>
    <row r="891" ht="36.75" customHeight="1">
      <c r="E891" s="38"/>
      <c r="I891" s="47"/>
    </row>
    <row r="892" ht="36.75" customHeight="1">
      <c r="E892" s="38"/>
      <c r="I892" s="47"/>
    </row>
    <row r="893" ht="36.75" customHeight="1">
      <c r="E893" s="38"/>
      <c r="I893" s="47"/>
    </row>
    <row r="894" ht="36.75" customHeight="1">
      <c r="E894" s="38"/>
      <c r="I894" s="47"/>
    </row>
    <row r="895" ht="36.75" customHeight="1">
      <c r="E895" s="38"/>
      <c r="I895" s="47"/>
    </row>
    <row r="896" ht="36.75" customHeight="1">
      <c r="E896" s="38"/>
      <c r="I896" s="47"/>
    </row>
    <row r="897" ht="36.75" customHeight="1">
      <c r="E897" s="38"/>
      <c r="I897" s="47"/>
    </row>
    <row r="898" ht="36.75" customHeight="1">
      <c r="E898" s="38"/>
      <c r="I898" s="47"/>
    </row>
    <row r="899" ht="36.75" customHeight="1">
      <c r="E899" s="38"/>
      <c r="I899" s="47"/>
    </row>
    <row r="900" ht="36.75" customHeight="1">
      <c r="E900" s="38"/>
      <c r="I900" s="47"/>
    </row>
    <row r="901" ht="36.75" customHeight="1">
      <c r="E901" s="38"/>
      <c r="I901" s="47"/>
    </row>
    <row r="902" ht="36.75" customHeight="1">
      <c r="E902" s="38"/>
      <c r="I902" s="47"/>
    </row>
    <row r="903" ht="36.75" customHeight="1">
      <c r="E903" s="38"/>
      <c r="I903" s="47"/>
    </row>
    <row r="904" ht="36.75" customHeight="1">
      <c r="E904" s="38"/>
      <c r="I904" s="47"/>
    </row>
    <row r="905" ht="36.75" customHeight="1">
      <c r="E905" s="38"/>
      <c r="I905" s="47"/>
    </row>
    <row r="906" ht="36.75" customHeight="1">
      <c r="E906" s="38"/>
      <c r="I906" s="47"/>
    </row>
    <row r="907" ht="36.75" customHeight="1">
      <c r="E907" s="38"/>
      <c r="I907" s="47"/>
    </row>
    <row r="908" ht="36.75" customHeight="1">
      <c r="E908" s="38"/>
      <c r="I908" s="47"/>
    </row>
    <row r="909" ht="36.75" customHeight="1">
      <c r="E909" s="38"/>
      <c r="I909" s="47"/>
    </row>
    <row r="910" ht="36.75" customHeight="1">
      <c r="E910" s="38"/>
      <c r="I910" s="47"/>
    </row>
    <row r="911" ht="36.75" customHeight="1">
      <c r="E911" s="38"/>
      <c r="I911" s="47"/>
    </row>
    <row r="912" ht="36.75" customHeight="1">
      <c r="E912" s="38"/>
      <c r="I912" s="47"/>
    </row>
    <row r="913" ht="36.75" customHeight="1">
      <c r="E913" s="38"/>
      <c r="I913" s="47"/>
    </row>
    <row r="914" ht="36.75" customHeight="1">
      <c r="E914" s="38"/>
      <c r="I914" s="47"/>
    </row>
    <row r="915" ht="36.75" customHeight="1">
      <c r="E915" s="38"/>
      <c r="I915" s="47"/>
    </row>
    <row r="916" ht="36.75" customHeight="1">
      <c r="E916" s="38"/>
      <c r="I916" s="47"/>
    </row>
    <row r="917" ht="36.75" customHeight="1">
      <c r="E917" s="38"/>
      <c r="I917" s="47"/>
    </row>
    <row r="918" ht="36.75" customHeight="1">
      <c r="E918" s="38"/>
      <c r="I918" s="47"/>
    </row>
    <row r="919" ht="36.75" customHeight="1">
      <c r="E919" s="38"/>
      <c r="I919" s="47"/>
    </row>
    <row r="920" ht="36.75" customHeight="1">
      <c r="E920" s="38"/>
      <c r="I920" s="47"/>
    </row>
    <row r="921" ht="36.75" customHeight="1">
      <c r="E921" s="38"/>
      <c r="I921" s="47"/>
    </row>
    <row r="922" ht="36.75" customHeight="1">
      <c r="E922" s="38"/>
      <c r="I922" s="47"/>
    </row>
    <row r="923" ht="36.75" customHeight="1">
      <c r="E923" s="38"/>
      <c r="I923" s="47"/>
    </row>
    <row r="924" ht="36.75" customHeight="1">
      <c r="E924" s="38"/>
      <c r="I924" s="47"/>
    </row>
    <row r="925" ht="36.75" customHeight="1">
      <c r="E925" s="38"/>
      <c r="I925" s="47"/>
    </row>
    <row r="926" ht="36.75" customHeight="1">
      <c r="E926" s="38"/>
      <c r="I926" s="47"/>
    </row>
    <row r="927" ht="36.75" customHeight="1">
      <c r="E927" s="38"/>
      <c r="I927" s="47"/>
    </row>
    <row r="928" ht="36.75" customHeight="1">
      <c r="E928" s="38"/>
      <c r="I928" s="47"/>
    </row>
    <row r="929" ht="36.75" customHeight="1">
      <c r="E929" s="38"/>
      <c r="I929" s="47"/>
    </row>
    <row r="930" ht="36.75" customHeight="1">
      <c r="E930" s="38"/>
      <c r="I930" s="47"/>
    </row>
    <row r="931" ht="36.75" customHeight="1">
      <c r="E931" s="38"/>
      <c r="I931" s="47"/>
    </row>
    <row r="932" ht="36.75" customHeight="1">
      <c r="E932" s="38"/>
      <c r="I932" s="47"/>
    </row>
    <row r="933" ht="36.75" customHeight="1">
      <c r="E933" s="38"/>
      <c r="I933" s="47"/>
    </row>
    <row r="934" ht="36.75" customHeight="1">
      <c r="E934" s="38"/>
      <c r="I934" s="47"/>
    </row>
    <row r="935" ht="36.75" customHeight="1">
      <c r="E935" s="38"/>
      <c r="I935" s="47"/>
    </row>
    <row r="936" ht="36.75" customHeight="1">
      <c r="E936" s="38"/>
      <c r="I936" s="47"/>
    </row>
    <row r="937" ht="36.75" customHeight="1">
      <c r="E937" s="38"/>
      <c r="I937" s="47"/>
    </row>
    <row r="938" ht="36.75" customHeight="1">
      <c r="E938" s="38"/>
      <c r="I938" s="47"/>
    </row>
    <row r="939" ht="36.75" customHeight="1">
      <c r="E939" s="38"/>
      <c r="I939" s="47"/>
    </row>
    <row r="940" ht="36.75" customHeight="1">
      <c r="E940" s="38"/>
      <c r="I940" s="47"/>
    </row>
    <row r="941" ht="36.75" customHeight="1">
      <c r="E941" s="38"/>
      <c r="I941" s="47"/>
    </row>
    <row r="942" ht="36.75" customHeight="1">
      <c r="E942" s="38"/>
      <c r="I942" s="47"/>
    </row>
    <row r="943" ht="36.75" customHeight="1">
      <c r="E943" s="38"/>
      <c r="I943" s="47"/>
    </row>
    <row r="944" ht="36.75" customHeight="1">
      <c r="E944" s="38"/>
      <c r="I944" s="47"/>
    </row>
    <row r="945" ht="36.75" customHeight="1">
      <c r="E945" s="38"/>
      <c r="I945" s="47"/>
    </row>
    <row r="946" ht="36.75" customHeight="1">
      <c r="E946" s="38"/>
      <c r="I946" s="47"/>
    </row>
    <row r="947" ht="36.75" customHeight="1">
      <c r="E947" s="38"/>
      <c r="I947" s="47"/>
    </row>
    <row r="948" ht="36.75" customHeight="1">
      <c r="E948" s="38"/>
      <c r="I948" s="47"/>
    </row>
    <row r="949" ht="36.75" customHeight="1">
      <c r="E949" s="38"/>
      <c r="I949" s="47"/>
    </row>
    <row r="950" ht="36.75" customHeight="1">
      <c r="E950" s="38"/>
      <c r="I950" s="47"/>
    </row>
    <row r="951" ht="36.75" customHeight="1">
      <c r="E951" s="38"/>
      <c r="I951" s="47"/>
    </row>
    <row r="952" ht="36.75" customHeight="1">
      <c r="E952" s="38"/>
      <c r="I952" s="47"/>
    </row>
    <row r="953" ht="36.75" customHeight="1">
      <c r="E953" s="38"/>
      <c r="I953" s="47"/>
    </row>
    <row r="954" ht="36.75" customHeight="1">
      <c r="E954" s="38"/>
      <c r="I954" s="47"/>
    </row>
    <row r="955" ht="36.75" customHeight="1">
      <c r="E955" s="38"/>
      <c r="I955" s="47"/>
    </row>
    <row r="956" ht="36.75" customHeight="1">
      <c r="E956" s="38"/>
      <c r="I956" s="47"/>
    </row>
    <row r="957" ht="36.75" customHeight="1">
      <c r="E957" s="38"/>
      <c r="I957" s="47"/>
    </row>
    <row r="958" ht="36.75" customHeight="1">
      <c r="E958" s="38"/>
      <c r="I958" s="47"/>
    </row>
    <row r="959" ht="36.75" customHeight="1">
      <c r="E959" s="38"/>
      <c r="I959" s="47"/>
    </row>
    <row r="960" ht="36.75" customHeight="1">
      <c r="E960" s="38"/>
      <c r="I960" s="47"/>
    </row>
    <row r="961" ht="36.75" customHeight="1">
      <c r="E961" s="38"/>
      <c r="I961" s="47"/>
    </row>
    <row r="962" ht="36.75" customHeight="1">
      <c r="E962" s="38"/>
      <c r="I962" s="47"/>
    </row>
    <row r="963" ht="36.75" customHeight="1">
      <c r="E963" s="38"/>
      <c r="I963" s="47"/>
    </row>
    <row r="964" ht="36.75" customHeight="1">
      <c r="E964" s="38"/>
      <c r="I964" s="47"/>
    </row>
    <row r="965" ht="36.75" customHeight="1">
      <c r="E965" s="38"/>
      <c r="I965" s="47"/>
    </row>
    <row r="966" ht="36.75" customHeight="1">
      <c r="E966" s="38"/>
      <c r="I966" s="47"/>
    </row>
    <row r="967" ht="36.75" customHeight="1">
      <c r="E967" s="38"/>
      <c r="I967" s="47"/>
    </row>
    <row r="968" ht="36.75" customHeight="1">
      <c r="E968" s="38"/>
      <c r="I968" s="47"/>
    </row>
    <row r="969" ht="36.75" customHeight="1">
      <c r="E969" s="38"/>
      <c r="I969" s="47"/>
    </row>
    <row r="970" ht="36.75" customHeight="1">
      <c r="E970" s="38"/>
      <c r="I970" s="47"/>
    </row>
    <row r="971" ht="36.75" customHeight="1">
      <c r="E971" s="38"/>
      <c r="I971" s="47"/>
    </row>
    <row r="972" ht="36.75" customHeight="1">
      <c r="E972" s="38"/>
      <c r="I972" s="47"/>
    </row>
    <row r="973" ht="36.75" customHeight="1">
      <c r="E973" s="38"/>
      <c r="I973" s="47"/>
    </row>
    <row r="974" ht="36.75" customHeight="1">
      <c r="E974" s="38"/>
      <c r="I974" s="47"/>
    </row>
    <row r="975" ht="36.75" customHeight="1">
      <c r="E975" s="38"/>
      <c r="I975" s="47"/>
    </row>
    <row r="976" ht="36.75" customHeight="1">
      <c r="E976" s="38"/>
      <c r="I976" s="47"/>
    </row>
    <row r="977" ht="36.75" customHeight="1">
      <c r="E977" s="38"/>
      <c r="I977" s="47"/>
    </row>
    <row r="978" ht="36.75" customHeight="1">
      <c r="E978" s="38"/>
      <c r="I978" s="47"/>
    </row>
    <row r="979" ht="36.75" customHeight="1">
      <c r="E979" s="38"/>
      <c r="I979" s="47"/>
    </row>
    <row r="980" ht="36.75" customHeight="1">
      <c r="E980" s="38"/>
      <c r="I980" s="47"/>
    </row>
    <row r="981" ht="36.75" customHeight="1">
      <c r="E981" s="38"/>
      <c r="I981" s="47"/>
    </row>
    <row r="982" ht="36.75" customHeight="1">
      <c r="E982" s="38"/>
      <c r="I982" s="47"/>
    </row>
    <row r="983" ht="36.75" customHeight="1">
      <c r="E983" s="38"/>
      <c r="I983" s="47"/>
    </row>
    <row r="984" ht="36.75" customHeight="1">
      <c r="E984" s="38"/>
      <c r="I984" s="47"/>
    </row>
    <row r="985" ht="36.75" customHeight="1">
      <c r="E985" s="38"/>
      <c r="I985" s="47"/>
    </row>
    <row r="986" ht="36.75" customHeight="1">
      <c r="E986" s="38"/>
      <c r="I986" s="47"/>
    </row>
    <row r="987" ht="36.75" customHeight="1">
      <c r="E987" s="38"/>
      <c r="I987" s="47"/>
    </row>
    <row r="988" ht="36.75" customHeight="1">
      <c r="E988" s="38"/>
      <c r="I988" s="47"/>
    </row>
    <row r="989" ht="36.75" customHeight="1">
      <c r="E989" s="38"/>
      <c r="I989" s="47"/>
    </row>
    <row r="990" ht="36.75" customHeight="1">
      <c r="E990" s="38"/>
      <c r="I990" s="47"/>
    </row>
    <row r="991" ht="36.75" customHeight="1">
      <c r="E991" s="38"/>
      <c r="I991" s="47"/>
    </row>
    <row r="992" ht="36.75" customHeight="1">
      <c r="E992" s="38"/>
      <c r="I992" s="47"/>
    </row>
    <row r="993" ht="36.75" customHeight="1">
      <c r="E993" s="38"/>
      <c r="I993" s="47"/>
    </row>
    <row r="994" ht="36.75" customHeight="1">
      <c r="E994" s="38"/>
      <c r="I994" s="47"/>
    </row>
    <row r="995" ht="36.75" customHeight="1">
      <c r="E995" s="38"/>
      <c r="I995" s="47"/>
    </row>
    <row r="996" ht="36.75" customHeight="1">
      <c r="E996" s="38"/>
      <c r="I996" s="47"/>
    </row>
    <row r="997" ht="36.75" customHeight="1">
      <c r="E997" s="38"/>
      <c r="I997" s="47"/>
    </row>
    <row r="998" ht="36.75" customHeight="1">
      <c r="E998" s="38"/>
      <c r="I998" s="47"/>
    </row>
    <row r="999" ht="36.75" customHeight="1">
      <c r="E999" s="38"/>
      <c r="I999" s="47"/>
    </row>
    <row r="1000" ht="36.75" customHeight="1">
      <c r="E1000" s="38"/>
      <c r="I1000" s="47"/>
    </row>
    <row r="1001" ht="36.75" customHeight="1">
      <c r="E1001" s="38"/>
      <c r="I1001" s="47"/>
    </row>
    <row r="1002" ht="36.75" customHeight="1">
      <c r="E1002" s="38"/>
      <c r="I1002" s="47"/>
    </row>
    <row r="1003" ht="36.75" customHeight="1">
      <c r="E1003" s="38"/>
      <c r="I1003" s="47"/>
    </row>
    <row r="1004" ht="36.75" customHeight="1">
      <c r="E1004" s="38"/>
      <c r="I1004" s="47"/>
    </row>
    <row r="1005" ht="36.75" customHeight="1">
      <c r="E1005" s="38"/>
      <c r="I1005" s="47"/>
    </row>
    <row r="1006" ht="36.75" customHeight="1">
      <c r="E1006" s="38"/>
      <c r="I1006" s="47"/>
    </row>
    <row r="1007" ht="36.75" customHeight="1">
      <c r="E1007" s="38"/>
      <c r="I1007" s="47"/>
    </row>
    <row r="1008" ht="36.75" customHeight="1">
      <c r="E1008" s="38"/>
      <c r="I1008" s="47"/>
    </row>
    <row r="1009" ht="36.75" customHeight="1">
      <c r="E1009" s="38"/>
      <c r="I1009" s="47"/>
    </row>
    <row r="1010" ht="36.75" customHeight="1">
      <c r="E1010" s="38"/>
      <c r="I1010" s="47"/>
    </row>
    <row r="1011" ht="36.75" customHeight="1">
      <c r="E1011" s="38"/>
      <c r="I1011" s="47"/>
    </row>
    <row r="1012" ht="36.75" customHeight="1">
      <c r="E1012" s="38"/>
      <c r="I1012" s="47"/>
    </row>
    <row r="1013" ht="36.75" customHeight="1">
      <c r="E1013" s="38"/>
      <c r="I1013" s="47"/>
    </row>
    <row r="1014" ht="36.75" customHeight="1">
      <c r="E1014" s="38"/>
      <c r="I1014" s="47"/>
    </row>
    <row r="1015" ht="36.75" customHeight="1">
      <c r="E1015" s="38"/>
      <c r="I1015" s="47"/>
    </row>
    <row r="1016" ht="36.75" customHeight="1">
      <c r="E1016" s="38"/>
      <c r="I1016" s="47"/>
    </row>
    <row r="1017" ht="36.75" customHeight="1">
      <c r="E1017" s="38"/>
      <c r="I1017" s="47"/>
    </row>
  </sheetData>
  <mergeCells count="1">
    <mergeCell ref="E84:O8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2.0" topLeftCell="A3" activePane="bottomLeft" state="frozen"/>
      <selection activeCell="B4" sqref="B4" pane="bottomLeft"/>
    </sheetView>
  </sheetViews>
  <sheetFormatPr customHeight="1" defaultColWidth="14.43" defaultRowHeight="12.75"/>
  <cols>
    <col customWidth="1" min="1" max="2" width="17.29"/>
    <col customWidth="1" min="3" max="3" width="22.86"/>
    <col customWidth="1" min="4" max="15" width="17.29"/>
    <col customWidth="1" min="16" max="16" width="25.86"/>
    <col customWidth="1" min="17" max="67" width="17.29"/>
  </cols>
  <sheetData>
    <row r="1" ht="28.5" customHeight="1">
      <c r="A1" s="36" t="s">
        <v>157</v>
      </c>
      <c r="F1" s="37"/>
      <c r="G1" s="37"/>
      <c r="H1" s="37"/>
      <c r="I1" s="37"/>
      <c r="J1" s="37"/>
      <c r="K1" s="37"/>
      <c r="L1" s="37"/>
      <c r="M1" s="37"/>
      <c r="N1" s="37"/>
      <c r="O1" s="37"/>
      <c r="P1" s="37"/>
      <c r="Q1" s="38"/>
      <c r="R1" s="38"/>
      <c r="S1" s="38"/>
      <c r="T1" s="38"/>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row>
    <row r="2" ht="28.5" customHeight="1">
      <c r="A2" s="40" t="s">
        <v>1</v>
      </c>
      <c r="B2" s="40" t="s">
        <v>2</v>
      </c>
      <c r="C2" s="40" t="s">
        <v>3</v>
      </c>
      <c r="D2" s="40" t="s">
        <v>4</v>
      </c>
      <c r="E2" s="40" t="s">
        <v>5</v>
      </c>
      <c r="F2" s="40" t="s">
        <v>13</v>
      </c>
      <c r="G2" s="40" t="s">
        <v>180</v>
      </c>
      <c r="H2" s="40" t="s">
        <v>181</v>
      </c>
      <c r="I2" s="40" t="s">
        <v>182</v>
      </c>
      <c r="J2" s="40" t="s">
        <v>183</v>
      </c>
      <c r="K2" s="40" t="s">
        <v>184</v>
      </c>
      <c r="L2" s="40" t="s">
        <v>185</v>
      </c>
      <c r="M2" s="40" t="s">
        <v>186</v>
      </c>
      <c r="N2" s="40" t="s">
        <v>187</v>
      </c>
      <c r="O2" s="40" t="s">
        <v>188</v>
      </c>
      <c r="P2" s="40" t="s">
        <v>17</v>
      </c>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row>
    <row r="3" ht="28.5" customHeight="1">
      <c r="A3" s="41">
        <v>42769.0</v>
      </c>
      <c r="B3" s="16" t="s">
        <v>193</v>
      </c>
      <c r="C3" s="16" t="s">
        <v>197</v>
      </c>
      <c r="D3" s="16" t="s">
        <v>198</v>
      </c>
      <c r="E3" s="16" t="s">
        <v>199</v>
      </c>
      <c r="F3" s="13">
        <v>1.0</v>
      </c>
      <c r="G3" s="13" t="s">
        <v>200</v>
      </c>
      <c r="H3" s="13" t="s">
        <v>202</v>
      </c>
      <c r="I3" s="13" t="s">
        <v>204</v>
      </c>
      <c r="K3" s="13" t="s">
        <v>204</v>
      </c>
      <c r="L3" s="13" t="s">
        <v>205</v>
      </c>
      <c r="M3" s="13" t="s">
        <v>206</v>
      </c>
      <c r="N3" s="13" t="s">
        <v>205</v>
      </c>
      <c r="O3" s="13" t="s">
        <v>209</v>
      </c>
      <c r="P3" s="13" t="s">
        <v>210</v>
      </c>
    </row>
    <row r="4" ht="28.5" customHeight="1">
      <c r="A4" s="41">
        <v>42769.0</v>
      </c>
      <c r="B4" s="16" t="s">
        <v>193</v>
      </c>
      <c r="C4" s="16" t="s">
        <v>197</v>
      </c>
      <c r="D4" s="16" t="s">
        <v>198</v>
      </c>
      <c r="E4" s="16" t="s">
        <v>199</v>
      </c>
      <c r="F4" s="13">
        <v>1.0</v>
      </c>
      <c r="G4" s="13" t="s">
        <v>200</v>
      </c>
      <c r="H4" s="13"/>
      <c r="I4" s="13" t="s">
        <v>211</v>
      </c>
      <c r="K4" s="13" t="s">
        <v>211</v>
      </c>
      <c r="L4" s="13" t="s">
        <v>212</v>
      </c>
      <c r="M4" s="13" t="s">
        <v>213</v>
      </c>
      <c r="N4" s="13" t="s">
        <v>214</v>
      </c>
      <c r="O4" s="13" t="s">
        <v>209</v>
      </c>
      <c r="P4" s="13" t="s">
        <v>210</v>
      </c>
    </row>
    <row r="5" ht="28.5" customHeight="1">
      <c r="A5" s="41">
        <v>42769.0</v>
      </c>
      <c r="B5" s="16" t="s">
        <v>22</v>
      </c>
      <c r="C5" s="13" t="s">
        <v>66</v>
      </c>
      <c r="D5" s="13" t="s">
        <v>24</v>
      </c>
      <c r="E5" s="16" t="s">
        <v>25</v>
      </c>
      <c r="F5" s="13">
        <v>1.0</v>
      </c>
      <c r="G5" s="13" t="s">
        <v>217</v>
      </c>
      <c r="H5" s="13" t="s">
        <v>219</v>
      </c>
      <c r="I5" s="13" t="s">
        <v>219</v>
      </c>
      <c r="J5" s="13" t="s">
        <v>219</v>
      </c>
      <c r="K5" s="13" t="s">
        <v>219</v>
      </c>
      <c r="L5" s="13" t="s">
        <v>220</v>
      </c>
      <c r="M5" s="13" t="s">
        <v>221</v>
      </c>
      <c r="N5" s="13" t="s">
        <v>222</v>
      </c>
      <c r="O5" s="13" t="s">
        <v>224</v>
      </c>
      <c r="P5" s="13" t="s">
        <v>225</v>
      </c>
    </row>
    <row r="6" ht="28.5" customHeight="1">
      <c r="A6" s="15">
        <v>42771.0</v>
      </c>
      <c r="B6" s="16" t="s">
        <v>22</v>
      </c>
      <c r="C6" s="16" t="s">
        <v>66</v>
      </c>
      <c r="D6" s="16" t="s">
        <v>229</v>
      </c>
      <c r="E6" s="16" t="s">
        <v>230</v>
      </c>
      <c r="F6" s="13">
        <v>1.0</v>
      </c>
      <c r="G6" s="13" t="s">
        <v>217</v>
      </c>
      <c r="H6" s="13" t="s">
        <v>219</v>
      </c>
      <c r="I6" s="13" t="s">
        <v>219</v>
      </c>
      <c r="J6" s="13" t="s">
        <v>219</v>
      </c>
      <c r="K6" s="13" t="s">
        <v>221</v>
      </c>
      <c r="L6" s="13" t="s">
        <v>219</v>
      </c>
      <c r="M6" s="13" t="s">
        <v>219</v>
      </c>
      <c r="N6" s="13" t="s">
        <v>233</v>
      </c>
      <c r="O6" s="13" t="s">
        <v>224</v>
      </c>
      <c r="P6" s="13" t="s">
        <v>234</v>
      </c>
    </row>
    <row r="7" ht="28.5" customHeight="1">
      <c r="A7" s="15">
        <v>42771.0</v>
      </c>
      <c r="B7" s="16" t="s">
        <v>22</v>
      </c>
      <c r="C7" s="16" t="s">
        <v>66</v>
      </c>
      <c r="D7" s="16" t="s">
        <v>235</v>
      </c>
      <c r="E7" s="16" t="s">
        <v>230</v>
      </c>
      <c r="F7" s="13">
        <v>1.0</v>
      </c>
      <c r="G7" s="13" t="s">
        <v>217</v>
      </c>
      <c r="H7" s="13" t="s">
        <v>219</v>
      </c>
      <c r="I7" s="13" t="s">
        <v>219</v>
      </c>
      <c r="J7" s="13" t="s">
        <v>219</v>
      </c>
      <c r="K7" s="13" t="s">
        <v>219</v>
      </c>
      <c r="L7" s="13" t="s">
        <v>236</v>
      </c>
      <c r="M7" s="13" t="s">
        <v>221</v>
      </c>
      <c r="N7" s="13" t="s">
        <v>238</v>
      </c>
      <c r="O7" s="13" t="s">
        <v>224</v>
      </c>
      <c r="P7" s="13" t="s">
        <v>240</v>
      </c>
    </row>
    <row r="8" ht="28.5" customHeight="1">
      <c r="A8" s="15">
        <v>42773.0</v>
      </c>
      <c r="B8" s="16" t="s">
        <v>241</v>
      </c>
      <c r="C8" s="16" t="s">
        <v>242</v>
      </c>
      <c r="D8" s="16" t="s">
        <v>243</v>
      </c>
      <c r="E8" s="16" t="s">
        <v>244</v>
      </c>
      <c r="F8" s="13">
        <v>1.0</v>
      </c>
      <c r="G8" s="13" t="s">
        <v>245</v>
      </c>
      <c r="H8" s="13" t="s">
        <v>246</v>
      </c>
      <c r="I8" s="13" t="s">
        <v>204</v>
      </c>
      <c r="K8" s="13"/>
      <c r="O8" s="13" t="s">
        <v>247</v>
      </c>
    </row>
    <row r="9" ht="28.5" customHeight="1">
      <c r="A9" s="42">
        <v>42769.0</v>
      </c>
      <c r="B9" s="16" t="s">
        <v>139</v>
      </c>
      <c r="C9" s="13" t="s">
        <v>250</v>
      </c>
      <c r="D9" s="13" t="s">
        <v>251</v>
      </c>
      <c r="E9" s="16" t="s">
        <v>25</v>
      </c>
      <c r="F9" s="13">
        <v>1.0</v>
      </c>
      <c r="G9" s="13" t="s">
        <v>217</v>
      </c>
      <c r="K9" s="13" t="s">
        <v>219</v>
      </c>
      <c r="L9" s="13" t="s">
        <v>224</v>
      </c>
      <c r="M9" s="13" t="s">
        <v>221</v>
      </c>
      <c r="N9" s="13" t="s">
        <v>252</v>
      </c>
      <c r="O9" s="13" t="s">
        <v>224</v>
      </c>
      <c r="P9" s="13" t="s">
        <v>254</v>
      </c>
    </row>
    <row r="10" ht="28.5" customHeight="1">
      <c r="A10" s="42">
        <v>42769.0</v>
      </c>
      <c r="B10" s="16" t="s">
        <v>139</v>
      </c>
      <c r="C10" s="13" t="s">
        <v>250</v>
      </c>
      <c r="D10" s="13" t="s">
        <v>251</v>
      </c>
      <c r="E10" s="16" t="s">
        <v>25</v>
      </c>
      <c r="F10" s="13">
        <v>1.0</v>
      </c>
      <c r="G10" s="13" t="s">
        <v>217</v>
      </c>
      <c r="K10" s="13" t="s">
        <v>221</v>
      </c>
      <c r="L10" s="13" t="s">
        <v>256</v>
      </c>
      <c r="M10" s="13" t="s">
        <v>219</v>
      </c>
      <c r="N10" s="13" t="s">
        <v>258</v>
      </c>
      <c r="O10" s="13" t="s">
        <v>224</v>
      </c>
      <c r="P10" s="13" t="s">
        <v>260</v>
      </c>
    </row>
    <row r="11" ht="28.5" customHeight="1">
      <c r="A11" s="41">
        <v>42770.0</v>
      </c>
      <c r="B11" s="16" t="s">
        <v>265</v>
      </c>
      <c r="C11" s="16" t="s">
        <v>266</v>
      </c>
      <c r="D11" s="16" t="s">
        <v>267</v>
      </c>
      <c r="E11" s="16" t="s">
        <v>268</v>
      </c>
      <c r="F11" s="13">
        <v>1.0</v>
      </c>
      <c r="G11" s="13" t="s">
        <v>269</v>
      </c>
      <c r="H11" s="13">
        <v>69.0</v>
      </c>
      <c r="I11" s="13" t="s">
        <v>270</v>
      </c>
      <c r="J11" s="13" t="s">
        <v>271</v>
      </c>
      <c r="K11" s="13" t="s">
        <v>222</v>
      </c>
      <c r="M11" s="13" t="s">
        <v>222</v>
      </c>
      <c r="N11" s="13" t="s">
        <v>221</v>
      </c>
      <c r="O11" s="13" t="s">
        <v>224</v>
      </c>
      <c r="P11" s="13"/>
    </row>
    <row r="12" ht="28.5" customHeight="1">
      <c r="A12" s="41">
        <v>42769.0</v>
      </c>
      <c r="B12" s="16" t="s">
        <v>85</v>
      </c>
      <c r="C12" s="16" t="s">
        <v>86</v>
      </c>
      <c r="D12" s="16" t="s">
        <v>87</v>
      </c>
      <c r="E12" s="16" t="s">
        <v>25</v>
      </c>
      <c r="F12" s="13">
        <v>1.0</v>
      </c>
      <c r="G12" s="13" t="s">
        <v>217</v>
      </c>
      <c r="H12" s="13"/>
      <c r="I12" s="13"/>
      <c r="J12" s="13"/>
      <c r="K12" s="13"/>
      <c r="L12" s="13" t="s">
        <v>222</v>
      </c>
      <c r="M12" s="13" t="s">
        <v>275</v>
      </c>
      <c r="N12" s="13" t="s">
        <v>276</v>
      </c>
      <c r="O12" s="13" t="s">
        <v>224</v>
      </c>
      <c r="P12" s="13"/>
    </row>
    <row r="13" ht="28.5" customHeight="1">
      <c r="A13" s="41">
        <v>42769.0</v>
      </c>
      <c r="B13" s="16" t="s">
        <v>139</v>
      </c>
      <c r="C13" s="13" t="s">
        <v>250</v>
      </c>
      <c r="D13" s="13" t="s">
        <v>158</v>
      </c>
      <c r="E13" s="16" t="s">
        <v>25</v>
      </c>
      <c r="F13" s="13">
        <v>1.0</v>
      </c>
      <c r="G13" s="13" t="s">
        <v>217</v>
      </c>
      <c r="K13" s="13"/>
      <c r="L13" s="13" t="s">
        <v>224</v>
      </c>
      <c r="M13" s="13" t="s">
        <v>221</v>
      </c>
      <c r="N13" s="13" t="s">
        <v>279</v>
      </c>
      <c r="O13" s="13" t="s">
        <v>224</v>
      </c>
      <c r="P13" s="13"/>
    </row>
    <row r="14" ht="28.5" customHeight="1">
      <c r="A14" s="44">
        <v>42770.0</v>
      </c>
      <c r="B14" s="16" t="s">
        <v>288</v>
      </c>
      <c r="C14" s="16" t="s">
        <v>250</v>
      </c>
      <c r="D14" s="16" t="s">
        <v>289</v>
      </c>
      <c r="E14" s="16" t="s">
        <v>290</v>
      </c>
      <c r="F14" s="16">
        <v>1.0</v>
      </c>
      <c r="G14" s="16" t="s">
        <v>217</v>
      </c>
      <c r="H14" s="13"/>
      <c r="I14" s="13"/>
      <c r="J14" s="13"/>
      <c r="K14" s="13"/>
      <c r="L14" s="13" t="s">
        <v>291</v>
      </c>
      <c r="M14" s="13" t="s">
        <v>292</v>
      </c>
      <c r="N14" s="13"/>
      <c r="O14" s="13" t="s">
        <v>224</v>
      </c>
      <c r="P14" s="13"/>
    </row>
    <row r="15" ht="28.5" customHeight="1">
      <c r="A15" s="44">
        <v>42770.0</v>
      </c>
      <c r="B15" s="16" t="s">
        <v>288</v>
      </c>
      <c r="C15" s="16" t="s">
        <v>250</v>
      </c>
      <c r="D15" s="16" t="s">
        <v>289</v>
      </c>
      <c r="E15" s="16" t="s">
        <v>290</v>
      </c>
      <c r="F15" s="16">
        <v>1.0</v>
      </c>
      <c r="G15" s="16" t="s">
        <v>217</v>
      </c>
      <c r="H15" s="13"/>
      <c r="I15" s="13"/>
      <c r="J15" s="13"/>
      <c r="K15" s="13"/>
      <c r="M15" s="13" t="s">
        <v>295</v>
      </c>
      <c r="N15" s="13" t="s">
        <v>296</v>
      </c>
      <c r="O15" s="13" t="s">
        <v>224</v>
      </c>
      <c r="P15" s="13"/>
    </row>
    <row r="16" ht="28.5" customHeight="1">
      <c r="A16" s="44">
        <v>42770.0</v>
      </c>
      <c r="B16" s="16" t="s">
        <v>288</v>
      </c>
      <c r="C16" s="16" t="s">
        <v>250</v>
      </c>
      <c r="D16" s="16" t="s">
        <v>289</v>
      </c>
      <c r="E16" s="16" t="s">
        <v>290</v>
      </c>
      <c r="F16" s="16">
        <v>1.0</v>
      </c>
      <c r="G16" s="16" t="s">
        <v>217</v>
      </c>
      <c r="H16" s="13"/>
      <c r="I16" s="13"/>
      <c r="J16" s="13"/>
      <c r="K16" s="13"/>
      <c r="L16" s="13" t="s">
        <v>299</v>
      </c>
      <c r="M16" s="13" t="s">
        <v>221</v>
      </c>
      <c r="N16" s="13" t="s">
        <v>256</v>
      </c>
      <c r="O16" s="13" t="s">
        <v>224</v>
      </c>
      <c r="P16" s="13"/>
    </row>
    <row r="17" ht="28.5" customHeight="1">
      <c r="A17" s="41">
        <v>42773.0</v>
      </c>
      <c r="B17" s="16" t="s">
        <v>305</v>
      </c>
      <c r="C17" s="16" t="s">
        <v>309</v>
      </c>
      <c r="D17" s="16" t="s">
        <v>311</v>
      </c>
      <c r="E17" s="16" t="s">
        <v>312</v>
      </c>
      <c r="F17" s="13">
        <v>1.0</v>
      </c>
      <c r="G17" s="13" t="s">
        <v>217</v>
      </c>
      <c r="K17" s="13"/>
      <c r="L17" s="13" t="s">
        <v>224</v>
      </c>
      <c r="M17" s="13" t="s">
        <v>315</v>
      </c>
      <c r="N17" s="13" t="s">
        <v>276</v>
      </c>
      <c r="O17" s="13" t="s">
        <v>224</v>
      </c>
      <c r="P17" s="13"/>
    </row>
    <row r="18" ht="28.5" customHeight="1">
      <c r="A18" s="11">
        <v>42771.0</v>
      </c>
      <c r="B18" s="13" t="s">
        <v>316</v>
      </c>
      <c r="C18" s="16" t="s">
        <v>317</v>
      </c>
      <c r="D18" s="16" t="s">
        <v>318</v>
      </c>
      <c r="E18" s="16" t="s">
        <v>230</v>
      </c>
      <c r="F18" s="13">
        <v>1.0</v>
      </c>
      <c r="G18" s="13" t="s">
        <v>217</v>
      </c>
      <c r="K18" s="13" t="s">
        <v>292</v>
      </c>
      <c r="L18" s="13"/>
      <c r="N18" s="13" t="s">
        <v>252</v>
      </c>
      <c r="O18" s="13" t="s">
        <v>224</v>
      </c>
      <c r="P18" s="13" t="s">
        <v>319</v>
      </c>
    </row>
    <row r="19" ht="28.5" customHeight="1">
      <c r="A19" s="11">
        <v>42771.0</v>
      </c>
      <c r="B19" s="13" t="s">
        <v>316</v>
      </c>
      <c r="C19" s="16" t="s">
        <v>317</v>
      </c>
      <c r="D19" s="16" t="s">
        <v>318</v>
      </c>
      <c r="E19" s="16" t="s">
        <v>230</v>
      </c>
      <c r="F19" s="13">
        <v>1.0</v>
      </c>
      <c r="G19" s="13" t="s">
        <v>217</v>
      </c>
      <c r="K19" s="13" t="s">
        <v>292</v>
      </c>
      <c r="L19" s="13"/>
      <c r="N19" s="13" t="s">
        <v>322</v>
      </c>
      <c r="O19" s="13" t="s">
        <v>224</v>
      </c>
      <c r="P19" s="13" t="s">
        <v>324</v>
      </c>
    </row>
    <row r="20" ht="28.5" customHeight="1">
      <c r="A20" s="11">
        <v>42771.0</v>
      </c>
      <c r="B20" s="13" t="s">
        <v>316</v>
      </c>
      <c r="C20" s="16" t="s">
        <v>317</v>
      </c>
      <c r="D20" s="16" t="s">
        <v>318</v>
      </c>
      <c r="E20" s="16" t="s">
        <v>230</v>
      </c>
      <c r="F20" s="13">
        <v>1.0</v>
      </c>
      <c r="G20" s="13" t="s">
        <v>217</v>
      </c>
      <c r="K20" s="13"/>
      <c r="L20" s="13" t="s">
        <v>236</v>
      </c>
      <c r="M20" s="13" t="s">
        <v>221</v>
      </c>
      <c r="N20" s="13" t="s">
        <v>327</v>
      </c>
      <c r="O20" s="13" t="s">
        <v>224</v>
      </c>
      <c r="P20" s="13" t="s">
        <v>324</v>
      </c>
    </row>
    <row r="21" ht="28.5" customHeight="1">
      <c r="A21" s="11">
        <v>42771.0</v>
      </c>
      <c r="B21" s="13" t="s">
        <v>316</v>
      </c>
      <c r="C21" s="16" t="s">
        <v>317</v>
      </c>
      <c r="D21" s="16" t="s">
        <v>318</v>
      </c>
      <c r="E21" s="16" t="s">
        <v>230</v>
      </c>
      <c r="F21" s="13">
        <v>1.0</v>
      </c>
      <c r="G21" s="13" t="s">
        <v>217</v>
      </c>
      <c r="L21" s="13" t="s">
        <v>236</v>
      </c>
      <c r="M21" s="13" t="s">
        <v>221</v>
      </c>
      <c r="N21" s="13" t="s">
        <v>330</v>
      </c>
      <c r="O21" s="13" t="s">
        <v>224</v>
      </c>
      <c r="P21" s="13" t="s">
        <v>319</v>
      </c>
    </row>
    <row r="22" ht="24.75" customHeight="1">
      <c r="A22" s="11">
        <v>42771.0</v>
      </c>
      <c r="B22" s="13" t="s">
        <v>316</v>
      </c>
      <c r="C22" s="16" t="s">
        <v>317</v>
      </c>
      <c r="D22" s="16" t="s">
        <v>318</v>
      </c>
      <c r="E22" s="16" t="s">
        <v>230</v>
      </c>
      <c r="F22" s="13">
        <v>1.0</v>
      </c>
      <c r="G22" s="13" t="s">
        <v>217</v>
      </c>
      <c r="L22" s="13" t="s">
        <v>236</v>
      </c>
      <c r="M22" s="13" t="s">
        <v>221</v>
      </c>
      <c r="N22" s="13" t="s">
        <v>338</v>
      </c>
      <c r="O22" s="13" t="s">
        <v>224</v>
      </c>
      <c r="P22" s="13" t="s">
        <v>319</v>
      </c>
    </row>
    <row r="23" ht="28.5" customHeight="1">
      <c r="A23" s="41">
        <v>42770.0</v>
      </c>
      <c r="B23" s="16" t="s">
        <v>340</v>
      </c>
      <c r="C23" s="13" t="s">
        <v>341</v>
      </c>
      <c r="D23" s="13" t="s">
        <v>342</v>
      </c>
      <c r="E23" s="16" t="s">
        <v>290</v>
      </c>
      <c r="F23" s="13">
        <v>1.0</v>
      </c>
      <c r="G23" s="13" t="s">
        <v>217</v>
      </c>
      <c r="L23" s="13" t="s">
        <v>236</v>
      </c>
      <c r="M23" s="13" t="s">
        <v>221</v>
      </c>
      <c r="N23" s="13" t="s">
        <v>299</v>
      </c>
      <c r="O23" s="13" t="s">
        <v>224</v>
      </c>
    </row>
    <row r="24" ht="28.5" customHeight="1">
      <c r="A24" s="41">
        <v>42770.0</v>
      </c>
      <c r="B24" s="16" t="s">
        <v>340</v>
      </c>
      <c r="C24" s="13" t="s">
        <v>341</v>
      </c>
      <c r="D24" s="13" t="s">
        <v>342</v>
      </c>
      <c r="E24" s="16" t="s">
        <v>290</v>
      </c>
      <c r="F24" s="13">
        <v>1.0</v>
      </c>
      <c r="G24" s="13" t="s">
        <v>217</v>
      </c>
      <c r="K24" s="13" t="s">
        <v>221</v>
      </c>
      <c r="M24" s="13" t="s">
        <v>276</v>
      </c>
      <c r="N24" s="13" t="s">
        <v>236</v>
      </c>
      <c r="O24" s="13" t="s">
        <v>224</v>
      </c>
    </row>
    <row r="25" ht="28.5" customHeight="1">
      <c r="A25" s="41">
        <v>42770.0</v>
      </c>
      <c r="B25" s="16" t="s">
        <v>340</v>
      </c>
      <c r="C25" s="13" t="s">
        <v>341</v>
      </c>
      <c r="D25" s="13" t="s">
        <v>342</v>
      </c>
      <c r="E25" s="16" t="s">
        <v>290</v>
      </c>
      <c r="F25" s="13">
        <v>1.0</v>
      </c>
      <c r="G25" s="13" t="s">
        <v>217</v>
      </c>
      <c r="K25" s="13" t="s">
        <v>221</v>
      </c>
      <c r="L25" s="13" t="s">
        <v>224</v>
      </c>
      <c r="N25" s="13" t="s">
        <v>348</v>
      </c>
      <c r="O25" s="13" t="s">
        <v>224</v>
      </c>
      <c r="P25" s="13" t="s">
        <v>351</v>
      </c>
    </row>
    <row r="26" ht="28.5" customHeight="1">
      <c r="A26" s="41">
        <v>42771.0</v>
      </c>
      <c r="B26" s="16" t="s">
        <v>355</v>
      </c>
      <c r="C26" s="13" t="s">
        <v>356</v>
      </c>
      <c r="D26" s="13" t="s">
        <v>357</v>
      </c>
      <c r="E26" s="16" t="s">
        <v>359</v>
      </c>
      <c r="F26" s="13">
        <v>1.0</v>
      </c>
      <c r="G26" s="13" t="s">
        <v>217</v>
      </c>
      <c r="H26" s="13"/>
      <c r="I26" s="13"/>
      <c r="J26" s="13"/>
      <c r="K26" s="13" t="s">
        <v>219</v>
      </c>
      <c r="L26" s="13" t="s">
        <v>360</v>
      </c>
      <c r="M26" s="13" t="s">
        <v>221</v>
      </c>
      <c r="N26" s="13" t="s">
        <v>361</v>
      </c>
      <c r="O26" s="13" t="s">
        <v>224</v>
      </c>
      <c r="P26" s="13"/>
    </row>
    <row r="27" ht="28.5" customHeight="1">
      <c r="A27" s="41">
        <v>42774.0</v>
      </c>
      <c r="B27" s="16" t="s">
        <v>362</v>
      </c>
      <c r="C27" s="16" t="s">
        <v>363</v>
      </c>
      <c r="D27" s="16" t="s">
        <v>364</v>
      </c>
      <c r="E27" s="16" t="s">
        <v>268</v>
      </c>
      <c r="F27" s="13">
        <v>1.0</v>
      </c>
      <c r="G27" s="13" t="s">
        <v>269</v>
      </c>
      <c r="H27" s="13" t="s">
        <v>365</v>
      </c>
      <c r="I27" s="13" t="s">
        <v>270</v>
      </c>
      <c r="J27" s="13" t="s">
        <v>366</v>
      </c>
      <c r="K27" s="13" t="s">
        <v>222</v>
      </c>
      <c r="L27" s="13"/>
      <c r="M27" s="13" t="s">
        <v>222</v>
      </c>
      <c r="N27" s="13" t="s">
        <v>221</v>
      </c>
      <c r="O27" s="13" t="s">
        <v>224</v>
      </c>
    </row>
    <row r="28" ht="28.5" customHeight="1">
      <c r="A28" s="41">
        <v>42773.0</v>
      </c>
      <c r="B28" s="16" t="s">
        <v>370</v>
      </c>
      <c r="C28" s="13" t="s">
        <v>371</v>
      </c>
      <c r="D28" s="13" t="s">
        <v>372</v>
      </c>
      <c r="E28" s="16" t="s">
        <v>244</v>
      </c>
      <c r="F28" s="13">
        <v>1.0</v>
      </c>
      <c r="G28" s="13" t="s">
        <v>200</v>
      </c>
      <c r="K28" s="13" t="s">
        <v>221</v>
      </c>
      <c r="L28" s="13" t="s">
        <v>373</v>
      </c>
      <c r="M28" s="13"/>
      <c r="N28" s="13" t="s">
        <v>375</v>
      </c>
      <c r="O28" s="13" t="s">
        <v>224</v>
      </c>
      <c r="P28" s="13" t="s">
        <v>377</v>
      </c>
    </row>
    <row r="29" ht="28.5" customHeight="1">
      <c r="A29" s="41">
        <v>42773.0</v>
      </c>
      <c r="B29" s="16" t="s">
        <v>370</v>
      </c>
      <c r="C29" s="13" t="s">
        <v>371</v>
      </c>
      <c r="D29" s="13" t="s">
        <v>372</v>
      </c>
      <c r="E29" s="16" t="s">
        <v>244</v>
      </c>
      <c r="F29" s="13">
        <v>1.0</v>
      </c>
      <c r="G29" s="13" t="s">
        <v>200</v>
      </c>
      <c r="I29" s="13"/>
      <c r="K29" s="13"/>
      <c r="L29" s="13" t="s">
        <v>383</v>
      </c>
      <c r="M29" s="13" t="s">
        <v>221</v>
      </c>
      <c r="N29" s="13" t="s">
        <v>384</v>
      </c>
      <c r="O29" s="13" t="s">
        <v>224</v>
      </c>
      <c r="P29" s="13" t="s">
        <v>385</v>
      </c>
    </row>
    <row r="30" ht="28.5" customHeight="1">
      <c r="A30" s="41">
        <v>42773.0</v>
      </c>
      <c r="B30" s="16" t="s">
        <v>386</v>
      </c>
      <c r="C30" s="13" t="s">
        <v>389</v>
      </c>
      <c r="D30" s="13" t="s">
        <v>390</v>
      </c>
      <c r="E30" s="16" t="s">
        <v>391</v>
      </c>
      <c r="F30" s="13">
        <v>1.0</v>
      </c>
      <c r="G30" s="13" t="s">
        <v>200</v>
      </c>
      <c r="I30" s="13" t="s">
        <v>392</v>
      </c>
      <c r="K30" s="13" t="s">
        <v>393</v>
      </c>
      <c r="L30" s="13" t="s">
        <v>276</v>
      </c>
      <c r="M30" s="13" t="s">
        <v>221</v>
      </c>
      <c r="N30" s="13" t="s">
        <v>256</v>
      </c>
      <c r="O30" s="13"/>
    </row>
    <row r="31" ht="28.5" customHeight="1">
      <c r="A31" s="41">
        <v>42773.0</v>
      </c>
      <c r="B31" s="16" t="s">
        <v>396</v>
      </c>
      <c r="C31" s="16" t="s">
        <v>397</v>
      </c>
      <c r="D31" s="16" t="s">
        <v>398</v>
      </c>
      <c r="E31" s="16" t="s">
        <v>399</v>
      </c>
      <c r="F31" s="16">
        <v>1.0</v>
      </c>
      <c r="G31" s="16" t="s">
        <v>400</v>
      </c>
      <c r="H31" s="13"/>
      <c r="I31" s="13" t="s">
        <v>401</v>
      </c>
      <c r="J31" s="13"/>
      <c r="K31" s="13"/>
      <c r="L31" s="13"/>
      <c r="M31" s="13"/>
      <c r="N31" s="13" t="s">
        <v>221</v>
      </c>
      <c r="O31" s="13" t="s">
        <v>402</v>
      </c>
    </row>
    <row r="32" ht="28.5" customHeight="1">
      <c r="A32" s="41">
        <v>42773.0</v>
      </c>
      <c r="B32" s="16" t="s">
        <v>396</v>
      </c>
      <c r="C32" s="16" t="s">
        <v>397</v>
      </c>
      <c r="D32" s="16" t="s">
        <v>398</v>
      </c>
      <c r="E32" s="16" t="s">
        <v>399</v>
      </c>
      <c r="F32" s="16">
        <v>1.0</v>
      </c>
      <c r="G32" s="16" t="s">
        <v>400</v>
      </c>
      <c r="H32" s="13"/>
      <c r="I32" s="13" t="s">
        <v>401</v>
      </c>
      <c r="J32" s="13"/>
      <c r="K32" s="13"/>
      <c r="L32" s="13"/>
      <c r="M32" s="13"/>
      <c r="N32" s="13" t="s">
        <v>221</v>
      </c>
      <c r="O32" s="13" t="s">
        <v>402</v>
      </c>
    </row>
    <row r="33" ht="28.5" customHeight="1">
      <c r="A33" s="41">
        <v>42773.0</v>
      </c>
      <c r="B33" s="16" t="s">
        <v>396</v>
      </c>
      <c r="C33" s="16" t="s">
        <v>397</v>
      </c>
      <c r="D33" s="16" t="s">
        <v>398</v>
      </c>
      <c r="E33" s="16" t="s">
        <v>399</v>
      </c>
      <c r="F33" s="16">
        <v>1.0</v>
      </c>
      <c r="G33" s="16" t="s">
        <v>400</v>
      </c>
      <c r="H33" s="13"/>
      <c r="I33" s="13" t="s">
        <v>401</v>
      </c>
      <c r="J33" s="13"/>
      <c r="K33" s="13"/>
      <c r="L33" s="13"/>
      <c r="M33" s="13"/>
      <c r="N33" s="13" t="s">
        <v>221</v>
      </c>
      <c r="O33" s="13" t="s">
        <v>402</v>
      </c>
    </row>
    <row r="34" ht="28.5" customHeight="1">
      <c r="A34" s="41">
        <v>42773.0</v>
      </c>
      <c r="B34" s="16" t="s">
        <v>396</v>
      </c>
      <c r="C34" s="16" t="s">
        <v>397</v>
      </c>
      <c r="D34" s="16" t="s">
        <v>398</v>
      </c>
      <c r="E34" s="16" t="s">
        <v>399</v>
      </c>
      <c r="F34" s="16">
        <v>1.0</v>
      </c>
      <c r="G34" s="16" t="s">
        <v>400</v>
      </c>
      <c r="H34" s="13"/>
      <c r="I34" s="13" t="s">
        <v>401</v>
      </c>
      <c r="J34" s="13"/>
      <c r="K34" s="13"/>
      <c r="L34" s="13"/>
      <c r="M34" s="13"/>
      <c r="N34" s="13" t="s">
        <v>221</v>
      </c>
      <c r="O34" s="13" t="s">
        <v>402</v>
      </c>
    </row>
    <row r="35" ht="28.5" customHeight="1">
      <c r="A35" s="41">
        <v>42773.0</v>
      </c>
      <c r="B35" s="16" t="s">
        <v>396</v>
      </c>
      <c r="C35" s="16" t="s">
        <v>397</v>
      </c>
      <c r="D35" s="16" t="s">
        <v>398</v>
      </c>
      <c r="E35" s="16" t="s">
        <v>399</v>
      </c>
      <c r="F35" s="16">
        <v>1.0</v>
      </c>
      <c r="G35" s="16" t="s">
        <v>424</v>
      </c>
      <c r="H35" s="13"/>
      <c r="I35" s="13" t="s">
        <v>401</v>
      </c>
      <c r="J35" s="13"/>
      <c r="K35" s="13"/>
      <c r="L35" s="13"/>
      <c r="M35" s="13"/>
      <c r="N35" s="13" t="s">
        <v>221</v>
      </c>
      <c r="O35" s="13" t="s">
        <v>402</v>
      </c>
    </row>
    <row r="36" ht="28.5" customHeight="1">
      <c r="A36" s="41">
        <v>42773.0</v>
      </c>
      <c r="B36" s="16" t="s">
        <v>427</v>
      </c>
      <c r="C36" s="13" t="s">
        <v>434</v>
      </c>
      <c r="D36" s="13" t="s">
        <v>436</v>
      </c>
      <c r="E36" s="13" t="s">
        <v>438</v>
      </c>
      <c r="F36" s="13">
        <v>1.0</v>
      </c>
      <c r="G36" s="13" t="s">
        <v>217</v>
      </c>
      <c r="H36" s="13"/>
      <c r="I36" s="13"/>
      <c r="J36" s="13"/>
      <c r="K36" s="13" t="s">
        <v>221</v>
      </c>
      <c r="L36" s="13" t="s">
        <v>439</v>
      </c>
      <c r="M36" s="13" t="s">
        <v>219</v>
      </c>
      <c r="N36" s="13" t="s">
        <v>440</v>
      </c>
      <c r="O36" s="13"/>
      <c r="P36" s="13"/>
    </row>
    <row r="37" ht="28.5" customHeight="1">
      <c r="A37" s="41">
        <v>42773.0</v>
      </c>
      <c r="B37" s="16" t="s">
        <v>427</v>
      </c>
      <c r="C37" s="13" t="s">
        <v>441</v>
      </c>
      <c r="D37" s="13" t="s">
        <v>436</v>
      </c>
      <c r="E37" s="16" t="s">
        <v>438</v>
      </c>
      <c r="F37" s="13">
        <v>1.0</v>
      </c>
      <c r="G37" s="13" t="s">
        <v>217</v>
      </c>
      <c r="H37" s="13"/>
      <c r="I37" s="13"/>
      <c r="J37" s="13"/>
      <c r="K37" s="13" t="s">
        <v>221</v>
      </c>
      <c r="L37" s="13" t="s">
        <v>256</v>
      </c>
      <c r="M37" s="13" t="s">
        <v>219</v>
      </c>
      <c r="N37" s="13" t="s">
        <v>443</v>
      </c>
      <c r="O37" s="13"/>
      <c r="P37" s="13" t="s">
        <v>319</v>
      </c>
    </row>
    <row r="38" ht="28.5" customHeight="1">
      <c r="A38" s="41">
        <v>42773.0</v>
      </c>
      <c r="B38" s="16" t="s">
        <v>427</v>
      </c>
      <c r="C38" s="13" t="s">
        <v>441</v>
      </c>
      <c r="D38" s="13" t="s">
        <v>436</v>
      </c>
      <c r="E38" s="16" t="s">
        <v>438</v>
      </c>
      <c r="F38" s="13">
        <v>1.0</v>
      </c>
      <c r="G38" s="13" t="s">
        <v>217</v>
      </c>
      <c r="H38" s="13"/>
      <c r="I38" s="13"/>
      <c r="J38" s="13"/>
      <c r="K38" s="13" t="s">
        <v>221</v>
      </c>
      <c r="L38" s="13" t="s">
        <v>439</v>
      </c>
      <c r="M38" s="13" t="s">
        <v>219</v>
      </c>
      <c r="N38" s="13" t="s">
        <v>447</v>
      </c>
      <c r="O38" s="13"/>
    </row>
    <row r="39" ht="28.5" customHeight="1">
      <c r="A39" s="41">
        <v>42773.0</v>
      </c>
      <c r="B39" s="16" t="s">
        <v>427</v>
      </c>
      <c r="C39" s="16" t="s">
        <v>441</v>
      </c>
      <c r="D39" s="16" t="s">
        <v>436</v>
      </c>
      <c r="E39" s="16" t="s">
        <v>438</v>
      </c>
      <c r="F39" s="13">
        <v>1.0</v>
      </c>
      <c r="G39" s="13" t="s">
        <v>217</v>
      </c>
      <c r="H39" s="13"/>
      <c r="I39" s="13"/>
      <c r="J39" s="13"/>
      <c r="K39" s="13" t="s">
        <v>219</v>
      </c>
      <c r="L39" s="13" t="s">
        <v>224</v>
      </c>
      <c r="M39" s="13" t="s">
        <v>221</v>
      </c>
      <c r="N39" s="13" t="s">
        <v>459</v>
      </c>
      <c r="O39" s="13"/>
    </row>
    <row r="40" ht="28.5" customHeight="1">
      <c r="A40" s="41">
        <v>42773.0</v>
      </c>
      <c r="B40" s="16" t="s">
        <v>427</v>
      </c>
      <c r="C40" s="16" t="s">
        <v>441</v>
      </c>
      <c r="D40" s="16" t="s">
        <v>436</v>
      </c>
      <c r="E40" s="16" t="s">
        <v>438</v>
      </c>
      <c r="F40" s="13">
        <v>1.0</v>
      </c>
      <c r="G40" s="13" t="s">
        <v>217</v>
      </c>
      <c r="K40" s="13" t="s">
        <v>219</v>
      </c>
      <c r="L40" s="13" t="s">
        <v>236</v>
      </c>
      <c r="M40" s="13" t="s">
        <v>221</v>
      </c>
      <c r="N40" s="13" t="s">
        <v>465</v>
      </c>
      <c r="O40" s="13"/>
      <c r="P40" s="13" t="s">
        <v>319</v>
      </c>
    </row>
    <row r="41" ht="28.5" customHeight="1">
      <c r="A41" s="41">
        <v>42773.0</v>
      </c>
      <c r="B41" s="16" t="s">
        <v>427</v>
      </c>
      <c r="C41" s="16" t="s">
        <v>441</v>
      </c>
      <c r="D41" s="16" t="s">
        <v>436</v>
      </c>
      <c r="E41" s="16" t="s">
        <v>438</v>
      </c>
      <c r="F41" s="13">
        <v>1.0</v>
      </c>
      <c r="G41" s="13" t="s">
        <v>217</v>
      </c>
      <c r="I41" s="13"/>
      <c r="L41" s="13" t="s">
        <v>256</v>
      </c>
      <c r="M41" s="13"/>
      <c r="N41" s="13" t="s">
        <v>469</v>
      </c>
      <c r="O41" s="13"/>
      <c r="P41" s="13" t="s">
        <v>471</v>
      </c>
    </row>
    <row r="42" ht="28.5" customHeight="1">
      <c r="A42" s="41">
        <v>42773.0</v>
      </c>
      <c r="B42" s="16" t="s">
        <v>427</v>
      </c>
      <c r="C42" s="16" t="s">
        <v>441</v>
      </c>
      <c r="D42" s="16" t="s">
        <v>436</v>
      </c>
      <c r="E42" s="16" t="s">
        <v>438</v>
      </c>
      <c r="F42" s="13">
        <v>1.0</v>
      </c>
      <c r="G42" s="13" t="s">
        <v>217</v>
      </c>
      <c r="K42" s="13" t="s">
        <v>221</v>
      </c>
      <c r="L42" s="13" t="s">
        <v>439</v>
      </c>
      <c r="M42" s="13" t="s">
        <v>219</v>
      </c>
      <c r="N42" s="13" t="s">
        <v>482</v>
      </c>
      <c r="O42" s="13"/>
    </row>
    <row r="43" ht="28.5" customHeight="1">
      <c r="A43" s="41">
        <v>42773.0</v>
      </c>
      <c r="B43" s="16" t="s">
        <v>427</v>
      </c>
      <c r="C43" s="16" t="s">
        <v>441</v>
      </c>
      <c r="D43" s="16" t="s">
        <v>436</v>
      </c>
      <c r="E43" s="16" t="s">
        <v>438</v>
      </c>
      <c r="F43" s="13">
        <v>1.0</v>
      </c>
      <c r="G43" s="13" t="s">
        <v>217</v>
      </c>
      <c r="K43" s="13" t="s">
        <v>221</v>
      </c>
      <c r="L43" s="13" t="s">
        <v>439</v>
      </c>
      <c r="M43" s="13" t="s">
        <v>219</v>
      </c>
      <c r="N43" s="13" t="s">
        <v>485</v>
      </c>
      <c r="O43" s="13"/>
    </row>
    <row r="44" ht="28.5" customHeight="1">
      <c r="A44" s="41">
        <v>42770.0</v>
      </c>
      <c r="B44" s="16" t="s">
        <v>110</v>
      </c>
      <c r="C44" s="13" t="s">
        <v>112</v>
      </c>
      <c r="D44" s="16" t="s">
        <v>218</v>
      </c>
      <c r="E44" s="16" t="s">
        <v>25</v>
      </c>
      <c r="F44" s="13">
        <v>1.0</v>
      </c>
      <c r="G44" s="13" t="s">
        <v>217</v>
      </c>
      <c r="K44" s="13" t="s">
        <v>221</v>
      </c>
      <c r="L44" s="13" t="s">
        <v>222</v>
      </c>
      <c r="M44" s="13"/>
      <c r="N44" s="13" t="s">
        <v>488</v>
      </c>
      <c r="O44" s="13" t="s">
        <v>224</v>
      </c>
      <c r="P44" s="13" t="s">
        <v>319</v>
      </c>
    </row>
    <row r="45" ht="28.5" customHeight="1">
      <c r="A45" s="41">
        <v>42770.0</v>
      </c>
      <c r="B45" s="16" t="s">
        <v>110</v>
      </c>
      <c r="C45" s="13" t="s">
        <v>112</v>
      </c>
      <c r="D45" s="16" t="s">
        <v>218</v>
      </c>
      <c r="E45" s="16" t="s">
        <v>25</v>
      </c>
      <c r="F45" s="13">
        <v>1.0</v>
      </c>
      <c r="G45" s="13" t="s">
        <v>217</v>
      </c>
      <c r="K45" s="13" t="s">
        <v>221</v>
      </c>
      <c r="L45" s="13" t="s">
        <v>256</v>
      </c>
      <c r="M45" s="13"/>
      <c r="N45" s="13" t="s">
        <v>338</v>
      </c>
      <c r="O45" s="13" t="s">
        <v>224</v>
      </c>
      <c r="P45" s="13" t="s">
        <v>324</v>
      </c>
    </row>
    <row r="46" ht="28.5" customHeight="1">
      <c r="A46" s="41">
        <v>42770.0</v>
      </c>
      <c r="B46" s="16" t="s">
        <v>110</v>
      </c>
      <c r="C46" s="13" t="s">
        <v>112</v>
      </c>
      <c r="D46" s="16" t="s">
        <v>495</v>
      </c>
      <c r="E46" s="16" t="s">
        <v>290</v>
      </c>
      <c r="F46" s="13">
        <v>1.0</v>
      </c>
      <c r="G46" s="13" t="s">
        <v>217</v>
      </c>
      <c r="K46" s="13" t="s">
        <v>221</v>
      </c>
      <c r="L46" s="13" t="s">
        <v>256</v>
      </c>
      <c r="N46" s="13" t="s">
        <v>322</v>
      </c>
      <c r="O46" s="13" t="s">
        <v>224</v>
      </c>
      <c r="P46" s="13" t="s">
        <v>319</v>
      </c>
    </row>
    <row r="47" ht="28.5" customHeight="1">
      <c r="A47" s="41">
        <v>42770.0</v>
      </c>
      <c r="B47" s="16" t="s">
        <v>110</v>
      </c>
      <c r="C47" s="13" t="s">
        <v>112</v>
      </c>
      <c r="D47" s="16" t="s">
        <v>495</v>
      </c>
      <c r="E47" s="16" t="s">
        <v>290</v>
      </c>
      <c r="F47" s="13">
        <v>1.0</v>
      </c>
      <c r="G47" s="13" t="s">
        <v>217</v>
      </c>
      <c r="L47" s="13" t="s">
        <v>500</v>
      </c>
      <c r="M47" s="13" t="s">
        <v>221</v>
      </c>
      <c r="N47" s="13" t="s">
        <v>276</v>
      </c>
      <c r="O47" s="13" t="s">
        <v>224</v>
      </c>
      <c r="P47" s="13" t="s">
        <v>324</v>
      </c>
    </row>
    <row r="48" ht="28.5" customHeight="1">
      <c r="A48" s="41">
        <v>42770.0</v>
      </c>
      <c r="B48" s="16" t="s">
        <v>110</v>
      </c>
      <c r="C48" s="13" t="s">
        <v>112</v>
      </c>
      <c r="D48" s="16" t="s">
        <v>495</v>
      </c>
      <c r="E48" s="16" t="s">
        <v>290</v>
      </c>
      <c r="F48" s="13">
        <v>1.0</v>
      </c>
      <c r="G48" s="13" t="s">
        <v>217</v>
      </c>
      <c r="L48" s="13" t="s">
        <v>503</v>
      </c>
      <c r="M48" s="13" t="s">
        <v>275</v>
      </c>
      <c r="N48" s="13"/>
      <c r="O48" s="13" t="s">
        <v>224</v>
      </c>
      <c r="P48" s="13" t="s">
        <v>324</v>
      </c>
    </row>
    <row r="49" ht="28.5" customHeight="1">
      <c r="A49" s="41">
        <v>42774.0</v>
      </c>
      <c r="B49" s="16" t="s">
        <v>505</v>
      </c>
      <c r="C49" s="16" t="s">
        <v>506</v>
      </c>
      <c r="D49" s="16" t="s">
        <v>507</v>
      </c>
      <c r="E49" s="16" t="s">
        <v>268</v>
      </c>
      <c r="F49" s="13">
        <v>1.0</v>
      </c>
      <c r="G49" s="13" t="s">
        <v>508</v>
      </c>
      <c r="H49" s="13" t="s">
        <v>509</v>
      </c>
      <c r="I49" s="13" t="s">
        <v>510</v>
      </c>
      <c r="J49" s="13" t="s">
        <v>511</v>
      </c>
      <c r="K49" s="13" t="s">
        <v>512</v>
      </c>
      <c r="L49" s="13"/>
      <c r="M49" s="13"/>
      <c r="N49" s="13" t="s">
        <v>221</v>
      </c>
      <c r="O49" s="13" t="s">
        <v>224</v>
      </c>
      <c r="P49" s="13"/>
    </row>
    <row r="50" ht="28.5" customHeight="1">
      <c r="A50" s="41">
        <v>42773.0</v>
      </c>
      <c r="B50" s="16" t="s">
        <v>110</v>
      </c>
      <c r="C50" s="16" t="s">
        <v>514</v>
      </c>
      <c r="D50" s="16" t="s">
        <v>515</v>
      </c>
      <c r="E50" s="16" t="s">
        <v>268</v>
      </c>
      <c r="F50" s="13">
        <v>1.0</v>
      </c>
      <c r="G50" s="13" t="s">
        <v>516</v>
      </c>
      <c r="H50" s="13"/>
      <c r="I50" s="13"/>
      <c r="J50" s="13"/>
      <c r="K50" s="13"/>
      <c r="L50" s="13" t="s">
        <v>322</v>
      </c>
      <c r="M50" s="13" t="s">
        <v>221</v>
      </c>
      <c r="N50" s="13" t="s">
        <v>517</v>
      </c>
      <c r="O50" s="13"/>
      <c r="P50" s="13" t="s">
        <v>518</v>
      </c>
    </row>
    <row r="51" ht="28.5" customHeight="1">
      <c r="A51" s="41">
        <v>42774.0</v>
      </c>
      <c r="B51" s="16" t="s">
        <v>520</v>
      </c>
      <c r="C51" s="13" t="s">
        <v>522</v>
      </c>
      <c r="D51" s="13" t="s">
        <v>523</v>
      </c>
      <c r="E51" s="16" t="s">
        <v>268</v>
      </c>
      <c r="F51" s="13">
        <v>1.0</v>
      </c>
      <c r="G51" s="13" t="s">
        <v>217</v>
      </c>
      <c r="H51" s="46"/>
      <c r="I51" s="13"/>
      <c r="J51" s="13"/>
      <c r="K51" s="13" t="s">
        <v>530</v>
      </c>
      <c r="L51" s="13" t="s">
        <v>236</v>
      </c>
      <c r="M51" s="13" t="s">
        <v>221</v>
      </c>
      <c r="N51" s="13" t="s">
        <v>296</v>
      </c>
      <c r="O51" s="13" t="s">
        <v>224</v>
      </c>
      <c r="P51" s="13" t="s">
        <v>531</v>
      </c>
    </row>
    <row r="52" ht="28.5" customHeight="1">
      <c r="A52" s="41">
        <v>42769.0</v>
      </c>
      <c r="B52" s="16" t="s">
        <v>532</v>
      </c>
      <c r="C52" s="13" t="s">
        <v>533</v>
      </c>
      <c r="D52" s="13" t="s">
        <v>534</v>
      </c>
      <c r="E52" s="16" t="s">
        <v>535</v>
      </c>
      <c r="F52" s="13">
        <v>1.0</v>
      </c>
      <c r="G52" s="13" t="s">
        <v>200</v>
      </c>
      <c r="H52" s="13"/>
      <c r="I52" s="13"/>
      <c r="J52" s="13"/>
      <c r="K52" s="13" t="s">
        <v>236</v>
      </c>
      <c r="L52" s="13" t="s">
        <v>536</v>
      </c>
      <c r="M52" s="13" t="s">
        <v>530</v>
      </c>
      <c r="N52" s="13" t="s">
        <v>439</v>
      </c>
      <c r="O52" s="13" t="s">
        <v>224</v>
      </c>
      <c r="P52" s="13"/>
    </row>
    <row r="53" ht="28.5" customHeight="1">
      <c r="A53" s="41">
        <v>42774.0</v>
      </c>
      <c r="B53" s="16" t="s">
        <v>537</v>
      </c>
      <c r="C53" s="13" t="s">
        <v>538</v>
      </c>
      <c r="D53" s="13" t="s">
        <v>539</v>
      </c>
      <c r="E53" s="16" t="s">
        <v>244</v>
      </c>
      <c r="F53" s="13">
        <v>1.0</v>
      </c>
      <c r="G53" s="13" t="s">
        <v>508</v>
      </c>
      <c r="M53" s="13" t="s">
        <v>541</v>
      </c>
      <c r="N53" s="13" t="s">
        <v>221</v>
      </c>
      <c r="O53" s="13" t="s">
        <v>542</v>
      </c>
      <c r="P53" s="13" t="s">
        <v>543</v>
      </c>
    </row>
    <row r="54" ht="28.5" customHeight="1">
      <c r="A54" s="41">
        <v>42774.0</v>
      </c>
      <c r="B54" s="16" t="s">
        <v>537</v>
      </c>
      <c r="C54" s="13" t="s">
        <v>538</v>
      </c>
      <c r="D54" s="13" t="s">
        <v>539</v>
      </c>
      <c r="E54" s="16" t="s">
        <v>244</v>
      </c>
      <c r="F54" s="13">
        <v>1.0</v>
      </c>
      <c r="G54" s="13" t="s">
        <v>508</v>
      </c>
      <c r="K54" s="13" t="s">
        <v>545</v>
      </c>
      <c r="L54" s="13" t="s">
        <v>221</v>
      </c>
      <c r="O54" s="13" t="s">
        <v>542</v>
      </c>
      <c r="P54" s="13" t="s">
        <v>543</v>
      </c>
    </row>
    <row r="55" ht="28.5" customHeight="1">
      <c r="A55" s="41">
        <v>42774.0</v>
      </c>
      <c r="B55" s="16" t="s">
        <v>537</v>
      </c>
      <c r="C55" s="13" t="s">
        <v>538</v>
      </c>
      <c r="D55" s="13" t="s">
        <v>539</v>
      </c>
      <c r="E55" s="16" t="s">
        <v>244</v>
      </c>
      <c r="F55" s="13">
        <v>1.0</v>
      </c>
      <c r="G55" s="13" t="s">
        <v>508</v>
      </c>
      <c r="H55" s="13" t="s">
        <v>546</v>
      </c>
      <c r="I55" s="13" t="s">
        <v>547</v>
      </c>
      <c r="K55" s="13" t="s">
        <v>549</v>
      </c>
      <c r="M55" s="13" t="s">
        <v>550</v>
      </c>
      <c r="N55" s="13" t="s">
        <v>221</v>
      </c>
      <c r="O55" s="13" t="s">
        <v>542</v>
      </c>
    </row>
    <row r="56" ht="28.5" customHeight="1">
      <c r="A56" s="41">
        <v>42774.0</v>
      </c>
      <c r="B56" s="16" t="s">
        <v>537</v>
      </c>
      <c r="C56" s="13" t="s">
        <v>538</v>
      </c>
      <c r="D56" s="13" t="s">
        <v>539</v>
      </c>
      <c r="E56" s="16" t="s">
        <v>244</v>
      </c>
      <c r="F56" s="13">
        <v>1.0</v>
      </c>
      <c r="G56" s="13" t="s">
        <v>508</v>
      </c>
      <c r="H56" s="13" t="s">
        <v>553</v>
      </c>
      <c r="M56" s="13" t="s">
        <v>550</v>
      </c>
      <c r="N56" s="13" t="s">
        <v>221</v>
      </c>
      <c r="O56" s="13" t="s">
        <v>224</v>
      </c>
    </row>
    <row r="57" ht="28.5" customHeight="1">
      <c r="A57" s="41">
        <v>42774.0</v>
      </c>
      <c r="B57" s="16" t="s">
        <v>537</v>
      </c>
      <c r="C57" s="13" t="s">
        <v>538</v>
      </c>
      <c r="D57" s="13" t="s">
        <v>539</v>
      </c>
      <c r="E57" s="16" t="s">
        <v>244</v>
      </c>
      <c r="F57" s="13">
        <v>1.0</v>
      </c>
      <c r="G57" s="13" t="s">
        <v>508</v>
      </c>
      <c r="H57" s="48">
        <v>289.0</v>
      </c>
      <c r="I57" s="13" t="s">
        <v>547</v>
      </c>
      <c r="K57" s="13" t="s">
        <v>550</v>
      </c>
      <c r="O57" s="13" t="s">
        <v>542</v>
      </c>
      <c r="P57" s="13" t="s">
        <v>543</v>
      </c>
    </row>
    <row r="58" ht="28.5" customHeight="1">
      <c r="A58" s="41">
        <v>42774.0</v>
      </c>
      <c r="B58" s="16" t="s">
        <v>537</v>
      </c>
      <c r="C58" s="13" t="s">
        <v>538</v>
      </c>
      <c r="D58" s="13" t="s">
        <v>539</v>
      </c>
      <c r="E58" s="16" t="s">
        <v>244</v>
      </c>
      <c r="F58" s="13">
        <v>1.0</v>
      </c>
      <c r="G58" s="13" t="s">
        <v>508</v>
      </c>
      <c r="H58" s="13" t="s">
        <v>564</v>
      </c>
      <c r="I58" s="13" t="s">
        <v>547</v>
      </c>
      <c r="K58" s="13" t="s">
        <v>550</v>
      </c>
      <c r="N58" s="13" t="s">
        <v>221</v>
      </c>
      <c r="O58" s="13" t="s">
        <v>542</v>
      </c>
      <c r="P58" s="13" t="s">
        <v>543</v>
      </c>
    </row>
    <row r="59" ht="28.5" customHeight="1">
      <c r="A59" s="41">
        <v>42769.0</v>
      </c>
      <c r="B59" s="16" t="s">
        <v>194</v>
      </c>
      <c r="C59" s="16" t="s">
        <v>195</v>
      </c>
      <c r="D59" s="16" t="s">
        <v>196</v>
      </c>
      <c r="E59" s="16" t="s">
        <v>25</v>
      </c>
      <c r="F59" s="13">
        <v>1.0</v>
      </c>
      <c r="G59" s="13" t="s">
        <v>217</v>
      </c>
      <c r="H59" s="13"/>
      <c r="I59" s="13"/>
      <c r="J59" s="13"/>
      <c r="K59" s="13" t="s">
        <v>221</v>
      </c>
      <c r="L59" s="13" t="s">
        <v>222</v>
      </c>
      <c r="M59" s="13"/>
      <c r="N59" s="13" t="s">
        <v>575</v>
      </c>
      <c r="O59" s="13" t="s">
        <v>224</v>
      </c>
      <c r="P59" s="13" t="s">
        <v>579</v>
      </c>
    </row>
    <row r="60" ht="28.5" customHeight="1">
      <c r="A60" s="41">
        <v>42769.0</v>
      </c>
      <c r="B60" s="16" t="s">
        <v>194</v>
      </c>
      <c r="C60" s="16" t="s">
        <v>195</v>
      </c>
      <c r="D60" s="16" t="s">
        <v>196</v>
      </c>
      <c r="E60" s="16" t="s">
        <v>25</v>
      </c>
      <c r="F60" s="13">
        <v>1.0</v>
      </c>
      <c r="G60" s="13" t="s">
        <v>217</v>
      </c>
      <c r="H60" s="13"/>
      <c r="I60" s="13"/>
      <c r="J60" s="13"/>
      <c r="K60" s="13" t="s">
        <v>292</v>
      </c>
      <c r="L60" s="13"/>
      <c r="M60" s="13"/>
      <c r="N60" s="13" t="s">
        <v>585</v>
      </c>
      <c r="O60" s="13" t="s">
        <v>224</v>
      </c>
      <c r="P60" s="13" t="s">
        <v>588</v>
      </c>
    </row>
    <row r="61" ht="28.5" customHeight="1">
      <c r="A61" s="41">
        <v>42769.0</v>
      </c>
      <c r="B61" s="16" t="s">
        <v>194</v>
      </c>
      <c r="C61" s="16" t="s">
        <v>195</v>
      </c>
      <c r="D61" s="16" t="s">
        <v>196</v>
      </c>
      <c r="E61" s="16" t="s">
        <v>25</v>
      </c>
      <c r="F61" s="13">
        <v>1.0</v>
      </c>
      <c r="G61" s="13" t="s">
        <v>217</v>
      </c>
      <c r="H61" s="13"/>
      <c r="I61" s="13"/>
      <c r="J61" s="13"/>
      <c r="K61" s="13"/>
      <c r="L61" s="13" t="s">
        <v>220</v>
      </c>
      <c r="M61" s="13"/>
      <c r="N61" s="13" t="s">
        <v>594</v>
      </c>
      <c r="O61" s="13" t="s">
        <v>224</v>
      </c>
      <c r="P61" s="13" t="s">
        <v>595</v>
      </c>
    </row>
    <row r="62" ht="28.5" customHeight="1">
      <c r="A62" s="41">
        <v>42771.0</v>
      </c>
      <c r="B62" s="16" t="s">
        <v>596</v>
      </c>
      <c r="C62" s="16" t="s">
        <v>597</v>
      </c>
      <c r="D62" s="16" t="s">
        <v>598</v>
      </c>
      <c r="E62" s="16" t="s">
        <v>230</v>
      </c>
      <c r="F62" s="13">
        <v>1.0</v>
      </c>
      <c r="G62" s="13" t="s">
        <v>217</v>
      </c>
      <c r="L62" s="13" t="s">
        <v>599</v>
      </c>
      <c r="M62" s="13" t="s">
        <v>275</v>
      </c>
      <c r="O62" s="13" t="s">
        <v>224</v>
      </c>
      <c r="P62" s="13" t="s">
        <v>319</v>
      </c>
    </row>
    <row r="63" ht="28.5" customHeight="1">
      <c r="A63" s="41">
        <v>42772.0</v>
      </c>
      <c r="B63" s="16" t="s">
        <v>605</v>
      </c>
      <c r="C63" s="16" t="s">
        <v>606</v>
      </c>
      <c r="D63" s="16" t="s">
        <v>607</v>
      </c>
      <c r="E63" s="16" t="s">
        <v>608</v>
      </c>
      <c r="F63" s="13">
        <v>1.0</v>
      </c>
      <c r="G63" s="13" t="s">
        <v>217</v>
      </c>
      <c r="K63" s="13" t="s">
        <v>221</v>
      </c>
      <c r="L63" s="13" t="s">
        <v>315</v>
      </c>
      <c r="N63" s="13" t="s">
        <v>609</v>
      </c>
      <c r="O63" s="13" t="s">
        <v>224</v>
      </c>
    </row>
    <row r="64" ht="28.5" customHeight="1">
      <c r="A64" s="43">
        <v>42775.0</v>
      </c>
      <c r="B64" s="16" t="s">
        <v>610</v>
      </c>
      <c r="C64" s="16" t="s">
        <v>612</v>
      </c>
      <c r="D64" s="16" t="s">
        <v>614</v>
      </c>
      <c r="E64" s="16" t="s">
        <v>615</v>
      </c>
      <c r="F64" s="13">
        <v>1.0</v>
      </c>
      <c r="G64" s="13" t="s">
        <v>617</v>
      </c>
      <c r="I64" s="13" t="s">
        <v>401</v>
      </c>
      <c r="N64" s="13" t="s">
        <v>401</v>
      </c>
      <c r="P64" s="13" t="s">
        <v>618</v>
      </c>
    </row>
    <row r="65" ht="28.5" customHeight="1">
      <c r="A65" s="43">
        <v>42775.0</v>
      </c>
      <c r="B65" s="16" t="s">
        <v>610</v>
      </c>
      <c r="C65" s="16" t="s">
        <v>612</v>
      </c>
      <c r="D65" s="16" t="s">
        <v>614</v>
      </c>
      <c r="E65" s="16" t="s">
        <v>615</v>
      </c>
      <c r="F65" s="13">
        <v>1.0</v>
      </c>
      <c r="G65" s="13" t="s">
        <v>617</v>
      </c>
      <c r="I65" s="13" t="s">
        <v>401</v>
      </c>
      <c r="N65" s="13" t="s">
        <v>401</v>
      </c>
      <c r="P65" s="13" t="s">
        <v>618</v>
      </c>
    </row>
    <row r="66" ht="28.5" customHeight="1">
      <c r="A66" s="43">
        <v>42775.0</v>
      </c>
      <c r="B66" s="16" t="s">
        <v>610</v>
      </c>
      <c r="C66" s="16" t="s">
        <v>612</v>
      </c>
      <c r="D66" s="16" t="s">
        <v>614</v>
      </c>
      <c r="E66" s="16" t="s">
        <v>615</v>
      </c>
      <c r="F66" s="13">
        <v>1.0</v>
      </c>
      <c r="G66" s="13" t="s">
        <v>617</v>
      </c>
      <c r="I66" s="13" t="s">
        <v>401</v>
      </c>
      <c r="N66" s="13" t="s">
        <v>401</v>
      </c>
      <c r="P66" s="13" t="s">
        <v>618</v>
      </c>
    </row>
    <row r="67" ht="28.5" customHeight="1">
      <c r="A67" s="43">
        <v>42775.0</v>
      </c>
      <c r="B67" s="16" t="s">
        <v>610</v>
      </c>
      <c r="C67" s="16" t="s">
        <v>612</v>
      </c>
      <c r="D67" s="16" t="s">
        <v>614</v>
      </c>
      <c r="E67" s="16" t="s">
        <v>615</v>
      </c>
      <c r="F67" s="13">
        <v>1.0</v>
      </c>
      <c r="G67" s="13" t="s">
        <v>617</v>
      </c>
      <c r="I67" s="13" t="s">
        <v>401</v>
      </c>
      <c r="N67" s="13" t="s">
        <v>401</v>
      </c>
      <c r="P67" s="13" t="s">
        <v>618</v>
      </c>
    </row>
    <row r="68" ht="28.5" customHeight="1">
      <c r="A68" s="43">
        <v>42775.0</v>
      </c>
      <c r="B68" s="16" t="s">
        <v>610</v>
      </c>
      <c r="C68" s="16" t="s">
        <v>612</v>
      </c>
      <c r="D68" s="16" t="s">
        <v>614</v>
      </c>
      <c r="E68" s="16" t="s">
        <v>615</v>
      </c>
      <c r="F68" s="13">
        <v>1.0</v>
      </c>
      <c r="G68" s="13" t="s">
        <v>617</v>
      </c>
      <c r="I68" s="13" t="s">
        <v>401</v>
      </c>
      <c r="N68" s="13" t="s">
        <v>401</v>
      </c>
      <c r="P68" s="13" t="s">
        <v>618</v>
      </c>
    </row>
    <row r="69" ht="28.5" customHeight="1">
      <c r="A69" s="43">
        <v>42775.0</v>
      </c>
      <c r="B69" s="16" t="s">
        <v>610</v>
      </c>
      <c r="C69" s="16" t="s">
        <v>612</v>
      </c>
      <c r="D69" s="16" t="s">
        <v>614</v>
      </c>
      <c r="E69" s="16" t="s">
        <v>615</v>
      </c>
      <c r="F69" s="13">
        <v>1.0</v>
      </c>
      <c r="G69" s="13" t="s">
        <v>617</v>
      </c>
      <c r="I69" s="13" t="s">
        <v>401</v>
      </c>
      <c r="N69" s="13" t="s">
        <v>401</v>
      </c>
      <c r="P69" s="13" t="s">
        <v>618</v>
      </c>
    </row>
    <row r="70" ht="28.5" customHeight="1">
      <c r="A70" s="43">
        <v>42775.0</v>
      </c>
      <c r="B70" s="16" t="s">
        <v>610</v>
      </c>
      <c r="C70" s="16" t="s">
        <v>612</v>
      </c>
      <c r="D70" s="16" t="s">
        <v>614</v>
      </c>
      <c r="E70" s="16" t="s">
        <v>615</v>
      </c>
      <c r="F70" s="13">
        <v>1.0</v>
      </c>
      <c r="G70" s="13" t="s">
        <v>617</v>
      </c>
      <c r="I70" s="13" t="s">
        <v>401</v>
      </c>
      <c r="N70" s="13" t="s">
        <v>401</v>
      </c>
      <c r="P70" s="13" t="s">
        <v>618</v>
      </c>
    </row>
    <row r="71" ht="28.5" customHeight="1">
      <c r="A71" s="43">
        <v>42775.0</v>
      </c>
      <c r="B71" s="16" t="s">
        <v>610</v>
      </c>
      <c r="C71" s="16" t="s">
        <v>612</v>
      </c>
      <c r="D71" s="16" t="s">
        <v>614</v>
      </c>
      <c r="E71" s="16" t="s">
        <v>615</v>
      </c>
      <c r="F71" s="13">
        <v>1.0</v>
      </c>
      <c r="G71" s="13" t="s">
        <v>617</v>
      </c>
      <c r="I71" s="13" t="s">
        <v>401</v>
      </c>
      <c r="N71" s="13" t="s">
        <v>401</v>
      </c>
      <c r="P71" s="13" t="s">
        <v>618</v>
      </c>
    </row>
    <row r="72" ht="28.5" customHeight="1">
      <c r="A72" s="43">
        <v>42775.0</v>
      </c>
      <c r="B72" s="16" t="s">
        <v>610</v>
      </c>
      <c r="C72" s="16" t="s">
        <v>612</v>
      </c>
      <c r="D72" s="16" t="s">
        <v>614</v>
      </c>
      <c r="E72" s="16" t="s">
        <v>615</v>
      </c>
      <c r="F72" s="13">
        <v>1.0</v>
      </c>
      <c r="G72" s="13" t="s">
        <v>617</v>
      </c>
      <c r="I72" s="13" t="s">
        <v>401</v>
      </c>
      <c r="N72" s="13" t="s">
        <v>401</v>
      </c>
      <c r="P72" s="13" t="s">
        <v>618</v>
      </c>
    </row>
    <row r="73" ht="28.5" customHeight="1">
      <c r="A73" s="43">
        <v>42775.0</v>
      </c>
      <c r="B73" s="16" t="s">
        <v>610</v>
      </c>
      <c r="C73" s="16" t="s">
        <v>612</v>
      </c>
      <c r="D73" s="16" t="s">
        <v>614</v>
      </c>
      <c r="E73" s="16" t="s">
        <v>615</v>
      </c>
      <c r="F73" s="13">
        <v>1.0</v>
      </c>
      <c r="G73" s="13" t="s">
        <v>617</v>
      </c>
      <c r="I73" s="13" t="s">
        <v>401</v>
      </c>
      <c r="N73" s="13" t="s">
        <v>401</v>
      </c>
      <c r="P73" s="13" t="s">
        <v>618</v>
      </c>
    </row>
    <row r="74" ht="28.5" customHeight="1">
      <c r="A74" s="43">
        <v>42775.0</v>
      </c>
      <c r="B74" s="16" t="s">
        <v>610</v>
      </c>
      <c r="C74" s="16" t="s">
        <v>612</v>
      </c>
      <c r="D74" s="16" t="s">
        <v>614</v>
      </c>
      <c r="E74" s="16" t="s">
        <v>615</v>
      </c>
      <c r="F74" s="13">
        <v>1.0</v>
      </c>
      <c r="G74" s="13" t="s">
        <v>617</v>
      </c>
      <c r="I74" s="13" t="s">
        <v>401</v>
      </c>
      <c r="N74" s="13" t="s">
        <v>401</v>
      </c>
      <c r="P74" s="13" t="s">
        <v>618</v>
      </c>
    </row>
    <row r="75" ht="28.5" customHeight="1">
      <c r="A75" s="43">
        <v>42775.0</v>
      </c>
      <c r="B75" s="16" t="s">
        <v>610</v>
      </c>
      <c r="C75" s="16" t="s">
        <v>612</v>
      </c>
      <c r="D75" s="16" t="s">
        <v>614</v>
      </c>
      <c r="E75" s="16" t="s">
        <v>615</v>
      </c>
      <c r="F75" s="13">
        <v>1.0</v>
      </c>
      <c r="G75" s="13" t="s">
        <v>617</v>
      </c>
      <c r="I75" s="13" t="s">
        <v>401</v>
      </c>
      <c r="N75" s="13" t="s">
        <v>401</v>
      </c>
      <c r="P75" s="13" t="s">
        <v>618</v>
      </c>
    </row>
    <row r="76" ht="28.5" customHeight="1">
      <c r="A76" s="43">
        <v>42775.0</v>
      </c>
      <c r="B76" s="16" t="s">
        <v>610</v>
      </c>
      <c r="C76" s="16" t="s">
        <v>612</v>
      </c>
      <c r="D76" s="16" t="s">
        <v>614</v>
      </c>
      <c r="E76" s="16" t="s">
        <v>615</v>
      </c>
      <c r="F76" s="13">
        <v>1.0</v>
      </c>
      <c r="G76" s="13" t="s">
        <v>617</v>
      </c>
      <c r="I76" s="13" t="s">
        <v>401</v>
      </c>
      <c r="N76" s="13" t="s">
        <v>401</v>
      </c>
      <c r="P76" s="13" t="s">
        <v>618</v>
      </c>
    </row>
    <row r="77" ht="28.5" customHeight="1">
      <c r="A77" s="43">
        <v>42773.0</v>
      </c>
      <c r="B77" s="16" t="s">
        <v>652</v>
      </c>
      <c r="C77" s="16" t="s">
        <v>195</v>
      </c>
      <c r="D77" s="16" t="s">
        <v>654</v>
      </c>
      <c r="E77" s="16" t="s">
        <v>268</v>
      </c>
      <c r="F77" s="13">
        <v>1.0</v>
      </c>
      <c r="G77" s="13" t="s">
        <v>516</v>
      </c>
      <c r="K77" s="13" t="s">
        <v>221</v>
      </c>
      <c r="L77" s="13" t="s">
        <v>315</v>
      </c>
      <c r="N77" s="13" t="s">
        <v>327</v>
      </c>
      <c r="O77" s="13" t="s">
        <v>657</v>
      </c>
      <c r="P77" s="13" t="s">
        <v>658</v>
      </c>
    </row>
    <row r="78" ht="28.5" customHeight="1">
      <c r="A78" s="43">
        <v>42773.0</v>
      </c>
      <c r="B78" s="16" t="s">
        <v>660</v>
      </c>
      <c r="C78" s="13" t="s">
        <v>662</v>
      </c>
      <c r="D78" s="13" t="s">
        <v>663</v>
      </c>
      <c r="E78" s="16" t="s">
        <v>656</v>
      </c>
      <c r="F78" s="13">
        <v>1.0</v>
      </c>
      <c r="G78" s="13" t="s">
        <v>245</v>
      </c>
      <c r="H78" s="13" t="s">
        <v>665</v>
      </c>
      <c r="N78" s="13" t="s">
        <v>401</v>
      </c>
      <c r="O78" s="13" t="s">
        <v>657</v>
      </c>
      <c r="P78" s="13" t="s">
        <v>666</v>
      </c>
    </row>
    <row r="79" ht="28.5" customHeight="1">
      <c r="A79" s="43">
        <v>42773.0</v>
      </c>
      <c r="B79" s="16" t="s">
        <v>660</v>
      </c>
      <c r="C79" s="13" t="s">
        <v>667</v>
      </c>
      <c r="D79" s="13" t="s">
        <v>663</v>
      </c>
      <c r="E79" s="16" t="s">
        <v>656</v>
      </c>
      <c r="F79" s="13">
        <v>1.0</v>
      </c>
      <c r="G79" s="13" t="s">
        <v>245</v>
      </c>
      <c r="H79" s="13" t="s">
        <v>668</v>
      </c>
      <c r="I79" s="13" t="s">
        <v>669</v>
      </c>
      <c r="J79" s="13" t="s">
        <v>511</v>
      </c>
      <c r="N79" s="13" t="s">
        <v>670</v>
      </c>
      <c r="O79" s="13" t="s">
        <v>657</v>
      </c>
      <c r="P79" s="13" t="s">
        <v>671</v>
      </c>
    </row>
    <row r="80" ht="28.5" customHeight="1">
      <c r="A80" s="43">
        <v>42773.0</v>
      </c>
      <c r="B80" s="16" t="s">
        <v>660</v>
      </c>
      <c r="C80" s="13" t="s">
        <v>667</v>
      </c>
      <c r="D80" s="13" t="s">
        <v>663</v>
      </c>
      <c r="E80" s="16" t="s">
        <v>656</v>
      </c>
      <c r="F80" s="13">
        <v>1.0</v>
      </c>
      <c r="G80" s="13" t="s">
        <v>424</v>
      </c>
      <c r="H80" s="13" t="s">
        <v>673</v>
      </c>
      <c r="N80" s="13" t="s">
        <v>401</v>
      </c>
      <c r="O80" s="13" t="s">
        <v>657</v>
      </c>
      <c r="P80" s="13" t="s">
        <v>666</v>
      </c>
    </row>
    <row r="81" ht="28.5" customHeight="1">
      <c r="A81" s="43">
        <v>42770.0</v>
      </c>
      <c r="B81" s="16" t="s">
        <v>674</v>
      </c>
      <c r="C81" s="13" t="s">
        <v>676</v>
      </c>
      <c r="D81" s="13" t="s">
        <v>677</v>
      </c>
      <c r="E81" s="16" t="s">
        <v>608</v>
      </c>
      <c r="F81" s="13">
        <v>1.0</v>
      </c>
      <c r="G81" s="13" t="s">
        <v>200</v>
      </c>
      <c r="I81" s="13" t="s">
        <v>678</v>
      </c>
      <c r="K81" s="13" t="s">
        <v>679</v>
      </c>
      <c r="L81" s="13" t="s">
        <v>680</v>
      </c>
      <c r="M81" s="13" t="s">
        <v>221</v>
      </c>
      <c r="N81" s="13" t="s">
        <v>682</v>
      </c>
      <c r="O81" s="13" t="s">
        <v>657</v>
      </c>
    </row>
    <row r="82" ht="28.5" customHeight="1">
      <c r="A82" s="43">
        <v>42770.0</v>
      </c>
      <c r="B82" s="16" t="s">
        <v>674</v>
      </c>
      <c r="C82" s="13" t="s">
        <v>676</v>
      </c>
      <c r="D82" s="13" t="s">
        <v>677</v>
      </c>
      <c r="E82" s="16" t="s">
        <v>608</v>
      </c>
      <c r="F82" s="13">
        <v>1.0</v>
      </c>
      <c r="G82" s="13" t="s">
        <v>200</v>
      </c>
      <c r="I82" s="13" t="s">
        <v>684</v>
      </c>
      <c r="L82" s="13" t="s">
        <v>685</v>
      </c>
      <c r="M82" s="13" t="s">
        <v>686</v>
      </c>
      <c r="N82" s="13" t="s">
        <v>687</v>
      </c>
      <c r="O82" s="13" t="s">
        <v>657</v>
      </c>
    </row>
    <row r="83" ht="28.5" customHeight="1">
      <c r="A83" s="50">
        <v>42773.0</v>
      </c>
      <c r="B83" s="16" t="s">
        <v>688</v>
      </c>
      <c r="C83" s="16" t="s">
        <v>689</v>
      </c>
      <c r="D83" s="16" t="s">
        <v>691</v>
      </c>
      <c r="E83" s="16" t="s">
        <v>693</v>
      </c>
      <c r="F83" s="13">
        <v>1.0</v>
      </c>
      <c r="G83" s="13" t="s">
        <v>200</v>
      </c>
      <c r="H83" s="13" t="s">
        <v>694</v>
      </c>
      <c r="I83" s="13" t="s">
        <v>684</v>
      </c>
      <c r="J83" s="13" t="s">
        <v>511</v>
      </c>
      <c r="K83" s="13" t="s">
        <v>686</v>
      </c>
      <c r="L83" s="13" t="s">
        <v>219</v>
      </c>
      <c r="M83" s="13" t="s">
        <v>439</v>
      </c>
      <c r="N83" s="13" t="s">
        <v>219</v>
      </c>
      <c r="O83" s="13" t="s">
        <v>657</v>
      </c>
      <c r="P83" s="55" t="s">
        <v>697</v>
      </c>
    </row>
    <row r="84" ht="28.5" customHeight="1">
      <c r="A84" s="50">
        <v>42774.0</v>
      </c>
      <c r="B84" s="16" t="s">
        <v>700</v>
      </c>
      <c r="C84" s="16" t="s">
        <v>689</v>
      </c>
      <c r="D84" s="13" t="s">
        <v>701</v>
      </c>
      <c r="E84" s="16" t="s">
        <v>693</v>
      </c>
      <c r="F84" s="13">
        <v>1.0</v>
      </c>
      <c r="G84" s="13" t="s">
        <v>200</v>
      </c>
      <c r="I84" s="13" t="s">
        <v>702</v>
      </c>
      <c r="K84" s="13" t="s">
        <v>703</v>
      </c>
      <c r="M84" s="13" t="s">
        <v>221</v>
      </c>
      <c r="N84" s="13" t="s">
        <v>236</v>
      </c>
      <c r="P84" s="13" t="s">
        <v>704</v>
      </c>
    </row>
    <row r="85" ht="28.5" customHeight="1">
      <c r="A85" s="50">
        <v>42774.0</v>
      </c>
      <c r="B85" s="16" t="s">
        <v>700</v>
      </c>
      <c r="C85" s="16" t="s">
        <v>689</v>
      </c>
      <c r="D85" s="13" t="s">
        <v>701</v>
      </c>
      <c r="E85" s="16" t="s">
        <v>693</v>
      </c>
      <c r="F85" s="13">
        <v>1.0</v>
      </c>
      <c r="G85" s="13" t="s">
        <v>200</v>
      </c>
      <c r="K85" s="13" t="s">
        <v>219</v>
      </c>
      <c r="L85" s="13" t="s">
        <v>709</v>
      </c>
      <c r="M85" s="13" t="s">
        <v>710</v>
      </c>
      <c r="N85" s="13" t="s">
        <v>680</v>
      </c>
      <c r="O85" s="13" t="s">
        <v>657</v>
      </c>
      <c r="P85" s="13" t="s">
        <v>711</v>
      </c>
    </row>
    <row r="86" ht="28.5" customHeight="1">
      <c r="A86" s="50">
        <v>42772.0</v>
      </c>
      <c r="B86" s="16" t="s">
        <v>714</v>
      </c>
      <c r="C86" s="16" t="s">
        <v>715</v>
      </c>
      <c r="D86" s="16" t="s">
        <v>716</v>
      </c>
      <c r="E86" s="16" t="s">
        <v>717</v>
      </c>
      <c r="F86" s="16">
        <v>1.0</v>
      </c>
      <c r="G86" s="16" t="s">
        <v>217</v>
      </c>
      <c r="H86" s="16"/>
      <c r="I86" s="16"/>
      <c r="J86" s="13"/>
      <c r="K86" s="13" t="s">
        <v>221</v>
      </c>
      <c r="L86" s="13" t="s">
        <v>440</v>
      </c>
      <c r="N86" s="13" t="s">
        <v>469</v>
      </c>
      <c r="O86" s="13" t="s">
        <v>657</v>
      </c>
      <c r="P86" s="13" t="s">
        <v>718</v>
      </c>
    </row>
    <row r="87" ht="28.5" customHeight="1">
      <c r="A87" s="42">
        <v>42770.0</v>
      </c>
      <c r="B87" s="16" t="s">
        <v>719</v>
      </c>
      <c r="C87" s="13" t="s">
        <v>720</v>
      </c>
      <c r="D87" s="13" t="s">
        <v>721</v>
      </c>
      <c r="E87" s="16" t="s">
        <v>244</v>
      </c>
      <c r="F87" s="13">
        <v>1.0</v>
      </c>
      <c r="G87" s="13" t="s">
        <v>245</v>
      </c>
      <c r="H87" s="13" t="s">
        <v>722</v>
      </c>
      <c r="I87" s="13" t="s">
        <v>315</v>
      </c>
      <c r="N87" s="13" t="s">
        <v>530</v>
      </c>
      <c r="O87" s="13" t="s">
        <v>657</v>
      </c>
      <c r="P87" s="13" t="s">
        <v>723</v>
      </c>
    </row>
    <row r="88" ht="28.5" customHeight="1">
      <c r="A88" s="11">
        <v>42769.0</v>
      </c>
      <c r="B88" s="13" t="s">
        <v>726</v>
      </c>
      <c r="C88" s="13" t="s">
        <v>727</v>
      </c>
      <c r="D88" s="13" t="s">
        <v>728</v>
      </c>
      <c r="E88" s="13" t="s">
        <v>244</v>
      </c>
      <c r="F88" s="13">
        <v>2.0</v>
      </c>
      <c r="G88" s="13" t="s">
        <v>200</v>
      </c>
      <c r="H88" s="13" t="s">
        <v>729</v>
      </c>
      <c r="I88" s="14" t="s">
        <v>730</v>
      </c>
      <c r="J88" s="13"/>
      <c r="K88" s="13" t="s">
        <v>730</v>
      </c>
      <c r="L88" s="13" t="s">
        <v>731</v>
      </c>
      <c r="M88" s="13" t="s">
        <v>213</v>
      </c>
      <c r="N88" s="13" t="s">
        <v>732</v>
      </c>
      <c r="O88" s="13" t="s">
        <v>209</v>
      </c>
      <c r="P88" s="13" t="s">
        <v>210</v>
      </c>
    </row>
    <row r="89" ht="28.5" customHeight="1">
      <c r="A89" s="11">
        <v>42769.0</v>
      </c>
      <c r="B89" s="13" t="s">
        <v>726</v>
      </c>
      <c r="C89" s="13" t="s">
        <v>727</v>
      </c>
      <c r="D89" s="13" t="s">
        <v>728</v>
      </c>
      <c r="E89" s="13" t="s">
        <v>244</v>
      </c>
      <c r="F89" s="13">
        <v>2.0</v>
      </c>
      <c r="G89" s="13" t="s">
        <v>200</v>
      </c>
      <c r="H89" s="13" t="s">
        <v>735</v>
      </c>
      <c r="I89" s="13" t="s">
        <v>730</v>
      </c>
      <c r="K89" s="13" t="s">
        <v>213</v>
      </c>
      <c r="L89" s="13" t="s">
        <v>736</v>
      </c>
      <c r="M89" s="13" t="s">
        <v>730</v>
      </c>
      <c r="N89" s="13" t="s">
        <v>737</v>
      </c>
      <c r="O89" s="13" t="s">
        <v>209</v>
      </c>
      <c r="P89" s="13" t="s">
        <v>738</v>
      </c>
    </row>
    <row r="90" ht="28.5" customHeight="1">
      <c r="A90" s="11">
        <v>42769.0</v>
      </c>
      <c r="B90" s="13" t="s">
        <v>726</v>
      </c>
      <c r="C90" s="13" t="s">
        <v>727</v>
      </c>
      <c r="D90" s="13" t="s">
        <v>728</v>
      </c>
      <c r="E90" s="13" t="s">
        <v>244</v>
      </c>
      <c r="F90" s="13">
        <v>2.0</v>
      </c>
      <c r="G90" s="13" t="s">
        <v>200</v>
      </c>
      <c r="I90" s="13" t="s">
        <v>204</v>
      </c>
      <c r="K90" s="13" t="s">
        <v>741</v>
      </c>
      <c r="L90" s="13" t="s">
        <v>743</v>
      </c>
      <c r="M90" s="13" t="s">
        <v>204</v>
      </c>
      <c r="N90" s="13" t="s">
        <v>205</v>
      </c>
      <c r="O90" s="13" t="s">
        <v>531</v>
      </c>
      <c r="P90" s="13" t="s">
        <v>744</v>
      </c>
    </row>
    <row r="91" ht="28.5" customHeight="1">
      <c r="A91" s="15">
        <v>42769.0</v>
      </c>
      <c r="B91" s="16" t="s">
        <v>747</v>
      </c>
      <c r="C91" s="16" t="s">
        <v>749</v>
      </c>
      <c r="D91" s="16" t="s">
        <v>751</v>
      </c>
      <c r="E91" s="16" t="s">
        <v>244</v>
      </c>
      <c r="F91" s="13">
        <v>2.0</v>
      </c>
      <c r="G91" s="13" t="s">
        <v>200</v>
      </c>
      <c r="H91" s="13"/>
      <c r="I91" s="13" t="s">
        <v>204</v>
      </c>
      <c r="K91" s="13" t="s">
        <v>204</v>
      </c>
      <c r="L91" s="13" t="s">
        <v>205</v>
      </c>
      <c r="M91" s="13" t="s">
        <v>205</v>
      </c>
      <c r="N91" s="13" t="s">
        <v>205</v>
      </c>
      <c r="O91" s="13" t="s">
        <v>209</v>
      </c>
      <c r="P91" s="13" t="s">
        <v>755</v>
      </c>
    </row>
    <row r="92" ht="28.5" customHeight="1">
      <c r="A92" s="41">
        <v>42769.0</v>
      </c>
      <c r="B92" s="16" t="s">
        <v>22</v>
      </c>
      <c r="C92" s="13" t="s">
        <v>756</v>
      </c>
      <c r="D92" s="13" t="s">
        <v>757</v>
      </c>
      <c r="E92" s="16" t="s">
        <v>25</v>
      </c>
      <c r="F92" s="13">
        <v>2.0</v>
      </c>
      <c r="G92" s="13" t="s">
        <v>217</v>
      </c>
      <c r="H92" s="13" t="s">
        <v>219</v>
      </c>
      <c r="I92" s="13" t="s">
        <v>219</v>
      </c>
      <c r="J92" s="13" t="s">
        <v>219</v>
      </c>
      <c r="K92" s="13" t="s">
        <v>221</v>
      </c>
      <c r="L92" s="13" t="s">
        <v>222</v>
      </c>
      <c r="M92" s="13" t="s">
        <v>219</v>
      </c>
      <c r="N92" s="13" t="s">
        <v>575</v>
      </c>
      <c r="O92" s="13" t="s">
        <v>224</v>
      </c>
      <c r="P92" s="13" t="s">
        <v>761</v>
      </c>
    </row>
    <row r="93" ht="28.5" customHeight="1">
      <c r="A93" s="42">
        <v>42769.0</v>
      </c>
      <c r="B93" s="16" t="s">
        <v>139</v>
      </c>
      <c r="C93" s="13" t="s">
        <v>250</v>
      </c>
      <c r="D93" s="13" t="s">
        <v>251</v>
      </c>
      <c r="E93" s="16" t="s">
        <v>25</v>
      </c>
      <c r="F93" s="13">
        <v>2.0</v>
      </c>
      <c r="G93" s="13" t="s">
        <v>217</v>
      </c>
      <c r="K93" s="13" t="s">
        <v>221</v>
      </c>
      <c r="L93" s="13" t="s">
        <v>276</v>
      </c>
      <c r="M93" s="13" t="s">
        <v>219</v>
      </c>
      <c r="N93" s="13" t="s">
        <v>767</v>
      </c>
      <c r="O93" s="13" t="s">
        <v>224</v>
      </c>
      <c r="P93" s="58" t="s">
        <v>768</v>
      </c>
    </row>
    <row r="94" ht="28.5" customHeight="1">
      <c r="A94" s="42">
        <v>42769.0</v>
      </c>
      <c r="B94" s="16" t="s">
        <v>139</v>
      </c>
      <c r="C94" s="13" t="s">
        <v>250</v>
      </c>
      <c r="D94" s="13" t="s">
        <v>251</v>
      </c>
      <c r="E94" s="16" t="s">
        <v>25</v>
      </c>
      <c r="F94" s="13">
        <v>2.0</v>
      </c>
      <c r="G94" s="13" t="s">
        <v>217</v>
      </c>
      <c r="K94" s="13" t="s">
        <v>219</v>
      </c>
      <c r="L94" s="13" t="s">
        <v>348</v>
      </c>
      <c r="M94" s="13" t="s">
        <v>221</v>
      </c>
      <c r="N94" s="13" t="s">
        <v>276</v>
      </c>
      <c r="O94" s="13" t="s">
        <v>224</v>
      </c>
      <c r="P94" s="13" t="s">
        <v>774</v>
      </c>
    </row>
    <row r="95" ht="28.5" customHeight="1">
      <c r="A95" s="42">
        <v>42769.0</v>
      </c>
      <c r="B95" s="16" t="s">
        <v>139</v>
      </c>
      <c r="C95" s="13" t="s">
        <v>250</v>
      </c>
      <c r="D95" s="13" t="s">
        <v>251</v>
      </c>
      <c r="E95" s="16" t="s">
        <v>25</v>
      </c>
      <c r="F95" s="13">
        <v>2.0</v>
      </c>
      <c r="G95" s="13" t="s">
        <v>217</v>
      </c>
      <c r="K95" s="13" t="s">
        <v>219</v>
      </c>
      <c r="L95" s="13" t="s">
        <v>778</v>
      </c>
      <c r="M95" s="13" t="s">
        <v>221</v>
      </c>
      <c r="N95" s="13" t="s">
        <v>236</v>
      </c>
      <c r="O95" s="13" t="s">
        <v>224</v>
      </c>
      <c r="P95" s="13" t="s">
        <v>780</v>
      </c>
    </row>
    <row r="96" ht="28.5" customHeight="1">
      <c r="A96" s="41">
        <v>42769.0</v>
      </c>
      <c r="B96" s="16" t="s">
        <v>85</v>
      </c>
      <c r="C96" s="16" t="s">
        <v>86</v>
      </c>
      <c r="D96" s="16" t="s">
        <v>87</v>
      </c>
      <c r="E96" s="16" t="s">
        <v>25</v>
      </c>
      <c r="F96" s="13">
        <v>2.0</v>
      </c>
      <c r="G96" s="13" t="s">
        <v>217</v>
      </c>
      <c r="L96" s="13" t="s">
        <v>236</v>
      </c>
      <c r="M96" s="13" t="s">
        <v>275</v>
      </c>
      <c r="N96" s="13" t="s">
        <v>786</v>
      </c>
      <c r="O96" s="13" t="s">
        <v>224</v>
      </c>
    </row>
    <row r="97" ht="28.5" customHeight="1">
      <c r="A97" s="41">
        <v>42769.0</v>
      </c>
      <c r="B97" s="16" t="s">
        <v>85</v>
      </c>
      <c r="C97" s="16" t="s">
        <v>86</v>
      </c>
      <c r="D97" s="16" t="s">
        <v>87</v>
      </c>
      <c r="E97" s="16" t="s">
        <v>25</v>
      </c>
      <c r="F97" s="13">
        <v>2.0</v>
      </c>
      <c r="G97" s="13" t="s">
        <v>217</v>
      </c>
      <c r="L97" s="13" t="s">
        <v>794</v>
      </c>
      <c r="M97" s="13" t="s">
        <v>221</v>
      </c>
      <c r="N97" s="13" t="s">
        <v>256</v>
      </c>
      <c r="O97" s="13" t="s">
        <v>224</v>
      </c>
    </row>
    <row r="98" ht="28.5" customHeight="1">
      <c r="A98" s="41">
        <v>42769.0</v>
      </c>
      <c r="B98" s="16" t="s">
        <v>139</v>
      </c>
      <c r="C98" s="13" t="s">
        <v>250</v>
      </c>
      <c r="D98" s="13" t="s">
        <v>158</v>
      </c>
      <c r="E98" s="16" t="s">
        <v>25</v>
      </c>
      <c r="F98" s="13">
        <v>2.0</v>
      </c>
      <c r="G98" s="13" t="s">
        <v>217</v>
      </c>
      <c r="K98" s="13"/>
      <c r="L98" s="13" t="s">
        <v>238</v>
      </c>
      <c r="M98" s="13" t="s">
        <v>221</v>
      </c>
      <c r="N98" s="13" t="s">
        <v>256</v>
      </c>
      <c r="O98" s="13" t="s">
        <v>224</v>
      </c>
      <c r="P98" s="13"/>
    </row>
    <row r="99" ht="28.5" customHeight="1">
      <c r="A99" s="41">
        <v>42769.0</v>
      </c>
      <c r="B99" s="16" t="s">
        <v>139</v>
      </c>
      <c r="C99" s="13" t="s">
        <v>250</v>
      </c>
      <c r="D99" s="13" t="s">
        <v>158</v>
      </c>
      <c r="E99" s="16" t="s">
        <v>25</v>
      </c>
      <c r="F99" s="13">
        <v>2.0</v>
      </c>
      <c r="G99" s="13" t="s">
        <v>217</v>
      </c>
      <c r="K99" s="13"/>
      <c r="L99" s="13" t="s">
        <v>795</v>
      </c>
      <c r="M99" s="13" t="s">
        <v>221</v>
      </c>
      <c r="N99" s="13" t="s">
        <v>256</v>
      </c>
      <c r="O99" s="13" t="s">
        <v>224</v>
      </c>
      <c r="P99" s="13"/>
    </row>
    <row r="100" ht="28.5" customHeight="1">
      <c r="A100" s="41">
        <v>42773.0</v>
      </c>
      <c r="B100" s="16" t="s">
        <v>305</v>
      </c>
      <c r="C100" s="16" t="s">
        <v>309</v>
      </c>
      <c r="D100" s="16" t="s">
        <v>311</v>
      </c>
      <c r="E100" s="16" t="s">
        <v>312</v>
      </c>
      <c r="F100" s="13">
        <v>2.0</v>
      </c>
      <c r="G100" s="13" t="s">
        <v>217</v>
      </c>
      <c r="K100" s="13"/>
      <c r="L100" s="13" t="s">
        <v>224</v>
      </c>
      <c r="N100" s="13" t="s">
        <v>796</v>
      </c>
      <c r="O100" s="13" t="s">
        <v>224</v>
      </c>
      <c r="P100" s="13"/>
    </row>
    <row r="101" ht="28.5" customHeight="1">
      <c r="A101" s="11">
        <v>42771.0</v>
      </c>
      <c r="B101" s="13" t="s">
        <v>316</v>
      </c>
      <c r="C101" s="16" t="s">
        <v>317</v>
      </c>
      <c r="D101" s="16" t="s">
        <v>318</v>
      </c>
      <c r="E101" s="16" t="s">
        <v>230</v>
      </c>
      <c r="F101" s="13">
        <v>2.0</v>
      </c>
      <c r="G101" s="13" t="s">
        <v>217</v>
      </c>
      <c r="L101" s="13" t="s">
        <v>252</v>
      </c>
      <c r="M101" s="13" t="s">
        <v>221</v>
      </c>
      <c r="N101" s="13" t="s">
        <v>236</v>
      </c>
      <c r="O101" s="13" t="s">
        <v>224</v>
      </c>
      <c r="P101" s="13" t="s">
        <v>319</v>
      </c>
    </row>
    <row r="102" ht="28.5" customHeight="1">
      <c r="A102" s="11">
        <v>42771.0</v>
      </c>
      <c r="B102" s="13" t="s">
        <v>316</v>
      </c>
      <c r="C102" s="16" t="s">
        <v>317</v>
      </c>
      <c r="D102" s="16" t="s">
        <v>318</v>
      </c>
      <c r="E102" s="16" t="s">
        <v>230</v>
      </c>
      <c r="F102" s="13">
        <v>2.0</v>
      </c>
      <c r="G102" s="13" t="s">
        <v>217</v>
      </c>
      <c r="K102" s="13"/>
      <c r="L102" s="13" t="s">
        <v>767</v>
      </c>
      <c r="M102" s="13" t="s">
        <v>221</v>
      </c>
      <c r="N102" s="13" t="s">
        <v>256</v>
      </c>
      <c r="O102" s="13" t="s">
        <v>224</v>
      </c>
      <c r="P102" s="13" t="s">
        <v>324</v>
      </c>
    </row>
    <row r="103" ht="28.5" customHeight="1">
      <c r="A103" s="41">
        <v>42774.0</v>
      </c>
      <c r="B103" s="16" t="s">
        <v>362</v>
      </c>
      <c r="C103" s="16" t="s">
        <v>363</v>
      </c>
      <c r="D103" s="16" t="s">
        <v>364</v>
      </c>
      <c r="E103" s="16" t="s">
        <v>268</v>
      </c>
      <c r="F103" s="13">
        <v>2.0</v>
      </c>
      <c r="G103" s="13" t="s">
        <v>269</v>
      </c>
      <c r="H103" s="13" t="s">
        <v>801</v>
      </c>
      <c r="I103" s="13" t="s">
        <v>270</v>
      </c>
      <c r="J103" s="13" t="s">
        <v>802</v>
      </c>
      <c r="K103" s="13" t="s">
        <v>222</v>
      </c>
      <c r="L103" s="13"/>
      <c r="M103" s="13" t="s">
        <v>222</v>
      </c>
      <c r="N103" s="13" t="s">
        <v>221</v>
      </c>
      <c r="O103" s="13" t="s">
        <v>224</v>
      </c>
    </row>
    <row r="104" ht="28.5" customHeight="1">
      <c r="A104" s="41">
        <v>42774.0</v>
      </c>
      <c r="B104" s="16" t="s">
        <v>362</v>
      </c>
      <c r="C104" s="16" t="s">
        <v>363</v>
      </c>
      <c r="D104" s="16" t="s">
        <v>364</v>
      </c>
      <c r="E104" s="16" t="s">
        <v>268</v>
      </c>
      <c r="F104" s="13">
        <v>2.0</v>
      </c>
      <c r="G104" s="13" t="s">
        <v>217</v>
      </c>
      <c r="K104" s="13" t="s">
        <v>221</v>
      </c>
      <c r="L104" s="13" t="s">
        <v>276</v>
      </c>
      <c r="N104" s="13" t="s">
        <v>804</v>
      </c>
      <c r="O104" s="13" t="s">
        <v>224</v>
      </c>
    </row>
    <row r="105" ht="28.5" customHeight="1">
      <c r="A105" s="41">
        <v>42774.0</v>
      </c>
      <c r="B105" s="16" t="s">
        <v>362</v>
      </c>
      <c r="C105" s="16" t="s">
        <v>363</v>
      </c>
      <c r="D105" s="16" t="s">
        <v>364</v>
      </c>
      <c r="E105" s="16" t="s">
        <v>268</v>
      </c>
      <c r="F105" s="13">
        <v>2.0</v>
      </c>
      <c r="G105" s="13" t="s">
        <v>217</v>
      </c>
      <c r="L105" s="13" t="s">
        <v>236</v>
      </c>
      <c r="M105" s="13" t="s">
        <v>221</v>
      </c>
      <c r="N105" s="13" t="s">
        <v>767</v>
      </c>
      <c r="O105" s="13" t="s">
        <v>224</v>
      </c>
    </row>
    <row r="106" ht="28.5" customHeight="1">
      <c r="A106" s="41">
        <v>42773.0</v>
      </c>
      <c r="B106" s="16" t="s">
        <v>370</v>
      </c>
      <c r="C106" s="13" t="s">
        <v>371</v>
      </c>
      <c r="D106" s="13" t="s">
        <v>372</v>
      </c>
      <c r="E106" s="16" t="s">
        <v>244</v>
      </c>
      <c r="F106" s="13">
        <v>2.0</v>
      </c>
      <c r="G106" s="13" t="s">
        <v>200</v>
      </c>
      <c r="K106" s="13"/>
      <c r="L106" s="13" t="s">
        <v>256</v>
      </c>
      <c r="M106" s="13" t="s">
        <v>703</v>
      </c>
      <c r="N106" s="13" t="s">
        <v>807</v>
      </c>
      <c r="O106" s="13" t="s">
        <v>224</v>
      </c>
      <c r="P106" s="13" t="s">
        <v>385</v>
      </c>
    </row>
    <row r="107" ht="28.5" customHeight="1">
      <c r="A107" s="41">
        <v>42773.0</v>
      </c>
      <c r="B107" s="16" t="s">
        <v>370</v>
      </c>
      <c r="C107" s="13" t="s">
        <v>371</v>
      </c>
      <c r="D107" s="13" t="s">
        <v>372</v>
      </c>
      <c r="E107" s="16" t="s">
        <v>244</v>
      </c>
      <c r="F107" s="13">
        <v>2.0</v>
      </c>
      <c r="G107" s="13" t="s">
        <v>200</v>
      </c>
      <c r="H107" s="13">
        <v>97.0</v>
      </c>
      <c r="I107" s="13" t="s">
        <v>684</v>
      </c>
      <c r="J107" s="13" t="s">
        <v>366</v>
      </c>
      <c r="K107" s="13" t="s">
        <v>686</v>
      </c>
      <c r="L107" s="13"/>
      <c r="M107" s="13" t="s">
        <v>221</v>
      </c>
      <c r="N107" s="13"/>
      <c r="O107" s="13" t="s">
        <v>402</v>
      </c>
      <c r="P107" s="13" t="s">
        <v>809</v>
      </c>
    </row>
    <row r="108" ht="28.5" customHeight="1">
      <c r="A108" s="41">
        <v>42773.0</v>
      </c>
      <c r="B108" s="16" t="s">
        <v>370</v>
      </c>
      <c r="C108" s="13" t="s">
        <v>371</v>
      </c>
      <c r="D108" s="13" t="s">
        <v>372</v>
      </c>
      <c r="E108" s="16" t="s">
        <v>244</v>
      </c>
      <c r="F108" s="13">
        <v>2.0</v>
      </c>
      <c r="G108" s="13" t="s">
        <v>508</v>
      </c>
      <c r="H108" s="13" t="s">
        <v>812</v>
      </c>
      <c r="I108" s="13" t="s">
        <v>684</v>
      </c>
      <c r="J108" s="13" t="s">
        <v>366</v>
      </c>
      <c r="K108" s="13"/>
      <c r="M108" s="13" t="s">
        <v>686</v>
      </c>
      <c r="N108" s="13"/>
      <c r="O108" s="13" t="s">
        <v>402</v>
      </c>
      <c r="P108" s="13" t="s">
        <v>815</v>
      </c>
    </row>
    <row r="109" ht="28.5" customHeight="1">
      <c r="A109" s="41">
        <v>42773.0</v>
      </c>
      <c r="B109" s="16" t="s">
        <v>370</v>
      </c>
      <c r="C109" s="13" t="s">
        <v>371</v>
      </c>
      <c r="D109" s="13" t="s">
        <v>372</v>
      </c>
      <c r="E109" s="16" t="s">
        <v>244</v>
      </c>
      <c r="F109" s="13">
        <v>2.0</v>
      </c>
      <c r="G109" s="13" t="s">
        <v>508</v>
      </c>
      <c r="H109" s="13" t="s">
        <v>816</v>
      </c>
      <c r="I109" s="13" t="s">
        <v>817</v>
      </c>
      <c r="J109" s="13" t="s">
        <v>366</v>
      </c>
      <c r="K109" s="13"/>
      <c r="L109" s="13"/>
      <c r="M109" s="13" t="s">
        <v>550</v>
      </c>
      <c r="N109" s="13"/>
      <c r="O109" s="13" t="s">
        <v>224</v>
      </c>
      <c r="P109" s="13" t="s">
        <v>819</v>
      </c>
    </row>
    <row r="110" ht="28.5" customHeight="1">
      <c r="A110" s="41">
        <v>42773.0</v>
      </c>
      <c r="B110" s="16" t="s">
        <v>370</v>
      </c>
      <c r="C110" s="13" t="s">
        <v>371</v>
      </c>
      <c r="D110" s="13" t="s">
        <v>372</v>
      </c>
      <c r="E110" s="16" t="s">
        <v>244</v>
      </c>
      <c r="F110" s="13">
        <v>2.0</v>
      </c>
      <c r="G110" s="13" t="s">
        <v>269</v>
      </c>
      <c r="H110" s="13" t="s">
        <v>820</v>
      </c>
      <c r="I110" s="13" t="s">
        <v>684</v>
      </c>
      <c r="J110" s="13" t="s">
        <v>366</v>
      </c>
      <c r="K110" s="13" t="s">
        <v>315</v>
      </c>
      <c r="L110" s="13"/>
      <c r="M110" s="13" t="s">
        <v>315</v>
      </c>
      <c r="N110" s="13"/>
      <c r="O110" s="13" t="s">
        <v>224</v>
      </c>
      <c r="P110" s="13" t="s">
        <v>823</v>
      </c>
    </row>
    <row r="111" ht="28.5" customHeight="1">
      <c r="A111" s="41">
        <v>42773.0</v>
      </c>
      <c r="B111" s="16" t="s">
        <v>824</v>
      </c>
      <c r="C111" s="13" t="s">
        <v>389</v>
      </c>
      <c r="D111" s="13" t="s">
        <v>825</v>
      </c>
      <c r="E111" s="16" t="s">
        <v>826</v>
      </c>
      <c r="F111" s="13">
        <v>2.0</v>
      </c>
      <c r="G111" s="13" t="s">
        <v>200</v>
      </c>
      <c r="I111" s="13" t="s">
        <v>684</v>
      </c>
      <c r="K111" s="13" t="s">
        <v>393</v>
      </c>
      <c r="L111" s="13" t="s">
        <v>609</v>
      </c>
      <c r="M111" s="13" t="s">
        <v>221</v>
      </c>
      <c r="N111" s="13" t="s">
        <v>829</v>
      </c>
      <c r="O111" s="13"/>
    </row>
    <row r="112" ht="28.5" customHeight="1">
      <c r="A112" s="41">
        <v>42773.0</v>
      </c>
      <c r="B112" s="16" t="s">
        <v>396</v>
      </c>
      <c r="C112" s="16" t="s">
        <v>397</v>
      </c>
      <c r="D112" s="16" t="s">
        <v>398</v>
      </c>
      <c r="E112" s="16" t="s">
        <v>399</v>
      </c>
      <c r="F112" s="13">
        <v>2.0</v>
      </c>
      <c r="G112" s="16" t="s">
        <v>400</v>
      </c>
      <c r="H112" s="13"/>
      <c r="I112" s="13" t="s">
        <v>401</v>
      </c>
      <c r="J112" s="13"/>
      <c r="K112" s="13"/>
      <c r="L112" s="13"/>
      <c r="M112" s="13"/>
      <c r="N112" s="13" t="s">
        <v>221</v>
      </c>
      <c r="O112" s="13" t="s">
        <v>402</v>
      </c>
    </row>
    <row r="113" ht="28.5" customHeight="1">
      <c r="A113" s="41">
        <v>42773.0</v>
      </c>
      <c r="B113" s="16" t="s">
        <v>396</v>
      </c>
      <c r="C113" s="16" t="s">
        <v>397</v>
      </c>
      <c r="D113" s="16" t="s">
        <v>398</v>
      </c>
      <c r="E113" s="16" t="s">
        <v>399</v>
      </c>
      <c r="F113" s="13">
        <v>2.0</v>
      </c>
      <c r="G113" s="16" t="s">
        <v>400</v>
      </c>
      <c r="H113" s="13"/>
      <c r="I113" s="13" t="s">
        <v>401</v>
      </c>
      <c r="J113" s="13"/>
      <c r="K113" s="13"/>
      <c r="L113" s="13"/>
      <c r="M113" s="13"/>
      <c r="N113" s="13" t="s">
        <v>221</v>
      </c>
      <c r="O113" s="13" t="s">
        <v>402</v>
      </c>
      <c r="P113" s="13"/>
    </row>
    <row r="114" ht="28.5" customHeight="1">
      <c r="A114" s="41">
        <v>42773.0</v>
      </c>
      <c r="B114" s="16" t="s">
        <v>396</v>
      </c>
      <c r="C114" s="16" t="s">
        <v>397</v>
      </c>
      <c r="D114" s="16" t="s">
        <v>398</v>
      </c>
      <c r="E114" s="16" t="s">
        <v>399</v>
      </c>
      <c r="F114" s="13">
        <v>2.0</v>
      </c>
      <c r="G114" s="16" t="s">
        <v>400</v>
      </c>
      <c r="H114" s="13"/>
      <c r="I114" s="13" t="s">
        <v>401</v>
      </c>
      <c r="J114" s="13"/>
      <c r="K114" s="13"/>
      <c r="L114" s="13"/>
      <c r="M114" s="13"/>
      <c r="N114" s="13" t="s">
        <v>221</v>
      </c>
      <c r="O114" s="13" t="s">
        <v>402</v>
      </c>
    </row>
    <row r="115" ht="28.5" customHeight="1">
      <c r="A115" s="41">
        <v>42773.0</v>
      </c>
      <c r="B115" s="16" t="s">
        <v>396</v>
      </c>
      <c r="C115" s="16" t="s">
        <v>397</v>
      </c>
      <c r="D115" s="16" t="s">
        <v>398</v>
      </c>
      <c r="E115" s="16" t="s">
        <v>399</v>
      </c>
      <c r="F115" s="13">
        <v>2.0</v>
      </c>
      <c r="G115" s="16" t="s">
        <v>400</v>
      </c>
      <c r="H115" s="13"/>
      <c r="I115" s="13" t="s">
        <v>401</v>
      </c>
      <c r="J115" s="13"/>
      <c r="K115" s="13"/>
      <c r="L115" s="13"/>
      <c r="M115" s="13"/>
      <c r="N115" s="13" t="s">
        <v>221</v>
      </c>
      <c r="O115" s="13" t="s">
        <v>402</v>
      </c>
    </row>
    <row r="116" ht="28.5" customHeight="1">
      <c r="A116" s="41">
        <v>42773.0</v>
      </c>
      <c r="B116" s="16" t="s">
        <v>396</v>
      </c>
      <c r="C116" s="16" t="s">
        <v>397</v>
      </c>
      <c r="D116" s="16" t="s">
        <v>398</v>
      </c>
      <c r="E116" s="16" t="s">
        <v>399</v>
      </c>
      <c r="F116" s="13">
        <v>2.0</v>
      </c>
      <c r="G116" s="16" t="s">
        <v>400</v>
      </c>
      <c r="H116" s="13"/>
      <c r="I116" s="13" t="s">
        <v>401</v>
      </c>
      <c r="J116" s="13"/>
      <c r="K116" s="13"/>
      <c r="L116" s="13"/>
      <c r="M116" s="13"/>
      <c r="N116" s="13" t="s">
        <v>221</v>
      </c>
      <c r="O116" s="13" t="s">
        <v>402</v>
      </c>
    </row>
    <row r="117" ht="28.5" customHeight="1">
      <c r="A117" s="41">
        <v>42773.0</v>
      </c>
      <c r="B117" s="16" t="s">
        <v>396</v>
      </c>
      <c r="C117" s="16" t="s">
        <v>397</v>
      </c>
      <c r="D117" s="16" t="s">
        <v>398</v>
      </c>
      <c r="E117" s="16" t="s">
        <v>399</v>
      </c>
      <c r="F117" s="13">
        <v>2.0</v>
      </c>
      <c r="G117" s="16" t="s">
        <v>400</v>
      </c>
      <c r="H117" s="13"/>
      <c r="I117" s="13" t="s">
        <v>401</v>
      </c>
      <c r="J117" s="13"/>
      <c r="K117" s="13"/>
      <c r="L117" s="13"/>
      <c r="M117" s="13"/>
      <c r="N117" s="13" t="s">
        <v>221</v>
      </c>
      <c r="O117" s="13" t="s">
        <v>402</v>
      </c>
    </row>
    <row r="118" ht="28.5" customHeight="1">
      <c r="A118" s="41">
        <v>42773.0</v>
      </c>
      <c r="B118" s="16" t="s">
        <v>396</v>
      </c>
      <c r="C118" s="16" t="s">
        <v>397</v>
      </c>
      <c r="D118" s="16" t="s">
        <v>398</v>
      </c>
      <c r="E118" s="16" t="s">
        <v>399</v>
      </c>
      <c r="F118" s="13">
        <v>2.0</v>
      </c>
      <c r="G118" s="16" t="s">
        <v>400</v>
      </c>
      <c r="H118" s="13"/>
      <c r="I118" s="13" t="s">
        <v>401</v>
      </c>
      <c r="J118" s="13"/>
      <c r="K118" s="13"/>
      <c r="L118" s="13"/>
      <c r="M118" s="13"/>
      <c r="N118" s="13" t="s">
        <v>221</v>
      </c>
      <c r="O118" s="13" t="s">
        <v>402</v>
      </c>
    </row>
    <row r="119" ht="28.5" customHeight="1">
      <c r="A119" s="41">
        <v>42773.0</v>
      </c>
      <c r="B119" s="16" t="s">
        <v>396</v>
      </c>
      <c r="C119" s="16" t="s">
        <v>397</v>
      </c>
      <c r="D119" s="16" t="s">
        <v>398</v>
      </c>
      <c r="E119" s="16" t="s">
        <v>399</v>
      </c>
      <c r="F119" s="13">
        <v>2.0</v>
      </c>
      <c r="G119" s="16" t="s">
        <v>400</v>
      </c>
      <c r="H119" s="13"/>
      <c r="I119" s="13" t="s">
        <v>401</v>
      </c>
      <c r="J119" s="13"/>
      <c r="K119" s="13"/>
      <c r="L119" s="13"/>
      <c r="M119" s="13"/>
      <c r="N119" s="13" t="s">
        <v>221</v>
      </c>
      <c r="O119" s="13" t="s">
        <v>402</v>
      </c>
    </row>
    <row r="120" ht="28.5" customHeight="1">
      <c r="A120" s="41">
        <v>42773.0</v>
      </c>
      <c r="B120" s="16" t="s">
        <v>396</v>
      </c>
      <c r="C120" s="16" t="s">
        <v>397</v>
      </c>
      <c r="D120" s="16" t="s">
        <v>398</v>
      </c>
      <c r="E120" s="16" t="s">
        <v>399</v>
      </c>
      <c r="F120" s="13">
        <v>2.0</v>
      </c>
      <c r="G120" s="16" t="s">
        <v>400</v>
      </c>
      <c r="H120" s="13"/>
      <c r="I120" s="13" t="s">
        <v>401</v>
      </c>
      <c r="J120" s="13"/>
      <c r="K120" s="13"/>
      <c r="L120" s="13"/>
      <c r="M120" s="13"/>
      <c r="N120" s="13" t="s">
        <v>221</v>
      </c>
      <c r="O120" s="13" t="s">
        <v>402</v>
      </c>
    </row>
    <row r="121" ht="28.5" customHeight="1">
      <c r="A121" s="41">
        <v>42773.0</v>
      </c>
      <c r="B121" s="16" t="s">
        <v>396</v>
      </c>
      <c r="C121" s="16" t="s">
        <v>397</v>
      </c>
      <c r="D121" s="16" t="s">
        <v>398</v>
      </c>
      <c r="E121" s="16" t="s">
        <v>399</v>
      </c>
      <c r="F121" s="13">
        <v>2.0</v>
      </c>
      <c r="G121" s="16" t="s">
        <v>400</v>
      </c>
      <c r="H121" s="13"/>
      <c r="I121" s="13" t="s">
        <v>401</v>
      </c>
      <c r="J121" s="13"/>
      <c r="K121" s="13"/>
      <c r="L121" s="13"/>
      <c r="M121" s="13"/>
      <c r="N121" s="13" t="s">
        <v>221</v>
      </c>
      <c r="O121" s="13" t="s">
        <v>402</v>
      </c>
    </row>
    <row r="122" ht="28.5" customHeight="1">
      <c r="A122" s="41">
        <v>42773.0</v>
      </c>
      <c r="B122" s="16" t="s">
        <v>396</v>
      </c>
      <c r="C122" s="16" t="s">
        <v>397</v>
      </c>
      <c r="D122" s="16" t="s">
        <v>398</v>
      </c>
      <c r="E122" s="16" t="s">
        <v>399</v>
      </c>
      <c r="F122" s="13">
        <v>2.0</v>
      </c>
      <c r="G122" s="16" t="s">
        <v>400</v>
      </c>
      <c r="H122" s="13"/>
      <c r="I122" s="13" t="s">
        <v>401</v>
      </c>
      <c r="J122" s="13"/>
      <c r="K122" s="13"/>
      <c r="L122" s="13"/>
      <c r="M122" s="13"/>
      <c r="N122" s="13" t="s">
        <v>221</v>
      </c>
      <c r="O122" s="13" t="s">
        <v>402</v>
      </c>
    </row>
    <row r="123" ht="28.5" customHeight="1">
      <c r="A123" s="41">
        <v>42774.0</v>
      </c>
      <c r="B123" s="16" t="s">
        <v>362</v>
      </c>
      <c r="C123" s="16" t="s">
        <v>363</v>
      </c>
      <c r="D123" s="16" t="s">
        <v>364</v>
      </c>
      <c r="E123" s="16" t="s">
        <v>268</v>
      </c>
      <c r="F123" s="13">
        <v>2.0</v>
      </c>
      <c r="G123" s="13" t="s">
        <v>217</v>
      </c>
      <c r="L123" s="13" t="s">
        <v>296</v>
      </c>
      <c r="M123" s="13" t="s">
        <v>275</v>
      </c>
      <c r="N123" s="13" t="s">
        <v>276</v>
      </c>
      <c r="O123" s="13" t="s">
        <v>224</v>
      </c>
    </row>
    <row r="124" ht="28.5" customHeight="1">
      <c r="A124" s="41">
        <v>42774.0</v>
      </c>
      <c r="B124" s="16" t="s">
        <v>362</v>
      </c>
      <c r="C124" s="16" t="s">
        <v>363</v>
      </c>
      <c r="D124" s="16" t="s">
        <v>364</v>
      </c>
      <c r="E124" s="16" t="s">
        <v>268</v>
      </c>
      <c r="F124" s="13">
        <v>2.0</v>
      </c>
      <c r="G124" s="13" t="s">
        <v>217</v>
      </c>
      <c r="K124" s="13"/>
      <c r="L124" s="13" t="s">
        <v>236</v>
      </c>
      <c r="M124" s="13" t="s">
        <v>860</v>
      </c>
      <c r="N124" s="13" t="s">
        <v>795</v>
      </c>
      <c r="O124" s="13" t="s">
        <v>224</v>
      </c>
    </row>
    <row r="125" ht="28.5" customHeight="1">
      <c r="A125" s="41">
        <v>42774.0</v>
      </c>
      <c r="B125" s="16" t="s">
        <v>362</v>
      </c>
      <c r="C125" s="16" t="s">
        <v>363</v>
      </c>
      <c r="D125" s="16" t="s">
        <v>364</v>
      </c>
      <c r="E125" s="16" t="s">
        <v>268</v>
      </c>
      <c r="F125" s="13">
        <v>2.0</v>
      </c>
      <c r="G125" s="13" t="s">
        <v>217</v>
      </c>
      <c r="H125" s="13"/>
      <c r="I125" s="13"/>
      <c r="J125" s="13"/>
      <c r="L125" s="13" t="s">
        <v>864</v>
      </c>
      <c r="M125" s="13" t="s">
        <v>221</v>
      </c>
      <c r="N125" s="13" t="s">
        <v>256</v>
      </c>
      <c r="O125" s="13" t="s">
        <v>224</v>
      </c>
      <c r="P125" s="13"/>
    </row>
    <row r="126" ht="28.5" customHeight="1">
      <c r="A126" s="41">
        <v>42770.0</v>
      </c>
      <c r="B126" s="16" t="s">
        <v>110</v>
      </c>
      <c r="C126" s="13" t="s">
        <v>112</v>
      </c>
      <c r="D126" s="16" t="s">
        <v>218</v>
      </c>
      <c r="E126" s="16" t="s">
        <v>25</v>
      </c>
      <c r="F126" s="13">
        <v>2.0</v>
      </c>
      <c r="G126" s="13" t="s">
        <v>217</v>
      </c>
      <c r="K126" s="13" t="s">
        <v>221</v>
      </c>
      <c r="L126" s="13" t="s">
        <v>256</v>
      </c>
      <c r="M126" s="13"/>
      <c r="N126" s="13" t="s">
        <v>500</v>
      </c>
      <c r="O126" s="13" t="s">
        <v>224</v>
      </c>
      <c r="P126" s="13" t="s">
        <v>324</v>
      </c>
    </row>
    <row r="127" ht="28.5" customHeight="1">
      <c r="A127" s="41">
        <v>42770.0</v>
      </c>
      <c r="B127" s="16" t="s">
        <v>110</v>
      </c>
      <c r="C127" s="13" t="s">
        <v>112</v>
      </c>
      <c r="D127" s="16" t="s">
        <v>218</v>
      </c>
      <c r="E127" s="16" t="s">
        <v>25</v>
      </c>
      <c r="F127" s="13">
        <v>2.0</v>
      </c>
      <c r="G127" s="13" t="s">
        <v>217</v>
      </c>
      <c r="L127" s="13" t="s">
        <v>871</v>
      </c>
      <c r="M127" s="13" t="s">
        <v>221</v>
      </c>
      <c r="N127" s="13" t="s">
        <v>256</v>
      </c>
      <c r="O127" s="13" t="s">
        <v>224</v>
      </c>
      <c r="P127" s="13" t="s">
        <v>319</v>
      </c>
    </row>
    <row r="128" ht="28.5" customHeight="1">
      <c r="A128" s="41">
        <v>42772.0</v>
      </c>
      <c r="B128" s="16" t="s">
        <v>876</v>
      </c>
      <c r="C128" s="16" t="s">
        <v>514</v>
      </c>
      <c r="D128" s="13" t="s">
        <v>877</v>
      </c>
      <c r="E128" s="16" t="s">
        <v>826</v>
      </c>
      <c r="F128" s="13">
        <v>2.0</v>
      </c>
      <c r="G128" s="13" t="s">
        <v>217</v>
      </c>
      <c r="H128" s="13"/>
      <c r="I128" s="13"/>
      <c r="J128" s="13"/>
      <c r="K128" s="13" t="s">
        <v>881</v>
      </c>
      <c r="M128" s="13" t="s">
        <v>804</v>
      </c>
      <c r="N128" s="13"/>
      <c r="O128" s="13" t="s">
        <v>224</v>
      </c>
      <c r="P128" s="13"/>
    </row>
    <row r="129" ht="28.5" customHeight="1">
      <c r="A129" s="41">
        <v>42772.0</v>
      </c>
      <c r="B129" s="16" t="s">
        <v>876</v>
      </c>
      <c r="C129" s="16" t="s">
        <v>514</v>
      </c>
      <c r="D129" s="13" t="s">
        <v>877</v>
      </c>
      <c r="E129" s="16" t="s">
        <v>826</v>
      </c>
      <c r="F129" s="13">
        <v>2.0</v>
      </c>
      <c r="G129" s="13" t="s">
        <v>217</v>
      </c>
      <c r="H129" s="13"/>
      <c r="I129" s="13"/>
      <c r="J129" s="13"/>
      <c r="K129" s="13" t="s">
        <v>884</v>
      </c>
      <c r="M129" s="13" t="s">
        <v>885</v>
      </c>
      <c r="N129" s="13"/>
      <c r="O129" s="13" t="s">
        <v>224</v>
      </c>
      <c r="P129" s="13"/>
    </row>
    <row r="130" ht="28.5" customHeight="1">
      <c r="A130" s="41">
        <v>42774.0</v>
      </c>
      <c r="B130" s="16" t="s">
        <v>505</v>
      </c>
      <c r="C130" s="16" t="s">
        <v>506</v>
      </c>
      <c r="D130" s="16" t="s">
        <v>507</v>
      </c>
      <c r="E130" s="16" t="s">
        <v>268</v>
      </c>
      <c r="F130" s="13">
        <v>2.0</v>
      </c>
      <c r="G130" s="13" t="s">
        <v>217</v>
      </c>
      <c r="K130" s="13" t="s">
        <v>889</v>
      </c>
      <c r="L130" s="13"/>
      <c r="M130" s="13"/>
      <c r="N130" s="13" t="s">
        <v>890</v>
      </c>
      <c r="O130" s="13" t="s">
        <v>224</v>
      </c>
      <c r="P130" s="13"/>
    </row>
    <row r="131" ht="28.5" customHeight="1">
      <c r="A131" s="41">
        <v>42769.0</v>
      </c>
      <c r="B131" s="16" t="s">
        <v>532</v>
      </c>
      <c r="C131" s="16" t="s">
        <v>533</v>
      </c>
      <c r="D131" s="16" t="s">
        <v>832</v>
      </c>
      <c r="E131" s="16" t="s">
        <v>535</v>
      </c>
      <c r="F131" s="16">
        <v>2.0</v>
      </c>
      <c r="G131" s="16" t="s">
        <v>508</v>
      </c>
      <c r="H131" s="13" t="s">
        <v>891</v>
      </c>
      <c r="I131" s="13" t="s">
        <v>892</v>
      </c>
      <c r="J131" s="13" t="s">
        <v>511</v>
      </c>
      <c r="K131" s="13" t="s">
        <v>893</v>
      </c>
      <c r="L131" s="13"/>
      <c r="M131" s="13" t="s">
        <v>894</v>
      </c>
      <c r="N131" s="13" t="s">
        <v>530</v>
      </c>
      <c r="O131" s="13" t="s">
        <v>224</v>
      </c>
      <c r="P131" s="14" t="s">
        <v>896</v>
      </c>
    </row>
    <row r="132" ht="28.5" customHeight="1">
      <c r="A132" s="41">
        <v>42774.0</v>
      </c>
      <c r="B132" s="16" t="s">
        <v>537</v>
      </c>
      <c r="C132" s="13" t="s">
        <v>538</v>
      </c>
      <c r="D132" s="13" t="s">
        <v>539</v>
      </c>
      <c r="E132" s="16" t="s">
        <v>244</v>
      </c>
      <c r="F132" s="13">
        <v>2.0</v>
      </c>
      <c r="G132" s="13" t="s">
        <v>508</v>
      </c>
      <c r="H132" s="13" t="s">
        <v>899</v>
      </c>
      <c r="I132" s="13" t="s">
        <v>547</v>
      </c>
      <c r="M132" s="13" t="s">
        <v>550</v>
      </c>
      <c r="N132" s="13" t="s">
        <v>221</v>
      </c>
      <c r="O132" s="13" t="s">
        <v>542</v>
      </c>
      <c r="P132" s="13" t="s">
        <v>543</v>
      </c>
    </row>
    <row r="133" ht="28.5" customHeight="1">
      <c r="A133" s="41">
        <v>42774.0</v>
      </c>
      <c r="B133" s="16" t="s">
        <v>537</v>
      </c>
      <c r="C133" s="13" t="s">
        <v>538</v>
      </c>
      <c r="D133" s="13" t="s">
        <v>539</v>
      </c>
      <c r="E133" s="16" t="s">
        <v>244</v>
      </c>
      <c r="F133" s="13">
        <v>2.0</v>
      </c>
      <c r="G133" s="13" t="s">
        <v>508</v>
      </c>
      <c r="H133" s="13" t="s">
        <v>902</v>
      </c>
      <c r="I133" s="13" t="s">
        <v>547</v>
      </c>
      <c r="J133" s="13"/>
      <c r="K133" s="13" t="s">
        <v>550</v>
      </c>
      <c r="L133" s="13"/>
      <c r="M133" s="13"/>
      <c r="N133" s="13" t="s">
        <v>221</v>
      </c>
      <c r="O133" s="13" t="s">
        <v>542</v>
      </c>
      <c r="P133" s="13"/>
    </row>
    <row r="134" ht="28.5" customHeight="1">
      <c r="A134" s="41">
        <v>42774.0</v>
      </c>
      <c r="B134" s="16" t="s">
        <v>537</v>
      </c>
      <c r="C134" s="13" t="s">
        <v>538</v>
      </c>
      <c r="D134" s="13" t="s">
        <v>539</v>
      </c>
      <c r="E134" s="16" t="s">
        <v>244</v>
      </c>
      <c r="F134" s="13">
        <v>2.0</v>
      </c>
      <c r="G134" s="13" t="s">
        <v>508</v>
      </c>
      <c r="H134" s="13" t="s">
        <v>905</v>
      </c>
      <c r="I134" s="13" t="s">
        <v>547</v>
      </c>
      <c r="J134" s="13"/>
      <c r="K134" s="13"/>
      <c r="L134" s="13"/>
      <c r="M134" s="13" t="s">
        <v>550</v>
      </c>
      <c r="N134" s="13" t="s">
        <v>221</v>
      </c>
      <c r="O134" s="13" t="s">
        <v>542</v>
      </c>
      <c r="P134" s="13" t="s">
        <v>906</v>
      </c>
    </row>
    <row r="135" ht="28.5" customHeight="1">
      <c r="A135" s="41">
        <v>42774.0</v>
      </c>
      <c r="B135" s="16" t="s">
        <v>537</v>
      </c>
      <c r="C135" s="13" t="s">
        <v>538</v>
      </c>
      <c r="D135" s="13" t="s">
        <v>539</v>
      </c>
      <c r="E135" s="16" t="s">
        <v>244</v>
      </c>
      <c r="F135" s="13">
        <v>2.0</v>
      </c>
      <c r="G135" s="13" t="s">
        <v>508</v>
      </c>
      <c r="H135" s="13" t="s">
        <v>908</v>
      </c>
      <c r="I135" s="13" t="s">
        <v>547</v>
      </c>
      <c r="J135" s="13"/>
      <c r="K135" s="13"/>
      <c r="L135" s="13"/>
      <c r="M135" s="13" t="s">
        <v>550</v>
      </c>
      <c r="N135" s="13" t="s">
        <v>221</v>
      </c>
      <c r="O135" s="13" t="s">
        <v>542</v>
      </c>
      <c r="P135" s="13"/>
    </row>
    <row r="136" ht="28.5" customHeight="1">
      <c r="A136" s="41">
        <v>42774.0</v>
      </c>
      <c r="B136" s="16" t="s">
        <v>537</v>
      </c>
      <c r="C136" s="13" t="s">
        <v>538</v>
      </c>
      <c r="D136" s="13" t="s">
        <v>539</v>
      </c>
      <c r="E136" s="16" t="s">
        <v>244</v>
      </c>
      <c r="F136" s="13">
        <v>2.0</v>
      </c>
      <c r="G136" s="13" t="s">
        <v>508</v>
      </c>
      <c r="H136" s="13" t="s">
        <v>911</v>
      </c>
      <c r="I136" s="13" t="s">
        <v>547</v>
      </c>
      <c r="J136" s="13"/>
      <c r="K136" s="13"/>
      <c r="L136" s="13"/>
      <c r="M136" s="13" t="s">
        <v>550</v>
      </c>
      <c r="N136" s="13" t="s">
        <v>221</v>
      </c>
      <c r="O136" s="13" t="s">
        <v>542</v>
      </c>
      <c r="P136" s="13" t="s">
        <v>913</v>
      </c>
    </row>
    <row r="137" ht="28.5" customHeight="1">
      <c r="A137" s="41">
        <v>42774.0</v>
      </c>
      <c r="B137" s="16" t="s">
        <v>537</v>
      </c>
      <c r="C137" s="13" t="s">
        <v>538</v>
      </c>
      <c r="D137" s="13" t="s">
        <v>539</v>
      </c>
      <c r="E137" s="16" t="s">
        <v>244</v>
      </c>
      <c r="F137" s="13">
        <v>2.0</v>
      </c>
      <c r="G137" s="13" t="s">
        <v>508</v>
      </c>
      <c r="H137" s="13"/>
      <c r="I137" s="13" t="s">
        <v>276</v>
      </c>
      <c r="J137" s="13"/>
      <c r="K137" s="13"/>
      <c r="L137" s="13"/>
      <c r="M137" s="13" t="s">
        <v>276</v>
      </c>
      <c r="N137" s="13"/>
      <c r="O137" s="13" t="s">
        <v>542</v>
      </c>
      <c r="P137" s="13" t="s">
        <v>916</v>
      </c>
    </row>
    <row r="138" ht="28.5" customHeight="1">
      <c r="A138" s="41">
        <v>42774.0</v>
      </c>
      <c r="B138" s="16" t="s">
        <v>537</v>
      </c>
      <c r="C138" s="13" t="s">
        <v>538</v>
      </c>
      <c r="D138" s="13" t="s">
        <v>539</v>
      </c>
      <c r="E138" s="16" t="s">
        <v>244</v>
      </c>
      <c r="F138" s="13">
        <v>2.0</v>
      </c>
      <c r="G138" s="13" t="s">
        <v>508</v>
      </c>
      <c r="H138" s="13" t="s">
        <v>921</v>
      </c>
      <c r="I138" s="13" t="s">
        <v>547</v>
      </c>
      <c r="J138" s="13"/>
      <c r="K138" s="13"/>
      <c r="L138" s="13"/>
      <c r="M138" s="13" t="s">
        <v>550</v>
      </c>
      <c r="N138" s="13" t="s">
        <v>221</v>
      </c>
      <c r="O138" s="13" t="s">
        <v>542</v>
      </c>
      <c r="P138" s="13" t="s">
        <v>913</v>
      </c>
    </row>
    <row r="139" ht="28.5" customHeight="1">
      <c r="A139" s="41">
        <v>42769.0</v>
      </c>
      <c r="B139" s="16" t="s">
        <v>194</v>
      </c>
      <c r="C139" s="16" t="s">
        <v>195</v>
      </c>
      <c r="D139" s="16" t="s">
        <v>196</v>
      </c>
      <c r="E139" s="16" t="s">
        <v>25</v>
      </c>
      <c r="F139" s="13">
        <v>2.0</v>
      </c>
      <c r="G139" s="13" t="s">
        <v>217</v>
      </c>
      <c r="H139" s="13"/>
      <c r="I139" s="13"/>
      <c r="J139" s="13"/>
      <c r="K139" s="13" t="s">
        <v>221</v>
      </c>
      <c r="L139" s="13"/>
      <c r="M139" s="13"/>
      <c r="N139" s="13" t="s">
        <v>924</v>
      </c>
      <c r="O139" s="13" t="s">
        <v>224</v>
      </c>
      <c r="P139" s="13" t="s">
        <v>925</v>
      </c>
    </row>
    <row r="140" ht="28.5" customHeight="1">
      <c r="A140" s="41">
        <v>42774.0</v>
      </c>
      <c r="B140" s="16" t="s">
        <v>928</v>
      </c>
      <c r="C140" s="16" t="s">
        <v>597</v>
      </c>
      <c r="D140" s="16" t="s">
        <v>929</v>
      </c>
      <c r="E140" s="16" t="s">
        <v>268</v>
      </c>
      <c r="F140" s="13">
        <v>2.0</v>
      </c>
      <c r="G140" s="13" t="s">
        <v>217</v>
      </c>
      <c r="K140" s="13" t="s">
        <v>439</v>
      </c>
      <c r="L140" s="13" t="s">
        <v>439</v>
      </c>
      <c r="M140" s="13" t="s">
        <v>439</v>
      </c>
      <c r="N140" s="13" t="s">
        <v>315</v>
      </c>
      <c r="O140" s="13" t="s">
        <v>224</v>
      </c>
    </row>
    <row r="141" ht="28.5" customHeight="1">
      <c r="A141" s="41">
        <v>42773.0</v>
      </c>
      <c r="B141" s="16" t="s">
        <v>932</v>
      </c>
      <c r="C141" s="16" t="s">
        <v>933</v>
      </c>
      <c r="D141" s="16" t="s">
        <v>934</v>
      </c>
      <c r="E141" s="16" t="s">
        <v>935</v>
      </c>
      <c r="F141" s="13">
        <v>2.0</v>
      </c>
      <c r="G141" s="13" t="s">
        <v>508</v>
      </c>
      <c r="H141" s="13">
        <v>538.0</v>
      </c>
      <c r="I141" s="13" t="s">
        <v>684</v>
      </c>
      <c r="J141" s="13" t="s">
        <v>936</v>
      </c>
      <c r="K141" s="13" t="s">
        <v>315</v>
      </c>
      <c r="M141" s="13" t="s">
        <v>937</v>
      </c>
      <c r="N141" s="13" t="s">
        <v>221</v>
      </c>
      <c r="O141" s="13" t="s">
        <v>224</v>
      </c>
    </row>
    <row r="142" ht="28.5" customHeight="1">
      <c r="A142" s="41">
        <v>42773.0</v>
      </c>
      <c r="B142" s="16" t="s">
        <v>932</v>
      </c>
      <c r="C142" s="16" t="s">
        <v>933</v>
      </c>
      <c r="D142" s="16" t="s">
        <v>934</v>
      </c>
      <c r="E142" s="16" t="s">
        <v>935</v>
      </c>
      <c r="F142" s="13">
        <v>2.0</v>
      </c>
      <c r="G142" s="13" t="s">
        <v>508</v>
      </c>
      <c r="I142" s="13" t="s">
        <v>684</v>
      </c>
      <c r="K142" s="13" t="s">
        <v>315</v>
      </c>
      <c r="M142" s="13" t="s">
        <v>315</v>
      </c>
      <c r="N142" s="13" t="s">
        <v>221</v>
      </c>
      <c r="P142" s="13" t="s">
        <v>940</v>
      </c>
    </row>
    <row r="143" ht="28.5" customHeight="1">
      <c r="A143" s="41">
        <v>42773.0</v>
      </c>
      <c r="B143" s="16" t="s">
        <v>932</v>
      </c>
      <c r="C143" s="16" t="s">
        <v>933</v>
      </c>
      <c r="D143" s="16" t="s">
        <v>934</v>
      </c>
      <c r="E143" s="16" t="s">
        <v>935</v>
      </c>
      <c r="F143" s="13">
        <v>2.0</v>
      </c>
      <c r="G143" s="13" t="s">
        <v>508</v>
      </c>
      <c r="H143" s="13">
        <v>647.0</v>
      </c>
      <c r="I143" s="13" t="s">
        <v>684</v>
      </c>
      <c r="J143" s="13" t="s">
        <v>936</v>
      </c>
      <c r="K143" s="13" t="s">
        <v>315</v>
      </c>
      <c r="N143" s="13" t="s">
        <v>221</v>
      </c>
      <c r="O143" s="13" t="s">
        <v>224</v>
      </c>
    </row>
    <row r="144" ht="28.5" customHeight="1">
      <c r="A144" s="41">
        <v>42773.0</v>
      </c>
      <c r="B144" s="16" t="s">
        <v>932</v>
      </c>
      <c r="C144" s="16" t="s">
        <v>933</v>
      </c>
      <c r="D144" s="16" t="s">
        <v>934</v>
      </c>
      <c r="E144" s="16" t="s">
        <v>935</v>
      </c>
      <c r="F144" s="13">
        <v>2.0</v>
      </c>
      <c r="G144" s="13" t="s">
        <v>508</v>
      </c>
      <c r="H144" s="61">
        <v>2.0E7</v>
      </c>
      <c r="I144" s="13" t="s">
        <v>684</v>
      </c>
      <c r="J144" s="13" t="s">
        <v>936</v>
      </c>
      <c r="K144" s="13" t="s">
        <v>315</v>
      </c>
      <c r="N144" s="13" t="s">
        <v>221</v>
      </c>
      <c r="O144" s="13" t="s">
        <v>224</v>
      </c>
      <c r="P144" s="13" t="s">
        <v>951</v>
      </c>
    </row>
    <row r="145" ht="28.5" customHeight="1">
      <c r="A145" s="41">
        <v>42773.0</v>
      </c>
      <c r="B145" s="16" t="s">
        <v>932</v>
      </c>
      <c r="C145" s="16" t="s">
        <v>933</v>
      </c>
      <c r="D145" s="16" t="s">
        <v>934</v>
      </c>
      <c r="E145" s="16" t="s">
        <v>935</v>
      </c>
      <c r="F145" s="13">
        <v>2.0</v>
      </c>
      <c r="G145" s="13" t="s">
        <v>508</v>
      </c>
      <c r="H145" s="13" t="s">
        <v>955</v>
      </c>
      <c r="I145" s="13" t="s">
        <v>684</v>
      </c>
      <c r="J145" s="13" t="s">
        <v>936</v>
      </c>
      <c r="K145" s="13" t="s">
        <v>315</v>
      </c>
      <c r="N145" s="13" t="s">
        <v>221</v>
      </c>
      <c r="O145" s="13" t="s">
        <v>224</v>
      </c>
    </row>
    <row r="146" ht="28.5" customHeight="1">
      <c r="A146" s="41">
        <v>42773.0</v>
      </c>
      <c r="B146" s="16" t="s">
        <v>932</v>
      </c>
      <c r="C146" s="16" t="s">
        <v>933</v>
      </c>
      <c r="D146" s="16" t="s">
        <v>934</v>
      </c>
      <c r="E146" s="16" t="s">
        <v>935</v>
      </c>
      <c r="F146" s="13">
        <v>2.0</v>
      </c>
      <c r="G146" s="13" t="s">
        <v>508</v>
      </c>
      <c r="I146" s="13"/>
      <c r="K146" s="13"/>
      <c r="M146" s="13" t="s">
        <v>960</v>
      </c>
      <c r="N146" s="13" t="s">
        <v>221</v>
      </c>
      <c r="P146" s="13" t="s">
        <v>961</v>
      </c>
    </row>
    <row r="147" ht="28.5" customHeight="1">
      <c r="A147" s="41">
        <v>42773.0</v>
      </c>
      <c r="B147" s="16" t="s">
        <v>932</v>
      </c>
      <c r="C147" s="16" t="s">
        <v>933</v>
      </c>
      <c r="D147" s="16" t="s">
        <v>934</v>
      </c>
      <c r="E147" s="16" t="s">
        <v>935</v>
      </c>
      <c r="F147" s="13">
        <v>2.0</v>
      </c>
      <c r="G147" s="13" t="s">
        <v>508</v>
      </c>
      <c r="I147" s="13" t="s">
        <v>684</v>
      </c>
      <c r="J147" s="13" t="s">
        <v>936</v>
      </c>
      <c r="K147" s="13" t="s">
        <v>315</v>
      </c>
      <c r="M147" s="13" t="s">
        <v>937</v>
      </c>
      <c r="N147" s="13" t="s">
        <v>221</v>
      </c>
      <c r="P147" s="13" t="s">
        <v>964</v>
      </c>
    </row>
    <row r="148" ht="28.5" customHeight="1">
      <c r="A148" s="41">
        <v>42773.0</v>
      </c>
      <c r="B148" s="16" t="s">
        <v>932</v>
      </c>
      <c r="C148" s="16" t="s">
        <v>933</v>
      </c>
      <c r="D148" s="16" t="s">
        <v>934</v>
      </c>
      <c r="E148" s="16" t="s">
        <v>935</v>
      </c>
      <c r="F148" s="13">
        <v>2.0</v>
      </c>
      <c r="G148" s="13" t="s">
        <v>508</v>
      </c>
      <c r="I148" s="13" t="s">
        <v>684</v>
      </c>
      <c r="K148" s="13" t="s">
        <v>315</v>
      </c>
      <c r="M148" s="13" t="s">
        <v>937</v>
      </c>
      <c r="N148" s="13" t="s">
        <v>221</v>
      </c>
      <c r="P148" s="13" t="s">
        <v>965</v>
      </c>
    </row>
    <row r="149" ht="28.5" customHeight="1">
      <c r="A149" s="41">
        <v>42773.0</v>
      </c>
      <c r="B149" s="16" t="s">
        <v>932</v>
      </c>
      <c r="C149" s="16" t="s">
        <v>933</v>
      </c>
      <c r="D149" s="16" t="s">
        <v>934</v>
      </c>
      <c r="E149" s="16" t="s">
        <v>935</v>
      </c>
      <c r="F149" s="13">
        <v>2.0</v>
      </c>
      <c r="G149" s="13" t="s">
        <v>508</v>
      </c>
      <c r="H149" s="13" t="s">
        <v>968</v>
      </c>
      <c r="I149" s="13" t="s">
        <v>684</v>
      </c>
      <c r="J149" s="13" t="s">
        <v>936</v>
      </c>
      <c r="K149" s="13" t="s">
        <v>315</v>
      </c>
      <c r="N149" s="13" t="s">
        <v>221</v>
      </c>
      <c r="O149" s="13" t="s">
        <v>224</v>
      </c>
    </row>
    <row r="150" ht="28.5" customHeight="1">
      <c r="A150" s="41">
        <v>42773.0</v>
      </c>
      <c r="B150" s="16" t="s">
        <v>969</v>
      </c>
      <c r="C150" s="16" t="s">
        <v>970</v>
      </c>
      <c r="D150" s="16" t="s">
        <v>971</v>
      </c>
      <c r="E150" s="16" t="s">
        <v>972</v>
      </c>
      <c r="F150" s="16">
        <v>2.0</v>
      </c>
      <c r="G150" s="16" t="s">
        <v>974</v>
      </c>
      <c r="H150" s="13"/>
      <c r="I150" s="13" t="s">
        <v>401</v>
      </c>
      <c r="J150" s="13"/>
      <c r="K150" s="13"/>
      <c r="N150" s="13" t="s">
        <v>221</v>
      </c>
      <c r="O150" s="13" t="s">
        <v>402</v>
      </c>
    </row>
    <row r="151" ht="28.5" customHeight="1">
      <c r="A151" s="50">
        <v>42773.0</v>
      </c>
      <c r="B151" s="16" t="s">
        <v>605</v>
      </c>
      <c r="C151" s="16" t="s">
        <v>606</v>
      </c>
      <c r="D151" s="16" t="s">
        <v>976</v>
      </c>
      <c r="E151" s="16" t="s">
        <v>608</v>
      </c>
      <c r="F151" s="13">
        <v>2.0</v>
      </c>
      <c r="G151" s="13" t="s">
        <v>978</v>
      </c>
      <c r="I151" s="13" t="s">
        <v>979</v>
      </c>
      <c r="K151" s="13" t="s">
        <v>221</v>
      </c>
      <c r="L151" s="13" t="s">
        <v>439</v>
      </c>
      <c r="M151" s="13" t="s">
        <v>980</v>
      </c>
      <c r="N151" s="13" t="s">
        <v>503</v>
      </c>
      <c r="O151" s="13" t="s">
        <v>224</v>
      </c>
    </row>
    <row r="152" ht="28.5" customHeight="1">
      <c r="A152" s="43">
        <v>42774.0</v>
      </c>
      <c r="B152" s="16" t="s">
        <v>605</v>
      </c>
      <c r="C152" s="16" t="s">
        <v>606</v>
      </c>
      <c r="D152" s="16" t="s">
        <v>981</v>
      </c>
      <c r="E152" s="16" t="s">
        <v>608</v>
      </c>
      <c r="F152" s="13">
        <v>2.0</v>
      </c>
      <c r="G152" s="13" t="s">
        <v>508</v>
      </c>
      <c r="H152" s="61" t="s">
        <v>984</v>
      </c>
      <c r="I152" s="13" t="s">
        <v>985</v>
      </c>
      <c r="K152" s="13" t="s">
        <v>986</v>
      </c>
      <c r="N152" s="13" t="s">
        <v>221</v>
      </c>
      <c r="O152" s="13" t="s">
        <v>224</v>
      </c>
    </row>
    <row r="153" ht="28.5" customHeight="1">
      <c r="A153" s="42">
        <v>42774.0</v>
      </c>
      <c r="B153" s="16" t="s">
        <v>987</v>
      </c>
      <c r="C153" s="13" t="s">
        <v>341</v>
      </c>
      <c r="D153" s="13" t="s">
        <v>988</v>
      </c>
      <c r="E153" s="16" t="s">
        <v>268</v>
      </c>
      <c r="F153" s="13">
        <v>2.0</v>
      </c>
      <c r="G153" s="13" t="s">
        <v>269</v>
      </c>
      <c r="H153" s="13" t="s">
        <v>989</v>
      </c>
      <c r="I153" s="13" t="s">
        <v>270</v>
      </c>
      <c r="J153" s="13" t="s">
        <v>511</v>
      </c>
      <c r="M153" s="13" t="s">
        <v>270</v>
      </c>
      <c r="N153" s="13" t="s">
        <v>992</v>
      </c>
      <c r="O153" s="13" t="s">
        <v>224</v>
      </c>
      <c r="P153" s="13" t="s">
        <v>993</v>
      </c>
    </row>
    <row r="154" ht="28.5" customHeight="1">
      <c r="A154" s="41">
        <v>42772.0</v>
      </c>
      <c r="B154" s="16" t="s">
        <v>995</v>
      </c>
      <c r="C154" s="16" t="s">
        <v>612</v>
      </c>
      <c r="D154" s="16" t="s">
        <v>997</v>
      </c>
      <c r="E154" s="16" t="s">
        <v>615</v>
      </c>
      <c r="F154" s="13">
        <v>2.0</v>
      </c>
      <c r="G154" s="13" t="s">
        <v>617</v>
      </c>
      <c r="I154" s="13" t="s">
        <v>401</v>
      </c>
      <c r="N154" s="13" t="s">
        <v>401</v>
      </c>
      <c r="P154" s="13" t="s">
        <v>618</v>
      </c>
    </row>
    <row r="155" ht="28.5" customHeight="1">
      <c r="A155" s="41">
        <v>42772.0</v>
      </c>
      <c r="B155" s="16" t="s">
        <v>995</v>
      </c>
      <c r="C155" s="16" t="s">
        <v>612</v>
      </c>
      <c r="D155" s="16" t="s">
        <v>997</v>
      </c>
      <c r="E155" s="16" t="s">
        <v>615</v>
      </c>
      <c r="F155" s="13">
        <v>2.0</v>
      </c>
      <c r="G155" s="13" t="s">
        <v>617</v>
      </c>
      <c r="I155" s="13" t="s">
        <v>401</v>
      </c>
      <c r="N155" s="13" t="s">
        <v>401</v>
      </c>
      <c r="P155" s="13" t="s">
        <v>618</v>
      </c>
    </row>
    <row r="156" ht="28.5" customHeight="1">
      <c r="A156" s="43">
        <v>42773.0</v>
      </c>
      <c r="B156" s="16" t="s">
        <v>1002</v>
      </c>
      <c r="C156" s="16" t="s">
        <v>195</v>
      </c>
      <c r="D156" s="16" t="s">
        <v>1003</v>
      </c>
      <c r="E156" s="16" t="s">
        <v>268</v>
      </c>
      <c r="F156" s="13">
        <v>2.0</v>
      </c>
      <c r="G156" s="13" t="s">
        <v>217</v>
      </c>
      <c r="K156" s="13" t="s">
        <v>221</v>
      </c>
      <c r="L156" s="13" t="s">
        <v>256</v>
      </c>
      <c r="N156" s="13" t="s">
        <v>1004</v>
      </c>
      <c r="O156" s="13" t="s">
        <v>657</v>
      </c>
      <c r="P156" s="13" t="s">
        <v>1005</v>
      </c>
    </row>
    <row r="157" ht="28.5" customHeight="1">
      <c r="A157" s="11">
        <v>42769.0</v>
      </c>
      <c r="B157" s="13" t="s">
        <v>1007</v>
      </c>
      <c r="C157" s="13" t="s">
        <v>1008</v>
      </c>
      <c r="D157" s="13" t="s">
        <v>1009</v>
      </c>
      <c r="E157" s="13" t="s">
        <v>244</v>
      </c>
      <c r="F157" s="13">
        <v>3.0</v>
      </c>
      <c r="G157" s="13" t="s">
        <v>200</v>
      </c>
      <c r="H157" s="13"/>
      <c r="I157" s="14" t="s">
        <v>204</v>
      </c>
      <c r="J157" s="13"/>
      <c r="K157" s="13" t="s">
        <v>204</v>
      </c>
      <c r="L157" s="13" t="s">
        <v>736</v>
      </c>
      <c r="M157" s="13" t="s">
        <v>205</v>
      </c>
      <c r="N157" s="13" t="s">
        <v>1010</v>
      </c>
      <c r="O157" s="13" t="s">
        <v>209</v>
      </c>
      <c r="P157" s="13" t="s">
        <v>210</v>
      </c>
    </row>
    <row r="158" ht="28.5" customHeight="1">
      <c r="A158" s="42">
        <v>42769.0</v>
      </c>
      <c r="B158" s="16" t="s">
        <v>139</v>
      </c>
      <c r="C158" s="13" t="s">
        <v>250</v>
      </c>
      <c r="D158" s="13" t="s">
        <v>251</v>
      </c>
      <c r="E158" s="16" t="s">
        <v>25</v>
      </c>
      <c r="F158" s="13">
        <v>3.0</v>
      </c>
      <c r="G158" s="13" t="s">
        <v>217</v>
      </c>
      <c r="K158" s="13" t="s">
        <v>221</v>
      </c>
      <c r="L158" s="13" t="s">
        <v>256</v>
      </c>
      <c r="M158" s="13" t="s">
        <v>219</v>
      </c>
      <c r="N158" s="13" t="s">
        <v>1013</v>
      </c>
      <c r="O158" s="13" t="s">
        <v>224</v>
      </c>
    </row>
    <row r="159" ht="28.5" customHeight="1">
      <c r="A159" s="42">
        <v>42769.0</v>
      </c>
      <c r="B159" s="16" t="s">
        <v>139</v>
      </c>
      <c r="C159" s="13" t="s">
        <v>250</v>
      </c>
      <c r="D159" s="13" t="s">
        <v>251</v>
      </c>
      <c r="E159" s="16" t="s">
        <v>25</v>
      </c>
      <c r="F159" s="13">
        <v>3.0</v>
      </c>
      <c r="G159" s="13" t="s">
        <v>217</v>
      </c>
      <c r="K159" s="13" t="s">
        <v>221</v>
      </c>
      <c r="L159" s="13" t="s">
        <v>222</v>
      </c>
      <c r="M159" s="13" t="s">
        <v>219</v>
      </c>
      <c r="N159" s="13" t="s">
        <v>885</v>
      </c>
      <c r="O159" s="13" t="s">
        <v>224</v>
      </c>
    </row>
    <row r="160" ht="28.5" customHeight="1">
      <c r="A160" s="41">
        <v>42769.0</v>
      </c>
      <c r="B160" s="16" t="s">
        <v>85</v>
      </c>
      <c r="C160" s="16" t="s">
        <v>86</v>
      </c>
      <c r="D160" s="16" t="s">
        <v>87</v>
      </c>
      <c r="E160" s="16" t="s">
        <v>25</v>
      </c>
      <c r="F160" s="13">
        <v>3.0</v>
      </c>
      <c r="G160" s="13" t="s">
        <v>200</v>
      </c>
      <c r="K160" s="13" t="s">
        <v>439</v>
      </c>
      <c r="L160" s="13" t="s">
        <v>1014</v>
      </c>
      <c r="M160" s="13" t="s">
        <v>530</v>
      </c>
      <c r="N160" s="13"/>
      <c r="O160" s="13" t="s">
        <v>224</v>
      </c>
      <c r="P160" s="13"/>
    </row>
    <row r="161" ht="28.5" customHeight="1">
      <c r="A161" s="41">
        <v>42769.0</v>
      </c>
      <c r="B161" s="16" t="s">
        <v>85</v>
      </c>
      <c r="C161" s="16" t="s">
        <v>86</v>
      </c>
      <c r="D161" s="16" t="s">
        <v>87</v>
      </c>
      <c r="E161" s="16" t="s">
        <v>25</v>
      </c>
      <c r="F161" s="13">
        <v>3.0</v>
      </c>
      <c r="G161" s="13" t="s">
        <v>200</v>
      </c>
      <c r="H161" s="13" t="s">
        <v>1016</v>
      </c>
      <c r="I161" s="13" t="s">
        <v>1017</v>
      </c>
      <c r="J161" s="13" t="s">
        <v>1018</v>
      </c>
      <c r="K161" s="13" t="s">
        <v>221</v>
      </c>
      <c r="L161" s="13" t="s">
        <v>500</v>
      </c>
      <c r="M161" s="13" t="s">
        <v>1019</v>
      </c>
      <c r="N161" s="13" t="s">
        <v>276</v>
      </c>
      <c r="O161" s="13" t="s">
        <v>224</v>
      </c>
      <c r="P161" s="13"/>
    </row>
    <row r="162" ht="28.5" customHeight="1">
      <c r="A162" s="41">
        <v>42769.0</v>
      </c>
      <c r="B162" s="16" t="s">
        <v>139</v>
      </c>
      <c r="C162" s="13" t="s">
        <v>250</v>
      </c>
      <c r="D162" s="13" t="s">
        <v>158</v>
      </c>
      <c r="E162" s="16" t="s">
        <v>25</v>
      </c>
      <c r="F162" s="13">
        <v>3.0</v>
      </c>
      <c r="G162" s="13" t="s">
        <v>200</v>
      </c>
      <c r="I162" s="13" t="s">
        <v>684</v>
      </c>
      <c r="K162" s="13"/>
      <c r="L162" s="13" t="s">
        <v>233</v>
      </c>
      <c r="M162" s="13" t="s">
        <v>1023</v>
      </c>
      <c r="N162" s="13" t="s">
        <v>500</v>
      </c>
      <c r="O162" s="13" t="s">
        <v>224</v>
      </c>
      <c r="P162" s="13"/>
    </row>
    <row r="163" ht="28.5" customHeight="1">
      <c r="A163" s="41">
        <v>42773.0</v>
      </c>
      <c r="B163" s="16" t="s">
        <v>305</v>
      </c>
      <c r="C163" s="16" t="s">
        <v>309</v>
      </c>
      <c r="D163" s="16" t="s">
        <v>311</v>
      </c>
      <c r="E163" s="16" t="s">
        <v>312</v>
      </c>
      <c r="F163" s="13">
        <v>3.0</v>
      </c>
      <c r="G163" s="13" t="s">
        <v>217</v>
      </c>
      <c r="K163" s="13" t="s">
        <v>221</v>
      </c>
      <c r="L163" s="13" t="s">
        <v>256</v>
      </c>
      <c r="N163" s="13" t="s">
        <v>795</v>
      </c>
      <c r="O163" s="13"/>
      <c r="P163" s="13"/>
    </row>
    <row r="164" ht="28.5" customHeight="1">
      <c r="A164" s="41">
        <v>42773.0</v>
      </c>
      <c r="B164" s="16" t="s">
        <v>305</v>
      </c>
      <c r="C164" s="16" t="s">
        <v>309</v>
      </c>
      <c r="D164" s="16" t="s">
        <v>311</v>
      </c>
      <c r="E164" s="16" t="s">
        <v>312</v>
      </c>
      <c r="F164" s="13">
        <v>3.0</v>
      </c>
      <c r="G164" s="13" t="s">
        <v>217</v>
      </c>
      <c r="L164" s="13" t="s">
        <v>296</v>
      </c>
      <c r="M164" s="13" t="s">
        <v>221</v>
      </c>
      <c r="N164" s="13" t="s">
        <v>1027</v>
      </c>
      <c r="O164" s="13"/>
      <c r="P164" s="13" t="s">
        <v>1028</v>
      </c>
    </row>
    <row r="165" ht="28.5" customHeight="1">
      <c r="A165" s="11">
        <v>42771.0</v>
      </c>
      <c r="B165" s="13" t="s">
        <v>316</v>
      </c>
      <c r="C165" s="16" t="s">
        <v>317</v>
      </c>
      <c r="D165" s="16" t="s">
        <v>318</v>
      </c>
      <c r="E165" s="16" t="s">
        <v>230</v>
      </c>
      <c r="F165" s="13">
        <v>3.0</v>
      </c>
      <c r="G165" s="13" t="s">
        <v>217</v>
      </c>
      <c r="L165" s="13" t="s">
        <v>338</v>
      </c>
      <c r="M165" s="13" t="s">
        <v>221</v>
      </c>
      <c r="N165" s="13" t="s">
        <v>276</v>
      </c>
      <c r="O165" s="13" t="s">
        <v>224</v>
      </c>
      <c r="P165" s="13" t="s">
        <v>319</v>
      </c>
    </row>
    <row r="166" ht="28.5" customHeight="1">
      <c r="A166" s="11">
        <v>42771.0</v>
      </c>
      <c r="B166" s="13" t="s">
        <v>316</v>
      </c>
      <c r="C166" s="16" t="s">
        <v>317</v>
      </c>
      <c r="D166" s="16" t="s">
        <v>318</v>
      </c>
      <c r="E166" s="16" t="s">
        <v>230</v>
      </c>
      <c r="F166" s="13">
        <v>3.0</v>
      </c>
      <c r="G166" s="13" t="s">
        <v>217</v>
      </c>
      <c r="K166" s="13" t="s">
        <v>221</v>
      </c>
      <c r="L166" s="13" t="s">
        <v>276</v>
      </c>
      <c r="M166" s="13"/>
      <c r="N166" s="13" t="s">
        <v>1034</v>
      </c>
      <c r="O166" s="13" t="s">
        <v>224</v>
      </c>
      <c r="P166" s="13" t="s">
        <v>324</v>
      </c>
    </row>
    <row r="167" ht="28.5" customHeight="1">
      <c r="A167" s="41">
        <v>42773.0</v>
      </c>
      <c r="B167" s="16" t="s">
        <v>1037</v>
      </c>
      <c r="C167" s="16" t="s">
        <v>1039</v>
      </c>
      <c r="D167" s="16" t="s">
        <v>1040</v>
      </c>
      <c r="E167" s="16" t="s">
        <v>1042</v>
      </c>
      <c r="F167" s="16">
        <v>3.0</v>
      </c>
      <c r="G167" s="16" t="s">
        <v>508</v>
      </c>
      <c r="H167" s="13" t="s">
        <v>1043</v>
      </c>
      <c r="I167" s="13" t="s">
        <v>684</v>
      </c>
      <c r="J167" s="13"/>
      <c r="K167" s="13" t="s">
        <v>1046</v>
      </c>
      <c r="L167" s="13" t="s">
        <v>1047</v>
      </c>
      <c r="M167" s="13" t="s">
        <v>1048</v>
      </c>
      <c r="N167" s="13" t="s">
        <v>221</v>
      </c>
      <c r="O167" s="13" t="s">
        <v>224</v>
      </c>
      <c r="P167" s="13" t="s">
        <v>385</v>
      </c>
    </row>
    <row r="168" ht="28.5" customHeight="1">
      <c r="A168" s="41">
        <v>42773.0</v>
      </c>
      <c r="B168" s="16" t="s">
        <v>1037</v>
      </c>
      <c r="C168" s="16" t="s">
        <v>1039</v>
      </c>
      <c r="D168" s="16" t="s">
        <v>1040</v>
      </c>
      <c r="E168" s="16" t="s">
        <v>1042</v>
      </c>
      <c r="F168" s="16">
        <v>3.0</v>
      </c>
      <c r="G168" s="13" t="s">
        <v>508</v>
      </c>
      <c r="H168" s="13" t="s">
        <v>1051</v>
      </c>
      <c r="I168" s="13" t="s">
        <v>684</v>
      </c>
      <c r="K168" s="13" t="s">
        <v>1046</v>
      </c>
      <c r="L168" s="13" t="s">
        <v>1047</v>
      </c>
      <c r="M168" s="13" t="s">
        <v>1047</v>
      </c>
      <c r="N168" s="13" t="s">
        <v>221</v>
      </c>
      <c r="O168" s="13" t="s">
        <v>224</v>
      </c>
      <c r="P168" s="13" t="s">
        <v>385</v>
      </c>
    </row>
    <row r="169" ht="28.5" customHeight="1">
      <c r="A169" s="41">
        <v>42773.0</v>
      </c>
      <c r="B169" s="16" t="s">
        <v>1037</v>
      </c>
      <c r="C169" s="16" t="s">
        <v>1039</v>
      </c>
      <c r="D169" s="16" t="s">
        <v>1040</v>
      </c>
      <c r="E169" s="16" t="s">
        <v>1042</v>
      </c>
      <c r="F169" s="16">
        <v>3.0</v>
      </c>
      <c r="G169" s="13" t="s">
        <v>508</v>
      </c>
      <c r="H169" s="13">
        <v>684.0</v>
      </c>
      <c r="I169" s="13" t="s">
        <v>684</v>
      </c>
      <c r="K169" s="13" t="s">
        <v>1046</v>
      </c>
      <c r="L169" s="13" t="s">
        <v>1047</v>
      </c>
      <c r="M169" s="13" t="s">
        <v>1047</v>
      </c>
      <c r="N169" s="13" t="s">
        <v>1047</v>
      </c>
      <c r="O169" s="13" t="s">
        <v>402</v>
      </c>
      <c r="P169" s="13" t="s">
        <v>385</v>
      </c>
    </row>
    <row r="170" ht="28.5" customHeight="1">
      <c r="A170" s="41">
        <v>42773.0</v>
      </c>
      <c r="B170" s="16" t="s">
        <v>427</v>
      </c>
      <c r="C170" s="16" t="s">
        <v>441</v>
      </c>
      <c r="D170" s="16" t="s">
        <v>436</v>
      </c>
      <c r="E170" s="16" t="s">
        <v>438</v>
      </c>
      <c r="F170" s="13">
        <v>3.0</v>
      </c>
      <c r="G170" s="13" t="s">
        <v>217</v>
      </c>
      <c r="K170" s="13" t="s">
        <v>221</v>
      </c>
      <c r="L170" s="13" t="s">
        <v>256</v>
      </c>
      <c r="M170" s="13" t="s">
        <v>219</v>
      </c>
      <c r="N170" s="13" t="s">
        <v>1055</v>
      </c>
      <c r="O170" s="13"/>
      <c r="P170" s="13" t="s">
        <v>1060</v>
      </c>
    </row>
    <row r="171" ht="28.5" customHeight="1">
      <c r="A171" s="41">
        <v>42774.0</v>
      </c>
      <c r="B171" s="16" t="s">
        <v>362</v>
      </c>
      <c r="C171" s="16" t="s">
        <v>363</v>
      </c>
      <c r="D171" s="16" t="s">
        <v>364</v>
      </c>
      <c r="E171" s="16" t="s">
        <v>268</v>
      </c>
      <c r="F171" s="13">
        <v>3.0</v>
      </c>
      <c r="G171" s="13" t="s">
        <v>217</v>
      </c>
      <c r="K171" s="13" t="s">
        <v>221</v>
      </c>
      <c r="L171" s="13" t="s">
        <v>1063</v>
      </c>
      <c r="N171" s="13" t="s">
        <v>348</v>
      </c>
      <c r="O171" s="13" t="s">
        <v>224</v>
      </c>
      <c r="P171" s="13" t="s">
        <v>324</v>
      </c>
    </row>
    <row r="172" ht="28.5" customHeight="1">
      <c r="A172" s="41">
        <v>42774.0</v>
      </c>
      <c r="B172" s="16" t="s">
        <v>362</v>
      </c>
      <c r="C172" s="16" t="s">
        <v>363</v>
      </c>
      <c r="D172" s="16" t="s">
        <v>364</v>
      </c>
      <c r="E172" s="16" t="s">
        <v>268</v>
      </c>
      <c r="F172" s="13">
        <v>3.0</v>
      </c>
      <c r="G172" s="13" t="s">
        <v>217</v>
      </c>
      <c r="L172" s="13" t="s">
        <v>236</v>
      </c>
      <c r="M172" s="13" t="s">
        <v>221</v>
      </c>
      <c r="N172" s="13" t="s">
        <v>503</v>
      </c>
      <c r="O172" s="13" t="s">
        <v>224</v>
      </c>
      <c r="P172" s="13" t="s">
        <v>319</v>
      </c>
    </row>
    <row r="173" ht="28.5" customHeight="1">
      <c r="A173" s="41">
        <v>42774.0</v>
      </c>
      <c r="B173" s="16" t="s">
        <v>362</v>
      </c>
      <c r="C173" s="16" t="s">
        <v>363</v>
      </c>
      <c r="D173" s="16" t="s">
        <v>364</v>
      </c>
      <c r="E173" s="16" t="s">
        <v>268</v>
      </c>
      <c r="F173" s="13">
        <v>3.0</v>
      </c>
      <c r="G173" s="13" t="s">
        <v>217</v>
      </c>
      <c r="H173" s="13"/>
      <c r="I173" s="13"/>
      <c r="K173" s="13" t="s">
        <v>221</v>
      </c>
      <c r="L173" s="13" t="s">
        <v>276</v>
      </c>
      <c r="M173" s="13"/>
      <c r="N173" s="13" t="s">
        <v>488</v>
      </c>
      <c r="O173" s="13" t="s">
        <v>224</v>
      </c>
      <c r="P173" s="13" t="s">
        <v>324</v>
      </c>
    </row>
    <row r="174" ht="28.5" customHeight="1">
      <c r="A174" s="41">
        <v>42774.0</v>
      </c>
      <c r="B174" s="16" t="s">
        <v>362</v>
      </c>
      <c r="C174" s="16" t="s">
        <v>363</v>
      </c>
      <c r="D174" s="16" t="s">
        <v>364</v>
      </c>
      <c r="E174" s="16" t="s">
        <v>268</v>
      </c>
      <c r="F174" s="13">
        <v>3.0</v>
      </c>
      <c r="G174" s="13" t="s">
        <v>217</v>
      </c>
      <c r="K174" s="13"/>
      <c r="L174" s="13" t="s">
        <v>258</v>
      </c>
      <c r="M174" s="13" t="s">
        <v>221</v>
      </c>
      <c r="N174" s="13" t="s">
        <v>1071</v>
      </c>
      <c r="O174" s="13" t="s">
        <v>224</v>
      </c>
      <c r="P174" s="13" t="s">
        <v>319</v>
      </c>
    </row>
    <row r="175" ht="28.5" customHeight="1">
      <c r="A175" s="41">
        <v>42774.0</v>
      </c>
      <c r="B175" s="16" t="s">
        <v>362</v>
      </c>
      <c r="C175" s="16" t="s">
        <v>363</v>
      </c>
      <c r="D175" s="16" t="s">
        <v>364</v>
      </c>
      <c r="E175" s="16" t="s">
        <v>268</v>
      </c>
      <c r="F175" s="13">
        <v>3.0</v>
      </c>
      <c r="G175" s="13" t="s">
        <v>217</v>
      </c>
      <c r="H175" s="13"/>
      <c r="I175" s="13"/>
      <c r="K175" s="13" t="s">
        <v>221</v>
      </c>
      <c r="L175" s="13" t="s">
        <v>256</v>
      </c>
      <c r="M175" s="13"/>
      <c r="N175" s="13" t="s">
        <v>804</v>
      </c>
      <c r="O175" s="13" t="s">
        <v>224</v>
      </c>
      <c r="P175" s="13" t="s">
        <v>324</v>
      </c>
    </row>
    <row r="176" ht="28.5" customHeight="1">
      <c r="A176" s="41">
        <v>42773.0</v>
      </c>
      <c r="B176" s="16" t="s">
        <v>110</v>
      </c>
      <c r="C176" s="16" t="s">
        <v>514</v>
      </c>
      <c r="D176" s="16" t="s">
        <v>1076</v>
      </c>
      <c r="E176" s="16" t="s">
        <v>268</v>
      </c>
      <c r="F176" s="13">
        <v>3.0</v>
      </c>
      <c r="G176" s="13" t="s">
        <v>269</v>
      </c>
      <c r="H176" s="13">
        <v>87.0</v>
      </c>
      <c r="I176" s="13" t="s">
        <v>270</v>
      </c>
      <c r="J176" s="13" t="s">
        <v>271</v>
      </c>
      <c r="K176" s="13" t="s">
        <v>222</v>
      </c>
      <c r="L176" s="13"/>
      <c r="M176" s="13" t="s">
        <v>222</v>
      </c>
      <c r="N176" s="13" t="s">
        <v>221</v>
      </c>
      <c r="O176" s="13" t="s">
        <v>224</v>
      </c>
      <c r="P176" s="13" t="s">
        <v>1078</v>
      </c>
    </row>
    <row r="177" ht="28.5" customHeight="1">
      <c r="A177" s="41">
        <v>42772.0</v>
      </c>
      <c r="B177" s="16" t="s">
        <v>876</v>
      </c>
      <c r="C177" s="16" t="s">
        <v>514</v>
      </c>
      <c r="D177" s="13" t="s">
        <v>877</v>
      </c>
      <c r="E177" s="16" t="s">
        <v>826</v>
      </c>
      <c r="F177" s="13">
        <v>3.0</v>
      </c>
      <c r="G177" s="13" t="s">
        <v>217</v>
      </c>
      <c r="H177" s="13"/>
      <c r="I177" s="13"/>
      <c r="J177" s="13"/>
      <c r="K177" s="13" t="s">
        <v>1082</v>
      </c>
      <c r="M177" s="13" t="s">
        <v>500</v>
      </c>
      <c r="N177" s="13"/>
      <c r="O177" s="13" t="s">
        <v>224</v>
      </c>
      <c r="P177" s="13"/>
    </row>
    <row r="178" ht="28.5" customHeight="1">
      <c r="A178" s="41">
        <v>42774.0</v>
      </c>
      <c r="B178" s="16" t="s">
        <v>505</v>
      </c>
      <c r="C178" s="16" t="s">
        <v>506</v>
      </c>
      <c r="D178" s="16" t="s">
        <v>507</v>
      </c>
      <c r="E178" s="16" t="s">
        <v>268</v>
      </c>
      <c r="F178" s="13">
        <v>3.0</v>
      </c>
      <c r="G178" s="13" t="s">
        <v>217</v>
      </c>
      <c r="H178" s="13"/>
      <c r="I178" s="13"/>
      <c r="J178" s="13"/>
      <c r="K178" s="13"/>
      <c r="L178" s="13" t="s">
        <v>440</v>
      </c>
      <c r="M178" s="13" t="s">
        <v>221</v>
      </c>
      <c r="N178" s="13" t="s">
        <v>222</v>
      </c>
      <c r="O178" s="13" t="s">
        <v>224</v>
      </c>
      <c r="P178" s="13"/>
    </row>
    <row r="179" ht="28.5" customHeight="1">
      <c r="A179" s="41">
        <v>42769.0</v>
      </c>
      <c r="B179" s="16" t="s">
        <v>532</v>
      </c>
      <c r="C179" s="16" t="s">
        <v>533</v>
      </c>
      <c r="D179" s="16" t="s">
        <v>832</v>
      </c>
      <c r="E179" s="16" t="s">
        <v>535</v>
      </c>
      <c r="F179" s="16">
        <v>3.0</v>
      </c>
      <c r="G179" s="16" t="s">
        <v>200</v>
      </c>
      <c r="H179" s="13" t="s">
        <v>1086</v>
      </c>
      <c r="I179" s="13" t="s">
        <v>979</v>
      </c>
      <c r="J179" s="13" t="s">
        <v>366</v>
      </c>
      <c r="K179" s="13" t="s">
        <v>530</v>
      </c>
      <c r="L179" s="13"/>
      <c r="M179" s="13" t="s">
        <v>1086</v>
      </c>
      <c r="N179" s="13"/>
      <c r="O179" s="13" t="s">
        <v>224</v>
      </c>
      <c r="P179" s="14"/>
    </row>
    <row r="180" ht="28.5" customHeight="1">
      <c r="A180" s="41">
        <v>42769.0</v>
      </c>
      <c r="B180" s="16" t="s">
        <v>532</v>
      </c>
      <c r="C180" s="16" t="s">
        <v>533</v>
      </c>
      <c r="D180" s="16" t="s">
        <v>832</v>
      </c>
      <c r="E180" s="16" t="s">
        <v>535</v>
      </c>
      <c r="F180" s="16">
        <v>3.0</v>
      </c>
      <c r="G180" s="16" t="s">
        <v>200</v>
      </c>
      <c r="H180" s="13"/>
      <c r="I180" s="13"/>
      <c r="J180" s="13"/>
      <c r="K180" s="13" t="s">
        <v>530</v>
      </c>
      <c r="L180" s="13" t="s">
        <v>1089</v>
      </c>
      <c r="M180" s="13" t="s">
        <v>439</v>
      </c>
      <c r="N180" s="13" t="s">
        <v>224</v>
      </c>
      <c r="O180" s="13" t="s">
        <v>224</v>
      </c>
      <c r="P180" s="14"/>
    </row>
    <row r="181" ht="28.5" customHeight="1">
      <c r="A181" s="41">
        <v>42769.0</v>
      </c>
      <c r="B181" s="16" t="s">
        <v>532</v>
      </c>
      <c r="C181" s="16" t="s">
        <v>533</v>
      </c>
      <c r="D181" s="16" t="s">
        <v>832</v>
      </c>
      <c r="E181" s="16" t="s">
        <v>535</v>
      </c>
      <c r="F181" s="16">
        <v>3.0</v>
      </c>
      <c r="G181" s="16" t="s">
        <v>200</v>
      </c>
      <c r="H181" s="13"/>
      <c r="I181" s="13"/>
      <c r="J181" s="13"/>
      <c r="K181" s="13" t="s">
        <v>1091</v>
      </c>
      <c r="L181" s="13" t="s">
        <v>536</v>
      </c>
      <c r="M181" s="13" t="s">
        <v>530</v>
      </c>
      <c r="N181" s="13" t="s">
        <v>224</v>
      </c>
      <c r="O181" s="13" t="s">
        <v>224</v>
      </c>
      <c r="P181" s="14" t="s">
        <v>1092</v>
      </c>
    </row>
    <row r="182" ht="28.5" customHeight="1">
      <c r="A182" s="41">
        <v>42769.0</v>
      </c>
      <c r="B182" s="16" t="s">
        <v>532</v>
      </c>
      <c r="C182" s="16" t="s">
        <v>533</v>
      </c>
      <c r="D182" s="16" t="s">
        <v>832</v>
      </c>
      <c r="E182" s="16" t="s">
        <v>535</v>
      </c>
      <c r="F182" s="16">
        <v>3.0</v>
      </c>
      <c r="G182" s="16" t="s">
        <v>200</v>
      </c>
      <c r="H182" s="13"/>
      <c r="I182" s="13"/>
      <c r="J182" s="13"/>
      <c r="K182" s="13" t="s">
        <v>1101</v>
      </c>
      <c r="L182" s="13" t="s">
        <v>536</v>
      </c>
      <c r="M182" s="13" t="s">
        <v>530</v>
      </c>
      <c r="N182" s="13" t="s">
        <v>224</v>
      </c>
      <c r="O182" s="13" t="s">
        <v>224</v>
      </c>
      <c r="P182" s="14" t="s">
        <v>1102</v>
      </c>
    </row>
    <row r="183" ht="28.5" customHeight="1">
      <c r="A183" s="41">
        <v>42774.0</v>
      </c>
      <c r="B183" s="16" t="s">
        <v>537</v>
      </c>
      <c r="C183" s="13" t="s">
        <v>538</v>
      </c>
      <c r="D183" s="13" t="s">
        <v>539</v>
      </c>
      <c r="E183" s="16" t="s">
        <v>244</v>
      </c>
      <c r="F183" s="13">
        <v>3.0</v>
      </c>
      <c r="G183" s="13" t="s">
        <v>508</v>
      </c>
      <c r="H183" s="13" t="s">
        <v>1104</v>
      </c>
      <c r="I183" s="13" t="s">
        <v>547</v>
      </c>
      <c r="J183" s="13"/>
      <c r="K183" s="13"/>
      <c r="L183" s="13"/>
      <c r="M183" s="13" t="s">
        <v>550</v>
      </c>
      <c r="N183" s="13" t="s">
        <v>221</v>
      </c>
      <c r="O183" s="13" t="s">
        <v>542</v>
      </c>
      <c r="P183" s="13" t="s">
        <v>913</v>
      </c>
    </row>
    <row r="184" ht="28.5" customHeight="1">
      <c r="A184" s="41">
        <v>42774.0</v>
      </c>
      <c r="B184" s="16" t="s">
        <v>537</v>
      </c>
      <c r="C184" s="13" t="s">
        <v>538</v>
      </c>
      <c r="D184" s="13" t="s">
        <v>539</v>
      </c>
      <c r="E184" s="16" t="s">
        <v>244</v>
      </c>
      <c r="F184" s="13">
        <v>3.0</v>
      </c>
      <c r="G184" s="13" t="s">
        <v>508</v>
      </c>
      <c r="H184" s="13" t="s">
        <v>1109</v>
      </c>
      <c r="I184" s="13" t="s">
        <v>547</v>
      </c>
      <c r="J184" s="13"/>
      <c r="K184" s="13" t="s">
        <v>550</v>
      </c>
      <c r="L184" s="13"/>
      <c r="M184" s="13"/>
      <c r="N184" s="13" t="s">
        <v>221</v>
      </c>
      <c r="O184" s="13" t="s">
        <v>542</v>
      </c>
    </row>
    <row r="185" ht="28.5" customHeight="1">
      <c r="A185" s="41">
        <v>42774.0</v>
      </c>
      <c r="B185" s="16" t="s">
        <v>537</v>
      </c>
      <c r="C185" s="13" t="s">
        <v>538</v>
      </c>
      <c r="D185" s="13" t="s">
        <v>539</v>
      </c>
      <c r="E185" s="16" t="s">
        <v>244</v>
      </c>
      <c r="F185" s="13">
        <v>3.0</v>
      </c>
      <c r="G185" s="13" t="s">
        <v>508</v>
      </c>
      <c r="H185" s="63" t="s">
        <v>1111</v>
      </c>
      <c r="I185" s="13" t="s">
        <v>547</v>
      </c>
      <c r="J185" s="13"/>
      <c r="K185" s="13" t="s">
        <v>550</v>
      </c>
      <c r="L185" s="13"/>
      <c r="M185" s="13"/>
      <c r="N185" s="13" t="s">
        <v>221</v>
      </c>
      <c r="O185" s="13" t="s">
        <v>542</v>
      </c>
    </row>
    <row r="186" ht="28.5" customHeight="1">
      <c r="A186" s="41">
        <v>42774.0</v>
      </c>
      <c r="B186" s="16" t="s">
        <v>537</v>
      </c>
      <c r="C186" s="13" t="s">
        <v>538</v>
      </c>
      <c r="D186" s="13" t="s">
        <v>539</v>
      </c>
      <c r="E186" s="16" t="s">
        <v>244</v>
      </c>
      <c r="F186" s="13">
        <v>3.0</v>
      </c>
      <c r="G186" s="13" t="s">
        <v>508</v>
      </c>
      <c r="H186" s="13" t="s">
        <v>1116</v>
      </c>
      <c r="I186" s="13" t="s">
        <v>547</v>
      </c>
      <c r="J186" s="13"/>
      <c r="K186" s="13" t="s">
        <v>550</v>
      </c>
      <c r="L186" s="13"/>
      <c r="M186" s="13"/>
      <c r="N186" s="13" t="s">
        <v>221</v>
      </c>
      <c r="O186" s="13" t="s">
        <v>542</v>
      </c>
      <c r="P186" s="13" t="s">
        <v>913</v>
      </c>
    </row>
    <row r="187" ht="28.5" customHeight="1">
      <c r="A187" s="41">
        <v>42774.0</v>
      </c>
      <c r="B187" s="16" t="s">
        <v>537</v>
      </c>
      <c r="C187" s="13" t="s">
        <v>538</v>
      </c>
      <c r="D187" s="13" t="s">
        <v>539</v>
      </c>
      <c r="E187" s="16" t="s">
        <v>244</v>
      </c>
      <c r="F187" s="13">
        <v>3.0</v>
      </c>
      <c r="G187" s="13" t="s">
        <v>400</v>
      </c>
      <c r="H187" s="13" t="s">
        <v>221</v>
      </c>
      <c r="I187" s="13"/>
      <c r="J187" s="13"/>
      <c r="K187" s="13"/>
      <c r="L187" s="13"/>
      <c r="M187" s="13"/>
      <c r="N187" s="13" t="s">
        <v>221</v>
      </c>
      <c r="O187" s="13" t="s">
        <v>542</v>
      </c>
    </row>
    <row r="188" ht="28.5" customHeight="1">
      <c r="A188" s="41">
        <v>42773.0</v>
      </c>
      <c r="B188" s="16" t="s">
        <v>1118</v>
      </c>
      <c r="C188" s="13" t="s">
        <v>1119</v>
      </c>
      <c r="D188" s="13" t="s">
        <v>1121</v>
      </c>
      <c r="E188" s="16" t="s">
        <v>244</v>
      </c>
      <c r="F188" s="13">
        <v>3.0</v>
      </c>
      <c r="G188" s="13" t="s">
        <v>200</v>
      </c>
      <c r="H188" s="13"/>
      <c r="I188" s="13"/>
      <c r="J188" s="13"/>
      <c r="K188" s="13"/>
      <c r="L188" s="13" t="s">
        <v>315</v>
      </c>
      <c r="M188" s="13"/>
      <c r="N188" s="13" t="s">
        <v>296</v>
      </c>
      <c r="O188" s="13" t="s">
        <v>402</v>
      </c>
      <c r="P188" s="13" t="s">
        <v>1125</v>
      </c>
    </row>
    <row r="189" ht="28.5" customHeight="1">
      <c r="A189" s="41">
        <v>42773.0</v>
      </c>
      <c r="B189" s="16" t="s">
        <v>1118</v>
      </c>
      <c r="C189" s="13" t="s">
        <v>1119</v>
      </c>
      <c r="D189" s="13" t="s">
        <v>1121</v>
      </c>
      <c r="E189" s="16" t="s">
        <v>244</v>
      </c>
      <c r="F189" s="13">
        <v>3.0</v>
      </c>
      <c r="G189" s="13" t="s">
        <v>200</v>
      </c>
      <c r="H189" s="13"/>
      <c r="I189" s="13" t="s">
        <v>702</v>
      </c>
      <c r="J189" s="13"/>
      <c r="K189" s="13" t="s">
        <v>703</v>
      </c>
      <c r="L189" s="13" t="s">
        <v>1126</v>
      </c>
      <c r="M189" s="13" t="s">
        <v>221</v>
      </c>
      <c r="N189" s="13" t="s">
        <v>439</v>
      </c>
      <c r="O189" s="13" t="s">
        <v>224</v>
      </c>
      <c r="P189" s="13" t="s">
        <v>1127</v>
      </c>
    </row>
    <row r="190" ht="28.5" customHeight="1">
      <c r="A190" s="41">
        <v>42773.0</v>
      </c>
      <c r="B190" s="16" t="s">
        <v>1118</v>
      </c>
      <c r="C190" s="13" t="s">
        <v>1119</v>
      </c>
      <c r="D190" s="13" t="s">
        <v>1121</v>
      </c>
      <c r="E190" s="16" t="s">
        <v>244</v>
      </c>
      <c r="F190" s="13">
        <v>3.0</v>
      </c>
      <c r="G190" s="13" t="s">
        <v>508</v>
      </c>
      <c r="H190" s="13" t="s">
        <v>1128</v>
      </c>
      <c r="I190" s="13" t="s">
        <v>1129</v>
      </c>
      <c r="J190" s="13" t="s">
        <v>511</v>
      </c>
      <c r="K190" s="13" t="s">
        <v>236</v>
      </c>
      <c r="L190" s="13"/>
      <c r="M190" s="13" t="s">
        <v>550</v>
      </c>
      <c r="N190" s="13" t="s">
        <v>221</v>
      </c>
      <c r="O190" s="13" t="s">
        <v>224</v>
      </c>
      <c r="P190" s="13" t="s">
        <v>1127</v>
      </c>
    </row>
    <row r="191" ht="28.5" customHeight="1">
      <c r="A191" s="41">
        <v>42769.0</v>
      </c>
      <c r="B191" s="16" t="s">
        <v>194</v>
      </c>
      <c r="C191" s="16" t="s">
        <v>195</v>
      </c>
      <c r="D191" s="16" t="s">
        <v>196</v>
      </c>
      <c r="E191" s="16" t="s">
        <v>25</v>
      </c>
      <c r="F191" s="13">
        <v>3.0</v>
      </c>
      <c r="G191" s="13" t="s">
        <v>217</v>
      </c>
      <c r="H191" s="13"/>
      <c r="I191" s="13"/>
      <c r="J191" s="13"/>
      <c r="K191" s="13"/>
      <c r="L191" s="13" t="s">
        <v>795</v>
      </c>
      <c r="M191" s="13" t="s">
        <v>221</v>
      </c>
      <c r="N191" s="13" t="s">
        <v>276</v>
      </c>
      <c r="O191" s="13" t="s">
        <v>224</v>
      </c>
      <c r="P191" s="13" t="s">
        <v>1130</v>
      </c>
    </row>
    <row r="192" ht="28.5" customHeight="1">
      <c r="A192" s="41">
        <v>42769.0</v>
      </c>
      <c r="B192" s="16" t="s">
        <v>194</v>
      </c>
      <c r="C192" s="16" t="s">
        <v>195</v>
      </c>
      <c r="D192" s="16" t="s">
        <v>196</v>
      </c>
      <c r="E192" s="16" t="s">
        <v>25</v>
      </c>
      <c r="F192" s="13">
        <v>3.0</v>
      </c>
      <c r="G192" s="13" t="s">
        <v>217</v>
      </c>
      <c r="H192" s="13"/>
      <c r="I192" s="13"/>
      <c r="J192" s="13"/>
      <c r="K192" s="13"/>
      <c r="L192" s="13" t="s">
        <v>236</v>
      </c>
      <c r="M192" s="13" t="s">
        <v>221</v>
      </c>
      <c r="N192" s="13" t="s">
        <v>864</v>
      </c>
      <c r="O192" s="13" t="s">
        <v>224</v>
      </c>
      <c r="P192" s="13" t="s">
        <v>1132</v>
      </c>
    </row>
    <row r="193" ht="28.5" customHeight="1">
      <c r="A193" s="41">
        <v>42769.0</v>
      </c>
      <c r="B193" s="16" t="s">
        <v>194</v>
      </c>
      <c r="C193" s="16" t="s">
        <v>195</v>
      </c>
      <c r="D193" s="16" t="s">
        <v>196</v>
      </c>
      <c r="E193" s="16" t="s">
        <v>25</v>
      </c>
      <c r="F193" s="13">
        <v>3.0</v>
      </c>
      <c r="G193" s="13" t="s">
        <v>217</v>
      </c>
      <c r="H193" s="13"/>
      <c r="I193" s="13"/>
      <c r="J193" s="13"/>
      <c r="K193" s="13"/>
      <c r="L193" s="13" t="s">
        <v>1133</v>
      </c>
      <c r="M193" s="13" t="s">
        <v>221</v>
      </c>
      <c r="N193" s="13" t="s">
        <v>276</v>
      </c>
      <c r="O193" s="13" t="s">
        <v>224</v>
      </c>
      <c r="P193" s="13" t="s">
        <v>1134</v>
      </c>
    </row>
    <row r="194" ht="28.5" customHeight="1">
      <c r="A194" s="41">
        <v>42769.0</v>
      </c>
      <c r="B194" s="16" t="s">
        <v>194</v>
      </c>
      <c r="C194" s="16" t="s">
        <v>195</v>
      </c>
      <c r="D194" s="16" t="s">
        <v>196</v>
      </c>
      <c r="E194" s="16" t="s">
        <v>25</v>
      </c>
      <c r="F194" s="13">
        <v>3.0</v>
      </c>
      <c r="G194" s="13" t="s">
        <v>217</v>
      </c>
      <c r="H194" s="13"/>
      <c r="I194" s="13"/>
      <c r="J194" s="13"/>
      <c r="K194" s="13" t="s">
        <v>1140</v>
      </c>
      <c r="L194" s="13"/>
      <c r="M194" s="13" t="s">
        <v>585</v>
      </c>
      <c r="N194" s="13"/>
      <c r="O194" s="13" t="s">
        <v>224</v>
      </c>
      <c r="P194" s="13" t="s">
        <v>1141</v>
      </c>
    </row>
    <row r="195" ht="28.5" customHeight="1">
      <c r="A195" s="41">
        <v>42769.0</v>
      </c>
      <c r="B195" s="16" t="s">
        <v>194</v>
      </c>
      <c r="C195" s="16" t="s">
        <v>195</v>
      </c>
      <c r="D195" s="16" t="s">
        <v>196</v>
      </c>
      <c r="E195" s="16" t="s">
        <v>25</v>
      </c>
      <c r="F195" s="13">
        <v>3.0</v>
      </c>
      <c r="G195" s="13" t="s">
        <v>217</v>
      </c>
      <c r="H195" s="13"/>
      <c r="I195" s="13"/>
      <c r="J195" s="13"/>
      <c r="K195" s="13"/>
      <c r="L195" s="13" t="s">
        <v>804</v>
      </c>
      <c r="M195" s="13" t="s">
        <v>221</v>
      </c>
      <c r="N195" s="13" t="s">
        <v>224</v>
      </c>
      <c r="O195" s="13" t="s">
        <v>224</v>
      </c>
      <c r="P195" s="13" t="s">
        <v>1150</v>
      </c>
    </row>
    <row r="196" ht="28.5" customHeight="1">
      <c r="A196" s="41">
        <v>42769.0</v>
      </c>
      <c r="B196" s="16" t="s">
        <v>194</v>
      </c>
      <c r="C196" s="16" t="s">
        <v>195</v>
      </c>
      <c r="D196" s="16" t="s">
        <v>196</v>
      </c>
      <c r="E196" s="16" t="s">
        <v>25</v>
      </c>
      <c r="F196" s="13">
        <v>3.0</v>
      </c>
      <c r="G196" s="13" t="s">
        <v>217</v>
      </c>
      <c r="L196" s="13" t="s">
        <v>236</v>
      </c>
      <c r="M196" s="13" t="s">
        <v>221</v>
      </c>
      <c r="N196" s="13" t="s">
        <v>585</v>
      </c>
      <c r="O196" s="13" t="s">
        <v>224</v>
      </c>
      <c r="P196" s="13" t="s">
        <v>1151</v>
      </c>
    </row>
    <row r="197" ht="28.5" customHeight="1">
      <c r="A197" s="41">
        <v>42769.0</v>
      </c>
      <c r="B197" s="16" t="s">
        <v>194</v>
      </c>
      <c r="C197" s="16" t="s">
        <v>195</v>
      </c>
      <c r="D197" s="16" t="s">
        <v>196</v>
      </c>
      <c r="E197" s="16" t="s">
        <v>25</v>
      </c>
      <c r="F197" s="13">
        <v>3.0</v>
      </c>
      <c r="G197" s="13" t="s">
        <v>217</v>
      </c>
      <c r="L197" s="13" t="s">
        <v>517</v>
      </c>
      <c r="M197" s="13" t="s">
        <v>221</v>
      </c>
      <c r="N197" s="13" t="s">
        <v>256</v>
      </c>
      <c r="O197" s="13" t="s">
        <v>224</v>
      </c>
      <c r="P197" s="13" t="s">
        <v>1154</v>
      </c>
    </row>
    <row r="198" ht="28.5" customHeight="1">
      <c r="A198" s="42">
        <v>42772.0</v>
      </c>
      <c r="B198" s="16" t="s">
        <v>139</v>
      </c>
      <c r="C198" s="13" t="s">
        <v>341</v>
      </c>
      <c r="D198" s="13" t="s">
        <v>1155</v>
      </c>
      <c r="E198" s="16" t="s">
        <v>826</v>
      </c>
      <c r="F198" s="13">
        <v>3.0</v>
      </c>
      <c r="G198" s="13" t="s">
        <v>217</v>
      </c>
      <c r="K198" s="13" t="s">
        <v>884</v>
      </c>
      <c r="M198" s="13" t="s">
        <v>233</v>
      </c>
      <c r="O198" s="13" t="s">
        <v>224</v>
      </c>
      <c r="P198" s="13" t="s">
        <v>1156</v>
      </c>
    </row>
    <row r="199" ht="28.5" customHeight="1">
      <c r="A199" s="43">
        <v>42773.0</v>
      </c>
      <c r="B199" s="16" t="s">
        <v>1160</v>
      </c>
      <c r="C199" s="13" t="s">
        <v>1162</v>
      </c>
      <c r="D199" s="13" t="s">
        <v>1163</v>
      </c>
      <c r="E199" s="16" t="s">
        <v>935</v>
      </c>
      <c r="F199" s="13">
        <v>3.0</v>
      </c>
      <c r="G199" s="13" t="s">
        <v>269</v>
      </c>
      <c r="H199" s="66" t="s">
        <v>1164</v>
      </c>
      <c r="I199" s="13" t="s">
        <v>1190</v>
      </c>
      <c r="J199" s="13" t="s">
        <v>511</v>
      </c>
      <c r="K199" s="13" t="s">
        <v>1164</v>
      </c>
      <c r="L199" s="13" t="s">
        <v>219</v>
      </c>
      <c r="M199" s="13" t="s">
        <v>1164</v>
      </c>
      <c r="N199" s="13" t="s">
        <v>219</v>
      </c>
      <c r="O199" s="13" t="s">
        <v>224</v>
      </c>
      <c r="P199" s="13" t="s">
        <v>1192</v>
      </c>
    </row>
    <row r="200" ht="28.5" customHeight="1">
      <c r="A200" s="43">
        <v>42773.0</v>
      </c>
      <c r="B200" s="16" t="s">
        <v>1002</v>
      </c>
      <c r="C200" s="16" t="s">
        <v>195</v>
      </c>
      <c r="D200" s="16" t="s">
        <v>1003</v>
      </c>
      <c r="E200" s="16" t="s">
        <v>268</v>
      </c>
      <c r="F200" s="13">
        <v>3.0</v>
      </c>
      <c r="G200" s="13" t="s">
        <v>217</v>
      </c>
      <c r="K200" s="13" t="s">
        <v>221</v>
      </c>
      <c r="L200" s="13" t="s">
        <v>276</v>
      </c>
      <c r="N200" s="13" t="s">
        <v>1193</v>
      </c>
      <c r="O200" s="13" t="s">
        <v>657</v>
      </c>
      <c r="P200" s="13" t="s">
        <v>1194</v>
      </c>
    </row>
    <row r="201" ht="28.5" customHeight="1">
      <c r="A201" s="11">
        <v>42769.0</v>
      </c>
      <c r="B201" s="13" t="s">
        <v>1007</v>
      </c>
      <c r="C201" s="13" t="s">
        <v>1008</v>
      </c>
      <c r="D201" s="13" t="s">
        <v>1009</v>
      </c>
      <c r="E201" s="13" t="s">
        <v>244</v>
      </c>
      <c r="F201" s="13">
        <v>4.0</v>
      </c>
      <c r="G201" s="13" t="s">
        <v>200</v>
      </c>
      <c r="H201" s="13" t="s">
        <v>1195</v>
      </c>
      <c r="I201" s="13" t="s">
        <v>730</v>
      </c>
      <c r="K201" s="13" t="s">
        <v>730</v>
      </c>
      <c r="L201" s="13" t="s">
        <v>205</v>
      </c>
      <c r="M201" s="13" t="s">
        <v>213</v>
      </c>
      <c r="N201" s="13" t="s">
        <v>205</v>
      </c>
      <c r="O201" s="13" t="s">
        <v>209</v>
      </c>
      <c r="P201" s="13" t="s">
        <v>210</v>
      </c>
    </row>
    <row r="202" ht="28.5" customHeight="1">
      <c r="A202" s="68">
        <v>42772.0</v>
      </c>
      <c r="B202" s="34" t="s">
        <v>1203</v>
      </c>
      <c r="C202" s="26" t="s">
        <v>1205</v>
      </c>
      <c r="D202" s="26" t="s">
        <v>1206</v>
      </c>
      <c r="E202" s="34" t="s">
        <v>1207</v>
      </c>
      <c r="F202" s="69">
        <v>4.0</v>
      </c>
      <c r="G202" s="69">
        <v>27.267213</v>
      </c>
      <c r="H202" s="69">
        <v>-82.558252</v>
      </c>
      <c r="I202" s="26" t="s">
        <v>217</v>
      </c>
      <c r="J202" s="26"/>
      <c r="K202" s="38" t="s">
        <v>205</v>
      </c>
      <c r="L202" s="38" t="s">
        <v>1208</v>
      </c>
      <c r="M202" s="38" t="s">
        <v>205</v>
      </c>
      <c r="N202" s="38" t="s">
        <v>1209</v>
      </c>
      <c r="O202" s="38" t="s">
        <v>209</v>
      </c>
      <c r="P202" s="38" t="s">
        <v>1210</v>
      </c>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c r="BC202" s="38"/>
      <c r="BD202" s="38"/>
      <c r="BE202" s="38"/>
      <c r="BF202" s="38"/>
      <c r="BG202" s="38"/>
      <c r="BH202" s="38"/>
      <c r="BI202" s="38"/>
    </row>
    <row r="203" ht="28.5" customHeight="1">
      <c r="A203" s="42">
        <v>42769.0</v>
      </c>
      <c r="B203" s="16" t="s">
        <v>139</v>
      </c>
      <c r="C203" s="13" t="s">
        <v>250</v>
      </c>
      <c r="D203" s="13" t="s">
        <v>251</v>
      </c>
      <c r="E203" s="16" t="s">
        <v>25</v>
      </c>
      <c r="F203" s="13">
        <v>4.0</v>
      </c>
      <c r="G203" s="13" t="s">
        <v>217</v>
      </c>
      <c r="H203" s="13"/>
      <c r="I203" s="13"/>
      <c r="J203" s="13"/>
      <c r="K203" s="13"/>
      <c r="L203" s="13" t="s">
        <v>224</v>
      </c>
      <c r="M203" s="13" t="s">
        <v>221</v>
      </c>
      <c r="N203" s="13" t="s">
        <v>279</v>
      </c>
      <c r="O203" s="13" t="s">
        <v>224</v>
      </c>
      <c r="P203" s="13"/>
    </row>
    <row r="204" ht="28.5" customHeight="1">
      <c r="A204" s="42">
        <v>42769.0</v>
      </c>
      <c r="B204" s="16" t="s">
        <v>139</v>
      </c>
      <c r="C204" s="13" t="s">
        <v>250</v>
      </c>
      <c r="D204" s="13" t="s">
        <v>251</v>
      </c>
      <c r="E204" s="16" t="s">
        <v>25</v>
      </c>
      <c r="F204" s="13">
        <v>4.0</v>
      </c>
      <c r="G204" s="13" t="s">
        <v>217</v>
      </c>
      <c r="H204" s="13"/>
      <c r="I204" s="13"/>
      <c r="J204" s="13"/>
      <c r="K204" s="13"/>
      <c r="L204" s="13" t="s">
        <v>296</v>
      </c>
      <c r="M204" s="13" t="s">
        <v>221</v>
      </c>
      <c r="N204" s="13" t="s">
        <v>236</v>
      </c>
      <c r="O204" s="13" t="s">
        <v>224</v>
      </c>
      <c r="P204" s="13"/>
    </row>
    <row r="205" ht="28.5" customHeight="1">
      <c r="A205" s="42">
        <v>42769.0</v>
      </c>
      <c r="B205" s="16" t="s">
        <v>139</v>
      </c>
      <c r="C205" s="13" t="s">
        <v>250</v>
      </c>
      <c r="D205" s="13" t="s">
        <v>251</v>
      </c>
      <c r="E205" s="16" t="s">
        <v>25</v>
      </c>
      <c r="F205" s="13">
        <v>4.0</v>
      </c>
      <c r="G205" s="13" t="s">
        <v>217</v>
      </c>
      <c r="H205" s="13"/>
      <c r="I205" s="13"/>
      <c r="J205" s="13"/>
      <c r="K205" s="13" t="s">
        <v>221</v>
      </c>
      <c r="L205" s="13" t="s">
        <v>256</v>
      </c>
      <c r="N205" s="13" t="s">
        <v>291</v>
      </c>
      <c r="O205" s="13" t="s">
        <v>224</v>
      </c>
      <c r="P205" s="13"/>
    </row>
    <row r="206" ht="28.5" customHeight="1">
      <c r="A206" s="41">
        <v>42769.0</v>
      </c>
      <c r="B206" s="16" t="s">
        <v>85</v>
      </c>
      <c r="C206" s="16" t="s">
        <v>86</v>
      </c>
      <c r="D206" s="16" t="s">
        <v>87</v>
      </c>
      <c r="E206" s="16" t="s">
        <v>25</v>
      </c>
      <c r="F206" s="13">
        <v>4.0</v>
      </c>
      <c r="G206" s="13" t="s">
        <v>217</v>
      </c>
      <c r="H206" s="13"/>
      <c r="I206" s="13"/>
      <c r="K206" s="13"/>
      <c r="L206" s="13" t="s">
        <v>1215</v>
      </c>
      <c r="M206" s="13" t="s">
        <v>221</v>
      </c>
      <c r="N206" s="13" t="s">
        <v>256</v>
      </c>
      <c r="O206" s="13" t="s">
        <v>224</v>
      </c>
      <c r="P206" s="13"/>
    </row>
    <row r="207" ht="28.5" customHeight="1">
      <c r="A207" s="41">
        <v>42769.0</v>
      </c>
      <c r="B207" s="16" t="s">
        <v>85</v>
      </c>
      <c r="C207" s="16" t="s">
        <v>86</v>
      </c>
      <c r="D207" s="16" t="s">
        <v>87</v>
      </c>
      <c r="E207" s="16" t="s">
        <v>25</v>
      </c>
      <c r="F207" s="13">
        <v>4.0</v>
      </c>
      <c r="G207" s="13" t="s">
        <v>217</v>
      </c>
      <c r="L207" s="13" t="s">
        <v>1217</v>
      </c>
      <c r="M207" s="13" t="s">
        <v>221</v>
      </c>
      <c r="N207" s="13" t="s">
        <v>276</v>
      </c>
      <c r="O207" s="13" t="s">
        <v>224</v>
      </c>
      <c r="P207" s="13"/>
    </row>
    <row r="208" ht="28.5" customHeight="1">
      <c r="A208" s="41">
        <v>42773.0</v>
      </c>
      <c r="B208" s="16" t="s">
        <v>305</v>
      </c>
      <c r="C208" s="16" t="s">
        <v>309</v>
      </c>
      <c r="D208" s="16" t="s">
        <v>311</v>
      </c>
      <c r="E208" s="16" t="s">
        <v>312</v>
      </c>
      <c r="F208" s="13">
        <v>4.0</v>
      </c>
      <c r="G208" s="13" t="s">
        <v>217</v>
      </c>
      <c r="K208" s="13"/>
      <c r="L208" s="13" t="s">
        <v>1218</v>
      </c>
      <c r="M208" s="13" t="s">
        <v>221</v>
      </c>
      <c r="N208" s="13" t="s">
        <v>1220</v>
      </c>
      <c r="O208" s="13"/>
      <c r="P208" s="13"/>
    </row>
    <row r="209" ht="28.5" customHeight="1">
      <c r="A209" s="41">
        <v>42773.0</v>
      </c>
      <c r="B209" s="16" t="s">
        <v>305</v>
      </c>
      <c r="C209" s="16" t="s">
        <v>309</v>
      </c>
      <c r="D209" s="16" t="s">
        <v>311</v>
      </c>
      <c r="E209" s="16" t="s">
        <v>312</v>
      </c>
      <c r="F209" s="13">
        <v>4.0</v>
      </c>
      <c r="G209" s="13" t="s">
        <v>217</v>
      </c>
      <c r="K209" s="13"/>
      <c r="L209" s="13" t="s">
        <v>1034</v>
      </c>
      <c r="M209" s="13" t="s">
        <v>221</v>
      </c>
      <c r="N209" s="13" t="s">
        <v>1027</v>
      </c>
      <c r="O209" s="13"/>
      <c r="P209" s="13" t="s">
        <v>1028</v>
      </c>
    </row>
    <row r="210" ht="28.5" customHeight="1">
      <c r="A210" s="41">
        <v>42773.0</v>
      </c>
      <c r="B210" s="16" t="s">
        <v>305</v>
      </c>
      <c r="C210" s="16" t="s">
        <v>309</v>
      </c>
      <c r="D210" s="16" t="s">
        <v>311</v>
      </c>
      <c r="E210" s="16" t="s">
        <v>312</v>
      </c>
      <c r="F210" s="13">
        <v>4.0</v>
      </c>
      <c r="G210" s="13" t="s">
        <v>217</v>
      </c>
      <c r="K210" s="13" t="s">
        <v>221</v>
      </c>
      <c r="L210" s="13" t="s">
        <v>256</v>
      </c>
      <c r="M210" s="13"/>
      <c r="N210" s="13" t="s">
        <v>1225</v>
      </c>
      <c r="O210" s="13"/>
      <c r="P210" s="13"/>
    </row>
    <row r="211" ht="28.5" customHeight="1">
      <c r="A211" s="41">
        <v>42773.0</v>
      </c>
      <c r="B211" s="16" t="s">
        <v>305</v>
      </c>
      <c r="C211" s="16" t="s">
        <v>309</v>
      </c>
      <c r="D211" s="16" t="s">
        <v>311</v>
      </c>
      <c r="E211" s="16" t="s">
        <v>312</v>
      </c>
      <c r="F211" s="13">
        <v>4.0</v>
      </c>
      <c r="G211" s="13" t="s">
        <v>217</v>
      </c>
      <c r="K211" s="13"/>
      <c r="L211" s="13" t="s">
        <v>224</v>
      </c>
      <c r="M211" s="13" t="s">
        <v>221</v>
      </c>
      <c r="N211" s="13" t="s">
        <v>1229</v>
      </c>
      <c r="O211" s="13"/>
      <c r="P211" s="13"/>
    </row>
    <row r="212" ht="28.5" customHeight="1">
      <c r="A212" s="11">
        <v>42771.0</v>
      </c>
      <c r="B212" s="13" t="s">
        <v>316</v>
      </c>
      <c r="C212" s="16" t="s">
        <v>317</v>
      </c>
      <c r="D212" s="16" t="s">
        <v>318</v>
      </c>
      <c r="E212" s="16" t="s">
        <v>230</v>
      </c>
      <c r="F212" s="13">
        <v>4.0</v>
      </c>
      <c r="G212" s="13" t="s">
        <v>217</v>
      </c>
      <c r="L212" s="13" t="s">
        <v>236</v>
      </c>
      <c r="M212" s="13" t="s">
        <v>221</v>
      </c>
      <c r="N212" s="13" t="s">
        <v>575</v>
      </c>
      <c r="O212" s="13" t="s">
        <v>224</v>
      </c>
      <c r="P212" s="13" t="s">
        <v>324</v>
      </c>
    </row>
    <row r="213" ht="28.5" customHeight="1">
      <c r="A213" s="11">
        <v>42771.0</v>
      </c>
      <c r="B213" s="13" t="s">
        <v>316</v>
      </c>
      <c r="C213" s="16" t="s">
        <v>317</v>
      </c>
      <c r="D213" s="16" t="s">
        <v>318</v>
      </c>
      <c r="E213" s="16" t="s">
        <v>230</v>
      </c>
      <c r="F213" s="13">
        <v>4.0</v>
      </c>
      <c r="G213" s="13" t="s">
        <v>217</v>
      </c>
      <c r="L213" s="13" t="s">
        <v>236</v>
      </c>
      <c r="M213" s="13" t="s">
        <v>221</v>
      </c>
      <c r="N213" s="13" t="s">
        <v>1133</v>
      </c>
      <c r="O213" s="13" t="s">
        <v>224</v>
      </c>
      <c r="P213" s="13" t="s">
        <v>319</v>
      </c>
    </row>
    <row r="214" ht="28.5" customHeight="1">
      <c r="A214" s="41">
        <v>42773.0</v>
      </c>
      <c r="B214" s="16" t="s">
        <v>110</v>
      </c>
      <c r="C214" s="16" t="s">
        <v>514</v>
      </c>
      <c r="D214" s="16" t="s">
        <v>1076</v>
      </c>
      <c r="E214" s="16" t="s">
        <v>268</v>
      </c>
      <c r="F214" s="13">
        <v>4.0</v>
      </c>
      <c r="G214" s="13" t="s">
        <v>269</v>
      </c>
      <c r="H214" s="13">
        <v>74.0</v>
      </c>
      <c r="I214" s="13" t="s">
        <v>270</v>
      </c>
      <c r="J214" s="13" t="s">
        <v>271</v>
      </c>
      <c r="K214" s="13" t="s">
        <v>222</v>
      </c>
      <c r="L214" s="13"/>
      <c r="M214" s="13" t="s">
        <v>222</v>
      </c>
      <c r="N214" s="13" t="s">
        <v>221</v>
      </c>
      <c r="O214" s="13" t="s">
        <v>224</v>
      </c>
      <c r="P214" s="13" t="s">
        <v>1078</v>
      </c>
    </row>
    <row r="215" ht="28.5" customHeight="1">
      <c r="A215" s="41">
        <v>42772.0</v>
      </c>
      <c r="B215" s="16" t="s">
        <v>876</v>
      </c>
      <c r="C215" s="16" t="s">
        <v>514</v>
      </c>
      <c r="D215" s="13" t="s">
        <v>877</v>
      </c>
      <c r="E215" s="16" t="s">
        <v>826</v>
      </c>
      <c r="F215" s="13">
        <v>4.0</v>
      </c>
      <c r="G215" s="13" t="s">
        <v>217</v>
      </c>
      <c r="I215" s="13"/>
      <c r="J215" s="13"/>
      <c r="K215" s="13" t="s">
        <v>1233</v>
      </c>
      <c r="L215" s="13"/>
      <c r="M215" s="13" t="s">
        <v>500</v>
      </c>
      <c r="N215" s="13"/>
      <c r="O215" s="13" t="s">
        <v>224</v>
      </c>
      <c r="P215" s="13"/>
    </row>
    <row r="216" ht="28.5" customHeight="1">
      <c r="A216" s="41">
        <v>42774.0</v>
      </c>
      <c r="B216" s="16" t="s">
        <v>505</v>
      </c>
      <c r="C216" s="16" t="s">
        <v>506</v>
      </c>
      <c r="D216" s="16" t="s">
        <v>507</v>
      </c>
      <c r="E216" s="16" t="s">
        <v>268</v>
      </c>
      <c r="F216" s="13">
        <v>4.0</v>
      </c>
      <c r="G216" s="13" t="s">
        <v>200</v>
      </c>
      <c r="H216" s="13">
        <v>622.0</v>
      </c>
      <c r="I216" s="13" t="s">
        <v>741</v>
      </c>
      <c r="J216" s="13" t="s">
        <v>511</v>
      </c>
      <c r="K216" s="13" t="s">
        <v>221</v>
      </c>
      <c r="L216" s="13"/>
      <c r="M216" s="13" t="s">
        <v>1235</v>
      </c>
      <c r="N216" s="13"/>
      <c r="O216" s="13" t="s">
        <v>224</v>
      </c>
    </row>
    <row r="217" ht="28.5" customHeight="1">
      <c r="A217" s="41">
        <v>42769.0</v>
      </c>
      <c r="B217" s="16" t="s">
        <v>165</v>
      </c>
      <c r="C217" s="13" t="s">
        <v>166</v>
      </c>
      <c r="D217" s="13" t="s">
        <v>1239</v>
      </c>
      <c r="E217" s="16" t="s">
        <v>25</v>
      </c>
      <c r="F217" s="13">
        <v>4.0</v>
      </c>
      <c r="G217" s="13" t="s">
        <v>200</v>
      </c>
      <c r="H217" s="13" t="s">
        <v>1240</v>
      </c>
      <c r="I217" s="13" t="s">
        <v>741</v>
      </c>
      <c r="J217" s="13" t="s">
        <v>511</v>
      </c>
      <c r="K217" s="13" t="s">
        <v>1235</v>
      </c>
      <c r="L217" s="13" t="s">
        <v>575</v>
      </c>
      <c r="M217" s="13" t="s">
        <v>221</v>
      </c>
      <c r="N217" s="13" t="s">
        <v>1241</v>
      </c>
      <c r="O217" s="13" t="s">
        <v>224</v>
      </c>
    </row>
    <row r="218" ht="28.5" customHeight="1">
      <c r="A218" s="41">
        <v>42769.0</v>
      </c>
      <c r="B218" s="16" t="s">
        <v>165</v>
      </c>
      <c r="C218" s="13" t="s">
        <v>166</v>
      </c>
      <c r="D218" s="13" t="s">
        <v>1239</v>
      </c>
      <c r="E218" s="16" t="s">
        <v>25</v>
      </c>
      <c r="F218" s="13">
        <v>4.0</v>
      </c>
      <c r="G218" s="13" t="s">
        <v>200</v>
      </c>
      <c r="H218" s="13" t="s">
        <v>1243</v>
      </c>
      <c r="I218" s="13" t="s">
        <v>1244</v>
      </c>
      <c r="J218" s="13"/>
      <c r="K218" s="13" t="s">
        <v>439</v>
      </c>
      <c r="L218" s="13" t="s">
        <v>224</v>
      </c>
      <c r="M218" s="13" t="s">
        <v>221</v>
      </c>
      <c r="N218" s="13" t="s">
        <v>530</v>
      </c>
      <c r="O218" s="13" t="s">
        <v>224</v>
      </c>
      <c r="P218" s="13"/>
    </row>
    <row r="219" ht="28.5" customHeight="1">
      <c r="A219" s="41">
        <v>42769.0</v>
      </c>
      <c r="B219" s="16" t="s">
        <v>194</v>
      </c>
      <c r="C219" s="16" t="s">
        <v>195</v>
      </c>
      <c r="D219" s="16" t="s">
        <v>196</v>
      </c>
      <c r="E219" s="16" t="s">
        <v>25</v>
      </c>
      <c r="F219" s="13">
        <v>4.0</v>
      </c>
      <c r="G219" s="13" t="s">
        <v>217</v>
      </c>
      <c r="K219" s="13" t="s">
        <v>1251</v>
      </c>
      <c r="M219" s="13" t="s">
        <v>252</v>
      </c>
      <c r="O219" s="13" t="s">
        <v>224</v>
      </c>
      <c r="P219" s="13" t="s">
        <v>1252</v>
      </c>
    </row>
    <row r="220" ht="28.5" customHeight="1">
      <c r="A220" s="41">
        <v>42769.0</v>
      </c>
      <c r="B220" s="16" t="s">
        <v>194</v>
      </c>
      <c r="C220" s="16" t="s">
        <v>195</v>
      </c>
      <c r="D220" s="16" t="s">
        <v>196</v>
      </c>
      <c r="E220" s="16" t="s">
        <v>25</v>
      </c>
      <c r="F220" s="13">
        <v>4.0</v>
      </c>
      <c r="G220" s="13" t="s">
        <v>217</v>
      </c>
      <c r="K220" s="13" t="s">
        <v>221</v>
      </c>
      <c r="L220" s="13" t="s">
        <v>276</v>
      </c>
      <c r="N220" s="13" t="s">
        <v>330</v>
      </c>
      <c r="O220" s="13" t="s">
        <v>224</v>
      </c>
      <c r="P220" s="13" t="s">
        <v>1255</v>
      </c>
    </row>
    <row r="221">
      <c r="A221" s="42">
        <v>42772.0</v>
      </c>
      <c r="B221" s="16" t="s">
        <v>139</v>
      </c>
      <c r="C221" s="13" t="s">
        <v>341</v>
      </c>
      <c r="D221" s="13" t="s">
        <v>1155</v>
      </c>
      <c r="E221" s="16" t="s">
        <v>826</v>
      </c>
      <c r="F221" s="13">
        <v>4.0</v>
      </c>
      <c r="G221" s="13" t="s">
        <v>217</v>
      </c>
      <c r="K221" s="13" t="s">
        <v>1259</v>
      </c>
      <c r="M221" s="13" t="s">
        <v>1233</v>
      </c>
      <c r="O221" s="13" t="s">
        <v>224</v>
      </c>
      <c r="P221" s="13" t="s">
        <v>1261</v>
      </c>
    </row>
    <row r="222" ht="28.5" customHeight="1">
      <c r="A222" s="42">
        <v>42772.0</v>
      </c>
      <c r="B222" s="16" t="s">
        <v>139</v>
      </c>
      <c r="C222" s="13" t="s">
        <v>341</v>
      </c>
      <c r="D222" s="13" t="s">
        <v>1155</v>
      </c>
      <c r="E222" s="16" t="s">
        <v>826</v>
      </c>
      <c r="F222" s="13">
        <v>4.0</v>
      </c>
      <c r="G222" s="13" t="s">
        <v>217</v>
      </c>
      <c r="K222" s="13" t="s">
        <v>1262</v>
      </c>
      <c r="M222" s="13" t="s">
        <v>1262</v>
      </c>
      <c r="O222" s="13" t="s">
        <v>247</v>
      </c>
      <c r="P222" s="13" t="s">
        <v>1265</v>
      </c>
    </row>
    <row r="223" ht="28.5" customHeight="1">
      <c r="A223" s="41">
        <v>42771.0</v>
      </c>
      <c r="B223" s="16" t="s">
        <v>596</v>
      </c>
      <c r="C223" s="16" t="s">
        <v>597</v>
      </c>
      <c r="D223" s="16" t="s">
        <v>598</v>
      </c>
      <c r="E223" s="16" t="s">
        <v>230</v>
      </c>
      <c r="F223" s="13">
        <v>4.0</v>
      </c>
      <c r="G223" s="13" t="s">
        <v>200</v>
      </c>
      <c r="H223" s="13" t="s">
        <v>1269</v>
      </c>
      <c r="I223" s="13" t="s">
        <v>669</v>
      </c>
      <c r="J223" s="13" t="s">
        <v>366</v>
      </c>
      <c r="K223" s="13" t="s">
        <v>221</v>
      </c>
      <c r="M223" s="13" t="s">
        <v>1270</v>
      </c>
      <c r="O223" s="13" t="s">
        <v>224</v>
      </c>
    </row>
    <row r="224" ht="28.5" customHeight="1">
      <c r="A224" s="41">
        <v>42771.0</v>
      </c>
      <c r="B224" s="16" t="s">
        <v>596</v>
      </c>
      <c r="C224" s="16" t="s">
        <v>597</v>
      </c>
      <c r="D224" s="16" t="s">
        <v>598</v>
      </c>
      <c r="E224" s="16" t="s">
        <v>230</v>
      </c>
      <c r="F224" s="13">
        <v>4.0</v>
      </c>
      <c r="G224" s="13" t="s">
        <v>516</v>
      </c>
      <c r="H224" s="13" t="s">
        <v>1273</v>
      </c>
      <c r="I224" s="13" t="s">
        <v>684</v>
      </c>
      <c r="J224" s="13" t="s">
        <v>511</v>
      </c>
      <c r="L224" s="13" t="s">
        <v>330</v>
      </c>
      <c r="M224" s="13" t="s">
        <v>860</v>
      </c>
      <c r="N224" s="13" t="s">
        <v>1274</v>
      </c>
      <c r="O224" s="13" t="s">
        <v>224</v>
      </c>
    </row>
    <row r="225" ht="28.5" customHeight="1">
      <c r="A225" s="41">
        <v>42771.0</v>
      </c>
      <c r="B225" s="16" t="s">
        <v>596</v>
      </c>
      <c r="C225" s="16" t="s">
        <v>597</v>
      </c>
      <c r="D225" s="16" t="s">
        <v>598</v>
      </c>
      <c r="E225" s="16" t="s">
        <v>230</v>
      </c>
      <c r="F225" s="13">
        <v>4.0</v>
      </c>
      <c r="G225" s="13" t="s">
        <v>516</v>
      </c>
      <c r="H225" s="13" t="s">
        <v>1279</v>
      </c>
      <c r="I225" s="13" t="s">
        <v>684</v>
      </c>
      <c r="J225" s="13" t="s">
        <v>511</v>
      </c>
      <c r="L225" s="13" t="s">
        <v>599</v>
      </c>
      <c r="M225" s="13" t="s">
        <v>221</v>
      </c>
      <c r="N225" s="13" t="s">
        <v>330</v>
      </c>
      <c r="O225" s="13" t="s">
        <v>224</v>
      </c>
    </row>
    <row r="226" ht="28.5" customHeight="1">
      <c r="A226" s="43">
        <v>42773.0</v>
      </c>
      <c r="B226" s="16" t="s">
        <v>1160</v>
      </c>
      <c r="C226" s="13" t="s">
        <v>1162</v>
      </c>
      <c r="D226" s="13" t="s">
        <v>1163</v>
      </c>
      <c r="E226" s="16" t="s">
        <v>935</v>
      </c>
      <c r="F226" s="13">
        <v>4.0</v>
      </c>
      <c r="G226" s="13" t="s">
        <v>200</v>
      </c>
      <c r="I226" s="13" t="s">
        <v>211</v>
      </c>
      <c r="J226" s="13" t="s">
        <v>219</v>
      </c>
      <c r="K226" s="13" t="s">
        <v>211</v>
      </c>
      <c r="L226" s="13" t="s">
        <v>1288</v>
      </c>
      <c r="M226" s="13" t="s">
        <v>1289</v>
      </c>
      <c r="N226" s="13" t="s">
        <v>1290</v>
      </c>
      <c r="O226" s="13" t="s">
        <v>224</v>
      </c>
      <c r="P226" s="13" t="s">
        <v>1291</v>
      </c>
    </row>
    <row r="227" ht="28.5" customHeight="1">
      <c r="A227" s="41">
        <v>42772.0</v>
      </c>
      <c r="B227" s="16" t="s">
        <v>995</v>
      </c>
      <c r="C227" s="16" t="s">
        <v>612</v>
      </c>
      <c r="D227" s="16" t="s">
        <v>997</v>
      </c>
      <c r="E227" s="16" t="s">
        <v>615</v>
      </c>
      <c r="F227" s="13">
        <v>4.0</v>
      </c>
      <c r="G227" s="13" t="s">
        <v>617</v>
      </c>
      <c r="I227" s="13" t="s">
        <v>401</v>
      </c>
      <c r="N227" s="13" t="s">
        <v>401</v>
      </c>
      <c r="P227" s="13" t="s">
        <v>618</v>
      </c>
    </row>
    <row r="228" ht="28.5" customHeight="1">
      <c r="A228" s="43">
        <v>42773.0</v>
      </c>
      <c r="B228" s="16" t="s">
        <v>1002</v>
      </c>
      <c r="C228" s="16" t="s">
        <v>195</v>
      </c>
      <c r="D228" s="16" t="s">
        <v>1003</v>
      </c>
      <c r="E228" s="16" t="s">
        <v>268</v>
      </c>
      <c r="F228" s="13">
        <v>4.0</v>
      </c>
      <c r="G228" s="13" t="s">
        <v>200</v>
      </c>
      <c r="H228" s="13" t="s">
        <v>1293</v>
      </c>
      <c r="I228" s="13" t="s">
        <v>684</v>
      </c>
      <c r="K228" s="13" t="s">
        <v>1023</v>
      </c>
      <c r="L228" s="13" t="s">
        <v>322</v>
      </c>
      <c r="N228" s="13" t="s">
        <v>1295</v>
      </c>
      <c r="O228" s="13" t="s">
        <v>657</v>
      </c>
      <c r="P228" s="13" t="s">
        <v>1296</v>
      </c>
    </row>
    <row r="229" ht="28.5" customHeight="1">
      <c r="A229" s="43">
        <v>42773.0</v>
      </c>
      <c r="B229" s="16" t="s">
        <v>1002</v>
      </c>
      <c r="C229" s="16" t="s">
        <v>195</v>
      </c>
      <c r="D229" s="16" t="s">
        <v>1003</v>
      </c>
      <c r="E229" s="16" t="s">
        <v>268</v>
      </c>
      <c r="F229" s="13">
        <v>4.0</v>
      </c>
      <c r="G229" s="13" t="s">
        <v>508</v>
      </c>
      <c r="H229" s="13" t="s">
        <v>1293</v>
      </c>
      <c r="I229" s="13" t="s">
        <v>1301</v>
      </c>
      <c r="J229" s="13" t="s">
        <v>511</v>
      </c>
      <c r="K229" s="13" t="s">
        <v>1302</v>
      </c>
      <c r="N229" s="13" t="s">
        <v>221</v>
      </c>
      <c r="O229" s="13" t="s">
        <v>1303</v>
      </c>
      <c r="P229" s="13" t="s">
        <v>1304</v>
      </c>
    </row>
    <row r="230" ht="28.5" customHeight="1">
      <c r="A230" s="41">
        <v>42769.0</v>
      </c>
      <c r="B230" s="16" t="s">
        <v>139</v>
      </c>
      <c r="C230" s="13" t="s">
        <v>250</v>
      </c>
      <c r="D230" s="13" t="s">
        <v>158</v>
      </c>
      <c r="E230" s="16" t="s">
        <v>25</v>
      </c>
      <c r="F230" s="13">
        <v>5.0</v>
      </c>
      <c r="G230" s="13" t="s">
        <v>200</v>
      </c>
      <c r="H230" s="13" t="s">
        <v>1307</v>
      </c>
      <c r="I230" s="13" t="s">
        <v>1308</v>
      </c>
      <c r="J230" s="13" t="s">
        <v>1309</v>
      </c>
      <c r="K230" s="13" t="s">
        <v>1310</v>
      </c>
      <c r="L230" s="13" t="s">
        <v>575</v>
      </c>
      <c r="M230" s="13" t="s">
        <v>221</v>
      </c>
      <c r="N230" s="13" t="s">
        <v>767</v>
      </c>
      <c r="O230" s="13" t="s">
        <v>224</v>
      </c>
      <c r="P230" s="13"/>
    </row>
    <row r="231" ht="28.5" customHeight="1">
      <c r="A231" s="41">
        <v>42769.0</v>
      </c>
      <c r="B231" s="16" t="s">
        <v>85</v>
      </c>
      <c r="C231" s="16" t="s">
        <v>86</v>
      </c>
      <c r="D231" s="16" t="s">
        <v>87</v>
      </c>
      <c r="E231" s="16" t="s">
        <v>25</v>
      </c>
      <c r="F231" s="13">
        <v>5.0</v>
      </c>
      <c r="G231" s="13" t="s">
        <v>217</v>
      </c>
      <c r="K231" s="13"/>
      <c r="L231" s="13" t="s">
        <v>236</v>
      </c>
      <c r="M231" s="13" t="s">
        <v>221</v>
      </c>
      <c r="N231" s="13" t="s">
        <v>252</v>
      </c>
      <c r="O231" s="13" t="s">
        <v>224</v>
      </c>
      <c r="P231" s="13"/>
    </row>
    <row r="232" ht="28.5" customHeight="1">
      <c r="A232" s="41">
        <v>42769.0</v>
      </c>
      <c r="B232" s="16" t="s">
        <v>85</v>
      </c>
      <c r="C232" s="16" t="s">
        <v>86</v>
      </c>
      <c r="D232" s="16" t="s">
        <v>87</v>
      </c>
      <c r="E232" s="16" t="s">
        <v>25</v>
      </c>
      <c r="F232" s="13">
        <v>5.0</v>
      </c>
      <c r="G232" s="13" t="s">
        <v>217</v>
      </c>
      <c r="L232" s="13" t="s">
        <v>236</v>
      </c>
      <c r="M232" s="13" t="s">
        <v>221</v>
      </c>
      <c r="N232" s="13" t="s">
        <v>1315</v>
      </c>
      <c r="O232" s="13" t="s">
        <v>224</v>
      </c>
      <c r="P232" s="13"/>
    </row>
    <row r="233" ht="28.5" customHeight="1">
      <c r="A233" s="41">
        <v>42769.0</v>
      </c>
      <c r="B233" s="16" t="s">
        <v>85</v>
      </c>
      <c r="C233" s="16" t="s">
        <v>86</v>
      </c>
      <c r="D233" s="16" t="s">
        <v>87</v>
      </c>
      <c r="E233" s="16" t="s">
        <v>25</v>
      </c>
      <c r="F233" s="13">
        <v>5.0</v>
      </c>
      <c r="G233" s="13" t="s">
        <v>217</v>
      </c>
      <c r="K233" s="13" t="s">
        <v>221</v>
      </c>
      <c r="L233" s="13" t="s">
        <v>276</v>
      </c>
      <c r="M233" s="13"/>
      <c r="N233" s="13" t="s">
        <v>795</v>
      </c>
      <c r="O233" s="13" t="s">
        <v>224</v>
      </c>
      <c r="P233" s="13"/>
    </row>
    <row r="234" ht="28.5" customHeight="1">
      <c r="A234" s="41">
        <v>42769.0</v>
      </c>
      <c r="B234" s="16" t="s">
        <v>85</v>
      </c>
      <c r="C234" s="16" t="s">
        <v>86</v>
      </c>
      <c r="D234" s="16" t="s">
        <v>87</v>
      </c>
      <c r="E234" s="16" t="s">
        <v>25</v>
      </c>
      <c r="F234" s="13">
        <v>5.0</v>
      </c>
      <c r="G234" s="13" t="s">
        <v>217</v>
      </c>
      <c r="K234" s="13" t="s">
        <v>221</v>
      </c>
      <c r="L234" s="13" t="s">
        <v>256</v>
      </c>
      <c r="N234" s="13" t="s">
        <v>881</v>
      </c>
      <c r="O234" s="13" t="s">
        <v>224</v>
      </c>
      <c r="P234" s="13"/>
    </row>
    <row r="235" ht="28.5" customHeight="1">
      <c r="A235" s="41">
        <v>42773.0</v>
      </c>
      <c r="B235" s="16" t="s">
        <v>305</v>
      </c>
      <c r="C235" s="16" t="s">
        <v>309</v>
      </c>
      <c r="D235" s="16" t="s">
        <v>311</v>
      </c>
      <c r="E235" s="16" t="s">
        <v>312</v>
      </c>
      <c r="F235" s="13">
        <v>5.0</v>
      </c>
      <c r="G235" s="13" t="s">
        <v>217</v>
      </c>
      <c r="K235" s="13" t="s">
        <v>221</v>
      </c>
      <c r="L235" s="13" t="s">
        <v>256</v>
      </c>
      <c r="M235" s="13"/>
      <c r="N235" s="13" t="s">
        <v>1295</v>
      </c>
      <c r="O235" s="13"/>
      <c r="P235" s="13"/>
    </row>
    <row r="236" ht="28.5" customHeight="1">
      <c r="A236" s="41">
        <v>42773.0</v>
      </c>
      <c r="B236" s="16" t="s">
        <v>305</v>
      </c>
      <c r="C236" s="16" t="s">
        <v>309</v>
      </c>
      <c r="D236" s="16" t="s">
        <v>311</v>
      </c>
      <c r="E236" s="16" t="s">
        <v>312</v>
      </c>
      <c r="F236" s="13">
        <v>5.0</v>
      </c>
      <c r="G236" s="13" t="s">
        <v>217</v>
      </c>
      <c r="K236" s="13" t="s">
        <v>315</v>
      </c>
      <c r="L236" s="13"/>
      <c r="M236" s="13"/>
      <c r="N236" s="13" t="s">
        <v>885</v>
      </c>
      <c r="O236" s="13"/>
      <c r="P236" s="13"/>
    </row>
    <row r="237" ht="28.5" customHeight="1">
      <c r="A237" s="11">
        <v>42771.0</v>
      </c>
      <c r="B237" s="13" t="s">
        <v>316</v>
      </c>
      <c r="C237" s="16" t="s">
        <v>317</v>
      </c>
      <c r="D237" s="16" t="s">
        <v>318</v>
      </c>
      <c r="E237" s="16" t="s">
        <v>230</v>
      </c>
      <c r="F237" s="13">
        <v>5.0</v>
      </c>
      <c r="G237" s="13" t="s">
        <v>217</v>
      </c>
      <c r="K237" s="13"/>
      <c r="L237" s="13" t="s">
        <v>291</v>
      </c>
      <c r="M237" s="13" t="s">
        <v>221</v>
      </c>
      <c r="N237" s="13" t="s">
        <v>276</v>
      </c>
      <c r="O237" s="13" t="s">
        <v>224</v>
      </c>
      <c r="P237" s="13" t="s">
        <v>324</v>
      </c>
    </row>
    <row r="238" ht="28.5" customHeight="1">
      <c r="A238" s="11">
        <v>42771.0</v>
      </c>
      <c r="B238" s="13" t="s">
        <v>316</v>
      </c>
      <c r="C238" s="16" t="s">
        <v>317</v>
      </c>
      <c r="D238" s="16" t="s">
        <v>318</v>
      </c>
      <c r="E238" s="16" t="s">
        <v>230</v>
      </c>
      <c r="F238" s="13">
        <v>5.0</v>
      </c>
      <c r="G238" s="13" t="s">
        <v>217</v>
      </c>
      <c r="K238" s="13" t="s">
        <v>221</v>
      </c>
      <c r="L238" s="13" t="s">
        <v>222</v>
      </c>
      <c r="M238" s="13"/>
      <c r="N238" s="13" t="s">
        <v>238</v>
      </c>
      <c r="O238" s="13" t="s">
        <v>224</v>
      </c>
      <c r="P238" s="13" t="s">
        <v>319</v>
      </c>
    </row>
    <row r="239" ht="28.5" customHeight="1">
      <c r="A239" s="41">
        <v>42774.0</v>
      </c>
      <c r="B239" s="16" t="s">
        <v>362</v>
      </c>
      <c r="C239" s="16" t="s">
        <v>363</v>
      </c>
      <c r="D239" s="16" t="s">
        <v>1328</v>
      </c>
      <c r="E239" s="16" t="s">
        <v>268</v>
      </c>
      <c r="F239" s="16">
        <v>5.0</v>
      </c>
      <c r="G239" s="16" t="s">
        <v>269</v>
      </c>
      <c r="H239" s="13">
        <v>68.0</v>
      </c>
      <c r="I239" s="13" t="s">
        <v>270</v>
      </c>
      <c r="J239" s="13" t="s">
        <v>271</v>
      </c>
      <c r="K239" s="13" t="s">
        <v>222</v>
      </c>
      <c r="M239" s="13" t="s">
        <v>222</v>
      </c>
      <c r="N239" s="13" t="s">
        <v>221</v>
      </c>
      <c r="O239" s="13" t="s">
        <v>224</v>
      </c>
    </row>
    <row r="240" ht="28.5" customHeight="1">
      <c r="A240" s="41">
        <v>42773.0</v>
      </c>
      <c r="B240" s="16" t="s">
        <v>396</v>
      </c>
      <c r="C240" s="16" t="s">
        <v>397</v>
      </c>
      <c r="D240" s="16" t="s">
        <v>398</v>
      </c>
      <c r="E240" s="16" t="s">
        <v>399</v>
      </c>
      <c r="F240" s="13">
        <v>5.0</v>
      </c>
      <c r="G240" s="13" t="s">
        <v>424</v>
      </c>
      <c r="I240" s="13" t="s">
        <v>401</v>
      </c>
      <c r="J240" s="13"/>
      <c r="K240" s="13"/>
      <c r="L240" s="13"/>
      <c r="M240" s="13"/>
      <c r="N240" s="13" t="s">
        <v>221</v>
      </c>
      <c r="O240" s="13" t="s">
        <v>402</v>
      </c>
    </row>
    <row r="241" ht="28.5" customHeight="1">
      <c r="A241" s="41">
        <v>42774.0</v>
      </c>
      <c r="B241" s="16" t="s">
        <v>362</v>
      </c>
      <c r="C241" s="16" t="s">
        <v>363</v>
      </c>
      <c r="D241" s="16" t="s">
        <v>364</v>
      </c>
      <c r="E241" s="16" t="s">
        <v>268</v>
      </c>
      <c r="F241" s="13">
        <v>5.0</v>
      </c>
      <c r="G241" s="13" t="s">
        <v>200</v>
      </c>
      <c r="H241" s="13"/>
      <c r="I241" s="13" t="s">
        <v>684</v>
      </c>
      <c r="K241" s="13"/>
      <c r="L241" s="13" t="s">
        <v>1332</v>
      </c>
      <c r="M241" s="13" t="s">
        <v>512</v>
      </c>
      <c r="N241" s="13" t="s">
        <v>1295</v>
      </c>
      <c r="O241" s="13" t="s">
        <v>224</v>
      </c>
      <c r="P241" s="13"/>
    </row>
    <row r="242" ht="28.5" customHeight="1">
      <c r="A242" s="41">
        <v>42773.0</v>
      </c>
      <c r="B242" s="16" t="s">
        <v>110</v>
      </c>
      <c r="C242" s="16" t="s">
        <v>514</v>
      </c>
      <c r="D242" s="16" t="s">
        <v>1076</v>
      </c>
      <c r="E242" s="16" t="s">
        <v>268</v>
      </c>
      <c r="F242" s="13">
        <v>5.0</v>
      </c>
      <c r="G242" s="13" t="s">
        <v>269</v>
      </c>
      <c r="H242" s="13">
        <v>88.0</v>
      </c>
      <c r="I242" s="13" t="s">
        <v>270</v>
      </c>
      <c r="J242" s="13" t="s">
        <v>271</v>
      </c>
      <c r="K242" s="13" t="s">
        <v>222</v>
      </c>
      <c r="L242" s="13"/>
      <c r="M242" s="13" t="s">
        <v>222</v>
      </c>
      <c r="N242" s="13" t="s">
        <v>221</v>
      </c>
      <c r="O242" s="13" t="s">
        <v>224</v>
      </c>
      <c r="P242" s="13" t="s">
        <v>1078</v>
      </c>
    </row>
    <row r="243" ht="28.5" customHeight="1">
      <c r="A243" s="41">
        <v>42773.0</v>
      </c>
      <c r="B243" s="16" t="s">
        <v>110</v>
      </c>
      <c r="C243" s="16" t="s">
        <v>514</v>
      </c>
      <c r="D243" s="16" t="s">
        <v>1076</v>
      </c>
      <c r="E243" s="16" t="s">
        <v>268</v>
      </c>
      <c r="F243" s="13">
        <v>5.0</v>
      </c>
      <c r="G243" s="13" t="s">
        <v>269</v>
      </c>
      <c r="H243" s="13">
        <v>89.0</v>
      </c>
      <c r="I243" s="13" t="s">
        <v>270</v>
      </c>
      <c r="J243" s="13" t="s">
        <v>271</v>
      </c>
      <c r="K243" s="13" t="s">
        <v>222</v>
      </c>
      <c r="L243" s="13"/>
      <c r="M243" s="13" t="s">
        <v>222</v>
      </c>
      <c r="N243" s="13" t="s">
        <v>221</v>
      </c>
      <c r="O243" s="13" t="s">
        <v>224</v>
      </c>
      <c r="P243" s="13" t="s">
        <v>1078</v>
      </c>
    </row>
    <row r="244" ht="28.5" customHeight="1">
      <c r="A244" s="41">
        <v>42772.0</v>
      </c>
      <c r="B244" s="16" t="s">
        <v>876</v>
      </c>
      <c r="C244" s="16" t="s">
        <v>514</v>
      </c>
      <c r="D244" s="13" t="s">
        <v>877</v>
      </c>
      <c r="E244" s="16" t="s">
        <v>826</v>
      </c>
      <c r="F244" s="13">
        <v>5.0</v>
      </c>
      <c r="G244" s="13" t="s">
        <v>217</v>
      </c>
      <c r="H244" s="13"/>
      <c r="I244" s="13"/>
      <c r="J244" s="13"/>
      <c r="K244" s="13" t="s">
        <v>1133</v>
      </c>
      <c r="L244" s="13"/>
      <c r="M244" s="13" t="s">
        <v>881</v>
      </c>
      <c r="N244" s="13"/>
      <c r="O244" s="13" t="s">
        <v>224</v>
      </c>
      <c r="P244" s="13"/>
    </row>
    <row r="245" ht="28.5" customHeight="1">
      <c r="A245" s="41">
        <v>42772.0</v>
      </c>
      <c r="B245" s="16" t="s">
        <v>876</v>
      </c>
      <c r="C245" s="16" t="s">
        <v>514</v>
      </c>
      <c r="D245" s="13" t="s">
        <v>877</v>
      </c>
      <c r="E245" s="16" t="s">
        <v>826</v>
      </c>
      <c r="F245" s="13">
        <v>5.0</v>
      </c>
      <c r="G245" s="13" t="s">
        <v>217</v>
      </c>
      <c r="H245" s="13"/>
      <c r="I245" s="13"/>
      <c r="J245" s="13"/>
      <c r="K245" s="13" t="s">
        <v>252</v>
      </c>
      <c r="L245" s="13"/>
      <c r="M245" s="13" t="s">
        <v>500</v>
      </c>
      <c r="N245" s="13"/>
      <c r="O245" s="13" t="s">
        <v>224</v>
      </c>
      <c r="P245" s="13"/>
    </row>
    <row r="246" ht="28.5" customHeight="1">
      <c r="A246" s="41">
        <v>42772.0</v>
      </c>
      <c r="B246" s="16" t="s">
        <v>876</v>
      </c>
      <c r="C246" s="16" t="s">
        <v>514</v>
      </c>
      <c r="D246" s="13" t="s">
        <v>877</v>
      </c>
      <c r="E246" s="16" t="s">
        <v>826</v>
      </c>
      <c r="F246" s="13">
        <v>5.0</v>
      </c>
      <c r="G246" s="13" t="s">
        <v>217</v>
      </c>
      <c r="H246" s="13"/>
      <c r="I246" s="13"/>
      <c r="J246" s="13"/>
      <c r="K246" s="13" t="s">
        <v>884</v>
      </c>
      <c r="L246" s="13"/>
      <c r="M246" s="13" t="s">
        <v>884</v>
      </c>
      <c r="N246" s="13"/>
      <c r="O246" s="13" t="s">
        <v>224</v>
      </c>
      <c r="P246" s="13"/>
    </row>
    <row r="247" ht="28.5" customHeight="1">
      <c r="A247" s="41">
        <v>42772.0</v>
      </c>
      <c r="B247" s="16" t="s">
        <v>876</v>
      </c>
      <c r="C247" s="16" t="s">
        <v>514</v>
      </c>
      <c r="D247" s="13" t="s">
        <v>877</v>
      </c>
      <c r="E247" s="16" t="s">
        <v>826</v>
      </c>
      <c r="F247" s="13">
        <v>5.0</v>
      </c>
      <c r="G247" s="13" t="s">
        <v>217</v>
      </c>
      <c r="I247" s="13"/>
      <c r="K247" s="13" t="s">
        <v>885</v>
      </c>
      <c r="L247" s="13"/>
      <c r="M247" s="13" t="s">
        <v>252</v>
      </c>
      <c r="N247" s="13"/>
      <c r="O247" s="13" t="s">
        <v>224</v>
      </c>
      <c r="P247" s="13"/>
    </row>
    <row r="248" ht="28.5" customHeight="1">
      <c r="A248" s="41">
        <v>42772.0</v>
      </c>
      <c r="B248" s="16" t="s">
        <v>876</v>
      </c>
      <c r="C248" s="16" t="s">
        <v>514</v>
      </c>
      <c r="D248" s="13" t="s">
        <v>877</v>
      </c>
      <c r="E248" s="16" t="s">
        <v>826</v>
      </c>
      <c r="F248" s="13">
        <v>5.0</v>
      </c>
      <c r="G248" s="13" t="s">
        <v>217</v>
      </c>
      <c r="I248" s="13"/>
      <c r="K248" s="13" t="s">
        <v>1233</v>
      </c>
      <c r="L248" s="13"/>
      <c r="M248" s="13" t="s">
        <v>1348</v>
      </c>
      <c r="N248" s="13"/>
      <c r="O248" s="13" t="s">
        <v>224</v>
      </c>
      <c r="P248" s="13"/>
    </row>
    <row r="249" ht="28.5" customHeight="1">
      <c r="A249" s="41">
        <v>42772.0</v>
      </c>
      <c r="B249" s="16" t="s">
        <v>876</v>
      </c>
      <c r="C249" s="16" t="s">
        <v>514</v>
      </c>
      <c r="D249" s="13" t="s">
        <v>877</v>
      </c>
      <c r="E249" s="16" t="s">
        <v>826</v>
      </c>
      <c r="F249" s="13">
        <v>5.0</v>
      </c>
      <c r="G249" s="13" t="s">
        <v>217</v>
      </c>
      <c r="H249" s="13"/>
      <c r="I249" s="13"/>
      <c r="J249" s="13"/>
      <c r="K249" s="13"/>
      <c r="L249" s="13" t="s">
        <v>1332</v>
      </c>
      <c r="M249" s="13" t="s">
        <v>1014</v>
      </c>
      <c r="N249" s="13"/>
      <c r="O249" s="13" t="s">
        <v>224</v>
      </c>
      <c r="P249" s="13"/>
    </row>
    <row r="250" ht="28.5" customHeight="1">
      <c r="A250" s="41">
        <v>42769.0</v>
      </c>
      <c r="B250" s="16" t="s">
        <v>532</v>
      </c>
      <c r="C250" s="16" t="s">
        <v>533</v>
      </c>
      <c r="D250" s="16" t="s">
        <v>832</v>
      </c>
      <c r="E250" s="16" t="s">
        <v>535</v>
      </c>
      <c r="F250" s="16">
        <v>5.0</v>
      </c>
      <c r="G250" s="16" t="s">
        <v>508</v>
      </c>
      <c r="H250" s="13" t="s">
        <v>891</v>
      </c>
      <c r="I250" s="13" t="s">
        <v>892</v>
      </c>
      <c r="J250" s="13" t="s">
        <v>511</v>
      </c>
      <c r="K250" s="13" t="s">
        <v>893</v>
      </c>
      <c r="L250" s="13"/>
      <c r="M250" s="13" t="s">
        <v>894</v>
      </c>
      <c r="N250" s="13" t="s">
        <v>530</v>
      </c>
      <c r="O250" s="13" t="s">
        <v>224</v>
      </c>
      <c r="P250" s="14" t="s">
        <v>1357</v>
      </c>
    </row>
    <row r="251" ht="28.5" customHeight="1">
      <c r="A251" s="41">
        <v>42769.0</v>
      </c>
      <c r="B251" s="16" t="s">
        <v>194</v>
      </c>
      <c r="C251" s="16" t="s">
        <v>195</v>
      </c>
      <c r="D251" s="16" t="s">
        <v>196</v>
      </c>
      <c r="E251" s="16" t="s">
        <v>25</v>
      </c>
      <c r="F251" s="13">
        <v>5.0</v>
      </c>
      <c r="G251" s="13" t="s">
        <v>217</v>
      </c>
      <c r="L251" s="13" t="s">
        <v>224</v>
      </c>
      <c r="M251" s="13" t="s">
        <v>221</v>
      </c>
      <c r="N251" s="13" t="s">
        <v>1034</v>
      </c>
      <c r="O251" s="13" t="s">
        <v>224</v>
      </c>
      <c r="P251" s="13" t="s">
        <v>1359</v>
      </c>
    </row>
    <row r="252" ht="28.5" customHeight="1">
      <c r="A252" s="42">
        <v>42772.0</v>
      </c>
      <c r="B252" s="16" t="s">
        <v>139</v>
      </c>
      <c r="C252" s="13" t="s">
        <v>341</v>
      </c>
      <c r="D252" s="13" t="s">
        <v>1155</v>
      </c>
      <c r="E252" s="16" t="s">
        <v>826</v>
      </c>
      <c r="F252" s="13">
        <v>5.0</v>
      </c>
      <c r="G252" s="13" t="s">
        <v>217</v>
      </c>
      <c r="L252" s="13" t="s">
        <v>1014</v>
      </c>
      <c r="N252" s="13" t="s">
        <v>1140</v>
      </c>
      <c r="O252" s="13" t="s">
        <v>224</v>
      </c>
      <c r="P252" s="13" t="s">
        <v>1365</v>
      </c>
    </row>
    <row r="253" ht="28.5" customHeight="1">
      <c r="A253" s="43">
        <v>42772.0</v>
      </c>
      <c r="B253" s="16" t="s">
        <v>1035</v>
      </c>
      <c r="C253" s="16" t="s">
        <v>195</v>
      </c>
      <c r="D253" s="16" t="s">
        <v>1036</v>
      </c>
      <c r="E253" s="16" t="s">
        <v>826</v>
      </c>
      <c r="F253" s="13">
        <v>5.0</v>
      </c>
      <c r="G253" s="13" t="s">
        <v>217</v>
      </c>
      <c r="K253" s="13" t="s">
        <v>1133</v>
      </c>
      <c r="M253" s="13" t="s">
        <v>885</v>
      </c>
      <c r="O253" s="13" t="s">
        <v>657</v>
      </c>
      <c r="P253" s="13" t="s">
        <v>1367</v>
      </c>
    </row>
    <row r="254" ht="28.5" customHeight="1">
      <c r="A254" s="43">
        <v>42772.0</v>
      </c>
      <c r="B254" s="16" t="s">
        <v>1035</v>
      </c>
      <c r="C254" s="16" t="s">
        <v>195</v>
      </c>
      <c r="D254" s="16" t="s">
        <v>1036</v>
      </c>
      <c r="E254" s="16" t="s">
        <v>826</v>
      </c>
      <c r="F254" s="13">
        <v>5.0</v>
      </c>
      <c r="G254" s="13" t="s">
        <v>217</v>
      </c>
      <c r="K254" s="13" t="s">
        <v>767</v>
      </c>
      <c r="M254" s="13" t="s">
        <v>500</v>
      </c>
      <c r="O254" s="13" t="s">
        <v>657</v>
      </c>
      <c r="P254" s="13" t="s">
        <v>1371</v>
      </c>
    </row>
    <row r="255" ht="28.5" customHeight="1">
      <c r="A255" s="43">
        <v>42772.0</v>
      </c>
      <c r="B255" s="16" t="s">
        <v>1035</v>
      </c>
      <c r="C255" s="16" t="s">
        <v>195</v>
      </c>
      <c r="D255" s="16" t="s">
        <v>1036</v>
      </c>
      <c r="E255" s="16" t="s">
        <v>826</v>
      </c>
      <c r="F255" s="13">
        <v>5.0</v>
      </c>
      <c r="G255" s="13" t="s">
        <v>217</v>
      </c>
      <c r="K255" s="13" t="s">
        <v>315</v>
      </c>
      <c r="L255" s="13" t="s">
        <v>1014</v>
      </c>
      <c r="M255" s="13" t="s">
        <v>315</v>
      </c>
      <c r="O255" s="13" t="s">
        <v>657</v>
      </c>
      <c r="P255" s="13" t="s">
        <v>1373</v>
      </c>
    </row>
    <row r="256" ht="28.5" customHeight="1">
      <c r="A256" s="43">
        <v>42772.0</v>
      </c>
      <c r="B256" s="16" t="s">
        <v>1035</v>
      </c>
      <c r="C256" s="16" t="s">
        <v>195</v>
      </c>
      <c r="D256" s="16" t="s">
        <v>1036</v>
      </c>
      <c r="E256" s="16" t="s">
        <v>826</v>
      </c>
      <c r="F256" s="13">
        <v>5.0</v>
      </c>
      <c r="G256" s="13" t="s">
        <v>217</v>
      </c>
      <c r="K256" s="13" t="s">
        <v>1259</v>
      </c>
      <c r="M256" s="13" t="s">
        <v>233</v>
      </c>
      <c r="O256" s="13" t="s">
        <v>657</v>
      </c>
      <c r="P256" s="13" t="s">
        <v>1374</v>
      </c>
    </row>
    <row r="257" ht="33.75" customHeight="1">
      <c r="A257" s="43">
        <v>42772.0</v>
      </c>
      <c r="B257" s="16" t="s">
        <v>1035</v>
      </c>
      <c r="C257" s="16" t="s">
        <v>195</v>
      </c>
      <c r="D257" s="16" t="s">
        <v>1036</v>
      </c>
      <c r="E257" s="16" t="s">
        <v>826</v>
      </c>
      <c r="F257" s="13">
        <v>5.0</v>
      </c>
      <c r="G257" s="13" t="s">
        <v>217</v>
      </c>
      <c r="K257" s="13" t="s">
        <v>1082</v>
      </c>
      <c r="M257" s="13" t="s">
        <v>1082</v>
      </c>
      <c r="O257" s="13" t="s">
        <v>657</v>
      </c>
      <c r="P257" s="13" t="s">
        <v>1377</v>
      </c>
    </row>
    <row r="258" ht="33.75" customHeight="1">
      <c r="A258" s="43">
        <v>42772.0</v>
      </c>
      <c r="B258" s="16" t="s">
        <v>1035</v>
      </c>
      <c r="C258" s="16" t="s">
        <v>195</v>
      </c>
      <c r="D258" s="16" t="s">
        <v>1036</v>
      </c>
      <c r="E258" s="16" t="s">
        <v>826</v>
      </c>
      <c r="F258" s="13">
        <v>5.0</v>
      </c>
      <c r="G258" s="13" t="s">
        <v>217</v>
      </c>
      <c r="K258" s="13" t="s">
        <v>881</v>
      </c>
      <c r="M258" s="13" t="s">
        <v>1259</v>
      </c>
      <c r="O258" s="13" t="s">
        <v>657</v>
      </c>
      <c r="P258" s="13" t="s">
        <v>1380</v>
      </c>
    </row>
    <row r="259" ht="33.75" customHeight="1">
      <c r="A259" s="43">
        <v>42772.0</v>
      </c>
      <c r="B259" s="16" t="s">
        <v>1035</v>
      </c>
      <c r="C259" s="16" t="s">
        <v>195</v>
      </c>
      <c r="D259" s="16" t="s">
        <v>1036</v>
      </c>
      <c r="E259" s="16" t="s">
        <v>826</v>
      </c>
      <c r="F259" s="13">
        <v>5.0</v>
      </c>
      <c r="G259" s="13" t="s">
        <v>217</v>
      </c>
      <c r="K259" s="13" t="s">
        <v>1251</v>
      </c>
      <c r="M259" s="13" t="s">
        <v>1082</v>
      </c>
      <c r="O259" s="13" t="s">
        <v>657</v>
      </c>
      <c r="P259" s="13" t="s">
        <v>1381</v>
      </c>
    </row>
    <row r="260" ht="33.75" customHeight="1">
      <c r="A260" s="43">
        <v>42772.0</v>
      </c>
      <c r="B260" s="16" t="s">
        <v>1035</v>
      </c>
      <c r="C260" s="16" t="s">
        <v>195</v>
      </c>
      <c r="D260" s="16" t="s">
        <v>1036</v>
      </c>
      <c r="E260" s="16" t="s">
        <v>826</v>
      </c>
      <c r="F260" s="13">
        <v>5.0</v>
      </c>
      <c r="G260" s="13" t="s">
        <v>217</v>
      </c>
      <c r="K260" s="13" t="s">
        <v>1348</v>
      </c>
      <c r="M260" s="13" t="s">
        <v>884</v>
      </c>
      <c r="O260" s="13" t="s">
        <v>657</v>
      </c>
      <c r="P260" s="13" t="s">
        <v>1384</v>
      </c>
    </row>
    <row r="261" ht="33.75" customHeight="1">
      <c r="A261" s="42">
        <v>42769.0</v>
      </c>
      <c r="B261" s="16" t="s">
        <v>139</v>
      </c>
      <c r="C261" s="13" t="s">
        <v>250</v>
      </c>
      <c r="D261" s="13" t="s">
        <v>251</v>
      </c>
      <c r="E261" s="16" t="s">
        <v>25</v>
      </c>
      <c r="F261" s="13">
        <v>6.0</v>
      </c>
      <c r="G261" s="13" t="s">
        <v>217</v>
      </c>
      <c r="K261" s="13"/>
      <c r="L261" s="13" t="s">
        <v>1315</v>
      </c>
      <c r="M261" s="13" t="s">
        <v>221</v>
      </c>
      <c r="N261" s="13" t="s">
        <v>222</v>
      </c>
      <c r="O261" s="13" t="s">
        <v>224</v>
      </c>
      <c r="P261" s="13" t="s">
        <v>324</v>
      </c>
    </row>
    <row r="262" ht="33.75" customHeight="1">
      <c r="A262" s="42">
        <v>42769.0</v>
      </c>
      <c r="B262" s="16" t="s">
        <v>139</v>
      </c>
      <c r="C262" s="13" t="s">
        <v>250</v>
      </c>
      <c r="D262" s="13" t="s">
        <v>251</v>
      </c>
      <c r="E262" s="16" t="s">
        <v>25</v>
      </c>
      <c r="F262" s="13">
        <v>6.0</v>
      </c>
      <c r="G262" s="13" t="s">
        <v>217</v>
      </c>
      <c r="K262" s="13" t="s">
        <v>221</v>
      </c>
      <c r="L262" s="13" t="s">
        <v>224</v>
      </c>
      <c r="M262" s="13"/>
      <c r="N262" s="13" t="s">
        <v>1259</v>
      </c>
      <c r="O262" s="13" t="s">
        <v>224</v>
      </c>
      <c r="P262" s="13" t="s">
        <v>324</v>
      </c>
    </row>
    <row r="263" ht="28.5" customHeight="1">
      <c r="A263" s="41">
        <v>42769.0</v>
      </c>
      <c r="B263" s="16" t="s">
        <v>139</v>
      </c>
      <c r="C263" s="13" t="s">
        <v>250</v>
      </c>
      <c r="D263" s="13" t="s">
        <v>158</v>
      </c>
      <c r="E263" s="16" t="s">
        <v>25</v>
      </c>
      <c r="F263" s="13">
        <v>6.0</v>
      </c>
      <c r="G263" s="13" t="s">
        <v>217</v>
      </c>
      <c r="H263" s="13"/>
      <c r="I263" s="13"/>
      <c r="K263" s="13" t="s">
        <v>292</v>
      </c>
      <c r="L263" s="13" t="s">
        <v>224</v>
      </c>
      <c r="M263" s="13"/>
      <c r="N263" s="13" t="s">
        <v>256</v>
      </c>
      <c r="O263" s="13" t="s">
        <v>224</v>
      </c>
      <c r="P263" s="13"/>
    </row>
    <row r="264" ht="28.5" customHeight="1">
      <c r="A264" s="41">
        <v>42769.0</v>
      </c>
      <c r="B264" s="16" t="s">
        <v>85</v>
      </c>
      <c r="C264" s="16" t="s">
        <v>86</v>
      </c>
      <c r="D264" s="16" t="s">
        <v>87</v>
      </c>
      <c r="E264" s="16" t="s">
        <v>25</v>
      </c>
      <c r="F264" s="13">
        <v>6.0</v>
      </c>
      <c r="G264" s="13" t="s">
        <v>217</v>
      </c>
      <c r="L264" s="13" t="s">
        <v>222</v>
      </c>
      <c r="M264" s="13"/>
      <c r="N264" s="13" t="s">
        <v>1348</v>
      </c>
      <c r="O264" s="13" t="s">
        <v>224</v>
      </c>
      <c r="P264" s="13"/>
    </row>
    <row r="265" ht="28.5" customHeight="1">
      <c r="A265" s="41">
        <v>42769.0</v>
      </c>
      <c r="B265" s="16" t="s">
        <v>85</v>
      </c>
      <c r="C265" s="16" t="s">
        <v>86</v>
      </c>
      <c r="D265" s="16" t="s">
        <v>87</v>
      </c>
      <c r="E265" s="16" t="s">
        <v>25</v>
      </c>
      <c r="F265" s="13">
        <v>6.0</v>
      </c>
      <c r="G265" s="13" t="s">
        <v>217</v>
      </c>
      <c r="K265" s="13"/>
      <c r="L265" s="13" t="s">
        <v>236</v>
      </c>
      <c r="M265" s="13" t="s">
        <v>221</v>
      </c>
      <c r="N265" s="13" t="s">
        <v>881</v>
      </c>
      <c r="O265" s="13" t="s">
        <v>224</v>
      </c>
      <c r="P265" s="13"/>
    </row>
    <row r="266" ht="28.5" customHeight="1">
      <c r="A266" s="11">
        <v>42771.0</v>
      </c>
      <c r="B266" s="13" t="s">
        <v>316</v>
      </c>
      <c r="C266" s="16" t="s">
        <v>317</v>
      </c>
      <c r="D266" s="16" t="s">
        <v>318</v>
      </c>
      <c r="E266" s="16" t="s">
        <v>230</v>
      </c>
      <c r="F266" s="13">
        <v>6.0</v>
      </c>
      <c r="G266" s="13" t="s">
        <v>217</v>
      </c>
      <c r="K266" s="13" t="s">
        <v>221</v>
      </c>
      <c r="L266" s="13" t="s">
        <v>276</v>
      </c>
      <c r="M266" s="13"/>
      <c r="N266" s="13" t="s">
        <v>1004</v>
      </c>
      <c r="O266" s="13" t="s">
        <v>224</v>
      </c>
      <c r="P266" s="13" t="s">
        <v>319</v>
      </c>
    </row>
    <row r="267" ht="28.5" customHeight="1">
      <c r="A267" s="11">
        <v>42771.0</v>
      </c>
      <c r="B267" s="13" t="s">
        <v>316</v>
      </c>
      <c r="C267" s="16" t="s">
        <v>317</v>
      </c>
      <c r="D267" s="16" t="s">
        <v>318</v>
      </c>
      <c r="E267" s="16" t="s">
        <v>230</v>
      </c>
      <c r="F267" s="13">
        <v>6.0</v>
      </c>
      <c r="G267" s="13" t="s">
        <v>217</v>
      </c>
      <c r="L267" s="13" t="s">
        <v>804</v>
      </c>
      <c r="M267" s="13" t="s">
        <v>221</v>
      </c>
      <c r="N267" s="13" t="s">
        <v>236</v>
      </c>
      <c r="O267" s="13" t="s">
        <v>224</v>
      </c>
      <c r="P267" s="13" t="s">
        <v>324</v>
      </c>
    </row>
    <row r="268" ht="28.5" customHeight="1">
      <c r="A268" s="41">
        <v>42769.0</v>
      </c>
      <c r="B268" s="16" t="s">
        <v>194</v>
      </c>
      <c r="C268" s="16" t="s">
        <v>195</v>
      </c>
      <c r="D268" s="16" t="s">
        <v>196</v>
      </c>
      <c r="E268" s="16" t="s">
        <v>25</v>
      </c>
      <c r="F268" s="13">
        <v>6.0</v>
      </c>
      <c r="G268" s="13" t="s">
        <v>217</v>
      </c>
      <c r="L268" s="13" t="s">
        <v>1348</v>
      </c>
      <c r="M268" s="13" t="s">
        <v>221</v>
      </c>
      <c r="N268" s="13" t="s">
        <v>224</v>
      </c>
      <c r="O268" s="13" t="s">
        <v>224</v>
      </c>
      <c r="P268" s="13" t="s">
        <v>1407</v>
      </c>
    </row>
    <row r="269" ht="28.5" customHeight="1">
      <c r="A269" s="41">
        <v>42769.0</v>
      </c>
      <c r="B269" s="16" t="s">
        <v>194</v>
      </c>
      <c r="C269" s="16" t="s">
        <v>195</v>
      </c>
      <c r="D269" s="16" t="s">
        <v>196</v>
      </c>
      <c r="E269" s="16" t="s">
        <v>25</v>
      </c>
      <c r="F269" s="13">
        <v>6.0</v>
      </c>
      <c r="G269" s="13" t="s">
        <v>217</v>
      </c>
      <c r="K269" s="13" t="s">
        <v>881</v>
      </c>
      <c r="M269" s="13" t="s">
        <v>1412</v>
      </c>
      <c r="O269" s="13" t="s">
        <v>224</v>
      </c>
      <c r="P269" s="13" t="s">
        <v>1413</v>
      </c>
    </row>
    <row r="270" ht="28.5" customHeight="1">
      <c r="A270" s="42">
        <v>42769.0</v>
      </c>
      <c r="B270" s="16" t="s">
        <v>139</v>
      </c>
      <c r="C270" s="13" t="s">
        <v>250</v>
      </c>
      <c r="D270" s="13" t="s">
        <v>251</v>
      </c>
      <c r="E270" s="16" t="s">
        <v>25</v>
      </c>
      <c r="F270" s="13">
        <v>7.0</v>
      </c>
      <c r="G270" s="13" t="s">
        <v>217</v>
      </c>
      <c r="L270" s="13" t="s">
        <v>1013</v>
      </c>
      <c r="M270" s="13" t="s">
        <v>221</v>
      </c>
      <c r="N270" s="13" t="s">
        <v>256</v>
      </c>
      <c r="O270" s="13" t="s">
        <v>224</v>
      </c>
      <c r="P270" s="13" t="s">
        <v>1419</v>
      </c>
    </row>
    <row r="271" ht="28.5" customHeight="1">
      <c r="A271" s="42">
        <v>42769.0</v>
      </c>
      <c r="B271" s="16" t="s">
        <v>139</v>
      </c>
      <c r="C271" s="13" t="s">
        <v>250</v>
      </c>
      <c r="D271" s="13" t="s">
        <v>251</v>
      </c>
      <c r="E271" s="16" t="s">
        <v>25</v>
      </c>
      <c r="F271" s="13">
        <v>7.0</v>
      </c>
      <c r="G271" s="13" t="s">
        <v>217</v>
      </c>
      <c r="K271" s="13"/>
      <c r="L271" s="13" t="s">
        <v>767</v>
      </c>
      <c r="M271" s="13" t="s">
        <v>221</v>
      </c>
      <c r="N271" s="13" t="s">
        <v>224</v>
      </c>
      <c r="O271" s="13" t="s">
        <v>224</v>
      </c>
      <c r="P271" s="13" t="s">
        <v>1421</v>
      </c>
    </row>
    <row r="272" ht="28.5" customHeight="1">
      <c r="A272" s="42">
        <v>42769.0</v>
      </c>
      <c r="B272" s="16" t="s">
        <v>139</v>
      </c>
      <c r="C272" s="13" t="s">
        <v>250</v>
      </c>
      <c r="D272" s="13" t="s">
        <v>251</v>
      </c>
      <c r="E272" s="16" t="s">
        <v>25</v>
      </c>
      <c r="F272" s="13">
        <v>7.0</v>
      </c>
      <c r="G272" s="13" t="s">
        <v>217</v>
      </c>
      <c r="K272" s="13" t="s">
        <v>221</v>
      </c>
      <c r="L272" s="13" t="s">
        <v>256</v>
      </c>
      <c r="M272" s="13"/>
      <c r="N272" s="13" t="s">
        <v>575</v>
      </c>
      <c r="O272" s="13" t="s">
        <v>224</v>
      </c>
      <c r="P272" s="13" t="s">
        <v>1421</v>
      </c>
    </row>
    <row r="273" ht="28.5" customHeight="1">
      <c r="A273" s="41">
        <v>42769.0</v>
      </c>
      <c r="B273" s="16" t="s">
        <v>139</v>
      </c>
      <c r="C273" s="13" t="s">
        <v>250</v>
      </c>
      <c r="D273" s="13" t="s">
        <v>158</v>
      </c>
      <c r="E273" s="16" t="s">
        <v>25</v>
      </c>
      <c r="F273" s="13">
        <v>7.0</v>
      </c>
      <c r="G273" s="13" t="s">
        <v>217</v>
      </c>
      <c r="H273" s="13"/>
      <c r="I273" s="13"/>
      <c r="K273" s="13" t="s">
        <v>860</v>
      </c>
      <c r="L273" s="13" t="s">
        <v>1063</v>
      </c>
      <c r="M273" s="13"/>
      <c r="N273" s="13" t="s">
        <v>871</v>
      </c>
      <c r="O273" s="13" t="s">
        <v>224</v>
      </c>
      <c r="P273" s="13"/>
    </row>
    <row r="274" ht="28.5" customHeight="1">
      <c r="A274" s="41">
        <v>42769.0</v>
      </c>
      <c r="B274" s="16" t="s">
        <v>139</v>
      </c>
      <c r="C274" s="13" t="s">
        <v>250</v>
      </c>
      <c r="D274" s="13" t="s">
        <v>158</v>
      </c>
      <c r="E274" s="16" t="s">
        <v>25</v>
      </c>
      <c r="F274" s="13">
        <v>7.0</v>
      </c>
      <c r="G274" s="13" t="s">
        <v>217</v>
      </c>
      <c r="I274" s="13"/>
      <c r="K274" s="13" t="s">
        <v>884</v>
      </c>
      <c r="L274" s="13"/>
      <c r="M274" s="13" t="s">
        <v>1348</v>
      </c>
      <c r="N274" s="13"/>
      <c r="O274" s="13" t="s">
        <v>224</v>
      </c>
      <c r="P274" s="13"/>
    </row>
    <row r="275" ht="28.5" customHeight="1">
      <c r="A275" s="41">
        <v>42769.0</v>
      </c>
      <c r="B275" s="16" t="s">
        <v>139</v>
      </c>
      <c r="C275" s="13" t="s">
        <v>250</v>
      </c>
      <c r="D275" s="13" t="s">
        <v>158</v>
      </c>
      <c r="E275" s="16" t="s">
        <v>25</v>
      </c>
      <c r="F275" s="13">
        <v>7.0</v>
      </c>
      <c r="G275" s="13" t="s">
        <v>516</v>
      </c>
      <c r="I275" s="13" t="s">
        <v>1431</v>
      </c>
      <c r="K275" s="13"/>
      <c r="L275" s="13" t="s">
        <v>1215</v>
      </c>
      <c r="M275" s="13" t="s">
        <v>221</v>
      </c>
      <c r="N275" s="13" t="s">
        <v>296</v>
      </c>
      <c r="O275" s="13" t="s">
        <v>224</v>
      </c>
      <c r="P275" s="13"/>
    </row>
    <row r="276" ht="28.5" customHeight="1">
      <c r="A276" s="41">
        <v>42769.0</v>
      </c>
      <c r="B276" s="16" t="s">
        <v>139</v>
      </c>
      <c r="C276" s="13" t="s">
        <v>250</v>
      </c>
      <c r="D276" s="13" t="s">
        <v>158</v>
      </c>
      <c r="E276" s="16" t="s">
        <v>25</v>
      </c>
      <c r="F276" s="13">
        <v>7.0</v>
      </c>
      <c r="G276" s="13" t="s">
        <v>516</v>
      </c>
      <c r="I276" s="13"/>
      <c r="K276" s="13"/>
      <c r="L276" s="13" t="s">
        <v>1004</v>
      </c>
      <c r="M276" s="13" t="s">
        <v>221</v>
      </c>
      <c r="N276" s="13" t="s">
        <v>1274</v>
      </c>
      <c r="O276" s="13" t="s">
        <v>224</v>
      </c>
      <c r="P276" s="13"/>
    </row>
    <row r="277" ht="28.5" customHeight="1">
      <c r="A277" s="41">
        <v>42769.0</v>
      </c>
      <c r="B277" s="16" t="s">
        <v>139</v>
      </c>
      <c r="C277" s="13" t="s">
        <v>250</v>
      </c>
      <c r="D277" s="13" t="s">
        <v>158</v>
      </c>
      <c r="E277" s="16" t="s">
        <v>25</v>
      </c>
      <c r="F277" s="13">
        <v>7.0</v>
      </c>
      <c r="G277" s="13" t="s">
        <v>516</v>
      </c>
      <c r="I277" s="13"/>
      <c r="K277" s="13"/>
      <c r="L277" s="13" t="s">
        <v>1348</v>
      </c>
      <c r="M277" s="13" t="s">
        <v>221</v>
      </c>
      <c r="N277" s="13" t="s">
        <v>885</v>
      </c>
      <c r="O277" s="13" t="s">
        <v>224</v>
      </c>
      <c r="P277" s="13"/>
    </row>
    <row r="278" ht="28.5" customHeight="1">
      <c r="A278" s="41">
        <v>42769.0</v>
      </c>
      <c r="B278" s="16" t="s">
        <v>85</v>
      </c>
      <c r="C278" s="16" t="s">
        <v>86</v>
      </c>
      <c r="D278" s="16" t="s">
        <v>87</v>
      </c>
      <c r="E278" s="16" t="s">
        <v>25</v>
      </c>
      <c r="F278" s="13">
        <v>7.0</v>
      </c>
      <c r="G278" s="13" t="s">
        <v>217</v>
      </c>
      <c r="K278" s="13" t="s">
        <v>221</v>
      </c>
      <c r="L278" s="13" t="s">
        <v>348</v>
      </c>
      <c r="N278" s="13"/>
      <c r="O278" s="13" t="s">
        <v>224</v>
      </c>
      <c r="P278" s="13"/>
    </row>
    <row r="279" ht="28.5" customHeight="1">
      <c r="A279" s="41">
        <v>42769.0</v>
      </c>
      <c r="B279" s="16" t="s">
        <v>85</v>
      </c>
      <c r="C279" s="16" t="s">
        <v>86</v>
      </c>
      <c r="D279" s="16" t="s">
        <v>87</v>
      </c>
      <c r="E279" s="16" t="s">
        <v>25</v>
      </c>
      <c r="F279" s="13">
        <v>7.0</v>
      </c>
      <c r="G279" s="13" t="s">
        <v>217</v>
      </c>
      <c r="L279" s="13" t="s">
        <v>224</v>
      </c>
      <c r="M279" s="13" t="s">
        <v>221</v>
      </c>
      <c r="N279" s="13" t="s">
        <v>1225</v>
      </c>
      <c r="O279" s="13" t="s">
        <v>224</v>
      </c>
      <c r="P279" s="13"/>
    </row>
    <row r="280" ht="28.5" customHeight="1">
      <c r="A280" s="41">
        <v>42769.0</v>
      </c>
      <c r="B280" s="16" t="s">
        <v>85</v>
      </c>
      <c r="C280" s="16" t="s">
        <v>86</v>
      </c>
      <c r="D280" s="16" t="s">
        <v>87</v>
      </c>
      <c r="E280" s="16" t="s">
        <v>25</v>
      </c>
      <c r="F280" s="13">
        <v>7.0</v>
      </c>
      <c r="G280" s="13" t="s">
        <v>516</v>
      </c>
      <c r="K280" s="13" t="s">
        <v>221</v>
      </c>
      <c r="L280" s="13" t="s">
        <v>1440</v>
      </c>
      <c r="M280" s="13"/>
      <c r="N280" s="13" t="s">
        <v>330</v>
      </c>
      <c r="O280" s="13" t="s">
        <v>224</v>
      </c>
      <c r="P280" s="13"/>
    </row>
    <row r="281" ht="28.5" customHeight="1">
      <c r="A281" s="11">
        <v>42771.0</v>
      </c>
      <c r="B281" s="13" t="s">
        <v>316</v>
      </c>
      <c r="C281" s="16" t="s">
        <v>317</v>
      </c>
      <c r="D281" s="16" t="s">
        <v>318</v>
      </c>
      <c r="E281" s="16" t="s">
        <v>230</v>
      </c>
      <c r="F281" s="13">
        <v>7.0</v>
      </c>
      <c r="G281" s="13" t="s">
        <v>217</v>
      </c>
      <c r="L281" s="13" t="s">
        <v>236</v>
      </c>
      <c r="M281" s="13" t="s">
        <v>221</v>
      </c>
      <c r="N281" s="13" t="s">
        <v>1348</v>
      </c>
      <c r="O281" s="13" t="s">
        <v>224</v>
      </c>
      <c r="P281" s="13" t="s">
        <v>324</v>
      </c>
    </row>
    <row r="282" ht="28.5" customHeight="1">
      <c r="A282" s="11">
        <v>42771.0</v>
      </c>
      <c r="B282" s="13" t="s">
        <v>316</v>
      </c>
      <c r="C282" s="16" t="s">
        <v>317</v>
      </c>
      <c r="D282" s="16" t="s">
        <v>318</v>
      </c>
      <c r="E282" s="16" t="s">
        <v>230</v>
      </c>
      <c r="F282" s="13">
        <v>7.0</v>
      </c>
      <c r="G282" s="13" t="s">
        <v>217</v>
      </c>
      <c r="K282" s="13" t="s">
        <v>221</v>
      </c>
      <c r="L282" s="13" t="s">
        <v>222</v>
      </c>
      <c r="M282" s="13"/>
      <c r="N282" s="13" t="s">
        <v>296</v>
      </c>
      <c r="O282" s="13" t="s">
        <v>224</v>
      </c>
      <c r="P282" s="13" t="s">
        <v>319</v>
      </c>
    </row>
    <row r="283" ht="28.5" customHeight="1">
      <c r="A283" s="41">
        <v>42774.0</v>
      </c>
      <c r="B283" s="16" t="s">
        <v>362</v>
      </c>
      <c r="C283" s="16" t="s">
        <v>363</v>
      </c>
      <c r="D283" s="16" t="s">
        <v>1328</v>
      </c>
      <c r="E283" s="16" t="s">
        <v>268</v>
      </c>
      <c r="F283" s="16">
        <v>7.0</v>
      </c>
      <c r="G283" s="16" t="s">
        <v>269</v>
      </c>
      <c r="H283" s="13">
        <v>72.0</v>
      </c>
      <c r="I283" s="13" t="s">
        <v>270</v>
      </c>
      <c r="J283" s="13" t="s">
        <v>271</v>
      </c>
      <c r="K283" s="13" t="s">
        <v>222</v>
      </c>
      <c r="M283" s="13" t="s">
        <v>222</v>
      </c>
      <c r="N283" s="13" t="s">
        <v>221</v>
      </c>
      <c r="O283" s="13" t="s">
        <v>224</v>
      </c>
    </row>
    <row r="284" ht="28.5" customHeight="1">
      <c r="A284" s="41">
        <v>42772.0</v>
      </c>
      <c r="B284" s="16" t="s">
        <v>1448</v>
      </c>
      <c r="C284" s="13" t="s">
        <v>1449</v>
      </c>
      <c r="D284" s="13" t="s">
        <v>1450</v>
      </c>
      <c r="E284" s="16" t="s">
        <v>608</v>
      </c>
      <c r="F284" s="13">
        <v>7.0</v>
      </c>
      <c r="G284" s="13" t="s">
        <v>200</v>
      </c>
      <c r="K284" s="13" t="s">
        <v>1451</v>
      </c>
      <c r="L284" s="13"/>
      <c r="M284" s="13" t="s">
        <v>1452</v>
      </c>
      <c r="N284" s="13"/>
      <c r="O284" s="13"/>
      <c r="P284" s="13" t="s">
        <v>1454</v>
      </c>
    </row>
    <row r="285" ht="28.5" customHeight="1">
      <c r="A285" s="41">
        <v>42774.0</v>
      </c>
      <c r="B285" s="16" t="s">
        <v>362</v>
      </c>
      <c r="C285" s="16" t="s">
        <v>363</v>
      </c>
      <c r="D285" s="16" t="s">
        <v>364</v>
      </c>
      <c r="E285" s="16" t="s">
        <v>268</v>
      </c>
      <c r="F285" s="13">
        <v>7.0</v>
      </c>
      <c r="G285" s="13" t="s">
        <v>200</v>
      </c>
      <c r="H285" s="13" t="s">
        <v>1458</v>
      </c>
      <c r="I285" s="13" t="s">
        <v>684</v>
      </c>
      <c r="J285" s="13" t="s">
        <v>366</v>
      </c>
      <c r="K285" s="13" t="s">
        <v>512</v>
      </c>
      <c r="L285" s="13"/>
      <c r="M285" s="13" t="s">
        <v>439</v>
      </c>
      <c r="N285" s="13"/>
      <c r="O285" s="13" t="s">
        <v>224</v>
      </c>
      <c r="P285" s="13"/>
    </row>
    <row r="286" ht="28.5" customHeight="1">
      <c r="A286" s="41">
        <v>42774.0</v>
      </c>
      <c r="B286" s="16" t="s">
        <v>362</v>
      </c>
      <c r="C286" s="16" t="s">
        <v>363</v>
      </c>
      <c r="D286" s="16" t="s">
        <v>364</v>
      </c>
      <c r="E286" s="16" t="s">
        <v>268</v>
      </c>
      <c r="F286" s="13">
        <v>7.0</v>
      </c>
      <c r="G286" s="13" t="s">
        <v>200</v>
      </c>
      <c r="H286" s="13" t="s">
        <v>1460</v>
      </c>
      <c r="I286" s="13" t="s">
        <v>392</v>
      </c>
      <c r="J286" s="13" t="s">
        <v>366</v>
      </c>
      <c r="K286" s="13" t="s">
        <v>221</v>
      </c>
      <c r="L286" s="13" t="s">
        <v>338</v>
      </c>
      <c r="M286" s="13" t="s">
        <v>1235</v>
      </c>
      <c r="N286" s="13" t="s">
        <v>864</v>
      </c>
      <c r="O286" s="13" t="s">
        <v>224</v>
      </c>
      <c r="P286" s="13"/>
    </row>
    <row r="287" ht="28.5" customHeight="1">
      <c r="A287" s="41">
        <v>42774.0</v>
      </c>
      <c r="B287" s="16" t="s">
        <v>362</v>
      </c>
      <c r="C287" s="16" t="s">
        <v>363</v>
      </c>
      <c r="D287" s="16" t="s">
        <v>364</v>
      </c>
      <c r="E287" s="16" t="s">
        <v>268</v>
      </c>
      <c r="F287" s="13">
        <v>7.0</v>
      </c>
      <c r="G287" s="13" t="s">
        <v>217</v>
      </c>
      <c r="H287" s="13"/>
      <c r="I287" s="13"/>
      <c r="K287" s="13" t="s">
        <v>221</v>
      </c>
      <c r="L287" s="13" t="s">
        <v>256</v>
      </c>
      <c r="N287" s="13" t="s">
        <v>517</v>
      </c>
      <c r="O287" s="13" t="s">
        <v>224</v>
      </c>
      <c r="P287" s="13" t="s">
        <v>319</v>
      </c>
    </row>
    <row r="288" ht="28.5" customHeight="1">
      <c r="A288" s="41">
        <v>42774.0</v>
      </c>
      <c r="B288" s="16" t="s">
        <v>362</v>
      </c>
      <c r="C288" s="16" t="s">
        <v>363</v>
      </c>
      <c r="D288" s="16" t="s">
        <v>364</v>
      </c>
      <c r="E288" s="16" t="s">
        <v>268</v>
      </c>
      <c r="F288" s="13">
        <v>7.0</v>
      </c>
      <c r="G288" s="13" t="s">
        <v>217</v>
      </c>
      <c r="H288" s="13"/>
      <c r="I288" s="13"/>
      <c r="K288" s="13" t="s">
        <v>292</v>
      </c>
      <c r="N288" s="13" t="s">
        <v>1013</v>
      </c>
      <c r="O288" s="13" t="s">
        <v>224</v>
      </c>
      <c r="P288" s="13" t="s">
        <v>1467</v>
      </c>
    </row>
    <row r="289" ht="28.5" customHeight="1">
      <c r="A289" s="41">
        <v>42774.0</v>
      </c>
      <c r="B289" s="16" t="s">
        <v>362</v>
      </c>
      <c r="C289" s="16" t="s">
        <v>363</v>
      </c>
      <c r="D289" s="16" t="s">
        <v>364</v>
      </c>
      <c r="E289" s="16" t="s">
        <v>268</v>
      </c>
      <c r="F289" s="13">
        <v>7.0</v>
      </c>
      <c r="G289" s="13" t="s">
        <v>217</v>
      </c>
      <c r="H289" s="13"/>
      <c r="I289" s="13"/>
      <c r="K289" s="13"/>
      <c r="L289" s="13" t="s">
        <v>322</v>
      </c>
      <c r="M289" s="13" t="s">
        <v>221</v>
      </c>
      <c r="N289" s="13" t="s">
        <v>256</v>
      </c>
      <c r="O289" s="13" t="s">
        <v>224</v>
      </c>
      <c r="P289" s="13" t="s">
        <v>319</v>
      </c>
    </row>
    <row r="290" ht="28.5" customHeight="1">
      <c r="A290" s="41">
        <v>42774.0</v>
      </c>
      <c r="B290" s="16" t="s">
        <v>362</v>
      </c>
      <c r="C290" s="16" t="s">
        <v>363</v>
      </c>
      <c r="D290" s="16" t="s">
        <v>364</v>
      </c>
      <c r="E290" s="16" t="s">
        <v>268</v>
      </c>
      <c r="F290" s="13">
        <v>7.0</v>
      </c>
      <c r="G290" s="13" t="s">
        <v>217</v>
      </c>
      <c r="H290" s="13"/>
      <c r="I290" s="13"/>
      <c r="J290" s="13"/>
      <c r="K290" s="13" t="s">
        <v>221</v>
      </c>
      <c r="L290" s="13" t="s">
        <v>276</v>
      </c>
      <c r="M290" s="13"/>
      <c r="N290" s="13" t="s">
        <v>233</v>
      </c>
      <c r="O290" s="13" t="s">
        <v>224</v>
      </c>
      <c r="P290" s="13" t="s">
        <v>319</v>
      </c>
    </row>
    <row r="291" ht="28.5" customHeight="1">
      <c r="A291" s="41">
        <v>42772.0</v>
      </c>
      <c r="B291" s="16" t="s">
        <v>876</v>
      </c>
      <c r="C291" s="16" t="s">
        <v>514</v>
      </c>
      <c r="D291" s="13" t="s">
        <v>877</v>
      </c>
      <c r="E291" s="16" t="s">
        <v>826</v>
      </c>
      <c r="F291" s="13">
        <v>7.0</v>
      </c>
      <c r="G291" s="13" t="s">
        <v>217</v>
      </c>
      <c r="I291" s="13"/>
      <c r="K291" s="13" t="s">
        <v>252</v>
      </c>
      <c r="L291" s="13"/>
      <c r="M291" s="13" t="s">
        <v>881</v>
      </c>
      <c r="N291" s="13"/>
      <c r="O291" s="13" t="s">
        <v>224</v>
      </c>
      <c r="P291" s="13"/>
    </row>
    <row r="292" ht="28.5" customHeight="1">
      <c r="A292" s="41">
        <v>42769.0</v>
      </c>
      <c r="B292" s="16" t="s">
        <v>194</v>
      </c>
      <c r="C292" s="16" t="s">
        <v>195</v>
      </c>
      <c r="D292" s="16" t="s">
        <v>196</v>
      </c>
      <c r="E292" s="16" t="s">
        <v>25</v>
      </c>
      <c r="F292" s="13">
        <v>7.0</v>
      </c>
      <c r="G292" s="13" t="s">
        <v>217</v>
      </c>
      <c r="L292" s="13" t="s">
        <v>794</v>
      </c>
      <c r="M292" s="13" t="s">
        <v>292</v>
      </c>
      <c r="O292" s="13" t="s">
        <v>224</v>
      </c>
      <c r="P292" s="13" t="s">
        <v>1477</v>
      </c>
    </row>
    <row r="293" ht="28.5" customHeight="1">
      <c r="A293" s="41">
        <v>42769.0</v>
      </c>
      <c r="B293" s="16" t="s">
        <v>194</v>
      </c>
      <c r="C293" s="16" t="s">
        <v>195</v>
      </c>
      <c r="D293" s="16" t="s">
        <v>196</v>
      </c>
      <c r="E293" s="16" t="s">
        <v>25</v>
      </c>
      <c r="F293" s="13">
        <v>7.0</v>
      </c>
      <c r="G293" s="13" t="s">
        <v>217</v>
      </c>
      <c r="L293" s="13" t="s">
        <v>236</v>
      </c>
      <c r="M293" s="13" t="s">
        <v>221</v>
      </c>
      <c r="N293" s="13" t="s">
        <v>885</v>
      </c>
      <c r="O293" s="13" t="s">
        <v>224</v>
      </c>
      <c r="P293" s="13" t="s">
        <v>1483</v>
      </c>
    </row>
    <row r="294" ht="28.5" customHeight="1">
      <c r="A294" s="43">
        <v>42772.0</v>
      </c>
      <c r="B294" s="16" t="s">
        <v>1035</v>
      </c>
      <c r="C294" s="16" t="s">
        <v>195</v>
      </c>
      <c r="D294" s="16" t="s">
        <v>1036</v>
      </c>
      <c r="E294" s="16" t="s">
        <v>826</v>
      </c>
      <c r="F294" s="13">
        <v>7.0</v>
      </c>
      <c r="G294" s="13" t="s">
        <v>217</v>
      </c>
      <c r="K294" s="13" t="s">
        <v>1262</v>
      </c>
      <c r="M294" s="13" t="s">
        <v>1233</v>
      </c>
      <c r="O294" s="13" t="s">
        <v>657</v>
      </c>
      <c r="P294" s="13" t="s">
        <v>1490</v>
      </c>
    </row>
    <row r="295" ht="28.5" customHeight="1">
      <c r="A295" s="42">
        <v>42769.0</v>
      </c>
      <c r="B295" s="16" t="s">
        <v>139</v>
      </c>
      <c r="C295" s="13" t="s">
        <v>250</v>
      </c>
      <c r="D295" s="13" t="s">
        <v>251</v>
      </c>
      <c r="E295" s="16" t="s">
        <v>25</v>
      </c>
      <c r="F295" s="13">
        <v>8.0</v>
      </c>
      <c r="G295" s="13" t="s">
        <v>217</v>
      </c>
      <c r="K295" s="13" t="s">
        <v>221</v>
      </c>
      <c r="L295" s="13" t="s">
        <v>256</v>
      </c>
      <c r="N295" s="13" t="s">
        <v>330</v>
      </c>
      <c r="O295" s="13" t="s">
        <v>224</v>
      </c>
      <c r="P295" s="13" t="s">
        <v>324</v>
      </c>
    </row>
    <row r="296" ht="28.5" customHeight="1">
      <c r="A296" s="41">
        <v>42769.0</v>
      </c>
      <c r="B296" s="16" t="s">
        <v>139</v>
      </c>
      <c r="C296" s="13" t="s">
        <v>250</v>
      </c>
      <c r="D296" s="13" t="s">
        <v>158</v>
      </c>
      <c r="E296" s="16" t="s">
        <v>25</v>
      </c>
      <c r="F296" s="13">
        <v>8.0</v>
      </c>
      <c r="G296" s="13" t="s">
        <v>217</v>
      </c>
      <c r="K296" s="13" t="s">
        <v>221</v>
      </c>
      <c r="L296" s="13" t="s">
        <v>1495</v>
      </c>
      <c r="M296" s="13"/>
      <c r="N296" s="13" t="s">
        <v>1348</v>
      </c>
      <c r="O296" s="13" t="s">
        <v>224</v>
      </c>
      <c r="P296" s="13"/>
    </row>
    <row r="297" ht="28.5" customHeight="1">
      <c r="A297" s="41">
        <v>42769.0</v>
      </c>
      <c r="B297" s="16" t="s">
        <v>139</v>
      </c>
      <c r="C297" s="13" t="s">
        <v>250</v>
      </c>
      <c r="D297" s="13" t="s">
        <v>158</v>
      </c>
      <c r="E297" s="16" t="s">
        <v>25</v>
      </c>
      <c r="F297" s="13">
        <v>8.0</v>
      </c>
      <c r="G297" s="13" t="s">
        <v>200</v>
      </c>
      <c r="I297" s="13" t="s">
        <v>702</v>
      </c>
      <c r="K297" s="13" t="s">
        <v>1498</v>
      </c>
      <c r="L297" s="13" t="s">
        <v>322</v>
      </c>
      <c r="M297" s="13" t="s">
        <v>221</v>
      </c>
      <c r="N297" s="13" t="s">
        <v>1499</v>
      </c>
      <c r="O297" s="13" t="s">
        <v>224</v>
      </c>
      <c r="P297" s="13"/>
    </row>
    <row r="298" ht="28.5" customHeight="1">
      <c r="A298" s="41">
        <v>42769.0</v>
      </c>
      <c r="B298" s="16" t="s">
        <v>85</v>
      </c>
      <c r="C298" s="16" t="s">
        <v>86</v>
      </c>
      <c r="D298" s="16" t="s">
        <v>87</v>
      </c>
      <c r="E298" s="16" t="s">
        <v>25</v>
      </c>
      <c r="F298" s="13">
        <v>8.0</v>
      </c>
      <c r="G298" s="13" t="s">
        <v>217</v>
      </c>
      <c r="K298" s="13"/>
      <c r="L298" s="13" t="s">
        <v>1274</v>
      </c>
      <c r="M298" s="13" t="s">
        <v>221</v>
      </c>
      <c r="N298" s="13" t="s">
        <v>236</v>
      </c>
      <c r="O298" s="13" t="s">
        <v>224</v>
      </c>
      <c r="P298" s="13"/>
    </row>
    <row r="299" ht="28.5" customHeight="1">
      <c r="A299" s="41">
        <v>42769.0</v>
      </c>
      <c r="B299" s="16" t="s">
        <v>85</v>
      </c>
      <c r="C299" s="16" t="s">
        <v>86</v>
      </c>
      <c r="D299" s="16" t="s">
        <v>87</v>
      </c>
      <c r="E299" s="16" t="s">
        <v>25</v>
      </c>
      <c r="F299" s="13">
        <v>8.0</v>
      </c>
      <c r="G299" s="13" t="s">
        <v>217</v>
      </c>
      <c r="K299" s="13"/>
      <c r="L299" s="13" t="s">
        <v>224</v>
      </c>
      <c r="M299" s="13" t="s">
        <v>221</v>
      </c>
      <c r="N299" s="13" t="s">
        <v>1013</v>
      </c>
      <c r="O299" s="13" t="s">
        <v>224</v>
      </c>
      <c r="P299" s="13"/>
    </row>
    <row r="300" ht="28.5" customHeight="1">
      <c r="A300" s="11">
        <v>42771.0</v>
      </c>
      <c r="B300" s="13" t="s">
        <v>316</v>
      </c>
      <c r="C300" s="16" t="s">
        <v>317</v>
      </c>
      <c r="D300" s="16" t="s">
        <v>318</v>
      </c>
      <c r="E300" s="16" t="s">
        <v>230</v>
      </c>
      <c r="F300" s="13">
        <v>8.0</v>
      </c>
      <c r="G300" s="13" t="s">
        <v>217</v>
      </c>
      <c r="K300" s="13"/>
      <c r="L300" s="13" t="s">
        <v>236</v>
      </c>
      <c r="M300" s="13" t="s">
        <v>221</v>
      </c>
      <c r="N300" s="13" t="s">
        <v>1274</v>
      </c>
      <c r="O300" s="13" t="s">
        <v>224</v>
      </c>
      <c r="P300" s="13" t="s">
        <v>319</v>
      </c>
    </row>
    <row r="301" ht="28.5" customHeight="1">
      <c r="A301" s="11">
        <v>42771.0</v>
      </c>
      <c r="B301" s="13" t="s">
        <v>316</v>
      </c>
      <c r="C301" s="16" t="s">
        <v>317</v>
      </c>
      <c r="D301" s="16" t="s">
        <v>318</v>
      </c>
      <c r="E301" s="16" t="s">
        <v>230</v>
      </c>
      <c r="F301" s="13">
        <v>8.0</v>
      </c>
      <c r="G301" s="13" t="s">
        <v>217</v>
      </c>
      <c r="H301" s="13"/>
      <c r="I301" s="13"/>
      <c r="K301" s="13" t="s">
        <v>221</v>
      </c>
      <c r="L301" s="13" t="s">
        <v>276</v>
      </c>
      <c r="M301" s="13"/>
      <c r="N301" s="13" t="s">
        <v>258</v>
      </c>
      <c r="O301" s="13" t="s">
        <v>224</v>
      </c>
      <c r="P301" s="13" t="s">
        <v>324</v>
      </c>
    </row>
    <row r="302" ht="28.5" customHeight="1">
      <c r="A302" s="11">
        <v>42771.0</v>
      </c>
      <c r="B302" s="13" t="s">
        <v>316</v>
      </c>
      <c r="C302" s="16" t="s">
        <v>317</v>
      </c>
      <c r="D302" s="16" t="s">
        <v>318</v>
      </c>
      <c r="E302" s="16" t="s">
        <v>230</v>
      </c>
      <c r="F302" s="13">
        <v>8.0</v>
      </c>
      <c r="G302" s="13" t="s">
        <v>217</v>
      </c>
      <c r="L302" s="13" t="s">
        <v>1133</v>
      </c>
      <c r="M302" s="13" t="s">
        <v>221</v>
      </c>
      <c r="N302" s="13" t="s">
        <v>222</v>
      </c>
      <c r="O302" s="13" t="s">
        <v>224</v>
      </c>
      <c r="P302" s="13" t="s">
        <v>324</v>
      </c>
    </row>
    <row r="303" ht="28.5" customHeight="1">
      <c r="A303" s="11">
        <v>42771.0</v>
      </c>
      <c r="B303" s="13" t="s">
        <v>316</v>
      </c>
      <c r="C303" s="16" t="s">
        <v>317</v>
      </c>
      <c r="D303" s="16" t="s">
        <v>318</v>
      </c>
      <c r="E303" s="16" t="s">
        <v>230</v>
      </c>
      <c r="F303" s="13">
        <v>8.0</v>
      </c>
      <c r="G303" s="13" t="s">
        <v>217</v>
      </c>
      <c r="K303" s="13" t="s">
        <v>292</v>
      </c>
      <c r="L303" s="13" t="s">
        <v>315</v>
      </c>
      <c r="M303" s="13"/>
      <c r="N303" s="13" t="s">
        <v>256</v>
      </c>
      <c r="O303" s="13" t="s">
        <v>224</v>
      </c>
      <c r="P303" s="13" t="s">
        <v>324</v>
      </c>
    </row>
    <row r="304" ht="28.5" customHeight="1">
      <c r="A304" s="41">
        <v>42774.0</v>
      </c>
      <c r="B304" s="16" t="s">
        <v>362</v>
      </c>
      <c r="C304" s="16" t="s">
        <v>363</v>
      </c>
      <c r="D304" s="16" t="s">
        <v>1328</v>
      </c>
      <c r="E304" s="16" t="s">
        <v>268</v>
      </c>
      <c r="F304" s="16">
        <v>8.0</v>
      </c>
      <c r="G304" s="16" t="s">
        <v>269</v>
      </c>
      <c r="H304" s="13" t="s">
        <v>1218</v>
      </c>
      <c r="I304" s="13" t="s">
        <v>270</v>
      </c>
      <c r="J304" s="13" t="s">
        <v>366</v>
      </c>
      <c r="K304" s="13" t="s">
        <v>222</v>
      </c>
      <c r="L304" s="13"/>
      <c r="M304" s="13" t="s">
        <v>222</v>
      </c>
      <c r="N304" s="13" t="s">
        <v>221</v>
      </c>
      <c r="O304" s="13" t="s">
        <v>224</v>
      </c>
      <c r="P304" s="13"/>
    </row>
    <row r="305" ht="28.5" customHeight="1">
      <c r="A305" s="41">
        <v>42774.0</v>
      </c>
      <c r="B305" s="16" t="s">
        <v>362</v>
      </c>
      <c r="C305" s="16" t="s">
        <v>363</v>
      </c>
      <c r="D305" s="16" t="s">
        <v>364</v>
      </c>
      <c r="E305" s="16" t="s">
        <v>268</v>
      </c>
      <c r="F305" s="13">
        <v>8.0</v>
      </c>
      <c r="G305" s="13" t="s">
        <v>217</v>
      </c>
      <c r="H305" s="13"/>
      <c r="I305" s="13"/>
      <c r="J305" s="13"/>
      <c r="K305" s="13" t="s">
        <v>221</v>
      </c>
      <c r="L305" s="13" t="s">
        <v>222</v>
      </c>
      <c r="M305" s="13"/>
      <c r="N305" s="13" t="s">
        <v>330</v>
      </c>
      <c r="O305" s="13" t="s">
        <v>224</v>
      </c>
      <c r="P305" s="13" t="s">
        <v>319</v>
      </c>
    </row>
    <row r="306" ht="28.5" customHeight="1">
      <c r="A306" s="41">
        <v>42774.0</v>
      </c>
      <c r="B306" s="16" t="s">
        <v>362</v>
      </c>
      <c r="C306" s="16" t="s">
        <v>363</v>
      </c>
      <c r="D306" s="16" t="s">
        <v>364</v>
      </c>
      <c r="E306" s="16" t="s">
        <v>268</v>
      </c>
      <c r="F306" s="13">
        <v>8.0</v>
      </c>
      <c r="G306" s="13" t="s">
        <v>217</v>
      </c>
      <c r="H306" s="13"/>
      <c r="I306" s="13"/>
      <c r="J306" s="13"/>
      <c r="K306" s="13"/>
      <c r="L306" s="13" t="s">
        <v>236</v>
      </c>
      <c r="M306" s="13" t="s">
        <v>221</v>
      </c>
      <c r="N306" s="13" t="s">
        <v>924</v>
      </c>
      <c r="O306" s="13" t="s">
        <v>224</v>
      </c>
      <c r="P306" s="13" t="s">
        <v>319</v>
      </c>
    </row>
    <row r="307" ht="28.5" customHeight="1">
      <c r="A307" s="41">
        <v>42774.0</v>
      </c>
      <c r="B307" s="16" t="s">
        <v>362</v>
      </c>
      <c r="C307" s="16" t="s">
        <v>363</v>
      </c>
      <c r="D307" s="16" t="s">
        <v>364</v>
      </c>
      <c r="E307" s="16" t="s">
        <v>268</v>
      </c>
      <c r="F307" s="13">
        <v>8.0</v>
      </c>
      <c r="G307" s="13" t="s">
        <v>217</v>
      </c>
      <c r="H307" s="13"/>
      <c r="I307" s="13"/>
      <c r="J307" s="13"/>
      <c r="K307" s="13"/>
      <c r="L307" s="13" t="s">
        <v>1133</v>
      </c>
      <c r="M307" s="13" t="s">
        <v>221</v>
      </c>
      <c r="N307" s="13" t="s">
        <v>256</v>
      </c>
      <c r="O307" s="13" t="s">
        <v>224</v>
      </c>
      <c r="P307" s="13" t="s">
        <v>1530</v>
      </c>
    </row>
    <row r="308" ht="28.5" customHeight="1">
      <c r="A308" s="41">
        <v>42769.0</v>
      </c>
      <c r="B308" s="16" t="s">
        <v>194</v>
      </c>
      <c r="C308" s="16" t="s">
        <v>195</v>
      </c>
      <c r="D308" s="16" t="s">
        <v>196</v>
      </c>
      <c r="E308" s="16" t="s">
        <v>25</v>
      </c>
      <c r="F308" s="13">
        <v>8.0</v>
      </c>
      <c r="G308" s="13" t="s">
        <v>516</v>
      </c>
      <c r="H308" s="13" t="s">
        <v>1540</v>
      </c>
      <c r="I308" s="13" t="s">
        <v>684</v>
      </c>
      <c r="J308" s="13" t="s">
        <v>511</v>
      </c>
      <c r="K308" s="13" t="s">
        <v>221</v>
      </c>
      <c r="L308" s="13" t="s">
        <v>315</v>
      </c>
      <c r="N308" s="13" t="s">
        <v>338</v>
      </c>
      <c r="O308" s="13" t="s">
        <v>224</v>
      </c>
      <c r="P308" s="13" t="s">
        <v>1541</v>
      </c>
    </row>
    <row r="309" ht="28.5" customHeight="1">
      <c r="A309" s="41">
        <v>42769.0</v>
      </c>
      <c r="B309" s="16" t="s">
        <v>194</v>
      </c>
      <c r="C309" s="16" t="s">
        <v>195</v>
      </c>
      <c r="D309" s="16" t="s">
        <v>196</v>
      </c>
      <c r="E309" s="16" t="s">
        <v>25</v>
      </c>
      <c r="F309" s="13">
        <v>8.0</v>
      </c>
      <c r="G309" s="13" t="s">
        <v>516</v>
      </c>
      <c r="L309" s="13" t="s">
        <v>338</v>
      </c>
      <c r="M309" s="13" t="s">
        <v>221</v>
      </c>
      <c r="N309" s="13" t="s">
        <v>236</v>
      </c>
      <c r="O309" s="13" t="s">
        <v>224</v>
      </c>
      <c r="P309" s="13" t="s">
        <v>1542</v>
      </c>
    </row>
    <row r="310" ht="28.5" customHeight="1">
      <c r="A310" s="41">
        <v>42769.0</v>
      </c>
      <c r="B310" s="16" t="s">
        <v>194</v>
      </c>
      <c r="C310" s="16" t="s">
        <v>195</v>
      </c>
      <c r="D310" s="16" t="s">
        <v>196</v>
      </c>
      <c r="E310" s="16" t="s">
        <v>25</v>
      </c>
      <c r="F310" s="13">
        <v>8.0</v>
      </c>
      <c r="G310" s="13" t="s">
        <v>217</v>
      </c>
      <c r="L310" s="13" t="s">
        <v>924</v>
      </c>
      <c r="M310" s="13" t="s">
        <v>221</v>
      </c>
      <c r="N310" s="13" t="s">
        <v>276</v>
      </c>
      <c r="O310" s="13" t="s">
        <v>224</v>
      </c>
      <c r="P310" s="13" t="s">
        <v>1544</v>
      </c>
    </row>
    <row r="311" ht="28.5" customHeight="1">
      <c r="A311" s="42">
        <v>42772.0</v>
      </c>
      <c r="B311" s="16" t="s">
        <v>139</v>
      </c>
      <c r="C311" s="13" t="s">
        <v>341</v>
      </c>
      <c r="D311" s="13" t="s">
        <v>1155</v>
      </c>
      <c r="E311" s="16" t="s">
        <v>826</v>
      </c>
      <c r="F311" s="13">
        <v>8.0</v>
      </c>
      <c r="G311" s="13" t="s">
        <v>217</v>
      </c>
      <c r="K311" s="13" t="s">
        <v>1550</v>
      </c>
      <c r="M311" s="13" t="s">
        <v>881</v>
      </c>
      <c r="O311" s="13" t="s">
        <v>224</v>
      </c>
      <c r="P311" s="13" t="s">
        <v>1553</v>
      </c>
    </row>
    <row r="312" ht="28.5" customHeight="1">
      <c r="A312" s="42">
        <v>42774.0</v>
      </c>
      <c r="B312" s="16" t="s">
        <v>987</v>
      </c>
      <c r="C312" s="13" t="s">
        <v>341</v>
      </c>
      <c r="D312" s="13" t="s">
        <v>988</v>
      </c>
      <c r="E312" s="16" t="s">
        <v>268</v>
      </c>
      <c r="F312" s="13">
        <v>8.0</v>
      </c>
      <c r="G312" s="13" t="s">
        <v>200</v>
      </c>
      <c r="H312" s="13" t="s">
        <v>1554</v>
      </c>
      <c r="I312" s="13" t="s">
        <v>392</v>
      </c>
      <c r="J312" s="13" t="s">
        <v>511</v>
      </c>
      <c r="K312" s="13" t="s">
        <v>992</v>
      </c>
      <c r="L312" s="13" t="s">
        <v>1229</v>
      </c>
      <c r="M312" s="13" t="s">
        <v>1310</v>
      </c>
      <c r="N312" s="13" t="s">
        <v>1034</v>
      </c>
      <c r="O312" s="13" t="s">
        <v>224</v>
      </c>
      <c r="P312" s="13" t="s">
        <v>1556</v>
      </c>
    </row>
    <row r="313" ht="28.5" customHeight="1">
      <c r="A313" s="41">
        <v>42769.0</v>
      </c>
      <c r="B313" s="16" t="s">
        <v>139</v>
      </c>
      <c r="C313" s="13" t="s">
        <v>250</v>
      </c>
      <c r="D313" s="13" t="s">
        <v>158</v>
      </c>
      <c r="E313" s="16" t="s">
        <v>25</v>
      </c>
      <c r="F313" s="13">
        <v>9.0</v>
      </c>
      <c r="G313" s="13" t="s">
        <v>217</v>
      </c>
      <c r="K313" s="13" t="s">
        <v>221</v>
      </c>
      <c r="L313" s="13" t="s">
        <v>1557</v>
      </c>
      <c r="M313" s="13"/>
      <c r="N313" s="13" t="s">
        <v>338</v>
      </c>
      <c r="O313" s="13" t="s">
        <v>224</v>
      </c>
      <c r="P313" s="13"/>
    </row>
    <row r="314" ht="28.5" customHeight="1">
      <c r="A314" s="11">
        <v>42771.0</v>
      </c>
      <c r="B314" s="13" t="s">
        <v>316</v>
      </c>
      <c r="C314" s="16" t="s">
        <v>317</v>
      </c>
      <c r="D314" s="16" t="s">
        <v>318</v>
      </c>
      <c r="E314" s="16" t="s">
        <v>230</v>
      </c>
      <c r="F314" s="13">
        <v>9.0</v>
      </c>
      <c r="G314" s="13" t="s">
        <v>217</v>
      </c>
      <c r="L314" s="13" t="s">
        <v>224</v>
      </c>
      <c r="M314" s="13" t="s">
        <v>221</v>
      </c>
      <c r="N314" s="13" t="s">
        <v>585</v>
      </c>
      <c r="O314" s="13" t="s">
        <v>224</v>
      </c>
      <c r="P314" s="13" t="s">
        <v>319</v>
      </c>
    </row>
    <row r="315" ht="28.5" customHeight="1">
      <c r="A315" s="11">
        <v>42771.0</v>
      </c>
      <c r="B315" s="13" t="s">
        <v>316</v>
      </c>
      <c r="C315" s="16" t="s">
        <v>317</v>
      </c>
      <c r="D315" s="16" t="s">
        <v>318</v>
      </c>
      <c r="E315" s="16" t="s">
        <v>230</v>
      </c>
      <c r="F315" s="13">
        <v>9.0</v>
      </c>
      <c r="G315" s="13" t="s">
        <v>217</v>
      </c>
      <c r="K315" s="13" t="s">
        <v>221</v>
      </c>
      <c r="L315" s="13" t="s">
        <v>276</v>
      </c>
      <c r="N315" s="13" t="s">
        <v>881</v>
      </c>
      <c r="O315" s="13" t="s">
        <v>224</v>
      </c>
      <c r="P315" s="13" t="s">
        <v>324</v>
      </c>
    </row>
    <row r="316" ht="28.5" customHeight="1">
      <c r="A316" s="41">
        <v>42774.0</v>
      </c>
      <c r="B316" s="16" t="s">
        <v>362</v>
      </c>
      <c r="C316" s="16" t="s">
        <v>363</v>
      </c>
      <c r="D316" s="16" t="s">
        <v>364</v>
      </c>
      <c r="E316" s="16" t="s">
        <v>268</v>
      </c>
      <c r="F316" s="13">
        <v>9.0</v>
      </c>
      <c r="G316" s="13" t="s">
        <v>200</v>
      </c>
      <c r="H316" s="13" t="s">
        <v>1561</v>
      </c>
      <c r="I316" s="13" t="s">
        <v>392</v>
      </c>
      <c r="J316" s="13" t="s">
        <v>366</v>
      </c>
      <c r="K316" s="13" t="s">
        <v>221</v>
      </c>
      <c r="L316" s="13" t="s">
        <v>291</v>
      </c>
      <c r="M316" s="13" t="s">
        <v>1235</v>
      </c>
      <c r="N316" s="13" t="s">
        <v>1233</v>
      </c>
      <c r="O316" s="13" t="s">
        <v>224</v>
      </c>
      <c r="P316" s="13"/>
    </row>
    <row r="317" ht="28.5" customHeight="1">
      <c r="A317" s="41">
        <v>42769.0</v>
      </c>
      <c r="B317" s="16" t="s">
        <v>194</v>
      </c>
      <c r="C317" s="16" t="s">
        <v>195</v>
      </c>
      <c r="D317" s="16" t="s">
        <v>196</v>
      </c>
      <c r="E317" s="16" t="s">
        <v>25</v>
      </c>
      <c r="F317" s="13">
        <v>9.0</v>
      </c>
      <c r="G317" s="13" t="s">
        <v>217</v>
      </c>
      <c r="L317" s="13" t="s">
        <v>224</v>
      </c>
      <c r="M317" s="13" t="s">
        <v>221</v>
      </c>
      <c r="N317" s="13" t="s">
        <v>233</v>
      </c>
      <c r="O317" s="13" t="s">
        <v>1566</v>
      </c>
      <c r="P317" s="13" t="s">
        <v>1567</v>
      </c>
    </row>
    <row r="318" ht="28.5" customHeight="1">
      <c r="A318" s="42">
        <v>42772.0</v>
      </c>
      <c r="B318" s="16" t="s">
        <v>139</v>
      </c>
      <c r="C318" s="13" t="s">
        <v>341</v>
      </c>
      <c r="D318" s="13" t="s">
        <v>1155</v>
      </c>
      <c r="E318" s="16" t="s">
        <v>826</v>
      </c>
      <c r="F318" s="13">
        <v>9.0</v>
      </c>
      <c r="G318" s="13" t="s">
        <v>217</v>
      </c>
      <c r="K318" s="13" t="s">
        <v>1140</v>
      </c>
      <c r="M318" s="13" t="s">
        <v>252</v>
      </c>
      <c r="O318" s="13" t="s">
        <v>224</v>
      </c>
      <c r="P318" s="13" t="s">
        <v>1568</v>
      </c>
    </row>
    <row r="319" ht="28.5" customHeight="1">
      <c r="A319" s="42">
        <v>42772.0</v>
      </c>
      <c r="B319" s="16" t="s">
        <v>139</v>
      </c>
      <c r="C319" s="13" t="s">
        <v>341</v>
      </c>
      <c r="D319" s="13" t="s">
        <v>1155</v>
      </c>
      <c r="E319" s="16" t="s">
        <v>826</v>
      </c>
      <c r="F319" s="13">
        <v>9.0</v>
      </c>
      <c r="G319" s="13" t="s">
        <v>217</v>
      </c>
      <c r="K319" s="13" t="s">
        <v>221</v>
      </c>
      <c r="L319" s="13" t="s">
        <v>256</v>
      </c>
      <c r="N319" s="13" t="s">
        <v>1274</v>
      </c>
      <c r="O319" s="13" t="s">
        <v>224</v>
      </c>
      <c r="P319" s="13" t="s">
        <v>1569</v>
      </c>
    </row>
    <row r="320" ht="28.5" customHeight="1">
      <c r="A320" s="42">
        <v>42772.0</v>
      </c>
      <c r="B320" s="16" t="s">
        <v>139</v>
      </c>
      <c r="C320" s="13" t="s">
        <v>341</v>
      </c>
      <c r="D320" s="13" t="s">
        <v>1155</v>
      </c>
      <c r="E320" s="16" t="s">
        <v>826</v>
      </c>
      <c r="F320" s="13">
        <v>9.0</v>
      </c>
      <c r="G320" s="13" t="s">
        <v>217</v>
      </c>
      <c r="K320" s="13" t="s">
        <v>1082</v>
      </c>
      <c r="M320" s="13" t="s">
        <v>1573</v>
      </c>
      <c r="O320" s="13" t="s">
        <v>224</v>
      </c>
      <c r="P320" s="13" t="s">
        <v>1576</v>
      </c>
    </row>
    <row r="321" ht="28.5" customHeight="1">
      <c r="A321" s="42">
        <v>42772.0</v>
      </c>
      <c r="B321" s="16" t="s">
        <v>139</v>
      </c>
      <c r="C321" s="13" t="s">
        <v>341</v>
      </c>
      <c r="D321" s="13" t="s">
        <v>1155</v>
      </c>
      <c r="E321" s="16" t="s">
        <v>826</v>
      </c>
      <c r="F321" s="13">
        <v>9.0</v>
      </c>
      <c r="G321" s="13" t="s">
        <v>217</v>
      </c>
      <c r="K321" s="13" t="s">
        <v>585</v>
      </c>
      <c r="M321" s="13" t="s">
        <v>1082</v>
      </c>
      <c r="O321" s="13" t="s">
        <v>224</v>
      </c>
      <c r="P321" s="13" t="s">
        <v>1577</v>
      </c>
    </row>
    <row r="322" ht="28.5" customHeight="1">
      <c r="A322" s="43">
        <v>42773.0</v>
      </c>
      <c r="B322" s="16" t="s">
        <v>1160</v>
      </c>
      <c r="C322" s="13" t="s">
        <v>1162</v>
      </c>
      <c r="D322" s="13" t="s">
        <v>1163</v>
      </c>
      <c r="E322" s="16" t="s">
        <v>935</v>
      </c>
      <c r="F322" s="13">
        <v>9.0</v>
      </c>
      <c r="G322" s="13" t="s">
        <v>200</v>
      </c>
      <c r="I322" s="13" t="s">
        <v>211</v>
      </c>
      <c r="K322" s="13" t="s">
        <v>211</v>
      </c>
      <c r="L322" s="13" t="s">
        <v>1578</v>
      </c>
      <c r="M322" s="13" t="s">
        <v>1289</v>
      </c>
      <c r="N322" s="13" t="s">
        <v>1579</v>
      </c>
      <c r="O322" s="13" t="s">
        <v>247</v>
      </c>
      <c r="P322" s="13" t="s">
        <v>1581</v>
      </c>
    </row>
    <row r="323" ht="28.5" customHeight="1">
      <c r="A323" s="11">
        <v>42771.0</v>
      </c>
      <c r="B323" s="13" t="s">
        <v>316</v>
      </c>
      <c r="C323" s="16" t="s">
        <v>317</v>
      </c>
      <c r="D323" s="16" t="s">
        <v>318</v>
      </c>
      <c r="E323" s="16" t="s">
        <v>230</v>
      </c>
      <c r="F323" s="13">
        <v>10.0</v>
      </c>
      <c r="G323" s="13" t="s">
        <v>217</v>
      </c>
      <c r="H323" s="13"/>
      <c r="I323" s="13"/>
      <c r="J323" s="13"/>
      <c r="K323" s="13" t="s">
        <v>221</v>
      </c>
      <c r="L323" s="13" t="s">
        <v>224</v>
      </c>
      <c r="M323" s="13"/>
      <c r="N323" s="13" t="s">
        <v>238</v>
      </c>
      <c r="O323" s="13" t="s">
        <v>224</v>
      </c>
      <c r="P323" s="13" t="s">
        <v>319</v>
      </c>
    </row>
    <row r="324" ht="28.5" customHeight="1">
      <c r="A324" s="11">
        <v>42771.0</v>
      </c>
      <c r="B324" s="13" t="s">
        <v>316</v>
      </c>
      <c r="C324" s="16" t="s">
        <v>317</v>
      </c>
      <c r="D324" s="16" t="s">
        <v>318</v>
      </c>
      <c r="E324" s="16" t="s">
        <v>230</v>
      </c>
      <c r="F324" s="13">
        <v>10.0</v>
      </c>
      <c r="G324" s="13" t="s">
        <v>217</v>
      </c>
      <c r="H324" s="13"/>
      <c r="I324" s="13"/>
      <c r="J324" s="13"/>
      <c r="K324" s="13"/>
      <c r="L324" s="13" t="s">
        <v>881</v>
      </c>
      <c r="M324" s="13" t="s">
        <v>221</v>
      </c>
      <c r="N324" s="13" t="s">
        <v>276</v>
      </c>
      <c r="O324" s="13" t="s">
        <v>224</v>
      </c>
      <c r="P324" s="13" t="s">
        <v>324</v>
      </c>
    </row>
    <row r="325" ht="28.5" customHeight="1">
      <c r="A325" s="41">
        <v>42774.0</v>
      </c>
      <c r="B325" s="16" t="s">
        <v>362</v>
      </c>
      <c r="C325" s="16" t="s">
        <v>363</v>
      </c>
      <c r="D325" s="16" t="s">
        <v>364</v>
      </c>
      <c r="E325" s="16" t="s">
        <v>268</v>
      </c>
      <c r="F325" s="13">
        <v>10.0</v>
      </c>
      <c r="G325" s="13" t="s">
        <v>200</v>
      </c>
      <c r="H325" s="13" t="s">
        <v>1589</v>
      </c>
      <c r="I325" s="13" t="s">
        <v>392</v>
      </c>
      <c r="J325" s="13" t="s">
        <v>366</v>
      </c>
      <c r="K325" s="13" t="s">
        <v>1235</v>
      </c>
      <c r="L325" s="13" t="s">
        <v>1590</v>
      </c>
      <c r="M325" s="13" t="s">
        <v>221</v>
      </c>
      <c r="N325" s="13" t="s">
        <v>1592</v>
      </c>
      <c r="O325" s="13" t="s">
        <v>224</v>
      </c>
      <c r="P325" s="13" t="s">
        <v>1593</v>
      </c>
    </row>
    <row r="326" ht="28.5" customHeight="1">
      <c r="A326" s="41">
        <v>42769.0</v>
      </c>
      <c r="B326" s="16" t="s">
        <v>194</v>
      </c>
      <c r="C326" s="16" t="s">
        <v>195</v>
      </c>
      <c r="D326" s="16" t="s">
        <v>196</v>
      </c>
      <c r="E326" s="16" t="s">
        <v>25</v>
      </c>
      <c r="F326" s="13">
        <v>10.0</v>
      </c>
      <c r="G326" s="13" t="s">
        <v>217</v>
      </c>
      <c r="M326" s="13" t="s">
        <v>221</v>
      </c>
      <c r="N326" s="13" t="s">
        <v>327</v>
      </c>
      <c r="O326" s="13" t="s">
        <v>224</v>
      </c>
      <c r="P326" s="13" t="s">
        <v>1597</v>
      </c>
    </row>
    <row r="327" ht="28.5" customHeight="1">
      <c r="A327" s="42">
        <v>42772.0</v>
      </c>
      <c r="B327" s="16" t="s">
        <v>139</v>
      </c>
      <c r="C327" s="13" t="s">
        <v>341</v>
      </c>
      <c r="D327" s="13" t="s">
        <v>1155</v>
      </c>
      <c r="E327" s="16" t="s">
        <v>826</v>
      </c>
      <c r="F327" s="13">
        <v>10.0</v>
      </c>
      <c r="K327" s="13" t="s">
        <v>885</v>
      </c>
      <c r="M327" s="13" t="s">
        <v>500</v>
      </c>
      <c r="O327" s="13" t="s">
        <v>224</v>
      </c>
      <c r="P327" s="13" t="s">
        <v>1598</v>
      </c>
    </row>
    <row r="328" ht="28.5" customHeight="1">
      <c r="A328" s="43">
        <v>42773.0</v>
      </c>
      <c r="B328" s="16" t="s">
        <v>1160</v>
      </c>
      <c r="C328" s="13" t="s">
        <v>1162</v>
      </c>
      <c r="D328" s="13" t="s">
        <v>1163</v>
      </c>
      <c r="E328" s="16" t="s">
        <v>935</v>
      </c>
      <c r="F328" s="13">
        <v>10.0</v>
      </c>
      <c r="G328" s="13" t="s">
        <v>200</v>
      </c>
      <c r="K328" s="13" t="s">
        <v>1289</v>
      </c>
      <c r="L328" s="13" t="s">
        <v>741</v>
      </c>
      <c r="N328" s="13" t="s">
        <v>1599</v>
      </c>
      <c r="O328" s="13" t="s">
        <v>224</v>
      </c>
      <c r="P328" s="13" t="s">
        <v>1600</v>
      </c>
    </row>
    <row r="329" ht="28.5" customHeight="1">
      <c r="A329" s="41">
        <v>42769.0</v>
      </c>
      <c r="B329" s="16" t="s">
        <v>139</v>
      </c>
      <c r="C329" s="13" t="s">
        <v>250</v>
      </c>
      <c r="D329" s="13" t="s">
        <v>158</v>
      </c>
      <c r="E329" s="16" t="s">
        <v>25</v>
      </c>
      <c r="F329" s="13">
        <v>11.0</v>
      </c>
      <c r="G329" s="13" t="s">
        <v>217</v>
      </c>
      <c r="K329" s="13" t="s">
        <v>221</v>
      </c>
      <c r="L329" s="13" t="s">
        <v>276</v>
      </c>
      <c r="M329" s="13"/>
      <c r="N329" s="13" t="s">
        <v>1315</v>
      </c>
      <c r="O329" s="13" t="s">
        <v>224</v>
      </c>
      <c r="P329" s="13"/>
    </row>
    <row r="330" ht="28.5" customHeight="1">
      <c r="A330" s="41">
        <v>42769.0</v>
      </c>
      <c r="B330" s="16" t="s">
        <v>139</v>
      </c>
      <c r="C330" s="13" t="s">
        <v>250</v>
      </c>
      <c r="D330" s="13" t="s">
        <v>158</v>
      </c>
      <c r="E330" s="16" t="s">
        <v>25</v>
      </c>
      <c r="F330" s="13">
        <v>11.0</v>
      </c>
      <c r="G330" s="13" t="s">
        <v>217</v>
      </c>
      <c r="K330" s="13" t="s">
        <v>221</v>
      </c>
      <c r="L330" s="13" t="s">
        <v>439</v>
      </c>
      <c r="M330" s="13"/>
      <c r="N330" s="13" t="s">
        <v>1229</v>
      </c>
      <c r="O330" s="13" t="s">
        <v>224</v>
      </c>
      <c r="P330" s="13"/>
    </row>
    <row r="331" ht="28.5" customHeight="1">
      <c r="A331" s="41">
        <v>42769.0</v>
      </c>
      <c r="B331" s="16" t="s">
        <v>139</v>
      </c>
      <c r="C331" s="13" t="s">
        <v>250</v>
      </c>
      <c r="D331" s="13" t="s">
        <v>158</v>
      </c>
      <c r="E331" s="16" t="s">
        <v>25</v>
      </c>
      <c r="F331" s="13">
        <v>11.0</v>
      </c>
      <c r="G331" s="13" t="s">
        <v>217</v>
      </c>
      <c r="I331" s="13"/>
      <c r="K331" s="13" t="s">
        <v>221</v>
      </c>
      <c r="L331" s="13" t="s">
        <v>276</v>
      </c>
      <c r="M331" s="13"/>
      <c r="N331" s="13" t="s">
        <v>1013</v>
      </c>
      <c r="O331" s="13" t="s">
        <v>224</v>
      </c>
      <c r="P331" s="13"/>
    </row>
    <row r="332" ht="28.5" customHeight="1">
      <c r="A332" s="41">
        <v>42769.0</v>
      </c>
      <c r="B332" s="16" t="s">
        <v>139</v>
      </c>
      <c r="C332" s="13" t="s">
        <v>250</v>
      </c>
      <c r="D332" s="13" t="s">
        <v>158</v>
      </c>
      <c r="E332" s="16" t="s">
        <v>25</v>
      </c>
      <c r="F332" s="13">
        <v>11.0</v>
      </c>
      <c r="G332" s="13" t="s">
        <v>217</v>
      </c>
      <c r="H332" s="13"/>
      <c r="K332" s="13" t="s">
        <v>221</v>
      </c>
      <c r="L332" s="13" t="s">
        <v>439</v>
      </c>
      <c r="M332" s="13"/>
      <c r="N332" s="13" t="s">
        <v>503</v>
      </c>
      <c r="O332" s="13" t="s">
        <v>224</v>
      </c>
      <c r="P332" s="13"/>
    </row>
    <row r="333" ht="28.5" customHeight="1">
      <c r="A333" s="41">
        <v>42769.0</v>
      </c>
      <c r="B333" s="16" t="s">
        <v>85</v>
      </c>
      <c r="C333" s="16" t="s">
        <v>86</v>
      </c>
      <c r="D333" s="16" t="s">
        <v>87</v>
      </c>
      <c r="E333" s="16" t="s">
        <v>25</v>
      </c>
      <c r="F333" s="13">
        <v>11.0</v>
      </c>
      <c r="G333" s="13" t="s">
        <v>217</v>
      </c>
      <c r="L333" s="13" t="s">
        <v>439</v>
      </c>
      <c r="M333" s="13" t="s">
        <v>221</v>
      </c>
      <c r="N333" s="13" t="s">
        <v>276</v>
      </c>
      <c r="O333" s="13" t="s">
        <v>224</v>
      </c>
      <c r="P333" s="13"/>
    </row>
    <row r="334" ht="28.5" customHeight="1">
      <c r="A334" s="11">
        <v>42771.0</v>
      </c>
      <c r="B334" s="13" t="s">
        <v>316</v>
      </c>
      <c r="C334" s="16" t="s">
        <v>317</v>
      </c>
      <c r="D334" s="16" t="s">
        <v>318</v>
      </c>
      <c r="E334" s="16" t="s">
        <v>230</v>
      </c>
      <c r="F334" s="13">
        <v>11.0</v>
      </c>
      <c r="G334" s="13" t="s">
        <v>217</v>
      </c>
      <c r="H334" s="13"/>
      <c r="I334" s="13"/>
      <c r="J334" s="13"/>
      <c r="K334" s="13"/>
      <c r="L334" s="13" t="s">
        <v>279</v>
      </c>
      <c r="M334" s="13" t="s">
        <v>221</v>
      </c>
      <c r="N334" s="13" t="s">
        <v>256</v>
      </c>
      <c r="O334" s="13" t="s">
        <v>224</v>
      </c>
      <c r="P334" s="13" t="s">
        <v>324</v>
      </c>
    </row>
    <row r="335" ht="28.5" customHeight="1">
      <c r="A335" s="11">
        <v>42771.0</v>
      </c>
      <c r="B335" s="13" t="s">
        <v>316</v>
      </c>
      <c r="C335" s="16" t="s">
        <v>317</v>
      </c>
      <c r="D335" s="16" t="s">
        <v>318</v>
      </c>
      <c r="E335" s="16" t="s">
        <v>230</v>
      </c>
      <c r="F335" s="13">
        <v>11.0</v>
      </c>
      <c r="G335" s="13" t="s">
        <v>217</v>
      </c>
      <c r="H335" s="13"/>
      <c r="I335" s="13"/>
      <c r="J335" s="13"/>
      <c r="K335" s="13" t="s">
        <v>221</v>
      </c>
      <c r="L335" s="13" t="s">
        <v>276</v>
      </c>
      <c r="M335" s="13"/>
      <c r="N335" s="13" t="s">
        <v>1550</v>
      </c>
      <c r="O335" s="13" t="s">
        <v>224</v>
      </c>
      <c r="P335" s="13" t="s">
        <v>319</v>
      </c>
    </row>
    <row r="336" ht="28.5" customHeight="1">
      <c r="A336" s="11">
        <v>42771.0</v>
      </c>
      <c r="B336" s="13" t="s">
        <v>316</v>
      </c>
      <c r="C336" s="16" t="s">
        <v>317</v>
      </c>
      <c r="D336" s="16" t="s">
        <v>318</v>
      </c>
      <c r="E336" s="16" t="s">
        <v>230</v>
      </c>
      <c r="F336" s="13">
        <v>11.0</v>
      </c>
      <c r="G336" s="13" t="s">
        <v>217</v>
      </c>
      <c r="H336" s="13"/>
      <c r="I336" s="13"/>
      <c r="J336" s="13"/>
      <c r="K336" s="13"/>
      <c r="L336" s="13" t="s">
        <v>1626</v>
      </c>
      <c r="M336" s="13" t="s">
        <v>221</v>
      </c>
      <c r="N336" s="13" t="s">
        <v>871</v>
      </c>
      <c r="O336" s="13" t="s">
        <v>224</v>
      </c>
      <c r="P336" s="13" t="s">
        <v>319</v>
      </c>
    </row>
    <row r="337" ht="28.5" customHeight="1">
      <c r="A337" s="11">
        <v>42771.0</v>
      </c>
      <c r="B337" s="13" t="s">
        <v>316</v>
      </c>
      <c r="C337" s="16" t="s">
        <v>317</v>
      </c>
      <c r="D337" s="16" t="s">
        <v>318</v>
      </c>
      <c r="E337" s="16" t="s">
        <v>230</v>
      </c>
      <c r="F337" s="13">
        <v>11.0</v>
      </c>
      <c r="G337" s="13" t="s">
        <v>217</v>
      </c>
      <c r="H337" s="13"/>
      <c r="I337" s="13"/>
      <c r="J337" s="13"/>
      <c r="K337" s="13"/>
      <c r="L337" s="13" t="s">
        <v>871</v>
      </c>
      <c r="M337" s="13" t="s">
        <v>221</v>
      </c>
      <c r="N337" s="13" t="s">
        <v>256</v>
      </c>
      <c r="O337" s="13" t="s">
        <v>224</v>
      </c>
      <c r="P337" s="13" t="s">
        <v>324</v>
      </c>
      <c r="Q337" s="13"/>
    </row>
    <row r="338" ht="28.5" customHeight="1">
      <c r="A338" s="11">
        <v>42771.0</v>
      </c>
      <c r="B338" s="13" t="s">
        <v>316</v>
      </c>
      <c r="C338" s="16" t="s">
        <v>317</v>
      </c>
      <c r="D338" s="16" t="s">
        <v>318</v>
      </c>
      <c r="E338" s="16" t="s">
        <v>230</v>
      </c>
      <c r="F338" s="13">
        <v>11.0</v>
      </c>
      <c r="G338" s="13" t="s">
        <v>217</v>
      </c>
      <c r="H338" s="13"/>
      <c r="I338" s="13"/>
      <c r="J338" s="13"/>
      <c r="K338" s="13" t="s">
        <v>292</v>
      </c>
      <c r="L338" s="13"/>
      <c r="M338" s="13"/>
      <c r="N338" s="13" t="s">
        <v>804</v>
      </c>
      <c r="O338" s="13" t="s">
        <v>224</v>
      </c>
      <c r="P338" s="13" t="s">
        <v>319</v>
      </c>
    </row>
    <row r="339" ht="28.5" customHeight="1">
      <c r="A339" s="11">
        <v>42771.0</v>
      </c>
      <c r="B339" s="13" t="s">
        <v>316</v>
      </c>
      <c r="C339" s="16" t="s">
        <v>317</v>
      </c>
      <c r="D339" s="16" t="s">
        <v>318</v>
      </c>
      <c r="E339" s="16" t="s">
        <v>230</v>
      </c>
      <c r="F339" s="13">
        <v>11.0</v>
      </c>
      <c r="G339" s="13" t="s">
        <v>217</v>
      </c>
      <c r="H339" s="13"/>
      <c r="I339" s="13"/>
      <c r="J339" s="13"/>
      <c r="K339" s="13"/>
      <c r="L339" s="13" t="s">
        <v>1315</v>
      </c>
      <c r="M339" s="13" t="s">
        <v>1644</v>
      </c>
      <c r="N339" s="13"/>
      <c r="O339" s="13" t="s">
        <v>224</v>
      </c>
      <c r="P339" s="13" t="s">
        <v>319</v>
      </c>
    </row>
    <row r="340" ht="28.5" customHeight="1">
      <c r="A340" s="11">
        <v>42771.0</v>
      </c>
      <c r="B340" s="13" t="s">
        <v>316</v>
      </c>
      <c r="C340" s="16" t="s">
        <v>317</v>
      </c>
      <c r="D340" s="16" t="s">
        <v>318</v>
      </c>
      <c r="E340" s="16" t="s">
        <v>230</v>
      </c>
      <c r="F340" s="13">
        <v>11.0</v>
      </c>
      <c r="G340" s="13" t="s">
        <v>217</v>
      </c>
      <c r="H340" s="13"/>
      <c r="I340" s="13"/>
      <c r="J340" s="13"/>
      <c r="K340" s="13" t="s">
        <v>221</v>
      </c>
      <c r="L340" s="13" t="s">
        <v>224</v>
      </c>
      <c r="M340" s="13"/>
      <c r="N340" s="13" t="s">
        <v>1217</v>
      </c>
      <c r="O340" s="13" t="s">
        <v>224</v>
      </c>
      <c r="P340" s="13" t="s">
        <v>324</v>
      </c>
    </row>
    <row r="341" ht="28.5" customHeight="1">
      <c r="A341" s="41">
        <v>42774.0</v>
      </c>
      <c r="B341" s="16" t="s">
        <v>362</v>
      </c>
      <c r="C341" s="16" t="s">
        <v>363</v>
      </c>
      <c r="D341" s="16" t="s">
        <v>364</v>
      </c>
      <c r="E341" s="16" t="s">
        <v>268</v>
      </c>
      <c r="F341" s="13">
        <v>11.0</v>
      </c>
      <c r="G341" s="13" t="s">
        <v>217</v>
      </c>
      <c r="H341" s="13"/>
      <c r="I341" s="13"/>
      <c r="J341" s="13"/>
      <c r="K341" s="13"/>
      <c r="L341" s="13" t="s">
        <v>236</v>
      </c>
      <c r="M341" s="13" t="s">
        <v>221</v>
      </c>
      <c r="N341" s="13" t="s">
        <v>1573</v>
      </c>
      <c r="O341" s="13" t="s">
        <v>224</v>
      </c>
      <c r="P341" s="13" t="s">
        <v>319</v>
      </c>
    </row>
    <row r="342" ht="28.5" customHeight="1">
      <c r="A342" s="41">
        <v>42774.0</v>
      </c>
      <c r="B342" s="16" t="s">
        <v>362</v>
      </c>
      <c r="C342" s="16" t="s">
        <v>363</v>
      </c>
      <c r="D342" s="16" t="s">
        <v>364</v>
      </c>
      <c r="E342" s="16" t="s">
        <v>268</v>
      </c>
      <c r="F342" s="13">
        <v>11.0</v>
      </c>
      <c r="G342" s="13" t="s">
        <v>217</v>
      </c>
      <c r="H342" s="13"/>
      <c r="I342" s="13"/>
      <c r="J342" s="13"/>
      <c r="K342" s="13" t="s">
        <v>221</v>
      </c>
      <c r="L342" s="13" t="s">
        <v>276</v>
      </c>
      <c r="M342" s="13"/>
      <c r="N342" s="13" t="s">
        <v>291</v>
      </c>
      <c r="O342" s="13" t="s">
        <v>224</v>
      </c>
      <c r="P342" s="13" t="s">
        <v>319</v>
      </c>
    </row>
    <row r="343" ht="28.5" customHeight="1">
      <c r="A343" s="41">
        <v>42774.0</v>
      </c>
      <c r="B343" s="16" t="s">
        <v>362</v>
      </c>
      <c r="C343" s="16" t="s">
        <v>363</v>
      </c>
      <c r="D343" s="16" t="s">
        <v>364</v>
      </c>
      <c r="E343" s="16" t="s">
        <v>268</v>
      </c>
      <c r="F343" s="13">
        <v>11.0</v>
      </c>
      <c r="G343" s="13" t="s">
        <v>217</v>
      </c>
      <c r="H343" s="13"/>
      <c r="I343" s="13"/>
      <c r="J343" s="13"/>
      <c r="K343" s="13"/>
      <c r="L343" s="13" t="s">
        <v>236</v>
      </c>
      <c r="M343" s="13" t="s">
        <v>221</v>
      </c>
      <c r="N343" s="13" t="s">
        <v>794</v>
      </c>
      <c r="O343" s="13" t="s">
        <v>224</v>
      </c>
      <c r="P343" s="13" t="s">
        <v>319</v>
      </c>
    </row>
    <row r="344" ht="28.5" customHeight="1">
      <c r="A344" s="41">
        <v>42774.0</v>
      </c>
      <c r="B344" s="16" t="s">
        <v>362</v>
      </c>
      <c r="C344" s="16" t="s">
        <v>363</v>
      </c>
      <c r="D344" s="16" t="s">
        <v>364</v>
      </c>
      <c r="E344" s="16" t="s">
        <v>268</v>
      </c>
      <c r="F344" s="13">
        <v>11.0</v>
      </c>
      <c r="G344" s="13" t="s">
        <v>217</v>
      </c>
      <c r="H344" s="13"/>
      <c r="I344" s="13"/>
      <c r="J344" s="13"/>
      <c r="K344" s="13"/>
      <c r="L344" s="13" t="s">
        <v>575</v>
      </c>
      <c r="M344" s="13" t="s">
        <v>221</v>
      </c>
      <c r="N344" s="13" t="s">
        <v>256</v>
      </c>
      <c r="O344" s="13" t="s">
        <v>224</v>
      </c>
      <c r="P344" s="13" t="s">
        <v>324</v>
      </c>
    </row>
    <row r="345" ht="28.5" customHeight="1">
      <c r="A345" s="41">
        <v>42774.0</v>
      </c>
      <c r="B345" s="16" t="s">
        <v>362</v>
      </c>
      <c r="C345" s="16" t="s">
        <v>363</v>
      </c>
      <c r="D345" s="16" t="s">
        <v>364</v>
      </c>
      <c r="E345" s="16" t="s">
        <v>268</v>
      </c>
      <c r="F345" s="13">
        <v>11.0</v>
      </c>
      <c r="G345" s="13" t="s">
        <v>217</v>
      </c>
      <c r="H345" s="13"/>
      <c r="I345" s="13"/>
      <c r="J345" s="13"/>
      <c r="K345" s="13"/>
      <c r="L345" s="13" t="s">
        <v>236</v>
      </c>
      <c r="M345" s="13" t="s">
        <v>221</v>
      </c>
      <c r="N345" s="13" t="s">
        <v>322</v>
      </c>
      <c r="O345" s="13" t="s">
        <v>224</v>
      </c>
      <c r="P345" s="13" t="s">
        <v>324</v>
      </c>
    </row>
    <row r="346" ht="28.5" customHeight="1">
      <c r="A346" s="41">
        <v>42774.0</v>
      </c>
      <c r="B346" s="16" t="s">
        <v>362</v>
      </c>
      <c r="C346" s="16" t="s">
        <v>363</v>
      </c>
      <c r="D346" s="16" t="s">
        <v>364</v>
      </c>
      <c r="E346" s="16" t="s">
        <v>268</v>
      </c>
      <c r="F346" s="13">
        <v>11.0</v>
      </c>
      <c r="G346" s="13" t="s">
        <v>217</v>
      </c>
      <c r="H346" s="13"/>
      <c r="I346" s="13"/>
      <c r="J346" s="13"/>
      <c r="K346" s="13"/>
      <c r="L346" s="13" t="s">
        <v>1315</v>
      </c>
      <c r="M346" s="13" t="s">
        <v>221</v>
      </c>
      <c r="N346" s="13" t="s">
        <v>256</v>
      </c>
      <c r="O346" s="13" t="s">
        <v>224</v>
      </c>
      <c r="P346" s="13" t="s">
        <v>324</v>
      </c>
    </row>
    <row r="347" ht="28.5" customHeight="1">
      <c r="A347" s="41">
        <v>42774.0</v>
      </c>
      <c r="B347" s="16" t="s">
        <v>362</v>
      </c>
      <c r="C347" s="16" t="s">
        <v>363</v>
      </c>
      <c r="D347" s="16" t="s">
        <v>364</v>
      </c>
      <c r="E347" s="16" t="s">
        <v>268</v>
      </c>
      <c r="F347" s="13">
        <v>11.0</v>
      </c>
      <c r="G347" s="13" t="s">
        <v>217</v>
      </c>
      <c r="H347" s="13"/>
      <c r="I347" s="13"/>
      <c r="J347" s="13"/>
      <c r="K347" s="13"/>
      <c r="L347" s="13" t="s">
        <v>236</v>
      </c>
      <c r="M347" s="13" t="s">
        <v>221</v>
      </c>
      <c r="N347" s="13" t="s">
        <v>1034</v>
      </c>
      <c r="O347" s="13" t="s">
        <v>224</v>
      </c>
      <c r="P347" s="13" t="s">
        <v>319</v>
      </c>
    </row>
    <row r="348" ht="28.5" customHeight="1">
      <c r="A348" s="41">
        <v>42769.0</v>
      </c>
      <c r="B348" s="16" t="s">
        <v>194</v>
      </c>
      <c r="C348" s="16" t="s">
        <v>195</v>
      </c>
      <c r="D348" s="16" t="s">
        <v>196</v>
      </c>
      <c r="E348" s="16" t="s">
        <v>25</v>
      </c>
      <c r="F348" s="13">
        <v>11.0</v>
      </c>
      <c r="G348" s="13" t="s">
        <v>217</v>
      </c>
      <c r="L348" s="13" t="s">
        <v>224</v>
      </c>
      <c r="M348" s="13" t="s">
        <v>221</v>
      </c>
      <c r="N348" s="13" t="s">
        <v>500</v>
      </c>
      <c r="O348" s="13" t="s">
        <v>224</v>
      </c>
      <c r="P348" s="13" t="s">
        <v>1665</v>
      </c>
    </row>
    <row r="349" ht="28.5" customHeight="1">
      <c r="A349" s="43">
        <v>42773.0</v>
      </c>
      <c r="B349" s="16" t="s">
        <v>1160</v>
      </c>
      <c r="C349" s="13" t="s">
        <v>1162</v>
      </c>
      <c r="D349" s="13" t="s">
        <v>1163</v>
      </c>
      <c r="E349" s="16" t="s">
        <v>935</v>
      </c>
      <c r="F349" s="13">
        <v>11.0</v>
      </c>
      <c r="G349" s="13" t="s">
        <v>508</v>
      </c>
      <c r="H349" s="13" t="s">
        <v>1579</v>
      </c>
      <c r="I349" s="13" t="s">
        <v>1666</v>
      </c>
      <c r="J349" s="13" t="s">
        <v>1666</v>
      </c>
      <c r="K349" s="13" t="s">
        <v>1666</v>
      </c>
      <c r="L349" s="13" t="s">
        <v>1666</v>
      </c>
      <c r="M349" s="13" t="s">
        <v>1666</v>
      </c>
      <c r="N349" s="13" t="s">
        <v>1666</v>
      </c>
      <c r="O349" s="13" t="s">
        <v>402</v>
      </c>
      <c r="P349" s="13" t="s">
        <v>1667</v>
      </c>
    </row>
    <row r="350" ht="28.5" customHeight="1">
      <c r="A350" s="43">
        <v>42772.0</v>
      </c>
      <c r="B350" s="16" t="s">
        <v>1035</v>
      </c>
      <c r="C350" s="16" t="s">
        <v>195</v>
      </c>
      <c r="D350" s="16" t="s">
        <v>1036</v>
      </c>
      <c r="E350" s="16" t="s">
        <v>826</v>
      </c>
      <c r="F350" s="13">
        <v>11.0</v>
      </c>
      <c r="G350" s="13" t="s">
        <v>217</v>
      </c>
      <c r="K350" s="13" t="s">
        <v>258</v>
      </c>
      <c r="M350" s="13" t="s">
        <v>1133</v>
      </c>
      <c r="O350" s="13" t="s">
        <v>657</v>
      </c>
      <c r="P350" s="13" t="s">
        <v>1668</v>
      </c>
    </row>
    <row r="351" ht="28.5" customHeight="1">
      <c r="A351" s="11">
        <v>42771.0</v>
      </c>
      <c r="B351" s="13" t="s">
        <v>316</v>
      </c>
      <c r="C351" s="16" t="s">
        <v>317</v>
      </c>
      <c r="D351" s="16" t="s">
        <v>318</v>
      </c>
      <c r="E351" s="16" t="s">
        <v>230</v>
      </c>
      <c r="F351" s="13">
        <v>12.0</v>
      </c>
      <c r="G351" s="13" t="s">
        <v>217</v>
      </c>
      <c r="H351" s="13"/>
      <c r="I351" s="13"/>
      <c r="J351" s="13"/>
      <c r="K351" s="13"/>
      <c r="L351" s="13" t="s">
        <v>224</v>
      </c>
      <c r="M351" s="13" t="s">
        <v>221</v>
      </c>
      <c r="N351" s="13" t="s">
        <v>804</v>
      </c>
      <c r="O351" s="13" t="s">
        <v>224</v>
      </c>
      <c r="P351" s="13" t="s">
        <v>324</v>
      </c>
    </row>
    <row r="352" ht="28.5" customHeight="1">
      <c r="A352" s="11">
        <v>42771.0</v>
      </c>
      <c r="B352" s="13" t="s">
        <v>316</v>
      </c>
      <c r="C352" s="16" t="s">
        <v>317</v>
      </c>
      <c r="D352" s="16" t="s">
        <v>318</v>
      </c>
      <c r="E352" s="16" t="s">
        <v>230</v>
      </c>
      <c r="F352" s="13">
        <v>12.0</v>
      </c>
      <c r="G352" s="13" t="s">
        <v>217</v>
      </c>
      <c r="H352" s="13"/>
      <c r="I352" s="13"/>
      <c r="J352" s="13"/>
      <c r="K352" s="13"/>
      <c r="L352" s="13" t="s">
        <v>517</v>
      </c>
      <c r="M352" s="13" t="s">
        <v>275</v>
      </c>
      <c r="N352" s="13"/>
      <c r="O352" s="13" t="s">
        <v>224</v>
      </c>
      <c r="P352" s="13" t="s">
        <v>319</v>
      </c>
    </row>
    <row r="353" ht="28.5" customHeight="1">
      <c r="A353" s="11">
        <v>42771.0</v>
      </c>
      <c r="B353" s="13" t="s">
        <v>316</v>
      </c>
      <c r="C353" s="16" t="s">
        <v>317</v>
      </c>
      <c r="D353" s="16" t="s">
        <v>318</v>
      </c>
      <c r="E353" s="16" t="s">
        <v>230</v>
      </c>
      <c r="F353" s="13">
        <v>12.0</v>
      </c>
      <c r="G353" s="13" t="s">
        <v>217</v>
      </c>
      <c r="H353" s="13"/>
      <c r="I353" s="13"/>
      <c r="J353" s="13"/>
      <c r="K353" s="13" t="s">
        <v>221</v>
      </c>
      <c r="L353" s="13" t="s">
        <v>1063</v>
      </c>
      <c r="M353" s="13"/>
      <c r="N353" s="13" t="s">
        <v>599</v>
      </c>
      <c r="O353" s="13" t="s">
        <v>224</v>
      </c>
      <c r="P353" s="13" t="s">
        <v>319</v>
      </c>
    </row>
    <row r="354" ht="28.5" customHeight="1">
      <c r="A354" s="41">
        <v>42769.0</v>
      </c>
      <c r="B354" s="16" t="s">
        <v>194</v>
      </c>
      <c r="C354" s="16" t="s">
        <v>195</v>
      </c>
      <c r="D354" s="16" t="s">
        <v>196</v>
      </c>
      <c r="E354" s="16" t="s">
        <v>25</v>
      </c>
      <c r="F354" s="13">
        <v>12.0</v>
      </c>
      <c r="G354" s="13" t="s">
        <v>516</v>
      </c>
      <c r="H354" s="13" t="s">
        <v>1678</v>
      </c>
      <c r="I354" s="13" t="s">
        <v>684</v>
      </c>
      <c r="J354" s="13" t="s">
        <v>366</v>
      </c>
      <c r="L354" s="13" t="s">
        <v>327</v>
      </c>
      <c r="M354" s="13" t="s">
        <v>221</v>
      </c>
      <c r="N354" s="13" t="s">
        <v>338</v>
      </c>
      <c r="O354" s="13" t="s">
        <v>224</v>
      </c>
      <c r="P354" s="13" t="s">
        <v>1679</v>
      </c>
    </row>
    <row r="355" ht="28.5" customHeight="1">
      <c r="A355" s="41">
        <v>42769.0</v>
      </c>
      <c r="B355" s="16" t="s">
        <v>194</v>
      </c>
      <c r="C355" s="16" t="s">
        <v>195</v>
      </c>
      <c r="D355" s="16" t="s">
        <v>196</v>
      </c>
      <c r="E355" s="16" t="s">
        <v>25</v>
      </c>
      <c r="F355" s="13">
        <v>12.0</v>
      </c>
      <c r="G355" s="13" t="s">
        <v>217</v>
      </c>
      <c r="L355" s="13" t="s">
        <v>224</v>
      </c>
      <c r="M355" s="13" t="s">
        <v>221</v>
      </c>
      <c r="N355" s="13" t="s">
        <v>348</v>
      </c>
      <c r="O355" s="13" t="s">
        <v>224</v>
      </c>
      <c r="P355" s="13" t="s">
        <v>1681</v>
      </c>
    </row>
    <row r="356" ht="28.5" customHeight="1">
      <c r="A356" s="41">
        <v>42769.0</v>
      </c>
      <c r="B356" s="16" t="s">
        <v>194</v>
      </c>
      <c r="C356" s="16" t="s">
        <v>195</v>
      </c>
      <c r="D356" s="16" t="s">
        <v>196</v>
      </c>
      <c r="E356" s="16" t="s">
        <v>25</v>
      </c>
      <c r="F356" s="13">
        <v>12.0</v>
      </c>
      <c r="G356" s="13" t="s">
        <v>217</v>
      </c>
      <c r="K356" s="13" t="s">
        <v>439</v>
      </c>
      <c r="L356" s="13" t="s">
        <v>276</v>
      </c>
      <c r="M356" s="13" t="s">
        <v>221</v>
      </c>
      <c r="O356" s="13" t="s">
        <v>224</v>
      </c>
      <c r="P356" s="13" t="s">
        <v>1685</v>
      </c>
    </row>
    <row r="357" ht="28.5" customHeight="1">
      <c r="A357" s="41">
        <v>42774.0</v>
      </c>
      <c r="B357" s="16" t="s">
        <v>928</v>
      </c>
      <c r="C357" s="16" t="s">
        <v>597</v>
      </c>
      <c r="D357" s="16" t="s">
        <v>929</v>
      </c>
      <c r="E357" s="16" t="s">
        <v>268</v>
      </c>
      <c r="F357" s="13">
        <v>12.0</v>
      </c>
      <c r="G357" s="13" t="s">
        <v>217</v>
      </c>
      <c r="L357" s="13" t="s">
        <v>236</v>
      </c>
      <c r="M357" s="13" t="s">
        <v>221</v>
      </c>
      <c r="N357" s="13" t="s">
        <v>296</v>
      </c>
      <c r="O357" s="13" t="s">
        <v>224</v>
      </c>
    </row>
    <row r="358" ht="28.5" customHeight="1">
      <c r="A358" s="41">
        <v>42769.0</v>
      </c>
      <c r="B358" s="16" t="s">
        <v>85</v>
      </c>
      <c r="C358" s="16" t="s">
        <v>86</v>
      </c>
      <c r="D358" s="16" t="s">
        <v>87</v>
      </c>
      <c r="E358" s="16" t="s">
        <v>25</v>
      </c>
      <c r="F358" s="13">
        <v>13.0</v>
      </c>
      <c r="G358" s="13" t="s">
        <v>217</v>
      </c>
      <c r="K358" s="13" t="s">
        <v>221</v>
      </c>
      <c r="L358" s="13" t="s">
        <v>256</v>
      </c>
      <c r="M358" s="13"/>
      <c r="N358" s="13" t="s">
        <v>1229</v>
      </c>
      <c r="O358" s="13" t="s">
        <v>224</v>
      </c>
      <c r="P358" s="13"/>
    </row>
    <row r="359" ht="28.5" customHeight="1">
      <c r="A359" s="41">
        <v>42769.0</v>
      </c>
      <c r="B359" s="16" t="s">
        <v>85</v>
      </c>
      <c r="C359" s="16" t="s">
        <v>86</v>
      </c>
      <c r="D359" s="16" t="s">
        <v>87</v>
      </c>
      <c r="E359" s="16" t="s">
        <v>25</v>
      </c>
      <c r="F359" s="13">
        <v>13.0</v>
      </c>
      <c r="G359" s="13" t="s">
        <v>217</v>
      </c>
      <c r="K359" s="13" t="s">
        <v>275</v>
      </c>
      <c r="L359" s="13"/>
      <c r="M359" s="13"/>
      <c r="N359" s="13" t="s">
        <v>488</v>
      </c>
      <c r="O359" s="13" t="s">
        <v>224</v>
      </c>
    </row>
    <row r="360" ht="28.5" customHeight="1">
      <c r="A360" s="11">
        <v>42771.0</v>
      </c>
      <c r="B360" s="13" t="s">
        <v>316</v>
      </c>
      <c r="C360" s="16" t="s">
        <v>317</v>
      </c>
      <c r="D360" s="16" t="s">
        <v>318</v>
      </c>
      <c r="E360" s="16" t="s">
        <v>230</v>
      </c>
      <c r="F360" s="13">
        <v>13.0</v>
      </c>
      <c r="G360" s="13" t="s">
        <v>217</v>
      </c>
      <c r="H360" s="13"/>
      <c r="I360" s="13"/>
      <c r="J360" s="13"/>
      <c r="K360" s="13" t="s">
        <v>221</v>
      </c>
      <c r="L360" s="13" t="s">
        <v>804</v>
      </c>
      <c r="M360" s="13"/>
      <c r="N360" s="13" t="s">
        <v>236</v>
      </c>
      <c r="O360" s="13" t="s">
        <v>224</v>
      </c>
      <c r="P360" s="13" t="s">
        <v>319</v>
      </c>
    </row>
    <row r="361" ht="28.5" customHeight="1">
      <c r="A361" s="11">
        <v>42771.0</v>
      </c>
      <c r="B361" s="13" t="s">
        <v>316</v>
      </c>
      <c r="C361" s="16" t="s">
        <v>317</v>
      </c>
      <c r="D361" s="16" t="s">
        <v>318</v>
      </c>
      <c r="E361" s="16" t="s">
        <v>230</v>
      </c>
      <c r="F361" s="13">
        <v>13.0</v>
      </c>
      <c r="G361" s="13" t="s">
        <v>217</v>
      </c>
      <c r="H361" s="13"/>
      <c r="I361" s="13"/>
      <c r="J361" s="13"/>
      <c r="K361" s="13"/>
      <c r="L361" s="13" t="s">
        <v>1332</v>
      </c>
      <c r="M361" s="13" t="s">
        <v>221</v>
      </c>
      <c r="N361" s="13" t="s">
        <v>276</v>
      </c>
      <c r="O361" s="13" t="s">
        <v>224</v>
      </c>
      <c r="P361" s="13" t="s">
        <v>324</v>
      </c>
    </row>
    <row r="362" ht="28.5" customHeight="1">
      <c r="A362" s="11">
        <v>42771.0</v>
      </c>
      <c r="B362" s="13" t="s">
        <v>316</v>
      </c>
      <c r="C362" s="16" t="s">
        <v>317</v>
      </c>
      <c r="D362" s="16" t="s">
        <v>318</v>
      </c>
      <c r="E362" s="16" t="s">
        <v>230</v>
      </c>
      <c r="F362" s="13">
        <v>13.0</v>
      </c>
      <c r="G362" s="13" t="s">
        <v>217</v>
      </c>
      <c r="L362" s="13" t="s">
        <v>778</v>
      </c>
      <c r="M362" s="13" t="s">
        <v>221</v>
      </c>
      <c r="N362" s="13" t="s">
        <v>256</v>
      </c>
      <c r="O362" s="13" t="s">
        <v>224</v>
      </c>
      <c r="P362" s="13" t="s">
        <v>324</v>
      </c>
    </row>
    <row r="363" ht="28.5" customHeight="1">
      <c r="A363" s="11">
        <v>42771.0</v>
      </c>
      <c r="B363" s="13" t="s">
        <v>316</v>
      </c>
      <c r="C363" s="16" t="s">
        <v>317</v>
      </c>
      <c r="D363" s="16" t="s">
        <v>318</v>
      </c>
      <c r="E363" s="16" t="s">
        <v>230</v>
      </c>
      <c r="F363" s="13">
        <v>13.0</v>
      </c>
      <c r="G363" s="13" t="s">
        <v>217</v>
      </c>
      <c r="H363" s="13"/>
      <c r="I363" s="13"/>
      <c r="J363" s="13"/>
      <c r="K363" s="13"/>
      <c r="L363" s="13" t="s">
        <v>221</v>
      </c>
      <c r="M363" s="13" t="s">
        <v>1014</v>
      </c>
      <c r="N363" s="13" t="s">
        <v>1688</v>
      </c>
      <c r="O363" s="13" t="s">
        <v>224</v>
      </c>
      <c r="P363" s="13" t="s">
        <v>324</v>
      </c>
    </row>
    <row r="364" ht="28.5" customHeight="1">
      <c r="A364" s="11">
        <v>42771.0</v>
      </c>
      <c r="B364" s="13" t="s">
        <v>316</v>
      </c>
      <c r="C364" s="16" t="s">
        <v>317</v>
      </c>
      <c r="D364" s="16" t="s">
        <v>318</v>
      </c>
      <c r="E364" s="16" t="s">
        <v>230</v>
      </c>
      <c r="F364" s="13">
        <v>13.0</v>
      </c>
      <c r="G364" s="13" t="s">
        <v>217</v>
      </c>
      <c r="H364" s="13"/>
      <c r="I364" s="13"/>
      <c r="K364" s="13"/>
      <c r="L364" s="13" t="s">
        <v>1626</v>
      </c>
      <c r="M364" s="13" t="s">
        <v>221</v>
      </c>
      <c r="N364" s="13" t="s">
        <v>517</v>
      </c>
      <c r="O364" s="13" t="s">
        <v>224</v>
      </c>
      <c r="P364" s="13" t="s">
        <v>319</v>
      </c>
    </row>
    <row r="365" ht="28.5" customHeight="1">
      <c r="A365" s="11">
        <v>42771.0</v>
      </c>
      <c r="B365" s="13" t="s">
        <v>316</v>
      </c>
      <c r="C365" s="16" t="s">
        <v>317</v>
      </c>
      <c r="D365" s="16" t="s">
        <v>318</v>
      </c>
      <c r="E365" s="16" t="s">
        <v>230</v>
      </c>
      <c r="F365" s="13">
        <v>13.0</v>
      </c>
      <c r="G365" s="13" t="s">
        <v>217</v>
      </c>
      <c r="I365" s="13"/>
      <c r="K365" s="13"/>
      <c r="L365" s="13" t="s">
        <v>236</v>
      </c>
      <c r="M365" s="13" t="s">
        <v>221</v>
      </c>
      <c r="N365" s="13" t="s">
        <v>348</v>
      </c>
      <c r="O365" s="13" t="s">
        <v>224</v>
      </c>
      <c r="P365" s="13" t="s">
        <v>324</v>
      </c>
    </row>
    <row r="366" ht="28.5" customHeight="1">
      <c r="A366" s="11">
        <v>42771.0</v>
      </c>
      <c r="B366" s="13" t="s">
        <v>316</v>
      </c>
      <c r="C366" s="16" t="s">
        <v>317</v>
      </c>
      <c r="D366" s="16" t="s">
        <v>318</v>
      </c>
      <c r="E366" s="16" t="s">
        <v>230</v>
      </c>
      <c r="F366" s="13">
        <v>13.0</v>
      </c>
      <c r="G366" s="13" t="s">
        <v>217</v>
      </c>
      <c r="I366" s="13"/>
      <c r="K366" s="13" t="s">
        <v>221</v>
      </c>
      <c r="L366" s="13" t="s">
        <v>276</v>
      </c>
      <c r="M366" s="13"/>
      <c r="N366" s="13" t="s">
        <v>299</v>
      </c>
      <c r="O366" s="13" t="s">
        <v>224</v>
      </c>
      <c r="P366" s="13" t="s">
        <v>324</v>
      </c>
    </row>
    <row r="367" ht="28.5" customHeight="1">
      <c r="A367" s="41">
        <v>42769.0</v>
      </c>
      <c r="B367" s="16" t="s">
        <v>194</v>
      </c>
      <c r="C367" s="16" t="s">
        <v>195</v>
      </c>
      <c r="D367" s="16" t="s">
        <v>196</v>
      </c>
      <c r="E367" s="16" t="s">
        <v>25</v>
      </c>
      <c r="F367" s="13">
        <v>13.0</v>
      </c>
      <c r="G367" s="13" t="s">
        <v>217</v>
      </c>
      <c r="L367" s="13" t="s">
        <v>338</v>
      </c>
      <c r="M367" s="13" t="s">
        <v>221</v>
      </c>
      <c r="N367" s="13" t="s">
        <v>224</v>
      </c>
      <c r="O367" s="13" t="s">
        <v>224</v>
      </c>
      <c r="P367" s="13" t="s">
        <v>1690</v>
      </c>
    </row>
    <row r="368" ht="28.5" customHeight="1">
      <c r="A368" s="41">
        <v>42769.0</v>
      </c>
      <c r="B368" s="16" t="s">
        <v>194</v>
      </c>
      <c r="C368" s="16" t="s">
        <v>195</v>
      </c>
      <c r="D368" s="16" t="s">
        <v>196</v>
      </c>
      <c r="E368" s="16" t="s">
        <v>25</v>
      </c>
      <c r="F368" s="13">
        <v>13.0</v>
      </c>
      <c r="G368" s="13" t="s">
        <v>217</v>
      </c>
      <c r="L368" s="13" t="s">
        <v>575</v>
      </c>
      <c r="M368" s="13" t="s">
        <v>221</v>
      </c>
      <c r="N368" s="13" t="s">
        <v>224</v>
      </c>
      <c r="O368" s="13" t="s">
        <v>224</v>
      </c>
      <c r="P368" s="13" t="s">
        <v>1692</v>
      </c>
    </row>
    <row r="369" ht="28.5" customHeight="1">
      <c r="A369" s="41">
        <v>42774.0</v>
      </c>
      <c r="B369" s="16" t="s">
        <v>928</v>
      </c>
      <c r="C369" s="16" t="s">
        <v>597</v>
      </c>
      <c r="D369" s="16" t="s">
        <v>929</v>
      </c>
      <c r="E369" s="16" t="s">
        <v>268</v>
      </c>
      <c r="F369" s="13">
        <v>13.0</v>
      </c>
      <c r="G369" s="13" t="s">
        <v>217</v>
      </c>
      <c r="K369" s="13" t="s">
        <v>221</v>
      </c>
      <c r="L369" s="13" t="s">
        <v>256</v>
      </c>
      <c r="N369" s="13" t="s">
        <v>503</v>
      </c>
      <c r="O369" s="13" t="s">
        <v>224</v>
      </c>
    </row>
    <row r="370" ht="28.5" customHeight="1">
      <c r="A370" s="41">
        <v>42769.0</v>
      </c>
      <c r="B370" s="16" t="s">
        <v>85</v>
      </c>
      <c r="C370" s="16" t="s">
        <v>86</v>
      </c>
      <c r="D370" s="16" t="s">
        <v>87</v>
      </c>
      <c r="E370" s="16" t="s">
        <v>25</v>
      </c>
      <c r="F370" s="13">
        <v>14.0</v>
      </c>
      <c r="G370" s="13" t="s">
        <v>217</v>
      </c>
      <c r="L370" s="13" t="s">
        <v>1259</v>
      </c>
      <c r="M370" s="13" t="s">
        <v>221</v>
      </c>
      <c r="N370" s="13" t="s">
        <v>256</v>
      </c>
      <c r="O370" s="13" t="s">
        <v>224</v>
      </c>
    </row>
    <row r="371" ht="28.5" customHeight="1">
      <c r="A371" s="41">
        <v>42769.0</v>
      </c>
      <c r="B371" s="16" t="s">
        <v>85</v>
      </c>
      <c r="C371" s="16" t="s">
        <v>86</v>
      </c>
      <c r="D371" s="16" t="s">
        <v>87</v>
      </c>
      <c r="E371" s="16" t="s">
        <v>25</v>
      </c>
      <c r="F371" s="13">
        <v>14.0</v>
      </c>
      <c r="G371" s="13" t="s">
        <v>217</v>
      </c>
      <c r="K371" s="13"/>
      <c r="L371" s="13"/>
      <c r="M371" s="13" t="s">
        <v>221</v>
      </c>
      <c r="N371" s="13" t="s">
        <v>488</v>
      </c>
      <c r="O371" s="13" t="s">
        <v>224</v>
      </c>
      <c r="P371" s="13"/>
    </row>
    <row r="372" ht="28.5" customHeight="1">
      <c r="A372" s="41">
        <v>42769.0</v>
      </c>
      <c r="B372" s="16" t="s">
        <v>85</v>
      </c>
      <c r="C372" s="16" t="s">
        <v>86</v>
      </c>
      <c r="D372" s="16" t="s">
        <v>87</v>
      </c>
      <c r="E372" s="16" t="s">
        <v>25</v>
      </c>
      <c r="F372" s="13">
        <v>14.0</v>
      </c>
      <c r="G372" s="13" t="s">
        <v>217</v>
      </c>
      <c r="K372" s="13" t="s">
        <v>221</v>
      </c>
      <c r="L372" s="13" t="s">
        <v>276</v>
      </c>
      <c r="M372" s="13"/>
      <c r="N372" s="13" t="s">
        <v>1259</v>
      </c>
      <c r="O372" s="13" t="s">
        <v>224</v>
      </c>
      <c r="P372" s="13"/>
    </row>
    <row r="373" ht="28.5" customHeight="1">
      <c r="A373" s="11">
        <v>42771.0</v>
      </c>
      <c r="B373" s="13" t="s">
        <v>316</v>
      </c>
      <c r="C373" s="16" t="s">
        <v>317</v>
      </c>
      <c r="D373" s="16" t="s">
        <v>318</v>
      </c>
      <c r="E373" s="16" t="s">
        <v>230</v>
      </c>
      <c r="F373" s="13">
        <v>15.0</v>
      </c>
      <c r="G373" s="13" t="s">
        <v>217</v>
      </c>
      <c r="K373" s="13" t="s">
        <v>221</v>
      </c>
      <c r="L373" s="13" t="s">
        <v>276</v>
      </c>
      <c r="M373" s="13"/>
      <c r="N373" s="13" t="s">
        <v>1698</v>
      </c>
      <c r="O373" s="13" t="s">
        <v>224</v>
      </c>
      <c r="P373" s="13" t="s">
        <v>319</v>
      </c>
    </row>
    <row r="374" ht="28.5" customHeight="1">
      <c r="A374" s="11">
        <v>42771.0</v>
      </c>
      <c r="B374" s="13" t="s">
        <v>316</v>
      </c>
      <c r="C374" s="16" t="s">
        <v>317</v>
      </c>
      <c r="D374" s="16" t="s">
        <v>318</v>
      </c>
      <c r="E374" s="16" t="s">
        <v>230</v>
      </c>
      <c r="F374" s="13">
        <v>15.0</v>
      </c>
      <c r="G374" s="13" t="s">
        <v>217</v>
      </c>
      <c r="K374" s="13"/>
      <c r="L374" s="13" t="s">
        <v>236</v>
      </c>
      <c r="M374" s="13" t="s">
        <v>221</v>
      </c>
      <c r="N374" s="13" t="s">
        <v>1332</v>
      </c>
      <c r="O374" s="13" t="s">
        <v>224</v>
      </c>
      <c r="P374" s="13" t="s">
        <v>324</v>
      </c>
    </row>
    <row r="375" ht="28.5" customHeight="1">
      <c r="A375" s="43">
        <v>42773.0</v>
      </c>
      <c r="B375" s="16" t="s">
        <v>1160</v>
      </c>
      <c r="C375" s="13" t="s">
        <v>1162</v>
      </c>
      <c r="D375" s="13" t="s">
        <v>1163</v>
      </c>
      <c r="E375" s="16" t="s">
        <v>935</v>
      </c>
      <c r="F375" s="13">
        <v>15.0</v>
      </c>
      <c r="G375" s="13" t="s">
        <v>200</v>
      </c>
      <c r="H375" s="13" t="s">
        <v>1702</v>
      </c>
      <c r="I375" s="13" t="s">
        <v>1703</v>
      </c>
      <c r="J375" s="13" t="s">
        <v>511</v>
      </c>
      <c r="K375" s="13" t="s">
        <v>1289</v>
      </c>
      <c r="L375" s="13" t="s">
        <v>1704</v>
      </c>
      <c r="M375" s="13" t="s">
        <v>1705</v>
      </c>
      <c r="N375" s="13" t="s">
        <v>1706</v>
      </c>
      <c r="O375" s="13" t="s">
        <v>224</v>
      </c>
      <c r="P375" s="13" t="s">
        <v>1707</v>
      </c>
    </row>
    <row r="376" ht="28.5" customHeight="1">
      <c r="A376" s="41">
        <v>42769.0</v>
      </c>
      <c r="B376" s="16" t="s">
        <v>85</v>
      </c>
      <c r="C376" s="16" t="s">
        <v>86</v>
      </c>
      <c r="D376" s="16" t="s">
        <v>87</v>
      </c>
      <c r="E376" s="16" t="s">
        <v>25</v>
      </c>
      <c r="F376" s="13">
        <v>16.0</v>
      </c>
      <c r="G376" s="13" t="s">
        <v>217</v>
      </c>
      <c r="K376" s="13"/>
      <c r="L376" s="13" t="s">
        <v>778</v>
      </c>
      <c r="M376" s="13" t="s">
        <v>221</v>
      </c>
      <c r="N376" s="13" t="s">
        <v>276</v>
      </c>
      <c r="O376" s="13" t="s">
        <v>224</v>
      </c>
      <c r="P376" s="13"/>
    </row>
    <row r="377" ht="28.5" customHeight="1">
      <c r="A377" s="41">
        <v>42769.0</v>
      </c>
      <c r="B377" s="16" t="s">
        <v>85</v>
      </c>
      <c r="C377" s="16" t="s">
        <v>86</v>
      </c>
      <c r="D377" s="16" t="s">
        <v>87</v>
      </c>
      <c r="E377" s="16" t="s">
        <v>25</v>
      </c>
      <c r="F377" s="13">
        <v>16.0</v>
      </c>
      <c r="G377" s="13" t="s">
        <v>217</v>
      </c>
      <c r="H377" s="13"/>
      <c r="I377" s="13"/>
      <c r="J377" s="13"/>
      <c r="K377" s="13" t="s">
        <v>275</v>
      </c>
      <c r="M377" s="13"/>
      <c r="N377" s="13" t="s">
        <v>488</v>
      </c>
      <c r="O377" s="13" t="s">
        <v>224</v>
      </c>
      <c r="P377" s="13"/>
    </row>
    <row r="378" ht="28.5" customHeight="1">
      <c r="A378" s="41">
        <v>42769.0</v>
      </c>
      <c r="B378" s="16" t="s">
        <v>85</v>
      </c>
      <c r="C378" s="16" t="s">
        <v>86</v>
      </c>
      <c r="D378" s="16" t="s">
        <v>87</v>
      </c>
      <c r="E378" s="16" t="s">
        <v>25</v>
      </c>
      <c r="F378" s="13">
        <v>17.0</v>
      </c>
      <c r="G378" s="13" t="s">
        <v>217</v>
      </c>
      <c r="H378" s="13"/>
      <c r="I378" s="13"/>
      <c r="J378" s="13"/>
      <c r="K378" s="13"/>
      <c r="L378" s="13" t="s">
        <v>224</v>
      </c>
      <c r="M378" s="13" t="s">
        <v>221</v>
      </c>
      <c r="N378" s="13" t="s">
        <v>503</v>
      </c>
      <c r="O378" s="13" t="s">
        <v>224</v>
      </c>
      <c r="P378" s="13"/>
    </row>
    <row r="379" ht="28.5" customHeight="1">
      <c r="A379" s="41">
        <v>42769.0</v>
      </c>
      <c r="B379" s="16" t="s">
        <v>85</v>
      </c>
      <c r="C379" s="16" t="s">
        <v>86</v>
      </c>
      <c r="D379" s="16" t="s">
        <v>87</v>
      </c>
      <c r="E379" s="16" t="s">
        <v>25</v>
      </c>
      <c r="F379" s="13">
        <v>17.0</v>
      </c>
      <c r="G379" s="13" t="s">
        <v>217</v>
      </c>
      <c r="H379" s="13"/>
      <c r="I379" s="13"/>
      <c r="J379" s="13"/>
      <c r="K379" s="13" t="s">
        <v>221</v>
      </c>
      <c r="L379" s="13" t="s">
        <v>439</v>
      </c>
      <c r="M379" s="13"/>
      <c r="N379" s="13" t="s">
        <v>322</v>
      </c>
      <c r="O379" s="13" t="s">
        <v>224</v>
      </c>
      <c r="P379" s="13"/>
    </row>
    <row r="380" ht="28.5" customHeight="1">
      <c r="A380" s="41">
        <v>42769.0</v>
      </c>
      <c r="B380" s="16" t="s">
        <v>85</v>
      </c>
      <c r="C380" s="16" t="s">
        <v>86</v>
      </c>
      <c r="D380" s="16" t="s">
        <v>87</v>
      </c>
      <c r="E380" s="16" t="s">
        <v>25</v>
      </c>
      <c r="F380" s="13">
        <v>18.0</v>
      </c>
      <c r="G380" s="13" t="s">
        <v>217</v>
      </c>
      <c r="H380" s="13"/>
      <c r="I380" s="13"/>
      <c r="J380" s="13"/>
      <c r="K380" s="13"/>
      <c r="L380" s="13" t="s">
        <v>864</v>
      </c>
      <c r="M380" s="13" t="s">
        <v>221</v>
      </c>
      <c r="N380" s="13"/>
      <c r="O380" s="13" t="s">
        <v>224</v>
      </c>
      <c r="P380" s="13"/>
    </row>
    <row r="381" ht="28.5" customHeight="1">
      <c r="A381" s="41">
        <v>42769.0</v>
      </c>
      <c r="B381" s="16" t="s">
        <v>85</v>
      </c>
      <c r="C381" s="16" t="s">
        <v>86</v>
      </c>
      <c r="D381" s="16" t="s">
        <v>87</v>
      </c>
      <c r="E381" s="16" t="s">
        <v>25</v>
      </c>
      <c r="F381" s="13">
        <v>18.0</v>
      </c>
      <c r="G381" s="13" t="s">
        <v>217</v>
      </c>
      <c r="H381" s="13"/>
      <c r="I381" s="13"/>
      <c r="J381" s="13"/>
      <c r="K381" s="13" t="s">
        <v>221</v>
      </c>
      <c r="L381" s="13" t="s">
        <v>585</v>
      </c>
      <c r="M381" s="13"/>
      <c r="N381" s="13"/>
      <c r="O381" s="13" t="s">
        <v>224</v>
      </c>
      <c r="P381" s="13"/>
    </row>
    <row r="382" ht="28.5" customHeight="1">
      <c r="A382" s="41">
        <v>42769.0</v>
      </c>
      <c r="B382" s="16" t="s">
        <v>85</v>
      </c>
      <c r="C382" s="16" t="s">
        <v>86</v>
      </c>
      <c r="D382" s="16" t="s">
        <v>87</v>
      </c>
      <c r="E382" s="16" t="s">
        <v>25</v>
      </c>
      <c r="F382" s="13">
        <v>18.0</v>
      </c>
      <c r="G382" s="13" t="s">
        <v>217</v>
      </c>
      <c r="H382" s="13"/>
      <c r="I382" s="13"/>
      <c r="J382" s="13"/>
      <c r="K382" s="13" t="s">
        <v>439</v>
      </c>
      <c r="L382" s="13" t="s">
        <v>276</v>
      </c>
      <c r="M382" s="13" t="s">
        <v>221</v>
      </c>
      <c r="N382" s="13"/>
      <c r="O382" s="13" t="s">
        <v>224</v>
      </c>
      <c r="P382" s="13"/>
    </row>
    <row r="383" ht="28.5" customHeight="1">
      <c r="A383" s="41">
        <v>42769.0</v>
      </c>
      <c r="B383" s="16" t="s">
        <v>85</v>
      </c>
      <c r="C383" s="16" t="s">
        <v>86</v>
      </c>
      <c r="D383" s="16" t="s">
        <v>87</v>
      </c>
      <c r="E383" s="16" t="s">
        <v>25</v>
      </c>
      <c r="F383" s="13">
        <v>18.0</v>
      </c>
      <c r="G383" s="13" t="s">
        <v>217</v>
      </c>
      <c r="H383" s="13"/>
      <c r="I383" s="13"/>
      <c r="J383" s="13"/>
      <c r="K383" s="13"/>
      <c r="L383" s="13" t="s">
        <v>224</v>
      </c>
      <c r="M383" s="13" t="s">
        <v>221</v>
      </c>
      <c r="N383" s="13" t="s">
        <v>348</v>
      </c>
      <c r="O383" s="13" t="s">
        <v>224</v>
      </c>
      <c r="P383" s="13"/>
    </row>
    <row r="384" ht="28.5" customHeight="1">
      <c r="A384" s="41">
        <v>42769.0</v>
      </c>
      <c r="B384" s="16" t="s">
        <v>85</v>
      </c>
      <c r="C384" s="16" t="s">
        <v>86</v>
      </c>
      <c r="D384" s="16" t="s">
        <v>87</v>
      </c>
      <c r="E384" s="16" t="s">
        <v>25</v>
      </c>
      <c r="F384" s="13">
        <v>19.0</v>
      </c>
      <c r="G384" s="13" t="s">
        <v>217</v>
      </c>
      <c r="H384" s="13"/>
      <c r="I384" s="13"/>
      <c r="J384" s="13"/>
      <c r="K384" s="13" t="s">
        <v>221</v>
      </c>
      <c r="L384" s="13" t="s">
        <v>439</v>
      </c>
      <c r="M384" s="13"/>
      <c r="N384" s="13" t="s">
        <v>500</v>
      </c>
      <c r="O384" s="13" t="s">
        <v>224</v>
      </c>
      <c r="P384" s="13"/>
    </row>
    <row r="385" ht="28.5" customHeight="1">
      <c r="A385" s="41">
        <v>42769.0</v>
      </c>
      <c r="B385" s="16" t="s">
        <v>85</v>
      </c>
      <c r="C385" s="16" t="s">
        <v>86</v>
      </c>
      <c r="D385" s="16" t="s">
        <v>87</v>
      </c>
      <c r="E385" s="16" t="s">
        <v>25</v>
      </c>
      <c r="F385" s="13">
        <v>20.0</v>
      </c>
      <c r="G385" s="13" t="s">
        <v>217</v>
      </c>
      <c r="H385" s="13"/>
      <c r="I385" s="13"/>
      <c r="J385" s="13"/>
      <c r="K385" s="13"/>
      <c r="L385" s="13" t="s">
        <v>864</v>
      </c>
      <c r="M385" s="13" t="s">
        <v>221</v>
      </c>
      <c r="N385" s="13" t="s">
        <v>276</v>
      </c>
      <c r="O385" s="13" t="s">
        <v>224</v>
      </c>
      <c r="P385" s="13"/>
    </row>
    <row r="386" ht="28.5" customHeight="1">
      <c r="A386" s="41">
        <v>42769.0</v>
      </c>
      <c r="B386" s="16" t="s">
        <v>85</v>
      </c>
      <c r="C386" s="16" t="s">
        <v>86</v>
      </c>
      <c r="D386" s="16" t="s">
        <v>87</v>
      </c>
      <c r="E386" s="16" t="s">
        <v>25</v>
      </c>
      <c r="F386" s="13">
        <v>21.0</v>
      </c>
      <c r="G386" s="13" t="s">
        <v>217</v>
      </c>
      <c r="J386" s="13"/>
      <c r="K386" s="13" t="s">
        <v>221</v>
      </c>
      <c r="L386" s="13" t="s">
        <v>256</v>
      </c>
      <c r="M386" s="13"/>
      <c r="N386" s="13" t="s">
        <v>778</v>
      </c>
      <c r="O386" s="13" t="s">
        <v>224</v>
      </c>
      <c r="P386" s="13"/>
    </row>
    <row r="387" ht="28.5" customHeight="1">
      <c r="A387" s="41">
        <v>42772.0</v>
      </c>
      <c r="B387" s="16" t="s">
        <v>1543</v>
      </c>
      <c r="C387" s="13" t="s">
        <v>1545</v>
      </c>
      <c r="D387" s="13" t="s">
        <v>1546</v>
      </c>
      <c r="E387" s="16" t="s">
        <v>1537</v>
      </c>
      <c r="F387" s="13">
        <v>28.0</v>
      </c>
      <c r="G387" s="13" t="s">
        <v>617</v>
      </c>
      <c r="H387" s="13"/>
      <c r="I387" s="13" t="s">
        <v>401</v>
      </c>
      <c r="N387" s="13" t="s">
        <v>221</v>
      </c>
      <c r="O387" s="13" t="s">
        <v>402</v>
      </c>
      <c r="P387" s="13" t="s">
        <v>1724</v>
      </c>
    </row>
    <row r="388" ht="28.5" customHeight="1">
      <c r="A388" s="32">
        <v>42771.0</v>
      </c>
      <c r="B388" s="26" t="s">
        <v>1725</v>
      </c>
      <c r="C388" s="26" t="s">
        <v>1726</v>
      </c>
      <c r="D388" s="26" t="s">
        <v>1727</v>
      </c>
      <c r="E388" s="26" t="s">
        <v>244</v>
      </c>
      <c r="F388" s="26" t="s">
        <v>1666</v>
      </c>
      <c r="G388" s="69">
        <v>27.63733</v>
      </c>
      <c r="H388" s="69">
        <v>-82.69843</v>
      </c>
      <c r="I388" s="26" t="s">
        <v>1731</v>
      </c>
      <c r="J388" s="38"/>
      <c r="K388" s="26"/>
      <c r="L388" s="38"/>
      <c r="M388" s="26"/>
      <c r="N388" s="26"/>
      <c r="O388" s="26"/>
      <c r="P388" s="26"/>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c r="BC388" s="38"/>
      <c r="BD388" s="38"/>
      <c r="BE388" s="38"/>
      <c r="BF388" s="38"/>
      <c r="BG388" s="38"/>
      <c r="BH388" s="38"/>
      <c r="BI388" s="38"/>
      <c r="BJ388" s="38"/>
      <c r="BK388" s="38"/>
      <c r="BL388" s="38"/>
      <c r="BM388" s="38"/>
      <c r="BN388" s="38"/>
      <c r="BO388" s="38"/>
    </row>
    <row r="389" ht="28.5" customHeight="1">
      <c r="A389" s="41">
        <v>42769.0</v>
      </c>
      <c r="B389" s="16" t="s">
        <v>532</v>
      </c>
      <c r="C389" s="13" t="s">
        <v>533</v>
      </c>
      <c r="D389" s="13" t="s">
        <v>534</v>
      </c>
      <c r="E389" s="16" t="s">
        <v>535</v>
      </c>
      <c r="F389" s="13" t="s">
        <v>1737</v>
      </c>
      <c r="G389" s="13" t="s">
        <v>508</v>
      </c>
      <c r="H389" s="46" t="s">
        <v>891</v>
      </c>
      <c r="I389" s="13" t="s">
        <v>892</v>
      </c>
      <c r="J389" s="13" t="s">
        <v>511</v>
      </c>
      <c r="K389" s="13" t="s">
        <v>893</v>
      </c>
      <c r="L389" s="13"/>
      <c r="M389" s="13" t="s">
        <v>894</v>
      </c>
      <c r="N389" s="13" t="s">
        <v>530</v>
      </c>
      <c r="O389" s="13" t="s">
        <v>224</v>
      </c>
      <c r="P389" s="13" t="s">
        <v>896</v>
      </c>
    </row>
    <row r="390" ht="28.5" customHeight="1">
      <c r="A390" s="32">
        <v>42771.0</v>
      </c>
      <c r="B390" s="26" t="s">
        <v>1738</v>
      </c>
      <c r="C390" s="26" t="s">
        <v>1740</v>
      </c>
      <c r="D390" s="26" t="s">
        <v>1741</v>
      </c>
      <c r="E390" s="26" t="s">
        <v>244</v>
      </c>
      <c r="F390" s="26"/>
      <c r="G390" s="69">
        <v>27.523979</v>
      </c>
      <c r="H390" s="69">
        <v>82.510661</v>
      </c>
      <c r="I390" s="26" t="s">
        <v>1747</v>
      </c>
      <c r="J390" s="26" t="s">
        <v>1748</v>
      </c>
      <c r="K390" s="26" t="s">
        <v>204</v>
      </c>
      <c r="L390" s="26"/>
      <c r="M390" s="26"/>
      <c r="N390" s="26"/>
      <c r="O390" s="26" t="s">
        <v>204</v>
      </c>
      <c r="P390" s="26"/>
      <c r="Q390" s="38" t="s">
        <v>209</v>
      </c>
      <c r="R390" s="38" t="s">
        <v>1749</v>
      </c>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c r="BC390" s="38"/>
      <c r="BD390" s="38"/>
      <c r="BE390" s="38"/>
      <c r="BF390" s="38"/>
      <c r="BG390" s="38"/>
      <c r="BH390" s="38"/>
      <c r="BI390" s="38"/>
      <c r="BJ390" s="38"/>
      <c r="BK390" s="38"/>
      <c r="BL390" s="38"/>
      <c r="BM390" s="38"/>
      <c r="BN390" s="38"/>
      <c r="BO390" s="38"/>
    </row>
    <row r="391" ht="28.5" customHeight="1">
      <c r="A391" s="32">
        <v>42772.0</v>
      </c>
      <c r="B391" s="26" t="s">
        <v>1750</v>
      </c>
      <c r="C391" s="26" t="s">
        <v>1752</v>
      </c>
      <c r="D391" s="26" t="s">
        <v>1206</v>
      </c>
      <c r="E391" s="26" t="s">
        <v>1207</v>
      </c>
      <c r="F391" s="26"/>
      <c r="G391" s="69">
        <v>27.26639</v>
      </c>
      <c r="H391" s="75">
        <v>-82.55667</v>
      </c>
      <c r="I391" s="26" t="s">
        <v>217</v>
      </c>
      <c r="J391" s="38"/>
      <c r="K391" s="31" t="s">
        <v>1753</v>
      </c>
      <c r="L391" s="26"/>
      <c r="M391" s="26"/>
      <c r="N391" s="31" t="s">
        <v>1754</v>
      </c>
      <c r="O391" s="31" t="s">
        <v>1756</v>
      </c>
      <c r="P391" s="31" t="s">
        <v>1757</v>
      </c>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c r="BC391" s="38"/>
      <c r="BD391" s="38"/>
      <c r="BE391" s="38"/>
      <c r="BF391" s="38"/>
      <c r="BG391" s="38"/>
      <c r="BH391" s="38"/>
      <c r="BI391" s="38"/>
      <c r="BJ391" s="38"/>
      <c r="BK391" s="38"/>
      <c r="BL391" s="38"/>
      <c r="BM391" s="38"/>
      <c r="BN391" s="38"/>
      <c r="BO391" s="38"/>
    </row>
    <row r="392" ht="28.5" customHeight="1">
      <c r="A392" s="41">
        <v>42773.0</v>
      </c>
      <c r="B392" s="16" t="s">
        <v>1759</v>
      </c>
      <c r="C392" s="13" t="s">
        <v>1760</v>
      </c>
      <c r="D392" s="13" t="s">
        <v>1761</v>
      </c>
      <c r="E392" s="16" t="s">
        <v>1207</v>
      </c>
      <c r="F392" s="13"/>
      <c r="G392" s="13"/>
      <c r="H392" s="13"/>
      <c r="I392" s="13"/>
      <c r="J392" s="13"/>
      <c r="K392" s="13"/>
      <c r="L392" s="13"/>
      <c r="M392" s="13"/>
      <c r="N392" s="13"/>
      <c r="O392" s="13"/>
      <c r="P392" s="13" t="s">
        <v>1765</v>
      </c>
    </row>
    <row r="393" ht="28.5" customHeight="1">
      <c r="A393" s="41"/>
      <c r="B393" s="16"/>
      <c r="C393" s="13"/>
      <c r="D393" s="13"/>
      <c r="E393" s="16"/>
      <c r="F393" s="13"/>
      <c r="G393" s="13"/>
      <c r="H393" s="13"/>
      <c r="I393" s="13"/>
      <c r="J393" s="13"/>
      <c r="K393" s="13"/>
      <c r="L393" s="13"/>
      <c r="M393" s="13"/>
      <c r="N393" s="13"/>
      <c r="O393" s="13"/>
    </row>
    <row r="394" ht="28.5" customHeight="1">
      <c r="A394" s="80"/>
      <c r="B394" s="80"/>
      <c r="E394" s="80"/>
    </row>
    <row r="395" ht="28.5" customHeight="1">
      <c r="A395" s="80"/>
      <c r="B395" s="80"/>
      <c r="E395" s="80"/>
    </row>
    <row r="396" ht="28.5" customHeight="1">
      <c r="A396" s="80"/>
      <c r="B396" s="80"/>
      <c r="E396" s="80"/>
    </row>
    <row r="397" ht="28.5" customHeight="1">
      <c r="A397" s="80"/>
      <c r="B397" s="80"/>
      <c r="E397" s="80"/>
    </row>
    <row r="398" ht="28.5" customHeight="1">
      <c r="A398" s="80"/>
      <c r="B398" s="80"/>
      <c r="E398" s="80"/>
    </row>
    <row r="399" ht="28.5" customHeight="1">
      <c r="A399" s="80"/>
      <c r="B399" s="80"/>
      <c r="E399" s="80"/>
    </row>
    <row r="400" ht="28.5" customHeight="1">
      <c r="A400" s="80"/>
      <c r="B400" s="80"/>
      <c r="E400" s="80"/>
    </row>
    <row r="401" ht="28.5" customHeight="1">
      <c r="A401" s="80"/>
      <c r="B401" s="80"/>
      <c r="E401" s="80"/>
    </row>
    <row r="402" ht="28.5" customHeight="1">
      <c r="A402" s="80"/>
      <c r="B402" s="80"/>
      <c r="E402" s="80"/>
    </row>
    <row r="403" ht="28.5" customHeight="1">
      <c r="A403" s="80"/>
      <c r="B403" s="80"/>
      <c r="E403" s="80"/>
    </row>
    <row r="404" ht="28.5" customHeight="1">
      <c r="A404" s="80"/>
      <c r="B404" s="80"/>
      <c r="E404" s="80"/>
    </row>
    <row r="405" ht="28.5" customHeight="1">
      <c r="A405" s="80"/>
      <c r="B405" s="80"/>
      <c r="E405" s="80"/>
    </row>
    <row r="406" ht="28.5" customHeight="1">
      <c r="A406" s="80"/>
      <c r="B406" s="80"/>
      <c r="E406" s="80"/>
    </row>
    <row r="407" ht="28.5" customHeight="1">
      <c r="A407" s="80"/>
      <c r="B407" s="80"/>
      <c r="E407" s="80"/>
    </row>
    <row r="408" ht="28.5" customHeight="1">
      <c r="A408" s="80"/>
      <c r="B408" s="80"/>
      <c r="E408" s="80"/>
    </row>
    <row r="409" ht="28.5" customHeight="1">
      <c r="A409" s="80"/>
      <c r="B409" s="80"/>
      <c r="E409" s="80"/>
    </row>
    <row r="410" ht="28.5" customHeight="1">
      <c r="A410" s="80"/>
      <c r="B410" s="80"/>
      <c r="E410" s="80"/>
    </row>
    <row r="411" ht="28.5" customHeight="1">
      <c r="A411" s="80"/>
      <c r="B411" s="80"/>
      <c r="E411" s="80"/>
    </row>
    <row r="412" ht="28.5" customHeight="1">
      <c r="A412" s="80"/>
      <c r="B412" s="80"/>
      <c r="E412" s="80"/>
    </row>
    <row r="413" ht="28.5" customHeight="1">
      <c r="A413" s="80"/>
      <c r="B413" s="80"/>
      <c r="E413" s="80"/>
    </row>
    <row r="414" ht="28.5" customHeight="1">
      <c r="A414" s="80"/>
      <c r="B414" s="80"/>
      <c r="E414" s="80"/>
    </row>
    <row r="415" ht="28.5" customHeight="1">
      <c r="A415" s="80"/>
      <c r="B415" s="80"/>
      <c r="E415" s="80"/>
    </row>
    <row r="416" ht="28.5" customHeight="1">
      <c r="A416" s="80"/>
      <c r="B416" s="80"/>
      <c r="E416" s="80"/>
    </row>
    <row r="417" ht="28.5" customHeight="1">
      <c r="A417" s="80"/>
      <c r="B417" s="80"/>
      <c r="E417" s="80"/>
    </row>
    <row r="418" ht="28.5" customHeight="1">
      <c r="A418" s="80"/>
      <c r="B418" s="80"/>
      <c r="E418" s="80"/>
    </row>
    <row r="419" ht="28.5" customHeight="1">
      <c r="A419" s="80"/>
      <c r="B419" s="80"/>
      <c r="E419" s="80"/>
    </row>
    <row r="420" ht="28.5" customHeight="1">
      <c r="A420" s="80"/>
      <c r="B420" s="80"/>
      <c r="E420" s="80"/>
    </row>
    <row r="421" ht="28.5" customHeight="1">
      <c r="A421" s="80"/>
      <c r="B421" s="80"/>
      <c r="E421" s="80"/>
    </row>
    <row r="422" ht="28.5" customHeight="1">
      <c r="A422" s="80"/>
      <c r="B422" s="80"/>
      <c r="E422" s="80"/>
    </row>
    <row r="423" ht="28.5" customHeight="1">
      <c r="A423" s="80"/>
      <c r="B423" s="80"/>
      <c r="E423" s="80"/>
    </row>
    <row r="424" ht="28.5" customHeight="1">
      <c r="A424" s="80"/>
      <c r="B424" s="80"/>
      <c r="E424" s="80"/>
    </row>
    <row r="425" ht="28.5" customHeight="1">
      <c r="A425" s="80"/>
      <c r="B425" s="80"/>
      <c r="E425" s="80"/>
    </row>
    <row r="426" ht="28.5" customHeight="1">
      <c r="A426" s="80"/>
      <c r="B426" s="80"/>
      <c r="E426" s="80"/>
    </row>
    <row r="427" ht="28.5" customHeight="1">
      <c r="A427" s="80"/>
      <c r="B427" s="80"/>
      <c r="E427" s="80"/>
    </row>
    <row r="428" ht="28.5" customHeight="1">
      <c r="A428" s="80"/>
      <c r="B428" s="80"/>
      <c r="E428" s="80"/>
    </row>
    <row r="429" ht="28.5" customHeight="1">
      <c r="A429" s="80"/>
      <c r="B429" s="80"/>
      <c r="E429" s="80"/>
    </row>
    <row r="430" ht="28.5" customHeight="1">
      <c r="A430" s="80"/>
      <c r="B430" s="80"/>
      <c r="E430" s="80"/>
    </row>
    <row r="431" ht="28.5" customHeight="1">
      <c r="A431" s="80"/>
      <c r="B431" s="80"/>
      <c r="E431" s="80"/>
    </row>
    <row r="432" ht="28.5" customHeight="1">
      <c r="A432" s="80"/>
      <c r="B432" s="80"/>
      <c r="E432" s="80"/>
    </row>
    <row r="433" ht="28.5" customHeight="1">
      <c r="A433" s="80"/>
      <c r="B433" s="80"/>
      <c r="E433" s="80"/>
    </row>
    <row r="434" ht="28.5" customHeight="1">
      <c r="A434" s="80"/>
      <c r="B434" s="80"/>
      <c r="E434" s="80"/>
    </row>
    <row r="435" ht="28.5" customHeight="1">
      <c r="A435" s="80"/>
      <c r="B435" s="80"/>
      <c r="E435" s="80"/>
    </row>
    <row r="436" ht="28.5" customHeight="1">
      <c r="A436" s="80"/>
      <c r="B436" s="80"/>
      <c r="E436" s="80"/>
    </row>
    <row r="437" ht="28.5" customHeight="1">
      <c r="A437" s="80"/>
      <c r="B437" s="80"/>
      <c r="E437" s="80"/>
    </row>
    <row r="438" ht="28.5" customHeight="1">
      <c r="A438" s="80"/>
      <c r="B438" s="80"/>
      <c r="E438" s="80"/>
    </row>
    <row r="439" ht="28.5" customHeight="1">
      <c r="A439" s="80"/>
      <c r="B439" s="80"/>
      <c r="E439" s="80"/>
    </row>
    <row r="440" ht="28.5" customHeight="1">
      <c r="A440" s="80"/>
      <c r="B440" s="80"/>
      <c r="E440" s="80"/>
    </row>
    <row r="441" ht="28.5" customHeight="1">
      <c r="A441" s="80"/>
      <c r="B441" s="80"/>
      <c r="E441" s="80"/>
    </row>
    <row r="442" ht="28.5" customHeight="1">
      <c r="A442" s="80"/>
      <c r="B442" s="80"/>
      <c r="E442" s="80"/>
    </row>
    <row r="443" ht="28.5" customHeight="1">
      <c r="A443" s="80"/>
      <c r="B443" s="80"/>
      <c r="E443" s="80"/>
    </row>
    <row r="444" ht="28.5" customHeight="1">
      <c r="A444" s="80"/>
      <c r="B444" s="80"/>
      <c r="E444" s="80"/>
    </row>
    <row r="445" ht="28.5" customHeight="1">
      <c r="A445" s="80"/>
      <c r="B445" s="80"/>
      <c r="E445" s="80"/>
    </row>
    <row r="446" ht="28.5" customHeight="1">
      <c r="A446" s="80"/>
      <c r="B446" s="80"/>
      <c r="E446" s="80"/>
    </row>
    <row r="447" ht="28.5" customHeight="1">
      <c r="A447" s="80"/>
      <c r="B447" s="80"/>
      <c r="E447" s="80"/>
    </row>
    <row r="448" ht="28.5" customHeight="1">
      <c r="A448" s="80"/>
      <c r="B448" s="80"/>
      <c r="E448" s="80"/>
    </row>
    <row r="449" ht="28.5" customHeight="1">
      <c r="A449" s="80"/>
      <c r="B449" s="80"/>
      <c r="E449" s="80"/>
    </row>
    <row r="450" ht="28.5" customHeight="1">
      <c r="A450" s="80"/>
      <c r="B450" s="80"/>
      <c r="E450" s="80"/>
    </row>
    <row r="451" ht="28.5" customHeight="1">
      <c r="A451" s="80"/>
      <c r="B451" s="80"/>
      <c r="E451" s="80"/>
    </row>
    <row r="452" ht="28.5" customHeight="1">
      <c r="A452" s="80"/>
      <c r="B452" s="80"/>
      <c r="E452" s="80"/>
    </row>
    <row r="453" ht="28.5" customHeight="1">
      <c r="A453" s="80"/>
      <c r="B453" s="80"/>
      <c r="E453" s="80"/>
    </row>
    <row r="454" ht="28.5" customHeight="1">
      <c r="A454" s="80"/>
      <c r="B454" s="80"/>
      <c r="E454" s="80"/>
    </row>
    <row r="455" ht="28.5" customHeight="1">
      <c r="A455" s="80"/>
      <c r="B455" s="80"/>
      <c r="E455" s="80"/>
    </row>
    <row r="456" ht="28.5" customHeight="1">
      <c r="A456" s="80"/>
      <c r="B456" s="80"/>
      <c r="E456" s="80"/>
    </row>
    <row r="457" ht="28.5" customHeight="1">
      <c r="A457" s="80"/>
      <c r="B457" s="80"/>
      <c r="E457" s="80"/>
    </row>
    <row r="458" ht="28.5" customHeight="1">
      <c r="A458" s="80"/>
      <c r="B458" s="80"/>
      <c r="E458" s="80"/>
    </row>
    <row r="459" ht="28.5" customHeight="1">
      <c r="A459" s="80"/>
      <c r="B459" s="80"/>
      <c r="E459" s="80"/>
    </row>
    <row r="460" ht="28.5" customHeight="1">
      <c r="A460" s="80"/>
      <c r="B460" s="80"/>
      <c r="E460" s="80"/>
    </row>
    <row r="461" ht="28.5" customHeight="1">
      <c r="A461" s="80"/>
      <c r="B461" s="80"/>
      <c r="E461" s="80"/>
    </row>
    <row r="462" ht="28.5" customHeight="1">
      <c r="A462" s="80"/>
      <c r="B462" s="80"/>
      <c r="E462" s="80"/>
    </row>
    <row r="463" ht="28.5" customHeight="1">
      <c r="A463" s="80"/>
      <c r="B463" s="80"/>
      <c r="E463" s="80"/>
    </row>
    <row r="464" ht="28.5" customHeight="1">
      <c r="A464" s="80"/>
      <c r="B464" s="80"/>
      <c r="E464" s="80"/>
    </row>
    <row r="465" ht="28.5" customHeight="1">
      <c r="A465" s="80"/>
      <c r="B465" s="80"/>
      <c r="E465" s="80"/>
    </row>
    <row r="466" ht="28.5" customHeight="1">
      <c r="A466" s="80"/>
      <c r="B466" s="80"/>
      <c r="E466" s="80"/>
    </row>
    <row r="467" ht="28.5" customHeight="1">
      <c r="A467" s="80"/>
      <c r="B467" s="80"/>
      <c r="E467" s="80"/>
    </row>
    <row r="468" ht="28.5" customHeight="1">
      <c r="A468" s="80"/>
      <c r="B468" s="80"/>
      <c r="E468" s="80"/>
    </row>
    <row r="469" ht="28.5" customHeight="1">
      <c r="A469" s="80"/>
      <c r="B469" s="80"/>
      <c r="E469" s="80"/>
    </row>
    <row r="470" ht="28.5" customHeight="1">
      <c r="A470" s="80"/>
      <c r="B470" s="80"/>
      <c r="E470" s="80"/>
    </row>
    <row r="471" ht="28.5" customHeight="1">
      <c r="A471" s="80"/>
      <c r="B471" s="80"/>
      <c r="E471" s="80"/>
    </row>
    <row r="472" ht="28.5" customHeight="1">
      <c r="A472" s="80"/>
      <c r="B472" s="80"/>
      <c r="E472" s="80"/>
    </row>
    <row r="473" ht="28.5" customHeight="1">
      <c r="A473" s="80"/>
      <c r="B473" s="80"/>
      <c r="E473" s="80"/>
    </row>
    <row r="474" ht="28.5" customHeight="1">
      <c r="A474" s="80"/>
      <c r="B474" s="80"/>
      <c r="E474" s="80"/>
    </row>
    <row r="475" ht="28.5" customHeight="1">
      <c r="A475" s="80"/>
      <c r="B475" s="80"/>
      <c r="E475" s="80"/>
    </row>
    <row r="476" ht="28.5" customHeight="1">
      <c r="A476" s="80"/>
      <c r="B476" s="80"/>
      <c r="E476" s="80"/>
    </row>
    <row r="477" ht="28.5" customHeight="1">
      <c r="A477" s="80"/>
      <c r="B477" s="80"/>
      <c r="E477" s="80"/>
    </row>
    <row r="478" ht="28.5" customHeight="1">
      <c r="A478" s="80"/>
      <c r="B478" s="80"/>
      <c r="E478" s="80"/>
    </row>
    <row r="479" ht="28.5" customHeight="1">
      <c r="A479" s="80"/>
      <c r="B479" s="80"/>
      <c r="E479" s="80"/>
    </row>
    <row r="480" ht="28.5" customHeight="1">
      <c r="A480" s="80"/>
      <c r="B480" s="80"/>
      <c r="E480" s="80"/>
    </row>
    <row r="481" ht="28.5" customHeight="1">
      <c r="A481" s="80"/>
      <c r="B481" s="80"/>
      <c r="E481" s="80"/>
    </row>
    <row r="482" ht="28.5" customHeight="1">
      <c r="A482" s="80"/>
      <c r="B482" s="80"/>
      <c r="E482" s="80"/>
    </row>
    <row r="483" ht="28.5" customHeight="1">
      <c r="A483" s="80"/>
      <c r="B483" s="80"/>
      <c r="E483" s="80"/>
    </row>
    <row r="484" ht="28.5" customHeight="1">
      <c r="A484" s="80"/>
      <c r="B484" s="80"/>
      <c r="E484" s="80"/>
    </row>
    <row r="485" ht="28.5" customHeight="1">
      <c r="A485" s="80"/>
      <c r="B485" s="80"/>
      <c r="E485" s="80"/>
    </row>
    <row r="486" ht="28.5" customHeight="1">
      <c r="A486" s="80"/>
      <c r="B486" s="80"/>
      <c r="E486" s="80"/>
    </row>
    <row r="487" ht="28.5" customHeight="1">
      <c r="A487" s="80"/>
      <c r="B487" s="80"/>
      <c r="E487" s="80"/>
    </row>
    <row r="488" ht="28.5" customHeight="1">
      <c r="A488" s="80"/>
      <c r="B488" s="80"/>
      <c r="E488" s="80"/>
    </row>
    <row r="489" ht="28.5" customHeight="1">
      <c r="A489" s="80"/>
      <c r="B489" s="80"/>
      <c r="E489" s="80"/>
    </row>
    <row r="490" ht="28.5" customHeight="1">
      <c r="A490" s="80"/>
      <c r="B490" s="80"/>
      <c r="E490" s="80"/>
    </row>
    <row r="491" ht="28.5" customHeight="1">
      <c r="A491" s="80"/>
      <c r="B491" s="80"/>
      <c r="E491" s="80"/>
    </row>
    <row r="492" ht="28.5" customHeight="1">
      <c r="A492" s="80"/>
      <c r="B492" s="80"/>
      <c r="E492" s="80"/>
    </row>
    <row r="493" ht="28.5" customHeight="1">
      <c r="A493" s="80"/>
      <c r="B493" s="80"/>
      <c r="E493" s="80"/>
    </row>
    <row r="494" ht="28.5" customHeight="1">
      <c r="A494" s="80"/>
      <c r="B494" s="80"/>
      <c r="E494" s="80"/>
    </row>
    <row r="495" ht="28.5" customHeight="1">
      <c r="A495" s="80"/>
      <c r="B495" s="80"/>
      <c r="E495" s="80"/>
    </row>
    <row r="496" ht="28.5" customHeight="1">
      <c r="A496" s="80"/>
      <c r="B496" s="80"/>
      <c r="E496" s="80"/>
    </row>
    <row r="497" ht="28.5" customHeight="1">
      <c r="A497" s="80"/>
      <c r="B497" s="80"/>
      <c r="E497" s="80"/>
    </row>
    <row r="498" ht="28.5" customHeight="1">
      <c r="A498" s="80"/>
      <c r="B498" s="80"/>
      <c r="E498" s="80"/>
    </row>
    <row r="499" ht="28.5" customHeight="1">
      <c r="A499" s="80"/>
      <c r="B499" s="80"/>
      <c r="E499" s="80"/>
    </row>
    <row r="500" ht="28.5" customHeight="1">
      <c r="A500" s="80"/>
      <c r="B500" s="80"/>
      <c r="E500" s="80"/>
    </row>
    <row r="501" ht="28.5" customHeight="1">
      <c r="A501" s="80"/>
      <c r="B501" s="80"/>
      <c r="E501" s="80"/>
    </row>
    <row r="502" ht="28.5" customHeight="1">
      <c r="A502" s="80"/>
      <c r="B502" s="80"/>
      <c r="E502" s="80"/>
    </row>
    <row r="503" ht="28.5" customHeight="1">
      <c r="A503" s="80"/>
      <c r="B503" s="80"/>
      <c r="E503" s="80"/>
    </row>
    <row r="504" ht="28.5" customHeight="1">
      <c r="A504" s="80"/>
      <c r="B504" s="80"/>
      <c r="E504" s="80"/>
    </row>
    <row r="505" ht="28.5" customHeight="1">
      <c r="A505" s="80"/>
      <c r="B505" s="80"/>
      <c r="E505" s="80"/>
    </row>
    <row r="506" ht="28.5" customHeight="1">
      <c r="A506" s="80"/>
      <c r="B506" s="80"/>
      <c r="E506" s="80"/>
    </row>
    <row r="507" ht="28.5" customHeight="1">
      <c r="A507" s="80"/>
      <c r="B507" s="80"/>
      <c r="E507" s="80"/>
    </row>
    <row r="508" ht="28.5" customHeight="1">
      <c r="A508" s="80"/>
      <c r="B508" s="80"/>
      <c r="E508" s="80"/>
    </row>
    <row r="509" ht="28.5" customHeight="1">
      <c r="A509" s="80"/>
      <c r="B509" s="80"/>
      <c r="E509" s="80"/>
    </row>
    <row r="510" ht="28.5" customHeight="1">
      <c r="A510" s="80"/>
      <c r="B510" s="80"/>
      <c r="E510" s="80"/>
    </row>
    <row r="511" ht="28.5" customHeight="1">
      <c r="A511" s="80"/>
      <c r="B511" s="80"/>
      <c r="E511" s="80"/>
    </row>
    <row r="512" ht="28.5" customHeight="1">
      <c r="A512" s="80"/>
      <c r="B512" s="80"/>
      <c r="E512" s="80"/>
    </row>
    <row r="513" ht="28.5" customHeight="1">
      <c r="A513" s="80"/>
      <c r="B513" s="80"/>
      <c r="E513" s="80"/>
    </row>
    <row r="514" ht="28.5" customHeight="1">
      <c r="A514" s="80"/>
      <c r="B514" s="80"/>
      <c r="E514" s="80"/>
    </row>
    <row r="515" ht="28.5" customHeight="1">
      <c r="A515" s="80"/>
      <c r="B515" s="80"/>
      <c r="E515" s="80"/>
    </row>
    <row r="516" ht="28.5" customHeight="1">
      <c r="A516" s="80"/>
      <c r="B516" s="80"/>
      <c r="E516" s="80"/>
    </row>
    <row r="517" ht="28.5" customHeight="1">
      <c r="A517" s="80"/>
      <c r="B517" s="80"/>
      <c r="E517" s="80"/>
    </row>
    <row r="518" ht="28.5" customHeight="1">
      <c r="A518" s="80"/>
      <c r="B518" s="80"/>
      <c r="E518" s="80"/>
    </row>
    <row r="519" ht="28.5" customHeight="1">
      <c r="A519" s="80"/>
      <c r="B519" s="80"/>
      <c r="E519" s="80"/>
    </row>
    <row r="520" ht="28.5" customHeight="1">
      <c r="A520" s="80"/>
      <c r="B520" s="80"/>
      <c r="E520" s="80"/>
    </row>
    <row r="521" ht="28.5" customHeight="1">
      <c r="A521" s="80"/>
      <c r="B521" s="80"/>
      <c r="E521" s="80"/>
    </row>
    <row r="522" ht="28.5" customHeight="1">
      <c r="A522" s="80"/>
      <c r="B522" s="80"/>
      <c r="E522" s="80"/>
    </row>
    <row r="523" ht="28.5" customHeight="1">
      <c r="A523" s="80"/>
      <c r="B523" s="80"/>
      <c r="E523" s="80"/>
    </row>
    <row r="524" ht="28.5" customHeight="1">
      <c r="A524" s="80"/>
      <c r="B524" s="80"/>
      <c r="E524" s="80"/>
    </row>
    <row r="525" ht="28.5" customHeight="1">
      <c r="A525" s="80"/>
      <c r="B525" s="80"/>
      <c r="E525" s="80"/>
    </row>
    <row r="526" ht="28.5" customHeight="1">
      <c r="A526" s="80"/>
      <c r="B526" s="80"/>
      <c r="E526" s="80"/>
    </row>
    <row r="527" ht="28.5" customHeight="1">
      <c r="A527" s="80"/>
      <c r="B527" s="80"/>
      <c r="E527" s="80"/>
    </row>
    <row r="528" ht="28.5" customHeight="1">
      <c r="A528" s="80"/>
      <c r="B528" s="80"/>
      <c r="E528" s="80"/>
    </row>
    <row r="529" ht="28.5" customHeight="1">
      <c r="A529" s="80"/>
      <c r="B529" s="80"/>
      <c r="E529" s="80"/>
    </row>
    <row r="530" ht="28.5" customHeight="1">
      <c r="A530" s="80"/>
      <c r="B530" s="80"/>
      <c r="E530" s="80"/>
    </row>
    <row r="531" ht="28.5" customHeight="1">
      <c r="A531" s="80"/>
      <c r="B531" s="80"/>
      <c r="E531" s="80"/>
    </row>
    <row r="532" ht="28.5" customHeight="1">
      <c r="A532" s="80"/>
      <c r="B532" s="80"/>
      <c r="E532" s="80"/>
    </row>
    <row r="533" ht="28.5" customHeight="1">
      <c r="A533" s="80"/>
      <c r="B533" s="80"/>
      <c r="E533" s="80"/>
    </row>
    <row r="534" ht="28.5" customHeight="1">
      <c r="A534" s="80"/>
      <c r="B534" s="80"/>
      <c r="E534" s="80"/>
    </row>
    <row r="535" ht="28.5" customHeight="1">
      <c r="A535" s="80"/>
      <c r="B535" s="80"/>
      <c r="E535" s="80"/>
    </row>
    <row r="536" ht="28.5" customHeight="1">
      <c r="A536" s="80"/>
      <c r="B536" s="80"/>
      <c r="E536" s="80"/>
    </row>
    <row r="537" ht="28.5" customHeight="1">
      <c r="A537" s="80"/>
      <c r="B537" s="80"/>
      <c r="E537" s="80"/>
    </row>
    <row r="538" ht="28.5" customHeight="1">
      <c r="A538" s="80"/>
      <c r="B538" s="80"/>
      <c r="E538" s="80"/>
    </row>
    <row r="539" ht="28.5" customHeight="1">
      <c r="A539" s="80"/>
      <c r="B539" s="80"/>
      <c r="E539" s="80"/>
    </row>
    <row r="540" ht="28.5" customHeight="1">
      <c r="A540" s="80"/>
      <c r="B540" s="80"/>
      <c r="E540" s="80"/>
    </row>
    <row r="541" ht="28.5" customHeight="1">
      <c r="A541" s="80"/>
      <c r="B541" s="80"/>
      <c r="E541" s="80"/>
    </row>
    <row r="542" ht="28.5" customHeight="1">
      <c r="A542" s="80"/>
      <c r="B542" s="80"/>
      <c r="E542" s="80"/>
    </row>
    <row r="543" ht="28.5" customHeight="1">
      <c r="A543" s="80"/>
      <c r="B543" s="80"/>
      <c r="E543" s="80"/>
    </row>
    <row r="544" ht="28.5" customHeight="1">
      <c r="A544" s="80"/>
      <c r="B544" s="80"/>
      <c r="E544" s="80"/>
    </row>
    <row r="545" ht="28.5" customHeight="1">
      <c r="A545" s="80"/>
      <c r="B545" s="80"/>
      <c r="E545" s="80"/>
    </row>
    <row r="546" ht="28.5" customHeight="1">
      <c r="A546" s="80"/>
      <c r="B546" s="80"/>
      <c r="E546" s="80"/>
    </row>
    <row r="547" ht="28.5" customHeight="1">
      <c r="A547" s="80"/>
      <c r="B547" s="80"/>
      <c r="E547" s="80"/>
    </row>
    <row r="548" ht="28.5" customHeight="1">
      <c r="A548" s="80"/>
      <c r="B548" s="80"/>
      <c r="E548" s="80"/>
    </row>
    <row r="549" ht="28.5" customHeight="1">
      <c r="A549" s="80"/>
      <c r="B549" s="80"/>
      <c r="E549" s="80"/>
    </row>
    <row r="550" ht="28.5" customHeight="1">
      <c r="A550" s="80"/>
      <c r="B550" s="80"/>
      <c r="E550" s="80"/>
    </row>
    <row r="551" ht="28.5" customHeight="1">
      <c r="A551" s="80"/>
      <c r="B551" s="80"/>
      <c r="E551" s="80"/>
    </row>
    <row r="552" ht="28.5" customHeight="1">
      <c r="A552" s="80"/>
      <c r="B552" s="80"/>
      <c r="E552" s="80"/>
    </row>
    <row r="553" ht="28.5" customHeight="1">
      <c r="A553" s="80"/>
      <c r="B553" s="80"/>
      <c r="E553" s="80"/>
    </row>
    <row r="554" ht="28.5" customHeight="1">
      <c r="A554" s="80"/>
      <c r="B554" s="80"/>
      <c r="E554" s="80"/>
    </row>
    <row r="555" ht="28.5" customHeight="1">
      <c r="A555" s="80"/>
      <c r="B555" s="80"/>
      <c r="E555" s="80"/>
    </row>
    <row r="556" ht="28.5" customHeight="1">
      <c r="A556" s="80"/>
      <c r="B556" s="80"/>
      <c r="E556" s="80"/>
    </row>
    <row r="557" ht="28.5" customHeight="1">
      <c r="A557" s="80"/>
      <c r="B557" s="80"/>
      <c r="E557" s="80"/>
    </row>
    <row r="558" ht="28.5" customHeight="1">
      <c r="A558" s="80"/>
      <c r="B558" s="80"/>
      <c r="E558" s="80"/>
    </row>
    <row r="559" ht="28.5" customHeight="1">
      <c r="A559" s="80"/>
      <c r="B559" s="80"/>
      <c r="E559" s="80"/>
    </row>
    <row r="560" ht="28.5" customHeight="1">
      <c r="A560" s="80"/>
      <c r="B560" s="80"/>
      <c r="E560" s="80"/>
    </row>
    <row r="561" ht="28.5" customHeight="1">
      <c r="A561" s="80"/>
      <c r="B561" s="80"/>
      <c r="E561" s="80"/>
    </row>
    <row r="562" ht="28.5" customHeight="1">
      <c r="A562" s="80"/>
      <c r="B562" s="80"/>
      <c r="E562" s="80"/>
    </row>
    <row r="563" ht="28.5" customHeight="1">
      <c r="A563" s="80"/>
      <c r="B563" s="80"/>
      <c r="E563" s="80"/>
    </row>
    <row r="564" ht="28.5" customHeight="1">
      <c r="A564" s="80"/>
      <c r="B564" s="80"/>
      <c r="E564" s="80"/>
    </row>
    <row r="565" ht="28.5" customHeight="1">
      <c r="A565" s="80"/>
      <c r="B565" s="80"/>
      <c r="E565" s="80"/>
    </row>
    <row r="566" ht="28.5" customHeight="1">
      <c r="A566" s="80"/>
      <c r="B566" s="80"/>
      <c r="E566" s="80"/>
    </row>
    <row r="567" ht="28.5" customHeight="1">
      <c r="A567" s="80"/>
      <c r="B567" s="80"/>
      <c r="E567" s="80"/>
    </row>
    <row r="568" ht="28.5" customHeight="1">
      <c r="A568" s="80"/>
      <c r="B568" s="80"/>
      <c r="E568" s="80"/>
    </row>
    <row r="569" ht="28.5" customHeight="1">
      <c r="A569" s="80"/>
      <c r="B569" s="80"/>
      <c r="E569" s="80"/>
    </row>
    <row r="570" ht="28.5" customHeight="1">
      <c r="A570" s="80"/>
      <c r="B570" s="80"/>
      <c r="E570" s="80"/>
    </row>
    <row r="571" ht="28.5" customHeight="1">
      <c r="A571" s="80"/>
      <c r="B571" s="80"/>
      <c r="E571" s="80"/>
    </row>
    <row r="572" ht="28.5" customHeight="1">
      <c r="A572" s="80"/>
      <c r="B572" s="80"/>
      <c r="E572" s="80"/>
    </row>
    <row r="573" ht="28.5" customHeight="1">
      <c r="A573" s="80"/>
      <c r="B573" s="80"/>
      <c r="E573" s="80"/>
    </row>
    <row r="574" ht="28.5" customHeight="1">
      <c r="A574" s="80"/>
      <c r="B574" s="80"/>
      <c r="E574" s="80"/>
    </row>
    <row r="575" ht="28.5" customHeight="1">
      <c r="A575" s="80"/>
      <c r="B575" s="80"/>
      <c r="E575" s="80"/>
    </row>
    <row r="576" ht="28.5" customHeight="1">
      <c r="A576" s="80"/>
      <c r="B576" s="80"/>
      <c r="E576" s="80"/>
    </row>
    <row r="577" ht="28.5" customHeight="1">
      <c r="A577" s="80"/>
      <c r="B577" s="80"/>
      <c r="E577" s="80"/>
    </row>
    <row r="578" ht="28.5" customHeight="1">
      <c r="A578" s="80"/>
      <c r="B578" s="80"/>
      <c r="E578" s="80"/>
    </row>
    <row r="579" ht="28.5" customHeight="1">
      <c r="A579" s="80"/>
      <c r="B579" s="80"/>
      <c r="E579" s="80"/>
    </row>
    <row r="580" ht="28.5" customHeight="1">
      <c r="A580" s="80"/>
      <c r="B580" s="80"/>
      <c r="E580" s="80"/>
    </row>
    <row r="581" ht="28.5" customHeight="1">
      <c r="A581" s="80"/>
      <c r="B581" s="80"/>
      <c r="E581" s="80"/>
    </row>
    <row r="582" ht="28.5" customHeight="1">
      <c r="A582" s="80"/>
      <c r="B582" s="80"/>
      <c r="E582" s="80"/>
    </row>
    <row r="583" ht="28.5" customHeight="1">
      <c r="A583" s="80"/>
      <c r="B583" s="80"/>
      <c r="E583" s="80"/>
    </row>
    <row r="584" ht="28.5" customHeight="1">
      <c r="A584" s="80"/>
      <c r="B584" s="80"/>
      <c r="E584" s="80"/>
    </row>
    <row r="585" ht="28.5" customHeight="1">
      <c r="A585" s="80"/>
      <c r="B585" s="80"/>
      <c r="E585" s="80"/>
    </row>
    <row r="586" ht="28.5" customHeight="1">
      <c r="A586" s="80"/>
      <c r="B586" s="80"/>
      <c r="E586" s="80"/>
    </row>
    <row r="587" ht="28.5" customHeight="1">
      <c r="A587" s="80"/>
      <c r="B587" s="80"/>
      <c r="E587" s="80"/>
    </row>
    <row r="588" ht="28.5" customHeight="1">
      <c r="A588" s="80"/>
      <c r="B588" s="80"/>
      <c r="E588" s="80"/>
    </row>
    <row r="589" ht="28.5" customHeight="1">
      <c r="A589" s="80"/>
      <c r="B589" s="80"/>
      <c r="E589" s="80"/>
    </row>
    <row r="590" ht="28.5" customHeight="1">
      <c r="A590" s="80"/>
      <c r="B590" s="80"/>
      <c r="E590" s="80"/>
    </row>
    <row r="591" ht="28.5" customHeight="1">
      <c r="A591" s="80"/>
      <c r="B591" s="80"/>
      <c r="E591" s="80"/>
    </row>
    <row r="592" ht="28.5" customHeight="1">
      <c r="A592" s="80"/>
      <c r="B592" s="80"/>
      <c r="E592" s="80"/>
    </row>
    <row r="593" ht="28.5" customHeight="1">
      <c r="A593" s="80"/>
      <c r="B593" s="80"/>
      <c r="E593" s="80"/>
    </row>
    <row r="594" ht="28.5" customHeight="1">
      <c r="A594" s="80"/>
      <c r="B594" s="80"/>
      <c r="E594" s="80"/>
    </row>
    <row r="595" ht="28.5" customHeight="1">
      <c r="A595" s="80"/>
      <c r="B595" s="80"/>
      <c r="E595" s="80"/>
    </row>
    <row r="596" ht="28.5" customHeight="1">
      <c r="A596" s="80"/>
      <c r="B596" s="80"/>
      <c r="E596" s="80"/>
    </row>
    <row r="597" ht="28.5" customHeight="1">
      <c r="A597" s="80"/>
      <c r="B597" s="80"/>
      <c r="E597" s="80"/>
    </row>
    <row r="598" ht="28.5" customHeight="1">
      <c r="A598" s="80"/>
      <c r="B598" s="80"/>
      <c r="E598" s="80"/>
    </row>
    <row r="599" ht="28.5" customHeight="1">
      <c r="A599" s="80"/>
      <c r="B599" s="80"/>
      <c r="E599" s="80"/>
    </row>
    <row r="600" ht="28.5" customHeight="1">
      <c r="A600" s="80"/>
      <c r="B600" s="80"/>
      <c r="E600" s="80"/>
    </row>
    <row r="601" ht="28.5" customHeight="1">
      <c r="A601" s="80"/>
      <c r="B601" s="80"/>
      <c r="E601" s="80"/>
    </row>
    <row r="602" ht="28.5" customHeight="1">
      <c r="A602" s="80"/>
      <c r="B602" s="80"/>
      <c r="E602" s="80"/>
    </row>
    <row r="603" ht="28.5" customHeight="1">
      <c r="A603" s="80"/>
      <c r="B603" s="80"/>
      <c r="E603" s="80"/>
    </row>
    <row r="604" ht="28.5" customHeight="1">
      <c r="A604" s="80"/>
      <c r="B604" s="80"/>
      <c r="E604" s="80"/>
    </row>
    <row r="605" ht="28.5" customHeight="1">
      <c r="A605" s="80"/>
      <c r="B605" s="80"/>
      <c r="E605" s="80"/>
    </row>
    <row r="606" ht="28.5" customHeight="1">
      <c r="A606" s="80"/>
      <c r="B606" s="80"/>
      <c r="E606" s="80"/>
    </row>
    <row r="607" ht="28.5" customHeight="1">
      <c r="A607" s="80"/>
      <c r="B607" s="80"/>
      <c r="E607" s="80"/>
    </row>
    <row r="608" ht="28.5" customHeight="1">
      <c r="A608" s="80"/>
      <c r="B608" s="80"/>
      <c r="E608" s="80"/>
    </row>
    <row r="609" ht="28.5" customHeight="1">
      <c r="A609" s="80"/>
      <c r="B609" s="80"/>
      <c r="E609" s="80"/>
    </row>
    <row r="610" ht="28.5" customHeight="1">
      <c r="A610" s="80"/>
      <c r="B610" s="80"/>
      <c r="E610" s="80"/>
    </row>
    <row r="611" ht="28.5" customHeight="1">
      <c r="A611" s="80"/>
      <c r="B611" s="80"/>
      <c r="E611" s="80"/>
    </row>
    <row r="612" ht="28.5" customHeight="1">
      <c r="A612" s="80"/>
      <c r="B612" s="80"/>
      <c r="E612" s="80"/>
    </row>
    <row r="613" ht="28.5" customHeight="1">
      <c r="A613" s="80"/>
      <c r="B613" s="80"/>
      <c r="E613" s="80"/>
    </row>
    <row r="614" ht="28.5" customHeight="1">
      <c r="A614" s="80"/>
      <c r="B614" s="80"/>
      <c r="E614" s="80"/>
    </row>
    <row r="615" ht="28.5" customHeight="1">
      <c r="A615" s="80"/>
      <c r="B615" s="80"/>
      <c r="E615" s="80"/>
    </row>
    <row r="616" ht="28.5" customHeight="1">
      <c r="A616" s="80"/>
      <c r="B616" s="80"/>
      <c r="E616" s="80"/>
    </row>
    <row r="617" ht="28.5" customHeight="1">
      <c r="A617" s="80"/>
      <c r="B617" s="80"/>
      <c r="E617" s="80"/>
    </row>
    <row r="618" ht="28.5" customHeight="1">
      <c r="A618" s="80"/>
      <c r="B618" s="80"/>
      <c r="E618" s="80"/>
    </row>
    <row r="619" ht="28.5" customHeight="1">
      <c r="A619" s="80"/>
      <c r="B619" s="80"/>
      <c r="E619" s="80"/>
    </row>
    <row r="620" ht="28.5" customHeight="1">
      <c r="A620" s="80"/>
      <c r="B620" s="80"/>
      <c r="E620" s="80"/>
    </row>
    <row r="621" ht="28.5" customHeight="1">
      <c r="A621" s="80"/>
      <c r="B621" s="80"/>
      <c r="E621" s="80"/>
    </row>
    <row r="622" ht="28.5" customHeight="1">
      <c r="A622" s="80"/>
      <c r="B622" s="80"/>
      <c r="E622" s="80"/>
    </row>
    <row r="623" ht="28.5" customHeight="1">
      <c r="A623" s="80"/>
      <c r="B623" s="80"/>
      <c r="E623" s="80"/>
    </row>
    <row r="624" ht="28.5" customHeight="1">
      <c r="A624" s="80"/>
      <c r="B624" s="80"/>
      <c r="E624" s="80"/>
    </row>
    <row r="625" ht="28.5" customHeight="1">
      <c r="A625" s="80"/>
      <c r="B625" s="80"/>
      <c r="E625" s="80"/>
    </row>
    <row r="626" ht="28.5" customHeight="1">
      <c r="A626" s="80"/>
      <c r="B626" s="80"/>
      <c r="E626" s="80"/>
    </row>
    <row r="627" ht="28.5" customHeight="1">
      <c r="A627" s="80"/>
      <c r="B627" s="80"/>
      <c r="E627" s="80"/>
    </row>
    <row r="628" ht="28.5" customHeight="1">
      <c r="A628" s="80"/>
      <c r="B628" s="80"/>
      <c r="E628" s="80"/>
    </row>
    <row r="629" ht="28.5" customHeight="1">
      <c r="A629" s="80"/>
      <c r="B629" s="80"/>
      <c r="E629" s="80"/>
    </row>
    <row r="630" ht="28.5" customHeight="1">
      <c r="A630" s="80"/>
      <c r="B630" s="80"/>
      <c r="E630" s="80"/>
    </row>
    <row r="631" ht="28.5" customHeight="1">
      <c r="A631" s="80"/>
      <c r="B631" s="80"/>
      <c r="E631" s="80"/>
    </row>
    <row r="632" ht="28.5" customHeight="1">
      <c r="A632" s="80"/>
      <c r="B632" s="80"/>
      <c r="E632" s="80"/>
    </row>
    <row r="633" ht="28.5" customHeight="1">
      <c r="A633" s="80"/>
      <c r="B633" s="80"/>
      <c r="E633" s="80"/>
    </row>
    <row r="634" ht="28.5" customHeight="1">
      <c r="A634" s="80"/>
      <c r="B634" s="80"/>
      <c r="E634" s="80"/>
    </row>
    <row r="635" ht="28.5" customHeight="1">
      <c r="A635" s="80"/>
      <c r="B635" s="80"/>
      <c r="E635" s="80"/>
    </row>
    <row r="636" ht="28.5" customHeight="1">
      <c r="A636" s="80"/>
      <c r="B636" s="80"/>
      <c r="E636" s="80"/>
    </row>
    <row r="637" ht="28.5" customHeight="1">
      <c r="A637" s="80"/>
      <c r="B637" s="80"/>
      <c r="E637" s="80"/>
    </row>
    <row r="638" ht="28.5" customHeight="1">
      <c r="A638" s="80"/>
      <c r="B638" s="80"/>
      <c r="E638" s="80"/>
    </row>
    <row r="639" ht="28.5" customHeight="1">
      <c r="A639" s="80"/>
      <c r="B639" s="80"/>
      <c r="E639" s="80"/>
    </row>
    <row r="640" ht="28.5" customHeight="1">
      <c r="A640" s="80"/>
      <c r="B640" s="80"/>
      <c r="E640" s="80"/>
    </row>
    <row r="641" ht="28.5" customHeight="1">
      <c r="A641" s="80"/>
      <c r="B641" s="80"/>
      <c r="E641" s="80"/>
    </row>
    <row r="642" ht="28.5" customHeight="1">
      <c r="A642" s="80"/>
      <c r="B642" s="80"/>
      <c r="E642" s="80"/>
    </row>
    <row r="643" ht="28.5" customHeight="1">
      <c r="A643" s="80"/>
      <c r="B643" s="80"/>
      <c r="E643" s="80"/>
    </row>
    <row r="644" ht="28.5" customHeight="1">
      <c r="A644" s="80"/>
      <c r="B644" s="80"/>
      <c r="E644" s="80"/>
    </row>
    <row r="645" ht="28.5" customHeight="1">
      <c r="A645" s="80"/>
      <c r="B645" s="80"/>
      <c r="E645" s="80"/>
    </row>
    <row r="646" ht="28.5" customHeight="1">
      <c r="A646" s="80"/>
      <c r="B646" s="80"/>
      <c r="E646" s="80"/>
    </row>
    <row r="647" ht="28.5" customHeight="1">
      <c r="A647" s="80"/>
      <c r="B647" s="80"/>
      <c r="E647" s="80"/>
    </row>
    <row r="648" ht="28.5" customHeight="1">
      <c r="A648" s="80"/>
      <c r="B648" s="80"/>
      <c r="E648" s="80"/>
    </row>
    <row r="649" ht="28.5" customHeight="1">
      <c r="A649" s="80"/>
      <c r="B649" s="80"/>
      <c r="E649" s="80"/>
    </row>
    <row r="650" ht="28.5" customHeight="1">
      <c r="A650" s="80"/>
      <c r="B650" s="80"/>
      <c r="E650" s="80"/>
    </row>
    <row r="651" ht="28.5" customHeight="1">
      <c r="A651" s="80"/>
      <c r="B651" s="80"/>
      <c r="E651" s="80"/>
    </row>
    <row r="652" ht="28.5" customHeight="1">
      <c r="A652" s="80"/>
      <c r="B652" s="80"/>
      <c r="E652" s="80"/>
    </row>
    <row r="653" ht="28.5" customHeight="1">
      <c r="A653" s="80"/>
      <c r="B653" s="80"/>
      <c r="E653" s="80"/>
    </row>
    <row r="654" ht="28.5" customHeight="1">
      <c r="A654" s="80"/>
      <c r="B654" s="80"/>
      <c r="E654" s="80"/>
    </row>
    <row r="655" ht="28.5" customHeight="1">
      <c r="A655" s="80"/>
      <c r="B655" s="80"/>
      <c r="E655" s="80"/>
    </row>
    <row r="656" ht="28.5" customHeight="1">
      <c r="A656" s="80"/>
      <c r="B656" s="80"/>
      <c r="E656" s="80"/>
    </row>
    <row r="657" ht="28.5" customHeight="1">
      <c r="A657" s="80"/>
      <c r="B657" s="80"/>
      <c r="E657" s="80"/>
    </row>
    <row r="658" ht="28.5" customHeight="1">
      <c r="A658" s="80"/>
      <c r="B658" s="80"/>
      <c r="E658" s="80"/>
    </row>
    <row r="659" ht="28.5" customHeight="1">
      <c r="A659" s="80"/>
      <c r="B659" s="80"/>
      <c r="E659" s="80"/>
    </row>
    <row r="660" ht="28.5" customHeight="1">
      <c r="A660" s="80"/>
      <c r="B660" s="80"/>
      <c r="E660" s="80"/>
    </row>
    <row r="661" ht="28.5" customHeight="1">
      <c r="A661" s="80"/>
      <c r="B661" s="80"/>
      <c r="E661" s="80"/>
    </row>
    <row r="662" ht="28.5" customHeight="1">
      <c r="A662" s="80"/>
      <c r="B662" s="80"/>
      <c r="E662" s="80"/>
    </row>
    <row r="663" ht="28.5" customHeight="1">
      <c r="A663" s="80"/>
      <c r="B663" s="80"/>
      <c r="E663" s="80"/>
    </row>
    <row r="664" ht="28.5" customHeight="1">
      <c r="A664" s="80"/>
      <c r="B664" s="80"/>
      <c r="E664" s="80"/>
    </row>
    <row r="665" ht="28.5" customHeight="1">
      <c r="A665" s="80"/>
      <c r="B665" s="80"/>
      <c r="E665" s="80"/>
    </row>
    <row r="666" ht="28.5" customHeight="1">
      <c r="A666" s="80"/>
      <c r="B666" s="80"/>
      <c r="E666" s="80"/>
    </row>
    <row r="667" ht="28.5" customHeight="1">
      <c r="A667" s="80"/>
      <c r="B667" s="80"/>
      <c r="E667" s="80"/>
    </row>
    <row r="668" ht="28.5" customHeight="1">
      <c r="A668" s="80"/>
      <c r="B668" s="80"/>
      <c r="E668" s="80"/>
    </row>
    <row r="669" ht="28.5" customHeight="1">
      <c r="A669" s="80"/>
      <c r="B669" s="80"/>
      <c r="E669" s="80"/>
    </row>
    <row r="670" ht="28.5" customHeight="1">
      <c r="A670" s="80"/>
      <c r="B670" s="80"/>
      <c r="E670" s="80"/>
    </row>
    <row r="671" ht="28.5" customHeight="1">
      <c r="A671" s="80"/>
      <c r="B671" s="80"/>
      <c r="E671" s="80"/>
    </row>
    <row r="672" ht="28.5" customHeight="1">
      <c r="A672" s="80"/>
      <c r="B672" s="80"/>
      <c r="E672" s="80"/>
    </row>
    <row r="673" ht="28.5" customHeight="1">
      <c r="A673" s="80"/>
      <c r="B673" s="80"/>
      <c r="E673" s="80"/>
    </row>
    <row r="674" ht="28.5" customHeight="1">
      <c r="A674" s="80"/>
      <c r="B674" s="80"/>
      <c r="E674" s="80"/>
    </row>
    <row r="675" ht="28.5" customHeight="1">
      <c r="A675" s="80"/>
      <c r="B675" s="80"/>
      <c r="E675" s="80"/>
    </row>
    <row r="676" ht="28.5" customHeight="1">
      <c r="A676" s="80"/>
      <c r="B676" s="80"/>
      <c r="E676" s="80"/>
    </row>
    <row r="677" ht="28.5" customHeight="1">
      <c r="A677" s="80"/>
      <c r="B677" s="80"/>
      <c r="E677" s="80"/>
    </row>
    <row r="678" ht="28.5" customHeight="1">
      <c r="A678" s="80"/>
      <c r="B678" s="80"/>
      <c r="E678" s="80"/>
    </row>
    <row r="679" ht="28.5" customHeight="1">
      <c r="A679" s="80"/>
      <c r="B679" s="80"/>
      <c r="E679" s="80"/>
    </row>
    <row r="680" ht="28.5" customHeight="1">
      <c r="A680" s="80"/>
      <c r="B680" s="80"/>
      <c r="E680" s="80"/>
    </row>
    <row r="681" ht="28.5" customHeight="1">
      <c r="A681" s="80"/>
      <c r="B681" s="80"/>
      <c r="E681" s="80"/>
    </row>
    <row r="682" ht="28.5" customHeight="1">
      <c r="A682" s="80"/>
      <c r="B682" s="80"/>
      <c r="E682" s="80"/>
    </row>
    <row r="683" ht="28.5" customHeight="1">
      <c r="A683" s="80"/>
      <c r="B683" s="80"/>
      <c r="E683" s="80"/>
    </row>
    <row r="684" ht="28.5" customHeight="1">
      <c r="A684" s="80"/>
      <c r="B684" s="80"/>
      <c r="E684" s="80"/>
    </row>
    <row r="685" ht="28.5" customHeight="1">
      <c r="A685" s="80"/>
      <c r="B685" s="80"/>
      <c r="E685" s="80"/>
    </row>
    <row r="686" ht="28.5" customHeight="1">
      <c r="A686" s="80"/>
      <c r="B686" s="80"/>
      <c r="E686" s="80"/>
    </row>
    <row r="687" ht="28.5" customHeight="1">
      <c r="A687" s="80"/>
      <c r="B687" s="80"/>
      <c r="E687" s="80"/>
    </row>
    <row r="688" ht="28.5" customHeight="1">
      <c r="A688" s="80"/>
      <c r="B688" s="80"/>
      <c r="E688" s="80"/>
    </row>
    <row r="689" ht="28.5" customHeight="1">
      <c r="A689" s="80"/>
      <c r="B689" s="80"/>
      <c r="E689" s="80"/>
    </row>
    <row r="690" ht="28.5" customHeight="1">
      <c r="A690" s="80"/>
      <c r="B690" s="80"/>
      <c r="E690" s="80"/>
    </row>
    <row r="691" ht="28.5" customHeight="1">
      <c r="A691" s="80"/>
      <c r="B691" s="80"/>
      <c r="E691" s="80"/>
    </row>
    <row r="692" ht="28.5" customHeight="1">
      <c r="A692" s="80"/>
      <c r="B692" s="80"/>
      <c r="E692" s="80"/>
    </row>
    <row r="693" ht="28.5" customHeight="1">
      <c r="A693" s="80"/>
      <c r="B693" s="80"/>
      <c r="E693" s="80"/>
    </row>
    <row r="694" ht="28.5" customHeight="1">
      <c r="A694" s="80"/>
      <c r="B694" s="80"/>
      <c r="E694" s="80"/>
    </row>
    <row r="695" ht="28.5" customHeight="1">
      <c r="A695" s="80"/>
      <c r="B695" s="80"/>
      <c r="E695" s="80"/>
    </row>
    <row r="696" ht="28.5" customHeight="1">
      <c r="A696" s="80"/>
      <c r="B696" s="80"/>
      <c r="E696" s="80"/>
    </row>
    <row r="697" ht="28.5" customHeight="1">
      <c r="A697" s="80"/>
      <c r="B697" s="80"/>
      <c r="E697" s="80"/>
    </row>
    <row r="698" ht="28.5" customHeight="1">
      <c r="A698" s="80"/>
      <c r="B698" s="80"/>
      <c r="E698" s="80"/>
    </row>
    <row r="699" ht="28.5" customHeight="1">
      <c r="A699" s="80"/>
      <c r="B699" s="80"/>
      <c r="E699" s="80"/>
    </row>
    <row r="700" ht="28.5" customHeight="1">
      <c r="A700" s="80"/>
      <c r="B700" s="80"/>
      <c r="E700" s="80"/>
    </row>
    <row r="701" ht="28.5" customHeight="1">
      <c r="A701" s="80"/>
      <c r="B701" s="80"/>
      <c r="E701" s="80"/>
    </row>
    <row r="702" ht="28.5" customHeight="1">
      <c r="A702" s="80"/>
      <c r="B702" s="80"/>
      <c r="E702" s="80"/>
    </row>
    <row r="703" ht="28.5" customHeight="1">
      <c r="A703" s="80"/>
      <c r="B703" s="80"/>
      <c r="E703" s="80"/>
    </row>
    <row r="704" ht="28.5" customHeight="1">
      <c r="A704" s="80"/>
      <c r="B704" s="80"/>
      <c r="E704" s="80"/>
    </row>
    <row r="705" ht="28.5" customHeight="1">
      <c r="A705" s="80"/>
      <c r="B705" s="80"/>
      <c r="E705" s="80"/>
    </row>
    <row r="706" ht="28.5" customHeight="1">
      <c r="A706" s="80"/>
      <c r="B706" s="80"/>
      <c r="E706" s="80"/>
    </row>
    <row r="707" ht="28.5" customHeight="1">
      <c r="A707" s="80"/>
      <c r="B707" s="80"/>
      <c r="E707" s="80"/>
    </row>
    <row r="708" ht="28.5" customHeight="1">
      <c r="A708" s="80"/>
      <c r="B708" s="80"/>
      <c r="E708" s="80"/>
    </row>
    <row r="709" ht="28.5" customHeight="1">
      <c r="A709" s="80"/>
      <c r="B709" s="80"/>
      <c r="E709" s="80"/>
    </row>
    <row r="710" ht="28.5" customHeight="1">
      <c r="A710" s="80"/>
      <c r="B710" s="80"/>
      <c r="E710" s="80"/>
    </row>
    <row r="711" ht="28.5" customHeight="1">
      <c r="A711" s="80"/>
      <c r="B711" s="80"/>
      <c r="E711" s="80"/>
    </row>
    <row r="712" ht="28.5" customHeight="1">
      <c r="A712" s="80"/>
      <c r="B712" s="80"/>
      <c r="E712" s="80"/>
    </row>
    <row r="713" ht="28.5" customHeight="1">
      <c r="A713" s="80"/>
      <c r="B713" s="80"/>
      <c r="E713" s="80"/>
    </row>
    <row r="714" ht="28.5" customHeight="1">
      <c r="A714" s="80"/>
      <c r="B714" s="80"/>
      <c r="E714" s="80"/>
    </row>
    <row r="715" ht="28.5" customHeight="1">
      <c r="A715" s="80"/>
      <c r="B715" s="80"/>
      <c r="E715" s="80"/>
    </row>
    <row r="716" ht="28.5" customHeight="1">
      <c r="A716" s="80"/>
      <c r="B716" s="80"/>
      <c r="E716" s="80"/>
    </row>
    <row r="717" ht="28.5" customHeight="1">
      <c r="A717" s="80"/>
      <c r="B717" s="80"/>
      <c r="E717" s="80"/>
    </row>
    <row r="718" ht="28.5" customHeight="1">
      <c r="A718" s="80"/>
      <c r="B718" s="80"/>
      <c r="E718" s="80"/>
    </row>
    <row r="719" ht="28.5" customHeight="1">
      <c r="A719" s="80"/>
      <c r="B719" s="80"/>
      <c r="E719" s="80"/>
    </row>
    <row r="720" ht="28.5" customHeight="1">
      <c r="A720" s="80"/>
      <c r="B720" s="80"/>
      <c r="E720" s="80"/>
    </row>
    <row r="721" ht="28.5" customHeight="1">
      <c r="A721" s="80"/>
      <c r="B721" s="80"/>
      <c r="E721" s="80"/>
    </row>
    <row r="722" ht="28.5" customHeight="1">
      <c r="A722" s="80"/>
      <c r="B722" s="80"/>
      <c r="E722" s="80"/>
    </row>
    <row r="723" ht="28.5" customHeight="1">
      <c r="A723" s="80"/>
      <c r="B723" s="80"/>
      <c r="E723" s="80"/>
    </row>
    <row r="724" ht="28.5" customHeight="1">
      <c r="A724" s="80"/>
      <c r="B724" s="80"/>
      <c r="E724" s="80"/>
    </row>
    <row r="725" ht="28.5" customHeight="1">
      <c r="A725" s="80"/>
      <c r="B725" s="80"/>
      <c r="E725" s="80"/>
    </row>
    <row r="726" ht="28.5" customHeight="1">
      <c r="A726" s="80"/>
      <c r="B726" s="80"/>
      <c r="E726" s="80"/>
    </row>
    <row r="727" ht="28.5" customHeight="1">
      <c r="A727" s="80"/>
      <c r="B727" s="80"/>
      <c r="E727" s="80"/>
    </row>
    <row r="728" ht="28.5" customHeight="1">
      <c r="A728" s="80"/>
      <c r="B728" s="80"/>
      <c r="E728" s="80"/>
    </row>
    <row r="729" ht="28.5" customHeight="1">
      <c r="A729" s="80"/>
      <c r="B729" s="80"/>
      <c r="E729" s="80"/>
    </row>
    <row r="730" ht="28.5" customHeight="1">
      <c r="A730" s="80"/>
      <c r="B730" s="80"/>
      <c r="E730" s="80"/>
    </row>
    <row r="731" ht="28.5" customHeight="1">
      <c r="A731" s="80"/>
      <c r="B731" s="80"/>
      <c r="E731" s="80"/>
    </row>
    <row r="732" ht="28.5" customHeight="1">
      <c r="A732" s="80"/>
      <c r="B732" s="80"/>
      <c r="E732" s="80"/>
    </row>
    <row r="733" ht="28.5" customHeight="1">
      <c r="A733" s="80"/>
      <c r="B733" s="80"/>
      <c r="E733" s="80"/>
    </row>
    <row r="734" ht="28.5" customHeight="1">
      <c r="A734" s="80"/>
      <c r="B734" s="80"/>
      <c r="E734" s="80"/>
    </row>
    <row r="735" ht="28.5" customHeight="1">
      <c r="A735" s="80"/>
      <c r="B735" s="80"/>
      <c r="E735" s="80"/>
    </row>
    <row r="736" ht="28.5" customHeight="1">
      <c r="A736" s="80"/>
      <c r="B736" s="80"/>
      <c r="E736" s="80"/>
    </row>
    <row r="737" ht="28.5" customHeight="1">
      <c r="A737" s="80"/>
      <c r="B737" s="80"/>
      <c r="E737" s="80"/>
    </row>
    <row r="738" ht="28.5" customHeight="1">
      <c r="A738" s="80"/>
      <c r="B738" s="80"/>
      <c r="E738" s="80"/>
    </row>
    <row r="739" ht="28.5" customHeight="1">
      <c r="A739" s="80"/>
      <c r="B739" s="80"/>
      <c r="E739" s="80"/>
    </row>
    <row r="740" ht="28.5" customHeight="1">
      <c r="A740" s="80"/>
      <c r="B740" s="80"/>
      <c r="E740" s="80"/>
    </row>
    <row r="741" ht="28.5" customHeight="1">
      <c r="A741" s="80"/>
      <c r="B741" s="80"/>
      <c r="E741" s="80"/>
    </row>
    <row r="742" ht="28.5" customHeight="1">
      <c r="A742" s="80"/>
      <c r="B742" s="80"/>
      <c r="E742" s="80"/>
    </row>
    <row r="743" ht="28.5" customHeight="1">
      <c r="A743" s="80"/>
      <c r="B743" s="80"/>
      <c r="E743" s="80"/>
    </row>
    <row r="744" ht="28.5" customHeight="1">
      <c r="A744" s="80"/>
      <c r="B744" s="80"/>
      <c r="E744" s="80"/>
    </row>
    <row r="745" ht="28.5" customHeight="1">
      <c r="A745" s="80"/>
      <c r="B745" s="80"/>
      <c r="E745" s="80"/>
    </row>
    <row r="746" ht="28.5" customHeight="1">
      <c r="A746" s="80"/>
      <c r="B746" s="80"/>
      <c r="E746" s="80"/>
    </row>
    <row r="747" ht="28.5" customHeight="1">
      <c r="A747" s="80"/>
      <c r="B747" s="80"/>
      <c r="E747" s="80"/>
    </row>
    <row r="748" ht="28.5" customHeight="1">
      <c r="A748" s="80"/>
      <c r="B748" s="80"/>
      <c r="E748" s="80"/>
    </row>
    <row r="749" ht="28.5" customHeight="1">
      <c r="A749" s="80"/>
      <c r="B749" s="80"/>
      <c r="E749" s="80"/>
    </row>
    <row r="750" ht="28.5" customHeight="1">
      <c r="A750" s="80"/>
      <c r="B750" s="80"/>
      <c r="E750" s="80"/>
    </row>
    <row r="751" ht="28.5" customHeight="1">
      <c r="A751" s="80"/>
      <c r="B751" s="80"/>
      <c r="E751" s="80"/>
    </row>
    <row r="752" ht="28.5" customHeight="1">
      <c r="A752" s="80"/>
      <c r="B752" s="80"/>
      <c r="E752" s="80"/>
    </row>
    <row r="753" ht="28.5" customHeight="1">
      <c r="A753" s="80"/>
      <c r="B753" s="80"/>
      <c r="E753" s="80"/>
    </row>
    <row r="754" ht="28.5" customHeight="1">
      <c r="A754" s="80"/>
      <c r="B754" s="80"/>
      <c r="E754" s="80"/>
    </row>
    <row r="755" ht="28.5" customHeight="1">
      <c r="A755" s="80"/>
      <c r="B755" s="80"/>
      <c r="E755" s="80"/>
    </row>
    <row r="756" ht="28.5" customHeight="1">
      <c r="A756" s="80"/>
      <c r="B756" s="80"/>
      <c r="E756" s="80"/>
    </row>
    <row r="757" ht="28.5" customHeight="1">
      <c r="A757" s="80"/>
      <c r="B757" s="80"/>
      <c r="E757" s="80"/>
    </row>
    <row r="758" ht="28.5" customHeight="1">
      <c r="A758" s="80"/>
      <c r="B758" s="80"/>
      <c r="E758" s="80"/>
    </row>
    <row r="759" ht="28.5" customHeight="1">
      <c r="A759" s="80"/>
      <c r="B759" s="80"/>
      <c r="E759" s="80"/>
    </row>
    <row r="760" ht="28.5" customHeight="1">
      <c r="A760" s="80"/>
      <c r="B760" s="80"/>
      <c r="E760" s="80"/>
    </row>
    <row r="761" ht="28.5" customHeight="1">
      <c r="A761" s="80"/>
      <c r="B761" s="80"/>
      <c r="E761" s="80"/>
    </row>
    <row r="762" ht="28.5" customHeight="1">
      <c r="A762" s="80"/>
      <c r="B762" s="80"/>
      <c r="E762" s="80"/>
    </row>
    <row r="763" ht="28.5" customHeight="1">
      <c r="A763" s="80"/>
      <c r="B763" s="80"/>
      <c r="E763" s="80"/>
    </row>
    <row r="764" ht="28.5" customHeight="1">
      <c r="A764" s="80"/>
      <c r="B764" s="80"/>
      <c r="E764" s="80"/>
    </row>
    <row r="765" ht="28.5" customHeight="1">
      <c r="A765" s="80"/>
      <c r="B765" s="80"/>
      <c r="E765" s="80"/>
    </row>
    <row r="766" ht="28.5" customHeight="1">
      <c r="A766" s="80"/>
      <c r="B766" s="80"/>
      <c r="E766" s="80"/>
    </row>
    <row r="767" ht="28.5" customHeight="1">
      <c r="A767" s="80"/>
      <c r="B767" s="80"/>
      <c r="E767" s="80"/>
    </row>
    <row r="768" ht="28.5" customHeight="1">
      <c r="A768" s="80"/>
      <c r="B768" s="80"/>
      <c r="E768" s="80"/>
    </row>
    <row r="769" ht="28.5" customHeight="1">
      <c r="A769" s="80"/>
      <c r="B769" s="80"/>
      <c r="E769" s="80"/>
    </row>
    <row r="770" ht="28.5" customHeight="1">
      <c r="A770" s="80"/>
      <c r="B770" s="80"/>
      <c r="E770" s="80"/>
    </row>
    <row r="771" ht="28.5" customHeight="1">
      <c r="A771" s="80"/>
      <c r="B771" s="80"/>
      <c r="E771" s="80"/>
    </row>
    <row r="772" ht="28.5" customHeight="1">
      <c r="A772" s="80"/>
      <c r="B772" s="80"/>
      <c r="E772" s="80"/>
    </row>
    <row r="773" ht="28.5" customHeight="1">
      <c r="A773" s="80"/>
      <c r="B773" s="80"/>
      <c r="E773" s="80"/>
    </row>
    <row r="774" ht="28.5" customHeight="1">
      <c r="A774" s="80"/>
      <c r="B774" s="80"/>
      <c r="E774" s="80"/>
    </row>
    <row r="775" ht="28.5" customHeight="1">
      <c r="A775" s="80"/>
      <c r="B775" s="80"/>
      <c r="E775" s="80"/>
    </row>
    <row r="776" ht="28.5" customHeight="1">
      <c r="A776" s="80"/>
      <c r="B776" s="80"/>
      <c r="E776" s="80"/>
    </row>
    <row r="777" ht="28.5" customHeight="1">
      <c r="A777" s="80"/>
      <c r="B777" s="80"/>
      <c r="E777" s="80"/>
    </row>
    <row r="778" ht="28.5" customHeight="1">
      <c r="A778" s="80"/>
      <c r="B778" s="80"/>
      <c r="E778" s="80"/>
    </row>
    <row r="779" ht="28.5" customHeight="1">
      <c r="A779" s="80"/>
      <c r="B779" s="80"/>
      <c r="E779" s="80"/>
    </row>
    <row r="780" ht="28.5" customHeight="1">
      <c r="A780" s="80"/>
      <c r="B780" s="80"/>
      <c r="E780" s="80"/>
    </row>
    <row r="781" ht="28.5" customHeight="1">
      <c r="A781" s="80"/>
      <c r="B781" s="80"/>
      <c r="E781" s="80"/>
    </row>
    <row r="782" ht="28.5" customHeight="1">
      <c r="A782" s="80"/>
      <c r="B782" s="80"/>
      <c r="E782" s="80"/>
    </row>
    <row r="783" ht="28.5" customHeight="1">
      <c r="A783" s="80"/>
      <c r="B783" s="80"/>
      <c r="E783" s="80"/>
    </row>
    <row r="784" ht="28.5" customHeight="1">
      <c r="A784" s="80"/>
      <c r="B784" s="80"/>
      <c r="E784" s="80"/>
    </row>
    <row r="785" ht="28.5" customHeight="1">
      <c r="A785" s="80"/>
      <c r="B785" s="80"/>
      <c r="E785" s="80"/>
    </row>
    <row r="786" ht="28.5" customHeight="1">
      <c r="A786" s="80"/>
      <c r="B786" s="80"/>
      <c r="E786" s="80"/>
    </row>
    <row r="787" ht="28.5" customHeight="1">
      <c r="A787" s="80"/>
      <c r="B787" s="80"/>
      <c r="E787" s="80"/>
    </row>
    <row r="788" ht="28.5" customHeight="1">
      <c r="A788" s="80"/>
      <c r="B788" s="80"/>
      <c r="E788" s="80"/>
    </row>
    <row r="789" ht="28.5" customHeight="1">
      <c r="A789" s="80"/>
      <c r="B789" s="80"/>
      <c r="E789" s="80"/>
    </row>
    <row r="790" ht="28.5" customHeight="1">
      <c r="A790" s="80"/>
      <c r="B790" s="80"/>
      <c r="E790" s="80"/>
    </row>
    <row r="791" ht="28.5" customHeight="1">
      <c r="A791" s="80"/>
      <c r="B791" s="80"/>
      <c r="E791" s="80"/>
    </row>
    <row r="792" ht="28.5" customHeight="1">
      <c r="A792" s="80"/>
      <c r="B792" s="80"/>
      <c r="E792" s="80"/>
    </row>
    <row r="793" ht="28.5" customHeight="1">
      <c r="A793" s="80"/>
      <c r="B793" s="80"/>
      <c r="E793" s="80"/>
    </row>
    <row r="794" ht="28.5" customHeight="1">
      <c r="A794" s="80"/>
      <c r="B794" s="80"/>
      <c r="E794" s="80"/>
    </row>
    <row r="795" ht="28.5" customHeight="1">
      <c r="A795" s="80"/>
      <c r="B795" s="80"/>
      <c r="E795" s="80"/>
    </row>
    <row r="796" ht="28.5" customHeight="1">
      <c r="A796" s="80"/>
      <c r="B796" s="80"/>
      <c r="E796" s="80"/>
    </row>
    <row r="797" ht="28.5" customHeight="1">
      <c r="A797" s="80"/>
      <c r="B797" s="80"/>
      <c r="E797" s="80"/>
    </row>
    <row r="798" ht="28.5" customHeight="1">
      <c r="A798" s="80"/>
      <c r="B798" s="80"/>
      <c r="E798" s="80"/>
    </row>
    <row r="799" ht="28.5" customHeight="1">
      <c r="A799" s="80"/>
      <c r="B799" s="80"/>
      <c r="E799" s="80"/>
    </row>
    <row r="800" ht="28.5" customHeight="1">
      <c r="A800" s="80"/>
      <c r="B800" s="80"/>
      <c r="E800" s="80"/>
    </row>
    <row r="801" ht="28.5" customHeight="1">
      <c r="A801" s="80"/>
      <c r="B801" s="80"/>
      <c r="E801" s="80"/>
    </row>
    <row r="802" ht="28.5" customHeight="1">
      <c r="A802" s="80"/>
      <c r="B802" s="80"/>
      <c r="E802" s="80"/>
    </row>
    <row r="803" ht="28.5" customHeight="1">
      <c r="A803" s="80"/>
      <c r="B803" s="80"/>
      <c r="E803" s="80"/>
    </row>
    <row r="804" ht="28.5" customHeight="1">
      <c r="A804" s="80"/>
      <c r="B804" s="80"/>
      <c r="E804" s="80"/>
    </row>
    <row r="805" ht="28.5" customHeight="1">
      <c r="A805" s="80"/>
      <c r="B805" s="80"/>
      <c r="E805" s="80"/>
    </row>
    <row r="806" ht="28.5" customHeight="1">
      <c r="A806" s="80"/>
      <c r="B806" s="80"/>
      <c r="E806" s="80"/>
    </row>
    <row r="807" ht="28.5" customHeight="1">
      <c r="A807" s="80"/>
      <c r="B807" s="80"/>
      <c r="E807" s="80"/>
    </row>
    <row r="808" ht="28.5" customHeight="1">
      <c r="A808" s="80"/>
      <c r="B808" s="80"/>
      <c r="E808" s="80"/>
    </row>
    <row r="809" ht="28.5" customHeight="1">
      <c r="A809" s="80"/>
      <c r="B809" s="80"/>
      <c r="E809" s="80"/>
    </row>
    <row r="810" ht="28.5" customHeight="1">
      <c r="A810" s="80"/>
      <c r="B810" s="80"/>
      <c r="E810" s="80"/>
    </row>
    <row r="811" ht="28.5" customHeight="1">
      <c r="A811" s="80"/>
      <c r="B811" s="80"/>
      <c r="E811" s="80"/>
    </row>
    <row r="812" ht="28.5" customHeight="1">
      <c r="A812" s="80"/>
      <c r="B812" s="80"/>
      <c r="E812" s="80"/>
    </row>
    <row r="813" ht="28.5" customHeight="1">
      <c r="A813" s="80"/>
      <c r="B813" s="80"/>
      <c r="E813" s="80"/>
    </row>
    <row r="814" ht="28.5" customHeight="1">
      <c r="A814" s="80"/>
      <c r="B814" s="80"/>
      <c r="E814" s="80"/>
    </row>
    <row r="815" ht="28.5" customHeight="1">
      <c r="A815" s="80"/>
      <c r="B815" s="80"/>
      <c r="E815" s="80"/>
    </row>
    <row r="816" ht="28.5" customHeight="1">
      <c r="A816" s="80"/>
      <c r="B816" s="80"/>
      <c r="E816" s="80"/>
    </row>
    <row r="817" ht="28.5" customHeight="1">
      <c r="A817" s="80"/>
      <c r="B817" s="80"/>
      <c r="E817" s="80"/>
    </row>
    <row r="818" ht="28.5" customHeight="1">
      <c r="A818" s="80"/>
      <c r="B818" s="80"/>
      <c r="E818" s="80"/>
    </row>
    <row r="819" ht="28.5" customHeight="1">
      <c r="A819" s="80"/>
      <c r="B819" s="80"/>
      <c r="E819" s="80"/>
    </row>
    <row r="820" ht="28.5" customHeight="1">
      <c r="A820" s="80"/>
      <c r="B820" s="80"/>
      <c r="E820" s="80"/>
    </row>
    <row r="821" ht="28.5" customHeight="1">
      <c r="A821" s="80"/>
      <c r="B821" s="80"/>
      <c r="E821" s="80"/>
    </row>
    <row r="822" ht="28.5" customHeight="1">
      <c r="A822" s="80"/>
      <c r="B822" s="80"/>
      <c r="E822" s="80"/>
    </row>
    <row r="823" ht="28.5" customHeight="1">
      <c r="A823" s="80"/>
      <c r="B823" s="80"/>
      <c r="E823" s="80"/>
    </row>
    <row r="824" ht="28.5" customHeight="1">
      <c r="A824" s="80"/>
      <c r="B824" s="80"/>
      <c r="E824" s="80"/>
    </row>
    <row r="825" ht="28.5" customHeight="1">
      <c r="A825" s="80"/>
      <c r="B825" s="80"/>
      <c r="E825" s="80"/>
    </row>
    <row r="826" ht="28.5" customHeight="1">
      <c r="A826" s="80"/>
      <c r="B826" s="80"/>
      <c r="E826" s="80"/>
    </row>
    <row r="827" ht="28.5" customHeight="1">
      <c r="A827" s="80"/>
      <c r="B827" s="80"/>
      <c r="E827" s="80"/>
    </row>
    <row r="828" ht="28.5" customHeight="1">
      <c r="A828" s="80"/>
      <c r="B828" s="80"/>
      <c r="E828" s="80"/>
    </row>
    <row r="829" ht="28.5" customHeight="1">
      <c r="A829" s="80"/>
      <c r="B829" s="80"/>
      <c r="E829" s="80"/>
    </row>
    <row r="830" ht="28.5" customHeight="1">
      <c r="A830" s="80"/>
      <c r="B830" s="80"/>
      <c r="E830" s="80"/>
    </row>
    <row r="831" ht="28.5" customHeight="1">
      <c r="A831" s="80"/>
      <c r="B831" s="80"/>
      <c r="E831" s="80"/>
    </row>
    <row r="832" ht="28.5" customHeight="1">
      <c r="A832" s="80"/>
      <c r="B832" s="80"/>
      <c r="E832" s="80"/>
    </row>
    <row r="833" ht="28.5" customHeight="1">
      <c r="A833" s="80"/>
      <c r="B833" s="80"/>
      <c r="E833" s="80"/>
    </row>
    <row r="834" ht="28.5" customHeight="1">
      <c r="A834" s="80"/>
      <c r="B834" s="80"/>
      <c r="E834" s="80"/>
    </row>
    <row r="835" ht="28.5" customHeight="1">
      <c r="A835" s="80"/>
      <c r="B835" s="80"/>
      <c r="E835" s="80"/>
    </row>
    <row r="836" ht="28.5" customHeight="1">
      <c r="A836" s="80"/>
      <c r="B836" s="80"/>
      <c r="E836" s="80"/>
    </row>
    <row r="837" ht="28.5" customHeight="1">
      <c r="A837" s="80"/>
      <c r="B837" s="80"/>
      <c r="E837" s="80"/>
    </row>
    <row r="838" ht="28.5" customHeight="1">
      <c r="A838" s="80"/>
      <c r="B838" s="80"/>
      <c r="E838" s="80"/>
    </row>
    <row r="839" ht="28.5" customHeight="1">
      <c r="A839" s="80"/>
      <c r="B839" s="80"/>
      <c r="E839" s="80"/>
    </row>
    <row r="840" ht="28.5" customHeight="1">
      <c r="A840" s="80"/>
      <c r="B840" s="80"/>
      <c r="E840" s="80"/>
    </row>
    <row r="841" ht="28.5" customHeight="1">
      <c r="A841" s="80"/>
      <c r="B841" s="80"/>
      <c r="E841" s="80"/>
    </row>
    <row r="842" ht="28.5" customHeight="1">
      <c r="A842" s="80"/>
      <c r="B842" s="80"/>
      <c r="E842" s="80"/>
    </row>
    <row r="843" ht="28.5" customHeight="1">
      <c r="A843" s="80"/>
      <c r="B843" s="80"/>
      <c r="E843" s="80"/>
    </row>
    <row r="844" ht="28.5" customHeight="1">
      <c r="A844" s="80"/>
      <c r="B844" s="80"/>
      <c r="E844" s="80"/>
    </row>
    <row r="845" ht="28.5" customHeight="1">
      <c r="A845" s="80"/>
      <c r="B845" s="80"/>
      <c r="E845" s="80"/>
    </row>
    <row r="846" ht="28.5" customHeight="1">
      <c r="A846" s="80"/>
      <c r="B846" s="80"/>
      <c r="E846" s="80"/>
    </row>
    <row r="847" ht="28.5" customHeight="1">
      <c r="A847" s="80"/>
      <c r="B847" s="80"/>
      <c r="E847" s="80"/>
    </row>
    <row r="848" ht="28.5" customHeight="1">
      <c r="A848" s="80"/>
      <c r="B848" s="80"/>
      <c r="E848" s="80"/>
    </row>
    <row r="849" ht="28.5" customHeight="1">
      <c r="A849" s="80"/>
      <c r="B849" s="80"/>
      <c r="E849" s="80"/>
    </row>
    <row r="850" ht="28.5" customHeight="1">
      <c r="A850" s="80"/>
      <c r="B850" s="80"/>
      <c r="E850" s="80"/>
    </row>
    <row r="851" ht="28.5" customHeight="1">
      <c r="A851" s="80"/>
      <c r="B851" s="80"/>
      <c r="E851" s="80"/>
    </row>
    <row r="852" ht="28.5" customHeight="1">
      <c r="A852" s="80"/>
      <c r="B852" s="80"/>
      <c r="E852" s="80"/>
    </row>
    <row r="853" ht="28.5" customHeight="1">
      <c r="A853" s="80"/>
      <c r="B853" s="80"/>
      <c r="E853" s="80"/>
    </row>
    <row r="854" ht="28.5" customHeight="1">
      <c r="A854" s="80"/>
      <c r="B854" s="80"/>
      <c r="E854" s="80"/>
    </row>
    <row r="855" ht="28.5" customHeight="1">
      <c r="A855" s="80"/>
      <c r="B855" s="80"/>
      <c r="E855" s="80"/>
    </row>
    <row r="856" ht="28.5" customHeight="1">
      <c r="A856" s="80"/>
      <c r="B856" s="80"/>
      <c r="E856" s="80"/>
    </row>
    <row r="857" ht="28.5" customHeight="1">
      <c r="A857" s="80"/>
      <c r="B857" s="80"/>
      <c r="E857" s="80"/>
    </row>
    <row r="858" ht="28.5" customHeight="1">
      <c r="A858" s="80"/>
      <c r="B858" s="80"/>
      <c r="E858" s="80"/>
    </row>
    <row r="859" ht="28.5" customHeight="1">
      <c r="A859" s="80"/>
      <c r="B859" s="80"/>
      <c r="E859" s="80"/>
    </row>
    <row r="860" ht="28.5" customHeight="1">
      <c r="A860" s="80"/>
      <c r="B860" s="80"/>
      <c r="E860" s="80"/>
    </row>
    <row r="861" ht="28.5" customHeight="1">
      <c r="A861" s="80"/>
      <c r="B861" s="80"/>
      <c r="E861" s="80"/>
    </row>
    <row r="862" ht="28.5" customHeight="1">
      <c r="A862" s="80"/>
      <c r="B862" s="80"/>
      <c r="E862" s="80"/>
    </row>
    <row r="863" ht="28.5" customHeight="1">
      <c r="A863" s="80"/>
      <c r="B863" s="80"/>
      <c r="E863" s="80"/>
    </row>
    <row r="864" ht="28.5" customHeight="1">
      <c r="A864" s="80"/>
      <c r="B864" s="80"/>
      <c r="E864" s="80"/>
    </row>
    <row r="865" ht="28.5" customHeight="1">
      <c r="A865" s="80"/>
      <c r="B865" s="80"/>
      <c r="E865" s="80"/>
    </row>
    <row r="866" ht="28.5" customHeight="1">
      <c r="A866" s="80"/>
      <c r="B866" s="80"/>
      <c r="E866" s="80"/>
    </row>
    <row r="867" ht="28.5" customHeight="1">
      <c r="A867" s="80"/>
      <c r="B867" s="80"/>
      <c r="E867" s="80"/>
    </row>
    <row r="868" ht="28.5" customHeight="1">
      <c r="A868" s="80"/>
      <c r="B868" s="80"/>
      <c r="E868" s="80"/>
    </row>
    <row r="869" ht="28.5" customHeight="1">
      <c r="A869" s="80"/>
      <c r="B869" s="80"/>
      <c r="E869" s="80"/>
    </row>
    <row r="870" ht="28.5" customHeight="1">
      <c r="A870" s="80"/>
      <c r="B870" s="80"/>
      <c r="E870" s="80"/>
    </row>
    <row r="871" ht="28.5" customHeight="1">
      <c r="A871" s="80"/>
      <c r="B871" s="80"/>
      <c r="E871" s="80"/>
    </row>
    <row r="872" ht="28.5" customHeight="1">
      <c r="A872" s="80"/>
      <c r="B872" s="80"/>
      <c r="E872" s="80"/>
    </row>
    <row r="873" ht="28.5" customHeight="1">
      <c r="A873" s="80"/>
      <c r="B873" s="80"/>
      <c r="E873" s="80"/>
    </row>
    <row r="874" ht="28.5" customHeight="1">
      <c r="A874" s="80"/>
      <c r="B874" s="80"/>
      <c r="E874" s="80"/>
    </row>
    <row r="875" ht="28.5" customHeight="1">
      <c r="A875" s="80"/>
      <c r="B875" s="80"/>
      <c r="E875" s="80"/>
    </row>
    <row r="876" ht="28.5" customHeight="1">
      <c r="A876" s="80"/>
      <c r="B876" s="80"/>
      <c r="E876" s="80"/>
    </row>
    <row r="877" ht="28.5" customHeight="1">
      <c r="A877" s="80"/>
      <c r="B877" s="80"/>
      <c r="E877" s="80"/>
    </row>
    <row r="878" ht="28.5" customHeight="1">
      <c r="A878" s="80"/>
      <c r="B878" s="80"/>
      <c r="E878" s="80"/>
    </row>
    <row r="879" ht="28.5" customHeight="1">
      <c r="A879" s="80"/>
      <c r="B879" s="80"/>
      <c r="E879" s="80"/>
    </row>
    <row r="880" ht="28.5" customHeight="1">
      <c r="A880" s="80"/>
      <c r="B880" s="80"/>
      <c r="E880" s="80"/>
    </row>
    <row r="881" ht="28.5" customHeight="1">
      <c r="A881" s="80"/>
      <c r="B881" s="80"/>
      <c r="E881" s="80"/>
    </row>
    <row r="882" ht="28.5" customHeight="1">
      <c r="A882" s="80"/>
      <c r="B882" s="80"/>
      <c r="E882" s="80"/>
    </row>
    <row r="883" ht="28.5" customHeight="1">
      <c r="A883" s="80"/>
      <c r="B883" s="80"/>
      <c r="E883" s="80"/>
    </row>
    <row r="884" ht="28.5" customHeight="1">
      <c r="A884" s="80"/>
      <c r="B884" s="80"/>
      <c r="E884" s="80"/>
    </row>
    <row r="885" ht="28.5" customHeight="1">
      <c r="A885" s="80"/>
      <c r="B885" s="80"/>
      <c r="E885" s="80"/>
    </row>
    <row r="886" ht="28.5" customHeight="1">
      <c r="A886" s="80"/>
      <c r="B886" s="80"/>
      <c r="E886" s="80"/>
    </row>
    <row r="887" ht="28.5" customHeight="1">
      <c r="A887" s="80"/>
      <c r="B887" s="80"/>
      <c r="E887" s="80"/>
    </row>
    <row r="888" ht="28.5" customHeight="1">
      <c r="A888" s="80"/>
      <c r="B888" s="80"/>
      <c r="E888" s="80"/>
    </row>
    <row r="889" ht="28.5" customHeight="1">
      <c r="A889" s="80"/>
      <c r="B889" s="80"/>
      <c r="E889" s="80"/>
    </row>
    <row r="890" ht="28.5" customHeight="1">
      <c r="A890" s="80"/>
      <c r="B890" s="80"/>
      <c r="E890" s="80"/>
    </row>
    <row r="891" ht="28.5" customHeight="1">
      <c r="A891" s="80"/>
      <c r="B891" s="80"/>
      <c r="E891" s="80"/>
    </row>
    <row r="892" ht="28.5" customHeight="1">
      <c r="A892" s="80"/>
      <c r="B892" s="80"/>
      <c r="E892" s="80"/>
    </row>
    <row r="893" ht="28.5" customHeight="1">
      <c r="A893" s="80"/>
      <c r="B893" s="80"/>
      <c r="E893" s="80"/>
    </row>
    <row r="894" ht="28.5" customHeight="1">
      <c r="A894" s="80"/>
      <c r="B894" s="80"/>
      <c r="E894" s="80"/>
    </row>
    <row r="895" ht="28.5" customHeight="1">
      <c r="A895" s="80"/>
      <c r="B895" s="80"/>
      <c r="E895" s="80"/>
    </row>
    <row r="896" ht="28.5" customHeight="1">
      <c r="A896" s="80"/>
      <c r="B896" s="80"/>
      <c r="E896" s="80"/>
    </row>
    <row r="897" ht="28.5" customHeight="1">
      <c r="A897" s="80"/>
      <c r="B897" s="80"/>
      <c r="E897" s="80"/>
    </row>
    <row r="898" ht="28.5" customHeight="1">
      <c r="A898" s="80"/>
      <c r="B898" s="80"/>
      <c r="E898" s="80"/>
    </row>
    <row r="899" ht="28.5" customHeight="1">
      <c r="A899" s="80"/>
      <c r="B899" s="80"/>
      <c r="E899" s="80"/>
    </row>
    <row r="900" ht="28.5" customHeight="1">
      <c r="A900" s="80"/>
      <c r="B900" s="80"/>
      <c r="E900" s="80"/>
    </row>
    <row r="901" ht="28.5" customHeight="1">
      <c r="A901" s="80"/>
      <c r="B901" s="80"/>
      <c r="E901" s="80"/>
    </row>
    <row r="902" ht="28.5" customHeight="1">
      <c r="A902" s="80"/>
      <c r="B902" s="80"/>
      <c r="E902" s="80"/>
    </row>
    <row r="903" ht="28.5" customHeight="1">
      <c r="A903" s="80"/>
      <c r="B903" s="80"/>
      <c r="E903" s="80"/>
    </row>
    <row r="904" ht="28.5" customHeight="1">
      <c r="A904" s="80"/>
      <c r="B904" s="80"/>
      <c r="E904" s="80"/>
    </row>
    <row r="905" ht="28.5" customHeight="1">
      <c r="A905" s="80"/>
      <c r="B905" s="80"/>
      <c r="E905" s="80"/>
    </row>
    <row r="906" ht="28.5" customHeight="1">
      <c r="A906" s="80"/>
      <c r="B906" s="80"/>
      <c r="E906" s="80"/>
    </row>
    <row r="907" ht="28.5" customHeight="1">
      <c r="A907" s="80"/>
      <c r="B907" s="80"/>
      <c r="E907" s="80"/>
    </row>
    <row r="908" ht="28.5" customHeight="1">
      <c r="A908" s="80"/>
      <c r="B908" s="80"/>
      <c r="E908" s="80"/>
    </row>
    <row r="909" ht="28.5" customHeight="1">
      <c r="A909" s="80"/>
      <c r="B909" s="80"/>
      <c r="E909" s="80"/>
    </row>
    <row r="910" ht="28.5" customHeight="1">
      <c r="A910" s="80"/>
      <c r="B910" s="80"/>
      <c r="E910" s="80"/>
    </row>
    <row r="911" ht="28.5" customHeight="1">
      <c r="A911" s="80"/>
      <c r="B911" s="80"/>
      <c r="E911" s="80"/>
    </row>
    <row r="912" ht="28.5" customHeight="1">
      <c r="A912" s="80"/>
      <c r="B912" s="80"/>
      <c r="E912" s="80"/>
    </row>
    <row r="913" ht="28.5" customHeight="1">
      <c r="A913" s="80"/>
      <c r="B913" s="80"/>
      <c r="E913" s="80"/>
    </row>
    <row r="914" ht="28.5" customHeight="1">
      <c r="A914" s="80"/>
      <c r="B914" s="80"/>
      <c r="E914" s="80"/>
    </row>
    <row r="915" ht="28.5" customHeight="1">
      <c r="A915" s="80"/>
      <c r="B915" s="80"/>
      <c r="E915" s="80"/>
    </row>
    <row r="916" ht="28.5" customHeight="1">
      <c r="A916" s="80"/>
      <c r="B916" s="80"/>
      <c r="E916" s="80"/>
    </row>
    <row r="917" ht="28.5" customHeight="1">
      <c r="A917" s="80"/>
      <c r="B917" s="80"/>
      <c r="E917" s="80"/>
    </row>
    <row r="918" ht="28.5" customHeight="1">
      <c r="A918" s="80"/>
      <c r="B918" s="80"/>
      <c r="E918" s="80"/>
    </row>
    <row r="919" ht="28.5" customHeight="1">
      <c r="A919" s="80"/>
      <c r="B919" s="80"/>
      <c r="E919" s="80"/>
    </row>
    <row r="920" ht="28.5" customHeight="1">
      <c r="A920" s="80"/>
      <c r="B920" s="80"/>
      <c r="E920" s="80"/>
    </row>
    <row r="921" ht="28.5" customHeight="1">
      <c r="A921" s="80"/>
      <c r="B921" s="80"/>
      <c r="E921" s="80"/>
    </row>
    <row r="922" ht="28.5" customHeight="1">
      <c r="A922" s="80"/>
      <c r="B922" s="80"/>
      <c r="E922" s="80"/>
    </row>
    <row r="923" ht="28.5" customHeight="1">
      <c r="A923" s="80"/>
      <c r="B923" s="80"/>
      <c r="E923" s="80"/>
    </row>
    <row r="924" ht="28.5" customHeight="1">
      <c r="A924" s="80"/>
      <c r="B924" s="80"/>
      <c r="E924" s="80"/>
    </row>
    <row r="925" ht="28.5" customHeight="1">
      <c r="A925" s="80"/>
      <c r="B925" s="80"/>
      <c r="E925" s="80"/>
    </row>
    <row r="926" ht="28.5" customHeight="1">
      <c r="A926" s="80"/>
      <c r="B926" s="80"/>
      <c r="E926" s="80"/>
    </row>
    <row r="927" ht="28.5" customHeight="1">
      <c r="A927" s="80"/>
      <c r="B927" s="80"/>
      <c r="E927" s="80"/>
    </row>
    <row r="928" ht="28.5" customHeight="1">
      <c r="A928" s="80"/>
      <c r="B928" s="80"/>
      <c r="E928" s="80"/>
    </row>
    <row r="929" ht="28.5" customHeight="1">
      <c r="A929" s="80"/>
      <c r="B929" s="80"/>
      <c r="E929" s="80"/>
    </row>
    <row r="930" ht="28.5" customHeight="1">
      <c r="A930" s="80"/>
      <c r="B930" s="80"/>
      <c r="E930" s="80"/>
    </row>
    <row r="931" ht="28.5" customHeight="1">
      <c r="A931" s="80"/>
      <c r="B931" s="80"/>
      <c r="E931" s="80"/>
    </row>
    <row r="932" ht="28.5" customHeight="1">
      <c r="A932" s="80"/>
      <c r="B932" s="80"/>
      <c r="E932" s="80"/>
    </row>
    <row r="933" ht="28.5" customHeight="1">
      <c r="A933" s="80"/>
      <c r="B933" s="80"/>
      <c r="E933" s="80"/>
    </row>
    <row r="934" ht="28.5" customHeight="1">
      <c r="A934" s="80"/>
      <c r="B934" s="80"/>
      <c r="E934" s="80"/>
    </row>
    <row r="935" ht="28.5" customHeight="1">
      <c r="A935" s="80"/>
      <c r="B935" s="80"/>
      <c r="E935" s="80"/>
    </row>
    <row r="936" ht="28.5" customHeight="1">
      <c r="A936" s="80"/>
      <c r="B936" s="80"/>
      <c r="E936" s="80"/>
    </row>
    <row r="937" ht="28.5" customHeight="1">
      <c r="A937" s="80"/>
      <c r="B937" s="80"/>
      <c r="E937" s="80"/>
    </row>
    <row r="938" ht="28.5" customHeight="1">
      <c r="A938" s="80"/>
      <c r="B938" s="80"/>
      <c r="E938" s="80"/>
    </row>
    <row r="939" ht="28.5" customHeight="1">
      <c r="A939" s="80"/>
      <c r="B939" s="80"/>
      <c r="E939" s="80"/>
    </row>
    <row r="940" ht="28.5" customHeight="1">
      <c r="A940" s="80"/>
      <c r="B940" s="80"/>
      <c r="E940" s="80"/>
    </row>
    <row r="941" ht="28.5" customHeight="1">
      <c r="A941" s="80"/>
      <c r="B941" s="80"/>
      <c r="E941" s="80"/>
    </row>
    <row r="942" ht="28.5" customHeight="1">
      <c r="A942" s="80"/>
      <c r="B942" s="80"/>
      <c r="E942" s="80"/>
    </row>
    <row r="943" ht="28.5" customHeight="1">
      <c r="A943" s="80"/>
      <c r="B943" s="80"/>
      <c r="E943" s="80"/>
    </row>
    <row r="944" ht="28.5" customHeight="1">
      <c r="A944" s="80"/>
      <c r="B944" s="80"/>
      <c r="E944" s="80"/>
    </row>
    <row r="945" ht="28.5" customHeight="1">
      <c r="A945" s="80"/>
      <c r="B945" s="80"/>
      <c r="E945" s="80"/>
    </row>
    <row r="946" ht="28.5" customHeight="1">
      <c r="A946" s="80"/>
      <c r="B946" s="80"/>
      <c r="E946" s="80"/>
    </row>
    <row r="947" ht="28.5" customHeight="1">
      <c r="A947" s="80"/>
      <c r="B947" s="80"/>
      <c r="E947" s="80"/>
    </row>
    <row r="948" ht="28.5" customHeight="1">
      <c r="A948" s="80"/>
      <c r="B948" s="80"/>
      <c r="E948" s="80"/>
    </row>
    <row r="949" ht="28.5" customHeight="1">
      <c r="A949" s="80"/>
      <c r="B949" s="80"/>
      <c r="E949" s="80"/>
    </row>
    <row r="950" ht="28.5" customHeight="1">
      <c r="A950" s="80"/>
      <c r="B950" s="80"/>
      <c r="E950" s="80"/>
    </row>
    <row r="951" ht="28.5" customHeight="1">
      <c r="A951" s="80"/>
      <c r="B951" s="80"/>
      <c r="E951" s="80"/>
    </row>
    <row r="952" ht="28.5" customHeight="1">
      <c r="A952" s="80"/>
      <c r="B952" s="80"/>
      <c r="E952" s="80"/>
    </row>
    <row r="953" ht="28.5" customHeight="1">
      <c r="A953" s="80"/>
      <c r="B953" s="80"/>
      <c r="E953" s="80"/>
    </row>
    <row r="954" ht="28.5" customHeight="1">
      <c r="A954" s="80"/>
      <c r="B954" s="80"/>
      <c r="E954" s="80"/>
    </row>
    <row r="955" ht="28.5" customHeight="1">
      <c r="A955" s="80"/>
      <c r="B955" s="80"/>
      <c r="E955" s="80"/>
    </row>
    <row r="956" ht="28.5" customHeight="1">
      <c r="A956" s="80"/>
      <c r="B956" s="80"/>
      <c r="E956" s="80"/>
    </row>
    <row r="957" ht="28.5" customHeight="1">
      <c r="A957" s="80"/>
      <c r="B957" s="80"/>
      <c r="E957" s="80"/>
    </row>
    <row r="958" ht="28.5" customHeight="1">
      <c r="A958" s="80"/>
      <c r="B958" s="80"/>
      <c r="E958" s="80"/>
    </row>
    <row r="959" ht="28.5" customHeight="1">
      <c r="A959" s="80"/>
      <c r="B959" s="80"/>
      <c r="E959" s="80"/>
    </row>
    <row r="960" ht="28.5" customHeight="1">
      <c r="A960" s="80"/>
      <c r="B960" s="80"/>
      <c r="E960" s="80"/>
    </row>
    <row r="961" ht="28.5" customHeight="1">
      <c r="A961" s="80"/>
      <c r="B961" s="80"/>
      <c r="E961" s="80"/>
    </row>
    <row r="962" ht="28.5" customHeight="1">
      <c r="A962" s="80"/>
      <c r="B962" s="80"/>
      <c r="E962" s="80"/>
    </row>
    <row r="963" ht="28.5" customHeight="1">
      <c r="A963" s="80"/>
      <c r="B963" s="80"/>
      <c r="E963" s="80"/>
    </row>
    <row r="964" ht="28.5" customHeight="1">
      <c r="A964" s="80"/>
      <c r="B964" s="80"/>
      <c r="E964" s="80"/>
    </row>
    <row r="965" ht="28.5" customHeight="1">
      <c r="A965" s="80"/>
      <c r="B965" s="80"/>
      <c r="E965" s="80"/>
    </row>
    <row r="966" ht="28.5" customHeight="1">
      <c r="A966" s="80"/>
      <c r="B966" s="80"/>
      <c r="E966" s="80"/>
    </row>
    <row r="967" ht="28.5" customHeight="1">
      <c r="A967" s="80"/>
      <c r="B967" s="80"/>
      <c r="E967" s="80"/>
    </row>
    <row r="968" ht="28.5" customHeight="1">
      <c r="A968" s="80"/>
      <c r="B968" s="80"/>
      <c r="E968" s="80"/>
    </row>
    <row r="969" ht="28.5" customHeight="1">
      <c r="A969" s="80"/>
      <c r="B969" s="80"/>
      <c r="E969" s="80"/>
    </row>
    <row r="970" ht="28.5" customHeight="1">
      <c r="A970" s="80"/>
      <c r="B970" s="80"/>
      <c r="E970" s="80"/>
    </row>
    <row r="971" ht="28.5" customHeight="1">
      <c r="A971" s="80"/>
      <c r="B971" s="80"/>
      <c r="E971" s="80"/>
    </row>
    <row r="972" ht="28.5" customHeight="1">
      <c r="A972" s="80"/>
      <c r="B972" s="80"/>
      <c r="E972" s="80"/>
    </row>
    <row r="973" ht="28.5" customHeight="1">
      <c r="A973" s="80"/>
      <c r="B973" s="80"/>
      <c r="E973" s="80"/>
    </row>
    <row r="974" ht="28.5" customHeight="1">
      <c r="A974" s="80"/>
      <c r="B974" s="80"/>
      <c r="E974" s="80"/>
    </row>
    <row r="975" ht="28.5" customHeight="1">
      <c r="A975" s="80"/>
      <c r="B975" s="80"/>
      <c r="E975" s="80"/>
    </row>
    <row r="976" ht="28.5" customHeight="1">
      <c r="A976" s="80"/>
      <c r="B976" s="80"/>
      <c r="E976" s="80"/>
    </row>
    <row r="977" ht="28.5" customHeight="1">
      <c r="A977" s="80"/>
      <c r="B977" s="80"/>
      <c r="E977" s="80"/>
    </row>
    <row r="978" ht="28.5" customHeight="1">
      <c r="A978" s="80"/>
      <c r="B978" s="80"/>
      <c r="E978" s="80"/>
    </row>
    <row r="979" ht="28.5" customHeight="1">
      <c r="A979" s="80"/>
      <c r="B979" s="80"/>
      <c r="E979" s="80"/>
    </row>
    <row r="980" ht="28.5" customHeight="1">
      <c r="A980" s="80"/>
      <c r="B980" s="80"/>
      <c r="E980" s="80"/>
    </row>
    <row r="981" ht="28.5" customHeight="1">
      <c r="A981" s="80"/>
      <c r="B981" s="80"/>
      <c r="E981" s="80"/>
    </row>
    <row r="982" ht="28.5" customHeight="1">
      <c r="A982" s="80"/>
      <c r="B982" s="80"/>
      <c r="E982" s="80"/>
    </row>
    <row r="983" ht="28.5" customHeight="1">
      <c r="A983" s="80"/>
      <c r="B983" s="80"/>
      <c r="E983" s="80"/>
    </row>
    <row r="984" ht="28.5" customHeight="1">
      <c r="A984" s="80"/>
      <c r="B984" s="80"/>
      <c r="E984" s="80"/>
    </row>
    <row r="985" ht="28.5" customHeight="1">
      <c r="A985" s="80"/>
      <c r="B985" s="80"/>
      <c r="E985" s="80"/>
    </row>
    <row r="986" ht="28.5" customHeight="1">
      <c r="A986" s="80"/>
      <c r="B986" s="80"/>
      <c r="E986" s="80"/>
    </row>
    <row r="987" ht="28.5" customHeight="1">
      <c r="A987" s="80"/>
      <c r="B987" s="80"/>
      <c r="E987" s="80"/>
    </row>
    <row r="988" ht="28.5" customHeight="1">
      <c r="A988" s="80"/>
      <c r="B988" s="80"/>
      <c r="E988" s="80"/>
    </row>
    <row r="989" ht="28.5" customHeight="1">
      <c r="A989" s="80"/>
      <c r="B989" s="80"/>
      <c r="E989" s="80"/>
    </row>
    <row r="990" ht="28.5" customHeight="1">
      <c r="A990" s="80"/>
      <c r="B990" s="80"/>
      <c r="E990" s="80"/>
    </row>
    <row r="991" ht="28.5" customHeight="1">
      <c r="A991" s="80"/>
      <c r="B991" s="80"/>
      <c r="E991" s="80"/>
    </row>
    <row r="992" ht="28.5" customHeight="1">
      <c r="A992" s="80"/>
      <c r="B992" s="80"/>
      <c r="E992" s="80"/>
    </row>
    <row r="993" ht="28.5" customHeight="1">
      <c r="A993" s="80"/>
      <c r="B993" s="80"/>
      <c r="E993" s="80"/>
    </row>
    <row r="994" ht="28.5" customHeight="1">
      <c r="A994" s="80"/>
      <c r="B994" s="80"/>
      <c r="E994" s="80"/>
    </row>
    <row r="995" ht="28.5" customHeight="1">
      <c r="A995" s="80"/>
      <c r="B995" s="80"/>
      <c r="E995" s="80"/>
    </row>
    <row r="996" ht="28.5" customHeight="1">
      <c r="A996" s="80"/>
      <c r="B996" s="80"/>
      <c r="E996" s="80"/>
    </row>
    <row r="997" ht="28.5" customHeight="1">
      <c r="A997" s="80"/>
      <c r="B997" s="80"/>
      <c r="E997" s="80"/>
    </row>
    <row r="998" ht="28.5" customHeight="1">
      <c r="A998" s="80"/>
      <c r="B998" s="80"/>
      <c r="E998" s="80"/>
    </row>
    <row r="999" ht="28.5" customHeight="1">
      <c r="A999" s="80"/>
      <c r="B999" s="80"/>
      <c r="E999" s="80"/>
    </row>
    <row r="1000" ht="28.5" customHeight="1">
      <c r="A1000" s="80"/>
      <c r="B1000" s="80"/>
      <c r="E1000" s="80"/>
    </row>
    <row r="1001" ht="28.5" customHeight="1">
      <c r="A1001" s="80"/>
      <c r="B1001" s="80"/>
      <c r="E1001" s="80"/>
    </row>
    <row r="1002" ht="28.5" customHeight="1">
      <c r="A1002" s="80"/>
      <c r="B1002" s="80"/>
      <c r="E1002" s="80"/>
    </row>
    <row r="1003" ht="28.5" customHeight="1">
      <c r="A1003" s="80"/>
      <c r="B1003" s="80"/>
      <c r="E1003" s="80"/>
    </row>
    <row r="1004" ht="28.5" customHeight="1">
      <c r="A1004" s="80"/>
      <c r="B1004" s="80"/>
      <c r="E1004" s="80"/>
    </row>
    <row r="1005" ht="28.5" customHeight="1">
      <c r="A1005" s="80"/>
      <c r="B1005" s="80"/>
      <c r="E1005" s="80"/>
    </row>
    <row r="1006" ht="28.5" customHeight="1">
      <c r="A1006" s="80"/>
      <c r="B1006" s="80"/>
      <c r="E1006" s="80"/>
    </row>
    <row r="1007" ht="28.5" customHeight="1">
      <c r="A1007" s="80"/>
      <c r="B1007" s="80"/>
      <c r="E1007" s="80"/>
    </row>
    <row r="1008" ht="28.5" customHeight="1">
      <c r="A1008" s="80"/>
      <c r="B1008" s="80"/>
      <c r="E1008" s="80"/>
    </row>
    <row r="1009" ht="28.5" customHeight="1">
      <c r="A1009" s="80"/>
      <c r="B1009" s="80"/>
      <c r="E1009" s="80"/>
    </row>
    <row r="1010" ht="28.5" customHeight="1">
      <c r="A1010" s="80"/>
      <c r="B1010" s="80"/>
      <c r="E1010" s="80"/>
    </row>
    <row r="1011" ht="28.5" customHeight="1">
      <c r="A1011" s="80"/>
      <c r="B1011" s="80"/>
      <c r="E1011" s="80"/>
    </row>
    <row r="1012" ht="28.5" customHeight="1">
      <c r="A1012" s="80"/>
      <c r="B1012" s="80"/>
      <c r="E1012" s="80"/>
    </row>
    <row r="1013" ht="28.5" customHeight="1">
      <c r="A1013" s="80"/>
      <c r="B1013" s="80"/>
      <c r="E1013" s="80"/>
    </row>
    <row r="1014" ht="28.5" customHeight="1">
      <c r="A1014" s="80"/>
      <c r="B1014" s="80"/>
      <c r="E1014" s="80"/>
    </row>
    <row r="1015" ht="28.5" customHeight="1">
      <c r="A1015" s="80"/>
      <c r="B1015" s="80"/>
      <c r="E1015" s="80"/>
    </row>
    <row r="1016" ht="28.5" customHeight="1">
      <c r="A1016" s="80"/>
      <c r="B1016" s="80"/>
      <c r="E1016" s="80"/>
    </row>
    <row r="1017" ht="28.5" customHeight="1">
      <c r="A1017" s="80"/>
      <c r="B1017" s="80"/>
      <c r="E1017" s="80"/>
    </row>
    <row r="1018" ht="28.5" customHeight="1">
      <c r="A1018" s="80"/>
      <c r="B1018" s="80"/>
      <c r="E1018" s="80"/>
    </row>
    <row r="1019" ht="28.5" customHeight="1">
      <c r="A1019" s="80"/>
      <c r="B1019" s="80"/>
      <c r="E1019" s="80"/>
    </row>
  </sheetData>
  <mergeCells count="1">
    <mergeCell ref="A1:E1"/>
  </mergeCells>
  <conditionalFormatting sqref="H254">
    <cfRule type="containsBlanks" dxfId="0" priority="1">
      <formula>LEN(TRIM(H254))=0</formula>
    </cfRule>
  </conditionalFormatting>
  <drawing r:id="rId1"/>
</worksheet>
</file>